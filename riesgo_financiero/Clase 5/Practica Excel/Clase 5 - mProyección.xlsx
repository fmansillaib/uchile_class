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/>
  <mc:AlternateContent xmlns:mc="http://schemas.openxmlformats.org/markup-compatibility/2006">
    <mc:Choice Requires="x15">
      <x15ac:absPath xmlns:x15ac="http://schemas.microsoft.com/office/spreadsheetml/2010/11/ac" url="/Users/francomansilla/Library/CloudStorage/GoogleDrive-franco.andres.mansilla@gmail.com/Mi unidad/universidad de chile/MBA Panamá &amp; DAR/Clase 5/Practica Excel/"/>
    </mc:Choice>
  </mc:AlternateContent>
  <xr:revisionPtr revIDLastSave="0" documentId="13_ncr:1_{4132D1F9-51BC-524B-A7DA-436F0A8A0A9B}" xr6:coauthVersionLast="47" xr6:coauthVersionMax="47" xr10:uidLastSave="{00000000-0000-0000-0000-000000000000}"/>
  <bookViews>
    <workbookView xWindow="-20" yWindow="780" windowWidth="34560" windowHeight="19800" activeTab="3" xr2:uid="{00000000-000D-0000-FFFF-FFFF00000000}"/>
  </bookViews>
  <sheets>
    <sheet name="Datos" sheetId="1" r:id="rId1"/>
    <sheet name="Técnia 1. Promedio Móvil" sheetId="2" r:id="rId2"/>
    <sheet name="Técnica 2. SES" sheetId="3" r:id="rId3"/>
    <sheet name="Técnica 3. Holt-Winter" sheetId="4" r:id="rId4"/>
  </sheets>
  <definedNames>
    <definedName name="solver_adj" localSheetId="2" hidden="1">'Técnica 2. SES'!$I$5</definedName>
    <definedName name="solver_cvg" localSheetId="2" hidden="1">0.0001</definedName>
    <definedName name="solver_drv" localSheetId="2" hidden="1">1</definedName>
    <definedName name="solver_eng" localSheetId="2" hidden="1">1</definedName>
    <definedName name="solver_itr" localSheetId="2" hidden="1">2147483647</definedName>
    <definedName name="solver_lhs1" localSheetId="2" hidden="1">'Técnica 2. SES'!$I$5</definedName>
    <definedName name="solver_lhs2" localSheetId="2" hidden="1">'Técnica 2. SES'!$I$5</definedName>
    <definedName name="solver_lin" localSheetId="2" hidden="1">2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2</definedName>
    <definedName name="solver_opt" localSheetId="2" hidden="1">'Técnica 2. SES'!$I$8</definedName>
    <definedName name="solver_pre" localSheetId="2" hidden="1">0.000001</definedName>
    <definedName name="solver_rbv" localSheetId="2" hidden="1">1</definedName>
    <definedName name="solver_rel1" localSheetId="2" hidden="1">1</definedName>
    <definedName name="solver_rel2" localSheetId="2" hidden="1">3</definedName>
    <definedName name="solver_rhs1" localSheetId="2" hidden="1">1</definedName>
    <definedName name="solver_rhs2" localSheetId="2" hidden="1">0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2</definedName>
    <definedName name="solver_val" localSheetId="2" hidden="1">0</definedName>
    <definedName name="solver_ver" localSheetId="2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4" i="4" l="1"/>
  <c r="F14" i="4" s="1"/>
  <c r="G14" i="4"/>
  <c r="D13" i="4"/>
  <c r="F13" i="4" s="1"/>
  <c r="F11" i="4"/>
  <c r="F10" i="4"/>
  <c r="F9" i="4"/>
  <c r="F8" i="4"/>
  <c r="F7" i="4"/>
  <c r="F6" i="4"/>
  <c r="F5" i="4"/>
  <c r="F3" i="4"/>
  <c r="L13" i="4"/>
  <c r="L12" i="4"/>
  <c r="F3" i="3"/>
  <c r="E3" i="3"/>
  <c r="D4" i="3"/>
  <c r="D5" i="3" s="1"/>
  <c r="D3" i="3"/>
  <c r="I12" i="3"/>
  <c r="I13" i="3"/>
  <c r="L13" i="2"/>
  <c r="L12" i="2"/>
  <c r="J13" i="2"/>
  <c r="J12" i="2"/>
  <c r="J9" i="2"/>
  <c r="J8" i="2"/>
  <c r="D276" i="2"/>
  <c r="D273" i="2"/>
  <c r="E274" i="2" s="1"/>
  <c r="D272" i="2"/>
  <c r="D271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F272" i="2" s="1"/>
  <c r="G272" i="2" s="1"/>
  <c r="E273" i="2"/>
  <c r="F273" i="2" s="1"/>
  <c r="G273" i="2" s="1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G14" i="2"/>
  <c r="F14" i="2"/>
  <c r="E14" i="2"/>
  <c r="D13" i="2"/>
  <c r="E14" i="4" l="1"/>
  <c r="F2" i="4"/>
  <c r="F12" i="4"/>
  <c r="F4" i="4"/>
  <c r="L8" i="4"/>
  <c r="N12" i="4" s="1"/>
  <c r="E5" i="3"/>
  <c r="F5" i="3" s="1"/>
  <c r="D6" i="3"/>
  <c r="E6" i="3" s="1"/>
  <c r="F6" i="3" s="1"/>
  <c r="E4" i="3"/>
  <c r="F4" i="3" s="1"/>
  <c r="D7" i="3"/>
  <c r="D274" i="2"/>
  <c r="E275" i="2" s="1"/>
  <c r="F275" i="2" s="1"/>
  <c r="G275" i="2" s="1"/>
  <c r="F274" i="2"/>
  <c r="G274" i="2" s="1"/>
  <c r="E7" i="3" l="1"/>
  <c r="F7" i="3" s="1"/>
  <c r="D8" i="3"/>
  <c r="D275" i="2"/>
  <c r="E276" i="2" s="1"/>
  <c r="F276" i="2" s="1"/>
  <c r="G276" i="2" s="1"/>
  <c r="E8" i="3" l="1"/>
  <c r="F8" i="3" s="1"/>
  <c r="D9" i="3"/>
  <c r="L9" i="4" l="1"/>
  <c r="N13" i="4" s="1"/>
  <c r="E9" i="3"/>
  <c r="F9" i="3" s="1"/>
  <c r="D10" i="3"/>
  <c r="E10" i="3" l="1"/>
  <c r="F10" i="3" s="1"/>
  <c r="D11" i="3"/>
  <c r="D12" i="3" l="1"/>
  <c r="E11" i="3"/>
  <c r="F11" i="3" s="1"/>
  <c r="E12" i="3" l="1"/>
  <c r="F12" i="3" s="1"/>
  <c r="D13" i="3"/>
  <c r="E13" i="3" l="1"/>
  <c r="F13" i="3" s="1"/>
  <c r="D14" i="3"/>
  <c r="D15" i="3" l="1"/>
  <c r="E14" i="3"/>
  <c r="F14" i="3" s="1"/>
  <c r="E15" i="3" l="1"/>
  <c r="F15" i="3" s="1"/>
  <c r="D16" i="3"/>
  <c r="E16" i="3" l="1"/>
  <c r="F16" i="3" s="1"/>
  <c r="D17" i="3"/>
  <c r="E17" i="3" l="1"/>
  <c r="F17" i="3" s="1"/>
  <c r="D18" i="3"/>
  <c r="E18" i="3" l="1"/>
  <c r="F18" i="3" s="1"/>
  <c r="D19" i="3"/>
  <c r="E19" i="3" l="1"/>
  <c r="F19" i="3" s="1"/>
  <c r="D20" i="3"/>
  <c r="E20" i="3" l="1"/>
  <c r="F20" i="3" s="1"/>
  <c r="D21" i="3"/>
  <c r="D22" i="3" l="1"/>
  <c r="E21" i="3"/>
  <c r="F21" i="3" s="1"/>
  <c r="E22" i="3" l="1"/>
  <c r="F22" i="3" s="1"/>
  <c r="D23" i="3"/>
  <c r="E23" i="3" l="1"/>
  <c r="F23" i="3" s="1"/>
  <c r="D24" i="3"/>
  <c r="D25" i="3" l="1"/>
  <c r="E24" i="3"/>
  <c r="F24" i="3" s="1"/>
  <c r="E25" i="3" l="1"/>
  <c r="F25" i="3" s="1"/>
  <c r="D26" i="3"/>
  <c r="E26" i="3" l="1"/>
  <c r="F26" i="3" s="1"/>
  <c r="D27" i="3"/>
  <c r="E27" i="3" l="1"/>
  <c r="F27" i="3" s="1"/>
  <c r="D28" i="3"/>
  <c r="E28" i="3" l="1"/>
  <c r="F28" i="3" s="1"/>
  <c r="D29" i="3"/>
  <c r="E29" i="3" l="1"/>
  <c r="F29" i="3" s="1"/>
  <c r="D30" i="3"/>
  <c r="E30" i="3" l="1"/>
  <c r="F30" i="3" s="1"/>
  <c r="D31" i="3"/>
  <c r="D32" i="3" l="1"/>
  <c r="E31" i="3"/>
  <c r="F31" i="3" s="1"/>
  <c r="E32" i="3" l="1"/>
  <c r="F32" i="3" s="1"/>
  <c r="D33" i="3"/>
  <c r="E33" i="3" l="1"/>
  <c r="F33" i="3" s="1"/>
  <c r="D34" i="3"/>
  <c r="D35" i="3" l="1"/>
  <c r="E34" i="3"/>
  <c r="F34" i="3" s="1"/>
  <c r="E35" i="3" l="1"/>
  <c r="F35" i="3" s="1"/>
  <c r="D36" i="3"/>
  <c r="E36" i="3" l="1"/>
  <c r="F36" i="3" s="1"/>
  <c r="D37" i="3"/>
  <c r="E37" i="3" l="1"/>
  <c r="F37" i="3" s="1"/>
  <c r="D38" i="3"/>
  <c r="E38" i="3" l="1"/>
  <c r="F38" i="3" s="1"/>
  <c r="D39" i="3"/>
  <c r="E39" i="3" l="1"/>
  <c r="F39" i="3" s="1"/>
  <c r="D40" i="3"/>
  <c r="E40" i="3" l="1"/>
  <c r="F40" i="3" s="1"/>
  <c r="D41" i="3"/>
  <c r="D42" i="3" l="1"/>
  <c r="E41" i="3"/>
  <c r="F41" i="3" s="1"/>
  <c r="E42" i="3" l="1"/>
  <c r="F42" i="3" s="1"/>
  <c r="D43" i="3"/>
  <c r="E43" i="3" l="1"/>
  <c r="F43" i="3" s="1"/>
  <c r="D44" i="3"/>
  <c r="D45" i="3" l="1"/>
  <c r="E44" i="3"/>
  <c r="F44" i="3" s="1"/>
  <c r="E45" i="3" l="1"/>
  <c r="F45" i="3" s="1"/>
  <c r="D46" i="3"/>
  <c r="E46" i="3" l="1"/>
  <c r="F46" i="3" s="1"/>
  <c r="D47" i="3"/>
  <c r="E47" i="3" l="1"/>
  <c r="F47" i="3" s="1"/>
  <c r="D48" i="3"/>
  <c r="E48" i="3" l="1"/>
  <c r="F48" i="3" s="1"/>
  <c r="D49" i="3"/>
  <c r="E49" i="3" l="1"/>
  <c r="F49" i="3" s="1"/>
  <c r="D50" i="3"/>
  <c r="E50" i="3" l="1"/>
  <c r="F50" i="3" s="1"/>
  <c r="D51" i="3"/>
  <c r="D52" i="3" l="1"/>
  <c r="E51" i="3"/>
  <c r="F51" i="3" s="1"/>
  <c r="E52" i="3" l="1"/>
  <c r="F52" i="3" s="1"/>
  <c r="D53" i="3"/>
  <c r="E53" i="3" l="1"/>
  <c r="F53" i="3" s="1"/>
  <c r="D54" i="3"/>
  <c r="D55" i="3" l="1"/>
  <c r="E54" i="3"/>
  <c r="F54" i="3" s="1"/>
  <c r="E55" i="3" l="1"/>
  <c r="F55" i="3" s="1"/>
  <c r="D56" i="3"/>
  <c r="E56" i="3" l="1"/>
  <c r="F56" i="3" s="1"/>
  <c r="D57" i="3"/>
  <c r="E57" i="3" l="1"/>
  <c r="F57" i="3" s="1"/>
  <c r="D58" i="3"/>
  <c r="E58" i="3" l="1"/>
  <c r="F58" i="3" s="1"/>
  <c r="D59" i="3"/>
  <c r="E59" i="3" l="1"/>
  <c r="F59" i="3" s="1"/>
  <c r="D60" i="3"/>
  <c r="E60" i="3" l="1"/>
  <c r="F60" i="3" s="1"/>
  <c r="D61" i="3"/>
  <c r="D62" i="3" l="1"/>
  <c r="E61" i="3"/>
  <c r="F61" i="3" s="1"/>
  <c r="E62" i="3" l="1"/>
  <c r="F62" i="3" s="1"/>
  <c r="D63" i="3"/>
  <c r="E63" i="3" l="1"/>
  <c r="F63" i="3" s="1"/>
  <c r="D64" i="3"/>
  <c r="D65" i="3" l="1"/>
  <c r="E64" i="3"/>
  <c r="F64" i="3" s="1"/>
  <c r="E65" i="3" l="1"/>
  <c r="F65" i="3" s="1"/>
  <c r="D66" i="3"/>
  <c r="E66" i="3" l="1"/>
  <c r="F66" i="3" s="1"/>
  <c r="D67" i="3"/>
  <c r="E67" i="3" l="1"/>
  <c r="F67" i="3" s="1"/>
  <c r="D68" i="3"/>
  <c r="E68" i="3" l="1"/>
  <c r="F68" i="3" s="1"/>
  <c r="D69" i="3"/>
  <c r="E69" i="3" l="1"/>
  <c r="F69" i="3" s="1"/>
  <c r="D70" i="3"/>
  <c r="E70" i="3" l="1"/>
  <c r="F70" i="3" s="1"/>
  <c r="D71" i="3"/>
  <c r="D72" i="3" l="1"/>
  <c r="E71" i="3"/>
  <c r="F71" i="3" s="1"/>
  <c r="E72" i="3" l="1"/>
  <c r="F72" i="3" s="1"/>
  <c r="D73" i="3"/>
  <c r="E73" i="3" l="1"/>
  <c r="F73" i="3" s="1"/>
  <c r="D74" i="3"/>
  <c r="D75" i="3" l="1"/>
  <c r="E74" i="3"/>
  <c r="F74" i="3" s="1"/>
  <c r="E75" i="3" l="1"/>
  <c r="F75" i="3" s="1"/>
  <c r="D76" i="3"/>
  <c r="E76" i="3" l="1"/>
  <c r="F76" i="3" s="1"/>
  <c r="D77" i="3"/>
  <c r="E77" i="3" l="1"/>
  <c r="F77" i="3" s="1"/>
  <c r="D78" i="3"/>
  <c r="E78" i="3" l="1"/>
  <c r="F78" i="3" s="1"/>
  <c r="D79" i="3"/>
  <c r="E79" i="3" l="1"/>
  <c r="F79" i="3" s="1"/>
  <c r="D80" i="3"/>
  <c r="E80" i="3" l="1"/>
  <c r="F80" i="3" s="1"/>
  <c r="D81" i="3"/>
  <c r="D82" i="3" l="1"/>
  <c r="E81" i="3"/>
  <c r="F81" i="3" s="1"/>
  <c r="E82" i="3" l="1"/>
  <c r="F82" i="3" s="1"/>
  <c r="D83" i="3"/>
  <c r="E83" i="3" l="1"/>
  <c r="F83" i="3" s="1"/>
  <c r="D84" i="3"/>
  <c r="D85" i="3" l="1"/>
  <c r="E84" i="3"/>
  <c r="F84" i="3" s="1"/>
  <c r="E85" i="3" l="1"/>
  <c r="F85" i="3" s="1"/>
  <c r="D86" i="3"/>
  <c r="E86" i="3" l="1"/>
  <c r="F86" i="3" s="1"/>
  <c r="D87" i="3"/>
  <c r="E87" i="3" l="1"/>
  <c r="F87" i="3" s="1"/>
  <c r="D88" i="3"/>
  <c r="E88" i="3" l="1"/>
  <c r="F88" i="3" s="1"/>
  <c r="D89" i="3"/>
  <c r="D90" i="3" l="1"/>
  <c r="E89" i="3"/>
  <c r="F89" i="3" s="1"/>
  <c r="E90" i="3" l="1"/>
  <c r="F90" i="3" s="1"/>
  <c r="D91" i="3"/>
  <c r="D92" i="3" l="1"/>
  <c r="E91" i="3"/>
  <c r="F91" i="3" s="1"/>
  <c r="E92" i="3" l="1"/>
  <c r="F92" i="3" s="1"/>
  <c r="D93" i="3"/>
  <c r="D94" i="3" l="1"/>
  <c r="E93" i="3"/>
  <c r="F93" i="3" s="1"/>
  <c r="D95" i="3" l="1"/>
  <c r="E94" i="3"/>
  <c r="F94" i="3" s="1"/>
  <c r="E95" i="3" l="1"/>
  <c r="F95" i="3" s="1"/>
  <c r="D96" i="3"/>
  <c r="D97" i="3" l="1"/>
  <c r="E96" i="3"/>
  <c r="F96" i="3" s="1"/>
  <c r="E97" i="3" l="1"/>
  <c r="F97" i="3" s="1"/>
  <c r="D98" i="3"/>
  <c r="E98" i="3" l="1"/>
  <c r="F98" i="3" s="1"/>
  <c r="D99" i="3"/>
  <c r="E99" i="3" l="1"/>
  <c r="F99" i="3" s="1"/>
  <c r="D100" i="3"/>
  <c r="E100" i="3" l="1"/>
  <c r="F100" i="3" s="1"/>
  <c r="D101" i="3"/>
  <c r="D102" i="3" l="1"/>
  <c r="E101" i="3"/>
  <c r="F101" i="3" s="1"/>
  <c r="E102" i="3" l="1"/>
  <c r="F102" i="3" s="1"/>
  <c r="D103" i="3"/>
  <c r="D104" i="3" l="1"/>
  <c r="E103" i="3"/>
  <c r="F103" i="3" s="1"/>
  <c r="D105" i="3" l="1"/>
  <c r="E104" i="3"/>
  <c r="F104" i="3" s="1"/>
  <c r="E105" i="3" l="1"/>
  <c r="F105" i="3" s="1"/>
  <c r="D106" i="3"/>
  <c r="D107" i="3" l="1"/>
  <c r="E106" i="3"/>
  <c r="F106" i="3" s="1"/>
  <c r="E107" i="3" l="1"/>
  <c r="F107" i="3" s="1"/>
  <c r="D108" i="3"/>
  <c r="E108" i="3" l="1"/>
  <c r="F108" i="3" s="1"/>
  <c r="D109" i="3"/>
  <c r="E109" i="3" l="1"/>
  <c r="F109" i="3" s="1"/>
  <c r="D110" i="3"/>
  <c r="E110" i="3" l="1"/>
  <c r="F110" i="3" s="1"/>
  <c r="D111" i="3"/>
  <c r="D112" i="3" l="1"/>
  <c r="E111" i="3"/>
  <c r="F111" i="3" s="1"/>
  <c r="E112" i="3" l="1"/>
  <c r="F112" i="3" s="1"/>
  <c r="D113" i="3"/>
  <c r="D114" i="3" l="1"/>
  <c r="E113" i="3"/>
  <c r="F113" i="3" s="1"/>
  <c r="D115" i="3" l="1"/>
  <c r="E114" i="3"/>
  <c r="F114" i="3" s="1"/>
  <c r="E115" i="3" l="1"/>
  <c r="F115" i="3" s="1"/>
  <c r="D116" i="3"/>
  <c r="D117" i="3" l="1"/>
  <c r="E116" i="3"/>
  <c r="F116" i="3" s="1"/>
  <c r="E117" i="3" l="1"/>
  <c r="F117" i="3" s="1"/>
  <c r="D118" i="3"/>
  <c r="E118" i="3" l="1"/>
  <c r="F118" i="3" s="1"/>
  <c r="D119" i="3"/>
  <c r="D120" i="3" l="1"/>
  <c r="E119" i="3"/>
  <c r="F119" i="3" s="1"/>
  <c r="E120" i="3" l="1"/>
  <c r="F120" i="3" s="1"/>
  <c r="D121" i="3"/>
  <c r="D122" i="3" l="1"/>
  <c r="E121" i="3"/>
  <c r="F121" i="3" s="1"/>
  <c r="E122" i="3" l="1"/>
  <c r="F122" i="3" s="1"/>
  <c r="D123" i="3"/>
  <c r="D124" i="3" l="1"/>
  <c r="E123" i="3"/>
  <c r="F123" i="3" s="1"/>
  <c r="D125" i="3" l="1"/>
  <c r="E124" i="3"/>
  <c r="F124" i="3" s="1"/>
  <c r="E125" i="3" l="1"/>
  <c r="F125" i="3" s="1"/>
  <c r="D126" i="3"/>
  <c r="D127" i="3" l="1"/>
  <c r="E126" i="3"/>
  <c r="F126" i="3" s="1"/>
  <c r="E127" i="3" l="1"/>
  <c r="F127" i="3" s="1"/>
  <c r="D128" i="3"/>
  <c r="E128" i="3" l="1"/>
  <c r="F128" i="3" s="1"/>
  <c r="D129" i="3"/>
  <c r="E129" i="3" l="1"/>
  <c r="F129" i="3" s="1"/>
  <c r="D130" i="3"/>
  <c r="E130" i="3" l="1"/>
  <c r="F130" i="3" s="1"/>
  <c r="D131" i="3"/>
  <c r="D132" i="3" l="1"/>
  <c r="E131" i="3"/>
  <c r="F131" i="3" s="1"/>
  <c r="E132" i="3" l="1"/>
  <c r="F132" i="3" s="1"/>
  <c r="D133" i="3"/>
  <c r="D134" i="3" l="1"/>
  <c r="E133" i="3"/>
  <c r="F133" i="3" s="1"/>
  <c r="D135" i="3" l="1"/>
  <c r="E134" i="3"/>
  <c r="F134" i="3" s="1"/>
  <c r="E135" i="3" l="1"/>
  <c r="F135" i="3" s="1"/>
  <c r="D136" i="3"/>
  <c r="D137" i="3" l="1"/>
  <c r="E136" i="3"/>
  <c r="F136" i="3" s="1"/>
  <c r="E137" i="3" l="1"/>
  <c r="F137" i="3" s="1"/>
  <c r="D138" i="3"/>
  <c r="E138" i="3" l="1"/>
  <c r="F138" i="3" s="1"/>
  <c r="D139" i="3"/>
  <c r="E139" i="3" l="1"/>
  <c r="F139" i="3" s="1"/>
  <c r="D140" i="3"/>
  <c r="E140" i="3" l="1"/>
  <c r="F140" i="3" s="1"/>
  <c r="D141" i="3"/>
  <c r="D142" i="3" l="1"/>
  <c r="E141" i="3"/>
  <c r="F141" i="3" s="1"/>
  <c r="D143" i="3" l="1"/>
  <c r="E142" i="3"/>
  <c r="F142" i="3" s="1"/>
  <c r="D144" i="3" l="1"/>
  <c r="E143" i="3"/>
  <c r="F143" i="3" s="1"/>
  <c r="D145" i="3" l="1"/>
  <c r="E144" i="3"/>
  <c r="F144" i="3" s="1"/>
  <c r="E145" i="3" l="1"/>
  <c r="F145" i="3" s="1"/>
  <c r="D146" i="3"/>
  <c r="D147" i="3" l="1"/>
  <c r="E146" i="3"/>
  <c r="F146" i="3" s="1"/>
  <c r="E147" i="3" l="1"/>
  <c r="F147" i="3" s="1"/>
  <c r="D148" i="3"/>
  <c r="E148" i="3" l="1"/>
  <c r="F148" i="3" s="1"/>
  <c r="D149" i="3"/>
  <c r="E149" i="3" l="1"/>
  <c r="F149" i="3" s="1"/>
  <c r="D150" i="3"/>
  <c r="E150" i="3" l="1"/>
  <c r="F150" i="3" s="1"/>
  <c r="D151" i="3"/>
  <c r="D152" i="3" l="1"/>
  <c r="E151" i="3"/>
  <c r="F151" i="3" s="1"/>
  <c r="E152" i="3" l="1"/>
  <c r="F152" i="3" s="1"/>
  <c r="D153" i="3"/>
  <c r="D154" i="3" l="1"/>
  <c r="E153" i="3"/>
  <c r="F153" i="3" s="1"/>
  <c r="D155" i="3" l="1"/>
  <c r="E154" i="3"/>
  <c r="F154" i="3" s="1"/>
  <c r="E155" i="3" l="1"/>
  <c r="F155" i="3" s="1"/>
  <c r="D156" i="3"/>
  <c r="D157" i="3" l="1"/>
  <c r="E156" i="3"/>
  <c r="F156" i="3" s="1"/>
  <c r="E157" i="3" l="1"/>
  <c r="F157" i="3" s="1"/>
  <c r="D158" i="3"/>
  <c r="E158" i="3" l="1"/>
  <c r="F158" i="3" s="1"/>
  <c r="D159" i="3"/>
  <c r="E159" i="3" l="1"/>
  <c r="F159" i="3" s="1"/>
  <c r="D160" i="3"/>
  <c r="E160" i="3" l="1"/>
  <c r="F160" i="3" s="1"/>
  <c r="D161" i="3"/>
  <c r="D162" i="3" l="1"/>
  <c r="E161" i="3"/>
  <c r="F161" i="3" s="1"/>
  <c r="E162" i="3" l="1"/>
  <c r="F162" i="3" s="1"/>
  <c r="D163" i="3"/>
  <c r="D164" i="3" l="1"/>
  <c r="E163" i="3"/>
  <c r="F163" i="3" s="1"/>
  <c r="D165" i="3" l="1"/>
  <c r="E164" i="3"/>
  <c r="F164" i="3" s="1"/>
  <c r="E165" i="3" l="1"/>
  <c r="F165" i="3" s="1"/>
  <c r="D166" i="3"/>
  <c r="D167" i="3" l="1"/>
  <c r="E166" i="3"/>
  <c r="F166" i="3" s="1"/>
  <c r="E167" i="3" l="1"/>
  <c r="F167" i="3" s="1"/>
  <c r="D168" i="3"/>
  <c r="E168" i="3" l="1"/>
  <c r="F168" i="3" s="1"/>
  <c r="D169" i="3"/>
  <c r="D170" i="3" l="1"/>
  <c r="E169" i="3"/>
  <c r="F169" i="3" s="1"/>
  <c r="E170" i="3" l="1"/>
  <c r="F170" i="3" s="1"/>
  <c r="D171" i="3"/>
  <c r="D172" i="3" l="1"/>
  <c r="E171" i="3"/>
  <c r="F171" i="3" s="1"/>
  <c r="E172" i="3" l="1"/>
  <c r="F172" i="3" s="1"/>
  <c r="D173" i="3"/>
  <c r="D174" i="3" l="1"/>
  <c r="E173" i="3"/>
  <c r="F173" i="3" s="1"/>
  <c r="D175" i="3" l="1"/>
  <c r="E174" i="3"/>
  <c r="F174" i="3" s="1"/>
  <c r="E175" i="3" l="1"/>
  <c r="F175" i="3" s="1"/>
  <c r="D176" i="3"/>
  <c r="D177" i="3" l="1"/>
  <c r="E176" i="3"/>
  <c r="F176" i="3" s="1"/>
  <c r="E177" i="3" l="1"/>
  <c r="F177" i="3" s="1"/>
  <c r="D178" i="3"/>
  <c r="E178" i="3" l="1"/>
  <c r="F178" i="3" s="1"/>
  <c r="D179" i="3"/>
  <c r="D180" i="3" l="1"/>
  <c r="E179" i="3"/>
  <c r="F179" i="3" s="1"/>
  <c r="E180" i="3" l="1"/>
  <c r="F180" i="3" s="1"/>
  <c r="D181" i="3"/>
  <c r="D182" i="3" l="1"/>
  <c r="E181" i="3"/>
  <c r="F181" i="3" s="1"/>
  <c r="E182" i="3" l="1"/>
  <c r="F182" i="3" s="1"/>
  <c r="D183" i="3"/>
  <c r="D184" i="3" l="1"/>
  <c r="E183" i="3"/>
  <c r="F183" i="3" s="1"/>
  <c r="D185" i="3" l="1"/>
  <c r="E184" i="3"/>
  <c r="F184" i="3" s="1"/>
  <c r="E185" i="3" l="1"/>
  <c r="F185" i="3" s="1"/>
  <c r="D186" i="3"/>
  <c r="D187" i="3" l="1"/>
  <c r="E186" i="3"/>
  <c r="F186" i="3" s="1"/>
  <c r="E187" i="3" l="1"/>
  <c r="F187" i="3" s="1"/>
  <c r="D188" i="3"/>
  <c r="E188" i="3" l="1"/>
  <c r="F188" i="3" s="1"/>
  <c r="D189" i="3"/>
  <c r="E189" i="3" l="1"/>
  <c r="F189" i="3" s="1"/>
  <c r="D190" i="3"/>
  <c r="E190" i="3" l="1"/>
  <c r="F190" i="3" s="1"/>
  <c r="D191" i="3"/>
  <c r="D192" i="3" l="1"/>
  <c r="E191" i="3"/>
  <c r="F191" i="3" s="1"/>
  <c r="D193" i="3" l="1"/>
  <c r="E192" i="3"/>
  <c r="F192" i="3" s="1"/>
  <c r="D194" i="3" l="1"/>
  <c r="E193" i="3"/>
  <c r="F193" i="3" s="1"/>
  <c r="D195" i="3" l="1"/>
  <c r="E194" i="3"/>
  <c r="F194" i="3" s="1"/>
  <c r="E195" i="3" l="1"/>
  <c r="F195" i="3" s="1"/>
  <c r="D196" i="3"/>
  <c r="D197" i="3" l="1"/>
  <c r="E196" i="3"/>
  <c r="F196" i="3" s="1"/>
  <c r="E197" i="3" l="1"/>
  <c r="F197" i="3" s="1"/>
  <c r="D198" i="3"/>
  <c r="E198" i="3" l="1"/>
  <c r="F198" i="3" s="1"/>
  <c r="D199" i="3"/>
  <c r="E199" i="3" l="1"/>
  <c r="F199" i="3" s="1"/>
  <c r="D200" i="3"/>
  <c r="E200" i="3" l="1"/>
  <c r="F200" i="3" s="1"/>
  <c r="D201" i="3"/>
  <c r="D202" i="3" l="1"/>
  <c r="E201" i="3"/>
  <c r="F201" i="3" s="1"/>
  <c r="E202" i="3" l="1"/>
  <c r="F202" i="3" s="1"/>
  <c r="D203" i="3"/>
  <c r="D204" i="3" l="1"/>
  <c r="E203" i="3"/>
  <c r="F203" i="3" s="1"/>
  <c r="D205" i="3" l="1"/>
  <c r="E204" i="3"/>
  <c r="F204" i="3" s="1"/>
  <c r="E205" i="3" l="1"/>
  <c r="F205" i="3" s="1"/>
  <c r="D206" i="3"/>
  <c r="D207" i="3" l="1"/>
  <c r="E206" i="3"/>
  <c r="F206" i="3" s="1"/>
  <c r="E207" i="3" l="1"/>
  <c r="F207" i="3" s="1"/>
  <c r="D208" i="3"/>
  <c r="E208" i="3" l="1"/>
  <c r="F208" i="3" s="1"/>
  <c r="D209" i="3"/>
  <c r="E209" i="3" l="1"/>
  <c r="F209" i="3" s="1"/>
  <c r="D210" i="3"/>
  <c r="E210" i="3" l="1"/>
  <c r="F210" i="3" s="1"/>
  <c r="D211" i="3"/>
  <c r="D212" i="3" l="1"/>
  <c r="E211" i="3"/>
  <c r="F211" i="3" s="1"/>
  <c r="E212" i="3" l="1"/>
  <c r="F212" i="3" s="1"/>
  <c r="D213" i="3"/>
  <c r="D214" i="3" l="1"/>
  <c r="E213" i="3"/>
  <c r="F213" i="3" s="1"/>
  <c r="D215" i="3" l="1"/>
  <c r="E214" i="3"/>
  <c r="F214" i="3" s="1"/>
  <c r="E215" i="3" l="1"/>
  <c r="F215" i="3" s="1"/>
  <c r="D216" i="3"/>
  <c r="D217" i="3" l="1"/>
  <c r="E216" i="3"/>
  <c r="F216" i="3" s="1"/>
  <c r="E217" i="3" l="1"/>
  <c r="F217" i="3" s="1"/>
  <c r="D218" i="3"/>
  <c r="E218" i="3" l="1"/>
  <c r="F218" i="3" s="1"/>
  <c r="D219" i="3"/>
  <c r="D220" i="3" l="1"/>
  <c r="E219" i="3"/>
  <c r="F219" i="3" s="1"/>
  <c r="E220" i="3" l="1"/>
  <c r="F220" i="3" s="1"/>
  <c r="D221" i="3"/>
  <c r="D222" i="3" l="1"/>
  <c r="E221" i="3"/>
  <c r="F221" i="3" s="1"/>
  <c r="E222" i="3" l="1"/>
  <c r="F222" i="3" s="1"/>
  <c r="D223" i="3"/>
  <c r="D224" i="3" l="1"/>
  <c r="E223" i="3"/>
  <c r="F223" i="3" s="1"/>
  <c r="D225" i="3" l="1"/>
  <c r="E224" i="3"/>
  <c r="F224" i="3" s="1"/>
  <c r="E225" i="3" l="1"/>
  <c r="F225" i="3" s="1"/>
  <c r="D226" i="3"/>
  <c r="D227" i="3" l="1"/>
  <c r="E226" i="3"/>
  <c r="F226" i="3" s="1"/>
  <c r="E227" i="3" l="1"/>
  <c r="F227" i="3" s="1"/>
  <c r="D228" i="3"/>
  <c r="E228" i="3" l="1"/>
  <c r="F228" i="3" s="1"/>
  <c r="D229" i="3"/>
  <c r="D230" i="3" l="1"/>
  <c r="E229" i="3"/>
  <c r="F229" i="3" s="1"/>
  <c r="E230" i="3" l="1"/>
  <c r="F230" i="3" s="1"/>
  <c r="D231" i="3"/>
  <c r="D232" i="3" l="1"/>
  <c r="E231" i="3"/>
  <c r="F231" i="3" s="1"/>
  <c r="E232" i="3" l="1"/>
  <c r="F232" i="3" s="1"/>
  <c r="D233" i="3"/>
  <c r="D234" i="3" l="1"/>
  <c r="E233" i="3"/>
  <c r="F233" i="3" s="1"/>
  <c r="D235" i="3" l="1"/>
  <c r="E234" i="3"/>
  <c r="F234" i="3" s="1"/>
  <c r="E235" i="3" l="1"/>
  <c r="F235" i="3" s="1"/>
  <c r="D236" i="3"/>
  <c r="D237" i="3" l="1"/>
  <c r="E236" i="3"/>
  <c r="F236" i="3" s="1"/>
  <c r="E237" i="3" l="1"/>
  <c r="F237" i="3" s="1"/>
  <c r="D238" i="3"/>
  <c r="E238" i="3" l="1"/>
  <c r="F238" i="3" s="1"/>
  <c r="D239" i="3"/>
  <c r="E239" i="3" l="1"/>
  <c r="F239" i="3" s="1"/>
  <c r="D240" i="3"/>
  <c r="E240" i="3" l="1"/>
  <c r="F240" i="3" s="1"/>
  <c r="D241" i="3"/>
  <c r="D242" i="3" l="1"/>
  <c r="E241" i="3"/>
  <c r="F241" i="3" s="1"/>
  <c r="D243" i="3" l="1"/>
  <c r="E242" i="3"/>
  <c r="F242" i="3" s="1"/>
  <c r="D244" i="3" l="1"/>
  <c r="E243" i="3"/>
  <c r="F243" i="3" s="1"/>
  <c r="D245" i="3" l="1"/>
  <c r="E244" i="3"/>
  <c r="F244" i="3" s="1"/>
  <c r="E245" i="3" l="1"/>
  <c r="F245" i="3" s="1"/>
  <c r="D246" i="3"/>
  <c r="D247" i="3" l="1"/>
  <c r="E246" i="3"/>
  <c r="F246" i="3" s="1"/>
  <c r="E247" i="3" l="1"/>
  <c r="F247" i="3" s="1"/>
  <c r="D248" i="3"/>
  <c r="E248" i="3" l="1"/>
  <c r="F248" i="3" s="1"/>
  <c r="D249" i="3"/>
  <c r="E249" i="3" l="1"/>
  <c r="F249" i="3" s="1"/>
  <c r="D250" i="3"/>
  <c r="E250" i="3" l="1"/>
  <c r="F250" i="3" s="1"/>
  <c r="D251" i="3"/>
  <c r="D252" i="3" l="1"/>
  <c r="E251" i="3"/>
  <c r="F251" i="3" s="1"/>
  <c r="E252" i="3" l="1"/>
  <c r="F252" i="3" s="1"/>
  <c r="D253" i="3"/>
  <c r="D254" i="3" l="1"/>
  <c r="E253" i="3"/>
  <c r="F253" i="3" s="1"/>
  <c r="D255" i="3" l="1"/>
  <c r="E254" i="3"/>
  <c r="F254" i="3" s="1"/>
  <c r="E255" i="3" l="1"/>
  <c r="F255" i="3" s="1"/>
  <c r="D256" i="3"/>
  <c r="D257" i="3" l="1"/>
  <c r="E256" i="3"/>
  <c r="F256" i="3" s="1"/>
  <c r="E257" i="3" l="1"/>
  <c r="F257" i="3" s="1"/>
  <c r="D258" i="3"/>
  <c r="E258" i="3" l="1"/>
  <c r="F258" i="3" s="1"/>
  <c r="D259" i="3"/>
  <c r="E259" i="3" l="1"/>
  <c r="F259" i="3" s="1"/>
  <c r="D260" i="3"/>
  <c r="E260" i="3" l="1"/>
  <c r="F260" i="3" s="1"/>
  <c r="D261" i="3"/>
  <c r="D262" i="3" l="1"/>
  <c r="E261" i="3"/>
  <c r="F261" i="3" s="1"/>
  <c r="E262" i="3" l="1"/>
  <c r="F262" i="3" s="1"/>
  <c r="D263" i="3"/>
  <c r="D264" i="3" l="1"/>
  <c r="E263" i="3"/>
  <c r="F263" i="3" s="1"/>
  <c r="D265" i="3" l="1"/>
  <c r="E264" i="3"/>
  <c r="F264" i="3" s="1"/>
  <c r="E265" i="3" l="1"/>
  <c r="F265" i="3" s="1"/>
  <c r="D266" i="3"/>
  <c r="D267" i="3" l="1"/>
  <c r="E266" i="3"/>
  <c r="F266" i="3" s="1"/>
  <c r="E267" i="3" l="1"/>
  <c r="F267" i="3" s="1"/>
  <c r="D268" i="3"/>
  <c r="E268" i="3" l="1"/>
  <c r="F268" i="3" s="1"/>
  <c r="D269" i="3"/>
  <c r="D270" i="3" l="1"/>
  <c r="D271" i="3" s="1"/>
  <c r="D272" i="3" s="1"/>
  <c r="D273" i="3" s="1"/>
  <c r="D274" i="3" s="1"/>
  <c r="D275" i="3" s="1"/>
  <c r="D276" i="3" s="1"/>
  <c r="E269" i="3"/>
  <c r="F269" i="3" s="1"/>
  <c r="E270" i="3" l="1"/>
  <c r="F270" i="3" s="1"/>
  <c r="E271" i="3" l="1"/>
  <c r="F271" i="3" s="1"/>
  <c r="E272" i="3" l="1"/>
  <c r="F272" i="3" s="1"/>
  <c r="E273" i="3" l="1"/>
  <c r="F273" i="3" s="1"/>
  <c r="E274" i="3" l="1"/>
  <c r="F274" i="3" s="1"/>
  <c r="E275" i="3" l="1"/>
  <c r="F275" i="3" s="1"/>
  <c r="I9" i="3" s="1"/>
  <c r="K13" i="3" s="1"/>
  <c r="E276" i="3"/>
  <c r="F276" i="3" s="1"/>
  <c r="I8" i="3" s="1"/>
  <c r="K12" i="3" s="1"/>
</calcChain>
</file>

<file path=xl/sharedStrings.xml><?xml version="1.0" encoding="utf-8"?>
<sst xmlns="http://schemas.openxmlformats.org/spreadsheetml/2006/main" count="1153" uniqueCount="20">
  <si>
    <t>fecha</t>
  </si>
  <si>
    <t>ventas($USD)</t>
  </si>
  <si>
    <t>Ventana</t>
  </si>
  <si>
    <t>Desarrollo</t>
  </si>
  <si>
    <t>Validación</t>
  </si>
  <si>
    <t>Prom. Móvil 12m</t>
  </si>
  <si>
    <t>Pronóstico</t>
  </si>
  <si>
    <t>Residuo</t>
  </si>
  <si>
    <t>Residuo^2</t>
  </si>
  <si>
    <t>Promedio</t>
  </si>
  <si>
    <t>Error/Promedio</t>
  </si>
  <si>
    <t>RMSE ($USD)</t>
  </si>
  <si>
    <t>alpha</t>
  </si>
  <si>
    <t>Nivel</t>
  </si>
  <si>
    <t xml:space="preserve">Tendencia </t>
  </si>
  <si>
    <t>Estacionalidad</t>
  </si>
  <si>
    <t>Alpha</t>
  </si>
  <si>
    <t>Tendencia</t>
  </si>
  <si>
    <t xml:space="preserve">Beta </t>
  </si>
  <si>
    <t>Gamma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</si>
</sst>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$&quot;* #,##0_-;\-&quot;$&quot;* #,##0_-;_-&quot;$&quot;* &quot;-&quot;_-;_-@_-"/>
    <numFmt numFmtId="165" formatCode="0.0000"/>
    <numFmt numFmtId="166" formatCode="0.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</borders>
  <cellStyleXfs count="4">
    <xf numFmtId="0" fontId="0" fillId="0" borderId="0"/>
    <xf numFmtId="0" fontId="1" fillId="0" borderId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17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3" fontId="3" fillId="0" borderId="1" xfId="1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/>
    <xf numFmtId="42" fontId="2" fillId="0" borderId="1" xfId="2" applyFont="1" applyBorder="1"/>
    <xf numFmtId="10" fontId="2" fillId="0" borderId="1" xfId="3" applyNumberFormat="1" applyFont="1" applyBorder="1" applyAlignment="1">
      <alignment horizontal="center"/>
    </xf>
    <xf numFmtId="0" fontId="2" fillId="0" borderId="1" xfId="0" applyFont="1" applyBorder="1" applyAlignment="1"/>
    <xf numFmtId="17" fontId="2" fillId="3" borderId="1" xfId="0" applyNumberFormat="1" applyFont="1" applyFill="1" applyBorder="1" applyAlignment="1">
      <alignment horizontal="center" vertical="center"/>
    </xf>
    <xf numFmtId="9" fontId="2" fillId="0" borderId="1" xfId="3" applyFont="1" applyBorder="1"/>
    <xf numFmtId="165" fontId="2" fillId="0" borderId="1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/>
  </cellXfs>
  <cellStyles count="4">
    <cellStyle name="Moneda [0]" xfId="2" builtinId="7"/>
    <cellStyle name="Normal" xfId="0" builtinId="0"/>
    <cellStyle name="Normal 6" xfId="1" xr:uid="{00000000-0005-0000-0000-000001000000}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Datos!$B$1</c:f>
              <c:strCache>
                <c:ptCount val="1"/>
                <c:pt idx="0">
                  <c:v>ventas($USD)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Datos!$A$2:$A$276</c:f>
              <c:numCache>
                <c:formatCode>mmm\-yy</c:formatCode>
                <c:ptCount val="275"/>
                <c:pt idx="0">
                  <c:v>36739</c:v>
                </c:pt>
                <c:pt idx="1">
                  <c:v>36770</c:v>
                </c:pt>
                <c:pt idx="2">
                  <c:v>36800</c:v>
                </c:pt>
                <c:pt idx="3">
                  <c:v>36831</c:v>
                </c:pt>
                <c:pt idx="4">
                  <c:v>36861</c:v>
                </c:pt>
                <c:pt idx="5">
                  <c:v>36892</c:v>
                </c:pt>
                <c:pt idx="6">
                  <c:v>36923</c:v>
                </c:pt>
                <c:pt idx="7">
                  <c:v>36951</c:v>
                </c:pt>
                <c:pt idx="8">
                  <c:v>36982</c:v>
                </c:pt>
                <c:pt idx="9">
                  <c:v>37012</c:v>
                </c:pt>
                <c:pt idx="10">
                  <c:v>37043</c:v>
                </c:pt>
                <c:pt idx="11">
                  <c:v>37073</c:v>
                </c:pt>
                <c:pt idx="12">
                  <c:v>37104</c:v>
                </c:pt>
                <c:pt idx="13">
                  <c:v>37135</c:v>
                </c:pt>
                <c:pt idx="14">
                  <c:v>37165</c:v>
                </c:pt>
                <c:pt idx="15">
                  <c:v>37196</c:v>
                </c:pt>
                <c:pt idx="16">
                  <c:v>37226</c:v>
                </c:pt>
                <c:pt idx="17">
                  <c:v>37257</c:v>
                </c:pt>
                <c:pt idx="18">
                  <c:v>37288</c:v>
                </c:pt>
                <c:pt idx="19">
                  <c:v>37316</c:v>
                </c:pt>
                <c:pt idx="20">
                  <c:v>37347</c:v>
                </c:pt>
                <c:pt idx="21">
                  <c:v>37377</c:v>
                </c:pt>
                <c:pt idx="22">
                  <c:v>37408</c:v>
                </c:pt>
                <c:pt idx="23">
                  <c:v>37438</c:v>
                </c:pt>
                <c:pt idx="24">
                  <c:v>37469</c:v>
                </c:pt>
                <c:pt idx="25">
                  <c:v>37500</c:v>
                </c:pt>
                <c:pt idx="26">
                  <c:v>37530</c:v>
                </c:pt>
                <c:pt idx="27">
                  <c:v>37561</c:v>
                </c:pt>
                <c:pt idx="28">
                  <c:v>37591</c:v>
                </c:pt>
                <c:pt idx="29">
                  <c:v>37622</c:v>
                </c:pt>
                <c:pt idx="30">
                  <c:v>37653</c:v>
                </c:pt>
                <c:pt idx="31">
                  <c:v>37681</c:v>
                </c:pt>
                <c:pt idx="32">
                  <c:v>37712</c:v>
                </c:pt>
                <c:pt idx="33">
                  <c:v>37742</c:v>
                </c:pt>
                <c:pt idx="34">
                  <c:v>37773</c:v>
                </c:pt>
                <c:pt idx="35">
                  <c:v>37803</c:v>
                </c:pt>
                <c:pt idx="36">
                  <c:v>37834</c:v>
                </c:pt>
                <c:pt idx="37">
                  <c:v>37865</c:v>
                </c:pt>
                <c:pt idx="38">
                  <c:v>37895</c:v>
                </c:pt>
                <c:pt idx="39">
                  <c:v>37926</c:v>
                </c:pt>
                <c:pt idx="40">
                  <c:v>37956</c:v>
                </c:pt>
                <c:pt idx="41">
                  <c:v>37987</c:v>
                </c:pt>
                <c:pt idx="42">
                  <c:v>38018</c:v>
                </c:pt>
                <c:pt idx="43">
                  <c:v>38047</c:v>
                </c:pt>
                <c:pt idx="44">
                  <c:v>38078</c:v>
                </c:pt>
                <c:pt idx="45">
                  <c:v>38108</c:v>
                </c:pt>
                <c:pt idx="46">
                  <c:v>38139</c:v>
                </c:pt>
                <c:pt idx="47">
                  <c:v>38169</c:v>
                </c:pt>
                <c:pt idx="48">
                  <c:v>38200</c:v>
                </c:pt>
                <c:pt idx="49">
                  <c:v>38231</c:v>
                </c:pt>
                <c:pt idx="50">
                  <c:v>38261</c:v>
                </c:pt>
                <c:pt idx="51">
                  <c:v>38292</c:v>
                </c:pt>
                <c:pt idx="52">
                  <c:v>38322</c:v>
                </c:pt>
                <c:pt idx="53">
                  <c:v>38353</c:v>
                </c:pt>
                <c:pt idx="54">
                  <c:v>38384</c:v>
                </c:pt>
                <c:pt idx="55">
                  <c:v>38412</c:v>
                </c:pt>
                <c:pt idx="56">
                  <c:v>38443</c:v>
                </c:pt>
                <c:pt idx="57">
                  <c:v>38473</c:v>
                </c:pt>
                <c:pt idx="58">
                  <c:v>38504</c:v>
                </c:pt>
                <c:pt idx="59">
                  <c:v>38534</c:v>
                </c:pt>
                <c:pt idx="60">
                  <c:v>38565</c:v>
                </c:pt>
                <c:pt idx="61">
                  <c:v>38596</c:v>
                </c:pt>
                <c:pt idx="62">
                  <c:v>38626</c:v>
                </c:pt>
                <c:pt idx="63">
                  <c:v>38657</c:v>
                </c:pt>
                <c:pt idx="64">
                  <c:v>38687</c:v>
                </c:pt>
                <c:pt idx="65">
                  <c:v>38718</c:v>
                </c:pt>
                <c:pt idx="66">
                  <c:v>38749</c:v>
                </c:pt>
                <c:pt idx="67">
                  <c:v>38777</c:v>
                </c:pt>
                <c:pt idx="68">
                  <c:v>38808</c:v>
                </c:pt>
                <c:pt idx="69">
                  <c:v>38838</c:v>
                </c:pt>
                <c:pt idx="70">
                  <c:v>38869</c:v>
                </c:pt>
                <c:pt idx="71">
                  <c:v>38899</c:v>
                </c:pt>
                <c:pt idx="72">
                  <c:v>38930</c:v>
                </c:pt>
                <c:pt idx="73">
                  <c:v>38961</c:v>
                </c:pt>
                <c:pt idx="74">
                  <c:v>38991</c:v>
                </c:pt>
                <c:pt idx="75">
                  <c:v>39022</c:v>
                </c:pt>
                <c:pt idx="76">
                  <c:v>39052</c:v>
                </c:pt>
                <c:pt idx="77">
                  <c:v>39083</c:v>
                </c:pt>
                <c:pt idx="78">
                  <c:v>39114</c:v>
                </c:pt>
                <c:pt idx="79">
                  <c:v>39142</c:v>
                </c:pt>
                <c:pt idx="80">
                  <c:v>39173</c:v>
                </c:pt>
                <c:pt idx="81">
                  <c:v>39203</c:v>
                </c:pt>
                <c:pt idx="82">
                  <c:v>39234</c:v>
                </c:pt>
                <c:pt idx="83">
                  <c:v>39264</c:v>
                </c:pt>
                <c:pt idx="84">
                  <c:v>39295</c:v>
                </c:pt>
                <c:pt idx="85">
                  <c:v>39326</c:v>
                </c:pt>
                <c:pt idx="86">
                  <c:v>39356</c:v>
                </c:pt>
                <c:pt idx="87">
                  <c:v>39387</c:v>
                </c:pt>
                <c:pt idx="88">
                  <c:v>39417</c:v>
                </c:pt>
                <c:pt idx="89">
                  <c:v>39448</c:v>
                </c:pt>
                <c:pt idx="90">
                  <c:v>39479</c:v>
                </c:pt>
                <c:pt idx="91">
                  <c:v>39508</c:v>
                </c:pt>
                <c:pt idx="92">
                  <c:v>39539</c:v>
                </c:pt>
                <c:pt idx="93">
                  <c:v>39569</c:v>
                </c:pt>
                <c:pt idx="94">
                  <c:v>39600</c:v>
                </c:pt>
                <c:pt idx="95">
                  <c:v>39630</c:v>
                </c:pt>
                <c:pt idx="96">
                  <c:v>39661</c:v>
                </c:pt>
                <c:pt idx="97">
                  <c:v>39692</c:v>
                </c:pt>
                <c:pt idx="98">
                  <c:v>39722</c:v>
                </c:pt>
                <c:pt idx="99">
                  <c:v>39753</c:v>
                </c:pt>
                <c:pt idx="100">
                  <c:v>39783</c:v>
                </c:pt>
                <c:pt idx="101">
                  <c:v>39814</c:v>
                </c:pt>
                <c:pt idx="102">
                  <c:v>39845</c:v>
                </c:pt>
                <c:pt idx="103">
                  <c:v>39873</c:v>
                </c:pt>
                <c:pt idx="104">
                  <c:v>39904</c:v>
                </c:pt>
                <c:pt idx="105">
                  <c:v>39934</c:v>
                </c:pt>
                <c:pt idx="106">
                  <c:v>39965</c:v>
                </c:pt>
                <c:pt idx="107">
                  <c:v>39995</c:v>
                </c:pt>
                <c:pt idx="108">
                  <c:v>40026</c:v>
                </c:pt>
                <c:pt idx="109">
                  <c:v>40057</c:v>
                </c:pt>
                <c:pt idx="110">
                  <c:v>40087</c:v>
                </c:pt>
                <c:pt idx="111">
                  <c:v>40118</c:v>
                </c:pt>
                <c:pt idx="112">
                  <c:v>40148</c:v>
                </c:pt>
                <c:pt idx="113">
                  <c:v>40179</c:v>
                </c:pt>
                <c:pt idx="114">
                  <c:v>40210</c:v>
                </c:pt>
                <c:pt idx="115">
                  <c:v>40238</c:v>
                </c:pt>
                <c:pt idx="116">
                  <c:v>40269</c:v>
                </c:pt>
                <c:pt idx="117">
                  <c:v>40299</c:v>
                </c:pt>
                <c:pt idx="118">
                  <c:v>40330</c:v>
                </c:pt>
                <c:pt idx="119">
                  <c:v>40360</c:v>
                </c:pt>
                <c:pt idx="120">
                  <c:v>40391</c:v>
                </c:pt>
                <c:pt idx="121">
                  <c:v>40422</c:v>
                </c:pt>
                <c:pt idx="122">
                  <c:v>40452</c:v>
                </c:pt>
                <c:pt idx="123">
                  <c:v>40483</c:v>
                </c:pt>
                <c:pt idx="124">
                  <c:v>40513</c:v>
                </c:pt>
                <c:pt idx="125">
                  <c:v>40544</c:v>
                </c:pt>
                <c:pt idx="126">
                  <c:v>40575</c:v>
                </c:pt>
                <c:pt idx="127">
                  <c:v>40603</c:v>
                </c:pt>
                <c:pt idx="128">
                  <c:v>40634</c:v>
                </c:pt>
                <c:pt idx="129">
                  <c:v>40664</c:v>
                </c:pt>
                <c:pt idx="130">
                  <c:v>40695</c:v>
                </c:pt>
                <c:pt idx="131">
                  <c:v>40725</c:v>
                </c:pt>
                <c:pt idx="132">
                  <c:v>40756</c:v>
                </c:pt>
                <c:pt idx="133">
                  <c:v>40787</c:v>
                </c:pt>
                <c:pt idx="134">
                  <c:v>40817</c:v>
                </c:pt>
                <c:pt idx="135">
                  <c:v>40848</c:v>
                </c:pt>
                <c:pt idx="136">
                  <c:v>40878</c:v>
                </c:pt>
                <c:pt idx="137">
                  <c:v>40909</c:v>
                </c:pt>
                <c:pt idx="138">
                  <c:v>40940</c:v>
                </c:pt>
                <c:pt idx="139">
                  <c:v>40969</c:v>
                </c:pt>
                <c:pt idx="140">
                  <c:v>41000</c:v>
                </c:pt>
                <c:pt idx="141">
                  <c:v>41030</c:v>
                </c:pt>
                <c:pt idx="142">
                  <c:v>41061</c:v>
                </c:pt>
                <c:pt idx="143">
                  <c:v>41091</c:v>
                </c:pt>
                <c:pt idx="144">
                  <c:v>41122</c:v>
                </c:pt>
                <c:pt idx="145">
                  <c:v>41153</c:v>
                </c:pt>
                <c:pt idx="146">
                  <c:v>41183</c:v>
                </c:pt>
                <c:pt idx="147">
                  <c:v>41214</c:v>
                </c:pt>
                <c:pt idx="148">
                  <c:v>41244</c:v>
                </c:pt>
                <c:pt idx="149">
                  <c:v>41275</c:v>
                </c:pt>
                <c:pt idx="150">
                  <c:v>41306</c:v>
                </c:pt>
                <c:pt idx="151">
                  <c:v>41334</c:v>
                </c:pt>
                <c:pt idx="152">
                  <c:v>41365</c:v>
                </c:pt>
                <c:pt idx="153">
                  <c:v>41395</c:v>
                </c:pt>
                <c:pt idx="154">
                  <c:v>41426</c:v>
                </c:pt>
                <c:pt idx="155">
                  <c:v>41456</c:v>
                </c:pt>
                <c:pt idx="156">
                  <c:v>41487</c:v>
                </c:pt>
                <c:pt idx="157">
                  <c:v>41518</c:v>
                </c:pt>
                <c:pt idx="158">
                  <c:v>41548</c:v>
                </c:pt>
                <c:pt idx="159">
                  <c:v>41579</c:v>
                </c:pt>
                <c:pt idx="160">
                  <c:v>41609</c:v>
                </c:pt>
                <c:pt idx="161">
                  <c:v>41640</c:v>
                </c:pt>
                <c:pt idx="162">
                  <c:v>41671</c:v>
                </c:pt>
                <c:pt idx="163">
                  <c:v>41699</c:v>
                </c:pt>
                <c:pt idx="164">
                  <c:v>41730</c:v>
                </c:pt>
                <c:pt idx="165">
                  <c:v>41760</c:v>
                </c:pt>
                <c:pt idx="166">
                  <c:v>41791</c:v>
                </c:pt>
                <c:pt idx="167">
                  <c:v>41821</c:v>
                </c:pt>
                <c:pt idx="168">
                  <c:v>41852</c:v>
                </c:pt>
                <c:pt idx="169">
                  <c:v>41883</c:v>
                </c:pt>
                <c:pt idx="170">
                  <c:v>41913</c:v>
                </c:pt>
                <c:pt idx="171">
                  <c:v>41944</c:v>
                </c:pt>
                <c:pt idx="172">
                  <c:v>41974</c:v>
                </c:pt>
                <c:pt idx="173">
                  <c:v>42005</c:v>
                </c:pt>
                <c:pt idx="174">
                  <c:v>42036</c:v>
                </c:pt>
                <c:pt idx="175">
                  <c:v>42064</c:v>
                </c:pt>
                <c:pt idx="176">
                  <c:v>42095</c:v>
                </c:pt>
                <c:pt idx="177">
                  <c:v>42125</c:v>
                </c:pt>
                <c:pt idx="178">
                  <c:v>42156</c:v>
                </c:pt>
                <c:pt idx="179">
                  <c:v>42186</c:v>
                </c:pt>
                <c:pt idx="180">
                  <c:v>42217</c:v>
                </c:pt>
                <c:pt idx="181">
                  <c:v>42248</c:v>
                </c:pt>
                <c:pt idx="182">
                  <c:v>42278</c:v>
                </c:pt>
                <c:pt idx="183">
                  <c:v>42309</c:v>
                </c:pt>
                <c:pt idx="184">
                  <c:v>42339</c:v>
                </c:pt>
                <c:pt idx="185">
                  <c:v>42370</c:v>
                </c:pt>
                <c:pt idx="186">
                  <c:v>42401</c:v>
                </c:pt>
                <c:pt idx="187">
                  <c:v>42430</c:v>
                </c:pt>
                <c:pt idx="188">
                  <c:v>42461</c:v>
                </c:pt>
                <c:pt idx="189">
                  <c:v>42491</c:v>
                </c:pt>
                <c:pt idx="190">
                  <c:v>42522</c:v>
                </c:pt>
                <c:pt idx="191">
                  <c:v>42552</c:v>
                </c:pt>
                <c:pt idx="192">
                  <c:v>42583</c:v>
                </c:pt>
                <c:pt idx="193">
                  <c:v>42614</c:v>
                </c:pt>
                <c:pt idx="194">
                  <c:v>42644</c:v>
                </c:pt>
                <c:pt idx="195">
                  <c:v>42675</c:v>
                </c:pt>
                <c:pt idx="196">
                  <c:v>42705</c:v>
                </c:pt>
                <c:pt idx="197">
                  <c:v>42736</c:v>
                </c:pt>
                <c:pt idx="198">
                  <c:v>42767</c:v>
                </c:pt>
                <c:pt idx="199">
                  <c:v>42795</c:v>
                </c:pt>
                <c:pt idx="200">
                  <c:v>42826</c:v>
                </c:pt>
                <c:pt idx="201">
                  <c:v>42856</c:v>
                </c:pt>
                <c:pt idx="202">
                  <c:v>42887</c:v>
                </c:pt>
                <c:pt idx="203">
                  <c:v>42917</c:v>
                </c:pt>
                <c:pt idx="204">
                  <c:v>42948</c:v>
                </c:pt>
                <c:pt idx="205">
                  <c:v>42979</c:v>
                </c:pt>
                <c:pt idx="206">
                  <c:v>43009</c:v>
                </c:pt>
                <c:pt idx="207">
                  <c:v>43040</c:v>
                </c:pt>
                <c:pt idx="208">
                  <c:v>43070</c:v>
                </c:pt>
                <c:pt idx="209">
                  <c:v>43101</c:v>
                </c:pt>
                <c:pt idx="210">
                  <c:v>43132</c:v>
                </c:pt>
                <c:pt idx="211">
                  <c:v>43160</c:v>
                </c:pt>
                <c:pt idx="212">
                  <c:v>43191</c:v>
                </c:pt>
                <c:pt idx="213">
                  <c:v>43221</c:v>
                </c:pt>
                <c:pt idx="214">
                  <c:v>43252</c:v>
                </c:pt>
                <c:pt idx="215">
                  <c:v>43282</c:v>
                </c:pt>
                <c:pt idx="216">
                  <c:v>43313</c:v>
                </c:pt>
                <c:pt idx="217">
                  <c:v>43344</c:v>
                </c:pt>
                <c:pt idx="218">
                  <c:v>43374</c:v>
                </c:pt>
                <c:pt idx="219">
                  <c:v>43405</c:v>
                </c:pt>
                <c:pt idx="220">
                  <c:v>43435</c:v>
                </c:pt>
                <c:pt idx="221">
                  <c:v>43466</c:v>
                </c:pt>
                <c:pt idx="222">
                  <c:v>43497</c:v>
                </c:pt>
                <c:pt idx="223">
                  <c:v>43525</c:v>
                </c:pt>
                <c:pt idx="224">
                  <c:v>43556</c:v>
                </c:pt>
                <c:pt idx="225">
                  <c:v>43586</c:v>
                </c:pt>
                <c:pt idx="226">
                  <c:v>43617</c:v>
                </c:pt>
                <c:pt idx="227">
                  <c:v>43647</c:v>
                </c:pt>
                <c:pt idx="228">
                  <c:v>43678</c:v>
                </c:pt>
                <c:pt idx="229">
                  <c:v>43709</c:v>
                </c:pt>
                <c:pt idx="230">
                  <c:v>43739</c:v>
                </c:pt>
                <c:pt idx="231">
                  <c:v>43770</c:v>
                </c:pt>
                <c:pt idx="232">
                  <c:v>43800</c:v>
                </c:pt>
                <c:pt idx="233">
                  <c:v>43831</c:v>
                </c:pt>
                <c:pt idx="234">
                  <c:v>43862</c:v>
                </c:pt>
                <c:pt idx="235">
                  <c:v>43891</c:v>
                </c:pt>
                <c:pt idx="236">
                  <c:v>43922</c:v>
                </c:pt>
                <c:pt idx="237">
                  <c:v>43952</c:v>
                </c:pt>
                <c:pt idx="238">
                  <c:v>43983</c:v>
                </c:pt>
                <c:pt idx="239">
                  <c:v>44013</c:v>
                </c:pt>
                <c:pt idx="240">
                  <c:v>44044</c:v>
                </c:pt>
                <c:pt idx="241">
                  <c:v>44075</c:v>
                </c:pt>
                <c:pt idx="242">
                  <c:v>44105</c:v>
                </c:pt>
                <c:pt idx="243">
                  <c:v>44136</c:v>
                </c:pt>
                <c:pt idx="244">
                  <c:v>44166</c:v>
                </c:pt>
                <c:pt idx="245">
                  <c:v>44197</c:v>
                </c:pt>
                <c:pt idx="246">
                  <c:v>44228</c:v>
                </c:pt>
                <c:pt idx="247">
                  <c:v>44256</c:v>
                </c:pt>
                <c:pt idx="248">
                  <c:v>44287</c:v>
                </c:pt>
                <c:pt idx="249">
                  <c:v>44317</c:v>
                </c:pt>
                <c:pt idx="250">
                  <c:v>44348</c:v>
                </c:pt>
                <c:pt idx="251">
                  <c:v>44378</c:v>
                </c:pt>
                <c:pt idx="252">
                  <c:v>44409</c:v>
                </c:pt>
                <c:pt idx="253">
                  <c:v>44440</c:v>
                </c:pt>
                <c:pt idx="254">
                  <c:v>44470</c:v>
                </c:pt>
                <c:pt idx="255">
                  <c:v>44501</c:v>
                </c:pt>
                <c:pt idx="256">
                  <c:v>44531</c:v>
                </c:pt>
                <c:pt idx="257">
                  <c:v>44562</c:v>
                </c:pt>
                <c:pt idx="258">
                  <c:v>44593</c:v>
                </c:pt>
                <c:pt idx="259">
                  <c:v>44621</c:v>
                </c:pt>
                <c:pt idx="260">
                  <c:v>44652</c:v>
                </c:pt>
                <c:pt idx="261">
                  <c:v>44682</c:v>
                </c:pt>
                <c:pt idx="262">
                  <c:v>44713</c:v>
                </c:pt>
                <c:pt idx="263">
                  <c:v>44743</c:v>
                </c:pt>
                <c:pt idx="264">
                  <c:v>44774</c:v>
                </c:pt>
                <c:pt idx="265">
                  <c:v>44805</c:v>
                </c:pt>
                <c:pt idx="266">
                  <c:v>44835</c:v>
                </c:pt>
                <c:pt idx="267">
                  <c:v>44866</c:v>
                </c:pt>
                <c:pt idx="268">
                  <c:v>44896</c:v>
                </c:pt>
                <c:pt idx="269">
                  <c:v>44927</c:v>
                </c:pt>
                <c:pt idx="270">
                  <c:v>44958</c:v>
                </c:pt>
                <c:pt idx="271">
                  <c:v>44986</c:v>
                </c:pt>
                <c:pt idx="272">
                  <c:v>45017</c:v>
                </c:pt>
                <c:pt idx="273">
                  <c:v>45047</c:v>
                </c:pt>
                <c:pt idx="274">
                  <c:v>45078</c:v>
                </c:pt>
              </c:numCache>
            </c:numRef>
          </c:cat>
          <c:val>
            <c:numRef>
              <c:f>Datos!$B$2:$B$276</c:f>
              <c:numCache>
                <c:formatCode>#,##0</c:formatCode>
                <c:ptCount val="275"/>
                <c:pt idx="0">
                  <c:v>1049</c:v>
                </c:pt>
                <c:pt idx="1">
                  <c:v>1026</c:v>
                </c:pt>
                <c:pt idx="2">
                  <c:v>1074</c:v>
                </c:pt>
                <c:pt idx="3">
                  <c:v>1031</c:v>
                </c:pt>
                <c:pt idx="4">
                  <c:v>1047</c:v>
                </c:pt>
                <c:pt idx="5">
                  <c:v>986</c:v>
                </c:pt>
                <c:pt idx="6">
                  <c:v>1015</c:v>
                </c:pt>
                <c:pt idx="7">
                  <c:v>1021</c:v>
                </c:pt>
                <c:pt idx="8">
                  <c:v>958</c:v>
                </c:pt>
                <c:pt idx="9">
                  <c:v>1041</c:v>
                </c:pt>
                <c:pt idx="10">
                  <c:v>999</c:v>
                </c:pt>
                <c:pt idx="11">
                  <c:v>1034</c:v>
                </c:pt>
                <c:pt idx="12">
                  <c:v>959</c:v>
                </c:pt>
                <c:pt idx="13">
                  <c:v>920</c:v>
                </c:pt>
                <c:pt idx="14">
                  <c:v>1019</c:v>
                </c:pt>
                <c:pt idx="15">
                  <c:v>1056</c:v>
                </c:pt>
                <c:pt idx="16">
                  <c:v>1057</c:v>
                </c:pt>
                <c:pt idx="17">
                  <c:v>1017</c:v>
                </c:pt>
                <c:pt idx="18">
                  <c:v>1096</c:v>
                </c:pt>
                <c:pt idx="19">
                  <c:v>1052</c:v>
                </c:pt>
                <c:pt idx="20">
                  <c:v>971</c:v>
                </c:pt>
                <c:pt idx="21">
                  <c:v>1033</c:v>
                </c:pt>
                <c:pt idx="22">
                  <c:v>978</c:v>
                </c:pt>
                <c:pt idx="23">
                  <c:v>983</c:v>
                </c:pt>
                <c:pt idx="24">
                  <c:v>906</c:v>
                </c:pt>
                <c:pt idx="25">
                  <c:v>910</c:v>
                </c:pt>
                <c:pt idx="26">
                  <c:v>1025</c:v>
                </c:pt>
                <c:pt idx="27">
                  <c:v>1026</c:v>
                </c:pt>
                <c:pt idx="28">
                  <c:v>1014</c:v>
                </c:pt>
                <c:pt idx="29">
                  <c:v>977</c:v>
                </c:pt>
                <c:pt idx="30">
                  <c:v>990</c:v>
                </c:pt>
                <c:pt idx="31">
                  <c:v>989</c:v>
                </c:pt>
                <c:pt idx="32">
                  <c:v>960</c:v>
                </c:pt>
                <c:pt idx="33">
                  <c:v>981</c:v>
                </c:pt>
                <c:pt idx="34">
                  <c:v>962</c:v>
                </c:pt>
                <c:pt idx="35">
                  <c:v>1022</c:v>
                </c:pt>
                <c:pt idx="36">
                  <c:v>910</c:v>
                </c:pt>
                <c:pt idx="37">
                  <c:v>912</c:v>
                </c:pt>
                <c:pt idx="38">
                  <c:v>1025</c:v>
                </c:pt>
                <c:pt idx="39">
                  <c:v>1017</c:v>
                </c:pt>
                <c:pt idx="40">
                  <c:v>1044</c:v>
                </c:pt>
                <c:pt idx="41">
                  <c:v>1032</c:v>
                </c:pt>
                <c:pt idx="42">
                  <c:v>1060</c:v>
                </c:pt>
                <c:pt idx="43">
                  <c:v>1077</c:v>
                </c:pt>
                <c:pt idx="44">
                  <c:v>1098</c:v>
                </c:pt>
                <c:pt idx="45">
                  <c:v>1086</c:v>
                </c:pt>
                <c:pt idx="46">
                  <c:v>1070</c:v>
                </c:pt>
                <c:pt idx="47">
                  <c:v>1121</c:v>
                </c:pt>
                <c:pt idx="48">
                  <c:v>993</c:v>
                </c:pt>
                <c:pt idx="49">
                  <c:v>1026</c:v>
                </c:pt>
                <c:pt idx="50">
                  <c:v>1114</c:v>
                </c:pt>
                <c:pt idx="51">
                  <c:v>1050</c:v>
                </c:pt>
                <c:pt idx="52">
                  <c:v>1094</c:v>
                </c:pt>
                <c:pt idx="53">
                  <c:v>1069</c:v>
                </c:pt>
                <c:pt idx="54">
                  <c:v>1096</c:v>
                </c:pt>
                <c:pt idx="55">
                  <c:v>1137</c:v>
                </c:pt>
                <c:pt idx="56">
                  <c:v>1053</c:v>
                </c:pt>
                <c:pt idx="57">
                  <c:v>1100</c:v>
                </c:pt>
                <c:pt idx="58">
                  <c:v>1101</c:v>
                </c:pt>
                <c:pt idx="59">
                  <c:v>1116</c:v>
                </c:pt>
                <c:pt idx="60">
                  <c:v>1051</c:v>
                </c:pt>
                <c:pt idx="61">
                  <c:v>1000</c:v>
                </c:pt>
                <c:pt idx="62">
                  <c:v>1102</c:v>
                </c:pt>
                <c:pt idx="63">
                  <c:v>1094</c:v>
                </c:pt>
                <c:pt idx="64">
                  <c:v>1143</c:v>
                </c:pt>
                <c:pt idx="65">
                  <c:v>1094</c:v>
                </c:pt>
                <c:pt idx="66">
                  <c:v>1175</c:v>
                </c:pt>
                <c:pt idx="67">
                  <c:v>1212</c:v>
                </c:pt>
                <c:pt idx="68">
                  <c:v>1109</c:v>
                </c:pt>
                <c:pt idx="69">
                  <c:v>1185</c:v>
                </c:pt>
                <c:pt idx="70">
                  <c:v>1102</c:v>
                </c:pt>
                <c:pt idx="71">
                  <c:v>1112</c:v>
                </c:pt>
                <c:pt idx="72">
                  <c:v>1108</c:v>
                </c:pt>
                <c:pt idx="73">
                  <c:v>1089</c:v>
                </c:pt>
                <c:pt idx="74">
                  <c:v>1199</c:v>
                </c:pt>
                <c:pt idx="75">
                  <c:v>1126</c:v>
                </c:pt>
                <c:pt idx="76">
                  <c:v>1177</c:v>
                </c:pt>
                <c:pt idx="77">
                  <c:v>1154</c:v>
                </c:pt>
                <c:pt idx="78">
                  <c:v>1232</c:v>
                </c:pt>
                <c:pt idx="79">
                  <c:v>1205</c:v>
                </c:pt>
                <c:pt idx="80">
                  <c:v>1143</c:v>
                </c:pt>
                <c:pt idx="81">
                  <c:v>1227</c:v>
                </c:pt>
                <c:pt idx="82">
                  <c:v>1117</c:v>
                </c:pt>
                <c:pt idx="83">
                  <c:v>1180</c:v>
                </c:pt>
                <c:pt idx="84">
                  <c:v>1102</c:v>
                </c:pt>
                <c:pt idx="85">
                  <c:v>1140</c:v>
                </c:pt>
                <c:pt idx="86">
                  <c:v>1291</c:v>
                </c:pt>
                <c:pt idx="87">
                  <c:v>1247</c:v>
                </c:pt>
                <c:pt idx="88">
                  <c:v>1207</c:v>
                </c:pt>
                <c:pt idx="89">
                  <c:v>1196</c:v>
                </c:pt>
                <c:pt idx="90">
                  <c:v>1256</c:v>
                </c:pt>
                <c:pt idx="91">
                  <c:v>1205</c:v>
                </c:pt>
                <c:pt idx="92">
                  <c:v>1177</c:v>
                </c:pt>
                <c:pt idx="93">
                  <c:v>1263</c:v>
                </c:pt>
                <c:pt idx="94">
                  <c:v>1185</c:v>
                </c:pt>
                <c:pt idx="95">
                  <c:v>1261</c:v>
                </c:pt>
                <c:pt idx="96">
                  <c:v>1196</c:v>
                </c:pt>
                <c:pt idx="97">
                  <c:v>1251</c:v>
                </c:pt>
                <c:pt idx="98">
                  <c:v>1414</c:v>
                </c:pt>
                <c:pt idx="99">
                  <c:v>1291</c:v>
                </c:pt>
                <c:pt idx="100">
                  <c:v>1293</c:v>
                </c:pt>
                <c:pt idx="101">
                  <c:v>1289</c:v>
                </c:pt>
                <c:pt idx="102">
                  <c:v>1320</c:v>
                </c:pt>
                <c:pt idx="103">
                  <c:v>1313</c:v>
                </c:pt>
                <c:pt idx="104">
                  <c:v>1265</c:v>
                </c:pt>
                <c:pt idx="105">
                  <c:v>1233</c:v>
                </c:pt>
                <c:pt idx="106">
                  <c:v>1187</c:v>
                </c:pt>
                <c:pt idx="107">
                  <c:v>1278</c:v>
                </c:pt>
                <c:pt idx="108">
                  <c:v>1197</c:v>
                </c:pt>
                <c:pt idx="109">
                  <c:v>1181</c:v>
                </c:pt>
                <c:pt idx="110">
                  <c:v>1367</c:v>
                </c:pt>
                <c:pt idx="111">
                  <c:v>1234</c:v>
                </c:pt>
                <c:pt idx="112">
                  <c:v>1254</c:v>
                </c:pt>
                <c:pt idx="113">
                  <c:v>1287</c:v>
                </c:pt>
                <c:pt idx="114">
                  <c:v>1314</c:v>
                </c:pt>
                <c:pt idx="115">
                  <c:v>1395</c:v>
                </c:pt>
                <c:pt idx="116">
                  <c:v>1337</c:v>
                </c:pt>
                <c:pt idx="117">
                  <c:v>1363</c:v>
                </c:pt>
                <c:pt idx="118">
                  <c:v>1352</c:v>
                </c:pt>
                <c:pt idx="119">
                  <c:v>1403</c:v>
                </c:pt>
                <c:pt idx="120">
                  <c:v>1289</c:v>
                </c:pt>
                <c:pt idx="121">
                  <c:v>1274</c:v>
                </c:pt>
                <c:pt idx="122">
                  <c:v>1430</c:v>
                </c:pt>
                <c:pt idx="123">
                  <c:v>1343</c:v>
                </c:pt>
                <c:pt idx="124">
                  <c:v>1405</c:v>
                </c:pt>
                <c:pt idx="125">
                  <c:v>1372</c:v>
                </c:pt>
                <c:pt idx="126">
                  <c:v>1426</c:v>
                </c:pt>
                <c:pt idx="127">
                  <c:v>1431</c:v>
                </c:pt>
                <c:pt idx="128">
                  <c:v>1297</c:v>
                </c:pt>
                <c:pt idx="129">
                  <c:v>1349</c:v>
                </c:pt>
                <c:pt idx="130">
                  <c:v>1347</c:v>
                </c:pt>
                <c:pt idx="131">
                  <c:v>1367</c:v>
                </c:pt>
                <c:pt idx="132">
                  <c:v>1328</c:v>
                </c:pt>
                <c:pt idx="133">
                  <c:v>1280</c:v>
                </c:pt>
                <c:pt idx="134">
                  <c:v>1478</c:v>
                </c:pt>
                <c:pt idx="135">
                  <c:v>1407</c:v>
                </c:pt>
                <c:pt idx="136">
                  <c:v>1523</c:v>
                </c:pt>
                <c:pt idx="137">
                  <c:v>1403</c:v>
                </c:pt>
                <c:pt idx="138">
                  <c:v>1477</c:v>
                </c:pt>
                <c:pt idx="139">
                  <c:v>1572</c:v>
                </c:pt>
                <c:pt idx="140">
                  <c:v>1434</c:v>
                </c:pt>
                <c:pt idx="141">
                  <c:v>1508</c:v>
                </c:pt>
                <c:pt idx="142">
                  <c:v>1428</c:v>
                </c:pt>
                <c:pt idx="143">
                  <c:v>1421</c:v>
                </c:pt>
                <c:pt idx="144">
                  <c:v>1444</c:v>
                </c:pt>
                <c:pt idx="145">
                  <c:v>1412</c:v>
                </c:pt>
                <c:pt idx="146">
                  <c:v>1501</c:v>
                </c:pt>
                <c:pt idx="147">
                  <c:v>1450</c:v>
                </c:pt>
                <c:pt idx="148">
                  <c:v>1498</c:v>
                </c:pt>
                <c:pt idx="149">
                  <c:v>1451</c:v>
                </c:pt>
                <c:pt idx="150">
                  <c:v>1530</c:v>
                </c:pt>
                <c:pt idx="151">
                  <c:v>1498</c:v>
                </c:pt>
                <c:pt idx="152">
                  <c:v>1458</c:v>
                </c:pt>
                <c:pt idx="153">
                  <c:v>1520</c:v>
                </c:pt>
                <c:pt idx="154">
                  <c:v>1402</c:v>
                </c:pt>
                <c:pt idx="155">
                  <c:v>1441</c:v>
                </c:pt>
                <c:pt idx="156">
                  <c:v>1381</c:v>
                </c:pt>
                <c:pt idx="157">
                  <c:v>1356</c:v>
                </c:pt>
                <c:pt idx="158">
                  <c:v>1488</c:v>
                </c:pt>
                <c:pt idx="159">
                  <c:v>1522</c:v>
                </c:pt>
                <c:pt idx="160">
                  <c:v>1501</c:v>
                </c:pt>
                <c:pt idx="161">
                  <c:v>1475</c:v>
                </c:pt>
                <c:pt idx="162">
                  <c:v>1576</c:v>
                </c:pt>
                <c:pt idx="163">
                  <c:v>1571</c:v>
                </c:pt>
                <c:pt idx="164">
                  <c:v>1568</c:v>
                </c:pt>
                <c:pt idx="165">
                  <c:v>1564</c:v>
                </c:pt>
                <c:pt idx="166">
                  <c:v>1482</c:v>
                </c:pt>
                <c:pt idx="167">
                  <c:v>1569</c:v>
                </c:pt>
                <c:pt idx="168">
                  <c:v>1470</c:v>
                </c:pt>
                <c:pt idx="169">
                  <c:v>1455</c:v>
                </c:pt>
                <c:pt idx="170">
                  <c:v>1664</c:v>
                </c:pt>
                <c:pt idx="171">
                  <c:v>1589</c:v>
                </c:pt>
                <c:pt idx="172">
                  <c:v>1653</c:v>
                </c:pt>
                <c:pt idx="173">
                  <c:v>1639</c:v>
                </c:pt>
                <c:pt idx="174">
                  <c:v>1695</c:v>
                </c:pt>
                <c:pt idx="175">
                  <c:v>1694</c:v>
                </c:pt>
                <c:pt idx="176">
                  <c:v>1631</c:v>
                </c:pt>
                <c:pt idx="177">
                  <c:v>1640</c:v>
                </c:pt>
                <c:pt idx="178">
                  <c:v>1556</c:v>
                </c:pt>
                <c:pt idx="179">
                  <c:v>1647</c:v>
                </c:pt>
                <c:pt idx="180">
                  <c:v>1520</c:v>
                </c:pt>
                <c:pt idx="181">
                  <c:v>1475</c:v>
                </c:pt>
                <c:pt idx="182">
                  <c:v>1754</c:v>
                </c:pt>
                <c:pt idx="183">
                  <c:v>1605</c:v>
                </c:pt>
                <c:pt idx="184">
                  <c:v>1701</c:v>
                </c:pt>
                <c:pt idx="185">
                  <c:v>1701</c:v>
                </c:pt>
                <c:pt idx="186">
                  <c:v>1830</c:v>
                </c:pt>
                <c:pt idx="187">
                  <c:v>1713</c:v>
                </c:pt>
                <c:pt idx="188">
                  <c:v>1668</c:v>
                </c:pt>
                <c:pt idx="189">
                  <c:v>1664</c:v>
                </c:pt>
                <c:pt idx="190">
                  <c:v>1623</c:v>
                </c:pt>
                <c:pt idx="191">
                  <c:v>1634</c:v>
                </c:pt>
                <c:pt idx="192">
                  <c:v>1498</c:v>
                </c:pt>
                <c:pt idx="193">
                  <c:v>1529</c:v>
                </c:pt>
                <c:pt idx="194">
                  <c:v>1710</c:v>
                </c:pt>
                <c:pt idx="195">
                  <c:v>1657</c:v>
                </c:pt>
                <c:pt idx="196">
                  <c:v>1743</c:v>
                </c:pt>
                <c:pt idx="197">
                  <c:v>1696</c:v>
                </c:pt>
                <c:pt idx="198">
                  <c:v>1885</c:v>
                </c:pt>
                <c:pt idx="199">
                  <c:v>1840</c:v>
                </c:pt>
                <c:pt idx="200">
                  <c:v>1674</c:v>
                </c:pt>
                <c:pt idx="201">
                  <c:v>1709</c:v>
                </c:pt>
                <c:pt idx="202">
                  <c:v>1618</c:v>
                </c:pt>
                <c:pt idx="203">
                  <c:v>1673</c:v>
                </c:pt>
                <c:pt idx="204">
                  <c:v>1591</c:v>
                </c:pt>
                <c:pt idx="205">
                  <c:v>1521</c:v>
                </c:pt>
                <c:pt idx="206">
                  <c:v>1764</c:v>
                </c:pt>
                <c:pt idx="207">
                  <c:v>1665</c:v>
                </c:pt>
                <c:pt idx="208">
                  <c:v>1750</c:v>
                </c:pt>
                <c:pt idx="209">
                  <c:v>1728</c:v>
                </c:pt>
                <c:pt idx="210">
                  <c:v>1783</c:v>
                </c:pt>
                <c:pt idx="211">
                  <c:v>1679</c:v>
                </c:pt>
                <c:pt idx="212">
                  <c:v>1605</c:v>
                </c:pt>
                <c:pt idx="213">
                  <c:v>1694</c:v>
                </c:pt>
                <c:pt idx="214">
                  <c:v>1560</c:v>
                </c:pt>
                <c:pt idx="215">
                  <c:v>1629</c:v>
                </c:pt>
                <c:pt idx="216">
                  <c:v>1546</c:v>
                </c:pt>
                <c:pt idx="217">
                  <c:v>1574</c:v>
                </c:pt>
                <c:pt idx="218">
                  <c:v>1737</c:v>
                </c:pt>
                <c:pt idx="219">
                  <c:v>1659</c:v>
                </c:pt>
                <c:pt idx="220">
                  <c:v>1691</c:v>
                </c:pt>
                <c:pt idx="221">
                  <c:v>1681</c:v>
                </c:pt>
                <c:pt idx="222">
                  <c:v>1788</c:v>
                </c:pt>
                <c:pt idx="223">
                  <c:v>1746</c:v>
                </c:pt>
                <c:pt idx="224">
                  <c:v>1672</c:v>
                </c:pt>
                <c:pt idx="225">
                  <c:v>1751</c:v>
                </c:pt>
                <c:pt idx="226">
                  <c:v>1646</c:v>
                </c:pt>
                <c:pt idx="227">
                  <c:v>1714</c:v>
                </c:pt>
                <c:pt idx="228">
                  <c:v>1557</c:v>
                </c:pt>
                <c:pt idx="229">
                  <c:v>1617</c:v>
                </c:pt>
                <c:pt idx="230">
                  <c:v>1826</c:v>
                </c:pt>
                <c:pt idx="231">
                  <c:v>1758</c:v>
                </c:pt>
                <c:pt idx="232">
                  <c:v>1756</c:v>
                </c:pt>
                <c:pt idx="233">
                  <c:v>1725</c:v>
                </c:pt>
                <c:pt idx="234">
                  <c:v>1835</c:v>
                </c:pt>
                <c:pt idx="235">
                  <c:v>1724</c:v>
                </c:pt>
                <c:pt idx="236">
                  <c:v>1730</c:v>
                </c:pt>
                <c:pt idx="237">
                  <c:v>1752</c:v>
                </c:pt>
                <c:pt idx="238">
                  <c:v>1642</c:v>
                </c:pt>
                <c:pt idx="239">
                  <c:v>1717</c:v>
                </c:pt>
                <c:pt idx="240">
                  <c:v>1579</c:v>
                </c:pt>
                <c:pt idx="241">
                  <c:v>1647</c:v>
                </c:pt>
                <c:pt idx="242">
                  <c:v>1961</c:v>
                </c:pt>
                <c:pt idx="243">
                  <c:v>1772</c:v>
                </c:pt>
                <c:pt idx="244">
                  <c:v>1822</c:v>
                </c:pt>
                <c:pt idx="245">
                  <c:v>1884</c:v>
                </c:pt>
                <c:pt idx="246">
                  <c:v>1901</c:v>
                </c:pt>
                <c:pt idx="247">
                  <c:v>1917</c:v>
                </c:pt>
                <c:pt idx="248">
                  <c:v>1796</c:v>
                </c:pt>
                <c:pt idx="249">
                  <c:v>1722</c:v>
                </c:pt>
                <c:pt idx="250">
                  <c:v>1702</c:v>
                </c:pt>
                <c:pt idx="251">
                  <c:v>1829</c:v>
                </c:pt>
                <c:pt idx="252">
                  <c:v>1687</c:v>
                </c:pt>
                <c:pt idx="253">
                  <c:v>1668</c:v>
                </c:pt>
                <c:pt idx="254">
                  <c:v>2009</c:v>
                </c:pt>
                <c:pt idx="255">
                  <c:v>1774</c:v>
                </c:pt>
                <c:pt idx="256">
                  <c:v>1863</c:v>
                </c:pt>
                <c:pt idx="257">
                  <c:v>1758</c:v>
                </c:pt>
                <c:pt idx="258">
                  <c:v>1717</c:v>
                </c:pt>
                <c:pt idx="259">
                  <c:v>1823</c:v>
                </c:pt>
                <c:pt idx="260">
                  <c:v>1746</c:v>
                </c:pt>
                <c:pt idx="261">
                  <c:v>1857</c:v>
                </c:pt>
                <c:pt idx="262">
                  <c:v>1803</c:v>
                </c:pt>
                <c:pt idx="263">
                  <c:v>1777</c:v>
                </c:pt>
                <c:pt idx="264">
                  <c:v>1690</c:v>
                </c:pt>
                <c:pt idx="265">
                  <c:v>1686</c:v>
                </c:pt>
                <c:pt idx="266">
                  <c:v>1956</c:v>
                </c:pt>
                <c:pt idx="267">
                  <c:v>1807</c:v>
                </c:pt>
                <c:pt idx="268">
                  <c:v>1949</c:v>
                </c:pt>
                <c:pt idx="269">
                  <c:v>1833</c:v>
                </c:pt>
                <c:pt idx="270">
                  <c:v>1813</c:v>
                </c:pt>
                <c:pt idx="271">
                  <c:v>1886</c:v>
                </c:pt>
                <c:pt idx="272">
                  <c:v>1805</c:v>
                </c:pt>
                <c:pt idx="273">
                  <c:v>1931</c:v>
                </c:pt>
                <c:pt idx="274">
                  <c:v>1822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5E-1E4F-83E2-C247745C7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2553568"/>
        <c:axId val="342467296"/>
      </c:lineChart>
      <c:dateAx>
        <c:axId val="34255356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42467296"/>
        <c:crosses val="autoZero"/>
        <c:auto val="1"/>
        <c:lblOffset val="100"/>
        <c:baseTimeUnit val="months"/>
      </c:dateAx>
      <c:valAx>
        <c:axId val="342467296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342553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'Técnia 1. Promedio Móvil'!$B$1</c:f>
              <c:strCache>
                <c:ptCount val="1"/>
                <c:pt idx="0">
                  <c:v>ventas($USD)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'Técnia 1. Promedio Móvil'!$B$2:$B$277</c:f>
              <c:numCache>
                <c:formatCode>#,##0</c:formatCode>
                <c:ptCount val="276"/>
                <c:pt idx="0">
                  <c:v>1049</c:v>
                </c:pt>
                <c:pt idx="1">
                  <c:v>1026</c:v>
                </c:pt>
                <c:pt idx="2">
                  <c:v>1074</c:v>
                </c:pt>
                <c:pt idx="3">
                  <c:v>1031</c:v>
                </c:pt>
                <c:pt idx="4">
                  <c:v>1047</c:v>
                </c:pt>
                <c:pt idx="5">
                  <c:v>986</c:v>
                </c:pt>
                <c:pt idx="6">
                  <c:v>1015</c:v>
                </c:pt>
                <c:pt idx="7">
                  <c:v>1021</c:v>
                </c:pt>
                <c:pt idx="8">
                  <c:v>958</c:v>
                </c:pt>
                <c:pt idx="9">
                  <c:v>1041</c:v>
                </c:pt>
                <c:pt idx="10">
                  <c:v>999</c:v>
                </c:pt>
                <c:pt idx="11">
                  <c:v>1034</c:v>
                </c:pt>
                <c:pt idx="12">
                  <c:v>959</c:v>
                </c:pt>
                <c:pt idx="13">
                  <c:v>920</c:v>
                </c:pt>
                <c:pt idx="14">
                  <c:v>1019</c:v>
                </c:pt>
                <c:pt idx="15">
                  <c:v>1056</c:v>
                </c:pt>
                <c:pt idx="16">
                  <c:v>1057</c:v>
                </c:pt>
                <c:pt idx="17">
                  <c:v>1017</c:v>
                </c:pt>
                <c:pt idx="18">
                  <c:v>1096</c:v>
                </c:pt>
                <c:pt idx="19">
                  <c:v>1052</c:v>
                </c:pt>
                <c:pt idx="20">
                  <c:v>971</c:v>
                </c:pt>
                <c:pt idx="21">
                  <c:v>1033</c:v>
                </c:pt>
                <c:pt idx="22">
                  <c:v>978</c:v>
                </c:pt>
                <c:pt idx="23">
                  <c:v>983</c:v>
                </c:pt>
                <c:pt idx="24">
                  <c:v>906</c:v>
                </c:pt>
                <c:pt idx="25">
                  <c:v>910</c:v>
                </c:pt>
                <c:pt idx="26">
                  <c:v>1025</c:v>
                </c:pt>
                <c:pt idx="27">
                  <c:v>1026</c:v>
                </c:pt>
                <c:pt idx="28">
                  <c:v>1014</c:v>
                </c:pt>
                <c:pt idx="29">
                  <c:v>977</c:v>
                </c:pt>
                <c:pt idx="30">
                  <c:v>990</c:v>
                </c:pt>
                <c:pt idx="31">
                  <c:v>989</c:v>
                </c:pt>
                <c:pt idx="32">
                  <c:v>960</c:v>
                </c:pt>
                <c:pt idx="33">
                  <c:v>981</c:v>
                </c:pt>
                <c:pt idx="34">
                  <c:v>962</c:v>
                </c:pt>
                <c:pt idx="35">
                  <c:v>1022</c:v>
                </c:pt>
                <c:pt idx="36">
                  <c:v>910</c:v>
                </c:pt>
                <c:pt idx="37">
                  <c:v>912</c:v>
                </c:pt>
                <c:pt idx="38">
                  <c:v>1025</c:v>
                </c:pt>
                <c:pt idx="39">
                  <c:v>1017</c:v>
                </c:pt>
                <c:pt idx="40">
                  <c:v>1044</c:v>
                </c:pt>
                <c:pt idx="41">
                  <c:v>1032</c:v>
                </c:pt>
                <c:pt idx="42">
                  <c:v>1060</c:v>
                </c:pt>
                <c:pt idx="43">
                  <c:v>1077</c:v>
                </c:pt>
                <c:pt idx="44">
                  <c:v>1098</c:v>
                </c:pt>
                <c:pt idx="45">
                  <c:v>1086</c:v>
                </c:pt>
                <c:pt idx="46">
                  <c:v>1070</c:v>
                </c:pt>
                <c:pt idx="47">
                  <c:v>1121</c:v>
                </c:pt>
                <c:pt idx="48">
                  <c:v>993</c:v>
                </c:pt>
                <c:pt idx="49">
                  <c:v>1026</c:v>
                </c:pt>
                <c:pt idx="50">
                  <c:v>1114</c:v>
                </c:pt>
                <c:pt idx="51">
                  <c:v>1050</c:v>
                </c:pt>
                <c:pt idx="52">
                  <c:v>1094</c:v>
                </c:pt>
                <c:pt idx="53">
                  <c:v>1069</c:v>
                </c:pt>
                <c:pt idx="54">
                  <c:v>1096</c:v>
                </c:pt>
                <c:pt idx="55">
                  <c:v>1137</c:v>
                </c:pt>
                <c:pt idx="56">
                  <c:v>1053</c:v>
                </c:pt>
                <c:pt idx="57">
                  <c:v>1100</c:v>
                </c:pt>
                <c:pt idx="58">
                  <c:v>1101</c:v>
                </c:pt>
                <c:pt idx="59">
                  <c:v>1116</c:v>
                </c:pt>
                <c:pt idx="60">
                  <c:v>1051</c:v>
                </c:pt>
                <c:pt idx="61">
                  <c:v>1000</c:v>
                </c:pt>
                <c:pt idx="62">
                  <c:v>1102</c:v>
                </c:pt>
                <c:pt idx="63">
                  <c:v>1094</c:v>
                </c:pt>
                <c:pt idx="64">
                  <c:v>1143</c:v>
                </c:pt>
                <c:pt idx="65">
                  <c:v>1094</c:v>
                </c:pt>
                <c:pt idx="66">
                  <c:v>1175</c:v>
                </c:pt>
                <c:pt idx="67">
                  <c:v>1212</c:v>
                </c:pt>
                <c:pt idx="68">
                  <c:v>1109</c:v>
                </c:pt>
                <c:pt idx="69">
                  <c:v>1185</c:v>
                </c:pt>
                <c:pt idx="70">
                  <c:v>1102</c:v>
                </c:pt>
                <c:pt idx="71">
                  <c:v>1112</c:v>
                </c:pt>
                <c:pt idx="72">
                  <c:v>1108</c:v>
                </c:pt>
                <c:pt idx="73">
                  <c:v>1089</c:v>
                </c:pt>
                <c:pt idx="74">
                  <c:v>1199</c:v>
                </c:pt>
                <c:pt idx="75">
                  <c:v>1126</c:v>
                </c:pt>
                <c:pt idx="76">
                  <c:v>1177</c:v>
                </c:pt>
                <c:pt idx="77">
                  <c:v>1154</c:v>
                </c:pt>
                <c:pt idx="78">
                  <c:v>1232</c:v>
                </c:pt>
                <c:pt idx="79">
                  <c:v>1205</c:v>
                </c:pt>
                <c:pt idx="80">
                  <c:v>1143</c:v>
                </c:pt>
                <c:pt idx="81">
                  <c:v>1227</c:v>
                </c:pt>
                <c:pt idx="82">
                  <c:v>1117</c:v>
                </c:pt>
                <c:pt idx="83">
                  <c:v>1180</c:v>
                </c:pt>
                <c:pt idx="84">
                  <c:v>1102</c:v>
                </c:pt>
                <c:pt idx="85">
                  <c:v>1140</c:v>
                </c:pt>
                <c:pt idx="86">
                  <c:v>1291</c:v>
                </c:pt>
                <c:pt idx="87">
                  <c:v>1247</c:v>
                </c:pt>
                <c:pt idx="88">
                  <c:v>1207</c:v>
                </c:pt>
                <c:pt idx="89">
                  <c:v>1196</c:v>
                </c:pt>
                <c:pt idx="90">
                  <c:v>1256</c:v>
                </c:pt>
                <c:pt idx="91">
                  <c:v>1205</c:v>
                </c:pt>
                <c:pt idx="92">
                  <c:v>1177</c:v>
                </c:pt>
                <c:pt idx="93">
                  <c:v>1263</c:v>
                </c:pt>
                <c:pt idx="94">
                  <c:v>1185</c:v>
                </c:pt>
                <c:pt idx="95">
                  <c:v>1261</c:v>
                </c:pt>
                <c:pt idx="96">
                  <c:v>1196</c:v>
                </c:pt>
                <c:pt idx="97">
                  <c:v>1251</c:v>
                </c:pt>
                <c:pt idx="98">
                  <c:v>1414</c:v>
                </c:pt>
                <c:pt idx="99">
                  <c:v>1291</c:v>
                </c:pt>
                <c:pt idx="100">
                  <c:v>1293</c:v>
                </c:pt>
                <c:pt idx="101">
                  <c:v>1289</c:v>
                </c:pt>
                <c:pt idx="102">
                  <c:v>1320</c:v>
                </c:pt>
                <c:pt idx="103">
                  <c:v>1313</c:v>
                </c:pt>
                <c:pt idx="104">
                  <c:v>1265</c:v>
                </c:pt>
                <c:pt idx="105">
                  <c:v>1233</c:v>
                </c:pt>
                <c:pt idx="106">
                  <c:v>1187</c:v>
                </c:pt>
                <c:pt idx="107">
                  <c:v>1278</c:v>
                </c:pt>
                <c:pt idx="108">
                  <c:v>1197</c:v>
                </c:pt>
                <c:pt idx="109">
                  <c:v>1181</c:v>
                </c:pt>
                <c:pt idx="110">
                  <c:v>1367</c:v>
                </c:pt>
                <c:pt idx="111">
                  <c:v>1234</c:v>
                </c:pt>
                <c:pt idx="112">
                  <c:v>1254</c:v>
                </c:pt>
                <c:pt idx="113">
                  <c:v>1287</c:v>
                </c:pt>
                <c:pt idx="114">
                  <c:v>1314</c:v>
                </c:pt>
                <c:pt idx="115">
                  <c:v>1395</c:v>
                </c:pt>
                <c:pt idx="116">
                  <c:v>1337</c:v>
                </c:pt>
                <c:pt idx="117">
                  <c:v>1363</c:v>
                </c:pt>
                <c:pt idx="118">
                  <c:v>1352</c:v>
                </c:pt>
                <c:pt idx="119">
                  <c:v>1403</c:v>
                </c:pt>
                <c:pt idx="120">
                  <c:v>1289</c:v>
                </c:pt>
                <c:pt idx="121">
                  <c:v>1274</c:v>
                </c:pt>
                <c:pt idx="122">
                  <c:v>1430</c:v>
                </c:pt>
                <c:pt idx="123">
                  <c:v>1343</c:v>
                </c:pt>
                <c:pt idx="124">
                  <c:v>1405</c:v>
                </c:pt>
                <c:pt idx="125">
                  <c:v>1372</c:v>
                </c:pt>
                <c:pt idx="126">
                  <c:v>1426</c:v>
                </c:pt>
                <c:pt idx="127">
                  <c:v>1431</c:v>
                </c:pt>
                <c:pt idx="128">
                  <c:v>1297</c:v>
                </c:pt>
                <c:pt idx="129">
                  <c:v>1349</c:v>
                </c:pt>
                <c:pt idx="130">
                  <c:v>1347</c:v>
                </c:pt>
                <c:pt idx="131">
                  <c:v>1367</c:v>
                </c:pt>
                <c:pt idx="132">
                  <c:v>1328</c:v>
                </c:pt>
                <c:pt idx="133">
                  <c:v>1280</c:v>
                </c:pt>
                <c:pt idx="134">
                  <c:v>1478</c:v>
                </c:pt>
                <c:pt idx="135">
                  <c:v>1407</c:v>
                </c:pt>
                <c:pt idx="136">
                  <c:v>1523</c:v>
                </c:pt>
                <c:pt idx="137">
                  <c:v>1403</c:v>
                </c:pt>
                <c:pt idx="138">
                  <c:v>1477</c:v>
                </c:pt>
                <c:pt idx="139">
                  <c:v>1572</c:v>
                </c:pt>
                <c:pt idx="140">
                  <c:v>1434</c:v>
                </c:pt>
                <c:pt idx="141">
                  <c:v>1508</c:v>
                </c:pt>
                <c:pt idx="142">
                  <c:v>1428</c:v>
                </c:pt>
                <c:pt idx="143">
                  <c:v>1421</c:v>
                </c:pt>
                <c:pt idx="144">
                  <c:v>1444</c:v>
                </c:pt>
                <c:pt idx="145">
                  <c:v>1412</c:v>
                </c:pt>
                <c:pt idx="146">
                  <c:v>1501</c:v>
                </c:pt>
                <c:pt idx="147">
                  <c:v>1450</c:v>
                </c:pt>
                <c:pt idx="148">
                  <c:v>1498</c:v>
                </c:pt>
                <c:pt idx="149">
                  <c:v>1451</c:v>
                </c:pt>
                <c:pt idx="150">
                  <c:v>1530</c:v>
                </c:pt>
                <c:pt idx="151">
                  <c:v>1498</c:v>
                </c:pt>
                <c:pt idx="152">
                  <c:v>1458</c:v>
                </c:pt>
                <c:pt idx="153">
                  <c:v>1520</c:v>
                </c:pt>
                <c:pt idx="154">
                  <c:v>1402</c:v>
                </c:pt>
                <c:pt idx="155">
                  <c:v>1441</c:v>
                </c:pt>
                <c:pt idx="156">
                  <c:v>1381</c:v>
                </c:pt>
                <c:pt idx="157">
                  <c:v>1356</c:v>
                </c:pt>
                <c:pt idx="158">
                  <c:v>1488</c:v>
                </c:pt>
                <c:pt idx="159">
                  <c:v>1522</c:v>
                </c:pt>
                <c:pt idx="160">
                  <c:v>1501</c:v>
                </c:pt>
                <c:pt idx="161">
                  <c:v>1475</c:v>
                </c:pt>
                <c:pt idx="162">
                  <c:v>1576</c:v>
                </c:pt>
                <c:pt idx="163">
                  <c:v>1571</c:v>
                </c:pt>
                <c:pt idx="164">
                  <c:v>1568</c:v>
                </c:pt>
                <c:pt idx="165">
                  <c:v>1564</c:v>
                </c:pt>
                <c:pt idx="166">
                  <c:v>1482</c:v>
                </c:pt>
                <c:pt idx="167">
                  <c:v>1569</c:v>
                </c:pt>
                <c:pt idx="168">
                  <c:v>1470</c:v>
                </c:pt>
                <c:pt idx="169">
                  <c:v>1455</c:v>
                </c:pt>
                <c:pt idx="170">
                  <c:v>1664</c:v>
                </c:pt>
                <c:pt idx="171">
                  <c:v>1589</c:v>
                </c:pt>
                <c:pt idx="172">
                  <c:v>1653</c:v>
                </c:pt>
                <c:pt idx="173">
                  <c:v>1639</c:v>
                </c:pt>
                <c:pt idx="174">
                  <c:v>1695</c:v>
                </c:pt>
                <c:pt idx="175">
                  <c:v>1694</c:v>
                </c:pt>
                <c:pt idx="176">
                  <c:v>1631</c:v>
                </c:pt>
                <c:pt idx="177">
                  <c:v>1640</c:v>
                </c:pt>
                <c:pt idx="178">
                  <c:v>1556</c:v>
                </c:pt>
                <c:pt idx="179">
                  <c:v>1647</c:v>
                </c:pt>
                <c:pt idx="180">
                  <c:v>1520</c:v>
                </c:pt>
                <c:pt idx="181">
                  <c:v>1475</c:v>
                </c:pt>
                <c:pt idx="182">
                  <c:v>1754</c:v>
                </c:pt>
                <c:pt idx="183">
                  <c:v>1605</c:v>
                </c:pt>
                <c:pt idx="184">
                  <c:v>1701</c:v>
                </c:pt>
                <c:pt idx="185">
                  <c:v>1701</c:v>
                </c:pt>
                <c:pt idx="186">
                  <c:v>1830</c:v>
                </c:pt>
                <c:pt idx="187">
                  <c:v>1713</c:v>
                </c:pt>
                <c:pt idx="188">
                  <c:v>1668</c:v>
                </c:pt>
                <c:pt idx="189">
                  <c:v>1664</c:v>
                </c:pt>
                <c:pt idx="190">
                  <c:v>1623</c:v>
                </c:pt>
                <c:pt idx="191">
                  <c:v>1634</c:v>
                </c:pt>
                <c:pt idx="192">
                  <c:v>1498</c:v>
                </c:pt>
                <c:pt idx="193">
                  <c:v>1529</c:v>
                </c:pt>
                <c:pt idx="194">
                  <c:v>1710</c:v>
                </c:pt>
                <c:pt idx="195">
                  <c:v>1657</c:v>
                </c:pt>
                <c:pt idx="196">
                  <c:v>1743</c:v>
                </c:pt>
                <c:pt idx="197">
                  <c:v>1696</c:v>
                </c:pt>
                <c:pt idx="198">
                  <c:v>1885</c:v>
                </c:pt>
                <c:pt idx="199">
                  <c:v>1840</c:v>
                </c:pt>
                <c:pt idx="200">
                  <c:v>1674</c:v>
                </c:pt>
                <c:pt idx="201">
                  <c:v>1709</c:v>
                </c:pt>
                <c:pt idx="202">
                  <c:v>1618</c:v>
                </c:pt>
                <c:pt idx="203">
                  <c:v>1673</c:v>
                </c:pt>
                <c:pt idx="204">
                  <c:v>1591</c:v>
                </c:pt>
                <c:pt idx="205">
                  <c:v>1521</c:v>
                </c:pt>
                <c:pt idx="206">
                  <c:v>1764</c:v>
                </c:pt>
                <c:pt idx="207">
                  <c:v>1665</c:v>
                </c:pt>
                <c:pt idx="208">
                  <c:v>1750</c:v>
                </c:pt>
                <c:pt idx="209">
                  <c:v>1728</c:v>
                </c:pt>
                <c:pt idx="210">
                  <c:v>1783</c:v>
                </c:pt>
                <c:pt idx="211">
                  <c:v>1679</c:v>
                </c:pt>
                <c:pt idx="212">
                  <c:v>1605</c:v>
                </c:pt>
                <c:pt idx="213">
                  <c:v>1694</c:v>
                </c:pt>
                <c:pt idx="214">
                  <c:v>1560</c:v>
                </c:pt>
                <c:pt idx="215">
                  <c:v>1629</c:v>
                </c:pt>
                <c:pt idx="216">
                  <c:v>1546</c:v>
                </c:pt>
                <c:pt idx="217">
                  <c:v>1574</c:v>
                </c:pt>
                <c:pt idx="218">
                  <c:v>1737</c:v>
                </c:pt>
                <c:pt idx="219">
                  <c:v>1659</c:v>
                </c:pt>
                <c:pt idx="220">
                  <c:v>1691</c:v>
                </c:pt>
                <c:pt idx="221">
                  <c:v>1681</c:v>
                </c:pt>
                <c:pt idx="222">
                  <c:v>1788</c:v>
                </c:pt>
                <c:pt idx="223">
                  <c:v>1746</c:v>
                </c:pt>
                <c:pt idx="224">
                  <c:v>1672</c:v>
                </c:pt>
                <c:pt idx="225">
                  <c:v>1751</c:v>
                </c:pt>
                <c:pt idx="226">
                  <c:v>1646</c:v>
                </c:pt>
                <c:pt idx="227">
                  <c:v>1714</c:v>
                </c:pt>
                <c:pt idx="228">
                  <c:v>1557</c:v>
                </c:pt>
                <c:pt idx="229">
                  <c:v>1617</c:v>
                </c:pt>
                <c:pt idx="230">
                  <c:v>1826</c:v>
                </c:pt>
                <c:pt idx="231">
                  <c:v>1758</c:v>
                </c:pt>
                <c:pt idx="232">
                  <c:v>1756</c:v>
                </c:pt>
                <c:pt idx="233">
                  <c:v>1725</c:v>
                </c:pt>
                <c:pt idx="234">
                  <c:v>1835</c:v>
                </c:pt>
                <c:pt idx="235">
                  <c:v>1724</c:v>
                </c:pt>
                <c:pt idx="236">
                  <c:v>1730</c:v>
                </c:pt>
                <c:pt idx="237">
                  <c:v>1752</c:v>
                </c:pt>
                <c:pt idx="238">
                  <c:v>1642</c:v>
                </c:pt>
                <c:pt idx="239">
                  <c:v>1717</c:v>
                </c:pt>
                <c:pt idx="240">
                  <c:v>1579</c:v>
                </c:pt>
                <c:pt idx="241">
                  <c:v>1647</c:v>
                </c:pt>
                <c:pt idx="242">
                  <c:v>1961</c:v>
                </c:pt>
                <c:pt idx="243">
                  <c:v>1772</c:v>
                </c:pt>
                <c:pt idx="244">
                  <c:v>1822</c:v>
                </c:pt>
                <c:pt idx="245">
                  <c:v>1884</c:v>
                </c:pt>
                <c:pt idx="246">
                  <c:v>1901</c:v>
                </c:pt>
                <c:pt idx="247">
                  <c:v>1917</c:v>
                </c:pt>
                <c:pt idx="248">
                  <c:v>1796</c:v>
                </c:pt>
                <c:pt idx="249">
                  <c:v>1722</c:v>
                </c:pt>
                <c:pt idx="250">
                  <c:v>1702</c:v>
                </c:pt>
                <c:pt idx="251">
                  <c:v>1829</c:v>
                </c:pt>
                <c:pt idx="252">
                  <c:v>1687</c:v>
                </c:pt>
                <c:pt idx="253">
                  <c:v>1668</c:v>
                </c:pt>
                <c:pt idx="254">
                  <c:v>2009</c:v>
                </c:pt>
                <c:pt idx="255">
                  <c:v>1774</c:v>
                </c:pt>
                <c:pt idx="256">
                  <c:v>1863</c:v>
                </c:pt>
                <c:pt idx="257">
                  <c:v>1758</c:v>
                </c:pt>
                <c:pt idx="258">
                  <c:v>1717</c:v>
                </c:pt>
                <c:pt idx="259">
                  <c:v>1823</c:v>
                </c:pt>
                <c:pt idx="260">
                  <c:v>1746</c:v>
                </c:pt>
                <c:pt idx="261">
                  <c:v>1857</c:v>
                </c:pt>
                <c:pt idx="262">
                  <c:v>1803</c:v>
                </c:pt>
                <c:pt idx="263">
                  <c:v>1777</c:v>
                </c:pt>
                <c:pt idx="264">
                  <c:v>1690</c:v>
                </c:pt>
                <c:pt idx="265">
                  <c:v>1686</c:v>
                </c:pt>
                <c:pt idx="266">
                  <c:v>1956</c:v>
                </c:pt>
                <c:pt idx="267">
                  <c:v>1807</c:v>
                </c:pt>
                <c:pt idx="268">
                  <c:v>1949</c:v>
                </c:pt>
                <c:pt idx="269">
                  <c:v>1833</c:v>
                </c:pt>
                <c:pt idx="270">
                  <c:v>1813</c:v>
                </c:pt>
                <c:pt idx="271">
                  <c:v>1886</c:v>
                </c:pt>
                <c:pt idx="272">
                  <c:v>1805</c:v>
                </c:pt>
                <c:pt idx="273">
                  <c:v>1931</c:v>
                </c:pt>
                <c:pt idx="274">
                  <c:v>1822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66-D347-978C-3EA2D180D534}"/>
            </c:ext>
          </c:extLst>
        </c:ser>
        <c:ser>
          <c:idx val="1"/>
          <c:order val="1"/>
          <c:tx>
            <c:strRef>
              <c:f>'Técnia 1. Promedio Móvil'!$E$1</c:f>
              <c:strCache>
                <c:ptCount val="1"/>
                <c:pt idx="0">
                  <c:v>Pronóstico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'Técnia 1. Promedio Móvil'!$E$2:$E$277</c:f>
              <c:numCache>
                <c:formatCode>#,##0</c:formatCode>
                <c:ptCount val="276"/>
                <c:pt idx="12">
                  <c:v>1023.4166666666666</c:v>
                </c:pt>
                <c:pt idx="13">
                  <c:v>1015.9166666666666</c:v>
                </c:pt>
                <c:pt idx="14">
                  <c:v>1007.0833333333334</c:v>
                </c:pt>
                <c:pt idx="15">
                  <c:v>1002.5</c:v>
                </c:pt>
                <c:pt idx="16">
                  <c:v>1004.5833333333334</c:v>
                </c:pt>
                <c:pt idx="17">
                  <c:v>1005.4166666666666</c:v>
                </c:pt>
                <c:pt idx="18">
                  <c:v>1008</c:v>
                </c:pt>
                <c:pt idx="19">
                  <c:v>1014.75</c:v>
                </c:pt>
                <c:pt idx="20">
                  <c:v>1017.3333333333334</c:v>
                </c:pt>
                <c:pt idx="21">
                  <c:v>1018.4166666666666</c:v>
                </c:pt>
                <c:pt idx="22">
                  <c:v>1017.75</c:v>
                </c:pt>
                <c:pt idx="23">
                  <c:v>1016</c:v>
                </c:pt>
                <c:pt idx="24">
                  <c:v>1011.75</c:v>
                </c:pt>
                <c:pt idx="25">
                  <c:v>1007.3333333333334</c:v>
                </c:pt>
                <c:pt idx="26">
                  <c:v>1006.5</c:v>
                </c:pt>
                <c:pt idx="27">
                  <c:v>1007</c:v>
                </c:pt>
                <c:pt idx="28">
                  <c:v>1004.5</c:v>
                </c:pt>
                <c:pt idx="29">
                  <c:v>1000.9166666666666</c:v>
                </c:pt>
                <c:pt idx="30">
                  <c:v>997.58333333333337</c:v>
                </c:pt>
                <c:pt idx="31">
                  <c:v>988.75</c:v>
                </c:pt>
                <c:pt idx="32">
                  <c:v>983.5</c:v>
                </c:pt>
                <c:pt idx="33">
                  <c:v>982.58333333333337</c:v>
                </c:pt>
                <c:pt idx="34">
                  <c:v>978.25</c:v>
                </c:pt>
                <c:pt idx="35">
                  <c:v>976.91666666666663</c:v>
                </c:pt>
                <c:pt idx="36">
                  <c:v>980.16666666666663</c:v>
                </c:pt>
                <c:pt idx="37">
                  <c:v>980.5</c:v>
                </c:pt>
                <c:pt idx="38">
                  <c:v>980.66666666666663</c:v>
                </c:pt>
                <c:pt idx="39">
                  <c:v>980.66666666666663</c:v>
                </c:pt>
                <c:pt idx="40">
                  <c:v>979.91666666666663</c:v>
                </c:pt>
                <c:pt idx="41">
                  <c:v>982.41666666666663</c:v>
                </c:pt>
                <c:pt idx="42">
                  <c:v>987</c:v>
                </c:pt>
                <c:pt idx="43">
                  <c:v>992.83333333333337</c:v>
                </c:pt>
                <c:pt idx="44">
                  <c:v>1000.1666666666666</c:v>
                </c:pt>
                <c:pt idx="45">
                  <c:v>1011.6666666666666</c:v>
                </c:pt>
                <c:pt idx="46">
                  <c:v>1020.4166666666666</c:v>
                </c:pt>
                <c:pt idx="47">
                  <c:v>1029.4166666666667</c:v>
                </c:pt>
                <c:pt idx="48">
                  <c:v>1037.6666666666667</c:v>
                </c:pt>
                <c:pt idx="49">
                  <c:v>1044.5833333333333</c:v>
                </c:pt>
                <c:pt idx="50">
                  <c:v>1054.0833333333333</c:v>
                </c:pt>
                <c:pt idx="51">
                  <c:v>1061.5</c:v>
                </c:pt>
                <c:pt idx="52">
                  <c:v>1064.25</c:v>
                </c:pt>
                <c:pt idx="53">
                  <c:v>1068.4166666666667</c:v>
                </c:pt>
                <c:pt idx="54">
                  <c:v>1071.5</c:v>
                </c:pt>
                <c:pt idx="55">
                  <c:v>1074.5</c:v>
                </c:pt>
                <c:pt idx="56">
                  <c:v>1079.5</c:v>
                </c:pt>
                <c:pt idx="57">
                  <c:v>1075.75</c:v>
                </c:pt>
                <c:pt idx="58">
                  <c:v>1076.9166666666667</c:v>
                </c:pt>
                <c:pt idx="59">
                  <c:v>1079.5</c:v>
                </c:pt>
                <c:pt idx="60">
                  <c:v>1079.0833333333333</c:v>
                </c:pt>
                <c:pt idx="61">
                  <c:v>1083.9166666666667</c:v>
                </c:pt>
                <c:pt idx="62">
                  <c:v>1081.75</c:v>
                </c:pt>
                <c:pt idx="63">
                  <c:v>1080.75</c:v>
                </c:pt>
                <c:pt idx="64">
                  <c:v>1084.4166666666667</c:v>
                </c:pt>
                <c:pt idx="65">
                  <c:v>1088.5</c:v>
                </c:pt>
                <c:pt idx="66">
                  <c:v>1090.5833333333333</c:v>
                </c:pt>
                <c:pt idx="67">
                  <c:v>1097.1666666666667</c:v>
                </c:pt>
                <c:pt idx="68">
                  <c:v>1103.4166666666667</c:v>
                </c:pt>
                <c:pt idx="69">
                  <c:v>1108.0833333333333</c:v>
                </c:pt>
                <c:pt idx="70">
                  <c:v>1115.1666666666667</c:v>
                </c:pt>
                <c:pt idx="71">
                  <c:v>1115.25</c:v>
                </c:pt>
                <c:pt idx="72">
                  <c:v>1114.9166666666667</c:v>
                </c:pt>
                <c:pt idx="73">
                  <c:v>1119.6666666666667</c:v>
                </c:pt>
                <c:pt idx="74">
                  <c:v>1127.0833333333333</c:v>
                </c:pt>
                <c:pt idx="75">
                  <c:v>1135.1666666666667</c:v>
                </c:pt>
                <c:pt idx="76">
                  <c:v>1137.8333333333333</c:v>
                </c:pt>
                <c:pt idx="77">
                  <c:v>1140.6666666666667</c:v>
                </c:pt>
                <c:pt idx="78">
                  <c:v>1145.6666666666667</c:v>
                </c:pt>
                <c:pt idx="79">
                  <c:v>1150.4166666666667</c:v>
                </c:pt>
                <c:pt idx="80">
                  <c:v>1149.8333333333333</c:v>
                </c:pt>
                <c:pt idx="81">
                  <c:v>1152.6666666666667</c:v>
                </c:pt>
                <c:pt idx="82">
                  <c:v>1156.1666666666667</c:v>
                </c:pt>
                <c:pt idx="83">
                  <c:v>1157.4166666666667</c:v>
                </c:pt>
                <c:pt idx="84">
                  <c:v>1163.0833333333333</c:v>
                </c:pt>
                <c:pt idx="85">
                  <c:v>1162.5833333333333</c:v>
                </c:pt>
                <c:pt idx="86">
                  <c:v>1166.8333333333333</c:v>
                </c:pt>
                <c:pt idx="87">
                  <c:v>1174.5</c:v>
                </c:pt>
                <c:pt idx="88">
                  <c:v>1184.5833333333333</c:v>
                </c:pt>
                <c:pt idx="89">
                  <c:v>1187.0833333333333</c:v>
                </c:pt>
                <c:pt idx="90">
                  <c:v>1190.5833333333333</c:v>
                </c:pt>
                <c:pt idx="91">
                  <c:v>1192.5833333333333</c:v>
                </c:pt>
                <c:pt idx="92">
                  <c:v>1192.5833333333333</c:v>
                </c:pt>
                <c:pt idx="93">
                  <c:v>1195.4166666666667</c:v>
                </c:pt>
                <c:pt idx="94">
                  <c:v>1198.4166666666667</c:v>
                </c:pt>
                <c:pt idx="95">
                  <c:v>1204.0833333333333</c:v>
                </c:pt>
                <c:pt idx="96">
                  <c:v>1210.8333333333333</c:v>
                </c:pt>
                <c:pt idx="97">
                  <c:v>1218.6666666666667</c:v>
                </c:pt>
                <c:pt idx="98">
                  <c:v>1227.9166666666667</c:v>
                </c:pt>
                <c:pt idx="99">
                  <c:v>1238.1666666666667</c:v>
                </c:pt>
                <c:pt idx="100">
                  <c:v>1241.8333333333333</c:v>
                </c:pt>
                <c:pt idx="101">
                  <c:v>1249</c:v>
                </c:pt>
                <c:pt idx="102">
                  <c:v>1256.75</c:v>
                </c:pt>
                <c:pt idx="103">
                  <c:v>1262.0833333333333</c:v>
                </c:pt>
                <c:pt idx="104">
                  <c:v>1271.0833333333333</c:v>
                </c:pt>
                <c:pt idx="105">
                  <c:v>1278.4166666666667</c:v>
                </c:pt>
                <c:pt idx="106">
                  <c:v>1275.9166666666667</c:v>
                </c:pt>
                <c:pt idx="107">
                  <c:v>1276.0833333333333</c:v>
                </c:pt>
                <c:pt idx="108">
                  <c:v>1277.5</c:v>
                </c:pt>
                <c:pt idx="109">
                  <c:v>1277.5833333333333</c:v>
                </c:pt>
                <c:pt idx="110">
                  <c:v>1271.75</c:v>
                </c:pt>
                <c:pt idx="111">
                  <c:v>1267.8333333333333</c:v>
                </c:pt>
                <c:pt idx="112">
                  <c:v>1263.0833333333333</c:v>
                </c:pt>
                <c:pt idx="113">
                  <c:v>1259.8333333333333</c:v>
                </c:pt>
                <c:pt idx="114">
                  <c:v>1259.6666666666667</c:v>
                </c:pt>
                <c:pt idx="115">
                  <c:v>1259.1666666666667</c:v>
                </c:pt>
                <c:pt idx="116">
                  <c:v>1266</c:v>
                </c:pt>
                <c:pt idx="117">
                  <c:v>1272</c:v>
                </c:pt>
                <c:pt idx="118">
                  <c:v>1282.8333333333333</c:v>
                </c:pt>
                <c:pt idx="119">
                  <c:v>1296.5833333333333</c:v>
                </c:pt>
                <c:pt idx="120">
                  <c:v>1307</c:v>
                </c:pt>
                <c:pt idx="121">
                  <c:v>1314.6666666666667</c:v>
                </c:pt>
                <c:pt idx="122">
                  <c:v>1322.4166666666667</c:v>
                </c:pt>
                <c:pt idx="123">
                  <c:v>1327.6666666666667</c:v>
                </c:pt>
                <c:pt idx="124">
                  <c:v>1336.75</c:v>
                </c:pt>
                <c:pt idx="125">
                  <c:v>1349.3333333333333</c:v>
                </c:pt>
                <c:pt idx="126">
                  <c:v>1356.4166666666667</c:v>
                </c:pt>
                <c:pt idx="127">
                  <c:v>1365.75</c:v>
                </c:pt>
                <c:pt idx="128">
                  <c:v>1368.75</c:v>
                </c:pt>
                <c:pt idx="129">
                  <c:v>1365.4166666666667</c:v>
                </c:pt>
                <c:pt idx="130">
                  <c:v>1364.25</c:v>
                </c:pt>
                <c:pt idx="131">
                  <c:v>1363.8333333333333</c:v>
                </c:pt>
                <c:pt idx="132">
                  <c:v>1360.8333333333333</c:v>
                </c:pt>
                <c:pt idx="133">
                  <c:v>1364.0833333333333</c:v>
                </c:pt>
                <c:pt idx="134">
                  <c:v>1364.5833333333333</c:v>
                </c:pt>
                <c:pt idx="135">
                  <c:v>1368.5833333333333</c:v>
                </c:pt>
                <c:pt idx="136">
                  <c:v>1373.9166666666667</c:v>
                </c:pt>
                <c:pt idx="137">
                  <c:v>1383.75</c:v>
                </c:pt>
                <c:pt idx="138">
                  <c:v>1386.3333333333333</c:v>
                </c:pt>
                <c:pt idx="139">
                  <c:v>1390.5833333333333</c:v>
                </c:pt>
                <c:pt idx="140">
                  <c:v>1402.3333333333333</c:v>
                </c:pt>
                <c:pt idx="141">
                  <c:v>1413.75</c:v>
                </c:pt>
                <c:pt idx="142">
                  <c:v>1427</c:v>
                </c:pt>
                <c:pt idx="143">
                  <c:v>1433.75</c:v>
                </c:pt>
                <c:pt idx="144">
                  <c:v>1438.25</c:v>
                </c:pt>
                <c:pt idx="145">
                  <c:v>1447.9166666666667</c:v>
                </c:pt>
                <c:pt idx="146">
                  <c:v>1458.9166666666667</c:v>
                </c:pt>
                <c:pt idx="147">
                  <c:v>1460.8333333333333</c:v>
                </c:pt>
                <c:pt idx="148">
                  <c:v>1464.4166666666667</c:v>
                </c:pt>
                <c:pt idx="149">
                  <c:v>1462.3333333333333</c:v>
                </c:pt>
                <c:pt idx="150">
                  <c:v>1466.3333333333333</c:v>
                </c:pt>
                <c:pt idx="151">
                  <c:v>1470.75</c:v>
                </c:pt>
                <c:pt idx="152">
                  <c:v>1464.5833333333333</c:v>
                </c:pt>
                <c:pt idx="153">
                  <c:v>1466.5833333333333</c:v>
                </c:pt>
                <c:pt idx="154">
                  <c:v>1467.5833333333333</c:v>
                </c:pt>
                <c:pt idx="155">
                  <c:v>1465.4166666666667</c:v>
                </c:pt>
                <c:pt idx="156">
                  <c:v>1467.0833333333333</c:v>
                </c:pt>
                <c:pt idx="157">
                  <c:v>1461.8333333333333</c:v>
                </c:pt>
                <c:pt idx="158">
                  <c:v>1457.1666666666667</c:v>
                </c:pt>
                <c:pt idx="159">
                  <c:v>1456.0833333333333</c:v>
                </c:pt>
                <c:pt idx="160">
                  <c:v>1462.0833333333333</c:v>
                </c:pt>
                <c:pt idx="161">
                  <c:v>1462.3333333333333</c:v>
                </c:pt>
                <c:pt idx="162">
                  <c:v>1464.3333333333333</c:v>
                </c:pt>
                <c:pt idx="163">
                  <c:v>1468.1666666666667</c:v>
                </c:pt>
                <c:pt idx="164">
                  <c:v>1474.25</c:v>
                </c:pt>
                <c:pt idx="165">
                  <c:v>1483.4166666666667</c:v>
                </c:pt>
                <c:pt idx="166">
                  <c:v>1487.0833333333333</c:v>
                </c:pt>
                <c:pt idx="167">
                  <c:v>1493.75</c:v>
                </c:pt>
                <c:pt idx="168">
                  <c:v>1504.4166666666667</c:v>
                </c:pt>
                <c:pt idx="169">
                  <c:v>1511.8333333333333</c:v>
                </c:pt>
                <c:pt idx="170">
                  <c:v>1520.0833333333333</c:v>
                </c:pt>
                <c:pt idx="171">
                  <c:v>1534.75</c:v>
                </c:pt>
                <c:pt idx="172">
                  <c:v>1540.3333333333333</c:v>
                </c:pt>
                <c:pt idx="173">
                  <c:v>1553</c:v>
                </c:pt>
                <c:pt idx="174">
                  <c:v>1566.6666666666667</c:v>
                </c:pt>
                <c:pt idx="175">
                  <c:v>1576.5833333333333</c:v>
                </c:pt>
                <c:pt idx="176">
                  <c:v>1586.8333333333333</c:v>
                </c:pt>
                <c:pt idx="177">
                  <c:v>1592.0833333333333</c:v>
                </c:pt>
                <c:pt idx="178">
                  <c:v>1598.4166666666667</c:v>
                </c:pt>
                <c:pt idx="179">
                  <c:v>1604.5833333333333</c:v>
                </c:pt>
                <c:pt idx="180">
                  <c:v>1611.0833333333333</c:v>
                </c:pt>
                <c:pt idx="181">
                  <c:v>1615.25</c:v>
                </c:pt>
                <c:pt idx="182">
                  <c:v>1616.9166666666667</c:v>
                </c:pt>
                <c:pt idx="183">
                  <c:v>1624.4166666666667</c:v>
                </c:pt>
                <c:pt idx="184">
                  <c:v>1625.75</c:v>
                </c:pt>
                <c:pt idx="185">
                  <c:v>1629.75</c:v>
                </c:pt>
                <c:pt idx="186">
                  <c:v>1634.9166666666667</c:v>
                </c:pt>
                <c:pt idx="187">
                  <c:v>1646.1666666666667</c:v>
                </c:pt>
                <c:pt idx="188">
                  <c:v>1647.75</c:v>
                </c:pt>
                <c:pt idx="189">
                  <c:v>1650.8333333333333</c:v>
                </c:pt>
                <c:pt idx="190">
                  <c:v>1652.8333333333333</c:v>
                </c:pt>
                <c:pt idx="191">
                  <c:v>1658.4166666666667</c:v>
                </c:pt>
                <c:pt idx="192">
                  <c:v>1657.3333333333333</c:v>
                </c:pt>
                <c:pt idx="193">
                  <c:v>1655.5</c:v>
                </c:pt>
                <c:pt idx="194">
                  <c:v>1660</c:v>
                </c:pt>
                <c:pt idx="195">
                  <c:v>1656.3333333333333</c:v>
                </c:pt>
                <c:pt idx="196">
                  <c:v>1660.6666666666667</c:v>
                </c:pt>
                <c:pt idx="197">
                  <c:v>1664.1666666666667</c:v>
                </c:pt>
                <c:pt idx="198">
                  <c:v>1663.75</c:v>
                </c:pt>
                <c:pt idx="199">
                  <c:v>1668.3333333333333</c:v>
                </c:pt>
                <c:pt idx="200">
                  <c:v>1678.9166666666667</c:v>
                </c:pt>
                <c:pt idx="201">
                  <c:v>1679.4166666666667</c:v>
                </c:pt>
                <c:pt idx="202">
                  <c:v>1683.1666666666667</c:v>
                </c:pt>
                <c:pt idx="203">
                  <c:v>1682.75</c:v>
                </c:pt>
                <c:pt idx="204">
                  <c:v>1686</c:v>
                </c:pt>
                <c:pt idx="205">
                  <c:v>1693.75</c:v>
                </c:pt>
                <c:pt idx="206">
                  <c:v>1693.0833333333333</c:v>
                </c:pt>
                <c:pt idx="207">
                  <c:v>1697.5833333333333</c:v>
                </c:pt>
                <c:pt idx="208">
                  <c:v>1698.25</c:v>
                </c:pt>
                <c:pt idx="209">
                  <c:v>1698.8333333333333</c:v>
                </c:pt>
                <c:pt idx="210">
                  <c:v>1701.5</c:v>
                </c:pt>
                <c:pt idx="211">
                  <c:v>1693</c:v>
                </c:pt>
                <c:pt idx="212">
                  <c:v>1679.5833333333333</c:v>
                </c:pt>
                <c:pt idx="213">
                  <c:v>1673.8333333333333</c:v>
                </c:pt>
                <c:pt idx="214">
                  <c:v>1672.5833333333333</c:v>
                </c:pt>
                <c:pt idx="215">
                  <c:v>1667.75</c:v>
                </c:pt>
                <c:pt idx="216">
                  <c:v>1664.0833333333333</c:v>
                </c:pt>
                <c:pt idx="217">
                  <c:v>1660.3333333333333</c:v>
                </c:pt>
                <c:pt idx="218">
                  <c:v>1664.75</c:v>
                </c:pt>
                <c:pt idx="219">
                  <c:v>1662.5</c:v>
                </c:pt>
                <c:pt idx="220">
                  <c:v>1662</c:v>
                </c:pt>
                <c:pt idx="221">
                  <c:v>1657.0833333333333</c:v>
                </c:pt>
                <c:pt idx="222">
                  <c:v>1653.1666666666667</c:v>
                </c:pt>
                <c:pt idx="223">
                  <c:v>1653.5833333333333</c:v>
                </c:pt>
                <c:pt idx="224">
                  <c:v>1659.1666666666667</c:v>
                </c:pt>
                <c:pt idx="225">
                  <c:v>1664.75</c:v>
                </c:pt>
                <c:pt idx="226">
                  <c:v>1669.5</c:v>
                </c:pt>
                <c:pt idx="227">
                  <c:v>1676.6666666666667</c:v>
                </c:pt>
                <c:pt idx="228">
                  <c:v>1683.75</c:v>
                </c:pt>
                <c:pt idx="229">
                  <c:v>1684.6666666666667</c:v>
                </c:pt>
                <c:pt idx="230">
                  <c:v>1688.25</c:v>
                </c:pt>
                <c:pt idx="231">
                  <c:v>1695.6666666666667</c:v>
                </c:pt>
                <c:pt idx="232">
                  <c:v>1703.9166666666667</c:v>
                </c:pt>
                <c:pt idx="233">
                  <c:v>1709.3333333333333</c:v>
                </c:pt>
                <c:pt idx="234">
                  <c:v>1713</c:v>
                </c:pt>
                <c:pt idx="235">
                  <c:v>1716.9166666666667</c:v>
                </c:pt>
                <c:pt idx="236">
                  <c:v>1715.0833333333333</c:v>
                </c:pt>
                <c:pt idx="237">
                  <c:v>1719.9166666666667</c:v>
                </c:pt>
                <c:pt idx="238">
                  <c:v>1720</c:v>
                </c:pt>
                <c:pt idx="239">
                  <c:v>1719.6666666666667</c:v>
                </c:pt>
                <c:pt idx="240">
                  <c:v>1719.9166666666667</c:v>
                </c:pt>
                <c:pt idx="241">
                  <c:v>1721.75</c:v>
                </c:pt>
                <c:pt idx="242">
                  <c:v>1724.25</c:v>
                </c:pt>
                <c:pt idx="243">
                  <c:v>1735.5</c:v>
                </c:pt>
                <c:pt idx="244">
                  <c:v>1736.6666666666667</c:v>
                </c:pt>
                <c:pt idx="245">
                  <c:v>1742.1666666666667</c:v>
                </c:pt>
                <c:pt idx="246">
                  <c:v>1755.4166666666667</c:v>
                </c:pt>
                <c:pt idx="247">
                  <c:v>1760.9166666666667</c:v>
                </c:pt>
                <c:pt idx="248">
                  <c:v>1777</c:v>
                </c:pt>
                <c:pt idx="249">
                  <c:v>1782.5</c:v>
                </c:pt>
                <c:pt idx="250">
                  <c:v>1780</c:v>
                </c:pt>
                <c:pt idx="251">
                  <c:v>1785</c:v>
                </c:pt>
                <c:pt idx="252">
                  <c:v>1794.3333333333333</c:v>
                </c:pt>
                <c:pt idx="253">
                  <c:v>1803.3333333333333</c:v>
                </c:pt>
                <c:pt idx="254">
                  <c:v>1805.0833333333333</c:v>
                </c:pt>
                <c:pt idx="255">
                  <c:v>1809.0833333333333</c:v>
                </c:pt>
                <c:pt idx="256">
                  <c:v>1809.25</c:v>
                </c:pt>
                <c:pt idx="257">
                  <c:v>1812.6666666666667</c:v>
                </c:pt>
                <c:pt idx="258">
                  <c:v>1802.1666666666667</c:v>
                </c:pt>
                <c:pt idx="259">
                  <c:v>1786.8333333333333</c:v>
                </c:pt>
                <c:pt idx="260">
                  <c:v>1779</c:v>
                </c:pt>
                <c:pt idx="261">
                  <c:v>1774.8333333333333</c:v>
                </c:pt>
                <c:pt idx="262">
                  <c:v>1786.0833333333333</c:v>
                </c:pt>
                <c:pt idx="263">
                  <c:v>1794.5</c:v>
                </c:pt>
                <c:pt idx="264">
                  <c:v>1790.1666666666667</c:v>
                </c:pt>
                <c:pt idx="265">
                  <c:v>1790.4166666666667</c:v>
                </c:pt>
                <c:pt idx="266">
                  <c:v>1791.9166666666667</c:v>
                </c:pt>
                <c:pt idx="267">
                  <c:v>1787.5</c:v>
                </c:pt>
                <c:pt idx="268">
                  <c:v>1790.25</c:v>
                </c:pt>
                <c:pt idx="269">
                  <c:v>1797.4166666666667</c:v>
                </c:pt>
                <c:pt idx="270">
                  <c:v>1800.7013888888889</c:v>
                </c:pt>
                <c:pt idx="271">
                  <c:v>1807.6765046296298</c:v>
                </c:pt>
                <c:pt idx="272">
                  <c:v>1806.3995466820991</c:v>
                </c:pt>
                <c:pt idx="273">
                  <c:v>1811.4328422389406</c:v>
                </c:pt>
                <c:pt idx="274">
                  <c:v>1807.6355790921855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66-D347-978C-3EA2D180D5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9857152"/>
        <c:axId val="290169232"/>
      </c:lineChart>
      <c:catAx>
        <c:axId val="2898571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90169232"/>
        <c:crosses val="autoZero"/>
        <c:auto val="1"/>
        <c:lblAlgn val="ctr"/>
        <c:lblOffset val="100"/>
        <c:noMultiLvlLbl val="0"/>
      </c:catAx>
      <c:valAx>
        <c:axId val="290169232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89857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'Técnica 2. SES'!$B$1</c:f>
              <c:strCache>
                <c:ptCount val="1"/>
                <c:pt idx="0">
                  <c:v>ventas($USD)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'Técnica 2. SES'!$B$2:$B$277</c:f>
              <c:numCache>
                <c:formatCode>#,##0</c:formatCode>
                <c:ptCount val="276"/>
                <c:pt idx="0">
                  <c:v>1049</c:v>
                </c:pt>
                <c:pt idx="1">
                  <c:v>1026</c:v>
                </c:pt>
                <c:pt idx="2">
                  <c:v>1074</c:v>
                </c:pt>
                <c:pt idx="3">
                  <c:v>1031</c:v>
                </c:pt>
                <c:pt idx="4">
                  <c:v>1047</c:v>
                </c:pt>
                <c:pt idx="5">
                  <c:v>986</c:v>
                </c:pt>
                <c:pt idx="6">
                  <c:v>1015</c:v>
                </c:pt>
                <c:pt idx="7">
                  <c:v>1021</c:v>
                </c:pt>
                <c:pt idx="8">
                  <c:v>958</c:v>
                </c:pt>
                <c:pt idx="9">
                  <c:v>1041</c:v>
                </c:pt>
                <c:pt idx="10">
                  <c:v>999</c:v>
                </c:pt>
                <c:pt idx="11">
                  <c:v>1034</c:v>
                </c:pt>
                <c:pt idx="12">
                  <c:v>959</c:v>
                </c:pt>
                <c:pt idx="13">
                  <c:v>920</c:v>
                </c:pt>
                <c:pt idx="14">
                  <c:v>1019</c:v>
                </c:pt>
                <c:pt idx="15">
                  <c:v>1056</c:v>
                </c:pt>
                <c:pt idx="16">
                  <c:v>1057</c:v>
                </c:pt>
                <c:pt idx="17">
                  <c:v>1017</c:v>
                </c:pt>
                <c:pt idx="18">
                  <c:v>1096</c:v>
                </c:pt>
                <c:pt idx="19">
                  <c:v>1052</c:v>
                </c:pt>
                <c:pt idx="20">
                  <c:v>971</c:v>
                </c:pt>
                <c:pt idx="21">
                  <c:v>1033</c:v>
                </c:pt>
                <c:pt idx="22">
                  <c:v>978</c:v>
                </c:pt>
                <c:pt idx="23">
                  <c:v>983</c:v>
                </c:pt>
                <c:pt idx="24">
                  <c:v>906</c:v>
                </c:pt>
                <c:pt idx="25">
                  <c:v>910</c:v>
                </c:pt>
                <c:pt idx="26">
                  <c:v>1025</c:v>
                </c:pt>
                <c:pt idx="27">
                  <c:v>1026</c:v>
                </c:pt>
                <c:pt idx="28">
                  <c:v>1014</c:v>
                </c:pt>
                <c:pt idx="29">
                  <c:v>977</c:v>
                </c:pt>
                <c:pt idx="30">
                  <c:v>990</c:v>
                </c:pt>
                <c:pt idx="31">
                  <c:v>989</c:v>
                </c:pt>
                <c:pt idx="32">
                  <c:v>960</c:v>
                </c:pt>
                <c:pt idx="33">
                  <c:v>981</c:v>
                </c:pt>
                <c:pt idx="34">
                  <c:v>962</c:v>
                </c:pt>
                <c:pt idx="35">
                  <c:v>1022</c:v>
                </c:pt>
                <c:pt idx="36">
                  <c:v>910</c:v>
                </c:pt>
                <c:pt idx="37">
                  <c:v>912</c:v>
                </c:pt>
                <c:pt idx="38">
                  <c:v>1025</c:v>
                </c:pt>
                <c:pt idx="39">
                  <c:v>1017</c:v>
                </c:pt>
                <c:pt idx="40">
                  <c:v>1044</c:v>
                </c:pt>
                <c:pt idx="41">
                  <c:v>1032</c:v>
                </c:pt>
                <c:pt idx="42">
                  <c:v>1060</c:v>
                </c:pt>
                <c:pt idx="43">
                  <c:v>1077</c:v>
                </c:pt>
                <c:pt idx="44">
                  <c:v>1098</c:v>
                </c:pt>
                <c:pt idx="45">
                  <c:v>1086</c:v>
                </c:pt>
                <c:pt idx="46">
                  <c:v>1070</c:v>
                </c:pt>
                <c:pt idx="47">
                  <c:v>1121</c:v>
                </c:pt>
                <c:pt idx="48">
                  <c:v>993</c:v>
                </c:pt>
                <c:pt idx="49">
                  <c:v>1026</c:v>
                </c:pt>
                <c:pt idx="50">
                  <c:v>1114</c:v>
                </c:pt>
                <c:pt idx="51">
                  <c:v>1050</c:v>
                </c:pt>
                <c:pt idx="52">
                  <c:v>1094</c:v>
                </c:pt>
                <c:pt idx="53">
                  <c:v>1069</c:v>
                </c:pt>
                <c:pt idx="54">
                  <c:v>1096</c:v>
                </c:pt>
                <c:pt idx="55">
                  <c:v>1137</c:v>
                </c:pt>
                <c:pt idx="56">
                  <c:v>1053</c:v>
                </c:pt>
                <c:pt idx="57">
                  <c:v>1100</c:v>
                </c:pt>
                <c:pt idx="58">
                  <c:v>1101</c:v>
                </c:pt>
                <c:pt idx="59">
                  <c:v>1116</c:v>
                </c:pt>
                <c:pt idx="60">
                  <c:v>1051</c:v>
                </c:pt>
                <c:pt idx="61">
                  <c:v>1000</c:v>
                </c:pt>
                <c:pt idx="62">
                  <c:v>1102</c:v>
                </c:pt>
                <c:pt idx="63">
                  <c:v>1094</c:v>
                </c:pt>
                <c:pt idx="64">
                  <c:v>1143</c:v>
                </c:pt>
                <c:pt idx="65">
                  <c:v>1094</c:v>
                </c:pt>
                <c:pt idx="66">
                  <c:v>1175</c:v>
                </c:pt>
                <c:pt idx="67">
                  <c:v>1212</c:v>
                </c:pt>
                <c:pt idx="68">
                  <c:v>1109</c:v>
                </c:pt>
                <c:pt idx="69">
                  <c:v>1185</c:v>
                </c:pt>
                <c:pt idx="70">
                  <c:v>1102</c:v>
                </c:pt>
                <c:pt idx="71">
                  <c:v>1112</c:v>
                </c:pt>
                <c:pt idx="72">
                  <c:v>1108</c:v>
                </c:pt>
                <c:pt idx="73">
                  <c:v>1089</c:v>
                </c:pt>
                <c:pt idx="74">
                  <c:v>1199</c:v>
                </c:pt>
                <c:pt idx="75">
                  <c:v>1126</c:v>
                </c:pt>
                <c:pt idx="76">
                  <c:v>1177</c:v>
                </c:pt>
                <c:pt idx="77">
                  <c:v>1154</c:v>
                </c:pt>
                <c:pt idx="78">
                  <c:v>1232</c:v>
                </c:pt>
                <c:pt idx="79">
                  <c:v>1205</c:v>
                </c:pt>
                <c:pt idx="80">
                  <c:v>1143</c:v>
                </c:pt>
                <c:pt idx="81">
                  <c:v>1227</c:v>
                </c:pt>
                <c:pt idx="82">
                  <c:v>1117</c:v>
                </c:pt>
                <c:pt idx="83">
                  <c:v>1180</c:v>
                </c:pt>
                <c:pt idx="84">
                  <c:v>1102</c:v>
                </c:pt>
                <c:pt idx="85">
                  <c:v>1140</c:v>
                </c:pt>
                <c:pt idx="86">
                  <c:v>1291</c:v>
                </c:pt>
                <c:pt idx="87">
                  <c:v>1247</c:v>
                </c:pt>
                <c:pt idx="88">
                  <c:v>1207</c:v>
                </c:pt>
                <c:pt idx="89">
                  <c:v>1196</c:v>
                </c:pt>
                <c:pt idx="90">
                  <c:v>1256</c:v>
                </c:pt>
                <c:pt idx="91">
                  <c:v>1205</c:v>
                </c:pt>
                <c:pt idx="92">
                  <c:v>1177</c:v>
                </c:pt>
                <c:pt idx="93">
                  <c:v>1263</c:v>
                </c:pt>
                <c:pt idx="94">
                  <c:v>1185</c:v>
                </c:pt>
                <c:pt idx="95">
                  <c:v>1261</c:v>
                </c:pt>
                <c:pt idx="96">
                  <c:v>1196</c:v>
                </c:pt>
                <c:pt idx="97">
                  <c:v>1251</c:v>
                </c:pt>
                <c:pt idx="98">
                  <c:v>1414</c:v>
                </c:pt>
                <c:pt idx="99">
                  <c:v>1291</c:v>
                </c:pt>
                <c:pt idx="100">
                  <c:v>1293</c:v>
                </c:pt>
                <c:pt idx="101">
                  <c:v>1289</c:v>
                </c:pt>
                <c:pt idx="102">
                  <c:v>1320</c:v>
                </c:pt>
                <c:pt idx="103">
                  <c:v>1313</c:v>
                </c:pt>
                <c:pt idx="104">
                  <c:v>1265</c:v>
                </c:pt>
                <c:pt idx="105">
                  <c:v>1233</c:v>
                </c:pt>
                <c:pt idx="106">
                  <c:v>1187</c:v>
                </c:pt>
                <c:pt idx="107">
                  <c:v>1278</c:v>
                </c:pt>
                <c:pt idx="108">
                  <c:v>1197</c:v>
                </c:pt>
                <c:pt idx="109">
                  <c:v>1181</c:v>
                </c:pt>
                <c:pt idx="110">
                  <c:v>1367</c:v>
                </c:pt>
                <c:pt idx="111">
                  <c:v>1234</c:v>
                </c:pt>
                <c:pt idx="112">
                  <c:v>1254</c:v>
                </c:pt>
                <c:pt idx="113">
                  <c:v>1287</c:v>
                </c:pt>
                <c:pt idx="114">
                  <c:v>1314</c:v>
                </c:pt>
                <c:pt idx="115">
                  <c:v>1395</c:v>
                </c:pt>
                <c:pt idx="116">
                  <c:v>1337</c:v>
                </c:pt>
                <c:pt idx="117">
                  <c:v>1363</c:v>
                </c:pt>
                <c:pt idx="118">
                  <c:v>1352</c:v>
                </c:pt>
                <c:pt idx="119">
                  <c:v>1403</c:v>
                </c:pt>
                <c:pt idx="120">
                  <c:v>1289</c:v>
                </c:pt>
                <c:pt idx="121">
                  <c:v>1274</c:v>
                </c:pt>
                <c:pt idx="122">
                  <c:v>1430</c:v>
                </c:pt>
                <c:pt idx="123">
                  <c:v>1343</c:v>
                </c:pt>
                <c:pt idx="124">
                  <c:v>1405</c:v>
                </c:pt>
                <c:pt idx="125">
                  <c:v>1372</c:v>
                </c:pt>
                <c:pt idx="126">
                  <c:v>1426</c:v>
                </c:pt>
                <c:pt idx="127">
                  <c:v>1431</c:v>
                </c:pt>
                <c:pt idx="128">
                  <c:v>1297</c:v>
                </c:pt>
                <c:pt idx="129">
                  <c:v>1349</c:v>
                </c:pt>
                <c:pt idx="130">
                  <c:v>1347</c:v>
                </c:pt>
                <c:pt idx="131">
                  <c:v>1367</c:v>
                </c:pt>
                <c:pt idx="132">
                  <c:v>1328</c:v>
                </c:pt>
                <c:pt idx="133">
                  <c:v>1280</c:v>
                </c:pt>
                <c:pt idx="134">
                  <c:v>1478</c:v>
                </c:pt>
                <c:pt idx="135">
                  <c:v>1407</c:v>
                </c:pt>
                <c:pt idx="136">
                  <c:v>1523</c:v>
                </c:pt>
                <c:pt idx="137">
                  <c:v>1403</c:v>
                </c:pt>
                <c:pt idx="138">
                  <c:v>1477</c:v>
                </c:pt>
                <c:pt idx="139">
                  <c:v>1572</c:v>
                </c:pt>
                <c:pt idx="140">
                  <c:v>1434</c:v>
                </c:pt>
                <c:pt idx="141">
                  <c:v>1508</c:v>
                </c:pt>
                <c:pt idx="142">
                  <c:v>1428</c:v>
                </c:pt>
                <c:pt idx="143">
                  <c:v>1421</c:v>
                </c:pt>
                <c:pt idx="144">
                  <c:v>1444</c:v>
                </c:pt>
                <c:pt idx="145">
                  <c:v>1412</c:v>
                </c:pt>
                <c:pt idx="146">
                  <c:v>1501</c:v>
                </c:pt>
                <c:pt idx="147">
                  <c:v>1450</c:v>
                </c:pt>
                <c:pt idx="148">
                  <c:v>1498</c:v>
                </c:pt>
                <c:pt idx="149">
                  <c:v>1451</c:v>
                </c:pt>
                <c:pt idx="150">
                  <c:v>1530</c:v>
                </c:pt>
                <c:pt idx="151">
                  <c:v>1498</c:v>
                </c:pt>
                <c:pt idx="152">
                  <c:v>1458</c:v>
                </c:pt>
                <c:pt idx="153">
                  <c:v>1520</c:v>
                </c:pt>
                <c:pt idx="154">
                  <c:v>1402</c:v>
                </c:pt>
                <c:pt idx="155">
                  <c:v>1441</c:v>
                </c:pt>
                <c:pt idx="156">
                  <c:v>1381</c:v>
                </c:pt>
                <c:pt idx="157">
                  <c:v>1356</c:v>
                </c:pt>
                <c:pt idx="158">
                  <c:v>1488</c:v>
                </c:pt>
                <c:pt idx="159">
                  <c:v>1522</c:v>
                </c:pt>
                <c:pt idx="160">
                  <c:v>1501</c:v>
                </c:pt>
                <c:pt idx="161">
                  <c:v>1475</c:v>
                </c:pt>
                <c:pt idx="162">
                  <c:v>1576</c:v>
                </c:pt>
                <c:pt idx="163">
                  <c:v>1571</c:v>
                </c:pt>
                <c:pt idx="164">
                  <c:v>1568</c:v>
                </c:pt>
                <c:pt idx="165">
                  <c:v>1564</c:v>
                </c:pt>
                <c:pt idx="166">
                  <c:v>1482</c:v>
                </c:pt>
                <c:pt idx="167">
                  <c:v>1569</c:v>
                </c:pt>
                <c:pt idx="168">
                  <c:v>1470</c:v>
                </c:pt>
                <c:pt idx="169">
                  <c:v>1455</c:v>
                </c:pt>
                <c:pt idx="170">
                  <c:v>1664</c:v>
                </c:pt>
                <c:pt idx="171">
                  <c:v>1589</c:v>
                </c:pt>
                <c:pt idx="172">
                  <c:v>1653</c:v>
                </c:pt>
                <c:pt idx="173">
                  <c:v>1639</c:v>
                </c:pt>
                <c:pt idx="174">
                  <c:v>1695</c:v>
                </c:pt>
                <c:pt idx="175">
                  <c:v>1694</c:v>
                </c:pt>
                <c:pt idx="176">
                  <c:v>1631</c:v>
                </c:pt>
                <c:pt idx="177">
                  <c:v>1640</c:v>
                </c:pt>
                <c:pt idx="178">
                  <c:v>1556</c:v>
                </c:pt>
                <c:pt idx="179">
                  <c:v>1647</c:v>
                </c:pt>
                <c:pt idx="180">
                  <c:v>1520</c:v>
                </c:pt>
                <c:pt idx="181">
                  <c:v>1475</c:v>
                </c:pt>
                <c:pt idx="182">
                  <c:v>1754</c:v>
                </c:pt>
                <c:pt idx="183">
                  <c:v>1605</c:v>
                </c:pt>
                <c:pt idx="184">
                  <c:v>1701</c:v>
                </c:pt>
                <c:pt idx="185">
                  <c:v>1701</c:v>
                </c:pt>
                <c:pt idx="186">
                  <c:v>1830</c:v>
                </c:pt>
                <c:pt idx="187">
                  <c:v>1713</c:v>
                </c:pt>
                <c:pt idx="188">
                  <c:v>1668</c:v>
                </c:pt>
                <c:pt idx="189">
                  <c:v>1664</c:v>
                </c:pt>
                <c:pt idx="190">
                  <c:v>1623</c:v>
                </c:pt>
                <c:pt idx="191">
                  <c:v>1634</c:v>
                </c:pt>
                <c:pt idx="192">
                  <c:v>1498</c:v>
                </c:pt>
                <c:pt idx="193">
                  <c:v>1529</c:v>
                </c:pt>
                <c:pt idx="194">
                  <c:v>1710</c:v>
                </c:pt>
                <c:pt idx="195">
                  <c:v>1657</c:v>
                </c:pt>
                <c:pt idx="196">
                  <c:v>1743</c:v>
                </c:pt>
                <c:pt idx="197">
                  <c:v>1696</c:v>
                </c:pt>
                <c:pt idx="198">
                  <c:v>1885</c:v>
                </c:pt>
                <c:pt idx="199">
                  <c:v>1840</c:v>
                </c:pt>
                <c:pt idx="200">
                  <c:v>1674</c:v>
                </c:pt>
                <c:pt idx="201">
                  <c:v>1709</c:v>
                </c:pt>
                <c:pt idx="202">
                  <c:v>1618</c:v>
                </c:pt>
                <c:pt idx="203">
                  <c:v>1673</c:v>
                </c:pt>
                <c:pt idx="204">
                  <c:v>1591</c:v>
                </c:pt>
                <c:pt idx="205">
                  <c:v>1521</c:v>
                </c:pt>
                <c:pt idx="206">
                  <c:v>1764</c:v>
                </c:pt>
                <c:pt idx="207">
                  <c:v>1665</c:v>
                </c:pt>
                <c:pt idx="208">
                  <c:v>1750</c:v>
                </c:pt>
                <c:pt idx="209">
                  <c:v>1728</c:v>
                </c:pt>
                <c:pt idx="210">
                  <c:v>1783</c:v>
                </c:pt>
                <c:pt idx="211">
                  <c:v>1679</c:v>
                </c:pt>
                <c:pt idx="212">
                  <c:v>1605</c:v>
                </c:pt>
                <c:pt idx="213">
                  <c:v>1694</c:v>
                </c:pt>
                <c:pt idx="214">
                  <c:v>1560</c:v>
                </c:pt>
                <c:pt idx="215">
                  <c:v>1629</c:v>
                </c:pt>
                <c:pt idx="216">
                  <c:v>1546</c:v>
                </c:pt>
                <c:pt idx="217">
                  <c:v>1574</c:v>
                </c:pt>
                <c:pt idx="218">
                  <c:v>1737</c:v>
                </c:pt>
                <c:pt idx="219">
                  <c:v>1659</c:v>
                </c:pt>
                <c:pt idx="220">
                  <c:v>1691</c:v>
                </c:pt>
                <c:pt idx="221">
                  <c:v>1681</c:v>
                </c:pt>
                <c:pt idx="222">
                  <c:v>1788</c:v>
                </c:pt>
                <c:pt idx="223">
                  <c:v>1746</c:v>
                </c:pt>
                <c:pt idx="224">
                  <c:v>1672</c:v>
                </c:pt>
                <c:pt idx="225">
                  <c:v>1751</c:v>
                </c:pt>
                <c:pt idx="226">
                  <c:v>1646</c:v>
                </c:pt>
                <c:pt idx="227">
                  <c:v>1714</c:v>
                </c:pt>
                <c:pt idx="228">
                  <c:v>1557</c:v>
                </c:pt>
                <c:pt idx="229">
                  <c:v>1617</c:v>
                </c:pt>
                <c:pt idx="230">
                  <c:v>1826</c:v>
                </c:pt>
                <c:pt idx="231">
                  <c:v>1758</c:v>
                </c:pt>
                <c:pt idx="232">
                  <c:v>1756</c:v>
                </c:pt>
                <c:pt idx="233">
                  <c:v>1725</c:v>
                </c:pt>
                <c:pt idx="234">
                  <c:v>1835</c:v>
                </c:pt>
                <c:pt idx="235">
                  <c:v>1724</c:v>
                </c:pt>
                <c:pt idx="236">
                  <c:v>1730</c:v>
                </c:pt>
                <c:pt idx="237">
                  <c:v>1752</c:v>
                </c:pt>
                <c:pt idx="238">
                  <c:v>1642</c:v>
                </c:pt>
                <c:pt idx="239">
                  <c:v>1717</c:v>
                </c:pt>
                <c:pt idx="240">
                  <c:v>1579</c:v>
                </c:pt>
                <c:pt idx="241">
                  <c:v>1647</c:v>
                </c:pt>
                <c:pt idx="242">
                  <c:v>1961</c:v>
                </c:pt>
                <c:pt idx="243">
                  <c:v>1772</c:v>
                </c:pt>
                <c:pt idx="244">
                  <c:v>1822</c:v>
                </c:pt>
                <c:pt idx="245">
                  <c:v>1884</c:v>
                </c:pt>
                <c:pt idx="246">
                  <c:v>1901</c:v>
                </c:pt>
                <c:pt idx="247">
                  <c:v>1917</c:v>
                </c:pt>
                <c:pt idx="248">
                  <c:v>1796</c:v>
                </c:pt>
                <c:pt idx="249">
                  <c:v>1722</c:v>
                </c:pt>
                <c:pt idx="250">
                  <c:v>1702</c:v>
                </c:pt>
                <c:pt idx="251">
                  <c:v>1829</c:v>
                </c:pt>
                <c:pt idx="252">
                  <c:v>1687</c:v>
                </c:pt>
                <c:pt idx="253">
                  <c:v>1668</c:v>
                </c:pt>
                <c:pt idx="254">
                  <c:v>2009</c:v>
                </c:pt>
                <c:pt idx="255">
                  <c:v>1774</c:v>
                </c:pt>
                <c:pt idx="256">
                  <c:v>1863</c:v>
                </c:pt>
                <c:pt idx="257">
                  <c:v>1758</c:v>
                </c:pt>
                <c:pt idx="258">
                  <c:v>1717</c:v>
                </c:pt>
                <c:pt idx="259">
                  <c:v>1823</c:v>
                </c:pt>
                <c:pt idx="260">
                  <c:v>1746</c:v>
                </c:pt>
                <c:pt idx="261">
                  <c:v>1857</c:v>
                </c:pt>
                <c:pt idx="262">
                  <c:v>1803</c:v>
                </c:pt>
                <c:pt idx="263">
                  <c:v>1777</c:v>
                </c:pt>
                <c:pt idx="264">
                  <c:v>1690</c:v>
                </c:pt>
                <c:pt idx="265">
                  <c:v>1686</c:v>
                </c:pt>
                <c:pt idx="266">
                  <c:v>1956</c:v>
                </c:pt>
                <c:pt idx="267">
                  <c:v>1807</c:v>
                </c:pt>
                <c:pt idx="268">
                  <c:v>1949</c:v>
                </c:pt>
                <c:pt idx="269">
                  <c:v>1833</c:v>
                </c:pt>
                <c:pt idx="270">
                  <c:v>1813</c:v>
                </c:pt>
                <c:pt idx="271">
                  <c:v>1886</c:v>
                </c:pt>
                <c:pt idx="272">
                  <c:v>1805</c:v>
                </c:pt>
                <c:pt idx="273">
                  <c:v>1931</c:v>
                </c:pt>
                <c:pt idx="274">
                  <c:v>1822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94-9844-9B3F-4F041153814F}"/>
            </c:ext>
          </c:extLst>
        </c:ser>
        <c:ser>
          <c:idx val="1"/>
          <c:order val="1"/>
          <c:tx>
            <c:strRef>
              <c:f>'Técnica 2. SES'!$D$1</c:f>
              <c:strCache>
                <c:ptCount val="1"/>
                <c:pt idx="0">
                  <c:v>Pronóstico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'Técnica 2. SES'!$D$2:$D$277</c:f>
              <c:numCache>
                <c:formatCode>#,##0</c:formatCode>
                <c:ptCount val="276"/>
                <c:pt idx="1">
                  <c:v>1049</c:v>
                </c:pt>
                <c:pt idx="2">
                  <c:v>1041.9966497379376</c:v>
                </c:pt>
                <c:pt idx="3">
                  <c:v>1051.7414615398807</c:v>
                </c:pt>
                <c:pt idx="4">
                  <c:v>1045.4258215350596</c:v>
                </c:pt>
                <c:pt idx="5">
                  <c:v>1045.9051486291887</c:v>
                </c:pt>
                <c:pt idx="6">
                  <c:v>1027.6644208747923</c:v>
                </c:pt>
                <c:pt idx="7">
                  <c:v>1023.8081871681686</c:v>
                </c:pt>
                <c:pt idx="8">
                  <c:v>1022.9531124577288</c:v>
                </c:pt>
                <c:pt idx="9">
                  <c:v>1003.1753125815286</c:v>
                </c:pt>
                <c:pt idx="10">
                  <c:v>1014.6926836486841</c:v>
                </c:pt>
                <c:pt idx="11">
                  <c:v>1009.914363642446</c:v>
                </c:pt>
                <c:pt idx="12">
                  <c:v>1017.2482831075163</c:v>
                </c:pt>
                <c:pt idx="13">
                  <c:v>999.51206011770273</c:v>
                </c:pt>
                <c:pt idx="14">
                  <c:v>975.30115546281422</c:v>
                </c:pt>
                <c:pt idx="15">
                  <c:v>988.60716912982821</c:v>
                </c:pt>
                <c:pt idx="16">
                  <c:v>1009.1278473792083</c:v>
                </c:pt>
                <c:pt idx="17">
                  <c:v>1023.7046061880044</c:v>
                </c:pt>
                <c:pt idx="18">
                  <c:v>1021.663097253057</c:v>
                </c:pt>
                <c:pt idx="19">
                  <c:v>1044.2982001806095</c:v>
                </c:pt>
                <c:pt idx="20">
                  <c:v>1046.6433480842391</c:v>
                </c:pt>
                <c:pt idx="21">
                  <c:v>1023.6104410568898</c:v>
                </c:pt>
                <c:pt idx="22">
                  <c:v>1026.4695006257975</c:v>
                </c:pt>
                <c:pt idx="23">
                  <c:v>1011.7108532384186</c:v>
                </c:pt>
                <c:pt idx="24">
                  <c:v>1002.9685853448832</c:v>
                </c:pt>
                <c:pt idx="25">
                  <c:v>973.44228240632197</c:v>
                </c:pt>
                <c:pt idx="26">
                  <c:v>954.12452044475003</c:v>
                </c:pt>
                <c:pt idx="27">
                  <c:v>975.70564254549163</c:v>
                </c:pt>
                <c:pt idx="28">
                  <c:v>991.01994695676512</c:v>
                </c:pt>
                <c:pt idx="29">
                  <c:v>998.01722350035402</c:v>
                </c:pt>
                <c:pt idx="30">
                  <c:v>991.61761577387449</c:v>
                </c:pt>
                <c:pt idx="31">
                  <c:v>991.12506230196664</c:v>
                </c:pt>
                <c:pt idx="32">
                  <c:v>990.47799466590664</c:v>
                </c:pt>
                <c:pt idx="33">
                  <c:v>981.19764371240171</c:v>
                </c:pt>
                <c:pt idx="34">
                  <c:v>981.13746248870416</c:v>
                </c:pt>
                <c:pt idx="35">
                  <c:v>975.31022975237897</c:v>
                </c:pt>
                <c:pt idx="36">
                  <c:v>989.52696082626198</c:v>
                </c:pt>
                <c:pt idx="37">
                  <c:v>965.31151900262603</c:v>
                </c:pt>
                <c:pt idx="38">
                  <c:v>949.07850854271362</c:v>
                </c:pt>
                <c:pt idx="39">
                  <c:v>972.19610841634631</c:v>
                </c:pt>
                <c:pt idx="40">
                  <c:v>985.83860171477204</c:v>
                </c:pt>
                <c:pt idx="41">
                  <c:v>1003.5483688418489</c:v>
                </c:pt>
                <c:pt idx="42">
                  <c:v>1012.2117052995679</c:v>
                </c:pt>
                <c:pt idx="43">
                  <c:v>1026.7629299175585</c:v>
                </c:pt>
                <c:pt idx="44">
                  <c:v>1042.0597906969981</c:v>
                </c:pt>
                <c:pt idx="45">
                  <c:v>1059.0932202396939</c:v>
                </c:pt>
                <c:pt idx="46">
                  <c:v>1067.286159504285</c:v>
                </c:pt>
                <c:pt idx="47">
                  <c:v>1068.112506267192</c:v>
                </c:pt>
                <c:pt idx="48">
                  <c:v>1084.2164037929956</c:v>
                </c:pt>
                <c:pt idx="49">
                  <c:v>1056.4416026882971</c:v>
                </c:pt>
                <c:pt idx="50">
                  <c:v>1047.1723328550497</c:v>
                </c:pt>
                <c:pt idx="51">
                  <c:v>1067.5209224295108</c:v>
                </c:pt>
                <c:pt idx="52">
                  <c:v>1062.1859156169764</c:v>
                </c:pt>
                <c:pt idx="53">
                  <c:v>1071.8730971909383</c:v>
                </c:pt>
                <c:pt idx="54">
                  <c:v>1070.9982578011518</c:v>
                </c:pt>
                <c:pt idx="55">
                  <c:v>1078.6111255307308</c:v>
                </c:pt>
                <c:pt idx="56">
                  <c:v>1096.3901576748995</c:v>
                </c:pt>
                <c:pt idx="57">
                  <c:v>1083.1781371477937</c:v>
                </c:pt>
                <c:pt idx="58">
                  <c:v>1088.3002848701578</c:v>
                </c:pt>
                <c:pt idx="59">
                  <c:v>1092.1672654476665</c:v>
                </c:pt>
                <c:pt idx="60">
                  <c:v>1099.424177959525</c:v>
                </c:pt>
                <c:pt idx="61">
                  <c:v>1084.67933102896</c:v>
                </c:pt>
                <c:pt idx="62">
                  <c:v>1058.8950260223105</c:v>
                </c:pt>
                <c:pt idx="63">
                  <c:v>1072.0202099702601</c:v>
                </c:pt>
                <c:pt idx="64">
                  <c:v>1078.7129129382972</c:v>
                </c:pt>
                <c:pt idx="65">
                  <c:v>1098.2879124174626</c:v>
                </c:pt>
                <c:pt idx="66">
                  <c:v>1096.9822710021349</c:v>
                </c:pt>
                <c:pt idx="67">
                  <c:v>1120.7381615596439</c:v>
                </c:pt>
                <c:pt idx="68">
                  <c:v>1148.5267972186684</c:v>
                </c:pt>
                <c:pt idx="69">
                  <c:v>1136.4911447986749</c:v>
                </c:pt>
                <c:pt idx="70">
                  <c:v>1151.2617753980899</c:v>
                </c:pt>
                <c:pt idx="71">
                  <c:v>1136.2618855005303</c:v>
                </c:pt>
                <c:pt idx="72">
                  <c:v>1128.8742993188664</c:v>
                </c:pt>
                <c:pt idx="73">
                  <c:v>1122.5182110751641</c:v>
                </c:pt>
                <c:pt idx="74">
                  <c:v>1112.3121340178982</c:v>
                </c:pt>
                <c:pt idx="75">
                  <c:v>1138.7080248415234</c:v>
                </c:pt>
                <c:pt idx="76">
                  <c:v>1134.8385140109069</c:v>
                </c:pt>
                <c:pt idx="77">
                  <c:v>1147.6764120087614</c:v>
                </c:pt>
                <c:pt idx="78">
                  <c:v>1149.6019033833531</c:v>
                </c:pt>
                <c:pt idx="79">
                  <c:v>1174.6915873630765</c:v>
                </c:pt>
                <c:pt idx="80">
                  <c:v>1183.9203016927936</c:v>
                </c:pt>
                <c:pt idx="81">
                  <c:v>1171.4603362326241</c:v>
                </c:pt>
                <c:pt idx="82">
                  <c:v>1188.3718022674113</c:v>
                </c:pt>
                <c:pt idx="83">
                  <c:v>1166.6395531320486</c:v>
                </c:pt>
                <c:pt idx="84">
                  <c:v>1170.7077222222197</c:v>
                </c:pt>
                <c:pt idx="85">
                  <c:v>1149.7866681165374</c:v>
                </c:pt>
                <c:pt idx="86">
                  <c:v>1146.8066913896387</c:v>
                </c:pt>
                <c:pt idx="87">
                  <c:v>1190.7126151132916</c:v>
                </c:pt>
                <c:pt idx="88">
                  <c:v>1207.8517573609931</c:v>
                </c:pt>
                <c:pt idx="89">
                  <c:v>1207.592402789805</c:v>
                </c:pt>
                <c:pt idx="90">
                  <c:v>1204.062591610852</c:v>
                </c:pt>
                <c:pt idx="91">
                  <c:v>1219.8771943348945</c:v>
                </c:pt>
                <c:pt idx="92">
                  <c:v>1215.3471855155885</c:v>
                </c:pt>
                <c:pt idx="93">
                  <c:v>1203.6707171795038</c:v>
                </c:pt>
                <c:pt idx="94">
                  <c:v>1221.7360975442384</c:v>
                </c:pt>
                <c:pt idx="95">
                  <c:v>1210.550195006691</c:v>
                </c:pt>
                <c:pt idx="96">
                  <c:v>1225.9118321815122</c:v>
                </c:pt>
                <c:pt idx="97">
                  <c:v>1216.8038740185921</c:v>
                </c:pt>
                <c:pt idx="98">
                  <c:v>1227.216371751349</c:v>
                </c:pt>
                <c:pt idx="99">
                  <c:v>1284.0907705271818</c:v>
                </c:pt>
                <c:pt idx="100">
                  <c:v>1286.1945859201865</c:v>
                </c:pt>
                <c:pt idx="101">
                  <c:v>1288.2667902018952</c:v>
                </c:pt>
                <c:pt idx="102">
                  <c:v>1288.4900478119691</c:v>
                </c:pt>
                <c:pt idx="103">
                  <c:v>1298.0846231125611</c:v>
                </c:pt>
                <c:pt idx="104">
                  <c:v>1302.6262582705351</c:v>
                </c:pt>
                <c:pt idx="105">
                  <c:v>1291.1693075870837</c:v>
                </c:pt>
                <c:pt idx="106">
                  <c:v>1273.4571321290841</c:v>
                </c:pt>
                <c:pt idx="107">
                  <c:v>1247.1314982615456</c:v>
                </c:pt>
                <c:pt idx="108">
                  <c:v>1256.5307560763054</c:v>
                </c:pt>
                <c:pt idx="109">
                  <c:v>1238.4040284168373</c:v>
                </c:pt>
                <c:pt idx="110">
                  <c:v>1220.9248754839462</c:v>
                </c:pt>
                <c:pt idx="111">
                  <c:v>1265.4037998996114</c:v>
                </c:pt>
                <c:pt idx="112">
                  <c:v>1255.8415472797549</c:v>
                </c:pt>
                <c:pt idx="113">
                  <c:v>1255.2808081221779</c:v>
                </c:pt>
                <c:pt idx="114">
                  <c:v>1264.9390955460888</c:v>
                </c:pt>
                <c:pt idx="115">
                  <c:v>1279.8778215488851</c:v>
                </c:pt>
                <c:pt idx="116">
                  <c:v>1314.9317754021376</c:v>
                </c:pt>
                <c:pt idx="117">
                  <c:v>1321.6514061204284</c:v>
                </c:pt>
                <c:pt idx="118">
                  <c:v>1334.2417837631417</c:v>
                </c:pt>
                <c:pt idx="119">
                  <c:v>1339.6490449951486</c:v>
                </c:pt>
                <c:pt idx="120">
                  <c:v>1358.9389983575454</c:v>
                </c:pt>
                <c:pt idx="121">
                  <c:v>1337.6430286846889</c:v>
                </c:pt>
                <c:pt idx="122">
                  <c:v>1318.2641407882818</c:v>
                </c:pt>
                <c:pt idx="123">
                  <c:v>1352.2869824792449</c:v>
                </c:pt>
                <c:pt idx="124">
                  <c:v>1349.4591567757757</c:v>
                </c:pt>
                <c:pt idx="125">
                  <c:v>1366.3709819474946</c:v>
                </c:pt>
                <c:pt idx="126">
                  <c:v>1368.0849812976321</c:v>
                </c:pt>
                <c:pt idx="127">
                  <c:v>1385.719727445744</c:v>
                </c:pt>
                <c:pt idx="128">
                  <c:v>1399.5072756483137</c:v>
                </c:pt>
                <c:pt idx="129">
                  <c:v>1368.2944775711433</c:v>
                </c:pt>
                <c:pt idx="130">
                  <c:v>1362.4194347644379</c:v>
                </c:pt>
                <c:pt idx="131">
                  <c:v>1357.7243172645083</c:v>
                </c:pt>
                <c:pt idx="132">
                  <c:v>1360.5487022695697</c:v>
                </c:pt>
                <c:pt idx="133">
                  <c:v>1350.6378343317706</c:v>
                </c:pt>
                <c:pt idx="134">
                  <c:v>1329.1290736544258</c:v>
                </c:pt>
                <c:pt idx="135">
                  <c:v>1374.4593015255452</c:v>
                </c:pt>
                <c:pt idx="136">
                  <c:v>1384.3677323598392</c:v>
                </c:pt>
                <c:pt idx="137">
                  <c:v>1426.5803553123619</c:v>
                </c:pt>
                <c:pt idx="138">
                  <c:v>1419.4002906359985</c:v>
                </c:pt>
                <c:pt idx="139">
                  <c:v>1436.9390271433506</c:v>
                </c:pt>
                <c:pt idx="140">
                  <c:v>1478.0642140846555</c:v>
                </c:pt>
                <c:pt idx="141">
                  <c:v>1464.6469477691187</c:v>
                </c:pt>
                <c:pt idx="142">
                  <c:v>1477.8476699300902</c:v>
                </c:pt>
                <c:pt idx="143">
                  <c:v>1462.6693789619121</c:v>
                </c:pt>
                <c:pt idx="144">
                  <c:v>1449.9813243500475</c:v>
                </c:pt>
                <c:pt idx="145">
                  <c:v>1448.1600500259437</c:v>
                </c:pt>
                <c:pt idx="146">
                  <c:v>1437.1495502074488</c:v>
                </c:pt>
                <c:pt idx="147">
                  <c:v>1456.5915964808169</c:v>
                </c:pt>
                <c:pt idx="148">
                  <c:v>1454.584498265976</c:v>
                </c:pt>
                <c:pt idx="149">
                  <c:v>1467.8042358940866</c:v>
                </c:pt>
                <c:pt idx="150">
                  <c:v>1462.6874554657122</c:v>
                </c:pt>
                <c:pt idx="151">
                  <c:v>1483.1836870485074</c:v>
                </c:pt>
                <c:pt idx="152">
                  <c:v>1487.6951578829262</c:v>
                </c:pt>
                <c:pt idx="153">
                  <c:v>1478.6531756333011</c:v>
                </c:pt>
                <c:pt idx="154">
                  <c:v>1491.2430144708649</c:v>
                </c:pt>
                <c:pt idx="155">
                  <c:v>1464.0690975673097</c:v>
                </c:pt>
                <c:pt idx="156">
                  <c:v>1457.0447075458503</c:v>
                </c:pt>
                <c:pt idx="157">
                  <c:v>1433.8895891754291</c:v>
                </c:pt>
                <c:pt idx="158">
                  <c:v>1410.1727163596172</c:v>
                </c:pt>
                <c:pt idx="159">
                  <c:v>1433.870617545638</c:v>
                </c:pt>
                <c:pt idx="160">
                  <c:v>1460.7054407502967</c:v>
                </c:pt>
                <c:pt idx="161">
                  <c:v>1472.9748717103444</c:v>
                </c:pt>
                <c:pt idx="162">
                  <c:v>1473.5915100902605</c:v>
                </c:pt>
                <c:pt idx="163">
                  <c:v>1504.7742285531642</c:v>
                </c:pt>
                <c:pt idx="164">
                  <c:v>1524.9395448060982</c:v>
                </c:pt>
                <c:pt idx="165">
                  <c:v>1538.0511730742173</c:v>
                </c:pt>
                <c:pt idx="166">
                  <c:v>1545.9524219372995</c:v>
                </c:pt>
                <c:pt idx="167">
                  <c:v>1526.4793258097293</c:v>
                </c:pt>
                <c:pt idx="168">
                  <c:v>1539.4265942764032</c:v>
                </c:pt>
                <c:pt idx="169">
                  <c:v>1518.2866483103271</c:v>
                </c:pt>
                <c:pt idx="170">
                  <c:v>1499.0162759177538</c:v>
                </c:pt>
                <c:pt idx="171">
                  <c:v>1549.2527457998158</c:v>
                </c:pt>
                <c:pt idx="172">
                  <c:v>1561.3555259354296</c:v>
                </c:pt>
                <c:pt idx="173">
                  <c:v>1589.2606716509374</c:v>
                </c:pt>
                <c:pt idx="174">
                  <c:v>1604.4059733130337</c:v>
                </c:pt>
                <c:pt idx="175">
                  <c:v>1631.9912646408359</c:v>
                </c:pt>
                <c:pt idx="176">
                  <c:v>1650.8725208594342</c:v>
                </c:pt>
                <c:pt idx="177">
                  <c:v>1644.8214676347056</c:v>
                </c:pt>
                <c:pt idx="178">
                  <c:v>1643.3533621293559</c:v>
                </c:pt>
                <c:pt idx="179">
                  <c:v>1616.7548320615012</c:v>
                </c:pt>
                <c:pt idx="180">
                  <c:v>1625.9642887922928</c:v>
                </c:pt>
                <c:pt idx="181">
                  <c:v>1593.6988527191293</c:v>
                </c:pt>
                <c:pt idx="182">
                  <c:v>1557.5558248366501</c:v>
                </c:pt>
                <c:pt idx="183">
                  <c:v>1617.3717972545144</c:v>
                </c:pt>
                <c:pt idx="184">
                  <c:v>1613.6046655351845</c:v>
                </c:pt>
                <c:pt idx="185">
                  <c:v>1640.2159759059323</c:v>
                </c:pt>
                <c:pt idx="186">
                  <c:v>1658.7243155176016</c:v>
                </c:pt>
                <c:pt idx="187">
                  <c:v>1710.8766463786762</c:v>
                </c:pt>
                <c:pt idx="188">
                  <c:v>1711.5231937326043</c:v>
                </c:pt>
                <c:pt idx="189">
                  <c:v>1698.2706645920377</c:v>
                </c:pt>
                <c:pt idx="190">
                  <c:v>1687.835470337616</c:v>
                </c:pt>
                <c:pt idx="191">
                  <c:v>1668.0934917210993</c:v>
                </c:pt>
                <c:pt idx="192">
                  <c:v>1657.7122454524217</c:v>
                </c:pt>
                <c:pt idx="193">
                  <c:v>1609.0809064939958</c:v>
                </c:pt>
                <c:pt idx="194">
                  <c:v>1584.6967918209123</c:v>
                </c:pt>
                <c:pt idx="195">
                  <c:v>1622.8508029443155</c:v>
                </c:pt>
                <c:pt idx="196">
                  <c:v>1633.2490111247132</c:v>
                </c:pt>
                <c:pt idx="197">
                  <c:v>1666.6674727204238</c:v>
                </c:pt>
                <c:pt idx="198">
                  <c:v>1675.5990363121791</c:v>
                </c:pt>
                <c:pt idx="199">
                  <c:v>1739.3602664825798</c:v>
                </c:pt>
                <c:pt idx="200">
                  <c:v>1770.0044101392368</c:v>
                </c:pt>
                <c:pt idx="201">
                  <c:v>1740.7716922736818</c:v>
                </c:pt>
                <c:pt idx="202">
                  <c:v>1731.0974188210271</c:v>
                </c:pt>
                <c:pt idx="203">
                  <c:v>1696.6599910932521</c:v>
                </c:pt>
                <c:pt idx="204">
                  <c:v>1689.4556778400643</c:v>
                </c:pt>
                <c:pt idx="205">
                  <c:v>1659.4765649182057</c:v>
                </c:pt>
                <c:pt idx="206">
                  <c:v>1617.3113524308396</c:v>
                </c:pt>
                <c:pt idx="207">
                  <c:v>1661.9770906219292</c:v>
                </c:pt>
                <c:pt idx="208">
                  <c:v>1662.8975468473682</c:v>
                </c:pt>
                <c:pt idx="209">
                  <c:v>1689.4196767653143</c:v>
                </c:pt>
                <c:pt idx="210">
                  <c:v>1701.1671340190574</c:v>
                </c:pt>
                <c:pt idx="211">
                  <c:v>1726.0847089500551</c:v>
                </c:pt>
                <c:pt idx="212">
                  <c:v>1711.747721612468</c:v>
                </c:pt>
                <c:pt idx="213">
                  <c:v>1679.2437353459791</c:v>
                </c:pt>
                <c:pt idx="214">
                  <c:v>1683.7369218647527</c:v>
                </c:pt>
                <c:pt idx="215">
                  <c:v>1646.059834727</c:v>
                </c:pt>
                <c:pt idx="216">
                  <c:v>1640.86522611804</c:v>
                </c:pt>
                <c:pt idx="217">
                  <c:v>1611.9793823704581</c:v>
                </c:pt>
                <c:pt idx="218">
                  <c:v>1600.41490769754</c:v>
                </c:pt>
                <c:pt idx="219">
                  <c:v>1642.0041790875507</c:v>
                </c:pt>
                <c:pt idx="220">
                  <c:v>1647.1792959067318</c:v>
                </c:pt>
                <c:pt idx="221">
                  <c:v>1660.5224150152251</c:v>
                </c:pt>
                <c:pt idx="222">
                  <c:v>1666.7577063269434</c:v>
                </c:pt>
                <c:pt idx="223">
                  <c:v>1703.675195421215</c:v>
                </c:pt>
                <c:pt idx="224">
                  <c:v>1716.5628228663704</c:v>
                </c:pt>
                <c:pt idx="225">
                  <c:v>1702.9937334229166</c:v>
                </c:pt>
                <c:pt idx="226">
                  <c:v>1717.6113290582753</c:v>
                </c:pt>
                <c:pt idx="227">
                  <c:v>1695.8061455744967</c:v>
                </c:pt>
                <c:pt idx="228">
                  <c:v>1701.346055798791</c:v>
                </c:pt>
                <c:pt idx="229">
                  <c:v>1657.3936215506981</c:v>
                </c:pt>
                <c:pt idx="230">
                  <c:v>1645.0940267649271</c:v>
                </c:pt>
                <c:pt idx="231">
                  <c:v>1700.1787178546879</c:v>
                </c:pt>
                <c:pt idx="232">
                  <c:v>1717.7849218314336</c:v>
                </c:pt>
                <c:pt idx="233">
                  <c:v>1729.4211643404146</c:v>
                </c:pt>
                <c:pt idx="234">
                  <c:v>1728.0749485820641</c:v>
                </c:pt>
                <c:pt idx="235">
                  <c:v>1760.6329306198395</c:v>
                </c:pt>
                <c:pt idx="236">
                  <c:v>1749.478441739119</c:v>
                </c:pt>
                <c:pt idx="237">
                  <c:v>1743.5473830409351</c:v>
                </c:pt>
                <c:pt idx="238">
                  <c:v>1746.1211498755167</c:v>
                </c:pt>
                <c:pt idx="239">
                  <c:v>1714.4169376030409</c:v>
                </c:pt>
                <c:pt idx="240">
                  <c:v>1715.2034632862874</c:v>
                </c:pt>
                <c:pt idx="241">
                  <c:v>1673.7303954471645</c:v>
                </c:pt>
                <c:pt idx="242">
                  <c:v>1665.5911640576023</c:v>
                </c:pt>
                <c:pt idx="243">
                  <c:v>1755.5412313885909</c:v>
                </c:pt>
                <c:pt idx="244">
                  <c:v>1760.5528192785011</c:v>
                </c:pt>
                <c:pt idx="245">
                  <c:v>1779.2630857658448</c:v>
                </c:pt>
                <c:pt idx="246">
                  <c:v>1811.1547942766874</c:v>
                </c:pt>
                <c:pt idx="247">
                  <c:v>1838.51207449614</c:v>
                </c:pt>
                <c:pt idx="248">
                  <c:v>1862.411136828583</c:v>
                </c:pt>
                <c:pt idx="249">
                  <c:v>1842.1893780236996</c:v>
                </c:pt>
                <c:pt idx="250">
                  <c:v>1805.5924948898128</c:v>
                </c:pt>
                <c:pt idx="251">
                  <c:v>1774.0492546187575</c:v>
                </c:pt>
                <c:pt idx="252">
                  <c:v>1790.781398839029</c:v>
                </c:pt>
                <c:pt idx="253">
                  <c:v>1759.1806385452674</c:v>
                </c:pt>
                <c:pt idx="254">
                  <c:v>1731.4167277256579</c:v>
                </c:pt>
                <c:pt idx="255">
                  <c:v>1815.9390269702949</c:v>
                </c:pt>
                <c:pt idx="256">
                  <c:v>1803.1688662953793</c:v>
                </c:pt>
                <c:pt idx="257">
                  <c:v>1821.3870569871074</c:v>
                </c:pt>
                <c:pt idx="258">
                  <c:v>1802.0861108061497</c:v>
                </c:pt>
                <c:pt idx="259">
                  <c:v>1776.1779440056225</c:v>
                </c:pt>
                <c:pt idx="260">
                  <c:v>1790.4349552281669</c:v>
                </c:pt>
                <c:pt idx="261">
                  <c:v>1776.9048006480834</c:v>
                </c:pt>
                <c:pt idx="262">
                  <c:v>1801.2932674033523</c:v>
                </c:pt>
                <c:pt idx="263">
                  <c:v>1801.8129563676132</c:v>
                </c:pt>
                <c:pt idx="264">
                  <c:v>1794.2575726945843</c:v>
                </c:pt>
                <c:pt idx="265">
                  <c:v>1762.5118205618624</c:v>
                </c:pt>
                <c:pt idx="266">
                  <c:v>1739.2144693191321</c:v>
                </c:pt>
                <c:pt idx="267">
                  <c:v>1805.2242520628361</c:v>
                </c:pt>
                <c:pt idx="268">
                  <c:v>1805.7649557489704</c:v>
                </c:pt>
                <c:pt idx="269">
                  <c:v>1849.3790942138385</c:v>
                </c:pt>
                <c:pt idx="270">
                  <c:v>1849.3790942138385</c:v>
                </c:pt>
                <c:pt idx="271">
                  <c:v>1849.3790942138385</c:v>
                </c:pt>
                <c:pt idx="272">
                  <c:v>1849.3790942138385</c:v>
                </c:pt>
                <c:pt idx="273">
                  <c:v>1849.3790942138385</c:v>
                </c:pt>
                <c:pt idx="274">
                  <c:v>1849.3790942138385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94-9844-9B3F-4F04115381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9955424"/>
        <c:axId val="289833136"/>
      </c:lineChart>
      <c:catAx>
        <c:axId val="2899554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89833136"/>
        <c:crosses val="autoZero"/>
        <c:auto val="1"/>
        <c:lblAlgn val="ctr"/>
        <c:lblOffset val="100"/>
        <c:noMultiLvlLbl val="0"/>
      </c:catAx>
      <c:valAx>
        <c:axId val="289833136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89955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'Técnia 1. Promedio Móvil'!$B$1</c:f>
              <c:strCache>
                <c:ptCount val="1"/>
                <c:pt idx="0">
                  <c:v>ventas($USD)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'Técnia 1. Promedio Móvil'!$B$2:$B$277</c:f>
              <c:numCache>
                <c:formatCode>#,##0</c:formatCode>
                <c:ptCount val="276"/>
                <c:pt idx="0">
                  <c:v>1049</c:v>
                </c:pt>
                <c:pt idx="1">
                  <c:v>1026</c:v>
                </c:pt>
                <c:pt idx="2">
                  <c:v>1074</c:v>
                </c:pt>
                <c:pt idx="3">
                  <c:v>1031</c:v>
                </c:pt>
                <c:pt idx="4">
                  <c:v>1047</c:v>
                </c:pt>
                <c:pt idx="5">
                  <c:v>986</c:v>
                </c:pt>
                <c:pt idx="6">
                  <c:v>1015</c:v>
                </c:pt>
                <c:pt idx="7">
                  <c:v>1021</c:v>
                </c:pt>
                <c:pt idx="8">
                  <c:v>958</c:v>
                </c:pt>
                <c:pt idx="9">
                  <c:v>1041</c:v>
                </c:pt>
                <c:pt idx="10">
                  <c:v>999</c:v>
                </c:pt>
                <c:pt idx="11">
                  <c:v>1034</c:v>
                </c:pt>
                <c:pt idx="12">
                  <c:v>959</c:v>
                </c:pt>
                <c:pt idx="13">
                  <c:v>920</c:v>
                </c:pt>
                <c:pt idx="14">
                  <c:v>1019</c:v>
                </c:pt>
                <c:pt idx="15">
                  <c:v>1056</c:v>
                </c:pt>
                <c:pt idx="16">
                  <c:v>1057</c:v>
                </c:pt>
                <c:pt idx="17">
                  <c:v>1017</c:v>
                </c:pt>
                <c:pt idx="18">
                  <c:v>1096</c:v>
                </c:pt>
                <c:pt idx="19">
                  <c:v>1052</c:v>
                </c:pt>
                <c:pt idx="20">
                  <c:v>971</c:v>
                </c:pt>
                <c:pt idx="21">
                  <c:v>1033</c:v>
                </c:pt>
                <c:pt idx="22">
                  <c:v>978</c:v>
                </c:pt>
                <c:pt idx="23">
                  <c:v>983</c:v>
                </c:pt>
                <c:pt idx="24">
                  <c:v>906</c:v>
                </c:pt>
                <c:pt idx="25">
                  <c:v>910</c:v>
                </c:pt>
                <c:pt idx="26">
                  <c:v>1025</c:v>
                </c:pt>
                <c:pt idx="27">
                  <c:v>1026</c:v>
                </c:pt>
                <c:pt idx="28">
                  <c:v>1014</c:v>
                </c:pt>
                <c:pt idx="29">
                  <c:v>977</c:v>
                </c:pt>
                <c:pt idx="30">
                  <c:v>990</c:v>
                </c:pt>
                <c:pt idx="31">
                  <c:v>989</c:v>
                </c:pt>
                <c:pt idx="32">
                  <c:v>960</c:v>
                </c:pt>
                <c:pt idx="33">
                  <c:v>981</c:v>
                </c:pt>
                <c:pt idx="34">
                  <c:v>962</c:v>
                </c:pt>
                <c:pt idx="35">
                  <c:v>1022</c:v>
                </c:pt>
                <c:pt idx="36">
                  <c:v>910</c:v>
                </c:pt>
                <c:pt idx="37">
                  <c:v>912</c:v>
                </c:pt>
                <c:pt idx="38">
                  <c:v>1025</c:v>
                </c:pt>
                <c:pt idx="39">
                  <c:v>1017</c:v>
                </c:pt>
                <c:pt idx="40">
                  <c:v>1044</c:v>
                </c:pt>
                <c:pt idx="41">
                  <c:v>1032</c:v>
                </c:pt>
                <c:pt idx="42">
                  <c:v>1060</c:v>
                </c:pt>
                <c:pt idx="43">
                  <c:v>1077</c:v>
                </c:pt>
                <c:pt idx="44">
                  <c:v>1098</c:v>
                </c:pt>
                <c:pt idx="45">
                  <c:v>1086</c:v>
                </c:pt>
                <c:pt idx="46">
                  <c:v>1070</c:v>
                </c:pt>
                <c:pt idx="47">
                  <c:v>1121</c:v>
                </c:pt>
                <c:pt idx="48">
                  <c:v>993</c:v>
                </c:pt>
                <c:pt idx="49">
                  <c:v>1026</c:v>
                </c:pt>
                <c:pt idx="50">
                  <c:v>1114</c:v>
                </c:pt>
                <c:pt idx="51">
                  <c:v>1050</c:v>
                </c:pt>
                <c:pt idx="52">
                  <c:v>1094</c:v>
                </c:pt>
                <c:pt idx="53">
                  <c:v>1069</c:v>
                </c:pt>
                <c:pt idx="54">
                  <c:v>1096</c:v>
                </c:pt>
                <c:pt idx="55">
                  <c:v>1137</c:v>
                </c:pt>
                <c:pt idx="56">
                  <c:v>1053</c:v>
                </c:pt>
                <c:pt idx="57">
                  <c:v>1100</c:v>
                </c:pt>
                <c:pt idx="58">
                  <c:v>1101</c:v>
                </c:pt>
                <c:pt idx="59">
                  <c:v>1116</c:v>
                </c:pt>
                <c:pt idx="60">
                  <c:v>1051</c:v>
                </c:pt>
                <c:pt idx="61">
                  <c:v>1000</c:v>
                </c:pt>
                <c:pt idx="62">
                  <c:v>1102</c:v>
                </c:pt>
                <c:pt idx="63">
                  <c:v>1094</c:v>
                </c:pt>
                <c:pt idx="64">
                  <c:v>1143</c:v>
                </c:pt>
                <c:pt idx="65">
                  <c:v>1094</c:v>
                </c:pt>
                <c:pt idx="66">
                  <c:v>1175</c:v>
                </c:pt>
                <c:pt idx="67">
                  <c:v>1212</c:v>
                </c:pt>
                <c:pt idx="68">
                  <c:v>1109</c:v>
                </c:pt>
                <c:pt idx="69">
                  <c:v>1185</c:v>
                </c:pt>
                <c:pt idx="70">
                  <c:v>1102</c:v>
                </c:pt>
                <c:pt idx="71">
                  <c:v>1112</c:v>
                </c:pt>
                <c:pt idx="72">
                  <c:v>1108</c:v>
                </c:pt>
                <c:pt idx="73">
                  <c:v>1089</c:v>
                </c:pt>
                <c:pt idx="74">
                  <c:v>1199</c:v>
                </c:pt>
                <c:pt idx="75">
                  <c:v>1126</c:v>
                </c:pt>
                <c:pt idx="76">
                  <c:v>1177</c:v>
                </c:pt>
                <c:pt idx="77">
                  <c:v>1154</c:v>
                </c:pt>
                <c:pt idx="78">
                  <c:v>1232</c:v>
                </c:pt>
                <c:pt idx="79">
                  <c:v>1205</c:v>
                </c:pt>
                <c:pt idx="80">
                  <c:v>1143</c:v>
                </c:pt>
                <c:pt idx="81">
                  <c:v>1227</c:v>
                </c:pt>
                <c:pt idx="82">
                  <c:v>1117</c:v>
                </c:pt>
                <c:pt idx="83">
                  <c:v>1180</c:v>
                </c:pt>
                <c:pt idx="84">
                  <c:v>1102</c:v>
                </c:pt>
                <c:pt idx="85">
                  <c:v>1140</c:v>
                </c:pt>
                <c:pt idx="86">
                  <c:v>1291</c:v>
                </c:pt>
                <c:pt idx="87">
                  <c:v>1247</c:v>
                </c:pt>
                <c:pt idx="88">
                  <c:v>1207</c:v>
                </c:pt>
                <c:pt idx="89">
                  <c:v>1196</c:v>
                </c:pt>
                <c:pt idx="90">
                  <c:v>1256</c:v>
                </c:pt>
                <c:pt idx="91">
                  <c:v>1205</c:v>
                </c:pt>
                <c:pt idx="92">
                  <c:v>1177</c:v>
                </c:pt>
                <c:pt idx="93">
                  <c:v>1263</c:v>
                </c:pt>
                <c:pt idx="94">
                  <c:v>1185</c:v>
                </c:pt>
                <c:pt idx="95">
                  <c:v>1261</c:v>
                </c:pt>
                <c:pt idx="96">
                  <c:v>1196</c:v>
                </c:pt>
                <c:pt idx="97">
                  <c:v>1251</c:v>
                </c:pt>
                <c:pt idx="98">
                  <c:v>1414</c:v>
                </c:pt>
                <c:pt idx="99">
                  <c:v>1291</c:v>
                </c:pt>
                <c:pt idx="100">
                  <c:v>1293</c:v>
                </c:pt>
                <c:pt idx="101">
                  <c:v>1289</c:v>
                </c:pt>
                <c:pt idx="102">
                  <c:v>1320</c:v>
                </c:pt>
                <c:pt idx="103">
                  <c:v>1313</c:v>
                </c:pt>
                <c:pt idx="104">
                  <c:v>1265</c:v>
                </c:pt>
                <c:pt idx="105">
                  <c:v>1233</c:v>
                </c:pt>
                <c:pt idx="106">
                  <c:v>1187</c:v>
                </c:pt>
                <c:pt idx="107">
                  <c:v>1278</c:v>
                </c:pt>
                <c:pt idx="108">
                  <c:v>1197</c:v>
                </c:pt>
                <c:pt idx="109">
                  <c:v>1181</c:v>
                </c:pt>
                <c:pt idx="110">
                  <c:v>1367</c:v>
                </c:pt>
                <c:pt idx="111">
                  <c:v>1234</c:v>
                </c:pt>
                <c:pt idx="112">
                  <c:v>1254</c:v>
                </c:pt>
                <c:pt idx="113">
                  <c:v>1287</c:v>
                </c:pt>
                <c:pt idx="114">
                  <c:v>1314</c:v>
                </c:pt>
                <c:pt idx="115">
                  <c:v>1395</c:v>
                </c:pt>
                <c:pt idx="116">
                  <c:v>1337</c:v>
                </c:pt>
                <c:pt idx="117">
                  <c:v>1363</c:v>
                </c:pt>
                <c:pt idx="118">
                  <c:v>1352</c:v>
                </c:pt>
                <c:pt idx="119">
                  <c:v>1403</c:v>
                </c:pt>
                <c:pt idx="120">
                  <c:v>1289</c:v>
                </c:pt>
                <c:pt idx="121">
                  <c:v>1274</c:v>
                </c:pt>
                <c:pt idx="122">
                  <c:v>1430</c:v>
                </c:pt>
                <c:pt idx="123">
                  <c:v>1343</c:v>
                </c:pt>
                <c:pt idx="124">
                  <c:v>1405</c:v>
                </c:pt>
                <c:pt idx="125">
                  <c:v>1372</c:v>
                </c:pt>
                <c:pt idx="126">
                  <c:v>1426</c:v>
                </c:pt>
                <c:pt idx="127">
                  <c:v>1431</c:v>
                </c:pt>
                <c:pt idx="128">
                  <c:v>1297</c:v>
                </c:pt>
                <c:pt idx="129">
                  <c:v>1349</c:v>
                </c:pt>
                <c:pt idx="130">
                  <c:v>1347</c:v>
                </c:pt>
                <c:pt idx="131">
                  <c:v>1367</c:v>
                </c:pt>
                <c:pt idx="132">
                  <c:v>1328</c:v>
                </c:pt>
                <c:pt idx="133">
                  <c:v>1280</c:v>
                </c:pt>
                <c:pt idx="134">
                  <c:v>1478</c:v>
                </c:pt>
                <c:pt idx="135">
                  <c:v>1407</c:v>
                </c:pt>
                <c:pt idx="136">
                  <c:v>1523</c:v>
                </c:pt>
                <c:pt idx="137">
                  <c:v>1403</c:v>
                </c:pt>
                <c:pt idx="138">
                  <c:v>1477</c:v>
                </c:pt>
                <c:pt idx="139">
                  <c:v>1572</c:v>
                </c:pt>
                <c:pt idx="140">
                  <c:v>1434</c:v>
                </c:pt>
                <c:pt idx="141">
                  <c:v>1508</c:v>
                </c:pt>
                <c:pt idx="142">
                  <c:v>1428</c:v>
                </c:pt>
                <c:pt idx="143">
                  <c:v>1421</c:v>
                </c:pt>
                <c:pt idx="144">
                  <c:v>1444</c:v>
                </c:pt>
                <c:pt idx="145">
                  <c:v>1412</c:v>
                </c:pt>
                <c:pt idx="146">
                  <c:v>1501</c:v>
                </c:pt>
                <c:pt idx="147">
                  <c:v>1450</c:v>
                </c:pt>
                <c:pt idx="148">
                  <c:v>1498</c:v>
                </c:pt>
                <c:pt idx="149">
                  <c:v>1451</c:v>
                </c:pt>
                <c:pt idx="150">
                  <c:v>1530</c:v>
                </c:pt>
                <c:pt idx="151">
                  <c:v>1498</c:v>
                </c:pt>
                <c:pt idx="152">
                  <c:v>1458</c:v>
                </c:pt>
                <c:pt idx="153">
                  <c:v>1520</c:v>
                </c:pt>
                <c:pt idx="154">
                  <c:v>1402</c:v>
                </c:pt>
                <c:pt idx="155">
                  <c:v>1441</c:v>
                </c:pt>
                <c:pt idx="156">
                  <c:v>1381</c:v>
                </c:pt>
                <c:pt idx="157">
                  <c:v>1356</c:v>
                </c:pt>
                <c:pt idx="158">
                  <c:v>1488</c:v>
                </c:pt>
                <c:pt idx="159">
                  <c:v>1522</c:v>
                </c:pt>
                <c:pt idx="160">
                  <c:v>1501</c:v>
                </c:pt>
                <c:pt idx="161">
                  <c:v>1475</c:v>
                </c:pt>
                <c:pt idx="162">
                  <c:v>1576</c:v>
                </c:pt>
                <c:pt idx="163">
                  <c:v>1571</c:v>
                </c:pt>
                <c:pt idx="164">
                  <c:v>1568</c:v>
                </c:pt>
                <c:pt idx="165">
                  <c:v>1564</c:v>
                </c:pt>
                <c:pt idx="166">
                  <c:v>1482</c:v>
                </c:pt>
                <c:pt idx="167">
                  <c:v>1569</c:v>
                </c:pt>
                <c:pt idx="168">
                  <c:v>1470</c:v>
                </c:pt>
                <c:pt idx="169">
                  <c:v>1455</c:v>
                </c:pt>
                <c:pt idx="170">
                  <c:v>1664</c:v>
                </c:pt>
                <c:pt idx="171">
                  <c:v>1589</c:v>
                </c:pt>
                <c:pt idx="172">
                  <c:v>1653</c:v>
                </c:pt>
                <c:pt idx="173">
                  <c:v>1639</c:v>
                </c:pt>
                <c:pt idx="174">
                  <c:v>1695</c:v>
                </c:pt>
                <c:pt idx="175">
                  <c:v>1694</c:v>
                </c:pt>
                <c:pt idx="176">
                  <c:v>1631</c:v>
                </c:pt>
                <c:pt idx="177">
                  <c:v>1640</c:v>
                </c:pt>
                <c:pt idx="178">
                  <c:v>1556</c:v>
                </c:pt>
                <c:pt idx="179">
                  <c:v>1647</c:v>
                </c:pt>
                <c:pt idx="180">
                  <c:v>1520</c:v>
                </c:pt>
                <c:pt idx="181">
                  <c:v>1475</c:v>
                </c:pt>
                <c:pt idx="182">
                  <c:v>1754</c:v>
                </c:pt>
                <c:pt idx="183">
                  <c:v>1605</c:v>
                </c:pt>
                <c:pt idx="184">
                  <c:v>1701</c:v>
                </c:pt>
                <c:pt idx="185">
                  <c:v>1701</c:v>
                </c:pt>
                <c:pt idx="186">
                  <c:v>1830</c:v>
                </c:pt>
                <c:pt idx="187">
                  <c:v>1713</c:v>
                </c:pt>
                <c:pt idx="188">
                  <c:v>1668</c:v>
                </c:pt>
                <c:pt idx="189">
                  <c:v>1664</c:v>
                </c:pt>
                <c:pt idx="190">
                  <c:v>1623</c:v>
                </c:pt>
                <c:pt idx="191">
                  <c:v>1634</c:v>
                </c:pt>
                <c:pt idx="192">
                  <c:v>1498</c:v>
                </c:pt>
                <c:pt idx="193">
                  <c:v>1529</c:v>
                </c:pt>
                <c:pt idx="194">
                  <c:v>1710</c:v>
                </c:pt>
                <c:pt idx="195">
                  <c:v>1657</c:v>
                </c:pt>
                <c:pt idx="196">
                  <c:v>1743</c:v>
                </c:pt>
                <c:pt idx="197">
                  <c:v>1696</c:v>
                </c:pt>
                <c:pt idx="198">
                  <c:v>1885</c:v>
                </c:pt>
                <c:pt idx="199">
                  <c:v>1840</c:v>
                </c:pt>
                <c:pt idx="200">
                  <c:v>1674</c:v>
                </c:pt>
                <c:pt idx="201">
                  <c:v>1709</c:v>
                </c:pt>
                <c:pt idx="202">
                  <c:v>1618</c:v>
                </c:pt>
                <c:pt idx="203">
                  <c:v>1673</c:v>
                </c:pt>
                <c:pt idx="204">
                  <c:v>1591</c:v>
                </c:pt>
                <c:pt idx="205">
                  <c:v>1521</c:v>
                </c:pt>
                <c:pt idx="206">
                  <c:v>1764</c:v>
                </c:pt>
                <c:pt idx="207">
                  <c:v>1665</c:v>
                </c:pt>
                <c:pt idx="208">
                  <c:v>1750</c:v>
                </c:pt>
                <c:pt idx="209">
                  <c:v>1728</c:v>
                </c:pt>
                <c:pt idx="210">
                  <c:v>1783</c:v>
                </c:pt>
                <c:pt idx="211">
                  <c:v>1679</c:v>
                </c:pt>
                <c:pt idx="212">
                  <c:v>1605</c:v>
                </c:pt>
                <c:pt idx="213">
                  <c:v>1694</c:v>
                </c:pt>
                <c:pt idx="214">
                  <c:v>1560</c:v>
                </c:pt>
                <c:pt idx="215">
                  <c:v>1629</c:v>
                </c:pt>
                <c:pt idx="216">
                  <c:v>1546</c:v>
                </c:pt>
                <c:pt idx="217">
                  <c:v>1574</c:v>
                </c:pt>
                <c:pt idx="218">
                  <c:v>1737</c:v>
                </c:pt>
                <c:pt idx="219">
                  <c:v>1659</c:v>
                </c:pt>
                <c:pt idx="220">
                  <c:v>1691</c:v>
                </c:pt>
                <c:pt idx="221">
                  <c:v>1681</c:v>
                </c:pt>
                <c:pt idx="222">
                  <c:v>1788</c:v>
                </c:pt>
                <c:pt idx="223">
                  <c:v>1746</c:v>
                </c:pt>
                <c:pt idx="224">
                  <c:v>1672</c:v>
                </c:pt>
                <c:pt idx="225">
                  <c:v>1751</c:v>
                </c:pt>
                <c:pt idx="226">
                  <c:v>1646</c:v>
                </c:pt>
                <c:pt idx="227">
                  <c:v>1714</c:v>
                </c:pt>
                <c:pt idx="228">
                  <c:v>1557</c:v>
                </c:pt>
                <c:pt idx="229">
                  <c:v>1617</c:v>
                </c:pt>
                <c:pt idx="230">
                  <c:v>1826</c:v>
                </c:pt>
                <c:pt idx="231">
                  <c:v>1758</c:v>
                </c:pt>
                <c:pt idx="232">
                  <c:v>1756</c:v>
                </c:pt>
                <c:pt idx="233">
                  <c:v>1725</c:v>
                </c:pt>
                <c:pt idx="234">
                  <c:v>1835</c:v>
                </c:pt>
                <c:pt idx="235">
                  <c:v>1724</c:v>
                </c:pt>
                <c:pt idx="236">
                  <c:v>1730</c:v>
                </c:pt>
                <c:pt idx="237">
                  <c:v>1752</c:v>
                </c:pt>
                <c:pt idx="238">
                  <c:v>1642</c:v>
                </c:pt>
                <c:pt idx="239">
                  <c:v>1717</c:v>
                </c:pt>
                <c:pt idx="240">
                  <c:v>1579</c:v>
                </c:pt>
                <c:pt idx="241">
                  <c:v>1647</c:v>
                </c:pt>
                <c:pt idx="242">
                  <c:v>1961</c:v>
                </c:pt>
                <c:pt idx="243">
                  <c:v>1772</c:v>
                </c:pt>
                <c:pt idx="244">
                  <c:v>1822</c:v>
                </c:pt>
                <c:pt idx="245">
                  <c:v>1884</c:v>
                </c:pt>
                <c:pt idx="246">
                  <c:v>1901</c:v>
                </c:pt>
                <c:pt idx="247">
                  <c:v>1917</c:v>
                </c:pt>
                <c:pt idx="248">
                  <c:v>1796</c:v>
                </c:pt>
                <c:pt idx="249">
                  <c:v>1722</c:v>
                </c:pt>
                <c:pt idx="250">
                  <c:v>1702</c:v>
                </c:pt>
                <c:pt idx="251">
                  <c:v>1829</c:v>
                </c:pt>
                <c:pt idx="252">
                  <c:v>1687</c:v>
                </c:pt>
                <c:pt idx="253">
                  <c:v>1668</c:v>
                </c:pt>
                <c:pt idx="254">
                  <c:v>2009</c:v>
                </c:pt>
                <c:pt idx="255">
                  <c:v>1774</c:v>
                </c:pt>
                <c:pt idx="256">
                  <c:v>1863</c:v>
                </c:pt>
                <c:pt idx="257">
                  <c:v>1758</c:v>
                </c:pt>
                <c:pt idx="258">
                  <c:v>1717</c:v>
                </c:pt>
                <c:pt idx="259">
                  <c:v>1823</c:v>
                </c:pt>
                <c:pt idx="260">
                  <c:v>1746</c:v>
                </c:pt>
                <c:pt idx="261">
                  <c:v>1857</c:v>
                </c:pt>
                <c:pt idx="262">
                  <c:v>1803</c:v>
                </c:pt>
                <c:pt idx="263">
                  <c:v>1777</c:v>
                </c:pt>
                <c:pt idx="264">
                  <c:v>1690</c:v>
                </c:pt>
                <c:pt idx="265">
                  <c:v>1686</c:v>
                </c:pt>
                <c:pt idx="266">
                  <c:v>1956</c:v>
                </c:pt>
                <c:pt idx="267">
                  <c:v>1807</c:v>
                </c:pt>
                <c:pt idx="268">
                  <c:v>1949</c:v>
                </c:pt>
                <c:pt idx="269">
                  <c:v>1833</c:v>
                </c:pt>
                <c:pt idx="270">
                  <c:v>1813</c:v>
                </c:pt>
                <c:pt idx="271">
                  <c:v>1886</c:v>
                </c:pt>
                <c:pt idx="272">
                  <c:v>1805</c:v>
                </c:pt>
                <c:pt idx="273">
                  <c:v>1931</c:v>
                </c:pt>
                <c:pt idx="274">
                  <c:v>1822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04-1441-A53D-DCDFFFF5AECE}"/>
            </c:ext>
          </c:extLst>
        </c:ser>
        <c:ser>
          <c:idx val="1"/>
          <c:order val="1"/>
          <c:tx>
            <c:strRef>
              <c:f>'Técnia 1. Promedio Móvil'!$E$1</c:f>
              <c:strCache>
                <c:ptCount val="1"/>
                <c:pt idx="0">
                  <c:v>Pronóstico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'Técnia 1. Promedio Móvil'!$E$2:$E$277</c:f>
              <c:numCache>
                <c:formatCode>#,##0</c:formatCode>
                <c:ptCount val="276"/>
                <c:pt idx="12">
                  <c:v>1023.4166666666666</c:v>
                </c:pt>
                <c:pt idx="13">
                  <c:v>1015.9166666666666</c:v>
                </c:pt>
                <c:pt idx="14">
                  <c:v>1007.0833333333334</c:v>
                </c:pt>
                <c:pt idx="15">
                  <c:v>1002.5</c:v>
                </c:pt>
                <c:pt idx="16">
                  <c:v>1004.5833333333334</c:v>
                </c:pt>
                <c:pt idx="17">
                  <c:v>1005.4166666666666</c:v>
                </c:pt>
                <c:pt idx="18">
                  <c:v>1008</c:v>
                </c:pt>
                <c:pt idx="19">
                  <c:v>1014.75</c:v>
                </c:pt>
                <c:pt idx="20">
                  <c:v>1017.3333333333334</c:v>
                </c:pt>
                <c:pt idx="21">
                  <c:v>1018.4166666666666</c:v>
                </c:pt>
                <c:pt idx="22">
                  <c:v>1017.75</c:v>
                </c:pt>
                <c:pt idx="23">
                  <c:v>1016</c:v>
                </c:pt>
                <c:pt idx="24">
                  <c:v>1011.75</c:v>
                </c:pt>
                <c:pt idx="25">
                  <c:v>1007.3333333333334</c:v>
                </c:pt>
                <c:pt idx="26">
                  <c:v>1006.5</c:v>
                </c:pt>
                <c:pt idx="27">
                  <c:v>1007</c:v>
                </c:pt>
                <c:pt idx="28">
                  <c:v>1004.5</c:v>
                </c:pt>
                <c:pt idx="29">
                  <c:v>1000.9166666666666</c:v>
                </c:pt>
                <c:pt idx="30">
                  <c:v>997.58333333333337</c:v>
                </c:pt>
                <c:pt idx="31">
                  <c:v>988.75</c:v>
                </c:pt>
                <c:pt idx="32">
                  <c:v>983.5</c:v>
                </c:pt>
                <c:pt idx="33">
                  <c:v>982.58333333333337</c:v>
                </c:pt>
                <c:pt idx="34">
                  <c:v>978.25</c:v>
                </c:pt>
                <c:pt idx="35">
                  <c:v>976.91666666666663</c:v>
                </c:pt>
                <c:pt idx="36">
                  <c:v>980.16666666666663</c:v>
                </c:pt>
                <c:pt idx="37">
                  <c:v>980.5</c:v>
                </c:pt>
                <c:pt idx="38">
                  <c:v>980.66666666666663</c:v>
                </c:pt>
                <c:pt idx="39">
                  <c:v>980.66666666666663</c:v>
                </c:pt>
                <c:pt idx="40">
                  <c:v>979.91666666666663</c:v>
                </c:pt>
                <c:pt idx="41">
                  <c:v>982.41666666666663</c:v>
                </c:pt>
                <c:pt idx="42">
                  <c:v>987</c:v>
                </c:pt>
                <c:pt idx="43">
                  <c:v>992.83333333333337</c:v>
                </c:pt>
                <c:pt idx="44">
                  <c:v>1000.1666666666666</c:v>
                </c:pt>
                <c:pt idx="45">
                  <c:v>1011.6666666666666</c:v>
                </c:pt>
                <c:pt idx="46">
                  <c:v>1020.4166666666666</c:v>
                </c:pt>
                <c:pt idx="47">
                  <c:v>1029.4166666666667</c:v>
                </c:pt>
                <c:pt idx="48">
                  <c:v>1037.6666666666667</c:v>
                </c:pt>
                <c:pt idx="49">
                  <c:v>1044.5833333333333</c:v>
                </c:pt>
                <c:pt idx="50">
                  <c:v>1054.0833333333333</c:v>
                </c:pt>
                <c:pt idx="51">
                  <c:v>1061.5</c:v>
                </c:pt>
                <c:pt idx="52">
                  <c:v>1064.25</c:v>
                </c:pt>
                <c:pt idx="53">
                  <c:v>1068.4166666666667</c:v>
                </c:pt>
                <c:pt idx="54">
                  <c:v>1071.5</c:v>
                </c:pt>
                <c:pt idx="55">
                  <c:v>1074.5</c:v>
                </c:pt>
                <c:pt idx="56">
                  <c:v>1079.5</c:v>
                </c:pt>
                <c:pt idx="57">
                  <c:v>1075.75</c:v>
                </c:pt>
                <c:pt idx="58">
                  <c:v>1076.9166666666667</c:v>
                </c:pt>
                <c:pt idx="59">
                  <c:v>1079.5</c:v>
                </c:pt>
                <c:pt idx="60">
                  <c:v>1079.0833333333333</c:v>
                </c:pt>
                <c:pt idx="61">
                  <c:v>1083.9166666666667</c:v>
                </c:pt>
                <c:pt idx="62">
                  <c:v>1081.75</c:v>
                </c:pt>
                <c:pt idx="63">
                  <c:v>1080.75</c:v>
                </c:pt>
                <c:pt idx="64">
                  <c:v>1084.4166666666667</c:v>
                </c:pt>
                <c:pt idx="65">
                  <c:v>1088.5</c:v>
                </c:pt>
                <c:pt idx="66">
                  <c:v>1090.5833333333333</c:v>
                </c:pt>
                <c:pt idx="67">
                  <c:v>1097.1666666666667</c:v>
                </c:pt>
                <c:pt idx="68">
                  <c:v>1103.4166666666667</c:v>
                </c:pt>
                <c:pt idx="69">
                  <c:v>1108.0833333333333</c:v>
                </c:pt>
                <c:pt idx="70">
                  <c:v>1115.1666666666667</c:v>
                </c:pt>
                <c:pt idx="71">
                  <c:v>1115.25</c:v>
                </c:pt>
                <c:pt idx="72">
                  <c:v>1114.9166666666667</c:v>
                </c:pt>
                <c:pt idx="73">
                  <c:v>1119.6666666666667</c:v>
                </c:pt>
                <c:pt idx="74">
                  <c:v>1127.0833333333333</c:v>
                </c:pt>
                <c:pt idx="75">
                  <c:v>1135.1666666666667</c:v>
                </c:pt>
                <c:pt idx="76">
                  <c:v>1137.8333333333333</c:v>
                </c:pt>
                <c:pt idx="77">
                  <c:v>1140.6666666666667</c:v>
                </c:pt>
                <c:pt idx="78">
                  <c:v>1145.6666666666667</c:v>
                </c:pt>
                <c:pt idx="79">
                  <c:v>1150.4166666666667</c:v>
                </c:pt>
                <c:pt idx="80">
                  <c:v>1149.8333333333333</c:v>
                </c:pt>
                <c:pt idx="81">
                  <c:v>1152.6666666666667</c:v>
                </c:pt>
                <c:pt idx="82">
                  <c:v>1156.1666666666667</c:v>
                </c:pt>
                <c:pt idx="83">
                  <c:v>1157.4166666666667</c:v>
                </c:pt>
                <c:pt idx="84">
                  <c:v>1163.0833333333333</c:v>
                </c:pt>
                <c:pt idx="85">
                  <c:v>1162.5833333333333</c:v>
                </c:pt>
                <c:pt idx="86">
                  <c:v>1166.8333333333333</c:v>
                </c:pt>
                <c:pt idx="87">
                  <c:v>1174.5</c:v>
                </c:pt>
                <c:pt idx="88">
                  <c:v>1184.5833333333333</c:v>
                </c:pt>
                <c:pt idx="89">
                  <c:v>1187.0833333333333</c:v>
                </c:pt>
                <c:pt idx="90">
                  <c:v>1190.5833333333333</c:v>
                </c:pt>
                <c:pt idx="91">
                  <c:v>1192.5833333333333</c:v>
                </c:pt>
                <c:pt idx="92">
                  <c:v>1192.5833333333333</c:v>
                </c:pt>
                <c:pt idx="93">
                  <c:v>1195.4166666666667</c:v>
                </c:pt>
                <c:pt idx="94">
                  <c:v>1198.4166666666667</c:v>
                </c:pt>
                <c:pt idx="95">
                  <c:v>1204.0833333333333</c:v>
                </c:pt>
                <c:pt idx="96">
                  <c:v>1210.8333333333333</c:v>
                </c:pt>
                <c:pt idx="97">
                  <c:v>1218.6666666666667</c:v>
                </c:pt>
                <c:pt idx="98">
                  <c:v>1227.9166666666667</c:v>
                </c:pt>
                <c:pt idx="99">
                  <c:v>1238.1666666666667</c:v>
                </c:pt>
                <c:pt idx="100">
                  <c:v>1241.8333333333333</c:v>
                </c:pt>
                <c:pt idx="101">
                  <c:v>1249</c:v>
                </c:pt>
                <c:pt idx="102">
                  <c:v>1256.75</c:v>
                </c:pt>
                <c:pt idx="103">
                  <c:v>1262.0833333333333</c:v>
                </c:pt>
                <c:pt idx="104">
                  <c:v>1271.0833333333333</c:v>
                </c:pt>
                <c:pt idx="105">
                  <c:v>1278.4166666666667</c:v>
                </c:pt>
                <c:pt idx="106">
                  <c:v>1275.9166666666667</c:v>
                </c:pt>
                <c:pt idx="107">
                  <c:v>1276.0833333333333</c:v>
                </c:pt>
                <c:pt idx="108">
                  <c:v>1277.5</c:v>
                </c:pt>
                <c:pt idx="109">
                  <c:v>1277.5833333333333</c:v>
                </c:pt>
                <c:pt idx="110">
                  <c:v>1271.75</c:v>
                </c:pt>
                <c:pt idx="111">
                  <c:v>1267.8333333333333</c:v>
                </c:pt>
                <c:pt idx="112">
                  <c:v>1263.0833333333333</c:v>
                </c:pt>
                <c:pt idx="113">
                  <c:v>1259.8333333333333</c:v>
                </c:pt>
                <c:pt idx="114">
                  <c:v>1259.6666666666667</c:v>
                </c:pt>
                <c:pt idx="115">
                  <c:v>1259.1666666666667</c:v>
                </c:pt>
                <c:pt idx="116">
                  <c:v>1266</c:v>
                </c:pt>
                <c:pt idx="117">
                  <c:v>1272</c:v>
                </c:pt>
                <c:pt idx="118">
                  <c:v>1282.8333333333333</c:v>
                </c:pt>
                <c:pt idx="119">
                  <c:v>1296.5833333333333</c:v>
                </c:pt>
                <c:pt idx="120">
                  <c:v>1307</c:v>
                </c:pt>
                <c:pt idx="121">
                  <c:v>1314.6666666666667</c:v>
                </c:pt>
                <c:pt idx="122">
                  <c:v>1322.4166666666667</c:v>
                </c:pt>
                <c:pt idx="123">
                  <c:v>1327.6666666666667</c:v>
                </c:pt>
                <c:pt idx="124">
                  <c:v>1336.75</c:v>
                </c:pt>
                <c:pt idx="125">
                  <c:v>1349.3333333333333</c:v>
                </c:pt>
                <c:pt idx="126">
                  <c:v>1356.4166666666667</c:v>
                </c:pt>
                <c:pt idx="127">
                  <c:v>1365.75</c:v>
                </c:pt>
                <c:pt idx="128">
                  <c:v>1368.75</c:v>
                </c:pt>
                <c:pt idx="129">
                  <c:v>1365.4166666666667</c:v>
                </c:pt>
                <c:pt idx="130">
                  <c:v>1364.25</c:v>
                </c:pt>
                <c:pt idx="131">
                  <c:v>1363.8333333333333</c:v>
                </c:pt>
                <c:pt idx="132">
                  <c:v>1360.8333333333333</c:v>
                </c:pt>
                <c:pt idx="133">
                  <c:v>1364.0833333333333</c:v>
                </c:pt>
                <c:pt idx="134">
                  <c:v>1364.5833333333333</c:v>
                </c:pt>
                <c:pt idx="135">
                  <c:v>1368.5833333333333</c:v>
                </c:pt>
                <c:pt idx="136">
                  <c:v>1373.9166666666667</c:v>
                </c:pt>
                <c:pt idx="137">
                  <c:v>1383.75</c:v>
                </c:pt>
                <c:pt idx="138">
                  <c:v>1386.3333333333333</c:v>
                </c:pt>
                <c:pt idx="139">
                  <c:v>1390.5833333333333</c:v>
                </c:pt>
                <c:pt idx="140">
                  <c:v>1402.3333333333333</c:v>
                </c:pt>
                <c:pt idx="141">
                  <c:v>1413.75</c:v>
                </c:pt>
                <c:pt idx="142">
                  <c:v>1427</c:v>
                </c:pt>
                <c:pt idx="143">
                  <c:v>1433.75</c:v>
                </c:pt>
                <c:pt idx="144">
                  <c:v>1438.25</c:v>
                </c:pt>
                <c:pt idx="145">
                  <c:v>1447.9166666666667</c:v>
                </c:pt>
                <c:pt idx="146">
                  <c:v>1458.9166666666667</c:v>
                </c:pt>
                <c:pt idx="147">
                  <c:v>1460.8333333333333</c:v>
                </c:pt>
                <c:pt idx="148">
                  <c:v>1464.4166666666667</c:v>
                </c:pt>
                <c:pt idx="149">
                  <c:v>1462.3333333333333</c:v>
                </c:pt>
                <c:pt idx="150">
                  <c:v>1466.3333333333333</c:v>
                </c:pt>
                <c:pt idx="151">
                  <c:v>1470.75</c:v>
                </c:pt>
                <c:pt idx="152">
                  <c:v>1464.5833333333333</c:v>
                </c:pt>
                <c:pt idx="153">
                  <c:v>1466.5833333333333</c:v>
                </c:pt>
                <c:pt idx="154">
                  <c:v>1467.5833333333333</c:v>
                </c:pt>
                <c:pt idx="155">
                  <c:v>1465.4166666666667</c:v>
                </c:pt>
                <c:pt idx="156">
                  <c:v>1467.0833333333333</c:v>
                </c:pt>
                <c:pt idx="157">
                  <c:v>1461.8333333333333</c:v>
                </c:pt>
                <c:pt idx="158">
                  <c:v>1457.1666666666667</c:v>
                </c:pt>
                <c:pt idx="159">
                  <c:v>1456.0833333333333</c:v>
                </c:pt>
                <c:pt idx="160">
                  <c:v>1462.0833333333333</c:v>
                </c:pt>
                <c:pt idx="161">
                  <c:v>1462.3333333333333</c:v>
                </c:pt>
                <c:pt idx="162">
                  <c:v>1464.3333333333333</c:v>
                </c:pt>
                <c:pt idx="163">
                  <c:v>1468.1666666666667</c:v>
                </c:pt>
                <c:pt idx="164">
                  <c:v>1474.25</c:v>
                </c:pt>
                <c:pt idx="165">
                  <c:v>1483.4166666666667</c:v>
                </c:pt>
                <c:pt idx="166">
                  <c:v>1487.0833333333333</c:v>
                </c:pt>
                <c:pt idx="167">
                  <c:v>1493.75</c:v>
                </c:pt>
                <c:pt idx="168">
                  <c:v>1504.4166666666667</c:v>
                </c:pt>
                <c:pt idx="169">
                  <c:v>1511.8333333333333</c:v>
                </c:pt>
                <c:pt idx="170">
                  <c:v>1520.0833333333333</c:v>
                </c:pt>
                <c:pt idx="171">
                  <c:v>1534.75</c:v>
                </c:pt>
                <c:pt idx="172">
                  <c:v>1540.3333333333333</c:v>
                </c:pt>
                <c:pt idx="173">
                  <c:v>1553</c:v>
                </c:pt>
                <c:pt idx="174">
                  <c:v>1566.6666666666667</c:v>
                </c:pt>
                <c:pt idx="175">
                  <c:v>1576.5833333333333</c:v>
                </c:pt>
                <c:pt idx="176">
                  <c:v>1586.8333333333333</c:v>
                </c:pt>
                <c:pt idx="177">
                  <c:v>1592.0833333333333</c:v>
                </c:pt>
                <c:pt idx="178">
                  <c:v>1598.4166666666667</c:v>
                </c:pt>
                <c:pt idx="179">
                  <c:v>1604.5833333333333</c:v>
                </c:pt>
                <c:pt idx="180">
                  <c:v>1611.0833333333333</c:v>
                </c:pt>
                <c:pt idx="181">
                  <c:v>1615.25</c:v>
                </c:pt>
                <c:pt idx="182">
                  <c:v>1616.9166666666667</c:v>
                </c:pt>
                <c:pt idx="183">
                  <c:v>1624.4166666666667</c:v>
                </c:pt>
                <c:pt idx="184">
                  <c:v>1625.75</c:v>
                </c:pt>
                <c:pt idx="185">
                  <c:v>1629.75</c:v>
                </c:pt>
                <c:pt idx="186">
                  <c:v>1634.9166666666667</c:v>
                </c:pt>
                <c:pt idx="187">
                  <c:v>1646.1666666666667</c:v>
                </c:pt>
                <c:pt idx="188">
                  <c:v>1647.75</c:v>
                </c:pt>
                <c:pt idx="189">
                  <c:v>1650.8333333333333</c:v>
                </c:pt>
                <c:pt idx="190">
                  <c:v>1652.8333333333333</c:v>
                </c:pt>
                <c:pt idx="191">
                  <c:v>1658.4166666666667</c:v>
                </c:pt>
                <c:pt idx="192">
                  <c:v>1657.3333333333333</c:v>
                </c:pt>
                <c:pt idx="193">
                  <c:v>1655.5</c:v>
                </c:pt>
                <c:pt idx="194">
                  <c:v>1660</c:v>
                </c:pt>
                <c:pt idx="195">
                  <c:v>1656.3333333333333</c:v>
                </c:pt>
                <c:pt idx="196">
                  <c:v>1660.6666666666667</c:v>
                </c:pt>
                <c:pt idx="197">
                  <c:v>1664.1666666666667</c:v>
                </c:pt>
                <c:pt idx="198">
                  <c:v>1663.75</c:v>
                </c:pt>
                <c:pt idx="199">
                  <c:v>1668.3333333333333</c:v>
                </c:pt>
                <c:pt idx="200">
                  <c:v>1678.9166666666667</c:v>
                </c:pt>
                <c:pt idx="201">
                  <c:v>1679.4166666666667</c:v>
                </c:pt>
                <c:pt idx="202">
                  <c:v>1683.1666666666667</c:v>
                </c:pt>
                <c:pt idx="203">
                  <c:v>1682.75</c:v>
                </c:pt>
                <c:pt idx="204">
                  <c:v>1686</c:v>
                </c:pt>
                <c:pt idx="205">
                  <c:v>1693.75</c:v>
                </c:pt>
                <c:pt idx="206">
                  <c:v>1693.0833333333333</c:v>
                </c:pt>
                <c:pt idx="207">
                  <c:v>1697.5833333333333</c:v>
                </c:pt>
                <c:pt idx="208">
                  <c:v>1698.25</c:v>
                </c:pt>
                <c:pt idx="209">
                  <c:v>1698.8333333333333</c:v>
                </c:pt>
                <c:pt idx="210">
                  <c:v>1701.5</c:v>
                </c:pt>
                <c:pt idx="211">
                  <c:v>1693</c:v>
                </c:pt>
                <c:pt idx="212">
                  <c:v>1679.5833333333333</c:v>
                </c:pt>
                <c:pt idx="213">
                  <c:v>1673.8333333333333</c:v>
                </c:pt>
                <c:pt idx="214">
                  <c:v>1672.5833333333333</c:v>
                </c:pt>
                <c:pt idx="215">
                  <c:v>1667.75</c:v>
                </c:pt>
                <c:pt idx="216">
                  <c:v>1664.0833333333333</c:v>
                </c:pt>
                <c:pt idx="217">
                  <c:v>1660.3333333333333</c:v>
                </c:pt>
                <c:pt idx="218">
                  <c:v>1664.75</c:v>
                </c:pt>
                <c:pt idx="219">
                  <c:v>1662.5</c:v>
                </c:pt>
                <c:pt idx="220">
                  <c:v>1662</c:v>
                </c:pt>
                <c:pt idx="221">
                  <c:v>1657.0833333333333</c:v>
                </c:pt>
                <c:pt idx="222">
                  <c:v>1653.1666666666667</c:v>
                </c:pt>
                <c:pt idx="223">
                  <c:v>1653.5833333333333</c:v>
                </c:pt>
                <c:pt idx="224">
                  <c:v>1659.1666666666667</c:v>
                </c:pt>
                <c:pt idx="225">
                  <c:v>1664.75</c:v>
                </c:pt>
                <c:pt idx="226">
                  <c:v>1669.5</c:v>
                </c:pt>
                <c:pt idx="227">
                  <c:v>1676.6666666666667</c:v>
                </c:pt>
                <c:pt idx="228">
                  <c:v>1683.75</c:v>
                </c:pt>
                <c:pt idx="229">
                  <c:v>1684.6666666666667</c:v>
                </c:pt>
                <c:pt idx="230">
                  <c:v>1688.25</c:v>
                </c:pt>
                <c:pt idx="231">
                  <c:v>1695.6666666666667</c:v>
                </c:pt>
                <c:pt idx="232">
                  <c:v>1703.9166666666667</c:v>
                </c:pt>
                <c:pt idx="233">
                  <c:v>1709.3333333333333</c:v>
                </c:pt>
                <c:pt idx="234">
                  <c:v>1713</c:v>
                </c:pt>
                <c:pt idx="235">
                  <c:v>1716.9166666666667</c:v>
                </c:pt>
                <c:pt idx="236">
                  <c:v>1715.0833333333333</c:v>
                </c:pt>
                <c:pt idx="237">
                  <c:v>1719.9166666666667</c:v>
                </c:pt>
                <c:pt idx="238">
                  <c:v>1720</c:v>
                </c:pt>
                <c:pt idx="239">
                  <c:v>1719.6666666666667</c:v>
                </c:pt>
                <c:pt idx="240">
                  <c:v>1719.9166666666667</c:v>
                </c:pt>
                <c:pt idx="241">
                  <c:v>1721.75</c:v>
                </c:pt>
                <c:pt idx="242">
                  <c:v>1724.25</c:v>
                </c:pt>
                <c:pt idx="243">
                  <c:v>1735.5</c:v>
                </c:pt>
                <c:pt idx="244">
                  <c:v>1736.6666666666667</c:v>
                </c:pt>
                <c:pt idx="245">
                  <c:v>1742.1666666666667</c:v>
                </c:pt>
                <c:pt idx="246">
                  <c:v>1755.4166666666667</c:v>
                </c:pt>
                <c:pt idx="247">
                  <c:v>1760.9166666666667</c:v>
                </c:pt>
                <c:pt idx="248">
                  <c:v>1777</c:v>
                </c:pt>
                <c:pt idx="249">
                  <c:v>1782.5</c:v>
                </c:pt>
                <c:pt idx="250">
                  <c:v>1780</c:v>
                </c:pt>
                <c:pt idx="251">
                  <c:v>1785</c:v>
                </c:pt>
                <c:pt idx="252">
                  <c:v>1794.3333333333333</c:v>
                </c:pt>
                <c:pt idx="253">
                  <c:v>1803.3333333333333</c:v>
                </c:pt>
                <c:pt idx="254">
                  <c:v>1805.0833333333333</c:v>
                </c:pt>
                <c:pt idx="255">
                  <c:v>1809.0833333333333</c:v>
                </c:pt>
                <c:pt idx="256">
                  <c:v>1809.25</c:v>
                </c:pt>
                <c:pt idx="257">
                  <c:v>1812.6666666666667</c:v>
                </c:pt>
                <c:pt idx="258">
                  <c:v>1802.1666666666667</c:v>
                </c:pt>
                <c:pt idx="259">
                  <c:v>1786.8333333333333</c:v>
                </c:pt>
                <c:pt idx="260">
                  <c:v>1779</c:v>
                </c:pt>
                <c:pt idx="261">
                  <c:v>1774.8333333333333</c:v>
                </c:pt>
                <c:pt idx="262">
                  <c:v>1786.0833333333333</c:v>
                </c:pt>
                <c:pt idx="263">
                  <c:v>1794.5</c:v>
                </c:pt>
                <c:pt idx="264">
                  <c:v>1790.1666666666667</c:v>
                </c:pt>
                <c:pt idx="265">
                  <c:v>1790.4166666666667</c:v>
                </c:pt>
                <c:pt idx="266">
                  <c:v>1791.9166666666667</c:v>
                </c:pt>
                <c:pt idx="267">
                  <c:v>1787.5</c:v>
                </c:pt>
                <c:pt idx="268">
                  <c:v>1790.25</c:v>
                </c:pt>
                <c:pt idx="269">
                  <c:v>1797.4166666666667</c:v>
                </c:pt>
                <c:pt idx="270">
                  <c:v>1800.7013888888889</c:v>
                </c:pt>
                <c:pt idx="271">
                  <c:v>1807.6765046296298</c:v>
                </c:pt>
                <c:pt idx="272">
                  <c:v>1806.3995466820991</c:v>
                </c:pt>
                <c:pt idx="273">
                  <c:v>1811.4328422389406</c:v>
                </c:pt>
                <c:pt idx="274">
                  <c:v>1807.6355790921855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04-1441-A53D-DCDFFFF5AE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9857152"/>
        <c:axId val="290169232"/>
      </c:lineChart>
      <c:catAx>
        <c:axId val="2898571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90169232"/>
        <c:crosses val="autoZero"/>
        <c:auto val="1"/>
        <c:lblAlgn val="ctr"/>
        <c:lblOffset val="100"/>
        <c:noMultiLvlLbl val="0"/>
      </c:catAx>
      <c:valAx>
        <c:axId val="290169232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89857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691930</xdr:colOff>
      <xdr:row>1</xdr:row>
      <xdr:rowOff>148897</xdr:rowOff>
    </xdr:from>
    <xdr:to>
      <xdr:col>12</xdr:col>
      <xdr:colOff>52549</xdr:colOff>
      <xdr:row>23</xdr:row>
      <xdr:rowOff>35035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53DF08F-9CE2-CB4B-8D66-9A45E97990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0.11514</cdr:x>
      <cdr:y>0.22505</cdr:y>
    </cdr:from>
    <cdr:to>
      <cdr:x>0.94567</cdr:x>
      <cdr:y>0.70488</cdr:y>
    </cdr:to>
    <cdr:cxnSp macro="">
      <cdr:nvCxnSpPr>
        <cdr:cNvPr id="3" name="Conector recto 2">
          <a:extLst xmlns:a="http://schemas.openxmlformats.org/drawingml/2006/main">
            <a:ext uri="{FF2B5EF4-FFF2-40B4-BE49-F238E27FC236}">
              <a16:creationId xmlns:a16="http://schemas.microsoft.com/office/drawing/2014/main" id="{E49917CC-ECEC-EC93-180D-33584508B38F}"/>
            </a:ext>
          </a:extLst>
        </cdr:cNvPr>
        <cdr:cNvCxnSpPr/>
      </cdr:nvCxnSpPr>
      <cdr:spPr>
        <a:xfrm xmlns:a="http://schemas.openxmlformats.org/drawingml/2006/main" flipV="1">
          <a:off x="779516" y="928415"/>
          <a:ext cx="5623034" cy="1979448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rgbClr val="C0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0.65977</cdr:x>
      <cdr:y>0.22505</cdr:y>
    </cdr:from>
    <cdr:to>
      <cdr:x>0.70893</cdr:x>
      <cdr:y>0.40977</cdr:y>
    </cdr:to>
    <cdr:sp macro="" textlink="">
      <cdr:nvSpPr>
        <cdr:cNvPr id="4" name="Rectángulo redondeado 3">
          <a:extLst xmlns:a="http://schemas.openxmlformats.org/drawingml/2006/main">
            <a:ext uri="{FF2B5EF4-FFF2-40B4-BE49-F238E27FC236}">
              <a16:creationId xmlns:a16="http://schemas.microsoft.com/office/drawing/2014/main" id="{0E6D49D3-245F-DEA3-7F9D-1A80BD6F1382}"/>
            </a:ext>
          </a:extLst>
        </cdr:cNvPr>
        <cdr:cNvSpPr/>
      </cdr:nvSpPr>
      <cdr:spPr>
        <a:xfrm xmlns:a="http://schemas.openxmlformats.org/drawingml/2006/main">
          <a:off x="4466896" y="928415"/>
          <a:ext cx="332828" cy="762000"/>
        </a:xfrm>
        <a:prstGeom xmlns:a="http://schemas.openxmlformats.org/drawingml/2006/main" prst="roundRect">
          <a:avLst/>
        </a:prstGeom>
        <a:noFill xmlns:a="http://schemas.openxmlformats.org/drawingml/2006/main"/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s-CL"/>
        </a:p>
      </cdr:txBody>
    </cdr:sp>
  </cdr:relSizeAnchor>
  <cdr:relSizeAnchor xmlns:cdr="http://schemas.openxmlformats.org/drawingml/2006/chartDrawing">
    <cdr:from>
      <cdr:x>0.70608</cdr:x>
      <cdr:y>0.22463</cdr:y>
    </cdr:from>
    <cdr:to>
      <cdr:x>0.75524</cdr:x>
      <cdr:y>0.40934</cdr:y>
    </cdr:to>
    <cdr:sp macro="" textlink="">
      <cdr:nvSpPr>
        <cdr:cNvPr id="5" name="Rectángulo redondeado 4">
          <a:extLst xmlns:a="http://schemas.openxmlformats.org/drawingml/2006/main">
            <a:ext uri="{FF2B5EF4-FFF2-40B4-BE49-F238E27FC236}">
              <a16:creationId xmlns:a16="http://schemas.microsoft.com/office/drawing/2014/main" id="{6DE6DBBE-D3EA-2D4B-98AE-18EF56D6982F}"/>
            </a:ext>
          </a:extLst>
        </cdr:cNvPr>
        <cdr:cNvSpPr/>
      </cdr:nvSpPr>
      <cdr:spPr>
        <a:xfrm xmlns:a="http://schemas.openxmlformats.org/drawingml/2006/main">
          <a:off x="4780456" y="926662"/>
          <a:ext cx="332828" cy="762000"/>
        </a:xfrm>
        <a:prstGeom xmlns:a="http://schemas.openxmlformats.org/drawingml/2006/main" prst="roundRect">
          <a:avLst/>
        </a:prstGeom>
        <a:noFill xmlns:a="http://schemas.openxmlformats.org/drawingml/2006/main"/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s-CL"/>
        </a:p>
      </cdr:txBody>
    </cdr:sp>
  </cdr:relSizeAnchor>
  <cdr:relSizeAnchor xmlns:cdr="http://schemas.openxmlformats.org/drawingml/2006/chartDrawing">
    <cdr:from>
      <cdr:x>0.37878</cdr:x>
      <cdr:y>0.41146</cdr:y>
    </cdr:from>
    <cdr:to>
      <cdr:x>0.42794</cdr:x>
      <cdr:y>0.59618</cdr:y>
    </cdr:to>
    <cdr:sp macro="" textlink="">
      <cdr:nvSpPr>
        <cdr:cNvPr id="6" name="Rectángulo redondeado 5">
          <a:extLst xmlns:a="http://schemas.openxmlformats.org/drawingml/2006/main">
            <a:ext uri="{FF2B5EF4-FFF2-40B4-BE49-F238E27FC236}">
              <a16:creationId xmlns:a16="http://schemas.microsoft.com/office/drawing/2014/main" id="{D03CA13E-7ED3-DF62-C01B-E7F92A963DC9}"/>
            </a:ext>
          </a:extLst>
        </cdr:cNvPr>
        <cdr:cNvSpPr/>
      </cdr:nvSpPr>
      <cdr:spPr>
        <a:xfrm xmlns:a="http://schemas.openxmlformats.org/drawingml/2006/main">
          <a:off x="2564525" y="1697420"/>
          <a:ext cx="332828" cy="762000"/>
        </a:xfrm>
        <a:prstGeom xmlns:a="http://schemas.openxmlformats.org/drawingml/2006/main" prst="roundRect">
          <a:avLst/>
        </a:prstGeom>
        <a:noFill xmlns:a="http://schemas.openxmlformats.org/drawingml/2006/main"/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s-CL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440266</xdr:colOff>
      <xdr:row>13</xdr:row>
      <xdr:rowOff>169332</xdr:rowOff>
    </xdr:from>
    <xdr:to>
      <xdr:col>15</xdr:col>
      <xdr:colOff>76199</xdr:colOff>
      <xdr:row>34</xdr:row>
      <xdr:rowOff>110066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4970DF2-FF1D-5968-7191-DC3921C3DF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93134</xdr:colOff>
      <xdr:row>14</xdr:row>
      <xdr:rowOff>71966</xdr:rowOff>
    </xdr:from>
    <xdr:to>
      <xdr:col>15</xdr:col>
      <xdr:colOff>50800</xdr:colOff>
      <xdr:row>31</xdr:row>
      <xdr:rowOff>93134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57213BA-B513-084D-B602-8A6B2C80B4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22980</xdr:colOff>
      <xdr:row>14</xdr:row>
      <xdr:rowOff>142118</xdr:rowOff>
    </xdr:from>
    <xdr:to>
      <xdr:col>17</xdr:col>
      <xdr:colOff>484413</xdr:colOff>
      <xdr:row>35</xdr:row>
      <xdr:rowOff>82852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C8ACEF5-070B-AD41-BCBC-ADCCFB74CA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6"/>
  <sheetViews>
    <sheetView showGridLines="0" topLeftCell="A87" zoomScale="145" zoomScaleNormal="145" workbookViewId="0">
      <selection activeCell="C271" sqref="C271:C276"/>
    </sheetView>
  </sheetViews>
  <sheetFormatPr baseColWidth="10" defaultRowHeight="15" x14ac:dyDescent="0.2"/>
  <sheetData>
    <row r="1" spans="1:3" x14ac:dyDescent="0.2">
      <c r="A1" s="4" t="s">
        <v>0</v>
      </c>
      <c r="B1" s="4" t="s">
        <v>1</v>
      </c>
      <c r="C1" s="4" t="s">
        <v>2</v>
      </c>
    </row>
    <row r="2" spans="1:3" x14ac:dyDescent="0.2">
      <c r="A2" s="1">
        <v>36739</v>
      </c>
      <c r="B2" s="2">
        <v>1049</v>
      </c>
      <c r="C2" s="2" t="s">
        <v>3</v>
      </c>
    </row>
    <row r="3" spans="1:3" x14ac:dyDescent="0.2">
      <c r="A3" s="1">
        <v>36770</v>
      </c>
      <c r="B3" s="2">
        <v>1026</v>
      </c>
      <c r="C3" s="2" t="s">
        <v>3</v>
      </c>
    </row>
    <row r="4" spans="1:3" x14ac:dyDescent="0.2">
      <c r="A4" s="1">
        <v>36800</v>
      </c>
      <c r="B4" s="2">
        <v>1074</v>
      </c>
      <c r="C4" s="2" t="s">
        <v>3</v>
      </c>
    </row>
    <row r="5" spans="1:3" x14ac:dyDescent="0.2">
      <c r="A5" s="1">
        <v>36831</v>
      </c>
      <c r="B5" s="2">
        <v>1031</v>
      </c>
      <c r="C5" s="2" t="s">
        <v>3</v>
      </c>
    </row>
    <row r="6" spans="1:3" x14ac:dyDescent="0.2">
      <c r="A6" s="1">
        <v>36861</v>
      </c>
      <c r="B6" s="2">
        <v>1047</v>
      </c>
      <c r="C6" s="2" t="s">
        <v>3</v>
      </c>
    </row>
    <row r="7" spans="1:3" x14ac:dyDescent="0.2">
      <c r="A7" s="1">
        <v>36892</v>
      </c>
      <c r="B7" s="2">
        <v>986</v>
      </c>
      <c r="C7" s="2" t="s">
        <v>3</v>
      </c>
    </row>
    <row r="8" spans="1:3" x14ac:dyDescent="0.2">
      <c r="A8" s="1">
        <v>36923</v>
      </c>
      <c r="B8" s="2">
        <v>1015</v>
      </c>
      <c r="C8" s="2" t="s">
        <v>3</v>
      </c>
    </row>
    <row r="9" spans="1:3" x14ac:dyDescent="0.2">
      <c r="A9" s="1">
        <v>36951</v>
      </c>
      <c r="B9" s="2">
        <v>1021</v>
      </c>
      <c r="C9" s="2" t="s">
        <v>3</v>
      </c>
    </row>
    <row r="10" spans="1:3" x14ac:dyDescent="0.2">
      <c r="A10" s="1">
        <v>36982</v>
      </c>
      <c r="B10" s="2">
        <v>958</v>
      </c>
      <c r="C10" s="2" t="s">
        <v>3</v>
      </c>
    </row>
    <row r="11" spans="1:3" x14ac:dyDescent="0.2">
      <c r="A11" s="1">
        <v>37012</v>
      </c>
      <c r="B11" s="2">
        <v>1041</v>
      </c>
      <c r="C11" s="2" t="s">
        <v>3</v>
      </c>
    </row>
    <row r="12" spans="1:3" x14ac:dyDescent="0.2">
      <c r="A12" s="1">
        <v>37043</v>
      </c>
      <c r="B12" s="2">
        <v>999</v>
      </c>
      <c r="C12" s="2" t="s">
        <v>3</v>
      </c>
    </row>
    <row r="13" spans="1:3" x14ac:dyDescent="0.2">
      <c r="A13" s="1">
        <v>37073</v>
      </c>
      <c r="B13" s="2">
        <v>1034</v>
      </c>
      <c r="C13" s="2" t="s">
        <v>3</v>
      </c>
    </row>
    <row r="14" spans="1:3" x14ac:dyDescent="0.2">
      <c r="A14" s="1">
        <v>37104</v>
      </c>
      <c r="B14" s="2">
        <v>959</v>
      </c>
      <c r="C14" s="2" t="s">
        <v>3</v>
      </c>
    </row>
    <row r="15" spans="1:3" x14ac:dyDescent="0.2">
      <c r="A15" s="1">
        <v>37135</v>
      </c>
      <c r="B15" s="2">
        <v>920</v>
      </c>
      <c r="C15" s="2" t="s">
        <v>3</v>
      </c>
    </row>
    <row r="16" spans="1:3" x14ac:dyDescent="0.2">
      <c r="A16" s="1">
        <v>37165</v>
      </c>
      <c r="B16" s="2">
        <v>1019</v>
      </c>
      <c r="C16" s="2" t="s">
        <v>3</v>
      </c>
    </row>
    <row r="17" spans="1:3" x14ac:dyDescent="0.2">
      <c r="A17" s="1">
        <v>37196</v>
      </c>
      <c r="B17" s="2">
        <v>1056</v>
      </c>
      <c r="C17" s="2" t="s">
        <v>3</v>
      </c>
    </row>
    <row r="18" spans="1:3" x14ac:dyDescent="0.2">
      <c r="A18" s="1">
        <v>37226</v>
      </c>
      <c r="B18" s="2">
        <v>1057</v>
      </c>
      <c r="C18" s="2" t="s">
        <v>3</v>
      </c>
    </row>
    <row r="19" spans="1:3" x14ac:dyDescent="0.2">
      <c r="A19" s="1">
        <v>37257</v>
      </c>
      <c r="B19" s="2">
        <v>1017</v>
      </c>
      <c r="C19" s="2" t="s">
        <v>3</v>
      </c>
    </row>
    <row r="20" spans="1:3" x14ac:dyDescent="0.2">
      <c r="A20" s="1">
        <v>37288</v>
      </c>
      <c r="B20" s="2">
        <v>1096</v>
      </c>
      <c r="C20" s="2" t="s">
        <v>3</v>
      </c>
    </row>
    <row r="21" spans="1:3" x14ac:dyDescent="0.2">
      <c r="A21" s="1">
        <v>37316</v>
      </c>
      <c r="B21" s="2">
        <v>1052</v>
      </c>
      <c r="C21" s="2" t="s">
        <v>3</v>
      </c>
    </row>
    <row r="22" spans="1:3" x14ac:dyDescent="0.2">
      <c r="A22" s="1">
        <v>37347</v>
      </c>
      <c r="B22" s="2">
        <v>971</v>
      </c>
      <c r="C22" s="2" t="s">
        <v>3</v>
      </c>
    </row>
    <row r="23" spans="1:3" x14ac:dyDescent="0.2">
      <c r="A23" s="1">
        <v>37377</v>
      </c>
      <c r="B23" s="2">
        <v>1033</v>
      </c>
      <c r="C23" s="2" t="s">
        <v>3</v>
      </c>
    </row>
    <row r="24" spans="1:3" x14ac:dyDescent="0.2">
      <c r="A24" s="1">
        <v>37408</v>
      </c>
      <c r="B24" s="2">
        <v>978</v>
      </c>
      <c r="C24" s="2" t="s">
        <v>3</v>
      </c>
    </row>
    <row r="25" spans="1:3" x14ac:dyDescent="0.2">
      <c r="A25" s="1">
        <v>37438</v>
      </c>
      <c r="B25" s="2">
        <v>983</v>
      </c>
      <c r="C25" s="2" t="s">
        <v>3</v>
      </c>
    </row>
    <row r="26" spans="1:3" x14ac:dyDescent="0.2">
      <c r="A26" s="1">
        <v>37469</v>
      </c>
      <c r="B26" s="2">
        <v>906</v>
      </c>
      <c r="C26" s="2" t="s">
        <v>3</v>
      </c>
    </row>
    <row r="27" spans="1:3" x14ac:dyDescent="0.2">
      <c r="A27" s="1">
        <v>37500</v>
      </c>
      <c r="B27" s="2">
        <v>910</v>
      </c>
      <c r="C27" s="2" t="s">
        <v>3</v>
      </c>
    </row>
    <row r="28" spans="1:3" x14ac:dyDescent="0.2">
      <c r="A28" s="1">
        <v>37530</v>
      </c>
      <c r="B28" s="2">
        <v>1025</v>
      </c>
      <c r="C28" s="2" t="s">
        <v>3</v>
      </c>
    </row>
    <row r="29" spans="1:3" x14ac:dyDescent="0.2">
      <c r="A29" s="1">
        <v>37561</v>
      </c>
      <c r="B29" s="2">
        <v>1026</v>
      </c>
      <c r="C29" s="2" t="s">
        <v>3</v>
      </c>
    </row>
    <row r="30" spans="1:3" x14ac:dyDescent="0.2">
      <c r="A30" s="1">
        <v>37591</v>
      </c>
      <c r="B30" s="2">
        <v>1014</v>
      </c>
      <c r="C30" s="2" t="s">
        <v>3</v>
      </c>
    </row>
    <row r="31" spans="1:3" x14ac:dyDescent="0.2">
      <c r="A31" s="1">
        <v>37622</v>
      </c>
      <c r="B31" s="2">
        <v>977</v>
      </c>
      <c r="C31" s="2" t="s">
        <v>3</v>
      </c>
    </row>
    <row r="32" spans="1:3" x14ac:dyDescent="0.2">
      <c r="A32" s="1">
        <v>37653</v>
      </c>
      <c r="B32" s="2">
        <v>990</v>
      </c>
      <c r="C32" s="2" t="s">
        <v>3</v>
      </c>
    </row>
    <row r="33" spans="1:3" x14ac:dyDescent="0.2">
      <c r="A33" s="1">
        <v>37681</v>
      </c>
      <c r="B33" s="2">
        <v>989</v>
      </c>
      <c r="C33" s="2" t="s">
        <v>3</v>
      </c>
    </row>
    <row r="34" spans="1:3" x14ac:dyDescent="0.2">
      <c r="A34" s="1">
        <v>37712</v>
      </c>
      <c r="B34" s="2">
        <v>960</v>
      </c>
      <c r="C34" s="2" t="s">
        <v>3</v>
      </c>
    </row>
    <row r="35" spans="1:3" x14ac:dyDescent="0.2">
      <c r="A35" s="1">
        <v>37742</v>
      </c>
      <c r="B35" s="2">
        <v>981</v>
      </c>
      <c r="C35" s="2" t="s">
        <v>3</v>
      </c>
    </row>
    <row r="36" spans="1:3" x14ac:dyDescent="0.2">
      <c r="A36" s="1">
        <v>37773</v>
      </c>
      <c r="B36" s="2">
        <v>962</v>
      </c>
      <c r="C36" s="2" t="s">
        <v>3</v>
      </c>
    </row>
    <row r="37" spans="1:3" x14ac:dyDescent="0.2">
      <c r="A37" s="1">
        <v>37803</v>
      </c>
      <c r="B37" s="2">
        <v>1022</v>
      </c>
      <c r="C37" s="2" t="s">
        <v>3</v>
      </c>
    </row>
    <row r="38" spans="1:3" x14ac:dyDescent="0.2">
      <c r="A38" s="1">
        <v>37834</v>
      </c>
      <c r="B38" s="2">
        <v>910</v>
      </c>
      <c r="C38" s="2" t="s">
        <v>3</v>
      </c>
    </row>
    <row r="39" spans="1:3" x14ac:dyDescent="0.2">
      <c r="A39" s="1">
        <v>37865</v>
      </c>
      <c r="B39" s="2">
        <v>912</v>
      </c>
      <c r="C39" s="2" t="s">
        <v>3</v>
      </c>
    </row>
    <row r="40" spans="1:3" x14ac:dyDescent="0.2">
      <c r="A40" s="1">
        <v>37895</v>
      </c>
      <c r="B40" s="2">
        <v>1025</v>
      </c>
      <c r="C40" s="2" t="s">
        <v>3</v>
      </c>
    </row>
    <row r="41" spans="1:3" x14ac:dyDescent="0.2">
      <c r="A41" s="1">
        <v>37926</v>
      </c>
      <c r="B41" s="2">
        <v>1017</v>
      </c>
      <c r="C41" s="2" t="s">
        <v>3</v>
      </c>
    </row>
    <row r="42" spans="1:3" x14ac:dyDescent="0.2">
      <c r="A42" s="1">
        <v>37956</v>
      </c>
      <c r="B42" s="2">
        <v>1044</v>
      </c>
      <c r="C42" s="2" t="s">
        <v>3</v>
      </c>
    </row>
    <row r="43" spans="1:3" x14ac:dyDescent="0.2">
      <c r="A43" s="1">
        <v>37987</v>
      </c>
      <c r="B43" s="2">
        <v>1032</v>
      </c>
      <c r="C43" s="2" t="s">
        <v>3</v>
      </c>
    </row>
    <row r="44" spans="1:3" x14ac:dyDescent="0.2">
      <c r="A44" s="1">
        <v>38018</v>
      </c>
      <c r="B44" s="2">
        <v>1060</v>
      </c>
      <c r="C44" s="2" t="s">
        <v>3</v>
      </c>
    </row>
    <row r="45" spans="1:3" x14ac:dyDescent="0.2">
      <c r="A45" s="1">
        <v>38047</v>
      </c>
      <c r="B45" s="2">
        <v>1077</v>
      </c>
      <c r="C45" s="2" t="s">
        <v>3</v>
      </c>
    </row>
    <row r="46" spans="1:3" x14ac:dyDescent="0.2">
      <c r="A46" s="1">
        <v>38078</v>
      </c>
      <c r="B46" s="2">
        <v>1098</v>
      </c>
      <c r="C46" s="2" t="s">
        <v>3</v>
      </c>
    </row>
    <row r="47" spans="1:3" x14ac:dyDescent="0.2">
      <c r="A47" s="1">
        <v>38108</v>
      </c>
      <c r="B47" s="2">
        <v>1086</v>
      </c>
      <c r="C47" s="2" t="s">
        <v>3</v>
      </c>
    </row>
    <row r="48" spans="1:3" x14ac:dyDescent="0.2">
      <c r="A48" s="1">
        <v>38139</v>
      </c>
      <c r="B48" s="2">
        <v>1070</v>
      </c>
      <c r="C48" s="2" t="s">
        <v>3</v>
      </c>
    </row>
    <row r="49" spans="1:3" x14ac:dyDescent="0.2">
      <c r="A49" s="1">
        <v>38169</v>
      </c>
      <c r="B49" s="2">
        <v>1121</v>
      </c>
      <c r="C49" s="2" t="s">
        <v>3</v>
      </c>
    </row>
    <row r="50" spans="1:3" x14ac:dyDescent="0.2">
      <c r="A50" s="1">
        <v>38200</v>
      </c>
      <c r="B50" s="2">
        <v>993</v>
      </c>
      <c r="C50" s="2" t="s">
        <v>3</v>
      </c>
    </row>
    <row r="51" spans="1:3" x14ac:dyDescent="0.2">
      <c r="A51" s="1">
        <v>38231</v>
      </c>
      <c r="B51" s="2">
        <v>1026</v>
      </c>
      <c r="C51" s="2" t="s">
        <v>3</v>
      </c>
    </row>
    <row r="52" spans="1:3" x14ac:dyDescent="0.2">
      <c r="A52" s="1">
        <v>38261</v>
      </c>
      <c r="B52" s="2">
        <v>1114</v>
      </c>
      <c r="C52" s="2" t="s">
        <v>3</v>
      </c>
    </row>
    <row r="53" spans="1:3" x14ac:dyDescent="0.2">
      <c r="A53" s="1">
        <v>38292</v>
      </c>
      <c r="B53" s="2">
        <v>1050</v>
      </c>
      <c r="C53" s="2" t="s">
        <v>3</v>
      </c>
    </row>
    <row r="54" spans="1:3" x14ac:dyDescent="0.2">
      <c r="A54" s="1">
        <v>38322</v>
      </c>
      <c r="B54" s="2">
        <v>1094</v>
      </c>
      <c r="C54" s="2" t="s">
        <v>3</v>
      </c>
    </row>
    <row r="55" spans="1:3" x14ac:dyDescent="0.2">
      <c r="A55" s="1">
        <v>38353</v>
      </c>
      <c r="B55" s="2">
        <v>1069</v>
      </c>
      <c r="C55" s="2" t="s">
        <v>3</v>
      </c>
    </row>
    <row r="56" spans="1:3" x14ac:dyDescent="0.2">
      <c r="A56" s="1">
        <v>38384</v>
      </c>
      <c r="B56" s="2">
        <v>1096</v>
      </c>
      <c r="C56" s="2" t="s">
        <v>3</v>
      </c>
    </row>
    <row r="57" spans="1:3" x14ac:dyDescent="0.2">
      <c r="A57" s="1">
        <v>38412</v>
      </c>
      <c r="B57" s="2">
        <v>1137</v>
      </c>
      <c r="C57" s="2" t="s">
        <v>3</v>
      </c>
    </row>
    <row r="58" spans="1:3" x14ac:dyDescent="0.2">
      <c r="A58" s="1">
        <v>38443</v>
      </c>
      <c r="B58" s="2">
        <v>1053</v>
      </c>
      <c r="C58" s="2" t="s">
        <v>3</v>
      </c>
    </row>
    <row r="59" spans="1:3" x14ac:dyDescent="0.2">
      <c r="A59" s="1">
        <v>38473</v>
      </c>
      <c r="B59" s="2">
        <v>1100</v>
      </c>
      <c r="C59" s="2" t="s">
        <v>3</v>
      </c>
    </row>
    <row r="60" spans="1:3" x14ac:dyDescent="0.2">
      <c r="A60" s="1">
        <v>38504</v>
      </c>
      <c r="B60" s="2">
        <v>1101</v>
      </c>
      <c r="C60" s="2" t="s">
        <v>3</v>
      </c>
    </row>
    <row r="61" spans="1:3" x14ac:dyDescent="0.2">
      <c r="A61" s="1">
        <v>38534</v>
      </c>
      <c r="B61" s="2">
        <v>1116</v>
      </c>
      <c r="C61" s="2" t="s">
        <v>3</v>
      </c>
    </row>
    <row r="62" spans="1:3" x14ac:dyDescent="0.2">
      <c r="A62" s="1">
        <v>38565</v>
      </c>
      <c r="B62" s="2">
        <v>1051</v>
      </c>
      <c r="C62" s="2" t="s">
        <v>3</v>
      </c>
    </row>
    <row r="63" spans="1:3" x14ac:dyDescent="0.2">
      <c r="A63" s="1">
        <v>38596</v>
      </c>
      <c r="B63" s="2">
        <v>1000</v>
      </c>
      <c r="C63" s="2" t="s">
        <v>3</v>
      </c>
    </row>
    <row r="64" spans="1:3" x14ac:dyDescent="0.2">
      <c r="A64" s="1">
        <v>38626</v>
      </c>
      <c r="B64" s="2">
        <v>1102</v>
      </c>
      <c r="C64" s="2" t="s">
        <v>3</v>
      </c>
    </row>
    <row r="65" spans="1:3" x14ac:dyDescent="0.2">
      <c r="A65" s="1">
        <v>38657</v>
      </c>
      <c r="B65" s="2">
        <v>1094</v>
      </c>
      <c r="C65" s="2" t="s">
        <v>3</v>
      </c>
    </row>
    <row r="66" spans="1:3" x14ac:dyDescent="0.2">
      <c r="A66" s="1">
        <v>38687</v>
      </c>
      <c r="B66" s="2">
        <v>1143</v>
      </c>
      <c r="C66" s="2" t="s">
        <v>3</v>
      </c>
    </row>
    <row r="67" spans="1:3" x14ac:dyDescent="0.2">
      <c r="A67" s="1">
        <v>38718</v>
      </c>
      <c r="B67" s="2">
        <v>1094</v>
      </c>
      <c r="C67" s="2" t="s">
        <v>3</v>
      </c>
    </row>
    <row r="68" spans="1:3" x14ac:dyDescent="0.2">
      <c r="A68" s="1">
        <v>38749</v>
      </c>
      <c r="B68" s="2">
        <v>1175</v>
      </c>
      <c r="C68" s="2" t="s">
        <v>3</v>
      </c>
    </row>
    <row r="69" spans="1:3" x14ac:dyDescent="0.2">
      <c r="A69" s="1">
        <v>38777</v>
      </c>
      <c r="B69" s="2">
        <v>1212</v>
      </c>
      <c r="C69" s="2" t="s">
        <v>3</v>
      </c>
    </row>
    <row r="70" spans="1:3" x14ac:dyDescent="0.2">
      <c r="A70" s="1">
        <v>38808</v>
      </c>
      <c r="B70" s="2">
        <v>1109</v>
      </c>
      <c r="C70" s="2" t="s">
        <v>3</v>
      </c>
    </row>
    <row r="71" spans="1:3" x14ac:dyDescent="0.2">
      <c r="A71" s="1">
        <v>38838</v>
      </c>
      <c r="B71" s="2">
        <v>1185</v>
      </c>
      <c r="C71" s="2" t="s">
        <v>3</v>
      </c>
    </row>
    <row r="72" spans="1:3" x14ac:dyDescent="0.2">
      <c r="A72" s="1">
        <v>38869</v>
      </c>
      <c r="B72" s="2">
        <v>1102</v>
      </c>
      <c r="C72" s="2" t="s">
        <v>3</v>
      </c>
    </row>
    <row r="73" spans="1:3" x14ac:dyDescent="0.2">
      <c r="A73" s="1">
        <v>38899</v>
      </c>
      <c r="B73" s="2">
        <v>1112</v>
      </c>
      <c r="C73" s="2" t="s">
        <v>3</v>
      </c>
    </row>
    <row r="74" spans="1:3" x14ac:dyDescent="0.2">
      <c r="A74" s="1">
        <v>38930</v>
      </c>
      <c r="B74" s="2">
        <v>1108</v>
      </c>
      <c r="C74" s="2" t="s">
        <v>3</v>
      </c>
    </row>
    <row r="75" spans="1:3" x14ac:dyDescent="0.2">
      <c r="A75" s="1">
        <v>38961</v>
      </c>
      <c r="B75" s="2">
        <v>1089</v>
      </c>
      <c r="C75" s="2" t="s">
        <v>3</v>
      </c>
    </row>
    <row r="76" spans="1:3" x14ac:dyDescent="0.2">
      <c r="A76" s="1">
        <v>38991</v>
      </c>
      <c r="B76" s="2">
        <v>1199</v>
      </c>
      <c r="C76" s="2" t="s">
        <v>3</v>
      </c>
    </row>
    <row r="77" spans="1:3" x14ac:dyDescent="0.2">
      <c r="A77" s="1">
        <v>39022</v>
      </c>
      <c r="B77" s="2">
        <v>1126</v>
      </c>
      <c r="C77" s="2" t="s">
        <v>3</v>
      </c>
    </row>
    <row r="78" spans="1:3" x14ac:dyDescent="0.2">
      <c r="A78" s="1">
        <v>39052</v>
      </c>
      <c r="B78" s="2">
        <v>1177</v>
      </c>
      <c r="C78" s="2" t="s">
        <v>3</v>
      </c>
    </row>
    <row r="79" spans="1:3" x14ac:dyDescent="0.2">
      <c r="A79" s="1">
        <v>39083</v>
      </c>
      <c r="B79" s="2">
        <v>1154</v>
      </c>
      <c r="C79" s="2" t="s">
        <v>3</v>
      </c>
    </row>
    <row r="80" spans="1:3" x14ac:dyDescent="0.2">
      <c r="A80" s="1">
        <v>39114</v>
      </c>
      <c r="B80" s="2">
        <v>1232</v>
      </c>
      <c r="C80" s="2" t="s">
        <v>3</v>
      </c>
    </row>
    <row r="81" spans="1:3" x14ac:dyDescent="0.2">
      <c r="A81" s="1">
        <v>39142</v>
      </c>
      <c r="B81" s="2">
        <v>1205</v>
      </c>
      <c r="C81" s="2" t="s">
        <v>3</v>
      </c>
    </row>
    <row r="82" spans="1:3" x14ac:dyDescent="0.2">
      <c r="A82" s="1">
        <v>39173</v>
      </c>
      <c r="B82" s="2">
        <v>1143</v>
      </c>
      <c r="C82" s="2" t="s">
        <v>3</v>
      </c>
    </row>
    <row r="83" spans="1:3" x14ac:dyDescent="0.2">
      <c r="A83" s="1">
        <v>39203</v>
      </c>
      <c r="B83" s="2">
        <v>1227</v>
      </c>
      <c r="C83" s="2" t="s">
        <v>3</v>
      </c>
    </row>
    <row r="84" spans="1:3" x14ac:dyDescent="0.2">
      <c r="A84" s="1">
        <v>39234</v>
      </c>
      <c r="B84" s="2">
        <v>1117</v>
      </c>
      <c r="C84" s="2" t="s">
        <v>3</v>
      </c>
    </row>
    <row r="85" spans="1:3" x14ac:dyDescent="0.2">
      <c r="A85" s="1">
        <v>39264</v>
      </c>
      <c r="B85" s="2">
        <v>1180</v>
      </c>
      <c r="C85" s="2" t="s">
        <v>3</v>
      </c>
    </row>
    <row r="86" spans="1:3" x14ac:dyDescent="0.2">
      <c r="A86" s="1">
        <v>39295</v>
      </c>
      <c r="B86" s="2">
        <v>1102</v>
      </c>
      <c r="C86" s="2" t="s">
        <v>3</v>
      </c>
    </row>
    <row r="87" spans="1:3" x14ac:dyDescent="0.2">
      <c r="A87" s="1">
        <v>39326</v>
      </c>
      <c r="B87" s="2">
        <v>1140</v>
      </c>
      <c r="C87" s="2" t="s">
        <v>3</v>
      </c>
    </row>
    <row r="88" spans="1:3" x14ac:dyDescent="0.2">
      <c r="A88" s="1">
        <v>39356</v>
      </c>
      <c r="B88" s="2">
        <v>1291</v>
      </c>
      <c r="C88" s="2" t="s">
        <v>3</v>
      </c>
    </row>
    <row r="89" spans="1:3" x14ac:dyDescent="0.2">
      <c r="A89" s="1">
        <v>39387</v>
      </c>
      <c r="B89" s="2">
        <v>1247</v>
      </c>
      <c r="C89" s="2" t="s">
        <v>3</v>
      </c>
    </row>
    <row r="90" spans="1:3" x14ac:dyDescent="0.2">
      <c r="A90" s="1">
        <v>39417</v>
      </c>
      <c r="B90" s="2">
        <v>1207</v>
      </c>
      <c r="C90" s="2" t="s">
        <v>3</v>
      </c>
    </row>
    <row r="91" spans="1:3" x14ac:dyDescent="0.2">
      <c r="A91" s="1">
        <v>39448</v>
      </c>
      <c r="B91" s="2">
        <v>1196</v>
      </c>
      <c r="C91" s="2" t="s">
        <v>3</v>
      </c>
    </row>
    <row r="92" spans="1:3" x14ac:dyDescent="0.2">
      <c r="A92" s="1">
        <v>39479</v>
      </c>
      <c r="B92" s="2">
        <v>1256</v>
      </c>
      <c r="C92" s="2" t="s">
        <v>3</v>
      </c>
    </row>
    <row r="93" spans="1:3" x14ac:dyDescent="0.2">
      <c r="A93" s="1">
        <v>39508</v>
      </c>
      <c r="B93" s="2">
        <v>1205</v>
      </c>
      <c r="C93" s="2" t="s">
        <v>3</v>
      </c>
    </row>
    <row r="94" spans="1:3" x14ac:dyDescent="0.2">
      <c r="A94" s="1">
        <v>39539</v>
      </c>
      <c r="B94" s="2">
        <v>1177</v>
      </c>
      <c r="C94" s="2" t="s">
        <v>3</v>
      </c>
    </row>
    <row r="95" spans="1:3" x14ac:dyDescent="0.2">
      <c r="A95" s="1">
        <v>39569</v>
      </c>
      <c r="B95" s="2">
        <v>1263</v>
      </c>
      <c r="C95" s="2" t="s">
        <v>3</v>
      </c>
    </row>
    <row r="96" spans="1:3" x14ac:dyDescent="0.2">
      <c r="A96" s="1">
        <v>39600</v>
      </c>
      <c r="B96" s="2">
        <v>1185</v>
      </c>
      <c r="C96" s="2" t="s">
        <v>3</v>
      </c>
    </row>
    <row r="97" spans="1:3" x14ac:dyDescent="0.2">
      <c r="A97" s="1">
        <v>39630</v>
      </c>
      <c r="B97" s="2">
        <v>1261</v>
      </c>
      <c r="C97" s="2" t="s">
        <v>3</v>
      </c>
    </row>
    <row r="98" spans="1:3" x14ac:dyDescent="0.2">
      <c r="A98" s="1">
        <v>39661</v>
      </c>
      <c r="B98" s="2">
        <v>1196</v>
      </c>
      <c r="C98" s="2" t="s">
        <v>3</v>
      </c>
    </row>
    <row r="99" spans="1:3" x14ac:dyDescent="0.2">
      <c r="A99" s="1">
        <v>39692</v>
      </c>
      <c r="B99" s="2">
        <v>1251</v>
      </c>
      <c r="C99" s="2" t="s">
        <v>3</v>
      </c>
    </row>
    <row r="100" spans="1:3" x14ac:dyDescent="0.2">
      <c r="A100" s="1">
        <v>39722</v>
      </c>
      <c r="B100" s="2">
        <v>1414</v>
      </c>
      <c r="C100" s="2" t="s">
        <v>3</v>
      </c>
    </row>
    <row r="101" spans="1:3" x14ac:dyDescent="0.2">
      <c r="A101" s="1">
        <v>39753</v>
      </c>
      <c r="B101" s="2">
        <v>1291</v>
      </c>
      <c r="C101" s="2" t="s">
        <v>3</v>
      </c>
    </row>
    <row r="102" spans="1:3" x14ac:dyDescent="0.2">
      <c r="A102" s="1">
        <v>39783</v>
      </c>
      <c r="B102" s="2">
        <v>1293</v>
      </c>
      <c r="C102" s="2" t="s">
        <v>3</v>
      </c>
    </row>
    <row r="103" spans="1:3" x14ac:dyDescent="0.2">
      <c r="A103" s="1">
        <v>39814</v>
      </c>
      <c r="B103" s="2">
        <v>1289</v>
      </c>
      <c r="C103" s="2" t="s">
        <v>3</v>
      </c>
    </row>
    <row r="104" spans="1:3" x14ac:dyDescent="0.2">
      <c r="A104" s="1">
        <v>39845</v>
      </c>
      <c r="B104" s="2">
        <v>1320</v>
      </c>
      <c r="C104" s="2" t="s">
        <v>3</v>
      </c>
    </row>
    <row r="105" spans="1:3" x14ac:dyDescent="0.2">
      <c r="A105" s="1">
        <v>39873</v>
      </c>
      <c r="B105" s="2">
        <v>1313</v>
      </c>
      <c r="C105" s="2" t="s">
        <v>3</v>
      </c>
    </row>
    <row r="106" spans="1:3" x14ac:dyDescent="0.2">
      <c r="A106" s="1">
        <v>39904</v>
      </c>
      <c r="B106" s="2">
        <v>1265</v>
      </c>
      <c r="C106" s="2" t="s">
        <v>3</v>
      </c>
    </row>
    <row r="107" spans="1:3" x14ac:dyDescent="0.2">
      <c r="A107" s="1">
        <v>39934</v>
      </c>
      <c r="B107" s="2">
        <v>1233</v>
      </c>
      <c r="C107" s="2" t="s">
        <v>3</v>
      </c>
    </row>
    <row r="108" spans="1:3" x14ac:dyDescent="0.2">
      <c r="A108" s="1">
        <v>39965</v>
      </c>
      <c r="B108" s="2">
        <v>1187</v>
      </c>
      <c r="C108" s="2" t="s">
        <v>3</v>
      </c>
    </row>
    <row r="109" spans="1:3" x14ac:dyDescent="0.2">
      <c r="A109" s="1">
        <v>39995</v>
      </c>
      <c r="B109" s="2">
        <v>1278</v>
      </c>
      <c r="C109" s="2" t="s">
        <v>3</v>
      </c>
    </row>
    <row r="110" spans="1:3" x14ac:dyDescent="0.2">
      <c r="A110" s="1">
        <v>40026</v>
      </c>
      <c r="B110" s="2">
        <v>1197</v>
      </c>
      <c r="C110" s="2" t="s">
        <v>3</v>
      </c>
    </row>
    <row r="111" spans="1:3" x14ac:dyDescent="0.2">
      <c r="A111" s="1">
        <v>40057</v>
      </c>
      <c r="B111" s="2">
        <v>1181</v>
      </c>
      <c r="C111" s="2" t="s">
        <v>3</v>
      </c>
    </row>
    <row r="112" spans="1:3" x14ac:dyDescent="0.2">
      <c r="A112" s="1">
        <v>40087</v>
      </c>
      <c r="B112" s="2">
        <v>1367</v>
      </c>
      <c r="C112" s="2" t="s">
        <v>3</v>
      </c>
    </row>
    <row r="113" spans="1:3" x14ac:dyDescent="0.2">
      <c r="A113" s="1">
        <v>40118</v>
      </c>
      <c r="B113" s="2">
        <v>1234</v>
      </c>
      <c r="C113" s="2" t="s">
        <v>3</v>
      </c>
    </row>
    <row r="114" spans="1:3" x14ac:dyDescent="0.2">
      <c r="A114" s="1">
        <v>40148</v>
      </c>
      <c r="B114" s="2">
        <v>1254</v>
      </c>
      <c r="C114" s="2" t="s">
        <v>3</v>
      </c>
    </row>
    <row r="115" spans="1:3" x14ac:dyDescent="0.2">
      <c r="A115" s="1">
        <v>40179</v>
      </c>
      <c r="B115" s="2">
        <v>1287</v>
      </c>
      <c r="C115" s="2" t="s">
        <v>3</v>
      </c>
    </row>
    <row r="116" spans="1:3" x14ac:dyDescent="0.2">
      <c r="A116" s="1">
        <v>40210</v>
      </c>
      <c r="B116" s="2">
        <v>1314</v>
      </c>
      <c r="C116" s="2" t="s">
        <v>3</v>
      </c>
    </row>
    <row r="117" spans="1:3" x14ac:dyDescent="0.2">
      <c r="A117" s="1">
        <v>40238</v>
      </c>
      <c r="B117" s="2">
        <v>1395</v>
      </c>
      <c r="C117" s="2" t="s">
        <v>3</v>
      </c>
    </row>
    <row r="118" spans="1:3" x14ac:dyDescent="0.2">
      <c r="A118" s="1">
        <v>40269</v>
      </c>
      <c r="B118" s="2">
        <v>1337</v>
      </c>
      <c r="C118" s="2" t="s">
        <v>3</v>
      </c>
    </row>
    <row r="119" spans="1:3" x14ac:dyDescent="0.2">
      <c r="A119" s="1">
        <v>40299</v>
      </c>
      <c r="B119" s="2">
        <v>1363</v>
      </c>
      <c r="C119" s="2" t="s">
        <v>3</v>
      </c>
    </row>
    <row r="120" spans="1:3" x14ac:dyDescent="0.2">
      <c r="A120" s="1">
        <v>40330</v>
      </c>
      <c r="B120" s="2">
        <v>1352</v>
      </c>
      <c r="C120" s="2" t="s">
        <v>3</v>
      </c>
    </row>
    <row r="121" spans="1:3" x14ac:dyDescent="0.2">
      <c r="A121" s="1">
        <v>40360</v>
      </c>
      <c r="B121" s="2">
        <v>1403</v>
      </c>
      <c r="C121" s="2" t="s">
        <v>3</v>
      </c>
    </row>
    <row r="122" spans="1:3" x14ac:dyDescent="0.2">
      <c r="A122" s="1">
        <v>40391</v>
      </c>
      <c r="B122" s="2">
        <v>1289</v>
      </c>
      <c r="C122" s="2" t="s">
        <v>3</v>
      </c>
    </row>
    <row r="123" spans="1:3" x14ac:dyDescent="0.2">
      <c r="A123" s="1">
        <v>40422</v>
      </c>
      <c r="B123" s="2">
        <v>1274</v>
      </c>
      <c r="C123" s="2" t="s">
        <v>3</v>
      </c>
    </row>
    <row r="124" spans="1:3" x14ac:dyDescent="0.2">
      <c r="A124" s="1">
        <v>40452</v>
      </c>
      <c r="B124" s="2">
        <v>1430</v>
      </c>
      <c r="C124" s="2" t="s">
        <v>3</v>
      </c>
    </row>
    <row r="125" spans="1:3" x14ac:dyDescent="0.2">
      <c r="A125" s="1">
        <v>40483</v>
      </c>
      <c r="B125" s="2">
        <v>1343</v>
      </c>
      <c r="C125" s="2" t="s">
        <v>3</v>
      </c>
    </row>
    <row r="126" spans="1:3" x14ac:dyDescent="0.2">
      <c r="A126" s="1">
        <v>40513</v>
      </c>
      <c r="B126" s="2">
        <v>1405</v>
      </c>
      <c r="C126" s="2" t="s">
        <v>3</v>
      </c>
    </row>
    <row r="127" spans="1:3" x14ac:dyDescent="0.2">
      <c r="A127" s="1">
        <v>40544</v>
      </c>
      <c r="B127" s="2">
        <v>1372</v>
      </c>
      <c r="C127" s="2" t="s">
        <v>3</v>
      </c>
    </row>
    <row r="128" spans="1:3" x14ac:dyDescent="0.2">
      <c r="A128" s="1">
        <v>40575</v>
      </c>
      <c r="B128" s="2">
        <v>1426</v>
      </c>
      <c r="C128" s="2" t="s">
        <v>3</v>
      </c>
    </row>
    <row r="129" spans="1:3" x14ac:dyDescent="0.2">
      <c r="A129" s="1">
        <v>40603</v>
      </c>
      <c r="B129" s="2">
        <v>1431</v>
      </c>
      <c r="C129" s="2" t="s">
        <v>3</v>
      </c>
    </row>
    <row r="130" spans="1:3" x14ac:dyDescent="0.2">
      <c r="A130" s="1">
        <v>40634</v>
      </c>
      <c r="B130" s="2">
        <v>1297</v>
      </c>
      <c r="C130" s="2" t="s">
        <v>3</v>
      </c>
    </row>
    <row r="131" spans="1:3" x14ac:dyDescent="0.2">
      <c r="A131" s="1">
        <v>40664</v>
      </c>
      <c r="B131" s="2">
        <v>1349</v>
      </c>
      <c r="C131" s="2" t="s">
        <v>3</v>
      </c>
    </row>
    <row r="132" spans="1:3" x14ac:dyDescent="0.2">
      <c r="A132" s="1">
        <v>40695</v>
      </c>
      <c r="B132" s="2">
        <v>1347</v>
      </c>
      <c r="C132" s="2" t="s">
        <v>3</v>
      </c>
    </row>
    <row r="133" spans="1:3" x14ac:dyDescent="0.2">
      <c r="A133" s="1">
        <v>40725</v>
      </c>
      <c r="B133" s="2">
        <v>1367</v>
      </c>
      <c r="C133" s="2" t="s">
        <v>3</v>
      </c>
    </row>
    <row r="134" spans="1:3" x14ac:dyDescent="0.2">
      <c r="A134" s="1">
        <v>40756</v>
      </c>
      <c r="B134" s="2">
        <v>1328</v>
      </c>
      <c r="C134" s="2" t="s">
        <v>3</v>
      </c>
    </row>
    <row r="135" spans="1:3" x14ac:dyDescent="0.2">
      <c r="A135" s="1">
        <v>40787</v>
      </c>
      <c r="B135" s="2">
        <v>1280</v>
      </c>
      <c r="C135" s="2" t="s">
        <v>3</v>
      </c>
    </row>
    <row r="136" spans="1:3" x14ac:dyDescent="0.2">
      <c r="A136" s="1">
        <v>40817</v>
      </c>
      <c r="B136" s="2">
        <v>1478</v>
      </c>
      <c r="C136" s="2" t="s">
        <v>3</v>
      </c>
    </row>
    <row r="137" spans="1:3" x14ac:dyDescent="0.2">
      <c r="A137" s="1">
        <v>40848</v>
      </c>
      <c r="B137" s="2">
        <v>1407</v>
      </c>
      <c r="C137" s="2" t="s">
        <v>3</v>
      </c>
    </row>
    <row r="138" spans="1:3" x14ac:dyDescent="0.2">
      <c r="A138" s="1">
        <v>40878</v>
      </c>
      <c r="B138" s="2">
        <v>1523</v>
      </c>
      <c r="C138" s="2" t="s">
        <v>3</v>
      </c>
    </row>
    <row r="139" spans="1:3" x14ac:dyDescent="0.2">
      <c r="A139" s="1">
        <v>40909</v>
      </c>
      <c r="B139" s="2">
        <v>1403</v>
      </c>
      <c r="C139" s="2" t="s">
        <v>3</v>
      </c>
    </row>
    <row r="140" spans="1:3" x14ac:dyDescent="0.2">
      <c r="A140" s="1">
        <v>40940</v>
      </c>
      <c r="B140" s="2">
        <v>1477</v>
      </c>
      <c r="C140" s="2" t="s">
        <v>3</v>
      </c>
    </row>
    <row r="141" spans="1:3" x14ac:dyDescent="0.2">
      <c r="A141" s="1">
        <v>40969</v>
      </c>
      <c r="B141" s="2">
        <v>1572</v>
      </c>
      <c r="C141" s="2" t="s">
        <v>3</v>
      </c>
    </row>
    <row r="142" spans="1:3" x14ac:dyDescent="0.2">
      <c r="A142" s="1">
        <v>41000</v>
      </c>
      <c r="B142" s="2">
        <v>1434</v>
      </c>
      <c r="C142" s="2" t="s">
        <v>3</v>
      </c>
    </row>
    <row r="143" spans="1:3" x14ac:dyDescent="0.2">
      <c r="A143" s="1">
        <v>41030</v>
      </c>
      <c r="B143" s="2">
        <v>1508</v>
      </c>
      <c r="C143" s="2" t="s">
        <v>3</v>
      </c>
    </row>
    <row r="144" spans="1:3" x14ac:dyDescent="0.2">
      <c r="A144" s="1">
        <v>41061</v>
      </c>
      <c r="B144" s="2">
        <v>1428</v>
      </c>
      <c r="C144" s="2" t="s">
        <v>3</v>
      </c>
    </row>
    <row r="145" spans="1:3" x14ac:dyDescent="0.2">
      <c r="A145" s="1">
        <v>41091</v>
      </c>
      <c r="B145" s="2">
        <v>1421</v>
      </c>
      <c r="C145" s="2" t="s">
        <v>3</v>
      </c>
    </row>
    <row r="146" spans="1:3" x14ac:dyDescent="0.2">
      <c r="A146" s="1">
        <v>41122</v>
      </c>
      <c r="B146" s="2">
        <v>1444</v>
      </c>
      <c r="C146" s="2" t="s">
        <v>3</v>
      </c>
    </row>
    <row r="147" spans="1:3" x14ac:dyDescent="0.2">
      <c r="A147" s="1">
        <v>41153</v>
      </c>
      <c r="B147" s="2">
        <v>1412</v>
      </c>
      <c r="C147" s="2" t="s">
        <v>3</v>
      </c>
    </row>
    <row r="148" spans="1:3" x14ac:dyDescent="0.2">
      <c r="A148" s="1">
        <v>41183</v>
      </c>
      <c r="B148" s="2">
        <v>1501</v>
      </c>
      <c r="C148" s="2" t="s">
        <v>3</v>
      </c>
    </row>
    <row r="149" spans="1:3" x14ac:dyDescent="0.2">
      <c r="A149" s="1">
        <v>41214</v>
      </c>
      <c r="B149" s="2">
        <v>1450</v>
      </c>
      <c r="C149" s="2" t="s">
        <v>3</v>
      </c>
    </row>
    <row r="150" spans="1:3" x14ac:dyDescent="0.2">
      <c r="A150" s="1">
        <v>41244</v>
      </c>
      <c r="B150" s="2">
        <v>1498</v>
      </c>
      <c r="C150" s="2" t="s">
        <v>3</v>
      </c>
    </row>
    <row r="151" spans="1:3" x14ac:dyDescent="0.2">
      <c r="A151" s="1">
        <v>41275</v>
      </c>
      <c r="B151" s="2">
        <v>1451</v>
      </c>
      <c r="C151" s="2" t="s">
        <v>3</v>
      </c>
    </row>
    <row r="152" spans="1:3" x14ac:dyDescent="0.2">
      <c r="A152" s="1">
        <v>41306</v>
      </c>
      <c r="B152" s="2">
        <v>1530</v>
      </c>
      <c r="C152" s="2" t="s">
        <v>3</v>
      </c>
    </row>
    <row r="153" spans="1:3" x14ac:dyDescent="0.2">
      <c r="A153" s="1">
        <v>41334</v>
      </c>
      <c r="B153" s="2">
        <v>1498</v>
      </c>
      <c r="C153" s="2" t="s">
        <v>3</v>
      </c>
    </row>
    <row r="154" spans="1:3" x14ac:dyDescent="0.2">
      <c r="A154" s="1">
        <v>41365</v>
      </c>
      <c r="B154" s="2">
        <v>1458</v>
      </c>
      <c r="C154" s="2" t="s">
        <v>3</v>
      </c>
    </row>
    <row r="155" spans="1:3" x14ac:dyDescent="0.2">
      <c r="A155" s="1">
        <v>41395</v>
      </c>
      <c r="B155" s="2">
        <v>1520</v>
      </c>
      <c r="C155" s="2" t="s">
        <v>3</v>
      </c>
    </row>
    <row r="156" spans="1:3" x14ac:dyDescent="0.2">
      <c r="A156" s="1">
        <v>41426</v>
      </c>
      <c r="B156" s="2">
        <v>1402</v>
      </c>
      <c r="C156" s="2" t="s">
        <v>3</v>
      </c>
    </row>
    <row r="157" spans="1:3" x14ac:dyDescent="0.2">
      <c r="A157" s="1">
        <v>41456</v>
      </c>
      <c r="B157" s="2">
        <v>1441</v>
      </c>
      <c r="C157" s="2" t="s">
        <v>3</v>
      </c>
    </row>
    <row r="158" spans="1:3" x14ac:dyDescent="0.2">
      <c r="A158" s="1">
        <v>41487</v>
      </c>
      <c r="B158" s="2">
        <v>1381</v>
      </c>
      <c r="C158" s="2" t="s">
        <v>3</v>
      </c>
    </row>
    <row r="159" spans="1:3" x14ac:dyDescent="0.2">
      <c r="A159" s="1">
        <v>41518</v>
      </c>
      <c r="B159" s="2">
        <v>1356</v>
      </c>
      <c r="C159" s="2" t="s">
        <v>3</v>
      </c>
    </row>
    <row r="160" spans="1:3" x14ac:dyDescent="0.2">
      <c r="A160" s="1">
        <v>41548</v>
      </c>
      <c r="B160" s="2">
        <v>1488</v>
      </c>
      <c r="C160" s="2" t="s">
        <v>3</v>
      </c>
    </row>
    <row r="161" spans="1:3" x14ac:dyDescent="0.2">
      <c r="A161" s="1">
        <v>41579</v>
      </c>
      <c r="B161" s="2">
        <v>1522</v>
      </c>
      <c r="C161" s="2" t="s">
        <v>3</v>
      </c>
    </row>
    <row r="162" spans="1:3" x14ac:dyDescent="0.2">
      <c r="A162" s="1">
        <v>41609</v>
      </c>
      <c r="B162" s="2">
        <v>1501</v>
      </c>
      <c r="C162" s="2" t="s">
        <v>3</v>
      </c>
    </row>
    <row r="163" spans="1:3" x14ac:dyDescent="0.2">
      <c r="A163" s="1">
        <v>41640</v>
      </c>
      <c r="B163" s="2">
        <v>1475</v>
      </c>
      <c r="C163" s="2" t="s">
        <v>3</v>
      </c>
    </row>
    <row r="164" spans="1:3" x14ac:dyDescent="0.2">
      <c r="A164" s="1">
        <v>41671</v>
      </c>
      <c r="B164" s="2">
        <v>1576</v>
      </c>
      <c r="C164" s="2" t="s">
        <v>3</v>
      </c>
    </row>
    <row r="165" spans="1:3" x14ac:dyDescent="0.2">
      <c r="A165" s="1">
        <v>41699</v>
      </c>
      <c r="B165" s="2">
        <v>1571</v>
      </c>
      <c r="C165" s="2" t="s">
        <v>3</v>
      </c>
    </row>
    <row r="166" spans="1:3" x14ac:dyDescent="0.2">
      <c r="A166" s="1">
        <v>41730</v>
      </c>
      <c r="B166" s="2">
        <v>1568</v>
      </c>
      <c r="C166" s="2" t="s">
        <v>3</v>
      </c>
    </row>
    <row r="167" spans="1:3" x14ac:dyDescent="0.2">
      <c r="A167" s="1">
        <v>41760</v>
      </c>
      <c r="B167" s="2">
        <v>1564</v>
      </c>
      <c r="C167" s="2" t="s">
        <v>3</v>
      </c>
    </row>
    <row r="168" spans="1:3" x14ac:dyDescent="0.2">
      <c r="A168" s="1">
        <v>41791</v>
      </c>
      <c r="B168" s="2">
        <v>1482</v>
      </c>
      <c r="C168" s="2" t="s">
        <v>3</v>
      </c>
    </row>
    <row r="169" spans="1:3" x14ac:dyDescent="0.2">
      <c r="A169" s="1">
        <v>41821</v>
      </c>
      <c r="B169" s="2">
        <v>1569</v>
      </c>
      <c r="C169" s="2" t="s">
        <v>3</v>
      </c>
    </row>
    <row r="170" spans="1:3" x14ac:dyDescent="0.2">
      <c r="A170" s="1">
        <v>41852</v>
      </c>
      <c r="B170" s="2">
        <v>1470</v>
      </c>
      <c r="C170" s="2" t="s">
        <v>3</v>
      </c>
    </row>
    <row r="171" spans="1:3" x14ac:dyDescent="0.2">
      <c r="A171" s="1">
        <v>41883</v>
      </c>
      <c r="B171" s="2">
        <v>1455</v>
      </c>
      <c r="C171" s="2" t="s">
        <v>3</v>
      </c>
    </row>
    <row r="172" spans="1:3" x14ac:dyDescent="0.2">
      <c r="A172" s="1">
        <v>41913</v>
      </c>
      <c r="B172" s="2">
        <v>1664</v>
      </c>
      <c r="C172" s="2" t="s">
        <v>3</v>
      </c>
    </row>
    <row r="173" spans="1:3" x14ac:dyDescent="0.2">
      <c r="A173" s="1">
        <v>41944</v>
      </c>
      <c r="B173" s="2">
        <v>1589</v>
      </c>
      <c r="C173" s="2" t="s">
        <v>3</v>
      </c>
    </row>
    <row r="174" spans="1:3" x14ac:dyDescent="0.2">
      <c r="A174" s="1">
        <v>41974</v>
      </c>
      <c r="B174" s="2">
        <v>1653</v>
      </c>
      <c r="C174" s="2" t="s">
        <v>3</v>
      </c>
    </row>
    <row r="175" spans="1:3" x14ac:dyDescent="0.2">
      <c r="A175" s="1">
        <v>42005</v>
      </c>
      <c r="B175" s="2">
        <v>1639</v>
      </c>
      <c r="C175" s="2" t="s">
        <v>3</v>
      </c>
    </row>
    <row r="176" spans="1:3" x14ac:dyDescent="0.2">
      <c r="A176" s="1">
        <v>42036</v>
      </c>
      <c r="B176" s="2">
        <v>1695</v>
      </c>
      <c r="C176" s="2" t="s">
        <v>3</v>
      </c>
    </row>
    <row r="177" spans="1:3" x14ac:dyDescent="0.2">
      <c r="A177" s="1">
        <v>42064</v>
      </c>
      <c r="B177" s="2">
        <v>1694</v>
      </c>
      <c r="C177" s="2" t="s">
        <v>3</v>
      </c>
    </row>
    <row r="178" spans="1:3" x14ac:dyDescent="0.2">
      <c r="A178" s="1">
        <v>42095</v>
      </c>
      <c r="B178" s="2">
        <v>1631</v>
      </c>
      <c r="C178" s="2" t="s">
        <v>3</v>
      </c>
    </row>
    <row r="179" spans="1:3" x14ac:dyDescent="0.2">
      <c r="A179" s="1">
        <v>42125</v>
      </c>
      <c r="B179" s="2">
        <v>1640</v>
      </c>
      <c r="C179" s="2" t="s">
        <v>3</v>
      </c>
    </row>
    <row r="180" spans="1:3" x14ac:dyDescent="0.2">
      <c r="A180" s="1">
        <v>42156</v>
      </c>
      <c r="B180" s="2">
        <v>1556</v>
      </c>
      <c r="C180" s="2" t="s">
        <v>3</v>
      </c>
    </row>
    <row r="181" spans="1:3" x14ac:dyDescent="0.2">
      <c r="A181" s="1">
        <v>42186</v>
      </c>
      <c r="B181" s="2">
        <v>1647</v>
      </c>
      <c r="C181" s="2" t="s">
        <v>3</v>
      </c>
    </row>
    <row r="182" spans="1:3" x14ac:dyDescent="0.2">
      <c r="A182" s="1">
        <v>42217</v>
      </c>
      <c r="B182" s="2">
        <v>1520</v>
      </c>
      <c r="C182" s="2" t="s">
        <v>3</v>
      </c>
    </row>
    <row r="183" spans="1:3" x14ac:dyDescent="0.2">
      <c r="A183" s="1">
        <v>42248</v>
      </c>
      <c r="B183" s="2">
        <v>1475</v>
      </c>
      <c r="C183" s="2" t="s">
        <v>3</v>
      </c>
    </row>
    <row r="184" spans="1:3" x14ac:dyDescent="0.2">
      <c r="A184" s="1">
        <v>42278</v>
      </c>
      <c r="B184" s="2">
        <v>1754</v>
      </c>
      <c r="C184" s="2" t="s">
        <v>3</v>
      </c>
    </row>
    <row r="185" spans="1:3" x14ac:dyDescent="0.2">
      <c r="A185" s="1">
        <v>42309</v>
      </c>
      <c r="B185" s="2">
        <v>1605</v>
      </c>
      <c r="C185" s="2" t="s">
        <v>3</v>
      </c>
    </row>
    <row r="186" spans="1:3" x14ac:dyDescent="0.2">
      <c r="A186" s="1">
        <v>42339</v>
      </c>
      <c r="B186" s="2">
        <v>1701</v>
      </c>
      <c r="C186" s="2" t="s">
        <v>3</v>
      </c>
    </row>
    <row r="187" spans="1:3" x14ac:dyDescent="0.2">
      <c r="A187" s="1">
        <v>42370</v>
      </c>
      <c r="B187" s="2">
        <v>1701</v>
      </c>
      <c r="C187" s="2" t="s">
        <v>3</v>
      </c>
    </row>
    <row r="188" spans="1:3" x14ac:dyDescent="0.2">
      <c r="A188" s="1">
        <v>42401</v>
      </c>
      <c r="B188" s="2">
        <v>1830</v>
      </c>
      <c r="C188" s="2" t="s">
        <v>3</v>
      </c>
    </row>
    <row r="189" spans="1:3" x14ac:dyDescent="0.2">
      <c r="A189" s="1">
        <v>42430</v>
      </c>
      <c r="B189" s="2">
        <v>1713</v>
      </c>
      <c r="C189" s="2" t="s">
        <v>3</v>
      </c>
    </row>
    <row r="190" spans="1:3" x14ac:dyDescent="0.2">
      <c r="A190" s="1">
        <v>42461</v>
      </c>
      <c r="B190" s="2">
        <v>1668</v>
      </c>
      <c r="C190" s="2" t="s">
        <v>3</v>
      </c>
    </row>
    <row r="191" spans="1:3" x14ac:dyDescent="0.2">
      <c r="A191" s="1">
        <v>42491</v>
      </c>
      <c r="B191" s="2">
        <v>1664</v>
      </c>
      <c r="C191" s="2" t="s">
        <v>3</v>
      </c>
    </row>
    <row r="192" spans="1:3" x14ac:dyDescent="0.2">
      <c r="A192" s="1">
        <v>42522</v>
      </c>
      <c r="B192" s="2">
        <v>1623</v>
      </c>
      <c r="C192" s="2" t="s">
        <v>3</v>
      </c>
    </row>
    <row r="193" spans="1:3" x14ac:dyDescent="0.2">
      <c r="A193" s="1">
        <v>42552</v>
      </c>
      <c r="B193" s="2">
        <v>1634</v>
      </c>
      <c r="C193" s="2" t="s">
        <v>3</v>
      </c>
    </row>
    <row r="194" spans="1:3" x14ac:dyDescent="0.2">
      <c r="A194" s="1">
        <v>42583</v>
      </c>
      <c r="B194" s="2">
        <v>1498</v>
      </c>
      <c r="C194" s="2" t="s">
        <v>3</v>
      </c>
    </row>
    <row r="195" spans="1:3" x14ac:dyDescent="0.2">
      <c r="A195" s="1">
        <v>42614</v>
      </c>
      <c r="B195" s="2">
        <v>1529</v>
      </c>
      <c r="C195" s="2" t="s">
        <v>3</v>
      </c>
    </row>
    <row r="196" spans="1:3" x14ac:dyDescent="0.2">
      <c r="A196" s="1">
        <v>42644</v>
      </c>
      <c r="B196" s="2">
        <v>1710</v>
      </c>
      <c r="C196" s="2" t="s">
        <v>3</v>
      </c>
    </row>
    <row r="197" spans="1:3" x14ac:dyDescent="0.2">
      <c r="A197" s="1">
        <v>42675</v>
      </c>
      <c r="B197" s="2">
        <v>1657</v>
      </c>
      <c r="C197" s="2" t="s">
        <v>3</v>
      </c>
    </row>
    <row r="198" spans="1:3" x14ac:dyDescent="0.2">
      <c r="A198" s="1">
        <v>42705</v>
      </c>
      <c r="B198" s="2">
        <v>1743</v>
      </c>
      <c r="C198" s="2" t="s">
        <v>3</v>
      </c>
    </row>
    <row r="199" spans="1:3" x14ac:dyDescent="0.2">
      <c r="A199" s="1">
        <v>42736</v>
      </c>
      <c r="B199" s="2">
        <v>1696</v>
      </c>
      <c r="C199" s="2" t="s">
        <v>3</v>
      </c>
    </row>
    <row r="200" spans="1:3" x14ac:dyDescent="0.2">
      <c r="A200" s="1">
        <v>42767</v>
      </c>
      <c r="B200" s="2">
        <v>1885</v>
      </c>
      <c r="C200" s="2" t="s">
        <v>3</v>
      </c>
    </row>
    <row r="201" spans="1:3" x14ac:dyDescent="0.2">
      <c r="A201" s="1">
        <v>42795</v>
      </c>
      <c r="B201" s="2">
        <v>1840</v>
      </c>
      <c r="C201" s="2" t="s">
        <v>3</v>
      </c>
    </row>
    <row r="202" spans="1:3" x14ac:dyDescent="0.2">
      <c r="A202" s="1">
        <v>42826</v>
      </c>
      <c r="B202" s="2">
        <v>1674</v>
      </c>
      <c r="C202" s="2" t="s">
        <v>3</v>
      </c>
    </row>
    <row r="203" spans="1:3" x14ac:dyDescent="0.2">
      <c r="A203" s="1">
        <v>42856</v>
      </c>
      <c r="B203" s="2">
        <v>1709</v>
      </c>
      <c r="C203" s="2" t="s">
        <v>3</v>
      </c>
    </row>
    <row r="204" spans="1:3" x14ac:dyDescent="0.2">
      <c r="A204" s="1">
        <v>42887</v>
      </c>
      <c r="B204" s="2">
        <v>1618</v>
      </c>
      <c r="C204" s="2" t="s">
        <v>3</v>
      </c>
    </row>
    <row r="205" spans="1:3" x14ac:dyDescent="0.2">
      <c r="A205" s="1">
        <v>42917</v>
      </c>
      <c r="B205" s="2">
        <v>1673</v>
      </c>
      <c r="C205" s="2" t="s">
        <v>3</v>
      </c>
    </row>
    <row r="206" spans="1:3" x14ac:dyDescent="0.2">
      <c r="A206" s="1">
        <v>42948</v>
      </c>
      <c r="B206" s="2">
        <v>1591</v>
      </c>
      <c r="C206" s="2" t="s">
        <v>3</v>
      </c>
    </row>
    <row r="207" spans="1:3" x14ac:dyDescent="0.2">
      <c r="A207" s="1">
        <v>42979</v>
      </c>
      <c r="B207" s="2">
        <v>1521</v>
      </c>
      <c r="C207" s="2" t="s">
        <v>3</v>
      </c>
    </row>
    <row r="208" spans="1:3" x14ac:dyDescent="0.2">
      <c r="A208" s="1">
        <v>43009</v>
      </c>
      <c r="B208" s="2">
        <v>1764</v>
      </c>
      <c r="C208" s="2" t="s">
        <v>3</v>
      </c>
    </row>
    <row r="209" spans="1:3" x14ac:dyDescent="0.2">
      <c r="A209" s="1">
        <v>43040</v>
      </c>
      <c r="B209" s="2">
        <v>1665</v>
      </c>
      <c r="C209" s="2" t="s">
        <v>3</v>
      </c>
    </row>
    <row r="210" spans="1:3" x14ac:dyDescent="0.2">
      <c r="A210" s="1">
        <v>43070</v>
      </c>
      <c r="B210" s="2">
        <v>1750</v>
      </c>
      <c r="C210" s="2" t="s">
        <v>3</v>
      </c>
    </row>
    <row r="211" spans="1:3" x14ac:dyDescent="0.2">
      <c r="A211" s="1">
        <v>43101</v>
      </c>
      <c r="B211" s="2">
        <v>1728</v>
      </c>
      <c r="C211" s="2" t="s">
        <v>3</v>
      </c>
    </row>
    <row r="212" spans="1:3" x14ac:dyDescent="0.2">
      <c r="A212" s="1">
        <v>43132</v>
      </c>
      <c r="B212" s="2">
        <v>1783</v>
      </c>
      <c r="C212" s="2" t="s">
        <v>3</v>
      </c>
    </row>
    <row r="213" spans="1:3" x14ac:dyDescent="0.2">
      <c r="A213" s="1">
        <v>43160</v>
      </c>
      <c r="B213" s="2">
        <v>1679</v>
      </c>
      <c r="C213" s="2" t="s">
        <v>3</v>
      </c>
    </row>
    <row r="214" spans="1:3" x14ac:dyDescent="0.2">
      <c r="A214" s="1">
        <v>43191</v>
      </c>
      <c r="B214" s="2">
        <v>1605</v>
      </c>
      <c r="C214" s="2" t="s">
        <v>3</v>
      </c>
    </row>
    <row r="215" spans="1:3" x14ac:dyDescent="0.2">
      <c r="A215" s="1">
        <v>43221</v>
      </c>
      <c r="B215" s="2">
        <v>1694</v>
      </c>
      <c r="C215" s="2" t="s">
        <v>3</v>
      </c>
    </row>
    <row r="216" spans="1:3" x14ac:dyDescent="0.2">
      <c r="A216" s="1">
        <v>43252</v>
      </c>
      <c r="B216" s="2">
        <v>1560</v>
      </c>
      <c r="C216" s="2" t="s">
        <v>3</v>
      </c>
    </row>
    <row r="217" spans="1:3" x14ac:dyDescent="0.2">
      <c r="A217" s="1">
        <v>43282</v>
      </c>
      <c r="B217" s="2">
        <v>1629</v>
      </c>
      <c r="C217" s="2" t="s">
        <v>3</v>
      </c>
    </row>
    <row r="218" spans="1:3" x14ac:dyDescent="0.2">
      <c r="A218" s="1">
        <v>43313</v>
      </c>
      <c r="B218" s="3">
        <v>1546</v>
      </c>
      <c r="C218" s="3" t="s">
        <v>3</v>
      </c>
    </row>
    <row r="219" spans="1:3" x14ac:dyDescent="0.2">
      <c r="A219" s="1">
        <v>43344</v>
      </c>
      <c r="B219" s="3">
        <v>1574</v>
      </c>
      <c r="C219" s="3" t="s">
        <v>3</v>
      </c>
    </row>
    <row r="220" spans="1:3" x14ac:dyDescent="0.2">
      <c r="A220" s="1">
        <v>43374</v>
      </c>
      <c r="B220" s="3">
        <v>1737</v>
      </c>
      <c r="C220" s="3" t="s">
        <v>3</v>
      </c>
    </row>
    <row r="221" spans="1:3" x14ac:dyDescent="0.2">
      <c r="A221" s="1">
        <v>43405</v>
      </c>
      <c r="B221" s="3">
        <v>1659</v>
      </c>
      <c r="C221" s="3" t="s">
        <v>3</v>
      </c>
    </row>
    <row r="222" spans="1:3" x14ac:dyDescent="0.2">
      <c r="A222" s="1">
        <v>43435</v>
      </c>
      <c r="B222" s="3">
        <v>1691</v>
      </c>
      <c r="C222" s="3" t="s">
        <v>3</v>
      </c>
    </row>
    <row r="223" spans="1:3" x14ac:dyDescent="0.2">
      <c r="A223" s="1">
        <v>43466</v>
      </c>
      <c r="B223" s="3">
        <v>1681</v>
      </c>
      <c r="C223" s="3" t="s">
        <v>3</v>
      </c>
    </row>
    <row r="224" spans="1:3" x14ac:dyDescent="0.2">
      <c r="A224" s="1">
        <v>43497</v>
      </c>
      <c r="B224" s="3">
        <v>1788</v>
      </c>
      <c r="C224" s="3" t="s">
        <v>3</v>
      </c>
    </row>
    <row r="225" spans="1:3" x14ac:dyDescent="0.2">
      <c r="A225" s="1">
        <v>43525</v>
      </c>
      <c r="B225" s="3">
        <v>1746</v>
      </c>
      <c r="C225" s="3" t="s">
        <v>3</v>
      </c>
    </row>
    <row r="226" spans="1:3" x14ac:dyDescent="0.2">
      <c r="A226" s="1">
        <v>43556</v>
      </c>
      <c r="B226" s="3">
        <v>1672</v>
      </c>
      <c r="C226" s="3" t="s">
        <v>3</v>
      </c>
    </row>
    <row r="227" spans="1:3" x14ac:dyDescent="0.2">
      <c r="A227" s="1">
        <v>43586</v>
      </c>
      <c r="B227" s="3">
        <v>1751</v>
      </c>
      <c r="C227" s="3" t="s">
        <v>3</v>
      </c>
    </row>
    <row r="228" spans="1:3" x14ac:dyDescent="0.2">
      <c r="A228" s="1">
        <v>43617</v>
      </c>
      <c r="B228" s="3">
        <v>1646</v>
      </c>
      <c r="C228" s="3" t="s">
        <v>3</v>
      </c>
    </row>
    <row r="229" spans="1:3" x14ac:dyDescent="0.2">
      <c r="A229" s="1">
        <v>43647</v>
      </c>
      <c r="B229" s="3">
        <v>1714</v>
      </c>
      <c r="C229" s="3" t="s">
        <v>3</v>
      </c>
    </row>
    <row r="230" spans="1:3" x14ac:dyDescent="0.2">
      <c r="A230" s="1">
        <v>43678</v>
      </c>
      <c r="B230" s="3">
        <v>1557</v>
      </c>
      <c r="C230" s="3" t="s">
        <v>3</v>
      </c>
    </row>
    <row r="231" spans="1:3" x14ac:dyDescent="0.2">
      <c r="A231" s="1">
        <v>43709</v>
      </c>
      <c r="B231" s="3">
        <v>1617</v>
      </c>
      <c r="C231" s="3" t="s">
        <v>3</v>
      </c>
    </row>
    <row r="232" spans="1:3" x14ac:dyDescent="0.2">
      <c r="A232" s="1">
        <v>43739</v>
      </c>
      <c r="B232" s="3">
        <v>1826</v>
      </c>
      <c r="C232" s="3" t="s">
        <v>3</v>
      </c>
    </row>
    <row r="233" spans="1:3" x14ac:dyDescent="0.2">
      <c r="A233" s="1">
        <v>43770</v>
      </c>
      <c r="B233" s="3">
        <v>1758</v>
      </c>
      <c r="C233" s="3" t="s">
        <v>3</v>
      </c>
    </row>
    <row r="234" spans="1:3" x14ac:dyDescent="0.2">
      <c r="A234" s="1">
        <v>43800</v>
      </c>
      <c r="B234" s="3">
        <v>1756</v>
      </c>
      <c r="C234" s="3" t="s">
        <v>3</v>
      </c>
    </row>
    <row r="235" spans="1:3" x14ac:dyDescent="0.2">
      <c r="A235" s="1">
        <v>43831</v>
      </c>
      <c r="B235" s="3">
        <v>1725</v>
      </c>
      <c r="C235" s="3" t="s">
        <v>3</v>
      </c>
    </row>
    <row r="236" spans="1:3" x14ac:dyDescent="0.2">
      <c r="A236" s="1">
        <v>43862</v>
      </c>
      <c r="B236" s="3">
        <v>1835</v>
      </c>
      <c r="C236" s="3" t="s">
        <v>3</v>
      </c>
    </row>
    <row r="237" spans="1:3" x14ac:dyDescent="0.2">
      <c r="A237" s="1">
        <v>43891</v>
      </c>
      <c r="B237" s="3">
        <v>1724</v>
      </c>
      <c r="C237" s="3" t="s">
        <v>3</v>
      </c>
    </row>
    <row r="238" spans="1:3" x14ac:dyDescent="0.2">
      <c r="A238" s="1">
        <v>43922</v>
      </c>
      <c r="B238" s="3">
        <v>1730</v>
      </c>
      <c r="C238" s="3" t="s">
        <v>3</v>
      </c>
    </row>
    <row r="239" spans="1:3" x14ac:dyDescent="0.2">
      <c r="A239" s="1">
        <v>43952</v>
      </c>
      <c r="B239" s="3">
        <v>1752</v>
      </c>
      <c r="C239" s="3" t="s">
        <v>3</v>
      </c>
    </row>
    <row r="240" spans="1:3" x14ac:dyDescent="0.2">
      <c r="A240" s="1">
        <v>43983</v>
      </c>
      <c r="B240" s="3">
        <v>1642</v>
      </c>
      <c r="C240" s="3" t="s">
        <v>3</v>
      </c>
    </row>
    <row r="241" spans="1:3" x14ac:dyDescent="0.2">
      <c r="A241" s="1">
        <v>44013</v>
      </c>
      <c r="B241" s="3">
        <v>1717</v>
      </c>
      <c r="C241" s="3" t="s">
        <v>3</v>
      </c>
    </row>
    <row r="242" spans="1:3" x14ac:dyDescent="0.2">
      <c r="A242" s="1">
        <v>44044</v>
      </c>
      <c r="B242" s="3">
        <v>1579</v>
      </c>
      <c r="C242" s="3" t="s">
        <v>3</v>
      </c>
    </row>
    <row r="243" spans="1:3" x14ac:dyDescent="0.2">
      <c r="A243" s="1">
        <v>44075</v>
      </c>
      <c r="B243" s="3">
        <v>1647</v>
      </c>
      <c r="C243" s="3" t="s">
        <v>3</v>
      </c>
    </row>
    <row r="244" spans="1:3" x14ac:dyDescent="0.2">
      <c r="A244" s="1">
        <v>44105</v>
      </c>
      <c r="B244" s="3">
        <v>1961</v>
      </c>
      <c r="C244" s="3" t="s">
        <v>3</v>
      </c>
    </row>
    <row r="245" spans="1:3" x14ac:dyDescent="0.2">
      <c r="A245" s="1">
        <v>44136</v>
      </c>
      <c r="B245" s="3">
        <v>1772</v>
      </c>
      <c r="C245" s="3" t="s">
        <v>3</v>
      </c>
    </row>
    <row r="246" spans="1:3" x14ac:dyDescent="0.2">
      <c r="A246" s="1">
        <v>44166</v>
      </c>
      <c r="B246" s="3">
        <v>1822</v>
      </c>
      <c r="C246" s="3" t="s">
        <v>3</v>
      </c>
    </row>
    <row r="247" spans="1:3" x14ac:dyDescent="0.2">
      <c r="A247" s="1">
        <v>44197</v>
      </c>
      <c r="B247" s="3">
        <v>1884</v>
      </c>
      <c r="C247" s="3" t="s">
        <v>3</v>
      </c>
    </row>
    <row r="248" spans="1:3" x14ac:dyDescent="0.2">
      <c r="A248" s="1">
        <v>44228</v>
      </c>
      <c r="B248" s="3">
        <v>1901</v>
      </c>
      <c r="C248" s="3" t="s">
        <v>3</v>
      </c>
    </row>
    <row r="249" spans="1:3" x14ac:dyDescent="0.2">
      <c r="A249" s="1">
        <v>44256</v>
      </c>
      <c r="B249" s="3">
        <v>1917</v>
      </c>
      <c r="C249" s="3" t="s">
        <v>3</v>
      </c>
    </row>
    <row r="250" spans="1:3" x14ac:dyDescent="0.2">
      <c r="A250" s="1">
        <v>44287</v>
      </c>
      <c r="B250" s="3">
        <v>1796</v>
      </c>
      <c r="C250" s="3" t="s">
        <v>3</v>
      </c>
    </row>
    <row r="251" spans="1:3" x14ac:dyDescent="0.2">
      <c r="A251" s="1">
        <v>44317</v>
      </c>
      <c r="B251" s="3">
        <v>1722</v>
      </c>
      <c r="C251" s="3" t="s">
        <v>3</v>
      </c>
    </row>
    <row r="252" spans="1:3" x14ac:dyDescent="0.2">
      <c r="A252" s="1">
        <v>44348</v>
      </c>
      <c r="B252" s="3">
        <v>1702</v>
      </c>
      <c r="C252" s="3" t="s">
        <v>3</v>
      </c>
    </row>
    <row r="253" spans="1:3" x14ac:dyDescent="0.2">
      <c r="A253" s="1">
        <v>44378</v>
      </c>
      <c r="B253" s="3">
        <v>1829</v>
      </c>
      <c r="C253" s="3" t="s">
        <v>3</v>
      </c>
    </row>
    <row r="254" spans="1:3" x14ac:dyDescent="0.2">
      <c r="A254" s="1">
        <v>44409</v>
      </c>
      <c r="B254" s="2">
        <v>1687</v>
      </c>
      <c r="C254" s="2" t="s">
        <v>3</v>
      </c>
    </row>
    <row r="255" spans="1:3" x14ac:dyDescent="0.2">
      <c r="A255" s="1">
        <v>44440</v>
      </c>
      <c r="B255" s="2">
        <v>1668</v>
      </c>
      <c r="C255" s="2" t="s">
        <v>3</v>
      </c>
    </row>
    <row r="256" spans="1:3" x14ac:dyDescent="0.2">
      <c r="A256" s="1">
        <v>44470</v>
      </c>
      <c r="B256" s="2">
        <v>2009</v>
      </c>
      <c r="C256" s="2" t="s">
        <v>3</v>
      </c>
    </row>
    <row r="257" spans="1:3" x14ac:dyDescent="0.2">
      <c r="A257" s="1">
        <v>44501</v>
      </c>
      <c r="B257" s="2">
        <v>1774</v>
      </c>
      <c r="C257" s="2" t="s">
        <v>3</v>
      </c>
    </row>
    <row r="258" spans="1:3" x14ac:dyDescent="0.2">
      <c r="A258" s="1">
        <v>44531</v>
      </c>
      <c r="B258" s="2">
        <v>1863</v>
      </c>
      <c r="C258" s="2" t="s">
        <v>3</v>
      </c>
    </row>
    <row r="259" spans="1:3" x14ac:dyDescent="0.2">
      <c r="A259" s="1">
        <v>44562</v>
      </c>
      <c r="B259" s="2">
        <v>1758</v>
      </c>
      <c r="C259" s="2" t="s">
        <v>3</v>
      </c>
    </row>
    <row r="260" spans="1:3" x14ac:dyDescent="0.2">
      <c r="A260" s="1">
        <v>44593</v>
      </c>
      <c r="B260" s="2">
        <v>1717</v>
      </c>
      <c r="C260" s="2" t="s">
        <v>3</v>
      </c>
    </row>
    <row r="261" spans="1:3" x14ac:dyDescent="0.2">
      <c r="A261" s="1">
        <v>44621</v>
      </c>
      <c r="B261" s="2">
        <v>1823</v>
      </c>
      <c r="C261" s="2" t="s">
        <v>3</v>
      </c>
    </row>
    <row r="262" spans="1:3" x14ac:dyDescent="0.2">
      <c r="A262" s="1">
        <v>44652</v>
      </c>
      <c r="B262" s="2">
        <v>1746</v>
      </c>
      <c r="C262" s="2" t="s">
        <v>3</v>
      </c>
    </row>
    <row r="263" spans="1:3" x14ac:dyDescent="0.2">
      <c r="A263" s="1">
        <v>44682</v>
      </c>
      <c r="B263" s="2">
        <v>1857</v>
      </c>
      <c r="C263" s="2" t="s">
        <v>3</v>
      </c>
    </row>
    <row r="264" spans="1:3" x14ac:dyDescent="0.2">
      <c r="A264" s="1">
        <v>44713</v>
      </c>
      <c r="B264" s="2">
        <v>1803</v>
      </c>
      <c r="C264" s="2" t="s">
        <v>3</v>
      </c>
    </row>
    <row r="265" spans="1:3" x14ac:dyDescent="0.2">
      <c r="A265" s="1">
        <v>44743</v>
      </c>
      <c r="B265" s="2">
        <v>1777</v>
      </c>
      <c r="C265" s="2" t="s">
        <v>3</v>
      </c>
    </row>
    <row r="266" spans="1:3" x14ac:dyDescent="0.2">
      <c r="A266" s="1">
        <v>44774</v>
      </c>
      <c r="B266" s="2">
        <v>1690</v>
      </c>
      <c r="C266" s="2" t="s">
        <v>3</v>
      </c>
    </row>
    <row r="267" spans="1:3" x14ac:dyDescent="0.2">
      <c r="A267" s="1">
        <v>44805</v>
      </c>
      <c r="B267" s="2">
        <v>1686</v>
      </c>
      <c r="C267" s="2" t="s">
        <v>3</v>
      </c>
    </row>
    <row r="268" spans="1:3" x14ac:dyDescent="0.2">
      <c r="A268" s="1">
        <v>44835</v>
      </c>
      <c r="B268" s="2">
        <v>1956</v>
      </c>
      <c r="C268" s="2" t="s">
        <v>3</v>
      </c>
    </row>
    <row r="269" spans="1:3" x14ac:dyDescent="0.2">
      <c r="A269" s="1">
        <v>44866</v>
      </c>
      <c r="B269" s="2">
        <v>1807</v>
      </c>
      <c r="C269" s="2" t="s">
        <v>3</v>
      </c>
    </row>
    <row r="270" spans="1:3" x14ac:dyDescent="0.2">
      <c r="A270" s="1">
        <v>44896</v>
      </c>
      <c r="B270" s="2">
        <v>1949</v>
      </c>
      <c r="C270" s="2" t="s">
        <v>3</v>
      </c>
    </row>
    <row r="271" spans="1:3" x14ac:dyDescent="0.2">
      <c r="A271" s="1">
        <v>44927</v>
      </c>
      <c r="B271" s="2">
        <v>1833</v>
      </c>
      <c r="C271" s="2" t="s">
        <v>4</v>
      </c>
    </row>
    <row r="272" spans="1:3" x14ac:dyDescent="0.2">
      <c r="A272" s="1">
        <v>44958</v>
      </c>
      <c r="B272" s="2">
        <v>1813</v>
      </c>
      <c r="C272" s="2" t="s">
        <v>4</v>
      </c>
    </row>
    <row r="273" spans="1:3" x14ac:dyDescent="0.2">
      <c r="A273" s="1">
        <v>44986</v>
      </c>
      <c r="B273" s="2">
        <v>1886</v>
      </c>
      <c r="C273" s="2" t="s">
        <v>4</v>
      </c>
    </row>
    <row r="274" spans="1:3" x14ac:dyDescent="0.2">
      <c r="A274" s="1">
        <v>45017</v>
      </c>
      <c r="B274" s="2">
        <v>1805</v>
      </c>
      <c r="C274" s="2" t="s">
        <v>4</v>
      </c>
    </row>
    <row r="275" spans="1:3" x14ac:dyDescent="0.2">
      <c r="A275" s="1">
        <v>45047</v>
      </c>
      <c r="B275" s="2">
        <v>1931</v>
      </c>
      <c r="C275" s="2" t="s">
        <v>4</v>
      </c>
    </row>
    <row r="276" spans="1:3" x14ac:dyDescent="0.2">
      <c r="A276" s="1">
        <v>45078</v>
      </c>
      <c r="B276" s="2">
        <v>1822</v>
      </c>
      <c r="C276" s="2" t="s">
        <v>4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48485-869B-F940-BF5F-D46FDEBB4205}">
  <dimension ref="A1:M276"/>
  <sheetViews>
    <sheetView showGridLines="0" zoomScale="150" zoomScaleNormal="150" workbookViewId="0">
      <pane ySplit="1" topLeftCell="A2" activePane="bottomLeft" state="frozen"/>
      <selection pane="bottomLeft" sqref="A1:XFD1048576"/>
    </sheetView>
  </sheetViews>
  <sheetFormatPr baseColWidth="10" defaultRowHeight="15" x14ac:dyDescent="0.2"/>
  <cols>
    <col min="4" max="4" width="14.1640625" bestFit="1" customWidth="1"/>
    <col min="9" max="9" width="12.5" bestFit="1" customWidth="1"/>
    <col min="12" max="13" width="13" bestFit="1" customWidth="1"/>
  </cols>
  <sheetData>
    <row r="1" spans="1:13" x14ac:dyDescent="0.2">
      <c r="A1" s="4" t="s">
        <v>0</v>
      </c>
      <c r="B1" s="4" t="s">
        <v>1</v>
      </c>
      <c r="C1" s="4" t="s">
        <v>2</v>
      </c>
      <c r="D1" s="4" t="s">
        <v>5</v>
      </c>
      <c r="E1" s="4" t="s">
        <v>6</v>
      </c>
      <c r="F1" s="4" t="s">
        <v>7</v>
      </c>
      <c r="G1" s="4" t="s">
        <v>8</v>
      </c>
    </row>
    <row r="2" spans="1:13" x14ac:dyDescent="0.2">
      <c r="A2" s="1">
        <v>36739</v>
      </c>
      <c r="B2" s="2">
        <v>1049</v>
      </c>
      <c r="C2" s="2" t="s">
        <v>3</v>
      </c>
      <c r="D2" s="2"/>
      <c r="E2" s="2"/>
      <c r="F2" s="2"/>
      <c r="G2" s="2"/>
    </row>
    <row r="3" spans="1:13" x14ac:dyDescent="0.2">
      <c r="A3" s="1">
        <v>36770</v>
      </c>
      <c r="B3" s="2">
        <v>1026</v>
      </c>
      <c r="C3" s="2" t="s">
        <v>3</v>
      </c>
      <c r="D3" s="2"/>
      <c r="E3" s="2"/>
      <c r="F3" s="2"/>
      <c r="G3" s="2"/>
    </row>
    <row r="4" spans="1:13" x14ac:dyDescent="0.2">
      <c r="A4" s="1">
        <v>36800</v>
      </c>
      <c r="B4" s="2">
        <v>1074</v>
      </c>
      <c r="C4" s="2" t="s">
        <v>3</v>
      </c>
      <c r="D4" s="2"/>
      <c r="E4" s="2"/>
      <c r="F4" s="2"/>
      <c r="G4" s="2"/>
    </row>
    <row r="5" spans="1:13" x14ac:dyDescent="0.2">
      <c r="A5" s="1">
        <v>36831</v>
      </c>
      <c r="B5" s="2">
        <v>1031</v>
      </c>
      <c r="C5" s="2" t="s">
        <v>3</v>
      </c>
      <c r="D5" s="2"/>
      <c r="E5" s="2"/>
      <c r="F5" s="2"/>
      <c r="G5" s="2"/>
    </row>
    <row r="6" spans="1:13" x14ac:dyDescent="0.2">
      <c r="A6" s="1">
        <v>36861</v>
      </c>
      <c r="B6" s="2">
        <v>1047</v>
      </c>
      <c r="C6" s="2" t="s">
        <v>3</v>
      </c>
      <c r="D6" s="2"/>
      <c r="E6" s="2"/>
      <c r="F6" s="2"/>
      <c r="G6" s="2"/>
    </row>
    <row r="7" spans="1:13" x14ac:dyDescent="0.2">
      <c r="A7" s="1">
        <v>36892</v>
      </c>
      <c r="B7" s="2">
        <v>986</v>
      </c>
      <c r="C7" s="2" t="s">
        <v>3</v>
      </c>
      <c r="D7" s="2"/>
      <c r="E7" s="2"/>
      <c r="F7" s="2"/>
      <c r="G7" s="2"/>
      <c r="I7" s="5"/>
      <c r="J7" s="6" t="s">
        <v>11</v>
      </c>
      <c r="L7" s="7"/>
      <c r="M7" s="7"/>
    </row>
    <row r="8" spans="1:13" x14ac:dyDescent="0.2">
      <c r="A8" s="1">
        <v>36923</v>
      </c>
      <c r="B8" s="2">
        <v>1015</v>
      </c>
      <c r="C8" s="2" t="s">
        <v>3</v>
      </c>
      <c r="D8" s="2"/>
      <c r="E8" s="2"/>
      <c r="F8" s="2"/>
      <c r="G8" s="2"/>
      <c r="I8" s="5" t="s">
        <v>3</v>
      </c>
      <c r="J8" s="8">
        <f>SQRT(AVERAGEIF($C$14:$C$276,I8,$G$14:$G$276))</f>
        <v>75.283244513325101</v>
      </c>
      <c r="L8" s="7"/>
      <c r="M8" s="7"/>
    </row>
    <row r="9" spans="1:13" x14ac:dyDescent="0.2">
      <c r="A9" s="1">
        <v>36951</v>
      </c>
      <c r="B9" s="2">
        <v>1021</v>
      </c>
      <c r="C9" s="2" t="s">
        <v>3</v>
      </c>
      <c r="D9" s="2"/>
      <c r="E9" s="2"/>
      <c r="F9" s="2"/>
      <c r="G9" s="2"/>
      <c r="I9" s="5" t="s">
        <v>4</v>
      </c>
      <c r="J9" s="8">
        <f>SQRT(AVERAGEIF($C$14:$C$276,I9,$G$14:$G$276))</f>
        <v>60.630850105915783</v>
      </c>
      <c r="L9" s="7"/>
      <c r="M9" s="7"/>
    </row>
    <row r="10" spans="1:13" x14ac:dyDescent="0.2">
      <c r="A10" s="1">
        <v>36982</v>
      </c>
      <c r="B10" s="2">
        <v>958</v>
      </c>
      <c r="C10" s="2" t="s">
        <v>3</v>
      </c>
      <c r="D10" s="2"/>
      <c r="E10" s="2"/>
      <c r="F10" s="2"/>
      <c r="G10" s="2"/>
      <c r="I10" s="7"/>
      <c r="J10" s="7"/>
      <c r="L10" s="7"/>
      <c r="M10" s="7"/>
    </row>
    <row r="11" spans="1:13" x14ac:dyDescent="0.2">
      <c r="A11" s="1">
        <v>37012</v>
      </c>
      <c r="B11" s="2">
        <v>1041</v>
      </c>
      <c r="C11" s="2" t="s">
        <v>3</v>
      </c>
      <c r="D11" s="2"/>
      <c r="E11" s="2"/>
      <c r="F11" s="2"/>
      <c r="G11" s="2"/>
      <c r="I11" s="5"/>
      <c r="J11" s="10" t="s">
        <v>9</v>
      </c>
      <c r="K11" s="7"/>
      <c r="L11" s="6" t="s">
        <v>10</v>
      </c>
    </row>
    <row r="12" spans="1:13" x14ac:dyDescent="0.2">
      <c r="A12" s="1">
        <v>37043</v>
      </c>
      <c r="B12" s="2">
        <v>999</v>
      </c>
      <c r="C12" s="2" t="s">
        <v>3</v>
      </c>
      <c r="D12" s="2"/>
      <c r="E12" s="2"/>
      <c r="F12" s="2"/>
      <c r="G12" s="2"/>
      <c r="I12" s="5" t="s">
        <v>3</v>
      </c>
      <c r="J12" s="8">
        <f>AVERAGEIF($C$14:$C$276,I12,B14:B276)</f>
        <v>1415.5603112840467</v>
      </c>
      <c r="K12" s="7"/>
      <c r="L12" s="9">
        <f>J8/J12</f>
        <v>5.3182647120867704E-2</v>
      </c>
    </row>
    <row r="13" spans="1:13" x14ac:dyDescent="0.2">
      <c r="A13" s="1">
        <v>37073</v>
      </c>
      <c r="B13" s="2">
        <v>1034</v>
      </c>
      <c r="C13" s="2" t="s">
        <v>3</v>
      </c>
      <c r="D13" s="2">
        <f>AVERAGE(B2:B13)</f>
        <v>1023.4166666666666</v>
      </c>
      <c r="E13" s="2"/>
      <c r="F13" s="2"/>
      <c r="G13" s="2"/>
      <c r="I13" s="5" t="s">
        <v>4</v>
      </c>
      <c r="J13" s="8">
        <f>AVERAGEIF($C$14:$C$276,I13,B15:B277)</f>
        <v>1851.4</v>
      </c>
      <c r="K13" s="7"/>
      <c r="L13" s="9">
        <f>J9/J13</f>
        <v>3.2748649727728084E-2</v>
      </c>
    </row>
    <row r="14" spans="1:13" x14ac:dyDescent="0.2">
      <c r="A14" s="1">
        <v>37104</v>
      </c>
      <c r="B14" s="2">
        <v>959</v>
      </c>
      <c r="C14" s="2" t="s">
        <v>3</v>
      </c>
      <c r="D14" s="2">
        <f t="shared" ref="D14:D77" si="0">AVERAGE(B3:B14)</f>
        <v>1015.9166666666666</v>
      </c>
      <c r="E14" s="2">
        <f>D13</f>
        <v>1023.4166666666666</v>
      </c>
      <c r="F14" s="2">
        <f>B14-E14</f>
        <v>-64.416666666666629</v>
      </c>
      <c r="G14" s="2">
        <f>F14^2</f>
        <v>4149.5069444444398</v>
      </c>
    </row>
    <row r="15" spans="1:13" x14ac:dyDescent="0.2">
      <c r="A15" s="1">
        <v>37135</v>
      </c>
      <c r="B15" s="2">
        <v>920</v>
      </c>
      <c r="C15" s="2" t="s">
        <v>3</v>
      </c>
      <c r="D15" s="2">
        <f t="shared" si="0"/>
        <v>1007.0833333333334</v>
      </c>
      <c r="E15" s="2">
        <f t="shared" ref="E15:E78" si="1">D14</f>
        <v>1015.9166666666666</v>
      </c>
      <c r="F15" s="2">
        <f t="shared" ref="F15:F78" si="2">B15-E15</f>
        <v>-95.916666666666629</v>
      </c>
      <c r="G15" s="2">
        <f t="shared" ref="G15:G78" si="3">F15^2</f>
        <v>9200.006944444438</v>
      </c>
    </row>
    <row r="16" spans="1:13" x14ac:dyDescent="0.2">
      <c r="A16" s="1">
        <v>37165</v>
      </c>
      <c r="B16" s="2">
        <v>1019</v>
      </c>
      <c r="C16" s="2" t="s">
        <v>3</v>
      </c>
      <c r="D16" s="2">
        <f t="shared" si="0"/>
        <v>1002.5</v>
      </c>
      <c r="E16" s="2">
        <f t="shared" si="1"/>
        <v>1007.0833333333334</v>
      </c>
      <c r="F16" s="2">
        <f t="shared" si="2"/>
        <v>11.916666666666629</v>
      </c>
      <c r="G16" s="2">
        <f t="shared" si="3"/>
        <v>142.00694444444355</v>
      </c>
    </row>
    <row r="17" spans="1:7" x14ac:dyDescent="0.2">
      <c r="A17" s="1">
        <v>37196</v>
      </c>
      <c r="B17" s="2">
        <v>1056</v>
      </c>
      <c r="C17" s="2" t="s">
        <v>3</v>
      </c>
      <c r="D17" s="2">
        <f t="shared" si="0"/>
        <v>1004.5833333333334</v>
      </c>
      <c r="E17" s="2">
        <f t="shared" si="1"/>
        <v>1002.5</v>
      </c>
      <c r="F17" s="2">
        <f t="shared" si="2"/>
        <v>53.5</v>
      </c>
      <c r="G17" s="2">
        <f t="shared" si="3"/>
        <v>2862.25</v>
      </c>
    </row>
    <row r="18" spans="1:7" x14ac:dyDescent="0.2">
      <c r="A18" s="1">
        <v>37226</v>
      </c>
      <c r="B18" s="2">
        <v>1057</v>
      </c>
      <c r="C18" s="2" t="s">
        <v>3</v>
      </c>
      <c r="D18" s="2">
        <f t="shared" si="0"/>
        <v>1005.4166666666666</v>
      </c>
      <c r="E18" s="2">
        <f t="shared" si="1"/>
        <v>1004.5833333333334</v>
      </c>
      <c r="F18" s="2">
        <f t="shared" si="2"/>
        <v>52.416666666666629</v>
      </c>
      <c r="G18" s="2">
        <f t="shared" si="3"/>
        <v>2747.5069444444403</v>
      </c>
    </row>
    <row r="19" spans="1:7" x14ac:dyDescent="0.2">
      <c r="A19" s="1">
        <v>37257</v>
      </c>
      <c r="B19" s="2">
        <v>1017</v>
      </c>
      <c r="C19" s="2" t="s">
        <v>3</v>
      </c>
      <c r="D19" s="2">
        <f t="shared" si="0"/>
        <v>1008</v>
      </c>
      <c r="E19" s="2">
        <f t="shared" si="1"/>
        <v>1005.4166666666666</v>
      </c>
      <c r="F19" s="2">
        <f t="shared" si="2"/>
        <v>11.583333333333371</v>
      </c>
      <c r="G19" s="2">
        <f t="shared" si="3"/>
        <v>134.173611111112</v>
      </c>
    </row>
    <row r="20" spans="1:7" x14ac:dyDescent="0.2">
      <c r="A20" s="1">
        <v>37288</v>
      </c>
      <c r="B20" s="2">
        <v>1096</v>
      </c>
      <c r="C20" s="2" t="s">
        <v>3</v>
      </c>
      <c r="D20" s="2">
        <f t="shared" si="0"/>
        <v>1014.75</v>
      </c>
      <c r="E20" s="2">
        <f t="shared" si="1"/>
        <v>1008</v>
      </c>
      <c r="F20" s="2">
        <f t="shared" si="2"/>
        <v>88</v>
      </c>
      <c r="G20" s="2">
        <f t="shared" si="3"/>
        <v>7744</v>
      </c>
    </row>
    <row r="21" spans="1:7" x14ac:dyDescent="0.2">
      <c r="A21" s="1">
        <v>37316</v>
      </c>
      <c r="B21" s="2">
        <v>1052</v>
      </c>
      <c r="C21" s="2" t="s">
        <v>3</v>
      </c>
      <c r="D21" s="2">
        <f t="shared" si="0"/>
        <v>1017.3333333333334</v>
      </c>
      <c r="E21" s="2">
        <f t="shared" si="1"/>
        <v>1014.75</v>
      </c>
      <c r="F21" s="2">
        <f t="shared" si="2"/>
        <v>37.25</v>
      </c>
      <c r="G21" s="2">
        <f t="shared" si="3"/>
        <v>1387.5625</v>
      </c>
    </row>
    <row r="22" spans="1:7" x14ac:dyDescent="0.2">
      <c r="A22" s="1">
        <v>37347</v>
      </c>
      <c r="B22" s="2">
        <v>971</v>
      </c>
      <c r="C22" s="2" t="s">
        <v>3</v>
      </c>
      <c r="D22" s="2">
        <f t="shared" si="0"/>
        <v>1018.4166666666666</v>
      </c>
      <c r="E22" s="2">
        <f t="shared" si="1"/>
        <v>1017.3333333333334</v>
      </c>
      <c r="F22" s="2">
        <f t="shared" si="2"/>
        <v>-46.333333333333371</v>
      </c>
      <c r="G22" s="2">
        <f t="shared" si="3"/>
        <v>2146.7777777777815</v>
      </c>
    </row>
    <row r="23" spans="1:7" x14ac:dyDescent="0.2">
      <c r="A23" s="1">
        <v>37377</v>
      </c>
      <c r="B23" s="2">
        <v>1033</v>
      </c>
      <c r="C23" s="2" t="s">
        <v>3</v>
      </c>
      <c r="D23" s="2">
        <f t="shared" si="0"/>
        <v>1017.75</v>
      </c>
      <c r="E23" s="2">
        <f t="shared" si="1"/>
        <v>1018.4166666666666</v>
      </c>
      <c r="F23" s="2">
        <f t="shared" si="2"/>
        <v>14.583333333333371</v>
      </c>
      <c r="G23" s="2">
        <f t="shared" si="3"/>
        <v>212.67361111111222</v>
      </c>
    </row>
    <row r="24" spans="1:7" x14ac:dyDescent="0.2">
      <c r="A24" s="1">
        <v>37408</v>
      </c>
      <c r="B24" s="2">
        <v>978</v>
      </c>
      <c r="C24" s="2" t="s">
        <v>3</v>
      </c>
      <c r="D24" s="2">
        <f t="shared" si="0"/>
        <v>1016</v>
      </c>
      <c r="E24" s="2">
        <f t="shared" si="1"/>
        <v>1017.75</v>
      </c>
      <c r="F24" s="2">
        <f t="shared" si="2"/>
        <v>-39.75</v>
      </c>
      <c r="G24" s="2">
        <f t="shared" si="3"/>
        <v>1580.0625</v>
      </c>
    </row>
    <row r="25" spans="1:7" x14ac:dyDescent="0.2">
      <c r="A25" s="1">
        <v>37438</v>
      </c>
      <c r="B25" s="2">
        <v>983</v>
      </c>
      <c r="C25" s="2" t="s">
        <v>3</v>
      </c>
      <c r="D25" s="2">
        <f t="shared" si="0"/>
        <v>1011.75</v>
      </c>
      <c r="E25" s="2">
        <f t="shared" si="1"/>
        <v>1016</v>
      </c>
      <c r="F25" s="2">
        <f t="shared" si="2"/>
        <v>-33</v>
      </c>
      <c r="G25" s="2">
        <f t="shared" si="3"/>
        <v>1089</v>
      </c>
    </row>
    <row r="26" spans="1:7" x14ac:dyDescent="0.2">
      <c r="A26" s="1">
        <v>37469</v>
      </c>
      <c r="B26" s="2">
        <v>906</v>
      </c>
      <c r="C26" s="2" t="s">
        <v>3</v>
      </c>
      <c r="D26" s="2">
        <f t="shared" si="0"/>
        <v>1007.3333333333334</v>
      </c>
      <c r="E26" s="2">
        <f t="shared" si="1"/>
        <v>1011.75</v>
      </c>
      <c r="F26" s="2">
        <f t="shared" si="2"/>
        <v>-105.75</v>
      </c>
      <c r="G26" s="2">
        <f t="shared" si="3"/>
        <v>11183.0625</v>
      </c>
    </row>
    <row r="27" spans="1:7" x14ac:dyDescent="0.2">
      <c r="A27" s="1">
        <v>37500</v>
      </c>
      <c r="B27" s="2">
        <v>910</v>
      </c>
      <c r="C27" s="2" t="s">
        <v>3</v>
      </c>
      <c r="D27" s="2">
        <f t="shared" si="0"/>
        <v>1006.5</v>
      </c>
      <c r="E27" s="2">
        <f t="shared" si="1"/>
        <v>1007.3333333333334</v>
      </c>
      <c r="F27" s="2">
        <f t="shared" si="2"/>
        <v>-97.333333333333371</v>
      </c>
      <c r="G27" s="2">
        <f t="shared" si="3"/>
        <v>9473.7777777777846</v>
      </c>
    </row>
    <row r="28" spans="1:7" x14ac:dyDescent="0.2">
      <c r="A28" s="1">
        <v>37530</v>
      </c>
      <c r="B28" s="2">
        <v>1025</v>
      </c>
      <c r="C28" s="2" t="s">
        <v>3</v>
      </c>
      <c r="D28" s="2">
        <f t="shared" si="0"/>
        <v>1007</v>
      </c>
      <c r="E28" s="2">
        <f t="shared" si="1"/>
        <v>1006.5</v>
      </c>
      <c r="F28" s="2">
        <f t="shared" si="2"/>
        <v>18.5</v>
      </c>
      <c r="G28" s="2">
        <f t="shared" si="3"/>
        <v>342.25</v>
      </c>
    </row>
    <row r="29" spans="1:7" x14ac:dyDescent="0.2">
      <c r="A29" s="1">
        <v>37561</v>
      </c>
      <c r="B29" s="2">
        <v>1026</v>
      </c>
      <c r="C29" s="2" t="s">
        <v>3</v>
      </c>
      <c r="D29" s="2">
        <f t="shared" si="0"/>
        <v>1004.5</v>
      </c>
      <c r="E29" s="2">
        <f t="shared" si="1"/>
        <v>1007</v>
      </c>
      <c r="F29" s="2">
        <f t="shared" si="2"/>
        <v>19</v>
      </c>
      <c r="G29" s="2">
        <f t="shared" si="3"/>
        <v>361</v>
      </c>
    </row>
    <row r="30" spans="1:7" x14ac:dyDescent="0.2">
      <c r="A30" s="1">
        <v>37591</v>
      </c>
      <c r="B30" s="2">
        <v>1014</v>
      </c>
      <c r="C30" s="2" t="s">
        <v>3</v>
      </c>
      <c r="D30" s="2">
        <f t="shared" si="0"/>
        <v>1000.9166666666666</v>
      </c>
      <c r="E30" s="2">
        <f t="shared" si="1"/>
        <v>1004.5</v>
      </c>
      <c r="F30" s="2">
        <f t="shared" si="2"/>
        <v>9.5</v>
      </c>
      <c r="G30" s="2">
        <f t="shared" si="3"/>
        <v>90.25</v>
      </c>
    </row>
    <row r="31" spans="1:7" x14ac:dyDescent="0.2">
      <c r="A31" s="1">
        <v>37622</v>
      </c>
      <c r="B31" s="2">
        <v>977</v>
      </c>
      <c r="C31" s="2" t="s">
        <v>3</v>
      </c>
      <c r="D31" s="2">
        <f t="shared" si="0"/>
        <v>997.58333333333337</v>
      </c>
      <c r="E31" s="2">
        <f t="shared" si="1"/>
        <v>1000.9166666666666</v>
      </c>
      <c r="F31" s="2">
        <f t="shared" si="2"/>
        <v>-23.916666666666629</v>
      </c>
      <c r="G31" s="2">
        <f t="shared" si="3"/>
        <v>572.00694444444264</v>
      </c>
    </row>
    <row r="32" spans="1:7" x14ac:dyDescent="0.2">
      <c r="A32" s="1">
        <v>37653</v>
      </c>
      <c r="B32" s="2">
        <v>990</v>
      </c>
      <c r="C32" s="2" t="s">
        <v>3</v>
      </c>
      <c r="D32" s="2">
        <f t="shared" si="0"/>
        <v>988.75</v>
      </c>
      <c r="E32" s="2">
        <f t="shared" si="1"/>
        <v>997.58333333333337</v>
      </c>
      <c r="F32" s="2">
        <f t="shared" si="2"/>
        <v>-7.5833333333333712</v>
      </c>
      <c r="G32" s="2">
        <f t="shared" si="3"/>
        <v>57.506944444445018</v>
      </c>
    </row>
    <row r="33" spans="1:7" x14ac:dyDescent="0.2">
      <c r="A33" s="1">
        <v>37681</v>
      </c>
      <c r="B33" s="2">
        <v>989</v>
      </c>
      <c r="C33" s="2" t="s">
        <v>3</v>
      </c>
      <c r="D33" s="2">
        <f t="shared" si="0"/>
        <v>983.5</v>
      </c>
      <c r="E33" s="2">
        <f t="shared" si="1"/>
        <v>988.75</v>
      </c>
      <c r="F33" s="2">
        <f t="shared" si="2"/>
        <v>0.25</v>
      </c>
      <c r="G33" s="2">
        <f t="shared" si="3"/>
        <v>6.25E-2</v>
      </c>
    </row>
    <row r="34" spans="1:7" x14ac:dyDescent="0.2">
      <c r="A34" s="1">
        <v>37712</v>
      </c>
      <c r="B34" s="2">
        <v>960</v>
      </c>
      <c r="C34" s="2" t="s">
        <v>3</v>
      </c>
      <c r="D34" s="2">
        <f t="shared" si="0"/>
        <v>982.58333333333337</v>
      </c>
      <c r="E34" s="2">
        <f t="shared" si="1"/>
        <v>983.5</v>
      </c>
      <c r="F34" s="2">
        <f t="shared" si="2"/>
        <v>-23.5</v>
      </c>
      <c r="G34" s="2">
        <f t="shared" si="3"/>
        <v>552.25</v>
      </c>
    </row>
    <row r="35" spans="1:7" x14ac:dyDescent="0.2">
      <c r="A35" s="1">
        <v>37742</v>
      </c>
      <c r="B35" s="2">
        <v>981</v>
      </c>
      <c r="C35" s="2" t="s">
        <v>3</v>
      </c>
      <c r="D35" s="2">
        <f t="shared" si="0"/>
        <v>978.25</v>
      </c>
      <c r="E35" s="2">
        <f t="shared" si="1"/>
        <v>982.58333333333337</v>
      </c>
      <c r="F35" s="2">
        <f t="shared" si="2"/>
        <v>-1.5833333333333712</v>
      </c>
      <c r="G35" s="2">
        <f t="shared" si="3"/>
        <v>2.5069444444445645</v>
      </c>
    </row>
    <row r="36" spans="1:7" x14ac:dyDescent="0.2">
      <c r="A36" s="1">
        <v>37773</v>
      </c>
      <c r="B36" s="2">
        <v>962</v>
      </c>
      <c r="C36" s="2" t="s">
        <v>3</v>
      </c>
      <c r="D36" s="2">
        <f t="shared" si="0"/>
        <v>976.91666666666663</v>
      </c>
      <c r="E36" s="2">
        <f t="shared" si="1"/>
        <v>978.25</v>
      </c>
      <c r="F36" s="2">
        <f t="shared" si="2"/>
        <v>-16.25</v>
      </c>
      <c r="G36" s="2">
        <f t="shared" si="3"/>
        <v>264.0625</v>
      </c>
    </row>
    <row r="37" spans="1:7" x14ac:dyDescent="0.2">
      <c r="A37" s="1">
        <v>37803</v>
      </c>
      <c r="B37" s="2">
        <v>1022</v>
      </c>
      <c r="C37" s="2" t="s">
        <v>3</v>
      </c>
      <c r="D37" s="2">
        <f t="shared" si="0"/>
        <v>980.16666666666663</v>
      </c>
      <c r="E37" s="2">
        <f t="shared" si="1"/>
        <v>976.91666666666663</v>
      </c>
      <c r="F37" s="2">
        <f t="shared" si="2"/>
        <v>45.083333333333371</v>
      </c>
      <c r="G37" s="2">
        <f t="shared" si="3"/>
        <v>2032.5069444444478</v>
      </c>
    </row>
    <row r="38" spans="1:7" x14ac:dyDescent="0.2">
      <c r="A38" s="1">
        <v>37834</v>
      </c>
      <c r="B38" s="2">
        <v>910</v>
      </c>
      <c r="C38" s="2" t="s">
        <v>3</v>
      </c>
      <c r="D38" s="2">
        <f t="shared" si="0"/>
        <v>980.5</v>
      </c>
      <c r="E38" s="2">
        <f t="shared" si="1"/>
        <v>980.16666666666663</v>
      </c>
      <c r="F38" s="2">
        <f t="shared" si="2"/>
        <v>-70.166666666666629</v>
      </c>
      <c r="G38" s="2">
        <f t="shared" si="3"/>
        <v>4923.3611111111059</v>
      </c>
    </row>
    <row r="39" spans="1:7" x14ac:dyDescent="0.2">
      <c r="A39" s="1">
        <v>37865</v>
      </c>
      <c r="B39" s="2">
        <v>912</v>
      </c>
      <c r="C39" s="2" t="s">
        <v>3</v>
      </c>
      <c r="D39" s="2">
        <f t="shared" si="0"/>
        <v>980.66666666666663</v>
      </c>
      <c r="E39" s="2">
        <f t="shared" si="1"/>
        <v>980.5</v>
      </c>
      <c r="F39" s="2">
        <f t="shared" si="2"/>
        <v>-68.5</v>
      </c>
      <c r="G39" s="2">
        <f t="shared" si="3"/>
        <v>4692.25</v>
      </c>
    </row>
    <row r="40" spans="1:7" x14ac:dyDescent="0.2">
      <c r="A40" s="1">
        <v>37895</v>
      </c>
      <c r="B40" s="2">
        <v>1025</v>
      </c>
      <c r="C40" s="2" t="s">
        <v>3</v>
      </c>
      <c r="D40" s="2">
        <f t="shared" si="0"/>
        <v>980.66666666666663</v>
      </c>
      <c r="E40" s="2">
        <f t="shared" si="1"/>
        <v>980.66666666666663</v>
      </c>
      <c r="F40" s="2">
        <f t="shared" si="2"/>
        <v>44.333333333333371</v>
      </c>
      <c r="G40" s="2">
        <f t="shared" si="3"/>
        <v>1965.4444444444478</v>
      </c>
    </row>
    <row r="41" spans="1:7" x14ac:dyDescent="0.2">
      <c r="A41" s="1">
        <v>37926</v>
      </c>
      <c r="B41" s="2">
        <v>1017</v>
      </c>
      <c r="C41" s="2" t="s">
        <v>3</v>
      </c>
      <c r="D41" s="2">
        <f t="shared" si="0"/>
        <v>979.91666666666663</v>
      </c>
      <c r="E41" s="2">
        <f t="shared" si="1"/>
        <v>980.66666666666663</v>
      </c>
      <c r="F41" s="2">
        <f t="shared" si="2"/>
        <v>36.333333333333371</v>
      </c>
      <c r="G41" s="2">
        <f t="shared" si="3"/>
        <v>1320.1111111111138</v>
      </c>
    </row>
    <row r="42" spans="1:7" x14ac:dyDescent="0.2">
      <c r="A42" s="1">
        <v>37956</v>
      </c>
      <c r="B42" s="2">
        <v>1044</v>
      </c>
      <c r="C42" s="2" t="s">
        <v>3</v>
      </c>
      <c r="D42" s="2">
        <f t="shared" si="0"/>
        <v>982.41666666666663</v>
      </c>
      <c r="E42" s="2">
        <f t="shared" si="1"/>
        <v>979.91666666666663</v>
      </c>
      <c r="F42" s="2">
        <f t="shared" si="2"/>
        <v>64.083333333333371</v>
      </c>
      <c r="G42" s="2">
        <f t="shared" si="3"/>
        <v>4106.6736111111159</v>
      </c>
    </row>
    <row r="43" spans="1:7" x14ac:dyDescent="0.2">
      <c r="A43" s="1">
        <v>37987</v>
      </c>
      <c r="B43" s="2">
        <v>1032</v>
      </c>
      <c r="C43" s="2" t="s">
        <v>3</v>
      </c>
      <c r="D43" s="2">
        <f t="shared" si="0"/>
        <v>987</v>
      </c>
      <c r="E43" s="2">
        <f t="shared" si="1"/>
        <v>982.41666666666663</v>
      </c>
      <c r="F43" s="2">
        <f t="shared" si="2"/>
        <v>49.583333333333371</v>
      </c>
      <c r="G43" s="2">
        <f t="shared" si="3"/>
        <v>2458.506944444448</v>
      </c>
    </row>
    <row r="44" spans="1:7" x14ac:dyDescent="0.2">
      <c r="A44" s="1">
        <v>38018</v>
      </c>
      <c r="B44" s="2">
        <v>1060</v>
      </c>
      <c r="C44" s="2" t="s">
        <v>3</v>
      </c>
      <c r="D44" s="2">
        <f t="shared" si="0"/>
        <v>992.83333333333337</v>
      </c>
      <c r="E44" s="2">
        <f t="shared" si="1"/>
        <v>987</v>
      </c>
      <c r="F44" s="2">
        <f t="shared" si="2"/>
        <v>73</v>
      </c>
      <c r="G44" s="2">
        <f t="shared" si="3"/>
        <v>5329</v>
      </c>
    </row>
    <row r="45" spans="1:7" x14ac:dyDescent="0.2">
      <c r="A45" s="1">
        <v>38047</v>
      </c>
      <c r="B45" s="2">
        <v>1077</v>
      </c>
      <c r="C45" s="2" t="s">
        <v>3</v>
      </c>
      <c r="D45" s="2">
        <f t="shared" si="0"/>
        <v>1000.1666666666666</v>
      </c>
      <c r="E45" s="2">
        <f t="shared" si="1"/>
        <v>992.83333333333337</v>
      </c>
      <c r="F45" s="2">
        <f t="shared" si="2"/>
        <v>84.166666666666629</v>
      </c>
      <c r="G45" s="2">
        <f t="shared" si="3"/>
        <v>7084.027777777771</v>
      </c>
    </row>
    <row r="46" spans="1:7" x14ac:dyDescent="0.2">
      <c r="A46" s="1">
        <v>38078</v>
      </c>
      <c r="B46" s="2">
        <v>1098</v>
      </c>
      <c r="C46" s="2" t="s">
        <v>3</v>
      </c>
      <c r="D46" s="2">
        <f t="shared" si="0"/>
        <v>1011.6666666666666</v>
      </c>
      <c r="E46" s="2">
        <f t="shared" si="1"/>
        <v>1000.1666666666666</v>
      </c>
      <c r="F46" s="2">
        <f t="shared" si="2"/>
        <v>97.833333333333371</v>
      </c>
      <c r="G46" s="2">
        <f t="shared" si="3"/>
        <v>9571.3611111111186</v>
      </c>
    </row>
    <row r="47" spans="1:7" x14ac:dyDescent="0.2">
      <c r="A47" s="1">
        <v>38108</v>
      </c>
      <c r="B47" s="2">
        <v>1086</v>
      </c>
      <c r="C47" s="2" t="s">
        <v>3</v>
      </c>
      <c r="D47" s="2">
        <f t="shared" si="0"/>
        <v>1020.4166666666666</v>
      </c>
      <c r="E47" s="2">
        <f t="shared" si="1"/>
        <v>1011.6666666666666</v>
      </c>
      <c r="F47" s="2">
        <f t="shared" si="2"/>
        <v>74.333333333333371</v>
      </c>
      <c r="G47" s="2">
        <f t="shared" si="3"/>
        <v>5525.4444444444498</v>
      </c>
    </row>
    <row r="48" spans="1:7" x14ac:dyDescent="0.2">
      <c r="A48" s="1">
        <v>38139</v>
      </c>
      <c r="B48" s="2">
        <v>1070</v>
      </c>
      <c r="C48" s="2" t="s">
        <v>3</v>
      </c>
      <c r="D48" s="2">
        <f t="shared" si="0"/>
        <v>1029.4166666666667</v>
      </c>
      <c r="E48" s="2">
        <f t="shared" si="1"/>
        <v>1020.4166666666666</v>
      </c>
      <c r="F48" s="2">
        <f t="shared" si="2"/>
        <v>49.583333333333371</v>
      </c>
      <c r="G48" s="2">
        <f t="shared" si="3"/>
        <v>2458.506944444448</v>
      </c>
    </row>
    <row r="49" spans="1:7" x14ac:dyDescent="0.2">
      <c r="A49" s="1">
        <v>38169</v>
      </c>
      <c r="B49" s="2">
        <v>1121</v>
      </c>
      <c r="C49" s="2" t="s">
        <v>3</v>
      </c>
      <c r="D49" s="2">
        <f t="shared" si="0"/>
        <v>1037.6666666666667</v>
      </c>
      <c r="E49" s="2">
        <f t="shared" si="1"/>
        <v>1029.4166666666667</v>
      </c>
      <c r="F49" s="2">
        <f t="shared" si="2"/>
        <v>91.583333333333258</v>
      </c>
      <c r="G49" s="2">
        <f t="shared" si="3"/>
        <v>8387.5069444444307</v>
      </c>
    </row>
    <row r="50" spans="1:7" x14ac:dyDescent="0.2">
      <c r="A50" s="1">
        <v>38200</v>
      </c>
      <c r="B50" s="2">
        <v>993</v>
      </c>
      <c r="C50" s="2" t="s">
        <v>3</v>
      </c>
      <c r="D50" s="2">
        <f t="shared" si="0"/>
        <v>1044.5833333333333</v>
      </c>
      <c r="E50" s="2">
        <f t="shared" si="1"/>
        <v>1037.6666666666667</v>
      </c>
      <c r="F50" s="2">
        <f t="shared" si="2"/>
        <v>-44.666666666666742</v>
      </c>
      <c r="G50" s="2">
        <f t="shared" si="3"/>
        <v>1995.1111111111179</v>
      </c>
    </row>
    <row r="51" spans="1:7" x14ac:dyDescent="0.2">
      <c r="A51" s="1">
        <v>38231</v>
      </c>
      <c r="B51" s="2">
        <v>1026</v>
      </c>
      <c r="C51" s="2" t="s">
        <v>3</v>
      </c>
      <c r="D51" s="2">
        <f t="shared" si="0"/>
        <v>1054.0833333333333</v>
      </c>
      <c r="E51" s="2">
        <f t="shared" si="1"/>
        <v>1044.5833333333333</v>
      </c>
      <c r="F51" s="2">
        <f t="shared" si="2"/>
        <v>-18.583333333333258</v>
      </c>
      <c r="G51" s="2">
        <f t="shared" si="3"/>
        <v>345.34027777777499</v>
      </c>
    </row>
    <row r="52" spans="1:7" x14ac:dyDescent="0.2">
      <c r="A52" s="1">
        <v>38261</v>
      </c>
      <c r="B52" s="2">
        <v>1114</v>
      </c>
      <c r="C52" s="2" t="s">
        <v>3</v>
      </c>
      <c r="D52" s="2">
        <f t="shared" si="0"/>
        <v>1061.5</v>
      </c>
      <c r="E52" s="2">
        <f t="shared" si="1"/>
        <v>1054.0833333333333</v>
      </c>
      <c r="F52" s="2">
        <f t="shared" si="2"/>
        <v>59.916666666666742</v>
      </c>
      <c r="G52" s="2">
        <f t="shared" si="3"/>
        <v>3590.0069444444534</v>
      </c>
    </row>
    <row r="53" spans="1:7" x14ac:dyDescent="0.2">
      <c r="A53" s="1">
        <v>38292</v>
      </c>
      <c r="B53" s="2">
        <v>1050</v>
      </c>
      <c r="C53" s="2" t="s">
        <v>3</v>
      </c>
      <c r="D53" s="2">
        <f t="shared" si="0"/>
        <v>1064.25</v>
      </c>
      <c r="E53" s="2">
        <f t="shared" si="1"/>
        <v>1061.5</v>
      </c>
      <c r="F53" s="2">
        <f t="shared" si="2"/>
        <v>-11.5</v>
      </c>
      <c r="G53" s="2">
        <f t="shared" si="3"/>
        <v>132.25</v>
      </c>
    </row>
    <row r="54" spans="1:7" x14ac:dyDescent="0.2">
      <c r="A54" s="1">
        <v>38322</v>
      </c>
      <c r="B54" s="2">
        <v>1094</v>
      </c>
      <c r="C54" s="2" t="s">
        <v>3</v>
      </c>
      <c r="D54" s="2">
        <f t="shared" si="0"/>
        <v>1068.4166666666667</v>
      </c>
      <c r="E54" s="2">
        <f t="shared" si="1"/>
        <v>1064.25</v>
      </c>
      <c r="F54" s="2">
        <f t="shared" si="2"/>
        <v>29.75</v>
      </c>
      <c r="G54" s="2">
        <f t="shared" si="3"/>
        <v>885.0625</v>
      </c>
    </row>
    <row r="55" spans="1:7" x14ac:dyDescent="0.2">
      <c r="A55" s="1">
        <v>38353</v>
      </c>
      <c r="B55" s="2">
        <v>1069</v>
      </c>
      <c r="C55" s="2" t="s">
        <v>3</v>
      </c>
      <c r="D55" s="2">
        <f t="shared" si="0"/>
        <v>1071.5</v>
      </c>
      <c r="E55" s="2">
        <f t="shared" si="1"/>
        <v>1068.4166666666667</v>
      </c>
      <c r="F55" s="2">
        <f t="shared" si="2"/>
        <v>0.58333333333325754</v>
      </c>
      <c r="G55" s="2">
        <f t="shared" si="3"/>
        <v>0.34027777777768936</v>
      </c>
    </row>
    <row r="56" spans="1:7" x14ac:dyDescent="0.2">
      <c r="A56" s="1">
        <v>38384</v>
      </c>
      <c r="B56" s="2">
        <v>1096</v>
      </c>
      <c r="C56" s="2" t="s">
        <v>3</v>
      </c>
      <c r="D56" s="2">
        <f t="shared" si="0"/>
        <v>1074.5</v>
      </c>
      <c r="E56" s="2">
        <f t="shared" si="1"/>
        <v>1071.5</v>
      </c>
      <c r="F56" s="2">
        <f t="shared" si="2"/>
        <v>24.5</v>
      </c>
      <c r="G56" s="2">
        <f t="shared" si="3"/>
        <v>600.25</v>
      </c>
    </row>
    <row r="57" spans="1:7" x14ac:dyDescent="0.2">
      <c r="A57" s="1">
        <v>38412</v>
      </c>
      <c r="B57" s="2">
        <v>1137</v>
      </c>
      <c r="C57" s="2" t="s">
        <v>3</v>
      </c>
      <c r="D57" s="2">
        <f t="shared" si="0"/>
        <v>1079.5</v>
      </c>
      <c r="E57" s="2">
        <f t="shared" si="1"/>
        <v>1074.5</v>
      </c>
      <c r="F57" s="2">
        <f t="shared" si="2"/>
        <v>62.5</v>
      </c>
      <c r="G57" s="2">
        <f t="shared" si="3"/>
        <v>3906.25</v>
      </c>
    </row>
    <row r="58" spans="1:7" x14ac:dyDescent="0.2">
      <c r="A58" s="1">
        <v>38443</v>
      </c>
      <c r="B58" s="2">
        <v>1053</v>
      </c>
      <c r="C58" s="2" t="s">
        <v>3</v>
      </c>
      <c r="D58" s="2">
        <f t="shared" si="0"/>
        <v>1075.75</v>
      </c>
      <c r="E58" s="2">
        <f t="shared" si="1"/>
        <v>1079.5</v>
      </c>
      <c r="F58" s="2">
        <f t="shared" si="2"/>
        <v>-26.5</v>
      </c>
      <c r="G58" s="2">
        <f t="shared" si="3"/>
        <v>702.25</v>
      </c>
    </row>
    <row r="59" spans="1:7" x14ac:dyDescent="0.2">
      <c r="A59" s="1">
        <v>38473</v>
      </c>
      <c r="B59" s="2">
        <v>1100</v>
      </c>
      <c r="C59" s="2" t="s">
        <v>3</v>
      </c>
      <c r="D59" s="2">
        <f t="shared" si="0"/>
        <v>1076.9166666666667</v>
      </c>
      <c r="E59" s="2">
        <f t="shared" si="1"/>
        <v>1075.75</v>
      </c>
      <c r="F59" s="2">
        <f t="shared" si="2"/>
        <v>24.25</v>
      </c>
      <c r="G59" s="2">
        <f t="shared" si="3"/>
        <v>588.0625</v>
      </c>
    </row>
    <row r="60" spans="1:7" x14ac:dyDescent="0.2">
      <c r="A60" s="1">
        <v>38504</v>
      </c>
      <c r="B60" s="2">
        <v>1101</v>
      </c>
      <c r="C60" s="2" t="s">
        <v>3</v>
      </c>
      <c r="D60" s="2">
        <f t="shared" si="0"/>
        <v>1079.5</v>
      </c>
      <c r="E60" s="2">
        <f t="shared" si="1"/>
        <v>1076.9166666666667</v>
      </c>
      <c r="F60" s="2">
        <f t="shared" si="2"/>
        <v>24.083333333333258</v>
      </c>
      <c r="G60" s="2">
        <f t="shared" si="3"/>
        <v>580.00694444444082</v>
      </c>
    </row>
    <row r="61" spans="1:7" x14ac:dyDescent="0.2">
      <c r="A61" s="1">
        <v>38534</v>
      </c>
      <c r="B61" s="2">
        <v>1116</v>
      </c>
      <c r="C61" s="2" t="s">
        <v>3</v>
      </c>
      <c r="D61" s="2">
        <f t="shared" si="0"/>
        <v>1079.0833333333333</v>
      </c>
      <c r="E61" s="2">
        <f t="shared" si="1"/>
        <v>1079.5</v>
      </c>
      <c r="F61" s="2">
        <f t="shared" si="2"/>
        <v>36.5</v>
      </c>
      <c r="G61" s="2">
        <f t="shared" si="3"/>
        <v>1332.25</v>
      </c>
    </row>
    <row r="62" spans="1:7" x14ac:dyDescent="0.2">
      <c r="A62" s="1">
        <v>38565</v>
      </c>
      <c r="B62" s="2">
        <v>1051</v>
      </c>
      <c r="C62" s="2" t="s">
        <v>3</v>
      </c>
      <c r="D62" s="2">
        <f t="shared" si="0"/>
        <v>1083.9166666666667</v>
      </c>
      <c r="E62" s="2">
        <f t="shared" si="1"/>
        <v>1079.0833333333333</v>
      </c>
      <c r="F62" s="2">
        <f t="shared" si="2"/>
        <v>-28.083333333333258</v>
      </c>
      <c r="G62" s="2">
        <f t="shared" si="3"/>
        <v>788.67361111110688</v>
      </c>
    </row>
    <row r="63" spans="1:7" x14ac:dyDescent="0.2">
      <c r="A63" s="1">
        <v>38596</v>
      </c>
      <c r="B63" s="2">
        <v>1000</v>
      </c>
      <c r="C63" s="2" t="s">
        <v>3</v>
      </c>
      <c r="D63" s="2">
        <f t="shared" si="0"/>
        <v>1081.75</v>
      </c>
      <c r="E63" s="2">
        <f t="shared" si="1"/>
        <v>1083.9166666666667</v>
      </c>
      <c r="F63" s="2">
        <f t="shared" si="2"/>
        <v>-83.916666666666742</v>
      </c>
      <c r="G63" s="2">
        <f t="shared" si="3"/>
        <v>7042.0069444444571</v>
      </c>
    </row>
    <row r="64" spans="1:7" x14ac:dyDescent="0.2">
      <c r="A64" s="1">
        <v>38626</v>
      </c>
      <c r="B64" s="2">
        <v>1102</v>
      </c>
      <c r="C64" s="2" t="s">
        <v>3</v>
      </c>
      <c r="D64" s="2">
        <f t="shared" si="0"/>
        <v>1080.75</v>
      </c>
      <c r="E64" s="2">
        <f t="shared" si="1"/>
        <v>1081.75</v>
      </c>
      <c r="F64" s="2">
        <f t="shared" si="2"/>
        <v>20.25</v>
      </c>
      <c r="G64" s="2">
        <f t="shared" si="3"/>
        <v>410.0625</v>
      </c>
    </row>
    <row r="65" spans="1:7" x14ac:dyDescent="0.2">
      <c r="A65" s="1">
        <v>38657</v>
      </c>
      <c r="B65" s="2">
        <v>1094</v>
      </c>
      <c r="C65" s="2" t="s">
        <v>3</v>
      </c>
      <c r="D65" s="2">
        <f t="shared" si="0"/>
        <v>1084.4166666666667</v>
      </c>
      <c r="E65" s="2">
        <f t="shared" si="1"/>
        <v>1080.75</v>
      </c>
      <c r="F65" s="2">
        <f t="shared" si="2"/>
        <v>13.25</v>
      </c>
      <c r="G65" s="2">
        <f t="shared" si="3"/>
        <v>175.5625</v>
      </c>
    </row>
    <row r="66" spans="1:7" x14ac:dyDescent="0.2">
      <c r="A66" s="1">
        <v>38687</v>
      </c>
      <c r="B66" s="2">
        <v>1143</v>
      </c>
      <c r="C66" s="2" t="s">
        <v>3</v>
      </c>
      <c r="D66" s="2">
        <f t="shared" si="0"/>
        <v>1088.5</v>
      </c>
      <c r="E66" s="2">
        <f t="shared" si="1"/>
        <v>1084.4166666666667</v>
      </c>
      <c r="F66" s="2">
        <f t="shared" si="2"/>
        <v>58.583333333333258</v>
      </c>
      <c r="G66" s="2">
        <f t="shared" si="3"/>
        <v>3432.0069444444357</v>
      </c>
    </row>
    <row r="67" spans="1:7" x14ac:dyDescent="0.2">
      <c r="A67" s="1">
        <v>38718</v>
      </c>
      <c r="B67" s="2">
        <v>1094</v>
      </c>
      <c r="C67" s="2" t="s">
        <v>3</v>
      </c>
      <c r="D67" s="2">
        <f t="shared" si="0"/>
        <v>1090.5833333333333</v>
      </c>
      <c r="E67" s="2">
        <f t="shared" si="1"/>
        <v>1088.5</v>
      </c>
      <c r="F67" s="2">
        <f t="shared" si="2"/>
        <v>5.5</v>
      </c>
      <c r="G67" s="2">
        <f t="shared" si="3"/>
        <v>30.25</v>
      </c>
    </row>
    <row r="68" spans="1:7" x14ac:dyDescent="0.2">
      <c r="A68" s="1">
        <v>38749</v>
      </c>
      <c r="B68" s="2">
        <v>1175</v>
      </c>
      <c r="C68" s="2" t="s">
        <v>3</v>
      </c>
      <c r="D68" s="2">
        <f t="shared" si="0"/>
        <v>1097.1666666666667</v>
      </c>
      <c r="E68" s="2">
        <f t="shared" si="1"/>
        <v>1090.5833333333333</v>
      </c>
      <c r="F68" s="2">
        <f t="shared" si="2"/>
        <v>84.416666666666742</v>
      </c>
      <c r="G68" s="2">
        <f t="shared" si="3"/>
        <v>7126.173611111124</v>
      </c>
    </row>
    <row r="69" spans="1:7" x14ac:dyDescent="0.2">
      <c r="A69" s="1">
        <v>38777</v>
      </c>
      <c r="B69" s="2">
        <v>1212</v>
      </c>
      <c r="C69" s="2" t="s">
        <v>3</v>
      </c>
      <c r="D69" s="2">
        <f t="shared" si="0"/>
        <v>1103.4166666666667</v>
      </c>
      <c r="E69" s="2">
        <f t="shared" si="1"/>
        <v>1097.1666666666667</v>
      </c>
      <c r="F69" s="2">
        <f t="shared" si="2"/>
        <v>114.83333333333326</v>
      </c>
      <c r="G69" s="2">
        <f t="shared" si="3"/>
        <v>13186.694444444427</v>
      </c>
    </row>
    <row r="70" spans="1:7" x14ac:dyDescent="0.2">
      <c r="A70" s="1">
        <v>38808</v>
      </c>
      <c r="B70" s="2">
        <v>1109</v>
      </c>
      <c r="C70" s="2" t="s">
        <v>3</v>
      </c>
      <c r="D70" s="2">
        <f t="shared" si="0"/>
        <v>1108.0833333333333</v>
      </c>
      <c r="E70" s="2">
        <f t="shared" si="1"/>
        <v>1103.4166666666667</v>
      </c>
      <c r="F70" s="2">
        <f t="shared" si="2"/>
        <v>5.5833333333332575</v>
      </c>
      <c r="G70" s="2">
        <f t="shared" si="3"/>
        <v>31.173611111110265</v>
      </c>
    </row>
    <row r="71" spans="1:7" x14ac:dyDescent="0.2">
      <c r="A71" s="1">
        <v>38838</v>
      </c>
      <c r="B71" s="2">
        <v>1185</v>
      </c>
      <c r="C71" s="2" t="s">
        <v>3</v>
      </c>
      <c r="D71" s="2">
        <f t="shared" si="0"/>
        <v>1115.1666666666667</v>
      </c>
      <c r="E71" s="2">
        <f t="shared" si="1"/>
        <v>1108.0833333333333</v>
      </c>
      <c r="F71" s="2">
        <f t="shared" si="2"/>
        <v>76.916666666666742</v>
      </c>
      <c r="G71" s="2">
        <f t="shared" si="3"/>
        <v>5916.1736111111231</v>
      </c>
    </row>
    <row r="72" spans="1:7" x14ac:dyDescent="0.2">
      <c r="A72" s="1">
        <v>38869</v>
      </c>
      <c r="B72" s="2">
        <v>1102</v>
      </c>
      <c r="C72" s="2" t="s">
        <v>3</v>
      </c>
      <c r="D72" s="2">
        <f t="shared" si="0"/>
        <v>1115.25</v>
      </c>
      <c r="E72" s="2">
        <f t="shared" si="1"/>
        <v>1115.1666666666667</v>
      </c>
      <c r="F72" s="2">
        <f t="shared" si="2"/>
        <v>-13.166666666666742</v>
      </c>
      <c r="G72" s="2">
        <f t="shared" si="3"/>
        <v>173.3611111111131</v>
      </c>
    </row>
    <row r="73" spans="1:7" x14ac:dyDescent="0.2">
      <c r="A73" s="1">
        <v>38899</v>
      </c>
      <c r="B73" s="2">
        <v>1112</v>
      </c>
      <c r="C73" s="2" t="s">
        <v>3</v>
      </c>
      <c r="D73" s="2">
        <f t="shared" si="0"/>
        <v>1114.9166666666667</v>
      </c>
      <c r="E73" s="2">
        <f t="shared" si="1"/>
        <v>1115.25</v>
      </c>
      <c r="F73" s="2">
        <f t="shared" si="2"/>
        <v>-3.25</v>
      </c>
      <c r="G73" s="2">
        <f t="shared" si="3"/>
        <v>10.5625</v>
      </c>
    </row>
    <row r="74" spans="1:7" x14ac:dyDescent="0.2">
      <c r="A74" s="1">
        <v>38930</v>
      </c>
      <c r="B74" s="2">
        <v>1108</v>
      </c>
      <c r="C74" s="2" t="s">
        <v>3</v>
      </c>
      <c r="D74" s="2">
        <f t="shared" si="0"/>
        <v>1119.6666666666667</v>
      </c>
      <c r="E74" s="2">
        <f t="shared" si="1"/>
        <v>1114.9166666666667</v>
      </c>
      <c r="F74" s="2">
        <f t="shared" si="2"/>
        <v>-6.9166666666667425</v>
      </c>
      <c r="G74" s="2">
        <f t="shared" si="3"/>
        <v>47.840277777778823</v>
      </c>
    </row>
    <row r="75" spans="1:7" x14ac:dyDescent="0.2">
      <c r="A75" s="1">
        <v>38961</v>
      </c>
      <c r="B75" s="2">
        <v>1089</v>
      </c>
      <c r="C75" s="2" t="s">
        <v>3</v>
      </c>
      <c r="D75" s="2">
        <f t="shared" si="0"/>
        <v>1127.0833333333333</v>
      </c>
      <c r="E75" s="2">
        <f t="shared" si="1"/>
        <v>1119.6666666666667</v>
      </c>
      <c r="F75" s="2">
        <f t="shared" si="2"/>
        <v>-30.666666666666742</v>
      </c>
      <c r="G75" s="2">
        <f t="shared" si="3"/>
        <v>940.44444444444912</v>
      </c>
    </row>
    <row r="76" spans="1:7" x14ac:dyDescent="0.2">
      <c r="A76" s="1">
        <v>38991</v>
      </c>
      <c r="B76" s="2">
        <v>1199</v>
      </c>
      <c r="C76" s="2" t="s">
        <v>3</v>
      </c>
      <c r="D76" s="2">
        <f t="shared" si="0"/>
        <v>1135.1666666666667</v>
      </c>
      <c r="E76" s="2">
        <f t="shared" si="1"/>
        <v>1127.0833333333333</v>
      </c>
      <c r="F76" s="2">
        <f t="shared" si="2"/>
        <v>71.916666666666742</v>
      </c>
      <c r="G76" s="2">
        <f t="shared" si="3"/>
        <v>5172.0069444444553</v>
      </c>
    </row>
    <row r="77" spans="1:7" x14ac:dyDescent="0.2">
      <c r="A77" s="1">
        <v>39022</v>
      </c>
      <c r="B77" s="2">
        <v>1126</v>
      </c>
      <c r="C77" s="2" t="s">
        <v>3</v>
      </c>
      <c r="D77" s="2">
        <f t="shared" si="0"/>
        <v>1137.8333333333333</v>
      </c>
      <c r="E77" s="2">
        <f t="shared" si="1"/>
        <v>1135.1666666666667</v>
      </c>
      <c r="F77" s="2">
        <f t="shared" si="2"/>
        <v>-9.1666666666667425</v>
      </c>
      <c r="G77" s="2">
        <f t="shared" si="3"/>
        <v>84.027777777779164</v>
      </c>
    </row>
    <row r="78" spans="1:7" x14ac:dyDescent="0.2">
      <c r="A78" s="1">
        <v>39052</v>
      </c>
      <c r="B78" s="2">
        <v>1177</v>
      </c>
      <c r="C78" s="2" t="s">
        <v>3</v>
      </c>
      <c r="D78" s="2">
        <f t="shared" ref="D78:D141" si="4">AVERAGE(B67:B78)</f>
        <v>1140.6666666666667</v>
      </c>
      <c r="E78" s="2">
        <f t="shared" si="1"/>
        <v>1137.8333333333333</v>
      </c>
      <c r="F78" s="2">
        <f t="shared" si="2"/>
        <v>39.166666666666742</v>
      </c>
      <c r="G78" s="2">
        <f t="shared" si="3"/>
        <v>1534.0277777777837</v>
      </c>
    </row>
    <row r="79" spans="1:7" x14ac:dyDescent="0.2">
      <c r="A79" s="1">
        <v>39083</v>
      </c>
      <c r="B79" s="2">
        <v>1154</v>
      </c>
      <c r="C79" s="2" t="s">
        <v>3</v>
      </c>
      <c r="D79" s="2">
        <f t="shared" si="4"/>
        <v>1145.6666666666667</v>
      </c>
      <c r="E79" s="2">
        <f t="shared" ref="E79:E142" si="5">D78</f>
        <v>1140.6666666666667</v>
      </c>
      <c r="F79" s="2">
        <f t="shared" ref="F79:F142" si="6">B79-E79</f>
        <v>13.333333333333258</v>
      </c>
      <c r="G79" s="2">
        <f t="shared" ref="G79:G142" si="7">F79^2</f>
        <v>177.77777777777575</v>
      </c>
    </row>
    <row r="80" spans="1:7" x14ac:dyDescent="0.2">
      <c r="A80" s="1">
        <v>39114</v>
      </c>
      <c r="B80" s="2">
        <v>1232</v>
      </c>
      <c r="C80" s="2" t="s">
        <v>3</v>
      </c>
      <c r="D80" s="2">
        <f t="shared" si="4"/>
        <v>1150.4166666666667</v>
      </c>
      <c r="E80" s="2">
        <f t="shared" si="5"/>
        <v>1145.6666666666667</v>
      </c>
      <c r="F80" s="2">
        <f t="shared" si="6"/>
        <v>86.333333333333258</v>
      </c>
      <c r="G80" s="2">
        <f t="shared" si="7"/>
        <v>7453.4444444444316</v>
      </c>
    </row>
    <row r="81" spans="1:7" x14ac:dyDescent="0.2">
      <c r="A81" s="1">
        <v>39142</v>
      </c>
      <c r="B81" s="2">
        <v>1205</v>
      </c>
      <c r="C81" s="2" t="s">
        <v>3</v>
      </c>
      <c r="D81" s="2">
        <f t="shared" si="4"/>
        <v>1149.8333333333333</v>
      </c>
      <c r="E81" s="2">
        <f t="shared" si="5"/>
        <v>1150.4166666666667</v>
      </c>
      <c r="F81" s="2">
        <f t="shared" si="6"/>
        <v>54.583333333333258</v>
      </c>
      <c r="G81" s="2">
        <f t="shared" si="7"/>
        <v>2979.3402777777696</v>
      </c>
    </row>
    <row r="82" spans="1:7" x14ac:dyDescent="0.2">
      <c r="A82" s="1">
        <v>39173</v>
      </c>
      <c r="B82" s="2">
        <v>1143</v>
      </c>
      <c r="C82" s="2" t="s">
        <v>3</v>
      </c>
      <c r="D82" s="2">
        <f t="shared" si="4"/>
        <v>1152.6666666666667</v>
      </c>
      <c r="E82" s="2">
        <f t="shared" si="5"/>
        <v>1149.8333333333333</v>
      </c>
      <c r="F82" s="2">
        <f t="shared" si="6"/>
        <v>-6.8333333333332575</v>
      </c>
      <c r="G82" s="2">
        <f t="shared" si="7"/>
        <v>46.694444444443405</v>
      </c>
    </row>
    <row r="83" spans="1:7" x14ac:dyDescent="0.2">
      <c r="A83" s="1">
        <v>39203</v>
      </c>
      <c r="B83" s="2">
        <v>1227</v>
      </c>
      <c r="C83" s="2" t="s">
        <v>3</v>
      </c>
      <c r="D83" s="2">
        <f t="shared" si="4"/>
        <v>1156.1666666666667</v>
      </c>
      <c r="E83" s="2">
        <f t="shared" si="5"/>
        <v>1152.6666666666667</v>
      </c>
      <c r="F83" s="2">
        <f t="shared" si="6"/>
        <v>74.333333333333258</v>
      </c>
      <c r="G83" s="2">
        <f t="shared" si="7"/>
        <v>5525.4444444444334</v>
      </c>
    </row>
    <row r="84" spans="1:7" x14ac:dyDescent="0.2">
      <c r="A84" s="1">
        <v>39234</v>
      </c>
      <c r="B84" s="2">
        <v>1117</v>
      </c>
      <c r="C84" s="2" t="s">
        <v>3</v>
      </c>
      <c r="D84" s="2">
        <f t="shared" si="4"/>
        <v>1157.4166666666667</v>
      </c>
      <c r="E84" s="2">
        <f t="shared" si="5"/>
        <v>1156.1666666666667</v>
      </c>
      <c r="F84" s="2">
        <f t="shared" si="6"/>
        <v>-39.166666666666742</v>
      </c>
      <c r="G84" s="2">
        <f t="shared" si="7"/>
        <v>1534.0277777777837</v>
      </c>
    </row>
    <row r="85" spans="1:7" x14ac:dyDescent="0.2">
      <c r="A85" s="1">
        <v>39264</v>
      </c>
      <c r="B85" s="2">
        <v>1180</v>
      </c>
      <c r="C85" s="2" t="s">
        <v>3</v>
      </c>
      <c r="D85" s="2">
        <f t="shared" si="4"/>
        <v>1163.0833333333333</v>
      </c>
      <c r="E85" s="2">
        <f t="shared" si="5"/>
        <v>1157.4166666666667</v>
      </c>
      <c r="F85" s="2">
        <f t="shared" si="6"/>
        <v>22.583333333333258</v>
      </c>
      <c r="G85" s="2">
        <f t="shared" si="7"/>
        <v>510.00694444444105</v>
      </c>
    </row>
    <row r="86" spans="1:7" x14ac:dyDescent="0.2">
      <c r="A86" s="1">
        <v>39295</v>
      </c>
      <c r="B86" s="2">
        <v>1102</v>
      </c>
      <c r="C86" s="2" t="s">
        <v>3</v>
      </c>
      <c r="D86" s="2">
        <f t="shared" si="4"/>
        <v>1162.5833333333333</v>
      </c>
      <c r="E86" s="2">
        <f t="shared" si="5"/>
        <v>1163.0833333333333</v>
      </c>
      <c r="F86" s="2">
        <f t="shared" si="6"/>
        <v>-61.083333333333258</v>
      </c>
      <c r="G86" s="2">
        <f t="shared" si="7"/>
        <v>3731.1736111111018</v>
      </c>
    </row>
    <row r="87" spans="1:7" x14ac:dyDescent="0.2">
      <c r="A87" s="1">
        <v>39326</v>
      </c>
      <c r="B87" s="2">
        <v>1140</v>
      </c>
      <c r="C87" s="2" t="s">
        <v>3</v>
      </c>
      <c r="D87" s="2">
        <f t="shared" si="4"/>
        <v>1166.8333333333333</v>
      </c>
      <c r="E87" s="2">
        <f t="shared" si="5"/>
        <v>1162.5833333333333</v>
      </c>
      <c r="F87" s="2">
        <f t="shared" si="6"/>
        <v>-22.583333333333258</v>
      </c>
      <c r="G87" s="2">
        <f t="shared" si="7"/>
        <v>510.00694444444105</v>
      </c>
    </row>
    <row r="88" spans="1:7" x14ac:dyDescent="0.2">
      <c r="A88" s="1">
        <v>39356</v>
      </c>
      <c r="B88" s="2">
        <v>1291</v>
      </c>
      <c r="C88" s="2" t="s">
        <v>3</v>
      </c>
      <c r="D88" s="2">
        <f t="shared" si="4"/>
        <v>1174.5</v>
      </c>
      <c r="E88" s="2">
        <f t="shared" si="5"/>
        <v>1166.8333333333333</v>
      </c>
      <c r="F88" s="2">
        <f t="shared" si="6"/>
        <v>124.16666666666674</v>
      </c>
      <c r="G88" s="2">
        <f t="shared" si="7"/>
        <v>15417.36111111113</v>
      </c>
    </row>
    <row r="89" spans="1:7" x14ac:dyDescent="0.2">
      <c r="A89" s="1">
        <v>39387</v>
      </c>
      <c r="B89" s="2">
        <v>1247</v>
      </c>
      <c r="C89" s="2" t="s">
        <v>3</v>
      </c>
      <c r="D89" s="2">
        <f t="shared" si="4"/>
        <v>1184.5833333333333</v>
      </c>
      <c r="E89" s="2">
        <f t="shared" si="5"/>
        <v>1174.5</v>
      </c>
      <c r="F89" s="2">
        <f t="shared" si="6"/>
        <v>72.5</v>
      </c>
      <c r="G89" s="2">
        <f t="shared" si="7"/>
        <v>5256.25</v>
      </c>
    </row>
    <row r="90" spans="1:7" x14ac:dyDescent="0.2">
      <c r="A90" s="1">
        <v>39417</v>
      </c>
      <c r="B90" s="2">
        <v>1207</v>
      </c>
      <c r="C90" s="2" t="s">
        <v>3</v>
      </c>
      <c r="D90" s="2">
        <f t="shared" si="4"/>
        <v>1187.0833333333333</v>
      </c>
      <c r="E90" s="2">
        <f t="shared" si="5"/>
        <v>1184.5833333333333</v>
      </c>
      <c r="F90" s="2">
        <f t="shared" si="6"/>
        <v>22.416666666666742</v>
      </c>
      <c r="G90" s="2">
        <f t="shared" si="7"/>
        <v>502.50694444444787</v>
      </c>
    </row>
    <row r="91" spans="1:7" x14ac:dyDescent="0.2">
      <c r="A91" s="1">
        <v>39448</v>
      </c>
      <c r="B91" s="2">
        <v>1196</v>
      </c>
      <c r="C91" s="2" t="s">
        <v>3</v>
      </c>
      <c r="D91" s="2">
        <f t="shared" si="4"/>
        <v>1190.5833333333333</v>
      </c>
      <c r="E91" s="2">
        <f t="shared" si="5"/>
        <v>1187.0833333333333</v>
      </c>
      <c r="F91" s="2">
        <f t="shared" si="6"/>
        <v>8.9166666666667425</v>
      </c>
      <c r="G91" s="2">
        <f t="shared" si="7"/>
        <v>79.506944444445793</v>
      </c>
    </row>
    <row r="92" spans="1:7" x14ac:dyDescent="0.2">
      <c r="A92" s="1">
        <v>39479</v>
      </c>
      <c r="B92" s="2">
        <v>1256</v>
      </c>
      <c r="C92" s="2" t="s">
        <v>3</v>
      </c>
      <c r="D92" s="2">
        <f t="shared" si="4"/>
        <v>1192.5833333333333</v>
      </c>
      <c r="E92" s="2">
        <f t="shared" si="5"/>
        <v>1190.5833333333333</v>
      </c>
      <c r="F92" s="2">
        <f t="shared" si="6"/>
        <v>65.416666666666742</v>
      </c>
      <c r="G92" s="2">
        <f t="shared" si="7"/>
        <v>4279.3402777777874</v>
      </c>
    </row>
    <row r="93" spans="1:7" x14ac:dyDescent="0.2">
      <c r="A93" s="1">
        <v>39508</v>
      </c>
      <c r="B93" s="2">
        <v>1205</v>
      </c>
      <c r="C93" s="2" t="s">
        <v>3</v>
      </c>
      <c r="D93" s="2">
        <f t="shared" si="4"/>
        <v>1192.5833333333333</v>
      </c>
      <c r="E93" s="2">
        <f t="shared" si="5"/>
        <v>1192.5833333333333</v>
      </c>
      <c r="F93" s="2">
        <f t="shared" si="6"/>
        <v>12.416666666666742</v>
      </c>
      <c r="G93" s="2">
        <f t="shared" si="7"/>
        <v>154.17361111111299</v>
      </c>
    </row>
    <row r="94" spans="1:7" x14ac:dyDescent="0.2">
      <c r="A94" s="1">
        <v>39539</v>
      </c>
      <c r="B94" s="2">
        <v>1177</v>
      </c>
      <c r="C94" s="2" t="s">
        <v>3</v>
      </c>
      <c r="D94" s="2">
        <f t="shared" si="4"/>
        <v>1195.4166666666667</v>
      </c>
      <c r="E94" s="2">
        <f t="shared" si="5"/>
        <v>1192.5833333333333</v>
      </c>
      <c r="F94" s="2">
        <f t="shared" si="6"/>
        <v>-15.583333333333258</v>
      </c>
      <c r="G94" s="2">
        <f t="shared" si="7"/>
        <v>242.84027777777541</v>
      </c>
    </row>
    <row r="95" spans="1:7" x14ac:dyDescent="0.2">
      <c r="A95" s="1">
        <v>39569</v>
      </c>
      <c r="B95" s="2">
        <v>1263</v>
      </c>
      <c r="C95" s="2" t="s">
        <v>3</v>
      </c>
      <c r="D95" s="2">
        <f t="shared" si="4"/>
        <v>1198.4166666666667</v>
      </c>
      <c r="E95" s="2">
        <f t="shared" si="5"/>
        <v>1195.4166666666667</v>
      </c>
      <c r="F95" s="2">
        <f t="shared" si="6"/>
        <v>67.583333333333258</v>
      </c>
      <c r="G95" s="2">
        <f t="shared" si="7"/>
        <v>4567.5069444444343</v>
      </c>
    </row>
    <row r="96" spans="1:7" x14ac:dyDescent="0.2">
      <c r="A96" s="1">
        <v>39600</v>
      </c>
      <c r="B96" s="2">
        <v>1185</v>
      </c>
      <c r="C96" s="2" t="s">
        <v>3</v>
      </c>
      <c r="D96" s="2">
        <f t="shared" si="4"/>
        <v>1204.0833333333333</v>
      </c>
      <c r="E96" s="2">
        <f t="shared" si="5"/>
        <v>1198.4166666666667</v>
      </c>
      <c r="F96" s="2">
        <f t="shared" si="6"/>
        <v>-13.416666666666742</v>
      </c>
      <c r="G96" s="2">
        <f t="shared" si="7"/>
        <v>180.00694444444648</v>
      </c>
    </row>
    <row r="97" spans="1:7" x14ac:dyDescent="0.2">
      <c r="A97" s="1">
        <v>39630</v>
      </c>
      <c r="B97" s="2">
        <v>1261</v>
      </c>
      <c r="C97" s="2" t="s">
        <v>3</v>
      </c>
      <c r="D97" s="2">
        <f t="shared" si="4"/>
        <v>1210.8333333333333</v>
      </c>
      <c r="E97" s="2">
        <f t="shared" si="5"/>
        <v>1204.0833333333333</v>
      </c>
      <c r="F97" s="2">
        <f t="shared" si="6"/>
        <v>56.916666666666742</v>
      </c>
      <c r="G97" s="2">
        <f t="shared" si="7"/>
        <v>3239.506944444453</v>
      </c>
    </row>
    <row r="98" spans="1:7" x14ac:dyDescent="0.2">
      <c r="A98" s="1">
        <v>39661</v>
      </c>
      <c r="B98" s="2">
        <v>1196</v>
      </c>
      <c r="C98" s="2" t="s">
        <v>3</v>
      </c>
      <c r="D98" s="2">
        <f t="shared" si="4"/>
        <v>1218.6666666666667</v>
      </c>
      <c r="E98" s="2">
        <f t="shared" si="5"/>
        <v>1210.8333333333333</v>
      </c>
      <c r="F98" s="2">
        <f t="shared" si="6"/>
        <v>-14.833333333333258</v>
      </c>
      <c r="G98" s="2">
        <f t="shared" si="7"/>
        <v>220.02777777777553</v>
      </c>
    </row>
    <row r="99" spans="1:7" x14ac:dyDescent="0.2">
      <c r="A99" s="1">
        <v>39692</v>
      </c>
      <c r="B99" s="2">
        <v>1251</v>
      </c>
      <c r="C99" s="2" t="s">
        <v>3</v>
      </c>
      <c r="D99" s="2">
        <f t="shared" si="4"/>
        <v>1227.9166666666667</v>
      </c>
      <c r="E99" s="2">
        <f t="shared" si="5"/>
        <v>1218.6666666666667</v>
      </c>
      <c r="F99" s="2">
        <f t="shared" si="6"/>
        <v>32.333333333333258</v>
      </c>
      <c r="G99" s="2">
        <f t="shared" si="7"/>
        <v>1045.4444444444396</v>
      </c>
    </row>
    <row r="100" spans="1:7" x14ac:dyDescent="0.2">
      <c r="A100" s="1">
        <v>39722</v>
      </c>
      <c r="B100" s="2">
        <v>1414</v>
      </c>
      <c r="C100" s="2" t="s">
        <v>3</v>
      </c>
      <c r="D100" s="2">
        <f t="shared" si="4"/>
        <v>1238.1666666666667</v>
      </c>
      <c r="E100" s="2">
        <f t="shared" si="5"/>
        <v>1227.9166666666667</v>
      </c>
      <c r="F100" s="2">
        <f t="shared" si="6"/>
        <v>186.08333333333326</v>
      </c>
      <c r="G100" s="2">
        <f t="shared" si="7"/>
        <v>34627.006944444416</v>
      </c>
    </row>
    <row r="101" spans="1:7" x14ac:dyDescent="0.2">
      <c r="A101" s="1">
        <v>39753</v>
      </c>
      <c r="B101" s="2">
        <v>1291</v>
      </c>
      <c r="C101" s="2" t="s">
        <v>3</v>
      </c>
      <c r="D101" s="2">
        <f t="shared" si="4"/>
        <v>1241.8333333333333</v>
      </c>
      <c r="E101" s="2">
        <f t="shared" si="5"/>
        <v>1238.1666666666667</v>
      </c>
      <c r="F101" s="2">
        <f t="shared" si="6"/>
        <v>52.833333333333258</v>
      </c>
      <c r="G101" s="2">
        <f t="shared" si="7"/>
        <v>2791.3611111111031</v>
      </c>
    </row>
    <row r="102" spans="1:7" x14ac:dyDescent="0.2">
      <c r="A102" s="1">
        <v>39783</v>
      </c>
      <c r="B102" s="2">
        <v>1293</v>
      </c>
      <c r="C102" s="2" t="s">
        <v>3</v>
      </c>
      <c r="D102" s="2">
        <f t="shared" si="4"/>
        <v>1249</v>
      </c>
      <c r="E102" s="2">
        <f t="shared" si="5"/>
        <v>1241.8333333333333</v>
      </c>
      <c r="F102" s="2">
        <f t="shared" si="6"/>
        <v>51.166666666666742</v>
      </c>
      <c r="G102" s="2">
        <f t="shared" si="7"/>
        <v>2618.0277777777856</v>
      </c>
    </row>
    <row r="103" spans="1:7" x14ac:dyDescent="0.2">
      <c r="A103" s="1">
        <v>39814</v>
      </c>
      <c r="B103" s="2">
        <v>1289</v>
      </c>
      <c r="C103" s="2" t="s">
        <v>3</v>
      </c>
      <c r="D103" s="2">
        <f t="shared" si="4"/>
        <v>1256.75</v>
      </c>
      <c r="E103" s="2">
        <f t="shared" si="5"/>
        <v>1249</v>
      </c>
      <c r="F103" s="2">
        <f t="shared" si="6"/>
        <v>40</v>
      </c>
      <c r="G103" s="2">
        <f t="shared" si="7"/>
        <v>1600</v>
      </c>
    </row>
    <row r="104" spans="1:7" x14ac:dyDescent="0.2">
      <c r="A104" s="1">
        <v>39845</v>
      </c>
      <c r="B104" s="2">
        <v>1320</v>
      </c>
      <c r="C104" s="2" t="s">
        <v>3</v>
      </c>
      <c r="D104" s="2">
        <f t="shared" si="4"/>
        <v>1262.0833333333333</v>
      </c>
      <c r="E104" s="2">
        <f t="shared" si="5"/>
        <v>1256.75</v>
      </c>
      <c r="F104" s="2">
        <f t="shared" si="6"/>
        <v>63.25</v>
      </c>
      <c r="G104" s="2">
        <f t="shared" si="7"/>
        <v>4000.5625</v>
      </c>
    </row>
    <row r="105" spans="1:7" x14ac:dyDescent="0.2">
      <c r="A105" s="1">
        <v>39873</v>
      </c>
      <c r="B105" s="2">
        <v>1313</v>
      </c>
      <c r="C105" s="2" t="s">
        <v>3</v>
      </c>
      <c r="D105" s="2">
        <f t="shared" si="4"/>
        <v>1271.0833333333333</v>
      </c>
      <c r="E105" s="2">
        <f t="shared" si="5"/>
        <v>1262.0833333333333</v>
      </c>
      <c r="F105" s="2">
        <f t="shared" si="6"/>
        <v>50.916666666666742</v>
      </c>
      <c r="G105" s="2">
        <f t="shared" si="7"/>
        <v>2592.5069444444521</v>
      </c>
    </row>
    <row r="106" spans="1:7" x14ac:dyDescent="0.2">
      <c r="A106" s="1">
        <v>39904</v>
      </c>
      <c r="B106" s="2">
        <v>1265</v>
      </c>
      <c r="C106" s="2" t="s">
        <v>3</v>
      </c>
      <c r="D106" s="2">
        <f t="shared" si="4"/>
        <v>1278.4166666666667</v>
      </c>
      <c r="E106" s="2">
        <f t="shared" si="5"/>
        <v>1271.0833333333333</v>
      </c>
      <c r="F106" s="2">
        <f t="shared" si="6"/>
        <v>-6.0833333333332575</v>
      </c>
      <c r="G106" s="2">
        <f t="shared" si="7"/>
        <v>37.006944444443519</v>
      </c>
    </row>
    <row r="107" spans="1:7" x14ac:dyDescent="0.2">
      <c r="A107" s="1">
        <v>39934</v>
      </c>
      <c r="B107" s="2">
        <v>1233</v>
      </c>
      <c r="C107" s="2" t="s">
        <v>3</v>
      </c>
      <c r="D107" s="2">
        <f t="shared" si="4"/>
        <v>1275.9166666666667</v>
      </c>
      <c r="E107" s="2">
        <f t="shared" si="5"/>
        <v>1278.4166666666667</v>
      </c>
      <c r="F107" s="2">
        <f t="shared" si="6"/>
        <v>-45.416666666666742</v>
      </c>
      <c r="G107" s="2">
        <f t="shared" si="7"/>
        <v>2062.6736111111181</v>
      </c>
    </row>
    <row r="108" spans="1:7" x14ac:dyDescent="0.2">
      <c r="A108" s="1">
        <v>39965</v>
      </c>
      <c r="B108" s="2">
        <v>1187</v>
      </c>
      <c r="C108" s="2" t="s">
        <v>3</v>
      </c>
      <c r="D108" s="2">
        <f t="shared" si="4"/>
        <v>1276.0833333333333</v>
      </c>
      <c r="E108" s="2">
        <f t="shared" si="5"/>
        <v>1275.9166666666667</v>
      </c>
      <c r="F108" s="2">
        <f t="shared" si="6"/>
        <v>-88.916666666666742</v>
      </c>
      <c r="G108" s="2">
        <f t="shared" si="7"/>
        <v>7906.173611111125</v>
      </c>
    </row>
    <row r="109" spans="1:7" x14ac:dyDescent="0.2">
      <c r="A109" s="1">
        <v>39995</v>
      </c>
      <c r="B109" s="2">
        <v>1278</v>
      </c>
      <c r="C109" s="2" t="s">
        <v>3</v>
      </c>
      <c r="D109" s="2">
        <f t="shared" si="4"/>
        <v>1277.5</v>
      </c>
      <c r="E109" s="2">
        <f t="shared" si="5"/>
        <v>1276.0833333333333</v>
      </c>
      <c r="F109" s="2">
        <f t="shared" si="6"/>
        <v>1.9166666666667425</v>
      </c>
      <c r="G109" s="2">
        <f t="shared" si="7"/>
        <v>3.6736111111114016</v>
      </c>
    </row>
    <row r="110" spans="1:7" x14ac:dyDescent="0.2">
      <c r="A110" s="1">
        <v>40026</v>
      </c>
      <c r="B110" s="2">
        <v>1197</v>
      </c>
      <c r="C110" s="2" t="s">
        <v>3</v>
      </c>
      <c r="D110" s="2">
        <f t="shared" si="4"/>
        <v>1277.5833333333333</v>
      </c>
      <c r="E110" s="2">
        <f t="shared" si="5"/>
        <v>1277.5</v>
      </c>
      <c r="F110" s="2">
        <f t="shared" si="6"/>
        <v>-80.5</v>
      </c>
      <c r="G110" s="2">
        <f t="shared" si="7"/>
        <v>6480.25</v>
      </c>
    </row>
    <row r="111" spans="1:7" x14ac:dyDescent="0.2">
      <c r="A111" s="1">
        <v>40057</v>
      </c>
      <c r="B111" s="2">
        <v>1181</v>
      </c>
      <c r="C111" s="2" t="s">
        <v>3</v>
      </c>
      <c r="D111" s="2">
        <f t="shared" si="4"/>
        <v>1271.75</v>
      </c>
      <c r="E111" s="2">
        <f t="shared" si="5"/>
        <v>1277.5833333333333</v>
      </c>
      <c r="F111" s="2">
        <f t="shared" si="6"/>
        <v>-96.583333333333258</v>
      </c>
      <c r="G111" s="2">
        <f t="shared" si="7"/>
        <v>9328.3402777777628</v>
      </c>
    </row>
    <row r="112" spans="1:7" x14ac:dyDescent="0.2">
      <c r="A112" s="1">
        <v>40087</v>
      </c>
      <c r="B112" s="2">
        <v>1367</v>
      </c>
      <c r="C112" s="2" t="s">
        <v>3</v>
      </c>
      <c r="D112" s="2">
        <f t="shared" si="4"/>
        <v>1267.8333333333333</v>
      </c>
      <c r="E112" s="2">
        <f t="shared" si="5"/>
        <v>1271.75</v>
      </c>
      <c r="F112" s="2">
        <f t="shared" si="6"/>
        <v>95.25</v>
      </c>
      <c r="G112" s="2">
        <f t="shared" si="7"/>
        <v>9072.5625</v>
      </c>
    </row>
    <row r="113" spans="1:7" x14ac:dyDescent="0.2">
      <c r="A113" s="1">
        <v>40118</v>
      </c>
      <c r="B113" s="2">
        <v>1234</v>
      </c>
      <c r="C113" s="2" t="s">
        <v>3</v>
      </c>
      <c r="D113" s="2">
        <f t="shared" si="4"/>
        <v>1263.0833333333333</v>
      </c>
      <c r="E113" s="2">
        <f t="shared" si="5"/>
        <v>1267.8333333333333</v>
      </c>
      <c r="F113" s="2">
        <f t="shared" si="6"/>
        <v>-33.833333333333258</v>
      </c>
      <c r="G113" s="2">
        <f t="shared" si="7"/>
        <v>1144.6944444444393</v>
      </c>
    </row>
    <row r="114" spans="1:7" x14ac:dyDescent="0.2">
      <c r="A114" s="1">
        <v>40148</v>
      </c>
      <c r="B114" s="2">
        <v>1254</v>
      </c>
      <c r="C114" s="2" t="s">
        <v>3</v>
      </c>
      <c r="D114" s="2">
        <f t="shared" si="4"/>
        <v>1259.8333333333333</v>
      </c>
      <c r="E114" s="2">
        <f t="shared" si="5"/>
        <v>1263.0833333333333</v>
      </c>
      <c r="F114" s="2">
        <f t="shared" si="6"/>
        <v>-9.0833333333332575</v>
      </c>
      <c r="G114" s="2">
        <f t="shared" si="7"/>
        <v>82.506944444443064</v>
      </c>
    </row>
    <row r="115" spans="1:7" x14ac:dyDescent="0.2">
      <c r="A115" s="1">
        <v>40179</v>
      </c>
      <c r="B115" s="2">
        <v>1287</v>
      </c>
      <c r="C115" s="2" t="s">
        <v>3</v>
      </c>
      <c r="D115" s="2">
        <f t="shared" si="4"/>
        <v>1259.6666666666667</v>
      </c>
      <c r="E115" s="2">
        <f t="shared" si="5"/>
        <v>1259.8333333333333</v>
      </c>
      <c r="F115" s="2">
        <f t="shared" si="6"/>
        <v>27.166666666666742</v>
      </c>
      <c r="G115" s="2">
        <f t="shared" si="7"/>
        <v>738.02777777778192</v>
      </c>
    </row>
    <row r="116" spans="1:7" x14ac:dyDescent="0.2">
      <c r="A116" s="1">
        <v>40210</v>
      </c>
      <c r="B116" s="2">
        <v>1314</v>
      </c>
      <c r="C116" s="2" t="s">
        <v>3</v>
      </c>
      <c r="D116" s="2">
        <f t="shared" si="4"/>
        <v>1259.1666666666667</v>
      </c>
      <c r="E116" s="2">
        <f t="shared" si="5"/>
        <v>1259.6666666666667</v>
      </c>
      <c r="F116" s="2">
        <f t="shared" si="6"/>
        <v>54.333333333333258</v>
      </c>
      <c r="G116" s="2">
        <f t="shared" si="7"/>
        <v>2952.1111111111027</v>
      </c>
    </row>
    <row r="117" spans="1:7" x14ac:dyDescent="0.2">
      <c r="A117" s="1">
        <v>40238</v>
      </c>
      <c r="B117" s="2">
        <v>1395</v>
      </c>
      <c r="C117" s="2" t="s">
        <v>3</v>
      </c>
      <c r="D117" s="2">
        <f t="shared" si="4"/>
        <v>1266</v>
      </c>
      <c r="E117" s="2">
        <f t="shared" si="5"/>
        <v>1259.1666666666667</v>
      </c>
      <c r="F117" s="2">
        <f t="shared" si="6"/>
        <v>135.83333333333326</v>
      </c>
      <c r="G117" s="2">
        <f t="shared" si="7"/>
        <v>18450.694444444423</v>
      </c>
    </row>
    <row r="118" spans="1:7" x14ac:dyDescent="0.2">
      <c r="A118" s="1">
        <v>40269</v>
      </c>
      <c r="B118" s="2">
        <v>1337</v>
      </c>
      <c r="C118" s="2" t="s">
        <v>3</v>
      </c>
      <c r="D118" s="2">
        <f t="shared" si="4"/>
        <v>1272</v>
      </c>
      <c r="E118" s="2">
        <f t="shared" si="5"/>
        <v>1266</v>
      </c>
      <c r="F118" s="2">
        <f t="shared" si="6"/>
        <v>71</v>
      </c>
      <c r="G118" s="2">
        <f t="shared" si="7"/>
        <v>5041</v>
      </c>
    </row>
    <row r="119" spans="1:7" x14ac:dyDescent="0.2">
      <c r="A119" s="1">
        <v>40299</v>
      </c>
      <c r="B119" s="2">
        <v>1363</v>
      </c>
      <c r="C119" s="2" t="s">
        <v>3</v>
      </c>
      <c r="D119" s="2">
        <f t="shared" si="4"/>
        <v>1282.8333333333333</v>
      </c>
      <c r="E119" s="2">
        <f t="shared" si="5"/>
        <v>1272</v>
      </c>
      <c r="F119" s="2">
        <f t="shared" si="6"/>
        <v>91</v>
      </c>
      <c r="G119" s="2">
        <f t="shared" si="7"/>
        <v>8281</v>
      </c>
    </row>
    <row r="120" spans="1:7" x14ac:dyDescent="0.2">
      <c r="A120" s="1">
        <v>40330</v>
      </c>
      <c r="B120" s="2">
        <v>1352</v>
      </c>
      <c r="C120" s="2" t="s">
        <v>3</v>
      </c>
      <c r="D120" s="2">
        <f t="shared" si="4"/>
        <v>1296.5833333333333</v>
      </c>
      <c r="E120" s="2">
        <f t="shared" si="5"/>
        <v>1282.8333333333333</v>
      </c>
      <c r="F120" s="2">
        <f t="shared" si="6"/>
        <v>69.166666666666742</v>
      </c>
      <c r="G120" s="2">
        <f t="shared" si="7"/>
        <v>4784.0277777777883</v>
      </c>
    </row>
    <row r="121" spans="1:7" x14ac:dyDescent="0.2">
      <c r="A121" s="1">
        <v>40360</v>
      </c>
      <c r="B121" s="2">
        <v>1403</v>
      </c>
      <c r="C121" s="2" t="s">
        <v>3</v>
      </c>
      <c r="D121" s="2">
        <f t="shared" si="4"/>
        <v>1307</v>
      </c>
      <c r="E121" s="2">
        <f t="shared" si="5"/>
        <v>1296.5833333333333</v>
      </c>
      <c r="F121" s="2">
        <f t="shared" si="6"/>
        <v>106.41666666666674</v>
      </c>
      <c r="G121" s="2">
        <f t="shared" si="7"/>
        <v>11324.50694444446</v>
      </c>
    </row>
    <row r="122" spans="1:7" x14ac:dyDescent="0.2">
      <c r="A122" s="1">
        <v>40391</v>
      </c>
      <c r="B122" s="2">
        <v>1289</v>
      </c>
      <c r="C122" s="2" t="s">
        <v>3</v>
      </c>
      <c r="D122" s="2">
        <f t="shared" si="4"/>
        <v>1314.6666666666667</v>
      </c>
      <c r="E122" s="2">
        <f t="shared" si="5"/>
        <v>1307</v>
      </c>
      <c r="F122" s="2">
        <f t="shared" si="6"/>
        <v>-18</v>
      </c>
      <c r="G122" s="2">
        <f t="shared" si="7"/>
        <v>324</v>
      </c>
    </row>
    <row r="123" spans="1:7" x14ac:dyDescent="0.2">
      <c r="A123" s="1">
        <v>40422</v>
      </c>
      <c r="B123" s="2">
        <v>1274</v>
      </c>
      <c r="C123" s="2" t="s">
        <v>3</v>
      </c>
      <c r="D123" s="2">
        <f t="shared" si="4"/>
        <v>1322.4166666666667</v>
      </c>
      <c r="E123" s="2">
        <f t="shared" si="5"/>
        <v>1314.6666666666667</v>
      </c>
      <c r="F123" s="2">
        <f t="shared" si="6"/>
        <v>-40.666666666666742</v>
      </c>
      <c r="G123" s="2">
        <f t="shared" si="7"/>
        <v>1653.777777777784</v>
      </c>
    </row>
    <row r="124" spans="1:7" x14ac:dyDescent="0.2">
      <c r="A124" s="1">
        <v>40452</v>
      </c>
      <c r="B124" s="2">
        <v>1430</v>
      </c>
      <c r="C124" s="2" t="s">
        <v>3</v>
      </c>
      <c r="D124" s="2">
        <f t="shared" si="4"/>
        <v>1327.6666666666667</v>
      </c>
      <c r="E124" s="2">
        <f t="shared" si="5"/>
        <v>1322.4166666666667</v>
      </c>
      <c r="F124" s="2">
        <f t="shared" si="6"/>
        <v>107.58333333333326</v>
      </c>
      <c r="G124" s="2">
        <f t="shared" si="7"/>
        <v>11574.173611111095</v>
      </c>
    </row>
    <row r="125" spans="1:7" x14ac:dyDescent="0.2">
      <c r="A125" s="1">
        <v>40483</v>
      </c>
      <c r="B125" s="2">
        <v>1343</v>
      </c>
      <c r="C125" s="2" t="s">
        <v>3</v>
      </c>
      <c r="D125" s="2">
        <f t="shared" si="4"/>
        <v>1336.75</v>
      </c>
      <c r="E125" s="2">
        <f t="shared" si="5"/>
        <v>1327.6666666666667</v>
      </c>
      <c r="F125" s="2">
        <f t="shared" si="6"/>
        <v>15.333333333333258</v>
      </c>
      <c r="G125" s="2">
        <f t="shared" si="7"/>
        <v>235.11111111110878</v>
      </c>
    </row>
    <row r="126" spans="1:7" x14ac:dyDescent="0.2">
      <c r="A126" s="1">
        <v>40513</v>
      </c>
      <c r="B126" s="2">
        <v>1405</v>
      </c>
      <c r="C126" s="2" t="s">
        <v>3</v>
      </c>
      <c r="D126" s="2">
        <f t="shared" si="4"/>
        <v>1349.3333333333333</v>
      </c>
      <c r="E126" s="2">
        <f t="shared" si="5"/>
        <v>1336.75</v>
      </c>
      <c r="F126" s="2">
        <f t="shared" si="6"/>
        <v>68.25</v>
      </c>
      <c r="G126" s="2">
        <f t="shared" si="7"/>
        <v>4658.0625</v>
      </c>
    </row>
    <row r="127" spans="1:7" x14ac:dyDescent="0.2">
      <c r="A127" s="1">
        <v>40544</v>
      </c>
      <c r="B127" s="2">
        <v>1372</v>
      </c>
      <c r="C127" s="2" t="s">
        <v>3</v>
      </c>
      <c r="D127" s="2">
        <f t="shared" si="4"/>
        <v>1356.4166666666667</v>
      </c>
      <c r="E127" s="2">
        <f t="shared" si="5"/>
        <v>1349.3333333333333</v>
      </c>
      <c r="F127" s="2">
        <f t="shared" si="6"/>
        <v>22.666666666666742</v>
      </c>
      <c r="G127" s="2">
        <f t="shared" si="7"/>
        <v>513.77777777778124</v>
      </c>
    </row>
    <row r="128" spans="1:7" x14ac:dyDescent="0.2">
      <c r="A128" s="1">
        <v>40575</v>
      </c>
      <c r="B128" s="2">
        <v>1426</v>
      </c>
      <c r="C128" s="2" t="s">
        <v>3</v>
      </c>
      <c r="D128" s="2">
        <f t="shared" si="4"/>
        <v>1365.75</v>
      </c>
      <c r="E128" s="2">
        <f t="shared" si="5"/>
        <v>1356.4166666666667</v>
      </c>
      <c r="F128" s="2">
        <f t="shared" si="6"/>
        <v>69.583333333333258</v>
      </c>
      <c r="G128" s="2">
        <f t="shared" si="7"/>
        <v>4841.8402777777674</v>
      </c>
    </row>
    <row r="129" spans="1:7" x14ac:dyDescent="0.2">
      <c r="A129" s="1">
        <v>40603</v>
      </c>
      <c r="B129" s="2">
        <v>1431</v>
      </c>
      <c r="C129" s="2" t="s">
        <v>3</v>
      </c>
      <c r="D129" s="2">
        <f t="shared" si="4"/>
        <v>1368.75</v>
      </c>
      <c r="E129" s="2">
        <f t="shared" si="5"/>
        <v>1365.75</v>
      </c>
      <c r="F129" s="2">
        <f t="shared" si="6"/>
        <v>65.25</v>
      </c>
      <c r="G129" s="2">
        <f t="shared" si="7"/>
        <v>4257.5625</v>
      </c>
    </row>
    <row r="130" spans="1:7" x14ac:dyDescent="0.2">
      <c r="A130" s="1">
        <v>40634</v>
      </c>
      <c r="B130" s="2">
        <v>1297</v>
      </c>
      <c r="C130" s="2" t="s">
        <v>3</v>
      </c>
      <c r="D130" s="2">
        <f t="shared" si="4"/>
        <v>1365.4166666666667</v>
      </c>
      <c r="E130" s="2">
        <f t="shared" si="5"/>
        <v>1368.75</v>
      </c>
      <c r="F130" s="2">
        <f t="shared" si="6"/>
        <v>-71.75</v>
      </c>
      <c r="G130" s="2">
        <f t="shared" si="7"/>
        <v>5148.0625</v>
      </c>
    </row>
    <row r="131" spans="1:7" x14ac:dyDescent="0.2">
      <c r="A131" s="1">
        <v>40664</v>
      </c>
      <c r="B131" s="2">
        <v>1349</v>
      </c>
      <c r="C131" s="2" t="s">
        <v>3</v>
      </c>
      <c r="D131" s="2">
        <f t="shared" si="4"/>
        <v>1364.25</v>
      </c>
      <c r="E131" s="2">
        <f t="shared" si="5"/>
        <v>1365.4166666666667</v>
      </c>
      <c r="F131" s="2">
        <f t="shared" si="6"/>
        <v>-16.416666666666742</v>
      </c>
      <c r="G131" s="2">
        <f t="shared" si="7"/>
        <v>269.50694444444696</v>
      </c>
    </row>
    <row r="132" spans="1:7" x14ac:dyDescent="0.2">
      <c r="A132" s="1">
        <v>40695</v>
      </c>
      <c r="B132" s="2">
        <v>1347</v>
      </c>
      <c r="C132" s="2" t="s">
        <v>3</v>
      </c>
      <c r="D132" s="2">
        <f t="shared" si="4"/>
        <v>1363.8333333333333</v>
      </c>
      <c r="E132" s="2">
        <f t="shared" si="5"/>
        <v>1364.25</v>
      </c>
      <c r="F132" s="2">
        <f t="shared" si="6"/>
        <v>-17.25</v>
      </c>
      <c r="G132" s="2">
        <f t="shared" si="7"/>
        <v>297.5625</v>
      </c>
    </row>
    <row r="133" spans="1:7" x14ac:dyDescent="0.2">
      <c r="A133" s="1">
        <v>40725</v>
      </c>
      <c r="B133" s="2">
        <v>1367</v>
      </c>
      <c r="C133" s="2" t="s">
        <v>3</v>
      </c>
      <c r="D133" s="2">
        <f t="shared" si="4"/>
        <v>1360.8333333333333</v>
      </c>
      <c r="E133" s="2">
        <f t="shared" si="5"/>
        <v>1363.8333333333333</v>
      </c>
      <c r="F133" s="2">
        <f t="shared" si="6"/>
        <v>3.1666666666667425</v>
      </c>
      <c r="G133" s="2">
        <f t="shared" si="7"/>
        <v>10.027777777778258</v>
      </c>
    </row>
    <row r="134" spans="1:7" x14ac:dyDescent="0.2">
      <c r="A134" s="1">
        <v>40756</v>
      </c>
      <c r="B134" s="2">
        <v>1328</v>
      </c>
      <c r="C134" s="2" t="s">
        <v>3</v>
      </c>
      <c r="D134" s="2">
        <f t="shared" si="4"/>
        <v>1364.0833333333333</v>
      </c>
      <c r="E134" s="2">
        <f t="shared" si="5"/>
        <v>1360.8333333333333</v>
      </c>
      <c r="F134" s="2">
        <f t="shared" si="6"/>
        <v>-32.833333333333258</v>
      </c>
      <c r="G134" s="2">
        <f t="shared" si="7"/>
        <v>1078.0277777777728</v>
      </c>
    </row>
    <row r="135" spans="1:7" x14ac:dyDescent="0.2">
      <c r="A135" s="1">
        <v>40787</v>
      </c>
      <c r="B135" s="2">
        <v>1280</v>
      </c>
      <c r="C135" s="2" t="s">
        <v>3</v>
      </c>
      <c r="D135" s="2">
        <f t="shared" si="4"/>
        <v>1364.5833333333333</v>
      </c>
      <c r="E135" s="2">
        <f t="shared" si="5"/>
        <v>1364.0833333333333</v>
      </c>
      <c r="F135" s="2">
        <f t="shared" si="6"/>
        <v>-84.083333333333258</v>
      </c>
      <c r="G135" s="2">
        <f t="shared" si="7"/>
        <v>7070.0069444444316</v>
      </c>
    </row>
    <row r="136" spans="1:7" x14ac:dyDescent="0.2">
      <c r="A136" s="1">
        <v>40817</v>
      </c>
      <c r="B136" s="2">
        <v>1478</v>
      </c>
      <c r="C136" s="2" t="s">
        <v>3</v>
      </c>
      <c r="D136" s="2">
        <f t="shared" si="4"/>
        <v>1368.5833333333333</v>
      </c>
      <c r="E136" s="2">
        <f t="shared" si="5"/>
        <v>1364.5833333333333</v>
      </c>
      <c r="F136" s="2">
        <f t="shared" si="6"/>
        <v>113.41666666666674</v>
      </c>
      <c r="G136" s="2">
        <f t="shared" si="7"/>
        <v>12863.340277777796</v>
      </c>
    </row>
    <row r="137" spans="1:7" x14ac:dyDescent="0.2">
      <c r="A137" s="1">
        <v>40848</v>
      </c>
      <c r="B137" s="2">
        <v>1407</v>
      </c>
      <c r="C137" s="2" t="s">
        <v>3</v>
      </c>
      <c r="D137" s="2">
        <f t="shared" si="4"/>
        <v>1373.9166666666667</v>
      </c>
      <c r="E137" s="2">
        <f t="shared" si="5"/>
        <v>1368.5833333333333</v>
      </c>
      <c r="F137" s="2">
        <f t="shared" si="6"/>
        <v>38.416666666666742</v>
      </c>
      <c r="G137" s="2">
        <f t="shared" si="7"/>
        <v>1475.8402777777835</v>
      </c>
    </row>
    <row r="138" spans="1:7" x14ac:dyDescent="0.2">
      <c r="A138" s="1">
        <v>40878</v>
      </c>
      <c r="B138" s="2">
        <v>1523</v>
      </c>
      <c r="C138" s="2" t="s">
        <v>3</v>
      </c>
      <c r="D138" s="2">
        <f t="shared" si="4"/>
        <v>1383.75</v>
      </c>
      <c r="E138" s="2">
        <f t="shared" si="5"/>
        <v>1373.9166666666667</v>
      </c>
      <c r="F138" s="2">
        <f t="shared" si="6"/>
        <v>149.08333333333326</v>
      </c>
      <c r="G138" s="2">
        <f t="shared" si="7"/>
        <v>22225.840277777756</v>
      </c>
    </row>
    <row r="139" spans="1:7" x14ac:dyDescent="0.2">
      <c r="A139" s="1">
        <v>40909</v>
      </c>
      <c r="B139" s="2">
        <v>1403</v>
      </c>
      <c r="C139" s="2" t="s">
        <v>3</v>
      </c>
      <c r="D139" s="2">
        <f t="shared" si="4"/>
        <v>1386.3333333333333</v>
      </c>
      <c r="E139" s="2">
        <f t="shared" si="5"/>
        <v>1383.75</v>
      </c>
      <c r="F139" s="2">
        <f t="shared" si="6"/>
        <v>19.25</v>
      </c>
      <c r="G139" s="2">
        <f t="shared" si="7"/>
        <v>370.5625</v>
      </c>
    </row>
    <row r="140" spans="1:7" x14ac:dyDescent="0.2">
      <c r="A140" s="1">
        <v>40940</v>
      </c>
      <c r="B140" s="2">
        <v>1477</v>
      </c>
      <c r="C140" s="2" t="s">
        <v>3</v>
      </c>
      <c r="D140" s="2">
        <f t="shared" si="4"/>
        <v>1390.5833333333333</v>
      </c>
      <c r="E140" s="2">
        <f t="shared" si="5"/>
        <v>1386.3333333333333</v>
      </c>
      <c r="F140" s="2">
        <f t="shared" si="6"/>
        <v>90.666666666666742</v>
      </c>
      <c r="G140" s="2">
        <f t="shared" si="7"/>
        <v>8220.444444444458</v>
      </c>
    </row>
    <row r="141" spans="1:7" x14ac:dyDescent="0.2">
      <c r="A141" s="1">
        <v>40969</v>
      </c>
      <c r="B141" s="2">
        <v>1572</v>
      </c>
      <c r="C141" s="2" t="s">
        <v>3</v>
      </c>
      <c r="D141" s="2">
        <f t="shared" si="4"/>
        <v>1402.3333333333333</v>
      </c>
      <c r="E141" s="2">
        <f t="shared" si="5"/>
        <v>1390.5833333333333</v>
      </c>
      <c r="F141" s="2">
        <f t="shared" si="6"/>
        <v>181.41666666666674</v>
      </c>
      <c r="G141" s="2">
        <f t="shared" si="7"/>
        <v>32912.006944444474</v>
      </c>
    </row>
    <row r="142" spans="1:7" x14ac:dyDescent="0.2">
      <c r="A142" s="1">
        <v>41000</v>
      </c>
      <c r="B142" s="2">
        <v>1434</v>
      </c>
      <c r="C142" s="2" t="s">
        <v>3</v>
      </c>
      <c r="D142" s="2">
        <f t="shared" ref="D142:D205" si="8">AVERAGE(B131:B142)</f>
        <v>1413.75</v>
      </c>
      <c r="E142" s="2">
        <f t="shared" si="5"/>
        <v>1402.3333333333333</v>
      </c>
      <c r="F142" s="2">
        <f t="shared" si="6"/>
        <v>31.666666666666742</v>
      </c>
      <c r="G142" s="2">
        <f t="shared" si="7"/>
        <v>1002.7777777777826</v>
      </c>
    </row>
    <row r="143" spans="1:7" x14ac:dyDescent="0.2">
      <c r="A143" s="1">
        <v>41030</v>
      </c>
      <c r="B143" s="2">
        <v>1508</v>
      </c>
      <c r="C143" s="2" t="s">
        <v>3</v>
      </c>
      <c r="D143" s="2">
        <f t="shared" si="8"/>
        <v>1427</v>
      </c>
      <c r="E143" s="2">
        <f t="shared" ref="E143:E206" si="9">D142</f>
        <v>1413.75</v>
      </c>
      <c r="F143" s="2">
        <f t="shared" ref="F143:F206" si="10">B143-E143</f>
        <v>94.25</v>
      </c>
      <c r="G143" s="2">
        <f t="shared" ref="G143:G206" si="11">F143^2</f>
        <v>8883.0625</v>
      </c>
    </row>
    <row r="144" spans="1:7" x14ac:dyDescent="0.2">
      <c r="A144" s="1">
        <v>41061</v>
      </c>
      <c r="B144" s="2">
        <v>1428</v>
      </c>
      <c r="C144" s="2" t="s">
        <v>3</v>
      </c>
      <c r="D144" s="2">
        <f t="shared" si="8"/>
        <v>1433.75</v>
      </c>
      <c r="E144" s="2">
        <f t="shared" si="9"/>
        <v>1427</v>
      </c>
      <c r="F144" s="2">
        <f t="shared" si="10"/>
        <v>1</v>
      </c>
      <c r="G144" s="2">
        <f t="shared" si="11"/>
        <v>1</v>
      </c>
    </row>
    <row r="145" spans="1:7" x14ac:dyDescent="0.2">
      <c r="A145" s="1">
        <v>41091</v>
      </c>
      <c r="B145" s="2">
        <v>1421</v>
      </c>
      <c r="C145" s="2" t="s">
        <v>3</v>
      </c>
      <c r="D145" s="2">
        <f t="shared" si="8"/>
        <v>1438.25</v>
      </c>
      <c r="E145" s="2">
        <f t="shared" si="9"/>
        <v>1433.75</v>
      </c>
      <c r="F145" s="2">
        <f t="shared" si="10"/>
        <v>-12.75</v>
      </c>
      <c r="G145" s="2">
        <f t="shared" si="11"/>
        <v>162.5625</v>
      </c>
    </row>
    <row r="146" spans="1:7" x14ac:dyDescent="0.2">
      <c r="A146" s="1">
        <v>41122</v>
      </c>
      <c r="B146" s="2">
        <v>1444</v>
      </c>
      <c r="C146" s="2" t="s">
        <v>3</v>
      </c>
      <c r="D146" s="2">
        <f t="shared" si="8"/>
        <v>1447.9166666666667</v>
      </c>
      <c r="E146" s="2">
        <f t="shared" si="9"/>
        <v>1438.25</v>
      </c>
      <c r="F146" s="2">
        <f t="shared" si="10"/>
        <v>5.75</v>
      </c>
      <c r="G146" s="2">
        <f t="shared" si="11"/>
        <v>33.0625</v>
      </c>
    </row>
    <row r="147" spans="1:7" x14ac:dyDescent="0.2">
      <c r="A147" s="1">
        <v>41153</v>
      </c>
      <c r="B147" s="2">
        <v>1412</v>
      </c>
      <c r="C147" s="2" t="s">
        <v>3</v>
      </c>
      <c r="D147" s="2">
        <f t="shared" si="8"/>
        <v>1458.9166666666667</v>
      </c>
      <c r="E147" s="2">
        <f t="shared" si="9"/>
        <v>1447.9166666666667</v>
      </c>
      <c r="F147" s="2">
        <f t="shared" si="10"/>
        <v>-35.916666666666742</v>
      </c>
      <c r="G147" s="2">
        <f t="shared" si="11"/>
        <v>1290.0069444444498</v>
      </c>
    </row>
    <row r="148" spans="1:7" x14ac:dyDescent="0.2">
      <c r="A148" s="1">
        <v>41183</v>
      </c>
      <c r="B148" s="2">
        <v>1501</v>
      </c>
      <c r="C148" s="2" t="s">
        <v>3</v>
      </c>
      <c r="D148" s="2">
        <f t="shared" si="8"/>
        <v>1460.8333333333333</v>
      </c>
      <c r="E148" s="2">
        <f t="shared" si="9"/>
        <v>1458.9166666666667</v>
      </c>
      <c r="F148" s="2">
        <f t="shared" si="10"/>
        <v>42.083333333333258</v>
      </c>
      <c r="G148" s="2">
        <f t="shared" si="11"/>
        <v>1771.006944444438</v>
      </c>
    </row>
    <row r="149" spans="1:7" x14ac:dyDescent="0.2">
      <c r="A149" s="1">
        <v>41214</v>
      </c>
      <c r="B149" s="2">
        <v>1450</v>
      </c>
      <c r="C149" s="2" t="s">
        <v>3</v>
      </c>
      <c r="D149" s="2">
        <f t="shared" si="8"/>
        <v>1464.4166666666667</v>
      </c>
      <c r="E149" s="2">
        <f t="shared" si="9"/>
        <v>1460.8333333333333</v>
      </c>
      <c r="F149" s="2">
        <f t="shared" si="10"/>
        <v>-10.833333333333258</v>
      </c>
      <c r="G149" s="2">
        <f t="shared" si="11"/>
        <v>117.36111111110947</v>
      </c>
    </row>
    <row r="150" spans="1:7" x14ac:dyDescent="0.2">
      <c r="A150" s="1">
        <v>41244</v>
      </c>
      <c r="B150" s="2">
        <v>1498</v>
      </c>
      <c r="C150" s="2" t="s">
        <v>3</v>
      </c>
      <c r="D150" s="2">
        <f t="shared" si="8"/>
        <v>1462.3333333333333</v>
      </c>
      <c r="E150" s="2">
        <f t="shared" si="9"/>
        <v>1464.4166666666667</v>
      </c>
      <c r="F150" s="2">
        <f t="shared" si="10"/>
        <v>33.583333333333258</v>
      </c>
      <c r="G150" s="2">
        <f t="shared" si="11"/>
        <v>1127.8402777777726</v>
      </c>
    </row>
    <row r="151" spans="1:7" x14ac:dyDescent="0.2">
      <c r="A151" s="1">
        <v>41275</v>
      </c>
      <c r="B151" s="2">
        <v>1451</v>
      </c>
      <c r="C151" s="2" t="s">
        <v>3</v>
      </c>
      <c r="D151" s="2">
        <f t="shared" si="8"/>
        <v>1466.3333333333333</v>
      </c>
      <c r="E151" s="2">
        <f t="shared" si="9"/>
        <v>1462.3333333333333</v>
      </c>
      <c r="F151" s="2">
        <f t="shared" si="10"/>
        <v>-11.333333333333258</v>
      </c>
      <c r="G151" s="2">
        <f t="shared" si="11"/>
        <v>128.44444444444272</v>
      </c>
    </row>
    <row r="152" spans="1:7" x14ac:dyDescent="0.2">
      <c r="A152" s="1">
        <v>41306</v>
      </c>
      <c r="B152" s="2">
        <v>1530</v>
      </c>
      <c r="C152" s="2" t="s">
        <v>3</v>
      </c>
      <c r="D152" s="2">
        <f t="shared" si="8"/>
        <v>1470.75</v>
      </c>
      <c r="E152" s="2">
        <f t="shared" si="9"/>
        <v>1466.3333333333333</v>
      </c>
      <c r="F152" s="2">
        <f t="shared" si="10"/>
        <v>63.666666666666742</v>
      </c>
      <c r="G152" s="2">
        <f t="shared" si="11"/>
        <v>4053.4444444444539</v>
      </c>
    </row>
    <row r="153" spans="1:7" x14ac:dyDescent="0.2">
      <c r="A153" s="1">
        <v>41334</v>
      </c>
      <c r="B153" s="2">
        <v>1498</v>
      </c>
      <c r="C153" s="2" t="s">
        <v>3</v>
      </c>
      <c r="D153" s="2">
        <f t="shared" si="8"/>
        <v>1464.5833333333333</v>
      </c>
      <c r="E153" s="2">
        <f t="shared" si="9"/>
        <v>1470.75</v>
      </c>
      <c r="F153" s="2">
        <f t="shared" si="10"/>
        <v>27.25</v>
      </c>
      <c r="G153" s="2">
        <f t="shared" si="11"/>
        <v>742.5625</v>
      </c>
    </row>
    <row r="154" spans="1:7" x14ac:dyDescent="0.2">
      <c r="A154" s="1">
        <v>41365</v>
      </c>
      <c r="B154" s="2">
        <v>1458</v>
      </c>
      <c r="C154" s="2" t="s">
        <v>3</v>
      </c>
      <c r="D154" s="2">
        <f t="shared" si="8"/>
        <v>1466.5833333333333</v>
      </c>
      <c r="E154" s="2">
        <f t="shared" si="9"/>
        <v>1464.5833333333333</v>
      </c>
      <c r="F154" s="2">
        <f t="shared" si="10"/>
        <v>-6.5833333333332575</v>
      </c>
      <c r="G154" s="2">
        <f t="shared" si="11"/>
        <v>43.340277777776777</v>
      </c>
    </row>
    <row r="155" spans="1:7" x14ac:dyDescent="0.2">
      <c r="A155" s="1">
        <v>41395</v>
      </c>
      <c r="B155" s="2">
        <v>1520</v>
      </c>
      <c r="C155" s="2" t="s">
        <v>3</v>
      </c>
      <c r="D155" s="2">
        <f t="shared" si="8"/>
        <v>1467.5833333333333</v>
      </c>
      <c r="E155" s="2">
        <f t="shared" si="9"/>
        <v>1466.5833333333333</v>
      </c>
      <c r="F155" s="2">
        <f t="shared" si="10"/>
        <v>53.416666666666742</v>
      </c>
      <c r="G155" s="2">
        <f t="shared" si="11"/>
        <v>2853.340277777786</v>
      </c>
    </row>
    <row r="156" spans="1:7" x14ac:dyDescent="0.2">
      <c r="A156" s="1">
        <v>41426</v>
      </c>
      <c r="B156" s="2">
        <v>1402</v>
      </c>
      <c r="C156" s="2" t="s">
        <v>3</v>
      </c>
      <c r="D156" s="2">
        <f t="shared" si="8"/>
        <v>1465.4166666666667</v>
      </c>
      <c r="E156" s="2">
        <f t="shared" si="9"/>
        <v>1467.5833333333333</v>
      </c>
      <c r="F156" s="2">
        <f t="shared" si="10"/>
        <v>-65.583333333333258</v>
      </c>
      <c r="G156" s="2">
        <f t="shared" si="11"/>
        <v>4301.1736111111013</v>
      </c>
    </row>
    <row r="157" spans="1:7" x14ac:dyDescent="0.2">
      <c r="A157" s="1">
        <v>41456</v>
      </c>
      <c r="B157" s="2">
        <v>1441</v>
      </c>
      <c r="C157" s="2" t="s">
        <v>3</v>
      </c>
      <c r="D157" s="2">
        <f t="shared" si="8"/>
        <v>1467.0833333333333</v>
      </c>
      <c r="E157" s="2">
        <f t="shared" si="9"/>
        <v>1465.4166666666667</v>
      </c>
      <c r="F157" s="2">
        <f t="shared" si="10"/>
        <v>-24.416666666666742</v>
      </c>
      <c r="G157" s="2">
        <f t="shared" si="11"/>
        <v>596.17361111111484</v>
      </c>
    </row>
    <row r="158" spans="1:7" x14ac:dyDescent="0.2">
      <c r="A158" s="1">
        <v>41487</v>
      </c>
      <c r="B158" s="2">
        <v>1381</v>
      </c>
      <c r="C158" s="2" t="s">
        <v>3</v>
      </c>
      <c r="D158" s="2">
        <f t="shared" si="8"/>
        <v>1461.8333333333333</v>
      </c>
      <c r="E158" s="2">
        <f t="shared" si="9"/>
        <v>1467.0833333333333</v>
      </c>
      <c r="F158" s="2">
        <f t="shared" si="10"/>
        <v>-86.083333333333258</v>
      </c>
      <c r="G158" s="2">
        <f t="shared" si="11"/>
        <v>7410.3402777777646</v>
      </c>
    </row>
    <row r="159" spans="1:7" x14ac:dyDescent="0.2">
      <c r="A159" s="1">
        <v>41518</v>
      </c>
      <c r="B159" s="2">
        <v>1356</v>
      </c>
      <c r="C159" s="2" t="s">
        <v>3</v>
      </c>
      <c r="D159" s="2">
        <f t="shared" si="8"/>
        <v>1457.1666666666667</v>
      </c>
      <c r="E159" s="2">
        <f t="shared" si="9"/>
        <v>1461.8333333333333</v>
      </c>
      <c r="F159" s="2">
        <f t="shared" si="10"/>
        <v>-105.83333333333326</v>
      </c>
      <c r="G159" s="2">
        <f t="shared" si="11"/>
        <v>11200.694444444429</v>
      </c>
    </row>
    <row r="160" spans="1:7" x14ac:dyDescent="0.2">
      <c r="A160" s="1">
        <v>41548</v>
      </c>
      <c r="B160" s="2">
        <v>1488</v>
      </c>
      <c r="C160" s="2" t="s">
        <v>3</v>
      </c>
      <c r="D160" s="2">
        <f t="shared" si="8"/>
        <v>1456.0833333333333</v>
      </c>
      <c r="E160" s="2">
        <f t="shared" si="9"/>
        <v>1457.1666666666667</v>
      </c>
      <c r="F160" s="2">
        <f t="shared" si="10"/>
        <v>30.833333333333258</v>
      </c>
      <c r="G160" s="2">
        <f t="shared" si="11"/>
        <v>950.6944444444398</v>
      </c>
    </row>
    <row r="161" spans="1:7" x14ac:dyDescent="0.2">
      <c r="A161" s="1">
        <v>41579</v>
      </c>
      <c r="B161" s="2">
        <v>1522</v>
      </c>
      <c r="C161" s="2" t="s">
        <v>3</v>
      </c>
      <c r="D161" s="2">
        <f t="shared" si="8"/>
        <v>1462.0833333333333</v>
      </c>
      <c r="E161" s="2">
        <f t="shared" si="9"/>
        <v>1456.0833333333333</v>
      </c>
      <c r="F161" s="2">
        <f t="shared" si="10"/>
        <v>65.916666666666742</v>
      </c>
      <c r="G161" s="2">
        <f t="shared" si="11"/>
        <v>4345.0069444444543</v>
      </c>
    </row>
    <row r="162" spans="1:7" x14ac:dyDescent="0.2">
      <c r="A162" s="1">
        <v>41609</v>
      </c>
      <c r="B162" s="2">
        <v>1501</v>
      </c>
      <c r="C162" s="2" t="s">
        <v>3</v>
      </c>
      <c r="D162" s="2">
        <f t="shared" si="8"/>
        <v>1462.3333333333333</v>
      </c>
      <c r="E162" s="2">
        <f t="shared" si="9"/>
        <v>1462.0833333333333</v>
      </c>
      <c r="F162" s="2">
        <f t="shared" si="10"/>
        <v>38.916666666666742</v>
      </c>
      <c r="G162" s="2">
        <f t="shared" si="11"/>
        <v>1514.5069444444503</v>
      </c>
    </row>
    <row r="163" spans="1:7" x14ac:dyDescent="0.2">
      <c r="A163" s="1">
        <v>41640</v>
      </c>
      <c r="B163" s="2">
        <v>1475</v>
      </c>
      <c r="C163" s="2" t="s">
        <v>3</v>
      </c>
      <c r="D163" s="2">
        <f t="shared" si="8"/>
        <v>1464.3333333333333</v>
      </c>
      <c r="E163" s="2">
        <f t="shared" si="9"/>
        <v>1462.3333333333333</v>
      </c>
      <c r="F163" s="2">
        <f t="shared" si="10"/>
        <v>12.666666666666742</v>
      </c>
      <c r="G163" s="2">
        <f t="shared" si="11"/>
        <v>160.44444444444636</v>
      </c>
    </row>
    <row r="164" spans="1:7" x14ac:dyDescent="0.2">
      <c r="A164" s="1">
        <v>41671</v>
      </c>
      <c r="B164" s="2">
        <v>1576</v>
      </c>
      <c r="C164" s="2" t="s">
        <v>3</v>
      </c>
      <c r="D164" s="2">
        <f t="shared" si="8"/>
        <v>1468.1666666666667</v>
      </c>
      <c r="E164" s="2">
        <f t="shared" si="9"/>
        <v>1464.3333333333333</v>
      </c>
      <c r="F164" s="2">
        <f t="shared" si="10"/>
        <v>111.66666666666674</v>
      </c>
      <c r="G164" s="2">
        <f t="shared" si="11"/>
        <v>12469.444444444462</v>
      </c>
    </row>
    <row r="165" spans="1:7" x14ac:dyDescent="0.2">
      <c r="A165" s="1">
        <v>41699</v>
      </c>
      <c r="B165" s="2">
        <v>1571</v>
      </c>
      <c r="C165" s="2" t="s">
        <v>3</v>
      </c>
      <c r="D165" s="2">
        <f t="shared" si="8"/>
        <v>1474.25</v>
      </c>
      <c r="E165" s="2">
        <f t="shared" si="9"/>
        <v>1468.1666666666667</v>
      </c>
      <c r="F165" s="2">
        <f t="shared" si="10"/>
        <v>102.83333333333326</v>
      </c>
      <c r="G165" s="2">
        <f t="shared" si="11"/>
        <v>10574.694444444429</v>
      </c>
    </row>
    <row r="166" spans="1:7" x14ac:dyDescent="0.2">
      <c r="A166" s="1">
        <v>41730</v>
      </c>
      <c r="B166" s="2">
        <v>1568</v>
      </c>
      <c r="C166" s="2" t="s">
        <v>3</v>
      </c>
      <c r="D166" s="2">
        <f t="shared" si="8"/>
        <v>1483.4166666666667</v>
      </c>
      <c r="E166" s="2">
        <f t="shared" si="9"/>
        <v>1474.25</v>
      </c>
      <c r="F166" s="2">
        <f t="shared" si="10"/>
        <v>93.75</v>
      </c>
      <c r="G166" s="2">
        <f t="shared" si="11"/>
        <v>8789.0625</v>
      </c>
    </row>
    <row r="167" spans="1:7" x14ac:dyDescent="0.2">
      <c r="A167" s="1">
        <v>41760</v>
      </c>
      <c r="B167" s="2">
        <v>1564</v>
      </c>
      <c r="C167" s="2" t="s">
        <v>3</v>
      </c>
      <c r="D167" s="2">
        <f t="shared" si="8"/>
        <v>1487.0833333333333</v>
      </c>
      <c r="E167" s="2">
        <f t="shared" si="9"/>
        <v>1483.4166666666667</v>
      </c>
      <c r="F167" s="2">
        <f t="shared" si="10"/>
        <v>80.583333333333258</v>
      </c>
      <c r="G167" s="2">
        <f t="shared" si="11"/>
        <v>6493.6736111110986</v>
      </c>
    </row>
    <row r="168" spans="1:7" x14ac:dyDescent="0.2">
      <c r="A168" s="1">
        <v>41791</v>
      </c>
      <c r="B168" s="2">
        <v>1482</v>
      </c>
      <c r="C168" s="2" t="s">
        <v>3</v>
      </c>
      <c r="D168" s="2">
        <f t="shared" si="8"/>
        <v>1493.75</v>
      </c>
      <c r="E168" s="2">
        <f t="shared" si="9"/>
        <v>1487.0833333333333</v>
      </c>
      <c r="F168" s="2">
        <f t="shared" si="10"/>
        <v>-5.0833333333332575</v>
      </c>
      <c r="G168" s="2">
        <f t="shared" si="11"/>
        <v>25.840277777777008</v>
      </c>
    </row>
    <row r="169" spans="1:7" x14ac:dyDescent="0.2">
      <c r="A169" s="1">
        <v>41821</v>
      </c>
      <c r="B169" s="2">
        <v>1569</v>
      </c>
      <c r="C169" s="2" t="s">
        <v>3</v>
      </c>
      <c r="D169" s="2">
        <f t="shared" si="8"/>
        <v>1504.4166666666667</v>
      </c>
      <c r="E169" s="2">
        <f t="shared" si="9"/>
        <v>1493.75</v>
      </c>
      <c r="F169" s="2">
        <f t="shared" si="10"/>
        <v>75.25</v>
      </c>
      <c r="G169" s="2">
        <f t="shared" si="11"/>
        <v>5662.5625</v>
      </c>
    </row>
    <row r="170" spans="1:7" x14ac:dyDescent="0.2">
      <c r="A170" s="1">
        <v>41852</v>
      </c>
      <c r="B170" s="2">
        <v>1470</v>
      </c>
      <c r="C170" s="2" t="s">
        <v>3</v>
      </c>
      <c r="D170" s="2">
        <f t="shared" si="8"/>
        <v>1511.8333333333333</v>
      </c>
      <c r="E170" s="2">
        <f t="shared" si="9"/>
        <v>1504.4166666666667</v>
      </c>
      <c r="F170" s="2">
        <f t="shared" si="10"/>
        <v>-34.416666666666742</v>
      </c>
      <c r="G170" s="2">
        <f t="shared" si="11"/>
        <v>1184.5069444444496</v>
      </c>
    </row>
    <row r="171" spans="1:7" x14ac:dyDescent="0.2">
      <c r="A171" s="1">
        <v>41883</v>
      </c>
      <c r="B171" s="2">
        <v>1455</v>
      </c>
      <c r="C171" s="2" t="s">
        <v>3</v>
      </c>
      <c r="D171" s="2">
        <f t="shared" si="8"/>
        <v>1520.0833333333333</v>
      </c>
      <c r="E171" s="2">
        <f t="shared" si="9"/>
        <v>1511.8333333333333</v>
      </c>
      <c r="F171" s="2">
        <f t="shared" si="10"/>
        <v>-56.833333333333258</v>
      </c>
      <c r="G171" s="2">
        <f t="shared" si="11"/>
        <v>3230.0277777777692</v>
      </c>
    </row>
    <row r="172" spans="1:7" x14ac:dyDescent="0.2">
      <c r="A172" s="1">
        <v>41913</v>
      </c>
      <c r="B172" s="2">
        <v>1664</v>
      </c>
      <c r="C172" s="2" t="s">
        <v>3</v>
      </c>
      <c r="D172" s="2">
        <f t="shared" si="8"/>
        <v>1534.75</v>
      </c>
      <c r="E172" s="2">
        <f t="shared" si="9"/>
        <v>1520.0833333333333</v>
      </c>
      <c r="F172" s="2">
        <f t="shared" si="10"/>
        <v>143.91666666666674</v>
      </c>
      <c r="G172" s="2">
        <f t="shared" si="11"/>
        <v>20712.006944444467</v>
      </c>
    </row>
    <row r="173" spans="1:7" x14ac:dyDescent="0.2">
      <c r="A173" s="1">
        <v>41944</v>
      </c>
      <c r="B173" s="2">
        <v>1589</v>
      </c>
      <c r="C173" s="2" t="s">
        <v>3</v>
      </c>
      <c r="D173" s="2">
        <f t="shared" si="8"/>
        <v>1540.3333333333333</v>
      </c>
      <c r="E173" s="2">
        <f t="shared" si="9"/>
        <v>1534.75</v>
      </c>
      <c r="F173" s="2">
        <f t="shared" si="10"/>
        <v>54.25</v>
      </c>
      <c r="G173" s="2">
        <f t="shared" si="11"/>
        <v>2943.0625</v>
      </c>
    </row>
    <row r="174" spans="1:7" x14ac:dyDescent="0.2">
      <c r="A174" s="1">
        <v>41974</v>
      </c>
      <c r="B174" s="2">
        <v>1653</v>
      </c>
      <c r="C174" s="2" t="s">
        <v>3</v>
      </c>
      <c r="D174" s="2">
        <f t="shared" si="8"/>
        <v>1553</v>
      </c>
      <c r="E174" s="2">
        <f t="shared" si="9"/>
        <v>1540.3333333333333</v>
      </c>
      <c r="F174" s="2">
        <f t="shared" si="10"/>
        <v>112.66666666666674</v>
      </c>
      <c r="G174" s="2">
        <f t="shared" si="11"/>
        <v>12693.777777777796</v>
      </c>
    </row>
    <row r="175" spans="1:7" x14ac:dyDescent="0.2">
      <c r="A175" s="1">
        <v>42005</v>
      </c>
      <c r="B175" s="2">
        <v>1639</v>
      </c>
      <c r="C175" s="2" t="s">
        <v>3</v>
      </c>
      <c r="D175" s="2">
        <f t="shared" si="8"/>
        <v>1566.6666666666667</v>
      </c>
      <c r="E175" s="2">
        <f t="shared" si="9"/>
        <v>1553</v>
      </c>
      <c r="F175" s="2">
        <f t="shared" si="10"/>
        <v>86</v>
      </c>
      <c r="G175" s="2">
        <f t="shared" si="11"/>
        <v>7396</v>
      </c>
    </row>
    <row r="176" spans="1:7" x14ac:dyDescent="0.2">
      <c r="A176" s="1">
        <v>42036</v>
      </c>
      <c r="B176" s="2">
        <v>1695</v>
      </c>
      <c r="C176" s="2" t="s">
        <v>3</v>
      </c>
      <c r="D176" s="2">
        <f t="shared" si="8"/>
        <v>1576.5833333333333</v>
      </c>
      <c r="E176" s="2">
        <f t="shared" si="9"/>
        <v>1566.6666666666667</v>
      </c>
      <c r="F176" s="2">
        <f t="shared" si="10"/>
        <v>128.33333333333326</v>
      </c>
      <c r="G176" s="2">
        <f t="shared" si="11"/>
        <v>16469.444444444423</v>
      </c>
    </row>
    <row r="177" spans="1:7" x14ac:dyDescent="0.2">
      <c r="A177" s="1">
        <v>42064</v>
      </c>
      <c r="B177" s="2">
        <v>1694</v>
      </c>
      <c r="C177" s="2" t="s">
        <v>3</v>
      </c>
      <c r="D177" s="2">
        <f t="shared" si="8"/>
        <v>1586.8333333333333</v>
      </c>
      <c r="E177" s="2">
        <f t="shared" si="9"/>
        <v>1576.5833333333333</v>
      </c>
      <c r="F177" s="2">
        <f t="shared" si="10"/>
        <v>117.41666666666674</v>
      </c>
      <c r="G177" s="2">
        <f t="shared" si="11"/>
        <v>13786.67361111113</v>
      </c>
    </row>
    <row r="178" spans="1:7" x14ac:dyDescent="0.2">
      <c r="A178" s="1">
        <v>42095</v>
      </c>
      <c r="B178" s="2">
        <v>1631</v>
      </c>
      <c r="C178" s="2" t="s">
        <v>3</v>
      </c>
      <c r="D178" s="2">
        <f t="shared" si="8"/>
        <v>1592.0833333333333</v>
      </c>
      <c r="E178" s="2">
        <f t="shared" si="9"/>
        <v>1586.8333333333333</v>
      </c>
      <c r="F178" s="2">
        <f t="shared" si="10"/>
        <v>44.166666666666742</v>
      </c>
      <c r="G178" s="2">
        <f t="shared" si="11"/>
        <v>1950.6944444444512</v>
      </c>
    </row>
    <row r="179" spans="1:7" x14ac:dyDescent="0.2">
      <c r="A179" s="1">
        <v>42125</v>
      </c>
      <c r="B179" s="2">
        <v>1640</v>
      </c>
      <c r="C179" s="2" t="s">
        <v>3</v>
      </c>
      <c r="D179" s="2">
        <f t="shared" si="8"/>
        <v>1598.4166666666667</v>
      </c>
      <c r="E179" s="2">
        <f t="shared" si="9"/>
        <v>1592.0833333333333</v>
      </c>
      <c r="F179" s="2">
        <f t="shared" si="10"/>
        <v>47.916666666666742</v>
      </c>
      <c r="G179" s="2">
        <f t="shared" si="11"/>
        <v>2296.0069444444516</v>
      </c>
    </row>
    <row r="180" spans="1:7" x14ac:dyDescent="0.2">
      <c r="A180" s="1">
        <v>42156</v>
      </c>
      <c r="B180" s="2">
        <v>1556</v>
      </c>
      <c r="C180" s="2" t="s">
        <v>3</v>
      </c>
      <c r="D180" s="2">
        <f t="shared" si="8"/>
        <v>1604.5833333333333</v>
      </c>
      <c r="E180" s="2">
        <f t="shared" si="9"/>
        <v>1598.4166666666667</v>
      </c>
      <c r="F180" s="2">
        <f t="shared" si="10"/>
        <v>-42.416666666666742</v>
      </c>
      <c r="G180" s="2">
        <f t="shared" si="11"/>
        <v>1799.1736111111175</v>
      </c>
    </row>
    <row r="181" spans="1:7" x14ac:dyDescent="0.2">
      <c r="A181" s="1">
        <v>42186</v>
      </c>
      <c r="B181" s="2">
        <v>1647</v>
      </c>
      <c r="C181" s="2" t="s">
        <v>3</v>
      </c>
      <c r="D181" s="2">
        <f t="shared" si="8"/>
        <v>1611.0833333333333</v>
      </c>
      <c r="E181" s="2">
        <f t="shared" si="9"/>
        <v>1604.5833333333333</v>
      </c>
      <c r="F181" s="2">
        <f t="shared" si="10"/>
        <v>42.416666666666742</v>
      </c>
      <c r="G181" s="2">
        <f t="shared" si="11"/>
        <v>1799.1736111111175</v>
      </c>
    </row>
    <row r="182" spans="1:7" x14ac:dyDescent="0.2">
      <c r="A182" s="1">
        <v>42217</v>
      </c>
      <c r="B182" s="2">
        <v>1520</v>
      </c>
      <c r="C182" s="2" t="s">
        <v>3</v>
      </c>
      <c r="D182" s="2">
        <f t="shared" si="8"/>
        <v>1615.25</v>
      </c>
      <c r="E182" s="2">
        <f t="shared" si="9"/>
        <v>1611.0833333333333</v>
      </c>
      <c r="F182" s="2">
        <f t="shared" si="10"/>
        <v>-91.083333333333258</v>
      </c>
      <c r="G182" s="2">
        <f t="shared" si="11"/>
        <v>8296.1736111110968</v>
      </c>
    </row>
    <row r="183" spans="1:7" x14ac:dyDescent="0.2">
      <c r="A183" s="1">
        <v>42248</v>
      </c>
      <c r="B183" s="2">
        <v>1475</v>
      </c>
      <c r="C183" s="2" t="s">
        <v>3</v>
      </c>
      <c r="D183" s="2">
        <f t="shared" si="8"/>
        <v>1616.9166666666667</v>
      </c>
      <c r="E183" s="2">
        <f t="shared" si="9"/>
        <v>1615.25</v>
      </c>
      <c r="F183" s="2">
        <f t="shared" si="10"/>
        <v>-140.25</v>
      </c>
      <c r="G183" s="2">
        <f t="shared" si="11"/>
        <v>19670.0625</v>
      </c>
    </row>
    <row r="184" spans="1:7" x14ac:dyDescent="0.2">
      <c r="A184" s="1">
        <v>42278</v>
      </c>
      <c r="B184" s="2">
        <v>1754</v>
      </c>
      <c r="C184" s="2" t="s">
        <v>3</v>
      </c>
      <c r="D184" s="2">
        <f t="shared" si="8"/>
        <v>1624.4166666666667</v>
      </c>
      <c r="E184" s="2">
        <f t="shared" si="9"/>
        <v>1616.9166666666667</v>
      </c>
      <c r="F184" s="2">
        <f t="shared" si="10"/>
        <v>137.08333333333326</v>
      </c>
      <c r="G184" s="2">
        <f t="shared" si="11"/>
        <v>18791.840277777756</v>
      </c>
    </row>
    <row r="185" spans="1:7" x14ac:dyDescent="0.2">
      <c r="A185" s="1">
        <v>42309</v>
      </c>
      <c r="B185" s="2">
        <v>1605</v>
      </c>
      <c r="C185" s="2" t="s">
        <v>3</v>
      </c>
      <c r="D185" s="2">
        <f t="shared" si="8"/>
        <v>1625.75</v>
      </c>
      <c r="E185" s="2">
        <f t="shared" si="9"/>
        <v>1624.4166666666667</v>
      </c>
      <c r="F185" s="2">
        <f t="shared" si="10"/>
        <v>-19.416666666666742</v>
      </c>
      <c r="G185" s="2">
        <f t="shared" si="11"/>
        <v>377.00694444444741</v>
      </c>
    </row>
    <row r="186" spans="1:7" x14ac:dyDescent="0.2">
      <c r="A186" s="1">
        <v>42339</v>
      </c>
      <c r="B186" s="2">
        <v>1701</v>
      </c>
      <c r="C186" s="2" t="s">
        <v>3</v>
      </c>
      <c r="D186" s="2">
        <f t="shared" si="8"/>
        <v>1629.75</v>
      </c>
      <c r="E186" s="2">
        <f t="shared" si="9"/>
        <v>1625.75</v>
      </c>
      <c r="F186" s="2">
        <f t="shared" si="10"/>
        <v>75.25</v>
      </c>
      <c r="G186" s="2">
        <f t="shared" si="11"/>
        <v>5662.5625</v>
      </c>
    </row>
    <row r="187" spans="1:7" x14ac:dyDescent="0.2">
      <c r="A187" s="1">
        <v>42370</v>
      </c>
      <c r="B187" s="2">
        <v>1701</v>
      </c>
      <c r="C187" s="2" t="s">
        <v>3</v>
      </c>
      <c r="D187" s="2">
        <f t="shared" si="8"/>
        <v>1634.9166666666667</v>
      </c>
      <c r="E187" s="2">
        <f t="shared" si="9"/>
        <v>1629.75</v>
      </c>
      <c r="F187" s="2">
        <f t="shared" si="10"/>
        <v>71.25</v>
      </c>
      <c r="G187" s="2">
        <f t="shared" si="11"/>
        <v>5076.5625</v>
      </c>
    </row>
    <row r="188" spans="1:7" x14ac:dyDescent="0.2">
      <c r="A188" s="1">
        <v>42401</v>
      </c>
      <c r="B188" s="2">
        <v>1830</v>
      </c>
      <c r="C188" s="2" t="s">
        <v>3</v>
      </c>
      <c r="D188" s="2">
        <f t="shared" si="8"/>
        <v>1646.1666666666667</v>
      </c>
      <c r="E188" s="2">
        <f t="shared" si="9"/>
        <v>1634.9166666666667</v>
      </c>
      <c r="F188" s="2">
        <f t="shared" si="10"/>
        <v>195.08333333333326</v>
      </c>
      <c r="G188" s="2">
        <f t="shared" si="11"/>
        <v>38057.506944444416</v>
      </c>
    </row>
    <row r="189" spans="1:7" x14ac:dyDescent="0.2">
      <c r="A189" s="1">
        <v>42430</v>
      </c>
      <c r="B189" s="2">
        <v>1713</v>
      </c>
      <c r="C189" s="2" t="s">
        <v>3</v>
      </c>
      <c r="D189" s="2">
        <f t="shared" si="8"/>
        <v>1647.75</v>
      </c>
      <c r="E189" s="2">
        <f t="shared" si="9"/>
        <v>1646.1666666666667</v>
      </c>
      <c r="F189" s="2">
        <f t="shared" si="10"/>
        <v>66.833333333333258</v>
      </c>
      <c r="G189" s="2">
        <f t="shared" si="11"/>
        <v>4466.6944444444343</v>
      </c>
    </row>
    <row r="190" spans="1:7" x14ac:dyDescent="0.2">
      <c r="A190" s="1">
        <v>42461</v>
      </c>
      <c r="B190" s="2">
        <v>1668</v>
      </c>
      <c r="C190" s="2" t="s">
        <v>3</v>
      </c>
      <c r="D190" s="2">
        <f t="shared" si="8"/>
        <v>1650.8333333333333</v>
      </c>
      <c r="E190" s="2">
        <f t="shared" si="9"/>
        <v>1647.75</v>
      </c>
      <c r="F190" s="2">
        <f t="shared" si="10"/>
        <v>20.25</v>
      </c>
      <c r="G190" s="2">
        <f t="shared" si="11"/>
        <v>410.0625</v>
      </c>
    </row>
    <row r="191" spans="1:7" x14ac:dyDescent="0.2">
      <c r="A191" s="1">
        <v>42491</v>
      </c>
      <c r="B191" s="2">
        <v>1664</v>
      </c>
      <c r="C191" s="2" t="s">
        <v>3</v>
      </c>
      <c r="D191" s="2">
        <f t="shared" si="8"/>
        <v>1652.8333333333333</v>
      </c>
      <c r="E191" s="2">
        <f t="shared" si="9"/>
        <v>1650.8333333333333</v>
      </c>
      <c r="F191" s="2">
        <f t="shared" si="10"/>
        <v>13.166666666666742</v>
      </c>
      <c r="G191" s="2">
        <f t="shared" si="11"/>
        <v>173.3611111111131</v>
      </c>
    </row>
    <row r="192" spans="1:7" x14ac:dyDescent="0.2">
      <c r="A192" s="1">
        <v>42522</v>
      </c>
      <c r="B192" s="2">
        <v>1623</v>
      </c>
      <c r="C192" s="2" t="s">
        <v>3</v>
      </c>
      <c r="D192" s="2">
        <f t="shared" si="8"/>
        <v>1658.4166666666667</v>
      </c>
      <c r="E192" s="2">
        <f t="shared" si="9"/>
        <v>1652.8333333333333</v>
      </c>
      <c r="F192" s="2">
        <f t="shared" si="10"/>
        <v>-29.833333333333258</v>
      </c>
      <c r="G192" s="2">
        <f t="shared" si="11"/>
        <v>890.02777777777328</v>
      </c>
    </row>
    <row r="193" spans="1:7" x14ac:dyDescent="0.2">
      <c r="A193" s="1">
        <v>42552</v>
      </c>
      <c r="B193" s="2">
        <v>1634</v>
      </c>
      <c r="C193" s="2" t="s">
        <v>3</v>
      </c>
      <c r="D193" s="2">
        <f t="shared" si="8"/>
        <v>1657.3333333333333</v>
      </c>
      <c r="E193" s="2">
        <f t="shared" si="9"/>
        <v>1658.4166666666667</v>
      </c>
      <c r="F193" s="2">
        <f t="shared" si="10"/>
        <v>-24.416666666666742</v>
      </c>
      <c r="G193" s="2">
        <f t="shared" si="11"/>
        <v>596.17361111111484</v>
      </c>
    </row>
    <row r="194" spans="1:7" x14ac:dyDescent="0.2">
      <c r="A194" s="1">
        <v>42583</v>
      </c>
      <c r="B194" s="2">
        <v>1498</v>
      </c>
      <c r="C194" s="2" t="s">
        <v>3</v>
      </c>
      <c r="D194" s="2">
        <f t="shared" si="8"/>
        <v>1655.5</v>
      </c>
      <c r="E194" s="2">
        <f t="shared" si="9"/>
        <v>1657.3333333333333</v>
      </c>
      <c r="F194" s="2">
        <f t="shared" si="10"/>
        <v>-159.33333333333326</v>
      </c>
      <c r="G194" s="2">
        <f t="shared" si="11"/>
        <v>25387.111111111088</v>
      </c>
    </row>
    <row r="195" spans="1:7" x14ac:dyDescent="0.2">
      <c r="A195" s="1">
        <v>42614</v>
      </c>
      <c r="B195" s="2">
        <v>1529</v>
      </c>
      <c r="C195" s="2" t="s">
        <v>3</v>
      </c>
      <c r="D195" s="2">
        <f t="shared" si="8"/>
        <v>1660</v>
      </c>
      <c r="E195" s="2">
        <f t="shared" si="9"/>
        <v>1655.5</v>
      </c>
      <c r="F195" s="2">
        <f t="shared" si="10"/>
        <v>-126.5</v>
      </c>
      <c r="G195" s="2">
        <f t="shared" si="11"/>
        <v>16002.25</v>
      </c>
    </row>
    <row r="196" spans="1:7" x14ac:dyDescent="0.2">
      <c r="A196" s="1">
        <v>42644</v>
      </c>
      <c r="B196" s="2">
        <v>1710</v>
      </c>
      <c r="C196" s="2" t="s">
        <v>3</v>
      </c>
      <c r="D196" s="2">
        <f t="shared" si="8"/>
        <v>1656.3333333333333</v>
      </c>
      <c r="E196" s="2">
        <f t="shared" si="9"/>
        <v>1660</v>
      </c>
      <c r="F196" s="2">
        <f t="shared" si="10"/>
        <v>50</v>
      </c>
      <c r="G196" s="2">
        <f t="shared" si="11"/>
        <v>2500</v>
      </c>
    </row>
    <row r="197" spans="1:7" x14ac:dyDescent="0.2">
      <c r="A197" s="1">
        <v>42675</v>
      </c>
      <c r="B197" s="2">
        <v>1657</v>
      </c>
      <c r="C197" s="2" t="s">
        <v>3</v>
      </c>
      <c r="D197" s="2">
        <f t="shared" si="8"/>
        <v>1660.6666666666667</v>
      </c>
      <c r="E197" s="2">
        <f t="shared" si="9"/>
        <v>1656.3333333333333</v>
      </c>
      <c r="F197" s="2">
        <f t="shared" si="10"/>
        <v>0.66666666666674246</v>
      </c>
      <c r="G197" s="2">
        <f t="shared" si="11"/>
        <v>0.44444444444454551</v>
      </c>
    </row>
    <row r="198" spans="1:7" x14ac:dyDescent="0.2">
      <c r="A198" s="1">
        <v>42705</v>
      </c>
      <c r="B198" s="2">
        <v>1743</v>
      </c>
      <c r="C198" s="2" t="s">
        <v>3</v>
      </c>
      <c r="D198" s="2">
        <f t="shared" si="8"/>
        <v>1664.1666666666667</v>
      </c>
      <c r="E198" s="2">
        <f t="shared" si="9"/>
        <v>1660.6666666666667</v>
      </c>
      <c r="F198" s="2">
        <f t="shared" si="10"/>
        <v>82.333333333333258</v>
      </c>
      <c r="G198" s="2">
        <f t="shared" si="11"/>
        <v>6778.7777777777656</v>
      </c>
    </row>
    <row r="199" spans="1:7" x14ac:dyDescent="0.2">
      <c r="A199" s="1">
        <v>42736</v>
      </c>
      <c r="B199" s="2">
        <v>1696</v>
      </c>
      <c r="C199" s="2" t="s">
        <v>3</v>
      </c>
      <c r="D199" s="2">
        <f t="shared" si="8"/>
        <v>1663.75</v>
      </c>
      <c r="E199" s="2">
        <f t="shared" si="9"/>
        <v>1664.1666666666667</v>
      </c>
      <c r="F199" s="2">
        <f t="shared" si="10"/>
        <v>31.833333333333258</v>
      </c>
      <c r="G199" s="2">
        <f t="shared" si="11"/>
        <v>1013.3611111111063</v>
      </c>
    </row>
    <row r="200" spans="1:7" x14ac:dyDescent="0.2">
      <c r="A200" s="1">
        <v>42767</v>
      </c>
      <c r="B200" s="2">
        <v>1885</v>
      </c>
      <c r="C200" s="2" t="s">
        <v>3</v>
      </c>
      <c r="D200" s="2">
        <f t="shared" si="8"/>
        <v>1668.3333333333333</v>
      </c>
      <c r="E200" s="2">
        <f t="shared" si="9"/>
        <v>1663.75</v>
      </c>
      <c r="F200" s="2">
        <f t="shared" si="10"/>
        <v>221.25</v>
      </c>
      <c r="G200" s="2">
        <f t="shared" si="11"/>
        <v>48951.5625</v>
      </c>
    </row>
    <row r="201" spans="1:7" x14ac:dyDescent="0.2">
      <c r="A201" s="1">
        <v>42795</v>
      </c>
      <c r="B201" s="2">
        <v>1840</v>
      </c>
      <c r="C201" s="2" t="s">
        <v>3</v>
      </c>
      <c r="D201" s="2">
        <f t="shared" si="8"/>
        <v>1678.9166666666667</v>
      </c>
      <c r="E201" s="2">
        <f t="shared" si="9"/>
        <v>1668.3333333333333</v>
      </c>
      <c r="F201" s="2">
        <f t="shared" si="10"/>
        <v>171.66666666666674</v>
      </c>
      <c r="G201" s="2">
        <f t="shared" si="11"/>
        <v>29469.444444444471</v>
      </c>
    </row>
    <row r="202" spans="1:7" x14ac:dyDescent="0.2">
      <c r="A202" s="1">
        <v>42826</v>
      </c>
      <c r="B202" s="2">
        <v>1674</v>
      </c>
      <c r="C202" s="2" t="s">
        <v>3</v>
      </c>
      <c r="D202" s="2">
        <f t="shared" si="8"/>
        <v>1679.4166666666667</v>
      </c>
      <c r="E202" s="2">
        <f t="shared" si="9"/>
        <v>1678.9166666666667</v>
      </c>
      <c r="F202" s="2">
        <f t="shared" si="10"/>
        <v>-4.9166666666667425</v>
      </c>
      <c r="G202" s="2">
        <f t="shared" si="11"/>
        <v>24.173611111111857</v>
      </c>
    </row>
    <row r="203" spans="1:7" x14ac:dyDescent="0.2">
      <c r="A203" s="1">
        <v>42856</v>
      </c>
      <c r="B203" s="2">
        <v>1709</v>
      </c>
      <c r="C203" s="2" t="s">
        <v>3</v>
      </c>
      <c r="D203" s="2">
        <f t="shared" si="8"/>
        <v>1683.1666666666667</v>
      </c>
      <c r="E203" s="2">
        <f t="shared" si="9"/>
        <v>1679.4166666666667</v>
      </c>
      <c r="F203" s="2">
        <f t="shared" si="10"/>
        <v>29.583333333333258</v>
      </c>
      <c r="G203" s="2">
        <f t="shared" si="11"/>
        <v>875.17361111110665</v>
      </c>
    </row>
    <row r="204" spans="1:7" x14ac:dyDescent="0.2">
      <c r="A204" s="1">
        <v>42887</v>
      </c>
      <c r="B204" s="2">
        <v>1618</v>
      </c>
      <c r="C204" s="2" t="s">
        <v>3</v>
      </c>
      <c r="D204" s="2">
        <f t="shared" si="8"/>
        <v>1682.75</v>
      </c>
      <c r="E204" s="2">
        <f t="shared" si="9"/>
        <v>1683.1666666666667</v>
      </c>
      <c r="F204" s="2">
        <f t="shared" si="10"/>
        <v>-65.166666666666742</v>
      </c>
      <c r="G204" s="2">
        <f t="shared" si="11"/>
        <v>4246.6944444444543</v>
      </c>
    </row>
    <row r="205" spans="1:7" x14ac:dyDescent="0.2">
      <c r="A205" s="1">
        <v>42917</v>
      </c>
      <c r="B205" s="2">
        <v>1673</v>
      </c>
      <c r="C205" s="2" t="s">
        <v>3</v>
      </c>
      <c r="D205" s="2">
        <f t="shared" si="8"/>
        <v>1686</v>
      </c>
      <c r="E205" s="2">
        <f t="shared" si="9"/>
        <v>1682.75</v>
      </c>
      <c r="F205" s="2">
        <f t="shared" si="10"/>
        <v>-9.75</v>
      </c>
      <c r="G205" s="2">
        <f t="shared" si="11"/>
        <v>95.0625</v>
      </c>
    </row>
    <row r="206" spans="1:7" x14ac:dyDescent="0.2">
      <c r="A206" s="1">
        <v>42948</v>
      </c>
      <c r="B206" s="2">
        <v>1591</v>
      </c>
      <c r="C206" s="2" t="s">
        <v>3</v>
      </c>
      <c r="D206" s="2">
        <f t="shared" ref="D206:D269" si="12">AVERAGE(B195:B206)</f>
        <v>1693.75</v>
      </c>
      <c r="E206" s="2">
        <f t="shared" si="9"/>
        <v>1686</v>
      </c>
      <c r="F206" s="2">
        <f t="shared" si="10"/>
        <v>-95</v>
      </c>
      <c r="G206" s="2">
        <f t="shared" si="11"/>
        <v>9025</v>
      </c>
    </row>
    <row r="207" spans="1:7" x14ac:dyDescent="0.2">
      <c r="A207" s="1">
        <v>42979</v>
      </c>
      <c r="B207" s="2">
        <v>1521</v>
      </c>
      <c r="C207" s="2" t="s">
        <v>3</v>
      </c>
      <c r="D207" s="2">
        <f t="shared" si="12"/>
        <v>1693.0833333333333</v>
      </c>
      <c r="E207" s="2">
        <f t="shared" ref="E207:E270" si="13">D206</f>
        <v>1693.75</v>
      </c>
      <c r="F207" s="2">
        <f t="shared" ref="F207:F270" si="14">B207-E207</f>
        <v>-172.75</v>
      </c>
      <c r="G207" s="2">
        <f t="shared" ref="G207:G270" si="15">F207^2</f>
        <v>29842.5625</v>
      </c>
    </row>
    <row r="208" spans="1:7" x14ac:dyDescent="0.2">
      <c r="A208" s="1">
        <v>43009</v>
      </c>
      <c r="B208" s="2">
        <v>1764</v>
      </c>
      <c r="C208" s="2" t="s">
        <v>3</v>
      </c>
      <c r="D208" s="2">
        <f t="shared" si="12"/>
        <v>1697.5833333333333</v>
      </c>
      <c r="E208" s="2">
        <f t="shared" si="13"/>
        <v>1693.0833333333333</v>
      </c>
      <c r="F208" s="2">
        <f t="shared" si="14"/>
        <v>70.916666666666742</v>
      </c>
      <c r="G208" s="2">
        <f t="shared" si="15"/>
        <v>5029.1736111111222</v>
      </c>
    </row>
    <row r="209" spans="1:7" x14ac:dyDescent="0.2">
      <c r="A209" s="1">
        <v>43040</v>
      </c>
      <c r="B209" s="2">
        <v>1665</v>
      </c>
      <c r="C209" s="2" t="s">
        <v>3</v>
      </c>
      <c r="D209" s="2">
        <f t="shared" si="12"/>
        <v>1698.25</v>
      </c>
      <c r="E209" s="2">
        <f t="shared" si="13"/>
        <v>1697.5833333333333</v>
      </c>
      <c r="F209" s="2">
        <f t="shared" si="14"/>
        <v>-32.583333333333258</v>
      </c>
      <c r="G209" s="2">
        <f t="shared" si="15"/>
        <v>1061.6736111111061</v>
      </c>
    </row>
    <row r="210" spans="1:7" x14ac:dyDescent="0.2">
      <c r="A210" s="1">
        <v>43070</v>
      </c>
      <c r="B210" s="2">
        <v>1750</v>
      </c>
      <c r="C210" s="2" t="s">
        <v>3</v>
      </c>
      <c r="D210" s="2">
        <f t="shared" si="12"/>
        <v>1698.8333333333333</v>
      </c>
      <c r="E210" s="2">
        <f t="shared" si="13"/>
        <v>1698.25</v>
      </c>
      <c r="F210" s="2">
        <f t="shared" si="14"/>
        <v>51.75</v>
      </c>
      <c r="G210" s="2">
        <f t="shared" si="15"/>
        <v>2678.0625</v>
      </c>
    </row>
    <row r="211" spans="1:7" x14ac:dyDescent="0.2">
      <c r="A211" s="1">
        <v>43101</v>
      </c>
      <c r="B211" s="2">
        <v>1728</v>
      </c>
      <c r="C211" s="2" t="s">
        <v>3</v>
      </c>
      <c r="D211" s="2">
        <f t="shared" si="12"/>
        <v>1701.5</v>
      </c>
      <c r="E211" s="2">
        <f t="shared" si="13"/>
        <v>1698.8333333333333</v>
      </c>
      <c r="F211" s="2">
        <f t="shared" si="14"/>
        <v>29.166666666666742</v>
      </c>
      <c r="G211" s="2">
        <f t="shared" si="15"/>
        <v>850.69444444444889</v>
      </c>
    </row>
    <row r="212" spans="1:7" x14ac:dyDescent="0.2">
      <c r="A212" s="1">
        <v>43132</v>
      </c>
      <c r="B212" s="2">
        <v>1783</v>
      </c>
      <c r="C212" s="2" t="s">
        <v>3</v>
      </c>
      <c r="D212" s="2">
        <f t="shared" si="12"/>
        <v>1693</v>
      </c>
      <c r="E212" s="2">
        <f t="shared" si="13"/>
        <v>1701.5</v>
      </c>
      <c r="F212" s="2">
        <f t="shared" si="14"/>
        <v>81.5</v>
      </c>
      <c r="G212" s="2">
        <f t="shared" si="15"/>
        <v>6642.25</v>
      </c>
    </row>
    <row r="213" spans="1:7" x14ac:dyDescent="0.2">
      <c r="A213" s="1">
        <v>43160</v>
      </c>
      <c r="B213" s="2">
        <v>1679</v>
      </c>
      <c r="C213" s="2" t="s">
        <v>3</v>
      </c>
      <c r="D213" s="2">
        <f t="shared" si="12"/>
        <v>1679.5833333333333</v>
      </c>
      <c r="E213" s="2">
        <f t="shared" si="13"/>
        <v>1693</v>
      </c>
      <c r="F213" s="2">
        <f t="shared" si="14"/>
        <v>-14</v>
      </c>
      <c r="G213" s="2">
        <f t="shared" si="15"/>
        <v>196</v>
      </c>
    </row>
    <row r="214" spans="1:7" x14ac:dyDescent="0.2">
      <c r="A214" s="1">
        <v>43191</v>
      </c>
      <c r="B214" s="2">
        <v>1605</v>
      </c>
      <c r="C214" s="2" t="s">
        <v>3</v>
      </c>
      <c r="D214" s="2">
        <f t="shared" si="12"/>
        <v>1673.8333333333333</v>
      </c>
      <c r="E214" s="2">
        <f t="shared" si="13"/>
        <v>1679.5833333333333</v>
      </c>
      <c r="F214" s="2">
        <f t="shared" si="14"/>
        <v>-74.583333333333258</v>
      </c>
      <c r="G214" s="2">
        <f t="shared" si="15"/>
        <v>5562.6736111110995</v>
      </c>
    </row>
    <row r="215" spans="1:7" x14ac:dyDescent="0.2">
      <c r="A215" s="1">
        <v>43221</v>
      </c>
      <c r="B215" s="2">
        <v>1694</v>
      </c>
      <c r="C215" s="2" t="s">
        <v>3</v>
      </c>
      <c r="D215" s="2">
        <f t="shared" si="12"/>
        <v>1672.5833333333333</v>
      </c>
      <c r="E215" s="2">
        <f t="shared" si="13"/>
        <v>1673.8333333333333</v>
      </c>
      <c r="F215" s="2">
        <f t="shared" si="14"/>
        <v>20.166666666666742</v>
      </c>
      <c r="G215" s="2">
        <f t="shared" si="15"/>
        <v>406.69444444444753</v>
      </c>
    </row>
    <row r="216" spans="1:7" x14ac:dyDescent="0.2">
      <c r="A216" s="1">
        <v>43252</v>
      </c>
      <c r="B216" s="2">
        <v>1560</v>
      </c>
      <c r="C216" s="2" t="s">
        <v>3</v>
      </c>
      <c r="D216" s="2">
        <f t="shared" si="12"/>
        <v>1667.75</v>
      </c>
      <c r="E216" s="2">
        <f t="shared" si="13"/>
        <v>1672.5833333333333</v>
      </c>
      <c r="F216" s="2">
        <f t="shared" si="14"/>
        <v>-112.58333333333326</v>
      </c>
      <c r="G216" s="2">
        <f t="shared" si="15"/>
        <v>12675.006944444427</v>
      </c>
    </row>
    <row r="217" spans="1:7" x14ac:dyDescent="0.2">
      <c r="A217" s="1">
        <v>43282</v>
      </c>
      <c r="B217" s="2">
        <v>1629</v>
      </c>
      <c r="C217" s="2" t="s">
        <v>3</v>
      </c>
      <c r="D217" s="2">
        <f t="shared" si="12"/>
        <v>1664.0833333333333</v>
      </c>
      <c r="E217" s="2">
        <f t="shared" si="13"/>
        <v>1667.75</v>
      </c>
      <c r="F217" s="2">
        <f t="shared" si="14"/>
        <v>-38.75</v>
      </c>
      <c r="G217" s="2">
        <f t="shared" si="15"/>
        <v>1501.5625</v>
      </c>
    </row>
    <row r="218" spans="1:7" x14ac:dyDescent="0.2">
      <c r="A218" s="1">
        <v>43313</v>
      </c>
      <c r="B218" s="3">
        <v>1546</v>
      </c>
      <c r="C218" s="3" t="s">
        <v>3</v>
      </c>
      <c r="D218" s="2">
        <f t="shared" si="12"/>
        <v>1660.3333333333333</v>
      </c>
      <c r="E218" s="2">
        <f t="shared" si="13"/>
        <v>1664.0833333333333</v>
      </c>
      <c r="F218" s="2">
        <f t="shared" si="14"/>
        <v>-118.08333333333326</v>
      </c>
      <c r="G218" s="2">
        <f t="shared" si="15"/>
        <v>13943.673611111093</v>
      </c>
    </row>
    <row r="219" spans="1:7" x14ac:dyDescent="0.2">
      <c r="A219" s="1">
        <v>43344</v>
      </c>
      <c r="B219" s="3">
        <v>1574</v>
      </c>
      <c r="C219" s="3" t="s">
        <v>3</v>
      </c>
      <c r="D219" s="2">
        <f t="shared" si="12"/>
        <v>1664.75</v>
      </c>
      <c r="E219" s="2">
        <f t="shared" si="13"/>
        <v>1660.3333333333333</v>
      </c>
      <c r="F219" s="2">
        <f t="shared" si="14"/>
        <v>-86.333333333333258</v>
      </c>
      <c r="G219" s="2">
        <f t="shared" si="15"/>
        <v>7453.4444444444316</v>
      </c>
    </row>
    <row r="220" spans="1:7" x14ac:dyDescent="0.2">
      <c r="A220" s="1">
        <v>43374</v>
      </c>
      <c r="B220" s="3">
        <v>1737</v>
      </c>
      <c r="C220" s="3" t="s">
        <v>3</v>
      </c>
      <c r="D220" s="2">
        <f t="shared" si="12"/>
        <v>1662.5</v>
      </c>
      <c r="E220" s="2">
        <f t="shared" si="13"/>
        <v>1664.75</v>
      </c>
      <c r="F220" s="2">
        <f t="shared" si="14"/>
        <v>72.25</v>
      </c>
      <c r="G220" s="2">
        <f t="shared" si="15"/>
        <v>5220.0625</v>
      </c>
    </row>
    <row r="221" spans="1:7" x14ac:dyDescent="0.2">
      <c r="A221" s="1">
        <v>43405</v>
      </c>
      <c r="B221" s="3">
        <v>1659</v>
      </c>
      <c r="C221" s="3" t="s">
        <v>3</v>
      </c>
      <c r="D221" s="2">
        <f t="shared" si="12"/>
        <v>1662</v>
      </c>
      <c r="E221" s="2">
        <f t="shared" si="13"/>
        <v>1662.5</v>
      </c>
      <c r="F221" s="2">
        <f t="shared" si="14"/>
        <v>-3.5</v>
      </c>
      <c r="G221" s="2">
        <f t="shared" si="15"/>
        <v>12.25</v>
      </c>
    </row>
    <row r="222" spans="1:7" x14ac:dyDescent="0.2">
      <c r="A222" s="1">
        <v>43435</v>
      </c>
      <c r="B222" s="3">
        <v>1691</v>
      </c>
      <c r="C222" s="3" t="s">
        <v>3</v>
      </c>
      <c r="D222" s="2">
        <f t="shared" si="12"/>
        <v>1657.0833333333333</v>
      </c>
      <c r="E222" s="2">
        <f t="shared" si="13"/>
        <v>1662</v>
      </c>
      <c r="F222" s="2">
        <f t="shared" si="14"/>
        <v>29</v>
      </c>
      <c r="G222" s="2">
        <f t="shared" si="15"/>
        <v>841</v>
      </c>
    </row>
    <row r="223" spans="1:7" x14ac:dyDescent="0.2">
      <c r="A223" s="1">
        <v>43466</v>
      </c>
      <c r="B223" s="3">
        <v>1681</v>
      </c>
      <c r="C223" s="3" t="s">
        <v>3</v>
      </c>
      <c r="D223" s="2">
        <f t="shared" si="12"/>
        <v>1653.1666666666667</v>
      </c>
      <c r="E223" s="2">
        <f t="shared" si="13"/>
        <v>1657.0833333333333</v>
      </c>
      <c r="F223" s="2">
        <f t="shared" si="14"/>
        <v>23.916666666666742</v>
      </c>
      <c r="G223" s="2">
        <f t="shared" si="15"/>
        <v>572.0069444444481</v>
      </c>
    </row>
    <row r="224" spans="1:7" x14ac:dyDescent="0.2">
      <c r="A224" s="1">
        <v>43497</v>
      </c>
      <c r="B224" s="3">
        <v>1788</v>
      </c>
      <c r="C224" s="3" t="s">
        <v>3</v>
      </c>
      <c r="D224" s="2">
        <f t="shared" si="12"/>
        <v>1653.5833333333333</v>
      </c>
      <c r="E224" s="2">
        <f t="shared" si="13"/>
        <v>1653.1666666666667</v>
      </c>
      <c r="F224" s="2">
        <f t="shared" si="14"/>
        <v>134.83333333333326</v>
      </c>
      <c r="G224" s="2">
        <f t="shared" si="15"/>
        <v>18180.027777777756</v>
      </c>
    </row>
    <row r="225" spans="1:7" x14ac:dyDescent="0.2">
      <c r="A225" s="1">
        <v>43525</v>
      </c>
      <c r="B225" s="3">
        <v>1746</v>
      </c>
      <c r="C225" s="3" t="s">
        <v>3</v>
      </c>
      <c r="D225" s="2">
        <f t="shared" si="12"/>
        <v>1659.1666666666667</v>
      </c>
      <c r="E225" s="2">
        <f t="shared" si="13"/>
        <v>1653.5833333333333</v>
      </c>
      <c r="F225" s="2">
        <f t="shared" si="14"/>
        <v>92.416666666666742</v>
      </c>
      <c r="G225" s="2">
        <f t="shared" si="15"/>
        <v>8540.8402777777919</v>
      </c>
    </row>
    <row r="226" spans="1:7" x14ac:dyDescent="0.2">
      <c r="A226" s="1">
        <v>43556</v>
      </c>
      <c r="B226" s="3">
        <v>1672</v>
      </c>
      <c r="C226" s="3" t="s">
        <v>3</v>
      </c>
      <c r="D226" s="2">
        <f t="shared" si="12"/>
        <v>1664.75</v>
      </c>
      <c r="E226" s="2">
        <f t="shared" si="13"/>
        <v>1659.1666666666667</v>
      </c>
      <c r="F226" s="2">
        <f t="shared" si="14"/>
        <v>12.833333333333258</v>
      </c>
      <c r="G226" s="2">
        <f t="shared" si="15"/>
        <v>164.6944444444425</v>
      </c>
    </row>
    <row r="227" spans="1:7" x14ac:dyDescent="0.2">
      <c r="A227" s="1">
        <v>43586</v>
      </c>
      <c r="B227" s="3">
        <v>1751</v>
      </c>
      <c r="C227" s="3" t="s">
        <v>3</v>
      </c>
      <c r="D227" s="2">
        <f t="shared" si="12"/>
        <v>1669.5</v>
      </c>
      <c r="E227" s="2">
        <f t="shared" si="13"/>
        <v>1664.75</v>
      </c>
      <c r="F227" s="2">
        <f t="shared" si="14"/>
        <v>86.25</v>
      </c>
      <c r="G227" s="2">
        <f t="shared" si="15"/>
        <v>7439.0625</v>
      </c>
    </row>
    <row r="228" spans="1:7" x14ac:dyDescent="0.2">
      <c r="A228" s="1">
        <v>43617</v>
      </c>
      <c r="B228" s="3">
        <v>1646</v>
      </c>
      <c r="C228" s="3" t="s">
        <v>3</v>
      </c>
      <c r="D228" s="2">
        <f t="shared" si="12"/>
        <v>1676.6666666666667</v>
      </c>
      <c r="E228" s="2">
        <f t="shared" si="13"/>
        <v>1669.5</v>
      </c>
      <c r="F228" s="2">
        <f t="shared" si="14"/>
        <v>-23.5</v>
      </c>
      <c r="G228" s="2">
        <f t="shared" si="15"/>
        <v>552.25</v>
      </c>
    </row>
    <row r="229" spans="1:7" x14ac:dyDescent="0.2">
      <c r="A229" s="1">
        <v>43647</v>
      </c>
      <c r="B229" s="3">
        <v>1714</v>
      </c>
      <c r="C229" s="3" t="s">
        <v>3</v>
      </c>
      <c r="D229" s="2">
        <f t="shared" si="12"/>
        <v>1683.75</v>
      </c>
      <c r="E229" s="2">
        <f t="shared" si="13"/>
        <v>1676.6666666666667</v>
      </c>
      <c r="F229" s="2">
        <f t="shared" si="14"/>
        <v>37.333333333333258</v>
      </c>
      <c r="G229" s="2">
        <f t="shared" si="15"/>
        <v>1393.7777777777721</v>
      </c>
    </row>
    <row r="230" spans="1:7" x14ac:dyDescent="0.2">
      <c r="A230" s="1">
        <v>43678</v>
      </c>
      <c r="B230" s="3">
        <v>1557</v>
      </c>
      <c r="C230" s="3" t="s">
        <v>3</v>
      </c>
      <c r="D230" s="2">
        <f t="shared" si="12"/>
        <v>1684.6666666666667</v>
      </c>
      <c r="E230" s="2">
        <f t="shared" si="13"/>
        <v>1683.75</v>
      </c>
      <c r="F230" s="2">
        <f t="shared" si="14"/>
        <v>-126.75</v>
      </c>
      <c r="G230" s="2">
        <f t="shared" si="15"/>
        <v>16065.5625</v>
      </c>
    </row>
    <row r="231" spans="1:7" x14ac:dyDescent="0.2">
      <c r="A231" s="1">
        <v>43709</v>
      </c>
      <c r="B231" s="3">
        <v>1617</v>
      </c>
      <c r="C231" s="3" t="s">
        <v>3</v>
      </c>
      <c r="D231" s="2">
        <f t="shared" si="12"/>
        <v>1688.25</v>
      </c>
      <c r="E231" s="2">
        <f t="shared" si="13"/>
        <v>1684.6666666666667</v>
      </c>
      <c r="F231" s="2">
        <f t="shared" si="14"/>
        <v>-67.666666666666742</v>
      </c>
      <c r="G231" s="2">
        <f t="shared" si="15"/>
        <v>4578.7777777777883</v>
      </c>
    </row>
    <row r="232" spans="1:7" x14ac:dyDescent="0.2">
      <c r="A232" s="1">
        <v>43739</v>
      </c>
      <c r="B232" s="3">
        <v>1826</v>
      </c>
      <c r="C232" s="3" t="s">
        <v>3</v>
      </c>
      <c r="D232" s="2">
        <f t="shared" si="12"/>
        <v>1695.6666666666667</v>
      </c>
      <c r="E232" s="2">
        <f t="shared" si="13"/>
        <v>1688.25</v>
      </c>
      <c r="F232" s="2">
        <f t="shared" si="14"/>
        <v>137.75</v>
      </c>
      <c r="G232" s="2">
        <f t="shared" si="15"/>
        <v>18975.0625</v>
      </c>
    </row>
    <row r="233" spans="1:7" x14ac:dyDescent="0.2">
      <c r="A233" s="1">
        <v>43770</v>
      </c>
      <c r="B233" s="3">
        <v>1758</v>
      </c>
      <c r="C233" s="3" t="s">
        <v>3</v>
      </c>
      <c r="D233" s="2">
        <f t="shared" si="12"/>
        <v>1703.9166666666667</v>
      </c>
      <c r="E233" s="2">
        <f t="shared" si="13"/>
        <v>1695.6666666666667</v>
      </c>
      <c r="F233" s="2">
        <f t="shared" si="14"/>
        <v>62.333333333333258</v>
      </c>
      <c r="G233" s="2">
        <f t="shared" si="15"/>
        <v>3885.4444444444348</v>
      </c>
    </row>
    <row r="234" spans="1:7" x14ac:dyDescent="0.2">
      <c r="A234" s="1">
        <v>43800</v>
      </c>
      <c r="B234" s="3">
        <v>1756</v>
      </c>
      <c r="C234" s="3" t="s">
        <v>3</v>
      </c>
      <c r="D234" s="2">
        <f t="shared" si="12"/>
        <v>1709.3333333333333</v>
      </c>
      <c r="E234" s="2">
        <f t="shared" si="13"/>
        <v>1703.9166666666667</v>
      </c>
      <c r="F234" s="2">
        <f t="shared" si="14"/>
        <v>52.083333333333258</v>
      </c>
      <c r="G234" s="2">
        <f t="shared" si="15"/>
        <v>2712.6736111111031</v>
      </c>
    </row>
    <row r="235" spans="1:7" x14ac:dyDescent="0.2">
      <c r="A235" s="1">
        <v>43831</v>
      </c>
      <c r="B235" s="3">
        <v>1725</v>
      </c>
      <c r="C235" s="3" t="s">
        <v>3</v>
      </c>
      <c r="D235" s="2">
        <f t="shared" si="12"/>
        <v>1713</v>
      </c>
      <c r="E235" s="2">
        <f t="shared" si="13"/>
        <v>1709.3333333333333</v>
      </c>
      <c r="F235" s="2">
        <f t="shared" si="14"/>
        <v>15.666666666666742</v>
      </c>
      <c r="G235" s="2">
        <f t="shared" si="15"/>
        <v>245.44444444444682</v>
      </c>
    </row>
    <row r="236" spans="1:7" x14ac:dyDescent="0.2">
      <c r="A236" s="1">
        <v>43862</v>
      </c>
      <c r="B236" s="3">
        <v>1835</v>
      </c>
      <c r="C236" s="3" t="s">
        <v>3</v>
      </c>
      <c r="D236" s="2">
        <f t="shared" si="12"/>
        <v>1716.9166666666667</v>
      </c>
      <c r="E236" s="2">
        <f t="shared" si="13"/>
        <v>1713</v>
      </c>
      <c r="F236" s="2">
        <f t="shared" si="14"/>
        <v>122</v>
      </c>
      <c r="G236" s="2">
        <f t="shared" si="15"/>
        <v>14884</v>
      </c>
    </row>
    <row r="237" spans="1:7" x14ac:dyDescent="0.2">
      <c r="A237" s="1">
        <v>43891</v>
      </c>
      <c r="B237" s="3">
        <v>1724</v>
      </c>
      <c r="C237" s="3" t="s">
        <v>3</v>
      </c>
      <c r="D237" s="2">
        <f t="shared" si="12"/>
        <v>1715.0833333333333</v>
      </c>
      <c r="E237" s="2">
        <f t="shared" si="13"/>
        <v>1716.9166666666667</v>
      </c>
      <c r="F237" s="2">
        <f t="shared" si="14"/>
        <v>7.0833333333332575</v>
      </c>
      <c r="G237" s="2">
        <f t="shared" si="15"/>
        <v>50.173611111110034</v>
      </c>
    </row>
    <row r="238" spans="1:7" x14ac:dyDescent="0.2">
      <c r="A238" s="1">
        <v>43922</v>
      </c>
      <c r="B238" s="3">
        <v>1730</v>
      </c>
      <c r="C238" s="3" t="s">
        <v>3</v>
      </c>
      <c r="D238" s="2">
        <f t="shared" si="12"/>
        <v>1719.9166666666667</v>
      </c>
      <c r="E238" s="2">
        <f t="shared" si="13"/>
        <v>1715.0833333333333</v>
      </c>
      <c r="F238" s="2">
        <f t="shared" si="14"/>
        <v>14.916666666666742</v>
      </c>
      <c r="G238" s="2">
        <f t="shared" si="15"/>
        <v>222.5069444444467</v>
      </c>
    </row>
    <row r="239" spans="1:7" x14ac:dyDescent="0.2">
      <c r="A239" s="1">
        <v>43952</v>
      </c>
      <c r="B239" s="3">
        <v>1752</v>
      </c>
      <c r="C239" s="3" t="s">
        <v>3</v>
      </c>
      <c r="D239" s="2">
        <f t="shared" si="12"/>
        <v>1720</v>
      </c>
      <c r="E239" s="2">
        <f t="shared" si="13"/>
        <v>1719.9166666666667</v>
      </c>
      <c r="F239" s="2">
        <f t="shared" si="14"/>
        <v>32.083333333333258</v>
      </c>
      <c r="G239" s="2">
        <f t="shared" si="15"/>
        <v>1029.3402777777728</v>
      </c>
    </row>
    <row r="240" spans="1:7" x14ac:dyDescent="0.2">
      <c r="A240" s="1">
        <v>43983</v>
      </c>
      <c r="B240" s="3">
        <v>1642</v>
      </c>
      <c r="C240" s="3" t="s">
        <v>3</v>
      </c>
      <c r="D240" s="2">
        <f t="shared" si="12"/>
        <v>1719.6666666666667</v>
      </c>
      <c r="E240" s="2">
        <f t="shared" si="13"/>
        <v>1720</v>
      </c>
      <c r="F240" s="2">
        <f t="shared" si="14"/>
        <v>-78</v>
      </c>
      <c r="G240" s="2">
        <f t="shared" si="15"/>
        <v>6084</v>
      </c>
    </row>
    <row r="241" spans="1:7" x14ac:dyDescent="0.2">
      <c r="A241" s="1">
        <v>44013</v>
      </c>
      <c r="B241" s="3">
        <v>1717</v>
      </c>
      <c r="C241" s="3" t="s">
        <v>3</v>
      </c>
      <c r="D241" s="2">
        <f t="shared" si="12"/>
        <v>1719.9166666666667</v>
      </c>
      <c r="E241" s="2">
        <f t="shared" si="13"/>
        <v>1719.6666666666667</v>
      </c>
      <c r="F241" s="2">
        <f t="shared" si="14"/>
        <v>-2.6666666666667425</v>
      </c>
      <c r="G241" s="2">
        <f t="shared" si="15"/>
        <v>7.1111111111115157</v>
      </c>
    </row>
    <row r="242" spans="1:7" x14ac:dyDescent="0.2">
      <c r="A242" s="1">
        <v>44044</v>
      </c>
      <c r="B242" s="3">
        <v>1579</v>
      </c>
      <c r="C242" s="3" t="s">
        <v>3</v>
      </c>
      <c r="D242" s="2">
        <f t="shared" si="12"/>
        <v>1721.75</v>
      </c>
      <c r="E242" s="2">
        <f t="shared" si="13"/>
        <v>1719.9166666666667</v>
      </c>
      <c r="F242" s="2">
        <f t="shared" si="14"/>
        <v>-140.91666666666674</v>
      </c>
      <c r="G242" s="2">
        <f t="shared" si="15"/>
        <v>19857.506944444467</v>
      </c>
    </row>
    <row r="243" spans="1:7" x14ac:dyDescent="0.2">
      <c r="A243" s="1">
        <v>44075</v>
      </c>
      <c r="B243" s="3">
        <v>1647</v>
      </c>
      <c r="C243" s="3" t="s">
        <v>3</v>
      </c>
      <c r="D243" s="2">
        <f t="shared" si="12"/>
        <v>1724.25</v>
      </c>
      <c r="E243" s="2">
        <f t="shared" si="13"/>
        <v>1721.75</v>
      </c>
      <c r="F243" s="2">
        <f t="shared" si="14"/>
        <v>-74.75</v>
      </c>
      <c r="G243" s="2">
        <f t="shared" si="15"/>
        <v>5587.5625</v>
      </c>
    </row>
    <row r="244" spans="1:7" x14ac:dyDescent="0.2">
      <c r="A244" s="1">
        <v>44105</v>
      </c>
      <c r="B244" s="3">
        <v>1961</v>
      </c>
      <c r="C244" s="3" t="s">
        <v>3</v>
      </c>
      <c r="D244" s="2">
        <f t="shared" si="12"/>
        <v>1735.5</v>
      </c>
      <c r="E244" s="2">
        <f t="shared" si="13"/>
        <v>1724.25</v>
      </c>
      <c r="F244" s="2">
        <f t="shared" si="14"/>
        <v>236.75</v>
      </c>
      <c r="G244" s="2">
        <f t="shared" si="15"/>
        <v>56050.5625</v>
      </c>
    </row>
    <row r="245" spans="1:7" x14ac:dyDescent="0.2">
      <c r="A245" s="1">
        <v>44136</v>
      </c>
      <c r="B245" s="3">
        <v>1772</v>
      </c>
      <c r="C245" s="3" t="s">
        <v>3</v>
      </c>
      <c r="D245" s="2">
        <f t="shared" si="12"/>
        <v>1736.6666666666667</v>
      </c>
      <c r="E245" s="2">
        <f t="shared" si="13"/>
        <v>1735.5</v>
      </c>
      <c r="F245" s="2">
        <f t="shared" si="14"/>
        <v>36.5</v>
      </c>
      <c r="G245" s="2">
        <f t="shared" si="15"/>
        <v>1332.25</v>
      </c>
    </row>
    <row r="246" spans="1:7" x14ac:dyDescent="0.2">
      <c r="A246" s="1">
        <v>44166</v>
      </c>
      <c r="B246" s="3">
        <v>1822</v>
      </c>
      <c r="C246" s="3" t="s">
        <v>3</v>
      </c>
      <c r="D246" s="2">
        <f t="shared" si="12"/>
        <v>1742.1666666666667</v>
      </c>
      <c r="E246" s="2">
        <f t="shared" si="13"/>
        <v>1736.6666666666667</v>
      </c>
      <c r="F246" s="2">
        <f t="shared" si="14"/>
        <v>85.333333333333258</v>
      </c>
      <c r="G246" s="2">
        <f t="shared" si="15"/>
        <v>7281.7777777777646</v>
      </c>
    </row>
    <row r="247" spans="1:7" x14ac:dyDescent="0.2">
      <c r="A247" s="1">
        <v>44197</v>
      </c>
      <c r="B247" s="3">
        <v>1884</v>
      </c>
      <c r="C247" s="3" t="s">
        <v>3</v>
      </c>
      <c r="D247" s="2">
        <f t="shared" si="12"/>
        <v>1755.4166666666667</v>
      </c>
      <c r="E247" s="2">
        <f t="shared" si="13"/>
        <v>1742.1666666666667</v>
      </c>
      <c r="F247" s="2">
        <f t="shared" si="14"/>
        <v>141.83333333333326</v>
      </c>
      <c r="G247" s="2">
        <f t="shared" si="15"/>
        <v>20116.694444444423</v>
      </c>
    </row>
    <row r="248" spans="1:7" x14ac:dyDescent="0.2">
      <c r="A248" s="1">
        <v>44228</v>
      </c>
      <c r="B248" s="3">
        <v>1901</v>
      </c>
      <c r="C248" s="3" t="s">
        <v>3</v>
      </c>
      <c r="D248" s="2">
        <f t="shared" si="12"/>
        <v>1760.9166666666667</v>
      </c>
      <c r="E248" s="2">
        <f t="shared" si="13"/>
        <v>1755.4166666666667</v>
      </c>
      <c r="F248" s="2">
        <f t="shared" si="14"/>
        <v>145.58333333333326</v>
      </c>
      <c r="G248" s="2">
        <f t="shared" si="15"/>
        <v>21194.506944444423</v>
      </c>
    </row>
    <row r="249" spans="1:7" x14ac:dyDescent="0.2">
      <c r="A249" s="1">
        <v>44256</v>
      </c>
      <c r="B249" s="3">
        <v>1917</v>
      </c>
      <c r="C249" s="3" t="s">
        <v>3</v>
      </c>
      <c r="D249" s="2">
        <f t="shared" si="12"/>
        <v>1777</v>
      </c>
      <c r="E249" s="2">
        <f t="shared" si="13"/>
        <v>1760.9166666666667</v>
      </c>
      <c r="F249" s="2">
        <f t="shared" si="14"/>
        <v>156.08333333333326</v>
      </c>
      <c r="G249" s="2">
        <f t="shared" si="15"/>
        <v>24362.00694444442</v>
      </c>
    </row>
    <row r="250" spans="1:7" x14ac:dyDescent="0.2">
      <c r="A250" s="1">
        <v>44287</v>
      </c>
      <c r="B250" s="3">
        <v>1796</v>
      </c>
      <c r="C250" s="3" t="s">
        <v>3</v>
      </c>
      <c r="D250" s="2">
        <f t="shared" si="12"/>
        <v>1782.5</v>
      </c>
      <c r="E250" s="2">
        <f t="shared" si="13"/>
        <v>1777</v>
      </c>
      <c r="F250" s="2">
        <f t="shared" si="14"/>
        <v>19</v>
      </c>
      <c r="G250" s="2">
        <f t="shared" si="15"/>
        <v>361</v>
      </c>
    </row>
    <row r="251" spans="1:7" x14ac:dyDescent="0.2">
      <c r="A251" s="1">
        <v>44317</v>
      </c>
      <c r="B251" s="3">
        <v>1722</v>
      </c>
      <c r="C251" s="3" t="s">
        <v>3</v>
      </c>
      <c r="D251" s="2">
        <f t="shared" si="12"/>
        <v>1780</v>
      </c>
      <c r="E251" s="2">
        <f t="shared" si="13"/>
        <v>1782.5</v>
      </c>
      <c r="F251" s="2">
        <f t="shared" si="14"/>
        <v>-60.5</v>
      </c>
      <c r="G251" s="2">
        <f t="shared" si="15"/>
        <v>3660.25</v>
      </c>
    </row>
    <row r="252" spans="1:7" x14ac:dyDescent="0.2">
      <c r="A252" s="1">
        <v>44348</v>
      </c>
      <c r="B252" s="3">
        <v>1702</v>
      </c>
      <c r="C252" s="3" t="s">
        <v>3</v>
      </c>
      <c r="D252" s="2">
        <f t="shared" si="12"/>
        <v>1785</v>
      </c>
      <c r="E252" s="2">
        <f t="shared" si="13"/>
        <v>1780</v>
      </c>
      <c r="F252" s="2">
        <f t="shared" si="14"/>
        <v>-78</v>
      </c>
      <c r="G252" s="2">
        <f t="shared" si="15"/>
        <v>6084</v>
      </c>
    </row>
    <row r="253" spans="1:7" x14ac:dyDescent="0.2">
      <c r="A253" s="1">
        <v>44378</v>
      </c>
      <c r="B253" s="3">
        <v>1829</v>
      </c>
      <c r="C253" s="3" t="s">
        <v>3</v>
      </c>
      <c r="D253" s="2">
        <f t="shared" si="12"/>
        <v>1794.3333333333333</v>
      </c>
      <c r="E253" s="2">
        <f t="shared" si="13"/>
        <v>1785</v>
      </c>
      <c r="F253" s="2">
        <f t="shared" si="14"/>
        <v>44</v>
      </c>
      <c r="G253" s="2">
        <f t="shared" si="15"/>
        <v>1936</v>
      </c>
    </row>
    <row r="254" spans="1:7" x14ac:dyDescent="0.2">
      <c r="A254" s="1">
        <v>44409</v>
      </c>
      <c r="B254" s="2">
        <v>1687</v>
      </c>
      <c r="C254" s="2" t="s">
        <v>3</v>
      </c>
      <c r="D254" s="2">
        <f t="shared" si="12"/>
        <v>1803.3333333333333</v>
      </c>
      <c r="E254" s="2">
        <f t="shared" si="13"/>
        <v>1794.3333333333333</v>
      </c>
      <c r="F254" s="2">
        <f t="shared" si="14"/>
        <v>-107.33333333333326</v>
      </c>
      <c r="G254" s="2">
        <f t="shared" si="15"/>
        <v>11520.444444444429</v>
      </c>
    </row>
    <row r="255" spans="1:7" x14ac:dyDescent="0.2">
      <c r="A255" s="1">
        <v>44440</v>
      </c>
      <c r="B255" s="2">
        <v>1668</v>
      </c>
      <c r="C255" s="2" t="s">
        <v>3</v>
      </c>
      <c r="D255" s="2">
        <f t="shared" si="12"/>
        <v>1805.0833333333333</v>
      </c>
      <c r="E255" s="2">
        <f t="shared" si="13"/>
        <v>1803.3333333333333</v>
      </c>
      <c r="F255" s="2">
        <f t="shared" si="14"/>
        <v>-135.33333333333326</v>
      </c>
      <c r="G255" s="2">
        <f t="shared" si="15"/>
        <v>18315.111111111091</v>
      </c>
    </row>
    <row r="256" spans="1:7" x14ac:dyDescent="0.2">
      <c r="A256" s="1">
        <v>44470</v>
      </c>
      <c r="B256" s="2">
        <v>2009</v>
      </c>
      <c r="C256" s="2" t="s">
        <v>3</v>
      </c>
      <c r="D256" s="2">
        <f t="shared" si="12"/>
        <v>1809.0833333333333</v>
      </c>
      <c r="E256" s="2">
        <f t="shared" si="13"/>
        <v>1805.0833333333333</v>
      </c>
      <c r="F256" s="2">
        <f t="shared" si="14"/>
        <v>203.91666666666674</v>
      </c>
      <c r="G256" s="2">
        <f t="shared" si="15"/>
        <v>41582.006944444474</v>
      </c>
    </row>
    <row r="257" spans="1:7" x14ac:dyDescent="0.2">
      <c r="A257" s="1">
        <v>44501</v>
      </c>
      <c r="B257" s="2">
        <v>1774</v>
      </c>
      <c r="C257" s="2" t="s">
        <v>3</v>
      </c>
      <c r="D257" s="2">
        <f t="shared" si="12"/>
        <v>1809.25</v>
      </c>
      <c r="E257" s="2">
        <f t="shared" si="13"/>
        <v>1809.0833333333333</v>
      </c>
      <c r="F257" s="2">
        <f t="shared" si="14"/>
        <v>-35.083333333333258</v>
      </c>
      <c r="G257" s="2">
        <f t="shared" si="15"/>
        <v>1230.8402777777724</v>
      </c>
    </row>
    <row r="258" spans="1:7" x14ac:dyDescent="0.2">
      <c r="A258" s="1">
        <v>44531</v>
      </c>
      <c r="B258" s="2">
        <v>1863</v>
      </c>
      <c r="C258" s="2" t="s">
        <v>3</v>
      </c>
      <c r="D258" s="2">
        <f t="shared" si="12"/>
        <v>1812.6666666666667</v>
      </c>
      <c r="E258" s="2">
        <f t="shared" si="13"/>
        <v>1809.25</v>
      </c>
      <c r="F258" s="2">
        <f t="shared" si="14"/>
        <v>53.75</v>
      </c>
      <c r="G258" s="2">
        <f t="shared" si="15"/>
        <v>2889.0625</v>
      </c>
    </row>
    <row r="259" spans="1:7" x14ac:dyDescent="0.2">
      <c r="A259" s="1">
        <v>44562</v>
      </c>
      <c r="B259" s="2">
        <v>1758</v>
      </c>
      <c r="C259" s="2" t="s">
        <v>3</v>
      </c>
      <c r="D259" s="2">
        <f t="shared" si="12"/>
        <v>1802.1666666666667</v>
      </c>
      <c r="E259" s="2">
        <f t="shared" si="13"/>
        <v>1812.6666666666667</v>
      </c>
      <c r="F259" s="2">
        <f t="shared" si="14"/>
        <v>-54.666666666666742</v>
      </c>
      <c r="G259" s="2">
        <f t="shared" si="15"/>
        <v>2988.4444444444525</v>
      </c>
    </row>
    <row r="260" spans="1:7" x14ac:dyDescent="0.2">
      <c r="A260" s="1">
        <v>44593</v>
      </c>
      <c r="B260" s="2">
        <v>1717</v>
      </c>
      <c r="C260" s="2" t="s">
        <v>3</v>
      </c>
      <c r="D260" s="2">
        <f t="shared" si="12"/>
        <v>1786.8333333333333</v>
      </c>
      <c r="E260" s="2">
        <f t="shared" si="13"/>
        <v>1802.1666666666667</v>
      </c>
      <c r="F260" s="2">
        <f t="shared" si="14"/>
        <v>-85.166666666666742</v>
      </c>
      <c r="G260" s="2">
        <f t="shared" si="15"/>
        <v>7253.361111111124</v>
      </c>
    </row>
    <row r="261" spans="1:7" x14ac:dyDescent="0.2">
      <c r="A261" s="1">
        <v>44621</v>
      </c>
      <c r="B261" s="2">
        <v>1823</v>
      </c>
      <c r="C261" s="2" t="s">
        <v>3</v>
      </c>
      <c r="D261" s="2">
        <f t="shared" si="12"/>
        <v>1779</v>
      </c>
      <c r="E261" s="2">
        <f t="shared" si="13"/>
        <v>1786.8333333333333</v>
      </c>
      <c r="F261" s="2">
        <f t="shared" si="14"/>
        <v>36.166666666666742</v>
      </c>
      <c r="G261" s="2">
        <f t="shared" si="15"/>
        <v>1308.0277777777833</v>
      </c>
    </row>
    <row r="262" spans="1:7" x14ac:dyDescent="0.2">
      <c r="A262" s="1">
        <v>44652</v>
      </c>
      <c r="B262" s="2">
        <v>1746</v>
      </c>
      <c r="C262" s="2" t="s">
        <v>3</v>
      </c>
      <c r="D262" s="2">
        <f t="shared" si="12"/>
        <v>1774.8333333333333</v>
      </c>
      <c r="E262" s="2">
        <f t="shared" si="13"/>
        <v>1779</v>
      </c>
      <c r="F262" s="2">
        <f t="shared" si="14"/>
        <v>-33</v>
      </c>
      <c r="G262" s="2">
        <f t="shared" si="15"/>
        <v>1089</v>
      </c>
    </row>
    <row r="263" spans="1:7" x14ac:dyDescent="0.2">
      <c r="A263" s="1">
        <v>44682</v>
      </c>
      <c r="B263" s="2">
        <v>1857</v>
      </c>
      <c r="C263" s="2" t="s">
        <v>3</v>
      </c>
      <c r="D263" s="2">
        <f t="shared" si="12"/>
        <v>1786.0833333333333</v>
      </c>
      <c r="E263" s="2">
        <f t="shared" si="13"/>
        <v>1774.8333333333333</v>
      </c>
      <c r="F263" s="2">
        <f t="shared" si="14"/>
        <v>82.166666666666742</v>
      </c>
      <c r="G263" s="2">
        <f t="shared" si="15"/>
        <v>6751.3611111111231</v>
      </c>
    </row>
    <row r="264" spans="1:7" x14ac:dyDescent="0.2">
      <c r="A264" s="1">
        <v>44713</v>
      </c>
      <c r="B264" s="2">
        <v>1803</v>
      </c>
      <c r="C264" s="2" t="s">
        <v>3</v>
      </c>
      <c r="D264" s="2">
        <f t="shared" si="12"/>
        <v>1794.5</v>
      </c>
      <c r="E264" s="2">
        <f t="shared" si="13"/>
        <v>1786.0833333333333</v>
      </c>
      <c r="F264" s="2">
        <f t="shared" si="14"/>
        <v>16.916666666666742</v>
      </c>
      <c r="G264" s="2">
        <f t="shared" si="15"/>
        <v>286.1736111111137</v>
      </c>
    </row>
    <row r="265" spans="1:7" x14ac:dyDescent="0.2">
      <c r="A265" s="1">
        <v>44743</v>
      </c>
      <c r="B265" s="2">
        <v>1777</v>
      </c>
      <c r="C265" s="2" t="s">
        <v>3</v>
      </c>
      <c r="D265" s="2">
        <f t="shared" si="12"/>
        <v>1790.1666666666667</v>
      </c>
      <c r="E265" s="2">
        <f t="shared" si="13"/>
        <v>1794.5</v>
      </c>
      <c r="F265" s="2">
        <f t="shared" si="14"/>
        <v>-17.5</v>
      </c>
      <c r="G265" s="2">
        <f t="shared" si="15"/>
        <v>306.25</v>
      </c>
    </row>
    <row r="266" spans="1:7" x14ac:dyDescent="0.2">
      <c r="A266" s="1">
        <v>44774</v>
      </c>
      <c r="B266" s="2">
        <v>1690</v>
      </c>
      <c r="C266" s="2" t="s">
        <v>3</v>
      </c>
      <c r="D266" s="2">
        <f t="shared" si="12"/>
        <v>1790.4166666666667</v>
      </c>
      <c r="E266" s="2">
        <f t="shared" si="13"/>
        <v>1790.1666666666667</v>
      </c>
      <c r="F266" s="2">
        <f t="shared" si="14"/>
        <v>-100.16666666666674</v>
      </c>
      <c r="G266" s="2">
        <f t="shared" si="15"/>
        <v>10033.361111111126</v>
      </c>
    </row>
    <row r="267" spans="1:7" x14ac:dyDescent="0.2">
      <c r="A267" s="1">
        <v>44805</v>
      </c>
      <c r="B267" s="2">
        <v>1686</v>
      </c>
      <c r="C267" s="2" t="s">
        <v>3</v>
      </c>
      <c r="D267" s="2">
        <f t="shared" si="12"/>
        <v>1791.9166666666667</v>
      </c>
      <c r="E267" s="2">
        <f t="shared" si="13"/>
        <v>1790.4166666666667</v>
      </c>
      <c r="F267" s="2">
        <f t="shared" si="14"/>
        <v>-104.41666666666674</v>
      </c>
      <c r="G267" s="2">
        <f t="shared" si="15"/>
        <v>10902.840277777794</v>
      </c>
    </row>
    <row r="268" spans="1:7" x14ac:dyDescent="0.2">
      <c r="A268" s="1">
        <v>44835</v>
      </c>
      <c r="B268" s="2">
        <v>1956</v>
      </c>
      <c r="C268" s="2" t="s">
        <v>3</v>
      </c>
      <c r="D268" s="2">
        <f t="shared" si="12"/>
        <v>1787.5</v>
      </c>
      <c r="E268" s="2">
        <f t="shared" si="13"/>
        <v>1791.9166666666667</v>
      </c>
      <c r="F268" s="2">
        <f t="shared" si="14"/>
        <v>164.08333333333326</v>
      </c>
      <c r="G268" s="2">
        <f t="shared" si="15"/>
        <v>26923.340277777752</v>
      </c>
    </row>
    <row r="269" spans="1:7" x14ac:dyDescent="0.2">
      <c r="A269" s="1">
        <v>44866</v>
      </c>
      <c r="B269" s="2">
        <v>1807</v>
      </c>
      <c r="C269" s="2" t="s">
        <v>3</v>
      </c>
      <c r="D269" s="2">
        <f t="shared" si="12"/>
        <v>1790.25</v>
      </c>
      <c r="E269" s="2">
        <f t="shared" si="13"/>
        <v>1787.5</v>
      </c>
      <c r="F269" s="2">
        <f t="shared" si="14"/>
        <v>19.5</v>
      </c>
      <c r="G269" s="2">
        <f t="shared" si="15"/>
        <v>380.25</v>
      </c>
    </row>
    <row r="270" spans="1:7" x14ac:dyDescent="0.2">
      <c r="A270" s="1">
        <v>44896</v>
      </c>
      <c r="B270" s="2">
        <v>1949</v>
      </c>
      <c r="C270" s="2" t="s">
        <v>3</v>
      </c>
      <c r="D270" s="2">
        <f t="shared" ref="D270:D276" si="16">AVERAGE(B259:B270)</f>
        <v>1797.4166666666667</v>
      </c>
      <c r="E270" s="2">
        <f t="shared" si="13"/>
        <v>1790.25</v>
      </c>
      <c r="F270" s="2">
        <f t="shared" si="14"/>
        <v>158.75</v>
      </c>
      <c r="G270" s="2">
        <f t="shared" si="15"/>
        <v>25201.5625</v>
      </c>
    </row>
    <row r="271" spans="1:7" x14ac:dyDescent="0.2">
      <c r="A271" s="11">
        <v>44927</v>
      </c>
      <c r="B271" s="2">
        <v>1833</v>
      </c>
      <c r="C271" s="2" t="s">
        <v>4</v>
      </c>
      <c r="D271" s="2">
        <f>AVERAGE(B260:B270,E271)</f>
        <v>1800.7013888888889</v>
      </c>
      <c r="E271" s="2">
        <f t="shared" ref="E271:E276" si="17">D270</f>
        <v>1797.4166666666667</v>
      </c>
      <c r="F271" s="2">
        <f t="shared" ref="F271:F276" si="18">B271-E271</f>
        <v>35.583333333333258</v>
      </c>
      <c r="G271" s="2">
        <f t="shared" ref="G271:G276" si="19">F271^2</f>
        <v>1266.1736111111056</v>
      </c>
    </row>
    <row r="272" spans="1:7" x14ac:dyDescent="0.2">
      <c r="A272" s="11">
        <v>44958</v>
      </c>
      <c r="B272" s="2">
        <v>1813</v>
      </c>
      <c r="C272" s="2" t="s">
        <v>4</v>
      </c>
      <c r="D272" s="2">
        <f>AVERAGE(B261:$B$270,$E$271:E272)</f>
        <v>1807.6765046296298</v>
      </c>
      <c r="E272" s="2">
        <f t="shared" si="17"/>
        <v>1800.7013888888889</v>
      </c>
      <c r="F272" s="2">
        <f t="shared" si="18"/>
        <v>12.298611111111086</v>
      </c>
      <c r="G272" s="2">
        <f t="shared" si="19"/>
        <v>151.25583526234504</v>
      </c>
    </row>
    <row r="273" spans="1:7" x14ac:dyDescent="0.2">
      <c r="A273" s="11">
        <v>44986</v>
      </c>
      <c r="B273" s="2">
        <v>1886</v>
      </c>
      <c r="C273" s="2" t="s">
        <v>4</v>
      </c>
      <c r="D273" s="2">
        <f>AVERAGE(B262:$B$270,$E$271:E273)</f>
        <v>1806.3995466820991</v>
      </c>
      <c r="E273" s="2">
        <f t="shared" si="17"/>
        <v>1807.6765046296298</v>
      </c>
      <c r="F273" s="2">
        <f t="shared" si="18"/>
        <v>78.32349537037021</v>
      </c>
      <c r="G273" s="2">
        <f t="shared" si="19"/>
        <v>6134.5699270324039</v>
      </c>
    </row>
    <row r="274" spans="1:7" x14ac:dyDescent="0.2">
      <c r="A274" s="11">
        <v>45017</v>
      </c>
      <c r="B274" s="2">
        <v>1805</v>
      </c>
      <c r="C274" s="2" t="s">
        <v>4</v>
      </c>
      <c r="D274" s="2">
        <f>AVERAGE(B263:$B$270,$E$271:E274)</f>
        <v>1811.4328422389406</v>
      </c>
      <c r="E274" s="2">
        <f t="shared" si="17"/>
        <v>1806.3995466820991</v>
      </c>
      <c r="F274" s="2">
        <f t="shared" si="18"/>
        <v>-1.3995466820990714</v>
      </c>
      <c r="G274" s="2">
        <f t="shared" si="19"/>
        <v>1.9587309153745192</v>
      </c>
    </row>
    <row r="275" spans="1:7" x14ac:dyDescent="0.2">
      <c r="A275" s="11">
        <v>45047</v>
      </c>
      <c r="B275" s="2">
        <v>1931</v>
      </c>
      <c r="C275" s="2" t="s">
        <v>4</v>
      </c>
      <c r="D275" s="2">
        <f>AVERAGE(B264:$B$270,$E$271:E275)</f>
        <v>1807.6355790921855</v>
      </c>
      <c r="E275" s="2">
        <f t="shared" si="17"/>
        <v>1811.4328422389406</v>
      </c>
      <c r="F275" s="2">
        <f t="shared" si="18"/>
        <v>119.56715776105943</v>
      </c>
      <c r="G275" s="2">
        <f t="shared" si="19"/>
        <v>14296.305215058075</v>
      </c>
    </row>
    <row r="276" spans="1:7" x14ac:dyDescent="0.2">
      <c r="A276" s="11">
        <v>45078</v>
      </c>
      <c r="B276" s="2">
        <v>1822</v>
      </c>
      <c r="C276" s="2" t="s">
        <v>4</v>
      </c>
      <c r="D276" s="2">
        <f>AVERAGE(B265:$B$270,$E$271:E276)</f>
        <v>1808.0218773498673</v>
      </c>
      <c r="E276" s="2">
        <f t="shared" si="17"/>
        <v>1807.6355790921855</v>
      </c>
      <c r="F276" s="2">
        <f t="shared" si="18"/>
        <v>14.36442090781452</v>
      </c>
      <c r="G276" s="2">
        <f t="shared" si="19"/>
        <v>206.33658801685891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2B075-32D1-7B49-A865-442D8FDE1389}">
  <dimension ref="A1:L276"/>
  <sheetViews>
    <sheetView showGridLines="0" zoomScale="150" zoomScaleNormal="150" workbookViewId="0">
      <pane ySplit="1" topLeftCell="A2" activePane="bottomLeft" state="frozen"/>
      <selection pane="bottomLeft" sqref="A1:XFD1048576"/>
    </sheetView>
  </sheetViews>
  <sheetFormatPr baseColWidth="10" defaultRowHeight="15" x14ac:dyDescent="0.2"/>
  <cols>
    <col min="8" max="8" width="12.5" bestFit="1" customWidth="1"/>
    <col min="11" max="12" width="13" bestFit="1" customWidth="1"/>
  </cols>
  <sheetData>
    <row r="1" spans="1:12" x14ac:dyDescent="0.2">
      <c r="A1" s="4" t="s">
        <v>0</v>
      </c>
      <c r="B1" s="4" t="s">
        <v>1</v>
      </c>
      <c r="C1" s="4" t="s">
        <v>2</v>
      </c>
      <c r="D1" s="4" t="s">
        <v>6</v>
      </c>
      <c r="E1" s="4" t="s">
        <v>7</v>
      </c>
      <c r="F1" s="4" t="s">
        <v>8</v>
      </c>
    </row>
    <row r="2" spans="1:12" x14ac:dyDescent="0.2">
      <c r="A2" s="1">
        <v>36739</v>
      </c>
      <c r="B2" s="2">
        <v>1049</v>
      </c>
      <c r="C2" s="2" t="s">
        <v>3</v>
      </c>
      <c r="D2" s="2"/>
      <c r="E2" s="2"/>
      <c r="F2" s="2"/>
    </row>
    <row r="3" spans="1:12" x14ac:dyDescent="0.2">
      <c r="A3" s="1">
        <v>36770</v>
      </c>
      <c r="B3" s="2">
        <v>1026</v>
      </c>
      <c r="C3" s="2" t="s">
        <v>3</v>
      </c>
      <c r="D3" s="2">
        <f>B2</f>
        <v>1049</v>
      </c>
      <c r="E3" s="2">
        <f>(B3-D3)</f>
        <v>-23</v>
      </c>
      <c r="F3" s="2">
        <f>E3^2</f>
        <v>529</v>
      </c>
    </row>
    <row r="4" spans="1:12" x14ac:dyDescent="0.2">
      <c r="A4" s="1">
        <v>36800</v>
      </c>
      <c r="B4" s="2">
        <v>1074</v>
      </c>
      <c r="C4" s="2" t="s">
        <v>3</v>
      </c>
      <c r="D4" s="2">
        <f>($I$5*B3)+((1-$I$5)*D3)</f>
        <v>1041.9966497379376</v>
      </c>
      <c r="E4" s="2">
        <f>(B4-D4)</f>
        <v>32.00335026206244</v>
      </c>
      <c r="F4" s="2">
        <f>E4^2</f>
        <v>1024.214427996252</v>
      </c>
    </row>
    <row r="5" spans="1:12" x14ac:dyDescent="0.2">
      <c r="A5" s="1">
        <v>36831</v>
      </c>
      <c r="B5" s="2">
        <v>1031</v>
      </c>
      <c r="C5" s="2" t="s">
        <v>3</v>
      </c>
      <c r="D5" s="2">
        <f t="shared" ref="D5:D68" si="0">($I$5*B4)+((1-$I$5)*D4)</f>
        <v>1051.7414615398807</v>
      </c>
      <c r="E5" s="2">
        <f t="shared" ref="E5:E68" si="1">(B5-D5)</f>
        <v>-20.741461539880675</v>
      </c>
      <c r="F5" s="2">
        <f t="shared" ref="F5:F68" si="2">E5^2</f>
        <v>430.20822681034917</v>
      </c>
      <c r="H5" s="5" t="s">
        <v>12</v>
      </c>
      <c r="I5" s="12">
        <v>0.30449348965488671</v>
      </c>
    </row>
    <row r="6" spans="1:12" x14ac:dyDescent="0.2">
      <c r="A6" s="1">
        <v>36861</v>
      </c>
      <c r="B6" s="2">
        <v>1047</v>
      </c>
      <c r="C6" s="2" t="s">
        <v>3</v>
      </c>
      <c r="D6" s="2">
        <f t="shared" si="0"/>
        <v>1045.4258215350596</v>
      </c>
      <c r="E6" s="2">
        <f t="shared" si="1"/>
        <v>1.5741784649403598</v>
      </c>
      <c r="F6" s="2">
        <f t="shared" si="2"/>
        <v>2.4780378394819875</v>
      </c>
    </row>
    <row r="7" spans="1:12" x14ac:dyDescent="0.2">
      <c r="A7" s="1">
        <v>36892</v>
      </c>
      <c r="B7" s="2">
        <v>986</v>
      </c>
      <c r="C7" s="2" t="s">
        <v>3</v>
      </c>
      <c r="D7" s="2">
        <f t="shared" si="0"/>
        <v>1045.9051486291887</v>
      </c>
      <c r="E7" s="2">
        <f t="shared" si="1"/>
        <v>-59.905148629188716</v>
      </c>
      <c r="F7" s="2">
        <f t="shared" si="2"/>
        <v>3588.6268322851906</v>
      </c>
      <c r="H7" s="5"/>
      <c r="I7" s="6" t="s">
        <v>11</v>
      </c>
      <c r="K7" s="7"/>
      <c r="L7" s="7"/>
    </row>
    <row r="8" spans="1:12" x14ac:dyDescent="0.2">
      <c r="A8" s="1">
        <v>36923</v>
      </c>
      <c r="B8" s="2">
        <v>1015</v>
      </c>
      <c r="C8" s="2" t="s">
        <v>3</v>
      </c>
      <c r="D8" s="2">
        <f t="shared" si="0"/>
        <v>1027.6644208747923</v>
      </c>
      <c r="E8" s="2">
        <f t="shared" si="1"/>
        <v>-12.664420874792313</v>
      </c>
      <c r="F8" s="2">
        <f t="shared" si="2"/>
        <v>160.3875560938753</v>
      </c>
      <c r="H8" s="5" t="s">
        <v>3</v>
      </c>
      <c r="I8" s="8">
        <f>SQRT(AVERAGEIF($C$3:$C$276,H8,$F$3:$F$276))</f>
        <v>73.963010622187667</v>
      </c>
      <c r="K8" s="7"/>
      <c r="L8" s="7"/>
    </row>
    <row r="9" spans="1:12" x14ac:dyDescent="0.2">
      <c r="A9" s="1">
        <v>36951</v>
      </c>
      <c r="B9" s="2">
        <v>1021</v>
      </c>
      <c r="C9" s="2" t="s">
        <v>3</v>
      </c>
      <c r="D9" s="2">
        <f t="shared" si="0"/>
        <v>1023.8081871681686</v>
      </c>
      <c r="E9" s="2">
        <f t="shared" si="1"/>
        <v>-2.8081871681686152</v>
      </c>
      <c r="F9" s="2">
        <f t="shared" si="2"/>
        <v>7.8859151714668663</v>
      </c>
      <c r="H9" s="5" t="s">
        <v>4</v>
      </c>
      <c r="I9" s="8">
        <f>SQRT(AVERAGEIF($C$3:$C$276,H9,$F$3:$F$276))</f>
        <v>45.302492625035732</v>
      </c>
      <c r="K9" s="7"/>
      <c r="L9" s="7"/>
    </row>
    <row r="10" spans="1:12" x14ac:dyDescent="0.2">
      <c r="A10" s="1">
        <v>36982</v>
      </c>
      <c r="B10" s="2">
        <v>958</v>
      </c>
      <c r="C10" s="2" t="s">
        <v>3</v>
      </c>
      <c r="D10" s="2">
        <f t="shared" si="0"/>
        <v>1022.9531124577288</v>
      </c>
      <c r="E10" s="2">
        <f t="shared" si="1"/>
        <v>-64.953112457728821</v>
      </c>
      <c r="F10" s="2">
        <f t="shared" si="2"/>
        <v>4218.9068179463666</v>
      </c>
      <c r="H10" s="7"/>
      <c r="I10" s="7"/>
      <c r="K10" s="7"/>
      <c r="L10" s="7"/>
    </row>
    <row r="11" spans="1:12" x14ac:dyDescent="0.2">
      <c r="A11" s="1">
        <v>37012</v>
      </c>
      <c r="B11" s="2">
        <v>1041</v>
      </c>
      <c r="C11" s="2" t="s">
        <v>3</v>
      </c>
      <c r="D11" s="2">
        <f t="shared" si="0"/>
        <v>1003.1753125815286</v>
      </c>
      <c r="E11" s="2">
        <f t="shared" si="1"/>
        <v>37.824687418471399</v>
      </c>
      <c r="F11" s="2">
        <f t="shared" si="2"/>
        <v>1430.7069783050686</v>
      </c>
      <c r="H11" s="5"/>
      <c r="I11" s="10" t="s">
        <v>9</v>
      </c>
      <c r="J11" s="7"/>
      <c r="K11" s="6" t="s">
        <v>10</v>
      </c>
    </row>
    <row r="12" spans="1:12" x14ac:dyDescent="0.2">
      <c r="A12" s="1">
        <v>37043</v>
      </c>
      <c r="B12" s="2">
        <v>999</v>
      </c>
      <c r="C12" s="2" t="s">
        <v>3</v>
      </c>
      <c r="D12" s="2">
        <f t="shared" si="0"/>
        <v>1014.6926836486841</v>
      </c>
      <c r="E12" s="2">
        <f t="shared" si="1"/>
        <v>-15.692683648684124</v>
      </c>
      <c r="F12" s="2">
        <f t="shared" si="2"/>
        <v>246.26032009767806</v>
      </c>
      <c r="H12" s="5" t="s">
        <v>3</v>
      </c>
      <c r="I12" s="8">
        <f>AVERAGEIF($C$3:$C$276,H12,B3:B276)</f>
        <v>1399.3694029850747</v>
      </c>
      <c r="J12" s="7"/>
      <c r="K12" s="9">
        <f>I8/I12</f>
        <v>5.285452895026356E-2</v>
      </c>
    </row>
    <row r="13" spans="1:12" x14ac:dyDescent="0.2">
      <c r="A13" s="1">
        <v>37073</v>
      </c>
      <c r="B13" s="2">
        <v>1034</v>
      </c>
      <c r="C13" s="2" t="s">
        <v>3</v>
      </c>
      <c r="D13" s="2">
        <f t="shared" si="0"/>
        <v>1009.914363642446</v>
      </c>
      <c r="E13" s="2">
        <f t="shared" si="1"/>
        <v>24.085636357553994</v>
      </c>
      <c r="F13" s="2">
        <f t="shared" si="2"/>
        <v>580.1178787483268</v>
      </c>
      <c r="H13" s="5" t="s">
        <v>4</v>
      </c>
      <c r="I13" s="8">
        <f>AVERAGEIF($C$14:$C$276,H13,B15:B277)</f>
        <v>1851.4</v>
      </c>
      <c r="J13" s="7"/>
      <c r="K13" s="9">
        <f>I9/I13</f>
        <v>2.4469316530752797E-2</v>
      </c>
    </row>
    <row r="14" spans="1:12" x14ac:dyDescent="0.2">
      <c r="A14" s="1">
        <v>37104</v>
      </c>
      <c r="B14" s="2">
        <v>959</v>
      </c>
      <c r="C14" s="2" t="s">
        <v>3</v>
      </c>
      <c r="D14" s="2">
        <f t="shared" si="0"/>
        <v>1017.2482831075163</v>
      </c>
      <c r="E14" s="2">
        <f t="shared" si="1"/>
        <v>-58.248283107516272</v>
      </c>
      <c r="F14" s="2">
        <f t="shared" si="2"/>
        <v>3392.8624849733656</v>
      </c>
    </row>
    <row r="15" spans="1:12" x14ac:dyDescent="0.2">
      <c r="A15" s="1">
        <v>37135</v>
      </c>
      <c r="B15" s="2">
        <v>920</v>
      </c>
      <c r="C15" s="2" t="s">
        <v>3</v>
      </c>
      <c r="D15" s="2">
        <f t="shared" si="0"/>
        <v>999.51206011770273</v>
      </c>
      <c r="E15" s="2">
        <f t="shared" si="1"/>
        <v>-79.512060117702731</v>
      </c>
      <c r="F15" s="2">
        <f t="shared" si="2"/>
        <v>6322.1677041611729</v>
      </c>
    </row>
    <row r="16" spans="1:12" x14ac:dyDescent="0.2">
      <c r="A16" s="1">
        <v>37165</v>
      </c>
      <c r="B16" s="2">
        <v>1019</v>
      </c>
      <c r="C16" s="2" t="s">
        <v>3</v>
      </c>
      <c r="D16" s="2">
        <f t="shared" si="0"/>
        <v>975.30115546281422</v>
      </c>
      <c r="E16" s="2">
        <f t="shared" si="1"/>
        <v>43.698844537185778</v>
      </c>
      <c r="F16" s="2">
        <f t="shared" si="2"/>
        <v>1909.5890138851314</v>
      </c>
    </row>
    <row r="17" spans="1:6" x14ac:dyDescent="0.2">
      <c r="A17" s="1">
        <v>37196</v>
      </c>
      <c r="B17" s="2">
        <v>1056</v>
      </c>
      <c r="C17" s="2" t="s">
        <v>3</v>
      </c>
      <c r="D17" s="2">
        <f t="shared" si="0"/>
        <v>988.60716912982821</v>
      </c>
      <c r="E17" s="2">
        <f t="shared" si="1"/>
        <v>67.392830870171792</v>
      </c>
      <c r="F17" s="2">
        <f t="shared" si="2"/>
        <v>4541.79365269558</v>
      </c>
    </row>
    <row r="18" spans="1:6" x14ac:dyDescent="0.2">
      <c r="A18" s="1">
        <v>37226</v>
      </c>
      <c r="B18" s="2">
        <v>1057</v>
      </c>
      <c r="C18" s="2" t="s">
        <v>3</v>
      </c>
      <c r="D18" s="2">
        <f t="shared" si="0"/>
        <v>1009.1278473792083</v>
      </c>
      <c r="E18" s="2">
        <f t="shared" si="1"/>
        <v>47.872152620791667</v>
      </c>
      <c r="F18" s="2">
        <f t="shared" si="2"/>
        <v>2291.7429965483702</v>
      </c>
    </row>
    <row r="19" spans="1:6" x14ac:dyDescent="0.2">
      <c r="A19" s="1">
        <v>37257</v>
      </c>
      <c r="B19" s="2">
        <v>1017</v>
      </c>
      <c r="C19" s="2" t="s">
        <v>3</v>
      </c>
      <c r="D19" s="2">
        <f t="shared" si="0"/>
        <v>1023.7046061880044</v>
      </c>
      <c r="E19" s="2">
        <f t="shared" si="1"/>
        <v>-6.7046061880043908</v>
      </c>
      <c r="F19" s="2">
        <f t="shared" si="2"/>
        <v>44.951744136226772</v>
      </c>
    </row>
    <row r="20" spans="1:6" x14ac:dyDescent="0.2">
      <c r="A20" s="1">
        <v>37288</v>
      </c>
      <c r="B20" s="2">
        <v>1096</v>
      </c>
      <c r="C20" s="2" t="s">
        <v>3</v>
      </c>
      <c r="D20" s="2">
        <f t="shared" si="0"/>
        <v>1021.663097253057</v>
      </c>
      <c r="E20" s="2">
        <f t="shared" si="1"/>
        <v>74.336902746942997</v>
      </c>
      <c r="F20" s="2">
        <f t="shared" si="2"/>
        <v>5525.9751100084613</v>
      </c>
    </row>
    <row r="21" spans="1:6" x14ac:dyDescent="0.2">
      <c r="A21" s="1">
        <v>37316</v>
      </c>
      <c r="B21" s="2">
        <v>1052</v>
      </c>
      <c r="C21" s="2" t="s">
        <v>3</v>
      </c>
      <c r="D21" s="2">
        <f t="shared" si="0"/>
        <v>1044.2982001806095</v>
      </c>
      <c r="E21" s="2">
        <f t="shared" si="1"/>
        <v>7.7017998193905441</v>
      </c>
      <c r="F21" s="2">
        <f t="shared" si="2"/>
        <v>59.317720457964221</v>
      </c>
    </row>
    <row r="22" spans="1:6" x14ac:dyDescent="0.2">
      <c r="A22" s="1">
        <v>37347</v>
      </c>
      <c r="B22" s="2">
        <v>971</v>
      </c>
      <c r="C22" s="2" t="s">
        <v>3</v>
      </c>
      <c r="D22" s="2">
        <f t="shared" si="0"/>
        <v>1046.6433480842391</v>
      </c>
      <c r="E22" s="2">
        <f t="shared" si="1"/>
        <v>-75.643348084239051</v>
      </c>
      <c r="F22" s="2">
        <f t="shared" si="2"/>
        <v>5721.9161093933517</v>
      </c>
    </row>
    <row r="23" spans="1:6" x14ac:dyDescent="0.2">
      <c r="A23" s="1">
        <v>37377</v>
      </c>
      <c r="B23" s="2">
        <v>1033</v>
      </c>
      <c r="C23" s="2" t="s">
        <v>3</v>
      </c>
      <c r="D23" s="2">
        <f t="shared" si="0"/>
        <v>1023.6104410568898</v>
      </c>
      <c r="E23" s="2">
        <f t="shared" si="1"/>
        <v>9.3895589431101598</v>
      </c>
      <c r="F23" s="2">
        <f t="shared" si="2"/>
        <v>88.163817146139976</v>
      </c>
    </row>
    <row r="24" spans="1:6" x14ac:dyDescent="0.2">
      <c r="A24" s="1">
        <v>37408</v>
      </c>
      <c r="B24" s="2">
        <v>978</v>
      </c>
      <c r="C24" s="2" t="s">
        <v>3</v>
      </c>
      <c r="D24" s="2">
        <f t="shared" si="0"/>
        <v>1026.4695006257975</v>
      </c>
      <c r="E24" s="2">
        <f t="shared" si="1"/>
        <v>-48.469500625797536</v>
      </c>
      <c r="F24" s="2">
        <f t="shared" si="2"/>
        <v>2349.292490914188</v>
      </c>
    </row>
    <row r="25" spans="1:6" x14ac:dyDescent="0.2">
      <c r="A25" s="1">
        <v>37438</v>
      </c>
      <c r="B25" s="2">
        <v>983</v>
      </c>
      <c r="C25" s="2" t="s">
        <v>3</v>
      </c>
      <c r="D25" s="2">
        <f t="shared" si="0"/>
        <v>1011.7108532384186</v>
      </c>
      <c r="E25" s="2">
        <f t="shared" si="1"/>
        <v>-28.710853238418622</v>
      </c>
      <c r="F25" s="2">
        <f t="shared" si="2"/>
        <v>824.31309367801305</v>
      </c>
    </row>
    <row r="26" spans="1:6" x14ac:dyDescent="0.2">
      <c r="A26" s="1">
        <v>37469</v>
      </c>
      <c r="B26" s="2">
        <v>906</v>
      </c>
      <c r="C26" s="2" t="s">
        <v>3</v>
      </c>
      <c r="D26" s="2">
        <f t="shared" si="0"/>
        <v>1002.9685853448832</v>
      </c>
      <c r="E26" s="2">
        <f t="shared" si="1"/>
        <v>-96.968585344883195</v>
      </c>
      <c r="F26" s="2">
        <f t="shared" si="2"/>
        <v>9402.9065437878962</v>
      </c>
    </row>
    <row r="27" spans="1:6" x14ac:dyDescent="0.2">
      <c r="A27" s="1">
        <v>37500</v>
      </c>
      <c r="B27" s="2">
        <v>910</v>
      </c>
      <c r="C27" s="2" t="s">
        <v>3</v>
      </c>
      <c r="D27" s="2">
        <f t="shared" si="0"/>
        <v>973.44228240632197</v>
      </c>
      <c r="E27" s="2">
        <f t="shared" si="1"/>
        <v>-63.442282406321965</v>
      </c>
      <c r="F27" s="2">
        <f t="shared" si="2"/>
        <v>4024.9231969235097</v>
      </c>
    </row>
    <row r="28" spans="1:6" x14ac:dyDescent="0.2">
      <c r="A28" s="1">
        <v>37530</v>
      </c>
      <c r="B28" s="2">
        <v>1025</v>
      </c>
      <c r="C28" s="2" t="s">
        <v>3</v>
      </c>
      <c r="D28" s="2">
        <f t="shared" si="0"/>
        <v>954.12452044475003</v>
      </c>
      <c r="E28" s="2">
        <f t="shared" si="1"/>
        <v>70.875479555249967</v>
      </c>
      <c r="F28" s="2">
        <f t="shared" si="2"/>
        <v>5023.3336021866562</v>
      </c>
    </row>
    <row r="29" spans="1:6" x14ac:dyDescent="0.2">
      <c r="A29" s="1">
        <v>37561</v>
      </c>
      <c r="B29" s="2">
        <v>1026</v>
      </c>
      <c r="C29" s="2" t="s">
        <v>3</v>
      </c>
      <c r="D29" s="2">
        <f t="shared" si="0"/>
        <v>975.70564254549163</v>
      </c>
      <c r="E29" s="2">
        <f t="shared" si="1"/>
        <v>50.294357454508372</v>
      </c>
      <c r="F29" s="2">
        <f t="shared" si="2"/>
        <v>2529.5223917618619</v>
      </c>
    </row>
    <row r="30" spans="1:6" x14ac:dyDescent="0.2">
      <c r="A30" s="1">
        <v>37591</v>
      </c>
      <c r="B30" s="2">
        <v>1014</v>
      </c>
      <c r="C30" s="2" t="s">
        <v>3</v>
      </c>
      <c r="D30" s="2">
        <f t="shared" si="0"/>
        <v>991.01994695676512</v>
      </c>
      <c r="E30" s="2">
        <f t="shared" si="1"/>
        <v>22.980053043234875</v>
      </c>
      <c r="F30" s="2">
        <f t="shared" si="2"/>
        <v>528.08283786988841</v>
      </c>
    </row>
    <row r="31" spans="1:6" x14ac:dyDescent="0.2">
      <c r="A31" s="1">
        <v>37622</v>
      </c>
      <c r="B31" s="2">
        <v>977</v>
      </c>
      <c r="C31" s="2" t="s">
        <v>3</v>
      </c>
      <c r="D31" s="2">
        <f t="shared" si="0"/>
        <v>998.01722350035402</v>
      </c>
      <c r="E31" s="2">
        <f t="shared" si="1"/>
        <v>-21.017223500354021</v>
      </c>
      <c r="F31" s="2">
        <f t="shared" si="2"/>
        <v>441.7236836638333</v>
      </c>
    </row>
    <row r="32" spans="1:6" x14ac:dyDescent="0.2">
      <c r="A32" s="1">
        <v>37653</v>
      </c>
      <c r="B32" s="2">
        <v>990</v>
      </c>
      <c r="C32" s="2" t="s">
        <v>3</v>
      </c>
      <c r="D32" s="2">
        <f t="shared" si="0"/>
        <v>991.61761577387449</v>
      </c>
      <c r="E32" s="2">
        <f t="shared" si="1"/>
        <v>-1.6176157738744905</v>
      </c>
      <c r="F32" s="2">
        <f t="shared" si="2"/>
        <v>2.6166807918875667</v>
      </c>
    </row>
    <row r="33" spans="1:6" x14ac:dyDescent="0.2">
      <c r="A33" s="1">
        <v>37681</v>
      </c>
      <c r="B33" s="2">
        <v>989</v>
      </c>
      <c r="C33" s="2" t="s">
        <v>3</v>
      </c>
      <c r="D33" s="2">
        <f t="shared" si="0"/>
        <v>991.12506230196664</v>
      </c>
      <c r="E33" s="2">
        <f t="shared" si="1"/>
        <v>-2.1250623019666364</v>
      </c>
      <c r="F33" s="2">
        <f t="shared" si="2"/>
        <v>4.5158897872397397</v>
      </c>
    </row>
    <row r="34" spans="1:6" x14ac:dyDescent="0.2">
      <c r="A34" s="1">
        <v>37712</v>
      </c>
      <c r="B34" s="2">
        <v>960</v>
      </c>
      <c r="C34" s="2" t="s">
        <v>3</v>
      </c>
      <c r="D34" s="2">
        <f t="shared" si="0"/>
        <v>990.47799466590664</v>
      </c>
      <c r="E34" s="2">
        <f t="shared" si="1"/>
        <v>-30.477994665906635</v>
      </c>
      <c r="F34" s="2">
        <f t="shared" si="2"/>
        <v>928.90815885503332</v>
      </c>
    </row>
    <row r="35" spans="1:6" x14ac:dyDescent="0.2">
      <c r="A35" s="1">
        <v>37742</v>
      </c>
      <c r="B35" s="2">
        <v>981</v>
      </c>
      <c r="C35" s="2" t="s">
        <v>3</v>
      </c>
      <c r="D35" s="2">
        <f t="shared" si="0"/>
        <v>981.19764371240171</v>
      </c>
      <c r="E35" s="2">
        <f t="shared" si="1"/>
        <v>-0.19764371240171386</v>
      </c>
      <c r="F35" s="2">
        <f t="shared" si="2"/>
        <v>3.9063037051931378E-2</v>
      </c>
    </row>
    <row r="36" spans="1:6" x14ac:dyDescent="0.2">
      <c r="A36" s="1">
        <v>37773</v>
      </c>
      <c r="B36" s="2">
        <v>962</v>
      </c>
      <c r="C36" s="2" t="s">
        <v>3</v>
      </c>
      <c r="D36" s="2">
        <f t="shared" si="0"/>
        <v>981.13746248870416</v>
      </c>
      <c r="E36" s="2">
        <f t="shared" si="1"/>
        <v>-19.137462488704159</v>
      </c>
      <c r="F36" s="2">
        <f t="shared" si="2"/>
        <v>366.24247050655879</v>
      </c>
    </row>
    <row r="37" spans="1:6" x14ac:dyDescent="0.2">
      <c r="A37" s="1">
        <v>37803</v>
      </c>
      <c r="B37" s="2">
        <v>1022</v>
      </c>
      <c r="C37" s="2" t="s">
        <v>3</v>
      </c>
      <c r="D37" s="2">
        <f t="shared" si="0"/>
        <v>975.31022975237897</v>
      </c>
      <c r="E37" s="2">
        <f t="shared" si="1"/>
        <v>46.689770247621027</v>
      </c>
      <c r="F37" s="2">
        <f t="shared" si="2"/>
        <v>2179.9346457756378</v>
      </c>
    </row>
    <row r="38" spans="1:6" x14ac:dyDescent="0.2">
      <c r="A38" s="1">
        <v>37834</v>
      </c>
      <c r="B38" s="2">
        <v>910</v>
      </c>
      <c r="C38" s="2" t="s">
        <v>3</v>
      </c>
      <c r="D38" s="2">
        <f t="shared" si="0"/>
        <v>989.52696082626198</v>
      </c>
      <c r="E38" s="2">
        <f t="shared" si="1"/>
        <v>-79.526960826261984</v>
      </c>
      <c r="F38" s="2">
        <f t="shared" si="2"/>
        <v>6324.5374982618077</v>
      </c>
    </row>
    <row r="39" spans="1:6" x14ac:dyDescent="0.2">
      <c r="A39" s="1">
        <v>37865</v>
      </c>
      <c r="B39" s="2">
        <v>912</v>
      </c>
      <c r="C39" s="2" t="s">
        <v>3</v>
      </c>
      <c r="D39" s="2">
        <f t="shared" si="0"/>
        <v>965.31151900262603</v>
      </c>
      <c r="E39" s="2">
        <f t="shared" si="1"/>
        <v>-53.311519002626028</v>
      </c>
      <c r="F39" s="2">
        <f t="shared" si="2"/>
        <v>2842.1180583673563</v>
      </c>
    </row>
    <row r="40" spans="1:6" x14ac:dyDescent="0.2">
      <c r="A40" s="1">
        <v>37895</v>
      </c>
      <c r="B40" s="2">
        <v>1025</v>
      </c>
      <c r="C40" s="2" t="s">
        <v>3</v>
      </c>
      <c r="D40" s="2">
        <f t="shared" si="0"/>
        <v>949.07850854271362</v>
      </c>
      <c r="E40" s="2">
        <f t="shared" si="1"/>
        <v>75.921491457286379</v>
      </c>
      <c r="F40" s="2">
        <f t="shared" si="2"/>
        <v>5764.0728650988085</v>
      </c>
    </row>
    <row r="41" spans="1:6" x14ac:dyDescent="0.2">
      <c r="A41" s="1">
        <v>37926</v>
      </c>
      <c r="B41" s="2">
        <v>1017</v>
      </c>
      <c r="C41" s="2" t="s">
        <v>3</v>
      </c>
      <c r="D41" s="2">
        <f t="shared" si="0"/>
        <v>972.19610841634631</v>
      </c>
      <c r="E41" s="2">
        <f t="shared" si="1"/>
        <v>44.803891583653694</v>
      </c>
      <c r="F41" s="2">
        <f t="shared" si="2"/>
        <v>2007.3887010397943</v>
      </c>
    </row>
    <row r="42" spans="1:6" x14ac:dyDescent="0.2">
      <c r="A42" s="1">
        <v>37956</v>
      </c>
      <c r="B42" s="2">
        <v>1044</v>
      </c>
      <c r="C42" s="2" t="s">
        <v>3</v>
      </c>
      <c r="D42" s="2">
        <f t="shared" si="0"/>
        <v>985.83860171477204</v>
      </c>
      <c r="E42" s="2">
        <f t="shared" si="1"/>
        <v>58.161398285227961</v>
      </c>
      <c r="F42" s="2">
        <f t="shared" si="2"/>
        <v>3382.748250492918</v>
      </c>
    </row>
    <row r="43" spans="1:6" x14ac:dyDescent="0.2">
      <c r="A43" s="1">
        <v>37987</v>
      </c>
      <c r="B43" s="2">
        <v>1032</v>
      </c>
      <c r="C43" s="2" t="s">
        <v>3</v>
      </c>
      <c r="D43" s="2">
        <f t="shared" si="0"/>
        <v>1003.5483688418489</v>
      </c>
      <c r="E43" s="2">
        <f t="shared" si="1"/>
        <v>28.451631158151145</v>
      </c>
      <c r="F43" s="2">
        <f t="shared" si="2"/>
        <v>809.49531555947704</v>
      </c>
    </row>
    <row r="44" spans="1:6" x14ac:dyDescent="0.2">
      <c r="A44" s="1">
        <v>38018</v>
      </c>
      <c r="B44" s="2">
        <v>1060</v>
      </c>
      <c r="C44" s="2" t="s">
        <v>3</v>
      </c>
      <c r="D44" s="2">
        <f t="shared" si="0"/>
        <v>1012.2117052995679</v>
      </c>
      <c r="E44" s="2">
        <f t="shared" si="1"/>
        <v>47.788294700432061</v>
      </c>
      <c r="F44" s="2">
        <f t="shared" si="2"/>
        <v>2283.721110375343</v>
      </c>
    </row>
    <row r="45" spans="1:6" x14ac:dyDescent="0.2">
      <c r="A45" s="1">
        <v>38047</v>
      </c>
      <c r="B45" s="2">
        <v>1077</v>
      </c>
      <c r="C45" s="2" t="s">
        <v>3</v>
      </c>
      <c r="D45" s="2">
        <f t="shared" si="0"/>
        <v>1026.7629299175585</v>
      </c>
      <c r="E45" s="2">
        <f t="shared" si="1"/>
        <v>50.237070082441505</v>
      </c>
      <c r="F45" s="2">
        <f t="shared" si="2"/>
        <v>2523.7632104681393</v>
      </c>
    </row>
    <row r="46" spans="1:6" x14ac:dyDescent="0.2">
      <c r="A46" s="1">
        <v>38078</v>
      </c>
      <c r="B46" s="2">
        <v>1098</v>
      </c>
      <c r="C46" s="2" t="s">
        <v>3</v>
      </c>
      <c r="D46" s="2">
        <f t="shared" si="0"/>
        <v>1042.0597906969981</v>
      </c>
      <c r="E46" s="2">
        <f t="shared" si="1"/>
        <v>55.940209303001893</v>
      </c>
      <c r="F46" s="2">
        <f t="shared" si="2"/>
        <v>3129.3070168636596</v>
      </c>
    </row>
    <row r="47" spans="1:6" x14ac:dyDescent="0.2">
      <c r="A47" s="1">
        <v>38108</v>
      </c>
      <c r="B47" s="2">
        <v>1086</v>
      </c>
      <c r="C47" s="2" t="s">
        <v>3</v>
      </c>
      <c r="D47" s="2">
        <f t="shared" si="0"/>
        <v>1059.0932202396939</v>
      </c>
      <c r="E47" s="2">
        <f t="shared" si="1"/>
        <v>26.906779760306108</v>
      </c>
      <c r="F47" s="2">
        <f t="shared" si="2"/>
        <v>723.97479706961838</v>
      </c>
    </row>
    <row r="48" spans="1:6" x14ac:dyDescent="0.2">
      <c r="A48" s="1">
        <v>38139</v>
      </c>
      <c r="B48" s="2">
        <v>1070</v>
      </c>
      <c r="C48" s="2" t="s">
        <v>3</v>
      </c>
      <c r="D48" s="2">
        <f t="shared" si="0"/>
        <v>1067.286159504285</v>
      </c>
      <c r="E48" s="2">
        <f t="shared" si="1"/>
        <v>2.713840495714976</v>
      </c>
      <c r="F48" s="2">
        <f t="shared" si="2"/>
        <v>7.3649302361825066</v>
      </c>
    </row>
    <row r="49" spans="1:6" x14ac:dyDescent="0.2">
      <c r="A49" s="1">
        <v>38169</v>
      </c>
      <c r="B49" s="2">
        <v>1121</v>
      </c>
      <c r="C49" s="2" t="s">
        <v>3</v>
      </c>
      <c r="D49" s="2">
        <f t="shared" si="0"/>
        <v>1068.112506267192</v>
      </c>
      <c r="E49" s="2">
        <f t="shared" si="1"/>
        <v>52.887493732808025</v>
      </c>
      <c r="F49" s="2">
        <f t="shared" si="2"/>
        <v>2797.0869933378081</v>
      </c>
    </row>
    <row r="50" spans="1:6" x14ac:dyDescent="0.2">
      <c r="A50" s="1">
        <v>38200</v>
      </c>
      <c r="B50" s="2">
        <v>993</v>
      </c>
      <c r="C50" s="2" t="s">
        <v>3</v>
      </c>
      <c r="D50" s="2">
        <f t="shared" si="0"/>
        <v>1084.2164037929956</v>
      </c>
      <c r="E50" s="2">
        <f t="shared" si="1"/>
        <v>-91.216403792995607</v>
      </c>
      <c r="F50" s="2">
        <f t="shared" si="2"/>
        <v>8320.4323209268241</v>
      </c>
    </row>
    <row r="51" spans="1:6" x14ac:dyDescent="0.2">
      <c r="A51" s="1">
        <v>38231</v>
      </c>
      <c r="B51" s="2">
        <v>1026</v>
      </c>
      <c r="C51" s="2" t="s">
        <v>3</v>
      </c>
      <c r="D51" s="2">
        <f t="shared" si="0"/>
        <v>1056.4416026882971</v>
      </c>
      <c r="E51" s="2">
        <f t="shared" si="1"/>
        <v>-30.441602688297053</v>
      </c>
      <c r="F51" s="2">
        <f t="shared" si="2"/>
        <v>926.69117423213436</v>
      </c>
    </row>
    <row r="52" spans="1:6" x14ac:dyDescent="0.2">
      <c r="A52" s="1">
        <v>38261</v>
      </c>
      <c r="B52" s="2">
        <v>1114</v>
      </c>
      <c r="C52" s="2" t="s">
        <v>3</v>
      </c>
      <c r="D52" s="2">
        <f t="shared" si="0"/>
        <v>1047.1723328550497</v>
      </c>
      <c r="E52" s="2">
        <f t="shared" si="1"/>
        <v>66.827667144950283</v>
      </c>
      <c r="F52" s="2">
        <f t="shared" si="2"/>
        <v>4465.9370960362676</v>
      </c>
    </row>
    <row r="53" spans="1:6" x14ac:dyDescent="0.2">
      <c r="A53" s="1">
        <v>38292</v>
      </c>
      <c r="B53" s="2">
        <v>1050</v>
      </c>
      <c r="C53" s="2" t="s">
        <v>3</v>
      </c>
      <c r="D53" s="2">
        <f t="shared" si="0"/>
        <v>1067.5209224295108</v>
      </c>
      <c r="E53" s="2">
        <f t="shared" si="1"/>
        <v>-17.520922429510847</v>
      </c>
      <c r="F53" s="2">
        <f t="shared" si="2"/>
        <v>306.98272278093629</v>
      </c>
    </row>
    <row r="54" spans="1:6" x14ac:dyDescent="0.2">
      <c r="A54" s="1">
        <v>38322</v>
      </c>
      <c r="B54" s="2">
        <v>1094</v>
      </c>
      <c r="C54" s="2" t="s">
        <v>3</v>
      </c>
      <c r="D54" s="2">
        <f t="shared" si="0"/>
        <v>1062.1859156169764</v>
      </c>
      <c r="E54" s="2">
        <f t="shared" si="1"/>
        <v>31.814084383023555</v>
      </c>
      <c r="F54" s="2">
        <f t="shared" si="2"/>
        <v>1012.1359651301433</v>
      </c>
    </row>
    <row r="55" spans="1:6" x14ac:dyDescent="0.2">
      <c r="A55" s="1">
        <v>38353</v>
      </c>
      <c r="B55" s="2">
        <v>1069</v>
      </c>
      <c r="C55" s="2" t="s">
        <v>3</v>
      </c>
      <c r="D55" s="2">
        <f t="shared" si="0"/>
        <v>1071.8730971909383</v>
      </c>
      <c r="E55" s="2">
        <f t="shared" si="1"/>
        <v>-2.8730971909383243</v>
      </c>
      <c r="F55" s="2">
        <f t="shared" si="2"/>
        <v>8.2546874685776892</v>
      </c>
    </row>
    <row r="56" spans="1:6" x14ac:dyDescent="0.2">
      <c r="A56" s="1">
        <v>38384</v>
      </c>
      <c r="B56" s="2">
        <v>1096</v>
      </c>
      <c r="C56" s="2" t="s">
        <v>3</v>
      </c>
      <c r="D56" s="2">
        <f t="shared" si="0"/>
        <v>1070.9982578011518</v>
      </c>
      <c r="E56" s="2">
        <f t="shared" si="1"/>
        <v>25.001742198848206</v>
      </c>
      <c r="F56" s="2">
        <f t="shared" si="2"/>
        <v>625.08711297766706</v>
      </c>
    </row>
    <row r="57" spans="1:6" x14ac:dyDescent="0.2">
      <c r="A57" s="1">
        <v>38412</v>
      </c>
      <c r="B57" s="2">
        <v>1137</v>
      </c>
      <c r="C57" s="2" t="s">
        <v>3</v>
      </c>
      <c r="D57" s="2">
        <f t="shared" si="0"/>
        <v>1078.6111255307308</v>
      </c>
      <c r="E57" s="2">
        <f t="shared" si="1"/>
        <v>58.38887446926924</v>
      </c>
      <c r="F57" s="2">
        <f t="shared" si="2"/>
        <v>3409.2606617880811</v>
      </c>
    </row>
    <row r="58" spans="1:6" x14ac:dyDescent="0.2">
      <c r="A58" s="1">
        <v>38443</v>
      </c>
      <c r="B58" s="2">
        <v>1053</v>
      </c>
      <c r="C58" s="2" t="s">
        <v>3</v>
      </c>
      <c r="D58" s="2">
        <f t="shared" si="0"/>
        <v>1096.3901576748995</v>
      </c>
      <c r="E58" s="2">
        <f t="shared" si="1"/>
        <v>-43.390157674899456</v>
      </c>
      <c r="F58" s="2">
        <f t="shared" si="2"/>
        <v>1882.7057830526362</v>
      </c>
    </row>
    <row r="59" spans="1:6" x14ac:dyDescent="0.2">
      <c r="A59" s="1">
        <v>38473</v>
      </c>
      <c r="B59" s="2">
        <v>1100</v>
      </c>
      <c r="C59" s="2" t="s">
        <v>3</v>
      </c>
      <c r="D59" s="2">
        <f t="shared" si="0"/>
        <v>1083.1781371477937</v>
      </c>
      <c r="E59" s="2">
        <f t="shared" si="1"/>
        <v>16.821862852206323</v>
      </c>
      <c r="F59" s="2">
        <f t="shared" si="2"/>
        <v>282.97506981843901</v>
      </c>
    </row>
    <row r="60" spans="1:6" x14ac:dyDescent="0.2">
      <c r="A60" s="1">
        <v>38504</v>
      </c>
      <c r="B60" s="2">
        <v>1101</v>
      </c>
      <c r="C60" s="2" t="s">
        <v>3</v>
      </c>
      <c r="D60" s="2">
        <f t="shared" si="0"/>
        <v>1088.3002848701578</v>
      </c>
      <c r="E60" s="2">
        <f t="shared" si="1"/>
        <v>12.699715129842161</v>
      </c>
      <c r="F60" s="2">
        <f t="shared" si="2"/>
        <v>161.2827643791419</v>
      </c>
    </row>
    <row r="61" spans="1:6" x14ac:dyDescent="0.2">
      <c r="A61" s="1">
        <v>38534</v>
      </c>
      <c r="B61" s="2">
        <v>1116</v>
      </c>
      <c r="C61" s="2" t="s">
        <v>3</v>
      </c>
      <c r="D61" s="2">
        <f t="shared" si="0"/>
        <v>1092.1672654476665</v>
      </c>
      <c r="E61" s="2">
        <f t="shared" si="1"/>
        <v>23.832734552333477</v>
      </c>
      <c r="F61" s="2">
        <f t="shared" si="2"/>
        <v>567.99923624198993</v>
      </c>
    </row>
    <row r="62" spans="1:6" x14ac:dyDescent="0.2">
      <c r="A62" s="1">
        <v>38565</v>
      </c>
      <c r="B62" s="2">
        <v>1051</v>
      </c>
      <c r="C62" s="2" t="s">
        <v>3</v>
      </c>
      <c r="D62" s="2">
        <f t="shared" si="0"/>
        <v>1099.424177959525</v>
      </c>
      <c r="E62" s="2">
        <f t="shared" si="1"/>
        <v>-48.424177959524968</v>
      </c>
      <c r="F62" s="2">
        <f t="shared" si="2"/>
        <v>2344.9010110557438</v>
      </c>
    </row>
    <row r="63" spans="1:6" x14ac:dyDescent="0.2">
      <c r="A63" s="1">
        <v>38596</v>
      </c>
      <c r="B63" s="2">
        <v>1000</v>
      </c>
      <c r="C63" s="2" t="s">
        <v>3</v>
      </c>
      <c r="D63" s="2">
        <f t="shared" si="0"/>
        <v>1084.67933102896</v>
      </c>
      <c r="E63" s="2">
        <f t="shared" si="1"/>
        <v>-84.67933102895995</v>
      </c>
      <c r="F63" s="2">
        <f t="shared" si="2"/>
        <v>7170.5891035121795</v>
      </c>
    </row>
    <row r="64" spans="1:6" x14ac:dyDescent="0.2">
      <c r="A64" s="1">
        <v>38626</v>
      </c>
      <c r="B64" s="2">
        <v>1102</v>
      </c>
      <c r="C64" s="2" t="s">
        <v>3</v>
      </c>
      <c r="D64" s="2">
        <f t="shared" si="0"/>
        <v>1058.8950260223105</v>
      </c>
      <c r="E64" s="2">
        <f t="shared" si="1"/>
        <v>43.104973977689497</v>
      </c>
      <c r="F64" s="2">
        <f t="shared" si="2"/>
        <v>1858.0387816172886</v>
      </c>
    </row>
    <row r="65" spans="1:6" x14ac:dyDescent="0.2">
      <c r="A65" s="1">
        <v>38657</v>
      </c>
      <c r="B65" s="2">
        <v>1094</v>
      </c>
      <c r="C65" s="2" t="s">
        <v>3</v>
      </c>
      <c r="D65" s="2">
        <f t="shared" si="0"/>
        <v>1072.0202099702601</v>
      </c>
      <c r="E65" s="2">
        <f t="shared" si="1"/>
        <v>21.979790029739888</v>
      </c>
      <c r="F65" s="2">
        <f t="shared" si="2"/>
        <v>483.11116975145302</v>
      </c>
    </row>
    <row r="66" spans="1:6" x14ac:dyDescent="0.2">
      <c r="A66" s="1">
        <v>38687</v>
      </c>
      <c r="B66" s="2">
        <v>1143</v>
      </c>
      <c r="C66" s="2" t="s">
        <v>3</v>
      </c>
      <c r="D66" s="2">
        <f t="shared" si="0"/>
        <v>1078.7129129382972</v>
      </c>
      <c r="E66" s="2">
        <f t="shared" si="1"/>
        <v>64.287087061702778</v>
      </c>
      <c r="F66" s="2">
        <f t="shared" si="2"/>
        <v>4132.8295628789529</v>
      </c>
    </row>
    <row r="67" spans="1:6" x14ac:dyDescent="0.2">
      <c r="A67" s="1">
        <v>38718</v>
      </c>
      <c r="B67" s="2">
        <v>1094</v>
      </c>
      <c r="C67" s="2" t="s">
        <v>3</v>
      </c>
      <c r="D67" s="2">
        <f t="shared" si="0"/>
        <v>1098.2879124174626</v>
      </c>
      <c r="E67" s="2">
        <f t="shared" si="1"/>
        <v>-4.2879124174626213</v>
      </c>
      <c r="F67" s="2">
        <f t="shared" si="2"/>
        <v>18.386192899830142</v>
      </c>
    </row>
    <row r="68" spans="1:6" x14ac:dyDescent="0.2">
      <c r="A68" s="1">
        <v>38749</v>
      </c>
      <c r="B68" s="2">
        <v>1175</v>
      </c>
      <c r="C68" s="2" t="s">
        <v>3</v>
      </c>
      <c r="D68" s="2">
        <f t="shared" si="0"/>
        <v>1096.9822710021349</v>
      </c>
      <c r="E68" s="2">
        <f t="shared" si="1"/>
        <v>78.017728997865106</v>
      </c>
      <c r="F68" s="2">
        <f t="shared" si="2"/>
        <v>6086.7660379843219</v>
      </c>
    </row>
    <row r="69" spans="1:6" x14ac:dyDescent="0.2">
      <c r="A69" s="1">
        <v>38777</v>
      </c>
      <c r="B69" s="2">
        <v>1212</v>
      </c>
      <c r="C69" s="2" t="s">
        <v>3</v>
      </c>
      <c r="D69" s="2">
        <f t="shared" ref="D69:D132" si="3">($I$5*B68)+((1-$I$5)*D68)</f>
        <v>1120.7381615596439</v>
      </c>
      <c r="E69" s="2">
        <f t="shared" ref="E69:E132" si="4">(B69-D69)</f>
        <v>91.261838440356087</v>
      </c>
      <c r="F69" s="2">
        <f t="shared" ref="F69:F132" si="5">E69^2</f>
        <v>8328.723155513655</v>
      </c>
    </row>
    <row r="70" spans="1:6" x14ac:dyDescent="0.2">
      <c r="A70" s="1">
        <v>38808</v>
      </c>
      <c r="B70" s="2">
        <v>1109</v>
      </c>
      <c r="C70" s="2" t="s">
        <v>3</v>
      </c>
      <c r="D70" s="2">
        <f t="shared" si="3"/>
        <v>1148.5267972186684</v>
      </c>
      <c r="E70" s="2">
        <f t="shared" si="4"/>
        <v>-39.526797218668435</v>
      </c>
      <c r="F70" s="2">
        <f t="shared" si="5"/>
        <v>1562.3676983657347</v>
      </c>
    </row>
    <row r="71" spans="1:6" x14ac:dyDescent="0.2">
      <c r="A71" s="1">
        <v>38838</v>
      </c>
      <c r="B71" s="2">
        <v>1185</v>
      </c>
      <c r="C71" s="2" t="s">
        <v>3</v>
      </c>
      <c r="D71" s="2">
        <f t="shared" si="3"/>
        <v>1136.4911447986749</v>
      </c>
      <c r="E71" s="2">
        <f t="shared" si="4"/>
        <v>48.508855201325105</v>
      </c>
      <c r="F71" s="2">
        <f t="shared" si="5"/>
        <v>2353.1090329431258</v>
      </c>
    </row>
    <row r="72" spans="1:6" x14ac:dyDescent="0.2">
      <c r="A72" s="1">
        <v>38869</v>
      </c>
      <c r="B72" s="2">
        <v>1102</v>
      </c>
      <c r="C72" s="2" t="s">
        <v>3</v>
      </c>
      <c r="D72" s="2">
        <f t="shared" si="3"/>
        <v>1151.2617753980899</v>
      </c>
      <c r="E72" s="2">
        <f t="shared" si="4"/>
        <v>-49.261775398089867</v>
      </c>
      <c r="F72" s="2">
        <f t="shared" si="5"/>
        <v>2426.7225153718518</v>
      </c>
    </row>
    <row r="73" spans="1:6" x14ac:dyDescent="0.2">
      <c r="A73" s="1">
        <v>38899</v>
      </c>
      <c r="B73" s="2">
        <v>1112</v>
      </c>
      <c r="C73" s="2" t="s">
        <v>3</v>
      </c>
      <c r="D73" s="2">
        <f t="shared" si="3"/>
        <v>1136.2618855005303</v>
      </c>
      <c r="E73" s="2">
        <f t="shared" si="4"/>
        <v>-24.261885500530298</v>
      </c>
      <c r="F73" s="2">
        <f t="shared" si="5"/>
        <v>588.63908804084224</v>
      </c>
    </row>
    <row r="74" spans="1:6" x14ac:dyDescent="0.2">
      <c r="A74" s="1">
        <v>38930</v>
      </c>
      <c r="B74" s="2">
        <v>1108</v>
      </c>
      <c r="C74" s="2" t="s">
        <v>3</v>
      </c>
      <c r="D74" s="2">
        <f t="shared" si="3"/>
        <v>1128.8742993188664</v>
      </c>
      <c r="E74" s="2">
        <f t="shared" si="4"/>
        <v>-20.874299318866406</v>
      </c>
      <c r="F74" s="2">
        <f t="shared" si="5"/>
        <v>435.7363720536265</v>
      </c>
    </row>
    <row r="75" spans="1:6" x14ac:dyDescent="0.2">
      <c r="A75" s="1">
        <v>38961</v>
      </c>
      <c r="B75" s="2">
        <v>1089</v>
      </c>
      <c r="C75" s="2" t="s">
        <v>3</v>
      </c>
      <c r="D75" s="2">
        <f t="shared" si="3"/>
        <v>1122.5182110751641</v>
      </c>
      <c r="E75" s="2">
        <f t="shared" si="4"/>
        <v>-33.518211075164118</v>
      </c>
      <c r="F75" s="2">
        <f t="shared" si="5"/>
        <v>1123.4704736792546</v>
      </c>
    </row>
    <row r="76" spans="1:6" x14ac:dyDescent="0.2">
      <c r="A76" s="1">
        <v>38991</v>
      </c>
      <c r="B76" s="2">
        <v>1199</v>
      </c>
      <c r="C76" s="2" t="s">
        <v>3</v>
      </c>
      <c r="D76" s="2">
        <f t="shared" si="3"/>
        <v>1112.3121340178982</v>
      </c>
      <c r="E76" s="2">
        <f t="shared" si="4"/>
        <v>86.687865982101812</v>
      </c>
      <c r="F76" s="2">
        <f t="shared" si="5"/>
        <v>7514.7861085308441</v>
      </c>
    </row>
    <row r="77" spans="1:6" x14ac:dyDescent="0.2">
      <c r="A77" s="1">
        <v>39022</v>
      </c>
      <c r="B77" s="2">
        <v>1126</v>
      </c>
      <c r="C77" s="2" t="s">
        <v>3</v>
      </c>
      <c r="D77" s="2">
        <f t="shared" si="3"/>
        <v>1138.7080248415234</v>
      </c>
      <c r="E77" s="2">
        <f t="shared" si="4"/>
        <v>-12.708024841523411</v>
      </c>
      <c r="F77" s="2">
        <f t="shared" si="5"/>
        <v>161.49389537277611</v>
      </c>
    </row>
    <row r="78" spans="1:6" x14ac:dyDescent="0.2">
      <c r="A78" s="1">
        <v>39052</v>
      </c>
      <c r="B78" s="2">
        <v>1177</v>
      </c>
      <c r="C78" s="2" t="s">
        <v>3</v>
      </c>
      <c r="D78" s="2">
        <f t="shared" si="3"/>
        <v>1134.8385140109069</v>
      </c>
      <c r="E78" s="2">
        <f t="shared" si="4"/>
        <v>42.16148598909308</v>
      </c>
      <c r="F78" s="2">
        <f t="shared" si="5"/>
        <v>1777.5909008084921</v>
      </c>
    </row>
    <row r="79" spans="1:6" x14ac:dyDescent="0.2">
      <c r="A79" s="1">
        <v>39083</v>
      </c>
      <c r="B79" s="2">
        <v>1154</v>
      </c>
      <c r="C79" s="2" t="s">
        <v>3</v>
      </c>
      <c r="D79" s="2">
        <f t="shared" si="3"/>
        <v>1147.6764120087614</v>
      </c>
      <c r="E79" s="2">
        <f t="shared" si="4"/>
        <v>6.3235879912385826</v>
      </c>
      <c r="F79" s="2">
        <f t="shared" si="5"/>
        <v>39.987765082936811</v>
      </c>
    </row>
    <row r="80" spans="1:6" x14ac:dyDescent="0.2">
      <c r="A80" s="1">
        <v>39114</v>
      </c>
      <c r="B80" s="2">
        <v>1232</v>
      </c>
      <c r="C80" s="2" t="s">
        <v>3</v>
      </c>
      <c r="D80" s="2">
        <f t="shared" si="3"/>
        <v>1149.6019033833531</v>
      </c>
      <c r="E80" s="2">
        <f t="shared" si="4"/>
        <v>82.398096616646853</v>
      </c>
      <c r="F80" s="2">
        <f t="shared" si="5"/>
        <v>6789.4463260462699</v>
      </c>
    </row>
    <row r="81" spans="1:6" x14ac:dyDescent="0.2">
      <c r="A81" s="1">
        <v>39142</v>
      </c>
      <c r="B81" s="2">
        <v>1205</v>
      </c>
      <c r="C81" s="2" t="s">
        <v>3</v>
      </c>
      <c r="D81" s="2">
        <f t="shared" si="3"/>
        <v>1174.6915873630765</v>
      </c>
      <c r="E81" s="2">
        <f t="shared" si="4"/>
        <v>30.308412636923549</v>
      </c>
      <c r="F81" s="2">
        <f t="shared" si="5"/>
        <v>918.59987657002705</v>
      </c>
    </row>
    <row r="82" spans="1:6" x14ac:dyDescent="0.2">
      <c r="A82" s="1">
        <v>39173</v>
      </c>
      <c r="B82" s="2">
        <v>1143</v>
      </c>
      <c r="C82" s="2" t="s">
        <v>3</v>
      </c>
      <c r="D82" s="2">
        <f t="shared" si="3"/>
        <v>1183.9203016927936</v>
      </c>
      <c r="E82" s="2">
        <f t="shared" si="4"/>
        <v>-40.920301692793601</v>
      </c>
      <c r="F82" s="2">
        <f t="shared" si="5"/>
        <v>1674.4710906292469</v>
      </c>
    </row>
    <row r="83" spans="1:6" x14ac:dyDescent="0.2">
      <c r="A83" s="1">
        <v>39203</v>
      </c>
      <c r="B83" s="2">
        <v>1227</v>
      </c>
      <c r="C83" s="2" t="s">
        <v>3</v>
      </c>
      <c r="D83" s="2">
        <f t="shared" si="3"/>
        <v>1171.4603362326241</v>
      </c>
      <c r="E83" s="2">
        <f t="shared" si="4"/>
        <v>55.539663767375941</v>
      </c>
      <c r="F83" s="2">
        <f t="shared" si="5"/>
        <v>3084.6542513931718</v>
      </c>
    </row>
    <row r="84" spans="1:6" x14ac:dyDescent="0.2">
      <c r="A84" s="1">
        <v>39234</v>
      </c>
      <c r="B84" s="2">
        <v>1117</v>
      </c>
      <c r="C84" s="2" t="s">
        <v>3</v>
      </c>
      <c r="D84" s="2">
        <f t="shared" si="3"/>
        <v>1188.3718022674113</v>
      </c>
      <c r="E84" s="2">
        <f t="shared" si="4"/>
        <v>-71.37180226741134</v>
      </c>
      <c r="F84" s="2">
        <f t="shared" si="5"/>
        <v>5093.9341588984626</v>
      </c>
    </row>
    <row r="85" spans="1:6" x14ac:dyDescent="0.2">
      <c r="A85" s="1">
        <v>39264</v>
      </c>
      <c r="B85" s="2">
        <v>1180</v>
      </c>
      <c r="C85" s="2" t="s">
        <v>3</v>
      </c>
      <c r="D85" s="2">
        <f t="shared" si="3"/>
        <v>1166.6395531320486</v>
      </c>
      <c r="E85" s="2">
        <f t="shared" si="4"/>
        <v>13.360446867951396</v>
      </c>
      <c r="F85" s="2">
        <f t="shared" si="5"/>
        <v>178.50154051135226</v>
      </c>
    </row>
    <row r="86" spans="1:6" x14ac:dyDescent="0.2">
      <c r="A86" s="1">
        <v>39295</v>
      </c>
      <c r="B86" s="2">
        <v>1102</v>
      </c>
      <c r="C86" s="2" t="s">
        <v>3</v>
      </c>
      <c r="D86" s="2">
        <f t="shared" si="3"/>
        <v>1170.7077222222197</v>
      </c>
      <c r="E86" s="2">
        <f t="shared" si="4"/>
        <v>-68.707722222219672</v>
      </c>
      <c r="F86" s="2">
        <f t="shared" si="5"/>
        <v>4720.7510929656992</v>
      </c>
    </row>
    <row r="87" spans="1:6" x14ac:dyDescent="0.2">
      <c r="A87" s="1">
        <v>39326</v>
      </c>
      <c r="B87" s="2">
        <v>1140</v>
      </c>
      <c r="C87" s="2" t="s">
        <v>3</v>
      </c>
      <c r="D87" s="2">
        <f t="shared" si="3"/>
        <v>1149.7866681165374</v>
      </c>
      <c r="E87" s="2">
        <f t="shared" si="4"/>
        <v>-9.7866681165373848</v>
      </c>
      <c r="F87" s="2">
        <f t="shared" si="5"/>
        <v>95.778872823249401</v>
      </c>
    </row>
    <row r="88" spans="1:6" x14ac:dyDescent="0.2">
      <c r="A88" s="1">
        <v>39356</v>
      </c>
      <c r="B88" s="2">
        <v>1291</v>
      </c>
      <c r="C88" s="2" t="s">
        <v>3</v>
      </c>
      <c r="D88" s="2">
        <f t="shared" si="3"/>
        <v>1146.8066913896387</v>
      </c>
      <c r="E88" s="2">
        <f t="shared" si="4"/>
        <v>144.19330861036133</v>
      </c>
      <c r="F88" s="2">
        <f t="shared" si="5"/>
        <v>20791.710248002903</v>
      </c>
    </row>
    <row r="89" spans="1:6" x14ac:dyDescent="0.2">
      <c r="A89" s="1">
        <v>39387</v>
      </c>
      <c r="B89" s="2">
        <v>1247</v>
      </c>
      <c r="C89" s="2" t="s">
        <v>3</v>
      </c>
      <c r="D89" s="2">
        <f t="shared" si="3"/>
        <v>1190.7126151132916</v>
      </c>
      <c r="E89" s="2">
        <f t="shared" si="4"/>
        <v>56.287384886708423</v>
      </c>
      <c r="F89" s="2">
        <f t="shared" si="5"/>
        <v>3168.2696973844518</v>
      </c>
    </row>
    <row r="90" spans="1:6" x14ac:dyDescent="0.2">
      <c r="A90" s="1">
        <v>39417</v>
      </c>
      <c r="B90" s="2">
        <v>1207</v>
      </c>
      <c r="C90" s="2" t="s">
        <v>3</v>
      </c>
      <c r="D90" s="2">
        <f t="shared" si="3"/>
        <v>1207.8517573609931</v>
      </c>
      <c r="E90" s="2">
        <f t="shared" si="4"/>
        <v>-0.85175736099313326</v>
      </c>
      <c r="F90" s="2">
        <f t="shared" si="5"/>
        <v>0.7254906020059867</v>
      </c>
    </row>
    <row r="91" spans="1:6" x14ac:dyDescent="0.2">
      <c r="A91" s="1">
        <v>39448</v>
      </c>
      <c r="B91" s="2">
        <v>1196</v>
      </c>
      <c r="C91" s="2" t="s">
        <v>3</v>
      </c>
      <c r="D91" s="2">
        <f t="shared" si="3"/>
        <v>1207.592402789805</v>
      </c>
      <c r="E91" s="2">
        <f t="shared" si="4"/>
        <v>-11.592402789804964</v>
      </c>
      <c r="F91" s="2">
        <f t="shared" si="5"/>
        <v>134.38380244107793</v>
      </c>
    </row>
    <row r="92" spans="1:6" x14ac:dyDescent="0.2">
      <c r="A92" s="1">
        <v>39479</v>
      </c>
      <c r="B92" s="2">
        <v>1256</v>
      </c>
      <c r="C92" s="2" t="s">
        <v>3</v>
      </c>
      <c r="D92" s="2">
        <f t="shared" si="3"/>
        <v>1204.062591610852</v>
      </c>
      <c r="E92" s="2">
        <f t="shared" si="4"/>
        <v>51.937408389148004</v>
      </c>
      <c r="F92" s="2">
        <f t="shared" si="5"/>
        <v>2697.4943901811416</v>
      </c>
    </row>
    <row r="93" spans="1:6" x14ac:dyDescent="0.2">
      <c r="A93" s="1">
        <v>39508</v>
      </c>
      <c r="B93" s="2">
        <v>1205</v>
      </c>
      <c r="C93" s="2" t="s">
        <v>3</v>
      </c>
      <c r="D93" s="2">
        <f t="shared" si="3"/>
        <v>1219.8771943348945</v>
      </c>
      <c r="E93" s="2">
        <f t="shared" si="4"/>
        <v>-14.877194334894511</v>
      </c>
      <c r="F93" s="2">
        <f t="shared" si="5"/>
        <v>221.33091127821734</v>
      </c>
    </row>
    <row r="94" spans="1:6" x14ac:dyDescent="0.2">
      <c r="A94" s="1">
        <v>39539</v>
      </c>
      <c r="B94" s="2">
        <v>1177</v>
      </c>
      <c r="C94" s="2" t="s">
        <v>3</v>
      </c>
      <c r="D94" s="2">
        <f t="shared" si="3"/>
        <v>1215.3471855155885</v>
      </c>
      <c r="E94" s="2">
        <f t="shared" si="4"/>
        <v>-38.347185515588535</v>
      </c>
      <c r="F94" s="2">
        <f t="shared" si="5"/>
        <v>1470.5066369669632</v>
      </c>
    </row>
    <row r="95" spans="1:6" x14ac:dyDescent="0.2">
      <c r="A95" s="1">
        <v>39569</v>
      </c>
      <c r="B95" s="2">
        <v>1263</v>
      </c>
      <c r="C95" s="2" t="s">
        <v>3</v>
      </c>
      <c r="D95" s="2">
        <f t="shared" si="3"/>
        <v>1203.6707171795038</v>
      </c>
      <c r="E95" s="2">
        <f t="shared" si="4"/>
        <v>59.329282820496246</v>
      </c>
      <c r="F95" s="2">
        <f t="shared" si="5"/>
        <v>3519.9637999944312</v>
      </c>
    </row>
    <row r="96" spans="1:6" x14ac:dyDescent="0.2">
      <c r="A96" s="1">
        <v>39600</v>
      </c>
      <c r="B96" s="2">
        <v>1185</v>
      </c>
      <c r="C96" s="2" t="s">
        <v>3</v>
      </c>
      <c r="D96" s="2">
        <f t="shared" si="3"/>
        <v>1221.7360975442384</v>
      </c>
      <c r="E96" s="2">
        <f t="shared" si="4"/>
        <v>-36.736097544238419</v>
      </c>
      <c r="F96" s="2">
        <f t="shared" si="5"/>
        <v>1349.5408627797999</v>
      </c>
    </row>
    <row r="97" spans="1:6" x14ac:dyDescent="0.2">
      <c r="A97" s="1">
        <v>39630</v>
      </c>
      <c r="B97" s="2">
        <v>1261</v>
      </c>
      <c r="C97" s="2" t="s">
        <v>3</v>
      </c>
      <c r="D97" s="2">
        <f t="shared" si="3"/>
        <v>1210.550195006691</v>
      </c>
      <c r="E97" s="2">
        <f t="shared" si="4"/>
        <v>50.449804993309044</v>
      </c>
      <c r="F97" s="2">
        <f t="shared" si="5"/>
        <v>2545.18282386291</v>
      </c>
    </row>
    <row r="98" spans="1:6" x14ac:dyDescent="0.2">
      <c r="A98" s="1">
        <v>39661</v>
      </c>
      <c r="B98" s="2">
        <v>1196</v>
      </c>
      <c r="C98" s="2" t="s">
        <v>3</v>
      </c>
      <c r="D98" s="2">
        <f t="shared" si="3"/>
        <v>1225.9118321815122</v>
      </c>
      <c r="E98" s="2">
        <f t="shared" si="4"/>
        <v>-29.911832181512182</v>
      </c>
      <c r="F98" s="2">
        <f t="shared" si="5"/>
        <v>894.71770445494781</v>
      </c>
    </row>
    <row r="99" spans="1:6" x14ac:dyDescent="0.2">
      <c r="A99" s="1">
        <v>39692</v>
      </c>
      <c r="B99" s="2">
        <v>1251</v>
      </c>
      <c r="C99" s="2" t="s">
        <v>3</v>
      </c>
      <c r="D99" s="2">
        <f t="shared" si="3"/>
        <v>1216.8038740185921</v>
      </c>
      <c r="E99" s="2">
        <f t="shared" si="4"/>
        <v>34.196125981407931</v>
      </c>
      <c r="F99" s="2">
        <f t="shared" si="5"/>
        <v>1169.3750321363225</v>
      </c>
    </row>
    <row r="100" spans="1:6" x14ac:dyDescent="0.2">
      <c r="A100" s="1">
        <v>39722</v>
      </c>
      <c r="B100" s="2">
        <v>1414</v>
      </c>
      <c r="C100" s="2" t="s">
        <v>3</v>
      </c>
      <c r="D100" s="2">
        <f t="shared" si="3"/>
        <v>1227.216371751349</v>
      </c>
      <c r="E100" s="2">
        <f t="shared" si="4"/>
        <v>186.78362824865098</v>
      </c>
      <c r="F100" s="2">
        <f t="shared" si="5"/>
        <v>34888.123781730254</v>
      </c>
    </row>
    <row r="101" spans="1:6" x14ac:dyDescent="0.2">
      <c r="A101" s="1">
        <v>39753</v>
      </c>
      <c r="B101" s="2">
        <v>1291</v>
      </c>
      <c r="C101" s="2" t="s">
        <v>3</v>
      </c>
      <c r="D101" s="2">
        <f t="shared" si="3"/>
        <v>1284.0907705271818</v>
      </c>
      <c r="E101" s="2">
        <f t="shared" si="4"/>
        <v>6.9092294728181969</v>
      </c>
      <c r="F101" s="2">
        <f t="shared" si="5"/>
        <v>47.737451908059619</v>
      </c>
    </row>
    <row r="102" spans="1:6" x14ac:dyDescent="0.2">
      <c r="A102" s="1">
        <v>39783</v>
      </c>
      <c r="B102" s="2">
        <v>1293</v>
      </c>
      <c r="C102" s="2" t="s">
        <v>3</v>
      </c>
      <c r="D102" s="2">
        <f t="shared" si="3"/>
        <v>1286.1945859201865</v>
      </c>
      <c r="E102" s="2">
        <f t="shared" si="4"/>
        <v>6.805414079813545</v>
      </c>
      <c r="F102" s="2">
        <f t="shared" si="5"/>
        <v>46.313660797724438</v>
      </c>
    </row>
    <row r="103" spans="1:6" x14ac:dyDescent="0.2">
      <c r="A103" s="1">
        <v>39814</v>
      </c>
      <c r="B103" s="2">
        <v>1289</v>
      </c>
      <c r="C103" s="2" t="s">
        <v>3</v>
      </c>
      <c r="D103" s="2">
        <f t="shared" si="3"/>
        <v>1288.2667902018952</v>
      </c>
      <c r="E103" s="2">
        <f t="shared" si="4"/>
        <v>0.73320979810478093</v>
      </c>
      <c r="F103" s="2">
        <f t="shared" si="5"/>
        <v>0.53759660803685361</v>
      </c>
    </row>
    <row r="104" spans="1:6" x14ac:dyDescent="0.2">
      <c r="A104" s="1">
        <v>39845</v>
      </c>
      <c r="B104" s="2">
        <v>1320</v>
      </c>
      <c r="C104" s="2" t="s">
        <v>3</v>
      </c>
      <c r="D104" s="2">
        <f t="shared" si="3"/>
        <v>1288.4900478119691</v>
      </c>
      <c r="E104" s="2">
        <f t="shared" si="4"/>
        <v>31.509952188030866</v>
      </c>
      <c r="F104" s="2">
        <f t="shared" si="5"/>
        <v>992.8770868919911</v>
      </c>
    </row>
    <row r="105" spans="1:6" x14ac:dyDescent="0.2">
      <c r="A105" s="1">
        <v>39873</v>
      </c>
      <c r="B105" s="2">
        <v>1313</v>
      </c>
      <c r="C105" s="2" t="s">
        <v>3</v>
      </c>
      <c r="D105" s="2">
        <f t="shared" si="3"/>
        <v>1298.0846231125611</v>
      </c>
      <c r="E105" s="2">
        <f t="shared" si="4"/>
        <v>14.915376887438924</v>
      </c>
      <c r="F105" s="2">
        <f t="shared" si="5"/>
        <v>222.46846769434725</v>
      </c>
    </row>
    <row r="106" spans="1:6" x14ac:dyDescent="0.2">
      <c r="A106" s="1">
        <v>39904</v>
      </c>
      <c r="B106" s="2">
        <v>1265</v>
      </c>
      <c r="C106" s="2" t="s">
        <v>3</v>
      </c>
      <c r="D106" s="2">
        <f t="shared" si="3"/>
        <v>1302.6262582705351</v>
      </c>
      <c r="E106" s="2">
        <f t="shared" si="4"/>
        <v>-37.626258270535118</v>
      </c>
      <c r="F106" s="2">
        <f t="shared" si="5"/>
        <v>1415.7353114410123</v>
      </c>
    </row>
    <row r="107" spans="1:6" x14ac:dyDescent="0.2">
      <c r="A107" s="1">
        <v>39934</v>
      </c>
      <c r="B107" s="2">
        <v>1233</v>
      </c>
      <c r="C107" s="2" t="s">
        <v>3</v>
      </c>
      <c r="D107" s="2">
        <f t="shared" si="3"/>
        <v>1291.1693075870837</v>
      </c>
      <c r="E107" s="2">
        <f t="shared" si="4"/>
        <v>-58.169307587083722</v>
      </c>
      <c r="F107" s="2">
        <f t="shared" si="5"/>
        <v>3383.668345160756</v>
      </c>
    </row>
    <row r="108" spans="1:6" x14ac:dyDescent="0.2">
      <c r="A108" s="1">
        <v>39965</v>
      </c>
      <c r="B108" s="2">
        <v>1187</v>
      </c>
      <c r="C108" s="2" t="s">
        <v>3</v>
      </c>
      <c r="D108" s="2">
        <f t="shared" si="3"/>
        <v>1273.4571321290841</v>
      </c>
      <c r="E108" s="2">
        <f t="shared" si="4"/>
        <v>-86.45713212908413</v>
      </c>
      <c r="F108" s="2">
        <f t="shared" si="5"/>
        <v>7474.8356959859111</v>
      </c>
    </row>
    <row r="109" spans="1:6" x14ac:dyDescent="0.2">
      <c r="A109" s="1">
        <v>39995</v>
      </c>
      <c r="B109" s="2">
        <v>1278</v>
      </c>
      <c r="C109" s="2" t="s">
        <v>3</v>
      </c>
      <c r="D109" s="2">
        <f t="shared" si="3"/>
        <v>1247.1314982615456</v>
      </c>
      <c r="E109" s="2">
        <f t="shared" si="4"/>
        <v>30.86850173845437</v>
      </c>
      <c r="F109" s="2">
        <f t="shared" si="5"/>
        <v>952.86439957696041</v>
      </c>
    </row>
    <row r="110" spans="1:6" x14ac:dyDescent="0.2">
      <c r="A110" s="1">
        <v>40026</v>
      </c>
      <c r="B110" s="2">
        <v>1197</v>
      </c>
      <c r="C110" s="2" t="s">
        <v>3</v>
      </c>
      <c r="D110" s="2">
        <f t="shared" si="3"/>
        <v>1256.5307560763054</v>
      </c>
      <c r="E110" s="2">
        <f t="shared" si="4"/>
        <v>-59.530756076305352</v>
      </c>
      <c r="F110" s="2">
        <f t="shared" si="5"/>
        <v>3543.9109190165664</v>
      </c>
    </row>
    <row r="111" spans="1:6" x14ac:dyDescent="0.2">
      <c r="A111" s="1">
        <v>40057</v>
      </c>
      <c r="B111" s="2">
        <v>1181</v>
      </c>
      <c r="C111" s="2" t="s">
        <v>3</v>
      </c>
      <c r="D111" s="2">
        <f t="shared" si="3"/>
        <v>1238.4040284168373</v>
      </c>
      <c r="E111" s="2">
        <f t="shared" si="4"/>
        <v>-57.404028416837264</v>
      </c>
      <c r="F111" s="2">
        <f t="shared" si="5"/>
        <v>3295.2224784810601</v>
      </c>
    </row>
    <row r="112" spans="1:6" x14ac:dyDescent="0.2">
      <c r="A112" s="1">
        <v>40087</v>
      </c>
      <c r="B112" s="2">
        <v>1367</v>
      </c>
      <c r="C112" s="2" t="s">
        <v>3</v>
      </c>
      <c r="D112" s="2">
        <f t="shared" si="3"/>
        <v>1220.9248754839462</v>
      </c>
      <c r="E112" s="2">
        <f t="shared" si="4"/>
        <v>146.07512451605385</v>
      </c>
      <c r="F112" s="2">
        <f t="shared" si="5"/>
        <v>21337.942002380634</v>
      </c>
    </row>
    <row r="113" spans="1:6" x14ac:dyDescent="0.2">
      <c r="A113" s="1">
        <v>40118</v>
      </c>
      <c r="B113" s="2">
        <v>1234</v>
      </c>
      <c r="C113" s="2" t="s">
        <v>3</v>
      </c>
      <c r="D113" s="2">
        <f t="shared" si="3"/>
        <v>1265.4037998996114</v>
      </c>
      <c r="E113" s="2">
        <f t="shared" si="4"/>
        <v>-31.403799899611386</v>
      </c>
      <c r="F113" s="2">
        <f t="shared" si="5"/>
        <v>986.19864813483207</v>
      </c>
    </row>
    <row r="114" spans="1:6" x14ac:dyDescent="0.2">
      <c r="A114" s="1">
        <v>40148</v>
      </c>
      <c r="B114" s="2">
        <v>1254</v>
      </c>
      <c r="C114" s="2" t="s">
        <v>3</v>
      </c>
      <c r="D114" s="2">
        <f t="shared" si="3"/>
        <v>1255.8415472797549</v>
      </c>
      <c r="E114" s="2">
        <f t="shared" si="4"/>
        <v>-1.8415472797548773</v>
      </c>
      <c r="F114" s="2">
        <f t="shared" si="5"/>
        <v>3.3912963835725884</v>
      </c>
    </row>
    <row r="115" spans="1:6" x14ac:dyDescent="0.2">
      <c r="A115" s="1">
        <v>40179</v>
      </c>
      <c r="B115" s="2">
        <v>1287</v>
      </c>
      <c r="C115" s="2" t="s">
        <v>3</v>
      </c>
      <c r="D115" s="2">
        <f t="shared" si="3"/>
        <v>1255.2808081221779</v>
      </c>
      <c r="E115" s="2">
        <f t="shared" si="4"/>
        <v>31.719191877822141</v>
      </c>
      <c r="F115" s="2">
        <f t="shared" si="5"/>
        <v>1006.107133382098</v>
      </c>
    </row>
    <row r="116" spans="1:6" x14ac:dyDescent="0.2">
      <c r="A116" s="1">
        <v>40210</v>
      </c>
      <c r="B116" s="2">
        <v>1314</v>
      </c>
      <c r="C116" s="2" t="s">
        <v>3</v>
      </c>
      <c r="D116" s="2">
        <f t="shared" si="3"/>
        <v>1264.9390955460888</v>
      </c>
      <c r="E116" s="2">
        <f t="shared" si="4"/>
        <v>49.060904453911235</v>
      </c>
      <c r="F116" s="2">
        <f t="shared" si="5"/>
        <v>2406.9723458358071</v>
      </c>
    </row>
    <row r="117" spans="1:6" x14ac:dyDescent="0.2">
      <c r="A117" s="1">
        <v>40238</v>
      </c>
      <c r="B117" s="2">
        <v>1395</v>
      </c>
      <c r="C117" s="2" t="s">
        <v>3</v>
      </c>
      <c r="D117" s="2">
        <f t="shared" si="3"/>
        <v>1279.8778215488851</v>
      </c>
      <c r="E117" s="2">
        <f t="shared" si="4"/>
        <v>115.12217845111491</v>
      </c>
      <c r="F117" s="2">
        <f t="shared" si="5"/>
        <v>13253.115971330346</v>
      </c>
    </row>
    <row r="118" spans="1:6" x14ac:dyDescent="0.2">
      <c r="A118" s="1">
        <v>40269</v>
      </c>
      <c r="B118" s="2">
        <v>1337</v>
      </c>
      <c r="C118" s="2" t="s">
        <v>3</v>
      </c>
      <c r="D118" s="2">
        <f t="shared" si="3"/>
        <v>1314.9317754021376</v>
      </c>
      <c r="E118" s="2">
        <f t="shared" si="4"/>
        <v>22.068224597862354</v>
      </c>
      <c r="F118" s="2">
        <f t="shared" si="5"/>
        <v>487.00653690169707</v>
      </c>
    </row>
    <row r="119" spans="1:6" x14ac:dyDescent="0.2">
      <c r="A119" s="1">
        <v>40299</v>
      </c>
      <c r="B119" s="2">
        <v>1363</v>
      </c>
      <c r="C119" s="2" t="s">
        <v>3</v>
      </c>
      <c r="D119" s="2">
        <f t="shared" si="3"/>
        <v>1321.6514061204284</v>
      </c>
      <c r="E119" s="2">
        <f t="shared" si="4"/>
        <v>41.348593879571581</v>
      </c>
      <c r="F119" s="2">
        <f t="shared" si="5"/>
        <v>1709.7062158177444</v>
      </c>
    </row>
    <row r="120" spans="1:6" x14ac:dyDescent="0.2">
      <c r="A120" s="1">
        <v>40330</v>
      </c>
      <c r="B120" s="2">
        <v>1352</v>
      </c>
      <c r="C120" s="2" t="s">
        <v>3</v>
      </c>
      <c r="D120" s="2">
        <f t="shared" si="3"/>
        <v>1334.2417837631417</v>
      </c>
      <c r="E120" s="2">
        <f t="shared" si="4"/>
        <v>17.758216236858289</v>
      </c>
      <c r="F120" s="2">
        <f t="shared" si="5"/>
        <v>315.35424391501738</v>
      </c>
    </row>
    <row r="121" spans="1:6" x14ac:dyDescent="0.2">
      <c r="A121" s="1">
        <v>40360</v>
      </c>
      <c r="B121" s="2">
        <v>1403</v>
      </c>
      <c r="C121" s="2" t="s">
        <v>3</v>
      </c>
      <c r="D121" s="2">
        <f t="shared" si="3"/>
        <v>1339.6490449951486</v>
      </c>
      <c r="E121" s="2">
        <f t="shared" si="4"/>
        <v>63.350955004851357</v>
      </c>
      <c r="F121" s="2">
        <f t="shared" si="5"/>
        <v>4013.3435000267013</v>
      </c>
    </row>
    <row r="122" spans="1:6" x14ac:dyDescent="0.2">
      <c r="A122" s="1">
        <v>40391</v>
      </c>
      <c r="B122" s="2">
        <v>1289</v>
      </c>
      <c r="C122" s="2" t="s">
        <v>3</v>
      </c>
      <c r="D122" s="2">
        <f t="shared" si="3"/>
        <v>1358.9389983575454</v>
      </c>
      <c r="E122" s="2">
        <f t="shared" si="4"/>
        <v>-69.938998357545415</v>
      </c>
      <c r="F122" s="2">
        <f t="shared" si="5"/>
        <v>4891.4634912567399</v>
      </c>
    </row>
    <row r="123" spans="1:6" x14ac:dyDescent="0.2">
      <c r="A123" s="1">
        <v>40422</v>
      </c>
      <c r="B123" s="2">
        <v>1274</v>
      </c>
      <c r="C123" s="2" t="s">
        <v>3</v>
      </c>
      <c r="D123" s="2">
        <f t="shared" si="3"/>
        <v>1337.6430286846889</v>
      </c>
      <c r="E123" s="2">
        <f t="shared" si="4"/>
        <v>-63.643028684688943</v>
      </c>
      <c r="F123" s="2">
        <f t="shared" si="5"/>
        <v>4050.4351001601394</v>
      </c>
    </row>
    <row r="124" spans="1:6" x14ac:dyDescent="0.2">
      <c r="A124" s="1">
        <v>40452</v>
      </c>
      <c r="B124" s="2">
        <v>1430</v>
      </c>
      <c r="C124" s="2" t="s">
        <v>3</v>
      </c>
      <c r="D124" s="2">
        <f t="shared" si="3"/>
        <v>1318.2641407882818</v>
      </c>
      <c r="E124" s="2">
        <f t="shared" si="4"/>
        <v>111.73585921171821</v>
      </c>
      <c r="F124" s="2">
        <f t="shared" si="5"/>
        <v>12484.902233780913</v>
      </c>
    </row>
    <row r="125" spans="1:6" x14ac:dyDescent="0.2">
      <c r="A125" s="1">
        <v>40483</v>
      </c>
      <c r="B125" s="2">
        <v>1343</v>
      </c>
      <c r="C125" s="2" t="s">
        <v>3</v>
      </c>
      <c r="D125" s="2">
        <f t="shared" si="3"/>
        <v>1352.2869824792449</v>
      </c>
      <c r="E125" s="2">
        <f t="shared" si="4"/>
        <v>-9.2869824792448981</v>
      </c>
      <c r="F125" s="2">
        <f t="shared" si="5"/>
        <v>86.248043569801709</v>
      </c>
    </row>
    <row r="126" spans="1:6" x14ac:dyDescent="0.2">
      <c r="A126" s="1">
        <v>40513</v>
      </c>
      <c r="B126" s="2">
        <v>1405</v>
      </c>
      <c r="C126" s="2" t="s">
        <v>3</v>
      </c>
      <c r="D126" s="2">
        <f t="shared" si="3"/>
        <v>1349.4591567757757</v>
      </c>
      <c r="E126" s="2">
        <f t="shared" si="4"/>
        <v>55.540843224224318</v>
      </c>
      <c r="F126" s="2">
        <f t="shared" si="5"/>
        <v>3084.7852660578642</v>
      </c>
    </row>
    <row r="127" spans="1:6" x14ac:dyDescent="0.2">
      <c r="A127" s="1">
        <v>40544</v>
      </c>
      <c r="B127" s="2">
        <v>1372</v>
      </c>
      <c r="C127" s="2" t="s">
        <v>3</v>
      </c>
      <c r="D127" s="2">
        <f t="shared" si="3"/>
        <v>1366.3709819474946</v>
      </c>
      <c r="E127" s="2">
        <f t="shared" si="4"/>
        <v>5.6290180525054438</v>
      </c>
      <c r="F127" s="2">
        <f t="shared" si="5"/>
        <v>31.685844235432178</v>
      </c>
    </row>
    <row r="128" spans="1:6" x14ac:dyDescent="0.2">
      <c r="A128" s="1">
        <v>40575</v>
      </c>
      <c r="B128" s="2">
        <v>1426</v>
      </c>
      <c r="C128" s="2" t="s">
        <v>3</v>
      </c>
      <c r="D128" s="2">
        <f t="shared" si="3"/>
        <v>1368.0849812976321</v>
      </c>
      <c r="E128" s="2">
        <f t="shared" si="4"/>
        <v>57.915018702367888</v>
      </c>
      <c r="F128" s="2">
        <f t="shared" si="5"/>
        <v>3354.1493912956221</v>
      </c>
    </row>
    <row r="129" spans="1:6" x14ac:dyDescent="0.2">
      <c r="A129" s="1">
        <v>40603</v>
      </c>
      <c r="B129" s="2">
        <v>1431</v>
      </c>
      <c r="C129" s="2" t="s">
        <v>3</v>
      </c>
      <c r="D129" s="2">
        <f t="shared" si="3"/>
        <v>1385.719727445744</v>
      </c>
      <c r="E129" s="2">
        <f t="shared" si="4"/>
        <v>45.280272554256044</v>
      </c>
      <c r="F129" s="2">
        <f t="shared" si="5"/>
        <v>2050.3030825877131</v>
      </c>
    </row>
    <row r="130" spans="1:6" x14ac:dyDescent="0.2">
      <c r="A130" s="1">
        <v>40634</v>
      </c>
      <c r="B130" s="2">
        <v>1297</v>
      </c>
      <c r="C130" s="2" t="s">
        <v>3</v>
      </c>
      <c r="D130" s="2">
        <f t="shared" si="3"/>
        <v>1399.5072756483137</v>
      </c>
      <c r="E130" s="2">
        <f t="shared" si="4"/>
        <v>-102.50727564831368</v>
      </c>
      <c r="F130" s="2">
        <f t="shared" si="5"/>
        <v>10507.741560839362</v>
      </c>
    </row>
    <row r="131" spans="1:6" x14ac:dyDescent="0.2">
      <c r="A131" s="1">
        <v>40664</v>
      </c>
      <c r="B131" s="2">
        <v>1349</v>
      </c>
      <c r="C131" s="2" t="s">
        <v>3</v>
      </c>
      <c r="D131" s="2">
        <f t="shared" si="3"/>
        <v>1368.2944775711433</v>
      </c>
      <c r="E131" s="2">
        <f t="shared" si="4"/>
        <v>-19.294477571143261</v>
      </c>
      <c r="F131" s="2">
        <f t="shared" si="5"/>
        <v>372.27686474335036</v>
      </c>
    </row>
    <row r="132" spans="1:6" x14ac:dyDescent="0.2">
      <c r="A132" s="1">
        <v>40695</v>
      </c>
      <c r="B132" s="2">
        <v>1347</v>
      </c>
      <c r="C132" s="2" t="s">
        <v>3</v>
      </c>
      <c r="D132" s="2">
        <f t="shared" si="3"/>
        <v>1362.4194347644379</v>
      </c>
      <c r="E132" s="2">
        <f t="shared" si="4"/>
        <v>-15.419434764437938</v>
      </c>
      <c r="F132" s="2">
        <f t="shared" si="5"/>
        <v>237.75896845475725</v>
      </c>
    </row>
    <row r="133" spans="1:6" x14ac:dyDescent="0.2">
      <c r="A133" s="1">
        <v>40725</v>
      </c>
      <c r="B133" s="2">
        <v>1367</v>
      </c>
      <c r="C133" s="2" t="s">
        <v>3</v>
      </c>
      <c r="D133" s="2">
        <f t="shared" ref="D133:D196" si="6">($I$5*B132)+((1-$I$5)*D132)</f>
        <v>1357.7243172645083</v>
      </c>
      <c r="E133" s="2">
        <f t="shared" ref="E133:E196" si="7">(B133-D133)</f>
        <v>9.2756827354917277</v>
      </c>
      <c r="F133" s="2">
        <f t="shared" ref="F133:F196" si="8">E133^2</f>
        <v>86.038290209499294</v>
      </c>
    </row>
    <row r="134" spans="1:6" x14ac:dyDescent="0.2">
      <c r="A134" s="1">
        <v>40756</v>
      </c>
      <c r="B134" s="2">
        <v>1328</v>
      </c>
      <c r="C134" s="2" t="s">
        <v>3</v>
      </c>
      <c r="D134" s="2">
        <f t="shared" si="6"/>
        <v>1360.5487022695697</v>
      </c>
      <c r="E134" s="2">
        <f t="shared" si="7"/>
        <v>-32.548702269569731</v>
      </c>
      <c r="F134" s="2">
        <f t="shared" si="8"/>
        <v>1059.4180194330938</v>
      </c>
    </row>
    <row r="135" spans="1:6" x14ac:dyDescent="0.2">
      <c r="A135" s="1">
        <v>40787</v>
      </c>
      <c r="B135" s="2">
        <v>1280</v>
      </c>
      <c r="C135" s="2" t="s">
        <v>3</v>
      </c>
      <c r="D135" s="2">
        <f t="shared" si="6"/>
        <v>1350.6378343317706</v>
      </c>
      <c r="E135" s="2">
        <f t="shared" si="7"/>
        <v>-70.637834331770591</v>
      </c>
      <c r="F135" s="2">
        <f t="shared" si="8"/>
        <v>4989.7036390826679</v>
      </c>
    </row>
    <row r="136" spans="1:6" x14ac:dyDescent="0.2">
      <c r="A136" s="1">
        <v>40817</v>
      </c>
      <c r="B136" s="2">
        <v>1478</v>
      </c>
      <c r="C136" s="2" t="s">
        <v>3</v>
      </c>
      <c r="D136" s="2">
        <f t="shared" si="6"/>
        <v>1329.1290736544258</v>
      </c>
      <c r="E136" s="2">
        <f t="shared" si="7"/>
        <v>148.87092634557416</v>
      </c>
      <c r="F136" s="2">
        <f t="shared" si="8"/>
        <v>22162.552710989366</v>
      </c>
    </row>
    <row r="137" spans="1:6" x14ac:dyDescent="0.2">
      <c r="A137" s="1">
        <v>40848</v>
      </c>
      <c r="B137" s="2">
        <v>1407</v>
      </c>
      <c r="C137" s="2" t="s">
        <v>3</v>
      </c>
      <c r="D137" s="2">
        <f t="shared" si="6"/>
        <v>1374.4593015255452</v>
      </c>
      <c r="E137" s="2">
        <f t="shared" si="7"/>
        <v>32.540698474454757</v>
      </c>
      <c r="F137" s="2">
        <f t="shared" si="8"/>
        <v>1058.8970572053822</v>
      </c>
    </row>
    <row r="138" spans="1:6" x14ac:dyDescent="0.2">
      <c r="A138" s="1">
        <v>40878</v>
      </c>
      <c r="B138" s="2">
        <v>1523</v>
      </c>
      <c r="C138" s="2" t="s">
        <v>3</v>
      </c>
      <c r="D138" s="2">
        <f t="shared" si="6"/>
        <v>1384.3677323598392</v>
      </c>
      <c r="E138" s="2">
        <f t="shared" si="7"/>
        <v>138.63226764016076</v>
      </c>
      <c r="F138" s="2">
        <f t="shared" si="8"/>
        <v>19218.905631053163</v>
      </c>
    </row>
    <row r="139" spans="1:6" x14ac:dyDescent="0.2">
      <c r="A139" s="1">
        <v>40909</v>
      </c>
      <c r="B139" s="2">
        <v>1403</v>
      </c>
      <c r="C139" s="2" t="s">
        <v>3</v>
      </c>
      <c r="D139" s="2">
        <f t="shared" si="6"/>
        <v>1426.5803553123619</v>
      </c>
      <c r="E139" s="2">
        <f t="shared" si="7"/>
        <v>-23.580355312361917</v>
      </c>
      <c r="F139" s="2">
        <f t="shared" si="8"/>
        <v>556.03315665723483</v>
      </c>
    </row>
    <row r="140" spans="1:6" x14ac:dyDescent="0.2">
      <c r="A140" s="1">
        <v>40940</v>
      </c>
      <c r="B140" s="2">
        <v>1477</v>
      </c>
      <c r="C140" s="2" t="s">
        <v>3</v>
      </c>
      <c r="D140" s="2">
        <f t="shared" si="6"/>
        <v>1419.4002906359985</v>
      </c>
      <c r="E140" s="2">
        <f t="shared" si="7"/>
        <v>57.599709364001455</v>
      </c>
      <c r="F140" s="2">
        <f t="shared" si="8"/>
        <v>3317.726518817437</v>
      </c>
    </row>
    <row r="141" spans="1:6" x14ac:dyDescent="0.2">
      <c r="A141" s="1">
        <v>40969</v>
      </c>
      <c r="B141" s="2">
        <v>1572</v>
      </c>
      <c r="C141" s="2" t="s">
        <v>3</v>
      </c>
      <c r="D141" s="2">
        <f t="shared" si="6"/>
        <v>1436.9390271433506</v>
      </c>
      <c r="E141" s="2">
        <f t="shared" si="7"/>
        <v>135.06097285664941</v>
      </c>
      <c r="F141" s="2">
        <f t="shared" si="8"/>
        <v>18241.466388984591</v>
      </c>
    </row>
    <row r="142" spans="1:6" x14ac:dyDescent="0.2">
      <c r="A142" s="1">
        <v>41000</v>
      </c>
      <c r="B142" s="2">
        <v>1434</v>
      </c>
      <c r="C142" s="2" t="s">
        <v>3</v>
      </c>
      <c r="D142" s="2">
        <f t="shared" si="6"/>
        <v>1478.0642140846555</v>
      </c>
      <c r="E142" s="2">
        <f t="shared" si="7"/>
        <v>-44.064214084655532</v>
      </c>
      <c r="F142" s="2">
        <f t="shared" si="8"/>
        <v>1941.6549628983551</v>
      </c>
    </row>
    <row r="143" spans="1:6" x14ac:dyDescent="0.2">
      <c r="A143" s="1">
        <v>41030</v>
      </c>
      <c r="B143" s="2">
        <v>1508</v>
      </c>
      <c r="C143" s="2" t="s">
        <v>3</v>
      </c>
      <c r="D143" s="2">
        <f t="shared" si="6"/>
        <v>1464.6469477691187</v>
      </c>
      <c r="E143" s="2">
        <f t="shared" si="7"/>
        <v>43.353052230881303</v>
      </c>
      <c r="F143" s="2">
        <f t="shared" si="8"/>
        <v>1879.4871377335223</v>
      </c>
    </row>
    <row r="144" spans="1:6" x14ac:dyDescent="0.2">
      <c r="A144" s="1">
        <v>41061</v>
      </c>
      <c r="B144" s="2">
        <v>1428</v>
      </c>
      <c r="C144" s="2" t="s">
        <v>3</v>
      </c>
      <c r="D144" s="2">
        <f t="shared" si="6"/>
        <v>1477.8476699300902</v>
      </c>
      <c r="E144" s="2">
        <f t="shared" si="7"/>
        <v>-49.847669930090206</v>
      </c>
      <c r="F144" s="2">
        <f t="shared" si="8"/>
        <v>2484.7901974592191</v>
      </c>
    </row>
    <row r="145" spans="1:6" x14ac:dyDescent="0.2">
      <c r="A145" s="1">
        <v>41091</v>
      </c>
      <c r="B145" s="2">
        <v>1421</v>
      </c>
      <c r="C145" s="2" t="s">
        <v>3</v>
      </c>
      <c r="D145" s="2">
        <f t="shared" si="6"/>
        <v>1462.6693789619121</v>
      </c>
      <c r="E145" s="2">
        <f t="shared" si="7"/>
        <v>-41.669378961912116</v>
      </c>
      <c r="F145" s="2">
        <f t="shared" si="8"/>
        <v>1736.337143071444</v>
      </c>
    </row>
    <row r="146" spans="1:6" x14ac:dyDescent="0.2">
      <c r="A146" s="1">
        <v>41122</v>
      </c>
      <c r="B146" s="2">
        <v>1444</v>
      </c>
      <c r="C146" s="2" t="s">
        <v>3</v>
      </c>
      <c r="D146" s="2">
        <f t="shared" si="6"/>
        <v>1449.9813243500475</v>
      </c>
      <c r="E146" s="2">
        <f t="shared" si="7"/>
        <v>-5.9813243500475437</v>
      </c>
      <c r="F146" s="2">
        <f t="shared" si="8"/>
        <v>35.77624098047167</v>
      </c>
    </row>
    <row r="147" spans="1:6" x14ac:dyDescent="0.2">
      <c r="A147" s="1">
        <v>41153</v>
      </c>
      <c r="B147" s="2">
        <v>1412</v>
      </c>
      <c r="C147" s="2" t="s">
        <v>3</v>
      </c>
      <c r="D147" s="2">
        <f t="shared" si="6"/>
        <v>1448.1600500259437</v>
      </c>
      <c r="E147" s="2">
        <f t="shared" si="7"/>
        <v>-36.160050025943747</v>
      </c>
      <c r="F147" s="2">
        <f t="shared" si="8"/>
        <v>1307.5492178787545</v>
      </c>
    </row>
    <row r="148" spans="1:6" x14ac:dyDescent="0.2">
      <c r="A148" s="1">
        <v>41183</v>
      </c>
      <c r="B148" s="2">
        <v>1501</v>
      </c>
      <c r="C148" s="2" t="s">
        <v>3</v>
      </c>
      <c r="D148" s="2">
        <f t="shared" si="6"/>
        <v>1437.1495502074488</v>
      </c>
      <c r="E148" s="2">
        <f t="shared" si="7"/>
        <v>63.850449792551217</v>
      </c>
      <c r="F148" s="2">
        <f t="shared" si="8"/>
        <v>4076.8799387111039</v>
      </c>
    </row>
    <row r="149" spans="1:6" x14ac:dyDescent="0.2">
      <c r="A149" s="1">
        <v>41214</v>
      </c>
      <c r="B149" s="2">
        <v>1450</v>
      </c>
      <c r="C149" s="2" t="s">
        <v>3</v>
      </c>
      <c r="D149" s="2">
        <f t="shared" si="6"/>
        <v>1456.5915964808169</v>
      </c>
      <c r="E149" s="2">
        <f t="shared" si="7"/>
        <v>-6.591596480816861</v>
      </c>
      <c r="F149" s="2">
        <f t="shared" si="8"/>
        <v>43.449144165917225</v>
      </c>
    </row>
    <row r="150" spans="1:6" x14ac:dyDescent="0.2">
      <c r="A150" s="1">
        <v>41244</v>
      </c>
      <c r="B150" s="2">
        <v>1498</v>
      </c>
      <c r="C150" s="2" t="s">
        <v>3</v>
      </c>
      <c r="D150" s="2">
        <f t="shared" si="6"/>
        <v>1454.584498265976</v>
      </c>
      <c r="E150" s="2">
        <f t="shared" si="7"/>
        <v>43.415501734024019</v>
      </c>
      <c r="F150" s="2">
        <f t="shared" si="8"/>
        <v>1884.9057908170425</v>
      </c>
    </row>
    <row r="151" spans="1:6" x14ac:dyDescent="0.2">
      <c r="A151" s="1">
        <v>41275</v>
      </c>
      <c r="B151" s="2">
        <v>1451</v>
      </c>
      <c r="C151" s="2" t="s">
        <v>3</v>
      </c>
      <c r="D151" s="2">
        <f t="shared" si="6"/>
        <v>1467.8042358940866</v>
      </c>
      <c r="E151" s="2">
        <f t="shared" si="7"/>
        <v>-16.80423589408656</v>
      </c>
      <c r="F151" s="2">
        <f t="shared" si="8"/>
        <v>282.38234398410714</v>
      </c>
    </row>
    <row r="152" spans="1:6" x14ac:dyDescent="0.2">
      <c r="A152" s="1">
        <v>41306</v>
      </c>
      <c r="B152" s="2">
        <v>1530</v>
      </c>
      <c r="C152" s="2" t="s">
        <v>3</v>
      </c>
      <c r="D152" s="2">
        <f t="shared" si="6"/>
        <v>1462.6874554657122</v>
      </c>
      <c r="E152" s="2">
        <f t="shared" si="7"/>
        <v>67.312544534287781</v>
      </c>
      <c r="F152" s="2">
        <f t="shared" si="8"/>
        <v>4530.9786516804761</v>
      </c>
    </row>
    <row r="153" spans="1:6" x14ac:dyDescent="0.2">
      <c r="A153" s="1">
        <v>41334</v>
      </c>
      <c r="B153" s="2">
        <v>1498</v>
      </c>
      <c r="C153" s="2" t="s">
        <v>3</v>
      </c>
      <c r="D153" s="2">
        <f t="shared" si="6"/>
        <v>1483.1836870485074</v>
      </c>
      <c r="E153" s="2">
        <f t="shared" si="7"/>
        <v>14.816312951492591</v>
      </c>
      <c r="F153" s="2">
        <f t="shared" si="8"/>
        <v>219.52312947656711</v>
      </c>
    </row>
    <row r="154" spans="1:6" x14ac:dyDescent="0.2">
      <c r="A154" s="1">
        <v>41365</v>
      </c>
      <c r="B154" s="2">
        <v>1458</v>
      </c>
      <c r="C154" s="2" t="s">
        <v>3</v>
      </c>
      <c r="D154" s="2">
        <f t="shared" si="6"/>
        <v>1487.6951578829262</v>
      </c>
      <c r="E154" s="2">
        <f t="shared" si="7"/>
        <v>-29.695157882926196</v>
      </c>
      <c r="F154" s="2">
        <f t="shared" si="8"/>
        <v>881.80240169191381</v>
      </c>
    </row>
    <row r="155" spans="1:6" x14ac:dyDescent="0.2">
      <c r="A155" s="1">
        <v>41395</v>
      </c>
      <c r="B155" s="2">
        <v>1520</v>
      </c>
      <c r="C155" s="2" t="s">
        <v>3</v>
      </c>
      <c r="D155" s="2">
        <f t="shared" si="6"/>
        <v>1478.6531756333011</v>
      </c>
      <c r="E155" s="2">
        <f t="shared" si="7"/>
        <v>41.346824366698911</v>
      </c>
      <c r="F155" s="2">
        <f t="shared" si="8"/>
        <v>1709.5598852106468</v>
      </c>
    </row>
    <row r="156" spans="1:6" x14ac:dyDescent="0.2">
      <c r="A156" s="1">
        <v>41426</v>
      </c>
      <c r="B156" s="2">
        <v>1402</v>
      </c>
      <c r="C156" s="2" t="s">
        <v>3</v>
      </c>
      <c r="D156" s="2">
        <f t="shared" si="6"/>
        <v>1491.2430144708649</v>
      </c>
      <c r="E156" s="2">
        <f t="shared" si="7"/>
        <v>-89.243014470864864</v>
      </c>
      <c r="F156" s="2">
        <f t="shared" si="8"/>
        <v>7964.3156318469955</v>
      </c>
    </row>
    <row r="157" spans="1:6" x14ac:dyDescent="0.2">
      <c r="A157" s="1">
        <v>41456</v>
      </c>
      <c r="B157" s="2">
        <v>1441</v>
      </c>
      <c r="C157" s="2" t="s">
        <v>3</v>
      </c>
      <c r="D157" s="2">
        <f t="shared" si="6"/>
        <v>1464.0690975673097</v>
      </c>
      <c r="E157" s="2">
        <f t="shared" si="7"/>
        <v>-23.069097567309655</v>
      </c>
      <c r="F157" s="2">
        <f t="shared" si="8"/>
        <v>532.18326257005219</v>
      </c>
    </row>
    <row r="158" spans="1:6" x14ac:dyDescent="0.2">
      <c r="A158" s="1">
        <v>41487</v>
      </c>
      <c r="B158" s="2">
        <v>1381</v>
      </c>
      <c r="C158" s="2" t="s">
        <v>3</v>
      </c>
      <c r="D158" s="2">
        <f t="shared" si="6"/>
        <v>1457.0447075458503</v>
      </c>
      <c r="E158" s="2">
        <f t="shared" si="7"/>
        <v>-76.044707545850315</v>
      </c>
      <c r="F158" s="2">
        <f t="shared" si="8"/>
        <v>5782.7975457339035</v>
      </c>
    </row>
    <row r="159" spans="1:6" x14ac:dyDescent="0.2">
      <c r="A159" s="1">
        <v>41518</v>
      </c>
      <c r="B159" s="2">
        <v>1356</v>
      </c>
      <c r="C159" s="2" t="s">
        <v>3</v>
      </c>
      <c r="D159" s="2">
        <f t="shared" si="6"/>
        <v>1433.8895891754291</v>
      </c>
      <c r="E159" s="2">
        <f t="shared" si="7"/>
        <v>-77.889589175429137</v>
      </c>
      <c r="F159" s="2">
        <f t="shared" si="8"/>
        <v>6066.7881019171282</v>
      </c>
    </row>
    <row r="160" spans="1:6" x14ac:dyDescent="0.2">
      <c r="A160" s="1">
        <v>41548</v>
      </c>
      <c r="B160" s="2">
        <v>1488</v>
      </c>
      <c r="C160" s="2" t="s">
        <v>3</v>
      </c>
      <c r="D160" s="2">
        <f t="shared" si="6"/>
        <v>1410.1727163596172</v>
      </c>
      <c r="E160" s="2">
        <f t="shared" si="7"/>
        <v>77.827283640382802</v>
      </c>
      <c r="F160" s="2">
        <f t="shared" si="8"/>
        <v>6057.0860788405962</v>
      </c>
    </row>
    <row r="161" spans="1:6" x14ac:dyDescent="0.2">
      <c r="A161" s="1">
        <v>41579</v>
      </c>
      <c r="B161" s="2">
        <v>1522</v>
      </c>
      <c r="C161" s="2" t="s">
        <v>3</v>
      </c>
      <c r="D161" s="2">
        <f t="shared" si="6"/>
        <v>1433.870617545638</v>
      </c>
      <c r="E161" s="2">
        <f t="shared" si="7"/>
        <v>88.12938245436203</v>
      </c>
      <c r="F161" s="2">
        <f t="shared" si="8"/>
        <v>7766.7880517872145</v>
      </c>
    </row>
    <row r="162" spans="1:6" x14ac:dyDescent="0.2">
      <c r="A162" s="1">
        <v>41609</v>
      </c>
      <c r="B162" s="2">
        <v>1501</v>
      </c>
      <c r="C162" s="2" t="s">
        <v>3</v>
      </c>
      <c r="D162" s="2">
        <f t="shared" si="6"/>
        <v>1460.7054407502967</v>
      </c>
      <c r="E162" s="2">
        <f t="shared" si="7"/>
        <v>40.294559249703298</v>
      </c>
      <c r="F162" s="2">
        <f t="shared" si="8"/>
        <v>1623.6515051278495</v>
      </c>
    </row>
    <row r="163" spans="1:6" x14ac:dyDescent="0.2">
      <c r="A163" s="1">
        <v>41640</v>
      </c>
      <c r="B163" s="2">
        <v>1475</v>
      </c>
      <c r="C163" s="2" t="s">
        <v>3</v>
      </c>
      <c r="D163" s="2">
        <f t="shared" si="6"/>
        <v>1472.9748717103444</v>
      </c>
      <c r="E163" s="2">
        <f t="shared" si="7"/>
        <v>2.0251282896556404</v>
      </c>
      <c r="F163" s="2">
        <f t="shared" si="8"/>
        <v>4.101144589563579</v>
      </c>
    </row>
    <row r="164" spans="1:6" x14ac:dyDescent="0.2">
      <c r="A164" s="1">
        <v>41671</v>
      </c>
      <c r="B164" s="2">
        <v>1576</v>
      </c>
      <c r="C164" s="2" t="s">
        <v>3</v>
      </c>
      <c r="D164" s="2">
        <f t="shared" si="6"/>
        <v>1473.5915100902605</v>
      </c>
      <c r="E164" s="2">
        <f t="shared" si="7"/>
        <v>102.4084899097395</v>
      </c>
      <c r="F164" s="2">
        <f t="shared" si="8"/>
        <v>10487.498805593217</v>
      </c>
    </row>
    <row r="165" spans="1:6" x14ac:dyDescent="0.2">
      <c r="A165" s="1">
        <v>41699</v>
      </c>
      <c r="B165" s="2">
        <v>1571</v>
      </c>
      <c r="C165" s="2" t="s">
        <v>3</v>
      </c>
      <c r="D165" s="2">
        <f t="shared" si="6"/>
        <v>1504.7742285531642</v>
      </c>
      <c r="E165" s="2">
        <f t="shared" si="7"/>
        <v>66.225771446835779</v>
      </c>
      <c r="F165" s="2">
        <f t="shared" si="8"/>
        <v>4385.8528037285296</v>
      </c>
    </row>
    <row r="166" spans="1:6" x14ac:dyDescent="0.2">
      <c r="A166" s="1">
        <v>41730</v>
      </c>
      <c r="B166" s="2">
        <v>1568</v>
      </c>
      <c r="C166" s="2" t="s">
        <v>3</v>
      </c>
      <c r="D166" s="2">
        <f t="shared" si="6"/>
        <v>1524.9395448060982</v>
      </c>
      <c r="E166" s="2">
        <f t="shared" si="7"/>
        <v>43.060455193901817</v>
      </c>
      <c r="F166" s="2">
        <f t="shared" si="8"/>
        <v>1854.2028015060259</v>
      </c>
    </row>
    <row r="167" spans="1:6" x14ac:dyDescent="0.2">
      <c r="A167" s="1">
        <v>41760</v>
      </c>
      <c r="B167" s="2">
        <v>1564</v>
      </c>
      <c r="C167" s="2" t="s">
        <v>3</v>
      </c>
      <c r="D167" s="2">
        <f t="shared" si="6"/>
        <v>1538.0511730742173</v>
      </c>
      <c r="E167" s="2">
        <f t="shared" si="7"/>
        <v>25.948826925782669</v>
      </c>
      <c r="F167" s="2">
        <f t="shared" si="8"/>
        <v>673.34161882422359</v>
      </c>
    </row>
    <row r="168" spans="1:6" x14ac:dyDescent="0.2">
      <c r="A168" s="1">
        <v>41791</v>
      </c>
      <c r="B168" s="2">
        <v>1482</v>
      </c>
      <c r="C168" s="2" t="s">
        <v>3</v>
      </c>
      <c r="D168" s="2">
        <f t="shared" si="6"/>
        <v>1545.9524219372995</v>
      </c>
      <c r="E168" s="2">
        <f t="shared" si="7"/>
        <v>-63.952421937299505</v>
      </c>
      <c r="F168" s="2">
        <f t="shared" si="8"/>
        <v>4089.9122716463871</v>
      </c>
    </row>
    <row r="169" spans="1:6" x14ac:dyDescent="0.2">
      <c r="A169" s="1">
        <v>41821</v>
      </c>
      <c r="B169" s="2">
        <v>1569</v>
      </c>
      <c r="C169" s="2" t="s">
        <v>3</v>
      </c>
      <c r="D169" s="2">
        <f t="shared" si="6"/>
        <v>1526.4793258097293</v>
      </c>
      <c r="E169" s="2">
        <f t="shared" si="7"/>
        <v>42.520674190270711</v>
      </c>
      <c r="F169" s="2">
        <f t="shared" si="8"/>
        <v>1808.0077335951537</v>
      </c>
    </row>
    <row r="170" spans="1:6" x14ac:dyDescent="0.2">
      <c r="A170" s="1">
        <v>41852</v>
      </c>
      <c r="B170" s="2">
        <v>1470</v>
      </c>
      <c r="C170" s="2" t="s">
        <v>3</v>
      </c>
      <c r="D170" s="2">
        <f t="shared" si="6"/>
        <v>1539.4265942764032</v>
      </c>
      <c r="E170" s="2">
        <f t="shared" si="7"/>
        <v>-69.426594276403193</v>
      </c>
      <c r="F170" s="2">
        <f t="shared" si="8"/>
        <v>4820.0519928203003</v>
      </c>
    </row>
    <row r="171" spans="1:6" x14ac:dyDescent="0.2">
      <c r="A171" s="1">
        <v>41883</v>
      </c>
      <c r="B171" s="2">
        <v>1455</v>
      </c>
      <c r="C171" s="2" t="s">
        <v>3</v>
      </c>
      <c r="D171" s="2">
        <f t="shared" si="6"/>
        <v>1518.2866483103271</v>
      </c>
      <c r="E171" s="2">
        <f t="shared" si="7"/>
        <v>-63.286648310327109</v>
      </c>
      <c r="F171" s="2">
        <f t="shared" si="8"/>
        <v>4005.1998543550289</v>
      </c>
    </row>
    <row r="172" spans="1:6" x14ac:dyDescent="0.2">
      <c r="A172" s="1">
        <v>41913</v>
      </c>
      <c r="B172" s="2">
        <v>1664</v>
      </c>
      <c r="C172" s="2" t="s">
        <v>3</v>
      </c>
      <c r="D172" s="2">
        <f t="shared" si="6"/>
        <v>1499.0162759177538</v>
      </c>
      <c r="E172" s="2">
        <f t="shared" si="7"/>
        <v>164.98372408224623</v>
      </c>
      <c r="F172" s="2">
        <f t="shared" si="8"/>
        <v>27219.629212046755</v>
      </c>
    </row>
    <row r="173" spans="1:6" x14ac:dyDescent="0.2">
      <c r="A173" s="1">
        <v>41944</v>
      </c>
      <c r="B173" s="2">
        <v>1589</v>
      </c>
      <c r="C173" s="2" t="s">
        <v>3</v>
      </c>
      <c r="D173" s="2">
        <f t="shared" si="6"/>
        <v>1549.2527457998158</v>
      </c>
      <c r="E173" s="2">
        <f t="shared" si="7"/>
        <v>39.747254200184216</v>
      </c>
      <c r="F173" s="2">
        <f t="shared" si="8"/>
        <v>1579.8442164540618</v>
      </c>
    </row>
    <row r="174" spans="1:6" x14ac:dyDescent="0.2">
      <c r="A174" s="1">
        <v>41974</v>
      </c>
      <c r="B174" s="2">
        <v>1653</v>
      </c>
      <c r="C174" s="2" t="s">
        <v>3</v>
      </c>
      <c r="D174" s="2">
        <f t="shared" si="6"/>
        <v>1561.3555259354296</v>
      </c>
      <c r="E174" s="2">
        <f t="shared" si="7"/>
        <v>91.644474064570431</v>
      </c>
      <c r="F174" s="2">
        <f t="shared" si="8"/>
        <v>8398.7096265717228</v>
      </c>
    </row>
    <row r="175" spans="1:6" x14ac:dyDescent="0.2">
      <c r="A175" s="1">
        <v>42005</v>
      </c>
      <c r="B175" s="2">
        <v>1639</v>
      </c>
      <c r="C175" s="2" t="s">
        <v>3</v>
      </c>
      <c r="D175" s="2">
        <f t="shared" si="6"/>
        <v>1589.2606716509374</v>
      </c>
      <c r="E175" s="2">
        <f t="shared" si="7"/>
        <v>49.739328349062589</v>
      </c>
      <c r="F175" s="2">
        <f t="shared" si="8"/>
        <v>2474.0007846158614</v>
      </c>
    </row>
    <row r="176" spans="1:6" x14ac:dyDescent="0.2">
      <c r="A176" s="1">
        <v>42036</v>
      </c>
      <c r="B176" s="2">
        <v>1695</v>
      </c>
      <c r="C176" s="2" t="s">
        <v>3</v>
      </c>
      <c r="D176" s="2">
        <f t="shared" si="6"/>
        <v>1604.4059733130337</v>
      </c>
      <c r="E176" s="2">
        <f t="shared" si="7"/>
        <v>90.594026686966345</v>
      </c>
      <c r="F176" s="2">
        <f t="shared" si="8"/>
        <v>8207.27767135877</v>
      </c>
    </row>
    <row r="177" spans="1:6" x14ac:dyDescent="0.2">
      <c r="A177" s="1">
        <v>42064</v>
      </c>
      <c r="B177" s="2">
        <v>1694</v>
      </c>
      <c r="C177" s="2" t="s">
        <v>3</v>
      </c>
      <c r="D177" s="2">
        <f t="shared" si="6"/>
        <v>1631.9912646408359</v>
      </c>
      <c r="E177" s="2">
        <f t="shared" si="7"/>
        <v>62.00873535916412</v>
      </c>
      <c r="F177" s="2">
        <f t="shared" si="8"/>
        <v>3845.0832608428504</v>
      </c>
    </row>
    <row r="178" spans="1:6" x14ac:dyDescent="0.2">
      <c r="A178" s="1">
        <v>42095</v>
      </c>
      <c r="B178" s="2">
        <v>1631</v>
      </c>
      <c r="C178" s="2" t="s">
        <v>3</v>
      </c>
      <c r="D178" s="2">
        <f t="shared" si="6"/>
        <v>1650.8725208594342</v>
      </c>
      <c r="E178" s="2">
        <f t="shared" si="7"/>
        <v>-19.872520859434189</v>
      </c>
      <c r="F178" s="2">
        <f t="shared" si="8"/>
        <v>394.91708530864696</v>
      </c>
    </row>
    <row r="179" spans="1:6" x14ac:dyDescent="0.2">
      <c r="A179" s="1">
        <v>42125</v>
      </c>
      <c r="B179" s="2">
        <v>1640</v>
      </c>
      <c r="C179" s="2" t="s">
        <v>3</v>
      </c>
      <c r="D179" s="2">
        <f t="shared" si="6"/>
        <v>1644.8214676347056</v>
      </c>
      <c r="E179" s="2">
        <f t="shared" si="7"/>
        <v>-4.8214676347056411</v>
      </c>
      <c r="F179" s="2">
        <f t="shared" si="8"/>
        <v>23.246550152514008</v>
      </c>
    </row>
    <row r="180" spans="1:6" x14ac:dyDescent="0.2">
      <c r="A180" s="1">
        <v>42156</v>
      </c>
      <c r="B180" s="2">
        <v>1556</v>
      </c>
      <c r="C180" s="2" t="s">
        <v>3</v>
      </c>
      <c r="D180" s="2">
        <f t="shared" si="6"/>
        <v>1643.3533621293559</v>
      </c>
      <c r="E180" s="2">
        <f t="shared" si="7"/>
        <v>-87.353362129355901</v>
      </c>
      <c r="F180" s="2">
        <f t="shared" si="8"/>
        <v>7630.6098753023898</v>
      </c>
    </row>
    <row r="181" spans="1:6" x14ac:dyDescent="0.2">
      <c r="A181" s="1">
        <v>42186</v>
      </c>
      <c r="B181" s="2">
        <v>1647</v>
      </c>
      <c r="C181" s="2" t="s">
        <v>3</v>
      </c>
      <c r="D181" s="2">
        <f t="shared" si="6"/>
        <v>1616.7548320615012</v>
      </c>
      <c r="E181" s="2">
        <f t="shared" si="7"/>
        <v>30.245167938498753</v>
      </c>
      <c r="F181" s="2">
        <f t="shared" si="8"/>
        <v>914.77018362799288</v>
      </c>
    </row>
    <row r="182" spans="1:6" x14ac:dyDescent="0.2">
      <c r="A182" s="1">
        <v>42217</v>
      </c>
      <c r="B182" s="2">
        <v>1520</v>
      </c>
      <c r="C182" s="2" t="s">
        <v>3</v>
      </c>
      <c r="D182" s="2">
        <f t="shared" si="6"/>
        <v>1625.9642887922928</v>
      </c>
      <c r="E182" s="2">
        <f t="shared" si="7"/>
        <v>-105.96428879229279</v>
      </c>
      <c r="F182" s="2">
        <f t="shared" si="8"/>
        <v>11228.430499256428</v>
      </c>
    </row>
    <row r="183" spans="1:6" x14ac:dyDescent="0.2">
      <c r="A183" s="1">
        <v>42248</v>
      </c>
      <c r="B183" s="2">
        <v>1475</v>
      </c>
      <c r="C183" s="2" t="s">
        <v>3</v>
      </c>
      <c r="D183" s="2">
        <f t="shared" si="6"/>
        <v>1593.6988527191293</v>
      </c>
      <c r="E183" s="2">
        <f t="shared" si="7"/>
        <v>-118.69885271912926</v>
      </c>
      <c r="F183" s="2">
        <f t="shared" si="8"/>
        <v>14089.417636837541</v>
      </c>
    </row>
    <row r="184" spans="1:6" x14ac:dyDescent="0.2">
      <c r="A184" s="1">
        <v>42278</v>
      </c>
      <c r="B184" s="2">
        <v>1754</v>
      </c>
      <c r="C184" s="2" t="s">
        <v>3</v>
      </c>
      <c r="D184" s="2">
        <f t="shared" si="6"/>
        <v>1557.5558248366501</v>
      </c>
      <c r="E184" s="2">
        <f t="shared" si="7"/>
        <v>196.44417516334988</v>
      </c>
      <c r="F184" s="2">
        <f t="shared" si="8"/>
        <v>38590.313955608894</v>
      </c>
    </row>
    <row r="185" spans="1:6" x14ac:dyDescent="0.2">
      <c r="A185" s="1">
        <v>42309</v>
      </c>
      <c r="B185" s="2">
        <v>1605</v>
      </c>
      <c r="C185" s="2" t="s">
        <v>3</v>
      </c>
      <c r="D185" s="2">
        <f t="shared" si="6"/>
        <v>1617.3717972545144</v>
      </c>
      <c r="E185" s="2">
        <f t="shared" si="7"/>
        <v>-12.371797254514377</v>
      </c>
      <c r="F185" s="2">
        <f t="shared" si="8"/>
        <v>153.06136730680947</v>
      </c>
    </row>
    <row r="186" spans="1:6" x14ac:dyDescent="0.2">
      <c r="A186" s="1">
        <v>42339</v>
      </c>
      <c r="B186" s="2">
        <v>1701</v>
      </c>
      <c r="C186" s="2" t="s">
        <v>3</v>
      </c>
      <c r="D186" s="2">
        <f t="shared" si="6"/>
        <v>1613.6046655351845</v>
      </c>
      <c r="E186" s="2">
        <f t="shared" si="7"/>
        <v>87.395334464815505</v>
      </c>
      <c r="F186" s="2">
        <f t="shared" si="8"/>
        <v>7637.9444862169685</v>
      </c>
    </row>
    <row r="187" spans="1:6" x14ac:dyDescent="0.2">
      <c r="A187" s="1">
        <v>42370</v>
      </c>
      <c r="B187" s="2">
        <v>1701</v>
      </c>
      <c r="C187" s="2" t="s">
        <v>3</v>
      </c>
      <c r="D187" s="2">
        <f t="shared" si="6"/>
        <v>1640.2159759059323</v>
      </c>
      <c r="E187" s="2">
        <f t="shared" si="7"/>
        <v>60.784024094067718</v>
      </c>
      <c r="F187" s="2">
        <f t="shared" si="8"/>
        <v>3694.6975850682047</v>
      </c>
    </row>
    <row r="188" spans="1:6" x14ac:dyDescent="0.2">
      <c r="A188" s="1">
        <v>42401</v>
      </c>
      <c r="B188" s="2">
        <v>1830</v>
      </c>
      <c r="C188" s="2" t="s">
        <v>3</v>
      </c>
      <c r="D188" s="2">
        <f t="shared" si="6"/>
        <v>1658.7243155176016</v>
      </c>
      <c r="E188" s="2">
        <f t="shared" si="7"/>
        <v>171.27568448239845</v>
      </c>
      <c r="F188" s="2">
        <f t="shared" si="8"/>
        <v>29335.360094914104</v>
      </c>
    </row>
    <row r="189" spans="1:6" x14ac:dyDescent="0.2">
      <c r="A189" s="1">
        <v>42430</v>
      </c>
      <c r="B189" s="2">
        <v>1713</v>
      </c>
      <c r="C189" s="2" t="s">
        <v>3</v>
      </c>
      <c r="D189" s="2">
        <f t="shared" si="6"/>
        <v>1710.8766463786762</v>
      </c>
      <c r="E189" s="2">
        <f t="shared" si="7"/>
        <v>2.1233536213237585</v>
      </c>
      <c r="F189" s="2">
        <f t="shared" si="8"/>
        <v>4.5086306011887194</v>
      </c>
    </row>
    <row r="190" spans="1:6" x14ac:dyDescent="0.2">
      <c r="A190" s="1">
        <v>42461</v>
      </c>
      <c r="B190" s="2">
        <v>1668</v>
      </c>
      <c r="C190" s="2" t="s">
        <v>3</v>
      </c>
      <c r="D190" s="2">
        <f t="shared" si="6"/>
        <v>1711.5231937326043</v>
      </c>
      <c r="E190" s="2">
        <f t="shared" si="7"/>
        <v>-43.523193732604341</v>
      </c>
      <c r="F190" s="2">
        <f t="shared" si="8"/>
        <v>1894.2683926858097</v>
      </c>
    </row>
    <row r="191" spans="1:6" x14ac:dyDescent="0.2">
      <c r="A191" s="1">
        <v>42491</v>
      </c>
      <c r="B191" s="2">
        <v>1664</v>
      </c>
      <c r="C191" s="2" t="s">
        <v>3</v>
      </c>
      <c r="D191" s="2">
        <f t="shared" si="6"/>
        <v>1698.2706645920377</v>
      </c>
      <c r="E191" s="2">
        <f t="shared" si="7"/>
        <v>-34.270664592037747</v>
      </c>
      <c r="F191" s="2">
        <f t="shared" si="8"/>
        <v>1174.4784515799497</v>
      </c>
    </row>
    <row r="192" spans="1:6" x14ac:dyDescent="0.2">
      <c r="A192" s="1">
        <v>42522</v>
      </c>
      <c r="B192" s="2">
        <v>1623</v>
      </c>
      <c r="C192" s="2" t="s">
        <v>3</v>
      </c>
      <c r="D192" s="2">
        <f t="shared" si="6"/>
        <v>1687.835470337616</v>
      </c>
      <c r="E192" s="2">
        <f t="shared" si="7"/>
        <v>-64.835470337616016</v>
      </c>
      <c r="F192" s="2">
        <f t="shared" si="8"/>
        <v>4203.6382138998861</v>
      </c>
    </row>
    <row r="193" spans="1:6" x14ac:dyDescent="0.2">
      <c r="A193" s="1">
        <v>42552</v>
      </c>
      <c r="B193" s="2">
        <v>1634</v>
      </c>
      <c r="C193" s="2" t="s">
        <v>3</v>
      </c>
      <c r="D193" s="2">
        <f t="shared" si="6"/>
        <v>1668.0934917210993</v>
      </c>
      <c r="E193" s="2">
        <f t="shared" si="7"/>
        <v>-34.093491721099326</v>
      </c>
      <c r="F193" s="2">
        <f t="shared" si="8"/>
        <v>1162.3661777366683</v>
      </c>
    </row>
    <row r="194" spans="1:6" x14ac:dyDescent="0.2">
      <c r="A194" s="1">
        <v>42583</v>
      </c>
      <c r="B194" s="2">
        <v>1498</v>
      </c>
      <c r="C194" s="2" t="s">
        <v>3</v>
      </c>
      <c r="D194" s="2">
        <f t="shared" si="6"/>
        <v>1657.7122454524217</v>
      </c>
      <c r="E194" s="2">
        <f t="shared" si="7"/>
        <v>-159.71224545242171</v>
      </c>
      <c r="F194" s="2">
        <f t="shared" si="8"/>
        <v>25508.001347454599</v>
      </c>
    </row>
    <row r="195" spans="1:6" x14ac:dyDescent="0.2">
      <c r="A195" s="1">
        <v>42614</v>
      </c>
      <c r="B195" s="2">
        <v>1529</v>
      </c>
      <c r="C195" s="2" t="s">
        <v>3</v>
      </c>
      <c r="D195" s="2">
        <f t="shared" si="6"/>
        <v>1609.0809064939958</v>
      </c>
      <c r="E195" s="2">
        <f t="shared" si="7"/>
        <v>-80.080906493995826</v>
      </c>
      <c r="F195" s="2">
        <f t="shared" si="8"/>
        <v>6412.9515849001027</v>
      </c>
    </row>
    <row r="196" spans="1:6" x14ac:dyDescent="0.2">
      <c r="A196" s="1">
        <v>42644</v>
      </c>
      <c r="B196" s="2">
        <v>1710</v>
      </c>
      <c r="C196" s="2" t="s">
        <v>3</v>
      </c>
      <c r="D196" s="2">
        <f t="shared" si="6"/>
        <v>1584.6967918209123</v>
      </c>
      <c r="E196" s="2">
        <f t="shared" si="7"/>
        <v>125.30320817908773</v>
      </c>
      <c r="F196" s="2">
        <f t="shared" si="8"/>
        <v>15700.893979971799</v>
      </c>
    </row>
    <row r="197" spans="1:6" x14ac:dyDescent="0.2">
      <c r="A197" s="1">
        <v>42675</v>
      </c>
      <c r="B197" s="2">
        <v>1657</v>
      </c>
      <c r="C197" s="2" t="s">
        <v>3</v>
      </c>
      <c r="D197" s="2">
        <f t="shared" ref="D197:D260" si="9">($I$5*B196)+((1-$I$5)*D196)</f>
        <v>1622.8508029443155</v>
      </c>
      <c r="E197" s="2">
        <f t="shared" ref="E197:E260" si="10">(B197-D197)</f>
        <v>34.149197055684454</v>
      </c>
      <c r="F197" s="2">
        <f t="shared" ref="F197:F260" si="11">E197^2</f>
        <v>1166.1676595479678</v>
      </c>
    </row>
    <row r="198" spans="1:6" x14ac:dyDescent="0.2">
      <c r="A198" s="1">
        <v>42705</v>
      </c>
      <c r="B198" s="2">
        <v>1743</v>
      </c>
      <c r="C198" s="2" t="s">
        <v>3</v>
      </c>
      <c r="D198" s="2">
        <f t="shared" si="9"/>
        <v>1633.2490111247132</v>
      </c>
      <c r="E198" s="2">
        <f t="shared" si="10"/>
        <v>109.75098887528679</v>
      </c>
      <c r="F198" s="2">
        <f t="shared" si="11"/>
        <v>12045.279559103326</v>
      </c>
    </row>
    <row r="199" spans="1:6" x14ac:dyDescent="0.2">
      <c r="A199" s="1">
        <v>42736</v>
      </c>
      <c r="B199" s="2">
        <v>1696</v>
      </c>
      <c r="C199" s="2" t="s">
        <v>3</v>
      </c>
      <c r="D199" s="2">
        <f t="shared" si="9"/>
        <v>1666.6674727204238</v>
      </c>
      <c r="E199" s="2">
        <f t="shared" si="10"/>
        <v>29.332527279576198</v>
      </c>
      <c r="F199" s="2">
        <f t="shared" si="11"/>
        <v>860.3971566070818</v>
      </c>
    </row>
    <row r="200" spans="1:6" x14ac:dyDescent="0.2">
      <c r="A200" s="1">
        <v>42767</v>
      </c>
      <c r="B200" s="2">
        <v>1885</v>
      </c>
      <c r="C200" s="2" t="s">
        <v>3</v>
      </c>
      <c r="D200" s="2">
        <f t="shared" si="9"/>
        <v>1675.5990363121791</v>
      </c>
      <c r="E200" s="2">
        <f t="shared" si="10"/>
        <v>209.40096368782088</v>
      </c>
      <c r="F200" s="2">
        <f t="shared" si="11"/>
        <v>43848.763593388074</v>
      </c>
    </row>
    <row r="201" spans="1:6" x14ac:dyDescent="0.2">
      <c r="A201" s="1">
        <v>42795</v>
      </c>
      <c r="B201" s="2">
        <v>1840</v>
      </c>
      <c r="C201" s="2" t="s">
        <v>3</v>
      </c>
      <c r="D201" s="2">
        <f t="shared" si="9"/>
        <v>1739.3602664825798</v>
      </c>
      <c r="E201" s="2">
        <f t="shared" si="10"/>
        <v>100.63973351742015</v>
      </c>
      <c r="F201" s="2">
        <f t="shared" si="11"/>
        <v>10128.355962457341</v>
      </c>
    </row>
    <row r="202" spans="1:6" x14ac:dyDescent="0.2">
      <c r="A202" s="1">
        <v>42826</v>
      </c>
      <c r="B202" s="2">
        <v>1674</v>
      </c>
      <c r="C202" s="2" t="s">
        <v>3</v>
      </c>
      <c r="D202" s="2">
        <f t="shared" si="9"/>
        <v>1770.0044101392368</v>
      </c>
      <c r="E202" s="2">
        <f t="shared" si="10"/>
        <v>-96.004410139236825</v>
      </c>
      <c r="F202" s="2">
        <f t="shared" si="11"/>
        <v>9216.8467661827981</v>
      </c>
    </row>
    <row r="203" spans="1:6" x14ac:dyDescent="0.2">
      <c r="A203" s="1">
        <v>42856</v>
      </c>
      <c r="B203" s="2">
        <v>1709</v>
      </c>
      <c r="C203" s="2" t="s">
        <v>3</v>
      </c>
      <c r="D203" s="2">
        <f t="shared" si="9"/>
        <v>1740.7716922736818</v>
      </c>
      <c r="E203" s="2">
        <f t="shared" si="10"/>
        <v>-31.771692273681765</v>
      </c>
      <c r="F203" s="2">
        <f t="shared" si="11"/>
        <v>1009.4404299335296</v>
      </c>
    </row>
    <row r="204" spans="1:6" x14ac:dyDescent="0.2">
      <c r="A204" s="1">
        <v>42887</v>
      </c>
      <c r="B204" s="2">
        <v>1618</v>
      </c>
      <c r="C204" s="2" t="s">
        <v>3</v>
      </c>
      <c r="D204" s="2">
        <f t="shared" si="9"/>
        <v>1731.0974188210271</v>
      </c>
      <c r="E204" s="2">
        <f t="shared" si="10"/>
        <v>-113.09741882102708</v>
      </c>
      <c r="F204" s="2">
        <f t="shared" si="11"/>
        <v>12791.02614397881</v>
      </c>
    </row>
    <row r="205" spans="1:6" x14ac:dyDescent="0.2">
      <c r="A205" s="1">
        <v>42917</v>
      </c>
      <c r="B205" s="2">
        <v>1673</v>
      </c>
      <c r="C205" s="2" t="s">
        <v>3</v>
      </c>
      <c r="D205" s="2">
        <f t="shared" si="9"/>
        <v>1696.6599910932521</v>
      </c>
      <c r="E205" s="2">
        <f t="shared" si="10"/>
        <v>-23.659991093252074</v>
      </c>
      <c r="F205" s="2">
        <f t="shared" si="11"/>
        <v>559.79517853276752</v>
      </c>
    </row>
    <row r="206" spans="1:6" x14ac:dyDescent="0.2">
      <c r="A206" s="1">
        <v>42948</v>
      </c>
      <c r="B206" s="2">
        <v>1591</v>
      </c>
      <c r="C206" s="2" t="s">
        <v>3</v>
      </c>
      <c r="D206" s="2">
        <f t="shared" si="9"/>
        <v>1689.4556778400643</v>
      </c>
      <c r="E206" s="2">
        <f t="shared" si="10"/>
        <v>-98.455677840064254</v>
      </c>
      <c r="F206" s="2">
        <f t="shared" si="11"/>
        <v>9693.5204989465201</v>
      </c>
    </row>
    <row r="207" spans="1:6" x14ac:dyDescent="0.2">
      <c r="A207" s="1">
        <v>42979</v>
      </c>
      <c r="B207" s="2">
        <v>1521</v>
      </c>
      <c r="C207" s="2" t="s">
        <v>3</v>
      </c>
      <c r="D207" s="2">
        <f t="shared" si="9"/>
        <v>1659.4765649182057</v>
      </c>
      <c r="E207" s="2">
        <f t="shared" si="10"/>
        <v>-138.47656491820567</v>
      </c>
      <c r="F207" s="2">
        <f t="shared" si="11"/>
        <v>19175.759031546029</v>
      </c>
    </row>
    <row r="208" spans="1:6" x14ac:dyDescent="0.2">
      <c r="A208" s="1">
        <v>43009</v>
      </c>
      <c r="B208" s="2">
        <v>1764</v>
      </c>
      <c r="C208" s="2" t="s">
        <v>3</v>
      </c>
      <c r="D208" s="2">
        <f t="shared" si="9"/>
        <v>1617.3113524308396</v>
      </c>
      <c r="E208" s="2">
        <f t="shared" si="10"/>
        <v>146.68864756916037</v>
      </c>
      <c r="F208" s="2">
        <f t="shared" si="11"/>
        <v>21517.559325669339</v>
      </c>
    </row>
    <row r="209" spans="1:6" x14ac:dyDescent="0.2">
      <c r="A209" s="1">
        <v>43040</v>
      </c>
      <c r="B209" s="2">
        <v>1665</v>
      </c>
      <c r="C209" s="2" t="s">
        <v>3</v>
      </c>
      <c r="D209" s="2">
        <f t="shared" si="9"/>
        <v>1661.9770906219292</v>
      </c>
      <c r="E209" s="2">
        <f t="shared" si="10"/>
        <v>3.0229093780708354</v>
      </c>
      <c r="F209" s="2">
        <f t="shared" si="11"/>
        <v>9.1379811080286046</v>
      </c>
    </row>
    <row r="210" spans="1:6" x14ac:dyDescent="0.2">
      <c r="A210" s="1">
        <v>43070</v>
      </c>
      <c r="B210" s="2">
        <v>1750</v>
      </c>
      <c r="C210" s="2" t="s">
        <v>3</v>
      </c>
      <c r="D210" s="2">
        <f t="shared" si="9"/>
        <v>1662.8975468473682</v>
      </c>
      <c r="E210" s="2">
        <f t="shared" si="10"/>
        <v>87.102453152631824</v>
      </c>
      <c r="F210" s="2">
        <f t="shared" si="11"/>
        <v>7586.8373452064216</v>
      </c>
    </row>
    <row r="211" spans="1:6" x14ac:dyDescent="0.2">
      <c r="A211" s="1">
        <v>43101</v>
      </c>
      <c r="B211" s="2">
        <v>1728</v>
      </c>
      <c r="C211" s="2" t="s">
        <v>3</v>
      </c>
      <c r="D211" s="2">
        <f t="shared" si="9"/>
        <v>1689.4196767653143</v>
      </c>
      <c r="E211" s="2">
        <f t="shared" si="10"/>
        <v>38.580323234685693</v>
      </c>
      <c r="F211" s="2">
        <f t="shared" si="11"/>
        <v>1488.4413408928287</v>
      </c>
    </row>
    <row r="212" spans="1:6" x14ac:dyDescent="0.2">
      <c r="A212" s="1">
        <v>43132</v>
      </c>
      <c r="B212" s="2">
        <v>1783</v>
      </c>
      <c r="C212" s="2" t="s">
        <v>3</v>
      </c>
      <c r="D212" s="2">
        <f t="shared" si="9"/>
        <v>1701.1671340190574</v>
      </c>
      <c r="E212" s="2">
        <f t="shared" si="10"/>
        <v>81.832865980942643</v>
      </c>
      <c r="F212" s="2">
        <f t="shared" si="11"/>
        <v>6696.6179546549192</v>
      </c>
    </row>
    <row r="213" spans="1:6" x14ac:dyDescent="0.2">
      <c r="A213" s="1">
        <v>43160</v>
      </c>
      <c r="B213" s="2">
        <v>1679</v>
      </c>
      <c r="C213" s="2" t="s">
        <v>3</v>
      </c>
      <c r="D213" s="2">
        <f t="shared" si="9"/>
        <v>1726.0847089500551</v>
      </c>
      <c r="E213" s="2">
        <f t="shared" si="10"/>
        <v>-47.084708950055074</v>
      </c>
      <c r="F213" s="2">
        <f t="shared" si="11"/>
        <v>2216.9698169113963</v>
      </c>
    </row>
    <row r="214" spans="1:6" x14ac:dyDescent="0.2">
      <c r="A214" s="1">
        <v>43191</v>
      </c>
      <c r="B214" s="2">
        <v>1605</v>
      </c>
      <c r="C214" s="2" t="s">
        <v>3</v>
      </c>
      <c r="D214" s="2">
        <f t="shared" si="9"/>
        <v>1711.747721612468</v>
      </c>
      <c r="E214" s="2">
        <f t="shared" si="10"/>
        <v>-106.74772161246801</v>
      </c>
      <c r="F214" s="2">
        <f t="shared" si="11"/>
        <v>11395.076069452971</v>
      </c>
    </row>
    <row r="215" spans="1:6" x14ac:dyDescent="0.2">
      <c r="A215" s="1">
        <v>43221</v>
      </c>
      <c r="B215" s="2">
        <v>1694</v>
      </c>
      <c r="C215" s="2" t="s">
        <v>3</v>
      </c>
      <c r="D215" s="2">
        <f t="shared" si="9"/>
        <v>1679.2437353459791</v>
      </c>
      <c r="E215" s="2">
        <f t="shared" si="10"/>
        <v>14.756264654020924</v>
      </c>
      <c r="F215" s="2">
        <f t="shared" si="11"/>
        <v>217.74734653950728</v>
      </c>
    </row>
    <row r="216" spans="1:6" x14ac:dyDescent="0.2">
      <c r="A216" s="1">
        <v>43252</v>
      </c>
      <c r="B216" s="2">
        <v>1560</v>
      </c>
      <c r="C216" s="2" t="s">
        <v>3</v>
      </c>
      <c r="D216" s="2">
        <f t="shared" si="9"/>
        <v>1683.7369218647527</v>
      </c>
      <c r="E216" s="2">
        <f t="shared" si="10"/>
        <v>-123.73692186475273</v>
      </c>
      <c r="F216" s="2">
        <f t="shared" si="11"/>
        <v>15310.825832563922</v>
      </c>
    </row>
    <row r="217" spans="1:6" x14ac:dyDescent="0.2">
      <c r="A217" s="1">
        <v>43282</v>
      </c>
      <c r="B217" s="2">
        <v>1629</v>
      </c>
      <c r="C217" s="2" t="s">
        <v>3</v>
      </c>
      <c r="D217" s="2">
        <f t="shared" si="9"/>
        <v>1646.059834727</v>
      </c>
      <c r="E217" s="2">
        <f t="shared" si="10"/>
        <v>-17.059834726999952</v>
      </c>
      <c r="F217" s="2">
        <f t="shared" si="11"/>
        <v>291.03796091255356</v>
      </c>
    </row>
    <row r="218" spans="1:6" x14ac:dyDescent="0.2">
      <c r="A218" s="1">
        <v>43313</v>
      </c>
      <c r="B218" s="3">
        <v>1546</v>
      </c>
      <c r="C218" s="3" t="s">
        <v>3</v>
      </c>
      <c r="D218" s="2">
        <f t="shared" si="9"/>
        <v>1640.86522611804</v>
      </c>
      <c r="E218" s="2">
        <f t="shared" si="10"/>
        <v>-94.865226118040027</v>
      </c>
      <c r="F218" s="2">
        <f t="shared" si="11"/>
        <v>8999.4111264268631</v>
      </c>
    </row>
    <row r="219" spans="1:6" x14ac:dyDescent="0.2">
      <c r="A219" s="1">
        <v>43344</v>
      </c>
      <c r="B219" s="3">
        <v>1574</v>
      </c>
      <c r="C219" s="3" t="s">
        <v>3</v>
      </c>
      <c r="D219" s="2">
        <f t="shared" si="9"/>
        <v>1611.9793823704581</v>
      </c>
      <c r="E219" s="2">
        <f t="shared" si="10"/>
        <v>-37.979382370458097</v>
      </c>
      <c r="F219" s="2">
        <f t="shared" si="11"/>
        <v>1442.4334852414634</v>
      </c>
    </row>
    <row r="220" spans="1:6" x14ac:dyDescent="0.2">
      <c r="A220" s="1">
        <v>43374</v>
      </c>
      <c r="B220" s="3">
        <v>1737</v>
      </c>
      <c r="C220" s="3" t="s">
        <v>3</v>
      </c>
      <c r="D220" s="2">
        <f t="shared" si="9"/>
        <v>1600.41490769754</v>
      </c>
      <c r="E220" s="2">
        <f t="shared" si="10"/>
        <v>136.58509230246</v>
      </c>
      <c r="F220" s="2">
        <f t="shared" si="11"/>
        <v>18655.487439271517</v>
      </c>
    </row>
    <row r="221" spans="1:6" x14ac:dyDescent="0.2">
      <c r="A221" s="1">
        <v>43405</v>
      </c>
      <c r="B221" s="3">
        <v>1659</v>
      </c>
      <c r="C221" s="3" t="s">
        <v>3</v>
      </c>
      <c r="D221" s="2">
        <f t="shared" si="9"/>
        <v>1642.0041790875507</v>
      </c>
      <c r="E221" s="2">
        <f t="shared" si="10"/>
        <v>16.99582091244929</v>
      </c>
      <c r="F221" s="2">
        <f t="shared" si="11"/>
        <v>288.85792848804863</v>
      </c>
    </row>
    <row r="222" spans="1:6" x14ac:dyDescent="0.2">
      <c r="A222" s="1">
        <v>43435</v>
      </c>
      <c r="B222" s="3">
        <v>1691</v>
      </c>
      <c r="C222" s="3" t="s">
        <v>3</v>
      </c>
      <c r="D222" s="2">
        <f t="shared" si="9"/>
        <v>1647.1792959067318</v>
      </c>
      <c r="E222" s="2">
        <f t="shared" si="10"/>
        <v>43.820704093268205</v>
      </c>
      <c r="F222" s="2">
        <f t="shared" si="11"/>
        <v>1920.2541072297729</v>
      </c>
    </row>
    <row r="223" spans="1:6" x14ac:dyDescent="0.2">
      <c r="A223" s="1">
        <v>43466</v>
      </c>
      <c r="B223" s="3">
        <v>1681</v>
      </c>
      <c r="C223" s="3" t="s">
        <v>3</v>
      </c>
      <c r="D223" s="2">
        <f t="shared" si="9"/>
        <v>1660.5224150152251</v>
      </c>
      <c r="E223" s="2">
        <f t="shared" si="10"/>
        <v>20.477584984774921</v>
      </c>
      <c r="F223" s="2">
        <f t="shared" si="11"/>
        <v>419.3314868086793</v>
      </c>
    </row>
    <row r="224" spans="1:6" x14ac:dyDescent="0.2">
      <c r="A224" s="1">
        <v>43497</v>
      </c>
      <c r="B224" s="3">
        <v>1788</v>
      </c>
      <c r="C224" s="3" t="s">
        <v>3</v>
      </c>
      <c r="D224" s="2">
        <f t="shared" si="9"/>
        <v>1666.7577063269434</v>
      </c>
      <c r="E224" s="2">
        <f t="shared" si="10"/>
        <v>121.24229367305657</v>
      </c>
      <c r="F224" s="2">
        <f t="shared" si="11"/>
        <v>14699.693775103691</v>
      </c>
    </row>
    <row r="225" spans="1:6" x14ac:dyDescent="0.2">
      <c r="A225" s="1">
        <v>43525</v>
      </c>
      <c r="B225" s="3">
        <v>1746</v>
      </c>
      <c r="C225" s="3" t="s">
        <v>3</v>
      </c>
      <c r="D225" s="2">
        <f t="shared" si="9"/>
        <v>1703.675195421215</v>
      </c>
      <c r="E225" s="2">
        <f t="shared" si="10"/>
        <v>42.324804578785006</v>
      </c>
      <c r="F225" s="2">
        <f t="shared" si="11"/>
        <v>1791.3890826323402</v>
      </c>
    </row>
    <row r="226" spans="1:6" x14ac:dyDescent="0.2">
      <c r="A226" s="1">
        <v>43556</v>
      </c>
      <c r="B226" s="3">
        <v>1672</v>
      </c>
      <c r="C226" s="3" t="s">
        <v>3</v>
      </c>
      <c r="D226" s="2">
        <f t="shared" si="9"/>
        <v>1716.5628228663704</v>
      </c>
      <c r="E226" s="2">
        <f t="shared" si="10"/>
        <v>-44.562822866370425</v>
      </c>
      <c r="F226" s="2">
        <f t="shared" si="11"/>
        <v>1985.8451818195067</v>
      </c>
    </row>
    <row r="227" spans="1:6" x14ac:dyDescent="0.2">
      <c r="A227" s="1">
        <v>43586</v>
      </c>
      <c r="B227" s="3">
        <v>1751</v>
      </c>
      <c r="C227" s="3" t="s">
        <v>3</v>
      </c>
      <c r="D227" s="2">
        <f t="shared" si="9"/>
        <v>1702.9937334229166</v>
      </c>
      <c r="E227" s="2">
        <f t="shared" si="10"/>
        <v>48.006266577083352</v>
      </c>
      <c r="F227" s="2">
        <f t="shared" si="11"/>
        <v>2304.6016306699903</v>
      </c>
    </row>
    <row r="228" spans="1:6" x14ac:dyDescent="0.2">
      <c r="A228" s="1">
        <v>43617</v>
      </c>
      <c r="B228" s="3">
        <v>1646</v>
      </c>
      <c r="C228" s="3" t="s">
        <v>3</v>
      </c>
      <c r="D228" s="2">
        <f t="shared" si="9"/>
        <v>1717.6113290582753</v>
      </c>
      <c r="E228" s="2">
        <f t="shared" si="10"/>
        <v>-71.61132905827526</v>
      </c>
      <c r="F228" s="2">
        <f t="shared" si="11"/>
        <v>5128.1824494925786</v>
      </c>
    </row>
    <row r="229" spans="1:6" x14ac:dyDescent="0.2">
      <c r="A229" s="1">
        <v>43647</v>
      </c>
      <c r="B229" s="3">
        <v>1714</v>
      </c>
      <c r="C229" s="3" t="s">
        <v>3</v>
      </c>
      <c r="D229" s="2">
        <f t="shared" si="9"/>
        <v>1695.8061455744967</v>
      </c>
      <c r="E229" s="2">
        <f t="shared" si="10"/>
        <v>18.193854425503332</v>
      </c>
      <c r="F229" s="2">
        <f t="shared" si="11"/>
        <v>331.01633885640717</v>
      </c>
    </row>
    <row r="230" spans="1:6" x14ac:dyDescent="0.2">
      <c r="A230" s="1">
        <v>43678</v>
      </c>
      <c r="B230" s="3">
        <v>1557</v>
      </c>
      <c r="C230" s="3" t="s">
        <v>3</v>
      </c>
      <c r="D230" s="2">
        <f t="shared" si="9"/>
        <v>1701.346055798791</v>
      </c>
      <c r="E230" s="2">
        <f t="shared" si="10"/>
        <v>-144.34605579879099</v>
      </c>
      <c r="F230" s="2">
        <f t="shared" si="11"/>
        <v>20835.78382466768</v>
      </c>
    </row>
    <row r="231" spans="1:6" x14ac:dyDescent="0.2">
      <c r="A231" s="1">
        <v>43709</v>
      </c>
      <c r="B231" s="3">
        <v>1617</v>
      </c>
      <c r="C231" s="3" t="s">
        <v>3</v>
      </c>
      <c r="D231" s="2">
        <f t="shared" si="9"/>
        <v>1657.3936215506981</v>
      </c>
      <c r="E231" s="2">
        <f t="shared" si="10"/>
        <v>-40.393621550698072</v>
      </c>
      <c r="F231" s="2">
        <f t="shared" si="11"/>
        <v>1631.6446619810197</v>
      </c>
    </row>
    <row r="232" spans="1:6" x14ac:dyDescent="0.2">
      <c r="A232" s="1">
        <v>43739</v>
      </c>
      <c r="B232" s="3">
        <v>1826</v>
      </c>
      <c r="C232" s="3" t="s">
        <v>3</v>
      </c>
      <c r="D232" s="2">
        <f t="shared" si="9"/>
        <v>1645.0940267649271</v>
      </c>
      <c r="E232" s="2">
        <f t="shared" si="10"/>
        <v>180.90597323507291</v>
      </c>
      <c r="F232" s="2">
        <f t="shared" si="11"/>
        <v>32726.971152128914</v>
      </c>
    </row>
    <row r="233" spans="1:6" x14ac:dyDescent="0.2">
      <c r="A233" s="1">
        <v>43770</v>
      </c>
      <c r="B233" s="3">
        <v>1758</v>
      </c>
      <c r="C233" s="3" t="s">
        <v>3</v>
      </c>
      <c r="D233" s="2">
        <f t="shared" si="9"/>
        <v>1700.1787178546879</v>
      </c>
      <c r="E233" s="2">
        <f t="shared" si="10"/>
        <v>57.821282145312125</v>
      </c>
      <c r="F233" s="2">
        <f t="shared" si="11"/>
        <v>3343.3006689277909</v>
      </c>
    </row>
    <row r="234" spans="1:6" x14ac:dyDescent="0.2">
      <c r="A234" s="1">
        <v>43800</v>
      </c>
      <c r="B234" s="3">
        <v>1756</v>
      </c>
      <c r="C234" s="3" t="s">
        <v>3</v>
      </c>
      <c r="D234" s="2">
        <f t="shared" si="9"/>
        <v>1717.7849218314336</v>
      </c>
      <c r="E234" s="2">
        <f t="shared" si="10"/>
        <v>38.215078168566379</v>
      </c>
      <c r="F234" s="2">
        <f t="shared" si="11"/>
        <v>1460.3921994296386</v>
      </c>
    </row>
    <row r="235" spans="1:6" x14ac:dyDescent="0.2">
      <c r="A235" s="1">
        <v>43831</v>
      </c>
      <c r="B235" s="3">
        <v>1725</v>
      </c>
      <c r="C235" s="3" t="s">
        <v>3</v>
      </c>
      <c r="D235" s="2">
        <f t="shared" si="9"/>
        <v>1729.4211643404146</v>
      </c>
      <c r="E235" s="2">
        <f t="shared" si="10"/>
        <v>-4.4211643404146344</v>
      </c>
      <c r="F235" s="2">
        <f t="shared" si="11"/>
        <v>19.546694124953969</v>
      </c>
    </row>
    <row r="236" spans="1:6" x14ac:dyDescent="0.2">
      <c r="A236" s="1">
        <v>43862</v>
      </c>
      <c r="B236" s="3">
        <v>1835</v>
      </c>
      <c r="C236" s="3" t="s">
        <v>3</v>
      </c>
      <c r="D236" s="2">
        <f t="shared" si="9"/>
        <v>1728.0749485820641</v>
      </c>
      <c r="E236" s="2">
        <f t="shared" si="10"/>
        <v>106.92505141793595</v>
      </c>
      <c r="F236" s="2">
        <f t="shared" si="11"/>
        <v>11432.966620728246</v>
      </c>
    </row>
    <row r="237" spans="1:6" x14ac:dyDescent="0.2">
      <c r="A237" s="1">
        <v>43891</v>
      </c>
      <c r="B237" s="3">
        <v>1724</v>
      </c>
      <c r="C237" s="3" t="s">
        <v>3</v>
      </c>
      <c r="D237" s="2">
        <f t="shared" si="9"/>
        <v>1760.6329306198395</v>
      </c>
      <c r="E237" s="2">
        <f t="shared" si="10"/>
        <v>-36.632930619839499</v>
      </c>
      <c r="F237" s="2">
        <f t="shared" si="11"/>
        <v>1341.9716057979742</v>
      </c>
    </row>
    <row r="238" spans="1:6" x14ac:dyDescent="0.2">
      <c r="A238" s="1">
        <v>43922</v>
      </c>
      <c r="B238" s="3">
        <v>1730</v>
      </c>
      <c r="C238" s="3" t="s">
        <v>3</v>
      </c>
      <c r="D238" s="2">
        <f t="shared" si="9"/>
        <v>1749.478441739119</v>
      </c>
      <c r="E238" s="2">
        <f t="shared" si="10"/>
        <v>-19.478441739119035</v>
      </c>
      <c r="F238" s="2">
        <f t="shared" si="11"/>
        <v>379.40969258425457</v>
      </c>
    </row>
    <row r="239" spans="1:6" x14ac:dyDescent="0.2">
      <c r="A239" s="1">
        <v>43952</v>
      </c>
      <c r="B239" s="3">
        <v>1752</v>
      </c>
      <c r="C239" s="3" t="s">
        <v>3</v>
      </c>
      <c r="D239" s="2">
        <f t="shared" si="9"/>
        <v>1743.5473830409351</v>
      </c>
      <c r="E239" s="2">
        <f t="shared" si="10"/>
        <v>8.452616959064926</v>
      </c>
      <c r="F239" s="2">
        <f t="shared" si="11"/>
        <v>71.446733456671993</v>
      </c>
    </row>
    <row r="240" spans="1:6" x14ac:dyDescent="0.2">
      <c r="A240" s="1">
        <v>43983</v>
      </c>
      <c r="B240" s="3">
        <v>1642</v>
      </c>
      <c r="C240" s="3" t="s">
        <v>3</v>
      </c>
      <c r="D240" s="2">
        <f t="shared" si="9"/>
        <v>1746.1211498755167</v>
      </c>
      <c r="E240" s="2">
        <f t="shared" si="10"/>
        <v>-104.12114987551672</v>
      </c>
      <c r="F240" s="2">
        <f t="shared" si="11"/>
        <v>10841.213851399816</v>
      </c>
    </row>
    <row r="241" spans="1:6" x14ac:dyDescent="0.2">
      <c r="A241" s="1">
        <v>44013</v>
      </c>
      <c r="B241" s="3">
        <v>1717</v>
      </c>
      <c r="C241" s="3" t="s">
        <v>3</v>
      </c>
      <c r="D241" s="2">
        <f t="shared" si="9"/>
        <v>1714.4169376030409</v>
      </c>
      <c r="E241" s="2">
        <f t="shared" si="10"/>
        <v>2.5830623969591215</v>
      </c>
      <c r="F241" s="2">
        <f t="shared" si="11"/>
        <v>6.6722113465842021</v>
      </c>
    </row>
    <row r="242" spans="1:6" x14ac:dyDescent="0.2">
      <c r="A242" s="1">
        <v>44044</v>
      </c>
      <c r="B242" s="3">
        <v>1579</v>
      </c>
      <c r="C242" s="3" t="s">
        <v>3</v>
      </c>
      <c r="D242" s="2">
        <f t="shared" si="9"/>
        <v>1715.2034632862874</v>
      </c>
      <c r="E242" s="2">
        <f t="shared" si="10"/>
        <v>-136.20346328628739</v>
      </c>
      <c r="F242" s="2">
        <f t="shared" si="11"/>
        <v>18551.383411179035</v>
      </c>
    </row>
    <row r="243" spans="1:6" x14ac:dyDescent="0.2">
      <c r="A243" s="1">
        <v>44075</v>
      </c>
      <c r="B243" s="3">
        <v>1647</v>
      </c>
      <c r="C243" s="3" t="s">
        <v>3</v>
      </c>
      <c r="D243" s="2">
        <f t="shared" si="9"/>
        <v>1673.7303954471645</v>
      </c>
      <c r="E243" s="2">
        <f t="shared" si="10"/>
        <v>-26.730395447164483</v>
      </c>
      <c r="F243" s="2">
        <f t="shared" si="11"/>
        <v>714.51404076179176</v>
      </c>
    </row>
    <row r="244" spans="1:6" x14ac:dyDescent="0.2">
      <c r="A244" s="1">
        <v>44105</v>
      </c>
      <c r="B244" s="3">
        <v>1961</v>
      </c>
      <c r="C244" s="3" t="s">
        <v>3</v>
      </c>
      <c r="D244" s="2">
        <f t="shared" si="9"/>
        <v>1665.5911640576023</v>
      </c>
      <c r="E244" s="2">
        <f t="shared" si="10"/>
        <v>295.40883594239767</v>
      </c>
      <c r="F244" s="2">
        <f t="shared" si="11"/>
        <v>87266.380352842418</v>
      </c>
    </row>
    <row r="245" spans="1:6" x14ac:dyDescent="0.2">
      <c r="A245" s="1">
        <v>44136</v>
      </c>
      <c r="B245" s="3">
        <v>1772</v>
      </c>
      <c r="C245" s="3" t="s">
        <v>3</v>
      </c>
      <c r="D245" s="2">
        <f t="shared" si="9"/>
        <v>1755.5412313885909</v>
      </c>
      <c r="E245" s="2">
        <f t="shared" si="10"/>
        <v>16.458768611409141</v>
      </c>
      <c r="F245" s="2">
        <f t="shared" si="11"/>
        <v>270.89106420390681</v>
      </c>
    </row>
    <row r="246" spans="1:6" x14ac:dyDescent="0.2">
      <c r="A246" s="1">
        <v>44166</v>
      </c>
      <c r="B246" s="3">
        <v>1822</v>
      </c>
      <c r="C246" s="3" t="s">
        <v>3</v>
      </c>
      <c r="D246" s="2">
        <f t="shared" si="9"/>
        <v>1760.5528192785011</v>
      </c>
      <c r="E246" s="2">
        <f t="shared" si="10"/>
        <v>61.447180721498853</v>
      </c>
      <c r="F246" s="2">
        <f t="shared" si="11"/>
        <v>3775.7560186205401</v>
      </c>
    </row>
    <row r="247" spans="1:6" x14ac:dyDescent="0.2">
      <c r="A247" s="1">
        <v>44197</v>
      </c>
      <c r="B247" s="3">
        <v>1884</v>
      </c>
      <c r="C247" s="3" t="s">
        <v>3</v>
      </c>
      <c r="D247" s="2">
        <f t="shared" si="9"/>
        <v>1779.2630857658448</v>
      </c>
      <c r="E247" s="2">
        <f t="shared" si="10"/>
        <v>104.73691423415517</v>
      </c>
      <c r="F247" s="2">
        <f t="shared" si="11"/>
        <v>10969.821203292775</v>
      </c>
    </row>
    <row r="248" spans="1:6" x14ac:dyDescent="0.2">
      <c r="A248" s="1">
        <v>44228</v>
      </c>
      <c r="B248" s="3">
        <v>1901</v>
      </c>
      <c r="C248" s="3" t="s">
        <v>3</v>
      </c>
      <c r="D248" s="2">
        <f t="shared" si="9"/>
        <v>1811.1547942766874</v>
      </c>
      <c r="E248" s="2">
        <f t="shared" si="10"/>
        <v>89.845205723312574</v>
      </c>
      <c r="F248" s="2">
        <f t="shared" si="11"/>
        <v>8072.1609914643586</v>
      </c>
    </row>
    <row r="249" spans="1:6" x14ac:dyDescent="0.2">
      <c r="A249" s="1">
        <v>44256</v>
      </c>
      <c r="B249" s="3">
        <v>1917</v>
      </c>
      <c r="C249" s="3" t="s">
        <v>3</v>
      </c>
      <c r="D249" s="2">
        <f t="shared" si="9"/>
        <v>1838.51207449614</v>
      </c>
      <c r="E249" s="2">
        <f t="shared" si="10"/>
        <v>78.487925503859969</v>
      </c>
      <c r="F249" s="2">
        <f t="shared" si="11"/>
        <v>6160.3544498994725</v>
      </c>
    </row>
    <row r="250" spans="1:6" x14ac:dyDescent="0.2">
      <c r="A250" s="1">
        <v>44287</v>
      </c>
      <c r="B250" s="3">
        <v>1796</v>
      </c>
      <c r="C250" s="3" t="s">
        <v>3</v>
      </c>
      <c r="D250" s="2">
        <f t="shared" si="9"/>
        <v>1862.411136828583</v>
      </c>
      <c r="E250" s="2">
        <f t="shared" si="10"/>
        <v>-66.411136828583039</v>
      </c>
      <c r="F250" s="2">
        <f t="shared" si="11"/>
        <v>4410.4390948647788</v>
      </c>
    </row>
    <row r="251" spans="1:6" x14ac:dyDescent="0.2">
      <c r="A251" s="1">
        <v>44317</v>
      </c>
      <c r="B251" s="3">
        <v>1722</v>
      </c>
      <c r="C251" s="3" t="s">
        <v>3</v>
      </c>
      <c r="D251" s="2">
        <f t="shared" si="9"/>
        <v>1842.1893780236996</v>
      </c>
      <c r="E251" s="2">
        <f t="shared" si="10"/>
        <v>-120.18937802369965</v>
      </c>
      <c r="F251" s="2">
        <f t="shared" si="11"/>
        <v>14445.486589723776</v>
      </c>
    </row>
    <row r="252" spans="1:6" x14ac:dyDescent="0.2">
      <c r="A252" s="1">
        <v>44348</v>
      </c>
      <c r="B252" s="3">
        <v>1702</v>
      </c>
      <c r="C252" s="3" t="s">
        <v>3</v>
      </c>
      <c r="D252" s="2">
        <f t="shared" si="9"/>
        <v>1805.5924948898128</v>
      </c>
      <c r="E252" s="2">
        <f t="shared" si="10"/>
        <v>-103.59249488981277</v>
      </c>
      <c r="F252" s="2">
        <f t="shared" si="11"/>
        <v>10731.404997495885</v>
      </c>
    </row>
    <row r="253" spans="1:6" x14ac:dyDescent="0.2">
      <c r="A253" s="1">
        <v>44378</v>
      </c>
      <c r="B253" s="3">
        <v>1829</v>
      </c>
      <c r="C253" s="3" t="s">
        <v>3</v>
      </c>
      <c r="D253" s="2">
        <f t="shared" si="9"/>
        <v>1774.0492546187575</v>
      </c>
      <c r="E253" s="2">
        <f t="shared" si="10"/>
        <v>54.950745381242541</v>
      </c>
      <c r="F253" s="2">
        <f t="shared" si="11"/>
        <v>3019.5844179541486</v>
      </c>
    </row>
    <row r="254" spans="1:6" x14ac:dyDescent="0.2">
      <c r="A254" s="1">
        <v>44409</v>
      </c>
      <c r="B254" s="2">
        <v>1687</v>
      </c>
      <c r="C254" s="2" t="s">
        <v>3</v>
      </c>
      <c r="D254" s="2">
        <f t="shared" si="9"/>
        <v>1790.781398839029</v>
      </c>
      <c r="E254" s="2">
        <f t="shared" si="10"/>
        <v>-103.78139883902895</v>
      </c>
      <c r="F254" s="2">
        <f t="shared" si="11"/>
        <v>10770.5787449856</v>
      </c>
    </row>
    <row r="255" spans="1:6" x14ac:dyDescent="0.2">
      <c r="A255" s="1">
        <v>44440</v>
      </c>
      <c r="B255" s="2">
        <v>1668</v>
      </c>
      <c r="C255" s="2" t="s">
        <v>3</v>
      </c>
      <c r="D255" s="2">
        <f t="shared" si="9"/>
        <v>1759.1806385452674</v>
      </c>
      <c r="E255" s="2">
        <f t="shared" si="10"/>
        <v>-91.180638545267357</v>
      </c>
      <c r="F255" s="2">
        <f t="shared" si="11"/>
        <v>8313.9088455226956</v>
      </c>
    </row>
    <row r="256" spans="1:6" x14ac:dyDescent="0.2">
      <c r="A256" s="1">
        <v>44470</v>
      </c>
      <c r="B256" s="2">
        <v>2009</v>
      </c>
      <c r="C256" s="2" t="s">
        <v>3</v>
      </c>
      <c r="D256" s="2">
        <f t="shared" si="9"/>
        <v>1731.4167277256579</v>
      </c>
      <c r="E256" s="2">
        <f t="shared" si="10"/>
        <v>277.58327227434211</v>
      </c>
      <c r="F256" s="2">
        <f t="shared" si="11"/>
        <v>77052.473046531537</v>
      </c>
    </row>
    <row r="257" spans="1:6" x14ac:dyDescent="0.2">
      <c r="A257" s="1">
        <v>44501</v>
      </c>
      <c r="B257" s="2">
        <v>1774</v>
      </c>
      <c r="C257" s="2" t="s">
        <v>3</v>
      </c>
      <c r="D257" s="2">
        <f t="shared" si="9"/>
        <v>1815.9390269702949</v>
      </c>
      <c r="E257" s="2">
        <f t="shared" si="10"/>
        <v>-41.93902697029489</v>
      </c>
      <c r="F257" s="2">
        <f t="shared" si="11"/>
        <v>1758.8819832151221</v>
      </c>
    </row>
    <row r="258" spans="1:6" x14ac:dyDescent="0.2">
      <c r="A258" s="1">
        <v>44531</v>
      </c>
      <c r="B258" s="2">
        <v>1863</v>
      </c>
      <c r="C258" s="2" t="s">
        <v>3</v>
      </c>
      <c r="D258" s="2">
        <f t="shared" si="9"/>
        <v>1803.1688662953793</v>
      </c>
      <c r="E258" s="2">
        <f t="shared" si="10"/>
        <v>59.831133704620697</v>
      </c>
      <c r="F258" s="2">
        <f t="shared" si="11"/>
        <v>3579.7645603801989</v>
      </c>
    </row>
    <row r="259" spans="1:6" x14ac:dyDescent="0.2">
      <c r="A259" s="1">
        <v>44562</v>
      </c>
      <c r="B259" s="2">
        <v>1758</v>
      </c>
      <c r="C259" s="2" t="s">
        <v>3</v>
      </c>
      <c r="D259" s="2">
        <f t="shared" si="9"/>
        <v>1821.3870569871074</v>
      </c>
      <c r="E259" s="2">
        <f t="shared" si="10"/>
        <v>-63.387056987107371</v>
      </c>
      <c r="F259" s="2">
        <f t="shared" si="11"/>
        <v>4017.9189934867973</v>
      </c>
    </row>
    <row r="260" spans="1:6" x14ac:dyDescent="0.2">
      <c r="A260" s="1">
        <v>44593</v>
      </c>
      <c r="B260" s="2">
        <v>1717</v>
      </c>
      <c r="C260" s="2" t="s">
        <v>3</v>
      </c>
      <c r="D260" s="2">
        <f t="shared" si="9"/>
        <v>1802.0861108061497</v>
      </c>
      <c r="E260" s="2">
        <f t="shared" si="10"/>
        <v>-85.086110806149691</v>
      </c>
      <c r="F260" s="2">
        <f t="shared" si="11"/>
        <v>7239.646252116383</v>
      </c>
    </row>
    <row r="261" spans="1:6" x14ac:dyDescent="0.2">
      <c r="A261" s="1">
        <v>44621</v>
      </c>
      <c r="B261" s="2">
        <v>1823</v>
      </c>
      <c r="C261" s="2" t="s">
        <v>3</v>
      </c>
      <c r="D261" s="2">
        <f t="shared" ref="D261:D276" si="12">($I$5*B260)+((1-$I$5)*D260)</f>
        <v>1776.1779440056225</v>
      </c>
      <c r="E261" s="2">
        <f t="shared" ref="E261:E276" si="13">(B261-D261)</f>
        <v>46.822055994377479</v>
      </c>
      <c r="F261" s="2">
        <f t="shared" ref="F261:F276" si="14">E261^2</f>
        <v>2192.3049275406202</v>
      </c>
    </row>
    <row r="262" spans="1:6" x14ac:dyDescent="0.2">
      <c r="A262" s="1">
        <v>44652</v>
      </c>
      <c r="B262" s="2">
        <v>1746</v>
      </c>
      <c r="C262" s="2" t="s">
        <v>3</v>
      </c>
      <c r="D262" s="2">
        <f t="shared" si="12"/>
        <v>1790.4349552281669</v>
      </c>
      <c r="E262" s="2">
        <f t="shared" si="13"/>
        <v>-44.434955228166928</v>
      </c>
      <c r="F262" s="2">
        <f t="shared" si="14"/>
        <v>1974.4652461291994</v>
      </c>
    </row>
    <row r="263" spans="1:6" x14ac:dyDescent="0.2">
      <c r="A263" s="1">
        <v>44682</v>
      </c>
      <c r="B263" s="2">
        <v>1857</v>
      </c>
      <c r="C263" s="2" t="s">
        <v>3</v>
      </c>
      <c r="D263" s="2">
        <f t="shared" si="12"/>
        <v>1776.9048006480834</v>
      </c>
      <c r="E263" s="2">
        <f t="shared" si="13"/>
        <v>80.095199351916563</v>
      </c>
      <c r="F263" s="2">
        <f t="shared" si="14"/>
        <v>6415.2409592232552</v>
      </c>
    </row>
    <row r="264" spans="1:6" x14ac:dyDescent="0.2">
      <c r="A264" s="1">
        <v>44713</v>
      </c>
      <c r="B264" s="2">
        <v>1803</v>
      </c>
      <c r="C264" s="2" t="s">
        <v>3</v>
      </c>
      <c r="D264" s="2">
        <f t="shared" si="12"/>
        <v>1801.2932674033523</v>
      </c>
      <c r="E264" s="2">
        <f t="shared" si="13"/>
        <v>1.7067325966477256</v>
      </c>
      <c r="F264" s="2">
        <f t="shared" si="14"/>
        <v>2.9129361564598879</v>
      </c>
    </row>
    <row r="265" spans="1:6" x14ac:dyDescent="0.2">
      <c r="A265" s="1">
        <v>44743</v>
      </c>
      <c r="B265" s="2">
        <v>1777</v>
      </c>
      <c r="C265" s="2" t="s">
        <v>3</v>
      </c>
      <c r="D265" s="2">
        <f t="shared" si="12"/>
        <v>1801.8129563676132</v>
      </c>
      <c r="E265" s="2">
        <f t="shared" si="13"/>
        <v>-24.812956367613197</v>
      </c>
      <c r="F265" s="2">
        <f t="shared" si="14"/>
        <v>615.6828037010763</v>
      </c>
    </row>
    <row r="266" spans="1:6" x14ac:dyDescent="0.2">
      <c r="A266" s="1">
        <v>44774</v>
      </c>
      <c r="B266" s="2">
        <v>1690</v>
      </c>
      <c r="C266" s="2" t="s">
        <v>3</v>
      </c>
      <c r="D266" s="2">
        <f t="shared" si="12"/>
        <v>1794.2575726945843</v>
      </c>
      <c r="E266" s="2">
        <f t="shared" si="13"/>
        <v>-104.25757269458427</v>
      </c>
      <c r="F266" s="2">
        <f t="shared" si="14"/>
        <v>10869.641464166523</v>
      </c>
    </row>
    <row r="267" spans="1:6" x14ac:dyDescent="0.2">
      <c r="A267" s="1">
        <v>44805</v>
      </c>
      <c r="B267" s="2">
        <v>1686</v>
      </c>
      <c r="C267" s="2" t="s">
        <v>3</v>
      </c>
      <c r="D267" s="2">
        <f t="shared" si="12"/>
        <v>1762.5118205618624</v>
      </c>
      <c r="E267" s="2">
        <f t="shared" si="13"/>
        <v>-76.511820561862351</v>
      </c>
      <c r="F267" s="2">
        <f t="shared" si="14"/>
        <v>5854.058685690622</v>
      </c>
    </row>
    <row r="268" spans="1:6" x14ac:dyDescent="0.2">
      <c r="A268" s="1">
        <v>44835</v>
      </c>
      <c r="B268" s="2">
        <v>1956</v>
      </c>
      <c r="C268" s="2" t="s">
        <v>3</v>
      </c>
      <c r="D268" s="2">
        <f t="shared" si="12"/>
        <v>1739.2144693191321</v>
      </c>
      <c r="E268" s="2">
        <f t="shared" si="13"/>
        <v>216.78553068086785</v>
      </c>
      <c r="F268" s="2">
        <f t="shared" si="14"/>
        <v>46995.966312585493</v>
      </c>
    </row>
    <row r="269" spans="1:6" x14ac:dyDescent="0.2">
      <c r="A269" s="1">
        <v>44866</v>
      </c>
      <c r="B269" s="2">
        <v>1807</v>
      </c>
      <c r="C269" s="2" t="s">
        <v>3</v>
      </c>
      <c r="D269" s="2">
        <f t="shared" si="12"/>
        <v>1805.2242520628361</v>
      </c>
      <c r="E269" s="2">
        <f t="shared" si="13"/>
        <v>1.775747937163942</v>
      </c>
      <c r="F269" s="2">
        <f t="shared" si="14"/>
        <v>3.153280736341995</v>
      </c>
    </row>
    <row r="270" spans="1:6" x14ac:dyDescent="0.2">
      <c r="A270" s="1">
        <v>44896</v>
      </c>
      <c r="B270" s="2">
        <v>1949</v>
      </c>
      <c r="C270" s="2" t="s">
        <v>3</v>
      </c>
      <c r="D270" s="2">
        <f t="shared" si="12"/>
        <v>1805.7649557489704</v>
      </c>
      <c r="E270" s="2">
        <f t="shared" si="13"/>
        <v>143.23504425102965</v>
      </c>
      <c r="F270" s="2">
        <f t="shared" si="14"/>
        <v>20516.277901594422</v>
      </c>
    </row>
    <row r="271" spans="1:6" x14ac:dyDescent="0.2">
      <c r="A271" s="11">
        <v>44927</v>
      </c>
      <c r="B271" s="2">
        <v>1833</v>
      </c>
      <c r="C271" s="2" t="s">
        <v>4</v>
      </c>
      <c r="D271" s="2">
        <f>($I$5*B270)+((1-$I$5)*D270)</f>
        <v>1849.3790942138385</v>
      </c>
      <c r="E271" s="2">
        <f t="shared" si="13"/>
        <v>-16.379094213838471</v>
      </c>
      <c r="F271" s="2">
        <f t="shared" si="14"/>
        <v>268.27472726579686</v>
      </c>
    </row>
    <row r="272" spans="1:6" x14ac:dyDescent="0.2">
      <c r="A272" s="11">
        <v>44958</v>
      </c>
      <c r="B272" s="2">
        <v>1813</v>
      </c>
      <c r="C272" s="2" t="s">
        <v>4</v>
      </c>
      <c r="D272" s="2">
        <f>($I$5*D271)+((1-$I$5)*D271)</f>
        <v>1849.3790942138385</v>
      </c>
      <c r="E272" s="2">
        <f t="shared" si="13"/>
        <v>-36.379094213838471</v>
      </c>
      <c r="F272" s="2">
        <f t="shared" si="14"/>
        <v>1323.4384958193357</v>
      </c>
    </row>
    <row r="273" spans="1:6" x14ac:dyDescent="0.2">
      <c r="A273" s="11">
        <v>44986</v>
      </c>
      <c r="B273" s="2">
        <v>1886</v>
      </c>
      <c r="C273" s="2" t="s">
        <v>4</v>
      </c>
      <c r="D273" s="2">
        <f t="shared" ref="D273:D276" si="15">($I$5*D272)+((1-$I$5)*D272)</f>
        <v>1849.3790942138385</v>
      </c>
      <c r="E273" s="2">
        <f t="shared" si="13"/>
        <v>36.620905786161529</v>
      </c>
      <c r="F273" s="2">
        <f t="shared" si="14"/>
        <v>1341.090740598919</v>
      </c>
    </row>
    <row r="274" spans="1:6" x14ac:dyDescent="0.2">
      <c r="A274" s="11">
        <v>45017</v>
      </c>
      <c r="B274" s="2">
        <v>1805</v>
      </c>
      <c r="C274" s="2" t="s">
        <v>4</v>
      </c>
      <c r="D274" s="2">
        <f t="shared" si="15"/>
        <v>1849.3790942138385</v>
      </c>
      <c r="E274" s="2">
        <f t="shared" si="13"/>
        <v>-44.379094213838471</v>
      </c>
      <c r="F274" s="2">
        <f t="shared" si="14"/>
        <v>1969.5040032407512</v>
      </c>
    </row>
    <row r="275" spans="1:6" x14ac:dyDescent="0.2">
      <c r="A275" s="11">
        <v>45047</v>
      </c>
      <c r="B275" s="2">
        <v>1931</v>
      </c>
      <c r="C275" s="2" t="s">
        <v>4</v>
      </c>
      <c r="D275" s="2">
        <f t="shared" si="15"/>
        <v>1849.3790942138385</v>
      </c>
      <c r="E275" s="2">
        <f t="shared" si="13"/>
        <v>81.620905786161529</v>
      </c>
      <c r="F275" s="2">
        <f t="shared" si="14"/>
        <v>6661.9722613534568</v>
      </c>
    </row>
    <row r="276" spans="1:6" x14ac:dyDescent="0.2">
      <c r="A276" s="11">
        <v>45078</v>
      </c>
      <c r="B276" s="2">
        <v>1822</v>
      </c>
      <c r="C276" s="2" t="s">
        <v>4</v>
      </c>
      <c r="D276" s="2">
        <f t="shared" si="15"/>
        <v>1849.3790942138385</v>
      </c>
      <c r="E276" s="2">
        <f t="shared" si="13"/>
        <v>-27.379094213838471</v>
      </c>
      <c r="F276" s="2">
        <f t="shared" si="14"/>
        <v>749.61479997024321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147A1-EF61-BF40-90DD-E2EC070A24E8}">
  <dimension ref="A1:O276"/>
  <sheetViews>
    <sheetView showGridLines="0" tabSelected="1" zoomScale="140" zoomScaleNormal="140" workbookViewId="0">
      <selection activeCell="E18" sqref="E18"/>
    </sheetView>
  </sheetViews>
  <sheetFormatPr baseColWidth="10" defaultRowHeight="15" x14ac:dyDescent="0.2"/>
  <cols>
    <col min="4" max="4" width="14.1640625" bestFit="1" customWidth="1"/>
    <col min="5" max="6" width="14.1640625" customWidth="1"/>
    <col min="11" max="11" width="12.5" bestFit="1" customWidth="1"/>
    <col min="14" max="15" width="13" bestFit="1" customWidth="1"/>
  </cols>
  <sheetData>
    <row r="1" spans="1:15" x14ac:dyDescent="0.2">
      <c r="A1" s="4" t="s">
        <v>0</v>
      </c>
      <c r="B1" s="4" t="s">
        <v>1</v>
      </c>
      <c r="C1" s="4" t="s">
        <v>2</v>
      </c>
      <c r="D1" s="4" t="s">
        <v>13</v>
      </c>
      <c r="E1" s="4" t="s">
        <v>14</v>
      </c>
      <c r="F1" s="4" t="s">
        <v>15</v>
      </c>
      <c r="G1" s="4" t="s">
        <v>6</v>
      </c>
      <c r="H1" s="4" t="s">
        <v>7</v>
      </c>
      <c r="I1" s="4" t="s">
        <v>8</v>
      </c>
    </row>
    <row r="2" spans="1:15" x14ac:dyDescent="0.2">
      <c r="A2" s="1">
        <v>36739</v>
      </c>
      <c r="B2" s="2">
        <v>1049</v>
      </c>
      <c r="C2" s="2" t="s">
        <v>3</v>
      </c>
      <c r="D2" s="5"/>
      <c r="E2" s="5"/>
      <c r="F2" s="13">
        <f t="shared" ref="F2:F13" si="0">B2/$D$13</f>
        <v>1.0249979643351519</v>
      </c>
      <c r="G2" s="2"/>
      <c r="H2" s="2"/>
      <c r="I2" s="2"/>
    </row>
    <row r="3" spans="1:15" x14ac:dyDescent="0.2">
      <c r="A3" s="1">
        <v>36770</v>
      </c>
      <c r="B3" s="2">
        <v>1026</v>
      </c>
      <c r="C3" s="2" t="s">
        <v>3</v>
      </c>
      <c r="D3" s="5"/>
      <c r="E3" s="5"/>
      <c r="F3" s="13">
        <f t="shared" si="0"/>
        <v>1.002524224411693</v>
      </c>
      <c r="G3" s="2"/>
      <c r="H3" s="2"/>
      <c r="I3" s="2"/>
      <c r="K3" s="5" t="s">
        <v>13</v>
      </c>
      <c r="L3" s="5" t="s">
        <v>16</v>
      </c>
      <c r="M3" s="16">
        <v>0.5</v>
      </c>
    </row>
    <row r="4" spans="1:15" x14ac:dyDescent="0.2">
      <c r="A4" s="1">
        <v>36800</v>
      </c>
      <c r="B4" s="2">
        <v>1074</v>
      </c>
      <c r="C4" s="2" t="s">
        <v>3</v>
      </c>
      <c r="D4" s="5"/>
      <c r="E4" s="5"/>
      <c r="F4" s="13">
        <f t="shared" si="0"/>
        <v>1.0494259425128247</v>
      </c>
      <c r="G4" s="2"/>
      <c r="H4" s="2"/>
      <c r="I4" s="2"/>
      <c r="K4" s="5" t="s">
        <v>17</v>
      </c>
      <c r="L4" s="5" t="s">
        <v>18</v>
      </c>
      <c r="M4" s="16">
        <v>0.5</v>
      </c>
    </row>
    <row r="5" spans="1:15" x14ac:dyDescent="0.2">
      <c r="A5" s="1">
        <v>36831</v>
      </c>
      <c r="B5" s="2">
        <v>1031</v>
      </c>
      <c r="C5" s="2" t="s">
        <v>3</v>
      </c>
      <c r="D5" s="5"/>
      <c r="E5" s="5"/>
      <c r="F5" s="13">
        <f t="shared" si="0"/>
        <v>1.0074098200472275</v>
      </c>
      <c r="G5" s="2"/>
      <c r="H5" s="2"/>
      <c r="I5" s="2"/>
      <c r="K5" s="5" t="s">
        <v>15</v>
      </c>
      <c r="L5" s="5" t="s">
        <v>19</v>
      </c>
      <c r="M5" s="16">
        <v>0.5</v>
      </c>
    </row>
    <row r="6" spans="1:15" x14ac:dyDescent="0.2">
      <c r="A6" s="1">
        <v>36861</v>
      </c>
      <c r="B6" s="2">
        <v>1047</v>
      </c>
      <c r="C6" s="2" t="s">
        <v>3</v>
      </c>
      <c r="D6" s="5"/>
      <c r="E6" s="5"/>
      <c r="F6" s="13">
        <f t="shared" si="0"/>
        <v>1.023043726080938</v>
      </c>
      <c r="G6" s="2"/>
      <c r="H6" s="2"/>
      <c r="I6" s="2"/>
    </row>
    <row r="7" spans="1:15" x14ac:dyDescent="0.2">
      <c r="A7" s="1">
        <v>36892</v>
      </c>
      <c r="B7" s="2">
        <v>986</v>
      </c>
      <c r="C7" s="2" t="s">
        <v>3</v>
      </c>
      <c r="D7" s="5"/>
      <c r="E7" s="5"/>
      <c r="F7" s="13">
        <f t="shared" si="0"/>
        <v>0.96343945932741637</v>
      </c>
      <c r="G7" s="2"/>
      <c r="H7" s="2"/>
      <c r="I7" s="2"/>
      <c r="K7" s="5"/>
      <c r="L7" s="6" t="s">
        <v>11</v>
      </c>
      <c r="N7" s="7"/>
      <c r="O7" s="7"/>
    </row>
    <row r="8" spans="1:15" x14ac:dyDescent="0.2">
      <c r="A8" s="1">
        <v>36923</v>
      </c>
      <c r="B8" s="2">
        <v>1015</v>
      </c>
      <c r="C8" s="2" t="s">
        <v>3</v>
      </c>
      <c r="D8" s="5"/>
      <c r="E8" s="5"/>
      <c r="F8" s="13">
        <f t="shared" si="0"/>
        <v>0.99177591401351683</v>
      </c>
      <c r="G8" s="2"/>
      <c r="H8" s="2"/>
      <c r="I8" s="2"/>
      <c r="K8" s="5" t="s">
        <v>3</v>
      </c>
      <c r="L8" s="8" t="e">
        <f>SQRT(AVERAGEIF($C$14:$C$276,K8,$I$14:$I$276))</f>
        <v>#DIV/0!</v>
      </c>
      <c r="N8" s="7"/>
      <c r="O8" s="7"/>
    </row>
    <row r="9" spans="1:15" x14ac:dyDescent="0.2">
      <c r="A9" s="1">
        <v>36951</v>
      </c>
      <c r="B9" s="2">
        <v>1021</v>
      </c>
      <c r="C9" s="2" t="s">
        <v>3</v>
      </c>
      <c r="D9" s="5"/>
      <c r="E9" s="5"/>
      <c r="F9" s="13">
        <f t="shared" si="0"/>
        <v>0.99763862877615828</v>
      </c>
      <c r="G9" s="2"/>
      <c r="H9" s="2"/>
      <c r="I9" s="2"/>
      <c r="K9" s="5" t="s">
        <v>4</v>
      </c>
      <c r="L9" s="8" t="e">
        <f>SQRT(AVERAGEIF($C$14:$C$276,K9,$I$14:$I$276))</f>
        <v>#DIV/0!</v>
      </c>
      <c r="N9" s="7"/>
      <c r="O9" s="7"/>
    </row>
    <row r="10" spans="1:15" x14ac:dyDescent="0.2">
      <c r="A10" s="1">
        <v>36982</v>
      </c>
      <c r="B10" s="2">
        <v>958</v>
      </c>
      <c r="C10" s="2" t="s">
        <v>3</v>
      </c>
      <c r="D10" s="5"/>
      <c r="E10" s="5"/>
      <c r="F10" s="13">
        <f t="shared" si="0"/>
        <v>0.93608012376842276</v>
      </c>
      <c r="G10" s="2"/>
      <c r="H10" s="2"/>
      <c r="I10" s="2"/>
      <c r="K10" s="7"/>
      <c r="L10" s="7"/>
      <c r="N10" s="7"/>
      <c r="O10" s="7"/>
    </row>
    <row r="11" spans="1:15" x14ac:dyDescent="0.2">
      <c r="A11" s="1">
        <v>37012</v>
      </c>
      <c r="B11" s="2">
        <v>1041</v>
      </c>
      <c r="C11" s="2" t="s">
        <v>3</v>
      </c>
      <c r="D11" s="5"/>
      <c r="E11" s="5"/>
      <c r="F11" s="13">
        <f t="shared" si="0"/>
        <v>1.0171810113182966</v>
      </c>
      <c r="G11" s="2"/>
      <c r="H11" s="2"/>
      <c r="I11" s="2"/>
      <c r="K11" s="5"/>
      <c r="L11" s="10" t="s">
        <v>9</v>
      </c>
      <c r="M11" s="7"/>
      <c r="N11" s="6" t="s">
        <v>10</v>
      </c>
    </row>
    <row r="12" spans="1:15" x14ac:dyDescent="0.2">
      <c r="A12" s="1">
        <v>37043</v>
      </c>
      <c r="B12" s="2">
        <v>999</v>
      </c>
      <c r="C12" s="2" t="s">
        <v>3</v>
      </c>
      <c r="D12" s="5"/>
      <c r="E12" s="5"/>
      <c r="F12" s="13">
        <f t="shared" si="0"/>
        <v>0.97614200797980621</v>
      </c>
      <c r="G12" s="2"/>
      <c r="H12" s="2"/>
      <c r="I12" s="2"/>
      <c r="K12" s="5" t="s">
        <v>3</v>
      </c>
      <c r="L12" s="8">
        <f>AVERAGEIF($C$14:$C$276,K12,B14:B276)</f>
        <v>1415.5603112840467</v>
      </c>
      <c r="M12" s="7"/>
      <c r="N12" s="9" t="e">
        <f>L8/L12</f>
        <v>#DIV/0!</v>
      </c>
    </row>
    <row r="13" spans="1:15" x14ac:dyDescent="0.2">
      <c r="A13" s="1">
        <v>37073</v>
      </c>
      <c r="B13" s="2">
        <v>1034</v>
      </c>
      <c r="C13" s="2" t="s">
        <v>3</v>
      </c>
      <c r="D13" s="14">
        <f>+AVERAGE(B2:B13)</f>
        <v>1023.4166666666666</v>
      </c>
      <c r="E13" s="13">
        <v>0</v>
      </c>
      <c r="F13" s="13">
        <f t="shared" si="0"/>
        <v>1.0103411774285482</v>
      </c>
      <c r="G13" s="2"/>
      <c r="H13" s="2"/>
      <c r="I13" s="2"/>
      <c r="K13" s="5" t="s">
        <v>4</v>
      </c>
      <c r="L13" s="8">
        <f>AVERAGEIF($C$14:$C$276,K13,B15:B277)</f>
        <v>1851.4</v>
      </c>
      <c r="M13" s="7"/>
      <c r="N13" s="9" t="e">
        <f>L9/L13</f>
        <v>#DIV/0!</v>
      </c>
    </row>
    <row r="14" spans="1:15" x14ac:dyDescent="0.2">
      <c r="A14" s="1">
        <v>37104</v>
      </c>
      <c r="B14" s="2">
        <v>959</v>
      </c>
      <c r="C14" s="2" t="s">
        <v>3</v>
      </c>
      <c r="D14" s="15">
        <f t="shared" ref="D14" si="1">+$M$3*(B14/F2)+(1-$M$3)*(D13+E13)</f>
        <v>979.51414045122328</v>
      </c>
      <c r="E14" s="13">
        <f t="shared" ref="E14" si="2">+$M$4*(D14-D13)+(1-$M$4)*E13</f>
        <v>-21.951263107721672</v>
      </c>
      <c r="F14" s="13">
        <f t="shared" ref="F14" si="3">+$M$5*(B14/D14)+(1-$M$5)*F2</f>
        <v>1.0020273924252505</v>
      </c>
      <c r="G14" s="15">
        <f>+(D13+E13)*F2</f>
        <v>1049</v>
      </c>
      <c r="H14" s="2"/>
      <c r="I14" s="2"/>
    </row>
    <row r="15" spans="1:15" x14ac:dyDescent="0.2">
      <c r="A15" s="1">
        <v>37135</v>
      </c>
      <c r="B15" s="2">
        <v>920</v>
      </c>
      <c r="C15" s="2" t="s">
        <v>3</v>
      </c>
      <c r="D15" s="2"/>
      <c r="E15" s="2"/>
      <c r="F15" s="2"/>
      <c r="G15" s="2"/>
      <c r="H15" s="2"/>
      <c r="I15" s="2"/>
    </row>
    <row r="16" spans="1:15" x14ac:dyDescent="0.2">
      <c r="A16" s="1">
        <v>37165</v>
      </c>
      <c r="B16" s="2">
        <v>1019</v>
      </c>
      <c r="C16" s="2" t="s">
        <v>3</v>
      </c>
      <c r="D16" s="2"/>
      <c r="E16" s="2"/>
      <c r="F16" s="2"/>
      <c r="G16" s="2"/>
      <c r="H16" s="2"/>
      <c r="I16" s="2"/>
    </row>
    <row r="17" spans="1:9" x14ac:dyDescent="0.2">
      <c r="A17" s="1">
        <v>37196</v>
      </c>
      <c r="B17" s="2">
        <v>1056</v>
      </c>
      <c r="C17" s="2" t="s">
        <v>3</v>
      </c>
      <c r="D17" s="2"/>
      <c r="E17" s="2"/>
      <c r="F17" s="2"/>
      <c r="G17" s="2"/>
      <c r="H17" s="2"/>
      <c r="I17" s="2"/>
    </row>
    <row r="18" spans="1:9" x14ac:dyDescent="0.2">
      <c r="A18" s="1">
        <v>37226</v>
      </c>
      <c r="B18" s="2">
        <v>1057</v>
      </c>
      <c r="C18" s="2" t="s">
        <v>3</v>
      </c>
      <c r="D18" s="2"/>
      <c r="E18" s="2"/>
      <c r="F18" s="2"/>
      <c r="G18" s="2"/>
      <c r="H18" s="2"/>
      <c r="I18" s="2"/>
    </row>
    <row r="19" spans="1:9" x14ac:dyDescent="0.2">
      <c r="A19" s="1">
        <v>37257</v>
      </c>
      <c r="B19" s="2">
        <v>1017</v>
      </c>
      <c r="C19" s="2" t="s">
        <v>3</v>
      </c>
      <c r="D19" s="2"/>
      <c r="E19" s="2"/>
      <c r="F19" s="2"/>
      <c r="G19" s="2"/>
      <c r="H19" s="2"/>
      <c r="I19" s="2"/>
    </row>
    <row r="20" spans="1:9" x14ac:dyDescent="0.2">
      <c r="A20" s="1">
        <v>37288</v>
      </c>
      <c r="B20" s="2">
        <v>1096</v>
      </c>
      <c r="C20" s="2" t="s">
        <v>3</v>
      </c>
      <c r="D20" s="2"/>
      <c r="E20" s="2"/>
      <c r="F20" s="2"/>
      <c r="G20" s="2"/>
      <c r="H20" s="2"/>
      <c r="I20" s="2"/>
    </row>
    <row r="21" spans="1:9" x14ac:dyDescent="0.2">
      <c r="A21" s="1">
        <v>37316</v>
      </c>
      <c r="B21" s="2">
        <v>1052</v>
      </c>
      <c r="C21" s="2" t="s">
        <v>3</v>
      </c>
      <c r="D21" s="2"/>
      <c r="E21" s="2"/>
      <c r="F21" s="2"/>
      <c r="G21" s="2"/>
      <c r="H21" s="2"/>
      <c r="I21" s="2"/>
    </row>
    <row r="22" spans="1:9" x14ac:dyDescent="0.2">
      <c r="A22" s="1">
        <v>37347</v>
      </c>
      <c r="B22" s="2">
        <v>971</v>
      </c>
      <c r="C22" s="2" t="s">
        <v>3</v>
      </c>
      <c r="D22" s="2"/>
      <c r="E22" s="2"/>
      <c r="F22" s="2"/>
      <c r="G22" s="2"/>
      <c r="H22" s="2"/>
      <c r="I22" s="2"/>
    </row>
    <row r="23" spans="1:9" x14ac:dyDescent="0.2">
      <c r="A23" s="1">
        <v>37377</v>
      </c>
      <c r="B23" s="2">
        <v>1033</v>
      </c>
      <c r="C23" s="2" t="s">
        <v>3</v>
      </c>
      <c r="D23" s="2"/>
      <c r="E23" s="2"/>
      <c r="F23" s="2"/>
      <c r="G23" s="2"/>
      <c r="H23" s="2"/>
      <c r="I23" s="2"/>
    </row>
    <row r="24" spans="1:9" x14ac:dyDescent="0.2">
      <c r="A24" s="1">
        <v>37408</v>
      </c>
      <c r="B24" s="2">
        <v>978</v>
      </c>
      <c r="C24" s="2" t="s">
        <v>3</v>
      </c>
      <c r="D24" s="2"/>
      <c r="E24" s="2"/>
      <c r="F24" s="2"/>
      <c r="G24" s="2"/>
      <c r="H24" s="2"/>
      <c r="I24" s="2"/>
    </row>
    <row r="25" spans="1:9" x14ac:dyDescent="0.2">
      <c r="A25" s="1">
        <v>37438</v>
      </c>
      <c r="B25" s="2">
        <v>983</v>
      </c>
      <c r="C25" s="2" t="s">
        <v>3</v>
      </c>
      <c r="D25" s="2"/>
      <c r="E25" s="2"/>
      <c r="F25" s="2"/>
      <c r="G25" s="2"/>
      <c r="H25" s="2"/>
      <c r="I25" s="2"/>
    </row>
    <row r="26" spans="1:9" x14ac:dyDescent="0.2">
      <c r="A26" s="1">
        <v>37469</v>
      </c>
      <c r="B26" s="2">
        <v>906</v>
      </c>
      <c r="C26" s="2" t="s">
        <v>3</v>
      </c>
      <c r="D26" s="2"/>
      <c r="E26" s="2"/>
      <c r="F26" s="2"/>
      <c r="G26" s="2"/>
      <c r="H26" s="2"/>
      <c r="I26" s="2"/>
    </row>
    <row r="27" spans="1:9" x14ac:dyDescent="0.2">
      <c r="A27" s="1">
        <v>37500</v>
      </c>
      <c r="B27" s="2">
        <v>910</v>
      </c>
      <c r="C27" s="2" t="s">
        <v>3</v>
      </c>
      <c r="D27" s="2"/>
      <c r="E27" s="2"/>
      <c r="F27" s="2"/>
      <c r="G27" s="2"/>
      <c r="H27" s="2"/>
      <c r="I27" s="2"/>
    </row>
    <row r="28" spans="1:9" x14ac:dyDescent="0.2">
      <c r="A28" s="1">
        <v>37530</v>
      </c>
      <c r="B28" s="2">
        <v>1025</v>
      </c>
      <c r="C28" s="2" t="s">
        <v>3</v>
      </c>
      <c r="D28" s="2"/>
      <c r="E28" s="2"/>
      <c r="F28" s="2"/>
      <c r="G28" s="2"/>
      <c r="H28" s="2"/>
      <c r="I28" s="2"/>
    </row>
    <row r="29" spans="1:9" x14ac:dyDescent="0.2">
      <c r="A29" s="1">
        <v>37561</v>
      </c>
      <c r="B29" s="2">
        <v>1026</v>
      </c>
      <c r="C29" s="2" t="s">
        <v>3</v>
      </c>
      <c r="D29" s="2"/>
      <c r="E29" s="2"/>
      <c r="F29" s="2"/>
      <c r="G29" s="2"/>
      <c r="H29" s="2"/>
      <c r="I29" s="2"/>
    </row>
    <row r="30" spans="1:9" x14ac:dyDescent="0.2">
      <c r="A30" s="1">
        <v>37591</v>
      </c>
      <c r="B30" s="2">
        <v>1014</v>
      </c>
      <c r="C30" s="2" t="s">
        <v>3</v>
      </c>
      <c r="D30" s="2"/>
      <c r="E30" s="2"/>
      <c r="F30" s="2"/>
      <c r="G30" s="2"/>
      <c r="H30" s="2"/>
      <c r="I30" s="2"/>
    </row>
    <row r="31" spans="1:9" x14ac:dyDescent="0.2">
      <c r="A31" s="1">
        <v>37622</v>
      </c>
      <c r="B31" s="2">
        <v>977</v>
      </c>
      <c r="C31" s="2" t="s">
        <v>3</v>
      </c>
      <c r="D31" s="2"/>
      <c r="E31" s="2"/>
      <c r="F31" s="2"/>
      <c r="G31" s="2"/>
      <c r="H31" s="2"/>
      <c r="I31" s="2"/>
    </row>
    <row r="32" spans="1:9" x14ac:dyDescent="0.2">
      <c r="A32" s="1">
        <v>37653</v>
      </c>
      <c r="B32" s="2">
        <v>990</v>
      </c>
      <c r="C32" s="2" t="s">
        <v>3</v>
      </c>
      <c r="D32" s="2"/>
      <c r="E32" s="2"/>
      <c r="F32" s="2"/>
      <c r="G32" s="2"/>
      <c r="H32" s="2"/>
      <c r="I32" s="2"/>
    </row>
    <row r="33" spans="1:9" x14ac:dyDescent="0.2">
      <c r="A33" s="1">
        <v>37681</v>
      </c>
      <c r="B33" s="2">
        <v>989</v>
      </c>
      <c r="C33" s="2" t="s">
        <v>3</v>
      </c>
      <c r="D33" s="2"/>
      <c r="E33" s="2"/>
      <c r="F33" s="2"/>
      <c r="G33" s="2"/>
      <c r="H33" s="2"/>
      <c r="I33" s="2"/>
    </row>
    <row r="34" spans="1:9" x14ac:dyDescent="0.2">
      <c r="A34" s="1">
        <v>37712</v>
      </c>
      <c r="B34" s="2">
        <v>960</v>
      </c>
      <c r="C34" s="2" t="s">
        <v>3</v>
      </c>
      <c r="D34" s="2"/>
      <c r="E34" s="2"/>
      <c r="F34" s="2"/>
      <c r="G34" s="2"/>
      <c r="H34" s="2"/>
      <c r="I34" s="2"/>
    </row>
    <row r="35" spans="1:9" x14ac:dyDescent="0.2">
      <c r="A35" s="1">
        <v>37742</v>
      </c>
      <c r="B35" s="2">
        <v>981</v>
      </c>
      <c r="C35" s="2" t="s">
        <v>3</v>
      </c>
      <c r="D35" s="2"/>
      <c r="E35" s="2"/>
      <c r="F35" s="2"/>
      <c r="G35" s="2"/>
      <c r="H35" s="2"/>
      <c r="I35" s="2"/>
    </row>
    <row r="36" spans="1:9" x14ac:dyDescent="0.2">
      <c r="A36" s="1">
        <v>37773</v>
      </c>
      <c r="B36" s="2">
        <v>962</v>
      </c>
      <c r="C36" s="2" t="s">
        <v>3</v>
      </c>
      <c r="D36" s="2"/>
      <c r="E36" s="2"/>
      <c r="F36" s="2"/>
      <c r="G36" s="2"/>
      <c r="H36" s="2"/>
      <c r="I36" s="2"/>
    </row>
    <row r="37" spans="1:9" x14ac:dyDescent="0.2">
      <c r="A37" s="1">
        <v>37803</v>
      </c>
      <c r="B37" s="2">
        <v>1022</v>
      </c>
      <c r="C37" s="2" t="s">
        <v>3</v>
      </c>
      <c r="D37" s="2"/>
      <c r="E37" s="2"/>
      <c r="F37" s="2"/>
      <c r="G37" s="2"/>
      <c r="H37" s="2"/>
      <c r="I37" s="2"/>
    </row>
    <row r="38" spans="1:9" x14ac:dyDescent="0.2">
      <c r="A38" s="1">
        <v>37834</v>
      </c>
      <c r="B38" s="2">
        <v>910</v>
      </c>
      <c r="C38" s="2" t="s">
        <v>3</v>
      </c>
      <c r="D38" s="2"/>
      <c r="E38" s="2"/>
      <c r="F38" s="2"/>
      <c r="G38" s="2"/>
      <c r="H38" s="2"/>
      <c r="I38" s="2"/>
    </row>
    <row r="39" spans="1:9" x14ac:dyDescent="0.2">
      <c r="A39" s="1">
        <v>37865</v>
      </c>
      <c r="B39" s="2">
        <v>912</v>
      </c>
      <c r="C39" s="2" t="s">
        <v>3</v>
      </c>
      <c r="D39" s="2"/>
      <c r="E39" s="2"/>
      <c r="F39" s="2"/>
      <c r="G39" s="2"/>
      <c r="H39" s="2"/>
      <c r="I39" s="2"/>
    </row>
    <row r="40" spans="1:9" x14ac:dyDescent="0.2">
      <c r="A40" s="1">
        <v>37895</v>
      </c>
      <c r="B40" s="2">
        <v>1025</v>
      </c>
      <c r="C40" s="2" t="s">
        <v>3</v>
      </c>
      <c r="D40" s="2"/>
      <c r="E40" s="2"/>
      <c r="F40" s="2"/>
      <c r="G40" s="2"/>
      <c r="H40" s="2"/>
      <c r="I40" s="2"/>
    </row>
    <row r="41" spans="1:9" x14ac:dyDescent="0.2">
      <c r="A41" s="1">
        <v>37926</v>
      </c>
      <c r="B41" s="2">
        <v>1017</v>
      </c>
      <c r="C41" s="2" t="s">
        <v>3</v>
      </c>
      <c r="D41" s="2"/>
      <c r="E41" s="2"/>
      <c r="F41" s="2"/>
      <c r="G41" s="2"/>
      <c r="H41" s="2"/>
      <c r="I41" s="2"/>
    </row>
    <row r="42" spans="1:9" x14ac:dyDescent="0.2">
      <c r="A42" s="1">
        <v>37956</v>
      </c>
      <c r="B42" s="2">
        <v>1044</v>
      </c>
      <c r="C42" s="2" t="s">
        <v>3</v>
      </c>
      <c r="D42" s="2"/>
      <c r="E42" s="2"/>
      <c r="F42" s="2"/>
      <c r="G42" s="2"/>
      <c r="H42" s="2"/>
      <c r="I42" s="2"/>
    </row>
    <row r="43" spans="1:9" x14ac:dyDescent="0.2">
      <c r="A43" s="1">
        <v>37987</v>
      </c>
      <c r="B43" s="2">
        <v>1032</v>
      </c>
      <c r="C43" s="2" t="s">
        <v>3</v>
      </c>
      <c r="D43" s="2"/>
      <c r="E43" s="2"/>
      <c r="F43" s="2"/>
      <c r="G43" s="2"/>
      <c r="H43" s="2"/>
      <c r="I43" s="2"/>
    </row>
    <row r="44" spans="1:9" x14ac:dyDescent="0.2">
      <c r="A44" s="1">
        <v>38018</v>
      </c>
      <c r="B44" s="2">
        <v>1060</v>
      </c>
      <c r="C44" s="2" t="s">
        <v>3</v>
      </c>
      <c r="D44" s="2"/>
      <c r="E44" s="2"/>
      <c r="F44" s="2"/>
      <c r="G44" s="2"/>
      <c r="H44" s="2"/>
      <c r="I44" s="2"/>
    </row>
    <row r="45" spans="1:9" x14ac:dyDescent="0.2">
      <c r="A45" s="1">
        <v>38047</v>
      </c>
      <c r="B45" s="2">
        <v>1077</v>
      </c>
      <c r="C45" s="2" t="s">
        <v>3</v>
      </c>
      <c r="D45" s="2"/>
      <c r="E45" s="2"/>
      <c r="F45" s="2"/>
      <c r="G45" s="2"/>
      <c r="H45" s="2"/>
      <c r="I45" s="2"/>
    </row>
    <row r="46" spans="1:9" x14ac:dyDescent="0.2">
      <c r="A46" s="1">
        <v>38078</v>
      </c>
      <c r="B46" s="2">
        <v>1098</v>
      </c>
      <c r="C46" s="2" t="s">
        <v>3</v>
      </c>
      <c r="D46" s="2"/>
      <c r="E46" s="2"/>
      <c r="F46" s="2"/>
      <c r="G46" s="2"/>
      <c r="H46" s="2"/>
      <c r="I46" s="2"/>
    </row>
    <row r="47" spans="1:9" x14ac:dyDescent="0.2">
      <c r="A47" s="1">
        <v>38108</v>
      </c>
      <c r="B47" s="2">
        <v>1086</v>
      </c>
      <c r="C47" s="2" t="s">
        <v>3</v>
      </c>
      <c r="D47" s="2"/>
      <c r="E47" s="2"/>
      <c r="F47" s="2"/>
      <c r="G47" s="2"/>
      <c r="H47" s="2"/>
      <c r="I47" s="2"/>
    </row>
    <row r="48" spans="1:9" x14ac:dyDescent="0.2">
      <c r="A48" s="1">
        <v>38139</v>
      </c>
      <c r="B48" s="2">
        <v>1070</v>
      </c>
      <c r="C48" s="2" t="s">
        <v>3</v>
      </c>
      <c r="D48" s="2"/>
      <c r="E48" s="2"/>
      <c r="F48" s="2"/>
      <c r="G48" s="2"/>
      <c r="H48" s="2"/>
      <c r="I48" s="2"/>
    </row>
    <row r="49" spans="1:9" x14ac:dyDescent="0.2">
      <c r="A49" s="1">
        <v>38169</v>
      </c>
      <c r="B49" s="2">
        <v>1121</v>
      </c>
      <c r="C49" s="2" t="s">
        <v>3</v>
      </c>
      <c r="D49" s="2"/>
      <c r="E49" s="2"/>
      <c r="F49" s="2"/>
      <c r="G49" s="2"/>
      <c r="H49" s="2"/>
      <c r="I49" s="2"/>
    </row>
    <row r="50" spans="1:9" x14ac:dyDescent="0.2">
      <c r="A50" s="1">
        <v>38200</v>
      </c>
      <c r="B50" s="2">
        <v>993</v>
      </c>
      <c r="C50" s="2" t="s">
        <v>3</v>
      </c>
      <c r="D50" s="2"/>
      <c r="E50" s="2"/>
      <c r="F50" s="2"/>
      <c r="G50" s="2"/>
      <c r="H50" s="2"/>
      <c r="I50" s="2"/>
    </row>
    <row r="51" spans="1:9" x14ac:dyDescent="0.2">
      <c r="A51" s="1">
        <v>38231</v>
      </c>
      <c r="B51" s="2">
        <v>1026</v>
      </c>
      <c r="C51" s="2" t="s">
        <v>3</v>
      </c>
      <c r="D51" s="2"/>
      <c r="E51" s="2"/>
      <c r="F51" s="2"/>
      <c r="G51" s="2"/>
      <c r="H51" s="2"/>
      <c r="I51" s="2"/>
    </row>
    <row r="52" spans="1:9" x14ac:dyDescent="0.2">
      <c r="A52" s="1">
        <v>38261</v>
      </c>
      <c r="B52" s="2">
        <v>1114</v>
      </c>
      <c r="C52" s="2" t="s">
        <v>3</v>
      </c>
      <c r="D52" s="2"/>
      <c r="E52" s="2"/>
      <c r="F52" s="2"/>
      <c r="G52" s="2"/>
      <c r="H52" s="2"/>
      <c r="I52" s="2"/>
    </row>
    <row r="53" spans="1:9" x14ac:dyDescent="0.2">
      <c r="A53" s="1">
        <v>38292</v>
      </c>
      <c r="B53" s="2">
        <v>1050</v>
      </c>
      <c r="C53" s="2" t="s">
        <v>3</v>
      </c>
      <c r="D53" s="2"/>
      <c r="E53" s="2"/>
      <c r="F53" s="2"/>
      <c r="G53" s="2"/>
      <c r="H53" s="2"/>
      <c r="I53" s="2"/>
    </row>
    <row r="54" spans="1:9" x14ac:dyDescent="0.2">
      <c r="A54" s="1">
        <v>38322</v>
      </c>
      <c r="B54" s="2">
        <v>1094</v>
      </c>
      <c r="C54" s="2" t="s">
        <v>3</v>
      </c>
      <c r="D54" s="2"/>
      <c r="E54" s="2"/>
      <c r="F54" s="2"/>
      <c r="G54" s="2"/>
      <c r="H54" s="2"/>
      <c r="I54" s="2"/>
    </row>
    <row r="55" spans="1:9" x14ac:dyDescent="0.2">
      <c r="A55" s="1">
        <v>38353</v>
      </c>
      <c r="B55" s="2">
        <v>1069</v>
      </c>
      <c r="C55" s="2" t="s">
        <v>3</v>
      </c>
      <c r="D55" s="2"/>
      <c r="E55" s="2"/>
      <c r="F55" s="2"/>
      <c r="G55" s="2"/>
      <c r="H55" s="2"/>
      <c r="I55" s="2"/>
    </row>
    <row r="56" spans="1:9" x14ac:dyDescent="0.2">
      <c r="A56" s="1">
        <v>38384</v>
      </c>
      <c r="B56" s="2">
        <v>1096</v>
      </c>
      <c r="C56" s="2" t="s">
        <v>3</v>
      </c>
      <c r="D56" s="2"/>
      <c r="E56" s="2"/>
      <c r="F56" s="2"/>
      <c r="G56" s="2"/>
      <c r="H56" s="2"/>
      <c r="I56" s="2"/>
    </row>
    <row r="57" spans="1:9" x14ac:dyDescent="0.2">
      <c r="A57" s="1">
        <v>38412</v>
      </c>
      <c r="B57" s="2">
        <v>1137</v>
      </c>
      <c r="C57" s="2" t="s">
        <v>3</v>
      </c>
      <c r="D57" s="2"/>
      <c r="E57" s="2"/>
      <c r="F57" s="2"/>
      <c r="G57" s="2"/>
      <c r="H57" s="2"/>
      <c r="I57" s="2"/>
    </row>
    <row r="58" spans="1:9" x14ac:dyDescent="0.2">
      <c r="A58" s="1">
        <v>38443</v>
      </c>
      <c r="B58" s="2">
        <v>1053</v>
      </c>
      <c r="C58" s="2" t="s">
        <v>3</v>
      </c>
      <c r="D58" s="2"/>
      <c r="E58" s="2"/>
      <c r="F58" s="2"/>
      <c r="G58" s="2"/>
      <c r="H58" s="2"/>
      <c r="I58" s="2"/>
    </row>
    <row r="59" spans="1:9" x14ac:dyDescent="0.2">
      <c r="A59" s="1">
        <v>38473</v>
      </c>
      <c r="B59" s="2">
        <v>1100</v>
      </c>
      <c r="C59" s="2" t="s">
        <v>3</v>
      </c>
      <c r="D59" s="2"/>
      <c r="E59" s="2"/>
      <c r="F59" s="2"/>
      <c r="G59" s="2"/>
      <c r="H59" s="2"/>
      <c r="I59" s="2"/>
    </row>
    <row r="60" spans="1:9" x14ac:dyDescent="0.2">
      <c r="A60" s="1">
        <v>38504</v>
      </c>
      <c r="B60" s="2">
        <v>1101</v>
      </c>
      <c r="C60" s="2" t="s">
        <v>3</v>
      </c>
      <c r="D60" s="2"/>
      <c r="E60" s="2"/>
      <c r="F60" s="2"/>
      <c r="G60" s="2"/>
      <c r="H60" s="2"/>
      <c r="I60" s="2"/>
    </row>
    <row r="61" spans="1:9" x14ac:dyDescent="0.2">
      <c r="A61" s="1">
        <v>38534</v>
      </c>
      <c r="B61" s="2">
        <v>1116</v>
      </c>
      <c r="C61" s="2" t="s">
        <v>3</v>
      </c>
      <c r="D61" s="2"/>
      <c r="E61" s="2"/>
      <c r="F61" s="2"/>
      <c r="G61" s="2"/>
      <c r="H61" s="2"/>
      <c r="I61" s="2"/>
    </row>
    <row r="62" spans="1:9" x14ac:dyDescent="0.2">
      <c r="A62" s="1">
        <v>38565</v>
      </c>
      <c r="B62" s="2">
        <v>1051</v>
      </c>
      <c r="C62" s="2" t="s">
        <v>3</v>
      </c>
      <c r="D62" s="2"/>
      <c r="E62" s="2"/>
      <c r="F62" s="2"/>
      <c r="G62" s="2"/>
      <c r="H62" s="2"/>
      <c r="I62" s="2"/>
    </row>
    <row r="63" spans="1:9" x14ac:dyDescent="0.2">
      <c r="A63" s="1">
        <v>38596</v>
      </c>
      <c r="B63" s="2">
        <v>1000</v>
      </c>
      <c r="C63" s="2" t="s">
        <v>3</v>
      </c>
      <c r="D63" s="2"/>
      <c r="E63" s="2"/>
      <c r="F63" s="2"/>
      <c r="G63" s="2"/>
      <c r="H63" s="2"/>
      <c r="I63" s="2"/>
    </row>
    <row r="64" spans="1:9" x14ac:dyDescent="0.2">
      <c r="A64" s="1">
        <v>38626</v>
      </c>
      <c r="B64" s="2">
        <v>1102</v>
      </c>
      <c r="C64" s="2" t="s">
        <v>3</v>
      </c>
      <c r="D64" s="2"/>
      <c r="E64" s="2"/>
      <c r="F64" s="2"/>
      <c r="G64" s="2"/>
      <c r="H64" s="2"/>
      <c r="I64" s="2"/>
    </row>
    <row r="65" spans="1:9" x14ac:dyDescent="0.2">
      <c r="A65" s="1">
        <v>38657</v>
      </c>
      <c r="B65" s="2">
        <v>1094</v>
      </c>
      <c r="C65" s="2" t="s">
        <v>3</v>
      </c>
      <c r="D65" s="2"/>
      <c r="E65" s="2"/>
      <c r="F65" s="2"/>
      <c r="G65" s="2"/>
      <c r="H65" s="2"/>
      <c r="I65" s="2"/>
    </row>
    <row r="66" spans="1:9" x14ac:dyDescent="0.2">
      <c r="A66" s="1">
        <v>38687</v>
      </c>
      <c r="B66" s="2">
        <v>1143</v>
      </c>
      <c r="C66" s="2" t="s">
        <v>3</v>
      </c>
      <c r="D66" s="2"/>
      <c r="E66" s="2"/>
      <c r="F66" s="2"/>
      <c r="G66" s="2"/>
      <c r="H66" s="2"/>
      <c r="I66" s="2"/>
    </row>
    <row r="67" spans="1:9" x14ac:dyDescent="0.2">
      <c r="A67" s="1">
        <v>38718</v>
      </c>
      <c r="B67" s="2">
        <v>1094</v>
      </c>
      <c r="C67" s="2" t="s">
        <v>3</v>
      </c>
      <c r="D67" s="2"/>
      <c r="E67" s="2"/>
      <c r="F67" s="2"/>
      <c r="G67" s="2"/>
      <c r="H67" s="2"/>
      <c r="I67" s="2"/>
    </row>
    <row r="68" spans="1:9" x14ac:dyDescent="0.2">
      <c r="A68" s="1">
        <v>38749</v>
      </c>
      <c r="B68" s="2">
        <v>1175</v>
      </c>
      <c r="C68" s="2" t="s">
        <v>3</v>
      </c>
      <c r="D68" s="2"/>
      <c r="E68" s="2"/>
      <c r="F68" s="2"/>
      <c r="G68" s="2"/>
      <c r="H68" s="2"/>
      <c r="I68" s="2"/>
    </row>
    <row r="69" spans="1:9" x14ac:dyDescent="0.2">
      <c r="A69" s="1">
        <v>38777</v>
      </c>
      <c r="B69" s="2">
        <v>1212</v>
      </c>
      <c r="C69" s="2" t="s">
        <v>3</v>
      </c>
      <c r="D69" s="2"/>
      <c r="E69" s="2"/>
      <c r="F69" s="2"/>
      <c r="G69" s="2"/>
      <c r="H69" s="2"/>
      <c r="I69" s="2"/>
    </row>
    <row r="70" spans="1:9" x14ac:dyDescent="0.2">
      <c r="A70" s="1">
        <v>38808</v>
      </c>
      <c r="B70" s="2">
        <v>1109</v>
      </c>
      <c r="C70" s="2" t="s">
        <v>3</v>
      </c>
      <c r="D70" s="2"/>
      <c r="E70" s="2"/>
      <c r="F70" s="2"/>
      <c r="G70" s="2"/>
      <c r="H70" s="2"/>
      <c r="I70" s="2"/>
    </row>
    <row r="71" spans="1:9" x14ac:dyDescent="0.2">
      <c r="A71" s="1">
        <v>38838</v>
      </c>
      <c r="B71" s="2">
        <v>1185</v>
      </c>
      <c r="C71" s="2" t="s">
        <v>3</v>
      </c>
      <c r="D71" s="2"/>
      <c r="E71" s="2"/>
      <c r="F71" s="2"/>
      <c r="G71" s="2"/>
      <c r="H71" s="2"/>
      <c r="I71" s="2"/>
    </row>
    <row r="72" spans="1:9" x14ac:dyDescent="0.2">
      <c r="A72" s="1">
        <v>38869</v>
      </c>
      <c r="B72" s="2">
        <v>1102</v>
      </c>
      <c r="C72" s="2" t="s">
        <v>3</v>
      </c>
      <c r="D72" s="2"/>
      <c r="E72" s="2"/>
      <c r="F72" s="2"/>
      <c r="G72" s="2"/>
      <c r="H72" s="2"/>
      <c r="I72" s="2"/>
    </row>
    <row r="73" spans="1:9" x14ac:dyDescent="0.2">
      <c r="A73" s="1">
        <v>38899</v>
      </c>
      <c r="B73" s="2">
        <v>1112</v>
      </c>
      <c r="C73" s="2" t="s">
        <v>3</v>
      </c>
      <c r="D73" s="2"/>
      <c r="E73" s="2"/>
      <c r="F73" s="2"/>
      <c r="G73" s="2"/>
      <c r="H73" s="2"/>
      <c r="I73" s="2"/>
    </row>
    <row r="74" spans="1:9" x14ac:dyDescent="0.2">
      <c r="A74" s="1">
        <v>38930</v>
      </c>
      <c r="B74" s="2">
        <v>1108</v>
      </c>
      <c r="C74" s="2" t="s">
        <v>3</v>
      </c>
      <c r="D74" s="2"/>
      <c r="E74" s="2"/>
      <c r="F74" s="2"/>
      <c r="G74" s="2"/>
      <c r="H74" s="2"/>
      <c r="I74" s="2"/>
    </row>
    <row r="75" spans="1:9" x14ac:dyDescent="0.2">
      <c r="A75" s="1">
        <v>38961</v>
      </c>
      <c r="B75" s="2">
        <v>1089</v>
      </c>
      <c r="C75" s="2" t="s">
        <v>3</v>
      </c>
      <c r="D75" s="2"/>
      <c r="E75" s="2"/>
      <c r="F75" s="2"/>
      <c r="G75" s="2"/>
      <c r="H75" s="2"/>
      <c r="I75" s="2"/>
    </row>
    <row r="76" spans="1:9" x14ac:dyDescent="0.2">
      <c r="A76" s="1">
        <v>38991</v>
      </c>
      <c r="B76" s="2">
        <v>1199</v>
      </c>
      <c r="C76" s="2" t="s">
        <v>3</v>
      </c>
      <c r="D76" s="2"/>
      <c r="E76" s="2"/>
      <c r="F76" s="2"/>
      <c r="G76" s="2"/>
      <c r="H76" s="2"/>
      <c r="I76" s="2"/>
    </row>
    <row r="77" spans="1:9" x14ac:dyDescent="0.2">
      <c r="A77" s="1">
        <v>39022</v>
      </c>
      <c r="B77" s="2">
        <v>1126</v>
      </c>
      <c r="C77" s="2" t="s">
        <v>3</v>
      </c>
      <c r="D77" s="2"/>
      <c r="E77" s="2"/>
      <c r="F77" s="2"/>
      <c r="G77" s="2"/>
      <c r="H77" s="2"/>
      <c r="I77" s="2"/>
    </row>
    <row r="78" spans="1:9" x14ac:dyDescent="0.2">
      <c r="A78" s="1">
        <v>39052</v>
      </c>
      <c r="B78" s="2">
        <v>1177</v>
      </c>
      <c r="C78" s="2" t="s">
        <v>3</v>
      </c>
      <c r="D78" s="2"/>
      <c r="E78" s="2"/>
      <c r="F78" s="2"/>
      <c r="G78" s="2"/>
      <c r="H78" s="2"/>
      <c r="I78" s="2"/>
    </row>
    <row r="79" spans="1:9" x14ac:dyDescent="0.2">
      <c r="A79" s="1">
        <v>39083</v>
      </c>
      <c r="B79" s="2">
        <v>1154</v>
      </c>
      <c r="C79" s="2" t="s">
        <v>3</v>
      </c>
      <c r="D79" s="2"/>
      <c r="E79" s="2"/>
      <c r="F79" s="2"/>
      <c r="G79" s="2"/>
      <c r="H79" s="2"/>
      <c r="I79" s="2"/>
    </row>
    <row r="80" spans="1:9" x14ac:dyDescent="0.2">
      <c r="A80" s="1">
        <v>39114</v>
      </c>
      <c r="B80" s="2">
        <v>1232</v>
      </c>
      <c r="C80" s="2" t="s">
        <v>3</v>
      </c>
      <c r="D80" s="2"/>
      <c r="E80" s="2"/>
      <c r="F80" s="2"/>
      <c r="G80" s="2"/>
      <c r="H80" s="2"/>
      <c r="I80" s="2"/>
    </row>
    <row r="81" spans="1:9" x14ac:dyDescent="0.2">
      <c r="A81" s="1">
        <v>39142</v>
      </c>
      <c r="B81" s="2">
        <v>1205</v>
      </c>
      <c r="C81" s="2" t="s">
        <v>3</v>
      </c>
      <c r="D81" s="2"/>
      <c r="E81" s="2"/>
      <c r="F81" s="2"/>
      <c r="G81" s="2"/>
      <c r="H81" s="2"/>
      <c r="I81" s="2"/>
    </row>
    <row r="82" spans="1:9" x14ac:dyDescent="0.2">
      <c r="A82" s="1">
        <v>39173</v>
      </c>
      <c r="B82" s="2">
        <v>1143</v>
      </c>
      <c r="C82" s="2" t="s">
        <v>3</v>
      </c>
      <c r="D82" s="2"/>
      <c r="E82" s="2"/>
      <c r="F82" s="2"/>
      <c r="G82" s="2"/>
      <c r="H82" s="2"/>
      <c r="I82" s="2"/>
    </row>
    <row r="83" spans="1:9" x14ac:dyDescent="0.2">
      <c r="A83" s="1">
        <v>39203</v>
      </c>
      <c r="B83" s="2">
        <v>1227</v>
      </c>
      <c r="C83" s="2" t="s">
        <v>3</v>
      </c>
      <c r="D83" s="2"/>
      <c r="E83" s="2"/>
      <c r="F83" s="2"/>
      <c r="G83" s="2"/>
      <c r="H83" s="2"/>
      <c r="I83" s="2"/>
    </row>
    <row r="84" spans="1:9" x14ac:dyDescent="0.2">
      <c r="A84" s="1">
        <v>39234</v>
      </c>
      <c r="B84" s="2">
        <v>1117</v>
      </c>
      <c r="C84" s="2" t="s">
        <v>3</v>
      </c>
      <c r="D84" s="2"/>
      <c r="E84" s="2"/>
      <c r="F84" s="2"/>
      <c r="G84" s="2"/>
      <c r="H84" s="2"/>
      <c r="I84" s="2"/>
    </row>
    <row r="85" spans="1:9" x14ac:dyDescent="0.2">
      <c r="A85" s="1">
        <v>39264</v>
      </c>
      <c r="B85" s="2">
        <v>1180</v>
      </c>
      <c r="C85" s="2" t="s">
        <v>3</v>
      </c>
      <c r="D85" s="2"/>
      <c r="E85" s="2"/>
      <c r="F85" s="2"/>
      <c r="G85" s="2"/>
      <c r="H85" s="2"/>
      <c r="I85" s="2"/>
    </row>
    <row r="86" spans="1:9" x14ac:dyDescent="0.2">
      <c r="A86" s="1">
        <v>39295</v>
      </c>
      <c r="B86" s="2">
        <v>1102</v>
      </c>
      <c r="C86" s="2" t="s">
        <v>3</v>
      </c>
      <c r="D86" s="2"/>
      <c r="E86" s="2"/>
      <c r="F86" s="2"/>
      <c r="G86" s="2"/>
      <c r="H86" s="2"/>
      <c r="I86" s="2"/>
    </row>
    <row r="87" spans="1:9" x14ac:dyDescent="0.2">
      <c r="A87" s="1">
        <v>39326</v>
      </c>
      <c r="B87" s="2">
        <v>1140</v>
      </c>
      <c r="C87" s="2" t="s">
        <v>3</v>
      </c>
      <c r="D87" s="2"/>
      <c r="E87" s="2"/>
      <c r="F87" s="2"/>
      <c r="G87" s="2"/>
      <c r="H87" s="2"/>
      <c r="I87" s="2"/>
    </row>
    <row r="88" spans="1:9" x14ac:dyDescent="0.2">
      <c r="A88" s="1">
        <v>39356</v>
      </c>
      <c r="B88" s="2">
        <v>1291</v>
      </c>
      <c r="C88" s="2" t="s">
        <v>3</v>
      </c>
      <c r="D88" s="2"/>
      <c r="E88" s="2"/>
      <c r="F88" s="2"/>
      <c r="G88" s="2"/>
      <c r="H88" s="2"/>
      <c r="I88" s="2"/>
    </row>
    <row r="89" spans="1:9" x14ac:dyDescent="0.2">
      <c r="A89" s="1">
        <v>39387</v>
      </c>
      <c r="B89" s="2">
        <v>1247</v>
      </c>
      <c r="C89" s="2" t="s">
        <v>3</v>
      </c>
      <c r="D89" s="2"/>
      <c r="E89" s="2"/>
      <c r="F89" s="2"/>
      <c r="G89" s="2"/>
      <c r="H89" s="2"/>
      <c r="I89" s="2"/>
    </row>
    <row r="90" spans="1:9" x14ac:dyDescent="0.2">
      <c r="A90" s="1">
        <v>39417</v>
      </c>
      <c r="B90" s="2">
        <v>1207</v>
      </c>
      <c r="C90" s="2" t="s">
        <v>3</v>
      </c>
      <c r="D90" s="2"/>
      <c r="E90" s="2"/>
      <c r="F90" s="2"/>
      <c r="G90" s="2"/>
      <c r="H90" s="2"/>
      <c r="I90" s="2"/>
    </row>
    <row r="91" spans="1:9" x14ac:dyDescent="0.2">
      <c r="A91" s="1">
        <v>39448</v>
      </c>
      <c r="B91" s="2">
        <v>1196</v>
      </c>
      <c r="C91" s="2" t="s">
        <v>3</v>
      </c>
      <c r="D91" s="2"/>
      <c r="E91" s="2"/>
      <c r="F91" s="2"/>
      <c r="G91" s="2"/>
      <c r="H91" s="2"/>
      <c r="I91" s="2"/>
    </row>
    <row r="92" spans="1:9" x14ac:dyDescent="0.2">
      <c r="A92" s="1">
        <v>39479</v>
      </c>
      <c r="B92" s="2">
        <v>1256</v>
      </c>
      <c r="C92" s="2" t="s">
        <v>3</v>
      </c>
      <c r="D92" s="2"/>
      <c r="E92" s="2"/>
      <c r="F92" s="2"/>
      <c r="G92" s="2"/>
      <c r="H92" s="2"/>
      <c r="I92" s="2"/>
    </row>
    <row r="93" spans="1:9" x14ac:dyDescent="0.2">
      <c r="A93" s="1">
        <v>39508</v>
      </c>
      <c r="B93" s="2">
        <v>1205</v>
      </c>
      <c r="C93" s="2" t="s">
        <v>3</v>
      </c>
      <c r="D93" s="2"/>
      <c r="E93" s="2"/>
      <c r="F93" s="2"/>
      <c r="G93" s="2"/>
      <c r="H93" s="2"/>
      <c r="I93" s="2"/>
    </row>
    <row r="94" spans="1:9" x14ac:dyDescent="0.2">
      <c r="A94" s="1">
        <v>39539</v>
      </c>
      <c r="B94" s="2">
        <v>1177</v>
      </c>
      <c r="C94" s="2" t="s">
        <v>3</v>
      </c>
      <c r="D94" s="2"/>
      <c r="E94" s="2"/>
      <c r="F94" s="2"/>
      <c r="G94" s="2"/>
      <c r="H94" s="2"/>
      <c r="I94" s="2"/>
    </row>
    <row r="95" spans="1:9" x14ac:dyDescent="0.2">
      <c r="A95" s="1">
        <v>39569</v>
      </c>
      <c r="B95" s="2">
        <v>1263</v>
      </c>
      <c r="C95" s="2" t="s">
        <v>3</v>
      </c>
      <c r="D95" s="2"/>
      <c r="E95" s="2"/>
      <c r="F95" s="2"/>
      <c r="G95" s="2"/>
      <c r="H95" s="2"/>
      <c r="I95" s="2"/>
    </row>
    <row r="96" spans="1:9" x14ac:dyDescent="0.2">
      <c r="A96" s="1">
        <v>39600</v>
      </c>
      <c r="B96" s="2">
        <v>1185</v>
      </c>
      <c r="C96" s="2" t="s">
        <v>3</v>
      </c>
      <c r="D96" s="2"/>
      <c r="E96" s="2"/>
      <c r="F96" s="2"/>
      <c r="G96" s="2"/>
      <c r="H96" s="2"/>
      <c r="I96" s="2"/>
    </row>
    <row r="97" spans="1:9" x14ac:dyDescent="0.2">
      <c r="A97" s="1">
        <v>39630</v>
      </c>
      <c r="B97" s="2">
        <v>1261</v>
      </c>
      <c r="C97" s="2" t="s">
        <v>3</v>
      </c>
      <c r="D97" s="2"/>
      <c r="E97" s="2"/>
      <c r="F97" s="2"/>
      <c r="G97" s="2"/>
      <c r="H97" s="2"/>
      <c r="I97" s="2"/>
    </row>
    <row r="98" spans="1:9" x14ac:dyDescent="0.2">
      <c r="A98" s="1">
        <v>39661</v>
      </c>
      <c r="B98" s="2">
        <v>1196</v>
      </c>
      <c r="C98" s="2" t="s">
        <v>3</v>
      </c>
      <c r="D98" s="2"/>
      <c r="E98" s="2"/>
      <c r="F98" s="2"/>
      <c r="G98" s="2"/>
      <c r="H98" s="2"/>
      <c r="I98" s="2"/>
    </row>
    <row r="99" spans="1:9" x14ac:dyDescent="0.2">
      <c r="A99" s="1">
        <v>39692</v>
      </c>
      <c r="B99" s="2">
        <v>1251</v>
      </c>
      <c r="C99" s="2" t="s">
        <v>3</v>
      </c>
      <c r="D99" s="2"/>
      <c r="E99" s="2"/>
      <c r="F99" s="2"/>
      <c r="G99" s="2"/>
      <c r="H99" s="2"/>
      <c r="I99" s="2"/>
    </row>
    <row r="100" spans="1:9" x14ac:dyDescent="0.2">
      <c r="A100" s="1">
        <v>39722</v>
      </c>
      <c r="B100" s="2">
        <v>1414</v>
      </c>
      <c r="C100" s="2" t="s">
        <v>3</v>
      </c>
      <c r="D100" s="2"/>
      <c r="E100" s="2"/>
      <c r="F100" s="2"/>
      <c r="G100" s="2"/>
      <c r="H100" s="2"/>
      <c r="I100" s="2"/>
    </row>
    <row r="101" spans="1:9" x14ac:dyDescent="0.2">
      <c r="A101" s="1">
        <v>39753</v>
      </c>
      <c r="B101" s="2">
        <v>1291</v>
      </c>
      <c r="C101" s="2" t="s">
        <v>3</v>
      </c>
      <c r="D101" s="2"/>
      <c r="E101" s="2"/>
      <c r="F101" s="2"/>
      <c r="G101" s="2"/>
      <c r="H101" s="2"/>
      <c r="I101" s="2"/>
    </row>
    <row r="102" spans="1:9" x14ac:dyDescent="0.2">
      <c r="A102" s="1">
        <v>39783</v>
      </c>
      <c r="B102" s="2">
        <v>1293</v>
      </c>
      <c r="C102" s="2" t="s">
        <v>3</v>
      </c>
      <c r="D102" s="2"/>
      <c r="E102" s="2"/>
      <c r="F102" s="2"/>
      <c r="G102" s="2"/>
      <c r="H102" s="2"/>
      <c r="I102" s="2"/>
    </row>
    <row r="103" spans="1:9" x14ac:dyDescent="0.2">
      <c r="A103" s="1">
        <v>39814</v>
      </c>
      <c r="B103" s="2">
        <v>1289</v>
      </c>
      <c r="C103" s="2" t="s">
        <v>3</v>
      </c>
      <c r="D103" s="2"/>
      <c r="E103" s="2"/>
      <c r="F103" s="2"/>
      <c r="G103" s="2"/>
      <c r="H103" s="2"/>
      <c r="I103" s="2"/>
    </row>
    <row r="104" spans="1:9" x14ac:dyDescent="0.2">
      <c r="A104" s="1">
        <v>39845</v>
      </c>
      <c r="B104" s="2">
        <v>1320</v>
      </c>
      <c r="C104" s="2" t="s">
        <v>3</v>
      </c>
      <c r="D104" s="2"/>
      <c r="E104" s="2"/>
      <c r="F104" s="2"/>
      <c r="G104" s="2"/>
      <c r="H104" s="2"/>
      <c r="I104" s="2"/>
    </row>
    <row r="105" spans="1:9" x14ac:dyDescent="0.2">
      <c r="A105" s="1">
        <v>39873</v>
      </c>
      <c r="B105" s="2">
        <v>1313</v>
      </c>
      <c r="C105" s="2" t="s">
        <v>3</v>
      </c>
      <c r="D105" s="2"/>
      <c r="E105" s="2"/>
      <c r="F105" s="2"/>
      <c r="G105" s="2"/>
      <c r="H105" s="2"/>
      <c r="I105" s="2"/>
    </row>
    <row r="106" spans="1:9" x14ac:dyDescent="0.2">
      <c r="A106" s="1">
        <v>39904</v>
      </c>
      <c r="B106" s="2">
        <v>1265</v>
      </c>
      <c r="C106" s="2" t="s">
        <v>3</v>
      </c>
      <c r="D106" s="2"/>
      <c r="E106" s="2"/>
      <c r="F106" s="2"/>
      <c r="G106" s="2"/>
      <c r="H106" s="2"/>
      <c r="I106" s="2"/>
    </row>
    <row r="107" spans="1:9" x14ac:dyDescent="0.2">
      <c r="A107" s="1">
        <v>39934</v>
      </c>
      <c r="B107" s="2">
        <v>1233</v>
      </c>
      <c r="C107" s="2" t="s">
        <v>3</v>
      </c>
      <c r="D107" s="2"/>
      <c r="E107" s="2"/>
      <c r="F107" s="2"/>
      <c r="G107" s="2"/>
      <c r="H107" s="2"/>
      <c r="I107" s="2"/>
    </row>
    <row r="108" spans="1:9" x14ac:dyDescent="0.2">
      <c r="A108" s="1">
        <v>39965</v>
      </c>
      <c r="B108" s="2">
        <v>1187</v>
      </c>
      <c r="C108" s="2" t="s">
        <v>3</v>
      </c>
      <c r="D108" s="2"/>
      <c r="E108" s="2"/>
      <c r="F108" s="2"/>
      <c r="G108" s="2"/>
      <c r="H108" s="2"/>
      <c r="I108" s="2"/>
    </row>
    <row r="109" spans="1:9" x14ac:dyDescent="0.2">
      <c r="A109" s="1">
        <v>39995</v>
      </c>
      <c r="B109" s="2">
        <v>1278</v>
      </c>
      <c r="C109" s="2" t="s">
        <v>3</v>
      </c>
      <c r="D109" s="2"/>
      <c r="E109" s="2"/>
      <c r="F109" s="2"/>
      <c r="G109" s="2"/>
      <c r="H109" s="2"/>
      <c r="I109" s="2"/>
    </row>
    <row r="110" spans="1:9" x14ac:dyDescent="0.2">
      <c r="A110" s="1">
        <v>40026</v>
      </c>
      <c r="B110" s="2">
        <v>1197</v>
      </c>
      <c r="C110" s="2" t="s">
        <v>3</v>
      </c>
      <c r="D110" s="2"/>
      <c r="E110" s="2"/>
      <c r="F110" s="2"/>
      <c r="G110" s="2"/>
      <c r="H110" s="2"/>
      <c r="I110" s="2"/>
    </row>
    <row r="111" spans="1:9" x14ac:dyDescent="0.2">
      <c r="A111" s="1">
        <v>40057</v>
      </c>
      <c r="B111" s="2">
        <v>1181</v>
      </c>
      <c r="C111" s="2" t="s">
        <v>3</v>
      </c>
      <c r="D111" s="2"/>
      <c r="E111" s="2"/>
      <c r="F111" s="2"/>
      <c r="G111" s="2"/>
      <c r="H111" s="2"/>
      <c r="I111" s="2"/>
    </row>
    <row r="112" spans="1:9" x14ac:dyDescent="0.2">
      <c r="A112" s="1">
        <v>40087</v>
      </c>
      <c r="B112" s="2">
        <v>1367</v>
      </c>
      <c r="C112" s="2" t="s">
        <v>3</v>
      </c>
      <c r="D112" s="2"/>
      <c r="E112" s="2"/>
      <c r="F112" s="2"/>
      <c r="G112" s="2"/>
      <c r="H112" s="2"/>
      <c r="I112" s="2"/>
    </row>
    <row r="113" spans="1:9" x14ac:dyDescent="0.2">
      <c r="A113" s="1">
        <v>40118</v>
      </c>
      <c r="B113" s="2">
        <v>1234</v>
      </c>
      <c r="C113" s="2" t="s">
        <v>3</v>
      </c>
      <c r="D113" s="2"/>
      <c r="E113" s="2"/>
      <c r="F113" s="2"/>
      <c r="G113" s="2"/>
      <c r="H113" s="2"/>
      <c r="I113" s="2"/>
    </row>
    <row r="114" spans="1:9" x14ac:dyDescent="0.2">
      <c r="A114" s="1">
        <v>40148</v>
      </c>
      <c r="B114" s="2">
        <v>1254</v>
      </c>
      <c r="C114" s="2" t="s">
        <v>3</v>
      </c>
      <c r="D114" s="2"/>
      <c r="E114" s="2"/>
      <c r="F114" s="2"/>
      <c r="G114" s="2"/>
      <c r="H114" s="2"/>
      <c r="I114" s="2"/>
    </row>
    <row r="115" spans="1:9" x14ac:dyDescent="0.2">
      <c r="A115" s="1">
        <v>40179</v>
      </c>
      <c r="B115" s="2">
        <v>1287</v>
      </c>
      <c r="C115" s="2" t="s">
        <v>3</v>
      </c>
      <c r="D115" s="2"/>
      <c r="E115" s="2"/>
      <c r="F115" s="2"/>
      <c r="G115" s="2"/>
      <c r="H115" s="2"/>
      <c r="I115" s="2"/>
    </row>
    <row r="116" spans="1:9" x14ac:dyDescent="0.2">
      <c r="A116" s="1">
        <v>40210</v>
      </c>
      <c r="B116" s="2">
        <v>1314</v>
      </c>
      <c r="C116" s="2" t="s">
        <v>3</v>
      </c>
      <c r="D116" s="2"/>
      <c r="E116" s="2"/>
      <c r="F116" s="2"/>
      <c r="G116" s="2"/>
      <c r="H116" s="2"/>
      <c r="I116" s="2"/>
    </row>
    <row r="117" spans="1:9" x14ac:dyDescent="0.2">
      <c r="A117" s="1">
        <v>40238</v>
      </c>
      <c r="B117" s="2">
        <v>1395</v>
      </c>
      <c r="C117" s="2" t="s">
        <v>3</v>
      </c>
      <c r="D117" s="2"/>
      <c r="E117" s="2"/>
      <c r="F117" s="2"/>
      <c r="G117" s="2"/>
      <c r="H117" s="2"/>
      <c r="I117" s="2"/>
    </row>
    <row r="118" spans="1:9" x14ac:dyDescent="0.2">
      <c r="A118" s="1">
        <v>40269</v>
      </c>
      <c r="B118" s="2">
        <v>1337</v>
      </c>
      <c r="C118" s="2" t="s">
        <v>3</v>
      </c>
      <c r="D118" s="2"/>
      <c r="E118" s="2"/>
      <c r="F118" s="2"/>
      <c r="G118" s="2"/>
      <c r="H118" s="2"/>
      <c r="I118" s="2"/>
    </row>
    <row r="119" spans="1:9" x14ac:dyDescent="0.2">
      <c r="A119" s="1">
        <v>40299</v>
      </c>
      <c r="B119" s="2">
        <v>1363</v>
      </c>
      <c r="C119" s="2" t="s">
        <v>3</v>
      </c>
      <c r="D119" s="2"/>
      <c r="E119" s="2"/>
      <c r="F119" s="2"/>
      <c r="G119" s="2"/>
      <c r="H119" s="2"/>
      <c r="I119" s="2"/>
    </row>
    <row r="120" spans="1:9" x14ac:dyDescent="0.2">
      <c r="A120" s="1">
        <v>40330</v>
      </c>
      <c r="B120" s="2">
        <v>1352</v>
      </c>
      <c r="C120" s="2" t="s">
        <v>3</v>
      </c>
      <c r="D120" s="2"/>
      <c r="E120" s="2"/>
      <c r="F120" s="2"/>
      <c r="G120" s="2"/>
      <c r="H120" s="2"/>
      <c r="I120" s="2"/>
    </row>
    <row r="121" spans="1:9" x14ac:dyDescent="0.2">
      <c r="A121" s="1">
        <v>40360</v>
      </c>
      <c r="B121" s="2">
        <v>1403</v>
      </c>
      <c r="C121" s="2" t="s">
        <v>3</v>
      </c>
      <c r="D121" s="2"/>
      <c r="E121" s="2"/>
      <c r="F121" s="2"/>
      <c r="G121" s="2"/>
      <c r="H121" s="2"/>
      <c r="I121" s="2"/>
    </row>
    <row r="122" spans="1:9" x14ac:dyDescent="0.2">
      <c r="A122" s="1">
        <v>40391</v>
      </c>
      <c r="B122" s="2">
        <v>1289</v>
      </c>
      <c r="C122" s="2" t="s">
        <v>3</v>
      </c>
      <c r="D122" s="2"/>
      <c r="E122" s="2"/>
      <c r="F122" s="2"/>
      <c r="G122" s="2"/>
      <c r="H122" s="2"/>
      <c r="I122" s="2"/>
    </row>
    <row r="123" spans="1:9" x14ac:dyDescent="0.2">
      <c r="A123" s="1">
        <v>40422</v>
      </c>
      <c r="B123" s="2">
        <v>1274</v>
      </c>
      <c r="C123" s="2" t="s">
        <v>3</v>
      </c>
      <c r="D123" s="2"/>
      <c r="E123" s="2"/>
      <c r="F123" s="2"/>
      <c r="G123" s="2"/>
      <c r="H123" s="2"/>
      <c r="I123" s="2"/>
    </row>
    <row r="124" spans="1:9" x14ac:dyDescent="0.2">
      <c r="A124" s="1">
        <v>40452</v>
      </c>
      <c r="B124" s="2">
        <v>1430</v>
      </c>
      <c r="C124" s="2" t="s">
        <v>3</v>
      </c>
      <c r="D124" s="2"/>
      <c r="E124" s="2"/>
      <c r="F124" s="2"/>
      <c r="G124" s="2"/>
      <c r="H124" s="2"/>
      <c r="I124" s="2"/>
    </row>
    <row r="125" spans="1:9" x14ac:dyDescent="0.2">
      <c r="A125" s="1">
        <v>40483</v>
      </c>
      <c r="B125" s="2">
        <v>1343</v>
      </c>
      <c r="C125" s="2" t="s">
        <v>3</v>
      </c>
      <c r="D125" s="2"/>
      <c r="E125" s="2"/>
      <c r="F125" s="2"/>
      <c r="G125" s="2"/>
      <c r="H125" s="2"/>
      <c r="I125" s="2"/>
    </row>
    <row r="126" spans="1:9" x14ac:dyDescent="0.2">
      <c r="A126" s="1">
        <v>40513</v>
      </c>
      <c r="B126" s="2">
        <v>1405</v>
      </c>
      <c r="C126" s="2" t="s">
        <v>3</v>
      </c>
      <c r="D126" s="2"/>
      <c r="E126" s="2"/>
      <c r="F126" s="2"/>
      <c r="G126" s="2"/>
      <c r="H126" s="2"/>
      <c r="I126" s="2"/>
    </row>
    <row r="127" spans="1:9" x14ac:dyDescent="0.2">
      <c r="A127" s="1">
        <v>40544</v>
      </c>
      <c r="B127" s="2">
        <v>1372</v>
      </c>
      <c r="C127" s="2" t="s">
        <v>3</v>
      </c>
      <c r="D127" s="2"/>
      <c r="E127" s="2"/>
      <c r="F127" s="2"/>
      <c r="G127" s="2"/>
      <c r="H127" s="2"/>
      <c r="I127" s="2"/>
    </row>
    <row r="128" spans="1:9" x14ac:dyDescent="0.2">
      <c r="A128" s="1">
        <v>40575</v>
      </c>
      <c r="B128" s="2">
        <v>1426</v>
      </c>
      <c r="C128" s="2" t="s">
        <v>3</v>
      </c>
      <c r="D128" s="2"/>
      <c r="E128" s="2"/>
      <c r="F128" s="2"/>
      <c r="G128" s="2"/>
      <c r="H128" s="2"/>
      <c r="I128" s="2"/>
    </row>
    <row r="129" spans="1:9" x14ac:dyDescent="0.2">
      <c r="A129" s="1">
        <v>40603</v>
      </c>
      <c r="B129" s="2">
        <v>1431</v>
      </c>
      <c r="C129" s="2" t="s">
        <v>3</v>
      </c>
      <c r="D129" s="2"/>
      <c r="E129" s="2"/>
      <c r="F129" s="2"/>
      <c r="G129" s="2"/>
      <c r="H129" s="2"/>
      <c r="I129" s="2"/>
    </row>
    <row r="130" spans="1:9" x14ac:dyDescent="0.2">
      <c r="A130" s="1">
        <v>40634</v>
      </c>
      <c r="B130" s="2">
        <v>1297</v>
      </c>
      <c r="C130" s="2" t="s">
        <v>3</v>
      </c>
      <c r="D130" s="2"/>
      <c r="E130" s="2"/>
      <c r="F130" s="2"/>
      <c r="G130" s="2"/>
      <c r="H130" s="2"/>
      <c r="I130" s="2"/>
    </row>
    <row r="131" spans="1:9" x14ac:dyDescent="0.2">
      <c r="A131" s="1">
        <v>40664</v>
      </c>
      <c r="B131" s="2">
        <v>1349</v>
      </c>
      <c r="C131" s="2" t="s">
        <v>3</v>
      </c>
      <c r="D131" s="2"/>
      <c r="E131" s="2"/>
      <c r="F131" s="2"/>
      <c r="G131" s="2"/>
      <c r="H131" s="2"/>
      <c r="I131" s="2"/>
    </row>
    <row r="132" spans="1:9" x14ac:dyDescent="0.2">
      <c r="A132" s="1">
        <v>40695</v>
      </c>
      <c r="B132" s="2">
        <v>1347</v>
      </c>
      <c r="C132" s="2" t="s">
        <v>3</v>
      </c>
      <c r="D132" s="2"/>
      <c r="E132" s="2"/>
      <c r="F132" s="2"/>
      <c r="G132" s="2"/>
      <c r="H132" s="2"/>
      <c r="I132" s="2"/>
    </row>
    <row r="133" spans="1:9" x14ac:dyDescent="0.2">
      <c r="A133" s="1">
        <v>40725</v>
      </c>
      <c r="B133" s="2">
        <v>1367</v>
      </c>
      <c r="C133" s="2" t="s">
        <v>3</v>
      </c>
      <c r="D133" s="2"/>
      <c r="E133" s="2"/>
      <c r="F133" s="2"/>
      <c r="G133" s="2"/>
      <c r="H133" s="2"/>
      <c r="I133" s="2"/>
    </row>
    <row r="134" spans="1:9" x14ac:dyDescent="0.2">
      <c r="A134" s="1">
        <v>40756</v>
      </c>
      <c r="B134" s="2">
        <v>1328</v>
      </c>
      <c r="C134" s="2" t="s">
        <v>3</v>
      </c>
      <c r="D134" s="2"/>
      <c r="E134" s="2"/>
      <c r="F134" s="2"/>
      <c r="G134" s="2"/>
      <c r="H134" s="2"/>
      <c r="I134" s="2"/>
    </row>
    <row r="135" spans="1:9" x14ac:dyDescent="0.2">
      <c r="A135" s="1">
        <v>40787</v>
      </c>
      <c r="B135" s="2">
        <v>1280</v>
      </c>
      <c r="C135" s="2" t="s">
        <v>3</v>
      </c>
      <c r="D135" s="2"/>
      <c r="E135" s="2"/>
      <c r="F135" s="2"/>
      <c r="G135" s="2"/>
      <c r="H135" s="2"/>
      <c r="I135" s="2"/>
    </row>
    <row r="136" spans="1:9" x14ac:dyDescent="0.2">
      <c r="A136" s="1">
        <v>40817</v>
      </c>
      <c r="B136" s="2">
        <v>1478</v>
      </c>
      <c r="C136" s="2" t="s">
        <v>3</v>
      </c>
      <c r="D136" s="2"/>
      <c r="E136" s="2"/>
      <c r="F136" s="2"/>
      <c r="G136" s="2"/>
      <c r="H136" s="2"/>
      <c r="I136" s="2"/>
    </row>
    <row r="137" spans="1:9" x14ac:dyDescent="0.2">
      <c r="A137" s="1">
        <v>40848</v>
      </c>
      <c r="B137" s="2">
        <v>1407</v>
      </c>
      <c r="C137" s="2" t="s">
        <v>3</v>
      </c>
      <c r="D137" s="2"/>
      <c r="E137" s="2"/>
      <c r="F137" s="2"/>
      <c r="G137" s="2"/>
      <c r="H137" s="2"/>
      <c r="I137" s="2"/>
    </row>
    <row r="138" spans="1:9" x14ac:dyDescent="0.2">
      <c r="A138" s="1">
        <v>40878</v>
      </c>
      <c r="B138" s="2">
        <v>1523</v>
      </c>
      <c r="C138" s="2" t="s">
        <v>3</v>
      </c>
      <c r="D138" s="2"/>
      <c r="E138" s="2"/>
      <c r="F138" s="2"/>
      <c r="G138" s="2"/>
      <c r="H138" s="2"/>
      <c r="I138" s="2"/>
    </row>
    <row r="139" spans="1:9" x14ac:dyDescent="0.2">
      <c r="A139" s="1">
        <v>40909</v>
      </c>
      <c r="B139" s="2">
        <v>1403</v>
      </c>
      <c r="C139" s="2" t="s">
        <v>3</v>
      </c>
      <c r="D139" s="2"/>
      <c r="E139" s="2"/>
      <c r="F139" s="2"/>
      <c r="G139" s="2"/>
      <c r="H139" s="2"/>
      <c r="I139" s="2"/>
    </row>
    <row r="140" spans="1:9" x14ac:dyDescent="0.2">
      <c r="A140" s="1">
        <v>40940</v>
      </c>
      <c r="B140" s="2">
        <v>1477</v>
      </c>
      <c r="C140" s="2" t="s">
        <v>3</v>
      </c>
      <c r="D140" s="2"/>
      <c r="E140" s="2"/>
      <c r="F140" s="2"/>
      <c r="G140" s="2"/>
      <c r="H140" s="2"/>
      <c r="I140" s="2"/>
    </row>
    <row r="141" spans="1:9" x14ac:dyDescent="0.2">
      <c r="A141" s="1">
        <v>40969</v>
      </c>
      <c r="B141" s="2">
        <v>1572</v>
      </c>
      <c r="C141" s="2" t="s">
        <v>3</v>
      </c>
      <c r="D141" s="2"/>
      <c r="E141" s="2"/>
      <c r="F141" s="2"/>
      <c r="G141" s="2"/>
      <c r="H141" s="2"/>
      <c r="I141" s="2"/>
    </row>
    <row r="142" spans="1:9" x14ac:dyDescent="0.2">
      <c r="A142" s="1">
        <v>41000</v>
      </c>
      <c r="B142" s="2">
        <v>1434</v>
      </c>
      <c r="C142" s="2" t="s">
        <v>3</v>
      </c>
      <c r="D142" s="2"/>
      <c r="E142" s="2"/>
      <c r="F142" s="2"/>
      <c r="G142" s="2"/>
      <c r="H142" s="2"/>
      <c r="I142" s="2"/>
    </row>
    <row r="143" spans="1:9" x14ac:dyDescent="0.2">
      <c r="A143" s="1">
        <v>41030</v>
      </c>
      <c r="B143" s="2">
        <v>1508</v>
      </c>
      <c r="C143" s="2" t="s">
        <v>3</v>
      </c>
      <c r="D143" s="2"/>
      <c r="E143" s="2"/>
      <c r="F143" s="2"/>
      <c r="G143" s="2"/>
      <c r="H143" s="2"/>
      <c r="I143" s="2"/>
    </row>
    <row r="144" spans="1:9" x14ac:dyDescent="0.2">
      <c r="A144" s="1">
        <v>41061</v>
      </c>
      <c r="B144" s="2">
        <v>1428</v>
      </c>
      <c r="C144" s="2" t="s">
        <v>3</v>
      </c>
      <c r="D144" s="2"/>
      <c r="E144" s="2"/>
      <c r="F144" s="2"/>
      <c r="G144" s="2"/>
      <c r="H144" s="2"/>
      <c r="I144" s="2"/>
    </row>
    <row r="145" spans="1:9" x14ac:dyDescent="0.2">
      <c r="A145" s="1">
        <v>41091</v>
      </c>
      <c r="B145" s="2">
        <v>1421</v>
      </c>
      <c r="C145" s="2" t="s">
        <v>3</v>
      </c>
      <c r="D145" s="2"/>
      <c r="E145" s="2"/>
      <c r="F145" s="2"/>
      <c r="G145" s="2"/>
      <c r="H145" s="2"/>
      <c r="I145" s="2"/>
    </row>
    <row r="146" spans="1:9" x14ac:dyDescent="0.2">
      <c r="A146" s="1">
        <v>41122</v>
      </c>
      <c r="B146" s="2">
        <v>1444</v>
      </c>
      <c r="C146" s="2" t="s">
        <v>3</v>
      </c>
      <c r="D146" s="2"/>
      <c r="E146" s="2"/>
      <c r="F146" s="2"/>
      <c r="G146" s="2"/>
      <c r="H146" s="2"/>
      <c r="I146" s="2"/>
    </row>
    <row r="147" spans="1:9" x14ac:dyDescent="0.2">
      <c r="A147" s="1">
        <v>41153</v>
      </c>
      <c r="B147" s="2">
        <v>1412</v>
      </c>
      <c r="C147" s="2" t="s">
        <v>3</v>
      </c>
      <c r="D147" s="2"/>
      <c r="E147" s="2"/>
      <c r="F147" s="2"/>
      <c r="G147" s="2"/>
      <c r="H147" s="2"/>
      <c r="I147" s="2"/>
    </row>
    <row r="148" spans="1:9" x14ac:dyDescent="0.2">
      <c r="A148" s="1">
        <v>41183</v>
      </c>
      <c r="B148" s="2">
        <v>1501</v>
      </c>
      <c r="C148" s="2" t="s">
        <v>3</v>
      </c>
      <c r="D148" s="2"/>
      <c r="E148" s="2"/>
      <c r="F148" s="2"/>
      <c r="G148" s="2"/>
      <c r="H148" s="2"/>
      <c r="I148" s="2"/>
    </row>
    <row r="149" spans="1:9" x14ac:dyDescent="0.2">
      <c r="A149" s="1">
        <v>41214</v>
      </c>
      <c r="B149" s="2">
        <v>1450</v>
      </c>
      <c r="C149" s="2" t="s">
        <v>3</v>
      </c>
      <c r="D149" s="2"/>
      <c r="E149" s="2"/>
      <c r="F149" s="2"/>
      <c r="G149" s="2"/>
      <c r="H149" s="2"/>
      <c r="I149" s="2"/>
    </row>
    <row r="150" spans="1:9" x14ac:dyDescent="0.2">
      <c r="A150" s="1">
        <v>41244</v>
      </c>
      <c r="B150" s="2">
        <v>1498</v>
      </c>
      <c r="C150" s="2" t="s">
        <v>3</v>
      </c>
      <c r="D150" s="2"/>
      <c r="E150" s="2"/>
      <c r="F150" s="2"/>
      <c r="G150" s="2"/>
      <c r="H150" s="2"/>
      <c r="I150" s="2"/>
    </row>
    <row r="151" spans="1:9" x14ac:dyDescent="0.2">
      <c r="A151" s="1">
        <v>41275</v>
      </c>
      <c r="B151" s="2">
        <v>1451</v>
      </c>
      <c r="C151" s="2" t="s">
        <v>3</v>
      </c>
      <c r="D151" s="2"/>
      <c r="E151" s="2"/>
      <c r="F151" s="2"/>
      <c r="G151" s="2"/>
      <c r="H151" s="2"/>
      <c r="I151" s="2"/>
    </row>
    <row r="152" spans="1:9" x14ac:dyDescent="0.2">
      <c r="A152" s="1">
        <v>41306</v>
      </c>
      <c r="B152" s="2">
        <v>1530</v>
      </c>
      <c r="C152" s="2" t="s">
        <v>3</v>
      </c>
      <c r="D152" s="2"/>
      <c r="E152" s="2"/>
      <c r="F152" s="2"/>
      <c r="G152" s="2"/>
      <c r="H152" s="2"/>
      <c r="I152" s="2"/>
    </row>
    <row r="153" spans="1:9" x14ac:dyDescent="0.2">
      <c r="A153" s="1">
        <v>41334</v>
      </c>
      <c r="B153" s="2">
        <v>1498</v>
      </c>
      <c r="C153" s="2" t="s">
        <v>3</v>
      </c>
      <c r="D153" s="2"/>
      <c r="E153" s="2"/>
      <c r="F153" s="2"/>
      <c r="G153" s="2"/>
      <c r="H153" s="2"/>
      <c r="I153" s="2"/>
    </row>
    <row r="154" spans="1:9" x14ac:dyDescent="0.2">
      <c r="A154" s="1">
        <v>41365</v>
      </c>
      <c r="B154" s="2">
        <v>1458</v>
      </c>
      <c r="C154" s="2" t="s">
        <v>3</v>
      </c>
      <c r="D154" s="2"/>
      <c r="E154" s="2"/>
      <c r="F154" s="2"/>
      <c r="G154" s="2"/>
      <c r="H154" s="2"/>
      <c r="I154" s="2"/>
    </row>
    <row r="155" spans="1:9" x14ac:dyDescent="0.2">
      <c r="A155" s="1">
        <v>41395</v>
      </c>
      <c r="B155" s="2">
        <v>1520</v>
      </c>
      <c r="C155" s="2" t="s">
        <v>3</v>
      </c>
      <c r="D155" s="2"/>
      <c r="E155" s="2"/>
      <c r="F155" s="2"/>
      <c r="G155" s="2"/>
      <c r="H155" s="2"/>
      <c r="I155" s="2"/>
    </row>
    <row r="156" spans="1:9" x14ac:dyDescent="0.2">
      <c r="A156" s="1">
        <v>41426</v>
      </c>
      <c r="B156" s="2">
        <v>1402</v>
      </c>
      <c r="C156" s="2" t="s">
        <v>3</v>
      </c>
      <c r="D156" s="2"/>
      <c r="E156" s="2"/>
      <c r="F156" s="2"/>
      <c r="G156" s="2"/>
      <c r="H156" s="2"/>
      <c r="I156" s="2"/>
    </row>
    <row r="157" spans="1:9" x14ac:dyDescent="0.2">
      <c r="A157" s="1">
        <v>41456</v>
      </c>
      <c r="B157" s="2">
        <v>1441</v>
      </c>
      <c r="C157" s="2" t="s">
        <v>3</v>
      </c>
      <c r="D157" s="2"/>
      <c r="E157" s="2"/>
      <c r="F157" s="2"/>
      <c r="G157" s="2"/>
      <c r="H157" s="2"/>
      <c r="I157" s="2"/>
    </row>
    <row r="158" spans="1:9" x14ac:dyDescent="0.2">
      <c r="A158" s="1">
        <v>41487</v>
      </c>
      <c r="B158" s="2">
        <v>1381</v>
      </c>
      <c r="C158" s="2" t="s">
        <v>3</v>
      </c>
      <c r="D158" s="2"/>
      <c r="E158" s="2"/>
      <c r="F158" s="2"/>
      <c r="G158" s="2"/>
      <c r="H158" s="2"/>
      <c r="I158" s="2"/>
    </row>
    <row r="159" spans="1:9" x14ac:dyDescent="0.2">
      <c r="A159" s="1">
        <v>41518</v>
      </c>
      <c r="B159" s="2">
        <v>1356</v>
      </c>
      <c r="C159" s="2" t="s">
        <v>3</v>
      </c>
      <c r="D159" s="2"/>
      <c r="E159" s="2"/>
      <c r="F159" s="2"/>
      <c r="G159" s="2"/>
      <c r="H159" s="2"/>
      <c r="I159" s="2"/>
    </row>
    <row r="160" spans="1:9" x14ac:dyDescent="0.2">
      <c r="A160" s="1">
        <v>41548</v>
      </c>
      <c r="B160" s="2">
        <v>1488</v>
      </c>
      <c r="C160" s="2" t="s">
        <v>3</v>
      </c>
      <c r="D160" s="2"/>
      <c r="E160" s="2"/>
      <c r="F160" s="2"/>
      <c r="G160" s="2"/>
      <c r="H160" s="2"/>
      <c r="I160" s="2"/>
    </row>
    <row r="161" spans="1:9" x14ac:dyDescent="0.2">
      <c r="A161" s="1">
        <v>41579</v>
      </c>
      <c r="B161" s="2">
        <v>1522</v>
      </c>
      <c r="C161" s="2" t="s">
        <v>3</v>
      </c>
      <c r="D161" s="2"/>
      <c r="E161" s="2"/>
      <c r="F161" s="2"/>
      <c r="G161" s="2"/>
      <c r="H161" s="2"/>
      <c r="I161" s="2"/>
    </row>
    <row r="162" spans="1:9" x14ac:dyDescent="0.2">
      <c r="A162" s="1">
        <v>41609</v>
      </c>
      <c r="B162" s="2">
        <v>1501</v>
      </c>
      <c r="C162" s="2" t="s">
        <v>3</v>
      </c>
      <c r="D162" s="2"/>
      <c r="E162" s="2"/>
      <c r="F162" s="2"/>
      <c r="G162" s="2"/>
      <c r="H162" s="2"/>
      <c r="I162" s="2"/>
    </row>
    <row r="163" spans="1:9" x14ac:dyDescent="0.2">
      <c r="A163" s="1">
        <v>41640</v>
      </c>
      <c r="B163" s="2">
        <v>1475</v>
      </c>
      <c r="C163" s="2" t="s">
        <v>3</v>
      </c>
      <c r="D163" s="2"/>
      <c r="E163" s="2"/>
      <c r="F163" s="2"/>
      <c r="G163" s="2"/>
      <c r="H163" s="2"/>
      <c r="I163" s="2"/>
    </row>
    <row r="164" spans="1:9" x14ac:dyDescent="0.2">
      <c r="A164" s="1">
        <v>41671</v>
      </c>
      <c r="B164" s="2">
        <v>1576</v>
      </c>
      <c r="C164" s="2" t="s">
        <v>3</v>
      </c>
      <c r="D164" s="2"/>
      <c r="E164" s="2"/>
      <c r="F164" s="2"/>
      <c r="G164" s="2"/>
      <c r="H164" s="2"/>
      <c r="I164" s="2"/>
    </row>
    <row r="165" spans="1:9" x14ac:dyDescent="0.2">
      <c r="A165" s="1">
        <v>41699</v>
      </c>
      <c r="B165" s="2">
        <v>1571</v>
      </c>
      <c r="C165" s="2" t="s">
        <v>3</v>
      </c>
      <c r="D165" s="2"/>
      <c r="E165" s="2"/>
      <c r="F165" s="2"/>
      <c r="G165" s="2"/>
      <c r="H165" s="2"/>
      <c r="I165" s="2"/>
    </row>
    <row r="166" spans="1:9" x14ac:dyDescent="0.2">
      <c r="A166" s="1">
        <v>41730</v>
      </c>
      <c r="B166" s="2">
        <v>1568</v>
      </c>
      <c r="C166" s="2" t="s">
        <v>3</v>
      </c>
      <c r="D166" s="2"/>
      <c r="E166" s="2"/>
      <c r="F166" s="2"/>
      <c r="G166" s="2"/>
      <c r="H166" s="2"/>
      <c r="I166" s="2"/>
    </row>
    <row r="167" spans="1:9" x14ac:dyDescent="0.2">
      <c r="A167" s="1">
        <v>41760</v>
      </c>
      <c r="B167" s="2">
        <v>1564</v>
      </c>
      <c r="C167" s="2" t="s">
        <v>3</v>
      </c>
      <c r="D167" s="2"/>
      <c r="E167" s="2"/>
      <c r="F167" s="2"/>
      <c r="G167" s="2"/>
      <c r="H167" s="2"/>
      <c r="I167" s="2"/>
    </row>
    <row r="168" spans="1:9" x14ac:dyDescent="0.2">
      <c r="A168" s="1">
        <v>41791</v>
      </c>
      <c r="B168" s="2">
        <v>1482</v>
      </c>
      <c r="C168" s="2" t="s">
        <v>3</v>
      </c>
      <c r="D168" s="2"/>
      <c r="E168" s="2"/>
      <c r="F168" s="2"/>
      <c r="G168" s="2"/>
      <c r="H168" s="2"/>
      <c r="I168" s="2"/>
    </row>
    <row r="169" spans="1:9" x14ac:dyDescent="0.2">
      <c r="A169" s="1">
        <v>41821</v>
      </c>
      <c r="B169" s="2">
        <v>1569</v>
      </c>
      <c r="C169" s="2" t="s">
        <v>3</v>
      </c>
      <c r="D169" s="2"/>
      <c r="E169" s="2"/>
      <c r="F169" s="2"/>
      <c r="G169" s="2"/>
      <c r="H169" s="2"/>
      <c r="I169" s="2"/>
    </row>
    <row r="170" spans="1:9" x14ac:dyDescent="0.2">
      <c r="A170" s="1">
        <v>41852</v>
      </c>
      <c r="B170" s="2">
        <v>1470</v>
      </c>
      <c r="C170" s="2" t="s">
        <v>3</v>
      </c>
      <c r="D170" s="2"/>
      <c r="E170" s="2"/>
      <c r="F170" s="2"/>
      <c r="G170" s="2"/>
      <c r="H170" s="2"/>
      <c r="I170" s="2"/>
    </row>
    <row r="171" spans="1:9" x14ac:dyDescent="0.2">
      <c r="A171" s="1">
        <v>41883</v>
      </c>
      <c r="B171" s="2">
        <v>1455</v>
      </c>
      <c r="C171" s="2" t="s">
        <v>3</v>
      </c>
      <c r="D171" s="2"/>
      <c r="E171" s="2"/>
      <c r="F171" s="2"/>
      <c r="G171" s="2"/>
      <c r="H171" s="2"/>
      <c r="I171" s="2"/>
    </row>
    <row r="172" spans="1:9" x14ac:dyDescent="0.2">
      <c r="A172" s="1">
        <v>41913</v>
      </c>
      <c r="B172" s="2">
        <v>1664</v>
      </c>
      <c r="C172" s="2" t="s">
        <v>3</v>
      </c>
      <c r="D172" s="2"/>
      <c r="E172" s="2"/>
      <c r="F172" s="2"/>
      <c r="G172" s="2"/>
      <c r="H172" s="2"/>
      <c r="I172" s="2"/>
    </row>
    <row r="173" spans="1:9" x14ac:dyDescent="0.2">
      <c r="A173" s="1">
        <v>41944</v>
      </c>
      <c r="B173" s="2">
        <v>1589</v>
      </c>
      <c r="C173" s="2" t="s">
        <v>3</v>
      </c>
      <c r="D173" s="2"/>
      <c r="E173" s="2"/>
      <c r="F173" s="2"/>
      <c r="G173" s="2"/>
      <c r="H173" s="2"/>
      <c r="I173" s="2"/>
    </row>
    <row r="174" spans="1:9" x14ac:dyDescent="0.2">
      <c r="A174" s="1">
        <v>41974</v>
      </c>
      <c r="B174" s="2">
        <v>1653</v>
      </c>
      <c r="C174" s="2" t="s">
        <v>3</v>
      </c>
      <c r="D174" s="2"/>
      <c r="E174" s="2"/>
      <c r="F174" s="2"/>
      <c r="G174" s="2"/>
      <c r="H174" s="2"/>
      <c r="I174" s="2"/>
    </row>
    <row r="175" spans="1:9" x14ac:dyDescent="0.2">
      <c r="A175" s="1">
        <v>42005</v>
      </c>
      <c r="B175" s="2">
        <v>1639</v>
      </c>
      <c r="C175" s="2" t="s">
        <v>3</v>
      </c>
      <c r="D175" s="2"/>
      <c r="E175" s="2"/>
      <c r="F175" s="2"/>
      <c r="G175" s="2"/>
      <c r="H175" s="2"/>
      <c r="I175" s="2"/>
    </row>
    <row r="176" spans="1:9" x14ac:dyDescent="0.2">
      <c r="A176" s="1">
        <v>42036</v>
      </c>
      <c r="B176" s="2">
        <v>1695</v>
      </c>
      <c r="C176" s="2" t="s">
        <v>3</v>
      </c>
      <c r="D176" s="2"/>
      <c r="E176" s="2"/>
      <c r="F176" s="2"/>
      <c r="G176" s="2"/>
      <c r="H176" s="2"/>
      <c r="I176" s="2"/>
    </row>
    <row r="177" spans="1:9" x14ac:dyDescent="0.2">
      <c r="A177" s="1">
        <v>42064</v>
      </c>
      <c r="B177" s="2">
        <v>1694</v>
      </c>
      <c r="C177" s="2" t="s">
        <v>3</v>
      </c>
      <c r="D177" s="2"/>
      <c r="E177" s="2"/>
      <c r="F177" s="2"/>
      <c r="G177" s="2"/>
      <c r="H177" s="2"/>
      <c r="I177" s="2"/>
    </row>
    <row r="178" spans="1:9" x14ac:dyDescent="0.2">
      <c r="A178" s="1">
        <v>42095</v>
      </c>
      <c r="B178" s="2">
        <v>1631</v>
      </c>
      <c r="C178" s="2" t="s">
        <v>3</v>
      </c>
      <c r="D178" s="2"/>
      <c r="E178" s="2"/>
      <c r="F178" s="2"/>
      <c r="G178" s="2"/>
      <c r="H178" s="2"/>
      <c r="I178" s="2"/>
    </row>
    <row r="179" spans="1:9" x14ac:dyDescent="0.2">
      <c r="A179" s="1">
        <v>42125</v>
      </c>
      <c r="B179" s="2">
        <v>1640</v>
      </c>
      <c r="C179" s="2" t="s">
        <v>3</v>
      </c>
      <c r="D179" s="2"/>
      <c r="E179" s="2"/>
      <c r="F179" s="2"/>
      <c r="G179" s="2"/>
      <c r="H179" s="2"/>
      <c r="I179" s="2"/>
    </row>
    <row r="180" spans="1:9" x14ac:dyDescent="0.2">
      <c r="A180" s="1">
        <v>42156</v>
      </c>
      <c r="B180" s="2">
        <v>1556</v>
      </c>
      <c r="C180" s="2" t="s">
        <v>3</v>
      </c>
      <c r="D180" s="2"/>
      <c r="E180" s="2"/>
      <c r="F180" s="2"/>
      <c r="G180" s="2"/>
      <c r="H180" s="2"/>
      <c r="I180" s="2"/>
    </row>
    <row r="181" spans="1:9" x14ac:dyDescent="0.2">
      <c r="A181" s="1">
        <v>42186</v>
      </c>
      <c r="B181" s="2">
        <v>1647</v>
      </c>
      <c r="C181" s="2" t="s">
        <v>3</v>
      </c>
      <c r="D181" s="2"/>
      <c r="E181" s="2"/>
      <c r="F181" s="2"/>
      <c r="G181" s="2"/>
      <c r="H181" s="2"/>
      <c r="I181" s="2"/>
    </row>
    <row r="182" spans="1:9" x14ac:dyDescent="0.2">
      <c r="A182" s="1">
        <v>42217</v>
      </c>
      <c r="B182" s="2">
        <v>1520</v>
      </c>
      <c r="C182" s="2" t="s">
        <v>3</v>
      </c>
      <c r="D182" s="2"/>
      <c r="E182" s="2"/>
      <c r="F182" s="2"/>
      <c r="G182" s="2"/>
      <c r="H182" s="2"/>
      <c r="I182" s="2"/>
    </row>
    <row r="183" spans="1:9" x14ac:dyDescent="0.2">
      <c r="A183" s="1">
        <v>42248</v>
      </c>
      <c r="B183" s="2">
        <v>1475</v>
      </c>
      <c r="C183" s="2" t="s">
        <v>3</v>
      </c>
      <c r="D183" s="2"/>
      <c r="E183" s="2"/>
      <c r="F183" s="2"/>
      <c r="G183" s="2"/>
      <c r="H183" s="2"/>
      <c r="I183" s="2"/>
    </row>
    <row r="184" spans="1:9" x14ac:dyDescent="0.2">
      <c r="A184" s="1">
        <v>42278</v>
      </c>
      <c r="B184" s="2">
        <v>1754</v>
      </c>
      <c r="C184" s="2" t="s">
        <v>3</v>
      </c>
      <c r="D184" s="2"/>
      <c r="E184" s="2"/>
      <c r="F184" s="2"/>
      <c r="G184" s="2"/>
      <c r="H184" s="2"/>
      <c r="I184" s="2"/>
    </row>
    <row r="185" spans="1:9" x14ac:dyDescent="0.2">
      <c r="A185" s="1">
        <v>42309</v>
      </c>
      <c r="B185" s="2">
        <v>1605</v>
      </c>
      <c r="C185" s="2" t="s">
        <v>3</v>
      </c>
      <c r="D185" s="2"/>
      <c r="E185" s="2"/>
      <c r="F185" s="2"/>
      <c r="G185" s="2"/>
      <c r="H185" s="2"/>
      <c r="I185" s="2"/>
    </row>
    <row r="186" spans="1:9" x14ac:dyDescent="0.2">
      <c r="A186" s="1">
        <v>42339</v>
      </c>
      <c r="B186" s="2">
        <v>1701</v>
      </c>
      <c r="C186" s="2" t="s">
        <v>3</v>
      </c>
      <c r="D186" s="2"/>
      <c r="E186" s="2"/>
      <c r="F186" s="2"/>
      <c r="G186" s="2"/>
      <c r="H186" s="2"/>
      <c r="I186" s="2"/>
    </row>
    <row r="187" spans="1:9" x14ac:dyDescent="0.2">
      <c r="A187" s="1">
        <v>42370</v>
      </c>
      <c r="B187" s="2">
        <v>1701</v>
      </c>
      <c r="C187" s="2" t="s">
        <v>3</v>
      </c>
      <c r="D187" s="2"/>
      <c r="E187" s="2"/>
      <c r="F187" s="2"/>
      <c r="G187" s="2"/>
      <c r="H187" s="2"/>
      <c r="I187" s="2"/>
    </row>
    <row r="188" spans="1:9" x14ac:dyDescent="0.2">
      <c r="A188" s="1">
        <v>42401</v>
      </c>
      <c r="B188" s="2">
        <v>1830</v>
      </c>
      <c r="C188" s="2" t="s">
        <v>3</v>
      </c>
      <c r="D188" s="2"/>
      <c r="E188" s="2"/>
      <c r="F188" s="2"/>
      <c r="G188" s="2"/>
      <c r="H188" s="2"/>
      <c r="I188" s="2"/>
    </row>
    <row r="189" spans="1:9" x14ac:dyDescent="0.2">
      <c r="A189" s="1">
        <v>42430</v>
      </c>
      <c r="B189" s="2">
        <v>1713</v>
      </c>
      <c r="C189" s="2" t="s">
        <v>3</v>
      </c>
      <c r="D189" s="2"/>
      <c r="E189" s="2"/>
      <c r="F189" s="2"/>
      <c r="G189" s="2"/>
      <c r="H189" s="2"/>
      <c r="I189" s="2"/>
    </row>
    <row r="190" spans="1:9" x14ac:dyDescent="0.2">
      <c r="A190" s="1">
        <v>42461</v>
      </c>
      <c r="B190" s="2">
        <v>1668</v>
      </c>
      <c r="C190" s="2" t="s">
        <v>3</v>
      </c>
      <c r="D190" s="2"/>
      <c r="E190" s="2"/>
      <c r="F190" s="2"/>
      <c r="G190" s="2"/>
      <c r="H190" s="2"/>
      <c r="I190" s="2"/>
    </row>
    <row r="191" spans="1:9" x14ac:dyDescent="0.2">
      <c r="A191" s="1">
        <v>42491</v>
      </c>
      <c r="B191" s="2">
        <v>1664</v>
      </c>
      <c r="C191" s="2" t="s">
        <v>3</v>
      </c>
      <c r="D191" s="2"/>
      <c r="E191" s="2"/>
      <c r="F191" s="2"/>
      <c r="G191" s="2"/>
      <c r="H191" s="2"/>
      <c r="I191" s="2"/>
    </row>
    <row r="192" spans="1:9" x14ac:dyDescent="0.2">
      <c r="A192" s="1">
        <v>42522</v>
      </c>
      <c r="B192" s="2">
        <v>1623</v>
      </c>
      <c r="C192" s="2" t="s">
        <v>3</v>
      </c>
      <c r="D192" s="2"/>
      <c r="E192" s="2"/>
      <c r="F192" s="2"/>
      <c r="G192" s="2"/>
      <c r="H192" s="2"/>
      <c r="I192" s="2"/>
    </row>
    <row r="193" spans="1:9" x14ac:dyDescent="0.2">
      <c r="A193" s="1">
        <v>42552</v>
      </c>
      <c r="B193" s="2">
        <v>1634</v>
      </c>
      <c r="C193" s="2" t="s">
        <v>3</v>
      </c>
      <c r="D193" s="2"/>
      <c r="E193" s="2"/>
      <c r="F193" s="2"/>
      <c r="G193" s="2"/>
      <c r="H193" s="2"/>
      <c r="I193" s="2"/>
    </row>
    <row r="194" spans="1:9" x14ac:dyDescent="0.2">
      <c r="A194" s="1">
        <v>42583</v>
      </c>
      <c r="B194" s="2">
        <v>1498</v>
      </c>
      <c r="C194" s="2" t="s">
        <v>3</v>
      </c>
      <c r="D194" s="2"/>
      <c r="E194" s="2"/>
      <c r="F194" s="2"/>
      <c r="G194" s="2"/>
      <c r="H194" s="2"/>
      <c r="I194" s="2"/>
    </row>
    <row r="195" spans="1:9" x14ac:dyDescent="0.2">
      <c r="A195" s="1">
        <v>42614</v>
      </c>
      <c r="B195" s="2">
        <v>1529</v>
      </c>
      <c r="C195" s="2" t="s">
        <v>3</v>
      </c>
      <c r="D195" s="2"/>
      <c r="E195" s="2"/>
      <c r="F195" s="2"/>
      <c r="G195" s="2"/>
      <c r="H195" s="2"/>
      <c r="I195" s="2"/>
    </row>
    <row r="196" spans="1:9" x14ac:dyDescent="0.2">
      <c r="A196" s="1">
        <v>42644</v>
      </c>
      <c r="B196" s="2">
        <v>1710</v>
      </c>
      <c r="C196" s="2" t="s">
        <v>3</v>
      </c>
      <c r="D196" s="2"/>
      <c r="E196" s="2"/>
      <c r="F196" s="2"/>
      <c r="G196" s="2"/>
      <c r="H196" s="2"/>
      <c r="I196" s="2"/>
    </row>
    <row r="197" spans="1:9" x14ac:dyDescent="0.2">
      <c r="A197" s="1">
        <v>42675</v>
      </c>
      <c r="B197" s="2">
        <v>1657</v>
      </c>
      <c r="C197" s="2" t="s">
        <v>3</v>
      </c>
      <c r="D197" s="2"/>
      <c r="E197" s="2"/>
      <c r="F197" s="2"/>
      <c r="G197" s="2"/>
      <c r="H197" s="2"/>
      <c r="I197" s="2"/>
    </row>
    <row r="198" spans="1:9" x14ac:dyDescent="0.2">
      <c r="A198" s="1">
        <v>42705</v>
      </c>
      <c r="B198" s="2">
        <v>1743</v>
      </c>
      <c r="C198" s="2" t="s">
        <v>3</v>
      </c>
      <c r="D198" s="2"/>
      <c r="E198" s="2"/>
      <c r="F198" s="2"/>
      <c r="G198" s="2"/>
      <c r="H198" s="2"/>
      <c r="I198" s="2"/>
    </row>
    <row r="199" spans="1:9" x14ac:dyDescent="0.2">
      <c r="A199" s="1">
        <v>42736</v>
      </c>
      <c r="B199" s="2">
        <v>1696</v>
      </c>
      <c r="C199" s="2" t="s">
        <v>3</v>
      </c>
      <c r="D199" s="2"/>
      <c r="E199" s="2"/>
      <c r="F199" s="2"/>
      <c r="G199" s="2"/>
      <c r="H199" s="2"/>
      <c r="I199" s="2"/>
    </row>
    <row r="200" spans="1:9" x14ac:dyDescent="0.2">
      <c r="A200" s="1">
        <v>42767</v>
      </c>
      <c r="B200" s="2">
        <v>1885</v>
      </c>
      <c r="C200" s="2" t="s">
        <v>3</v>
      </c>
      <c r="D200" s="2"/>
      <c r="E200" s="2"/>
      <c r="F200" s="2"/>
      <c r="G200" s="2"/>
      <c r="H200" s="2"/>
      <c r="I200" s="2"/>
    </row>
    <row r="201" spans="1:9" x14ac:dyDescent="0.2">
      <c r="A201" s="1">
        <v>42795</v>
      </c>
      <c r="B201" s="2">
        <v>1840</v>
      </c>
      <c r="C201" s="2" t="s">
        <v>3</v>
      </c>
      <c r="D201" s="2"/>
      <c r="E201" s="2"/>
      <c r="F201" s="2"/>
      <c r="G201" s="2"/>
      <c r="H201" s="2"/>
      <c r="I201" s="2"/>
    </row>
    <row r="202" spans="1:9" x14ac:dyDescent="0.2">
      <c r="A202" s="1">
        <v>42826</v>
      </c>
      <c r="B202" s="2">
        <v>1674</v>
      </c>
      <c r="C202" s="2" t="s">
        <v>3</v>
      </c>
      <c r="D202" s="2"/>
      <c r="E202" s="2"/>
      <c r="F202" s="2"/>
      <c r="G202" s="2"/>
      <c r="H202" s="2"/>
      <c r="I202" s="2"/>
    </row>
    <row r="203" spans="1:9" x14ac:dyDescent="0.2">
      <c r="A203" s="1">
        <v>42856</v>
      </c>
      <c r="B203" s="2">
        <v>1709</v>
      </c>
      <c r="C203" s="2" t="s">
        <v>3</v>
      </c>
      <c r="D203" s="2"/>
      <c r="E203" s="2"/>
      <c r="F203" s="2"/>
      <c r="G203" s="2"/>
      <c r="H203" s="2"/>
      <c r="I203" s="2"/>
    </row>
    <row r="204" spans="1:9" x14ac:dyDescent="0.2">
      <c r="A204" s="1">
        <v>42887</v>
      </c>
      <c r="B204" s="2">
        <v>1618</v>
      </c>
      <c r="C204" s="2" t="s">
        <v>3</v>
      </c>
      <c r="D204" s="2"/>
      <c r="E204" s="2"/>
      <c r="F204" s="2"/>
      <c r="G204" s="2"/>
      <c r="H204" s="2"/>
      <c r="I204" s="2"/>
    </row>
    <row r="205" spans="1:9" x14ac:dyDescent="0.2">
      <c r="A205" s="1">
        <v>42917</v>
      </c>
      <c r="B205" s="2">
        <v>1673</v>
      </c>
      <c r="C205" s="2" t="s">
        <v>3</v>
      </c>
      <c r="D205" s="2"/>
      <c r="E205" s="2"/>
      <c r="F205" s="2"/>
      <c r="G205" s="2"/>
      <c r="H205" s="2"/>
      <c r="I205" s="2"/>
    </row>
    <row r="206" spans="1:9" x14ac:dyDescent="0.2">
      <c r="A206" s="1">
        <v>42948</v>
      </c>
      <c r="B206" s="2">
        <v>1591</v>
      </c>
      <c r="C206" s="2" t="s">
        <v>3</v>
      </c>
      <c r="D206" s="2"/>
      <c r="E206" s="2"/>
      <c r="F206" s="2"/>
      <c r="G206" s="2"/>
      <c r="H206" s="2"/>
      <c r="I206" s="2"/>
    </row>
    <row r="207" spans="1:9" x14ac:dyDescent="0.2">
      <c r="A207" s="1">
        <v>42979</v>
      </c>
      <c r="B207" s="2">
        <v>1521</v>
      </c>
      <c r="C207" s="2" t="s">
        <v>3</v>
      </c>
      <c r="D207" s="2"/>
      <c r="E207" s="2"/>
      <c r="F207" s="2"/>
      <c r="G207" s="2"/>
      <c r="H207" s="2"/>
      <c r="I207" s="2"/>
    </row>
    <row r="208" spans="1:9" x14ac:dyDescent="0.2">
      <c r="A208" s="1">
        <v>43009</v>
      </c>
      <c r="B208" s="2">
        <v>1764</v>
      </c>
      <c r="C208" s="2" t="s">
        <v>3</v>
      </c>
      <c r="D208" s="2"/>
      <c r="E208" s="2"/>
      <c r="F208" s="2"/>
      <c r="G208" s="2"/>
      <c r="H208" s="2"/>
      <c r="I208" s="2"/>
    </row>
    <row r="209" spans="1:9" x14ac:dyDescent="0.2">
      <c r="A209" s="1">
        <v>43040</v>
      </c>
      <c r="B209" s="2">
        <v>1665</v>
      </c>
      <c r="C209" s="2" t="s">
        <v>3</v>
      </c>
      <c r="D209" s="2"/>
      <c r="E209" s="2"/>
      <c r="F209" s="2"/>
      <c r="G209" s="2"/>
      <c r="H209" s="2"/>
      <c r="I209" s="2"/>
    </row>
    <row r="210" spans="1:9" x14ac:dyDescent="0.2">
      <c r="A210" s="1">
        <v>43070</v>
      </c>
      <c r="B210" s="2">
        <v>1750</v>
      </c>
      <c r="C210" s="2" t="s">
        <v>3</v>
      </c>
      <c r="D210" s="2"/>
      <c r="E210" s="2"/>
      <c r="F210" s="2"/>
      <c r="G210" s="2"/>
      <c r="H210" s="2"/>
      <c r="I210" s="2"/>
    </row>
    <row r="211" spans="1:9" x14ac:dyDescent="0.2">
      <c r="A211" s="1">
        <v>43101</v>
      </c>
      <c r="B211" s="2">
        <v>1728</v>
      </c>
      <c r="C211" s="2" t="s">
        <v>3</v>
      </c>
      <c r="D211" s="2"/>
      <c r="E211" s="2"/>
      <c r="F211" s="2"/>
      <c r="G211" s="2"/>
      <c r="H211" s="2"/>
      <c r="I211" s="2"/>
    </row>
    <row r="212" spans="1:9" x14ac:dyDescent="0.2">
      <c r="A212" s="1">
        <v>43132</v>
      </c>
      <c r="B212" s="2">
        <v>1783</v>
      </c>
      <c r="C212" s="2" t="s">
        <v>3</v>
      </c>
      <c r="D212" s="2"/>
      <c r="E212" s="2"/>
      <c r="F212" s="2"/>
      <c r="G212" s="2"/>
      <c r="H212" s="2"/>
      <c r="I212" s="2"/>
    </row>
    <row r="213" spans="1:9" x14ac:dyDescent="0.2">
      <c r="A213" s="1">
        <v>43160</v>
      </c>
      <c r="B213" s="2">
        <v>1679</v>
      </c>
      <c r="C213" s="2" t="s">
        <v>3</v>
      </c>
      <c r="D213" s="2"/>
      <c r="E213" s="2"/>
      <c r="F213" s="2"/>
      <c r="G213" s="2"/>
      <c r="H213" s="2"/>
      <c r="I213" s="2"/>
    </row>
    <row r="214" spans="1:9" x14ac:dyDescent="0.2">
      <c r="A214" s="1">
        <v>43191</v>
      </c>
      <c r="B214" s="2">
        <v>1605</v>
      </c>
      <c r="C214" s="2" t="s">
        <v>3</v>
      </c>
      <c r="D214" s="2"/>
      <c r="E214" s="2"/>
      <c r="F214" s="2"/>
      <c r="G214" s="2"/>
      <c r="H214" s="2"/>
      <c r="I214" s="2"/>
    </row>
    <row r="215" spans="1:9" x14ac:dyDescent="0.2">
      <c r="A215" s="1">
        <v>43221</v>
      </c>
      <c r="B215" s="2">
        <v>1694</v>
      </c>
      <c r="C215" s="2" t="s">
        <v>3</v>
      </c>
      <c r="D215" s="2"/>
      <c r="E215" s="2"/>
      <c r="F215" s="2"/>
      <c r="G215" s="2"/>
      <c r="H215" s="2"/>
      <c r="I215" s="2"/>
    </row>
    <row r="216" spans="1:9" x14ac:dyDescent="0.2">
      <c r="A216" s="1">
        <v>43252</v>
      </c>
      <c r="B216" s="2">
        <v>1560</v>
      </c>
      <c r="C216" s="2" t="s">
        <v>3</v>
      </c>
      <c r="D216" s="2"/>
      <c r="E216" s="2"/>
      <c r="F216" s="2"/>
      <c r="G216" s="2"/>
      <c r="H216" s="2"/>
      <c r="I216" s="2"/>
    </row>
    <row r="217" spans="1:9" x14ac:dyDescent="0.2">
      <c r="A217" s="1">
        <v>43282</v>
      </c>
      <c r="B217" s="2">
        <v>1629</v>
      </c>
      <c r="C217" s="2" t="s">
        <v>3</v>
      </c>
      <c r="D217" s="2"/>
      <c r="E217" s="2"/>
      <c r="F217" s="2"/>
      <c r="G217" s="2"/>
      <c r="H217" s="2"/>
      <c r="I217" s="2"/>
    </row>
    <row r="218" spans="1:9" x14ac:dyDescent="0.2">
      <c r="A218" s="1">
        <v>43313</v>
      </c>
      <c r="B218" s="3">
        <v>1546</v>
      </c>
      <c r="C218" s="3" t="s">
        <v>3</v>
      </c>
      <c r="D218" s="2"/>
      <c r="E218" s="2"/>
      <c r="F218" s="2"/>
      <c r="G218" s="2"/>
      <c r="H218" s="2"/>
      <c r="I218" s="2"/>
    </row>
    <row r="219" spans="1:9" x14ac:dyDescent="0.2">
      <c r="A219" s="1">
        <v>43344</v>
      </c>
      <c r="B219" s="3">
        <v>1574</v>
      </c>
      <c r="C219" s="3" t="s">
        <v>3</v>
      </c>
      <c r="D219" s="2"/>
      <c r="E219" s="2"/>
      <c r="F219" s="2"/>
      <c r="G219" s="2"/>
      <c r="H219" s="2"/>
      <c r="I219" s="2"/>
    </row>
    <row r="220" spans="1:9" x14ac:dyDescent="0.2">
      <c r="A220" s="1">
        <v>43374</v>
      </c>
      <c r="B220" s="3">
        <v>1737</v>
      </c>
      <c r="C220" s="3" t="s">
        <v>3</v>
      </c>
      <c r="D220" s="2"/>
      <c r="E220" s="2"/>
      <c r="F220" s="2"/>
      <c r="G220" s="2"/>
      <c r="H220" s="2"/>
      <c r="I220" s="2"/>
    </row>
    <row r="221" spans="1:9" x14ac:dyDescent="0.2">
      <c r="A221" s="1">
        <v>43405</v>
      </c>
      <c r="B221" s="3">
        <v>1659</v>
      </c>
      <c r="C221" s="3" t="s">
        <v>3</v>
      </c>
      <c r="D221" s="2"/>
      <c r="E221" s="2"/>
      <c r="F221" s="2"/>
      <c r="G221" s="2"/>
      <c r="H221" s="2"/>
      <c r="I221" s="2"/>
    </row>
    <row r="222" spans="1:9" x14ac:dyDescent="0.2">
      <c r="A222" s="1">
        <v>43435</v>
      </c>
      <c r="B222" s="3">
        <v>1691</v>
      </c>
      <c r="C222" s="3" t="s">
        <v>3</v>
      </c>
      <c r="D222" s="2"/>
      <c r="E222" s="2"/>
      <c r="F222" s="2"/>
      <c r="G222" s="2"/>
      <c r="H222" s="2"/>
      <c r="I222" s="2"/>
    </row>
    <row r="223" spans="1:9" x14ac:dyDescent="0.2">
      <c r="A223" s="1">
        <v>43466</v>
      </c>
      <c r="B223" s="3">
        <v>1681</v>
      </c>
      <c r="C223" s="3" t="s">
        <v>3</v>
      </c>
      <c r="D223" s="2"/>
      <c r="E223" s="2"/>
      <c r="F223" s="2"/>
      <c r="G223" s="2"/>
      <c r="H223" s="2"/>
      <c r="I223" s="2"/>
    </row>
    <row r="224" spans="1:9" x14ac:dyDescent="0.2">
      <c r="A224" s="1">
        <v>43497</v>
      </c>
      <c r="B224" s="3">
        <v>1788</v>
      </c>
      <c r="C224" s="3" t="s">
        <v>3</v>
      </c>
      <c r="D224" s="2"/>
      <c r="E224" s="2"/>
      <c r="F224" s="2"/>
      <c r="G224" s="2"/>
      <c r="H224" s="2"/>
      <c r="I224" s="2"/>
    </row>
    <row r="225" spans="1:9" x14ac:dyDescent="0.2">
      <c r="A225" s="1">
        <v>43525</v>
      </c>
      <c r="B225" s="3">
        <v>1746</v>
      </c>
      <c r="C225" s="3" t="s">
        <v>3</v>
      </c>
      <c r="D225" s="2"/>
      <c r="E225" s="2"/>
      <c r="F225" s="2"/>
      <c r="G225" s="2"/>
      <c r="H225" s="2"/>
      <c r="I225" s="2"/>
    </row>
    <row r="226" spans="1:9" x14ac:dyDescent="0.2">
      <c r="A226" s="1">
        <v>43556</v>
      </c>
      <c r="B226" s="3">
        <v>1672</v>
      </c>
      <c r="C226" s="3" t="s">
        <v>3</v>
      </c>
      <c r="D226" s="2"/>
      <c r="E226" s="2"/>
      <c r="F226" s="2"/>
      <c r="G226" s="2"/>
      <c r="H226" s="2"/>
      <c r="I226" s="2"/>
    </row>
    <row r="227" spans="1:9" x14ac:dyDescent="0.2">
      <c r="A227" s="1">
        <v>43586</v>
      </c>
      <c r="B227" s="3">
        <v>1751</v>
      </c>
      <c r="C227" s="3" t="s">
        <v>3</v>
      </c>
      <c r="D227" s="2"/>
      <c r="E227" s="2"/>
      <c r="F227" s="2"/>
      <c r="G227" s="2"/>
      <c r="H227" s="2"/>
      <c r="I227" s="2"/>
    </row>
    <row r="228" spans="1:9" x14ac:dyDescent="0.2">
      <c r="A228" s="1">
        <v>43617</v>
      </c>
      <c r="B228" s="3">
        <v>1646</v>
      </c>
      <c r="C228" s="3" t="s">
        <v>3</v>
      </c>
      <c r="D228" s="2"/>
      <c r="E228" s="2"/>
      <c r="F228" s="2"/>
      <c r="G228" s="2"/>
      <c r="H228" s="2"/>
      <c r="I228" s="2"/>
    </row>
    <row r="229" spans="1:9" x14ac:dyDescent="0.2">
      <c r="A229" s="1">
        <v>43647</v>
      </c>
      <c r="B229" s="3">
        <v>1714</v>
      </c>
      <c r="C229" s="3" t="s">
        <v>3</v>
      </c>
      <c r="D229" s="2"/>
      <c r="E229" s="2"/>
      <c r="F229" s="2"/>
      <c r="G229" s="2"/>
      <c r="H229" s="2"/>
      <c r="I229" s="2"/>
    </row>
    <row r="230" spans="1:9" x14ac:dyDescent="0.2">
      <c r="A230" s="1">
        <v>43678</v>
      </c>
      <c r="B230" s="3">
        <v>1557</v>
      </c>
      <c r="C230" s="3" t="s">
        <v>3</v>
      </c>
      <c r="D230" s="2"/>
      <c r="E230" s="2"/>
      <c r="F230" s="2"/>
      <c r="G230" s="2"/>
      <c r="H230" s="2"/>
      <c r="I230" s="2"/>
    </row>
    <row r="231" spans="1:9" x14ac:dyDescent="0.2">
      <c r="A231" s="1">
        <v>43709</v>
      </c>
      <c r="B231" s="3">
        <v>1617</v>
      </c>
      <c r="C231" s="3" t="s">
        <v>3</v>
      </c>
      <c r="D231" s="2"/>
      <c r="E231" s="2"/>
      <c r="F231" s="2"/>
      <c r="G231" s="2"/>
      <c r="H231" s="2"/>
      <c r="I231" s="2"/>
    </row>
    <row r="232" spans="1:9" x14ac:dyDescent="0.2">
      <c r="A232" s="1">
        <v>43739</v>
      </c>
      <c r="B232" s="3">
        <v>1826</v>
      </c>
      <c r="C232" s="3" t="s">
        <v>3</v>
      </c>
      <c r="D232" s="2"/>
      <c r="E232" s="2"/>
      <c r="F232" s="2"/>
      <c r="G232" s="2"/>
      <c r="H232" s="2"/>
      <c r="I232" s="2"/>
    </row>
    <row r="233" spans="1:9" x14ac:dyDescent="0.2">
      <c r="A233" s="1">
        <v>43770</v>
      </c>
      <c r="B233" s="3">
        <v>1758</v>
      </c>
      <c r="C233" s="3" t="s">
        <v>3</v>
      </c>
      <c r="D233" s="2"/>
      <c r="E233" s="2"/>
      <c r="F233" s="2"/>
      <c r="G233" s="2"/>
      <c r="H233" s="2"/>
      <c r="I233" s="2"/>
    </row>
    <row r="234" spans="1:9" x14ac:dyDescent="0.2">
      <c r="A234" s="1">
        <v>43800</v>
      </c>
      <c r="B234" s="3">
        <v>1756</v>
      </c>
      <c r="C234" s="3" t="s">
        <v>3</v>
      </c>
      <c r="D234" s="2"/>
      <c r="E234" s="2"/>
      <c r="F234" s="2"/>
      <c r="G234" s="2"/>
      <c r="H234" s="2"/>
      <c r="I234" s="2"/>
    </row>
    <row r="235" spans="1:9" x14ac:dyDescent="0.2">
      <c r="A235" s="1">
        <v>43831</v>
      </c>
      <c r="B235" s="3">
        <v>1725</v>
      </c>
      <c r="C235" s="3" t="s">
        <v>3</v>
      </c>
      <c r="D235" s="2"/>
      <c r="E235" s="2"/>
      <c r="F235" s="2"/>
      <c r="G235" s="2"/>
      <c r="H235" s="2"/>
      <c r="I235" s="2"/>
    </row>
    <row r="236" spans="1:9" x14ac:dyDescent="0.2">
      <c r="A236" s="1">
        <v>43862</v>
      </c>
      <c r="B236" s="3">
        <v>1835</v>
      </c>
      <c r="C236" s="3" t="s">
        <v>3</v>
      </c>
      <c r="D236" s="2"/>
      <c r="E236" s="2"/>
      <c r="F236" s="2"/>
      <c r="G236" s="2"/>
      <c r="H236" s="2"/>
      <c r="I236" s="2"/>
    </row>
    <row r="237" spans="1:9" x14ac:dyDescent="0.2">
      <c r="A237" s="1">
        <v>43891</v>
      </c>
      <c r="B237" s="3">
        <v>1724</v>
      </c>
      <c r="C237" s="3" t="s">
        <v>3</v>
      </c>
      <c r="D237" s="2"/>
      <c r="E237" s="2"/>
      <c r="F237" s="2"/>
      <c r="G237" s="2"/>
      <c r="H237" s="2"/>
      <c r="I237" s="2"/>
    </row>
    <row r="238" spans="1:9" x14ac:dyDescent="0.2">
      <c r="A238" s="1">
        <v>43922</v>
      </c>
      <c r="B238" s="3">
        <v>1730</v>
      </c>
      <c r="C238" s="3" t="s">
        <v>3</v>
      </c>
      <c r="D238" s="2"/>
      <c r="E238" s="2"/>
      <c r="F238" s="2"/>
      <c r="G238" s="2"/>
      <c r="H238" s="2"/>
      <c r="I238" s="2"/>
    </row>
    <row r="239" spans="1:9" x14ac:dyDescent="0.2">
      <c r="A239" s="1">
        <v>43952</v>
      </c>
      <c r="B239" s="3">
        <v>1752</v>
      </c>
      <c r="C239" s="3" t="s">
        <v>3</v>
      </c>
      <c r="D239" s="2"/>
      <c r="E239" s="2"/>
      <c r="F239" s="2"/>
      <c r="G239" s="2"/>
      <c r="H239" s="2"/>
      <c r="I239" s="2"/>
    </row>
    <row r="240" spans="1:9" x14ac:dyDescent="0.2">
      <c r="A240" s="1">
        <v>43983</v>
      </c>
      <c r="B240" s="3">
        <v>1642</v>
      </c>
      <c r="C240" s="3" t="s">
        <v>3</v>
      </c>
      <c r="D240" s="2"/>
      <c r="E240" s="2"/>
      <c r="F240" s="2"/>
      <c r="G240" s="2"/>
      <c r="H240" s="2"/>
      <c r="I240" s="2"/>
    </row>
    <row r="241" spans="1:9" x14ac:dyDescent="0.2">
      <c r="A241" s="1">
        <v>44013</v>
      </c>
      <c r="B241" s="3">
        <v>1717</v>
      </c>
      <c r="C241" s="3" t="s">
        <v>3</v>
      </c>
      <c r="D241" s="2"/>
      <c r="E241" s="2"/>
      <c r="F241" s="2"/>
      <c r="G241" s="2"/>
      <c r="H241" s="2"/>
      <c r="I241" s="2"/>
    </row>
    <row r="242" spans="1:9" x14ac:dyDescent="0.2">
      <c r="A242" s="1">
        <v>44044</v>
      </c>
      <c r="B242" s="3">
        <v>1579</v>
      </c>
      <c r="C242" s="3" t="s">
        <v>3</v>
      </c>
      <c r="D242" s="2"/>
      <c r="E242" s="2"/>
      <c r="F242" s="2"/>
      <c r="G242" s="2"/>
      <c r="H242" s="2"/>
      <c r="I242" s="2"/>
    </row>
    <row r="243" spans="1:9" x14ac:dyDescent="0.2">
      <c r="A243" s="1">
        <v>44075</v>
      </c>
      <c r="B243" s="3">
        <v>1647</v>
      </c>
      <c r="C243" s="3" t="s">
        <v>3</v>
      </c>
      <c r="D243" s="2"/>
      <c r="E243" s="2"/>
      <c r="F243" s="2"/>
      <c r="G243" s="2"/>
      <c r="H243" s="2"/>
      <c r="I243" s="2"/>
    </row>
    <row r="244" spans="1:9" x14ac:dyDescent="0.2">
      <c r="A244" s="1">
        <v>44105</v>
      </c>
      <c r="B244" s="3">
        <v>1961</v>
      </c>
      <c r="C244" s="3" t="s">
        <v>3</v>
      </c>
      <c r="D244" s="2"/>
      <c r="E244" s="2"/>
      <c r="F244" s="2"/>
      <c r="G244" s="2"/>
      <c r="H244" s="2"/>
      <c r="I244" s="2"/>
    </row>
    <row r="245" spans="1:9" x14ac:dyDescent="0.2">
      <c r="A245" s="1">
        <v>44136</v>
      </c>
      <c r="B245" s="3">
        <v>1772</v>
      </c>
      <c r="C245" s="3" t="s">
        <v>3</v>
      </c>
      <c r="D245" s="2"/>
      <c r="E245" s="2"/>
      <c r="F245" s="2"/>
      <c r="G245" s="2"/>
      <c r="H245" s="2"/>
      <c r="I245" s="2"/>
    </row>
    <row r="246" spans="1:9" x14ac:dyDescent="0.2">
      <c r="A246" s="1">
        <v>44166</v>
      </c>
      <c r="B246" s="3">
        <v>1822</v>
      </c>
      <c r="C246" s="3" t="s">
        <v>3</v>
      </c>
      <c r="D246" s="2"/>
      <c r="E246" s="2"/>
      <c r="F246" s="2"/>
      <c r="G246" s="2"/>
      <c r="H246" s="2"/>
      <c r="I246" s="2"/>
    </row>
    <row r="247" spans="1:9" x14ac:dyDescent="0.2">
      <c r="A247" s="1">
        <v>44197</v>
      </c>
      <c r="B247" s="3">
        <v>1884</v>
      </c>
      <c r="C247" s="3" t="s">
        <v>3</v>
      </c>
      <c r="D247" s="2"/>
      <c r="E247" s="2"/>
      <c r="F247" s="2"/>
      <c r="G247" s="2"/>
      <c r="H247" s="2"/>
      <c r="I247" s="2"/>
    </row>
    <row r="248" spans="1:9" x14ac:dyDescent="0.2">
      <c r="A248" s="1">
        <v>44228</v>
      </c>
      <c r="B248" s="3">
        <v>1901</v>
      </c>
      <c r="C248" s="3" t="s">
        <v>3</v>
      </c>
      <c r="D248" s="2"/>
      <c r="E248" s="2"/>
      <c r="F248" s="2"/>
      <c r="G248" s="2"/>
      <c r="H248" s="2"/>
      <c r="I248" s="2"/>
    </row>
    <row r="249" spans="1:9" x14ac:dyDescent="0.2">
      <c r="A249" s="1">
        <v>44256</v>
      </c>
      <c r="B249" s="3">
        <v>1917</v>
      </c>
      <c r="C249" s="3" t="s">
        <v>3</v>
      </c>
      <c r="D249" s="2"/>
      <c r="E249" s="2"/>
      <c r="F249" s="2"/>
      <c r="G249" s="2"/>
      <c r="H249" s="2"/>
      <c r="I249" s="2"/>
    </row>
    <row r="250" spans="1:9" x14ac:dyDescent="0.2">
      <c r="A250" s="1">
        <v>44287</v>
      </c>
      <c r="B250" s="3">
        <v>1796</v>
      </c>
      <c r="C250" s="3" t="s">
        <v>3</v>
      </c>
      <c r="D250" s="2"/>
      <c r="E250" s="2"/>
      <c r="F250" s="2"/>
      <c r="G250" s="2"/>
      <c r="H250" s="2"/>
      <c r="I250" s="2"/>
    </row>
    <row r="251" spans="1:9" x14ac:dyDescent="0.2">
      <c r="A251" s="1">
        <v>44317</v>
      </c>
      <c r="B251" s="3">
        <v>1722</v>
      </c>
      <c r="C251" s="3" t="s">
        <v>3</v>
      </c>
      <c r="D251" s="2"/>
      <c r="E251" s="2"/>
      <c r="F251" s="2"/>
      <c r="G251" s="2"/>
      <c r="H251" s="2"/>
      <c r="I251" s="2"/>
    </row>
    <row r="252" spans="1:9" x14ac:dyDescent="0.2">
      <c r="A252" s="1">
        <v>44348</v>
      </c>
      <c r="B252" s="3">
        <v>1702</v>
      </c>
      <c r="C252" s="3" t="s">
        <v>3</v>
      </c>
      <c r="D252" s="2"/>
      <c r="E252" s="2"/>
      <c r="F252" s="2"/>
      <c r="G252" s="2"/>
      <c r="H252" s="2"/>
      <c r="I252" s="2"/>
    </row>
    <row r="253" spans="1:9" x14ac:dyDescent="0.2">
      <c r="A253" s="1">
        <v>44378</v>
      </c>
      <c r="B253" s="3">
        <v>1829</v>
      </c>
      <c r="C253" s="3" t="s">
        <v>3</v>
      </c>
      <c r="D253" s="2"/>
      <c r="E253" s="2"/>
      <c r="F253" s="2"/>
      <c r="G253" s="2"/>
      <c r="H253" s="2"/>
      <c r="I253" s="2"/>
    </row>
    <row r="254" spans="1:9" x14ac:dyDescent="0.2">
      <c r="A254" s="1">
        <v>44409</v>
      </c>
      <c r="B254" s="2">
        <v>1687</v>
      </c>
      <c r="C254" s="2" t="s">
        <v>3</v>
      </c>
      <c r="D254" s="2"/>
      <c r="E254" s="2"/>
      <c r="F254" s="2"/>
      <c r="G254" s="2"/>
      <c r="H254" s="2"/>
      <c r="I254" s="2"/>
    </row>
    <row r="255" spans="1:9" x14ac:dyDescent="0.2">
      <c r="A255" s="1">
        <v>44440</v>
      </c>
      <c r="B255" s="2">
        <v>1668</v>
      </c>
      <c r="C255" s="2" t="s">
        <v>3</v>
      </c>
      <c r="D255" s="2"/>
      <c r="E255" s="2"/>
      <c r="F255" s="2"/>
      <c r="G255" s="2"/>
      <c r="H255" s="2"/>
      <c r="I255" s="2"/>
    </row>
    <row r="256" spans="1:9" x14ac:dyDescent="0.2">
      <c r="A256" s="1">
        <v>44470</v>
      </c>
      <c r="B256" s="2">
        <v>2009</v>
      </c>
      <c r="C256" s="2" t="s">
        <v>3</v>
      </c>
      <c r="D256" s="2"/>
      <c r="E256" s="2"/>
      <c r="F256" s="2"/>
      <c r="G256" s="2"/>
      <c r="H256" s="2"/>
      <c r="I256" s="2"/>
    </row>
    <row r="257" spans="1:9" x14ac:dyDescent="0.2">
      <c r="A257" s="1">
        <v>44501</v>
      </c>
      <c r="B257" s="2">
        <v>1774</v>
      </c>
      <c r="C257" s="2" t="s">
        <v>3</v>
      </c>
      <c r="D257" s="2"/>
      <c r="E257" s="2"/>
      <c r="F257" s="2"/>
      <c r="G257" s="2"/>
      <c r="H257" s="2"/>
      <c r="I257" s="2"/>
    </row>
    <row r="258" spans="1:9" x14ac:dyDescent="0.2">
      <c r="A258" s="1">
        <v>44531</v>
      </c>
      <c r="B258" s="2">
        <v>1863</v>
      </c>
      <c r="C258" s="2" t="s">
        <v>3</v>
      </c>
      <c r="D258" s="2"/>
      <c r="E258" s="2"/>
      <c r="F258" s="2"/>
      <c r="G258" s="2"/>
      <c r="H258" s="2"/>
      <c r="I258" s="2"/>
    </row>
    <row r="259" spans="1:9" x14ac:dyDescent="0.2">
      <c r="A259" s="1">
        <v>44562</v>
      </c>
      <c r="B259" s="2">
        <v>1758</v>
      </c>
      <c r="C259" s="2" t="s">
        <v>3</v>
      </c>
      <c r="D259" s="2"/>
      <c r="E259" s="2"/>
      <c r="F259" s="2"/>
      <c r="G259" s="2"/>
      <c r="H259" s="2"/>
      <c r="I259" s="2"/>
    </row>
    <row r="260" spans="1:9" x14ac:dyDescent="0.2">
      <c r="A260" s="1">
        <v>44593</v>
      </c>
      <c r="B260" s="2">
        <v>1717</v>
      </c>
      <c r="C260" s="2" t="s">
        <v>3</v>
      </c>
      <c r="D260" s="2"/>
      <c r="E260" s="2"/>
      <c r="F260" s="2"/>
      <c r="G260" s="2"/>
      <c r="H260" s="2"/>
      <c r="I260" s="2"/>
    </row>
    <row r="261" spans="1:9" x14ac:dyDescent="0.2">
      <c r="A261" s="1">
        <v>44621</v>
      </c>
      <c r="B261" s="2">
        <v>1823</v>
      </c>
      <c r="C261" s="2" t="s">
        <v>3</v>
      </c>
      <c r="D261" s="2"/>
      <c r="E261" s="2"/>
      <c r="F261" s="2"/>
      <c r="G261" s="2"/>
      <c r="H261" s="2"/>
      <c r="I261" s="2"/>
    </row>
    <row r="262" spans="1:9" x14ac:dyDescent="0.2">
      <c r="A262" s="1">
        <v>44652</v>
      </c>
      <c r="B262" s="2">
        <v>1746</v>
      </c>
      <c r="C262" s="2" t="s">
        <v>3</v>
      </c>
      <c r="D262" s="2"/>
      <c r="E262" s="2"/>
      <c r="F262" s="2"/>
      <c r="G262" s="2"/>
      <c r="H262" s="2"/>
      <c r="I262" s="2"/>
    </row>
    <row r="263" spans="1:9" x14ac:dyDescent="0.2">
      <c r="A263" s="1">
        <v>44682</v>
      </c>
      <c r="B263" s="2">
        <v>1857</v>
      </c>
      <c r="C263" s="2" t="s">
        <v>3</v>
      </c>
      <c r="D263" s="2"/>
      <c r="E263" s="2"/>
      <c r="F263" s="2"/>
      <c r="G263" s="2"/>
      <c r="H263" s="2"/>
      <c r="I263" s="2"/>
    </row>
    <row r="264" spans="1:9" x14ac:dyDescent="0.2">
      <c r="A264" s="1">
        <v>44713</v>
      </c>
      <c r="B264" s="2">
        <v>1803</v>
      </c>
      <c r="C264" s="2" t="s">
        <v>3</v>
      </c>
      <c r="D264" s="2"/>
      <c r="E264" s="2"/>
      <c r="F264" s="2"/>
      <c r="G264" s="2"/>
      <c r="H264" s="2"/>
      <c r="I264" s="2"/>
    </row>
    <row r="265" spans="1:9" x14ac:dyDescent="0.2">
      <c r="A265" s="1">
        <v>44743</v>
      </c>
      <c r="B265" s="2">
        <v>1777</v>
      </c>
      <c r="C265" s="2" t="s">
        <v>3</v>
      </c>
      <c r="D265" s="2"/>
      <c r="E265" s="2"/>
      <c r="F265" s="2"/>
      <c r="G265" s="2"/>
      <c r="H265" s="2"/>
      <c r="I265" s="2"/>
    </row>
    <row r="266" spans="1:9" x14ac:dyDescent="0.2">
      <c r="A266" s="1">
        <v>44774</v>
      </c>
      <c r="B266" s="2">
        <v>1690</v>
      </c>
      <c r="C266" s="2" t="s">
        <v>3</v>
      </c>
      <c r="D266" s="2"/>
      <c r="E266" s="2"/>
      <c r="F266" s="2"/>
      <c r="G266" s="2"/>
      <c r="H266" s="2"/>
      <c r="I266" s="2"/>
    </row>
    <row r="267" spans="1:9" x14ac:dyDescent="0.2">
      <c r="A267" s="1">
        <v>44805</v>
      </c>
      <c r="B267" s="2">
        <v>1686</v>
      </c>
      <c r="C267" s="2" t="s">
        <v>3</v>
      </c>
      <c r="D267" s="2"/>
      <c r="E267" s="2"/>
      <c r="F267" s="2"/>
      <c r="G267" s="2"/>
      <c r="H267" s="2"/>
      <c r="I267" s="2"/>
    </row>
    <row r="268" spans="1:9" x14ac:dyDescent="0.2">
      <c r="A268" s="1">
        <v>44835</v>
      </c>
      <c r="B268" s="2">
        <v>1956</v>
      </c>
      <c r="C268" s="2" t="s">
        <v>3</v>
      </c>
      <c r="D268" s="2"/>
      <c r="E268" s="2"/>
      <c r="F268" s="2"/>
      <c r="G268" s="2"/>
      <c r="H268" s="2"/>
      <c r="I268" s="2"/>
    </row>
    <row r="269" spans="1:9" x14ac:dyDescent="0.2">
      <c r="A269" s="1">
        <v>44866</v>
      </c>
      <c r="B269" s="2">
        <v>1807</v>
      </c>
      <c r="C269" s="2" t="s">
        <v>3</v>
      </c>
      <c r="D269" s="2"/>
      <c r="E269" s="2"/>
      <c r="F269" s="2"/>
      <c r="G269" s="2"/>
      <c r="H269" s="2"/>
      <c r="I269" s="2"/>
    </row>
    <row r="270" spans="1:9" x14ac:dyDescent="0.2">
      <c r="A270" s="1">
        <v>44896</v>
      </c>
      <c r="B270" s="2">
        <v>1949</v>
      </c>
      <c r="C270" s="2" t="s">
        <v>3</v>
      </c>
      <c r="D270" s="2"/>
      <c r="E270" s="2"/>
      <c r="F270" s="2"/>
      <c r="G270" s="2"/>
      <c r="H270" s="2"/>
      <c r="I270" s="2"/>
    </row>
    <row r="271" spans="1:9" x14ac:dyDescent="0.2">
      <c r="A271" s="11">
        <v>44927</v>
      </c>
      <c r="B271" s="2">
        <v>1833</v>
      </c>
      <c r="C271" s="2" t="s">
        <v>4</v>
      </c>
      <c r="D271" s="2"/>
      <c r="E271" s="2"/>
      <c r="F271" s="2"/>
      <c r="G271" s="2"/>
      <c r="H271" s="2"/>
      <c r="I271" s="2"/>
    </row>
    <row r="272" spans="1:9" x14ac:dyDescent="0.2">
      <c r="A272" s="11">
        <v>44958</v>
      </c>
      <c r="B272" s="2">
        <v>1813</v>
      </c>
      <c r="C272" s="2" t="s">
        <v>4</v>
      </c>
      <c r="D272" s="2"/>
      <c r="E272" s="2"/>
      <c r="F272" s="2"/>
      <c r="G272" s="2"/>
      <c r="H272" s="2"/>
      <c r="I272" s="2"/>
    </row>
    <row r="273" spans="1:9" x14ac:dyDescent="0.2">
      <c r="A273" s="11">
        <v>44986</v>
      </c>
      <c r="B273" s="2">
        <v>1886</v>
      </c>
      <c r="C273" s="2" t="s">
        <v>4</v>
      </c>
      <c r="D273" s="2"/>
      <c r="E273" s="2"/>
      <c r="F273" s="2"/>
      <c r="G273" s="2"/>
      <c r="H273" s="2"/>
      <c r="I273" s="2"/>
    </row>
    <row r="274" spans="1:9" x14ac:dyDescent="0.2">
      <c r="A274" s="11">
        <v>45017</v>
      </c>
      <c r="B274" s="2">
        <v>1805</v>
      </c>
      <c r="C274" s="2" t="s">
        <v>4</v>
      </c>
      <c r="D274" s="2"/>
      <c r="E274" s="2"/>
      <c r="F274" s="2"/>
      <c r="G274" s="2"/>
      <c r="H274" s="2"/>
      <c r="I274" s="2"/>
    </row>
    <row r="275" spans="1:9" x14ac:dyDescent="0.2">
      <c r="A275" s="11">
        <v>45047</v>
      </c>
      <c r="B275" s="2">
        <v>1931</v>
      </c>
      <c r="C275" s="2" t="s">
        <v>4</v>
      </c>
      <c r="D275" s="2"/>
      <c r="E275" s="2"/>
      <c r="F275" s="2"/>
      <c r="G275" s="2"/>
      <c r="H275" s="2"/>
      <c r="I275" s="2"/>
    </row>
    <row r="276" spans="1:9" x14ac:dyDescent="0.2">
      <c r="A276" s="11">
        <v>45078</v>
      </c>
      <c r="B276" s="2">
        <v>1822</v>
      </c>
      <c r="C276" s="2" t="s">
        <v>4</v>
      </c>
      <c r="D276" s="2"/>
      <c r="E276" s="2"/>
      <c r="F276" s="2"/>
      <c r="G276" s="2"/>
      <c r="H276" s="2"/>
      <c r="I276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</vt:lpstr>
      <vt:lpstr>Técnia 1. Promedio Móvil</vt:lpstr>
      <vt:lpstr>Técnica 2. SES</vt:lpstr>
      <vt:lpstr>Técnica 3. Holt-Winter</vt:lpstr>
    </vt:vector>
  </TitlesOfParts>
  <Company>Banco Santander Chile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Mansilla Ibañez</dc:creator>
  <cp:lastModifiedBy>Franco Mansilla IbaÃ±ez</cp:lastModifiedBy>
  <dcterms:created xsi:type="dcterms:W3CDTF">2020-12-28T18:45:40Z</dcterms:created>
  <dcterms:modified xsi:type="dcterms:W3CDTF">2024-06-08T19:53:04Z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iteId">
    <vt:lpwstr>35595a02-4d6d-44ac-99e1-f9ab4cd872db</vt:lpwstr>
  </property>
  <property fmtid="{D5CDD505-2E9C-101B-9397-08002B2CF9AE}" pid="4" name="MSIP_Label_0c2abd79-57a9-4473-8700-c843f76a1e37_Owner">
    <vt:lpwstr>n248872@corp.santander.cl</vt:lpwstr>
  </property>
  <property fmtid="{D5CDD505-2E9C-101B-9397-08002B2CF9AE}" pid="5" name="MSIP_Label_0c2abd79-57a9-4473-8700-c843f76a1e37_SetDate">
    <vt:lpwstr>2020-12-28T18:47:21.2378441Z</vt:lpwstr>
  </property>
  <property fmtid="{D5CDD505-2E9C-101B-9397-08002B2CF9AE}" pid="6" name="MSIP_Label_0c2abd79-57a9-4473-8700-c843f76a1e37_Name">
    <vt:lpwstr>Internal</vt:lpwstr>
  </property>
  <property fmtid="{D5CDD505-2E9C-101B-9397-08002B2CF9AE}" pid="7" name="MSIP_Label_0c2abd79-57a9-4473-8700-c843f76a1e37_Application">
    <vt:lpwstr>Microsoft Azure Information Protection</vt:lpwstr>
  </property>
  <property fmtid="{D5CDD505-2E9C-101B-9397-08002B2CF9AE}" pid="8" name="MSIP_Label_0c2abd79-57a9-4473-8700-c843f76a1e37_ActionId">
    <vt:lpwstr>de579403-19a9-49b9-8c60-8e00738c2d8f</vt:lpwstr>
  </property>
  <property fmtid="{D5CDD505-2E9C-101B-9397-08002B2CF9AE}" pid="9" name="MSIP_Label_0c2abd79-57a9-4473-8700-c843f76a1e37_Extended_MSFT_Method">
    <vt:lpwstr>Manual</vt:lpwstr>
  </property>
  <property fmtid="{D5CDD505-2E9C-101B-9397-08002B2CF9AE}" pid="10" name="Sensitivity">
    <vt:lpwstr>Internal</vt:lpwstr>
  </property>
</Properties>
</file>