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BA Panamá &amp; DAR/Clase 5/Practica Excel/"/>
    </mc:Choice>
  </mc:AlternateContent>
  <xr:revisionPtr revIDLastSave="0" documentId="13_ncr:1_{628519A6-3ECB-B54E-935E-2A862AAD34B2}" xr6:coauthVersionLast="47" xr6:coauthVersionMax="47" xr10:uidLastSave="{00000000-0000-0000-0000-000000000000}"/>
  <bookViews>
    <workbookView xWindow="0" yWindow="760" windowWidth="34560" windowHeight="19800" xr2:uid="{00000000-000D-0000-FFFF-FFFF00000000}"/>
  </bookViews>
  <sheets>
    <sheet name="Datos " sheetId="1" r:id="rId1"/>
    <sheet name="Análisis" sheetId="8" r:id="rId2"/>
    <sheet name="Mod_1. Promedio Movil" sheetId="2" r:id="rId3"/>
    <sheet name="Mod_2. SES" sheetId="3" r:id="rId4"/>
    <sheet name="Mod_3. Holt-Winter" sheetId="4" r:id="rId5"/>
    <sheet name="Modelo final" sheetId="9" r:id="rId6"/>
    <sheet name="Otras Metodologías" sheetId="6" r:id="rId7"/>
  </sheets>
  <definedNames>
    <definedName name="CBWorkbookPriority" hidden="1">-1935235038</definedName>
    <definedName name="solver_adj" localSheetId="3" hidden="1">'Mod_2. SES'!$I$6</definedName>
    <definedName name="solver_adj" localSheetId="4" hidden="1">'Mod_3. Holt-Winter'!$M$3:$M$5</definedName>
    <definedName name="solver_adj" localSheetId="5" hidden="1">'Modelo final'!$L$3:$L$5</definedName>
    <definedName name="solver_cvg" localSheetId="3" hidden="1">"""0,0001"""</definedName>
    <definedName name="solver_cvg" localSheetId="4" hidden="1">"""0,0001"""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st" localSheetId="3" hidden="1">1</definedName>
    <definedName name="solver_est" localSheetId="4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'Mod_2. SES'!$I$6</definedName>
    <definedName name="solver_lhs1" localSheetId="4" hidden="1">'Mod_3. Holt-Winter'!$M$3:$M$5</definedName>
    <definedName name="solver_lhs1" localSheetId="5" hidden="1">'Modelo final'!$L$3:$L$5</definedName>
    <definedName name="solver_lhs2" localSheetId="3" hidden="1">'Mod_2. SES'!$I$6</definedName>
    <definedName name="solver_lhs2" localSheetId="4" hidden="1">'Mod_3. Holt-Winter'!$M$3:$M$5</definedName>
    <definedName name="solver_lhs2" localSheetId="5" hidden="1">'Modelo final'!$L$3:$L$5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"""0,075"""</definedName>
    <definedName name="solver_mrt" localSheetId="4" hidden="1">"""0,075"""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wt" localSheetId="3" hidden="1">1</definedName>
    <definedName name="solver_nwt" localSheetId="4" hidden="1">1</definedName>
    <definedName name="solver_opt" localSheetId="3" hidden="1">'Mod_2. SES'!$I$9</definedName>
    <definedName name="solver_opt" localSheetId="4" hidden="1">'Mod_3. Holt-Winter'!$L$9</definedName>
    <definedName name="solver_opt" localSheetId="5" hidden="1">'Modelo final'!$K$9</definedName>
    <definedName name="solver_pre" localSheetId="3" hidden="1">"""0,000001"""</definedName>
    <definedName name="solver_pre" localSheetId="4" hidden="1">"""0,000001"""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hs1" localSheetId="3" hidden="1">1</definedName>
    <definedName name="solver_rhs1" localSheetId="4" hidden="1">1</definedName>
    <definedName name="solver_rhs1" localSheetId="5" hidden="1">1</definedName>
    <definedName name="solver_rhs2" localSheetId="3" hidden="1">0</definedName>
    <definedName name="solver_rhs2" localSheetId="4" hidden="1">0</definedName>
    <definedName name="solver_rhs2" localSheetId="5" hidden="1">0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3" hidden="1">2</definedName>
    <definedName name="solver_ver" localSheetId="4" hidden="1">2</definedName>
    <definedName name="solver_ver" localSheetId="5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9" l="1"/>
  <c r="L13" i="9"/>
  <c r="C13" i="9"/>
  <c r="E12" i="9"/>
  <c r="E11" i="9"/>
  <c r="E6" i="9"/>
  <c r="E5" i="9"/>
  <c r="E4" i="9"/>
  <c r="E3" i="9"/>
  <c r="L14" i="3"/>
  <c r="L13" i="3"/>
  <c r="L14" i="4"/>
  <c r="L13" i="4"/>
  <c r="M14" i="4"/>
  <c r="M13" i="4"/>
  <c r="D276" i="2"/>
  <c r="D273" i="2"/>
  <c r="D272" i="2"/>
  <c r="D271" i="2"/>
  <c r="D270" i="2"/>
  <c r="D265" i="2"/>
  <c r="D266" i="2"/>
  <c r="D267" i="2"/>
  <c r="D268" i="2"/>
  <c r="D269" i="2"/>
  <c r="I14" i="3"/>
  <c r="I13" i="3"/>
  <c r="J13" i="3"/>
  <c r="J14" i="3"/>
  <c r="K13" i="2"/>
  <c r="J13" i="2"/>
  <c r="K12" i="2"/>
  <c r="J12" i="2"/>
  <c r="D13" i="4"/>
  <c r="F8" i="4" s="1"/>
  <c r="D3" i="3"/>
  <c r="E3" i="3" s="1"/>
  <c r="F3" i="3" s="1"/>
  <c r="D14" i="2"/>
  <c r="E15" i="2" s="1"/>
  <c r="F15" i="2" s="1"/>
  <c r="G15" i="2" s="1"/>
  <c r="D15" i="2"/>
  <c r="E16" i="2" s="1"/>
  <c r="F16" i="2" s="1"/>
  <c r="G16" i="2" s="1"/>
  <c r="D16" i="2"/>
  <c r="E17" i="2" s="1"/>
  <c r="F17" i="2" s="1"/>
  <c r="G17" i="2" s="1"/>
  <c r="D17" i="2"/>
  <c r="E18" i="2" s="1"/>
  <c r="F18" i="2" s="1"/>
  <c r="G18" i="2" s="1"/>
  <c r="D18" i="2"/>
  <c r="E19" i="2" s="1"/>
  <c r="F19" i="2" s="1"/>
  <c r="G19" i="2" s="1"/>
  <c r="D19" i="2"/>
  <c r="E20" i="2" s="1"/>
  <c r="F20" i="2" s="1"/>
  <c r="G20" i="2" s="1"/>
  <c r="D20" i="2"/>
  <c r="E21" i="2" s="1"/>
  <c r="F21" i="2" s="1"/>
  <c r="G21" i="2" s="1"/>
  <c r="D21" i="2"/>
  <c r="E22" i="2" s="1"/>
  <c r="F22" i="2" s="1"/>
  <c r="G22" i="2" s="1"/>
  <c r="D22" i="2"/>
  <c r="E23" i="2" s="1"/>
  <c r="F23" i="2" s="1"/>
  <c r="G23" i="2" s="1"/>
  <c r="D23" i="2"/>
  <c r="E24" i="2" s="1"/>
  <c r="F24" i="2" s="1"/>
  <c r="G24" i="2" s="1"/>
  <c r="D24" i="2"/>
  <c r="E25" i="2" s="1"/>
  <c r="F25" i="2" s="1"/>
  <c r="G25" i="2" s="1"/>
  <c r="D25" i="2"/>
  <c r="E26" i="2" s="1"/>
  <c r="F26" i="2" s="1"/>
  <c r="G26" i="2" s="1"/>
  <c r="D26" i="2"/>
  <c r="E27" i="2" s="1"/>
  <c r="F27" i="2" s="1"/>
  <c r="G27" i="2" s="1"/>
  <c r="D27" i="2"/>
  <c r="E28" i="2" s="1"/>
  <c r="F28" i="2" s="1"/>
  <c r="G28" i="2" s="1"/>
  <c r="D28" i="2"/>
  <c r="E29" i="2" s="1"/>
  <c r="F29" i="2" s="1"/>
  <c r="G29" i="2" s="1"/>
  <c r="D29" i="2"/>
  <c r="E30" i="2" s="1"/>
  <c r="F30" i="2" s="1"/>
  <c r="G30" i="2" s="1"/>
  <c r="D30" i="2"/>
  <c r="E31" i="2" s="1"/>
  <c r="F31" i="2" s="1"/>
  <c r="G31" i="2" s="1"/>
  <c r="D31" i="2"/>
  <c r="E32" i="2" s="1"/>
  <c r="F32" i="2" s="1"/>
  <c r="G32" i="2" s="1"/>
  <c r="D32" i="2"/>
  <c r="E33" i="2" s="1"/>
  <c r="F33" i="2" s="1"/>
  <c r="G33" i="2" s="1"/>
  <c r="D33" i="2"/>
  <c r="E34" i="2" s="1"/>
  <c r="F34" i="2" s="1"/>
  <c r="G34" i="2" s="1"/>
  <c r="D34" i="2"/>
  <c r="E35" i="2" s="1"/>
  <c r="F35" i="2" s="1"/>
  <c r="G35" i="2" s="1"/>
  <c r="D35" i="2"/>
  <c r="E36" i="2" s="1"/>
  <c r="F36" i="2" s="1"/>
  <c r="G36" i="2" s="1"/>
  <c r="D36" i="2"/>
  <c r="E37" i="2" s="1"/>
  <c r="F37" i="2" s="1"/>
  <c r="G37" i="2" s="1"/>
  <c r="D37" i="2"/>
  <c r="E38" i="2" s="1"/>
  <c r="F38" i="2" s="1"/>
  <c r="G38" i="2" s="1"/>
  <c r="D38" i="2"/>
  <c r="E39" i="2" s="1"/>
  <c r="F39" i="2" s="1"/>
  <c r="G39" i="2" s="1"/>
  <c r="D39" i="2"/>
  <c r="E40" i="2" s="1"/>
  <c r="F40" i="2" s="1"/>
  <c r="G40" i="2" s="1"/>
  <c r="D40" i="2"/>
  <c r="E41" i="2" s="1"/>
  <c r="F41" i="2" s="1"/>
  <c r="G41" i="2" s="1"/>
  <c r="D41" i="2"/>
  <c r="E42" i="2" s="1"/>
  <c r="F42" i="2" s="1"/>
  <c r="G42" i="2" s="1"/>
  <c r="D42" i="2"/>
  <c r="E43" i="2" s="1"/>
  <c r="F43" i="2" s="1"/>
  <c r="G43" i="2" s="1"/>
  <c r="D43" i="2"/>
  <c r="E44" i="2" s="1"/>
  <c r="F44" i="2" s="1"/>
  <c r="G44" i="2" s="1"/>
  <c r="D44" i="2"/>
  <c r="E45" i="2" s="1"/>
  <c r="F45" i="2" s="1"/>
  <c r="G45" i="2" s="1"/>
  <c r="D45" i="2"/>
  <c r="E46" i="2" s="1"/>
  <c r="F46" i="2" s="1"/>
  <c r="G46" i="2" s="1"/>
  <c r="D46" i="2"/>
  <c r="E47" i="2" s="1"/>
  <c r="F47" i="2" s="1"/>
  <c r="G47" i="2" s="1"/>
  <c r="D47" i="2"/>
  <c r="E48" i="2" s="1"/>
  <c r="F48" i="2" s="1"/>
  <c r="G48" i="2" s="1"/>
  <c r="D48" i="2"/>
  <c r="E49" i="2" s="1"/>
  <c r="F49" i="2" s="1"/>
  <c r="G49" i="2" s="1"/>
  <c r="D49" i="2"/>
  <c r="E50" i="2" s="1"/>
  <c r="F50" i="2" s="1"/>
  <c r="G50" i="2" s="1"/>
  <c r="D50" i="2"/>
  <c r="E51" i="2" s="1"/>
  <c r="F51" i="2" s="1"/>
  <c r="G51" i="2" s="1"/>
  <c r="D51" i="2"/>
  <c r="E52" i="2" s="1"/>
  <c r="F52" i="2" s="1"/>
  <c r="G52" i="2" s="1"/>
  <c r="D52" i="2"/>
  <c r="E53" i="2" s="1"/>
  <c r="F53" i="2" s="1"/>
  <c r="G53" i="2" s="1"/>
  <c r="D53" i="2"/>
  <c r="E54" i="2" s="1"/>
  <c r="F54" i="2" s="1"/>
  <c r="G54" i="2" s="1"/>
  <c r="D54" i="2"/>
  <c r="E55" i="2" s="1"/>
  <c r="F55" i="2" s="1"/>
  <c r="G55" i="2" s="1"/>
  <c r="D55" i="2"/>
  <c r="E56" i="2" s="1"/>
  <c r="F56" i="2" s="1"/>
  <c r="G56" i="2" s="1"/>
  <c r="D56" i="2"/>
  <c r="E57" i="2" s="1"/>
  <c r="F57" i="2" s="1"/>
  <c r="G57" i="2" s="1"/>
  <c r="D57" i="2"/>
  <c r="E58" i="2" s="1"/>
  <c r="F58" i="2" s="1"/>
  <c r="G58" i="2" s="1"/>
  <c r="D58" i="2"/>
  <c r="E59" i="2" s="1"/>
  <c r="F59" i="2" s="1"/>
  <c r="G59" i="2" s="1"/>
  <c r="D59" i="2"/>
  <c r="E60" i="2" s="1"/>
  <c r="F60" i="2" s="1"/>
  <c r="G60" i="2" s="1"/>
  <c r="D60" i="2"/>
  <c r="E61" i="2" s="1"/>
  <c r="F61" i="2" s="1"/>
  <c r="G61" i="2" s="1"/>
  <c r="D61" i="2"/>
  <c r="E62" i="2" s="1"/>
  <c r="F62" i="2" s="1"/>
  <c r="G62" i="2" s="1"/>
  <c r="D62" i="2"/>
  <c r="E63" i="2" s="1"/>
  <c r="F63" i="2" s="1"/>
  <c r="G63" i="2" s="1"/>
  <c r="D63" i="2"/>
  <c r="E64" i="2" s="1"/>
  <c r="F64" i="2" s="1"/>
  <c r="G64" i="2" s="1"/>
  <c r="D64" i="2"/>
  <c r="E65" i="2" s="1"/>
  <c r="F65" i="2" s="1"/>
  <c r="G65" i="2" s="1"/>
  <c r="D65" i="2"/>
  <c r="E66" i="2" s="1"/>
  <c r="F66" i="2" s="1"/>
  <c r="G66" i="2" s="1"/>
  <c r="D66" i="2"/>
  <c r="E67" i="2" s="1"/>
  <c r="F67" i="2" s="1"/>
  <c r="G67" i="2" s="1"/>
  <c r="D67" i="2"/>
  <c r="E68" i="2" s="1"/>
  <c r="F68" i="2" s="1"/>
  <c r="G68" i="2" s="1"/>
  <c r="D68" i="2"/>
  <c r="E69" i="2" s="1"/>
  <c r="F69" i="2" s="1"/>
  <c r="G69" i="2" s="1"/>
  <c r="D69" i="2"/>
  <c r="E70" i="2" s="1"/>
  <c r="F70" i="2" s="1"/>
  <c r="G70" i="2" s="1"/>
  <c r="D70" i="2"/>
  <c r="E71" i="2" s="1"/>
  <c r="F71" i="2" s="1"/>
  <c r="G71" i="2" s="1"/>
  <c r="D71" i="2"/>
  <c r="E72" i="2" s="1"/>
  <c r="F72" i="2" s="1"/>
  <c r="G72" i="2" s="1"/>
  <c r="D72" i="2"/>
  <c r="E73" i="2" s="1"/>
  <c r="F73" i="2" s="1"/>
  <c r="G73" i="2" s="1"/>
  <c r="D73" i="2"/>
  <c r="E74" i="2" s="1"/>
  <c r="F74" i="2" s="1"/>
  <c r="G74" i="2" s="1"/>
  <c r="D74" i="2"/>
  <c r="E75" i="2" s="1"/>
  <c r="F75" i="2" s="1"/>
  <c r="G75" i="2" s="1"/>
  <c r="D75" i="2"/>
  <c r="E76" i="2" s="1"/>
  <c r="F76" i="2" s="1"/>
  <c r="G76" i="2" s="1"/>
  <c r="D76" i="2"/>
  <c r="E77" i="2" s="1"/>
  <c r="F77" i="2" s="1"/>
  <c r="G77" i="2" s="1"/>
  <c r="D77" i="2"/>
  <c r="E78" i="2" s="1"/>
  <c r="F78" i="2" s="1"/>
  <c r="G78" i="2" s="1"/>
  <c r="D78" i="2"/>
  <c r="E79" i="2" s="1"/>
  <c r="F79" i="2" s="1"/>
  <c r="G79" i="2" s="1"/>
  <c r="D79" i="2"/>
  <c r="E80" i="2" s="1"/>
  <c r="F80" i="2" s="1"/>
  <c r="G80" i="2" s="1"/>
  <c r="D80" i="2"/>
  <c r="E81" i="2" s="1"/>
  <c r="F81" i="2" s="1"/>
  <c r="G81" i="2" s="1"/>
  <c r="D81" i="2"/>
  <c r="E82" i="2" s="1"/>
  <c r="F82" i="2" s="1"/>
  <c r="G82" i="2" s="1"/>
  <c r="D82" i="2"/>
  <c r="E83" i="2" s="1"/>
  <c r="F83" i="2" s="1"/>
  <c r="G83" i="2" s="1"/>
  <c r="D83" i="2"/>
  <c r="E84" i="2" s="1"/>
  <c r="F84" i="2" s="1"/>
  <c r="G84" i="2" s="1"/>
  <c r="D84" i="2"/>
  <c r="E85" i="2" s="1"/>
  <c r="F85" i="2" s="1"/>
  <c r="G85" i="2" s="1"/>
  <c r="D85" i="2"/>
  <c r="E86" i="2" s="1"/>
  <c r="F86" i="2" s="1"/>
  <c r="G86" i="2" s="1"/>
  <c r="D86" i="2"/>
  <c r="E87" i="2" s="1"/>
  <c r="F87" i="2" s="1"/>
  <c r="G87" i="2" s="1"/>
  <c r="D87" i="2"/>
  <c r="E88" i="2" s="1"/>
  <c r="F88" i="2" s="1"/>
  <c r="G88" i="2" s="1"/>
  <c r="D88" i="2"/>
  <c r="E89" i="2" s="1"/>
  <c r="F89" i="2" s="1"/>
  <c r="G89" i="2" s="1"/>
  <c r="D89" i="2"/>
  <c r="E90" i="2" s="1"/>
  <c r="F90" i="2" s="1"/>
  <c r="G90" i="2" s="1"/>
  <c r="D90" i="2"/>
  <c r="E91" i="2" s="1"/>
  <c r="F91" i="2" s="1"/>
  <c r="G91" i="2" s="1"/>
  <c r="D91" i="2"/>
  <c r="E92" i="2" s="1"/>
  <c r="F92" i="2" s="1"/>
  <c r="G92" i="2" s="1"/>
  <c r="D92" i="2"/>
  <c r="E93" i="2" s="1"/>
  <c r="F93" i="2" s="1"/>
  <c r="G93" i="2" s="1"/>
  <c r="D93" i="2"/>
  <c r="E94" i="2" s="1"/>
  <c r="F94" i="2" s="1"/>
  <c r="G94" i="2" s="1"/>
  <c r="D94" i="2"/>
  <c r="E95" i="2" s="1"/>
  <c r="F95" i="2" s="1"/>
  <c r="G95" i="2" s="1"/>
  <c r="D95" i="2"/>
  <c r="E96" i="2" s="1"/>
  <c r="F96" i="2" s="1"/>
  <c r="G96" i="2" s="1"/>
  <c r="D96" i="2"/>
  <c r="E97" i="2" s="1"/>
  <c r="F97" i="2" s="1"/>
  <c r="G97" i="2" s="1"/>
  <c r="D97" i="2"/>
  <c r="E98" i="2" s="1"/>
  <c r="F98" i="2" s="1"/>
  <c r="G98" i="2" s="1"/>
  <c r="D98" i="2"/>
  <c r="E99" i="2" s="1"/>
  <c r="F99" i="2" s="1"/>
  <c r="G99" i="2" s="1"/>
  <c r="D99" i="2"/>
  <c r="E100" i="2" s="1"/>
  <c r="F100" i="2" s="1"/>
  <c r="G100" i="2" s="1"/>
  <c r="D100" i="2"/>
  <c r="E101" i="2" s="1"/>
  <c r="F101" i="2" s="1"/>
  <c r="G101" i="2" s="1"/>
  <c r="D101" i="2"/>
  <c r="E102" i="2" s="1"/>
  <c r="F102" i="2" s="1"/>
  <c r="G102" i="2" s="1"/>
  <c r="D102" i="2"/>
  <c r="E103" i="2" s="1"/>
  <c r="F103" i="2" s="1"/>
  <c r="G103" i="2" s="1"/>
  <c r="D103" i="2"/>
  <c r="E104" i="2" s="1"/>
  <c r="F104" i="2" s="1"/>
  <c r="G104" i="2" s="1"/>
  <c r="D104" i="2"/>
  <c r="E105" i="2" s="1"/>
  <c r="F105" i="2" s="1"/>
  <c r="G105" i="2" s="1"/>
  <c r="D105" i="2"/>
  <c r="E106" i="2" s="1"/>
  <c r="F106" i="2" s="1"/>
  <c r="G106" i="2" s="1"/>
  <c r="D106" i="2"/>
  <c r="E107" i="2" s="1"/>
  <c r="F107" i="2" s="1"/>
  <c r="G107" i="2" s="1"/>
  <c r="D107" i="2"/>
  <c r="E108" i="2" s="1"/>
  <c r="F108" i="2" s="1"/>
  <c r="G108" i="2" s="1"/>
  <c r="D108" i="2"/>
  <c r="E109" i="2" s="1"/>
  <c r="F109" i="2" s="1"/>
  <c r="G109" i="2" s="1"/>
  <c r="D109" i="2"/>
  <c r="E110" i="2" s="1"/>
  <c r="F110" i="2" s="1"/>
  <c r="G110" i="2" s="1"/>
  <c r="D110" i="2"/>
  <c r="E111" i="2" s="1"/>
  <c r="F111" i="2" s="1"/>
  <c r="G111" i="2" s="1"/>
  <c r="D111" i="2"/>
  <c r="E112" i="2" s="1"/>
  <c r="F112" i="2" s="1"/>
  <c r="G112" i="2" s="1"/>
  <c r="D112" i="2"/>
  <c r="E113" i="2" s="1"/>
  <c r="F113" i="2" s="1"/>
  <c r="G113" i="2" s="1"/>
  <c r="D113" i="2"/>
  <c r="E114" i="2" s="1"/>
  <c r="F114" i="2" s="1"/>
  <c r="G114" i="2" s="1"/>
  <c r="D114" i="2"/>
  <c r="E115" i="2" s="1"/>
  <c r="F115" i="2" s="1"/>
  <c r="G115" i="2" s="1"/>
  <c r="D115" i="2"/>
  <c r="E116" i="2" s="1"/>
  <c r="F116" i="2" s="1"/>
  <c r="G116" i="2" s="1"/>
  <c r="D116" i="2"/>
  <c r="E117" i="2" s="1"/>
  <c r="F117" i="2" s="1"/>
  <c r="G117" i="2" s="1"/>
  <c r="D117" i="2"/>
  <c r="E118" i="2" s="1"/>
  <c r="F118" i="2" s="1"/>
  <c r="G118" i="2" s="1"/>
  <c r="D118" i="2"/>
  <c r="E119" i="2" s="1"/>
  <c r="F119" i="2" s="1"/>
  <c r="G119" i="2" s="1"/>
  <c r="D119" i="2"/>
  <c r="E120" i="2" s="1"/>
  <c r="F120" i="2" s="1"/>
  <c r="G120" i="2" s="1"/>
  <c r="D120" i="2"/>
  <c r="E121" i="2" s="1"/>
  <c r="F121" i="2" s="1"/>
  <c r="G121" i="2" s="1"/>
  <c r="D121" i="2"/>
  <c r="E122" i="2" s="1"/>
  <c r="F122" i="2" s="1"/>
  <c r="G122" i="2" s="1"/>
  <c r="D122" i="2"/>
  <c r="E123" i="2" s="1"/>
  <c r="F123" i="2" s="1"/>
  <c r="G123" i="2" s="1"/>
  <c r="D123" i="2"/>
  <c r="E124" i="2" s="1"/>
  <c r="F124" i="2" s="1"/>
  <c r="G124" i="2" s="1"/>
  <c r="D124" i="2"/>
  <c r="E125" i="2" s="1"/>
  <c r="F125" i="2" s="1"/>
  <c r="G125" i="2" s="1"/>
  <c r="D125" i="2"/>
  <c r="E126" i="2" s="1"/>
  <c r="F126" i="2" s="1"/>
  <c r="G126" i="2" s="1"/>
  <c r="D126" i="2"/>
  <c r="E127" i="2" s="1"/>
  <c r="F127" i="2" s="1"/>
  <c r="G127" i="2" s="1"/>
  <c r="D127" i="2"/>
  <c r="E128" i="2" s="1"/>
  <c r="F128" i="2" s="1"/>
  <c r="G128" i="2" s="1"/>
  <c r="D128" i="2"/>
  <c r="E129" i="2" s="1"/>
  <c r="F129" i="2" s="1"/>
  <c r="G129" i="2" s="1"/>
  <c r="D129" i="2"/>
  <c r="E130" i="2" s="1"/>
  <c r="F130" i="2" s="1"/>
  <c r="G130" i="2" s="1"/>
  <c r="D130" i="2"/>
  <c r="E131" i="2" s="1"/>
  <c r="F131" i="2" s="1"/>
  <c r="G131" i="2" s="1"/>
  <c r="D131" i="2"/>
  <c r="E132" i="2" s="1"/>
  <c r="F132" i="2" s="1"/>
  <c r="G132" i="2" s="1"/>
  <c r="D132" i="2"/>
  <c r="E133" i="2" s="1"/>
  <c r="F133" i="2" s="1"/>
  <c r="G133" i="2" s="1"/>
  <c r="D133" i="2"/>
  <c r="E134" i="2" s="1"/>
  <c r="F134" i="2" s="1"/>
  <c r="G134" i="2" s="1"/>
  <c r="D134" i="2"/>
  <c r="E135" i="2" s="1"/>
  <c r="F135" i="2" s="1"/>
  <c r="G135" i="2" s="1"/>
  <c r="D135" i="2"/>
  <c r="E136" i="2" s="1"/>
  <c r="F136" i="2" s="1"/>
  <c r="G136" i="2" s="1"/>
  <c r="D136" i="2"/>
  <c r="E137" i="2" s="1"/>
  <c r="F137" i="2" s="1"/>
  <c r="G137" i="2" s="1"/>
  <c r="D137" i="2"/>
  <c r="E138" i="2" s="1"/>
  <c r="F138" i="2" s="1"/>
  <c r="G138" i="2" s="1"/>
  <c r="D138" i="2"/>
  <c r="E139" i="2" s="1"/>
  <c r="F139" i="2" s="1"/>
  <c r="G139" i="2" s="1"/>
  <c r="D139" i="2"/>
  <c r="E140" i="2" s="1"/>
  <c r="F140" i="2" s="1"/>
  <c r="G140" i="2" s="1"/>
  <c r="D140" i="2"/>
  <c r="E141" i="2" s="1"/>
  <c r="F141" i="2" s="1"/>
  <c r="G141" i="2" s="1"/>
  <c r="D141" i="2"/>
  <c r="E142" i="2" s="1"/>
  <c r="F142" i="2" s="1"/>
  <c r="G142" i="2" s="1"/>
  <c r="D142" i="2"/>
  <c r="E143" i="2" s="1"/>
  <c r="F143" i="2" s="1"/>
  <c r="G143" i="2" s="1"/>
  <c r="D143" i="2"/>
  <c r="E144" i="2" s="1"/>
  <c r="F144" i="2" s="1"/>
  <c r="G144" i="2" s="1"/>
  <c r="D144" i="2"/>
  <c r="E145" i="2" s="1"/>
  <c r="F145" i="2" s="1"/>
  <c r="G145" i="2" s="1"/>
  <c r="D145" i="2"/>
  <c r="E146" i="2" s="1"/>
  <c r="F146" i="2" s="1"/>
  <c r="G146" i="2" s="1"/>
  <c r="D146" i="2"/>
  <c r="E147" i="2" s="1"/>
  <c r="F147" i="2" s="1"/>
  <c r="G147" i="2" s="1"/>
  <c r="D147" i="2"/>
  <c r="E148" i="2" s="1"/>
  <c r="F148" i="2" s="1"/>
  <c r="G148" i="2" s="1"/>
  <c r="D148" i="2"/>
  <c r="E149" i="2" s="1"/>
  <c r="F149" i="2" s="1"/>
  <c r="G149" i="2" s="1"/>
  <c r="D149" i="2"/>
  <c r="E150" i="2" s="1"/>
  <c r="F150" i="2" s="1"/>
  <c r="G150" i="2" s="1"/>
  <c r="D150" i="2"/>
  <c r="E151" i="2" s="1"/>
  <c r="F151" i="2" s="1"/>
  <c r="G151" i="2" s="1"/>
  <c r="D151" i="2"/>
  <c r="E152" i="2" s="1"/>
  <c r="F152" i="2" s="1"/>
  <c r="G152" i="2" s="1"/>
  <c r="D152" i="2"/>
  <c r="E153" i="2" s="1"/>
  <c r="F153" i="2" s="1"/>
  <c r="G153" i="2" s="1"/>
  <c r="D153" i="2"/>
  <c r="E154" i="2" s="1"/>
  <c r="F154" i="2" s="1"/>
  <c r="G154" i="2" s="1"/>
  <c r="D154" i="2"/>
  <c r="E155" i="2" s="1"/>
  <c r="F155" i="2" s="1"/>
  <c r="G155" i="2" s="1"/>
  <c r="D155" i="2"/>
  <c r="E156" i="2" s="1"/>
  <c r="F156" i="2" s="1"/>
  <c r="G156" i="2" s="1"/>
  <c r="D156" i="2"/>
  <c r="E157" i="2" s="1"/>
  <c r="F157" i="2" s="1"/>
  <c r="G157" i="2" s="1"/>
  <c r="D157" i="2"/>
  <c r="E158" i="2" s="1"/>
  <c r="F158" i="2" s="1"/>
  <c r="G158" i="2" s="1"/>
  <c r="D158" i="2"/>
  <c r="E159" i="2" s="1"/>
  <c r="F159" i="2" s="1"/>
  <c r="G159" i="2" s="1"/>
  <c r="D159" i="2"/>
  <c r="E160" i="2" s="1"/>
  <c r="F160" i="2" s="1"/>
  <c r="G160" i="2" s="1"/>
  <c r="D160" i="2"/>
  <c r="E161" i="2" s="1"/>
  <c r="F161" i="2" s="1"/>
  <c r="G161" i="2" s="1"/>
  <c r="D161" i="2"/>
  <c r="E162" i="2" s="1"/>
  <c r="F162" i="2" s="1"/>
  <c r="G162" i="2" s="1"/>
  <c r="D162" i="2"/>
  <c r="E163" i="2" s="1"/>
  <c r="F163" i="2" s="1"/>
  <c r="G163" i="2" s="1"/>
  <c r="D163" i="2"/>
  <c r="E164" i="2" s="1"/>
  <c r="F164" i="2" s="1"/>
  <c r="G164" i="2" s="1"/>
  <c r="D164" i="2"/>
  <c r="E165" i="2" s="1"/>
  <c r="F165" i="2" s="1"/>
  <c r="G165" i="2" s="1"/>
  <c r="D165" i="2"/>
  <c r="E166" i="2" s="1"/>
  <c r="F166" i="2" s="1"/>
  <c r="G166" i="2" s="1"/>
  <c r="D166" i="2"/>
  <c r="E167" i="2" s="1"/>
  <c r="F167" i="2" s="1"/>
  <c r="G167" i="2" s="1"/>
  <c r="D167" i="2"/>
  <c r="E168" i="2" s="1"/>
  <c r="F168" i="2" s="1"/>
  <c r="G168" i="2" s="1"/>
  <c r="D168" i="2"/>
  <c r="E169" i="2" s="1"/>
  <c r="F169" i="2" s="1"/>
  <c r="G169" i="2" s="1"/>
  <c r="D169" i="2"/>
  <c r="E170" i="2" s="1"/>
  <c r="F170" i="2" s="1"/>
  <c r="G170" i="2" s="1"/>
  <c r="D170" i="2"/>
  <c r="E171" i="2" s="1"/>
  <c r="F171" i="2" s="1"/>
  <c r="G171" i="2" s="1"/>
  <c r="D171" i="2"/>
  <c r="E172" i="2" s="1"/>
  <c r="F172" i="2" s="1"/>
  <c r="G172" i="2" s="1"/>
  <c r="D172" i="2"/>
  <c r="E173" i="2" s="1"/>
  <c r="F173" i="2" s="1"/>
  <c r="G173" i="2" s="1"/>
  <c r="D173" i="2"/>
  <c r="E174" i="2" s="1"/>
  <c r="F174" i="2" s="1"/>
  <c r="G174" i="2" s="1"/>
  <c r="D174" i="2"/>
  <c r="E175" i="2" s="1"/>
  <c r="F175" i="2" s="1"/>
  <c r="G175" i="2" s="1"/>
  <c r="D175" i="2"/>
  <c r="E176" i="2" s="1"/>
  <c r="F176" i="2" s="1"/>
  <c r="G176" i="2" s="1"/>
  <c r="D176" i="2"/>
  <c r="E177" i="2" s="1"/>
  <c r="F177" i="2" s="1"/>
  <c r="G177" i="2" s="1"/>
  <c r="D177" i="2"/>
  <c r="E178" i="2" s="1"/>
  <c r="F178" i="2" s="1"/>
  <c r="G178" i="2" s="1"/>
  <c r="D178" i="2"/>
  <c r="E179" i="2" s="1"/>
  <c r="F179" i="2" s="1"/>
  <c r="G179" i="2" s="1"/>
  <c r="D179" i="2"/>
  <c r="E180" i="2" s="1"/>
  <c r="F180" i="2" s="1"/>
  <c r="G180" i="2" s="1"/>
  <c r="D180" i="2"/>
  <c r="E181" i="2" s="1"/>
  <c r="F181" i="2" s="1"/>
  <c r="G181" i="2" s="1"/>
  <c r="D181" i="2"/>
  <c r="E182" i="2" s="1"/>
  <c r="F182" i="2" s="1"/>
  <c r="G182" i="2" s="1"/>
  <c r="D182" i="2"/>
  <c r="E183" i="2" s="1"/>
  <c r="F183" i="2" s="1"/>
  <c r="G183" i="2" s="1"/>
  <c r="D183" i="2"/>
  <c r="E184" i="2" s="1"/>
  <c r="F184" i="2" s="1"/>
  <c r="G184" i="2" s="1"/>
  <c r="D184" i="2"/>
  <c r="E185" i="2" s="1"/>
  <c r="F185" i="2" s="1"/>
  <c r="G185" i="2" s="1"/>
  <c r="D185" i="2"/>
  <c r="E186" i="2" s="1"/>
  <c r="F186" i="2" s="1"/>
  <c r="G186" i="2" s="1"/>
  <c r="D186" i="2"/>
  <c r="E187" i="2" s="1"/>
  <c r="F187" i="2" s="1"/>
  <c r="G187" i="2" s="1"/>
  <c r="D187" i="2"/>
  <c r="E188" i="2" s="1"/>
  <c r="F188" i="2" s="1"/>
  <c r="G188" i="2" s="1"/>
  <c r="D188" i="2"/>
  <c r="E189" i="2" s="1"/>
  <c r="F189" i="2" s="1"/>
  <c r="G189" i="2" s="1"/>
  <c r="D189" i="2"/>
  <c r="E190" i="2" s="1"/>
  <c r="F190" i="2" s="1"/>
  <c r="G190" i="2" s="1"/>
  <c r="D190" i="2"/>
  <c r="E191" i="2" s="1"/>
  <c r="F191" i="2" s="1"/>
  <c r="G191" i="2" s="1"/>
  <c r="D191" i="2"/>
  <c r="E192" i="2" s="1"/>
  <c r="F192" i="2" s="1"/>
  <c r="G192" i="2" s="1"/>
  <c r="D192" i="2"/>
  <c r="E193" i="2" s="1"/>
  <c r="F193" i="2" s="1"/>
  <c r="G193" i="2" s="1"/>
  <c r="D193" i="2"/>
  <c r="E194" i="2" s="1"/>
  <c r="F194" i="2" s="1"/>
  <c r="G194" i="2" s="1"/>
  <c r="D194" i="2"/>
  <c r="E195" i="2" s="1"/>
  <c r="F195" i="2" s="1"/>
  <c r="G195" i="2" s="1"/>
  <c r="D195" i="2"/>
  <c r="E196" i="2" s="1"/>
  <c r="F196" i="2" s="1"/>
  <c r="G196" i="2" s="1"/>
  <c r="D196" i="2"/>
  <c r="E197" i="2" s="1"/>
  <c r="F197" i="2" s="1"/>
  <c r="G197" i="2" s="1"/>
  <c r="D197" i="2"/>
  <c r="E198" i="2" s="1"/>
  <c r="F198" i="2" s="1"/>
  <c r="G198" i="2" s="1"/>
  <c r="D198" i="2"/>
  <c r="E199" i="2" s="1"/>
  <c r="F199" i="2" s="1"/>
  <c r="G199" i="2" s="1"/>
  <c r="D199" i="2"/>
  <c r="E200" i="2" s="1"/>
  <c r="F200" i="2" s="1"/>
  <c r="G200" i="2" s="1"/>
  <c r="D200" i="2"/>
  <c r="E201" i="2" s="1"/>
  <c r="F201" i="2" s="1"/>
  <c r="G201" i="2" s="1"/>
  <c r="D201" i="2"/>
  <c r="E202" i="2" s="1"/>
  <c r="F202" i="2" s="1"/>
  <c r="G202" i="2" s="1"/>
  <c r="D202" i="2"/>
  <c r="E203" i="2" s="1"/>
  <c r="F203" i="2" s="1"/>
  <c r="G203" i="2" s="1"/>
  <c r="D203" i="2"/>
  <c r="E204" i="2" s="1"/>
  <c r="F204" i="2" s="1"/>
  <c r="G204" i="2" s="1"/>
  <c r="D204" i="2"/>
  <c r="E205" i="2" s="1"/>
  <c r="F205" i="2" s="1"/>
  <c r="G205" i="2" s="1"/>
  <c r="D205" i="2"/>
  <c r="E206" i="2" s="1"/>
  <c r="F206" i="2" s="1"/>
  <c r="G206" i="2" s="1"/>
  <c r="D206" i="2"/>
  <c r="E207" i="2" s="1"/>
  <c r="F207" i="2" s="1"/>
  <c r="G207" i="2" s="1"/>
  <c r="D207" i="2"/>
  <c r="E208" i="2" s="1"/>
  <c r="F208" i="2" s="1"/>
  <c r="G208" i="2" s="1"/>
  <c r="D208" i="2"/>
  <c r="E209" i="2" s="1"/>
  <c r="F209" i="2" s="1"/>
  <c r="G209" i="2" s="1"/>
  <c r="D209" i="2"/>
  <c r="E210" i="2" s="1"/>
  <c r="F210" i="2" s="1"/>
  <c r="G210" i="2" s="1"/>
  <c r="D210" i="2"/>
  <c r="E211" i="2" s="1"/>
  <c r="F211" i="2" s="1"/>
  <c r="G211" i="2" s="1"/>
  <c r="D211" i="2"/>
  <c r="E212" i="2" s="1"/>
  <c r="F212" i="2" s="1"/>
  <c r="G212" i="2" s="1"/>
  <c r="D212" i="2"/>
  <c r="E213" i="2" s="1"/>
  <c r="F213" i="2" s="1"/>
  <c r="G213" i="2" s="1"/>
  <c r="D213" i="2"/>
  <c r="E214" i="2" s="1"/>
  <c r="F214" i="2" s="1"/>
  <c r="G214" i="2" s="1"/>
  <c r="D214" i="2"/>
  <c r="E215" i="2" s="1"/>
  <c r="F215" i="2" s="1"/>
  <c r="G215" i="2" s="1"/>
  <c r="D215" i="2"/>
  <c r="E216" i="2" s="1"/>
  <c r="F216" i="2" s="1"/>
  <c r="G216" i="2" s="1"/>
  <c r="D216" i="2"/>
  <c r="E217" i="2" s="1"/>
  <c r="F217" i="2" s="1"/>
  <c r="G217" i="2" s="1"/>
  <c r="D217" i="2"/>
  <c r="E218" i="2" s="1"/>
  <c r="F218" i="2" s="1"/>
  <c r="G218" i="2" s="1"/>
  <c r="D218" i="2"/>
  <c r="E219" i="2" s="1"/>
  <c r="F219" i="2" s="1"/>
  <c r="G219" i="2" s="1"/>
  <c r="D219" i="2"/>
  <c r="E220" i="2" s="1"/>
  <c r="F220" i="2" s="1"/>
  <c r="G220" i="2" s="1"/>
  <c r="D220" i="2"/>
  <c r="E221" i="2" s="1"/>
  <c r="F221" i="2" s="1"/>
  <c r="G221" i="2" s="1"/>
  <c r="D221" i="2"/>
  <c r="E222" i="2" s="1"/>
  <c r="F222" i="2" s="1"/>
  <c r="G222" i="2" s="1"/>
  <c r="D222" i="2"/>
  <c r="E223" i="2" s="1"/>
  <c r="F223" i="2" s="1"/>
  <c r="G223" i="2" s="1"/>
  <c r="D223" i="2"/>
  <c r="E224" i="2" s="1"/>
  <c r="F224" i="2" s="1"/>
  <c r="G224" i="2" s="1"/>
  <c r="D224" i="2"/>
  <c r="E225" i="2" s="1"/>
  <c r="F225" i="2" s="1"/>
  <c r="G225" i="2" s="1"/>
  <c r="D225" i="2"/>
  <c r="E226" i="2" s="1"/>
  <c r="F226" i="2" s="1"/>
  <c r="G226" i="2" s="1"/>
  <c r="D226" i="2"/>
  <c r="E227" i="2" s="1"/>
  <c r="F227" i="2" s="1"/>
  <c r="G227" i="2" s="1"/>
  <c r="D227" i="2"/>
  <c r="E228" i="2" s="1"/>
  <c r="F228" i="2" s="1"/>
  <c r="G228" i="2" s="1"/>
  <c r="D228" i="2"/>
  <c r="E229" i="2" s="1"/>
  <c r="F229" i="2" s="1"/>
  <c r="G229" i="2" s="1"/>
  <c r="D229" i="2"/>
  <c r="E230" i="2" s="1"/>
  <c r="F230" i="2" s="1"/>
  <c r="G230" i="2" s="1"/>
  <c r="D230" i="2"/>
  <c r="E231" i="2" s="1"/>
  <c r="F231" i="2" s="1"/>
  <c r="G231" i="2" s="1"/>
  <c r="D231" i="2"/>
  <c r="E232" i="2" s="1"/>
  <c r="F232" i="2" s="1"/>
  <c r="G232" i="2" s="1"/>
  <c r="D232" i="2"/>
  <c r="E233" i="2" s="1"/>
  <c r="F233" i="2" s="1"/>
  <c r="G233" i="2" s="1"/>
  <c r="D233" i="2"/>
  <c r="E234" i="2" s="1"/>
  <c r="F234" i="2" s="1"/>
  <c r="G234" i="2" s="1"/>
  <c r="D234" i="2"/>
  <c r="E235" i="2" s="1"/>
  <c r="F235" i="2" s="1"/>
  <c r="G235" i="2" s="1"/>
  <c r="D235" i="2"/>
  <c r="E236" i="2" s="1"/>
  <c r="F236" i="2" s="1"/>
  <c r="G236" i="2" s="1"/>
  <c r="D236" i="2"/>
  <c r="E237" i="2" s="1"/>
  <c r="F237" i="2" s="1"/>
  <c r="G237" i="2" s="1"/>
  <c r="D237" i="2"/>
  <c r="E238" i="2" s="1"/>
  <c r="F238" i="2" s="1"/>
  <c r="G238" i="2" s="1"/>
  <c r="D238" i="2"/>
  <c r="E239" i="2" s="1"/>
  <c r="F239" i="2" s="1"/>
  <c r="G239" i="2" s="1"/>
  <c r="D239" i="2"/>
  <c r="E240" i="2" s="1"/>
  <c r="F240" i="2" s="1"/>
  <c r="G240" i="2" s="1"/>
  <c r="D240" i="2"/>
  <c r="E241" i="2" s="1"/>
  <c r="F241" i="2" s="1"/>
  <c r="G241" i="2" s="1"/>
  <c r="D241" i="2"/>
  <c r="E242" i="2" s="1"/>
  <c r="F242" i="2" s="1"/>
  <c r="G242" i="2" s="1"/>
  <c r="D242" i="2"/>
  <c r="E243" i="2" s="1"/>
  <c r="F243" i="2" s="1"/>
  <c r="G243" i="2" s="1"/>
  <c r="D243" i="2"/>
  <c r="E244" i="2" s="1"/>
  <c r="F244" i="2" s="1"/>
  <c r="G244" i="2" s="1"/>
  <c r="D244" i="2"/>
  <c r="E245" i="2" s="1"/>
  <c r="F245" i="2" s="1"/>
  <c r="G245" i="2" s="1"/>
  <c r="D245" i="2"/>
  <c r="E246" i="2" s="1"/>
  <c r="F246" i="2" s="1"/>
  <c r="G246" i="2" s="1"/>
  <c r="D246" i="2"/>
  <c r="E247" i="2" s="1"/>
  <c r="F247" i="2" s="1"/>
  <c r="G247" i="2" s="1"/>
  <c r="D247" i="2"/>
  <c r="E248" i="2" s="1"/>
  <c r="F248" i="2" s="1"/>
  <c r="G248" i="2" s="1"/>
  <c r="D248" i="2"/>
  <c r="E249" i="2" s="1"/>
  <c r="F249" i="2" s="1"/>
  <c r="G249" i="2" s="1"/>
  <c r="D249" i="2"/>
  <c r="E250" i="2" s="1"/>
  <c r="F250" i="2" s="1"/>
  <c r="G250" i="2" s="1"/>
  <c r="D250" i="2"/>
  <c r="E251" i="2" s="1"/>
  <c r="F251" i="2" s="1"/>
  <c r="G251" i="2" s="1"/>
  <c r="D251" i="2"/>
  <c r="E252" i="2" s="1"/>
  <c r="F252" i="2" s="1"/>
  <c r="G252" i="2" s="1"/>
  <c r="D252" i="2"/>
  <c r="E253" i="2" s="1"/>
  <c r="F253" i="2" s="1"/>
  <c r="G253" i="2" s="1"/>
  <c r="D253" i="2"/>
  <c r="E254" i="2" s="1"/>
  <c r="F254" i="2" s="1"/>
  <c r="G254" i="2" s="1"/>
  <c r="D254" i="2"/>
  <c r="E255" i="2" s="1"/>
  <c r="F255" i="2" s="1"/>
  <c r="G255" i="2" s="1"/>
  <c r="D255" i="2"/>
  <c r="E256" i="2" s="1"/>
  <c r="F256" i="2" s="1"/>
  <c r="G256" i="2" s="1"/>
  <c r="D256" i="2"/>
  <c r="E257" i="2" s="1"/>
  <c r="F257" i="2" s="1"/>
  <c r="G257" i="2" s="1"/>
  <c r="D257" i="2"/>
  <c r="E258" i="2" s="1"/>
  <c r="F258" i="2" s="1"/>
  <c r="G258" i="2" s="1"/>
  <c r="D258" i="2"/>
  <c r="E259" i="2" s="1"/>
  <c r="F259" i="2" s="1"/>
  <c r="G259" i="2" s="1"/>
  <c r="D259" i="2"/>
  <c r="E260" i="2" s="1"/>
  <c r="F260" i="2" s="1"/>
  <c r="G260" i="2" s="1"/>
  <c r="D260" i="2"/>
  <c r="E261" i="2" s="1"/>
  <c r="F261" i="2" s="1"/>
  <c r="G261" i="2" s="1"/>
  <c r="D261" i="2"/>
  <c r="E262" i="2" s="1"/>
  <c r="F262" i="2" s="1"/>
  <c r="G262" i="2" s="1"/>
  <c r="D262" i="2"/>
  <c r="E263" i="2" s="1"/>
  <c r="F263" i="2" s="1"/>
  <c r="G263" i="2" s="1"/>
  <c r="D263" i="2"/>
  <c r="E264" i="2" s="1"/>
  <c r="F264" i="2" s="1"/>
  <c r="G264" i="2" s="1"/>
  <c r="D264" i="2"/>
  <c r="E265" i="2" s="1"/>
  <c r="F265" i="2" s="1"/>
  <c r="G265" i="2" s="1"/>
  <c r="E266" i="2"/>
  <c r="F266" i="2" s="1"/>
  <c r="G266" i="2" s="1"/>
  <c r="E267" i="2"/>
  <c r="F267" i="2" s="1"/>
  <c r="G267" i="2" s="1"/>
  <c r="E268" i="2"/>
  <c r="D13" i="2"/>
  <c r="E14" i="2" s="1"/>
  <c r="F14" i="2" s="1"/>
  <c r="G14" i="2" s="1"/>
  <c r="E10" i="9" l="1"/>
  <c r="E2" i="9"/>
  <c r="E7" i="9"/>
  <c r="E13" i="9"/>
  <c r="E8" i="9"/>
  <c r="E9" i="9"/>
  <c r="J8" i="2"/>
  <c r="K8" i="2" s="1"/>
  <c r="M12" i="2" s="1"/>
  <c r="F268" i="2"/>
  <c r="G268" i="2" s="1"/>
  <c r="E269" i="2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F7" i="4"/>
  <c r="F6" i="4"/>
  <c r="F13" i="4"/>
  <c r="F5" i="4"/>
  <c r="F12" i="4"/>
  <c r="F4" i="4"/>
  <c r="F2" i="4"/>
  <c r="D14" i="4" s="1"/>
  <c r="E14" i="4" s="1"/>
  <c r="F11" i="4"/>
  <c r="F3" i="4"/>
  <c r="F10" i="4"/>
  <c r="F9" i="4"/>
  <c r="C14" i="9" l="1"/>
  <c r="F14" i="9"/>
  <c r="G14" i="9" s="1"/>
  <c r="H14" i="9" s="1"/>
  <c r="D267" i="3"/>
  <c r="D268" i="3" s="1"/>
  <c r="D269" i="3" s="1"/>
  <c r="D270" i="3" s="1"/>
  <c r="D271" i="3" s="1"/>
  <c r="D272" i="3" s="1"/>
  <c r="D273" i="3" s="1"/>
  <c r="D274" i="3" s="1"/>
  <c r="D275" i="3" s="1"/>
  <c r="D276" i="3" s="1"/>
  <c r="E9" i="3"/>
  <c r="F9" i="3" s="1"/>
  <c r="E6" i="3"/>
  <c r="F6" i="3" s="1"/>
  <c r="E17" i="3"/>
  <c r="F17" i="3" s="1"/>
  <c r="E14" i="3"/>
  <c r="F14" i="3" s="1"/>
  <c r="E27" i="3"/>
  <c r="F27" i="3" s="1"/>
  <c r="E31" i="3"/>
  <c r="F31" i="3" s="1"/>
  <c r="E35" i="3"/>
  <c r="F35" i="3" s="1"/>
  <c r="E43" i="3"/>
  <c r="F43" i="3" s="1"/>
  <c r="E4" i="3"/>
  <c r="F4" i="3" s="1"/>
  <c r="E12" i="3"/>
  <c r="F12" i="3" s="1"/>
  <c r="E20" i="3"/>
  <c r="F20" i="3" s="1"/>
  <c r="E28" i="3"/>
  <c r="F28" i="3" s="1"/>
  <c r="E69" i="3"/>
  <c r="F69" i="3" s="1"/>
  <c r="E49" i="3"/>
  <c r="F49" i="3" s="1"/>
  <c r="E71" i="3"/>
  <c r="F71" i="3" s="1"/>
  <c r="E57" i="3"/>
  <c r="F57" i="3" s="1"/>
  <c r="E10" i="3"/>
  <c r="F10" i="3" s="1"/>
  <c r="E84" i="3"/>
  <c r="F84" i="3" s="1"/>
  <c r="E42" i="3"/>
  <c r="F42" i="3" s="1"/>
  <c r="E5" i="3"/>
  <c r="F5" i="3" s="1"/>
  <c r="E50" i="3"/>
  <c r="F50" i="3" s="1"/>
  <c r="E13" i="3"/>
  <c r="F13" i="3" s="1"/>
  <c r="E166" i="3"/>
  <c r="F166" i="3" s="1"/>
  <c r="E123" i="3"/>
  <c r="F123" i="3" s="1"/>
  <c r="E203" i="3"/>
  <c r="F203" i="3" s="1"/>
  <c r="E100" i="3"/>
  <c r="F100" i="3" s="1"/>
  <c r="E180" i="3"/>
  <c r="F180" i="3" s="1"/>
  <c r="E85" i="3"/>
  <c r="F85" i="3" s="1"/>
  <c r="E165" i="3"/>
  <c r="F165" i="3" s="1"/>
  <c r="E22" i="3"/>
  <c r="F22" i="3" s="1"/>
  <c r="E102" i="3"/>
  <c r="F102" i="3" s="1"/>
  <c r="E182" i="3"/>
  <c r="F182" i="3" s="1"/>
  <c r="E135" i="3"/>
  <c r="F135" i="3" s="1"/>
  <c r="E168" i="3"/>
  <c r="F168" i="3" s="1"/>
  <c r="E48" i="3"/>
  <c r="F48" i="3" s="1"/>
  <c r="E184" i="3"/>
  <c r="F184" i="3" s="1"/>
  <c r="E95" i="3"/>
  <c r="F95" i="3" s="1"/>
  <c r="E146" i="3"/>
  <c r="F146" i="3" s="1"/>
  <c r="E211" i="3"/>
  <c r="F211" i="3" s="1"/>
  <c r="E108" i="3"/>
  <c r="F108" i="3" s="1"/>
  <c r="E188" i="3"/>
  <c r="F188" i="3" s="1"/>
  <c r="E93" i="3"/>
  <c r="F93" i="3" s="1"/>
  <c r="E173" i="3"/>
  <c r="F173" i="3" s="1"/>
  <c r="E30" i="3"/>
  <c r="F30" i="3" s="1"/>
  <c r="E110" i="3"/>
  <c r="F110" i="3" s="1"/>
  <c r="E190" i="3"/>
  <c r="F190" i="3" s="1"/>
  <c r="E167" i="3"/>
  <c r="F167" i="3" s="1"/>
  <c r="E16" i="3"/>
  <c r="F16" i="3" s="1"/>
  <c r="E240" i="3"/>
  <c r="F240" i="3" s="1"/>
  <c r="E248" i="3"/>
  <c r="F248" i="3" s="1"/>
  <c r="E127" i="3"/>
  <c r="F127" i="3" s="1"/>
  <c r="E59" i="3"/>
  <c r="F59" i="3" s="1"/>
  <c r="E36" i="3"/>
  <c r="F36" i="3" s="1"/>
  <c r="E116" i="3"/>
  <c r="F116" i="3" s="1"/>
  <c r="E196" i="3"/>
  <c r="F196" i="3" s="1"/>
  <c r="E21" i="3"/>
  <c r="F21" i="3" s="1"/>
  <c r="E101" i="3"/>
  <c r="F101" i="3" s="1"/>
  <c r="E181" i="3"/>
  <c r="F181" i="3" s="1"/>
  <c r="E38" i="3"/>
  <c r="F38" i="3" s="1"/>
  <c r="E118" i="3"/>
  <c r="F118" i="3" s="1"/>
  <c r="E198" i="3"/>
  <c r="F198" i="3" s="1"/>
  <c r="E80" i="3"/>
  <c r="F80" i="3" s="1"/>
  <c r="E144" i="3"/>
  <c r="F144" i="3" s="1"/>
  <c r="E160" i="3"/>
  <c r="F160" i="3" s="1"/>
  <c r="E24" i="3"/>
  <c r="F24" i="3" s="1"/>
  <c r="E32" i="3"/>
  <c r="F32" i="3" s="1"/>
  <c r="E119" i="3"/>
  <c r="F119" i="3" s="1"/>
  <c r="E44" i="3"/>
  <c r="F44" i="3" s="1"/>
  <c r="E204" i="3"/>
  <c r="F204" i="3" s="1"/>
  <c r="E29" i="3"/>
  <c r="F29" i="3" s="1"/>
  <c r="E109" i="3"/>
  <c r="F109" i="3" s="1"/>
  <c r="E189" i="3"/>
  <c r="F189" i="3" s="1"/>
  <c r="E46" i="3"/>
  <c r="F46" i="3" s="1"/>
  <c r="E126" i="3"/>
  <c r="F126" i="3" s="1"/>
  <c r="E254" i="3"/>
  <c r="F254" i="3" s="1"/>
  <c r="E176" i="3"/>
  <c r="F176" i="3" s="1"/>
  <c r="E128" i="3"/>
  <c r="F128" i="3" s="1"/>
  <c r="E112" i="3"/>
  <c r="F112" i="3" s="1"/>
  <c r="E56" i="3"/>
  <c r="F56" i="3" s="1"/>
  <c r="E129" i="3"/>
  <c r="F129" i="3" s="1"/>
  <c r="E122" i="3"/>
  <c r="F122" i="3" s="1"/>
  <c r="E107" i="3"/>
  <c r="F107" i="3" s="1"/>
  <c r="E164" i="3"/>
  <c r="F164" i="3" s="1"/>
  <c r="E143" i="3"/>
  <c r="F143" i="3" s="1"/>
  <c r="E217" i="3"/>
  <c r="F217" i="3" s="1"/>
  <c r="E130" i="3"/>
  <c r="F130" i="3" s="1"/>
  <c r="E172" i="3"/>
  <c r="F172" i="3" s="1"/>
  <c r="E77" i="3"/>
  <c r="F77" i="3" s="1"/>
  <c r="E157" i="3"/>
  <c r="F157" i="3" s="1"/>
  <c r="E174" i="3"/>
  <c r="F174" i="3" s="1"/>
  <c r="E136" i="3"/>
  <c r="F136" i="3" s="1"/>
  <c r="E145" i="3"/>
  <c r="F145" i="3" s="1"/>
  <c r="E138" i="3"/>
  <c r="F138" i="3" s="1"/>
  <c r="E233" i="3"/>
  <c r="F233" i="3" s="1"/>
  <c r="E226" i="3"/>
  <c r="F226" i="3" s="1"/>
  <c r="E81" i="3"/>
  <c r="F81" i="3" s="1"/>
  <c r="E74" i="3"/>
  <c r="F74" i="3" s="1"/>
  <c r="E219" i="3"/>
  <c r="F219" i="3" s="1"/>
  <c r="E169" i="3"/>
  <c r="F169" i="3" s="1"/>
  <c r="E242" i="3"/>
  <c r="F242" i="3" s="1"/>
  <c r="E177" i="3"/>
  <c r="F177" i="3" s="1"/>
  <c r="E170" i="3"/>
  <c r="F170" i="3" s="1"/>
  <c r="E207" i="3"/>
  <c r="F207" i="3" s="1"/>
  <c r="E235" i="3"/>
  <c r="F235" i="3" s="1"/>
  <c r="E212" i="3"/>
  <c r="F212" i="3" s="1"/>
  <c r="E197" i="3"/>
  <c r="F197" i="3" s="1"/>
  <c r="E183" i="3"/>
  <c r="F183" i="3" s="1"/>
  <c r="E88" i="3"/>
  <c r="F88" i="3" s="1"/>
  <c r="E105" i="3"/>
  <c r="F105" i="3" s="1"/>
  <c r="E185" i="3"/>
  <c r="F185" i="3" s="1"/>
  <c r="E18" i="3"/>
  <c r="F18" i="3" s="1"/>
  <c r="E98" i="3"/>
  <c r="F98" i="3" s="1"/>
  <c r="E178" i="3"/>
  <c r="F178" i="3" s="1"/>
  <c r="E255" i="3"/>
  <c r="F255" i="3" s="1"/>
  <c r="E83" i="3"/>
  <c r="F83" i="3" s="1"/>
  <c r="E163" i="3"/>
  <c r="F163" i="3" s="1"/>
  <c r="E251" i="3"/>
  <c r="F251" i="3" s="1"/>
  <c r="E60" i="3"/>
  <c r="F60" i="3" s="1"/>
  <c r="E140" i="3"/>
  <c r="F140" i="3" s="1"/>
  <c r="E220" i="3"/>
  <c r="F220" i="3" s="1"/>
  <c r="E45" i="3"/>
  <c r="F45" i="3" s="1"/>
  <c r="E125" i="3"/>
  <c r="F125" i="3" s="1"/>
  <c r="E205" i="3"/>
  <c r="F205" i="3" s="1"/>
  <c r="E62" i="3"/>
  <c r="F62" i="3" s="1"/>
  <c r="E142" i="3"/>
  <c r="F142" i="3" s="1"/>
  <c r="E215" i="3"/>
  <c r="F215" i="3" s="1"/>
  <c r="E8" i="3"/>
  <c r="F8" i="3" s="1"/>
  <c r="E47" i="3"/>
  <c r="F47" i="3" s="1"/>
  <c r="E23" i="3"/>
  <c r="F23" i="3" s="1"/>
  <c r="E120" i="3"/>
  <c r="F120" i="3" s="1"/>
  <c r="E209" i="3"/>
  <c r="F209" i="3" s="1"/>
  <c r="E202" i="3"/>
  <c r="F202" i="3" s="1"/>
  <c r="E231" i="3"/>
  <c r="F231" i="3" s="1"/>
  <c r="E86" i="3"/>
  <c r="F86" i="3" s="1"/>
  <c r="E195" i="3"/>
  <c r="F195" i="3" s="1"/>
  <c r="E92" i="3"/>
  <c r="F92" i="3" s="1"/>
  <c r="E263" i="3"/>
  <c r="F263" i="3" s="1"/>
  <c r="E94" i="3"/>
  <c r="F94" i="3" s="1"/>
  <c r="E175" i="3"/>
  <c r="F175" i="3" s="1"/>
  <c r="E151" i="3"/>
  <c r="F151" i="3" s="1"/>
  <c r="E65" i="3"/>
  <c r="F65" i="3" s="1"/>
  <c r="E225" i="3"/>
  <c r="F225" i="3" s="1"/>
  <c r="E218" i="3"/>
  <c r="F218" i="3" s="1"/>
  <c r="E153" i="3"/>
  <c r="F153" i="3" s="1"/>
  <c r="E51" i="3"/>
  <c r="F51" i="3" s="1"/>
  <c r="E241" i="3"/>
  <c r="F241" i="3" s="1"/>
  <c r="E234" i="3"/>
  <c r="F234" i="3" s="1"/>
  <c r="E82" i="3"/>
  <c r="F82" i="3" s="1"/>
  <c r="E162" i="3"/>
  <c r="F162" i="3" s="1"/>
  <c r="E147" i="3"/>
  <c r="F147" i="3" s="1"/>
  <c r="E75" i="3"/>
  <c r="F75" i="3" s="1"/>
  <c r="E52" i="3"/>
  <c r="F52" i="3" s="1"/>
  <c r="E132" i="3"/>
  <c r="F132" i="3" s="1"/>
  <c r="E117" i="3"/>
  <c r="F117" i="3" s="1"/>
  <c r="E134" i="3"/>
  <c r="F134" i="3" s="1"/>
  <c r="E15" i="3"/>
  <c r="F15" i="3" s="1"/>
  <c r="E64" i="3"/>
  <c r="F64" i="3" s="1"/>
  <c r="E25" i="3"/>
  <c r="F25" i="3" s="1"/>
  <c r="E33" i="3"/>
  <c r="F33" i="3" s="1"/>
  <c r="E193" i="3"/>
  <c r="F193" i="3" s="1"/>
  <c r="E26" i="3"/>
  <c r="F26" i="3" s="1"/>
  <c r="E106" i="3"/>
  <c r="F106" i="3" s="1"/>
  <c r="E186" i="3"/>
  <c r="F186" i="3" s="1"/>
  <c r="E11" i="3"/>
  <c r="F11" i="3" s="1"/>
  <c r="E91" i="3"/>
  <c r="F91" i="3" s="1"/>
  <c r="E171" i="3"/>
  <c r="F171" i="3" s="1"/>
  <c r="E259" i="3"/>
  <c r="F259" i="3" s="1"/>
  <c r="E68" i="3"/>
  <c r="F68" i="3" s="1"/>
  <c r="E148" i="3"/>
  <c r="F148" i="3" s="1"/>
  <c r="E260" i="3"/>
  <c r="F260" i="3" s="1"/>
  <c r="E53" i="3"/>
  <c r="F53" i="3" s="1"/>
  <c r="E133" i="3"/>
  <c r="F133" i="3" s="1"/>
  <c r="E221" i="3"/>
  <c r="F221" i="3" s="1"/>
  <c r="E70" i="3"/>
  <c r="F70" i="3" s="1"/>
  <c r="E150" i="3"/>
  <c r="F150" i="3" s="1"/>
  <c r="E7" i="3"/>
  <c r="F7" i="3" s="1"/>
  <c r="E40" i="3"/>
  <c r="F40" i="3" s="1"/>
  <c r="E79" i="3"/>
  <c r="F79" i="3" s="1"/>
  <c r="E55" i="3"/>
  <c r="F55" i="3" s="1"/>
  <c r="E152" i="3"/>
  <c r="F152" i="3" s="1"/>
  <c r="E187" i="3"/>
  <c r="F187" i="3" s="1"/>
  <c r="E149" i="3"/>
  <c r="F149" i="3" s="1"/>
  <c r="E104" i="3"/>
  <c r="F104" i="3" s="1"/>
  <c r="E137" i="3"/>
  <c r="F137" i="3" s="1"/>
  <c r="E210" i="3"/>
  <c r="F210" i="3" s="1"/>
  <c r="E115" i="3"/>
  <c r="F115" i="3" s="1"/>
  <c r="E103" i="3"/>
  <c r="F103" i="3" s="1"/>
  <c r="E63" i="3"/>
  <c r="F63" i="3" s="1"/>
  <c r="E58" i="3"/>
  <c r="F58" i="3" s="1"/>
  <c r="E73" i="3"/>
  <c r="F73" i="3" s="1"/>
  <c r="E66" i="3"/>
  <c r="F66" i="3" s="1"/>
  <c r="E131" i="3"/>
  <c r="F131" i="3" s="1"/>
  <c r="E161" i="3"/>
  <c r="F161" i="3" s="1"/>
  <c r="E154" i="3"/>
  <c r="F154" i="3" s="1"/>
  <c r="E139" i="3"/>
  <c r="F139" i="3" s="1"/>
  <c r="E89" i="3"/>
  <c r="F89" i="3" s="1"/>
  <c r="E249" i="3"/>
  <c r="F249" i="3" s="1"/>
  <c r="E67" i="3"/>
  <c r="F67" i="3" s="1"/>
  <c r="E227" i="3"/>
  <c r="F227" i="3" s="1"/>
  <c r="E124" i="3"/>
  <c r="F124" i="3" s="1"/>
  <c r="E97" i="3"/>
  <c r="F97" i="3" s="1"/>
  <c r="E90" i="3"/>
  <c r="F90" i="3" s="1"/>
  <c r="E155" i="3"/>
  <c r="F155" i="3" s="1"/>
  <c r="E37" i="3"/>
  <c r="F37" i="3" s="1"/>
  <c r="E54" i="3"/>
  <c r="F54" i="3" s="1"/>
  <c r="E96" i="3"/>
  <c r="F96" i="3" s="1"/>
  <c r="E113" i="3"/>
  <c r="F113" i="3" s="1"/>
  <c r="E41" i="3"/>
  <c r="F41" i="3" s="1"/>
  <c r="E121" i="3"/>
  <c r="F121" i="3" s="1"/>
  <c r="E201" i="3"/>
  <c r="F201" i="3" s="1"/>
  <c r="E34" i="3"/>
  <c r="F34" i="3" s="1"/>
  <c r="E114" i="3"/>
  <c r="F114" i="3" s="1"/>
  <c r="E194" i="3"/>
  <c r="F194" i="3" s="1"/>
  <c r="E19" i="3"/>
  <c r="F19" i="3" s="1"/>
  <c r="E99" i="3"/>
  <c r="F99" i="3" s="1"/>
  <c r="E179" i="3"/>
  <c r="F179" i="3" s="1"/>
  <c r="E191" i="3"/>
  <c r="F191" i="3" s="1"/>
  <c r="E76" i="3"/>
  <c r="F76" i="3" s="1"/>
  <c r="E156" i="3"/>
  <c r="F156" i="3" s="1"/>
  <c r="E199" i="3"/>
  <c r="F199" i="3" s="1"/>
  <c r="E61" i="3"/>
  <c r="F61" i="3" s="1"/>
  <c r="E141" i="3"/>
  <c r="F141" i="3" s="1"/>
  <c r="E229" i="3"/>
  <c r="F229" i="3" s="1"/>
  <c r="E78" i="3"/>
  <c r="F78" i="3" s="1"/>
  <c r="E158" i="3"/>
  <c r="F158" i="3" s="1"/>
  <c r="E39" i="3"/>
  <c r="F39" i="3" s="1"/>
  <c r="E72" i="3"/>
  <c r="F72" i="3" s="1"/>
  <c r="E111" i="3"/>
  <c r="F111" i="3" s="1"/>
  <c r="E87" i="3"/>
  <c r="F87" i="3" s="1"/>
  <c r="E192" i="3"/>
  <c r="F192" i="3" s="1"/>
  <c r="E264" i="3"/>
  <c r="F264" i="3" s="1"/>
  <c r="E243" i="3"/>
  <c r="F243" i="3" s="1"/>
  <c r="E213" i="3"/>
  <c r="F213" i="3" s="1"/>
  <c r="E262" i="3"/>
  <c r="F262" i="3" s="1"/>
  <c r="E216" i="3"/>
  <c r="F216" i="3" s="1"/>
  <c r="E224" i="3"/>
  <c r="F224" i="3" s="1"/>
  <c r="E232" i="3"/>
  <c r="F232" i="3" s="1"/>
  <c r="F269" i="2"/>
  <c r="G269" i="2" s="1"/>
  <c r="E257" i="3"/>
  <c r="F257" i="3" s="1"/>
  <c r="E267" i="3"/>
  <c r="F267" i="3" s="1"/>
  <c r="E237" i="3"/>
  <c r="F237" i="3" s="1"/>
  <c r="E206" i="3"/>
  <c r="F206" i="3" s="1"/>
  <c r="E247" i="3"/>
  <c r="F247" i="3" s="1"/>
  <c r="E208" i="3"/>
  <c r="F208" i="3" s="1"/>
  <c r="E265" i="3"/>
  <c r="F265" i="3" s="1"/>
  <c r="E245" i="3"/>
  <c r="F245" i="3" s="1"/>
  <c r="E214" i="3"/>
  <c r="F214" i="3" s="1"/>
  <c r="E159" i="3"/>
  <c r="F159" i="3" s="1"/>
  <c r="E250" i="3"/>
  <c r="F250" i="3" s="1"/>
  <c r="E239" i="3"/>
  <c r="F239" i="3" s="1"/>
  <c r="E228" i="3"/>
  <c r="F228" i="3" s="1"/>
  <c r="E253" i="3"/>
  <c r="F253" i="3" s="1"/>
  <c r="E222" i="3"/>
  <c r="F222" i="3" s="1"/>
  <c r="E200" i="3"/>
  <c r="F200" i="3" s="1"/>
  <c r="E258" i="3"/>
  <c r="F258" i="3" s="1"/>
  <c r="E256" i="3"/>
  <c r="F256" i="3" s="1"/>
  <c r="E236" i="3"/>
  <c r="F236" i="3" s="1"/>
  <c r="E261" i="3"/>
  <c r="F261" i="3" s="1"/>
  <c r="E230" i="3"/>
  <c r="F230" i="3" s="1"/>
  <c r="E266" i="3"/>
  <c r="F266" i="3" s="1"/>
  <c r="E244" i="3"/>
  <c r="F244" i="3" s="1"/>
  <c r="E223" i="3"/>
  <c r="F223" i="3" s="1"/>
  <c r="E238" i="3"/>
  <c r="F238" i="3" s="1"/>
  <c r="E270" i="2"/>
  <c r="E252" i="3"/>
  <c r="F252" i="3" s="1"/>
  <c r="E246" i="3"/>
  <c r="F246" i="3" s="1"/>
  <c r="G14" i="4"/>
  <c r="H14" i="4" s="1"/>
  <c r="I14" i="4" s="1"/>
  <c r="F14" i="4"/>
  <c r="G15" i="4"/>
  <c r="H15" i="4" s="1"/>
  <c r="I15" i="4" s="1"/>
  <c r="D15" i="4"/>
  <c r="E14" i="9" l="1"/>
  <c r="D14" i="9"/>
  <c r="F15" i="9" s="1"/>
  <c r="G15" i="9" s="1"/>
  <c r="H15" i="9" s="1"/>
  <c r="E268" i="3"/>
  <c r="F268" i="3" s="1"/>
  <c r="I9" i="3"/>
  <c r="J9" i="3" s="1"/>
  <c r="E269" i="3"/>
  <c r="F269" i="3" s="1"/>
  <c r="F270" i="2"/>
  <c r="G270" i="2" s="1"/>
  <c r="E271" i="2"/>
  <c r="E15" i="4"/>
  <c r="D16" i="4" s="1"/>
  <c r="F15" i="4"/>
  <c r="E270" i="3"/>
  <c r="F270" i="3" s="1"/>
  <c r="C15" i="9" l="1"/>
  <c r="E272" i="2"/>
  <c r="F271" i="2"/>
  <c r="G271" i="2" s="1"/>
  <c r="E16" i="4"/>
  <c r="D17" i="4" s="1"/>
  <c r="F16" i="4"/>
  <c r="G16" i="4"/>
  <c r="H16" i="4" s="1"/>
  <c r="I16" i="4" s="1"/>
  <c r="E271" i="3"/>
  <c r="F271" i="3" s="1"/>
  <c r="D15" i="9" l="1"/>
  <c r="F16" i="9" s="1"/>
  <c r="G16" i="9" s="1"/>
  <c r="H16" i="9" s="1"/>
  <c r="E15" i="9"/>
  <c r="F272" i="2"/>
  <c r="G272" i="2" s="1"/>
  <c r="E273" i="2"/>
  <c r="F17" i="4"/>
  <c r="E17" i="4"/>
  <c r="G18" i="4" s="1"/>
  <c r="H18" i="4" s="1"/>
  <c r="I18" i="4" s="1"/>
  <c r="G17" i="4"/>
  <c r="H17" i="4" s="1"/>
  <c r="I17" i="4" s="1"/>
  <c r="E272" i="3"/>
  <c r="F272" i="3" s="1"/>
  <c r="C16" i="9" l="1"/>
  <c r="E16" i="9" s="1"/>
  <c r="D16" i="9"/>
  <c r="F17" i="9" s="1"/>
  <c r="G17" i="9" s="1"/>
  <c r="H17" i="9" s="1"/>
  <c r="F273" i="2"/>
  <c r="G273" i="2" s="1"/>
  <c r="E274" i="2"/>
  <c r="F274" i="2"/>
  <c r="G274" i="2" s="1"/>
  <c r="D18" i="4"/>
  <c r="E273" i="3"/>
  <c r="F273" i="3" s="1"/>
  <c r="C17" i="9" l="1"/>
  <c r="E17" i="9" s="1"/>
  <c r="D274" i="2"/>
  <c r="E275" i="2"/>
  <c r="D275" i="2" s="1"/>
  <c r="E18" i="4"/>
  <c r="G19" i="4" s="1"/>
  <c r="H19" i="4" s="1"/>
  <c r="I19" i="4" s="1"/>
  <c r="F18" i="4"/>
  <c r="E274" i="3"/>
  <c r="F274" i="3" s="1"/>
  <c r="D17" i="9" l="1"/>
  <c r="F18" i="9" s="1"/>
  <c r="G18" i="9" s="1"/>
  <c r="H18" i="9" s="1"/>
  <c r="F275" i="2"/>
  <c r="G275" i="2" s="1"/>
  <c r="E276" i="2"/>
  <c r="D19" i="4"/>
  <c r="E19" i="4" s="1"/>
  <c r="G20" i="4" s="1"/>
  <c r="H20" i="4" s="1"/>
  <c r="I20" i="4" s="1"/>
  <c r="E276" i="3"/>
  <c r="F276" i="3" s="1"/>
  <c r="E275" i="3"/>
  <c r="F275" i="3" s="1"/>
  <c r="C18" i="9" l="1"/>
  <c r="F276" i="2"/>
  <c r="G276" i="2" s="1"/>
  <c r="J9" i="2" s="1"/>
  <c r="K9" i="2" s="1"/>
  <c r="M13" i="2" s="1"/>
  <c r="F19" i="4"/>
  <c r="D20" i="4"/>
  <c r="E20" i="4" s="1"/>
  <c r="I10" i="3"/>
  <c r="J10" i="3" s="1"/>
  <c r="D18" i="9" l="1"/>
  <c r="E18" i="9"/>
  <c r="F20" i="4"/>
  <c r="G21" i="4"/>
  <c r="H21" i="4" s="1"/>
  <c r="I21" i="4" s="1"/>
  <c r="D21" i="4"/>
  <c r="F19" i="9" l="1"/>
  <c r="G19" i="9" s="1"/>
  <c r="H19" i="9" s="1"/>
  <c r="C19" i="9"/>
  <c r="E21" i="4"/>
  <c r="G22" i="4" s="1"/>
  <c r="H22" i="4" s="1"/>
  <c r="I22" i="4" s="1"/>
  <c r="F21" i="4"/>
  <c r="E19" i="9" l="1"/>
  <c r="D19" i="9"/>
  <c r="F20" i="9" s="1"/>
  <c r="G20" i="9" s="1"/>
  <c r="H20" i="9" s="1"/>
  <c r="D22" i="4"/>
  <c r="C20" i="9" l="1"/>
  <c r="D20" i="9" s="1"/>
  <c r="E22" i="4"/>
  <c r="F22" i="4"/>
  <c r="E20" i="9" l="1"/>
  <c r="F21" i="9"/>
  <c r="G21" i="9" s="1"/>
  <c r="H21" i="9" s="1"/>
  <c r="C21" i="9"/>
  <c r="G23" i="4"/>
  <c r="H23" i="4" s="1"/>
  <c r="I23" i="4" s="1"/>
  <c r="D23" i="4"/>
  <c r="D21" i="9" l="1"/>
  <c r="E21" i="9"/>
  <c r="F23" i="4"/>
  <c r="E23" i="4"/>
  <c r="F22" i="9" l="1"/>
  <c r="G22" i="9" s="1"/>
  <c r="H22" i="9" s="1"/>
  <c r="C22" i="9"/>
  <c r="G24" i="4"/>
  <c r="H24" i="4" s="1"/>
  <c r="I24" i="4" s="1"/>
  <c r="D24" i="4"/>
  <c r="E22" i="9" l="1"/>
  <c r="D22" i="9"/>
  <c r="F24" i="4"/>
  <c r="E24" i="4"/>
  <c r="D25" i="4" s="1"/>
  <c r="F23" i="9" l="1"/>
  <c r="G23" i="9" s="1"/>
  <c r="H23" i="9" s="1"/>
  <c r="C23" i="9"/>
  <c r="E25" i="4"/>
  <c r="G26" i="4" s="1"/>
  <c r="H26" i="4" s="1"/>
  <c r="I26" i="4" s="1"/>
  <c r="F25" i="4"/>
  <c r="G25" i="4"/>
  <c r="H25" i="4" s="1"/>
  <c r="I25" i="4" s="1"/>
  <c r="E23" i="9" l="1"/>
  <c r="D23" i="9"/>
  <c r="F24" i="9" s="1"/>
  <c r="G24" i="9" s="1"/>
  <c r="H24" i="9" s="1"/>
  <c r="D26" i="4"/>
  <c r="E26" i="4" s="1"/>
  <c r="C24" i="9" l="1"/>
  <c r="D24" i="9" s="1"/>
  <c r="F25" i="9" s="1"/>
  <c r="G25" i="9" s="1"/>
  <c r="H25" i="9" s="1"/>
  <c r="F26" i="4"/>
  <c r="G27" i="4"/>
  <c r="H27" i="4" s="1"/>
  <c r="I27" i="4" s="1"/>
  <c r="D27" i="4"/>
  <c r="E24" i="9" l="1"/>
  <c r="C25" i="9"/>
  <c r="D25" i="9" s="1"/>
  <c r="C26" i="9" s="1"/>
  <c r="E25" i="9"/>
  <c r="F27" i="4"/>
  <c r="E27" i="4"/>
  <c r="G28" i="4" s="1"/>
  <c r="H28" i="4" s="1"/>
  <c r="I28" i="4" s="1"/>
  <c r="F26" i="9" l="1"/>
  <c r="G26" i="9" s="1"/>
  <c r="H26" i="9" s="1"/>
  <c r="E26" i="9"/>
  <c r="D26" i="9"/>
  <c r="F27" i="9" s="1"/>
  <c r="G27" i="9" s="1"/>
  <c r="H27" i="9" s="1"/>
  <c r="D28" i="4"/>
  <c r="F28" i="4" s="1"/>
  <c r="C27" i="9" l="1"/>
  <c r="E27" i="9" s="1"/>
  <c r="E28" i="4"/>
  <c r="G29" i="4" s="1"/>
  <c r="H29" i="4" s="1"/>
  <c r="I29" i="4" s="1"/>
  <c r="D27" i="9" l="1"/>
  <c r="F28" i="9"/>
  <c r="G28" i="9" s="1"/>
  <c r="H28" i="9" s="1"/>
  <c r="C28" i="9"/>
  <c r="D29" i="4"/>
  <c r="E29" i="4" s="1"/>
  <c r="G30" i="4" s="1"/>
  <c r="H30" i="4" s="1"/>
  <c r="I30" i="4" s="1"/>
  <c r="E28" i="9" l="1"/>
  <c r="D28" i="9"/>
  <c r="F29" i="9" s="1"/>
  <c r="G29" i="9" s="1"/>
  <c r="H29" i="9" s="1"/>
  <c r="F29" i="4"/>
  <c r="D30" i="4"/>
  <c r="E30" i="4" s="1"/>
  <c r="C29" i="9" l="1"/>
  <c r="F30" i="4"/>
  <c r="G31" i="4"/>
  <c r="H31" i="4" s="1"/>
  <c r="I31" i="4" s="1"/>
  <c r="D31" i="4"/>
  <c r="F31" i="4" s="1"/>
  <c r="E29" i="9" l="1"/>
  <c r="D29" i="9"/>
  <c r="F30" i="9" s="1"/>
  <c r="G30" i="9" s="1"/>
  <c r="H30" i="9" s="1"/>
  <c r="E31" i="4"/>
  <c r="G32" i="4" s="1"/>
  <c r="H32" i="4" s="1"/>
  <c r="I32" i="4" s="1"/>
  <c r="C30" i="9" l="1"/>
  <c r="E30" i="9" s="1"/>
  <c r="D32" i="4"/>
  <c r="E32" i="4" s="1"/>
  <c r="G33" i="4" s="1"/>
  <c r="H33" i="4" s="1"/>
  <c r="I33" i="4" s="1"/>
  <c r="D30" i="9" l="1"/>
  <c r="C31" i="9" s="1"/>
  <c r="E31" i="9" s="1"/>
  <c r="D31" i="9"/>
  <c r="F32" i="9" s="1"/>
  <c r="G32" i="9" s="1"/>
  <c r="H32" i="9" s="1"/>
  <c r="F32" i="4"/>
  <c r="D33" i="4"/>
  <c r="E33" i="4" s="1"/>
  <c r="G34" i="4" s="1"/>
  <c r="H34" i="4" s="1"/>
  <c r="I34" i="4" s="1"/>
  <c r="C32" i="9" l="1"/>
  <c r="E32" i="9" s="1"/>
  <c r="F31" i="9"/>
  <c r="G31" i="9" s="1"/>
  <c r="H31" i="9" s="1"/>
  <c r="D32" i="9"/>
  <c r="F33" i="9" s="1"/>
  <c r="G33" i="9" s="1"/>
  <c r="H33" i="9" s="1"/>
  <c r="D34" i="4"/>
  <c r="F34" i="4" s="1"/>
  <c r="F33" i="4"/>
  <c r="C33" i="9" l="1"/>
  <c r="E33" i="9" s="1"/>
  <c r="D33" i="9"/>
  <c r="C34" i="9" s="1"/>
  <c r="E34" i="4"/>
  <c r="G35" i="4" s="1"/>
  <c r="H35" i="4" s="1"/>
  <c r="I35" i="4" s="1"/>
  <c r="F34" i="9" l="1"/>
  <c r="G34" i="9" s="1"/>
  <c r="H34" i="9" s="1"/>
  <c r="E34" i="9"/>
  <c r="D34" i="9"/>
  <c r="D35" i="4"/>
  <c r="E35" i="4" s="1"/>
  <c r="G36" i="4" s="1"/>
  <c r="H36" i="4" s="1"/>
  <c r="I36" i="4" s="1"/>
  <c r="F35" i="9" l="1"/>
  <c r="G35" i="9" s="1"/>
  <c r="H35" i="9" s="1"/>
  <c r="C35" i="9"/>
  <c r="F35" i="4"/>
  <c r="D36" i="4"/>
  <c r="E35" i="9" l="1"/>
  <c r="D35" i="9"/>
  <c r="C36" i="9" s="1"/>
  <c r="F36" i="4"/>
  <c r="E36" i="4"/>
  <c r="E36" i="9" l="1"/>
  <c r="D36" i="9"/>
  <c r="F37" i="9" s="1"/>
  <c r="G37" i="9" s="1"/>
  <c r="H37" i="9" s="1"/>
  <c r="C37" i="9"/>
  <c r="F36" i="9"/>
  <c r="G36" i="9" s="1"/>
  <c r="H36" i="9" s="1"/>
  <c r="G37" i="4"/>
  <c r="H37" i="4" s="1"/>
  <c r="I37" i="4" s="1"/>
  <c r="D37" i="4"/>
  <c r="E37" i="9" l="1"/>
  <c r="D37" i="9"/>
  <c r="F38" i="9" s="1"/>
  <c r="G38" i="9" s="1"/>
  <c r="H38" i="9" s="1"/>
  <c r="F37" i="4"/>
  <c r="E37" i="4"/>
  <c r="C38" i="9" l="1"/>
  <c r="E38" i="9" s="1"/>
  <c r="D38" i="9"/>
  <c r="F39" i="9" s="1"/>
  <c r="G39" i="9" s="1"/>
  <c r="H39" i="9" s="1"/>
  <c r="D38" i="4"/>
  <c r="G38" i="4"/>
  <c r="H38" i="4" s="1"/>
  <c r="I38" i="4" s="1"/>
  <c r="C39" i="9" l="1"/>
  <c r="D39" i="9" s="1"/>
  <c r="F40" i="9" s="1"/>
  <c r="G40" i="9" s="1"/>
  <c r="H40" i="9" s="1"/>
  <c r="E38" i="4"/>
  <c r="G39" i="4" s="1"/>
  <c r="H39" i="4" s="1"/>
  <c r="I39" i="4" s="1"/>
  <c r="F38" i="4"/>
  <c r="C40" i="9" l="1"/>
  <c r="E40" i="9" s="1"/>
  <c r="E39" i="9"/>
  <c r="D39" i="4"/>
  <c r="E39" i="4" s="1"/>
  <c r="D40" i="9" l="1"/>
  <c r="F41" i="9"/>
  <c r="G41" i="9" s="1"/>
  <c r="H41" i="9" s="1"/>
  <c r="C41" i="9"/>
  <c r="F39" i="4"/>
  <c r="D40" i="4"/>
  <c r="G40" i="4"/>
  <c r="H40" i="4" s="1"/>
  <c r="I40" i="4" s="1"/>
  <c r="D41" i="9" l="1"/>
  <c r="F42" i="9" s="1"/>
  <c r="G42" i="9" s="1"/>
  <c r="H42" i="9" s="1"/>
  <c r="E41" i="9"/>
  <c r="F40" i="4"/>
  <c r="E40" i="4"/>
  <c r="G41" i="4" s="1"/>
  <c r="H41" i="4" s="1"/>
  <c r="I41" i="4" s="1"/>
  <c r="C42" i="9" l="1"/>
  <c r="D41" i="4"/>
  <c r="F41" i="4" s="1"/>
  <c r="D42" i="9" l="1"/>
  <c r="F43" i="9" s="1"/>
  <c r="G43" i="9" s="1"/>
  <c r="H43" i="9" s="1"/>
  <c r="E42" i="9"/>
  <c r="E41" i="4"/>
  <c r="G42" i="4" s="1"/>
  <c r="H42" i="4" s="1"/>
  <c r="I42" i="4" s="1"/>
  <c r="C43" i="9" l="1"/>
  <c r="D43" i="9" s="1"/>
  <c r="D42" i="4"/>
  <c r="E43" i="9" l="1"/>
  <c r="F44" i="9"/>
  <c r="G44" i="9" s="1"/>
  <c r="H44" i="9" s="1"/>
  <c r="C44" i="9"/>
  <c r="E44" i="9" s="1"/>
  <c r="E42" i="4"/>
  <c r="F42" i="4"/>
  <c r="D44" i="9" l="1"/>
  <c r="F45" i="9" s="1"/>
  <c r="G45" i="9" s="1"/>
  <c r="H45" i="9" s="1"/>
  <c r="C45" i="9"/>
  <c r="E45" i="9" s="1"/>
  <c r="D43" i="4"/>
  <c r="G43" i="4"/>
  <c r="H43" i="4" s="1"/>
  <c r="I43" i="4" s="1"/>
  <c r="D45" i="9" l="1"/>
  <c r="C46" i="9" s="1"/>
  <c r="E46" i="9" s="1"/>
  <c r="F46" i="9"/>
  <c r="G46" i="9" s="1"/>
  <c r="H46" i="9" s="1"/>
  <c r="F43" i="4"/>
  <c r="E43" i="4"/>
  <c r="D46" i="9" l="1"/>
  <c r="G44" i="4"/>
  <c r="H44" i="4" s="1"/>
  <c r="I44" i="4" s="1"/>
  <c r="D44" i="4"/>
  <c r="F47" i="9" l="1"/>
  <c r="G47" i="9" s="1"/>
  <c r="H47" i="9" s="1"/>
  <c r="C47" i="9"/>
  <c r="F44" i="4"/>
  <c r="E44" i="4"/>
  <c r="G45" i="4" s="1"/>
  <c r="H45" i="4" s="1"/>
  <c r="I45" i="4" s="1"/>
  <c r="E47" i="9" l="1"/>
  <c r="D47" i="9"/>
  <c r="D45" i="4"/>
  <c r="E45" i="4"/>
  <c r="F45" i="4"/>
  <c r="F48" i="9" l="1"/>
  <c r="G48" i="9" s="1"/>
  <c r="H48" i="9" s="1"/>
  <c r="C48" i="9"/>
  <c r="G46" i="4"/>
  <c r="H46" i="4" s="1"/>
  <c r="I46" i="4" s="1"/>
  <c r="D46" i="4"/>
  <c r="D48" i="9" l="1"/>
  <c r="C49" i="9" s="1"/>
  <c r="E48" i="9"/>
  <c r="F49" i="9"/>
  <c r="G49" i="9" s="1"/>
  <c r="H49" i="9" s="1"/>
  <c r="F46" i="4"/>
  <c r="E46" i="4"/>
  <c r="G47" i="4" s="1"/>
  <c r="H47" i="4" s="1"/>
  <c r="I47" i="4" s="1"/>
  <c r="E49" i="9" l="1"/>
  <c r="D49" i="9"/>
  <c r="D47" i="4"/>
  <c r="E47" i="4" s="1"/>
  <c r="D48" i="4" s="1"/>
  <c r="F50" i="9" l="1"/>
  <c r="G50" i="9" s="1"/>
  <c r="H50" i="9" s="1"/>
  <c r="C50" i="9"/>
  <c r="F47" i="4"/>
  <c r="F48" i="4"/>
  <c r="E48" i="4"/>
  <c r="G49" i="4" s="1"/>
  <c r="H49" i="4" s="1"/>
  <c r="I49" i="4" s="1"/>
  <c r="G48" i="4"/>
  <c r="H48" i="4" s="1"/>
  <c r="I48" i="4" s="1"/>
  <c r="E50" i="9" l="1"/>
  <c r="D50" i="9"/>
  <c r="D49" i="4"/>
  <c r="C51" i="9" l="1"/>
  <c r="F51" i="9"/>
  <c r="G51" i="9" s="1"/>
  <c r="H51" i="9" s="1"/>
  <c r="F49" i="4"/>
  <c r="E49" i="4"/>
  <c r="G50" i="4" s="1"/>
  <c r="H50" i="4" s="1"/>
  <c r="I50" i="4" s="1"/>
  <c r="E51" i="9" l="1"/>
  <c r="D51" i="9"/>
  <c r="F52" i="9" s="1"/>
  <c r="G52" i="9" s="1"/>
  <c r="H52" i="9" s="1"/>
  <c r="C52" i="9"/>
  <c r="D50" i="4"/>
  <c r="E50" i="4" s="1"/>
  <c r="D51" i="4" s="1"/>
  <c r="F50" i="4"/>
  <c r="G51" i="4"/>
  <c r="H51" i="4" s="1"/>
  <c r="I51" i="4" s="1"/>
  <c r="D52" i="9" l="1"/>
  <c r="F53" i="9" s="1"/>
  <c r="G53" i="9" s="1"/>
  <c r="H53" i="9" s="1"/>
  <c r="E52" i="9"/>
  <c r="C53" i="9"/>
  <c r="F51" i="4"/>
  <c r="E51" i="4"/>
  <c r="G52" i="4" s="1"/>
  <c r="H52" i="4" s="1"/>
  <c r="I52" i="4" s="1"/>
  <c r="D53" i="9" l="1"/>
  <c r="F54" i="9" s="1"/>
  <c r="G54" i="9" s="1"/>
  <c r="H54" i="9" s="1"/>
  <c r="C54" i="9"/>
  <c r="E53" i="9"/>
  <c r="D52" i="4"/>
  <c r="E52" i="4" s="1"/>
  <c r="E54" i="9" l="1"/>
  <c r="D54" i="9"/>
  <c r="F52" i="4"/>
  <c r="G53" i="4"/>
  <c r="H53" i="4" s="1"/>
  <c r="I53" i="4" s="1"/>
  <c r="D53" i="4"/>
  <c r="F55" i="9" l="1"/>
  <c r="G55" i="9" s="1"/>
  <c r="H55" i="9" s="1"/>
  <c r="C55" i="9"/>
  <c r="F53" i="4"/>
  <c r="E53" i="4"/>
  <c r="D55" i="9" l="1"/>
  <c r="F56" i="9" s="1"/>
  <c r="G56" i="9" s="1"/>
  <c r="H56" i="9" s="1"/>
  <c r="E55" i="9"/>
  <c r="C56" i="9"/>
  <c r="G54" i="4"/>
  <c r="H54" i="4" s="1"/>
  <c r="I54" i="4" s="1"/>
  <c r="D54" i="4"/>
  <c r="E56" i="9" l="1"/>
  <c r="D56" i="9"/>
  <c r="E54" i="4"/>
  <c r="F54" i="4"/>
  <c r="F57" i="9" l="1"/>
  <c r="G57" i="9" s="1"/>
  <c r="H57" i="9" s="1"/>
  <c r="C57" i="9"/>
  <c r="D55" i="4"/>
  <c r="G55" i="4"/>
  <c r="H55" i="4" s="1"/>
  <c r="I55" i="4" s="1"/>
  <c r="E57" i="9" l="1"/>
  <c r="D57" i="9"/>
  <c r="F55" i="4"/>
  <c r="E55" i="4"/>
  <c r="F58" i="9" l="1"/>
  <c r="G58" i="9" s="1"/>
  <c r="H58" i="9" s="1"/>
  <c r="C58" i="9"/>
  <c r="G56" i="4"/>
  <c r="H56" i="4" s="1"/>
  <c r="I56" i="4" s="1"/>
  <c r="D56" i="4"/>
  <c r="E58" i="9" l="1"/>
  <c r="D58" i="9"/>
  <c r="C59" i="9" s="1"/>
  <c r="F59" i="9"/>
  <c r="G59" i="9" s="1"/>
  <c r="H59" i="9" s="1"/>
  <c r="F56" i="4"/>
  <c r="E56" i="4"/>
  <c r="G57" i="4" s="1"/>
  <c r="H57" i="4" s="1"/>
  <c r="I57" i="4" s="1"/>
  <c r="D59" i="9" l="1"/>
  <c r="E59" i="9"/>
  <c r="D57" i="4"/>
  <c r="F60" i="9" l="1"/>
  <c r="G60" i="9" s="1"/>
  <c r="H60" i="9" s="1"/>
  <c r="C60" i="9"/>
  <c r="E57" i="4"/>
  <c r="D58" i="4" s="1"/>
  <c r="F57" i="4"/>
  <c r="D60" i="9" l="1"/>
  <c r="F61" i="9" s="1"/>
  <c r="G61" i="9" s="1"/>
  <c r="H61" i="9" s="1"/>
  <c r="E60" i="9"/>
  <c r="C61" i="9"/>
  <c r="G58" i="4"/>
  <c r="H58" i="4" s="1"/>
  <c r="I58" i="4" s="1"/>
  <c r="E58" i="4"/>
  <c r="G59" i="4" s="1"/>
  <c r="H59" i="4" s="1"/>
  <c r="I59" i="4" s="1"/>
  <c r="F58" i="4"/>
  <c r="E61" i="9" l="1"/>
  <c r="D61" i="9"/>
  <c r="D59" i="4"/>
  <c r="F59" i="4" s="1"/>
  <c r="F62" i="9" l="1"/>
  <c r="G62" i="9" s="1"/>
  <c r="H62" i="9" s="1"/>
  <c r="C62" i="9"/>
  <c r="E59" i="4"/>
  <c r="G60" i="4" s="1"/>
  <c r="H60" i="4" s="1"/>
  <c r="I60" i="4" s="1"/>
  <c r="D60" i="4"/>
  <c r="E60" i="4" s="1"/>
  <c r="G61" i="4" s="1"/>
  <c r="H61" i="4" s="1"/>
  <c r="I61" i="4" s="1"/>
  <c r="E62" i="9" l="1"/>
  <c r="D62" i="9"/>
  <c r="F63" i="9"/>
  <c r="G63" i="9" s="1"/>
  <c r="H63" i="9" s="1"/>
  <c r="C63" i="9"/>
  <c r="F60" i="4"/>
  <c r="D61" i="4"/>
  <c r="E61" i="4" s="1"/>
  <c r="E63" i="9" l="1"/>
  <c r="D63" i="9"/>
  <c r="F64" i="9" s="1"/>
  <c r="G64" i="9" s="1"/>
  <c r="H64" i="9" s="1"/>
  <c r="C64" i="9"/>
  <c r="F61" i="4"/>
  <c r="G62" i="4"/>
  <c r="H62" i="4" s="1"/>
  <c r="I62" i="4" s="1"/>
  <c r="D62" i="4"/>
  <c r="E62" i="4" s="1"/>
  <c r="G63" i="4" s="1"/>
  <c r="H63" i="4" s="1"/>
  <c r="I63" i="4" s="1"/>
  <c r="E64" i="9" l="1"/>
  <c r="D64" i="9"/>
  <c r="F65" i="9" s="1"/>
  <c r="G65" i="9" s="1"/>
  <c r="H65" i="9" s="1"/>
  <c r="F62" i="4"/>
  <c r="D63" i="4"/>
  <c r="C65" i="9" l="1"/>
  <c r="E63" i="4"/>
  <c r="D64" i="4" s="1"/>
  <c r="F63" i="4"/>
  <c r="D65" i="9" l="1"/>
  <c r="F66" i="9" s="1"/>
  <c r="G66" i="9" s="1"/>
  <c r="H66" i="9" s="1"/>
  <c r="E65" i="9"/>
  <c r="C66" i="9"/>
  <c r="G64" i="4"/>
  <c r="H64" i="4" s="1"/>
  <c r="I64" i="4" s="1"/>
  <c r="E64" i="4"/>
  <c r="G65" i="4" s="1"/>
  <c r="H65" i="4" s="1"/>
  <c r="I65" i="4" s="1"/>
  <c r="F64" i="4"/>
  <c r="D66" i="9" l="1"/>
  <c r="C67" i="9" s="1"/>
  <c r="E66" i="9"/>
  <c r="D65" i="4"/>
  <c r="E65" i="4" s="1"/>
  <c r="G66" i="4" s="1"/>
  <c r="H66" i="4" s="1"/>
  <c r="I66" i="4" s="1"/>
  <c r="E67" i="9" l="1"/>
  <c r="D67" i="9"/>
  <c r="C68" i="9" s="1"/>
  <c r="F68" i="9"/>
  <c r="G68" i="9" s="1"/>
  <c r="H68" i="9" s="1"/>
  <c r="F67" i="9"/>
  <c r="G67" i="9" s="1"/>
  <c r="H67" i="9" s="1"/>
  <c r="F65" i="4"/>
  <c r="D66" i="4"/>
  <c r="E66" i="4" s="1"/>
  <c r="E68" i="9" l="1"/>
  <c r="D68" i="9"/>
  <c r="C69" i="9"/>
  <c r="F69" i="9"/>
  <c r="G69" i="9" s="1"/>
  <c r="H69" i="9" s="1"/>
  <c r="G67" i="4"/>
  <c r="H67" i="4" s="1"/>
  <c r="I67" i="4" s="1"/>
  <c r="D67" i="4"/>
  <c r="E67" i="4" s="1"/>
  <c r="D68" i="4" s="1"/>
  <c r="F66" i="4"/>
  <c r="E69" i="9" l="1"/>
  <c r="D69" i="9"/>
  <c r="F70" i="9" s="1"/>
  <c r="G70" i="9" s="1"/>
  <c r="H70" i="9" s="1"/>
  <c r="C70" i="9"/>
  <c r="F67" i="4"/>
  <c r="F68" i="4"/>
  <c r="E68" i="4"/>
  <c r="G69" i="4" s="1"/>
  <c r="H69" i="4" s="1"/>
  <c r="I69" i="4" s="1"/>
  <c r="G68" i="4"/>
  <c r="H68" i="4" s="1"/>
  <c r="I68" i="4" s="1"/>
  <c r="D70" i="9" l="1"/>
  <c r="C71" i="9" s="1"/>
  <c r="E70" i="9"/>
  <c r="F71" i="9"/>
  <c r="G71" i="9" s="1"/>
  <c r="H71" i="9" s="1"/>
  <c r="D69" i="4"/>
  <c r="F69" i="4" s="1"/>
  <c r="E71" i="9" l="1"/>
  <c r="D71" i="9"/>
  <c r="F72" i="9" s="1"/>
  <c r="G72" i="9" s="1"/>
  <c r="H72" i="9" s="1"/>
  <c r="E69" i="4"/>
  <c r="G70" i="4" s="1"/>
  <c r="H70" i="4" s="1"/>
  <c r="I70" i="4" s="1"/>
  <c r="C72" i="9" l="1"/>
  <c r="D72" i="9"/>
  <c r="F73" i="9" s="1"/>
  <c r="G73" i="9" s="1"/>
  <c r="H73" i="9" s="1"/>
  <c r="C73" i="9"/>
  <c r="E72" i="9"/>
  <c r="D70" i="4"/>
  <c r="E70" i="4" s="1"/>
  <c r="G71" i="4" s="1"/>
  <c r="H71" i="4" s="1"/>
  <c r="I71" i="4" s="1"/>
  <c r="F70" i="4"/>
  <c r="D71" i="4"/>
  <c r="E71" i="4" s="1"/>
  <c r="E73" i="9" l="1"/>
  <c r="D73" i="9"/>
  <c r="F71" i="4"/>
  <c r="G72" i="4"/>
  <c r="H72" i="4" s="1"/>
  <c r="I72" i="4" s="1"/>
  <c r="D72" i="4"/>
  <c r="F72" i="4" s="1"/>
  <c r="F74" i="9" l="1"/>
  <c r="G74" i="9" s="1"/>
  <c r="H74" i="9" s="1"/>
  <c r="C74" i="9"/>
  <c r="E72" i="4"/>
  <c r="G73" i="4" s="1"/>
  <c r="H73" i="4" s="1"/>
  <c r="I73" i="4" s="1"/>
  <c r="E74" i="9" l="1"/>
  <c r="D74" i="9"/>
  <c r="D73" i="4"/>
  <c r="F73" i="4" s="1"/>
  <c r="F75" i="9" l="1"/>
  <c r="G75" i="9" s="1"/>
  <c r="H75" i="9" s="1"/>
  <c r="C75" i="9"/>
  <c r="E73" i="4"/>
  <c r="D75" i="9" l="1"/>
  <c r="F76" i="9" s="1"/>
  <c r="G76" i="9" s="1"/>
  <c r="H76" i="9" s="1"/>
  <c r="E75" i="9"/>
  <c r="C76" i="9"/>
  <c r="G74" i="4"/>
  <c r="H74" i="4" s="1"/>
  <c r="I74" i="4" s="1"/>
  <c r="D74" i="4"/>
  <c r="D76" i="9" l="1"/>
  <c r="F77" i="9" s="1"/>
  <c r="G77" i="9" s="1"/>
  <c r="H77" i="9" s="1"/>
  <c r="E76" i="9"/>
  <c r="C77" i="9"/>
  <c r="E74" i="4"/>
  <c r="G75" i="4" s="1"/>
  <c r="H75" i="4" s="1"/>
  <c r="I75" i="4" s="1"/>
  <c r="F74" i="4"/>
  <c r="D77" i="9" l="1"/>
  <c r="F78" i="9"/>
  <c r="G78" i="9" s="1"/>
  <c r="H78" i="9" s="1"/>
  <c r="C78" i="9"/>
  <c r="E77" i="9"/>
  <c r="D75" i="4"/>
  <c r="E78" i="9" l="1"/>
  <c r="D78" i="9"/>
  <c r="E75" i="4"/>
  <c r="G76" i="4" s="1"/>
  <c r="H76" i="4" s="1"/>
  <c r="I76" i="4" s="1"/>
  <c r="F75" i="4"/>
  <c r="F79" i="9" l="1"/>
  <c r="G79" i="9" s="1"/>
  <c r="H79" i="9" s="1"/>
  <c r="C79" i="9"/>
  <c r="D76" i="4"/>
  <c r="F76" i="4"/>
  <c r="E76" i="4"/>
  <c r="G77" i="4" s="1"/>
  <c r="H77" i="4" s="1"/>
  <c r="I77" i="4" s="1"/>
  <c r="E79" i="9" l="1"/>
  <c r="D79" i="9"/>
  <c r="D77" i="4"/>
  <c r="F80" i="9" l="1"/>
  <c r="G80" i="9" s="1"/>
  <c r="H80" i="9" s="1"/>
  <c r="C80" i="9"/>
  <c r="F77" i="4"/>
  <c r="E77" i="4"/>
  <c r="G78" i="4" s="1"/>
  <c r="H78" i="4" s="1"/>
  <c r="I78" i="4" s="1"/>
  <c r="E80" i="9" l="1"/>
  <c r="D80" i="9"/>
  <c r="F81" i="9"/>
  <c r="G81" i="9" s="1"/>
  <c r="H81" i="9" s="1"/>
  <c r="C81" i="9"/>
  <c r="D78" i="4"/>
  <c r="E81" i="9" l="1"/>
  <c r="D81" i="9"/>
  <c r="E78" i="4"/>
  <c r="G79" i="4" s="1"/>
  <c r="H79" i="4" s="1"/>
  <c r="I79" i="4" s="1"/>
  <c r="F78" i="4"/>
  <c r="C82" i="9" l="1"/>
  <c r="F82" i="9"/>
  <c r="G82" i="9" s="1"/>
  <c r="H82" i="9" s="1"/>
  <c r="D79" i="4"/>
  <c r="F79" i="4"/>
  <c r="E79" i="4"/>
  <c r="G80" i="4" s="1"/>
  <c r="H80" i="4" s="1"/>
  <c r="I80" i="4" s="1"/>
  <c r="E82" i="9" l="1"/>
  <c r="D82" i="9"/>
  <c r="D80" i="4"/>
  <c r="F80" i="4" s="1"/>
  <c r="F83" i="9" l="1"/>
  <c r="G83" i="9" s="1"/>
  <c r="H83" i="9" s="1"/>
  <c r="C83" i="9"/>
  <c r="E80" i="4"/>
  <c r="G81" i="4" s="1"/>
  <c r="H81" i="4" s="1"/>
  <c r="I81" i="4" s="1"/>
  <c r="D83" i="9" l="1"/>
  <c r="C84" i="9" s="1"/>
  <c r="E83" i="9"/>
  <c r="F84" i="9"/>
  <c r="G84" i="9" s="1"/>
  <c r="H84" i="9" s="1"/>
  <c r="D81" i="4"/>
  <c r="F81" i="4" s="1"/>
  <c r="E84" i="9" l="1"/>
  <c r="D84" i="9"/>
  <c r="C85" i="9" s="1"/>
  <c r="F85" i="9"/>
  <c r="G85" i="9" s="1"/>
  <c r="H85" i="9" s="1"/>
  <c r="E81" i="4"/>
  <c r="G82" i="4" s="1"/>
  <c r="H82" i="4" s="1"/>
  <c r="I82" i="4" s="1"/>
  <c r="D82" i="4"/>
  <c r="E82" i="4" s="1"/>
  <c r="D83" i="4" s="1"/>
  <c r="F83" i="4" s="1"/>
  <c r="F82" i="4"/>
  <c r="E83" i="4"/>
  <c r="G84" i="4" s="1"/>
  <c r="H84" i="4" s="1"/>
  <c r="I84" i="4" s="1"/>
  <c r="D85" i="9" l="1"/>
  <c r="F86" i="9" s="1"/>
  <c r="G86" i="9" s="1"/>
  <c r="H86" i="9" s="1"/>
  <c r="C86" i="9"/>
  <c r="E85" i="9"/>
  <c r="G83" i="4"/>
  <c r="H83" i="4" s="1"/>
  <c r="I83" i="4" s="1"/>
  <c r="D84" i="4"/>
  <c r="E84" i="4" s="1"/>
  <c r="E86" i="9" l="1"/>
  <c r="D86" i="9"/>
  <c r="F87" i="9" s="1"/>
  <c r="G87" i="9" s="1"/>
  <c r="H87" i="9" s="1"/>
  <c r="C87" i="9"/>
  <c r="F84" i="4"/>
  <c r="G85" i="4"/>
  <c r="H85" i="4" s="1"/>
  <c r="I85" i="4" s="1"/>
  <c r="D85" i="4"/>
  <c r="E85" i="4" s="1"/>
  <c r="E87" i="9" l="1"/>
  <c r="D87" i="9"/>
  <c r="F85" i="4"/>
  <c r="G86" i="4"/>
  <c r="H86" i="4" s="1"/>
  <c r="I86" i="4" s="1"/>
  <c r="D86" i="4"/>
  <c r="F88" i="9" l="1"/>
  <c r="G88" i="9" s="1"/>
  <c r="H88" i="9" s="1"/>
  <c r="C88" i="9"/>
  <c r="E86" i="4"/>
  <c r="F86" i="4"/>
  <c r="E88" i="9" l="1"/>
  <c r="D88" i="9"/>
  <c r="C89" i="9" s="1"/>
  <c r="G87" i="4"/>
  <c r="H87" i="4" s="1"/>
  <c r="I87" i="4" s="1"/>
  <c r="D87" i="4"/>
  <c r="D89" i="9" l="1"/>
  <c r="F90" i="9" s="1"/>
  <c r="G90" i="9" s="1"/>
  <c r="H90" i="9" s="1"/>
  <c r="E89" i="9"/>
  <c r="C90" i="9"/>
  <c r="F89" i="9"/>
  <c r="G89" i="9" s="1"/>
  <c r="H89" i="9" s="1"/>
  <c r="F87" i="4"/>
  <c r="E87" i="4"/>
  <c r="G88" i="4" s="1"/>
  <c r="H88" i="4" s="1"/>
  <c r="I88" i="4" s="1"/>
  <c r="D90" i="9" l="1"/>
  <c r="F91" i="9" s="1"/>
  <c r="G91" i="9" s="1"/>
  <c r="H91" i="9" s="1"/>
  <c r="E90" i="9"/>
  <c r="C91" i="9"/>
  <c r="D88" i="4"/>
  <c r="E88" i="4" s="1"/>
  <c r="D91" i="9" l="1"/>
  <c r="F92" i="9" s="1"/>
  <c r="G92" i="9" s="1"/>
  <c r="H92" i="9" s="1"/>
  <c r="C92" i="9"/>
  <c r="E91" i="9"/>
  <c r="F88" i="4"/>
  <c r="G89" i="4"/>
  <c r="H89" i="4" s="1"/>
  <c r="I89" i="4" s="1"/>
  <c r="D89" i="4"/>
  <c r="E89" i="4" s="1"/>
  <c r="D92" i="9" l="1"/>
  <c r="E92" i="9"/>
  <c r="F89" i="4"/>
  <c r="G90" i="4"/>
  <c r="H90" i="4" s="1"/>
  <c r="I90" i="4" s="1"/>
  <c r="D90" i="4"/>
  <c r="F93" i="9" l="1"/>
  <c r="G93" i="9" s="1"/>
  <c r="H93" i="9" s="1"/>
  <c r="C93" i="9"/>
  <c r="F90" i="4"/>
  <c r="E90" i="4"/>
  <c r="D91" i="4" s="1"/>
  <c r="E93" i="9" l="1"/>
  <c r="D93" i="9"/>
  <c r="F94" i="9" s="1"/>
  <c r="G94" i="9" s="1"/>
  <c r="H94" i="9" s="1"/>
  <c r="C94" i="9"/>
  <c r="G91" i="4"/>
  <c r="H91" i="4" s="1"/>
  <c r="I91" i="4" s="1"/>
  <c r="F91" i="4"/>
  <c r="E91" i="4"/>
  <c r="G92" i="4" s="1"/>
  <c r="H92" i="4" s="1"/>
  <c r="I92" i="4" s="1"/>
  <c r="D94" i="9" l="1"/>
  <c r="F95" i="9" s="1"/>
  <c r="G95" i="9" s="1"/>
  <c r="H95" i="9" s="1"/>
  <c r="E94" i="9"/>
  <c r="C95" i="9"/>
  <c r="D92" i="4"/>
  <c r="E92" i="4" s="1"/>
  <c r="D93" i="4"/>
  <c r="G93" i="4"/>
  <c r="H93" i="4" s="1"/>
  <c r="I93" i="4" s="1"/>
  <c r="D95" i="9" l="1"/>
  <c r="F96" i="9" s="1"/>
  <c r="G96" i="9" s="1"/>
  <c r="H96" i="9" s="1"/>
  <c r="C96" i="9"/>
  <c r="E95" i="9"/>
  <c r="F92" i="4"/>
  <c r="E93" i="4"/>
  <c r="F93" i="4"/>
  <c r="E96" i="9" l="1"/>
  <c r="D96" i="9"/>
  <c r="F97" i="9" s="1"/>
  <c r="G97" i="9" s="1"/>
  <c r="H97" i="9" s="1"/>
  <c r="D94" i="4"/>
  <c r="G94" i="4"/>
  <c r="H94" i="4" s="1"/>
  <c r="I94" i="4" s="1"/>
  <c r="C97" i="9" l="1"/>
  <c r="F94" i="4"/>
  <c r="E94" i="4"/>
  <c r="D97" i="9" l="1"/>
  <c r="F98" i="9" s="1"/>
  <c r="G98" i="9" s="1"/>
  <c r="H98" i="9" s="1"/>
  <c r="E97" i="9"/>
  <c r="C98" i="9"/>
  <c r="D95" i="4"/>
  <c r="G95" i="4"/>
  <c r="H95" i="4" s="1"/>
  <c r="I95" i="4" s="1"/>
  <c r="D98" i="9" l="1"/>
  <c r="F99" i="9" s="1"/>
  <c r="G99" i="9" s="1"/>
  <c r="H99" i="9" s="1"/>
  <c r="E98" i="9"/>
  <c r="C99" i="9"/>
  <c r="E95" i="4"/>
  <c r="D96" i="4" s="1"/>
  <c r="F95" i="4"/>
  <c r="D99" i="9" l="1"/>
  <c r="F100" i="9" s="1"/>
  <c r="G100" i="9" s="1"/>
  <c r="H100" i="9" s="1"/>
  <c r="E99" i="9"/>
  <c r="C100" i="9"/>
  <c r="G96" i="4"/>
  <c r="H96" i="4" s="1"/>
  <c r="I96" i="4" s="1"/>
  <c r="E96" i="4"/>
  <c r="F96" i="4"/>
  <c r="D100" i="9" l="1"/>
  <c r="F101" i="9" s="1"/>
  <c r="G101" i="9" s="1"/>
  <c r="H101" i="9" s="1"/>
  <c r="E100" i="9"/>
  <c r="C101" i="9"/>
  <c r="G97" i="4"/>
  <c r="H97" i="4" s="1"/>
  <c r="I97" i="4" s="1"/>
  <c r="D97" i="4"/>
  <c r="E101" i="9" l="1"/>
  <c r="D101" i="9"/>
  <c r="F102" i="9" s="1"/>
  <c r="G102" i="9" s="1"/>
  <c r="H102" i="9" s="1"/>
  <c r="C102" i="9"/>
  <c r="F97" i="4"/>
  <c r="E97" i="4"/>
  <c r="D98" i="4" s="1"/>
  <c r="E102" i="9" l="1"/>
  <c r="D102" i="9"/>
  <c r="F103" i="9" s="1"/>
  <c r="G103" i="9" s="1"/>
  <c r="H103" i="9" s="1"/>
  <c r="F98" i="4"/>
  <c r="E98" i="4"/>
  <c r="G99" i="4" s="1"/>
  <c r="H99" i="4" s="1"/>
  <c r="I99" i="4" s="1"/>
  <c r="D99" i="4"/>
  <c r="G98" i="4"/>
  <c r="H98" i="4" s="1"/>
  <c r="I98" i="4" s="1"/>
  <c r="C103" i="9" l="1"/>
  <c r="D103" i="9" s="1"/>
  <c r="E103" i="9"/>
  <c r="E99" i="4"/>
  <c r="F99" i="4"/>
  <c r="F104" i="9" l="1"/>
  <c r="G104" i="9" s="1"/>
  <c r="H104" i="9" s="1"/>
  <c r="C104" i="9"/>
  <c r="E104" i="9"/>
  <c r="D104" i="9"/>
  <c r="F105" i="9" s="1"/>
  <c r="G105" i="9" s="1"/>
  <c r="H105" i="9" s="1"/>
  <c r="C105" i="9"/>
  <c r="G100" i="4"/>
  <c r="H100" i="4" s="1"/>
  <c r="I100" i="4" s="1"/>
  <c r="D100" i="4"/>
  <c r="D105" i="9" l="1"/>
  <c r="C106" i="9" s="1"/>
  <c r="E105" i="9"/>
  <c r="E100" i="4"/>
  <c r="G101" i="4" s="1"/>
  <c r="H101" i="4" s="1"/>
  <c r="I101" i="4" s="1"/>
  <c r="F100" i="4"/>
  <c r="D101" i="4"/>
  <c r="D106" i="9" l="1"/>
  <c r="F107" i="9" s="1"/>
  <c r="G107" i="9" s="1"/>
  <c r="H107" i="9" s="1"/>
  <c r="E106" i="9"/>
  <c r="C107" i="9"/>
  <c r="F106" i="9"/>
  <c r="G106" i="9" s="1"/>
  <c r="H106" i="9" s="1"/>
  <c r="F101" i="4"/>
  <c r="E101" i="4"/>
  <c r="G102" i="4" s="1"/>
  <c r="H102" i="4" s="1"/>
  <c r="I102" i="4" s="1"/>
  <c r="E107" i="9" l="1"/>
  <c r="D107" i="9"/>
  <c r="F108" i="9" s="1"/>
  <c r="G108" i="9" s="1"/>
  <c r="H108" i="9" s="1"/>
  <c r="C108" i="9"/>
  <c r="D102" i="4"/>
  <c r="E108" i="9" l="1"/>
  <c r="D108" i="9"/>
  <c r="F109" i="9" s="1"/>
  <c r="G109" i="9" s="1"/>
  <c r="H109" i="9" s="1"/>
  <c r="F102" i="4"/>
  <c r="E102" i="4"/>
  <c r="G103" i="4" s="1"/>
  <c r="H103" i="4" s="1"/>
  <c r="I103" i="4" s="1"/>
  <c r="C109" i="9" l="1"/>
  <c r="E109" i="9"/>
  <c r="D109" i="9"/>
  <c r="F110" i="9"/>
  <c r="G110" i="9" s="1"/>
  <c r="H110" i="9" s="1"/>
  <c r="C110" i="9"/>
  <c r="D103" i="4"/>
  <c r="E103" i="4"/>
  <c r="G104" i="4" s="1"/>
  <c r="H104" i="4" s="1"/>
  <c r="I104" i="4" s="1"/>
  <c r="F103" i="4"/>
  <c r="D104" i="4"/>
  <c r="E110" i="9" l="1"/>
  <c r="D110" i="9"/>
  <c r="F104" i="4"/>
  <c r="E104" i="4"/>
  <c r="C111" i="9" l="1"/>
  <c r="F111" i="9"/>
  <c r="G111" i="9" s="1"/>
  <c r="H111" i="9" s="1"/>
  <c r="G105" i="4"/>
  <c r="H105" i="4" s="1"/>
  <c r="I105" i="4" s="1"/>
  <c r="D105" i="4"/>
  <c r="E111" i="9" l="1"/>
  <c r="D111" i="9"/>
  <c r="E105" i="4"/>
  <c r="G106" i="4" s="1"/>
  <c r="H106" i="4" s="1"/>
  <c r="I106" i="4" s="1"/>
  <c r="F105" i="4"/>
  <c r="D106" i="4"/>
  <c r="F106" i="4" s="1"/>
  <c r="C112" i="9" l="1"/>
  <c r="F112" i="9"/>
  <c r="G112" i="9" s="1"/>
  <c r="H112" i="9" s="1"/>
  <c r="E106" i="4"/>
  <c r="E112" i="9" l="1"/>
  <c r="D112" i="9"/>
  <c r="F113" i="9" s="1"/>
  <c r="G113" i="9" s="1"/>
  <c r="H113" i="9" s="1"/>
  <c r="C113" i="9"/>
  <c r="G107" i="4"/>
  <c r="H107" i="4" s="1"/>
  <c r="I107" i="4" s="1"/>
  <c r="D107" i="4"/>
  <c r="D113" i="9" l="1"/>
  <c r="C114" i="9" s="1"/>
  <c r="E113" i="9"/>
  <c r="F114" i="9"/>
  <c r="G114" i="9" s="1"/>
  <c r="H114" i="9" s="1"/>
  <c r="E107" i="4"/>
  <c r="G108" i="4" s="1"/>
  <c r="H108" i="4" s="1"/>
  <c r="I108" i="4" s="1"/>
  <c r="F107" i="4"/>
  <c r="E114" i="9" l="1"/>
  <c r="D114" i="9"/>
  <c r="F115" i="9" s="1"/>
  <c r="G115" i="9" s="1"/>
  <c r="H115" i="9" s="1"/>
  <c r="C115" i="9"/>
  <c r="D108" i="4"/>
  <c r="F108" i="4" s="1"/>
  <c r="E115" i="9" l="1"/>
  <c r="D115" i="9"/>
  <c r="F116" i="9" s="1"/>
  <c r="G116" i="9" s="1"/>
  <c r="H116" i="9" s="1"/>
  <c r="C116" i="9"/>
  <c r="E108" i="4"/>
  <c r="G109" i="4" s="1"/>
  <c r="H109" i="4" s="1"/>
  <c r="I109" i="4" s="1"/>
  <c r="E116" i="9" l="1"/>
  <c r="D116" i="9"/>
  <c r="F117" i="9" s="1"/>
  <c r="G117" i="9" s="1"/>
  <c r="H117" i="9" s="1"/>
  <c r="C117" i="9"/>
  <c r="D109" i="4"/>
  <c r="F109" i="4" s="1"/>
  <c r="E117" i="9" l="1"/>
  <c r="D117" i="9"/>
  <c r="F118" i="9" s="1"/>
  <c r="G118" i="9" s="1"/>
  <c r="H118" i="9" s="1"/>
  <c r="E109" i="4"/>
  <c r="G110" i="4" s="1"/>
  <c r="H110" i="4" s="1"/>
  <c r="I110" i="4" s="1"/>
  <c r="D110" i="4"/>
  <c r="E110" i="4" s="1"/>
  <c r="C118" i="9" l="1"/>
  <c r="D118" i="9"/>
  <c r="F119" i="9" s="1"/>
  <c r="G119" i="9" s="1"/>
  <c r="H119" i="9" s="1"/>
  <c r="E118" i="9"/>
  <c r="F110" i="4"/>
  <c r="G111" i="4"/>
  <c r="H111" i="4" s="1"/>
  <c r="I111" i="4" s="1"/>
  <c r="D111" i="4"/>
  <c r="E111" i="4" s="1"/>
  <c r="C119" i="9" l="1"/>
  <c r="D119" i="9"/>
  <c r="E119" i="9"/>
  <c r="F120" i="9"/>
  <c r="G120" i="9" s="1"/>
  <c r="H120" i="9" s="1"/>
  <c r="C120" i="9"/>
  <c r="F111" i="4"/>
  <c r="D112" i="4"/>
  <c r="G112" i="4"/>
  <c r="H112" i="4" s="1"/>
  <c r="I112" i="4" s="1"/>
  <c r="E120" i="9" l="1"/>
  <c r="D120" i="9"/>
  <c r="F121" i="9" s="1"/>
  <c r="G121" i="9" s="1"/>
  <c r="H121" i="9" s="1"/>
  <c r="C121" i="9"/>
  <c r="F112" i="4"/>
  <c r="E112" i="4"/>
  <c r="D121" i="9" l="1"/>
  <c r="E121" i="9"/>
  <c r="G113" i="4"/>
  <c r="H113" i="4" s="1"/>
  <c r="I113" i="4" s="1"/>
  <c r="D113" i="4"/>
  <c r="C122" i="9" l="1"/>
  <c r="F122" i="9"/>
  <c r="G122" i="9" s="1"/>
  <c r="H122" i="9" s="1"/>
  <c r="F113" i="4"/>
  <c r="E113" i="4"/>
  <c r="G114" i="4" s="1"/>
  <c r="H114" i="4" s="1"/>
  <c r="I114" i="4" s="1"/>
  <c r="D122" i="9" l="1"/>
  <c r="F123" i="9" s="1"/>
  <c r="G123" i="9" s="1"/>
  <c r="H123" i="9" s="1"/>
  <c r="E122" i="9"/>
  <c r="C123" i="9"/>
  <c r="D114" i="4"/>
  <c r="E114" i="4" s="1"/>
  <c r="D115" i="4" s="1"/>
  <c r="D123" i="9" l="1"/>
  <c r="E123" i="9"/>
  <c r="F114" i="4"/>
  <c r="G115" i="4"/>
  <c r="H115" i="4" s="1"/>
  <c r="I115" i="4" s="1"/>
  <c r="E115" i="4"/>
  <c r="G116" i="4" s="1"/>
  <c r="H116" i="4" s="1"/>
  <c r="I116" i="4" s="1"/>
  <c r="F115" i="4"/>
  <c r="F124" i="9" l="1"/>
  <c r="G124" i="9" s="1"/>
  <c r="H124" i="9" s="1"/>
  <c r="C124" i="9"/>
  <c r="D116" i="4"/>
  <c r="F116" i="4" s="1"/>
  <c r="E124" i="9" l="1"/>
  <c r="D124" i="9"/>
  <c r="F125" i="9" s="1"/>
  <c r="G125" i="9" s="1"/>
  <c r="H125" i="9" s="1"/>
  <c r="C125" i="9"/>
  <c r="E116" i="4"/>
  <c r="G117" i="4"/>
  <c r="H117" i="4" s="1"/>
  <c r="I117" i="4" s="1"/>
  <c r="D117" i="4"/>
  <c r="D125" i="9" l="1"/>
  <c r="C126" i="9" s="1"/>
  <c r="E125" i="9"/>
  <c r="E117" i="4"/>
  <c r="D118" i="4" s="1"/>
  <c r="F117" i="4"/>
  <c r="F126" i="9" l="1"/>
  <c r="G126" i="9" s="1"/>
  <c r="H126" i="9" s="1"/>
  <c r="D126" i="9"/>
  <c r="E126" i="9"/>
  <c r="F127" i="9"/>
  <c r="G127" i="9" s="1"/>
  <c r="H127" i="9" s="1"/>
  <c r="C127" i="9"/>
  <c r="G118" i="4"/>
  <c r="H118" i="4" s="1"/>
  <c r="I118" i="4" s="1"/>
  <c r="F118" i="4"/>
  <c r="E118" i="4"/>
  <c r="D127" i="9" l="1"/>
  <c r="E127" i="9"/>
  <c r="G119" i="4"/>
  <c r="H119" i="4" s="1"/>
  <c r="I119" i="4" s="1"/>
  <c r="D119" i="4"/>
  <c r="C128" i="9" l="1"/>
  <c r="F128" i="9"/>
  <c r="G128" i="9" s="1"/>
  <c r="H128" i="9" s="1"/>
  <c r="F119" i="4"/>
  <c r="E119" i="4"/>
  <c r="E128" i="9" l="1"/>
  <c r="D128" i="9"/>
  <c r="G120" i="4"/>
  <c r="H120" i="4" s="1"/>
  <c r="I120" i="4" s="1"/>
  <c r="D120" i="4"/>
  <c r="F129" i="9" l="1"/>
  <c r="G129" i="9" s="1"/>
  <c r="H129" i="9" s="1"/>
  <c r="C129" i="9"/>
  <c r="F120" i="4"/>
  <c r="E120" i="4"/>
  <c r="G121" i="4" s="1"/>
  <c r="H121" i="4" s="1"/>
  <c r="I121" i="4" s="1"/>
  <c r="D129" i="9" l="1"/>
  <c r="F130" i="9" s="1"/>
  <c r="G130" i="9" s="1"/>
  <c r="H130" i="9" s="1"/>
  <c r="E129" i="9"/>
  <c r="D121" i="4"/>
  <c r="E121" i="4"/>
  <c r="D122" i="4" s="1"/>
  <c r="F121" i="4"/>
  <c r="G122" i="4"/>
  <c r="H122" i="4" s="1"/>
  <c r="I122" i="4" s="1"/>
  <c r="C130" i="9" l="1"/>
  <c r="E130" i="9"/>
  <c r="D130" i="9"/>
  <c r="F131" i="9" s="1"/>
  <c r="G131" i="9" s="1"/>
  <c r="H131" i="9" s="1"/>
  <c r="C131" i="9"/>
  <c r="E122" i="4"/>
  <c r="D123" i="4" s="1"/>
  <c r="F122" i="4"/>
  <c r="G123" i="4"/>
  <c r="H123" i="4" s="1"/>
  <c r="I123" i="4" s="1"/>
  <c r="E131" i="9" l="1"/>
  <c r="D131" i="9"/>
  <c r="E123" i="4"/>
  <c r="G124" i="4" s="1"/>
  <c r="H124" i="4" s="1"/>
  <c r="I124" i="4" s="1"/>
  <c r="F123" i="4"/>
  <c r="F132" i="9" l="1"/>
  <c r="G132" i="9" s="1"/>
  <c r="H132" i="9" s="1"/>
  <c r="C132" i="9"/>
  <c r="D124" i="4"/>
  <c r="E124" i="4"/>
  <c r="G125" i="4" s="1"/>
  <c r="H125" i="4" s="1"/>
  <c r="I125" i="4" s="1"/>
  <c r="F124" i="4"/>
  <c r="D132" i="9" l="1"/>
  <c r="F133" i="9" s="1"/>
  <c r="G133" i="9" s="1"/>
  <c r="H133" i="9" s="1"/>
  <c r="E132" i="9"/>
  <c r="D125" i="4"/>
  <c r="F125" i="4" s="1"/>
  <c r="C133" i="9" l="1"/>
  <c r="E133" i="9" s="1"/>
  <c r="E125" i="4"/>
  <c r="G126" i="4" s="1"/>
  <c r="H126" i="4" s="1"/>
  <c r="I126" i="4" s="1"/>
  <c r="D133" i="9" l="1"/>
  <c r="D126" i="4"/>
  <c r="F134" i="9" l="1"/>
  <c r="G134" i="9" s="1"/>
  <c r="H134" i="9" s="1"/>
  <c r="C134" i="9"/>
  <c r="E126" i="4"/>
  <c r="F126" i="4"/>
  <c r="D134" i="9" l="1"/>
  <c r="E134" i="9"/>
  <c r="C135" i="9"/>
  <c r="F135" i="9"/>
  <c r="G135" i="9" s="1"/>
  <c r="H135" i="9" s="1"/>
  <c r="D127" i="4"/>
  <c r="G127" i="4"/>
  <c r="H127" i="4" s="1"/>
  <c r="I127" i="4" s="1"/>
  <c r="D135" i="9" l="1"/>
  <c r="F136" i="9" s="1"/>
  <c r="G136" i="9" s="1"/>
  <c r="H136" i="9" s="1"/>
  <c r="E135" i="9"/>
  <c r="C136" i="9"/>
  <c r="F127" i="4"/>
  <c r="E127" i="4"/>
  <c r="G128" i="4" s="1"/>
  <c r="H128" i="4" s="1"/>
  <c r="I128" i="4" s="1"/>
  <c r="D136" i="9" l="1"/>
  <c r="F137" i="9" s="1"/>
  <c r="G137" i="9" s="1"/>
  <c r="H137" i="9" s="1"/>
  <c r="E136" i="9"/>
  <c r="C137" i="9"/>
  <c r="D128" i="4"/>
  <c r="E128" i="4"/>
  <c r="D129" i="4"/>
  <c r="F128" i="4"/>
  <c r="G129" i="4"/>
  <c r="H129" i="4" s="1"/>
  <c r="I129" i="4" s="1"/>
  <c r="D137" i="9" l="1"/>
  <c r="E137" i="9"/>
  <c r="E129" i="4"/>
  <c r="F129" i="4"/>
  <c r="F138" i="9" l="1"/>
  <c r="G138" i="9" s="1"/>
  <c r="H138" i="9" s="1"/>
  <c r="C138" i="9"/>
  <c r="D130" i="4"/>
  <c r="G130" i="4"/>
  <c r="H130" i="4" s="1"/>
  <c r="I130" i="4" s="1"/>
  <c r="D138" i="9" l="1"/>
  <c r="C139" i="9"/>
  <c r="F139" i="9"/>
  <c r="G139" i="9" s="1"/>
  <c r="H139" i="9" s="1"/>
  <c r="E138" i="9"/>
  <c r="F130" i="4"/>
  <c r="E130" i="4"/>
  <c r="E139" i="9" l="1"/>
  <c r="D139" i="9"/>
  <c r="D131" i="4"/>
  <c r="G131" i="4"/>
  <c r="H131" i="4" s="1"/>
  <c r="I131" i="4" s="1"/>
  <c r="F140" i="9" l="1"/>
  <c r="G140" i="9" s="1"/>
  <c r="H140" i="9" s="1"/>
  <c r="C140" i="9"/>
  <c r="E131" i="4"/>
  <c r="F131" i="4"/>
  <c r="D140" i="9" l="1"/>
  <c r="F141" i="9" s="1"/>
  <c r="G141" i="9" s="1"/>
  <c r="H141" i="9" s="1"/>
  <c r="E140" i="9"/>
  <c r="C141" i="9"/>
  <c r="G132" i="4"/>
  <c r="H132" i="4" s="1"/>
  <c r="I132" i="4" s="1"/>
  <c r="D132" i="4"/>
  <c r="E141" i="9" l="1"/>
  <c r="D141" i="9"/>
  <c r="F142" i="9" s="1"/>
  <c r="G142" i="9" s="1"/>
  <c r="H142" i="9" s="1"/>
  <c r="F132" i="4"/>
  <c r="E132" i="4"/>
  <c r="C142" i="9" l="1"/>
  <c r="G133" i="4"/>
  <c r="H133" i="4" s="1"/>
  <c r="I133" i="4" s="1"/>
  <c r="D133" i="4"/>
  <c r="E142" i="9" l="1"/>
  <c r="D142" i="9"/>
  <c r="F143" i="9" s="1"/>
  <c r="G143" i="9" s="1"/>
  <c r="H143" i="9" s="1"/>
  <c r="C143" i="9"/>
  <c r="F133" i="4"/>
  <c r="E133" i="4"/>
  <c r="G134" i="4" s="1"/>
  <c r="H134" i="4" s="1"/>
  <c r="I134" i="4" s="1"/>
  <c r="E143" i="9" l="1"/>
  <c r="D143" i="9"/>
  <c r="F144" i="9" s="1"/>
  <c r="G144" i="9" s="1"/>
  <c r="H144" i="9" s="1"/>
  <c r="C144" i="9"/>
  <c r="D134" i="4"/>
  <c r="F134" i="4"/>
  <c r="E134" i="4"/>
  <c r="E144" i="9" l="1"/>
  <c r="D144" i="9"/>
  <c r="F145" i="9" s="1"/>
  <c r="G145" i="9" s="1"/>
  <c r="H145" i="9" s="1"/>
  <c r="C145" i="9"/>
  <c r="D135" i="4"/>
  <c r="G135" i="4"/>
  <c r="H135" i="4" s="1"/>
  <c r="I135" i="4" s="1"/>
  <c r="E145" i="9" l="1"/>
  <c r="D145" i="9"/>
  <c r="F146" i="9" s="1"/>
  <c r="G146" i="9" s="1"/>
  <c r="H146" i="9" s="1"/>
  <c r="C146" i="9"/>
  <c r="E135" i="4"/>
  <c r="G136" i="4" s="1"/>
  <c r="H136" i="4" s="1"/>
  <c r="I136" i="4" s="1"/>
  <c r="F135" i="4"/>
  <c r="E146" i="9" l="1"/>
  <c r="D146" i="9"/>
  <c r="F147" i="9"/>
  <c r="G147" i="9" s="1"/>
  <c r="H147" i="9" s="1"/>
  <c r="C147" i="9"/>
  <c r="D136" i="4"/>
  <c r="E136" i="4" s="1"/>
  <c r="G137" i="4" s="1"/>
  <c r="H137" i="4" s="1"/>
  <c r="I137" i="4" s="1"/>
  <c r="F136" i="4"/>
  <c r="D147" i="9" l="1"/>
  <c r="F148" i="9" s="1"/>
  <c r="G148" i="9" s="1"/>
  <c r="H148" i="9" s="1"/>
  <c r="E147" i="9"/>
  <c r="C148" i="9"/>
  <c r="D137" i="4"/>
  <c r="F137" i="4" s="1"/>
  <c r="E148" i="9" l="1"/>
  <c r="D148" i="9"/>
  <c r="F149" i="9" s="1"/>
  <c r="G149" i="9" s="1"/>
  <c r="H149" i="9" s="1"/>
  <c r="C149" i="9"/>
  <c r="E137" i="4"/>
  <c r="G138" i="4" s="1"/>
  <c r="H138" i="4" s="1"/>
  <c r="I138" i="4" s="1"/>
  <c r="E149" i="9" l="1"/>
  <c r="D149" i="9"/>
  <c r="F150" i="9"/>
  <c r="G150" i="9" s="1"/>
  <c r="H150" i="9" s="1"/>
  <c r="C150" i="9"/>
  <c r="D138" i="4"/>
  <c r="D150" i="9" l="1"/>
  <c r="F151" i="9" s="1"/>
  <c r="G151" i="9" s="1"/>
  <c r="H151" i="9" s="1"/>
  <c r="E150" i="9"/>
  <c r="F138" i="4"/>
  <c r="E138" i="4"/>
  <c r="C151" i="9" l="1"/>
  <c r="D151" i="9"/>
  <c r="C152" i="9" s="1"/>
  <c r="F152" i="9"/>
  <c r="G152" i="9" s="1"/>
  <c r="H152" i="9" s="1"/>
  <c r="E151" i="9"/>
  <c r="D139" i="4"/>
  <c r="G139" i="4"/>
  <c r="H139" i="4" s="1"/>
  <c r="I139" i="4" s="1"/>
  <c r="E152" i="9" l="1"/>
  <c r="D152" i="9"/>
  <c r="F153" i="9" s="1"/>
  <c r="G153" i="9" s="1"/>
  <c r="H153" i="9" s="1"/>
  <c r="C153" i="9"/>
  <c r="F139" i="4"/>
  <c r="E139" i="4"/>
  <c r="G140" i="4" s="1"/>
  <c r="H140" i="4" s="1"/>
  <c r="I140" i="4" s="1"/>
  <c r="D140" i="4"/>
  <c r="D153" i="9" l="1"/>
  <c r="F154" i="9" s="1"/>
  <c r="G154" i="9" s="1"/>
  <c r="H154" i="9" s="1"/>
  <c r="E153" i="9"/>
  <c r="C154" i="9"/>
  <c r="E140" i="4"/>
  <c r="G141" i="4" s="1"/>
  <c r="H141" i="4" s="1"/>
  <c r="I141" i="4" s="1"/>
  <c r="F140" i="4"/>
  <c r="D141" i="4"/>
  <c r="E154" i="9" l="1"/>
  <c r="D154" i="9"/>
  <c r="F155" i="9" s="1"/>
  <c r="G155" i="9" s="1"/>
  <c r="H155" i="9" s="1"/>
  <c r="C155" i="9"/>
  <c r="F141" i="4"/>
  <c r="E141" i="4"/>
  <c r="D142" i="4" s="1"/>
  <c r="G142" i="4"/>
  <c r="H142" i="4" s="1"/>
  <c r="I142" i="4" s="1"/>
  <c r="D155" i="9" l="1"/>
  <c r="C156" i="9" s="1"/>
  <c r="E155" i="9"/>
  <c r="F156" i="9"/>
  <c r="G156" i="9" s="1"/>
  <c r="H156" i="9" s="1"/>
  <c r="F142" i="4"/>
  <c r="E142" i="4"/>
  <c r="G143" i="4" s="1"/>
  <c r="H143" i="4" s="1"/>
  <c r="I143" i="4" s="1"/>
  <c r="D143" i="4"/>
  <c r="D156" i="9" l="1"/>
  <c r="E156" i="9"/>
  <c r="F157" i="9"/>
  <c r="G157" i="9" s="1"/>
  <c r="H157" i="9" s="1"/>
  <c r="C157" i="9"/>
  <c r="F143" i="4"/>
  <c r="E143" i="4"/>
  <c r="D144" i="4" s="1"/>
  <c r="G144" i="4"/>
  <c r="H144" i="4" s="1"/>
  <c r="I144" i="4" s="1"/>
  <c r="D157" i="9" l="1"/>
  <c r="F158" i="9" s="1"/>
  <c r="G158" i="9" s="1"/>
  <c r="H158" i="9" s="1"/>
  <c r="C158" i="9"/>
  <c r="E157" i="9"/>
  <c r="F144" i="4"/>
  <c r="E144" i="4"/>
  <c r="G145" i="4"/>
  <c r="H145" i="4" s="1"/>
  <c r="I145" i="4" s="1"/>
  <c r="D145" i="4"/>
  <c r="D158" i="9" l="1"/>
  <c r="F159" i="9" s="1"/>
  <c r="G159" i="9" s="1"/>
  <c r="H159" i="9" s="1"/>
  <c r="E158" i="9"/>
  <c r="F145" i="4"/>
  <c r="E145" i="4"/>
  <c r="G146" i="4" s="1"/>
  <c r="H146" i="4" s="1"/>
  <c r="I146" i="4" s="1"/>
  <c r="C159" i="9" l="1"/>
  <c r="D146" i="4"/>
  <c r="F146" i="4"/>
  <c r="E146" i="4"/>
  <c r="G147" i="4" s="1"/>
  <c r="H147" i="4" s="1"/>
  <c r="I147" i="4" s="1"/>
  <c r="D147" i="4"/>
  <c r="E159" i="9" l="1"/>
  <c r="D159" i="9"/>
  <c r="C160" i="9" s="1"/>
  <c r="F160" i="9"/>
  <c r="G160" i="9" s="1"/>
  <c r="H160" i="9" s="1"/>
  <c r="F147" i="4"/>
  <c r="E147" i="4"/>
  <c r="G148" i="4" s="1"/>
  <c r="H148" i="4" s="1"/>
  <c r="I148" i="4" s="1"/>
  <c r="D160" i="9" l="1"/>
  <c r="F161" i="9" s="1"/>
  <c r="G161" i="9" s="1"/>
  <c r="H161" i="9" s="1"/>
  <c r="E160" i="9"/>
  <c r="C161" i="9"/>
  <c r="D148" i="4"/>
  <c r="D161" i="9" l="1"/>
  <c r="E161" i="9"/>
  <c r="F162" i="9"/>
  <c r="G162" i="9" s="1"/>
  <c r="H162" i="9" s="1"/>
  <c r="C162" i="9"/>
  <c r="E148" i="4"/>
  <c r="G149" i="4" s="1"/>
  <c r="H149" i="4" s="1"/>
  <c r="I149" i="4" s="1"/>
  <c r="F148" i="4"/>
  <c r="D149" i="4"/>
  <c r="E162" i="9" l="1"/>
  <c r="D162" i="9"/>
  <c r="F163" i="9"/>
  <c r="G163" i="9" s="1"/>
  <c r="H163" i="9" s="1"/>
  <c r="C163" i="9"/>
  <c r="E149" i="4"/>
  <c r="F149" i="4"/>
  <c r="G150" i="4"/>
  <c r="H150" i="4" s="1"/>
  <c r="I150" i="4" s="1"/>
  <c r="D150" i="4"/>
  <c r="E163" i="9" l="1"/>
  <c r="D163" i="9"/>
  <c r="F164" i="9"/>
  <c r="G164" i="9" s="1"/>
  <c r="H164" i="9" s="1"/>
  <c r="C164" i="9"/>
  <c r="E150" i="4"/>
  <c r="F150" i="4"/>
  <c r="G151" i="4"/>
  <c r="H151" i="4" s="1"/>
  <c r="I151" i="4" s="1"/>
  <c r="D151" i="4"/>
  <c r="F151" i="4" s="1"/>
  <c r="E151" i="4"/>
  <c r="E164" i="9" l="1"/>
  <c r="D164" i="9"/>
  <c r="D152" i="4"/>
  <c r="G152" i="4"/>
  <c r="H152" i="4" s="1"/>
  <c r="I152" i="4" s="1"/>
  <c r="F165" i="9" l="1"/>
  <c r="G165" i="9" s="1"/>
  <c r="H165" i="9" s="1"/>
  <c r="C165" i="9"/>
  <c r="E152" i="4"/>
  <c r="G153" i="4" s="1"/>
  <c r="H153" i="4" s="1"/>
  <c r="I153" i="4" s="1"/>
  <c r="F152" i="4"/>
  <c r="D153" i="4"/>
  <c r="D165" i="9" l="1"/>
  <c r="F166" i="9" s="1"/>
  <c r="G166" i="9" s="1"/>
  <c r="H166" i="9" s="1"/>
  <c r="E165" i="9"/>
  <c r="C166" i="9"/>
  <c r="F153" i="4"/>
  <c r="E153" i="4"/>
  <c r="D154" i="4" s="1"/>
  <c r="E166" i="9" l="1"/>
  <c r="D166" i="9"/>
  <c r="G154" i="4"/>
  <c r="H154" i="4" s="1"/>
  <c r="I154" i="4" s="1"/>
  <c r="F154" i="4"/>
  <c r="E154" i="4"/>
  <c r="D155" i="4" s="1"/>
  <c r="C167" i="9" l="1"/>
  <c r="F167" i="9"/>
  <c r="G167" i="9" s="1"/>
  <c r="H167" i="9" s="1"/>
  <c r="G155" i="4"/>
  <c r="H155" i="4" s="1"/>
  <c r="I155" i="4" s="1"/>
  <c r="F155" i="4"/>
  <c r="E155" i="4"/>
  <c r="G156" i="4" s="1"/>
  <c r="H156" i="4" s="1"/>
  <c r="I156" i="4" s="1"/>
  <c r="D167" i="9" l="1"/>
  <c r="E167" i="9"/>
  <c r="D156" i="4"/>
  <c r="E156" i="4" s="1"/>
  <c r="G157" i="4" s="1"/>
  <c r="H157" i="4" s="1"/>
  <c r="I157" i="4" s="1"/>
  <c r="F168" i="9" l="1"/>
  <c r="G168" i="9" s="1"/>
  <c r="H168" i="9" s="1"/>
  <c r="C168" i="9"/>
  <c r="F156" i="4"/>
  <c r="D157" i="4"/>
  <c r="E157" i="4" s="1"/>
  <c r="E168" i="9" l="1"/>
  <c r="D168" i="9"/>
  <c r="F169" i="9"/>
  <c r="G169" i="9" s="1"/>
  <c r="H169" i="9" s="1"/>
  <c r="C169" i="9"/>
  <c r="F157" i="4"/>
  <c r="G158" i="4"/>
  <c r="H158" i="4" s="1"/>
  <c r="I158" i="4" s="1"/>
  <c r="D158" i="4"/>
  <c r="E169" i="9" l="1"/>
  <c r="D169" i="9"/>
  <c r="E158" i="4"/>
  <c r="F158" i="4"/>
  <c r="F170" i="9" l="1"/>
  <c r="G170" i="9" s="1"/>
  <c r="H170" i="9" s="1"/>
  <c r="C170" i="9"/>
  <c r="D159" i="4"/>
  <c r="G159" i="4"/>
  <c r="H159" i="4" s="1"/>
  <c r="I159" i="4" s="1"/>
  <c r="D170" i="9" l="1"/>
  <c r="E170" i="9"/>
  <c r="C171" i="9"/>
  <c r="F171" i="9"/>
  <c r="G171" i="9" s="1"/>
  <c r="H171" i="9" s="1"/>
  <c r="E159" i="4"/>
  <c r="D160" i="4" s="1"/>
  <c r="F159" i="4"/>
  <c r="D171" i="9" l="1"/>
  <c r="F172" i="9" s="1"/>
  <c r="G172" i="9" s="1"/>
  <c r="H172" i="9" s="1"/>
  <c r="C172" i="9"/>
  <c r="E171" i="9"/>
  <c r="G160" i="4"/>
  <c r="H160" i="4" s="1"/>
  <c r="I160" i="4" s="1"/>
  <c r="E160" i="4"/>
  <c r="F160" i="4"/>
  <c r="E172" i="9" l="1"/>
  <c r="D172" i="9"/>
  <c r="G161" i="4"/>
  <c r="H161" i="4" s="1"/>
  <c r="I161" i="4" s="1"/>
  <c r="D161" i="4"/>
  <c r="F173" i="9" l="1"/>
  <c r="G173" i="9" s="1"/>
  <c r="H173" i="9" s="1"/>
  <c r="C173" i="9"/>
  <c r="E161" i="4"/>
  <c r="G162" i="4" s="1"/>
  <c r="H162" i="4" s="1"/>
  <c r="I162" i="4" s="1"/>
  <c r="F161" i="4"/>
  <c r="E173" i="9" l="1"/>
  <c r="D173" i="9"/>
  <c r="C174" i="9" s="1"/>
  <c r="F174" i="9"/>
  <c r="G174" i="9" s="1"/>
  <c r="H174" i="9" s="1"/>
  <c r="D162" i="4"/>
  <c r="F162" i="4" s="1"/>
  <c r="D174" i="9" l="1"/>
  <c r="F175" i="9" s="1"/>
  <c r="G175" i="9" s="1"/>
  <c r="H175" i="9" s="1"/>
  <c r="E174" i="9"/>
  <c r="C175" i="9"/>
  <c r="E162" i="4"/>
  <c r="G163" i="4" s="1"/>
  <c r="H163" i="4" s="1"/>
  <c r="I163" i="4" s="1"/>
  <c r="E175" i="9" l="1"/>
  <c r="D175" i="9"/>
  <c r="C176" i="9"/>
  <c r="F176" i="9"/>
  <c r="G176" i="9" s="1"/>
  <c r="H176" i="9" s="1"/>
  <c r="D163" i="4"/>
  <c r="E163" i="4" s="1"/>
  <c r="D164" i="4" s="1"/>
  <c r="D176" i="9" l="1"/>
  <c r="E176" i="9"/>
  <c r="F177" i="9"/>
  <c r="G177" i="9" s="1"/>
  <c r="H177" i="9" s="1"/>
  <c r="C177" i="9"/>
  <c r="G164" i="4"/>
  <c r="H164" i="4" s="1"/>
  <c r="I164" i="4" s="1"/>
  <c r="F163" i="4"/>
  <c r="F164" i="4"/>
  <c r="E164" i="4"/>
  <c r="G165" i="4" s="1"/>
  <c r="H165" i="4" s="1"/>
  <c r="I165" i="4" s="1"/>
  <c r="D177" i="9" l="1"/>
  <c r="E177" i="9"/>
  <c r="D165" i="4"/>
  <c r="E165" i="4" s="1"/>
  <c r="F178" i="9" l="1"/>
  <c r="G178" i="9" s="1"/>
  <c r="H178" i="9" s="1"/>
  <c r="C178" i="9"/>
  <c r="F165" i="4"/>
  <c r="D166" i="4"/>
  <c r="E166" i="4" s="1"/>
  <c r="G167" i="4" s="1"/>
  <c r="H167" i="4" s="1"/>
  <c r="I167" i="4" s="1"/>
  <c r="G166" i="4"/>
  <c r="H166" i="4" s="1"/>
  <c r="I166" i="4" s="1"/>
  <c r="E178" i="9" l="1"/>
  <c r="D178" i="9"/>
  <c r="F179" i="9" s="1"/>
  <c r="G179" i="9" s="1"/>
  <c r="H179" i="9" s="1"/>
  <c r="C179" i="9"/>
  <c r="F166" i="4"/>
  <c r="D167" i="4"/>
  <c r="D179" i="9" l="1"/>
  <c r="F180" i="9" s="1"/>
  <c r="G180" i="9" s="1"/>
  <c r="H180" i="9" s="1"/>
  <c r="C180" i="9"/>
  <c r="E179" i="9"/>
  <c r="E167" i="4"/>
  <c r="D168" i="4" s="1"/>
  <c r="F167" i="4"/>
  <c r="E180" i="9" l="1"/>
  <c r="D180" i="9"/>
  <c r="G168" i="4"/>
  <c r="H168" i="4" s="1"/>
  <c r="I168" i="4" s="1"/>
  <c r="F168" i="4"/>
  <c r="E168" i="4"/>
  <c r="G169" i="4" s="1"/>
  <c r="H169" i="4" s="1"/>
  <c r="I169" i="4" s="1"/>
  <c r="F181" i="9" l="1"/>
  <c r="G181" i="9" s="1"/>
  <c r="H181" i="9" s="1"/>
  <c r="C181" i="9"/>
  <c r="D169" i="4"/>
  <c r="D181" i="9" l="1"/>
  <c r="F182" i="9" s="1"/>
  <c r="G182" i="9" s="1"/>
  <c r="H182" i="9" s="1"/>
  <c r="C182" i="9"/>
  <c r="E181" i="9"/>
  <c r="F169" i="4"/>
  <c r="E169" i="4"/>
  <c r="G170" i="4" s="1"/>
  <c r="H170" i="4" s="1"/>
  <c r="I170" i="4" s="1"/>
  <c r="E182" i="9" l="1"/>
  <c r="D182" i="9"/>
  <c r="F183" i="9" s="1"/>
  <c r="G183" i="9" s="1"/>
  <c r="H183" i="9" s="1"/>
  <c r="C183" i="9"/>
  <c r="D170" i="4"/>
  <c r="E183" i="9" l="1"/>
  <c r="D183" i="9"/>
  <c r="F170" i="4"/>
  <c r="E170" i="4"/>
  <c r="G171" i="4" s="1"/>
  <c r="H171" i="4" s="1"/>
  <c r="I171" i="4" s="1"/>
  <c r="F184" i="9" l="1"/>
  <c r="G184" i="9" s="1"/>
  <c r="H184" i="9" s="1"/>
  <c r="C184" i="9"/>
  <c r="D171" i="4"/>
  <c r="F171" i="4" s="1"/>
  <c r="E171" i="4"/>
  <c r="G172" i="4" s="1"/>
  <c r="H172" i="4" s="1"/>
  <c r="I172" i="4" s="1"/>
  <c r="E184" i="9" l="1"/>
  <c r="D184" i="9"/>
  <c r="F185" i="9" s="1"/>
  <c r="G185" i="9" s="1"/>
  <c r="H185" i="9" s="1"/>
  <c r="C185" i="9"/>
  <c r="D172" i="4"/>
  <c r="E185" i="9" l="1"/>
  <c r="D185" i="9"/>
  <c r="E172" i="4"/>
  <c r="G173" i="4" s="1"/>
  <c r="H173" i="4" s="1"/>
  <c r="I173" i="4" s="1"/>
  <c r="F172" i="4"/>
  <c r="D173" i="4"/>
  <c r="C186" i="9" l="1"/>
  <c r="F186" i="9"/>
  <c r="G186" i="9" s="1"/>
  <c r="H186" i="9" s="1"/>
  <c r="E173" i="4"/>
  <c r="G174" i="4" s="1"/>
  <c r="H174" i="4" s="1"/>
  <c r="I174" i="4" s="1"/>
  <c r="F173" i="4"/>
  <c r="E186" i="9" l="1"/>
  <c r="D186" i="9"/>
  <c r="D174" i="4"/>
  <c r="E174" i="4" s="1"/>
  <c r="F187" i="9" l="1"/>
  <c r="G187" i="9" s="1"/>
  <c r="H187" i="9" s="1"/>
  <c r="C187" i="9"/>
  <c r="F174" i="4"/>
  <c r="G175" i="4"/>
  <c r="H175" i="4" s="1"/>
  <c r="I175" i="4" s="1"/>
  <c r="D175" i="4"/>
  <c r="F175" i="4" s="1"/>
  <c r="E187" i="9" l="1"/>
  <c r="D187" i="9"/>
  <c r="F188" i="9" s="1"/>
  <c r="G188" i="9" s="1"/>
  <c r="H188" i="9" s="1"/>
  <c r="C188" i="9"/>
  <c r="E175" i="4"/>
  <c r="D176" i="4" s="1"/>
  <c r="F176" i="4" s="1"/>
  <c r="D188" i="9" l="1"/>
  <c r="F189" i="9" s="1"/>
  <c r="G189" i="9" s="1"/>
  <c r="H189" i="9" s="1"/>
  <c r="E188" i="9"/>
  <c r="C189" i="9"/>
  <c r="E176" i="4"/>
  <c r="G177" i="4" s="1"/>
  <c r="H177" i="4" s="1"/>
  <c r="I177" i="4" s="1"/>
  <c r="G176" i="4"/>
  <c r="H176" i="4" s="1"/>
  <c r="I176" i="4" s="1"/>
  <c r="D177" i="4"/>
  <c r="E189" i="9" l="1"/>
  <c r="D189" i="9"/>
  <c r="F177" i="4"/>
  <c r="E177" i="4"/>
  <c r="G178" i="4" s="1"/>
  <c r="H178" i="4" s="1"/>
  <c r="I178" i="4" s="1"/>
  <c r="C190" i="9" l="1"/>
  <c r="F190" i="9"/>
  <c r="G190" i="9" s="1"/>
  <c r="H190" i="9" s="1"/>
  <c r="D178" i="4"/>
  <c r="E190" i="9" l="1"/>
  <c r="D190" i="9"/>
  <c r="F191" i="9" s="1"/>
  <c r="G191" i="9" s="1"/>
  <c r="H191" i="9" s="1"/>
  <c r="C191" i="9"/>
  <c r="F178" i="4"/>
  <c r="E178" i="4"/>
  <c r="D179" i="4" s="1"/>
  <c r="D191" i="9" l="1"/>
  <c r="F192" i="9" s="1"/>
  <c r="G192" i="9" s="1"/>
  <c r="H192" i="9" s="1"/>
  <c r="E191" i="9"/>
  <c r="C192" i="9"/>
  <c r="G179" i="4"/>
  <c r="H179" i="4" s="1"/>
  <c r="I179" i="4" s="1"/>
  <c r="E179" i="4"/>
  <c r="F179" i="4"/>
  <c r="E192" i="9" l="1"/>
  <c r="D192" i="9"/>
  <c r="F193" i="9" s="1"/>
  <c r="G193" i="9" s="1"/>
  <c r="H193" i="9" s="1"/>
  <c r="C193" i="9"/>
  <c r="D180" i="4"/>
  <c r="G180" i="4"/>
  <c r="H180" i="4" s="1"/>
  <c r="I180" i="4" s="1"/>
  <c r="D193" i="9" l="1"/>
  <c r="F194" i="9" s="1"/>
  <c r="G194" i="9" s="1"/>
  <c r="H194" i="9" s="1"/>
  <c r="C194" i="9"/>
  <c r="E193" i="9"/>
  <c r="E180" i="4"/>
  <c r="D181" i="4" s="1"/>
  <c r="F180" i="4"/>
  <c r="D194" i="9" l="1"/>
  <c r="E194" i="9"/>
  <c r="F195" i="9"/>
  <c r="G195" i="9" s="1"/>
  <c r="H195" i="9" s="1"/>
  <c r="C195" i="9"/>
  <c r="G181" i="4"/>
  <c r="H181" i="4" s="1"/>
  <c r="I181" i="4" s="1"/>
  <c r="E181" i="4"/>
  <c r="G182" i="4" s="1"/>
  <c r="H182" i="4" s="1"/>
  <c r="I182" i="4" s="1"/>
  <c r="F181" i="4"/>
  <c r="D195" i="9" l="1"/>
  <c r="C196" i="9" s="1"/>
  <c r="F196" i="9"/>
  <c r="G196" i="9" s="1"/>
  <c r="H196" i="9" s="1"/>
  <c r="E195" i="9"/>
  <c r="D182" i="4"/>
  <c r="E182" i="4" s="1"/>
  <c r="F182" i="4"/>
  <c r="E196" i="9" l="1"/>
  <c r="D196" i="9"/>
  <c r="F197" i="9" s="1"/>
  <c r="G197" i="9" s="1"/>
  <c r="H197" i="9" s="1"/>
  <c r="D183" i="4"/>
  <c r="F183" i="4" s="1"/>
  <c r="G183" i="4"/>
  <c r="H183" i="4" s="1"/>
  <c r="I183" i="4" s="1"/>
  <c r="C197" i="9" l="1"/>
  <c r="D197" i="9"/>
  <c r="F198" i="9" s="1"/>
  <c r="G198" i="9" s="1"/>
  <c r="H198" i="9" s="1"/>
  <c r="E197" i="9"/>
  <c r="C198" i="9"/>
  <c r="E183" i="4"/>
  <c r="G184" i="4" s="1"/>
  <c r="H184" i="4" s="1"/>
  <c r="I184" i="4" s="1"/>
  <c r="D184" i="4"/>
  <c r="E184" i="4" s="1"/>
  <c r="G185" i="4" s="1"/>
  <c r="H185" i="4" s="1"/>
  <c r="I185" i="4" s="1"/>
  <c r="D198" i="9" l="1"/>
  <c r="F199" i="9" s="1"/>
  <c r="G199" i="9" s="1"/>
  <c r="H199" i="9" s="1"/>
  <c r="E198" i="9"/>
  <c r="C199" i="9"/>
  <c r="F184" i="4"/>
  <c r="D185" i="4"/>
  <c r="F185" i="4" s="1"/>
  <c r="E199" i="9" l="1"/>
  <c r="D199" i="9"/>
  <c r="E185" i="4"/>
  <c r="D186" i="4" s="1"/>
  <c r="E186" i="4" s="1"/>
  <c r="D187" i="4" s="1"/>
  <c r="F186" i="4"/>
  <c r="F200" i="9" l="1"/>
  <c r="G200" i="9" s="1"/>
  <c r="H200" i="9" s="1"/>
  <c r="C200" i="9"/>
  <c r="G186" i="4"/>
  <c r="H186" i="4" s="1"/>
  <c r="I186" i="4" s="1"/>
  <c r="G187" i="4"/>
  <c r="H187" i="4" s="1"/>
  <c r="I187" i="4" s="1"/>
  <c r="E187" i="4"/>
  <c r="G188" i="4" s="1"/>
  <c r="H188" i="4" s="1"/>
  <c r="I188" i="4" s="1"/>
  <c r="F187" i="4"/>
  <c r="E200" i="9" l="1"/>
  <c r="D200" i="9"/>
  <c r="D188" i="4"/>
  <c r="F188" i="4" s="1"/>
  <c r="F201" i="9" l="1"/>
  <c r="G201" i="9" s="1"/>
  <c r="H201" i="9" s="1"/>
  <c r="C201" i="9"/>
  <c r="E188" i="4"/>
  <c r="G189" i="4" s="1"/>
  <c r="H189" i="4" s="1"/>
  <c r="I189" i="4" s="1"/>
  <c r="D201" i="9" l="1"/>
  <c r="C202" i="9" s="1"/>
  <c r="E201" i="9"/>
  <c r="F202" i="9"/>
  <c r="G202" i="9" s="1"/>
  <c r="H202" i="9" s="1"/>
  <c r="D189" i="4"/>
  <c r="D202" i="9" l="1"/>
  <c r="F203" i="9" s="1"/>
  <c r="G203" i="9" s="1"/>
  <c r="H203" i="9" s="1"/>
  <c r="C203" i="9"/>
  <c r="E202" i="9"/>
  <c r="E189" i="4"/>
  <c r="F189" i="4"/>
  <c r="E203" i="9" l="1"/>
  <c r="D203" i="9"/>
  <c r="F204" i="9" s="1"/>
  <c r="G204" i="9" s="1"/>
  <c r="H204" i="9" s="1"/>
  <c r="C204" i="9"/>
  <c r="G190" i="4"/>
  <c r="H190" i="4" s="1"/>
  <c r="I190" i="4" s="1"/>
  <c r="D190" i="4"/>
  <c r="D204" i="9" l="1"/>
  <c r="F205" i="9" s="1"/>
  <c r="G205" i="9" s="1"/>
  <c r="H205" i="9" s="1"/>
  <c r="E204" i="9"/>
  <c r="C205" i="9"/>
  <c r="F190" i="4"/>
  <c r="E190" i="4"/>
  <c r="G191" i="4" s="1"/>
  <c r="H191" i="4" s="1"/>
  <c r="I191" i="4" s="1"/>
  <c r="E205" i="9" l="1"/>
  <c r="D205" i="9"/>
  <c r="F206" i="9" s="1"/>
  <c r="G206" i="9" s="1"/>
  <c r="H206" i="9" s="1"/>
  <c r="C206" i="9"/>
  <c r="D191" i="4"/>
  <c r="D206" i="9" l="1"/>
  <c r="F207" i="9" s="1"/>
  <c r="G207" i="9" s="1"/>
  <c r="H207" i="9" s="1"/>
  <c r="E206" i="9"/>
  <c r="C207" i="9"/>
  <c r="E191" i="4"/>
  <c r="G192" i="4" s="1"/>
  <c r="H192" i="4" s="1"/>
  <c r="I192" i="4" s="1"/>
  <c r="F191" i="4"/>
  <c r="E207" i="9" l="1"/>
  <c r="D207" i="9"/>
  <c r="D192" i="4"/>
  <c r="F192" i="4"/>
  <c r="E192" i="4"/>
  <c r="G193" i="4" s="1"/>
  <c r="H193" i="4" s="1"/>
  <c r="I193" i="4" s="1"/>
  <c r="F208" i="9" l="1"/>
  <c r="G208" i="9" s="1"/>
  <c r="H208" i="9" s="1"/>
  <c r="C208" i="9"/>
  <c r="D193" i="4"/>
  <c r="E193" i="4" s="1"/>
  <c r="D208" i="9" l="1"/>
  <c r="F209" i="9" s="1"/>
  <c r="G209" i="9" s="1"/>
  <c r="H209" i="9" s="1"/>
  <c r="E208" i="9"/>
  <c r="C209" i="9"/>
  <c r="F193" i="4"/>
  <c r="G194" i="4"/>
  <c r="H194" i="4" s="1"/>
  <c r="I194" i="4" s="1"/>
  <c r="D194" i="4"/>
  <c r="F194" i="4" s="1"/>
  <c r="D209" i="9" l="1"/>
  <c r="C210" i="9" s="1"/>
  <c r="E209" i="9"/>
  <c r="F210" i="9"/>
  <c r="G210" i="9" s="1"/>
  <c r="H210" i="9" s="1"/>
  <c r="E194" i="4"/>
  <c r="G195" i="4" s="1"/>
  <c r="H195" i="4" s="1"/>
  <c r="I195" i="4" s="1"/>
  <c r="D210" i="9" l="1"/>
  <c r="C211" i="9" s="1"/>
  <c r="E210" i="9"/>
  <c r="F211" i="9"/>
  <c r="G211" i="9" s="1"/>
  <c r="H211" i="9" s="1"/>
  <c r="D195" i="4"/>
  <c r="E195" i="4"/>
  <c r="D196" i="4" s="1"/>
  <c r="F195" i="4"/>
  <c r="D211" i="9" l="1"/>
  <c r="F212" i="9" s="1"/>
  <c r="G212" i="9" s="1"/>
  <c r="H212" i="9" s="1"/>
  <c r="E211" i="9"/>
  <c r="C212" i="9"/>
  <c r="G196" i="4"/>
  <c r="H196" i="4" s="1"/>
  <c r="I196" i="4" s="1"/>
  <c r="E196" i="4"/>
  <c r="D197" i="4" s="1"/>
  <c r="F196" i="4"/>
  <c r="D212" i="9" l="1"/>
  <c r="F213" i="9" s="1"/>
  <c r="G213" i="9" s="1"/>
  <c r="H213" i="9" s="1"/>
  <c r="E212" i="9"/>
  <c r="C213" i="9"/>
  <c r="G197" i="4"/>
  <c r="H197" i="4" s="1"/>
  <c r="I197" i="4" s="1"/>
  <c r="E197" i="4"/>
  <c r="G198" i="4" s="1"/>
  <c r="H198" i="4" s="1"/>
  <c r="I198" i="4" s="1"/>
  <c r="F197" i="4"/>
  <c r="E213" i="9" l="1"/>
  <c r="D213" i="9"/>
  <c r="F214" i="9" s="1"/>
  <c r="G214" i="9" s="1"/>
  <c r="H214" i="9" s="1"/>
  <c r="C214" i="9"/>
  <c r="D198" i="4"/>
  <c r="F198" i="4" s="1"/>
  <c r="E198" i="4"/>
  <c r="D199" i="4" s="1"/>
  <c r="E214" i="9" l="1"/>
  <c r="D214" i="9"/>
  <c r="C215" i="9" s="1"/>
  <c r="F215" i="9"/>
  <c r="G215" i="9" s="1"/>
  <c r="H215" i="9" s="1"/>
  <c r="G199" i="4"/>
  <c r="H199" i="4" s="1"/>
  <c r="I199" i="4" s="1"/>
  <c r="F199" i="4"/>
  <c r="E199" i="4"/>
  <c r="G200" i="4" s="1"/>
  <c r="H200" i="4" s="1"/>
  <c r="I200" i="4" s="1"/>
  <c r="E215" i="9" l="1"/>
  <c r="D215" i="9"/>
  <c r="C216" i="9" s="1"/>
  <c r="F216" i="9"/>
  <c r="G216" i="9" s="1"/>
  <c r="H216" i="9" s="1"/>
  <c r="D200" i="4"/>
  <c r="E200" i="4" s="1"/>
  <c r="G201" i="4" s="1"/>
  <c r="H201" i="4" s="1"/>
  <c r="I201" i="4" s="1"/>
  <c r="D216" i="9" l="1"/>
  <c r="F217" i="9" s="1"/>
  <c r="G217" i="9" s="1"/>
  <c r="H217" i="9" s="1"/>
  <c r="E216" i="9"/>
  <c r="C217" i="9"/>
  <c r="F200" i="4"/>
  <c r="D201" i="4"/>
  <c r="E201" i="4"/>
  <c r="F201" i="4"/>
  <c r="G202" i="4"/>
  <c r="H202" i="4" s="1"/>
  <c r="I202" i="4" s="1"/>
  <c r="D202" i="4"/>
  <c r="E217" i="9" l="1"/>
  <c r="D217" i="9"/>
  <c r="F218" i="9" s="1"/>
  <c r="G218" i="9" s="1"/>
  <c r="H218" i="9" s="1"/>
  <c r="E202" i="4"/>
  <c r="D203" i="4" s="1"/>
  <c r="F202" i="4"/>
  <c r="C218" i="9" l="1"/>
  <c r="E218" i="9"/>
  <c r="D218" i="9"/>
  <c r="F219" i="9" s="1"/>
  <c r="G219" i="9" s="1"/>
  <c r="H219" i="9" s="1"/>
  <c r="C219" i="9"/>
  <c r="F203" i="4"/>
  <c r="E203" i="4"/>
  <c r="G204" i="4" s="1"/>
  <c r="H204" i="4" s="1"/>
  <c r="I204" i="4" s="1"/>
  <c r="G203" i="4"/>
  <c r="H203" i="4" s="1"/>
  <c r="I203" i="4" s="1"/>
  <c r="E219" i="9" l="1"/>
  <c r="D219" i="9"/>
  <c r="F220" i="9" s="1"/>
  <c r="G220" i="9" s="1"/>
  <c r="H220" i="9" s="1"/>
  <c r="D204" i="4"/>
  <c r="F204" i="4" s="1"/>
  <c r="E204" i="4"/>
  <c r="C220" i="9" l="1"/>
  <c r="G205" i="4"/>
  <c r="H205" i="4" s="1"/>
  <c r="I205" i="4" s="1"/>
  <c r="D205" i="4"/>
  <c r="E220" i="9" l="1"/>
  <c r="D220" i="9"/>
  <c r="F221" i="9" s="1"/>
  <c r="G221" i="9" s="1"/>
  <c r="H221" i="9" s="1"/>
  <c r="C221" i="9"/>
  <c r="E205" i="4"/>
  <c r="G206" i="4" s="1"/>
  <c r="H206" i="4" s="1"/>
  <c r="I206" i="4" s="1"/>
  <c r="F205" i="4"/>
  <c r="E221" i="9" l="1"/>
  <c r="D221" i="9"/>
  <c r="F222" i="9" s="1"/>
  <c r="G222" i="9" s="1"/>
  <c r="H222" i="9" s="1"/>
  <c r="C222" i="9"/>
  <c r="D206" i="4"/>
  <c r="E206" i="4" s="1"/>
  <c r="G207" i="4" s="1"/>
  <c r="H207" i="4" s="1"/>
  <c r="I207" i="4" s="1"/>
  <c r="F206" i="4"/>
  <c r="E222" i="9" l="1"/>
  <c r="D222" i="9"/>
  <c r="C223" i="9" s="1"/>
  <c r="D207" i="4"/>
  <c r="F207" i="4" s="1"/>
  <c r="F223" i="9" l="1"/>
  <c r="G223" i="9" s="1"/>
  <c r="H223" i="9" s="1"/>
  <c r="D223" i="9"/>
  <c r="C224" i="9" s="1"/>
  <c r="E223" i="9"/>
  <c r="F224" i="9"/>
  <c r="G224" i="9" s="1"/>
  <c r="H224" i="9" s="1"/>
  <c r="E207" i="4"/>
  <c r="G208" i="4" s="1"/>
  <c r="H208" i="4" s="1"/>
  <c r="I208" i="4" s="1"/>
  <c r="D224" i="9" l="1"/>
  <c r="F225" i="9" s="1"/>
  <c r="G225" i="9" s="1"/>
  <c r="H225" i="9" s="1"/>
  <c r="E224" i="9"/>
  <c r="C225" i="9"/>
  <c r="D208" i="4"/>
  <c r="E208" i="4" s="1"/>
  <c r="F208" i="4"/>
  <c r="G209" i="4"/>
  <c r="H209" i="4" s="1"/>
  <c r="I209" i="4" s="1"/>
  <c r="D209" i="4"/>
  <c r="E209" i="4"/>
  <c r="G210" i="4" s="1"/>
  <c r="H210" i="4" s="1"/>
  <c r="I210" i="4" s="1"/>
  <c r="F209" i="4"/>
  <c r="D210" i="4"/>
  <c r="E225" i="9" l="1"/>
  <c r="D225" i="9"/>
  <c r="C226" i="9" s="1"/>
  <c r="F226" i="9"/>
  <c r="G226" i="9" s="1"/>
  <c r="H226" i="9" s="1"/>
  <c r="F210" i="4"/>
  <c r="E210" i="4"/>
  <c r="E226" i="9" l="1"/>
  <c r="D226" i="9"/>
  <c r="F227" i="9" s="1"/>
  <c r="G227" i="9" s="1"/>
  <c r="H227" i="9" s="1"/>
  <c r="C227" i="9"/>
  <c r="G211" i="4"/>
  <c r="H211" i="4" s="1"/>
  <c r="I211" i="4" s="1"/>
  <c r="D211" i="4"/>
  <c r="E227" i="9" l="1"/>
  <c r="D227" i="9"/>
  <c r="F228" i="9" s="1"/>
  <c r="G228" i="9" s="1"/>
  <c r="H228" i="9" s="1"/>
  <c r="F211" i="4"/>
  <c r="E211" i="4"/>
  <c r="D212" i="4" s="1"/>
  <c r="C228" i="9" l="1"/>
  <c r="G212" i="4"/>
  <c r="H212" i="4" s="1"/>
  <c r="I212" i="4" s="1"/>
  <c r="F212" i="4"/>
  <c r="E212" i="4"/>
  <c r="G213" i="4" s="1"/>
  <c r="H213" i="4" s="1"/>
  <c r="I213" i="4" s="1"/>
  <c r="E228" i="9" l="1"/>
  <c r="D228" i="9"/>
  <c r="C229" i="9"/>
  <c r="F229" i="9"/>
  <c r="G229" i="9" s="1"/>
  <c r="H229" i="9" s="1"/>
  <c r="D213" i="4"/>
  <c r="E229" i="9" l="1"/>
  <c r="D229" i="9"/>
  <c r="F230" i="9" s="1"/>
  <c r="G230" i="9" s="1"/>
  <c r="H230" i="9" s="1"/>
  <c r="C230" i="9"/>
  <c r="F213" i="4"/>
  <c r="E213" i="4"/>
  <c r="G214" i="4" s="1"/>
  <c r="H214" i="4" s="1"/>
  <c r="I214" i="4" s="1"/>
  <c r="D230" i="9" l="1"/>
  <c r="F231" i="9" s="1"/>
  <c r="G231" i="9" s="1"/>
  <c r="H231" i="9" s="1"/>
  <c r="E230" i="9"/>
  <c r="C231" i="9"/>
  <c r="D214" i="4"/>
  <c r="E214" i="4"/>
  <c r="F214" i="4"/>
  <c r="D231" i="9" l="1"/>
  <c r="F232" i="9" s="1"/>
  <c r="G232" i="9" s="1"/>
  <c r="H232" i="9" s="1"/>
  <c r="C232" i="9"/>
  <c r="E231" i="9"/>
  <c r="G215" i="4"/>
  <c r="H215" i="4" s="1"/>
  <c r="I215" i="4" s="1"/>
  <c r="D215" i="4"/>
  <c r="E232" i="9" l="1"/>
  <c r="D232" i="9"/>
  <c r="F233" i="9" s="1"/>
  <c r="G233" i="9" s="1"/>
  <c r="H233" i="9" s="1"/>
  <c r="C233" i="9"/>
  <c r="F215" i="4"/>
  <c r="E215" i="4"/>
  <c r="E233" i="9" l="1"/>
  <c r="D233" i="9"/>
  <c r="F234" i="9" s="1"/>
  <c r="G234" i="9" s="1"/>
  <c r="H234" i="9" s="1"/>
  <c r="C234" i="9"/>
  <c r="G216" i="4"/>
  <c r="H216" i="4" s="1"/>
  <c r="I216" i="4" s="1"/>
  <c r="D216" i="4"/>
  <c r="E234" i="9" l="1"/>
  <c r="D234" i="9"/>
  <c r="F216" i="4"/>
  <c r="E216" i="4"/>
  <c r="G217" i="4" s="1"/>
  <c r="H217" i="4" s="1"/>
  <c r="I217" i="4" s="1"/>
  <c r="F235" i="9" l="1"/>
  <c r="G235" i="9" s="1"/>
  <c r="H235" i="9" s="1"/>
  <c r="C235" i="9"/>
  <c r="D217" i="4"/>
  <c r="E217" i="4"/>
  <c r="F217" i="4"/>
  <c r="D235" i="9" l="1"/>
  <c r="F236" i="9" s="1"/>
  <c r="G236" i="9" s="1"/>
  <c r="H236" i="9" s="1"/>
  <c r="E235" i="9"/>
  <c r="C236" i="9"/>
  <c r="G218" i="4"/>
  <c r="H218" i="4" s="1"/>
  <c r="I218" i="4" s="1"/>
  <c r="D218" i="4"/>
  <c r="E236" i="9" l="1"/>
  <c r="D236" i="9"/>
  <c r="F237" i="9"/>
  <c r="G237" i="9" s="1"/>
  <c r="H237" i="9" s="1"/>
  <c r="C237" i="9"/>
  <c r="E218" i="4"/>
  <c r="G219" i="4" s="1"/>
  <c r="H219" i="4" s="1"/>
  <c r="I219" i="4" s="1"/>
  <c r="F218" i="4"/>
  <c r="E237" i="9" l="1"/>
  <c r="D237" i="9"/>
  <c r="F238" i="9" s="1"/>
  <c r="G238" i="9" s="1"/>
  <c r="H238" i="9" s="1"/>
  <c r="D219" i="4"/>
  <c r="E219" i="4"/>
  <c r="F219" i="4"/>
  <c r="C238" i="9" l="1"/>
  <c r="D238" i="9"/>
  <c r="F239" i="9"/>
  <c r="G239" i="9" s="1"/>
  <c r="H239" i="9" s="1"/>
  <c r="C239" i="9"/>
  <c r="E238" i="9"/>
  <c r="G220" i="4"/>
  <c r="H220" i="4" s="1"/>
  <c r="I220" i="4" s="1"/>
  <c r="D220" i="4"/>
  <c r="D239" i="9" l="1"/>
  <c r="F240" i="9" s="1"/>
  <c r="G240" i="9" s="1"/>
  <c r="H240" i="9" s="1"/>
  <c r="C240" i="9"/>
  <c r="E239" i="9"/>
  <c r="F220" i="4"/>
  <c r="E220" i="4"/>
  <c r="E240" i="9" l="1"/>
  <c r="D240" i="9"/>
  <c r="F241" i="9" s="1"/>
  <c r="G241" i="9" s="1"/>
  <c r="H241" i="9" s="1"/>
  <c r="C241" i="9"/>
  <c r="G221" i="4"/>
  <c r="H221" i="4" s="1"/>
  <c r="I221" i="4" s="1"/>
  <c r="D221" i="4"/>
  <c r="E241" i="9" l="1"/>
  <c r="D241" i="9"/>
  <c r="F242" i="9" s="1"/>
  <c r="G242" i="9" s="1"/>
  <c r="H242" i="9" s="1"/>
  <c r="C242" i="9"/>
  <c r="E221" i="4"/>
  <c r="F221" i="4"/>
  <c r="D242" i="9" l="1"/>
  <c r="F243" i="9" s="1"/>
  <c r="G243" i="9" s="1"/>
  <c r="H243" i="9" s="1"/>
  <c r="C243" i="9"/>
  <c r="E242" i="9"/>
  <c r="G222" i="4"/>
  <c r="H222" i="4" s="1"/>
  <c r="I222" i="4" s="1"/>
  <c r="D222" i="4"/>
  <c r="D243" i="9" l="1"/>
  <c r="C244" i="9" s="1"/>
  <c r="E243" i="9"/>
  <c r="F244" i="9"/>
  <c r="G244" i="9" s="1"/>
  <c r="H244" i="9" s="1"/>
  <c r="E222" i="4"/>
  <c r="G223" i="4" s="1"/>
  <c r="H223" i="4" s="1"/>
  <c r="I223" i="4" s="1"/>
  <c r="F222" i="4"/>
  <c r="E244" i="9" l="1"/>
  <c r="D244" i="9"/>
  <c r="D223" i="4"/>
  <c r="E223" i="4" s="1"/>
  <c r="G224" i="4" s="1"/>
  <c r="H224" i="4" s="1"/>
  <c r="I224" i="4" s="1"/>
  <c r="F223" i="4"/>
  <c r="F245" i="9" l="1"/>
  <c r="G245" i="9" s="1"/>
  <c r="H245" i="9" s="1"/>
  <c r="C245" i="9"/>
  <c r="D224" i="4"/>
  <c r="E224" i="4" s="1"/>
  <c r="E245" i="9" l="1"/>
  <c r="D245" i="9"/>
  <c r="F246" i="9"/>
  <c r="G246" i="9" s="1"/>
  <c r="H246" i="9" s="1"/>
  <c r="C246" i="9"/>
  <c r="F224" i="4"/>
  <c r="G225" i="4"/>
  <c r="H225" i="4" s="1"/>
  <c r="I225" i="4" s="1"/>
  <c r="D225" i="4"/>
  <c r="F225" i="4" s="1"/>
  <c r="E225" i="4"/>
  <c r="G226" i="4" s="1"/>
  <c r="H226" i="4" s="1"/>
  <c r="I226" i="4" s="1"/>
  <c r="D246" i="9" l="1"/>
  <c r="F247" i="9" s="1"/>
  <c r="G247" i="9" s="1"/>
  <c r="H247" i="9" s="1"/>
  <c r="C247" i="9"/>
  <c r="E246" i="9"/>
  <c r="D226" i="4"/>
  <c r="E226" i="4" s="1"/>
  <c r="D227" i="4" s="1"/>
  <c r="F226" i="4"/>
  <c r="E247" i="9" l="1"/>
  <c r="D247" i="9"/>
  <c r="G227" i="4"/>
  <c r="H227" i="4" s="1"/>
  <c r="I227" i="4" s="1"/>
  <c r="E227" i="4"/>
  <c r="F227" i="4"/>
  <c r="F248" i="9" l="1"/>
  <c r="G248" i="9" s="1"/>
  <c r="H248" i="9" s="1"/>
  <c r="C248" i="9"/>
  <c r="D228" i="4"/>
  <c r="G228" i="4"/>
  <c r="H228" i="4" s="1"/>
  <c r="I228" i="4" s="1"/>
  <c r="E248" i="9" l="1"/>
  <c r="D248" i="9"/>
  <c r="F249" i="9"/>
  <c r="G249" i="9" s="1"/>
  <c r="H249" i="9" s="1"/>
  <c r="C249" i="9"/>
  <c r="F228" i="4"/>
  <c r="E228" i="4"/>
  <c r="G229" i="4" s="1"/>
  <c r="H229" i="4" s="1"/>
  <c r="I229" i="4" s="1"/>
  <c r="D249" i="9" l="1"/>
  <c r="C250" i="9" s="1"/>
  <c r="E249" i="9"/>
  <c r="F250" i="9"/>
  <c r="G250" i="9" s="1"/>
  <c r="H250" i="9" s="1"/>
  <c r="D229" i="4"/>
  <c r="E229" i="4"/>
  <c r="D230" i="4" s="1"/>
  <c r="F229" i="4"/>
  <c r="D250" i="9" l="1"/>
  <c r="F251" i="9"/>
  <c r="G251" i="9" s="1"/>
  <c r="H251" i="9" s="1"/>
  <c r="E250" i="9"/>
  <c r="C251" i="9"/>
  <c r="G230" i="4"/>
  <c r="H230" i="4" s="1"/>
  <c r="I230" i="4" s="1"/>
  <c r="F230" i="4"/>
  <c r="E230" i="4"/>
  <c r="G231" i="4" s="1"/>
  <c r="H231" i="4" s="1"/>
  <c r="I231" i="4" s="1"/>
  <c r="D251" i="9" l="1"/>
  <c r="F252" i="9" s="1"/>
  <c r="G252" i="9" s="1"/>
  <c r="H252" i="9" s="1"/>
  <c r="E251" i="9"/>
  <c r="C252" i="9"/>
  <c r="D231" i="4"/>
  <c r="F231" i="4" s="1"/>
  <c r="E231" i="4"/>
  <c r="E252" i="9" l="1"/>
  <c r="D252" i="9"/>
  <c r="G232" i="4"/>
  <c r="H232" i="4" s="1"/>
  <c r="I232" i="4" s="1"/>
  <c r="D232" i="4"/>
  <c r="F253" i="9" l="1"/>
  <c r="G253" i="9" s="1"/>
  <c r="H253" i="9" s="1"/>
  <c r="C253" i="9"/>
  <c r="E232" i="4"/>
  <c r="G233" i="4" s="1"/>
  <c r="H233" i="4" s="1"/>
  <c r="I233" i="4" s="1"/>
  <c r="F232" i="4"/>
  <c r="D233" i="4"/>
  <c r="E253" i="9" l="1"/>
  <c r="D253" i="9"/>
  <c r="C254" i="9" s="1"/>
  <c r="F254" i="9"/>
  <c r="G254" i="9" s="1"/>
  <c r="H254" i="9" s="1"/>
  <c r="E233" i="4"/>
  <c r="G234" i="4" s="1"/>
  <c r="H234" i="4" s="1"/>
  <c r="I234" i="4" s="1"/>
  <c r="F233" i="4"/>
  <c r="D234" i="4"/>
  <c r="D254" i="9" l="1"/>
  <c r="F255" i="9" s="1"/>
  <c r="G255" i="9" s="1"/>
  <c r="H255" i="9" s="1"/>
  <c r="C255" i="9"/>
  <c r="E254" i="9"/>
  <c r="F234" i="4"/>
  <c r="E234" i="4"/>
  <c r="G235" i="4" s="1"/>
  <c r="H235" i="4" s="1"/>
  <c r="I235" i="4" s="1"/>
  <c r="D255" i="9" l="1"/>
  <c r="C256" i="9" s="1"/>
  <c r="E255" i="9"/>
  <c r="F256" i="9"/>
  <c r="G256" i="9" s="1"/>
  <c r="H256" i="9" s="1"/>
  <c r="D235" i="4"/>
  <c r="E235" i="4" s="1"/>
  <c r="D236" i="4" s="1"/>
  <c r="F235" i="4"/>
  <c r="E256" i="9" l="1"/>
  <c r="D256" i="9"/>
  <c r="F257" i="9" s="1"/>
  <c r="G257" i="9" s="1"/>
  <c r="H257" i="9" s="1"/>
  <c r="C257" i="9"/>
  <c r="G236" i="4"/>
  <c r="H236" i="4" s="1"/>
  <c r="I236" i="4" s="1"/>
  <c r="F236" i="4"/>
  <c r="E236" i="4"/>
  <c r="G237" i="4" s="1"/>
  <c r="H237" i="4" s="1"/>
  <c r="I237" i="4" s="1"/>
  <c r="D257" i="9" l="1"/>
  <c r="F258" i="9" s="1"/>
  <c r="G258" i="9" s="1"/>
  <c r="H258" i="9" s="1"/>
  <c r="E257" i="9"/>
  <c r="C258" i="9"/>
  <c r="D237" i="4"/>
  <c r="E258" i="9" l="1"/>
  <c r="D258" i="9"/>
  <c r="F259" i="9" s="1"/>
  <c r="G259" i="9" s="1"/>
  <c r="H259" i="9" s="1"/>
  <c r="F237" i="4"/>
  <c r="E237" i="4"/>
  <c r="G238" i="4" s="1"/>
  <c r="H238" i="4" s="1"/>
  <c r="I238" i="4" s="1"/>
  <c r="C259" i="9" l="1"/>
  <c r="E259" i="9"/>
  <c r="D259" i="9"/>
  <c r="F260" i="9" s="1"/>
  <c r="G260" i="9" s="1"/>
  <c r="H260" i="9" s="1"/>
  <c r="C260" i="9"/>
  <c r="D238" i="4"/>
  <c r="E238" i="4" s="1"/>
  <c r="D260" i="9" l="1"/>
  <c r="E260" i="9"/>
  <c r="F238" i="4"/>
  <c r="G239" i="4"/>
  <c r="H239" i="4" s="1"/>
  <c r="I239" i="4" s="1"/>
  <c r="D239" i="4"/>
  <c r="F239" i="4" s="1"/>
  <c r="E239" i="4"/>
  <c r="C261" i="9" l="1"/>
  <c r="F261" i="9"/>
  <c r="G261" i="9" s="1"/>
  <c r="H261" i="9" s="1"/>
  <c r="G240" i="4"/>
  <c r="H240" i="4" s="1"/>
  <c r="I240" i="4" s="1"/>
  <c r="D240" i="4"/>
  <c r="E261" i="9" l="1"/>
  <c r="D261" i="9"/>
  <c r="F262" i="9" s="1"/>
  <c r="G262" i="9" s="1"/>
  <c r="H262" i="9" s="1"/>
  <c r="F240" i="4"/>
  <c r="E240" i="4"/>
  <c r="D241" i="4" s="1"/>
  <c r="C262" i="9" l="1"/>
  <c r="G241" i="4"/>
  <c r="H241" i="4" s="1"/>
  <c r="I241" i="4" s="1"/>
  <c r="F241" i="4"/>
  <c r="E241" i="4"/>
  <c r="D262" i="9" l="1"/>
  <c r="E262" i="9"/>
  <c r="F263" i="9"/>
  <c r="G263" i="9" s="1"/>
  <c r="H263" i="9" s="1"/>
  <c r="C263" i="9"/>
  <c r="D242" i="4"/>
  <c r="G242" i="4"/>
  <c r="H242" i="4" s="1"/>
  <c r="I242" i="4" s="1"/>
  <c r="E263" i="9" l="1"/>
  <c r="D263" i="9"/>
  <c r="F264" i="9"/>
  <c r="G264" i="9" s="1"/>
  <c r="H264" i="9" s="1"/>
  <c r="C264" i="9"/>
  <c r="E242" i="4"/>
  <c r="G243" i="4" s="1"/>
  <c r="H243" i="4" s="1"/>
  <c r="I243" i="4" s="1"/>
  <c r="F242" i="4"/>
  <c r="D243" i="4"/>
  <c r="E264" i="9" l="1"/>
  <c r="D264" i="9"/>
  <c r="F265" i="9" s="1"/>
  <c r="G265" i="9" s="1"/>
  <c r="H265" i="9" s="1"/>
  <c r="C265" i="9"/>
  <c r="E243" i="4"/>
  <c r="D244" i="4" s="1"/>
  <c r="F243" i="4"/>
  <c r="D265" i="9" l="1"/>
  <c r="C266" i="9" s="1"/>
  <c r="E265" i="9"/>
  <c r="F266" i="9"/>
  <c r="G266" i="9" s="1"/>
  <c r="H266" i="9" s="1"/>
  <c r="G244" i="4"/>
  <c r="H244" i="4" s="1"/>
  <c r="I244" i="4" s="1"/>
  <c r="F244" i="4"/>
  <c r="E244" i="4"/>
  <c r="D245" i="4" s="1"/>
  <c r="E266" i="9" l="1"/>
  <c r="D266" i="9"/>
  <c r="C267" i="9" s="1"/>
  <c r="F267" i="9"/>
  <c r="G267" i="9" s="1"/>
  <c r="H267" i="9" s="1"/>
  <c r="G245" i="4"/>
  <c r="H245" i="4" s="1"/>
  <c r="I245" i="4" s="1"/>
  <c r="E245" i="4"/>
  <c r="G246" i="4" s="1"/>
  <c r="H246" i="4" s="1"/>
  <c r="I246" i="4" s="1"/>
  <c r="F245" i="4"/>
  <c r="D267" i="9" l="1"/>
  <c r="E267" i="9"/>
  <c r="D246" i="4"/>
  <c r="E246" i="4"/>
  <c r="F246" i="4"/>
  <c r="C268" i="9" l="1"/>
  <c r="F268" i="9"/>
  <c r="G268" i="9" s="1"/>
  <c r="H268" i="9" s="1"/>
  <c r="G247" i="4"/>
  <c r="H247" i="4" s="1"/>
  <c r="I247" i="4" s="1"/>
  <c r="D247" i="4"/>
  <c r="E268" i="9" l="1"/>
  <c r="D268" i="9"/>
  <c r="F247" i="4"/>
  <c r="E247" i="4"/>
  <c r="F269" i="9" l="1"/>
  <c r="G269" i="9" s="1"/>
  <c r="H269" i="9" s="1"/>
  <c r="C269" i="9"/>
  <c r="G248" i="4"/>
  <c r="H248" i="4" s="1"/>
  <c r="I248" i="4" s="1"/>
  <c r="D248" i="4"/>
  <c r="D269" i="9" l="1"/>
  <c r="E269" i="9"/>
  <c r="F270" i="9"/>
  <c r="G270" i="9" s="1"/>
  <c r="H270" i="9" s="1"/>
  <c r="C270" i="9"/>
  <c r="F248" i="4"/>
  <c r="E248" i="4"/>
  <c r="E270" i="9" l="1"/>
  <c r="D270" i="9"/>
  <c r="F271" i="9" s="1"/>
  <c r="G271" i="9" s="1"/>
  <c r="H271" i="9" s="1"/>
  <c r="D249" i="4"/>
  <c r="G249" i="4"/>
  <c r="H249" i="4" s="1"/>
  <c r="I249" i="4" s="1"/>
  <c r="C271" i="9" l="1"/>
  <c r="E249" i="4"/>
  <c r="G250" i="4" s="1"/>
  <c r="H250" i="4" s="1"/>
  <c r="I250" i="4" s="1"/>
  <c r="D250" i="4"/>
  <c r="F249" i="4"/>
  <c r="D271" i="9" l="1"/>
  <c r="C272" i="9" s="1"/>
  <c r="E271" i="9"/>
  <c r="F272" i="9"/>
  <c r="G272" i="9" s="1"/>
  <c r="H272" i="9" s="1"/>
  <c r="F250" i="4"/>
  <c r="E250" i="4"/>
  <c r="G251" i="4" s="1"/>
  <c r="H251" i="4" s="1"/>
  <c r="I251" i="4" s="1"/>
  <c r="E272" i="9" l="1"/>
  <c r="D272" i="9"/>
  <c r="C273" i="9" s="1"/>
  <c r="D251" i="4"/>
  <c r="F251" i="4" s="1"/>
  <c r="E273" i="9" l="1"/>
  <c r="D273" i="9"/>
  <c r="C274" i="9" s="1"/>
  <c r="F274" i="9"/>
  <c r="G274" i="9" s="1"/>
  <c r="H274" i="9" s="1"/>
  <c r="F273" i="9"/>
  <c r="G273" i="9" s="1"/>
  <c r="H273" i="9" s="1"/>
  <c r="E251" i="4"/>
  <c r="D252" i="4" s="1"/>
  <c r="E252" i="4" s="1"/>
  <c r="G253" i="4" s="1"/>
  <c r="H253" i="4" s="1"/>
  <c r="I253" i="4" s="1"/>
  <c r="D274" i="9" l="1"/>
  <c r="C275" i="9" s="1"/>
  <c r="E274" i="9"/>
  <c r="F275" i="9"/>
  <c r="G275" i="9" s="1"/>
  <c r="H275" i="9" s="1"/>
  <c r="F252" i="4"/>
  <c r="G252" i="4"/>
  <c r="H252" i="4" s="1"/>
  <c r="I252" i="4" s="1"/>
  <c r="D253" i="4"/>
  <c r="E253" i="4" s="1"/>
  <c r="G254" i="4" s="1"/>
  <c r="H254" i="4" s="1"/>
  <c r="I254" i="4" s="1"/>
  <c r="F253" i="4"/>
  <c r="D275" i="9" l="1"/>
  <c r="E275" i="9"/>
  <c r="C276" i="9"/>
  <c r="F276" i="9"/>
  <c r="G276" i="9" s="1"/>
  <c r="H276" i="9" s="1"/>
  <c r="K9" i="9" s="1"/>
  <c r="L9" i="9" s="1"/>
  <c r="N13" i="9" s="1"/>
  <c r="D254" i="4"/>
  <c r="E254" i="4" s="1"/>
  <c r="E276" i="9" l="1"/>
  <c r="D276" i="9"/>
  <c r="F277" i="9" s="1"/>
  <c r="F254" i="4"/>
  <c r="D255" i="4"/>
  <c r="F255" i="4" s="1"/>
  <c r="G255" i="4"/>
  <c r="H255" i="4" s="1"/>
  <c r="I255" i="4" s="1"/>
  <c r="C277" i="9" l="1"/>
  <c r="D277" i="9" s="1"/>
  <c r="F278" i="9" s="1"/>
  <c r="E277" i="9"/>
  <c r="E255" i="4"/>
  <c r="D256" i="4" s="1"/>
  <c r="G256" i="4"/>
  <c r="H256" i="4" s="1"/>
  <c r="I256" i="4" s="1"/>
  <c r="E256" i="4"/>
  <c r="G257" i="4" s="1"/>
  <c r="H257" i="4" s="1"/>
  <c r="I257" i="4" s="1"/>
  <c r="F256" i="4"/>
  <c r="C278" i="9" l="1"/>
  <c r="D278" i="9" s="1"/>
  <c r="F279" i="9" s="1"/>
  <c r="E278" i="9"/>
  <c r="D257" i="4"/>
  <c r="F257" i="4" s="1"/>
  <c r="C279" i="9" l="1"/>
  <c r="D279" i="9" s="1"/>
  <c r="F280" i="9" s="1"/>
  <c r="E279" i="9"/>
  <c r="E257" i="4"/>
  <c r="C280" i="9" l="1"/>
  <c r="D280" i="9" s="1"/>
  <c r="F281" i="9" s="1"/>
  <c r="E280" i="9"/>
  <c r="G258" i="4"/>
  <c r="H258" i="4" s="1"/>
  <c r="I258" i="4" s="1"/>
  <c r="D258" i="4"/>
  <c r="C281" i="9" l="1"/>
  <c r="D281" i="9" s="1"/>
  <c r="E281" i="9"/>
  <c r="F258" i="4"/>
  <c r="E258" i="4"/>
  <c r="G259" i="4" l="1"/>
  <c r="H259" i="4" s="1"/>
  <c r="I259" i="4" s="1"/>
  <c r="D259" i="4"/>
  <c r="F259" i="4" l="1"/>
  <c r="E259" i="4"/>
  <c r="D260" i="4" s="1"/>
  <c r="G260" i="4"/>
  <c r="H260" i="4" s="1"/>
  <c r="I260" i="4" s="1"/>
  <c r="F260" i="4" l="1"/>
  <c r="E260" i="4"/>
  <c r="D261" i="4" l="1"/>
  <c r="G261" i="4"/>
  <c r="H261" i="4" s="1"/>
  <c r="I261" i="4" s="1"/>
  <c r="F261" i="4" l="1"/>
  <c r="E261" i="4"/>
  <c r="D262" i="4" s="1"/>
  <c r="G262" i="4" l="1"/>
  <c r="H262" i="4" s="1"/>
  <c r="I262" i="4" s="1"/>
  <c r="F262" i="4"/>
  <c r="E262" i="4"/>
  <c r="D263" i="4" s="1"/>
  <c r="G263" i="4" l="1"/>
  <c r="H263" i="4" s="1"/>
  <c r="I263" i="4" s="1"/>
  <c r="F263" i="4"/>
  <c r="E263" i="4"/>
  <c r="G264" i="4" l="1"/>
  <c r="H264" i="4" s="1"/>
  <c r="I264" i="4" s="1"/>
  <c r="D264" i="4"/>
  <c r="E264" i="4" l="1"/>
  <c r="F264" i="4"/>
  <c r="D265" i="4"/>
  <c r="G265" i="4"/>
  <c r="H265" i="4" s="1"/>
  <c r="I265" i="4" s="1"/>
  <c r="E265" i="4" l="1"/>
  <c r="G266" i="4" s="1"/>
  <c r="H266" i="4" s="1"/>
  <c r="I266" i="4" s="1"/>
  <c r="F265" i="4"/>
  <c r="D266" i="4"/>
  <c r="E266" i="4" l="1"/>
  <c r="F266" i="4"/>
  <c r="D267" i="4" l="1"/>
  <c r="G267" i="4"/>
  <c r="H267" i="4" s="1"/>
  <c r="I267" i="4" s="1"/>
  <c r="L9" i="4" s="1"/>
  <c r="M9" i="4" s="1"/>
  <c r="O13" i="4" s="1"/>
  <c r="F267" i="4" l="1"/>
  <c r="E267" i="4"/>
  <c r="G268" i="4" s="1"/>
  <c r="D268" i="4" l="1"/>
  <c r="E268" i="4" s="1"/>
  <c r="H268" i="4"/>
  <c r="I268" i="4" s="1"/>
  <c r="F268" i="4"/>
  <c r="G269" i="4" l="1"/>
  <c r="D269" i="4"/>
  <c r="E269" i="4" s="1"/>
  <c r="G270" i="4" s="1"/>
  <c r="H269" i="4"/>
  <c r="I269" i="4" s="1"/>
  <c r="F269" i="4" l="1"/>
  <c r="D270" i="4"/>
  <c r="E270" i="4" s="1"/>
  <c r="G271" i="4" s="1"/>
  <c r="D271" i="4" s="1"/>
  <c r="H270" i="4"/>
  <c r="I270" i="4" s="1"/>
  <c r="F270" i="4" l="1"/>
  <c r="E271" i="4"/>
  <c r="G272" i="4" s="1"/>
  <c r="F271" i="4"/>
  <c r="H271" i="4"/>
  <c r="I271" i="4" s="1"/>
  <c r="H272" i="4"/>
  <c r="I272" i="4" s="1"/>
  <c r="D272" i="4"/>
  <c r="E272" i="4" l="1"/>
  <c r="G273" i="4" s="1"/>
  <c r="F272" i="4"/>
  <c r="H273" i="4" l="1"/>
  <c r="I273" i="4" s="1"/>
  <c r="D273" i="4"/>
  <c r="E273" i="4" s="1"/>
  <c r="G274" i="4" s="1"/>
  <c r="F273" i="4" l="1"/>
  <c r="H274" i="4"/>
  <c r="I274" i="4" s="1"/>
  <c r="D274" i="4"/>
  <c r="E274" i="4" l="1"/>
  <c r="G275" i="4" s="1"/>
  <c r="F274" i="4"/>
  <c r="H275" i="4" l="1"/>
  <c r="I275" i="4" s="1"/>
  <c r="D275" i="4"/>
  <c r="E275" i="4" l="1"/>
  <c r="G276" i="4" s="1"/>
  <c r="F275" i="4"/>
  <c r="H276" i="4" l="1"/>
  <c r="I276" i="4" s="1"/>
  <c r="L10" i="4" s="1"/>
  <c r="M10" i="4" s="1"/>
  <c r="O14" i="4" s="1"/>
  <c r="D276" i="4"/>
  <c r="E276" i="4" s="1"/>
  <c r="F276" i="4" l="1"/>
</calcChain>
</file>

<file path=xl/sharedStrings.xml><?xml version="1.0" encoding="utf-8"?>
<sst xmlns="http://schemas.openxmlformats.org/spreadsheetml/2006/main" count="1244" uniqueCount="44">
  <si>
    <t>ventas(M$)</t>
  </si>
  <si>
    <t>fecha</t>
  </si>
  <si>
    <t>Prom. Mov. 12</t>
  </si>
  <si>
    <t>Pronostico</t>
  </si>
  <si>
    <t>Residuos</t>
  </si>
  <si>
    <t>(Residuos)^2</t>
  </si>
  <si>
    <t>Muestra</t>
  </si>
  <si>
    <t>SES</t>
  </si>
  <si>
    <t>Alpha</t>
  </si>
  <si>
    <t>Nivel</t>
  </si>
  <si>
    <t>Tendencia</t>
  </si>
  <si>
    <t>Estacional</t>
  </si>
  <si>
    <t>Residuo</t>
  </si>
  <si>
    <t>(Residuo)^2</t>
  </si>
  <si>
    <t xml:space="preserve">Beta </t>
  </si>
  <si>
    <t>Gamma</t>
  </si>
  <si>
    <t>Metodologías</t>
  </si>
  <si>
    <t>El Mejor Modelo: Multiplicativo de Holt-Winter</t>
  </si>
  <si>
    <t>Alfa</t>
  </si>
  <si>
    <t>Beta</t>
  </si>
  <si>
    <t>Estacionalidad</t>
  </si>
  <si>
    <t>RMSE</t>
  </si>
  <si>
    <t>MSE</t>
  </si>
  <si>
    <t>MAD</t>
  </si>
  <si>
    <t>MAPE</t>
  </si>
  <si>
    <t>U de Theil</t>
  </si>
  <si>
    <t>Segundo Mejor Modelo: Multiplicativo Estacional</t>
  </si>
  <si>
    <t>Tercero Mejor Modelo: Aditivo de Holt-Winter</t>
  </si>
  <si>
    <t>Cuarto Mejor Modelo: Aditivo Estacional</t>
  </si>
  <si>
    <t>Quinto Mejor Modelo: Suavizado Exponencial Doble</t>
  </si>
  <si>
    <t>Sexto Mejor Modelo: Suavizado Exponencial Simple</t>
  </si>
  <si>
    <t>Séptimo Mejor Modelo: Promedio Móvil Simple</t>
  </si>
  <si>
    <t>Octavo Mejor Modelo: Promedio Móvil Doble</t>
  </si>
  <si>
    <t>Desarrollo</t>
  </si>
  <si>
    <t>Validación</t>
  </si>
  <si>
    <t>Entrenamiento</t>
  </si>
  <si>
    <t>RMSE (M$)</t>
  </si>
  <si>
    <t>RMSE ($)</t>
  </si>
  <si>
    <t>Promedio</t>
  </si>
  <si>
    <t>Error/Promedio</t>
  </si>
  <si>
    <t>alpha</t>
  </si>
  <si>
    <t>Entrenamineto</t>
  </si>
  <si>
    <t>RMSE ($M)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</si>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</sst>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rgb="FFC0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4" borderId="10" xfId="0" applyFont="1" applyFill="1" applyBorder="1" applyAlignment="1">
      <alignment horizontal="center" vertical="center"/>
    </xf>
    <xf numFmtId="17" fontId="3" fillId="0" borderId="10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4" fillId="0" borderId="10" xfId="1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/>
    </xf>
    <xf numFmtId="0" fontId="3" fillId="0" borderId="0" xfId="0" applyFont="1"/>
    <xf numFmtId="3" fontId="3" fillId="0" borderId="1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42" fontId="3" fillId="0" borderId="10" xfId="3" applyFont="1" applyBorder="1"/>
    <xf numFmtId="0" fontId="3" fillId="0" borderId="10" xfId="0" applyFont="1" applyBorder="1" applyAlignment="1">
      <alignment horizontal="center"/>
    </xf>
    <xf numFmtId="42" fontId="3" fillId="0" borderId="10" xfId="3" applyNumberFormat="1" applyFont="1" applyBorder="1"/>
    <xf numFmtId="3" fontId="3" fillId="0" borderId="10" xfId="0" applyNumberFormat="1" applyFont="1" applyBorder="1"/>
    <xf numFmtId="3" fontId="3" fillId="0" borderId="10" xfId="0" applyNumberFormat="1" applyFont="1" applyFill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165" fontId="3" fillId="0" borderId="10" xfId="0" applyNumberFormat="1" applyFont="1" applyBorder="1"/>
    <xf numFmtId="10" fontId="3" fillId="0" borderId="10" xfId="4" applyNumberFormat="1" applyFont="1" applyBorder="1" applyAlignment="1">
      <alignment horizontal="center"/>
    </xf>
    <xf numFmtId="42" fontId="3" fillId="0" borderId="10" xfId="3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165" fontId="3" fillId="0" borderId="10" xfId="0" applyNumberFormat="1" applyFont="1" applyFill="1" applyBorder="1" applyAlignment="1">
      <alignment horizontal="center"/>
    </xf>
    <xf numFmtId="1" fontId="3" fillId="0" borderId="10" xfId="0" applyNumberFormat="1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6" fillId="2" borderId="0" xfId="2" applyFont="1" applyFill="1"/>
    <xf numFmtId="0" fontId="7" fillId="3" borderId="2" xfId="2" applyFont="1" applyFill="1" applyBorder="1" applyAlignment="1">
      <alignment horizontal="left"/>
    </xf>
    <xf numFmtId="0" fontId="8" fillId="3" borderId="3" xfId="0" applyFont="1" applyFill="1" applyBorder="1"/>
    <xf numFmtId="0" fontId="8" fillId="3" borderId="4" xfId="0" applyFont="1" applyFill="1" applyBorder="1"/>
    <xf numFmtId="0" fontId="7" fillId="3" borderId="0" xfId="2" applyFont="1" applyFill="1" applyAlignment="1">
      <alignment horizontal="left"/>
    </xf>
    <xf numFmtId="0" fontId="8" fillId="3" borderId="0" xfId="0" applyFont="1" applyFill="1"/>
    <xf numFmtId="0" fontId="6" fillId="2" borderId="5" xfId="2" applyFont="1" applyFill="1" applyBorder="1" applyAlignment="1">
      <alignment horizontal="left"/>
    </xf>
    <xf numFmtId="165" fontId="6" fillId="2" borderId="0" xfId="2" applyNumberFormat="1" applyFont="1" applyFill="1" applyAlignment="1">
      <alignment horizontal="right"/>
    </xf>
    <xf numFmtId="0" fontId="6" fillId="2" borderId="6" xfId="2" applyFont="1" applyFill="1" applyBorder="1"/>
    <xf numFmtId="0" fontId="6" fillId="2" borderId="0" xfId="2" applyFont="1" applyFill="1" applyAlignment="1">
      <alignment horizontal="left"/>
    </xf>
    <xf numFmtId="1" fontId="6" fillId="2" borderId="0" xfId="2" applyNumberFormat="1" applyFont="1" applyFill="1" applyAlignment="1">
      <alignment horizontal="right"/>
    </xf>
    <xf numFmtId="10" fontId="6" fillId="2" borderId="0" xfId="2" applyNumberFormat="1" applyFont="1" applyFill="1" applyAlignment="1">
      <alignment horizontal="right"/>
    </xf>
    <xf numFmtId="0" fontId="6" fillId="2" borderId="7" xfId="2" applyFont="1" applyFill="1" applyBorder="1" applyAlignment="1">
      <alignment horizontal="left"/>
    </xf>
    <xf numFmtId="165" fontId="6" fillId="2" borderId="8" xfId="2" applyNumberFormat="1" applyFont="1" applyFill="1" applyBorder="1" applyAlignment="1">
      <alignment horizontal="right"/>
    </xf>
    <xf numFmtId="0" fontId="6" fillId="2" borderId="9" xfId="2" applyFont="1" applyFill="1" applyBorder="1"/>
    <xf numFmtId="0" fontId="6" fillId="2" borderId="0" xfId="2" applyFont="1" applyFill="1" applyAlignment="1">
      <alignment horizontal="right"/>
    </xf>
    <xf numFmtId="0" fontId="7" fillId="3" borderId="0" xfId="2" applyFont="1" applyFill="1"/>
    <xf numFmtId="1" fontId="9" fillId="0" borderId="10" xfId="0" applyNumberFormat="1" applyFont="1" applyBorder="1" applyAlignment="1">
      <alignment horizontal="center"/>
    </xf>
  </cellXfs>
  <cellStyles count="5">
    <cellStyle name="Moneda [0]" xfId="3" builtinId="7"/>
    <cellStyle name="Normal" xfId="0" builtinId="0"/>
    <cellStyle name="Normal 2" xfId="2" xr:uid="{00000000-0005-0000-0000-000001000000}"/>
    <cellStyle name="Normal 6" xfId="1" xr:uid="{00000000-0005-0000-0000-000002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Análisis!$B$1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cat>
            <c:numRef>
              <c:f>Análisis!$A$2:$A$276</c:f>
              <c:numCache>
                <c:formatCode>mmm\-yy</c:formatCode>
                <c:ptCount val="275"/>
                <c:pt idx="0">
                  <c:v>36739</c:v>
                </c:pt>
                <c:pt idx="1">
                  <c:v>36770</c:v>
                </c:pt>
                <c:pt idx="2">
                  <c:v>36800</c:v>
                </c:pt>
                <c:pt idx="3">
                  <c:v>36831</c:v>
                </c:pt>
                <c:pt idx="4">
                  <c:v>36861</c:v>
                </c:pt>
                <c:pt idx="5">
                  <c:v>36892</c:v>
                </c:pt>
                <c:pt idx="6">
                  <c:v>36923</c:v>
                </c:pt>
                <c:pt idx="7">
                  <c:v>36951</c:v>
                </c:pt>
                <c:pt idx="8">
                  <c:v>36982</c:v>
                </c:pt>
                <c:pt idx="9">
                  <c:v>37012</c:v>
                </c:pt>
                <c:pt idx="10">
                  <c:v>37043</c:v>
                </c:pt>
                <c:pt idx="11">
                  <c:v>37073</c:v>
                </c:pt>
                <c:pt idx="12">
                  <c:v>37104</c:v>
                </c:pt>
                <c:pt idx="13">
                  <c:v>37135</c:v>
                </c:pt>
                <c:pt idx="14">
                  <c:v>37165</c:v>
                </c:pt>
                <c:pt idx="15">
                  <c:v>37196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40940</c:v>
                </c:pt>
                <c:pt idx="139">
                  <c:v>40969</c:v>
                </c:pt>
                <c:pt idx="140">
                  <c:v>41000</c:v>
                </c:pt>
                <c:pt idx="141">
                  <c:v>41030</c:v>
                </c:pt>
                <c:pt idx="142">
                  <c:v>41061</c:v>
                </c:pt>
                <c:pt idx="143">
                  <c:v>41091</c:v>
                </c:pt>
                <c:pt idx="144">
                  <c:v>41122</c:v>
                </c:pt>
                <c:pt idx="145">
                  <c:v>41153</c:v>
                </c:pt>
                <c:pt idx="146">
                  <c:v>41183</c:v>
                </c:pt>
                <c:pt idx="147">
                  <c:v>41214</c:v>
                </c:pt>
                <c:pt idx="148">
                  <c:v>41244</c:v>
                </c:pt>
                <c:pt idx="149">
                  <c:v>41275</c:v>
                </c:pt>
                <c:pt idx="150">
                  <c:v>41306</c:v>
                </c:pt>
                <c:pt idx="151">
                  <c:v>41334</c:v>
                </c:pt>
                <c:pt idx="152">
                  <c:v>41365</c:v>
                </c:pt>
                <c:pt idx="153">
                  <c:v>41395</c:v>
                </c:pt>
                <c:pt idx="154">
                  <c:v>41426</c:v>
                </c:pt>
                <c:pt idx="155">
                  <c:v>41456</c:v>
                </c:pt>
                <c:pt idx="156">
                  <c:v>41487</c:v>
                </c:pt>
                <c:pt idx="157">
                  <c:v>41518</c:v>
                </c:pt>
                <c:pt idx="158">
                  <c:v>41548</c:v>
                </c:pt>
                <c:pt idx="159">
                  <c:v>41579</c:v>
                </c:pt>
                <c:pt idx="160">
                  <c:v>41609</c:v>
                </c:pt>
                <c:pt idx="161">
                  <c:v>41640</c:v>
                </c:pt>
                <c:pt idx="162">
                  <c:v>41671</c:v>
                </c:pt>
                <c:pt idx="163">
                  <c:v>41699</c:v>
                </c:pt>
                <c:pt idx="164">
                  <c:v>41730</c:v>
                </c:pt>
                <c:pt idx="165">
                  <c:v>41760</c:v>
                </c:pt>
                <c:pt idx="166">
                  <c:v>41791</c:v>
                </c:pt>
                <c:pt idx="167">
                  <c:v>41821</c:v>
                </c:pt>
                <c:pt idx="168">
                  <c:v>41852</c:v>
                </c:pt>
                <c:pt idx="169">
                  <c:v>41883</c:v>
                </c:pt>
                <c:pt idx="170">
                  <c:v>41913</c:v>
                </c:pt>
                <c:pt idx="171">
                  <c:v>41944</c:v>
                </c:pt>
                <c:pt idx="172">
                  <c:v>41974</c:v>
                </c:pt>
                <c:pt idx="173">
                  <c:v>42005</c:v>
                </c:pt>
                <c:pt idx="174">
                  <c:v>42036</c:v>
                </c:pt>
                <c:pt idx="175">
                  <c:v>42064</c:v>
                </c:pt>
                <c:pt idx="176">
                  <c:v>42095</c:v>
                </c:pt>
                <c:pt idx="177">
                  <c:v>42125</c:v>
                </c:pt>
                <c:pt idx="178">
                  <c:v>42156</c:v>
                </c:pt>
                <c:pt idx="179">
                  <c:v>42186</c:v>
                </c:pt>
                <c:pt idx="180">
                  <c:v>42217</c:v>
                </c:pt>
                <c:pt idx="181">
                  <c:v>42248</c:v>
                </c:pt>
                <c:pt idx="182">
                  <c:v>42278</c:v>
                </c:pt>
                <c:pt idx="183">
                  <c:v>42309</c:v>
                </c:pt>
                <c:pt idx="184">
                  <c:v>42339</c:v>
                </c:pt>
                <c:pt idx="185">
                  <c:v>42370</c:v>
                </c:pt>
                <c:pt idx="186">
                  <c:v>42401</c:v>
                </c:pt>
                <c:pt idx="187">
                  <c:v>42430</c:v>
                </c:pt>
                <c:pt idx="188">
                  <c:v>42461</c:v>
                </c:pt>
                <c:pt idx="189">
                  <c:v>42491</c:v>
                </c:pt>
                <c:pt idx="190">
                  <c:v>42522</c:v>
                </c:pt>
                <c:pt idx="191">
                  <c:v>42552</c:v>
                </c:pt>
                <c:pt idx="192">
                  <c:v>42583</c:v>
                </c:pt>
                <c:pt idx="193">
                  <c:v>42614</c:v>
                </c:pt>
                <c:pt idx="194">
                  <c:v>42644</c:v>
                </c:pt>
                <c:pt idx="195">
                  <c:v>42675</c:v>
                </c:pt>
                <c:pt idx="196">
                  <c:v>42705</c:v>
                </c:pt>
                <c:pt idx="197">
                  <c:v>42736</c:v>
                </c:pt>
                <c:pt idx="198">
                  <c:v>42767</c:v>
                </c:pt>
                <c:pt idx="199">
                  <c:v>42795</c:v>
                </c:pt>
                <c:pt idx="200">
                  <c:v>42826</c:v>
                </c:pt>
                <c:pt idx="201">
                  <c:v>42856</c:v>
                </c:pt>
                <c:pt idx="202">
                  <c:v>42887</c:v>
                </c:pt>
                <c:pt idx="203">
                  <c:v>42917</c:v>
                </c:pt>
                <c:pt idx="204">
                  <c:v>42948</c:v>
                </c:pt>
                <c:pt idx="205">
                  <c:v>42979</c:v>
                </c:pt>
                <c:pt idx="206">
                  <c:v>43009</c:v>
                </c:pt>
                <c:pt idx="207">
                  <c:v>43040</c:v>
                </c:pt>
                <c:pt idx="208">
                  <c:v>43070</c:v>
                </c:pt>
                <c:pt idx="209">
                  <c:v>43101</c:v>
                </c:pt>
                <c:pt idx="210">
                  <c:v>43132</c:v>
                </c:pt>
                <c:pt idx="211">
                  <c:v>43160</c:v>
                </c:pt>
                <c:pt idx="212">
                  <c:v>43191</c:v>
                </c:pt>
                <c:pt idx="213">
                  <c:v>43221</c:v>
                </c:pt>
                <c:pt idx="214">
                  <c:v>43252</c:v>
                </c:pt>
                <c:pt idx="215">
                  <c:v>43282</c:v>
                </c:pt>
                <c:pt idx="216">
                  <c:v>43313</c:v>
                </c:pt>
                <c:pt idx="217">
                  <c:v>43344</c:v>
                </c:pt>
                <c:pt idx="218">
                  <c:v>43374</c:v>
                </c:pt>
                <c:pt idx="219">
                  <c:v>43405</c:v>
                </c:pt>
                <c:pt idx="220">
                  <c:v>43435</c:v>
                </c:pt>
                <c:pt idx="221">
                  <c:v>43466</c:v>
                </c:pt>
                <c:pt idx="222">
                  <c:v>43497</c:v>
                </c:pt>
                <c:pt idx="223">
                  <c:v>43525</c:v>
                </c:pt>
                <c:pt idx="224">
                  <c:v>43556</c:v>
                </c:pt>
                <c:pt idx="225">
                  <c:v>43586</c:v>
                </c:pt>
                <c:pt idx="226">
                  <c:v>43617</c:v>
                </c:pt>
                <c:pt idx="227">
                  <c:v>43647</c:v>
                </c:pt>
                <c:pt idx="228">
                  <c:v>43678</c:v>
                </c:pt>
                <c:pt idx="229">
                  <c:v>43709</c:v>
                </c:pt>
                <c:pt idx="230">
                  <c:v>43739</c:v>
                </c:pt>
                <c:pt idx="231">
                  <c:v>43770</c:v>
                </c:pt>
                <c:pt idx="232">
                  <c:v>43800</c:v>
                </c:pt>
                <c:pt idx="233">
                  <c:v>43831</c:v>
                </c:pt>
                <c:pt idx="234">
                  <c:v>43862</c:v>
                </c:pt>
                <c:pt idx="235">
                  <c:v>43891</c:v>
                </c:pt>
                <c:pt idx="236">
                  <c:v>43922</c:v>
                </c:pt>
                <c:pt idx="237">
                  <c:v>43952</c:v>
                </c:pt>
                <c:pt idx="238">
                  <c:v>43983</c:v>
                </c:pt>
                <c:pt idx="239">
                  <c:v>44013</c:v>
                </c:pt>
                <c:pt idx="240">
                  <c:v>44044</c:v>
                </c:pt>
                <c:pt idx="241">
                  <c:v>44075</c:v>
                </c:pt>
                <c:pt idx="242">
                  <c:v>44105</c:v>
                </c:pt>
                <c:pt idx="243">
                  <c:v>44136</c:v>
                </c:pt>
                <c:pt idx="244">
                  <c:v>44166</c:v>
                </c:pt>
                <c:pt idx="245">
                  <c:v>44197</c:v>
                </c:pt>
                <c:pt idx="246">
                  <c:v>44228</c:v>
                </c:pt>
                <c:pt idx="247">
                  <c:v>44256</c:v>
                </c:pt>
                <c:pt idx="248">
                  <c:v>44287</c:v>
                </c:pt>
                <c:pt idx="249">
                  <c:v>44317</c:v>
                </c:pt>
                <c:pt idx="250">
                  <c:v>44348</c:v>
                </c:pt>
                <c:pt idx="251">
                  <c:v>44378</c:v>
                </c:pt>
                <c:pt idx="252">
                  <c:v>44409</c:v>
                </c:pt>
                <c:pt idx="253">
                  <c:v>44440</c:v>
                </c:pt>
                <c:pt idx="254">
                  <c:v>44470</c:v>
                </c:pt>
                <c:pt idx="255">
                  <c:v>44501</c:v>
                </c:pt>
                <c:pt idx="256">
                  <c:v>44531</c:v>
                </c:pt>
                <c:pt idx="257">
                  <c:v>44562</c:v>
                </c:pt>
                <c:pt idx="258">
                  <c:v>44593</c:v>
                </c:pt>
                <c:pt idx="259">
                  <c:v>44621</c:v>
                </c:pt>
                <c:pt idx="260">
                  <c:v>44652</c:v>
                </c:pt>
                <c:pt idx="261">
                  <c:v>44682</c:v>
                </c:pt>
                <c:pt idx="262">
                  <c:v>44713</c:v>
                </c:pt>
                <c:pt idx="263">
                  <c:v>44743</c:v>
                </c:pt>
                <c:pt idx="264">
                  <c:v>44774</c:v>
                </c:pt>
                <c:pt idx="265">
                  <c:v>44805</c:v>
                </c:pt>
                <c:pt idx="266">
                  <c:v>44835</c:v>
                </c:pt>
                <c:pt idx="267">
                  <c:v>44866</c:v>
                </c:pt>
                <c:pt idx="268">
                  <c:v>44896</c:v>
                </c:pt>
                <c:pt idx="269">
                  <c:v>44927</c:v>
                </c:pt>
                <c:pt idx="270">
                  <c:v>44958</c:v>
                </c:pt>
                <c:pt idx="271">
                  <c:v>44986</c:v>
                </c:pt>
                <c:pt idx="272">
                  <c:v>45017</c:v>
                </c:pt>
                <c:pt idx="273">
                  <c:v>45047</c:v>
                </c:pt>
                <c:pt idx="274">
                  <c:v>45078</c:v>
                </c:pt>
              </c:numCache>
            </c:numRef>
          </c:cat>
          <c:val>
            <c:numRef>
              <c:f>Análisis!$B$2:$B$276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8-6248-B610-D209D2A8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726879"/>
        <c:axId val="558137888"/>
      </c:lineChart>
      <c:dateAx>
        <c:axId val="5407268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58137888"/>
        <c:crosses val="autoZero"/>
        <c:auto val="1"/>
        <c:lblOffset val="100"/>
        <c:baseTimeUnit val="months"/>
      </c:dateAx>
      <c:valAx>
        <c:axId val="55813788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4072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</a:t>
            </a:r>
            <a:r>
              <a:rPr lang="es-MX" baseline="0"/>
              <a:t> 1: Promedio Móvil Simple (12m)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'Mod_1. Promedio Movil'!$B$1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'Mod_1. Promedio Movil'!$B$2:$B$276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AC-5C46-997E-84877FD4BD41}"/>
            </c:ext>
          </c:extLst>
        </c:ser>
        <c:ser>
          <c:idx val="1"/>
          <c:order val="1"/>
          <c:tx>
            <c:strRef>
              <c:f>'Mod_1. Promedio Movil'!$E$1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'Mod_1. Promedio Movil'!$E$2:$E$276</c:f>
              <c:numCache>
                <c:formatCode>General</c:formatCode>
                <c:ptCount val="275"/>
                <c:pt idx="12" formatCode="#,##0">
                  <c:v>1023.4166666666666</c:v>
                </c:pt>
                <c:pt idx="13" formatCode="#,##0">
                  <c:v>1015.9166666666666</c:v>
                </c:pt>
                <c:pt idx="14" formatCode="#,##0">
                  <c:v>1007.0833333333334</c:v>
                </c:pt>
                <c:pt idx="15" formatCode="#,##0">
                  <c:v>1002.5</c:v>
                </c:pt>
                <c:pt idx="16" formatCode="#,##0">
                  <c:v>1004.5833333333334</c:v>
                </c:pt>
                <c:pt idx="17" formatCode="#,##0">
                  <c:v>1005.4166666666666</c:v>
                </c:pt>
                <c:pt idx="18" formatCode="#,##0">
                  <c:v>1008</c:v>
                </c:pt>
                <c:pt idx="19" formatCode="#,##0">
                  <c:v>1014.75</c:v>
                </c:pt>
                <c:pt idx="20" formatCode="#,##0">
                  <c:v>1017.3333333333334</c:v>
                </c:pt>
                <c:pt idx="21" formatCode="#,##0">
                  <c:v>1018.4166666666666</c:v>
                </c:pt>
                <c:pt idx="22" formatCode="#,##0">
                  <c:v>1017.75</c:v>
                </c:pt>
                <c:pt idx="23" formatCode="#,##0">
                  <c:v>1016</c:v>
                </c:pt>
                <c:pt idx="24" formatCode="#,##0">
                  <c:v>1011.75</c:v>
                </c:pt>
                <c:pt idx="25" formatCode="#,##0">
                  <c:v>1007.3333333333334</c:v>
                </c:pt>
                <c:pt idx="26" formatCode="#,##0">
                  <c:v>1006.5</c:v>
                </c:pt>
                <c:pt idx="27" formatCode="#,##0">
                  <c:v>1007</c:v>
                </c:pt>
                <c:pt idx="28" formatCode="#,##0">
                  <c:v>1004.5</c:v>
                </c:pt>
                <c:pt idx="29" formatCode="#,##0">
                  <c:v>1000.9166666666666</c:v>
                </c:pt>
                <c:pt idx="30" formatCode="#,##0">
                  <c:v>997.58333333333337</c:v>
                </c:pt>
                <c:pt idx="31" formatCode="#,##0">
                  <c:v>988.75</c:v>
                </c:pt>
                <c:pt idx="32" formatCode="#,##0">
                  <c:v>983.5</c:v>
                </c:pt>
                <c:pt idx="33" formatCode="#,##0">
                  <c:v>982.58333333333337</c:v>
                </c:pt>
                <c:pt idx="34" formatCode="#,##0">
                  <c:v>978.25</c:v>
                </c:pt>
                <c:pt idx="35" formatCode="#,##0">
                  <c:v>976.91666666666663</c:v>
                </c:pt>
                <c:pt idx="36" formatCode="#,##0">
                  <c:v>980.16666666666663</c:v>
                </c:pt>
                <c:pt idx="37" formatCode="#,##0">
                  <c:v>980.5</c:v>
                </c:pt>
                <c:pt idx="38" formatCode="#,##0">
                  <c:v>980.66666666666663</c:v>
                </c:pt>
                <c:pt idx="39" formatCode="#,##0">
                  <c:v>980.66666666666663</c:v>
                </c:pt>
                <c:pt idx="40" formatCode="#,##0">
                  <c:v>979.91666666666663</c:v>
                </c:pt>
                <c:pt idx="41" formatCode="#,##0">
                  <c:v>982.41666666666663</c:v>
                </c:pt>
                <c:pt idx="42" formatCode="#,##0">
                  <c:v>987</c:v>
                </c:pt>
                <c:pt idx="43" formatCode="#,##0">
                  <c:v>992.83333333333337</c:v>
                </c:pt>
                <c:pt idx="44" formatCode="#,##0">
                  <c:v>1000.1666666666666</c:v>
                </c:pt>
                <c:pt idx="45" formatCode="#,##0">
                  <c:v>1011.6666666666666</c:v>
                </c:pt>
                <c:pt idx="46" formatCode="#,##0">
                  <c:v>1020.4166666666666</c:v>
                </c:pt>
                <c:pt idx="47" formatCode="#,##0">
                  <c:v>1029.4166666666667</c:v>
                </c:pt>
                <c:pt idx="48" formatCode="#,##0">
                  <c:v>1037.6666666666667</c:v>
                </c:pt>
                <c:pt idx="49" formatCode="#,##0">
                  <c:v>1044.5833333333333</c:v>
                </c:pt>
                <c:pt idx="50" formatCode="#,##0">
                  <c:v>1054.0833333333333</c:v>
                </c:pt>
                <c:pt idx="51" formatCode="#,##0">
                  <c:v>1061.5</c:v>
                </c:pt>
                <c:pt idx="52" formatCode="#,##0">
                  <c:v>1064.25</c:v>
                </c:pt>
                <c:pt idx="53" formatCode="#,##0">
                  <c:v>1068.4166666666667</c:v>
                </c:pt>
                <c:pt idx="54" formatCode="#,##0">
                  <c:v>1071.5</c:v>
                </c:pt>
                <c:pt idx="55" formatCode="#,##0">
                  <c:v>1074.5</c:v>
                </c:pt>
                <c:pt idx="56" formatCode="#,##0">
                  <c:v>1079.5</c:v>
                </c:pt>
                <c:pt idx="57" formatCode="#,##0">
                  <c:v>1075.75</c:v>
                </c:pt>
                <c:pt idx="58" formatCode="#,##0">
                  <c:v>1076.9166666666667</c:v>
                </c:pt>
                <c:pt idx="59" formatCode="#,##0">
                  <c:v>1079.5</c:v>
                </c:pt>
                <c:pt idx="60" formatCode="#,##0">
                  <c:v>1079.0833333333333</c:v>
                </c:pt>
                <c:pt idx="61" formatCode="#,##0">
                  <c:v>1083.9166666666667</c:v>
                </c:pt>
                <c:pt idx="62" formatCode="#,##0">
                  <c:v>1081.75</c:v>
                </c:pt>
                <c:pt idx="63" formatCode="#,##0">
                  <c:v>1080.75</c:v>
                </c:pt>
                <c:pt idx="64" formatCode="#,##0">
                  <c:v>1084.4166666666667</c:v>
                </c:pt>
                <c:pt idx="65" formatCode="#,##0">
                  <c:v>1088.5</c:v>
                </c:pt>
                <c:pt idx="66" formatCode="#,##0">
                  <c:v>1090.5833333333333</c:v>
                </c:pt>
                <c:pt idx="67" formatCode="#,##0">
                  <c:v>1097.1666666666667</c:v>
                </c:pt>
                <c:pt idx="68" formatCode="#,##0">
                  <c:v>1103.4166666666667</c:v>
                </c:pt>
                <c:pt idx="69" formatCode="#,##0">
                  <c:v>1108.0833333333333</c:v>
                </c:pt>
                <c:pt idx="70" formatCode="#,##0">
                  <c:v>1115.1666666666667</c:v>
                </c:pt>
                <c:pt idx="71" formatCode="#,##0">
                  <c:v>1115.25</c:v>
                </c:pt>
                <c:pt idx="72" formatCode="#,##0">
                  <c:v>1114.9166666666667</c:v>
                </c:pt>
                <c:pt idx="73" formatCode="#,##0">
                  <c:v>1119.6666666666667</c:v>
                </c:pt>
                <c:pt idx="74" formatCode="#,##0">
                  <c:v>1127.0833333333333</c:v>
                </c:pt>
                <c:pt idx="75" formatCode="#,##0">
                  <c:v>1135.1666666666667</c:v>
                </c:pt>
                <c:pt idx="76" formatCode="#,##0">
                  <c:v>1137.8333333333333</c:v>
                </c:pt>
                <c:pt idx="77" formatCode="#,##0">
                  <c:v>1140.6666666666667</c:v>
                </c:pt>
                <c:pt idx="78" formatCode="#,##0">
                  <c:v>1145.6666666666667</c:v>
                </c:pt>
                <c:pt idx="79" formatCode="#,##0">
                  <c:v>1150.4166666666667</c:v>
                </c:pt>
                <c:pt idx="80" formatCode="#,##0">
                  <c:v>1149.8333333333333</c:v>
                </c:pt>
                <c:pt idx="81" formatCode="#,##0">
                  <c:v>1152.6666666666667</c:v>
                </c:pt>
                <c:pt idx="82" formatCode="#,##0">
                  <c:v>1156.1666666666667</c:v>
                </c:pt>
                <c:pt idx="83" formatCode="#,##0">
                  <c:v>1157.4166666666667</c:v>
                </c:pt>
                <c:pt idx="84" formatCode="#,##0">
                  <c:v>1163.0833333333333</c:v>
                </c:pt>
                <c:pt idx="85" formatCode="#,##0">
                  <c:v>1162.5833333333333</c:v>
                </c:pt>
                <c:pt idx="86" formatCode="#,##0">
                  <c:v>1166.8333333333333</c:v>
                </c:pt>
                <c:pt idx="87" formatCode="#,##0">
                  <c:v>1174.5</c:v>
                </c:pt>
                <c:pt idx="88" formatCode="#,##0">
                  <c:v>1184.5833333333333</c:v>
                </c:pt>
                <c:pt idx="89" formatCode="#,##0">
                  <c:v>1187.0833333333333</c:v>
                </c:pt>
                <c:pt idx="90" formatCode="#,##0">
                  <c:v>1190.5833333333333</c:v>
                </c:pt>
                <c:pt idx="91" formatCode="#,##0">
                  <c:v>1192.5833333333333</c:v>
                </c:pt>
                <c:pt idx="92" formatCode="#,##0">
                  <c:v>1192.5833333333333</c:v>
                </c:pt>
                <c:pt idx="93" formatCode="#,##0">
                  <c:v>1195.4166666666667</c:v>
                </c:pt>
                <c:pt idx="94" formatCode="#,##0">
                  <c:v>1198.4166666666667</c:v>
                </c:pt>
                <c:pt idx="95" formatCode="#,##0">
                  <c:v>1204.0833333333333</c:v>
                </c:pt>
                <c:pt idx="96" formatCode="#,##0">
                  <c:v>1210.8333333333333</c:v>
                </c:pt>
                <c:pt idx="97" formatCode="#,##0">
                  <c:v>1218.6666666666667</c:v>
                </c:pt>
                <c:pt idx="98" formatCode="#,##0">
                  <c:v>1227.9166666666667</c:v>
                </c:pt>
                <c:pt idx="99" formatCode="#,##0">
                  <c:v>1238.1666666666667</c:v>
                </c:pt>
                <c:pt idx="100" formatCode="#,##0">
                  <c:v>1241.8333333333333</c:v>
                </c:pt>
                <c:pt idx="101" formatCode="#,##0">
                  <c:v>1249</c:v>
                </c:pt>
                <c:pt idx="102" formatCode="#,##0">
                  <c:v>1256.75</c:v>
                </c:pt>
                <c:pt idx="103" formatCode="#,##0">
                  <c:v>1262.0833333333333</c:v>
                </c:pt>
                <c:pt idx="104" formatCode="#,##0">
                  <c:v>1271.0833333333333</c:v>
                </c:pt>
                <c:pt idx="105" formatCode="#,##0">
                  <c:v>1278.4166666666667</c:v>
                </c:pt>
                <c:pt idx="106" formatCode="#,##0">
                  <c:v>1275.9166666666667</c:v>
                </c:pt>
                <c:pt idx="107" formatCode="#,##0">
                  <c:v>1276.0833333333333</c:v>
                </c:pt>
                <c:pt idx="108" formatCode="#,##0">
                  <c:v>1277.5</c:v>
                </c:pt>
                <c:pt idx="109" formatCode="#,##0">
                  <c:v>1277.5833333333333</c:v>
                </c:pt>
                <c:pt idx="110" formatCode="#,##0">
                  <c:v>1271.75</c:v>
                </c:pt>
                <c:pt idx="111" formatCode="#,##0">
                  <c:v>1267.8333333333333</c:v>
                </c:pt>
                <c:pt idx="112" formatCode="#,##0">
                  <c:v>1263.0833333333333</c:v>
                </c:pt>
                <c:pt idx="113" formatCode="#,##0">
                  <c:v>1259.8333333333333</c:v>
                </c:pt>
                <c:pt idx="114" formatCode="#,##0">
                  <c:v>1259.6666666666667</c:v>
                </c:pt>
                <c:pt idx="115" formatCode="#,##0">
                  <c:v>1259.1666666666667</c:v>
                </c:pt>
                <c:pt idx="116" formatCode="#,##0">
                  <c:v>1266</c:v>
                </c:pt>
                <c:pt idx="117" formatCode="#,##0">
                  <c:v>1272</c:v>
                </c:pt>
                <c:pt idx="118" formatCode="#,##0">
                  <c:v>1282.8333333333333</c:v>
                </c:pt>
                <c:pt idx="119" formatCode="#,##0">
                  <c:v>1296.5833333333333</c:v>
                </c:pt>
                <c:pt idx="120" formatCode="#,##0">
                  <c:v>1307</c:v>
                </c:pt>
                <c:pt idx="121" formatCode="#,##0">
                  <c:v>1314.6666666666667</c:v>
                </c:pt>
                <c:pt idx="122" formatCode="#,##0">
                  <c:v>1322.4166666666667</c:v>
                </c:pt>
                <c:pt idx="123" formatCode="#,##0">
                  <c:v>1327.6666666666667</c:v>
                </c:pt>
                <c:pt idx="124" formatCode="#,##0">
                  <c:v>1336.75</c:v>
                </c:pt>
                <c:pt idx="125" formatCode="#,##0">
                  <c:v>1349.3333333333333</c:v>
                </c:pt>
                <c:pt idx="126" formatCode="#,##0">
                  <c:v>1356.4166666666667</c:v>
                </c:pt>
                <c:pt idx="127" formatCode="#,##0">
                  <c:v>1365.75</c:v>
                </c:pt>
                <c:pt idx="128" formatCode="#,##0">
                  <c:v>1368.75</c:v>
                </c:pt>
                <c:pt idx="129" formatCode="#,##0">
                  <c:v>1365.4166666666667</c:v>
                </c:pt>
                <c:pt idx="130" formatCode="#,##0">
                  <c:v>1364.25</c:v>
                </c:pt>
                <c:pt idx="131" formatCode="#,##0">
                  <c:v>1363.8333333333333</c:v>
                </c:pt>
                <c:pt idx="132" formatCode="#,##0">
                  <c:v>1360.8333333333333</c:v>
                </c:pt>
                <c:pt idx="133" formatCode="#,##0">
                  <c:v>1364.0833333333333</c:v>
                </c:pt>
                <c:pt idx="134" formatCode="#,##0">
                  <c:v>1364.5833333333333</c:v>
                </c:pt>
                <c:pt idx="135" formatCode="#,##0">
                  <c:v>1368.5833333333333</c:v>
                </c:pt>
                <c:pt idx="136" formatCode="#,##0">
                  <c:v>1373.9166666666667</c:v>
                </c:pt>
                <c:pt idx="137" formatCode="#,##0">
                  <c:v>1383.75</c:v>
                </c:pt>
                <c:pt idx="138" formatCode="#,##0">
                  <c:v>1386.3333333333333</c:v>
                </c:pt>
                <c:pt idx="139" formatCode="#,##0">
                  <c:v>1390.5833333333333</c:v>
                </c:pt>
                <c:pt idx="140" formatCode="#,##0">
                  <c:v>1402.3333333333333</c:v>
                </c:pt>
                <c:pt idx="141" formatCode="#,##0">
                  <c:v>1413.75</c:v>
                </c:pt>
                <c:pt idx="142" formatCode="#,##0">
                  <c:v>1427</c:v>
                </c:pt>
                <c:pt idx="143" formatCode="#,##0">
                  <c:v>1433.75</c:v>
                </c:pt>
                <c:pt idx="144" formatCode="#,##0">
                  <c:v>1438.25</c:v>
                </c:pt>
                <c:pt idx="145" formatCode="#,##0">
                  <c:v>1447.9166666666667</c:v>
                </c:pt>
                <c:pt idx="146" formatCode="#,##0">
                  <c:v>1458.9166666666667</c:v>
                </c:pt>
                <c:pt idx="147" formatCode="#,##0">
                  <c:v>1460.8333333333333</c:v>
                </c:pt>
                <c:pt idx="148" formatCode="#,##0">
                  <c:v>1464.4166666666667</c:v>
                </c:pt>
                <c:pt idx="149" formatCode="#,##0">
                  <c:v>1462.3333333333333</c:v>
                </c:pt>
                <c:pt idx="150" formatCode="#,##0">
                  <c:v>1466.3333333333333</c:v>
                </c:pt>
                <c:pt idx="151" formatCode="#,##0">
                  <c:v>1470.75</c:v>
                </c:pt>
                <c:pt idx="152" formatCode="#,##0">
                  <c:v>1464.5833333333333</c:v>
                </c:pt>
                <c:pt idx="153" formatCode="#,##0">
                  <c:v>1466.5833333333333</c:v>
                </c:pt>
                <c:pt idx="154" formatCode="#,##0">
                  <c:v>1467.5833333333333</c:v>
                </c:pt>
                <c:pt idx="155" formatCode="#,##0">
                  <c:v>1465.4166666666667</c:v>
                </c:pt>
                <c:pt idx="156" formatCode="#,##0">
                  <c:v>1467.0833333333333</c:v>
                </c:pt>
                <c:pt idx="157" formatCode="#,##0">
                  <c:v>1461.8333333333333</c:v>
                </c:pt>
                <c:pt idx="158" formatCode="#,##0">
                  <c:v>1457.1666666666667</c:v>
                </c:pt>
                <c:pt idx="159" formatCode="#,##0">
                  <c:v>1456.0833333333333</c:v>
                </c:pt>
                <c:pt idx="160" formatCode="#,##0">
                  <c:v>1462.0833333333333</c:v>
                </c:pt>
                <c:pt idx="161" formatCode="#,##0">
                  <c:v>1462.3333333333333</c:v>
                </c:pt>
                <c:pt idx="162" formatCode="#,##0">
                  <c:v>1464.3333333333333</c:v>
                </c:pt>
                <c:pt idx="163" formatCode="#,##0">
                  <c:v>1468.1666666666667</c:v>
                </c:pt>
                <c:pt idx="164" formatCode="#,##0">
                  <c:v>1474.25</c:v>
                </c:pt>
                <c:pt idx="165" formatCode="#,##0">
                  <c:v>1483.4166666666667</c:v>
                </c:pt>
                <c:pt idx="166" formatCode="#,##0">
                  <c:v>1487.0833333333333</c:v>
                </c:pt>
                <c:pt idx="167" formatCode="#,##0">
                  <c:v>1493.75</c:v>
                </c:pt>
                <c:pt idx="168" formatCode="#,##0">
                  <c:v>1504.4166666666667</c:v>
                </c:pt>
                <c:pt idx="169" formatCode="#,##0">
                  <c:v>1511.8333333333333</c:v>
                </c:pt>
                <c:pt idx="170" formatCode="#,##0">
                  <c:v>1520.0833333333333</c:v>
                </c:pt>
                <c:pt idx="171" formatCode="#,##0">
                  <c:v>1534.75</c:v>
                </c:pt>
                <c:pt idx="172" formatCode="#,##0">
                  <c:v>1540.3333333333333</c:v>
                </c:pt>
                <c:pt idx="173" formatCode="#,##0">
                  <c:v>1553</c:v>
                </c:pt>
                <c:pt idx="174" formatCode="#,##0">
                  <c:v>1566.6666666666667</c:v>
                </c:pt>
                <c:pt idx="175" formatCode="#,##0">
                  <c:v>1576.5833333333333</c:v>
                </c:pt>
                <c:pt idx="176" formatCode="#,##0">
                  <c:v>1586.8333333333333</c:v>
                </c:pt>
                <c:pt idx="177" formatCode="#,##0">
                  <c:v>1592.0833333333333</c:v>
                </c:pt>
                <c:pt idx="178" formatCode="#,##0">
                  <c:v>1598.4166666666667</c:v>
                </c:pt>
                <c:pt idx="179" formatCode="#,##0">
                  <c:v>1604.5833333333333</c:v>
                </c:pt>
                <c:pt idx="180" formatCode="#,##0">
                  <c:v>1611.0833333333333</c:v>
                </c:pt>
                <c:pt idx="181" formatCode="#,##0">
                  <c:v>1615.25</c:v>
                </c:pt>
                <c:pt idx="182" formatCode="#,##0">
                  <c:v>1616.9166666666667</c:v>
                </c:pt>
                <c:pt idx="183" formatCode="#,##0">
                  <c:v>1624.4166666666667</c:v>
                </c:pt>
                <c:pt idx="184" formatCode="#,##0">
                  <c:v>1625.75</c:v>
                </c:pt>
                <c:pt idx="185" formatCode="#,##0">
                  <c:v>1629.75</c:v>
                </c:pt>
                <c:pt idx="186" formatCode="#,##0">
                  <c:v>1634.9166666666667</c:v>
                </c:pt>
                <c:pt idx="187" formatCode="#,##0">
                  <c:v>1646.1666666666667</c:v>
                </c:pt>
                <c:pt idx="188" formatCode="#,##0">
                  <c:v>1647.75</c:v>
                </c:pt>
                <c:pt idx="189" formatCode="#,##0">
                  <c:v>1650.8333333333333</c:v>
                </c:pt>
                <c:pt idx="190" formatCode="#,##0">
                  <c:v>1652.8333333333333</c:v>
                </c:pt>
                <c:pt idx="191" formatCode="#,##0">
                  <c:v>1658.4166666666667</c:v>
                </c:pt>
                <c:pt idx="192" formatCode="#,##0">
                  <c:v>1657.3333333333333</c:v>
                </c:pt>
                <c:pt idx="193" formatCode="#,##0">
                  <c:v>1655.5</c:v>
                </c:pt>
                <c:pt idx="194" formatCode="#,##0">
                  <c:v>1660</c:v>
                </c:pt>
                <c:pt idx="195" formatCode="#,##0">
                  <c:v>1656.3333333333333</c:v>
                </c:pt>
                <c:pt idx="196" formatCode="#,##0">
                  <c:v>1660.6666666666667</c:v>
                </c:pt>
                <c:pt idx="197" formatCode="#,##0">
                  <c:v>1664.1666666666667</c:v>
                </c:pt>
                <c:pt idx="198" formatCode="#,##0">
                  <c:v>1663.75</c:v>
                </c:pt>
                <c:pt idx="199" formatCode="#,##0">
                  <c:v>1668.3333333333333</c:v>
                </c:pt>
                <c:pt idx="200" formatCode="#,##0">
                  <c:v>1678.9166666666667</c:v>
                </c:pt>
                <c:pt idx="201" formatCode="#,##0">
                  <c:v>1679.4166666666667</c:v>
                </c:pt>
                <c:pt idx="202" formatCode="#,##0">
                  <c:v>1683.1666666666667</c:v>
                </c:pt>
                <c:pt idx="203" formatCode="#,##0">
                  <c:v>1682.75</c:v>
                </c:pt>
                <c:pt idx="204" formatCode="#,##0">
                  <c:v>1686</c:v>
                </c:pt>
                <c:pt idx="205" formatCode="#,##0">
                  <c:v>1693.75</c:v>
                </c:pt>
                <c:pt idx="206" formatCode="#,##0">
                  <c:v>1693.0833333333333</c:v>
                </c:pt>
                <c:pt idx="207" formatCode="#,##0">
                  <c:v>1697.5833333333333</c:v>
                </c:pt>
                <c:pt idx="208" formatCode="#,##0">
                  <c:v>1698.25</c:v>
                </c:pt>
                <c:pt idx="209" formatCode="#,##0">
                  <c:v>1698.8333333333333</c:v>
                </c:pt>
                <c:pt idx="210" formatCode="#,##0">
                  <c:v>1701.5</c:v>
                </c:pt>
                <c:pt idx="211" formatCode="#,##0">
                  <c:v>1693</c:v>
                </c:pt>
                <c:pt idx="212" formatCode="#,##0">
                  <c:v>1679.5833333333333</c:v>
                </c:pt>
                <c:pt idx="213" formatCode="#,##0">
                  <c:v>1673.8333333333333</c:v>
                </c:pt>
                <c:pt idx="214" formatCode="#,##0">
                  <c:v>1672.5833333333333</c:v>
                </c:pt>
                <c:pt idx="215" formatCode="#,##0">
                  <c:v>1667.75</c:v>
                </c:pt>
                <c:pt idx="216" formatCode="#,##0">
                  <c:v>1664.0833333333333</c:v>
                </c:pt>
                <c:pt idx="217" formatCode="#,##0">
                  <c:v>1660.3333333333333</c:v>
                </c:pt>
                <c:pt idx="218" formatCode="#,##0">
                  <c:v>1664.75</c:v>
                </c:pt>
                <c:pt idx="219" formatCode="#,##0">
                  <c:v>1662.5</c:v>
                </c:pt>
                <c:pt idx="220" formatCode="#,##0">
                  <c:v>1662</c:v>
                </c:pt>
                <c:pt idx="221" formatCode="#,##0">
                  <c:v>1657.0833333333333</c:v>
                </c:pt>
                <c:pt idx="222" formatCode="#,##0">
                  <c:v>1653.1666666666667</c:v>
                </c:pt>
                <c:pt idx="223" formatCode="#,##0">
                  <c:v>1653.5833333333333</c:v>
                </c:pt>
                <c:pt idx="224" formatCode="#,##0">
                  <c:v>1659.1666666666667</c:v>
                </c:pt>
                <c:pt idx="225" formatCode="#,##0">
                  <c:v>1664.75</c:v>
                </c:pt>
                <c:pt idx="226" formatCode="#,##0">
                  <c:v>1669.5</c:v>
                </c:pt>
                <c:pt idx="227" formatCode="#,##0">
                  <c:v>1676.6666666666667</c:v>
                </c:pt>
                <c:pt idx="228" formatCode="#,##0">
                  <c:v>1683.75</c:v>
                </c:pt>
                <c:pt idx="229" formatCode="#,##0">
                  <c:v>1684.6666666666667</c:v>
                </c:pt>
                <c:pt idx="230" formatCode="#,##0">
                  <c:v>1688.25</c:v>
                </c:pt>
                <c:pt idx="231" formatCode="#,##0">
                  <c:v>1695.6666666666667</c:v>
                </c:pt>
                <c:pt idx="232" formatCode="#,##0">
                  <c:v>1703.9166666666667</c:v>
                </c:pt>
                <c:pt idx="233" formatCode="#,##0">
                  <c:v>1709.3333333333333</c:v>
                </c:pt>
                <c:pt idx="234" formatCode="#,##0">
                  <c:v>1713</c:v>
                </c:pt>
                <c:pt idx="235" formatCode="#,##0">
                  <c:v>1716.9166666666667</c:v>
                </c:pt>
                <c:pt idx="236" formatCode="#,##0">
                  <c:v>1715.0833333333333</c:v>
                </c:pt>
                <c:pt idx="237" formatCode="#,##0">
                  <c:v>1719.9166666666667</c:v>
                </c:pt>
                <c:pt idx="238" formatCode="#,##0">
                  <c:v>1720</c:v>
                </c:pt>
                <c:pt idx="239" formatCode="#,##0">
                  <c:v>1719.6666666666667</c:v>
                </c:pt>
                <c:pt idx="240" formatCode="#,##0">
                  <c:v>1719.9166666666667</c:v>
                </c:pt>
                <c:pt idx="241" formatCode="#,##0">
                  <c:v>1721.75</c:v>
                </c:pt>
                <c:pt idx="242" formatCode="#,##0">
                  <c:v>1724.25</c:v>
                </c:pt>
                <c:pt idx="243" formatCode="#,##0">
                  <c:v>1735.5</c:v>
                </c:pt>
                <c:pt idx="244" formatCode="#,##0">
                  <c:v>1736.6666666666667</c:v>
                </c:pt>
                <c:pt idx="245" formatCode="#,##0">
                  <c:v>1742.1666666666667</c:v>
                </c:pt>
                <c:pt idx="246" formatCode="#,##0">
                  <c:v>1755.4166666666667</c:v>
                </c:pt>
                <c:pt idx="247" formatCode="#,##0">
                  <c:v>1760.9166666666667</c:v>
                </c:pt>
                <c:pt idx="248" formatCode="#,##0">
                  <c:v>1777</c:v>
                </c:pt>
                <c:pt idx="249" formatCode="#,##0">
                  <c:v>1782.5</c:v>
                </c:pt>
                <c:pt idx="250" formatCode="#,##0">
                  <c:v>1780</c:v>
                </c:pt>
                <c:pt idx="251" formatCode="#,##0">
                  <c:v>1785</c:v>
                </c:pt>
                <c:pt idx="252" formatCode="#,##0">
                  <c:v>1794.3333333333333</c:v>
                </c:pt>
                <c:pt idx="253" formatCode="#,##0">
                  <c:v>1803.3333333333333</c:v>
                </c:pt>
                <c:pt idx="254" formatCode="#,##0">
                  <c:v>1805.0833333333333</c:v>
                </c:pt>
                <c:pt idx="255" formatCode="#,##0">
                  <c:v>1809.0833333333333</c:v>
                </c:pt>
                <c:pt idx="256" formatCode="#,##0">
                  <c:v>1809.25</c:v>
                </c:pt>
                <c:pt idx="257" formatCode="#,##0">
                  <c:v>1812.6666666666667</c:v>
                </c:pt>
                <c:pt idx="258" formatCode="#,##0">
                  <c:v>1802.1666666666667</c:v>
                </c:pt>
                <c:pt idx="259" formatCode="#,##0">
                  <c:v>1786.8333333333333</c:v>
                </c:pt>
                <c:pt idx="260" formatCode="#,##0">
                  <c:v>1779</c:v>
                </c:pt>
                <c:pt idx="261" formatCode="#,##0">
                  <c:v>1774.8333333333333</c:v>
                </c:pt>
                <c:pt idx="262" formatCode="#,##0">
                  <c:v>1786.0833333333333</c:v>
                </c:pt>
                <c:pt idx="263" formatCode="#,##0">
                  <c:v>1794.5</c:v>
                </c:pt>
                <c:pt idx="264" formatCode="#,##0">
                  <c:v>1790.1666666666667</c:v>
                </c:pt>
                <c:pt idx="265" formatCode="#,##0">
                  <c:v>1790.4166666666667</c:v>
                </c:pt>
                <c:pt idx="266" formatCode="#,##0">
                  <c:v>1791.9166666666667</c:v>
                </c:pt>
                <c:pt idx="267" formatCode="#,##0">
                  <c:v>1787.5</c:v>
                </c:pt>
                <c:pt idx="268" formatCode="#,##0">
                  <c:v>1790.25</c:v>
                </c:pt>
                <c:pt idx="269" formatCode="#,##0">
                  <c:v>1797.4166666666667</c:v>
                </c:pt>
                <c:pt idx="270" formatCode="#,##0">
                  <c:v>1800.7013888888889</c:v>
                </c:pt>
                <c:pt idx="271" formatCode="#,##0">
                  <c:v>1807.6765046296298</c:v>
                </c:pt>
                <c:pt idx="272" formatCode="#,##0">
                  <c:v>1806.3995466820991</c:v>
                </c:pt>
                <c:pt idx="273" formatCode="#,##0">
                  <c:v>1811.4328422389406</c:v>
                </c:pt>
                <c:pt idx="274" formatCode="#,##0">
                  <c:v>1807.6355790921855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AC-5C46-997E-84877FD4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018511"/>
        <c:axId val="454770063"/>
      </c:lineChart>
      <c:catAx>
        <c:axId val="45501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4770063"/>
        <c:crosses val="autoZero"/>
        <c:auto val="1"/>
        <c:lblAlgn val="ctr"/>
        <c:lblOffset val="100"/>
        <c:noMultiLvlLbl val="0"/>
      </c:catAx>
      <c:valAx>
        <c:axId val="454770063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501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2:</a:t>
            </a:r>
            <a:r>
              <a:rPr lang="es-MX" baseline="0"/>
              <a:t> Suaviazación Exponencial Simple (alpha = 0.3229)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'Mod_2. SES'!$B$1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'Mod_2. SES'!$B$2:$B$276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4-554F-817F-3ABD23E4B855}"/>
            </c:ext>
          </c:extLst>
        </c:ser>
        <c:ser>
          <c:idx val="1"/>
          <c:order val="1"/>
          <c:tx>
            <c:strRef>
              <c:f>'Mod_2. SES'!$D$1</c:f>
              <c:strCache>
                <c:ptCount val="1"/>
                <c:pt idx="0">
                  <c:v>SES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'Mod_2. SES'!$D$2:$D$276</c:f>
              <c:numCache>
                <c:formatCode>#,##0</c:formatCode>
                <c:ptCount val="275"/>
                <c:pt idx="1">
                  <c:v>1049</c:v>
                </c:pt>
                <c:pt idx="2">
                  <c:v>1041.5722898373779</c:v>
                </c:pt>
                <c:pt idx="3">
                  <c:v>1052.0446216776161</c:v>
                </c:pt>
                <c:pt idx="4">
                  <c:v>1045.2483890557305</c:v>
                </c:pt>
                <c:pt idx="5">
                  <c:v>1045.8140611605875</c:v>
                </c:pt>
                <c:pt idx="6">
                  <c:v>1026.4974737714483</c:v>
                </c:pt>
                <c:pt idx="7">
                  <c:v>1022.7844345202889</c:v>
                </c:pt>
                <c:pt idx="8">
                  <c:v>1022.2081622411201</c:v>
                </c:pt>
                <c:pt idx="9">
                  <c:v>1001.4725266236564</c:v>
                </c:pt>
                <c:pt idx="10">
                  <c:v>1014.2376838280152</c:v>
                </c:pt>
                <c:pt idx="11">
                  <c:v>1009.3167664791382</c:v>
                </c:pt>
                <c:pt idx="12">
                  <c:v>1017.288066673455</c:v>
                </c:pt>
                <c:pt idx="13">
                  <c:v>998.46428992606275</c:v>
                </c:pt>
                <c:pt idx="14">
                  <c:v>973.12472454837791</c:v>
                </c:pt>
                <c:pt idx="15">
                  <c:v>987.93986583903484</c:v>
                </c:pt>
                <c:pt idx="16">
                  <c:v>1009.9194723684625</c:v>
                </c:pt>
                <c:pt idx="17">
                  <c:v>1025.1238425228273</c:v>
                </c:pt>
                <c:pt idx="18">
                  <c:v>1022.5002969721166</c:v>
                </c:pt>
                <c:pt idx="19">
                  <c:v>1046.236579195157</c:v>
                </c:pt>
                <c:pt idx="20">
                  <c:v>1048.0978409031397</c:v>
                </c:pt>
                <c:pt idx="21">
                  <c:v>1023.1995619295535</c:v>
                </c:pt>
                <c:pt idx="22">
                  <c:v>1026.3645538188582</c:v>
                </c:pt>
                <c:pt idx="23">
                  <c:v>1010.7455152140312</c:v>
                </c:pt>
                <c:pt idx="24">
                  <c:v>1001.785269765229</c:v>
                </c:pt>
                <c:pt idx="25">
                  <c:v>970.85199925806808</c:v>
                </c:pt>
                <c:pt idx="26">
                  <c:v>951.20021607089279</c:v>
                </c:pt>
                <c:pt idx="27">
                  <c:v>975.03340759652565</c:v>
                </c:pt>
                <c:pt idx="28">
                  <c:v>991.49275874215664</c:v>
                </c:pt>
                <c:pt idx="29">
                  <c:v>998.76133546491644</c:v>
                </c:pt>
                <c:pt idx="30">
                  <c:v>991.73364448296024</c:v>
                </c:pt>
                <c:pt idx="31">
                  <c:v>991.17377453754909</c:v>
                </c:pt>
                <c:pt idx="32">
                  <c:v>990.47176726694897</c:v>
                </c:pt>
                <c:pt idx="33">
                  <c:v>980.63109529295866</c:v>
                </c:pt>
                <c:pt idx="34">
                  <c:v>980.7502308251992</c:v>
                </c:pt>
                <c:pt idx="35">
                  <c:v>974.6949577794669</c:v>
                </c:pt>
                <c:pt idx="36">
                  <c:v>989.97183355532468</c:v>
                </c:pt>
                <c:pt idx="37">
                  <c:v>964.14541612826315</c:v>
                </c:pt>
                <c:pt idx="38">
                  <c:v>947.30537102782557</c:v>
                </c:pt>
                <c:pt idx="39">
                  <c:v>972.39637907990323</c:v>
                </c:pt>
                <c:pt idx="40">
                  <c:v>986.80084727111864</c:v>
                </c:pt>
                <c:pt idx="41">
                  <c:v>1005.2729658805836</c:v>
                </c:pt>
                <c:pt idx="42">
                  <c:v>1013.9042990521289</c:v>
                </c:pt>
                <c:pt idx="43">
                  <c:v>1028.7906254166376</c:v>
                </c:pt>
                <c:pt idx="44">
                  <c:v>1044.3595498308334</c:v>
                </c:pt>
                <c:pt idx="45">
                  <c:v>1061.6824070851444</c:v>
                </c:pt>
                <c:pt idx="46">
                  <c:v>1069.5356258688046</c:v>
                </c:pt>
                <c:pt idx="47">
                  <c:v>1069.6855926711323</c:v>
                </c:pt>
                <c:pt idx="48">
                  <c:v>1086.2572685322439</c:v>
                </c:pt>
                <c:pt idx="49">
                  <c:v>1056.1404006533162</c:v>
                </c:pt>
                <c:pt idx="50">
                  <c:v>1046.4067415125273</c:v>
                </c:pt>
                <c:pt idx="51">
                  <c:v>1068.2355733817515</c:v>
                </c:pt>
                <c:pt idx="52">
                  <c:v>1062.3465058283221</c:v>
                </c:pt>
                <c:pt idx="53">
                  <c:v>1072.5688093214299</c:v>
                </c:pt>
                <c:pt idx="54">
                  <c:v>1071.416284049028</c:v>
                </c:pt>
                <c:pt idx="55">
                  <c:v>1079.3554456492043</c:v>
                </c:pt>
                <c:pt idx="56">
                  <c:v>1097.9714040044755</c:v>
                </c:pt>
                <c:pt idx="57">
                  <c:v>1083.4481625022393</c:v>
                </c:pt>
                <c:pt idx="58">
                  <c:v>1088.7934777888563</c:v>
                </c:pt>
                <c:pt idx="59">
                  <c:v>1092.7354999226818</c:v>
                </c:pt>
                <c:pt idx="60">
                  <c:v>1100.2486287771437</c:v>
                </c:pt>
                <c:pt idx="61">
                  <c:v>1084.3440835396134</c:v>
                </c:pt>
                <c:pt idx="62">
                  <c:v>1057.1056745629071</c:v>
                </c:pt>
                <c:pt idx="63">
                  <c:v>1071.6040240104362</c:v>
                </c:pt>
                <c:pt idx="64">
                  <c:v>1078.8366682912852</c:v>
                </c:pt>
                <c:pt idx="65">
                  <c:v>1099.557826160873</c:v>
                </c:pt>
                <c:pt idx="66">
                  <c:v>1097.7629599931686</c:v>
                </c:pt>
                <c:pt idx="67">
                  <c:v>1122.7061924709774</c:v>
                </c:pt>
                <c:pt idx="68">
                  <c:v>1151.5430847163059</c:v>
                </c:pt>
                <c:pt idx="69">
                  <c:v>1137.8040541642797</c:v>
                </c:pt>
                <c:pt idx="70">
                  <c:v>1153.0456979259557</c:v>
                </c:pt>
                <c:pt idx="71">
                  <c:v>1136.5608001327919</c:v>
                </c:pt>
                <c:pt idx="72">
                  <c:v>1128.6290390567715</c:v>
                </c:pt>
                <c:pt idx="73">
                  <c:v>1121.9670163155927</c:v>
                </c:pt>
                <c:pt idx="74">
                  <c:v>1111.3205188321726</c:v>
                </c:pt>
                <c:pt idx="75">
                  <c:v>1139.6360741940734</c:v>
                </c:pt>
                <c:pt idx="76">
                  <c:v>1135.232386938874</c:v>
                </c:pt>
                <c:pt idx="77">
                  <c:v>1148.7209836346392</c:v>
                </c:pt>
                <c:pt idx="78">
                  <c:v>1150.4258098740149</c:v>
                </c:pt>
                <c:pt idx="79">
                  <c:v>1176.7696986134263</c:v>
                </c:pt>
                <c:pt idx="80">
                  <c:v>1185.8865028092064</c:v>
                </c:pt>
                <c:pt idx="81">
                  <c:v>1172.0365674720208</c:v>
                </c:pt>
                <c:pt idx="82">
                  <c:v>1189.7866738355283</c:v>
                </c:pt>
                <c:pt idx="83">
                  <c:v>1166.280660055023</c:v>
                </c:pt>
                <c:pt idx="84">
                  <c:v>1170.7112374782305</c:v>
                </c:pt>
                <c:pt idx="85">
                  <c:v>1148.521361091126</c:v>
                </c:pt>
                <c:pt idx="86">
                  <c:v>1145.7694393356508</c:v>
                </c:pt>
                <c:pt idx="87">
                  <c:v>1192.6707659169515</c:v>
                </c:pt>
                <c:pt idx="88">
                  <c:v>1210.2160617485229</c:v>
                </c:pt>
                <c:pt idx="89">
                  <c:v>1209.1774541601262</c:v>
                </c:pt>
                <c:pt idx="90">
                  <c:v>1204.9218754565325</c:v>
                </c:pt>
                <c:pt idx="91">
                  <c:v>1221.4172452286716</c:v>
                </c:pt>
                <c:pt idx="92">
                  <c:v>1216.1153956970516</c:v>
                </c:pt>
                <c:pt idx="93">
                  <c:v>1203.4833164738352</c:v>
                </c:pt>
                <c:pt idx="94">
                  <c:v>1222.7038675639599</c:v>
                </c:pt>
                <c:pt idx="95">
                  <c:v>1210.5276327693953</c:v>
                </c:pt>
                <c:pt idx="96">
                  <c:v>1226.8273769002808</c:v>
                </c:pt>
                <c:pt idx="97">
                  <c:v>1216.871862957272</c:v>
                </c:pt>
                <c:pt idx="98">
                  <c:v>1227.8933373200389</c:v>
                </c:pt>
                <c:pt idx="99">
                  <c:v>1287.9953525252413</c:v>
                </c:pt>
                <c:pt idx="100">
                  <c:v>1288.9656851593006</c:v>
                </c:pt>
                <c:pt idx="101">
                  <c:v>1290.2685426089304</c:v>
                </c:pt>
                <c:pt idx="102">
                  <c:v>1289.8588744859708</c:v>
                </c:pt>
                <c:pt idx="103">
                  <c:v>1299.5927677161199</c:v>
                </c:pt>
                <c:pt idx="104">
                  <c:v>1303.9225518677554</c:v>
                </c:pt>
                <c:pt idx="105">
                  <c:v>1291.3527503867417</c:v>
                </c:pt>
                <c:pt idx="106">
                  <c:v>1272.508084427413</c:v>
                </c:pt>
                <c:pt idx="107">
                  <c:v>1244.8937684409846</c:v>
                </c:pt>
                <c:pt idx="108">
                  <c:v>1255.5852246408551</c:v>
                </c:pt>
                <c:pt idx="109">
                  <c:v>1236.6654825345774</c:v>
                </c:pt>
                <c:pt idx="110">
                  <c:v>1218.6886533898232</c:v>
                </c:pt>
                <c:pt idx="111">
                  <c:v>1266.5849010615016</c:v>
                </c:pt>
                <c:pt idx="112">
                  <c:v>1256.0618053761732</c:v>
                </c:pt>
                <c:pt idx="113">
                  <c:v>1255.3959578654799</c:v>
                </c:pt>
                <c:pt idx="114">
                  <c:v>1265.6022911238501</c:v>
                </c:pt>
                <c:pt idx="115">
                  <c:v>1281.2320369528506</c:v>
                </c:pt>
                <c:pt idx="116">
                  <c:v>1317.9727089226831</c:v>
                </c:pt>
                <c:pt idx="117">
                  <c:v>1324.1174568923423</c:v>
                </c:pt>
                <c:pt idx="118">
                  <c:v>1336.6743377875314</c:v>
                </c:pt>
                <c:pt idx="119">
                  <c:v>1341.6236672207692</c:v>
                </c:pt>
                <c:pt idx="120">
                  <c:v>1361.444780730716</c:v>
                </c:pt>
                <c:pt idx="121">
                  <c:v>1338.0491792497387</c:v>
                </c:pt>
                <c:pt idx="122">
                  <c:v>1317.3648862227433</c:v>
                </c:pt>
                <c:pt idx="123">
                  <c:v>1353.7397114084581</c:v>
                </c:pt>
                <c:pt idx="124">
                  <c:v>1350.2713869053175</c:v>
                </c:pt>
                <c:pt idx="125">
                  <c:v>1367.9456597605172</c:v>
                </c:pt>
                <c:pt idx="126">
                  <c:v>1369.2549842909318</c:v>
                </c:pt>
                <c:pt idx="127">
                  <c:v>1387.5804421109494</c:v>
                </c:pt>
                <c:pt idx="128">
                  <c:v>1401.6025243452568</c:v>
                </c:pt>
                <c:pt idx="129">
                  <c:v>1367.8217750793785</c:v>
                </c:pt>
                <c:pt idx="130">
                  <c:v>1361.7433972517399</c:v>
                </c:pt>
                <c:pt idx="131">
                  <c:v>1356.982106747465</c:v>
                </c:pt>
                <c:pt idx="132">
                  <c:v>1360.2173244657224</c:v>
                </c:pt>
                <c:pt idx="133">
                  <c:v>1349.8129354071771</c:v>
                </c:pt>
                <c:pt idx="134">
                  <c:v>1327.2672723721171</c:v>
                </c:pt>
                <c:pt idx="135">
                  <c:v>1375.9454903217429</c:v>
                </c:pt>
                <c:pt idx="136">
                  <c:v>1385.9743554144577</c:v>
                </c:pt>
                <c:pt idx="137">
                  <c:v>1430.2259542330619</c:v>
                </c:pt>
                <c:pt idx="138">
                  <c:v>1421.4334978441923</c:v>
                </c:pt>
                <c:pt idx="139">
                  <c:v>1439.3783618774125</c:v>
                </c:pt>
                <c:pt idx="140">
                  <c:v>1482.2077135846625</c:v>
                </c:pt>
                <c:pt idx="141">
                  <c:v>1466.6393255798985</c:v>
                </c:pt>
                <c:pt idx="142">
                  <c:v>1479.9965039156855</c:v>
                </c:pt>
                <c:pt idx="143">
                  <c:v>1463.2045491089307</c:v>
                </c:pt>
                <c:pt idx="144">
                  <c:v>1449.5748465730485</c:v>
                </c:pt>
                <c:pt idx="145">
                  <c:v>1447.7744837667142</c:v>
                </c:pt>
                <c:pt idx="146">
                  <c:v>1436.2213317390365</c:v>
                </c:pt>
                <c:pt idx="147">
                  <c:v>1457.1412088069972</c:v>
                </c:pt>
                <c:pt idx="148">
                  <c:v>1454.834998840513</c:v>
                </c:pt>
                <c:pt idx="149">
                  <c:v>1468.7748735266837</c:v>
                </c:pt>
                <c:pt idx="150">
                  <c:v>1463.0345861904457</c:v>
                </c:pt>
                <c:pt idx="151">
                  <c:v>1484.6606594381601</c:v>
                </c:pt>
                <c:pt idx="152">
                  <c:v>1488.9685183709366</c:v>
                </c:pt>
                <c:pt idx="153">
                  <c:v>1478.9674236481037</c:v>
                </c:pt>
                <c:pt idx="154">
                  <c:v>1492.2186447075626</c:v>
                </c:pt>
                <c:pt idx="155">
                  <c:v>1463.0830819183293</c:v>
                </c:pt>
                <c:pt idx="156">
                  <c:v>1455.9514848754252</c:v>
                </c:pt>
                <c:pt idx="157">
                  <c:v>1431.7463585313894</c:v>
                </c:pt>
                <c:pt idx="158">
                  <c:v>1407.2845325729013</c:v>
                </c:pt>
                <c:pt idx="159">
                  <c:v>1433.3511020376434</c:v>
                </c:pt>
                <c:pt idx="160">
                  <c:v>1461.9797246593939</c:v>
                </c:pt>
                <c:pt idx="161">
                  <c:v>1474.5810853418175</c:v>
                </c:pt>
                <c:pt idx="162">
                  <c:v>1474.7163712837241</c:v>
                </c:pt>
                <c:pt idx="163">
                  <c:v>1507.4253033847303</c:v>
                </c:pt>
                <c:pt idx="164">
                  <c:v>1527.9563651297244</c:v>
                </c:pt>
                <c:pt idx="165">
                  <c:v>1540.8882135503452</c:v>
                </c:pt>
                <c:pt idx="166">
                  <c:v>1548.3520244672347</c:v>
                </c:pt>
                <c:pt idx="167">
                  <c:v>1526.9240415782854</c:v>
                </c:pt>
                <c:pt idx="168">
                  <c:v>1540.5122165335481</c:v>
                </c:pt>
                <c:pt idx="169">
                  <c:v>1517.7407249102762</c:v>
                </c:pt>
                <c:pt idx="170">
                  <c:v>1497.478989256957</c:v>
                </c:pt>
                <c:pt idx="171">
                  <c:v>1551.2559372476626</c:v>
                </c:pt>
                <c:pt idx="172">
                  <c:v>1563.4451528339318</c:v>
                </c:pt>
                <c:pt idx="173">
                  <c:v>1592.3663462429531</c:v>
                </c:pt>
                <c:pt idx="174">
                  <c:v>1607.4264011964933</c:v>
                </c:pt>
                <c:pt idx="175">
                  <c:v>1635.7077624925896</c:v>
                </c:pt>
                <c:pt idx="176">
                  <c:v>1654.5328861854498</c:v>
                </c:pt>
                <c:pt idx="177">
                  <c:v>1646.9330836691238</c:v>
                </c:pt>
                <c:pt idx="178">
                  <c:v>1644.6940864505386</c:v>
                </c:pt>
                <c:pt idx="179">
                  <c:v>1616.0508704812707</c:v>
                </c:pt>
                <c:pt idx="180">
                  <c:v>1626.0457036921657</c:v>
                </c:pt>
                <c:pt idx="181">
                  <c:v>1591.7988884305689</c:v>
                </c:pt>
                <c:pt idx="182">
                  <c:v>1554.0793975358422</c:v>
                </c:pt>
                <c:pt idx="183">
                  <c:v>1618.6425406071719</c:v>
                </c:pt>
                <c:pt idx="184">
                  <c:v>1614.2367650631772</c:v>
                </c:pt>
                <c:pt idx="185">
                  <c:v>1642.2564242754479</c:v>
                </c:pt>
                <c:pt idx="186">
                  <c:v>1661.2273049014489</c:v>
                </c:pt>
                <c:pt idx="187">
                  <c:v>1715.7314206647816</c:v>
                </c:pt>
                <c:pt idx="188">
                  <c:v>1714.8493249678168</c:v>
                </c:pt>
                <c:pt idx="189">
                  <c:v>1699.7196203080148</c:v>
                </c:pt>
                <c:pt idx="190">
                  <c:v>1688.1841861007606</c:v>
                </c:pt>
                <c:pt idx="191">
                  <c:v>1667.1333495119397</c:v>
                </c:pt>
                <c:pt idx="192">
                  <c:v>1656.4331357340466</c:v>
                </c:pt>
                <c:pt idx="193">
                  <c:v>1605.2681178041385</c:v>
                </c:pt>
                <c:pt idx="194">
                  <c:v>1580.6377928607528</c:v>
                </c:pt>
                <c:pt idx="195">
                  <c:v>1622.4145311489019</c:v>
                </c:pt>
                <c:pt idx="196">
                  <c:v>1633.5836980386566</c:v>
                </c:pt>
                <c:pt idx="197">
                  <c:v>1668.9190275184312</c:v>
                </c:pt>
                <c:pt idx="198">
                  <c:v>1677.664662932129</c:v>
                </c:pt>
                <c:pt idx="199">
                  <c:v>1744.6223494629869</c:v>
                </c:pt>
                <c:pt idx="200">
                  <c:v>1775.4239818186741</c:v>
                </c:pt>
                <c:pt idx="201">
                  <c:v>1742.6697235365796</c:v>
                </c:pt>
                <c:pt idx="202">
                  <c:v>1731.7962910285216</c:v>
                </c:pt>
                <c:pt idx="203">
                  <c:v>1695.0464707093363</c:v>
                </c:pt>
                <c:pt idx="204">
                  <c:v>1687.9266970337846</c:v>
                </c:pt>
                <c:pt idx="205">
                  <c:v>1656.6248095299914</c:v>
                </c:pt>
                <c:pt idx="206">
                  <c:v>1612.8256018756601</c:v>
                </c:pt>
                <c:pt idx="207">
                  <c:v>1661.6464546268107</c:v>
                </c:pt>
                <c:pt idx="208">
                  <c:v>1662.7294617159087</c:v>
                </c:pt>
                <c:pt idx="209">
                  <c:v>1690.912951459833</c:v>
                </c:pt>
                <c:pt idx="210">
                  <c:v>1702.889988300853</c:v>
                </c:pt>
                <c:pt idx="211">
                  <c:v>1728.7610295193549</c:v>
                </c:pt>
                <c:pt idx="212">
                  <c:v>1712.6910075774656</c:v>
                </c:pt>
                <c:pt idx="213">
                  <c:v>1677.9128514293714</c:v>
                </c:pt>
                <c:pt idx="214">
                  <c:v>1683.1080982522267</c:v>
                </c:pt>
                <c:pt idx="215">
                  <c:v>1643.3510864048719</c:v>
                </c:pt>
                <c:pt idx="216">
                  <c:v>1638.7164903033877</c:v>
                </c:pt>
                <c:pt idx="217">
                  <c:v>1608.7742634655992</c:v>
                </c:pt>
                <c:pt idx="218">
                  <c:v>1597.5441265029413</c:v>
                </c:pt>
                <c:pt idx="219">
                  <c:v>1642.5805529730051</c:v>
                </c:pt>
                <c:pt idx="220">
                  <c:v>1647.8831135620071</c:v>
                </c:pt>
                <c:pt idx="221">
                  <c:v>1661.8074498914032</c:v>
                </c:pt>
                <c:pt idx="222">
                  <c:v>1668.0055672604581</c:v>
                </c:pt>
                <c:pt idx="223">
                  <c:v>1706.7570397612228</c:v>
                </c:pt>
                <c:pt idx="224">
                  <c:v>1719.4303151776119</c:v>
                </c:pt>
                <c:pt idx="225">
                  <c:v>1704.1129832619108</c:v>
                </c:pt>
                <c:pt idx="226">
                  <c:v>1719.2548602497607</c:v>
                </c:pt>
                <c:pt idx="227">
                  <c:v>1695.5976485132992</c:v>
                </c:pt>
                <c:pt idx="228">
                  <c:v>1701.5405760417302</c:v>
                </c:pt>
                <c:pt idx="229">
                  <c:v>1654.8620757992767</c:v>
                </c:pt>
                <c:pt idx="230">
                  <c:v>1642.6347486170046</c:v>
                </c:pt>
                <c:pt idx="231">
                  <c:v>1701.8514417113201</c:v>
                </c:pt>
                <c:pt idx="232">
                  <c:v>1719.9842772338166</c:v>
                </c:pt>
                <c:pt idx="233">
                  <c:v>1731.6153359296673</c:v>
                </c:pt>
                <c:pt idx="234">
                  <c:v>1729.4789534116694</c:v>
                </c:pt>
                <c:pt idx="235">
                  <c:v>1763.556333851438</c:v>
                </c:pt>
                <c:pt idx="236">
                  <c:v>1750.7818563321161</c:v>
                </c:pt>
                <c:pt idx="237">
                  <c:v>1744.0704821809766</c:v>
                </c:pt>
                <c:pt idx="238">
                  <c:v>1746.6312717500659</c:v>
                </c:pt>
                <c:pt idx="239">
                  <c:v>1712.8412386845855</c:v>
                </c:pt>
                <c:pt idx="240">
                  <c:v>1714.1842853666039</c:v>
                </c:pt>
                <c:pt idx="241">
                  <c:v>1670.527342312502</c:v>
                </c:pt>
                <c:pt idx="242">
                  <c:v>1662.9293301562384</c:v>
                </c:pt>
                <c:pt idx="243">
                  <c:v>1759.1894407465918</c:v>
                </c:pt>
                <c:pt idx="244">
                  <c:v>1763.3265329707406</c:v>
                </c:pt>
                <c:pt idx="245">
                  <c:v>1782.2747724198498</c:v>
                </c:pt>
                <c:pt idx="246">
                  <c:v>1815.1263161890733</c:v>
                </c:pt>
                <c:pt idx="247">
                  <c:v>1842.8587002736051</c:v>
                </c:pt>
                <c:pt idx="248">
                  <c:v>1866.8021822495948</c:v>
                </c:pt>
                <c:pt idx="249">
                  <c:v>1843.9370479612844</c:v>
                </c:pt>
                <c:pt idx="250">
                  <c:v>1804.5582196855371</c:v>
                </c:pt>
                <c:pt idx="251">
                  <c:v>1771.4376661803763</c:v>
                </c:pt>
                <c:pt idx="252">
                  <c:v>1790.0270719149971</c:v>
                </c:pt>
                <c:pt idx="253">
                  <c:v>1756.7551054328999</c:v>
                </c:pt>
                <c:pt idx="254">
                  <c:v>1728.0921837542669</c:v>
                </c:pt>
                <c:pt idx="255">
                  <c:v>1818.8096551233302</c:v>
                </c:pt>
                <c:pt idx="256">
                  <c:v>1804.3386494388451</c:v>
                </c:pt>
                <c:pt idx="257">
                  <c:v>1823.282975948247</c:v>
                </c:pt>
                <c:pt idx="258">
                  <c:v>1802.2002357788117</c:v>
                </c:pt>
                <c:pt idx="259">
                  <c:v>1774.6853376417644</c:v>
                </c:pt>
                <c:pt idx="260">
                  <c:v>1790.2882641027177</c:v>
                </c:pt>
                <c:pt idx="261">
                  <c:v>1775.9856384783416</c:v>
                </c:pt>
                <c:pt idx="262">
                  <c:v>1802.1487339736796</c:v>
                </c:pt>
                <c:pt idx="263">
                  <c:v>1802.4236451612794</c:v>
                </c:pt>
                <c:pt idx="264">
                  <c:v>1794.2132335293081</c:v>
                </c:pt>
                <c:pt idx="265">
                  <c:v>1760.5582033655967</c:v>
                </c:pt>
                <c:pt idx="266">
                  <c:v>1736.4800848940536</c:v>
                </c:pt>
                <c:pt idx="267">
                  <c:v>1807.3727068214628</c:v>
                </c:pt>
                <c:pt idx="268">
                  <c:v>1807.2523434194866</c:v>
                </c:pt>
                <c:pt idx="269">
                  <c:v>1853.0288873025722</c:v>
                </c:pt>
                <c:pt idx="270">
                  <c:v>1853.0288873025725</c:v>
                </c:pt>
                <c:pt idx="271">
                  <c:v>1853.0288873025725</c:v>
                </c:pt>
                <c:pt idx="272">
                  <c:v>1853.0288873025725</c:v>
                </c:pt>
                <c:pt idx="273">
                  <c:v>1853.0288873025725</c:v>
                </c:pt>
                <c:pt idx="274">
                  <c:v>1853.0288873025725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4-554F-817F-3ABD23E4B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592720"/>
        <c:axId val="687593808"/>
      </c:lineChart>
      <c:catAx>
        <c:axId val="687592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593808"/>
        <c:crosses val="autoZero"/>
        <c:auto val="1"/>
        <c:lblAlgn val="ctr"/>
        <c:lblOffset val="100"/>
        <c:noMultiLvlLbl val="0"/>
      </c:catAx>
      <c:valAx>
        <c:axId val="68759380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875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3: Holt-Winter</a:t>
            </a:r>
            <a:r>
              <a:rPr lang="es-MX" baseline="0"/>
              <a:t> Multiplicativo (12m)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'Mod_3. Holt-Winter'!$B$1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Holt-Winter'!$B$2:$B$276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1-9141-86CC-86FF8ED738FB}"/>
            </c:ext>
          </c:extLst>
        </c:ser>
        <c:ser>
          <c:idx val="1"/>
          <c:order val="1"/>
          <c:tx>
            <c:strRef>
              <c:f>'Mod_3. Holt-Winter'!$G$1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dPt>
            <c:idx val="86"/>
            <c:marker>
              <c:symbol val="none"/>
            </c:marker>
            <c:bubble3D val="0"/>
            <c:spPr>
              <a:ln w="1270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2-7FD1-9141-86CC-86FF8ED738FB}"/>
              </c:ext>
            </c:extLst>
          </c:dPt>
          <c:val>
            <c:numRef>
              <c:f>'Mod_3. Holt-Winter'!$G$2:$G$276</c:f>
              <c:numCache>
                <c:formatCode>General</c:formatCode>
                <c:ptCount val="275"/>
                <c:pt idx="12" formatCode="0">
                  <c:v>1049</c:v>
                </c:pt>
                <c:pt idx="13" formatCode="0">
                  <c:v>990.33735038318764</c:v>
                </c:pt>
                <c:pt idx="14" formatCode="0">
                  <c:v>1006.5551890277372</c:v>
                </c:pt>
                <c:pt idx="15" formatCode="0">
                  <c:v>970.60412560771124</c:v>
                </c:pt>
                <c:pt idx="16" formatCode="0">
                  <c:v>1020.3390698234697</c:v>
                </c:pt>
                <c:pt idx="17" formatCode="0">
                  <c:v>974.69719143545092</c:v>
                </c:pt>
                <c:pt idx="18" formatCode="0">
                  <c:v>1020.9290566906541</c:v>
                </c:pt>
                <c:pt idx="19" formatCode="0">
                  <c:v>1057.6144094875669</c:v>
                </c:pt>
                <c:pt idx="20" formatCode="0">
                  <c:v>990.4928624394023</c:v>
                </c:pt>
                <c:pt idx="21" formatCode="0">
                  <c:v>1068.0044114470074</c:v>
                </c:pt>
                <c:pt idx="22" formatCode="0">
                  <c:v>1011.5094395378826</c:v>
                </c:pt>
                <c:pt idx="23" formatCode="0">
                  <c:v>1032.999916282836</c:v>
                </c:pt>
                <c:pt idx="24" formatCode="0">
                  <c:v>1005.639933283905</c:v>
                </c:pt>
                <c:pt idx="25" formatCode="0">
                  <c:v>947.58032511556758</c:v>
                </c:pt>
                <c:pt idx="26" formatCode="0">
                  <c:v>995.73749751953835</c:v>
                </c:pt>
                <c:pt idx="27" formatCode="0">
                  <c:v>983.38353825872889</c:v>
                </c:pt>
                <c:pt idx="28" formatCode="0">
                  <c:v>1003.8864540532084</c:v>
                </c:pt>
                <c:pt idx="29" formatCode="0">
                  <c:v>950.5262195606299</c:v>
                </c:pt>
                <c:pt idx="30" formatCode="0">
                  <c:v>995.90942219911824</c:v>
                </c:pt>
                <c:pt idx="31" formatCode="0">
                  <c:v>981.1381038303166</c:v>
                </c:pt>
                <c:pt idx="32" formatCode="0">
                  <c:v>920.12998634666678</c:v>
                </c:pt>
                <c:pt idx="33" formatCode="0">
                  <c:v>1013.8889726034374</c:v>
                </c:pt>
                <c:pt idx="34" formatCode="0">
                  <c:v>960.00177157687085</c:v>
                </c:pt>
                <c:pt idx="35" formatCode="0">
                  <c:v>990.48123962484749</c:v>
                </c:pt>
                <c:pt idx="36" formatCode="0">
                  <c:v>983.0613842419134</c:v>
                </c:pt>
                <c:pt idx="37" formatCode="0">
                  <c:v>950.43690017006611</c:v>
                </c:pt>
                <c:pt idx="38" formatCode="0">
                  <c:v>1015.2385442438078</c:v>
                </c:pt>
                <c:pt idx="39" formatCode="0">
                  <c:v>998.02494971526232</c:v>
                </c:pt>
                <c:pt idx="40" formatCode="0">
                  <c:v>1001.2634681551059</c:v>
                </c:pt>
                <c:pt idx="41" formatCode="0">
                  <c:v>964.51238728316412</c:v>
                </c:pt>
                <c:pt idx="42" formatCode="0">
                  <c:v>1019.5492080882262</c:v>
                </c:pt>
                <c:pt idx="43" formatCode="0">
                  <c:v>1026.6644133147158</c:v>
                </c:pt>
                <c:pt idx="44" formatCode="0">
                  <c:v>987.19213045949982</c:v>
                </c:pt>
                <c:pt idx="45" formatCode="0">
                  <c:v>1098.2162678906645</c:v>
                </c:pt>
                <c:pt idx="46" formatCode="0">
                  <c:v>1058.4729438861875</c:v>
                </c:pt>
                <c:pt idx="47" formatCode="0">
                  <c:v>1104.4539652352585</c:v>
                </c:pt>
                <c:pt idx="48" formatCode="0">
                  <c:v>1061.7319371910739</c:v>
                </c:pt>
                <c:pt idx="49" formatCode="0">
                  <c:v>1040.2526291670774</c:v>
                </c:pt>
                <c:pt idx="50" formatCode="0">
                  <c:v>1138.0089099719955</c:v>
                </c:pt>
                <c:pt idx="51" formatCode="0">
                  <c:v>1108.2312274334768</c:v>
                </c:pt>
                <c:pt idx="52" formatCode="0">
                  <c:v>1086.5877560607287</c:v>
                </c:pt>
                <c:pt idx="53" formatCode="0">
                  <c:v>1038.6630829978531</c:v>
                </c:pt>
                <c:pt idx="54" formatCode="0">
                  <c:v>1073.3768674376142</c:v>
                </c:pt>
                <c:pt idx="55" formatCode="0">
                  <c:v>1075.4475315768523</c:v>
                </c:pt>
                <c:pt idx="56" formatCode="0">
                  <c:v>1052.2261143217579</c:v>
                </c:pt>
                <c:pt idx="57" formatCode="0">
                  <c:v>1089.3563447535203</c:v>
                </c:pt>
                <c:pt idx="58" formatCode="0">
                  <c:v>1064.3579641939307</c:v>
                </c:pt>
                <c:pt idx="59" formatCode="0">
                  <c:v>1122.1985198238158</c:v>
                </c:pt>
                <c:pt idx="60" formatCode="0">
                  <c:v>1049.2414222183361</c:v>
                </c:pt>
                <c:pt idx="61" formatCode="0">
                  <c:v>1069.8958976219265</c:v>
                </c:pt>
                <c:pt idx="62" formatCode="0">
                  <c:v>1143.9935111740367</c:v>
                </c:pt>
                <c:pt idx="63" formatCode="0">
                  <c:v>1098.3935313758307</c:v>
                </c:pt>
                <c:pt idx="64" formatCode="0">
                  <c:v>1114.6317892519992</c:v>
                </c:pt>
                <c:pt idx="65" formatCode="0">
                  <c:v>1079.2813403903751</c:v>
                </c:pt>
                <c:pt idx="66" formatCode="0">
                  <c:v>1106.51899892648</c:v>
                </c:pt>
                <c:pt idx="67" formatCode="0">
                  <c:v>1136.3656857607957</c:v>
                </c:pt>
                <c:pt idx="68" formatCode="0">
                  <c:v>1101.6989551355582</c:v>
                </c:pt>
                <c:pt idx="69" formatCode="0">
                  <c:v>1146.0688237538834</c:v>
                </c:pt>
                <c:pt idx="70" formatCode="0">
                  <c:v>1137.5516546084118</c:v>
                </c:pt>
                <c:pt idx="71" formatCode="0">
                  <c:v>1157.4111376034436</c:v>
                </c:pt>
                <c:pt idx="72" formatCode="0">
                  <c:v>1069.3896532128615</c:v>
                </c:pt>
                <c:pt idx="73" formatCode="0">
                  <c:v>1087.5766459643235</c:v>
                </c:pt>
                <c:pt idx="74" formatCode="0">
                  <c:v>1203.9872583239223</c:v>
                </c:pt>
                <c:pt idx="75" formatCode="0">
                  <c:v>1181.28882069582</c:v>
                </c:pt>
                <c:pt idx="76" formatCode="0">
                  <c:v>1186.7179303583227</c:v>
                </c:pt>
                <c:pt idx="77" formatCode="0">
                  <c:v>1130.8485266786081</c:v>
                </c:pt>
                <c:pt idx="78" formatCode="0">
                  <c:v>1175.8177059001628</c:v>
                </c:pt>
                <c:pt idx="79" formatCode="0">
                  <c:v>1202.3687255059976</c:v>
                </c:pt>
                <c:pt idx="80" formatCode="0">
                  <c:v>1120.8040210741608</c:v>
                </c:pt>
                <c:pt idx="81" formatCode="0">
                  <c:v>1179.7076068917386</c:v>
                </c:pt>
                <c:pt idx="82" formatCode="0">
                  <c:v>1155.7765410374966</c:v>
                </c:pt>
                <c:pt idx="83" formatCode="0">
                  <c:v>1172.6340483085557</c:v>
                </c:pt>
                <c:pt idx="84" formatCode="0">
                  <c:v>1123.9052641077976</c:v>
                </c:pt>
                <c:pt idx="85" formatCode="0">
                  <c:v>1108.8325117289539</c:v>
                </c:pt>
                <c:pt idx="86" formatCode="0">
                  <c:v>1239.2852933243196</c:v>
                </c:pt>
                <c:pt idx="87" formatCode="0">
                  <c:v>1225.8099940561292</c:v>
                </c:pt>
                <c:pt idx="88" formatCode="0">
                  <c:v>1276.383623452464</c:v>
                </c:pt>
                <c:pt idx="89" formatCode="0">
                  <c:v>1202.1522911528311</c:v>
                </c:pt>
                <c:pt idx="90" formatCode="0">
                  <c:v>1245.3049343562279</c:v>
                </c:pt>
                <c:pt idx="91" formatCode="0">
                  <c:v>1240.6674525226495</c:v>
                </c:pt>
                <c:pt idx="92" formatCode="0">
                  <c:v>1146.9371581456094</c:v>
                </c:pt>
                <c:pt idx="93" formatCode="0">
                  <c:v>1216.0647677661279</c:v>
                </c:pt>
                <c:pt idx="94" formatCode="0">
                  <c:v>1170.07199791788</c:v>
                </c:pt>
                <c:pt idx="95" formatCode="0">
                  <c:v>1221.4832257853959</c:v>
                </c:pt>
                <c:pt idx="96" formatCode="0">
                  <c:v>1175.949238487389</c:v>
                </c:pt>
                <c:pt idx="97" formatCode="0">
                  <c:v>1191.1611409801585</c:v>
                </c:pt>
                <c:pt idx="98" formatCode="0">
                  <c:v>1347.7623818507918</c:v>
                </c:pt>
                <c:pt idx="99" formatCode="0">
                  <c:v>1330.0130683765249</c:v>
                </c:pt>
                <c:pt idx="100" formatCode="0">
                  <c:v>1335.9877960722215</c:v>
                </c:pt>
                <c:pt idx="101" formatCode="0">
                  <c:v>1285.7058461508459</c:v>
                </c:pt>
                <c:pt idx="102" formatCode="0">
                  <c:v>1340.8429615819693</c:v>
                </c:pt>
                <c:pt idx="103" formatCode="0">
                  <c:v>1311.4702443360109</c:v>
                </c:pt>
                <c:pt idx="104" formatCode="0">
                  <c:v>1243.8518222049468</c:v>
                </c:pt>
                <c:pt idx="105" formatCode="0">
                  <c:v>1318.221462564474</c:v>
                </c:pt>
                <c:pt idx="106" formatCode="0">
                  <c:v>1209.3364007691359</c:v>
                </c:pt>
                <c:pt idx="107" formatCode="0">
                  <c:v>1252.4107489552905</c:v>
                </c:pt>
                <c:pt idx="108" formatCode="0">
                  <c:v>1195.7173950252957</c:v>
                </c:pt>
                <c:pt idx="109" formatCode="0">
                  <c:v>1212.6105996943227</c:v>
                </c:pt>
                <c:pt idx="110" formatCode="0">
                  <c:v>1330.0837548178199</c:v>
                </c:pt>
                <c:pt idx="111" formatCode="0">
                  <c:v>1277.1698229041476</c:v>
                </c:pt>
                <c:pt idx="112" formatCode="0">
                  <c:v>1279.2468064185396</c:v>
                </c:pt>
                <c:pt idx="113" formatCode="0">
                  <c:v>1247.4216792810762</c:v>
                </c:pt>
                <c:pt idx="114" formatCode="0">
                  <c:v>1310.1434266574972</c:v>
                </c:pt>
                <c:pt idx="115" formatCode="0">
                  <c:v>1295.9954502633911</c:v>
                </c:pt>
                <c:pt idx="116" formatCode="0">
                  <c:v>1271.1041227625367</c:v>
                </c:pt>
                <c:pt idx="117" formatCode="0">
                  <c:v>1338.9484589823726</c:v>
                </c:pt>
                <c:pt idx="118" formatCode="0">
                  <c:v>1285.3640284600997</c:v>
                </c:pt>
                <c:pt idx="119" formatCode="0">
                  <c:v>1382.502446567913</c:v>
                </c:pt>
                <c:pt idx="120" formatCode="0">
                  <c:v>1311.590833748018</c:v>
                </c:pt>
                <c:pt idx="121" formatCode="0">
                  <c:v>1312.267320128027</c:v>
                </c:pt>
                <c:pt idx="122" formatCode="0">
                  <c:v>1456.7807777233133</c:v>
                </c:pt>
                <c:pt idx="123" formatCode="0">
                  <c:v>1353.4822476169063</c:v>
                </c:pt>
                <c:pt idx="124" formatCode="0">
                  <c:v>1375.3362618933227</c:v>
                </c:pt>
                <c:pt idx="125" formatCode="0">
                  <c:v>1380.9851924790855</c:v>
                </c:pt>
                <c:pt idx="126" formatCode="0">
                  <c:v>1419.3395672133774</c:v>
                </c:pt>
                <c:pt idx="127" formatCode="0">
                  <c:v>1429.3975816837683</c:v>
                </c:pt>
                <c:pt idx="128" formatCode="0">
                  <c:v>1353.5879953540375</c:v>
                </c:pt>
                <c:pt idx="129" formatCode="0">
                  <c:v>1362.5067372490319</c:v>
                </c:pt>
                <c:pt idx="130" formatCode="0">
                  <c:v>1303.3952919785088</c:v>
                </c:pt>
                <c:pt idx="131" formatCode="0">
                  <c:v>1379.6866545293997</c:v>
                </c:pt>
                <c:pt idx="132" formatCode="0">
                  <c:v>1286.1726759790292</c:v>
                </c:pt>
                <c:pt idx="133" formatCode="0">
                  <c:v>1308.7950642965859</c:v>
                </c:pt>
                <c:pt idx="134" formatCode="0">
                  <c:v>1460.8870285562514</c:v>
                </c:pt>
                <c:pt idx="135" formatCode="0">
                  <c:v>1377.3771873729838</c:v>
                </c:pt>
                <c:pt idx="136" formatCode="0">
                  <c:v>1426.0967646012396</c:v>
                </c:pt>
                <c:pt idx="137" formatCode="0">
                  <c:v>1449.0213176469958</c:v>
                </c:pt>
                <c:pt idx="138" formatCode="0">
                  <c:v>1478.2259595319331</c:v>
                </c:pt>
                <c:pt idx="139" formatCode="0">
                  <c:v>1484.2921082885746</c:v>
                </c:pt>
                <c:pt idx="140" formatCode="0">
                  <c:v>1423.6811868899758</c:v>
                </c:pt>
                <c:pt idx="141" formatCode="0">
                  <c:v>1473.8253294763647</c:v>
                </c:pt>
                <c:pt idx="142" formatCode="0">
                  <c:v>1444.0503309291114</c:v>
                </c:pt>
                <c:pt idx="143" formatCode="0">
                  <c:v>1487.0209155362718</c:v>
                </c:pt>
                <c:pt idx="144" formatCode="0">
                  <c:v>1380.3894754028927</c:v>
                </c:pt>
                <c:pt idx="145" formatCode="0">
                  <c:v>1394.447247081454</c:v>
                </c:pt>
                <c:pt idx="146" formatCode="0">
                  <c:v>1591.7247902419731</c:v>
                </c:pt>
                <c:pt idx="147" formatCode="0">
                  <c:v>1463.1050527052664</c:v>
                </c:pt>
                <c:pt idx="148" formatCode="0">
                  <c:v>1512.5607305210592</c:v>
                </c:pt>
                <c:pt idx="149" formatCode="0">
                  <c:v>1455.6781000643023</c:v>
                </c:pt>
                <c:pt idx="150" formatCode="0">
                  <c:v>1513.5967307969709</c:v>
                </c:pt>
                <c:pt idx="151" formatCode="0">
                  <c:v>1548.3167766971583</c:v>
                </c:pt>
                <c:pt idx="152" formatCode="0">
                  <c:v>1414.3710326737073</c:v>
                </c:pt>
                <c:pt idx="153" formatCode="0">
                  <c:v>1483.3740102950997</c:v>
                </c:pt>
                <c:pt idx="154" formatCode="0">
                  <c:v>1442.294402804343</c:v>
                </c:pt>
                <c:pt idx="155" formatCode="0">
                  <c:v>1462.8441408067031</c:v>
                </c:pt>
                <c:pt idx="156" formatCode="0">
                  <c:v>1404.1693538335664</c:v>
                </c:pt>
                <c:pt idx="157" formatCode="0">
                  <c:v>1372.3859711980303</c:v>
                </c:pt>
                <c:pt idx="158" formatCode="0">
                  <c:v>1524.5320660901191</c:v>
                </c:pt>
                <c:pt idx="159" formatCode="0">
                  <c:v>1437.0140351051296</c:v>
                </c:pt>
                <c:pt idx="160" formatCode="0">
                  <c:v>1526.0573945991252</c:v>
                </c:pt>
                <c:pt idx="161" formatCode="0">
                  <c:v>1466.7738372968915</c:v>
                </c:pt>
                <c:pt idx="162" formatCode="0">
                  <c:v>1535.574650030457</c:v>
                </c:pt>
                <c:pt idx="163" formatCode="0">
                  <c:v>1564.049210493019</c:v>
                </c:pt>
                <c:pt idx="164" formatCode="0">
                  <c:v>1472.4614170685359</c:v>
                </c:pt>
                <c:pt idx="165" formatCode="0">
                  <c:v>1563.1694201826551</c:v>
                </c:pt>
                <c:pt idx="166" formatCode="0">
                  <c:v>1486.5670648422947</c:v>
                </c:pt>
                <c:pt idx="167" formatCode="0">
                  <c:v>1528.0624166238752</c:v>
                </c:pt>
                <c:pt idx="168" formatCode="0">
                  <c:v>1491.3298246140173</c:v>
                </c:pt>
                <c:pt idx="169" formatCode="0">
                  <c:v>1460.8564565894624</c:v>
                </c:pt>
                <c:pt idx="170" formatCode="0">
                  <c:v>1623.703337709748</c:v>
                </c:pt>
                <c:pt idx="171" formatCode="0">
                  <c:v>1592.1399201974746</c:v>
                </c:pt>
                <c:pt idx="172" formatCode="0">
                  <c:v>1621.7435728488786</c:v>
                </c:pt>
                <c:pt idx="173" formatCode="0">
                  <c:v>1590.1641320490849</c:v>
                </c:pt>
                <c:pt idx="174" formatCode="0">
                  <c:v>1690.3646796916289</c:v>
                </c:pt>
                <c:pt idx="175" formatCode="0">
                  <c:v>1697.3621586003096</c:v>
                </c:pt>
                <c:pt idx="176" formatCode="0">
                  <c:v>1616.6895981871194</c:v>
                </c:pt>
                <c:pt idx="177" formatCode="0">
                  <c:v>1654.1370277969129</c:v>
                </c:pt>
                <c:pt idx="178" formatCode="0">
                  <c:v>1566.2217930840757</c:v>
                </c:pt>
                <c:pt idx="179" formatCode="0">
                  <c:v>1619.2900357950587</c:v>
                </c:pt>
                <c:pt idx="180" formatCode="0">
                  <c:v>1559.1946082685813</c:v>
                </c:pt>
                <c:pt idx="181" formatCode="0">
                  <c:v>1524.5584278927668</c:v>
                </c:pt>
                <c:pt idx="182" formatCode="0">
                  <c:v>1686.5392824555111</c:v>
                </c:pt>
                <c:pt idx="183" formatCode="0">
                  <c:v>1653.3641925036143</c:v>
                </c:pt>
                <c:pt idx="184" formatCode="0">
                  <c:v>1674.0000382538899</c:v>
                </c:pt>
                <c:pt idx="185" formatCode="0">
                  <c:v>1643.6865635289428</c:v>
                </c:pt>
                <c:pt idx="186" formatCode="0">
                  <c:v>1738.6907081383727</c:v>
                </c:pt>
                <c:pt idx="187" formatCode="0">
                  <c:v>1778.9761328728143</c:v>
                </c:pt>
                <c:pt idx="188" formatCode="0">
                  <c:v>1674.844514509896</c:v>
                </c:pt>
                <c:pt idx="189" formatCode="0">
                  <c:v>1697.687234999373</c:v>
                </c:pt>
                <c:pt idx="190" formatCode="0">
                  <c:v>1600.8611526211801</c:v>
                </c:pt>
                <c:pt idx="191" formatCode="0">
                  <c:v>1678.1038264480565</c:v>
                </c:pt>
                <c:pt idx="192" formatCode="0">
                  <c:v>1571.6944221431934</c:v>
                </c:pt>
                <c:pt idx="193" formatCode="0">
                  <c:v>1520.2351966529657</c:v>
                </c:pt>
                <c:pt idx="194" formatCode="0">
                  <c:v>1737.606162805482</c:v>
                </c:pt>
                <c:pt idx="195" formatCode="0">
                  <c:v>1638.2997036210036</c:v>
                </c:pt>
                <c:pt idx="196" formatCode="0">
                  <c:v>1704.5460604065465</c:v>
                </c:pt>
                <c:pt idx="197" formatCode="0">
                  <c:v>1685.1957431201843</c:v>
                </c:pt>
                <c:pt idx="198" formatCode="0">
                  <c:v>1769.3659667562254</c:v>
                </c:pt>
                <c:pt idx="199" formatCode="0">
                  <c:v>1781.1213201706735</c:v>
                </c:pt>
                <c:pt idx="200" formatCode="0">
                  <c:v>1738.9215283669648</c:v>
                </c:pt>
                <c:pt idx="201" formatCode="0">
                  <c:v>1732.4049043360164</c:v>
                </c:pt>
                <c:pt idx="202" formatCode="0">
                  <c:v>1651.0530925565122</c:v>
                </c:pt>
                <c:pt idx="203" formatCode="0">
                  <c:v>1690.7875101639613</c:v>
                </c:pt>
                <c:pt idx="204" formatCode="0">
                  <c:v>1585.5252159445949</c:v>
                </c:pt>
                <c:pt idx="205" formatCode="0">
                  <c:v>1585.6114707976037</c:v>
                </c:pt>
                <c:pt idx="206" formatCode="0">
                  <c:v>1769.2429613133772</c:v>
                </c:pt>
                <c:pt idx="207" formatCode="0">
                  <c:v>1687.8399773490135</c:v>
                </c:pt>
                <c:pt idx="208" formatCode="0">
                  <c:v>1743.0000669804303</c:v>
                </c:pt>
                <c:pt idx="209" formatCode="0">
                  <c:v>1703.8195883504236</c:v>
                </c:pt>
                <c:pt idx="210" formatCode="0">
                  <c:v>1818.8441406481841</c:v>
                </c:pt>
                <c:pt idx="211" formatCode="0">
                  <c:v>1756.4898142636907</c:v>
                </c:pt>
                <c:pt idx="212" formatCode="0">
                  <c:v>1633.8251713957807</c:v>
                </c:pt>
                <c:pt idx="213" formatCode="0">
                  <c:v>1649.6914210888469</c:v>
                </c:pt>
                <c:pt idx="214" formatCode="0">
                  <c:v>1594.834100363574</c:v>
                </c:pt>
                <c:pt idx="215" formatCode="0">
                  <c:v>1635.2281909904677</c:v>
                </c:pt>
                <c:pt idx="216" formatCode="0">
                  <c:v>1542.2472168312206</c:v>
                </c:pt>
                <c:pt idx="217" formatCode="0">
                  <c:v>1524.7153474900945</c:v>
                </c:pt>
                <c:pt idx="218" formatCode="0">
                  <c:v>1768.1095708659182</c:v>
                </c:pt>
                <c:pt idx="219" formatCode="0">
                  <c:v>1672.2721587058579</c:v>
                </c:pt>
                <c:pt idx="220" formatCode="0">
                  <c:v>1737.8519492765936</c:v>
                </c:pt>
                <c:pt idx="221" formatCode="0">
                  <c:v>1681.3057954730809</c:v>
                </c:pt>
                <c:pt idx="222" formatCode="0">
                  <c:v>1769.5923101702292</c:v>
                </c:pt>
                <c:pt idx="223" formatCode="0">
                  <c:v>1719.0491335258307</c:v>
                </c:pt>
                <c:pt idx="224" formatCode="0">
                  <c:v>1648.7840800845597</c:v>
                </c:pt>
                <c:pt idx="225" formatCode="0">
                  <c:v>1704.1578604881918</c:v>
                </c:pt>
                <c:pt idx="226" formatCode="0">
                  <c:v>1628.9582940251635</c:v>
                </c:pt>
                <c:pt idx="227" formatCode="0">
                  <c:v>1699.6931509309827</c:v>
                </c:pt>
                <c:pt idx="228" formatCode="0">
                  <c:v>1613.5749278396675</c:v>
                </c:pt>
                <c:pt idx="229" formatCode="0">
                  <c:v>1582.336090974067</c:v>
                </c:pt>
                <c:pt idx="230" formatCode="0">
                  <c:v>1805.9032116567485</c:v>
                </c:pt>
                <c:pt idx="231" formatCode="0">
                  <c:v>1732.088990761019</c:v>
                </c:pt>
                <c:pt idx="232" formatCode="0">
                  <c:v>1808.5302215851432</c:v>
                </c:pt>
                <c:pt idx="233" formatCode="0">
                  <c:v>1759.8314410098089</c:v>
                </c:pt>
                <c:pt idx="234" formatCode="0">
                  <c:v>1842.4411639851733</c:v>
                </c:pt>
                <c:pt idx="235" formatCode="0">
                  <c:v>1781.7906087636211</c:v>
                </c:pt>
                <c:pt idx="236" formatCode="0">
                  <c:v>1675.3811690442019</c:v>
                </c:pt>
                <c:pt idx="237" formatCode="0">
                  <c:v>1749.9172116816674</c:v>
                </c:pt>
                <c:pt idx="238" formatCode="0">
                  <c:v>1648.4952889839155</c:v>
                </c:pt>
                <c:pt idx="239" formatCode="0">
                  <c:v>1709.1393686129677</c:v>
                </c:pt>
                <c:pt idx="240" formatCode="0">
                  <c:v>1602.9016672064947</c:v>
                </c:pt>
                <c:pt idx="241" formatCode="0">
                  <c:v>1606.5207670667371</c:v>
                </c:pt>
                <c:pt idx="242" formatCode="0">
                  <c:v>1831.1552585198745</c:v>
                </c:pt>
                <c:pt idx="243" formatCode="0">
                  <c:v>1800.1021984018903</c:v>
                </c:pt>
                <c:pt idx="244" formatCode="0">
                  <c:v>1837.0499433985915</c:v>
                </c:pt>
                <c:pt idx="245" formatCode="0">
                  <c:v>1806.9420425712678</c:v>
                </c:pt>
                <c:pt idx="246" formatCode="0">
                  <c:v>1947.4417846638701</c:v>
                </c:pt>
                <c:pt idx="247" formatCode="0">
                  <c:v>1855.7483518902541</c:v>
                </c:pt>
                <c:pt idx="248" formatCode="0">
                  <c:v>1820.056390981804</c:v>
                </c:pt>
                <c:pt idx="249" formatCode="0">
                  <c:v>1853.1486040097086</c:v>
                </c:pt>
                <c:pt idx="250" formatCode="0">
                  <c:v>1693.2305060305973</c:v>
                </c:pt>
                <c:pt idx="251" formatCode="0">
                  <c:v>1765.6503447262896</c:v>
                </c:pt>
                <c:pt idx="252" formatCode="0">
                  <c:v>1669.0663798877097</c:v>
                </c:pt>
                <c:pt idx="253" formatCode="0">
                  <c:v>1706.6926430405103</c:v>
                </c:pt>
                <c:pt idx="254" formatCode="0">
                  <c:v>1928.3302065773955</c:v>
                </c:pt>
                <c:pt idx="255" formatCode="0">
                  <c:v>1836.832121033849</c:v>
                </c:pt>
                <c:pt idx="256" formatCode="0">
                  <c:v>1863.6843926894182</c:v>
                </c:pt>
                <c:pt idx="257" formatCode="0">
                  <c:v>1860.9307042856044</c:v>
                </c:pt>
                <c:pt idx="258" formatCode="0">
                  <c:v>1897.388573416403</c:v>
                </c:pt>
                <c:pt idx="259" formatCode="0">
                  <c:v>1778.8375174897585</c:v>
                </c:pt>
                <c:pt idx="260" formatCode="0">
                  <c:v>1719.2601341374821</c:v>
                </c:pt>
                <c:pt idx="261" formatCode="0">
                  <c:v>1744.9261956894798</c:v>
                </c:pt>
                <c:pt idx="262" formatCode="0">
                  <c:v>1715.2132673037802</c:v>
                </c:pt>
                <c:pt idx="263" formatCode="0">
                  <c:v>1834.7970324757221</c:v>
                </c:pt>
                <c:pt idx="264" formatCode="0">
                  <c:v>1678.066159359096</c:v>
                </c:pt>
                <c:pt idx="265" formatCode="0">
                  <c:v>1699.4959123117126</c:v>
                </c:pt>
                <c:pt idx="266" formatCode="0">
                  <c:v>1961.1879798742621</c:v>
                </c:pt>
                <c:pt idx="267" formatCode="0">
                  <c:v>1802.0354292211055</c:v>
                </c:pt>
                <c:pt idx="268" formatCode="0">
                  <c:v>1871.0669384544424</c:v>
                </c:pt>
                <c:pt idx="269" formatCode="0">
                  <c:v>1874.385996492108</c:v>
                </c:pt>
                <c:pt idx="270" formatCode="0">
                  <c:v>1934.8526556474035</c:v>
                </c:pt>
                <c:pt idx="271" formatCode="0">
                  <c:v>1943.7201777755599</c:v>
                </c:pt>
                <c:pt idx="272" formatCode="0">
                  <c:v>1856.6314881877033</c:v>
                </c:pt>
                <c:pt idx="273" formatCode="0">
                  <c:v>1894.1767567708328</c:v>
                </c:pt>
                <c:pt idx="274" formatCode="0">
                  <c:v>1809.9538280486609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D1-9141-86CC-86FF8ED7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46272"/>
        <c:axId val="1642246816"/>
      </c:lineChart>
      <c:catAx>
        <c:axId val="164224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816"/>
        <c:crosses val="autoZero"/>
        <c:auto val="1"/>
        <c:lblAlgn val="ctr"/>
        <c:lblOffset val="100"/>
        <c:noMultiLvlLbl val="0"/>
      </c:catAx>
      <c:valAx>
        <c:axId val="16422468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Prónostico muestra</a:t>
            </a:r>
            <a:r>
              <a:rPr lang="es-MX" baseline="0"/>
              <a:t> de Validación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'Mod_3. Holt-Winter'!$B$1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Holt-Winter'!$B$268:$B$276</c:f>
              <c:numCache>
                <c:formatCode>#,##0</c:formatCode>
                <c:ptCount val="9"/>
                <c:pt idx="0">
                  <c:v>1956</c:v>
                </c:pt>
                <c:pt idx="1">
                  <c:v>1807</c:v>
                </c:pt>
                <c:pt idx="2">
                  <c:v>1949</c:v>
                </c:pt>
                <c:pt idx="3">
                  <c:v>1833</c:v>
                </c:pt>
                <c:pt idx="4">
                  <c:v>1813</c:v>
                </c:pt>
                <c:pt idx="5">
                  <c:v>1886</c:v>
                </c:pt>
                <c:pt idx="6">
                  <c:v>1805</c:v>
                </c:pt>
                <c:pt idx="7">
                  <c:v>1931</c:v>
                </c:pt>
                <c:pt idx="8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F-A04F-A584-E22165800103}"/>
            </c:ext>
          </c:extLst>
        </c:ser>
        <c:ser>
          <c:idx val="1"/>
          <c:order val="1"/>
          <c:tx>
            <c:strRef>
              <c:f>'Mod_3. Holt-Winter'!$G$1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Holt-Winter'!$G$268:$G$276</c:f>
              <c:numCache>
                <c:formatCode>0</c:formatCode>
                <c:ptCount val="9"/>
                <c:pt idx="0">
                  <c:v>1961.1879798742621</c:v>
                </c:pt>
                <c:pt idx="1">
                  <c:v>1802.0354292211055</c:v>
                </c:pt>
                <c:pt idx="2">
                  <c:v>1871.0669384544424</c:v>
                </c:pt>
                <c:pt idx="3">
                  <c:v>1874.385996492108</c:v>
                </c:pt>
                <c:pt idx="4">
                  <c:v>1934.8526556474035</c:v>
                </c:pt>
                <c:pt idx="5">
                  <c:v>1943.7201777755599</c:v>
                </c:pt>
                <c:pt idx="6">
                  <c:v>1856.6314881877033</c:v>
                </c:pt>
                <c:pt idx="7">
                  <c:v>1894.1767567708328</c:v>
                </c:pt>
                <c:pt idx="8">
                  <c:v>1809.9538280486609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F-A04F-A584-E22165800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47360"/>
        <c:axId val="1642248992"/>
      </c:lineChart>
      <c:catAx>
        <c:axId val="1642247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8992"/>
        <c:crosses val="autoZero"/>
        <c:auto val="1"/>
        <c:lblAlgn val="ctr"/>
        <c:lblOffset val="100"/>
        <c:noMultiLvlLbl val="0"/>
      </c:catAx>
      <c:valAx>
        <c:axId val="16422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Modelo 3: Holt-Winter</a:t>
            </a:r>
            <a:r>
              <a:rPr lang="es-MX" baseline="0"/>
              <a:t> Multiplicativo (12m)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'Mod_3. Holt-Winter'!$B$1</c:f>
              <c:strCache>
                <c:ptCount val="1"/>
                <c:pt idx="0">
                  <c:v>ventas(M$)</c:v>
                </c:pt>
              </c:strCache>
            </c:strRef>
          </c:tx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Holt-Winter'!$B$2:$B$276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1-CD43-A9D1-4576CEE31FA7}"/>
            </c:ext>
          </c:extLst>
        </c:ser>
        <c:ser>
          <c:idx val="1"/>
          <c:order val="1"/>
          <c:tx>
            <c:strRef>
              <c:f>'Mod_3. Holt-Winter'!$G$1</c:f>
              <c:strCache>
                <c:ptCount val="1"/>
                <c:pt idx="0">
                  <c:v>Pronostico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none"/>
          </c:marker>
          <c:val>
            <c:numRef>
              <c:f>'Mod_3. Holt-Winter'!$G$2:$G$276</c:f>
              <c:numCache>
                <c:formatCode>General</c:formatCode>
                <c:ptCount val="275"/>
                <c:pt idx="12" formatCode="0">
                  <c:v>1049</c:v>
                </c:pt>
                <c:pt idx="13" formatCode="0">
                  <c:v>990.33735038318764</c:v>
                </c:pt>
                <c:pt idx="14" formatCode="0">
                  <c:v>1006.5551890277372</c:v>
                </c:pt>
                <c:pt idx="15" formatCode="0">
                  <c:v>970.60412560771124</c:v>
                </c:pt>
                <c:pt idx="16" formatCode="0">
                  <c:v>1020.3390698234697</c:v>
                </c:pt>
                <c:pt idx="17" formatCode="0">
                  <c:v>974.69719143545092</c:v>
                </c:pt>
                <c:pt idx="18" formatCode="0">
                  <c:v>1020.9290566906541</c:v>
                </c:pt>
                <c:pt idx="19" formatCode="0">
                  <c:v>1057.6144094875669</c:v>
                </c:pt>
                <c:pt idx="20" formatCode="0">
                  <c:v>990.4928624394023</c:v>
                </c:pt>
                <c:pt idx="21" formatCode="0">
                  <c:v>1068.0044114470074</c:v>
                </c:pt>
                <c:pt idx="22" formatCode="0">
                  <c:v>1011.5094395378826</c:v>
                </c:pt>
                <c:pt idx="23" formatCode="0">
                  <c:v>1032.999916282836</c:v>
                </c:pt>
                <c:pt idx="24" formatCode="0">
                  <c:v>1005.639933283905</c:v>
                </c:pt>
                <c:pt idx="25" formatCode="0">
                  <c:v>947.58032511556758</c:v>
                </c:pt>
                <c:pt idx="26" formatCode="0">
                  <c:v>995.73749751953835</c:v>
                </c:pt>
                <c:pt idx="27" formatCode="0">
                  <c:v>983.38353825872889</c:v>
                </c:pt>
                <c:pt idx="28" formatCode="0">
                  <c:v>1003.8864540532084</c:v>
                </c:pt>
                <c:pt idx="29" formatCode="0">
                  <c:v>950.5262195606299</c:v>
                </c:pt>
                <c:pt idx="30" formatCode="0">
                  <c:v>995.90942219911824</c:v>
                </c:pt>
                <c:pt idx="31" formatCode="0">
                  <c:v>981.1381038303166</c:v>
                </c:pt>
                <c:pt idx="32" formatCode="0">
                  <c:v>920.12998634666678</c:v>
                </c:pt>
                <c:pt idx="33" formatCode="0">
                  <c:v>1013.8889726034374</c:v>
                </c:pt>
                <c:pt idx="34" formatCode="0">
                  <c:v>960.00177157687085</c:v>
                </c:pt>
                <c:pt idx="35" formatCode="0">
                  <c:v>990.48123962484749</c:v>
                </c:pt>
                <c:pt idx="36" formatCode="0">
                  <c:v>983.0613842419134</c:v>
                </c:pt>
                <c:pt idx="37" formatCode="0">
                  <c:v>950.43690017006611</c:v>
                </c:pt>
                <c:pt idx="38" formatCode="0">
                  <c:v>1015.2385442438078</c:v>
                </c:pt>
                <c:pt idx="39" formatCode="0">
                  <c:v>998.02494971526232</c:v>
                </c:pt>
                <c:pt idx="40" formatCode="0">
                  <c:v>1001.2634681551059</c:v>
                </c:pt>
                <c:pt idx="41" formatCode="0">
                  <c:v>964.51238728316412</c:v>
                </c:pt>
                <c:pt idx="42" formatCode="0">
                  <c:v>1019.5492080882262</c:v>
                </c:pt>
                <c:pt idx="43" formatCode="0">
                  <c:v>1026.6644133147158</c:v>
                </c:pt>
                <c:pt idx="44" formatCode="0">
                  <c:v>987.19213045949982</c:v>
                </c:pt>
                <c:pt idx="45" formatCode="0">
                  <c:v>1098.2162678906645</c:v>
                </c:pt>
                <c:pt idx="46" formatCode="0">
                  <c:v>1058.4729438861875</c:v>
                </c:pt>
                <c:pt idx="47" formatCode="0">
                  <c:v>1104.4539652352585</c:v>
                </c:pt>
                <c:pt idx="48" formatCode="0">
                  <c:v>1061.7319371910739</c:v>
                </c:pt>
                <c:pt idx="49" formatCode="0">
                  <c:v>1040.2526291670774</c:v>
                </c:pt>
                <c:pt idx="50" formatCode="0">
                  <c:v>1138.0089099719955</c:v>
                </c:pt>
                <c:pt idx="51" formatCode="0">
                  <c:v>1108.2312274334768</c:v>
                </c:pt>
                <c:pt idx="52" formatCode="0">
                  <c:v>1086.5877560607287</c:v>
                </c:pt>
                <c:pt idx="53" formatCode="0">
                  <c:v>1038.6630829978531</c:v>
                </c:pt>
                <c:pt idx="54" formatCode="0">
                  <c:v>1073.3768674376142</c:v>
                </c:pt>
                <c:pt idx="55" formatCode="0">
                  <c:v>1075.4475315768523</c:v>
                </c:pt>
                <c:pt idx="56" formatCode="0">
                  <c:v>1052.2261143217579</c:v>
                </c:pt>
                <c:pt idx="57" formatCode="0">
                  <c:v>1089.3563447535203</c:v>
                </c:pt>
                <c:pt idx="58" formatCode="0">
                  <c:v>1064.3579641939307</c:v>
                </c:pt>
                <c:pt idx="59" formatCode="0">
                  <c:v>1122.1985198238158</c:v>
                </c:pt>
                <c:pt idx="60" formatCode="0">
                  <c:v>1049.2414222183361</c:v>
                </c:pt>
                <c:pt idx="61" formatCode="0">
                  <c:v>1069.8958976219265</c:v>
                </c:pt>
                <c:pt idx="62" formatCode="0">
                  <c:v>1143.9935111740367</c:v>
                </c:pt>
                <c:pt idx="63" formatCode="0">
                  <c:v>1098.3935313758307</c:v>
                </c:pt>
                <c:pt idx="64" formatCode="0">
                  <c:v>1114.6317892519992</c:v>
                </c:pt>
                <c:pt idx="65" formatCode="0">
                  <c:v>1079.2813403903751</c:v>
                </c:pt>
                <c:pt idx="66" formatCode="0">
                  <c:v>1106.51899892648</c:v>
                </c:pt>
                <c:pt idx="67" formatCode="0">
                  <c:v>1136.3656857607957</c:v>
                </c:pt>
                <c:pt idx="68" formatCode="0">
                  <c:v>1101.6989551355582</c:v>
                </c:pt>
                <c:pt idx="69" formatCode="0">
                  <c:v>1146.0688237538834</c:v>
                </c:pt>
                <c:pt idx="70" formatCode="0">
                  <c:v>1137.5516546084118</c:v>
                </c:pt>
                <c:pt idx="71" formatCode="0">
                  <c:v>1157.4111376034436</c:v>
                </c:pt>
                <c:pt idx="72" formatCode="0">
                  <c:v>1069.3896532128615</c:v>
                </c:pt>
                <c:pt idx="73" formatCode="0">
                  <c:v>1087.5766459643235</c:v>
                </c:pt>
                <c:pt idx="74" formatCode="0">
                  <c:v>1203.9872583239223</c:v>
                </c:pt>
                <c:pt idx="75" formatCode="0">
                  <c:v>1181.28882069582</c:v>
                </c:pt>
                <c:pt idx="76" formatCode="0">
                  <c:v>1186.7179303583227</c:v>
                </c:pt>
                <c:pt idx="77" formatCode="0">
                  <c:v>1130.8485266786081</c:v>
                </c:pt>
                <c:pt idx="78" formatCode="0">
                  <c:v>1175.8177059001628</c:v>
                </c:pt>
                <c:pt idx="79" formatCode="0">
                  <c:v>1202.3687255059976</c:v>
                </c:pt>
                <c:pt idx="80" formatCode="0">
                  <c:v>1120.8040210741608</c:v>
                </c:pt>
                <c:pt idx="81" formatCode="0">
                  <c:v>1179.7076068917386</c:v>
                </c:pt>
                <c:pt idx="82" formatCode="0">
                  <c:v>1155.7765410374966</c:v>
                </c:pt>
                <c:pt idx="83" formatCode="0">
                  <c:v>1172.6340483085557</c:v>
                </c:pt>
                <c:pt idx="84" formatCode="0">
                  <c:v>1123.9052641077976</c:v>
                </c:pt>
                <c:pt idx="85" formatCode="0">
                  <c:v>1108.8325117289539</c:v>
                </c:pt>
                <c:pt idx="86" formatCode="0">
                  <c:v>1239.2852933243196</c:v>
                </c:pt>
                <c:pt idx="87" formatCode="0">
                  <c:v>1225.8099940561292</c:v>
                </c:pt>
                <c:pt idx="88" formatCode="0">
                  <c:v>1276.383623452464</c:v>
                </c:pt>
                <c:pt idx="89" formatCode="0">
                  <c:v>1202.1522911528311</c:v>
                </c:pt>
                <c:pt idx="90" formatCode="0">
                  <c:v>1245.3049343562279</c:v>
                </c:pt>
                <c:pt idx="91" formatCode="0">
                  <c:v>1240.6674525226495</c:v>
                </c:pt>
                <c:pt idx="92" formatCode="0">
                  <c:v>1146.9371581456094</c:v>
                </c:pt>
                <c:pt idx="93" formatCode="0">
                  <c:v>1216.0647677661279</c:v>
                </c:pt>
                <c:pt idx="94" formatCode="0">
                  <c:v>1170.07199791788</c:v>
                </c:pt>
                <c:pt idx="95" formatCode="0">
                  <c:v>1221.4832257853959</c:v>
                </c:pt>
                <c:pt idx="96" formatCode="0">
                  <c:v>1175.949238487389</c:v>
                </c:pt>
                <c:pt idx="97" formatCode="0">
                  <c:v>1191.1611409801585</c:v>
                </c:pt>
                <c:pt idx="98" formatCode="0">
                  <c:v>1347.7623818507918</c:v>
                </c:pt>
                <c:pt idx="99" formatCode="0">
                  <c:v>1330.0130683765249</c:v>
                </c:pt>
                <c:pt idx="100" formatCode="0">
                  <c:v>1335.9877960722215</c:v>
                </c:pt>
                <c:pt idx="101" formatCode="0">
                  <c:v>1285.7058461508459</c:v>
                </c:pt>
                <c:pt idx="102" formatCode="0">
                  <c:v>1340.8429615819693</c:v>
                </c:pt>
                <c:pt idx="103" formatCode="0">
                  <c:v>1311.4702443360109</c:v>
                </c:pt>
                <c:pt idx="104" formatCode="0">
                  <c:v>1243.8518222049468</c:v>
                </c:pt>
                <c:pt idx="105" formatCode="0">
                  <c:v>1318.221462564474</c:v>
                </c:pt>
                <c:pt idx="106" formatCode="0">
                  <c:v>1209.3364007691359</c:v>
                </c:pt>
                <c:pt idx="107" formatCode="0">
                  <c:v>1252.4107489552905</c:v>
                </c:pt>
                <c:pt idx="108" formatCode="0">
                  <c:v>1195.7173950252957</c:v>
                </c:pt>
                <c:pt idx="109" formatCode="0">
                  <c:v>1212.6105996943227</c:v>
                </c:pt>
                <c:pt idx="110" formatCode="0">
                  <c:v>1330.0837548178199</c:v>
                </c:pt>
                <c:pt idx="111" formatCode="0">
                  <c:v>1277.1698229041476</c:v>
                </c:pt>
                <c:pt idx="112" formatCode="0">
                  <c:v>1279.2468064185396</c:v>
                </c:pt>
                <c:pt idx="113" formatCode="0">
                  <c:v>1247.4216792810762</c:v>
                </c:pt>
                <c:pt idx="114" formatCode="0">
                  <c:v>1310.1434266574972</c:v>
                </c:pt>
                <c:pt idx="115" formatCode="0">
                  <c:v>1295.9954502633911</c:v>
                </c:pt>
                <c:pt idx="116" formatCode="0">
                  <c:v>1271.1041227625367</c:v>
                </c:pt>
                <c:pt idx="117" formatCode="0">
                  <c:v>1338.9484589823726</c:v>
                </c:pt>
                <c:pt idx="118" formatCode="0">
                  <c:v>1285.3640284600997</c:v>
                </c:pt>
                <c:pt idx="119" formatCode="0">
                  <c:v>1382.502446567913</c:v>
                </c:pt>
                <c:pt idx="120" formatCode="0">
                  <c:v>1311.590833748018</c:v>
                </c:pt>
                <c:pt idx="121" formatCode="0">
                  <c:v>1312.267320128027</c:v>
                </c:pt>
                <c:pt idx="122" formatCode="0">
                  <c:v>1456.7807777233133</c:v>
                </c:pt>
                <c:pt idx="123" formatCode="0">
                  <c:v>1353.4822476169063</c:v>
                </c:pt>
                <c:pt idx="124" formatCode="0">
                  <c:v>1375.3362618933227</c:v>
                </c:pt>
                <c:pt idx="125" formatCode="0">
                  <c:v>1380.9851924790855</c:v>
                </c:pt>
                <c:pt idx="126" formatCode="0">
                  <c:v>1419.3395672133774</c:v>
                </c:pt>
                <c:pt idx="127" formatCode="0">
                  <c:v>1429.3975816837683</c:v>
                </c:pt>
                <c:pt idx="128" formatCode="0">
                  <c:v>1353.5879953540375</c:v>
                </c:pt>
                <c:pt idx="129" formatCode="0">
                  <c:v>1362.5067372490319</c:v>
                </c:pt>
                <c:pt idx="130" formatCode="0">
                  <c:v>1303.3952919785088</c:v>
                </c:pt>
                <c:pt idx="131" formatCode="0">
                  <c:v>1379.6866545293997</c:v>
                </c:pt>
                <c:pt idx="132" formatCode="0">
                  <c:v>1286.1726759790292</c:v>
                </c:pt>
                <c:pt idx="133" formatCode="0">
                  <c:v>1308.7950642965859</c:v>
                </c:pt>
                <c:pt idx="134" formatCode="0">
                  <c:v>1460.8870285562514</c:v>
                </c:pt>
                <c:pt idx="135" formatCode="0">
                  <c:v>1377.3771873729838</c:v>
                </c:pt>
                <c:pt idx="136" formatCode="0">
                  <c:v>1426.0967646012396</c:v>
                </c:pt>
                <c:pt idx="137" formatCode="0">
                  <c:v>1449.0213176469958</c:v>
                </c:pt>
                <c:pt idx="138" formatCode="0">
                  <c:v>1478.2259595319331</c:v>
                </c:pt>
                <c:pt idx="139" formatCode="0">
                  <c:v>1484.2921082885746</c:v>
                </c:pt>
                <c:pt idx="140" formatCode="0">
                  <c:v>1423.6811868899758</c:v>
                </c:pt>
                <c:pt idx="141" formatCode="0">
                  <c:v>1473.8253294763647</c:v>
                </c:pt>
                <c:pt idx="142" formatCode="0">
                  <c:v>1444.0503309291114</c:v>
                </c:pt>
                <c:pt idx="143" formatCode="0">
                  <c:v>1487.0209155362718</c:v>
                </c:pt>
                <c:pt idx="144" formatCode="0">
                  <c:v>1380.3894754028927</c:v>
                </c:pt>
                <c:pt idx="145" formatCode="0">
                  <c:v>1394.447247081454</c:v>
                </c:pt>
                <c:pt idx="146" formatCode="0">
                  <c:v>1591.7247902419731</c:v>
                </c:pt>
                <c:pt idx="147" formatCode="0">
                  <c:v>1463.1050527052664</c:v>
                </c:pt>
                <c:pt idx="148" formatCode="0">
                  <c:v>1512.5607305210592</c:v>
                </c:pt>
                <c:pt idx="149" formatCode="0">
                  <c:v>1455.6781000643023</c:v>
                </c:pt>
                <c:pt idx="150" formatCode="0">
                  <c:v>1513.5967307969709</c:v>
                </c:pt>
                <c:pt idx="151" formatCode="0">
                  <c:v>1548.3167766971583</c:v>
                </c:pt>
                <c:pt idx="152" formatCode="0">
                  <c:v>1414.3710326737073</c:v>
                </c:pt>
                <c:pt idx="153" formatCode="0">
                  <c:v>1483.3740102950997</c:v>
                </c:pt>
                <c:pt idx="154" formatCode="0">
                  <c:v>1442.294402804343</c:v>
                </c:pt>
                <c:pt idx="155" formatCode="0">
                  <c:v>1462.8441408067031</c:v>
                </c:pt>
                <c:pt idx="156" formatCode="0">
                  <c:v>1404.1693538335664</c:v>
                </c:pt>
                <c:pt idx="157" formatCode="0">
                  <c:v>1372.3859711980303</c:v>
                </c:pt>
                <c:pt idx="158" formatCode="0">
                  <c:v>1524.5320660901191</c:v>
                </c:pt>
                <c:pt idx="159" formatCode="0">
                  <c:v>1437.0140351051296</c:v>
                </c:pt>
                <c:pt idx="160" formatCode="0">
                  <c:v>1526.0573945991252</c:v>
                </c:pt>
                <c:pt idx="161" formatCode="0">
                  <c:v>1466.7738372968915</c:v>
                </c:pt>
                <c:pt idx="162" formatCode="0">
                  <c:v>1535.574650030457</c:v>
                </c:pt>
                <c:pt idx="163" formatCode="0">
                  <c:v>1564.049210493019</c:v>
                </c:pt>
                <c:pt idx="164" formatCode="0">
                  <c:v>1472.4614170685359</c:v>
                </c:pt>
                <c:pt idx="165" formatCode="0">
                  <c:v>1563.1694201826551</c:v>
                </c:pt>
                <c:pt idx="166" formatCode="0">
                  <c:v>1486.5670648422947</c:v>
                </c:pt>
                <c:pt idx="167" formatCode="0">
                  <c:v>1528.0624166238752</c:v>
                </c:pt>
                <c:pt idx="168" formatCode="0">
                  <c:v>1491.3298246140173</c:v>
                </c:pt>
                <c:pt idx="169" formatCode="0">
                  <c:v>1460.8564565894624</c:v>
                </c:pt>
                <c:pt idx="170" formatCode="0">
                  <c:v>1623.703337709748</c:v>
                </c:pt>
                <c:pt idx="171" formatCode="0">
                  <c:v>1592.1399201974746</c:v>
                </c:pt>
                <c:pt idx="172" formatCode="0">
                  <c:v>1621.7435728488786</c:v>
                </c:pt>
                <c:pt idx="173" formatCode="0">
                  <c:v>1590.1641320490849</c:v>
                </c:pt>
                <c:pt idx="174" formatCode="0">
                  <c:v>1690.3646796916289</c:v>
                </c:pt>
                <c:pt idx="175" formatCode="0">
                  <c:v>1697.3621586003096</c:v>
                </c:pt>
                <c:pt idx="176" formatCode="0">
                  <c:v>1616.6895981871194</c:v>
                </c:pt>
                <c:pt idx="177" formatCode="0">
                  <c:v>1654.1370277969129</c:v>
                </c:pt>
                <c:pt idx="178" formatCode="0">
                  <c:v>1566.2217930840757</c:v>
                </c:pt>
                <c:pt idx="179" formatCode="0">
                  <c:v>1619.2900357950587</c:v>
                </c:pt>
                <c:pt idx="180" formatCode="0">
                  <c:v>1559.1946082685813</c:v>
                </c:pt>
                <c:pt idx="181" formatCode="0">
                  <c:v>1524.5584278927668</c:v>
                </c:pt>
                <c:pt idx="182" formatCode="0">
                  <c:v>1686.5392824555111</c:v>
                </c:pt>
                <c:pt idx="183" formatCode="0">
                  <c:v>1653.3641925036143</c:v>
                </c:pt>
                <c:pt idx="184" formatCode="0">
                  <c:v>1674.0000382538899</c:v>
                </c:pt>
                <c:pt idx="185" formatCode="0">
                  <c:v>1643.6865635289428</c:v>
                </c:pt>
                <c:pt idx="186" formatCode="0">
                  <c:v>1738.6907081383727</c:v>
                </c:pt>
                <c:pt idx="187" formatCode="0">
                  <c:v>1778.9761328728143</c:v>
                </c:pt>
                <c:pt idx="188" formatCode="0">
                  <c:v>1674.844514509896</c:v>
                </c:pt>
                <c:pt idx="189" formatCode="0">
                  <c:v>1697.687234999373</c:v>
                </c:pt>
                <c:pt idx="190" formatCode="0">
                  <c:v>1600.8611526211801</c:v>
                </c:pt>
                <c:pt idx="191" formatCode="0">
                  <c:v>1678.1038264480565</c:v>
                </c:pt>
                <c:pt idx="192" formatCode="0">
                  <c:v>1571.6944221431934</c:v>
                </c:pt>
                <c:pt idx="193" formatCode="0">
                  <c:v>1520.2351966529657</c:v>
                </c:pt>
                <c:pt idx="194" formatCode="0">
                  <c:v>1737.606162805482</c:v>
                </c:pt>
                <c:pt idx="195" formatCode="0">
                  <c:v>1638.2997036210036</c:v>
                </c:pt>
                <c:pt idx="196" formatCode="0">
                  <c:v>1704.5460604065465</c:v>
                </c:pt>
                <c:pt idx="197" formatCode="0">
                  <c:v>1685.1957431201843</c:v>
                </c:pt>
                <c:pt idx="198" formatCode="0">
                  <c:v>1769.3659667562254</c:v>
                </c:pt>
                <c:pt idx="199" formatCode="0">
                  <c:v>1781.1213201706735</c:v>
                </c:pt>
                <c:pt idx="200" formatCode="0">
                  <c:v>1738.9215283669648</c:v>
                </c:pt>
                <c:pt idx="201" formatCode="0">
                  <c:v>1732.4049043360164</c:v>
                </c:pt>
                <c:pt idx="202" formatCode="0">
                  <c:v>1651.0530925565122</c:v>
                </c:pt>
                <c:pt idx="203" formatCode="0">
                  <c:v>1690.7875101639613</c:v>
                </c:pt>
                <c:pt idx="204" formatCode="0">
                  <c:v>1585.5252159445949</c:v>
                </c:pt>
                <c:pt idx="205" formatCode="0">
                  <c:v>1585.6114707976037</c:v>
                </c:pt>
                <c:pt idx="206" formatCode="0">
                  <c:v>1769.2429613133772</c:v>
                </c:pt>
                <c:pt idx="207" formatCode="0">
                  <c:v>1687.8399773490135</c:v>
                </c:pt>
                <c:pt idx="208" formatCode="0">
                  <c:v>1743.0000669804303</c:v>
                </c:pt>
                <c:pt idx="209" formatCode="0">
                  <c:v>1703.8195883504236</c:v>
                </c:pt>
                <c:pt idx="210" formatCode="0">
                  <c:v>1818.8441406481841</c:v>
                </c:pt>
                <c:pt idx="211" formatCode="0">
                  <c:v>1756.4898142636907</c:v>
                </c:pt>
                <c:pt idx="212" formatCode="0">
                  <c:v>1633.8251713957807</c:v>
                </c:pt>
                <c:pt idx="213" formatCode="0">
                  <c:v>1649.6914210888469</c:v>
                </c:pt>
                <c:pt idx="214" formatCode="0">
                  <c:v>1594.834100363574</c:v>
                </c:pt>
                <c:pt idx="215" formatCode="0">
                  <c:v>1635.2281909904677</c:v>
                </c:pt>
                <c:pt idx="216" formatCode="0">
                  <c:v>1542.2472168312206</c:v>
                </c:pt>
                <c:pt idx="217" formatCode="0">
                  <c:v>1524.7153474900945</c:v>
                </c:pt>
                <c:pt idx="218" formatCode="0">
                  <c:v>1768.1095708659182</c:v>
                </c:pt>
                <c:pt idx="219" formatCode="0">
                  <c:v>1672.2721587058579</c:v>
                </c:pt>
                <c:pt idx="220" formatCode="0">
                  <c:v>1737.8519492765936</c:v>
                </c:pt>
                <c:pt idx="221" formatCode="0">
                  <c:v>1681.3057954730809</c:v>
                </c:pt>
                <c:pt idx="222" formatCode="0">
                  <c:v>1769.5923101702292</c:v>
                </c:pt>
                <c:pt idx="223" formatCode="0">
                  <c:v>1719.0491335258307</c:v>
                </c:pt>
                <c:pt idx="224" formatCode="0">
                  <c:v>1648.7840800845597</c:v>
                </c:pt>
                <c:pt idx="225" formatCode="0">
                  <c:v>1704.1578604881918</c:v>
                </c:pt>
                <c:pt idx="226" formatCode="0">
                  <c:v>1628.9582940251635</c:v>
                </c:pt>
                <c:pt idx="227" formatCode="0">
                  <c:v>1699.6931509309827</c:v>
                </c:pt>
                <c:pt idx="228" formatCode="0">
                  <c:v>1613.5749278396675</c:v>
                </c:pt>
                <c:pt idx="229" formatCode="0">
                  <c:v>1582.336090974067</c:v>
                </c:pt>
                <c:pt idx="230" formatCode="0">
                  <c:v>1805.9032116567485</c:v>
                </c:pt>
                <c:pt idx="231" formatCode="0">
                  <c:v>1732.088990761019</c:v>
                </c:pt>
                <c:pt idx="232" formatCode="0">
                  <c:v>1808.5302215851432</c:v>
                </c:pt>
                <c:pt idx="233" formatCode="0">
                  <c:v>1759.8314410098089</c:v>
                </c:pt>
                <c:pt idx="234" formatCode="0">
                  <c:v>1842.4411639851733</c:v>
                </c:pt>
                <c:pt idx="235" formatCode="0">
                  <c:v>1781.7906087636211</c:v>
                </c:pt>
                <c:pt idx="236" formatCode="0">
                  <c:v>1675.3811690442019</c:v>
                </c:pt>
                <c:pt idx="237" formatCode="0">
                  <c:v>1749.9172116816674</c:v>
                </c:pt>
                <c:pt idx="238" formatCode="0">
                  <c:v>1648.4952889839155</c:v>
                </c:pt>
                <c:pt idx="239" formatCode="0">
                  <c:v>1709.1393686129677</c:v>
                </c:pt>
                <c:pt idx="240" formatCode="0">
                  <c:v>1602.9016672064947</c:v>
                </c:pt>
                <c:pt idx="241" formatCode="0">
                  <c:v>1606.5207670667371</c:v>
                </c:pt>
                <c:pt idx="242" formatCode="0">
                  <c:v>1831.1552585198745</c:v>
                </c:pt>
                <c:pt idx="243" formatCode="0">
                  <c:v>1800.1021984018903</c:v>
                </c:pt>
                <c:pt idx="244" formatCode="0">
                  <c:v>1837.0499433985915</c:v>
                </c:pt>
                <c:pt idx="245" formatCode="0">
                  <c:v>1806.9420425712678</c:v>
                </c:pt>
                <c:pt idx="246" formatCode="0">
                  <c:v>1947.4417846638701</c:v>
                </c:pt>
                <c:pt idx="247" formatCode="0">
                  <c:v>1855.7483518902541</c:v>
                </c:pt>
                <c:pt idx="248" formatCode="0">
                  <c:v>1820.056390981804</c:v>
                </c:pt>
                <c:pt idx="249" formatCode="0">
                  <c:v>1853.1486040097086</c:v>
                </c:pt>
                <c:pt idx="250" formatCode="0">
                  <c:v>1693.2305060305973</c:v>
                </c:pt>
                <c:pt idx="251" formatCode="0">
                  <c:v>1765.6503447262896</c:v>
                </c:pt>
                <c:pt idx="252" formatCode="0">
                  <c:v>1669.0663798877097</c:v>
                </c:pt>
                <c:pt idx="253" formatCode="0">
                  <c:v>1706.6926430405103</c:v>
                </c:pt>
                <c:pt idx="254" formatCode="0">
                  <c:v>1928.3302065773955</c:v>
                </c:pt>
                <c:pt idx="255" formatCode="0">
                  <c:v>1836.832121033849</c:v>
                </c:pt>
                <c:pt idx="256" formatCode="0">
                  <c:v>1863.6843926894182</c:v>
                </c:pt>
                <c:pt idx="257" formatCode="0">
                  <c:v>1860.9307042856044</c:v>
                </c:pt>
                <c:pt idx="258" formatCode="0">
                  <c:v>1897.388573416403</c:v>
                </c:pt>
                <c:pt idx="259" formatCode="0">
                  <c:v>1778.8375174897585</c:v>
                </c:pt>
                <c:pt idx="260" formatCode="0">
                  <c:v>1719.2601341374821</c:v>
                </c:pt>
                <c:pt idx="261" formatCode="0">
                  <c:v>1744.9261956894798</c:v>
                </c:pt>
                <c:pt idx="262" formatCode="0">
                  <c:v>1715.2132673037802</c:v>
                </c:pt>
                <c:pt idx="263" formatCode="0">
                  <c:v>1834.7970324757221</c:v>
                </c:pt>
                <c:pt idx="264" formatCode="0">
                  <c:v>1678.066159359096</c:v>
                </c:pt>
                <c:pt idx="265" formatCode="0">
                  <c:v>1699.4959123117126</c:v>
                </c:pt>
                <c:pt idx="266" formatCode="0">
                  <c:v>1961.1879798742621</c:v>
                </c:pt>
                <c:pt idx="267" formatCode="0">
                  <c:v>1802.0354292211055</c:v>
                </c:pt>
                <c:pt idx="268" formatCode="0">
                  <c:v>1871.0669384544424</c:v>
                </c:pt>
                <c:pt idx="269" formatCode="0">
                  <c:v>1874.385996492108</c:v>
                </c:pt>
                <c:pt idx="270" formatCode="0">
                  <c:v>1934.8526556474035</c:v>
                </c:pt>
                <c:pt idx="271" formatCode="0">
                  <c:v>1943.7201777755599</c:v>
                </c:pt>
                <c:pt idx="272" formatCode="0">
                  <c:v>1856.6314881877033</c:v>
                </c:pt>
                <c:pt idx="273" formatCode="0">
                  <c:v>1894.1767567708328</c:v>
                </c:pt>
                <c:pt idx="274" formatCode="0">
                  <c:v>1809.9538280486609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D1-CD43-A9D1-4576CEE31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46272"/>
        <c:axId val="1642246816"/>
      </c:lineChart>
      <c:catAx>
        <c:axId val="1642246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816"/>
        <c:crosses val="autoZero"/>
        <c:auto val="1"/>
        <c:lblAlgn val="ctr"/>
        <c:lblOffset val="100"/>
        <c:noMultiLvlLbl val="0"/>
      </c:catAx>
      <c:valAx>
        <c:axId val="164224681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s-MX"/>
              <a:t>Prónostico</a:t>
            </a:r>
            <a:r>
              <a:rPr lang="es-MX" baseline="0"/>
              <a:t> futuro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Prónostico </c:v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'Modelo final'!$A$277:$A$281</c:f>
              <c:numCache>
                <c:formatCode>mmm\-yy</c:formatCode>
                <c:ptCount val="5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</c:numCache>
            </c:numRef>
          </c:cat>
          <c:val>
            <c:numRef>
              <c:f>'Modelo final'!$F$277:$F$281</c:f>
              <c:numCache>
                <c:formatCode>0</c:formatCode>
                <c:ptCount val="5"/>
                <c:pt idx="0">
                  <c:v>1853.2800351444944</c:v>
                </c:pt>
                <c:pt idx="1">
                  <c:v>1732.6122695621032</c:v>
                </c:pt>
                <c:pt idx="2">
                  <c:v>1743.2789650588666</c:v>
                </c:pt>
                <c:pt idx="3">
                  <c:v>2022.2171594741274</c:v>
                </c:pt>
                <c:pt idx="4">
                  <c:v>1861.4020981456149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3-D14A-8626-704A111BCA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2247360"/>
        <c:axId val="1642248992"/>
      </c:lineChart>
      <c:dateAx>
        <c:axId val="16422473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42248992"/>
        <c:crosses val="autoZero"/>
        <c:auto val="1"/>
        <c:lblOffset val="100"/>
        <c:baseTimeUnit val="months"/>
      </c:dateAx>
      <c:valAx>
        <c:axId val="164224899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422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437116</xdr:colOff>
      <xdr:row>3</xdr:row>
      <xdr:rowOff>0</xdr:rowOff>
    </xdr:from>
    <xdr:to>
      <xdr:col>11</xdr:col>
      <xdr:colOff>336698</xdr:colOff>
      <xdr:row>17</xdr:row>
      <xdr:rowOff>96875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893A59C-E8E0-C541-B4DC-9583B9E56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736600</xdr:colOff>
      <xdr:row>14</xdr:row>
      <xdr:rowOff>0</xdr:rowOff>
    </xdr:from>
    <xdr:to>
      <xdr:col>17</xdr:col>
      <xdr:colOff>292100</xdr:colOff>
      <xdr:row>34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5AD23C-8F9B-A142-BBB1-6B532AF9E0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784224</xdr:colOff>
      <xdr:row>15</xdr:row>
      <xdr:rowOff>63506</xdr:rowOff>
    </xdr:from>
    <xdr:to>
      <xdr:col>15</xdr:col>
      <xdr:colOff>635000</xdr:colOff>
      <xdr:row>31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48844</xdr:colOff>
      <xdr:row>15</xdr:row>
      <xdr:rowOff>9774</xdr:rowOff>
    </xdr:from>
    <xdr:to>
      <xdr:col>18</xdr:col>
      <xdr:colOff>732691</xdr:colOff>
      <xdr:row>30</xdr:row>
      <xdr:rowOff>127001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58614</xdr:colOff>
      <xdr:row>31</xdr:row>
      <xdr:rowOff>39076</xdr:rowOff>
    </xdr:from>
    <xdr:to>
      <xdr:col>18</xdr:col>
      <xdr:colOff>654538</xdr:colOff>
      <xdr:row>45</xdr:row>
      <xdr:rowOff>193429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48844</xdr:colOff>
      <xdr:row>15</xdr:row>
      <xdr:rowOff>9774</xdr:rowOff>
    </xdr:from>
    <xdr:to>
      <xdr:col>17</xdr:col>
      <xdr:colOff>732691</xdr:colOff>
      <xdr:row>30</xdr:row>
      <xdr:rowOff>127001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3739E3-7A8A-0C4D-BC89-258BB6A4C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58614</xdr:colOff>
      <xdr:row>31</xdr:row>
      <xdr:rowOff>39076</xdr:rowOff>
    </xdr:from>
    <xdr:to>
      <xdr:col>17</xdr:col>
      <xdr:colOff>654538</xdr:colOff>
      <xdr:row>45</xdr:row>
      <xdr:rowOff>193429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67A97-8EF1-6147-AFA0-F3C7A94FE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7"/>
  <sheetViews>
    <sheetView showGridLines="0" tabSelected="1" workbookViewId="0">
      <selection activeCell="E10" sqref="E10"/>
    </sheetView>
  </sheetViews>
  <sheetFormatPr baseColWidth="10" defaultRowHeight="15" x14ac:dyDescent="0.2"/>
  <cols>
    <col min="1" max="1" width="3.83203125" customWidth="1"/>
    <col min="2" max="3" width="10.83203125" style="6"/>
  </cols>
  <sheetData>
    <row r="2" spans="2:3" x14ac:dyDescent="0.2">
      <c r="B2" s="1" t="s">
        <v>1</v>
      </c>
      <c r="C2" s="1" t="s">
        <v>0</v>
      </c>
    </row>
    <row r="3" spans="2:3" x14ac:dyDescent="0.2">
      <c r="B3" s="2">
        <v>36739</v>
      </c>
      <c r="C3" s="3">
        <v>1049</v>
      </c>
    </row>
    <row r="4" spans="2:3" x14ac:dyDescent="0.2">
      <c r="B4" s="2">
        <v>36770</v>
      </c>
      <c r="C4" s="3">
        <v>1026</v>
      </c>
    </row>
    <row r="5" spans="2:3" x14ac:dyDescent="0.2">
      <c r="B5" s="2">
        <v>36800</v>
      </c>
      <c r="C5" s="3">
        <v>1074</v>
      </c>
    </row>
    <row r="6" spans="2:3" x14ac:dyDescent="0.2">
      <c r="B6" s="2">
        <v>36831</v>
      </c>
      <c r="C6" s="3">
        <v>1031</v>
      </c>
    </row>
    <row r="7" spans="2:3" x14ac:dyDescent="0.2">
      <c r="B7" s="2">
        <v>36861</v>
      </c>
      <c r="C7" s="3">
        <v>1047</v>
      </c>
    </row>
    <row r="8" spans="2:3" x14ac:dyDescent="0.2">
      <c r="B8" s="2">
        <v>36892</v>
      </c>
      <c r="C8" s="3">
        <v>986</v>
      </c>
    </row>
    <row r="9" spans="2:3" x14ac:dyDescent="0.2">
      <c r="B9" s="2">
        <v>36923</v>
      </c>
      <c r="C9" s="3">
        <v>1015</v>
      </c>
    </row>
    <row r="10" spans="2:3" x14ac:dyDescent="0.2">
      <c r="B10" s="2">
        <v>36951</v>
      </c>
      <c r="C10" s="3">
        <v>1021</v>
      </c>
    </row>
    <row r="11" spans="2:3" x14ac:dyDescent="0.2">
      <c r="B11" s="2">
        <v>36982</v>
      </c>
      <c r="C11" s="3">
        <v>958</v>
      </c>
    </row>
    <row r="12" spans="2:3" x14ac:dyDescent="0.2">
      <c r="B12" s="2">
        <v>37012</v>
      </c>
      <c r="C12" s="3">
        <v>1041</v>
      </c>
    </row>
    <row r="13" spans="2:3" x14ac:dyDescent="0.2">
      <c r="B13" s="2">
        <v>37043</v>
      </c>
      <c r="C13" s="3">
        <v>999</v>
      </c>
    </row>
    <row r="14" spans="2:3" x14ac:dyDescent="0.2">
      <c r="B14" s="2">
        <v>37073</v>
      </c>
      <c r="C14" s="3">
        <v>1034</v>
      </c>
    </row>
    <row r="15" spans="2:3" x14ac:dyDescent="0.2">
      <c r="B15" s="2">
        <v>37104</v>
      </c>
      <c r="C15" s="3">
        <v>959</v>
      </c>
    </row>
    <row r="16" spans="2:3" x14ac:dyDescent="0.2">
      <c r="B16" s="2">
        <v>37135</v>
      </c>
      <c r="C16" s="3">
        <v>920</v>
      </c>
    </row>
    <row r="17" spans="2:3" x14ac:dyDescent="0.2">
      <c r="B17" s="2">
        <v>37165</v>
      </c>
      <c r="C17" s="3">
        <v>1019</v>
      </c>
    </row>
    <row r="18" spans="2:3" x14ac:dyDescent="0.2">
      <c r="B18" s="2">
        <v>37196</v>
      </c>
      <c r="C18" s="3">
        <v>1056</v>
      </c>
    </row>
    <row r="19" spans="2:3" x14ac:dyDescent="0.2">
      <c r="B19" s="2">
        <v>37226</v>
      </c>
      <c r="C19" s="3">
        <v>1057</v>
      </c>
    </row>
    <row r="20" spans="2:3" x14ac:dyDescent="0.2">
      <c r="B20" s="2">
        <v>37257</v>
      </c>
      <c r="C20" s="3">
        <v>1017</v>
      </c>
    </row>
    <row r="21" spans="2:3" x14ac:dyDescent="0.2">
      <c r="B21" s="2">
        <v>37288</v>
      </c>
      <c r="C21" s="3">
        <v>1096</v>
      </c>
    </row>
    <row r="22" spans="2:3" x14ac:dyDescent="0.2">
      <c r="B22" s="2">
        <v>37316</v>
      </c>
      <c r="C22" s="3">
        <v>1052</v>
      </c>
    </row>
    <row r="23" spans="2:3" x14ac:dyDescent="0.2">
      <c r="B23" s="2">
        <v>37347</v>
      </c>
      <c r="C23" s="3">
        <v>971</v>
      </c>
    </row>
    <row r="24" spans="2:3" x14ac:dyDescent="0.2">
      <c r="B24" s="2">
        <v>37377</v>
      </c>
      <c r="C24" s="3">
        <v>1033</v>
      </c>
    </row>
    <row r="25" spans="2:3" x14ac:dyDescent="0.2">
      <c r="B25" s="2">
        <v>37408</v>
      </c>
      <c r="C25" s="3">
        <v>978</v>
      </c>
    </row>
    <row r="26" spans="2:3" x14ac:dyDescent="0.2">
      <c r="B26" s="2">
        <v>37438</v>
      </c>
      <c r="C26" s="3">
        <v>983</v>
      </c>
    </row>
    <row r="27" spans="2:3" x14ac:dyDescent="0.2">
      <c r="B27" s="2">
        <v>37469</v>
      </c>
      <c r="C27" s="3">
        <v>906</v>
      </c>
    </row>
    <row r="28" spans="2:3" x14ac:dyDescent="0.2">
      <c r="B28" s="2">
        <v>37500</v>
      </c>
      <c r="C28" s="3">
        <v>910</v>
      </c>
    </row>
    <row r="29" spans="2:3" x14ac:dyDescent="0.2">
      <c r="B29" s="2">
        <v>37530</v>
      </c>
      <c r="C29" s="3">
        <v>1025</v>
      </c>
    </row>
    <row r="30" spans="2:3" x14ac:dyDescent="0.2">
      <c r="B30" s="2">
        <v>37561</v>
      </c>
      <c r="C30" s="3">
        <v>1026</v>
      </c>
    </row>
    <row r="31" spans="2:3" x14ac:dyDescent="0.2">
      <c r="B31" s="2">
        <v>37591</v>
      </c>
      <c r="C31" s="3">
        <v>1014</v>
      </c>
    </row>
    <row r="32" spans="2:3" x14ac:dyDescent="0.2">
      <c r="B32" s="2">
        <v>37622</v>
      </c>
      <c r="C32" s="3">
        <v>977</v>
      </c>
    </row>
    <row r="33" spans="2:3" x14ac:dyDescent="0.2">
      <c r="B33" s="2">
        <v>37653</v>
      </c>
      <c r="C33" s="3">
        <v>990</v>
      </c>
    </row>
    <row r="34" spans="2:3" x14ac:dyDescent="0.2">
      <c r="B34" s="2">
        <v>37681</v>
      </c>
      <c r="C34" s="3">
        <v>989</v>
      </c>
    </row>
    <row r="35" spans="2:3" x14ac:dyDescent="0.2">
      <c r="B35" s="2">
        <v>37712</v>
      </c>
      <c r="C35" s="3">
        <v>960</v>
      </c>
    </row>
    <row r="36" spans="2:3" x14ac:dyDescent="0.2">
      <c r="B36" s="2">
        <v>37742</v>
      </c>
      <c r="C36" s="3">
        <v>981</v>
      </c>
    </row>
    <row r="37" spans="2:3" x14ac:dyDescent="0.2">
      <c r="B37" s="2">
        <v>37773</v>
      </c>
      <c r="C37" s="3">
        <v>962</v>
      </c>
    </row>
    <row r="38" spans="2:3" x14ac:dyDescent="0.2">
      <c r="B38" s="2">
        <v>37803</v>
      </c>
      <c r="C38" s="3">
        <v>1022</v>
      </c>
    </row>
    <row r="39" spans="2:3" x14ac:dyDescent="0.2">
      <c r="B39" s="2">
        <v>37834</v>
      </c>
      <c r="C39" s="3">
        <v>910</v>
      </c>
    </row>
    <row r="40" spans="2:3" x14ac:dyDescent="0.2">
      <c r="B40" s="2">
        <v>37865</v>
      </c>
      <c r="C40" s="3">
        <v>912</v>
      </c>
    </row>
    <row r="41" spans="2:3" x14ac:dyDescent="0.2">
      <c r="B41" s="2">
        <v>37895</v>
      </c>
      <c r="C41" s="3">
        <v>1025</v>
      </c>
    </row>
    <row r="42" spans="2:3" x14ac:dyDescent="0.2">
      <c r="B42" s="2">
        <v>37926</v>
      </c>
      <c r="C42" s="3">
        <v>1017</v>
      </c>
    </row>
    <row r="43" spans="2:3" x14ac:dyDescent="0.2">
      <c r="B43" s="2">
        <v>37956</v>
      </c>
      <c r="C43" s="3">
        <v>1044</v>
      </c>
    </row>
    <row r="44" spans="2:3" x14ac:dyDescent="0.2">
      <c r="B44" s="2">
        <v>37987</v>
      </c>
      <c r="C44" s="3">
        <v>1032</v>
      </c>
    </row>
    <row r="45" spans="2:3" x14ac:dyDescent="0.2">
      <c r="B45" s="2">
        <v>38018</v>
      </c>
      <c r="C45" s="3">
        <v>1060</v>
      </c>
    </row>
    <row r="46" spans="2:3" x14ac:dyDescent="0.2">
      <c r="B46" s="2">
        <v>38047</v>
      </c>
      <c r="C46" s="3">
        <v>1077</v>
      </c>
    </row>
    <row r="47" spans="2:3" x14ac:dyDescent="0.2">
      <c r="B47" s="2">
        <v>38078</v>
      </c>
      <c r="C47" s="3">
        <v>1098</v>
      </c>
    </row>
    <row r="48" spans="2:3" x14ac:dyDescent="0.2">
      <c r="B48" s="2">
        <v>38108</v>
      </c>
      <c r="C48" s="3">
        <v>1086</v>
      </c>
    </row>
    <row r="49" spans="2:3" x14ac:dyDescent="0.2">
      <c r="B49" s="2">
        <v>38139</v>
      </c>
      <c r="C49" s="3">
        <v>1070</v>
      </c>
    </row>
    <row r="50" spans="2:3" x14ac:dyDescent="0.2">
      <c r="B50" s="2">
        <v>38169</v>
      </c>
      <c r="C50" s="3">
        <v>1121</v>
      </c>
    </row>
    <row r="51" spans="2:3" x14ac:dyDescent="0.2">
      <c r="B51" s="2">
        <v>38200</v>
      </c>
      <c r="C51" s="3">
        <v>993</v>
      </c>
    </row>
    <row r="52" spans="2:3" x14ac:dyDescent="0.2">
      <c r="B52" s="2">
        <v>38231</v>
      </c>
      <c r="C52" s="3">
        <v>1026</v>
      </c>
    </row>
    <row r="53" spans="2:3" x14ac:dyDescent="0.2">
      <c r="B53" s="2">
        <v>38261</v>
      </c>
      <c r="C53" s="3">
        <v>1114</v>
      </c>
    </row>
    <row r="54" spans="2:3" x14ac:dyDescent="0.2">
      <c r="B54" s="2">
        <v>38292</v>
      </c>
      <c r="C54" s="3">
        <v>1050</v>
      </c>
    </row>
    <row r="55" spans="2:3" x14ac:dyDescent="0.2">
      <c r="B55" s="2">
        <v>38322</v>
      </c>
      <c r="C55" s="3">
        <v>1094</v>
      </c>
    </row>
    <row r="56" spans="2:3" x14ac:dyDescent="0.2">
      <c r="B56" s="2">
        <v>38353</v>
      </c>
      <c r="C56" s="3">
        <v>1069</v>
      </c>
    </row>
    <row r="57" spans="2:3" x14ac:dyDescent="0.2">
      <c r="B57" s="2">
        <v>38384</v>
      </c>
      <c r="C57" s="3">
        <v>1096</v>
      </c>
    </row>
    <row r="58" spans="2:3" x14ac:dyDescent="0.2">
      <c r="B58" s="2">
        <v>38412</v>
      </c>
      <c r="C58" s="3">
        <v>1137</v>
      </c>
    </row>
    <row r="59" spans="2:3" x14ac:dyDescent="0.2">
      <c r="B59" s="2">
        <v>38443</v>
      </c>
      <c r="C59" s="3">
        <v>1053</v>
      </c>
    </row>
    <row r="60" spans="2:3" x14ac:dyDescent="0.2">
      <c r="B60" s="2">
        <v>38473</v>
      </c>
      <c r="C60" s="3">
        <v>1100</v>
      </c>
    </row>
    <row r="61" spans="2:3" x14ac:dyDescent="0.2">
      <c r="B61" s="2">
        <v>38504</v>
      </c>
      <c r="C61" s="3">
        <v>1101</v>
      </c>
    </row>
    <row r="62" spans="2:3" x14ac:dyDescent="0.2">
      <c r="B62" s="2">
        <v>38534</v>
      </c>
      <c r="C62" s="3">
        <v>1116</v>
      </c>
    </row>
    <row r="63" spans="2:3" x14ac:dyDescent="0.2">
      <c r="B63" s="2">
        <v>38565</v>
      </c>
      <c r="C63" s="3">
        <v>1051</v>
      </c>
    </row>
    <row r="64" spans="2:3" x14ac:dyDescent="0.2">
      <c r="B64" s="2">
        <v>38596</v>
      </c>
      <c r="C64" s="3">
        <v>1000</v>
      </c>
    </row>
    <row r="65" spans="2:3" x14ac:dyDescent="0.2">
      <c r="B65" s="2">
        <v>38626</v>
      </c>
      <c r="C65" s="3">
        <v>1102</v>
      </c>
    </row>
    <row r="66" spans="2:3" x14ac:dyDescent="0.2">
      <c r="B66" s="2">
        <v>38657</v>
      </c>
      <c r="C66" s="3">
        <v>1094</v>
      </c>
    </row>
    <row r="67" spans="2:3" x14ac:dyDescent="0.2">
      <c r="B67" s="2">
        <v>38687</v>
      </c>
      <c r="C67" s="3">
        <v>1143</v>
      </c>
    </row>
    <row r="68" spans="2:3" x14ac:dyDescent="0.2">
      <c r="B68" s="2">
        <v>38718</v>
      </c>
      <c r="C68" s="3">
        <v>1094</v>
      </c>
    </row>
    <row r="69" spans="2:3" x14ac:dyDescent="0.2">
      <c r="B69" s="2">
        <v>38749</v>
      </c>
      <c r="C69" s="3">
        <v>1175</v>
      </c>
    </row>
    <row r="70" spans="2:3" x14ac:dyDescent="0.2">
      <c r="B70" s="2">
        <v>38777</v>
      </c>
      <c r="C70" s="3">
        <v>1212</v>
      </c>
    </row>
    <row r="71" spans="2:3" x14ac:dyDescent="0.2">
      <c r="B71" s="2">
        <v>38808</v>
      </c>
      <c r="C71" s="3">
        <v>1109</v>
      </c>
    </row>
    <row r="72" spans="2:3" x14ac:dyDescent="0.2">
      <c r="B72" s="2">
        <v>38838</v>
      </c>
      <c r="C72" s="3">
        <v>1185</v>
      </c>
    </row>
    <row r="73" spans="2:3" x14ac:dyDescent="0.2">
      <c r="B73" s="2">
        <v>38869</v>
      </c>
      <c r="C73" s="3">
        <v>1102</v>
      </c>
    </row>
    <row r="74" spans="2:3" x14ac:dyDescent="0.2">
      <c r="B74" s="2">
        <v>38899</v>
      </c>
      <c r="C74" s="3">
        <v>1112</v>
      </c>
    </row>
    <row r="75" spans="2:3" x14ac:dyDescent="0.2">
      <c r="B75" s="2">
        <v>38930</v>
      </c>
      <c r="C75" s="3">
        <v>1108</v>
      </c>
    </row>
    <row r="76" spans="2:3" x14ac:dyDescent="0.2">
      <c r="B76" s="2">
        <v>38961</v>
      </c>
      <c r="C76" s="3">
        <v>1089</v>
      </c>
    </row>
    <row r="77" spans="2:3" x14ac:dyDescent="0.2">
      <c r="B77" s="2">
        <v>38991</v>
      </c>
      <c r="C77" s="3">
        <v>1199</v>
      </c>
    </row>
    <row r="78" spans="2:3" x14ac:dyDescent="0.2">
      <c r="B78" s="2">
        <v>39022</v>
      </c>
      <c r="C78" s="3">
        <v>1126</v>
      </c>
    </row>
    <row r="79" spans="2:3" x14ac:dyDescent="0.2">
      <c r="B79" s="2">
        <v>39052</v>
      </c>
      <c r="C79" s="3">
        <v>1177</v>
      </c>
    </row>
    <row r="80" spans="2:3" x14ac:dyDescent="0.2">
      <c r="B80" s="2">
        <v>39083</v>
      </c>
      <c r="C80" s="3">
        <v>1154</v>
      </c>
    </row>
    <row r="81" spans="2:3" x14ac:dyDescent="0.2">
      <c r="B81" s="2">
        <v>39114</v>
      </c>
      <c r="C81" s="3">
        <v>1232</v>
      </c>
    </row>
    <row r="82" spans="2:3" x14ac:dyDescent="0.2">
      <c r="B82" s="2">
        <v>39142</v>
      </c>
      <c r="C82" s="3">
        <v>1205</v>
      </c>
    </row>
    <row r="83" spans="2:3" x14ac:dyDescent="0.2">
      <c r="B83" s="2">
        <v>39173</v>
      </c>
      <c r="C83" s="3">
        <v>1143</v>
      </c>
    </row>
    <row r="84" spans="2:3" x14ac:dyDescent="0.2">
      <c r="B84" s="2">
        <v>39203</v>
      </c>
      <c r="C84" s="3">
        <v>1227</v>
      </c>
    </row>
    <row r="85" spans="2:3" x14ac:dyDescent="0.2">
      <c r="B85" s="2">
        <v>39234</v>
      </c>
      <c r="C85" s="3">
        <v>1117</v>
      </c>
    </row>
    <row r="86" spans="2:3" x14ac:dyDescent="0.2">
      <c r="B86" s="2">
        <v>39264</v>
      </c>
      <c r="C86" s="3">
        <v>1180</v>
      </c>
    </row>
    <row r="87" spans="2:3" x14ac:dyDescent="0.2">
      <c r="B87" s="2">
        <v>39295</v>
      </c>
      <c r="C87" s="3">
        <v>1102</v>
      </c>
    </row>
    <row r="88" spans="2:3" x14ac:dyDescent="0.2">
      <c r="B88" s="2">
        <v>39326</v>
      </c>
      <c r="C88" s="3">
        <v>1140</v>
      </c>
    </row>
    <row r="89" spans="2:3" x14ac:dyDescent="0.2">
      <c r="B89" s="2">
        <v>39356</v>
      </c>
      <c r="C89" s="3">
        <v>1291</v>
      </c>
    </row>
    <row r="90" spans="2:3" x14ac:dyDescent="0.2">
      <c r="B90" s="2">
        <v>39387</v>
      </c>
      <c r="C90" s="3">
        <v>1247</v>
      </c>
    </row>
    <row r="91" spans="2:3" x14ac:dyDescent="0.2">
      <c r="B91" s="2">
        <v>39417</v>
      </c>
      <c r="C91" s="3">
        <v>1207</v>
      </c>
    </row>
    <row r="92" spans="2:3" x14ac:dyDescent="0.2">
      <c r="B92" s="2">
        <v>39448</v>
      </c>
      <c r="C92" s="3">
        <v>1196</v>
      </c>
    </row>
    <row r="93" spans="2:3" x14ac:dyDescent="0.2">
      <c r="B93" s="2">
        <v>39479</v>
      </c>
      <c r="C93" s="3">
        <v>1256</v>
      </c>
    </row>
    <row r="94" spans="2:3" x14ac:dyDescent="0.2">
      <c r="B94" s="2">
        <v>39508</v>
      </c>
      <c r="C94" s="3">
        <v>1205</v>
      </c>
    </row>
    <row r="95" spans="2:3" x14ac:dyDescent="0.2">
      <c r="B95" s="2">
        <v>39539</v>
      </c>
      <c r="C95" s="3">
        <v>1177</v>
      </c>
    </row>
    <row r="96" spans="2:3" x14ac:dyDescent="0.2">
      <c r="B96" s="2">
        <v>39569</v>
      </c>
      <c r="C96" s="3">
        <v>1263</v>
      </c>
    </row>
    <row r="97" spans="2:3" x14ac:dyDescent="0.2">
      <c r="B97" s="2">
        <v>39600</v>
      </c>
      <c r="C97" s="3">
        <v>1185</v>
      </c>
    </row>
    <row r="98" spans="2:3" x14ac:dyDescent="0.2">
      <c r="B98" s="2">
        <v>39630</v>
      </c>
      <c r="C98" s="3">
        <v>1261</v>
      </c>
    </row>
    <row r="99" spans="2:3" x14ac:dyDescent="0.2">
      <c r="B99" s="2">
        <v>39661</v>
      </c>
      <c r="C99" s="3">
        <v>1196</v>
      </c>
    </row>
    <row r="100" spans="2:3" x14ac:dyDescent="0.2">
      <c r="B100" s="2">
        <v>39692</v>
      </c>
      <c r="C100" s="3">
        <v>1251</v>
      </c>
    </row>
    <row r="101" spans="2:3" x14ac:dyDescent="0.2">
      <c r="B101" s="2">
        <v>39722</v>
      </c>
      <c r="C101" s="3">
        <v>1414</v>
      </c>
    </row>
    <row r="102" spans="2:3" x14ac:dyDescent="0.2">
      <c r="B102" s="2">
        <v>39753</v>
      </c>
      <c r="C102" s="3">
        <v>1291</v>
      </c>
    </row>
    <row r="103" spans="2:3" x14ac:dyDescent="0.2">
      <c r="B103" s="2">
        <v>39783</v>
      </c>
      <c r="C103" s="3">
        <v>1293</v>
      </c>
    </row>
    <row r="104" spans="2:3" x14ac:dyDescent="0.2">
      <c r="B104" s="2">
        <v>39814</v>
      </c>
      <c r="C104" s="3">
        <v>1289</v>
      </c>
    </row>
    <row r="105" spans="2:3" x14ac:dyDescent="0.2">
      <c r="B105" s="2">
        <v>39845</v>
      </c>
      <c r="C105" s="3">
        <v>1320</v>
      </c>
    </row>
    <row r="106" spans="2:3" x14ac:dyDescent="0.2">
      <c r="B106" s="2">
        <v>39873</v>
      </c>
      <c r="C106" s="3">
        <v>1313</v>
      </c>
    </row>
    <row r="107" spans="2:3" x14ac:dyDescent="0.2">
      <c r="B107" s="2">
        <v>39904</v>
      </c>
      <c r="C107" s="3">
        <v>1265</v>
      </c>
    </row>
    <row r="108" spans="2:3" x14ac:dyDescent="0.2">
      <c r="B108" s="2">
        <v>39934</v>
      </c>
      <c r="C108" s="3">
        <v>1233</v>
      </c>
    </row>
    <row r="109" spans="2:3" x14ac:dyDescent="0.2">
      <c r="B109" s="2">
        <v>39965</v>
      </c>
      <c r="C109" s="3">
        <v>1187</v>
      </c>
    </row>
    <row r="110" spans="2:3" x14ac:dyDescent="0.2">
      <c r="B110" s="2">
        <v>39995</v>
      </c>
      <c r="C110" s="3">
        <v>1278</v>
      </c>
    </row>
    <row r="111" spans="2:3" x14ac:dyDescent="0.2">
      <c r="B111" s="2">
        <v>40026</v>
      </c>
      <c r="C111" s="3">
        <v>1197</v>
      </c>
    </row>
    <row r="112" spans="2:3" x14ac:dyDescent="0.2">
      <c r="B112" s="2">
        <v>40057</v>
      </c>
      <c r="C112" s="3">
        <v>1181</v>
      </c>
    </row>
    <row r="113" spans="2:3" x14ac:dyDescent="0.2">
      <c r="B113" s="2">
        <v>40087</v>
      </c>
      <c r="C113" s="3">
        <v>1367</v>
      </c>
    </row>
    <row r="114" spans="2:3" x14ac:dyDescent="0.2">
      <c r="B114" s="2">
        <v>40118</v>
      </c>
      <c r="C114" s="3">
        <v>1234</v>
      </c>
    </row>
    <row r="115" spans="2:3" x14ac:dyDescent="0.2">
      <c r="B115" s="2">
        <v>40148</v>
      </c>
      <c r="C115" s="3">
        <v>1254</v>
      </c>
    </row>
    <row r="116" spans="2:3" x14ac:dyDescent="0.2">
      <c r="B116" s="2">
        <v>40179</v>
      </c>
      <c r="C116" s="3">
        <v>1287</v>
      </c>
    </row>
    <row r="117" spans="2:3" x14ac:dyDescent="0.2">
      <c r="B117" s="2">
        <v>40210</v>
      </c>
      <c r="C117" s="3">
        <v>1314</v>
      </c>
    </row>
    <row r="118" spans="2:3" x14ac:dyDescent="0.2">
      <c r="B118" s="2">
        <v>40238</v>
      </c>
      <c r="C118" s="3">
        <v>1395</v>
      </c>
    </row>
    <row r="119" spans="2:3" x14ac:dyDescent="0.2">
      <c r="B119" s="2">
        <v>40269</v>
      </c>
      <c r="C119" s="3">
        <v>1337</v>
      </c>
    </row>
    <row r="120" spans="2:3" x14ac:dyDescent="0.2">
      <c r="B120" s="2">
        <v>40299</v>
      </c>
      <c r="C120" s="3">
        <v>1363</v>
      </c>
    </row>
    <row r="121" spans="2:3" x14ac:dyDescent="0.2">
      <c r="B121" s="2">
        <v>40330</v>
      </c>
      <c r="C121" s="3">
        <v>1352</v>
      </c>
    </row>
    <row r="122" spans="2:3" x14ac:dyDescent="0.2">
      <c r="B122" s="2">
        <v>40360</v>
      </c>
      <c r="C122" s="3">
        <v>1403</v>
      </c>
    </row>
    <row r="123" spans="2:3" x14ac:dyDescent="0.2">
      <c r="B123" s="2">
        <v>40391</v>
      </c>
      <c r="C123" s="3">
        <v>1289</v>
      </c>
    </row>
    <row r="124" spans="2:3" x14ac:dyDescent="0.2">
      <c r="B124" s="2">
        <v>40422</v>
      </c>
      <c r="C124" s="3">
        <v>1274</v>
      </c>
    </row>
    <row r="125" spans="2:3" x14ac:dyDescent="0.2">
      <c r="B125" s="2">
        <v>40452</v>
      </c>
      <c r="C125" s="3">
        <v>1430</v>
      </c>
    </row>
    <row r="126" spans="2:3" x14ac:dyDescent="0.2">
      <c r="B126" s="2">
        <v>40483</v>
      </c>
      <c r="C126" s="3">
        <v>1343</v>
      </c>
    </row>
    <row r="127" spans="2:3" x14ac:dyDescent="0.2">
      <c r="B127" s="2">
        <v>40513</v>
      </c>
      <c r="C127" s="3">
        <v>1405</v>
      </c>
    </row>
    <row r="128" spans="2:3" x14ac:dyDescent="0.2">
      <c r="B128" s="2">
        <v>40544</v>
      </c>
      <c r="C128" s="3">
        <v>1372</v>
      </c>
    </row>
    <row r="129" spans="2:3" x14ac:dyDescent="0.2">
      <c r="B129" s="2">
        <v>40575</v>
      </c>
      <c r="C129" s="3">
        <v>1426</v>
      </c>
    </row>
    <row r="130" spans="2:3" x14ac:dyDescent="0.2">
      <c r="B130" s="2">
        <v>40603</v>
      </c>
      <c r="C130" s="3">
        <v>1431</v>
      </c>
    </row>
    <row r="131" spans="2:3" x14ac:dyDescent="0.2">
      <c r="B131" s="2">
        <v>40634</v>
      </c>
      <c r="C131" s="3">
        <v>1297</v>
      </c>
    </row>
    <row r="132" spans="2:3" x14ac:dyDescent="0.2">
      <c r="B132" s="2">
        <v>40664</v>
      </c>
      <c r="C132" s="3">
        <v>1349</v>
      </c>
    </row>
    <row r="133" spans="2:3" x14ac:dyDescent="0.2">
      <c r="B133" s="2">
        <v>40695</v>
      </c>
      <c r="C133" s="3">
        <v>1347</v>
      </c>
    </row>
    <row r="134" spans="2:3" x14ac:dyDescent="0.2">
      <c r="B134" s="2">
        <v>40725</v>
      </c>
      <c r="C134" s="3">
        <v>1367</v>
      </c>
    </row>
    <row r="135" spans="2:3" x14ac:dyDescent="0.2">
      <c r="B135" s="2">
        <v>40756</v>
      </c>
      <c r="C135" s="3">
        <v>1328</v>
      </c>
    </row>
    <row r="136" spans="2:3" x14ac:dyDescent="0.2">
      <c r="B136" s="2">
        <v>40787</v>
      </c>
      <c r="C136" s="3">
        <v>1280</v>
      </c>
    </row>
    <row r="137" spans="2:3" x14ac:dyDescent="0.2">
      <c r="B137" s="2">
        <v>40817</v>
      </c>
      <c r="C137" s="3">
        <v>1478</v>
      </c>
    </row>
    <row r="138" spans="2:3" x14ac:dyDescent="0.2">
      <c r="B138" s="2">
        <v>40848</v>
      </c>
      <c r="C138" s="3">
        <v>1407</v>
      </c>
    </row>
    <row r="139" spans="2:3" x14ac:dyDescent="0.2">
      <c r="B139" s="2">
        <v>40878</v>
      </c>
      <c r="C139" s="3">
        <v>1523</v>
      </c>
    </row>
    <row r="140" spans="2:3" x14ac:dyDescent="0.2">
      <c r="B140" s="2">
        <v>40909</v>
      </c>
      <c r="C140" s="3">
        <v>1403</v>
      </c>
    </row>
    <row r="141" spans="2:3" x14ac:dyDescent="0.2">
      <c r="B141" s="2">
        <v>40940</v>
      </c>
      <c r="C141" s="3">
        <v>1477</v>
      </c>
    </row>
    <row r="142" spans="2:3" x14ac:dyDescent="0.2">
      <c r="B142" s="2">
        <v>40969</v>
      </c>
      <c r="C142" s="3">
        <v>1572</v>
      </c>
    </row>
    <row r="143" spans="2:3" x14ac:dyDescent="0.2">
      <c r="B143" s="2">
        <v>41000</v>
      </c>
      <c r="C143" s="3">
        <v>1434</v>
      </c>
    </row>
    <row r="144" spans="2:3" x14ac:dyDescent="0.2">
      <c r="B144" s="2">
        <v>41030</v>
      </c>
      <c r="C144" s="3">
        <v>1508</v>
      </c>
    </row>
    <row r="145" spans="2:3" x14ac:dyDescent="0.2">
      <c r="B145" s="2">
        <v>41061</v>
      </c>
      <c r="C145" s="3">
        <v>1428</v>
      </c>
    </row>
    <row r="146" spans="2:3" x14ac:dyDescent="0.2">
      <c r="B146" s="2">
        <v>41091</v>
      </c>
      <c r="C146" s="3">
        <v>1421</v>
      </c>
    </row>
    <row r="147" spans="2:3" x14ac:dyDescent="0.2">
      <c r="B147" s="2">
        <v>41122</v>
      </c>
      <c r="C147" s="3">
        <v>1444</v>
      </c>
    </row>
    <row r="148" spans="2:3" x14ac:dyDescent="0.2">
      <c r="B148" s="2">
        <v>41153</v>
      </c>
      <c r="C148" s="3">
        <v>1412</v>
      </c>
    </row>
    <row r="149" spans="2:3" x14ac:dyDescent="0.2">
      <c r="B149" s="2">
        <v>41183</v>
      </c>
      <c r="C149" s="3">
        <v>1501</v>
      </c>
    </row>
    <row r="150" spans="2:3" x14ac:dyDescent="0.2">
      <c r="B150" s="2">
        <v>41214</v>
      </c>
      <c r="C150" s="3">
        <v>1450</v>
      </c>
    </row>
    <row r="151" spans="2:3" x14ac:dyDescent="0.2">
      <c r="B151" s="2">
        <v>41244</v>
      </c>
      <c r="C151" s="3">
        <v>1498</v>
      </c>
    </row>
    <row r="152" spans="2:3" x14ac:dyDescent="0.2">
      <c r="B152" s="2">
        <v>41275</v>
      </c>
      <c r="C152" s="3">
        <v>1451</v>
      </c>
    </row>
    <row r="153" spans="2:3" x14ac:dyDescent="0.2">
      <c r="B153" s="2">
        <v>41306</v>
      </c>
      <c r="C153" s="3">
        <v>1530</v>
      </c>
    </row>
    <row r="154" spans="2:3" x14ac:dyDescent="0.2">
      <c r="B154" s="2">
        <v>41334</v>
      </c>
      <c r="C154" s="3">
        <v>1498</v>
      </c>
    </row>
    <row r="155" spans="2:3" x14ac:dyDescent="0.2">
      <c r="B155" s="2">
        <v>41365</v>
      </c>
      <c r="C155" s="3">
        <v>1458</v>
      </c>
    </row>
    <row r="156" spans="2:3" x14ac:dyDescent="0.2">
      <c r="B156" s="2">
        <v>41395</v>
      </c>
      <c r="C156" s="3">
        <v>1520</v>
      </c>
    </row>
    <row r="157" spans="2:3" x14ac:dyDescent="0.2">
      <c r="B157" s="2">
        <v>41426</v>
      </c>
      <c r="C157" s="3">
        <v>1402</v>
      </c>
    </row>
    <row r="158" spans="2:3" x14ac:dyDescent="0.2">
      <c r="B158" s="2">
        <v>41456</v>
      </c>
      <c r="C158" s="3">
        <v>1441</v>
      </c>
    </row>
    <row r="159" spans="2:3" x14ac:dyDescent="0.2">
      <c r="B159" s="2">
        <v>41487</v>
      </c>
      <c r="C159" s="3">
        <v>1381</v>
      </c>
    </row>
    <row r="160" spans="2:3" x14ac:dyDescent="0.2">
      <c r="B160" s="2">
        <v>41518</v>
      </c>
      <c r="C160" s="3">
        <v>1356</v>
      </c>
    </row>
    <row r="161" spans="2:3" x14ac:dyDescent="0.2">
      <c r="B161" s="2">
        <v>41548</v>
      </c>
      <c r="C161" s="3">
        <v>1488</v>
      </c>
    </row>
    <row r="162" spans="2:3" x14ac:dyDescent="0.2">
      <c r="B162" s="2">
        <v>41579</v>
      </c>
      <c r="C162" s="3">
        <v>1522</v>
      </c>
    </row>
    <row r="163" spans="2:3" x14ac:dyDescent="0.2">
      <c r="B163" s="2">
        <v>41609</v>
      </c>
      <c r="C163" s="3">
        <v>1501</v>
      </c>
    </row>
    <row r="164" spans="2:3" x14ac:dyDescent="0.2">
      <c r="B164" s="2">
        <v>41640</v>
      </c>
      <c r="C164" s="3">
        <v>1475</v>
      </c>
    </row>
    <row r="165" spans="2:3" x14ac:dyDescent="0.2">
      <c r="B165" s="2">
        <v>41671</v>
      </c>
      <c r="C165" s="3">
        <v>1576</v>
      </c>
    </row>
    <row r="166" spans="2:3" x14ac:dyDescent="0.2">
      <c r="B166" s="2">
        <v>41699</v>
      </c>
      <c r="C166" s="3">
        <v>1571</v>
      </c>
    </row>
    <row r="167" spans="2:3" x14ac:dyDescent="0.2">
      <c r="B167" s="2">
        <v>41730</v>
      </c>
      <c r="C167" s="3">
        <v>1568</v>
      </c>
    </row>
    <row r="168" spans="2:3" x14ac:dyDescent="0.2">
      <c r="B168" s="2">
        <v>41760</v>
      </c>
      <c r="C168" s="3">
        <v>1564</v>
      </c>
    </row>
    <row r="169" spans="2:3" x14ac:dyDescent="0.2">
      <c r="B169" s="2">
        <v>41791</v>
      </c>
      <c r="C169" s="3">
        <v>1482</v>
      </c>
    </row>
    <row r="170" spans="2:3" x14ac:dyDescent="0.2">
      <c r="B170" s="2">
        <v>41821</v>
      </c>
      <c r="C170" s="3">
        <v>1569</v>
      </c>
    </row>
    <row r="171" spans="2:3" x14ac:dyDescent="0.2">
      <c r="B171" s="2">
        <v>41852</v>
      </c>
      <c r="C171" s="3">
        <v>1470</v>
      </c>
    </row>
    <row r="172" spans="2:3" x14ac:dyDescent="0.2">
      <c r="B172" s="2">
        <v>41883</v>
      </c>
      <c r="C172" s="3">
        <v>1455</v>
      </c>
    </row>
    <row r="173" spans="2:3" x14ac:dyDescent="0.2">
      <c r="B173" s="2">
        <v>41913</v>
      </c>
      <c r="C173" s="3">
        <v>1664</v>
      </c>
    </row>
    <row r="174" spans="2:3" x14ac:dyDescent="0.2">
      <c r="B174" s="2">
        <v>41944</v>
      </c>
      <c r="C174" s="3">
        <v>1589</v>
      </c>
    </row>
    <row r="175" spans="2:3" x14ac:dyDescent="0.2">
      <c r="B175" s="2">
        <v>41974</v>
      </c>
      <c r="C175" s="3">
        <v>1653</v>
      </c>
    </row>
    <row r="176" spans="2:3" x14ac:dyDescent="0.2">
      <c r="B176" s="2">
        <v>42005</v>
      </c>
      <c r="C176" s="3">
        <v>1639</v>
      </c>
    </row>
    <row r="177" spans="2:3" x14ac:dyDescent="0.2">
      <c r="B177" s="2">
        <v>42036</v>
      </c>
      <c r="C177" s="3">
        <v>1695</v>
      </c>
    </row>
    <row r="178" spans="2:3" x14ac:dyDescent="0.2">
      <c r="B178" s="2">
        <v>42064</v>
      </c>
      <c r="C178" s="3">
        <v>1694</v>
      </c>
    </row>
    <row r="179" spans="2:3" x14ac:dyDescent="0.2">
      <c r="B179" s="2">
        <v>42095</v>
      </c>
      <c r="C179" s="3">
        <v>1631</v>
      </c>
    </row>
    <row r="180" spans="2:3" x14ac:dyDescent="0.2">
      <c r="B180" s="2">
        <v>42125</v>
      </c>
      <c r="C180" s="3">
        <v>1640</v>
      </c>
    </row>
    <row r="181" spans="2:3" x14ac:dyDescent="0.2">
      <c r="B181" s="2">
        <v>42156</v>
      </c>
      <c r="C181" s="3">
        <v>1556</v>
      </c>
    </row>
    <row r="182" spans="2:3" x14ac:dyDescent="0.2">
      <c r="B182" s="2">
        <v>42186</v>
      </c>
      <c r="C182" s="3">
        <v>1647</v>
      </c>
    </row>
    <row r="183" spans="2:3" x14ac:dyDescent="0.2">
      <c r="B183" s="2">
        <v>42217</v>
      </c>
      <c r="C183" s="3">
        <v>1520</v>
      </c>
    </row>
    <row r="184" spans="2:3" x14ac:dyDescent="0.2">
      <c r="B184" s="2">
        <v>42248</v>
      </c>
      <c r="C184" s="3">
        <v>1475</v>
      </c>
    </row>
    <row r="185" spans="2:3" x14ac:dyDescent="0.2">
      <c r="B185" s="2">
        <v>42278</v>
      </c>
      <c r="C185" s="3">
        <v>1754</v>
      </c>
    </row>
    <row r="186" spans="2:3" x14ac:dyDescent="0.2">
      <c r="B186" s="2">
        <v>42309</v>
      </c>
      <c r="C186" s="3">
        <v>1605</v>
      </c>
    </row>
    <row r="187" spans="2:3" x14ac:dyDescent="0.2">
      <c r="B187" s="2">
        <v>42339</v>
      </c>
      <c r="C187" s="3">
        <v>1701</v>
      </c>
    </row>
    <row r="188" spans="2:3" x14ac:dyDescent="0.2">
      <c r="B188" s="2">
        <v>42370</v>
      </c>
      <c r="C188" s="3">
        <v>1701</v>
      </c>
    </row>
    <row r="189" spans="2:3" x14ac:dyDescent="0.2">
      <c r="B189" s="2">
        <v>42401</v>
      </c>
      <c r="C189" s="3">
        <v>1830</v>
      </c>
    </row>
    <row r="190" spans="2:3" x14ac:dyDescent="0.2">
      <c r="B190" s="2">
        <v>42430</v>
      </c>
      <c r="C190" s="3">
        <v>1713</v>
      </c>
    </row>
    <row r="191" spans="2:3" x14ac:dyDescent="0.2">
      <c r="B191" s="2">
        <v>42461</v>
      </c>
      <c r="C191" s="3">
        <v>1668</v>
      </c>
    </row>
    <row r="192" spans="2:3" x14ac:dyDescent="0.2">
      <c r="B192" s="2">
        <v>42491</v>
      </c>
      <c r="C192" s="3">
        <v>1664</v>
      </c>
    </row>
    <row r="193" spans="2:3" x14ac:dyDescent="0.2">
      <c r="B193" s="2">
        <v>42522</v>
      </c>
      <c r="C193" s="3">
        <v>1623</v>
      </c>
    </row>
    <row r="194" spans="2:3" x14ac:dyDescent="0.2">
      <c r="B194" s="2">
        <v>42552</v>
      </c>
      <c r="C194" s="3">
        <v>1634</v>
      </c>
    </row>
    <row r="195" spans="2:3" x14ac:dyDescent="0.2">
      <c r="B195" s="2">
        <v>42583</v>
      </c>
      <c r="C195" s="3">
        <v>1498</v>
      </c>
    </row>
    <row r="196" spans="2:3" x14ac:dyDescent="0.2">
      <c r="B196" s="2">
        <v>42614</v>
      </c>
      <c r="C196" s="3">
        <v>1529</v>
      </c>
    </row>
    <row r="197" spans="2:3" x14ac:dyDescent="0.2">
      <c r="B197" s="2">
        <v>42644</v>
      </c>
      <c r="C197" s="3">
        <v>1710</v>
      </c>
    </row>
    <row r="198" spans="2:3" x14ac:dyDescent="0.2">
      <c r="B198" s="2">
        <v>42675</v>
      </c>
      <c r="C198" s="3">
        <v>1657</v>
      </c>
    </row>
    <row r="199" spans="2:3" x14ac:dyDescent="0.2">
      <c r="B199" s="2">
        <v>42705</v>
      </c>
      <c r="C199" s="3">
        <v>1743</v>
      </c>
    </row>
    <row r="200" spans="2:3" x14ac:dyDescent="0.2">
      <c r="B200" s="2">
        <v>42736</v>
      </c>
      <c r="C200" s="3">
        <v>1696</v>
      </c>
    </row>
    <row r="201" spans="2:3" x14ac:dyDescent="0.2">
      <c r="B201" s="2">
        <v>42767</v>
      </c>
      <c r="C201" s="3">
        <v>1885</v>
      </c>
    </row>
    <row r="202" spans="2:3" x14ac:dyDescent="0.2">
      <c r="B202" s="2">
        <v>42795</v>
      </c>
      <c r="C202" s="3">
        <v>1840</v>
      </c>
    </row>
    <row r="203" spans="2:3" x14ac:dyDescent="0.2">
      <c r="B203" s="2">
        <v>42826</v>
      </c>
      <c r="C203" s="3">
        <v>1674</v>
      </c>
    </row>
    <row r="204" spans="2:3" x14ac:dyDescent="0.2">
      <c r="B204" s="2">
        <v>42856</v>
      </c>
      <c r="C204" s="3">
        <v>1709</v>
      </c>
    </row>
    <row r="205" spans="2:3" x14ac:dyDescent="0.2">
      <c r="B205" s="2">
        <v>42887</v>
      </c>
      <c r="C205" s="3">
        <v>1618</v>
      </c>
    </row>
    <row r="206" spans="2:3" x14ac:dyDescent="0.2">
      <c r="B206" s="2">
        <v>42917</v>
      </c>
      <c r="C206" s="3">
        <v>1673</v>
      </c>
    </row>
    <row r="207" spans="2:3" x14ac:dyDescent="0.2">
      <c r="B207" s="2">
        <v>42948</v>
      </c>
      <c r="C207" s="3">
        <v>1591</v>
      </c>
    </row>
    <row r="208" spans="2:3" x14ac:dyDescent="0.2">
      <c r="B208" s="2">
        <v>42979</v>
      </c>
      <c r="C208" s="3">
        <v>1521</v>
      </c>
    </row>
    <row r="209" spans="2:3" x14ac:dyDescent="0.2">
      <c r="B209" s="2">
        <v>43009</v>
      </c>
      <c r="C209" s="3">
        <v>1764</v>
      </c>
    </row>
    <row r="210" spans="2:3" x14ac:dyDescent="0.2">
      <c r="B210" s="2">
        <v>43040</v>
      </c>
      <c r="C210" s="3">
        <v>1665</v>
      </c>
    </row>
    <row r="211" spans="2:3" x14ac:dyDescent="0.2">
      <c r="B211" s="2">
        <v>43070</v>
      </c>
      <c r="C211" s="3">
        <v>1750</v>
      </c>
    </row>
    <row r="212" spans="2:3" x14ac:dyDescent="0.2">
      <c r="B212" s="2">
        <v>43101</v>
      </c>
      <c r="C212" s="3">
        <v>1728</v>
      </c>
    </row>
    <row r="213" spans="2:3" x14ac:dyDescent="0.2">
      <c r="B213" s="2">
        <v>43132</v>
      </c>
      <c r="C213" s="3">
        <v>1783</v>
      </c>
    </row>
    <row r="214" spans="2:3" x14ac:dyDescent="0.2">
      <c r="B214" s="2">
        <v>43160</v>
      </c>
      <c r="C214" s="3">
        <v>1679</v>
      </c>
    </row>
    <row r="215" spans="2:3" x14ac:dyDescent="0.2">
      <c r="B215" s="2">
        <v>43191</v>
      </c>
      <c r="C215" s="3">
        <v>1605</v>
      </c>
    </row>
    <row r="216" spans="2:3" x14ac:dyDescent="0.2">
      <c r="B216" s="2">
        <v>43221</v>
      </c>
      <c r="C216" s="3">
        <v>1694</v>
      </c>
    </row>
    <row r="217" spans="2:3" x14ac:dyDescent="0.2">
      <c r="B217" s="2">
        <v>43252</v>
      </c>
      <c r="C217" s="3">
        <v>1560</v>
      </c>
    </row>
    <row r="218" spans="2:3" x14ac:dyDescent="0.2">
      <c r="B218" s="2">
        <v>43282</v>
      </c>
      <c r="C218" s="3">
        <v>1629</v>
      </c>
    </row>
    <row r="219" spans="2:3" x14ac:dyDescent="0.2">
      <c r="B219" s="2">
        <v>43313</v>
      </c>
      <c r="C219" s="4">
        <v>1546</v>
      </c>
    </row>
    <row r="220" spans="2:3" x14ac:dyDescent="0.2">
      <c r="B220" s="2">
        <v>43344</v>
      </c>
      <c r="C220" s="4">
        <v>1574</v>
      </c>
    </row>
    <row r="221" spans="2:3" x14ac:dyDescent="0.2">
      <c r="B221" s="2">
        <v>43374</v>
      </c>
      <c r="C221" s="4">
        <v>1737</v>
      </c>
    </row>
    <row r="222" spans="2:3" x14ac:dyDescent="0.2">
      <c r="B222" s="2">
        <v>43405</v>
      </c>
      <c r="C222" s="4">
        <v>1659</v>
      </c>
    </row>
    <row r="223" spans="2:3" x14ac:dyDescent="0.2">
      <c r="B223" s="2">
        <v>43435</v>
      </c>
      <c r="C223" s="4">
        <v>1691</v>
      </c>
    </row>
    <row r="224" spans="2:3" x14ac:dyDescent="0.2">
      <c r="B224" s="2">
        <v>43466</v>
      </c>
      <c r="C224" s="4">
        <v>1681</v>
      </c>
    </row>
    <row r="225" spans="2:3" x14ac:dyDescent="0.2">
      <c r="B225" s="2">
        <v>43497</v>
      </c>
      <c r="C225" s="4">
        <v>1788</v>
      </c>
    </row>
    <row r="226" spans="2:3" x14ac:dyDescent="0.2">
      <c r="B226" s="2">
        <v>43525</v>
      </c>
      <c r="C226" s="4">
        <v>1746</v>
      </c>
    </row>
    <row r="227" spans="2:3" x14ac:dyDescent="0.2">
      <c r="B227" s="2">
        <v>43556</v>
      </c>
      <c r="C227" s="4">
        <v>1672</v>
      </c>
    </row>
    <row r="228" spans="2:3" x14ac:dyDescent="0.2">
      <c r="B228" s="2">
        <v>43586</v>
      </c>
      <c r="C228" s="4">
        <v>1751</v>
      </c>
    </row>
    <row r="229" spans="2:3" x14ac:dyDescent="0.2">
      <c r="B229" s="2">
        <v>43617</v>
      </c>
      <c r="C229" s="4">
        <v>1646</v>
      </c>
    </row>
    <row r="230" spans="2:3" x14ac:dyDescent="0.2">
      <c r="B230" s="2">
        <v>43647</v>
      </c>
      <c r="C230" s="4">
        <v>1714</v>
      </c>
    </row>
    <row r="231" spans="2:3" x14ac:dyDescent="0.2">
      <c r="B231" s="2">
        <v>43678</v>
      </c>
      <c r="C231" s="4">
        <v>1557</v>
      </c>
    </row>
    <row r="232" spans="2:3" x14ac:dyDescent="0.2">
      <c r="B232" s="2">
        <v>43709</v>
      </c>
      <c r="C232" s="4">
        <v>1617</v>
      </c>
    </row>
    <row r="233" spans="2:3" x14ac:dyDescent="0.2">
      <c r="B233" s="2">
        <v>43739</v>
      </c>
      <c r="C233" s="4">
        <v>1826</v>
      </c>
    </row>
    <row r="234" spans="2:3" x14ac:dyDescent="0.2">
      <c r="B234" s="2">
        <v>43770</v>
      </c>
      <c r="C234" s="4">
        <v>1758</v>
      </c>
    </row>
    <row r="235" spans="2:3" x14ac:dyDescent="0.2">
      <c r="B235" s="2">
        <v>43800</v>
      </c>
      <c r="C235" s="4">
        <v>1756</v>
      </c>
    </row>
    <row r="236" spans="2:3" x14ac:dyDescent="0.2">
      <c r="B236" s="2">
        <v>43831</v>
      </c>
      <c r="C236" s="4">
        <v>1725</v>
      </c>
    </row>
    <row r="237" spans="2:3" x14ac:dyDescent="0.2">
      <c r="B237" s="2">
        <v>43862</v>
      </c>
      <c r="C237" s="4">
        <v>1835</v>
      </c>
    </row>
    <row r="238" spans="2:3" x14ac:dyDescent="0.2">
      <c r="B238" s="2">
        <v>43891</v>
      </c>
      <c r="C238" s="4">
        <v>1724</v>
      </c>
    </row>
    <row r="239" spans="2:3" x14ac:dyDescent="0.2">
      <c r="B239" s="2">
        <v>43922</v>
      </c>
      <c r="C239" s="4">
        <v>1730</v>
      </c>
    </row>
    <row r="240" spans="2:3" x14ac:dyDescent="0.2">
      <c r="B240" s="2">
        <v>43952</v>
      </c>
      <c r="C240" s="4">
        <v>1752</v>
      </c>
    </row>
    <row r="241" spans="2:3" x14ac:dyDescent="0.2">
      <c r="B241" s="2">
        <v>43983</v>
      </c>
      <c r="C241" s="4">
        <v>1642</v>
      </c>
    </row>
    <row r="242" spans="2:3" x14ac:dyDescent="0.2">
      <c r="B242" s="2">
        <v>44013</v>
      </c>
      <c r="C242" s="4">
        <v>1717</v>
      </c>
    </row>
    <row r="243" spans="2:3" x14ac:dyDescent="0.2">
      <c r="B243" s="2">
        <v>44044</v>
      </c>
      <c r="C243" s="4">
        <v>1579</v>
      </c>
    </row>
    <row r="244" spans="2:3" x14ac:dyDescent="0.2">
      <c r="B244" s="2">
        <v>44075</v>
      </c>
      <c r="C244" s="4">
        <v>1647</v>
      </c>
    </row>
    <row r="245" spans="2:3" x14ac:dyDescent="0.2">
      <c r="B245" s="2">
        <v>44105</v>
      </c>
      <c r="C245" s="4">
        <v>1961</v>
      </c>
    </row>
    <row r="246" spans="2:3" x14ac:dyDescent="0.2">
      <c r="B246" s="2">
        <v>44136</v>
      </c>
      <c r="C246" s="4">
        <v>1772</v>
      </c>
    </row>
    <row r="247" spans="2:3" x14ac:dyDescent="0.2">
      <c r="B247" s="2">
        <v>44166</v>
      </c>
      <c r="C247" s="4">
        <v>1822</v>
      </c>
    </row>
    <row r="248" spans="2:3" x14ac:dyDescent="0.2">
      <c r="B248" s="2">
        <v>44197</v>
      </c>
      <c r="C248" s="4">
        <v>1884</v>
      </c>
    </row>
    <row r="249" spans="2:3" x14ac:dyDescent="0.2">
      <c r="B249" s="2">
        <v>44228</v>
      </c>
      <c r="C249" s="4">
        <v>1901</v>
      </c>
    </row>
    <row r="250" spans="2:3" x14ac:dyDescent="0.2">
      <c r="B250" s="2">
        <v>44256</v>
      </c>
      <c r="C250" s="4">
        <v>1917</v>
      </c>
    </row>
    <row r="251" spans="2:3" x14ac:dyDescent="0.2">
      <c r="B251" s="2">
        <v>44287</v>
      </c>
      <c r="C251" s="4">
        <v>1796</v>
      </c>
    </row>
    <row r="252" spans="2:3" x14ac:dyDescent="0.2">
      <c r="B252" s="2">
        <v>44317</v>
      </c>
      <c r="C252" s="4">
        <v>1722</v>
      </c>
    </row>
    <row r="253" spans="2:3" x14ac:dyDescent="0.2">
      <c r="B253" s="2">
        <v>44348</v>
      </c>
      <c r="C253" s="4">
        <v>1702</v>
      </c>
    </row>
    <row r="254" spans="2:3" x14ac:dyDescent="0.2">
      <c r="B254" s="2">
        <v>44378</v>
      </c>
      <c r="C254" s="4">
        <v>1829</v>
      </c>
    </row>
    <row r="255" spans="2:3" x14ac:dyDescent="0.2">
      <c r="B255" s="2">
        <v>44409</v>
      </c>
      <c r="C255" s="3">
        <v>1687</v>
      </c>
    </row>
    <row r="256" spans="2:3" x14ac:dyDescent="0.2">
      <c r="B256" s="2">
        <v>44440</v>
      </c>
      <c r="C256" s="3">
        <v>1668</v>
      </c>
    </row>
    <row r="257" spans="2:3" x14ac:dyDescent="0.2">
      <c r="B257" s="2">
        <v>44470</v>
      </c>
      <c r="C257" s="3">
        <v>2009</v>
      </c>
    </row>
    <row r="258" spans="2:3" x14ac:dyDescent="0.2">
      <c r="B258" s="2">
        <v>44501</v>
      </c>
      <c r="C258" s="3">
        <v>1774</v>
      </c>
    </row>
    <row r="259" spans="2:3" x14ac:dyDescent="0.2">
      <c r="B259" s="2">
        <v>44531</v>
      </c>
      <c r="C259" s="3">
        <v>1863</v>
      </c>
    </row>
    <row r="260" spans="2:3" x14ac:dyDescent="0.2">
      <c r="B260" s="2">
        <v>44562</v>
      </c>
      <c r="C260" s="3">
        <v>1758</v>
      </c>
    </row>
    <row r="261" spans="2:3" x14ac:dyDescent="0.2">
      <c r="B261" s="2">
        <v>44593</v>
      </c>
      <c r="C261" s="3">
        <v>1717</v>
      </c>
    </row>
    <row r="262" spans="2:3" x14ac:dyDescent="0.2">
      <c r="B262" s="2">
        <v>44621</v>
      </c>
      <c r="C262" s="3">
        <v>1823</v>
      </c>
    </row>
    <row r="263" spans="2:3" x14ac:dyDescent="0.2">
      <c r="B263" s="2">
        <v>44652</v>
      </c>
      <c r="C263" s="3">
        <v>1746</v>
      </c>
    </row>
    <row r="264" spans="2:3" x14ac:dyDescent="0.2">
      <c r="B264" s="2">
        <v>44682</v>
      </c>
      <c r="C264" s="3">
        <v>1857</v>
      </c>
    </row>
    <row r="265" spans="2:3" x14ac:dyDescent="0.2">
      <c r="B265" s="2">
        <v>44713</v>
      </c>
      <c r="C265" s="3">
        <v>1803</v>
      </c>
    </row>
    <row r="266" spans="2:3" x14ac:dyDescent="0.2">
      <c r="B266" s="2">
        <v>44743</v>
      </c>
      <c r="C266" s="3">
        <v>1777</v>
      </c>
    </row>
    <row r="267" spans="2:3" x14ac:dyDescent="0.2">
      <c r="B267" s="2">
        <v>44774</v>
      </c>
      <c r="C267" s="3">
        <v>1690</v>
      </c>
    </row>
    <row r="268" spans="2:3" x14ac:dyDescent="0.2">
      <c r="B268" s="2">
        <v>44805</v>
      </c>
      <c r="C268" s="3">
        <v>1686</v>
      </c>
    </row>
    <row r="269" spans="2:3" x14ac:dyDescent="0.2">
      <c r="B269" s="2">
        <v>44835</v>
      </c>
      <c r="C269" s="3">
        <v>1956</v>
      </c>
    </row>
    <row r="270" spans="2:3" x14ac:dyDescent="0.2">
      <c r="B270" s="2">
        <v>44866</v>
      </c>
      <c r="C270" s="3">
        <v>1807</v>
      </c>
    </row>
    <row r="271" spans="2:3" x14ac:dyDescent="0.2">
      <c r="B271" s="2">
        <v>44896</v>
      </c>
      <c r="C271" s="3">
        <v>1949</v>
      </c>
    </row>
    <row r="272" spans="2:3" x14ac:dyDescent="0.2">
      <c r="B272" s="2">
        <v>44927</v>
      </c>
      <c r="C272" s="3">
        <v>1833</v>
      </c>
    </row>
    <row r="273" spans="2:3" x14ac:dyDescent="0.2">
      <c r="B273" s="2">
        <v>44958</v>
      </c>
      <c r="C273" s="3">
        <v>1813</v>
      </c>
    </row>
    <row r="274" spans="2:3" x14ac:dyDescent="0.2">
      <c r="B274" s="2">
        <v>44986</v>
      </c>
      <c r="C274" s="3">
        <v>1886</v>
      </c>
    </row>
    <row r="275" spans="2:3" x14ac:dyDescent="0.2">
      <c r="B275" s="2">
        <v>45017</v>
      </c>
      <c r="C275" s="3">
        <v>1805</v>
      </c>
    </row>
    <row r="276" spans="2:3" x14ac:dyDescent="0.2">
      <c r="B276" s="2">
        <v>45047</v>
      </c>
      <c r="C276" s="3">
        <v>1931</v>
      </c>
    </row>
    <row r="277" spans="2:3" x14ac:dyDescent="0.2">
      <c r="B277" s="2">
        <v>45078</v>
      </c>
      <c r="C277" s="3">
        <v>1822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7921-E821-5044-BDE0-1E63D66D1592}">
  <dimension ref="A1:C276"/>
  <sheetViews>
    <sheetView showGridLines="0" zoomScale="215" workbookViewId="0">
      <selection activeCell="F21" sqref="F21"/>
    </sheetView>
  </sheetViews>
  <sheetFormatPr baseColWidth="10" defaultRowHeight="15" x14ac:dyDescent="0.2"/>
  <cols>
    <col min="1" max="3" width="10.83203125" style="6"/>
  </cols>
  <sheetData>
    <row r="1" spans="1:3" x14ac:dyDescent="0.2">
      <c r="A1" s="1" t="s">
        <v>1</v>
      </c>
      <c r="B1" s="1" t="s">
        <v>0</v>
      </c>
      <c r="C1" s="1" t="s">
        <v>6</v>
      </c>
    </row>
    <row r="2" spans="1:3" x14ac:dyDescent="0.2">
      <c r="A2" s="2">
        <v>36739</v>
      </c>
      <c r="B2" s="3">
        <v>1049</v>
      </c>
      <c r="C2" s="5" t="s">
        <v>33</v>
      </c>
    </row>
    <row r="3" spans="1:3" x14ac:dyDescent="0.2">
      <c r="A3" s="2">
        <v>36770</v>
      </c>
      <c r="B3" s="3">
        <v>1026</v>
      </c>
      <c r="C3" s="5" t="s">
        <v>33</v>
      </c>
    </row>
    <row r="4" spans="1:3" x14ac:dyDescent="0.2">
      <c r="A4" s="2">
        <v>36800</v>
      </c>
      <c r="B4" s="3">
        <v>1074</v>
      </c>
      <c r="C4" s="5" t="s">
        <v>33</v>
      </c>
    </row>
    <row r="5" spans="1:3" x14ac:dyDescent="0.2">
      <c r="A5" s="2">
        <v>36831</v>
      </c>
      <c r="B5" s="3">
        <v>1031</v>
      </c>
      <c r="C5" s="5" t="s">
        <v>33</v>
      </c>
    </row>
    <row r="6" spans="1:3" x14ac:dyDescent="0.2">
      <c r="A6" s="2">
        <v>36861</v>
      </c>
      <c r="B6" s="3">
        <v>1047</v>
      </c>
      <c r="C6" s="5" t="s">
        <v>33</v>
      </c>
    </row>
    <row r="7" spans="1:3" x14ac:dyDescent="0.2">
      <c r="A7" s="2">
        <v>36892</v>
      </c>
      <c r="B7" s="3">
        <v>986</v>
      </c>
      <c r="C7" s="5" t="s">
        <v>33</v>
      </c>
    </row>
    <row r="8" spans="1:3" x14ac:dyDescent="0.2">
      <c r="A8" s="2">
        <v>36923</v>
      </c>
      <c r="B8" s="3">
        <v>1015</v>
      </c>
      <c r="C8" s="5" t="s">
        <v>33</v>
      </c>
    </row>
    <row r="9" spans="1:3" x14ac:dyDescent="0.2">
      <c r="A9" s="2">
        <v>36951</v>
      </c>
      <c r="B9" s="3">
        <v>1021</v>
      </c>
      <c r="C9" s="5" t="s">
        <v>33</v>
      </c>
    </row>
    <row r="10" spans="1:3" x14ac:dyDescent="0.2">
      <c r="A10" s="2">
        <v>36982</v>
      </c>
      <c r="B10" s="3">
        <v>958</v>
      </c>
      <c r="C10" s="5" t="s">
        <v>33</v>
      </c>
    </row>
    <row r="11" spans="1:3" x14ac:dyDescent="0.2">
      <c r="A11" s="2">
        <v>37012</v>
      </c>
      <c r="B11" s="3">
        <v>1041</v>
      </c>
      <c r="C11" s="5" t="s">
        <v>33</v>
      </c>
    </row>
    <row r="12" spans="1:3" x14ac:dyDescent="0.2">
      <c r="A12" s="2">
        <v>37043</v>
      </c>
      <c r="B12" s="3">
        <v>999</v>
      </c>
      <c r="C12" s="5" t="s">
        <v>33</v>
      </c>
    </row>
    <row r="13" spans="1:3" x14ac:dyDescent="0.2">
      <c r="A13" s="2">
        <v>37073</v>
      </c>
      <c r="B13" s="3">
        <v>1034</v>
      </c>
      <c r="C13" s="5" t="s">
        <v>33</v>
      </c>
    </row>
    <row r="14" spans="1:3" x14ac:dyDescent="0.2">
      <c r="A14" s="2">
        <v>37104</v>
      </c>
      <c r="B14" s="3">
        <v>959</v>
      </c>
      <c r="C14" s="5" t="s">
        <v>33</v>
      </c>
    </row>
    <row r="15" spans="1:3" x14ac:dyDescent="0.2">
      <c r="A15" s="2">
        <v>37135</v>
      </c>
      <c r="B15" s="3">
        <v>920</v>
      </c>
      <c r="C15" s="5" t="s">
        <v>33</v>
      </c>
    </row>
    <row r="16" spans="1:3" x14ac:dyDescent="0.2">
      <c r="A16" s="2">
        <v>37165</v>
      </c>
      <c r="B16" s="3">
        <v>1019</v>
      </c>
      <c r="C16" s="5" t="s">
        <v>33</v>
      </c>
    </row>
    <row r="17" spans="1:3" x14ac:dyDescent="0.2">
      <c r="A17" s="2">
        <v>37196</v>
      </c>
      <c r="B17" s="3">
        <v>1056</v>
      </c>
      <c r="C17" s="5" t="s">
        <v>33</v>
      </c>
    </row>
    <row r="18" spans="1:3" x14ac:dyDescent="0.2">
      <c r="A18" s="2">
        <v>37226</v>
      </c>
      <c r="B18" s="3">
        <v>1057</v>
      </c>
      <c r="C18" s="5" t="s">
        <v>33</v>
      </c>
    </row>
    <row r="19" spans="1:3" x14ac:dyDescent="0.2">
      <c r="A19" s="2">
        <v>37257</v>
      </c>
      <c r="B19" s="3">
        <v>1017</v>
      </c>
      <c r="C19" s="5" t="s">
        <v>33</v>
      </c>
    </row>
    <row r="20" spans="1:3" x14ac:dyDescent="0.2">
      <c r="A20" s="2">
        <v>37288</v>
      </c>
      <c r="B20" s="3">
        <v>1096</v>
      </c>
      <c r="C20" s="5" t="s">
        <v>33</v>
      </c>
    </row>
    <row r="21" spans="1:3" x14ac:dyDescent="0.2">
      <c r="A21" s="2">
        <v>37316</v>
      </c>
      <c r="B21" s="3">
        <v>1052</v>
      </c>
      <c r="C21" s="5" t="s">
        <v>33</v>
      </c>
    </row>
    <row r="22" spans="1:3" x14ac:dyDescent="0.2">
      <c r="A22" s="2">
        <v>37347</v>
      </c>
      <c r="B22" s="3">
        <v>971</v>
      </c>
      <c r="C22" s="5" t="s">
        <v>33</v>
      </c>
    </row>
    <row r="23" spans="1:3" x14ac:dyDescent="0.2">
      <c r="A23" s="2">
        <v>37377</v>
      </c>
      <c r="B23" s="3">
        <v>1033</v>
      </c>
      <c r="C23" s="5" t="s">
        <v>33</v>
      </c>
    </row>
    <row r="24" spans="1:3" x14ac:dyDescent="0.2">
      <c r="A24" s="2">
        <v>37408</v>
      </c>
      <c r="B24" s="3">
        <v>978</v>
      </c>
      <c r="C24" s="5" t="s">
        <v>33</v>
      </c>
    </row>
    <row r="25" spans="1:3" x14ac:dyDescent="0.2">
      <c r="A25" s="2">
        <v>37438</v>
      </c>
      <c r="B25" s="3">
        <v>983</v>
      </c>
      <c r="C25" s="5" t="s">
        <v>33</v>
      </c>
    </row>
    <row r="26" spans="1:3" x14ac:dyDescent="0.2">
      <c r="A26" s="2">
        <v>37469</v>
      </c>
      <c r="B26" s="3">
        <v>906</v>
      </c>
      <c r="C26" s="5" t="s">
        <v>33</v>
      </c>
    </row>
    <row r="27" spans="1:3" x14ac:dyDescent="0.2">
      <c r="A27" s="2">
        <v>37500</v>
      </c>
      <c r="B27" s="3">
        <v>910</v>
      </c>
      <c r="C27" s="5" t="s">
        <v>33</v>
      </c>
    </row>
    <row r="28" spans="1:3" x14ac:dyDescent="0.2">
      <c r="A28" s="2">
        <v>37530</v>
      </c>
      <c r="B28" s="3">
        <v>1025</v>
      </c>
      <c r="C28" s="5" t="s">
        <v>33</v>
      </c>
    </row>
    <row r="29" spans="1:3" x14ac:dyDescent="0.2">
      <c r="A29" s="2">
        <v>37561</v>
      </c>
      <c r="B29" s="3">
        <v>1026</v>
      </c>
      <c r="C29" s="5" t="s">
        <v>33</v>
      </c>
    </row>
    <row r="30" spans="1:3" x14ac:dyDescent="0.2">
      <c r="A30" s="2">
        <v>37591</v>
      </c>
      <c r="B30" s="3">
        <v>1014</v>
      </c>
      <c r="C30" s="5" t="s">
        <v>33</v>
      </c>
    </row>
    <row r="31" spans="1:3" x14ac:dyDescent="0.2">
      <c r="A31" s="2">
        <v>37622</v>
      </c>
      <c r="B31" s="3">
        <v>977</v>
      </c>
      <c r="C31" s="5" t="s">
        <v>33</v>
      </c>
    </row>
    <row r="32" spans="1:3" x14ac:dyDescent="0.2">
      <c r="A32" s="2">
        <v>37653</v>
      </c>
      <c r="B32" s="3">
        <v>990</v>
      </c>
      <c r="C32" s="5" t="s">
        <v>33</v>
      </c>
    </row>
    <row r="33" spans="1:3" x14ac:dyDescent="0.2">
      <c r="A33" s="2">
        <v>37681</v>
      </c>
      <c r="B33" s="3">
        <v>989</v>
      </c>
      <c r="C33" s="5" t="s">
        <v>33</v>
      </c>
    </row>
    <row r="34" spans="1:3" x14ac:dyDescent="0.2">
      <c r="A34" s="2">
        <v>37712</v>
      </c>
      <c r="B34" s="3">
        <v>960</v>
      </c>
      <c r="C34" s="5" t="s">
        <v>33</v>
      </c>
    </row>
    <row r="35" spans="1:3" x14ac:dyDescent="0.2">
      <c r="A35" s="2">
        <v>37742</v>
      </c>
      <c r="B35" s="3">
        <v>981</v>
      </c>
      <c r="C35" s="5" t="s">
        <v>33</v>
      </c>
    </row>
    <row r="36" spans="1:3" x14ac:dyDescent="0.2">
      <c r="A36" s="2">
        <v>37773</v>
      </c>
      <c r="B36" s="3">
        <v>962</v>
      </c>
      <c r="C36" s="5" t="s">
        <v>33</v>
      </c>
    </row>
    <row r="37" spans="1:3" x14ac:dyDescent="0.2">
      <c r="A37" s="2">
        <v>37803</v>
      </c>
      <c r="B37" s="3">
        <v>1022</v>
      </c>
      <c r="C37" s="5" t="s">
        <v>33</v>
      </c>
    </row>
    <row r="38" spans="1:3" x14ac:dyDescent="0.2">
      <c r="A38" s="2">
        <v>37834</v>
      </c>
      <c r="B38" s="3">
        <v>910</v>
      </c>
      <c r="C38" s="5" t="s">
        <v>33</v>
      </c>
    </row>
    <row r="39" spans="1:3" x14ac:dyDescent="0.2">
      <c r="A39" s="2">
        <v>37865</v>
      </c>
      <c r="B39" s="3">
        <v>912</v>
      </c>
      <c r="C39" s="5" t="s">
        <v>33</v>
      </c>
    </row>
    <row r="40" spans="1:3" x14ac:dyDescent="0.2">
      <c r="A40" s="2">
        <v>37895</v>
      </c>
      <c r="B40" s="3">
        <v>1025</v>
      </c>
      <c r="C40" s="5" t="s">
        <v>33</v>
      </c>
    </row>
    <row r="41" spans="1:3" x14ac:dyDescent="0.2">
      <c r="A41" s="2">
        <v>37926</v>
      </c>
      <c r="B41" s="3">
        <v>1017</v>
      </c>
      <c r="C41" s="5" t="s">
        <v>33</v>
      </c>
    </row>
    <row r="42" spans="1:3" x14ac:dyDescent="0.2">
      <c r="A42" s="2">
        <v>37956</v>
      </c>
      <c r="B42" s="3">
        <v>1044</v>
      </c>
      <c r="C42" s="5" t="s">
        <v>33</v>
      </c>
    </row>
    <row r="43" spans="1:3" x14ac:dyDescent="0.2">
      <c r="A43" s="2">
        <v>37987</v>
      </c>
      <c r="B43" s="3">
        <v>1032</v>
      </c>
      <c r="C43" s="5" t="s">
        <v>33</v>
      </c>
    </row>
    <row r="44" spans="1:3" x14ac:dyDescent="0.2">
      <c r="A44" s="2">
        <v>38018</v>
      </c>
      <c r="B44" s="3">
        <v>1060</v>
      </c>
      <c r="C44" s="5" t="s">
        <v>33</v>
      </c>
    </row>
    <row r="45" spans="1:3" x14ac:dyDescent="0.2">
      <c r="A45" s="2">
        <v>38047</v>
      </c>
      <c r="B45" s="3">
        <v>1077</v>
      </c>
      <c r="C45" s="5" t="s">
        <v>33</v>
      </c>
    </row>
    <row r="46" spans="1:3" x14ac:dyDescent="0.2">
      <c r="A46" s="2">
        <v>38078</v>
      </c>
      <c r="B46" s="3">
        <v>1098</v>
      </c>
      <c r="C46" s="5" t="s">
        <v>33</v>
      </c>
    </row>
    <row r="47" spans="1:3" x14ac:dyDescent="0.2">
      <c r="A47" s="2">
        <v>38108</v>
      </c>
      <c r="B47" s="3">
        <v>1086</v>
      </c>
      <c r="C47" s="5" t="s">
        <v>33</v>
      </c>
    </row>
    <row r="48" spans="1:3" x14ac:dyDescent="0.2">
      <c r="A48" s="2">
        <v>38139</v>
      </c>
      <c r="B48" s="3">
        <v>1070</v>
      </c>
      <c r="C48" s="5" t="s">
        <v>33</v>
      </c>
    </row>
    <row r="49" spans="1:3" x14ac:dyDescent="0.2">
      <c r="A49" s="2">
        <v>38169</v>
      </c>
      <c r="B49" s="3">
        <v>1121</v>
      </c>
      <c r="C49" s="5" t="s">
        <v>33</v>
      </c>
    </row>
    <row r="50" spans="1:3" x14ac:dyDescent="0.2">
      <c r="A50" s="2">
        <v>38200</v>
      </c>
      <c r="B50" s="3">
        <v>993</v>
      </c>
      <c r="C50" s="5" t="s">
        <v>33</v>
      </c>
    </row>
    <row r="51" spans="1:3" x14ac:dyDescent="0.2">
      <c r="A51" s="2">
        <v>38231</v>
      </c>
      <c r="B51" s="3">
        <v>1026</v>
      </c>
      <c r="C51" s="5" t="s">
        <v>33</v>
      </c>
    </row>
    <row r="52" spans="1:3" x14ac:dyDescent="0.2">
      <c r="A52" s="2">
        <v>38261</v>
      </c>
      <c r="B52" s="3">
        <v>1114</v>
      </c>
      <c r="C52" s="5" t="s">
        <v>33</v>
      </c>
    </row>
    <row r="53" spans="1:3" x14ac:dyDescent="0.2">
      <c r="A53" s="2">
        <v>38292</v>
      </c>
      <c r="B53" s="3">
        <v>1050</v>
      </c>
      <c r="C53" s="5" t="s">
        <v>33</v>
      </c>
    </row>
    <row r="54" spans="1:3" x14ac:dyDescent="0.2">
      <c r="A54" s="2">
        <v>38322</v>
      </c>
      <c r="B54" s="3">
        <v>1094</v>
      </c>
      <c r="C54" s="5" t="s">
        <v>33</v>
      </c>
    </row>
    <row r="55" spans="1:3" x14ac:dyDescent="0.2">
      <c r="A55" s="2">
        <v>38353</v>
      </c>
      <c r="B55" s="3">
        <v>1069</v>
      </c>
      <c r="C55" s="5" t="s">
        <v>33</v>
      </c>
    </row>
    <row r="56" spans="1:3" x14ac:dyDescent="0.2">
      <c r="A56" s="2">
        <v>38384</v>
      </c>
      <c r="B56" s="3">
        <v>1096</v>
      </c>
      <c r="C56" s="5" t="s">
        <v>33</v>
      </c>
    </row>
    <row r="57" spans="1:3" x14ac:dyDescent="0.2">
      <c r="A57" s="2">
        <v>38412</v>
      </c>
      <c r="B57" s="3">
        <v>1137</v>
      </c>
      <c r="C57" s="5" t="s">
        <v>33</v>
      </c>
    </row>
    <row r="58" spans="1:3" x14ac:dyDescent="0.2">
      <c r="A58" s="2">
        <v>38443</v>
      </c>
      <c r="B58" s="3">
        <v>1053</v>
      </c>
      <c r="C58" s="5" t="s">
        <v>33</v>
      </c>
    </row>
    <row r="59" spans="1:3" x14ac:dyDescent="0.2">
      <c r="A59" s="2">
        <v>38473</v>
      </c>
      <c r="B59" s="3">
        <v>1100</v>
      </c>
      <c r="C59" s="5" t="s">
        <v>33</v>
      </c>
    </row>
    <row r="60" spans="1:3" x14ac:dyDescent="0.2">
      <c r="A60" s="2">
        <v>38504</v>
      </c>
      <c r="B60" s="3">
        <v>1101</v>
      </c>
      <c r="C60" s="5" t="s">
        <v>33</v>
      </c>
    </row>
    <row r="61" spans="1:3" x14ac:dyDescent="0.2">
      <c r="A61" s="2">
        <v>38534</v>
      </c>
      <c r="B61" s="3">
        <v>1116</v>
      </c>
      <c r="C61" s="5" t="s">
        <v>33</v>
      </c>
    </row>
    <row r="62" spans="1:3" x14ac:dyDescent="0.2">
      <c r="A62" s="2">
        <v>38565</v>
      </c>
      <c r="B62" s="3">
        <v>1051</v>
      </c>
      <c r="C62" s="5" t="s">
        <v>33</v>
      </c>
    </row>
    <row r="63" spans="1:3" x14ac:dyDescent="0.2">
      <c r="A63" s="2">
        <v>38596</v>
      </c>
      <c r="B63" s="3">
        <v>1000</v>
      </c>
      <c r="C63" s="5" t="s">
        <v>33</v>
      </c>
    </row>
    <row r="64" spans="1:3" x14ac:dyDescent="0.2">
      <c r="A64" s="2">
        <v>38626</v>
      </c>
      <c r="B64" s="3">
        <v>1102</v>
      </c>
      <c r="C64" s="5" t="s">
        <v>33</v>
      </c>
    </row>
    <row r="65" spans="1:3" x14ac:dyDescent="0.2">
      <c r="A65" s="2">
        <v>38657</v>
      </c>
      <c r="B65" s="3">
        <v>1094</v>
      </c>
      <c r="C65" s="5" t="s">
        <v>33</v>
      </c>
    </row>
    <row r="66" spans="1:3" x14ac:dyDescent="0.2">
      <c r="A66" s="2">
        <v>38687</v>
      </c>
      <c r="B66" s="3">
        <v>1143</v>
      </c>
      <c r="C66" s="5" t="s">
        <v>33</v>
      </c>
    </row>
    <row r="67" spans="1:3" x14ac:dyDescent="0.2">
      <c r="A67" s="2">
        <v>38718</v>
      </c>
      <c r="B67" s="3">
        <v>1094</v>
      </c>
      <c r="C67" s="5" t="s">
        <v>33</v>
      </c>
    </row>
    <row r="68" spans="1:3" x14ac:dyDescent="0.2">
      <c r="A68" s="2">
        <v>38749</v>
      </c>
      <c r="B68" s="3">
        <v>1175</v>
      </c>
      <c r="C68" s="5" t="s">
        <v>33</v>
      </c>
    </row>
    <row r="69" spans="1:3" x14ac:dyDescent="0.2">
      <c r="A69" s="2">
        <v>38777</v>
      </c>
      <c r="B69" s="3">
        <v>1212</v>
      </c>
      <c r="C69" s="5" t="s">
        <v>33</v>
      </c>
    </row>
    <row r="70" spans="1:3" x14ac:dyDescent="0.2">
      <c r="A70" s="2">
        <v>38808</v>
      </c>
      <c r="B70" s="3">
        <v>1109</v>
      </c>
      <c r="C70" s="5" t="s">
        <v>33</v>
      </c>
    </row>
    <row r="71" spans="1:3" x14ac:dyDescent="0.2">
      <c r="A71" s="2">
        <v>38838</v>
      </c>
      <c r="B71" s="3">
        <v>1185</v>
      </c>
      <c r="C71" s="5" t="s">
        <v>33</v>
      </c>
    </row>
    <row r="72" spans="1:3" x14ac:dyDescent="0.2">
      <c r="A72" s="2">
        <v>38869</v>
      </c>
      <c r="B72" s="3">
        <v>1102</v>
      </c>
      <c r="C72" s="5" t="s">
        <v>33</v>
      </c>
    </row>
    <row r="73" spans="1:3" x14ac:dyDescent="0.2">
      <c r="A73" s="2">
        <v>38899</v>
      </c>
      <c r="B73" s="3">
        <v>1112</v>
      </c>
      <c r="C73" s="5" t="s">
        <v>33</v>
      </c>
    </row>
    <row r="74" spans="1:3" x14ac:dyDescent="0.2">
      <c r="A74" s="2">
        <v>38930</v>
      </c>
      <c r="B74" s="3">
        <v>1108</v>
      </c>
      <c r="C74" s="5" t="s">
        <v>33</v>
      </c>
    </row>
    <row r="75" spans="1:3" x14ac:dyDescent="0.2">
      <c r="A75" s="2">
        <v>38961</v>
      </c>
      <c r="B75" s="3">
        <v>1089</v>
      </c>
      <c r="C75" s="5" t="s">
        <v>33</v>
      </c>
    </row>
    <row r="76" spans="1:3" x14ac:dyDescent="0.2">
      <c r="A76" s="2">
        <v>38991</v>
      </c>
      <c r="B76" s="3">
        <v>1199</v>
      </c>
      <c r="C76" s="5" t="s">
        <v>33</v>
      </c>
    </row>
    <row r="77" spans="1:3" x14ac:dyDescent="0.2">
      <c r="A77" s="2">
        <v>39022</v>
      </c>
      <c r="B77" s="3">
        <v>1126</v>
      </c>
      <c r="C77" s="5" t="s">
        <v>33</v>
      </c>
    </row>
    <row r="78" spans="1:3" x14ac:dyDescent="0.2">
      <c r="A78" s="2">
        <v>39052</v>
      </c>
      <c r="B78" s="3">
        <v>1177</v>
      </c>
      <c r="C78" s="5" t="s">
        <v>33</v>
      </c>
    </row>
    <row r="79" spans="1:3" x14ac:dyDescent="0.2">
      <c r="A79" s="2">
        <v>39083</v>
      </c>
      <c r="B79" s="3">
        <v>1154</v>
      </c>
      <c r="C79" s="5" t="s">
        <v>33</v>
      </c>
    </row>
    <row r="80" spans="1:3" x14ac:dyDescent="0.2">
      <c r="A80" s="2">
        <v>39114</v>
      </c>
      <c r="B80" s="3">
        <v>1232</v>
      </c>
      <c r="C80" s="5" t="s">
        <v>33</v>
      </c>
    </row>
    <row r="81" spans="1:3" x14ac:dyDescent="0.2">
      <c r="A81" s="2">
        <v>39142</v>
      </c>
      <c r="B81" s="3">
        <v>1205</v>
      </c>
      <c r="C81" s="5" t="s">
        <v>33</v>
      </c>
    </row>
    <row r="82" spans="1:3" x14ac:dyDescent="0.2">
      <c r="A82" s="2">
        <v>39173</v>
      </c>
      <c r="B82" s="3">
        <v>1143</v>
      </c>
      <c r="C82" s="5" t="s">
        <v>33</v>
      </c>
    </row>
    <row r="83" spans="1:3" x14ac:dyDescent="0.2">
      <c r="A83" s="2">
        <v>39203</v>
      </c>
      <c r="B83" s="3">
        <v>1227</v>
      </c>
      <c r="C83" s="5" t="s">
        <v>33</v>
      </c>
    </row>
    <row r="84" spans="1:3" x14ac:dyDescent="0.2">
      <c r="A84" s="2">
        <v>39234</v>
      </c>
      <c r="B84" s="3">
        <v>1117</v>
      </c>
      <c r="C84" s="5" t="s">
        <v>33</v>
      </c>
    </row>
    <row r="85" spans="1:3" x14ac:dyDescent="0.2">
      <c r="A85" s="2">
        <v>39264</v>
      </c>
      <c r="B85" s="3">
        <v>1180</v>
      </c>
      <c r="C85" s="5" t="s">
        <v>33</v>
      </c>
    </row>
    <row r="86" spans="1:3" x14ac:dyDescent="0.2">
      <c r="A86" s="2">
        <v>39295</v>
      </c>
      <c r="B86" s="3">
        <v>1102</v>
      </c>
      <c r="C86" s="5" t="s">
        <v>33</v>
      </c>
    </row>
    <row r="87" spans="1:3" x14ac:dyDescent="0.2">
      <c r="A87" s="2">
        <v>39326</v>
      </c>
      <c r="B87" s="3">
        <v>1140</v>
      </c>
      <c r="C87" s="5" t="s">
        <v>33</v>
      </c>
    </row>
    <row r="88" spans="1:3" x14ac:dyDescent="0.2">
      <c r="A88" s="2">
        <v>39356</v>
      </c>
      <c r="B88" s="3">
        <v>1291</v>
      </c>
      <c r="C88" s="5" t="s">
        <v>33</v>
      </c>
    </row>
    <row r="89" spans="1:3" x14ac:dyDescent="0.2">
      <c r="A89" s="2">
        <v>39387</v>
      </c>
      <c r="B89" s="3">
        <v>1247</v>
      </c>
      <c r="C89" s="5" t="s">
        <v>33</v>
      </c>
    </row>
    <row r="90" spans="1:3" x14ac:dyDescent="0.2">
      <c r="A90" s="2">
        <v>39417</v>
      </c>
      <c r="B90" s="3">
        <v>1207</v>
      </c>
      <c r="C90" s="5" t="s">
        <v>33</v>
      </c>
    </row>
    <row r="91" spans="1:3" x14ac:dyDescent="0.2">
      <c r="A91" s="2">
        <v>39448</v>
      </c>
      <c r="B91" s="3">
        <v>1196</v>
      </c>
      <c r="C91" s="5" t="s">
        <v>33</v>
      </c>
    </row>
    <row r="92" spans="1:3" x14ac:dyDescent="0.2">
      <c r="A92" s="2">
        <v>39479</v>
      </c>
      <c r="B92" s="3">
        <v>1256</v>
      </c>
      <c r="C92" s="5" t="s">
        <v>33</v>
      </c>
    </row>
    <row r="93" spans="1:3" x14ac:dyDescent="0.2">
      <c r="A93" s="2">
        <v>39508</v>
      </c>
      <c r="B93" s="3">
        <v>1205</v>
      </c>
      <c r="C93" s="5" t="s">
        <v>33</v>
      </c>
    </row>
    <row r="94" spans="1:3" x14ac:dyDescent="0.2">
      <c r="A94" s="2">
        <v>39539</v>
      </c>
      <c r="B94" s="3">
        <v>1177</v>
      </c>
      <c r="C94" s="5" t="s">
        <v>33</v>
      </c>
    </row>
    <row r="95" spans="1:3" x14ac:dyDescent="0.2">
      <c r="A95" s="2">
        <v>39569</v>
      </c>
      <c r="B95" s="3">
        <v>1263</v>
      </c>
      <c r="C95" s="5" t="s">
        <v>33</v>
      </c>
    </row>
    <row r="96" spans="1:3" x14ac:dyDescent="0.2">
      <c r="A96" s="2">
        <v>39600</v>
      </c>
      <c r="B96" s="3">
        <v>1185</v>
      </c>
      <c r="C96" s="5" t="s">
        <v>33</v>
      </c>
    </row>
    <row r="97" spans="1:3" x14ac:dyDescent="0.2">
      <c r="A97" s="2">
        <v>39630</v>
      </c>
      <c r="B97" s="3">
        <v>1261</v>
      </c>
      <c r="C97" s="5" t="s">
        <v>33</v>
      </c>
    </row>
    <row r="98" spans="1:3" x14ac:dyDescent="0.2">
      <c r="A98" s="2">
        <v>39661</v>
      </c>
      <c r="B98" s="3">
        <v>1196</v>
      </c>
      <c r="C98" s="5" t="s">
        <v>33</v>
      </c>
    </row>
    <row r="99" spans="1:3" x14ac:dyDescent="0.2">
      <c r="A99" s="2">
        <v>39692</v>
      </c>
      <c r="B99" s="3">
        <v>1251</v>
      </c>
      <c r="C99" s="5" t="s">
        <v>33</v>
      </c>
    </row>
    <row r="100" spans="1:3" x14ac:dyDescent="0.2">
      <c r="A100" s="2">
        <v>39722</v>
      </c>
      <c r="B100" s="3">
        <v>1414</v>
      </c>
      <c r="C100" s="5" t="s">
        <v>33</v>
      </c>
    </row>
    <row r="101" spans="1:3" x14ac:dyDescent="0.2">
      <c r="A101" s="2">
        <v>39753</v>
      </c>
      <c r="B101" s="3">
        <v>1291</v>
      </c>
      <c r="C101" s="5" t="s">
        <v>33</v>
      </c>
    </row>
    <row r="102" spans="1:3" x14ac:dyDescent="0.2">
      <c r="A102" s="2">
        <v>39783</v>
      </c>
      <c r="B102" s="3">
        <v>1293</v>
      </c>
      <c r="C102" s="5" t="s">
        <v>33</v>
      </c>
    </row>
    <row r="103" spans="1:3" x14ac:dyDescent="0.2">
      <c r="A103" s="2">
        <v>39814</v>
      </c>
      <c r="B103" s="3">
        <v>1289</v>
      </c>
      <c r="C103" s="5" t="s">
        <v>33</v>
      </c>
    </row>
    <row r="104" spans="1:3" x14ac:dyDescent="0.2">
      <c r="A104" s="2">
        <v>39845</v>
      </c>
      <c r="B104" s="3">
        <v>1320</v>
      </c>
      <c r="C104" s="5" t="s">
        <v>33</v>
      </c>
    </row>
    <row r="105" spans="1:3" x14ac:dyDescent="0.2">
      <c r="A105" s="2">
        <v>39873</v>
      </c>
      <c r="B105" s="3">
        <v>1313</v>
      </c>
      <c r="C105" s="5" t="s">
        <v>33</v>
      </c>
    </row>
    <row r="106" spans="1:3" x14ac:dyDescent="0.2">
      <c r="A106" s="2">
        <v>39904</v>
      </c>
      <c r="B106" s="3">
        <v>1265</v>
      </c>
      <c r="C106" s="5" t="s">
        <v>33</v>
      </c>
    </row>
    <row r="107" spans="1:3" x14ac:dyDescent="0.2">
      <c r="A107" s="2">
        <v>39934</v>
      </c>
      <c r="B107" s="3">
        <v>1233</v>
      </c>
      <c r="C107" s="5" t="s">
        <v>33</v>
      </c>
    </row>
    <row r="108" spans="1:3" x14ac:dyDescent="0.2">
      <c r="A108" s="2">
        <v>39965</v>
      </c>
      <c r="B108" s="3">
        <v>1187</v>
      </c>
      <c r="C108" s="5" t="s">
        <v>33</v>
      </c>
    </row>
    <row r="109" spans="1:3" x14ac:dyDescent="0.2">
      <c r="A109" s="2">
        <v>39995</v>
      </c>
      <c r="B109" s="3">
        <v>1278</v>
      </c>
      <c r="C109" s="5" t="s">
        <v>33</v>
      </c>
    </row>
    <row r="110" spans="1:3" x14ac:dyDescent="0.2">
      <c r="A110" s="2">
        <v>40026</v>
      </c>
      <c r="B110" s="3">
        <v>1197</v>
      </c>
      <c r="C110" s="5" t="s">
        <v>33</v>
      </c>
    </row>
    <row r="111" spans="1:3" x14ac:dyDescent="0.2">
      <c r="A111" s="2">
        <v>40057</v>
      </c>
      <c r="B111" s="3">
        <v>1181</v>
      </c>
      <c r="C111" s="5" t="s">
        <v>33</v>
      </c>
    </row>
    <row r="112" spans="1:3" x14ac:dyDescent="0.2">
      <c r="A112" s="2">
        <v>40087</v>
      </c>
      <c r="B112" s="3">
        <v>1367</v>
      </c>
      <c r="C112" s="5" t="s">
        <v>33</v>
      </c>
    </row>
    <row r="113" spans="1:3" x14ac:dyDescent="0.2">
      <c r="A113" s="2">
        <v>40118</v>
      </c>
      <c r="B113" s="3">
        <v>1234</v>
      </c>
      <c r="C113" s="5" t="s">
        <v>33</v>
      </c>
    </row>
    <row r="114" spans="1:3" x14ac:dyDescent="0.2">
      <c r="A114" s="2">
        <v>40148</v>
      </c>
      <c r="B114" s="3">
        <v>1254</v>
      </c>
      <c r="C114" s="5" t="s">
        <v>33</v>
      </c>
    </row>
    <row r="115" spans="1:3" x14ac:dyDescent="0.2">
      <c r="A115" s="2">
        <v>40179</v>
      </c>
      <c r="B115" s="3">
        <v>1287</v>
      </c>
      <c r="C115" s="5" t="s">
        <v>33</v>
      </c>
    </row>
    <row r="116" spans="1:3" x14ac:dyDescent="0.2">
      <c r="A116" s="2">
        <v>40210</v>
      </c>
      <c r="B116" s="3">
        <v>1314</v>
      </c>
      <c r="C116" s="5" t="s">
        <v>33</v>
      </c>
    </row>
    <row r="117" spans="1:3" x14ac:dyDescent="0.2">
      <c r="A117" s="2">
        <v>40238</v>
      </c>
      <c r="B117" s="3">
        <v>1395</v>
      </c>
      <c r="C117" s="5" t="s">
        <v>33</v>
      </c>
    </row>
    <row r="118" spans="1:3" x14ac:dyDescent="0.2">
      <c r="A118" s="2">
        <v>40269</v>
      </c>
      <c r="B118" s="3">
        <v>1337</v>
      </c>
      <c r="C118" s="5" t="s">
        <v>33</v>
      </c>
    </row>
    <row r="119" spans="1:3" x14ac:dyDescent="0.2">
      <c r="A119" s="2">
        <v>40299</v>
      </c>
      <c r="B119" s="3">
        <v>1363</v>
      </c>
      <c r="C119" s="5" t="s">
        <v>33</v>
      </c>
    </row>
    <row r="120" spans="1:3" x14ac:dyDescent="0.2">
      <c r="A120" s="2">
        <v>40330</v>
      </c>
      <c r="B120" s="3">
        <v>1352</v>
      </c>
      <c r="C120" s="5" t="s">
        <v>33</v>
      </c>
    </row>
    <row r="121" spans="1:3" x14ac:dyDescent="0.2">
      <c r="A121" s="2">
        <v>40360</v>
      </c>
      <c r="B121" s="3">
        <v>1403</v>
      </c>
      <c r="C121" s="5" t="s">
        <v>33</v>
      </c>
    </row>
    <row r="122" spans="1:3" x14ac:dyDescent="0.2">
      <c r="A122" s="2">
        <v>40391</v>
      </c>
      <c r="B122" s="3">
        <v>1289</v>
      </c>
      <c r="C122" s="5" t="s">
        <v>33</v>
      </c>
    </row>
    <row r="123" spans="1:3" x14ac:dyDescent="0.2">
      <c r="A123" s="2">
        <v>40422</v>
      </c>
      <c r="B123" s="3">
        <v>1274</v>
      </c>
      <c r="C123" s="5" t="s">
        <v>33</v>
      </c>
    </row>
    <row r="124" spans="1:3" x14ac:dyDescent="0.2">
      <c r="A124" s="2">
        <v>40452</v>
      </c>
      <c r="B124" s="3">
        <v>1430</v>
      </c>
      <c r="C124" s="5" t="s">
        <v>33</v>
      </c>
    </row>
    <row r="125" spans="1:3" x14ac:dyDescent="0.2">
      <c r="A125" s="2">
        <v>40483</v>
      </c>
      <c r="B125" s="3">
        <v>1343</v>
      </c>
      <c r="C125" s="5" t="s">
        <v>33</v>
      </c>
    </row>
    <row r="126" spans="1:3" x14ac:dyDescent="0.2">
      <c r="A126" s="2">
        <v>40513</v>
      </c>
      <c r="B126" s="3">
        <v>1405</v>
      </c>
      <c r="C126" s="5" t="s">
        <v>33</v>
      </c>
    </row>
    <row r="127" spans="1:3" x14ac:dyDescent="0.2">
      <c r="A127" s="2">
        <v>40544</v>
      </c>
      <c r="B127" s="3">
        <v>1372</v>
      </c>
      <c r="C127" s="5" t="s">
        <v>33</v>
      </c>
    </row>
    <row r="128" spans="1:3" x14ac:dyDescent="0.2">
      <c r="A128" s="2">
        <v>40575</v>
      </c>
      <c r="B128" s="3">
        <v>1426</v>
      </c>
      <c r="C128" s="5" t="s">
        <v>33</v>
      </c>
    </row>
    <row r="129" spans="1:3" x14ac:dyDescent="0.2">
      <c r="A129" s="2">
        <v>40603</v>
      </c>
      <c r="B129" s="3">
        <v>1431</v>
      </c>
      <c r="C129" s="5" t="s">
        <v>33</v>
      </c>
    </row>
    <row r="130" spans="1:3" x14ac:dyDescent="0.2">
      <c r="A130" s="2">
        <v>40634</v>
      </c>
      <c r="B130" s="3">
        <v>1297</v>
      </c>
      <c r="C130" s="5" t="s">
        <v>33</v>
      </c>
    </row>
    <row r="131" spans="1:3" x14ac:dyDescent="0.2">
      <c r="A131" s="2">
        <v>40664</v>
      </c>
      <c r="B131" s="3">
        <v>1349</v>
      </c>
      <c r="C131" s="5" t="s">
        <v>33</v>
      </c>
    </row>
    <row r="132" spans="1:3" x14ac:dyDescent="0.2">
      <c r="A132" s="2">
        <v>40695</v>
      </c>
      <c r="B132" s="3">
        <v>1347</v>
      </c>
      <c r="C132" s="5" t="s">
        <v>33</v>
      </c>
    </row>
    <row r="133" spans="1:3" x14ac:dyDescent="0.2">
      <c r="A133" s="2">
        <v>40725</v>
      </c>
      <c r="B133" s="3">
        <v>1367</v>
      </c>
      <c r="C133" s="5" t="s">
        <v>33</v>
      </c>
    </row>
    <row r="134" spans="1:3" x14ac:dyDescent="0.2">
      <c r="A134" s="2">
        <v>40756</v>
      </c>
      <c r="B134" s="3">
        <v>1328</v>
      </c>
      <c r="C134" s="5" t="s">
        <v>33</v>
      </c>
    </row>
    <row r="135" spans="1:3" x14ac:dyDescent="0.2">
      <c r="A135" s="2">
        <v>40787</v>
      </c>
      <c r="B135" s="3">
        <v>1280</v>
      </c>
      <c r="C135" s="5" t="s">
        <v>33</v>
      </c>
    </row>
    <row r="136" spans="1:3" x14ac:dyDescent="0.2">
      <c r="A136" s="2">
        <v>40817</v>
      </c>
      <c r="B136" s="3">
        <v>1478</v>
      </c>
      <c r="C136" s="5" t="s">
        <v>33</v>
      </c>
    </row>
    <row r="137" spans="1:3" x14ac:dyDescent="0.2">
      <c r="A137" s="2">
        <v>40848</v>
      </c>
      <c r="B137" s="3">
        <v>1407</v>
      </c>
      <c r="C137" s="5" t="s">
        <v>33</v>
      </c>
    </row>
    <row r="138" spans="1:3" x14ac:dyDescent="0.2">
      <c r="A138" s="2">
        <v>40878</v>
      </c>
      <c r="B138" s="3">
        <v>1523</v>
      </c>
      <c r="C138" s="5" t="s">
        <v>33</v>
      </c>
    </row>
    <row r="139" spans="1:3" x14ac:dyDescent="0.2">
      <c r="A139" s="2">
        <v>40909</v>
      </c>
      <c r="B139" s="3">
        <v>1403</v>
      </c>
      <c r="C139" s="5" t="s">
        <v>33</v>
      </c>
    </row>
    <row r="140" spans="1:3" x14ac:dyDescent="0.2">
      <c r="A140" s="2">
        <v>40940</v>
      </c>
      <c r="B140" s="3">
        <v>1477</v>
      </c>
      <c r="C140" s="5" t="s">
        <v>33</v>
      </c>
    </row>
    <row r="141" spans="1:3" x14ac:dyDescent="0.2">
      <c r="A141" s="2">
        <v>40969</v>
      </c>
      <c r="B141" s="3">
        <v>1572</v>
      </c>
      <c r="C141" s="5" t="s">
        <v>33</v>
      </c>
    </row>
    <row r="142" spans="1:3" x14ac:dyDescent="0.2">
      <c r="A142" s="2">
        <v>41000</v>
      </c>
      <c r="B142" s="3">
        <v>1434</v>
      </c>
      <c r="C142" s="5" t="s">
        <v>33</v>
      </c>
    </row>
    <row r="143" spans="1:3" x14ac:dyDescent="0.2">
      <c r="A143" s="2">
        <v>41030</v>
      </c>
      <c r="B143" s="3">
        <v>1508</v>
      </c>
      <c r="C143" s="5" t="s">
        <v>33</v>
      </c>
    </row>
    <row r="144" spans="1:3" x14ac:dyDescent="0.2">
      <c r="A144" s="2">
        <v>41061</v>
      </c>
      <c r="B144" s="3">
        <v>1428</v>
      </c>
      <c r="C144" s="5" t="s">
        <v>33</v>
      </c>
    </row>
    <row r="145" spans="1:3" x14ac:dyDescent="0.2">
      <c r="A145" s="2">
        <v>41091</v>
      </c>
      <c r="B145" s="3">
        <v>1421</v>
      </c>
      <c r="C145" s="5" t="s">
        <v>33</v>
      </c>
    </row>
    <row r="146" spans="1:3" x14ac:dyDescent="0.2">
      <c r="A146" s="2">
        <v>41122</v>
      </c>
      <c r="B146" s="3">
        <v>1444</v>
      </c>
      <c r="C146" s="5" t="s">
        <v>33</v>
      </c>
    </row>
    <row r="147" spans="1:3" x14ac:dyDescent="0.2">
      <c r="A147" s="2">
        <v>41153</v>
      </c>
      <c r="B147" s="3">
        <v>1412</v>
      </c>
      <c r="C147" s="5" t="s">
        <v>33</v>
      </c>
    </row>
    <row r="148" spans="1:3" x14ac:dyDescent="0.2">
      <c r="A148" s="2">
        <v>41183</v>
      </c>
      <c r="B148" s="3">
        <v>1501</v>
      </c>
      <c r="C148" s="5" t="s">
        <v>33</v>
      </c>
    </row>
    <row r="149" spans="1:3" x14ac:dyDescent="0.2">
      <c r="A149" s="2">
        <v>41214</v>
      </c>
      <c r="B149" s="3">
        <v>1450</v>
      </c>
      <c r="C149" s="5" t="s">
        <v>33</v>
      </c>
    </row>
    <row r="150" spans="1:3" x14ac:dyDescent="0.2">
      <c r="A150" s="2">
        <v>41244</v>
      </c>
      <c r="B150" s="3">
        <v>1498</v>
      </c>
      <c r="C150" s="5" t="s">
        <v>33</v>
      </c>
    </row>
    <row r="151" spans="1:3" x14ac:dyDescent="0.2">
      <c r="A151" s="2">
        <v>41275</v>
      </c>
      <c r="B151" s="3">
        <v>1451</v>
      </c>
      <c r="C151" s="5" t="s">
        <v>33</v>
      </c>
    </row>
    <row r="152" spans="1:3" x14ac:dyDescent="0.2">
      <c r="A152" s="2">
        <v>41306</v>
      </c>
      <c r="B152" s="3">
        <v>1530</v>
      </c>
      <c r="C152" s="5" t="s">
        <v>33</v>
      </c>
    </row>
    <row r="153" spans="1:3" x14ac:dyDescent="0.2">
      <c r="A153" s="2">
        <v>41334</v>
      </c>
      <c r="B153" s="3">
        <v>1498</v>
      </c>
      <c r="C153" s="5" t="s">
        <v>33</v>
      </c>
    </row>
    <row r="154" spans="1:3" x14ac:dyDescent="0.2">
      <c r="A154" s="2">
        <v>41365</v>
      </c>
      <c r="B154" s="3">
        <v>1458</v>
      </c>
      <c r="C154" s="5" t="s">
        <v>33</v>
      </c>
    </row>
    <row r="155" spans="1:3" x14ac:dyDescent="0.2">
      <c r="A155" s="2">
        <v>41395</v>
      </c>
      <c r="B155" s="3">
        <v>1520</v>
      </c>
      <c r="C155" s="5" t="s">
        <v>33</v>
      </c>
    </row>
    <row r="156" spans="1:3" x14ac:dyDescent="0.2">
      <c r="A156" s="2">
        <v>41426</v>
      </c>
      <c r="B156" s="3">
        <v>1402</v>
      </c>
      <c r="C156" s="5" t="s">
        <v>33</v>
      </c>
    </row>
    <row r="157" spans="1:3" x14ac:dyDescent="0.2">
      <c r="A157" s="2">
        <v>41456</v>
      </c>
      <c r="B157" s="3">
        <v>1441</v>
      </c>
      <c r="C157" s="5" t="s">
        <v>33</v>
      </c>
    </row>
    <row r="158" spans="1:3" x14ac:dyDescent="0.2">
      <c r="A158" s="2">
        <v>41487</v>
      </c>
      <c r="B158" s="3">
        <v>1381</v>
      </c>
      <c r="C158" s="5" t="s">
        <v>33</v>
      </c>
    </row>
    <row r="159" spans="1:3" x14ac:dyDescent="0.2">
      <c r="A159" s="2">
        <v>41518</v>
      </c>
      <c r="B159" s="3">
        <v>1356</v>
      </c>
      <c r="C159" s="5" t="s">
        <v>33</v>
      </c>
    </row>
    <row r="160" spans="1:3" x14ac:dyDescent="0.2">
      <c r="A160" s="2">
        <v>41548</v>
      </c>
      <c r="B160" s="3">
        <v>1488</v>
      </c>
      <c r="C160" s="5" t="s">
        <v>33</v>
      </c>
    </row>
    <row r="161" spans="1:3" x14ac:dyDescent="0.2">
      <c r="A161" s="2">
        <v>41579</v>
      </c>
      <c r="B161" s="3">
        <v>1522</v>
      </c>
      <c r="C161" s="5" t="s">
        <v>33</v>
      </c>
    </row>
    <row r="162" spans="1:3" x14ac:dyDescent="0.2">
      <c r="A162" s="2">
        <v>41609</v>
      </c>
      <c r="B162" s="3">
        <v>1501</v>
      </c>
      <c r="C162" s="5" t="s">
        <v>33</v>
      </c>
    </row>
    <row r="163" spans="1:3" x14ac:dyDescent="0.2">
      <c r="A163" s="2">
        <v>41640</v>
      </c>
      <c r="B163" s="3">
        <v>1475</v>
      </c>
      <c r="C163" s="5" t="s">
        <v>33</v>
      </c>
    </row>
    <row r="164" spans="1:3" x14ac:dyDescent="0.2">
      <c r="A164" s="2">
        <v>41671</v>
      </c>
      <c r="B164" s="3">
        <v>1576</v>
      </c>
      <c r="C164" s="5" t="s">
        <v>33</v>
      </c>
    </row>
    <row r="165" spans="1:3" x14ac:dyDescent="0.2">
      <c r="A165" s="2">
        <v>41699</v>
      </c>
      <c r="B165" s="3">
        <v>1571</v>
      </c>
      <c r="C165" s="5" t="s">
        <v>33</v>
      </c>
    </row>
    <row r="166" spans="1:3" x14ac:dyDescent="0.2">
      <c r="A166" s="2">
        <v>41730</v>
      </c>
      <c r="B166" s="3">
        <v>1568</v>
      </c>
      <c r="C166" s="5" t="s">
        <v>33</v>
      </c>
    </row>
    <row r="167" spans="1:3" x14ac:dyDescent="0.2">
      <c r="A167" s="2">
        <v>41760</v>
      </c>
      <c r="B167" s="3">
        <v>1564</v>
      </c>
      <c r="C167" s="5" t="s">
        <v>33</v>
      </c>
    </row>
    <row r="168" spans="1:3" x14ac:dyDescent="0.2">
      <c r="A168" s="2">
        <v>41791</v>
      </c>
      <c r="B168" s="3">
        <v>1482</v>
      </c>
      <c r="C168" s="5" t="s">
        <v>33</v>
      </c>
    </row>
    <row r="169" spans="1:3" x14ac:dyDescent="0.2">
      <c r="A169" s="2">
        <v>41821</v>
      </c>
      <c r="B169" s="3">
        <v>1569</v>
      </c>
      <c r="C169" s="5" t="s">
        <v>33</v>
      </c>
    </row>
    <row r="170" spans="1:3" x14ac:dyDescent="0.2">
      <c r="A170" s="2">
        <v>41852</v>
      </c>
      <c r="B170" s="3">
        <v>1470</v>
      </c>
      <c r="C170" s="5" t="s">
        <v>33</v>
      </c>
    </row>
    <row r="171" spans="1:3" x14ac:dyDescent="0.2">
      <c r="A171" s="2">
        <v>41883</v>
      </c>
      <c r="B171" s="3">
        <v>1455</v>
      </c>
      <c r="C171" s="5" t="s">
        <v>33</v>
      </c>
    </row>
    <row r="172" spans="1:3" x14ac:dyDescent="0.2">
      <c r="A172" s="2">
        <v>41913</v>
      </c>
      <c r="B172" s="3">
        <v>1664</v>
      </c>
      <c r="C172" s="5" t="s">
        <v>33</v>
      </c>
    </row>
    <row r="173" spans="1:3" x14ac:dyDescent="0.2">
      <c r="A173" s="2">
        <v>41944</v>
      </c>
      <c r="B173" s="3">
        <v>1589</v>
      </c>
      <c r="C173" s="5" t="s">
        <v>33</v>
      </c>
    </row>
    <row r="174" spans="1:3" x14ac:dyDescent="0.2">
      <c r="A174" s="2">
        <v>41974</v>
      </c>
      <c r="B174" s="3">
        <v>1653</v>
      </c>
      <c r="C174" s="5" t="s">
        <v>33</v>
      </c>
    </row>
    <row r="175" spans="1:3" x14ac:dyDescent="0.2">
      <c r="A175" s="2">
        <v>42005</v>
      </c>
      <c r="B175" s="3">
        <v>1639</v>
      </c>
      <c r="C175" s="5" t="s">
        <v>33</v>
      </c>
    </row>
    <row r="176" spans="1:3" x14ac:dyDescent="0.2">
      <c r="A176" s="2">
        <v>42036</v>
      </c>
      <c r="B176" s="3">
        <v>1695</v>
      </c>
      <c r="C176" s="5" t="s">
        <v>33</v>
      </c>
    </row>
    <row r="177" spans="1:3" x14ac:dyDescent="0.2">
      <c r="A177" s="2">
        <v>42064</v>
      </c>
      <c r="B177" s="3">
        <v>1694</v>
      </c>
      <c r="C177" s="5" t="s">
        <v>33</v>
      </c>
    </row>
    <row r="178" spans="1:3" x14ac:dyDescent="0.2">
      <c r="A178" s="2">
        <v>42095</v>
      </c>
      <c r="B178" s="3">
        <v>1631</v>
      </c>
      <c r="C178" s="5" t="s">
        <v>33</v>
      </c>
    </row>
    <row r="179" spans="1:3" x14ac:dyDescent="0.2">
      <c r="A179" s="2">
        <v>42125</v>
      </c>
      <c r="B179" s="3">
        <v>1640</v>
      </c>
      <c r="C179" s="5" t="s">
        <v>33</v>
      </c>
    </row>
    <row r="180" spans="1:3" x14ac:dyDescent="0.2">
      <c r="A180" s="2">
        <v>42156</v>
      </c>
      <c r="B180" s="3">
        <v>1556</v>
      </c>
      <c r="C180" s="5" t="s">
        <v>33</v>
      </c>
    </row>
    <row r="181" spans="1:3" x14ac:dyDescent="0.2">
      <c r="A181" s="2">
        <v>42186</v>
      </c>
      <c r="B181" s="3">
        <v>1647</v>
      </c>
      <c r="C181" s="5" t="s">
        <v>33</v>
      </c>
    </row>
    <row r="182" spans="1:3" x14ac:dyDescent="0.2">
      <c r="A182" s="2">
        <v>42217</v>
      </c>
      <c r="B182" s="3">
        <v>1520</v>
      </c>
      <c r="C182" s="5" t="s">
        <v>33</v>
      </c>
    </row>
    <row r="183" spans="1:3" x14ac:dyDescent="0.2">
      <c r="A183" s="2">
        <v>42248</v>
      </c>
      <c r="B183" s="3">
        <v>1475</v>
      </c>
      <c r="C183" s="5" t="s">
        <v>33</v>
      </c>
    </row>
    <row r="184" spans="1:3" x14ac:dyDescent="0.2">
      <c r="A184" s="2">
        <v>42278</v>
      </c>
      <c r="B184" s="3">
        <v>1754</v>
      </c>
      <c r="C184" s="5" t="s">
        <v>33</v>
      </c>
    </row>
    <row r="185" spans="1:3" x14ac:dyDescent="0.2">
      <c r="A185" s="2">
        <v>42309</v>
      </c>
      <c r="B185" s="3">
        <v>1605</v>
      </c>
      <c r="C185" s="5" t="s">
        <v>33</v>
      </c>
    </row>
    <row r="186" spans="1:3" x14ac:dyDescent="0.2">
      <c r="A186" s="2">
        <v>42339</v>
      </c>
      <c r="B186" s="3">
        <v>1701</v>
      </c>
      <c r="C186" s="5" t="s">
        <v>33</v>
      </c>
    </row>
    <row r="187" spans="1:3" x14ac:dyDescent="0.2">
      <c r="A187" s="2">
        <v>42370</v>
      </c>
      <c r="B187" s="3">
        <v>1701</v>
      </c>
      <c r="C187" s="5" t="s">
        <v>33</v>
      </c>
    </row>
    <row r="188" spans="1:3" x14ac:dyDescent="0.2">
      <c r="A188" s="2">
        <v>42401</v>
      </c>
      <c r="B188" s="3">
        <v>1830</v>
      </c>
      <c r="C188" s="5" t="s">
        <v>33</v>
      </c>
    </row>
    <row r="189" spans="1:3" x14ac:dyDescent="0.2">
      <c r="A189" s="2">
        <v>42430</v>
      </c>
      <c r="B189" s="3">
        <v>1713</v>
      </c>
      <c r="C189" s="5" t="s">
        <v>33</v>
      </c>
    </row>
    <row r="190" spans="1:3" x14ac:dyDescent="0.2">
      <c r="A190" s="2">
        <v>42461</v>
      </c>
      <c r="B190" s="3">
        <v>1668</v>
      </c>
      <c r="C190" s="5" t="s">
        <v>33</v>
      </c>
    </row>
    <row r="191" spans="1:3" x14ac:dyDescent="0.2">
      <c r="A191" s="2">
        <v>42491</v>
      </c>
      <c r="B191" s="3">
        <v>1664</v>
      </c>
      <c r="C191" s="5" t="s">
        <v>33</v>
      </c>
    </row>
    <row r="192" spans="1:3" x14ac:dyDescent="0.2">
      <c r="A192" s="2">
        <v>42522</v>
      </c>
      <c r="B192" s="3">
        <v>1623</v>
      </c>
      <c r="C192" s="5" t="s">
        <v>33</v>
      </c>
    </row>
    <row r="193" spans="1:3" x14ac:dyDescent="0.2">
      <c r="A193" s="2">
        <v>42552</v>
      </c>
      <c r="B193" s="3">
        <v>1634</v>
      </c>
      <c r="C193" s="5" t="s">
        <v>33</v>
      </c>
    </row>
    <row r="194" spans="1:3" x14ac:dyDescent="0.2">
      <c r="A194" s="2">
        <v>42583</v>
      </c>
      <c r="B194" s="3">
        <v>1498</v>
      </c>
      <c r="C194" s="5" t="s">
        <v>33</v>
      </c>
    </row>
    <row r="195" spans="1:3" x14ac:dyDescent="0.2">
      <c r="A195" s="2">
        <v>42614</v>
      </c>
      <c r="B195" s="3">
        <v>1529</v>
      </c>
      <c r="C195" s="5" t="s">
        <v>33</v>
      </c>
    </row>
    <row r="196" spans="1:3" x14ac:dyDescent="0.2">
      <c r="A196" s="2">
        <v>42644</v>
      </c>
      <c r="B196" s="3">
        <v>1710</v>
      </c>
      <c r="C196" s="5" t="s">
        <v>33</v>
      </c>
    </row>
    <row r="197" spans="1:3" x14ac:dyDescent="0.2">
      <c r="A197" s="2">
        <v>42675</v>
      </c>
      <c r="B197" s="3">
        <v>1657</v>
      </c>
      <c r="C197" s="5" t="s">
        <v>33</v>
      </c>
    </row>
    <row r="198" spans="1:3" x14ac:dyDescent="0.2">
      <c r="A198" s="2">
        <v>42705</v>
      </c>
      <c r="B198" s="3">
        <v>1743</v>
      </c>
      <c r="C198" s="5" t="s">
        <v>33</v>
      </c>
    </row>
    <row r="199" spans="1:3" x14ac:dyDescent="0.2">
      <c r="A199" s="2">
        <v>42736</v>
      </c>
      <c r="B199" s="3">
        <v>1696</v>
      </c>
      <c r="C199" s="5" t="s">
        <v>33</v>
      </c>
    </row>
    <row r="200" spans="1:3" x14ac:dyDescent="0.2">
      <c r="A200" s="2">
        <v>42767</v>
      </c>
      <c r="B200" s="3">
        <v>1885</v>
      </c>
      <c r="C200" s="5" t="s">
        <v>33</v>
      </c>
    </row>
    <row r="201" spans="1:3" x14ac:dyDescent="0.2">
      <c r="A201" s="2">
        <v>42795</v>
      </c>
      <c r="B201" s="3">
        <v>1840</v>
      </c>
      <c r="C201" s="5" t="s">
        <v>33</v>
      </c>
    </row>
    <row r="202" spans="1:3" x14ac:dyDescent="0.2">
      <c r="A202" s="2">
        <v>42826</v>
      </c>
      <c r="B202" s="3">
        <v>1674</v>
      </c>
      <c r="C202" s="5" t="s">
        <v>33</v>
      </c>
    </row>
    <row r="203" spans="1:3" x14ac:dyDescent="0.2">
      <c r="A203" s="2">
        <v>42856</v>
      </c>
      <c r="B203" s="3">
        <v>1709</v>
      </c>
      <c r="C203" s="5" t="s">
        <v>33</v>
      </c>
    </row>
    <row r="204" spans="1:3" x14ac:dyDescent="0.2">
      <c r="A204" s="2">
        <v>42887</v>
      </c>
      <c r="B204" s="3">
        <v>1618</v>
      </c>
      <c r="C204" s="5" t="s">
        <v>33</v>
      </c>
    </row>
    <row r="205" spans="1:3" x14ac:dyDescent="0.2">
      <c r="A205" s="2">
        <v>42917</v>
      </c>
      <c r="B205" s="3">
        <v>1673</v>
      </c>
      <c r="C205" s="5" t="s">
        <v>33</v>
      </c>
    </row>
    <row r="206" spans="1:3" x14ac:dyDescent="0.2">
      <c r="A206" s="2">
        <v>42948</v>
      </c>
      <c r="B206" s="3">
        <v>1591</v>
      </c>
      <c r="C206" s="5" t="s">
        <v>33</v>
      </c>
    </row>
    <row r="207" spans="1:3" x14ac:dyDescent="0.2">
      <c r="A207" s="2">
        <v>42979</v>
      </c>
      <c r="B207" s="3">
        <v>1521</v>
      </c>
      <c r="C207" s="5" t="s">
        <v>33</v>
      </c>
    </row>
    <row r="208" spans="1:3" x14ac:dyDescent="0.2">
      <c r="A208" s="2">
        <v>43009</v>
      </c>
      <c r="B208" s="3">
        <v>1764</v>
      </c>
      <c r="C208" s="5" t="s">
        <v>33</v>
      </c>
    </row>
    <row r="209" spans="1:3" x14ac:dyDescent="0.2">
      <c r="A209" s="2">
        <v>43040</v>
      </c>
      <c r="B209" s="3">
        <v>1665</v>
      </c>
      <c r="C209" s="5" t="s">
        <v>33</v>
      </c>
    </row>
    <row r="210" spans="1:3" x14ac:dyDescent="0.2">
      <c r="A210" s="2">
        <v>43070</v>
      </c>
      <c r="B210" s="3">
        <v>1750</v>
      </c>
      <c r="C210" s="5" t="s">
        <v>33</v>
      </c>
    </row>
    <row r="211" spans="1:3" x14ac:dyDescent="0.2">
      <c r="A211" s="2">
        <v>43101</v>
      </c>
      <c r="B211" s="3">
        <v>1728</v>
      </c>
      <c r="C211" s="5" t="s">
        <v>33</v>
      </c>
    </row>
    <row r="212" spans="1:3" x14ac:dyDescent="0.2">
      <c r="A212" s="2">
        <v>43132</v>
      </c>
      <c r="B212" s="3">
        <v>1783</v>
      </c>
      <c r="C212" s="5" t="s">
        <v>33</v>
      </c>
    </row>
    <row r="213" spans="1:3" x14ac:dyDescent="0.2">
      <c r="A213" s="2">
        <v>43160</v>
      </c>
      <c r="B213" s="3">
        <v>1679</v>
      </c>
      <c r="C213" s="5" t="s">
        <v>33</v>
      </c>
    </row>
    <row r="214" spans="1:3" x14ac:dyDescent="0.2">
      <c r="A214" s="2">
        <v>43191</v>
      </c>
      <c r="B214" s="3">
        <v>1605</v>
      </c>
      <c r="C214" s="5" t="s">
        <v>33</v>
      </c>
    </row>
    <row r="215" spans="1:3" x14ac:dyDescent="0.2">
      <c r="A215" s="2">
        <v>43221</v>
      </c>
      <c r="B215" s="3">
        <v>1694</v>
      </c>
      <c r="C215" s="5" t="s">
        <v>33</v>
      </c>
    </row>
    <row r="216" spans="1:3" x14ac:dyDescent="0.2">
      <c r="A216" s="2">
        <v>43252</v>
      </c>
      <c r="B216" s="3">
        <v>1560</v>
      </c>
      <c r="C216" s="5" t="s">
        <v>33</v>
      </c>
    </row>
    <row r="217" spans="1:3" x14ac:dyDescent="0.2">
      <c r="A217" s="2">
        <v>43282</v>
      </c>
      <c r="B217" s="3">
        <v>1629</v>
      </c>
      <c r="C217" s="5" t="s">
        <v>33</v>
      </c>
    </row>
    <row r="218" spans="1:3" x14ac:dyDescent="0.2">
      <c r="A218" s="2">
        <v>43313</v>
      </c>
      <c r="B218" s="4">
        <v>1546</v>
      </c>
      <c r="C218" s="5" t="s">
        <v>33</v>
      </c>
    </row>
    <row r="219" spans="1:3" x14ac:dyDescent="0.2">
      <c r="A219" s="2">
        <v>43344</v>
      </c>
      <c r="B219" s="4">
        <v>1574</v>
      </c>
      <c r="C219" s="5" t="s">
        <v>33</v>
      </c>
    </row>
    <row r="220" spans="1:3" x14ac:dyDescent="0.2">
      <c r="A220" s="2">
        <v>43374</v>
      </c>
      <c r="B220" s="4">
        <v>1737</v>
      </c>
      <c r="C220" s="5" t="s">
        <v>33</v>
      </c>
    </row>
    <row r="221" spans="1:3" x14ac:dyDescent="0.2">
      <c r="A221" s="2">
        <v>43405</v>
      </c>
      <c r="B221" s="4">
        <v>1659</v>
      </c>
      <c r="C221" s="5" t="s">
        <v>33</v>
      </c>
    </row>
    <row r="222" spans="1:3" x14ac:dyDescent="0.2">
      <c r="A222" s="2">
        <v>43435</v>
      </c>
      <c r="B222" s="4">
        <v>1691</v>
      </c>
      <c r="C222" s="5" t="s">
        <v>33</v>
      </c>
    </row>
    <row r="223" spans="1:3" x14ac:dyDescent="0.2">
      <c r="A223" s="2">
        <v>43466</v>
      </c>
      <c r="B223" s="4">
        <v>1681</v>
      </c>
      <c r="C223" s="5" t="s">
        <v>33</v>
      </c>
    </row>
    <row r="224" spans="1:3" x14ac:dyDescent="0.2">
      <c r="A224" s="2">
        <v>43497</v>
      </c>
      <c r="B224" s="4">
        <v>1788</v>
      </c>
      <c r="C224" s="5" t="s">
        <v>33</v>
      </c>
    </row>
    <row r="225" spans="1:3" x14ac:dyDescent="0.2">
      <c r="A225" s="2">
        <v>43525</v>
      </c>
      <c r="B225" s="4">
        <v>1746</v>
      </c>
      <c r="C225" s="5" t="s">
        <v>33</v>
      </c>
    </row>
    <row r="226" spans="1:3" x14ac:dyDescent="0.2">
      <c r="A226" s="2">
        <v>43556</v>
      </c>
      <c r="B226" s="4">
        <v>1672</v>
      </c>
      <c r="C226" s="5" t="s">
        <v>33</v>
      </c>
    </row>
    <row r="227" spans="1:3" x14ac:dyDescent="0.2">
      <c r="A227" s="2">
        <v>43586</v>
      </c>
      <c r="B227" s="4">
        <v>1751</v>
      </c>
      <c r="C227" s="5" t="s">
        <v>33</v>
      </c>
    </row>
    <row r="228" spans="1:3" x14ac:dyDescent="0.2">
      <c r="A228" s="2">
        <v>43617</v>
      </c>
      <c r="B228" s="4">
        <v>1646</v>
      </c>
      <c r="C228" s="5" t="s">
        <v>33</v>
      </c>
    </row>
    <row r="229" spans="1:3" x14ac:dyDescent="0.2">
      <c r="A229" s="2">
        <v>43647</v>
      </c>
      <c r="B229" s="4">
        <v>1714</v>
      </c>
      <c r="C229" s="5" t="s">
        <v>33</v>
      </c>
    </row>
    <row r="230" spans="1:3" x14ac:dyDescent="0.2">
      <c r="A230" s="2">
        <v>43678</v>
      </c>
      <c r="B230" s="4">
        <v>1557</v>
      </c>
      <c r="C230" s="5" t="s">
        <v>33</v>
      </c>
    </row>
    <row r="231" spans="1:3" x14ac:dyDescent="0.2">
      <c r="A231" s="2">
        <v>43709</v>
      </c>
      <c r="B231" s="4">
        <v>1617</v>
      </c>
      <c r="C231" s="5" t="s">
        <v>33</v>
      </c>
    </row>
    <row r="232" spans="1:3" x14ac:dyDescent="0.2">
      <c r="A232" s="2">
        <v>43739</v>
      </c>
      <c r="B232" s="4">
        <v>1826</v>
      </c>
      <c r="C232" s="5" t="s">
        <v>33</v>
      </c>
    </row>
    <row r="233" spans="1:3" x14ac:dyDescent="0.2">
      <c r="A233" s="2">
        <v>43770</v>
      </c>
      <c r="B233" s="4">
        <v>1758</v>
      </c>
      <c r="C233" s="5" t="s">
        <v>33</v>
      </c>
    </row>
    <row r="234" spans="1:3" x14ac:dyDescent="0.2">
      <c r="A234" s="2">
        <v>43800</v>
      </c>
      <c r="B234" s="4">
        <v>1756</v>
      </c>
      <c r="C234" s="5" t="s">
        <v>33</v>
      </c>
    </row>
    <row r="235" spans="1:3" x14ac:dyDescent="0.2">
      <c r="A235" s="2">
        <v>43831</v>
      </c>
      <c r="B235" s="4">
        <v>1725</v>
      </c>
      <c r="C235" s="5" t="s">
        <v>33</v>
      </c>
    </row>
    <row r="236" spans="1:3" x14ac:dyDescent="0.2">
      <c r="A236" s="2">
        <v>43862</v>
      </c>
      <c r="B236" s="4">
        <v>1835</v>
      </c>
      <c r="C236" s="5" t="s">
        <v>33</v>
      </c>
    </row>
    <row r="237" spans="1:3" x14ac:dyDescent="0.2">
      <c r="A237" s="2">
        <v>43891</v>
      </c>
      <c r="B237" s="4">
        <v>1724</v>
      </c>
      <c r="C237" s="5" t="s">
        <v>33</v>
      </c>
    </row>
    <row r="238" spans="1:3" x14ac:dyDescent="0.2">
      <c r="A238" s="2">
        <v>43922</v>
      </c>
      <c r="B238" s="4">
        <v>1730</v>
      </c>
      <c r="C238" s="5" t="s">
        <v>33</v>
      </c>
    </row>
    <row r="239" spans="1:3" x14ac:dyDescent="0.2">
      <c r="A239" s="2">
        <v>43952</v>
      </c>
      <c r="B239" s="4">
        <v>1752</v>
      </c>
      <c r="C239" s="5" t="s">
        <v>33</v>
      </c>
    </row>
    <row r="240" spans="1:3" x14ac:dyDescent="0.2">
      <c r="A240" s="2">
        <v>43983</v>
      </c>
      <c r="B240" s="4">
        <v>1642</v>
      </c>
      <c r="C240" s="5" t="s">
        <v>33</v>
      </c>
    </row>
    <row r="241" spans="1:3" x14ac:dyDescent="0.2">
      <c r="A241" s="2">
        <v>44013</v>
      </c>
      <c r="B241" s="4">
        <v>1717</v>
      </c>
      <c r="C241" s="5" t="s">
        <v>33</v>
      </c>
    </row>
    <row r="242" spans="1:3" x14ac:dyDescent="0.2">
      <c r="A242" s="2">
        <v>44044</v>
      </c>
      <c r="B242" s="4">
        <v>1579</v>
      </c>
      <c r="C242" s="5" t="s">
        <v>33</v>
      </c>
    </row>
    <row r="243" spans="1:3" x14ac:dyDescent="0.2">
      <c r="A243" s="2">
        <v>44075</v>
      </c>
      <c r="B243" s="4">
        <v>1647</v>
      </c>
      <c r="C243" s="5" t="s">
        <v>33</v>
      </c>
    </row>
    <row r="244" spans="1:3" x14ac:dyDescent="0.2">
      <c r="A244" s="2">
        <v>44105</v>
      </c>
      <c r="B244" s="4">
        <v>1961</v>
      </c>
      <c r="C244" s="5" t="s">
        <v>33</v>
      </c>
    </row>
    <row r="245" spans="1:3" x14ac:dyDescent="0.2">
      <c r="A245" s="2">
        <v>44136</v>
      </c>
      <c r="B245" s="4">
        <v>1772</v>
      </c>
      <c r="C245" s="5" t="s">
        <v>33</v>
      </c>
    </row>
    <row r="246" spans="1:3" x14ac:dyDescent="0.2">
      <c r="A246" s="2">
        <v>44166</v>
      </c>
      <c r="B246" s="4">
        <v>1822</v>
      </c>
      <c r="C246" s="5" t="s">
        <v>33</v>
      </c>
    </row>
    <row r="247" spans="1:3" x14ac:dyDescent="0.2">
      <c r="A247" s="2">
        <v>44197</v>
      </c>
      <c r="B247" s="4">
        <v>1884</v>
      </c>
      <c r="C247" s="5" t="s">
        <v>33</v>
      </c>
    </row>
    <row r="248" spans="1:3" x14ac:dyDescent="0.2">
      <c r="A248" s="2">
        <v>44228</v>
      </c>
      <c r="B248" s="4">
        <v>1901</v>
      </c>
      <c r="C248" s="5" t="s">
        <v>33</v>
      </c>
    </row>
    <row r="249" spans="1:3" x14ac:dyDescent="0.2">
      <c r="A249" s="2">
        <v>44256</v>
      </c>
      <c r="B249" s="4">
        <v>1917</v>
      </c>
      <c r="C249" s="5" t="s">
        <v>33</v>
      </c>
    </row>
    <row r="250" spans="1:3" x14ac:dyDescent="0.2">
      <c r="A250" s="2">
        <v>44287</v>
      </c>
      <c r="B250" s="4">
        <v>1796</v>
      </c>
      <c r="C250" s="5" t="s">
        <v>33</v>
      </c>
    </row>
    <row r="251" spans="1:3" x14ac:dyDescent="0.2">
      <c r="A251" s="2">
        <v>44317</v>
      </c>
      <c r="B251" s="4">
        <v>1722</v>
      </c>
      <c r="C251" s="5" t="s">
        <v>33</v>
      </c>
    </row>
    <row r="252" spans="1:3" x14ac:dyDescent="0.2">
      <c r="A252" s="2">
        <v>44348</v>
      </c>
      <c r="B252" s="4">
        <v>1702</v>
      </c>
      <c r="C252" s="5" t="s">
        <v>33</v>
      </c>
    </row>
    <row r="253" spans="1:3" x14ac:dyDescent="0.2">
      <c r="A253" s="2">
        <v>44378</v>
      </c>
      <c r="B253" s="4">
        <v>1829</v>
      </c>
      <c r="C253" s="5" t="s">
        <v>33</v>
      </c>
    </row>
    <row r="254" spans="1:3" x14ac:dyDescent="0.2">
      <c r="A254" s="2">
        <v>44409</v>
      </c>
      <c r="B254" s="3">
        <v>1687</v>
      </c>
      <c r="C254" s="5" t="s">
        <v>33</v>
      </c>
    </row>
    <row r="255" spans="1:3" x14ac:dyDescent="0.2">
      <c r="A255" s="2">
        <v>44440</v>
      </c>
      <c r="B255" s="3">
        <v>1668</v>
      </c>
      <c r="C255" s="5" t="s">
        <v>33</v>
      </c>
    </row>
    <row r="256" spans="1:3" x14ac:dyDescent="0.2">
      <c r="A256" s="2">
        <v>44470</v>
      </c>
      <c r="B256" s="3">
        <v>2009</v>
      </c>
      <c r="C256" s="5" t="s">
        <v>33</v>
      </c>
    </row>
    <row r="257" spans="1:3" x14ac:dyDescent="0.2">
      <c r="A257" s="2">
        <v>44501</v>
      </c>
      <c r="B257" s="3">
        <v>1774</v>
      </c>
      <c r="C257" s="5" t="s">
        <v>33</v>
      </c>
    </row>
    <row r="258" spans="1:3" x14ac:dyDescent="0.2">
      <c r="A258" s="2">
        <v>44531</v>
      </c>
      <c r="B258" s="3">
        <v>1863</v>
      </c>
      <c r="C258" s="5" t="s">
        <v>33</v>
      </c>
    </row>
    <row r="259" spans="1:3" x14ac:dyDescent="0.2">
      <c r="A259" s="2">
        <v>44562</v>
      </c>
      <c r="B259" s="3">
        <v>1758</v>
      </c>
      <c r="C259" s="5" t="s">
        <v>33</v>
      </c>
    </row>
    <row r="260" spans="1:3" x14ac:dyDescent="0.2">
      <c r="A260" s="2">
        <v>44593</v>
      </c>
      <c r="B260" s="3">
        <v>1717</v>
      </c>
      <c r="C260" s="5" t="s">
        <v>33</v>
      </c>
    </row>
    <row r="261" spans="1:3" x14ac:dyDescent="0.2">
      <c r="A261" s="2">
        <v>44621</v>
      </c>
      <c r="B261" s="3">
        <v>1823</v>
      </c>
      <c r="C261" s="5" t="s">
        <v>33</v>
      </c>
    </row>
    <row r="262" spans="1:3" x14ac:dyDescent="0.2">
      <c r="A262" s="2">
        <v>44652</v>
      </c>
      <c r="B262" s="3">
        <v>1746</v>
      </c>
      <c r="C262" s="5" t="s">
        <v>33</v>
      </c>
    </row>
    <row r="263" spans="1:3" x14ac:dyDescent="0.2">
      <c r="A263" s="2">
        <v>44682</v>
      </c>
      <c r="B263" s="3">
        <v>1857</v>
      </c>
      <c r="C263" s="5" t="s">
        <v>33</v>
      </c>
    </row>
    <row r="264" spans="1:3" x14ac:dyDescent="0.2">
      <c r="A264" s="2">
        <v>44713</v>
      </c>
      <c r="B264" s="3">
        <v>1803</v>
      </c>
      <c r="C264" s="5" t="s">
        <v>33</v>
      </c>
    </row>
    <row r="265" spans="1:3" x14ac:dyDescent="0.2">
      <c r="A265" s="2">
        <v>44743</v>
      </c>
      <c r="B265" s="3">
        <v>1777</v>
      </c>
      <c r="C265" s="5" t="s">
        <v>33</v>
      </c>
    </row>
    <row r="266" spans="1:3" x14ac:dyDescent="0.2">
      <c r="A266" s="2">
        <v>44774</v>
      </c>
      <c r="B266" s="3">
        <v>1690</v>
      </c>
      <c r="C266" s="5" t="s">
        <v>33</v>
      </c>
    </row>
    <row r="267" spans="1:3" x14ac:dyDescent="0.2">
      <c r="A267" s="2">
        <v>44805</v>
      </c>
      <c r="B267" s="3">
        <v>1686</v>
      </c>
      <c r="C267" s="5" t="s">
        <v>33</v>
      </c>
    </row>
    <row r="268" spans="1:3" x14ac:dyDescent="0.2">
      <c r="A268" s="2">
        <v>44835</v>
      </c>
      <c r="B268" s="3">
        <v>1956</v>
      </c>
      <c r="C268" s="5" t="s">
        <v>33</v>
      </c>
    </row>
    <row r="269" spans="1:3" x14ac:dyDescent="0.2">
      <c r="A269" s="2">
        <v>44866</v>
      </c>
      <c r="B269" s="3">
        <v>1807</v>
      </c>
      <c r="C269" s="5" t="s">
        <v>33</v>
      </c>
    </row>
    <row r="270" spans="1:3" x14ac:dyDescent="0.2">
      <c r="A270" s="2">
        <v>44896</v>
      </c>
      <c r="B270" s="3">
        <v>1949</v>
      </c>
      <c r="C270" s="5" t="s">
        <v>33</v>
      </c>
    </row>
    <row r="271" spans="1:3" x14ac:dyDescent="0.2">
      <c r="A271" s="2">
        <v>44927</v>
      </c>
      <c r="B271" s="3">
        <v>1833</v>
      </c>
      <c r="C271" s="5" t="s">
        <v>34</v>
      </c>
    </row>
    <row r="272" spans="1:3" x14ac:dyDescent="0.2">
      <c r="A272" s="2">
        <v>44958</v>
      </c>
      <c r="B272" s="3">
        <v>1813</v>
      </c>
      <c r="C272" s="5" t="s">
        <v>34</v>
      </c>
    </row>
    <row r="273" spans="1:3" x14ac:dyDescent="0.2">
      <c r="A273" s="2">
        <v>44986</v>
      </c>
      <c r="B273" s="3">
        <v>1886</v>
      </c>
      <c r="C273" s="5" t="s">
        <v>34</v>
      </c>
    </row>
    <row r="274" spans="1:3" x14ac:dyDescent="0.2">
      <c r="A274" s="2">
        <v>45017</v>
      </c>
      <c r="B274" s="3">
        <v>1805</v>
      </c>
      <c r="C274" s="5" t="s">
        <v>34</v>
      </c>
    </row>
    <row r="275" spans="1:3" x14ac:dyDescent="0.2">
      <c r="A275" s="2">
        <v>45047</v>
      </c>
      <c r="B275" s="3">
        <v>1931</v>
      </c>
      <c r="C275" s="5" t="s">
        <v>34</v>
      </c>
    </row>
    <row r="276" spans="1:3" x14ac:dyDescent="0.2">
      <c r="A276" s="2">
        <v>45078</v>
      </c>
      <c r="B276" s="3">
        <v>1822</v>
      </c>
      <c r="C276" s="5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6"/>
  <sheetViews>
    <sheetView showGridLines="0" workbookViewId="0">
      <pane ySplit="1" topLeftCell="A2" activePane="bottomLeft" state="frozen"/>
      <selection pane="bottomLeft" activeCell="T23" sqref="T23"/>
    </sheetView>
  </sheetViews>
  <sheetFormatPr baseColWidth="10" defaultRowHeight="15" x14ac:dyDescent="0.2"/>
  <cols>
    <col min="1" max="3" width="10.83203125" style="6"/>
    <col min="4" max="4" width="13" style="6" bestFit="1" customWidth="1"/>
    <col min="5" max="6" width="10.83203125" style="6"/>
    <col min="7" max="7" width="12.1640625" style="6" bestFit="1" customWidth="1"/>
    <col min="8" max="8" width="10.83203125" style="6"/>
    <col min="9" max="9" width="12.5" style="6" bestFit="1" customWidth="1"/>
    <col min="10" max="10" width="11.1640625" style="6" bestFit="1" customWidth="1"/>
    <col min="11" max="11" width="12.6640625" style="6" bestFit="1" customWidth="1"/>
    <col min="12" max="12" width="2.6640625" style="6" customWidth="1"/>
    <col min="13" max="13" width="13.1640625" style="6" bestFit="1" customWidth="1"/>
    <col min="14" max="16384" width="10.83203125" style="6"/>
  </cols>
  <sheetData>
    <row r="1" spans="1:13" x14ac:dyDescent="0.2">
      <c r="A1" s="1" t="s">
        <v>1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x14ac:dyDescent="0.2">
      <c r="A2" s="2">
        <v>36739</v>
      </c>
      <c r="B2" s="3">
        <v>1049</v>
      </c>
      <c r="C2" s="7" t="s">
        <v>33</v>
      </c>
      <c r="D2" s="8"/>
      <c r="E2" s="8"/>
      <c r="F2" s="8"/>
      <c r="G2" s="8"/>
    </row>
    <row r="3" spans="1:13" x14ac:dyDescent="0.2">
      <c r="A3" s="2">
        <v>36770</v>
      </c>
      <c r="B3" s="3">
        <v>1026</v>
      </c>
      <c r="C3" s="7" t="s">
        <v>33</v>
      </c>
      <c r="D3" s="8"/>
      <c r="E3" s="8"/>
      <c r="F3" s="8"/>
      <c r="G3" s="8"/>
    </row>
    <row r="4" spans="1:13" x14ac:dyDescent="0.2">
      <c r="A4" s="2">
        <v>36800</v>
      </c>
      <c r="B4" s="3">
        <v>1074</v>
      </c>
      <c r="C4" s="7" t="s">
        <v>33</v>
      </c>
      <c r="D4" s="8"/>
      <c r="E4" s="8"/>
      <c r="F4" s="8"/>
      <c r="G4" s="8"/>
    </row>
    <row r="5" spans="1:13" x14ac:dyDescent="0.2">
      <c r="A5" s="2">
        <v>36831</v>
      </c>
      <c r="B5" s="3">
        <v>1031</v>
      </c>
      <c r="C5" s="7" t="s">
        <v>33</v>
      </c>
      <c r="D5" s="8"/>
      <c r="E5" s="8"/>
      <c r="F5" s="8"/>
      <c r="G5" s="8"/>
    </row>
    <row r="6" spans="1:13" x14ac:dyDescent="0.2">
      <c r="A6" s="2">
        <v>36861</v>
      </c>
      <c r="B6" s="3">
        <v>1047</v>
      </c>
      <c r="C6" s="7" t="s">
        <v>33</v>
      </c>
      <c r="D6" s="8"/>
      <c r="E6" s="8"/>
      <c r="F6" s="8"/>
      <c r="G6" s="8"/>
    </row>
    <row r="7" spans="1:13" x14ac:dyDescent="0.2">
      <c r="A7" s="2">
        <v>36892</v>
      </c>
      <c r="B7" s="3">
        <v>986</v>
      </c>
      <c r="C7" s="7" t="s">
        <v>33</v>
      </c>
      <c r="D7" s="8"/>
      <c r="E7" s="8"/>
      <c r="F7" s="8"/>
      <c r="G7" s="8"/>
      <c r="I7" s="9"/>
      <c r="J7" s="8" t="s">
        <v>36</v>
      </c>
      <c r="K7" s="8" t="s">
        <v>37</v>
      </c>
    </row>
    <row r="8" spans="1:13" x14ac:dyDescent="0.2">
      <c r="A8" s="2">
        <v>36923</v>
      </c>
      <c r="B8" s="3">
        <v>1015</v>
      </c>
      <c r="C8" s="7" t="s">
        <v>33</v>
      </c>
      <c r="D8" s="8"/>
      <c r="E8" s="8"/>
      <c r="F8" s="8"/>
      <c r="G8" s="8"/>
      <c r="I8" s="9" t="s">
        <v>35</v>
      </c>
      <c r="J8" s="10">
        <f>SQRT(AVERAGE(G14:G267))</f>
        <v>74.349132282284302</v>
      </c>
      <c r="K8" s="10">
        <f>J8*1000</f>
        <v>74349.132282284307</v>
      </c>
    </row>
    <row r="9" spans="1:13" x14ac:dyDescent="0.2">
      <c r="A9" s="2">
        <v>36951</v>
      </c>
      <c r="B9" s="3">
        <v>1021</v>
      </c>
      <c r="C9" s="7" t="s">
        <v>33</v>
      </c>
      <c r="D9" s="8"/>
      <c r="E9" s="8"/>
      <c r="F9" s="8"/>
      <c r="G9" s="8"/>
      <c r="I9" s="9" t="s">
        <v>34</v>
      </c>
      <c r="J9" s="10">
        <f>SQRT(AVERAGE(G268:G276))</f>
        <v>91.019993337955952</v>
      </c>
      <c r="K9" s="10">
        <f>J9*1000</f>
        <v>91019.993337955952</v>
      </c>
    </row>
    <row r="10" spans="1:13" x14ac:dyDescent="0.2">
      <c r="A10" s="2">
        <v>36982</v>
      </c>
      <c r="B10" s="3">
        <v>958</v>
      </c>
      <c r="C10" s="7" t="s">
        <v>33</v>
      </c>
      <c r="D10" s="8"/>
      <c r="E10" s="8"/>
      <c r="F10" s="8"/>
      <c r="G10" s="8"/>
    </row>
    <row r="11" spans="1:13" x14ac:dyDescent="0.2">
      <c r="A11" s="2">
        <v>37012</v>
      </c>
      <c r="B11" s="3">
        <v>1041</v>
      </c>
      <c r="C11" s="7" t="s">
        <v>33</v>
      </c>
      <c r="D11" s="8"/>
      <c r="E11" s="8"/>
      <c r="F11" s="8"/>
      <c r="G11" s="8"/>
      <c r="I11" s="9"/>
      <c r="J11" s="11" t="s">
        <v>38</v>
      </c>
      <c r="K11" s="11"/>
      <c r="M11" s="8" t="s">
        <v>39</v>
      </c>
    </row>
    <row r="12" spans="1:13" x14ac:dyDescent="0.2">
      <c r="A12" s="2">
        <v>37043</v>
      </c>
      <c r="B12" s="3">
        <v>999</v>
      </c>
      <c r="C12" s="7" t="s">
        <v>33</v>
      </c>
      <c r="D12" s="8"/>
      <c r="E12" s="8"/>
      <c r="F12" s="8"/>
      <c r="G12" s="8"/>
      <c r="I12" s="9" t="s">
        <v>35</v>
      </c>
      <c r="J12" s="12">
        <f>AVERAGE(B2:B270)</f>
        <v>1398.0669144981412</v>
      </c>
      <c r="K12" s="12">
        <f>J12*1000</f>
        <v>1398066.9144981413</v>
      </c>
      <c r="M12" s="19">
        <f>K8/K12</f>
        <v>5.3179952626926395E-2</v>
      </c>
    </row>
    <row r="13" spans="1:13" x14ac:dyDescent="0.2">
      <c r="A13" s="2">
        <v>37073</v>
      </c>
      <c r="B13" s="3">
        <v>1034</v>
      </c>
      <c r="C13" s="7" t="s">
        <v>33</v>
      </c>
      <c r="D13" s="5">
        <f>AVERAGE(B2:B13)</f>
        <v>1023.4166666666666</v>
      </c>
      <c r="E13" s="8"/>
      <c r="F13" s="8"/>
      <c r="G13" s="8"/>
      <c r="I13" s="9" t="s">
        <v>34</v>
      </c>
      <c r="J13" s="13">
        <f>AVERAGE(B271:B276)</f>
        <v>1848.3333333333333</v>
      </c>
      <c r="K13" s="12">
        <f>J13*1000</f>
        <v>1848333.3333333333</v>
      </c>
      <c r="M13" s="19">
        <f>K9/K13</f>
        <v>4.9244360687803045E-2</v>
      </c>
    </row>
    <row r="14" spans="1:13" x14ac:dyDescent="0.2">
      <c r="A14" s="2">
        <v>37104</v>
      </c>
      <c r="B14" s="3">
        <v>959</v>
      </c>
      <c r="C14" s="7" t="s">
        <v>33</v>
      </c>
      <c r="D14" s="5">
        <f t="shared" ref="D14:D77" si="0">AVERAGE(B3:B14)</f>
        <v>1015.9166666666666</v>
      </c>
      <c r="E14" s="5">
        <f>+D13</f>
        <v>1023.4166666666666</v>
      </c>
      <c r="F14" s="5">
        <f>B14-E14</f>
        <v>-64.416666666666629</v>
      </c>
      <c r="G14" s="5">
        <f>F14^2</f>
        <v>4149.5069444444398</v>
      </c>
    </row>
    <row r="15" spans="1:13" x14ac:dyDescent="0.2">
      <c r="A15" s="2">
        <v>37135</v>
      </c>
      <c r="B15" s="3">
        <v>920</v>
      </c>
      <c r="C15" s="7" t="s">
        <v>33</v>
      </c>
      <c r="D15" s="5">
        <f t="shared" si="0"/>
        <v>1007.0833333333334</v>
      </c>
      <c r="E15" s="5">
        <f t="shared" ref="E15:E78" si="1">+D14</f>
        <v>1015.9166666666666</v>
      </c>
      <c r="F15" s="5">
        <f t="shared" ref="F15:F78" si="2">B15-E15</f>
        <v>-95.916666666666629</v>
      </c>
      <c r="G15" s="5">
        <f t="shared" ref="G15:G78" si="3">F15^2</f>
        <v>9200.006944444438</v>
      </c>
    </row>
    <row r="16" spans="1:13" x14ac:dyDescent="0.2">
      <c r="A16" s="2">
        <v>37165</v>
      </c>
      <c r="B16" s="3">
        <v>1019</v>
      </c>
      <c r="C16" s="7" t="s">
        <v>33</v>
      </c>
      <c r="D16" s="5">
        <f t="shared" si="0"/>
        <v>1002.5</v>
      </c>
      <c r="E16" s="5">
        <f t="shared" si="1"/>
        <v>1007.0833333333334</v>
      </c>
      <c r="F16" s="5">
        <f t="shared" si="2"/>
        <v>11.916666666666629</v>
      </c>
      <c r="G16" s="5">
        <f t="shared" si="3"/>
        <v>142.00694444444355</v>
      </c>
    </row>
    <row r="17" spans="1:7" x14ac:dyDescent="0.2">
      <c r="A17" s="2">
        <v>37196</v>
      </c>
      <c r="B17" s="3">
        <v>1056</v>
      </c>
      <c r="C17" s="7" t="s">
        <v>33</v>
      </c>
      <c r="D17" s="5">
        <f t="shared" si="0"/>
        <v>1004.5833333333334</v>
      </c>
      <c r="E17" s="5">
        <f t="shared" si="1"/>
        <v>1002.5</v>
      </c>
      <c r="F17" s="5">
        <f t="shared" si="2"/>
        <v>53.5</v>
      </c>
      <c r="G17" s="5">
        <f t="shared" si="3"/>
        <v>2862.25</v>
      </c>
    </row>
    <row r="18" spans="1:7" x14ac:dyDescent="0.2">
      <c r="A18" s="2">
        <v>37226</v>
      </c>
      <c r="B18" s="3">
        <v>1057</v>
      </c>
      <c r="C18" s="7" t="s">
        <v>33</v>
      </c>
      <c r="D18" s="5">
        <f t="shared" si="0"/>
        <v>1005.4166666666666</v>
      </c>
      <c r="E18" s="5">
        <f t="shared" si="1"/>
        <v>1004.5833333333334</v>
      </c>
      <c r="F18" s="5">
        <f t="shared" si="2"/>
        <v>52.416666666666629</v>
      </c>
      <c r="G18" s="5">
        <f t="shared" si="3"/>
        <v>2747.5069444444403</v>
      </c>
    </row>
    <row r="19" spans="1:7" x14ac:dyDescent="0.2">
      <c r="A19" s="2">
        <v>37257</v>
      </c>
      <c r="B19" s="3">
        <v>1017</v>
      </c>
      <c r="C19" s="7" t="s">
        <v>33</v>
      </c>
      <c r="D19" s="5">
        <f t="shared" si="0"/>
        <v>1008</v>
      </c>
      <c r="E19" s="5">
        <f t="shared" si="1"/>
        <v>1005.4166666666666</v>
      </c>
      <c r="F19" s="5">
        <f t="shared" si="2"/>
        <v>11.583333333333371</v>
      </c>
      <c r="G19" s="5">
        <f t="shared" si="3"/>
        <v>134.173611111112</v>
      </c>
    </row>
    <row r="20" spans="1:7" x14ac:dyDescent="0.2">
      <c r="A20" s="2">
        <v>37288</v>
      </c>
      <c r="B20" s="3">
        <v>1096</v>
      </c>
      <c r="C20" s="7" t="s">
        <v>33</v>
      </c>
      <c r="D20" s="5">
        <f t="shared" si="0"/>
        <v>1014.75</v>
      </c>
      <c r="E20" s="5">
        <f t="shared" si="1"/>
        <v>1008</v>
      </c>
      <c r="F20" s="5">
        <f t="shared" si="2"/>
        <v>88</v>
      </c>
      <c r="G20" s="5">
        <f t="shared" si="3"/>
        <v>7744</v>
      </c>
    </row>
    <row r="21" spans="1:7" x14ac:dyDescent="0.2">
      <c r="A21" s="2">
        <v>37316</v>
      </c>
      <c r="B21" s="3">
        <v>1052</v>
      </c>
      <c r="C21" s="7" t="s">
        <v>33</v>
      </c>
      <c r="D21" s="5">
        <f t="shared" si="0"/>
        <v>1017.3333333333334</v>
      </c>
      <c r="E21" s="5">
        <f t="shared" si="1"/>
        <v>1014.75</v>
      </c>
      <c r="F21" s="5">
        <f t="shared" si="2"/>
        <v>37.25</v>
      </c>
      <c r="G21" s="5">
        <f t="shared" si="3"/>
        <v>1387.5625</v>
      </c>
    </row>
    <row r="22" spans="1:7" x14ac:dyDescent="0.2">
      <c r="A22" s="2">
        <v>37347</v>
      </c>
      <c r="B22" s="3">
        <v>971</v>
      </c>
      <c r="C22" s="7" t="s">
        <v>33</v>
      </c>
      <c r="D22" s="5">
        <f t="shared" si="0"/>
        <v>1018.4166666666666</v>
      </c>
      <c r="E22" s="5">
        <f t="shared" si="1"/>
        <v>1017.3333333333334</v>
      </c>
      <c r="F22" s="5">
        <f t="shared" si="2"/>
        <v>-46.333333333333371</v>
      </c>
      <c r="G22" s="5">
        <f t="shared" si="3"/>
        <v>2146.7777777777815</v>
      </c>
    </row>
    <row r="23" spans="1:7" x14ac:dyDescent="0.2">
      <c r="A23" s="2">
        <v>37377</v>
      </c>
      <c r="B23" s="3">
        <v>1033</v>
      </c>
      <c r="C23" s="7" t="s">
        <v>33</v>
      </c>
      <c r="D23" s="5">
        <f t="shared" si="0"/>
        <v>1017.75</v>
      </c>
      <c r="E23" s="5">
        <f t="shared" si="1"/>
        <v>1018.4166666666666</v>
      </c>
      <c r="F23" s="5">
        <f t="shared" si="2"/>
        <v>14.583333333333371</v>
      </c>
      <c r="G23" s="5">
        <f t="shared" si="3"/>
        <v>212.67361111111222</v>
      </c>
    </row>
    <row r="24" spans="1:7" x14ac:dyDescent="0.2">
      <c r="A24" s="2">
        <v>37408</v>
      </c>
      <c r="B24" s="3">
        <v>978</v>
      </c>
      <c r="C24" s="7" t="s">
        <v>33</v>
      </c>
      <c r="D24" s="5">
        <f t="shared" si="0"/>
        <v>1016</v>
      </c>
      <c r="E24" s="5">
        <f t="shared" si="1"/>
        <v>1017.75</v>
      </c>
      <c r="F24" s="5">
        <f t="shared" si="2"/>
        <v>-39.75</v>
      </c>
      <c r="G24" s="5">
        <f t="shared" si="3"/>
        <v>1580.0625</v>
      </c>
    </row>
    <row r="25" spans="1:7" x14ac:dyDescent="0.2">
      <c r="A25" s="2">
        <v>37438</v>
      </c>
      <c r="B25" s="3">
        <v>983</v>
      </c>
      <c r="C25" s="7" t="s">
        <v>33</v>
      </c>
      <c r="D25" s="5">
        <f t="shared" si="0"/>
        <v>1011.75</v>
      </c>
      <c r="E25" s="5">
        <f t="shared" si="1"/>
        <v>1016</v>
      </c>
      <c r="F25" s="5">
        <f t="shared" si="2"/>
        <v>-33</v>
      </c>
      <c r="G25" s="5">
        <f t="shared" si="3"/>
        <v>1089</v>
      </c>
    </row>
    <row r="26" spans="1:7" x14ac:dyDescent="0.2">
      <c r="A26" s="2">
        <v>37469</v>
      </c>
      <c r="B26" s="3">
        <v>906</v>
      </c>
      <c r="C26" s="7" t="s">
        <v>33</v>
      </c>
      <c r="D26" s="5">
        <f t="shared" si="0"/>
        <v>1007.3333333333334</v>
      </c>
      <c r="E26" s="5">
        <f t="shared" si="1"/>
        <v>1011.75</v>
      </c>
      <c r="F26" s="5">
        <f t="shared" si="2"/>
        <v>-105.75</v>
      </c>
      <c r="G26" s="5">
        <f t="shared" si="3"/>
        <v>11183.0625</v>
      </c>
    </row>
    <row r="27" spans="1:7" x14ac:dyDescent="0.2">
      <c r="A27" s="2">
        <v>37500</v>
      </c>
      <c r="B27" s="3">
        <v>910</v>
      </c>
      <c r="C27" s="7" t="s">
        <v>33</v>
      </c>
      <c r="D27" s="5">
        <f t="shared" si="0"/>
        <v>1006.5</v>
      </c>
      <c r="E27" s="5">
        <f t="shared" si="1"/>
        <v>1007.3333333333334</v>
      </c>
      <c r="F27" s="5">
        <f t="shared" si="2"/>
        <v>-97.333333333333371</v>
      </c>
      <c r="G27" s="5">
        <f t="shared" si="3"/>
        <v>9473.7777777777846</v>
      </c>
    </row>
    <row r="28" spans="1:7" x14ac:dyDescent="0.2">
      <c r="A28" s="2">
        <v>37530</v>
      </c>
      <c r="B28" s="3">
        <v>1025</v>
      </c>
      <c r="C28" s="7" t="s">
        <v>33</v>
      </c>
      <c r="D28" s="5">
        <f t="shared" si="0"/>
        <v>1007</v>
      </c>
      <c r="E28" s="5">
        <f t="shared" si="1"/>
        <v>1006.5</v>
      </c>
      <c r="F28" s="5">
        <f t="shared" si="2"/>
        <v>18.5</v>
      </c>
      <c r="G28" s="5">
        <f t="shared" si="3"/>
        <v>342.25</v>
      </c>
    </row>
    <row r="29" spans="1:7" x14ac:dyDescent="0.2">
      <c r="A29" s="2">
        <v>37561</v>
      </c>
      <c r="B29" s="3">
        <v>1026</v>
      </c>
      <c r="C29" s="7" t="s">
        <v>33</v>
      </c>
      <c r="D29" s="5">
        <f t="shared" si="0"/>
        <v>1004.5</v>
      </c>
      <c r="E29" s="5">
        <f t="shared" si="1"/>
        <v>1007</v>
      </c>
      <c r="F29" s="5">
        <f t="shared" si="2"/>
        <v>19</v>
      </c>
      <c r="G29" s="5">
        <f t="shared" si="3"/>
        <v>361</v>
      </c>
    </row>
    <row r="30" spans="1:7" x14ac:dyDescent="0.2">
      <c r="A30" s="2">
        <v>37591</v>
      </c>
      <c r="B30" s="3">
        <v>1014</v>
      </c>
      <c r="C30" s="7" t="s">
        <v>33</v>
      </c>
      <c r="D30" s="5">
        <f t="shared" si="0"/>
        <v>1000.9166666666666</v>
      </c>
      <c r="E30" s="5">
        <f t="shared" si="1"/>
        <v>1004.5</v>
      </c>
      <c r="F30" s="5">
        <f t="shared" si="2"/>
        <v>9.5</v>
      </c>
      <c r="G30" s="5">
        <f t="shared" si="3"/>
        <v>90.25</v>
      </c>
    </row>
    <row r="31" spans="1:7" x14ac:dyDescent="0.2">
      <c r="A31" s="2">
        <v>37622</v>
      </c>
      <c r="B31" s="3">
        <v>977</v>
      </c>
      <c r="C31" s="7" t="s">
        <v>33</v>
      </c>
      <c r="D31" s="5">
        <f t="shared" si="0"/>
        <v>997.58333333333337</v>
      </c>
      <c r="E31" s="5">
        <f t="shared" si="1"/>
        <v>1000.9166666666666</v>
      </c>
      <c r="F31" s="5">
        <f t="shared" si="2"/>
        <v>-23.916666666666629</v>
      </c>
      <c r="G31" s="5">
        <f t="shared" si="3"/>
        <v>572.00694444444264</v>
      </c>
    </row>
    <row r="32" spans="1:7" x14ac:dyDescent="0.2">
      <c r="A32" s="2">
        <v>37653</v>
      </c>
      <c r="B32" s="3">
        <v>990</v>
      </c>
      <c r="C32" s="7" t="s">
        <v>33</v>
      </c>
      <c r="D32" s="5">
        <f t="shared" si="0"/>
        <v>988.75</v>
      </c>
      <c r="E32" s="5">
        <f t="shared" si="1"/>
        <v>997.58333333333337</v>
      </c>
      <c r="F32" s="5">
        <f t="shared" si="2"/>
        <v>-7.5833333333333712</v>
      </c>
      <c r="G32" s="5">
        <f t="shared" si="3"/>
        <v>57.506944444445018</v>
      </c>
    </row>
    <row r="33" spans="1:7" x14ac:dyDescent="0.2">
      <c r="A33" s="2">
        <v>37681</v>
      </c>
      <c r="B33" s="3">
        <v>989</v>
      </c>
      <c r="C33" s="7" t="s">
        <v>33</v>
      </c>
      <c r="D33" s="5">
        <f t="shared" si="0"/>
        <v>983.5</v>
      </c>
      <c r="E33" s="5">
        <f t="shared" si="1"/>
        <v>988.75</v>
      </c>
      <c r="F33" s="5">
        <f t="shared" si="2"/>
        <v>0.25</v>
      </c>
      <c r="G33" s="5">
        <f t="shared" si="3"/>
        <v>6.25E-2</v>
      </c>
    </row>
    <row r="34" spans="1:7" x14ac:dyDescent="0.2">
      <c r="A34" s="2">
        <v>37712</v>
      </c>
      <c r="B34" s="3">
        <v>960</v>
      </c>
      <c r="C34" s="7" t="s">
        <v>33</v>
      </c>
      <c r="D34" s="5">
        <f t="shared" si="0"/>
        <v>982.58333333333337</v>
      </c>
      <c r="E34" s="5">
        <f t="shared" si="1"/>
        <v>983.5</v>
      </c>
      <c r="F34" s="5">
        <f t="shared" si="2"/>
        <v>-23.5</v>
      </c>
      <c r="G34" s="5">
        <f t="shared" si="3"/>
        <v>552.25</v>
      </c>
    </row>
    <row r="35" spans="1:7" x14ac:dyDescent="0.2">
      <c r="A35" s="2">
        <v>37742</v>
      </c>
      <c r="B35" s="3">
        <v>981</v>
      </c>
      <c r="C35" s="7" t="s">
        <v>33</v>
      </c>
      <c r="D35" s="5">
        <f t="shared" si="0"/>
        <v>978.25</v>
      </c>
      <c r="E35" s="5">
        <f t="shared" si="1"/>
        <v>982.58333333333337</v>
      </c>
      <c r="F35" s="5">
        <f t="shared" si="2"/>
        <v>-1.5833333333333712</v>
      </c>
      <c r="G35" s="5">
        <f t="shared" si="3"/>
        <v>2.5069444444445645</v>
      </c>
    </row>
    <row r="36" spans="1:7" x14ac:dyDescent="0.2">
      <c r="A36" s="2">
        <v>37773</v>
      </c>
      <c r="B36" s="3">
        <v>962</v>
      </c>
      <c r="C36" s="7" t="s">
        <v>33</v>
      </c>
      <c r="D36" s="5">
        <f t="shared" si="0"/>
        <v>976.91666666666663</v>
      </c>
      <c r="E36" s="5">
        <f t="shared" si="1"/>
        <v>978.25</v>
      </c>
      <c r="F36" s="5">
        <f t="shared" si="2"/>
        <v>-16.25</v>
      </c>
      <c r="G36" s="5">
        <f t="shared" si="3"/>
        <v>264.0625</v>
      </c>
    </row>
    <row r="37" spans="1:7" x14ac:dyDescent="0.2">
      <c r="A37" s="2">
        <v>37803</v>
      </c>
      <c r="B37" s="3">
        <v>1022</v>
      </c>
      <c r="C37" s="7" t="s">
        <v>33</v>
      </c>
      <c r="D37" s="5">
        <f t="shared" si="0"/>
        <v>980.16666666666663</v>
      </c>
      <c r="E37" s="5">
        <f t="shared" si="1"/>
        <v>976.91666666666663</v>
      </c>
      <c r="F37" s="5">
        <f t="shared" si="2"/>
        <v>45.083333333333371</v>
      </c>
      <c r="G37" s="5">
        <f t="shared" si="3"/>
        <v>2032.5069444444478</v>
      </c>
    </row>
    <row r="38" spans="1:7" x14ac:dyDescent="0.2">
      <c r="A38" s="2">
        <v>37834</v>
      </c>
      <c r="B38" s="3">
        <v>910</v>
      </c>
      <c r="C38" s="7" t="s">
        <v>33</v>
      </c>
      <c r="D38" s="5">
        <f t="shared" si="0"/>
        <v>980.5</v>
      </c>
      <c r="E38" s="5">
        <f t="shared" si="1"/>
        <v>980.16666666666663</v>
      </c>
      <c r="F38" s="5">
        <f t="shared" si="2"/>
        <v>-70.166666666666629</v>
      </c>
      <c r="G38" s="5">
        <f t="shared" si="3"/>
        <v>4923.3611111111059</v>
      </c>
    </row>
    <row r="39" spans="1:7" x14ac:dyDescent="0.2">
      <c r="A39" s="2">
        <v>37865</v>
      </c>
      <c r="B39" s="3">
        <v>912</v>
      </c>
      <c r="C39" s="7" t="s">
        <v>33</v>
      </c>
      <c r="D39" s="5">
        <f t="shared" si="0"/>
        <v>980.66666666666663</v>
      </c>
      <c r="E39" s="5">
        <f t="shared" si="1"/>
        <v>980.5</v>
      </c>
      <c r="F39" s="5">
        <f t="shared" si="2"/>
        <v>-68.5</v>
      </c>
      <c r="G39" s="5">
        <f t="shared" si="3"/>
        <v>4692.25</v>
      </c>
    </row>
    <row r="40" spans="1:7" x14ac:dyDescent="0.2">
      <c r="A40" s="2">
        <v>37895</v>
      </c>
      <c r="B40" s="3">
        <v>1025</v>
      </c>
      <c r="C40" s="7" t="s">
        <v>33</v>
      </c>
      <c r="D40" s="5">
        <f t="shared" si="0"/>
        <v>980.66666666666663</v>
      </c>
      <c r="E40" s="5">
        <f t="shared" si="1"/>
        <v>980.66666666666663</v>
      </c>
      <c r="F40" s="5">
        <f t="shared" si="2"/>
        <v>44.333333333333371</v>
      </c>
      <c r="G40" s="5">
        <f t="shared" si="3"/>
        <v>1965.4444444444478</v>
      </c>
    </row>
    <row r="41" spans="1:7" x14ac:dyDescent="0.2">
      <c r="A41" s="2">
        <v>37926</v>
      </c>
      <c r="B41" s="3">
        <v>1017</v>
      </c>
      <c r="C41" s="7" t="s">
        <v>33</v>
      </c>
      <c r="D41" s="5">
        <f t="shared" si="0"/>
        <v>979.91666666666663</v>
      </c>
      <c r="E41" s="5">
        <f t="shared" si="1"/>
        <v>980.66666666666663</v>
      </c>
      <c r="F41" s="5">
        <f t="shared" si="2"/>
        <v>36.333333333333371</v>
      </c>
      <c r="G41" s="5">
        <f t="shared" si="3"/>
        <v>1320.1111111111138</v>
      </c>
    </row>
    <row r="42" spans="1:7" x14ac:dyDescent="0.2">
      <c r="A42" s="2">
        <v>37956</v>
      </c>
      <c r="B42" s="3">
        <v>1044</v>
      </c>
      <c r="C42" s="7" t="s">
        <v>33</v>
      </c>
      <c r="D42" s="5">
        <f t="shared" si="0"/>
        <v>982.41666666666663</v>
      </c>
      <c r="E42" s="5">
        <f t="shared" si="1"/>
        <v>979.91666666666663</v>
      </c>
      <c r="F42" s="5">
        <f t="shared" si="2"/>
        <v>64.083333333333371</v>
      </c>
      <c r="G42" s="5">
        <f t="shared" si="3"/>
        <v>4106.6736111111159</v>
      </c>
    </row>
    <row r="43" spans="1:7" x14ac:dyDescent="0.2">
      <c r="A43" s="2">
        <v>37987</v>
      </c>
      <c r="B43" s="3">
        <v>1032</v>
      </c>
      <c r="C43" s="7" t="s">
        <v>33</v>
      </c>
      <c r="D43" s="5">
        <f t="shared" si="0"/>
        <v>987</v>
      </c>
      <c r="E43" s="5">
        <f t="shared" si="1"/>
        <v>982.41666666666663</v>
      </c>
      <c r="F43" s="5">
        <f t="shared" si="2"/>
        <v>49.583333333333371</v>
      </c>
      <c r="G43" s="5">
        <f t="shared" si="3"/>
        <v>2458.506944444448</v>
      </c>
    </row>
    <row r="44" spans="1:7" x14ac:dyDescent="0.2">
      <c r="A44" s="2">
        <v>38018</v>
      </c>
      <c r="B44" s="3">
        <v>1060</v>
      </c>
      <c r="C44" s="7" t="s">
        <v>33</v>
      </c>
      <c r="D44" s="5">
        <f t="shared" si="0"/>
        <v>992.83333333333337</v>
      </c>
      <c r="E44" s="5">
        <f t="shared" si="1"/>
        <v>987</v>
      </c>
      <c r="F44" s="5">
        <f t="shared" si="2"/>
        <v>73</v>
      </c>
      <c r="G44" s="5">
        <f t="shared" si="3"/>
        <v>5329</v>
      </c>
    </row>
    <row r="45" spans="1:7" x14ac:dyDescent="0.2">
      <c r="A45" s="2">
        <v>38047</v>
      </c>
      <c r="B45" s="3">
        <v>1077</v>
      </c>
      <c r="C45" s="7" t="s">
        <v>33</v>
      </c>
      <c r="D45" s="5">
        <f t="shared" si="0"/>
        <v>1000.1666666666666</v>
      </c>
      <c r="E45" s="5">
        <f t="shared" si="1"/>
        <v>992.83333333333337</v>
      </c>
      <c r="F45" s="5">
        <f t="shared" si="2"/>
        <v>84.166666666666629</v>
      </c>
      <c r="G45" s="5">
        <f t="shared" si="3"/>
        <v>7084.027777777771</v>
      </c>
    </row>
    <row r="46" spans="1:7" x14ac:dyDescent="0.2">
      <c r="A46" s="2">
        <v>38078</v>
      </c>
      <c r="B46" s="3">
        <v>1098</v>
      </c>
      <c r="C46" s="7" t="s">
        <v>33</v>
      </c>
      <c r="D46" s="5">
        <f t="shared" si="0"/>
        <v>1011.6666666666666</v>
      </c>
      <c r="E46" s="5">
        <f t="shared" si="1"/>
        <v>1000.1666666666666</v>
      </c>
      <c r="F46" s="5">
        <f t="shared" si="2"/>
        <v>97.833333333333371</v>
      </c>
      <c r="G46" s="5">
        <f t="shared" si="3"/>
        <v>9571.3611111111186</v>
      </c>
    </row>
    <row r="47" spans="1:7" x14ac:dyDescent="0.2">
      <c r="A47" s="2">
        <v>38108</v>
      </c>
      <c r="B47" s="3">
        <v>1086</v>
      </c>
      <c r="C47" s="7" t="s">
        <v>33</v>
      </c>
      <c r="D47" s="5">
        <f t="shared" si="0"/>
        <v>1020.4166666666666</v>
      </c>
      <c r="E47" s="5">
        <f t="shared" si="1"/>
        <v>1011.6666666666666</v>
      </c>
      <c r="F47" s="5">
        <f t="shared" si="2"/>
        <v>74.333333333333371</v>
      </c>
      <c r="G47" s="5">
        <f t="shared" si="3"/>
        <v>5525.4444444444498</v>
      </c>
    </row>
    <row r="48" spans="1:7" x14ac:dyDescent="0.2">
      <c r="A48" s="2">
        <v>38139</v>
      </c>
      <c r="B48" s="3">
        <v>1070</v>
      </c>
      <c r="C48" s="7" t="s">
        <v>33</v>
      </c>
      <c r="D48" s="5">
        <f t="shared" si="0"/>
        <v>1029.4166666666667</v>
      </c>
      <c r="E48" s="5">
        <f t="shared" si="1"/>
        <v>1020.4166666666666</v>
      </c>
      <c r="F48" s="5">
        <f t="shared" si="2"/>
        <v>49.583333333333371</v>
      </c>
      <c r="G48" s="5">
        <f t="shared" si="3"/>
        <v>2458.506944444448</v>
      </c>
    </row>
    <row r="49" spans="1:7" x14ac:dyDescent="0.2">
      <c r="A49" s="2">
        <v>38169</v>
      </c>
      <c r="B49" s="3">
        <v>1121</v>
      </c>
      <c r="C49" s="7" t="s">
        <v>33</v>
      </c>
      <c r="D49" s="5">
        <f t="shared" si="0"/>
        <v>1037.6666666666667</v>
      </c>
      <c r="E49" s="5">
        <f t="shared" si="1"/>
        <v>1029.4166666666667</v>
      </c>
      <c r="F49" s="5">
        <f t="shared" si="2"/>
        <v>91.583333333333258</v>
      </c>
      <c r="G49" s="5">
        <f t="shared" si="3"/>
        <v>8387.5069444444307</v>
      </c>
    </row>
    <row r="50" spans="1:7" x14ac:dyDescent="0.2">
      <c r="A50" s="2">
        <v>38200</v>
      </c>
      <c r="B50" s="3">
        <v>993</v>
      </c>
      <c r="C50" s="7" t="s">
        <v>33</v>
      </c>
      <c r="D50" s="5">
        <f t="shared" si="0"/>
        <v>1044.5833333333333</v>
      </c>
      <c r="E50" s="5">
        <f t="shared" si="1"/>
        <v>1037.6666666666667</v>
      </c>
      <c r="F50" s="5">
        <f t="shared" si="2"/>
        <v>-44.666666666666742</v>
      </c>
      <c r="G50" s="5">
        <f t="shared" si="3"/>
        <v>1995.1111111111179</v>
      </c>
    </row>
    <row r="51" spans="1:7" x14ac:dyDescent="0.2">
      <c r="A51" s="2">
        <v>38231</v>
      </c>
      <c r="B51" s="3">
        <v>1026</v>
      </c>
      <c r="C51" s="7" t="s">
        <v>33</v>
      </c>
      <c r="D51" s="5">
        <f t="shared" si="0"/>
        <v>1054.0833333333333</v>
      </c>
      <c r="E51" s="5">
        <f t="shared" si="1"/>
        <v>1044.5833333333333</v>
      </c>
      <c r="F51" s="5">
        <f t="shared" si="2"/>
        <v>-18.583333333333258</v>
      </c>
      <c r="G51" s="5">
        <f t="shared" si="3"/>
        <v>345.34027777777499</v>
      </c>
    </row>
    <row r="52" spans="1:7" x14ac:dyDescent="0.2">
      <c r="A52" s="2">
        <v>38261</v>
      </c>
      <c r="B52" s="3">
        <v>1114</v>
      </c>
      <c r="C52" s="7" t="s">
        <v>33</v>
      </c>
      <c r="D52" s="5">
        <f t="shared" si="0"/>
        <v>1061.5</v>
      </c>
      <c r="E52" s="5">
        <f t="shared" si="1"/>
        <v>1054.0833333333333</v>
      </c>
      <c r="F52" s="5">
        <f t="shared" si="2"/>
        <v>59.916666666666742</v>
      </c>
      <c r="G52" s="5">
        <f t="shared" si="3"/>
        <v>3590.0069444444534</v>
      </c>
    </row>
    <row r="53" spans="1:7" x14ac:dyDescent="0.2">
      <c r="A53" s="2">
        <v>38292</v>
      </c>
      <c r="B53" s="3">
        <v>1050</v>
      </c>
      <c r="C53" s="7" t="s">
        <v>33</v>
      </c>
      <c r="D53" s="5">
        <f t="shared" si="0"/>
        <v>1064.25</v>
      </c>
      <c r="E53" s="5">
        <f t="shared" si="1"/>
        <v>1061.5</v>
      </c>
      <c r="F53" s="5">
        <f t="shared" si="2"/>
        <v>-11.5</v>
      </c>
      <c r="G53" s="5">
        <f t="shared" si="3"/>
        <v>132.25</v>
      </c>
    </row>
    <row r="54" spans="1:7" x14ac:dyDescent="0.2">
      <c r="A54" s="2">
        <v>38322</v>
      </c>
      <c r="B54" s="3">
        <v>1094</v>
      </c>
      <c r="C54" s="7" t="s">
        <v>33</v>
      </c>
      <c r="D54" s="5">
        <f t="shared" si="0"/>
        <v>1068.4166666666667</v>
      </c>
      <c r="E54" s="5">
        <f t="shared" si="1"/>
        <v>1064.25</v>
      </c>
      <c r="F54" s="5">
        <f t="shared" si="2"/>
        <v>29.75</v>
      </c>
      <c r="G54" s="5">
        <f t="shared" si="3"/>
        <v>885.0625</v>
      </c>
    </row>
    <row r="55" spans="1:7" x14ac:dyDescent="0.2">
      <c r="A55" s="2">
        <v>38353</v>
      </c>
      <c r="B55" s="3">
        <v>1069</v>
      </c>
      <c r="C55" s="7" t="s">
        <v>33</v>
      </c>
      <c r="D55" s="5">
        <f t="shared" si="0"/>
        <v>1071.5</v>
      </c>
      <c r="E55" s="5">
        <f t="shared" si="1"/>
        <v>1068.4166666666667</v>
      </c>
      <c r="F55" s="5">
        <f t="shared" si="2"/>
        <v>0.58333333333325754</v>
      </c>
      <c r="G55" s="5">
        <f t="shared" si="3"/>
        <v>0.34027777777768936</v>
      </c>
    </row>
    <row r="56" spans="1:7" x14ac:dyDescent="0.2">
      <c r="A56" s="2">
        <v>38384</v>
      </c>
      <c r="B56" s="3">
        <v>1096</v>
      </c>
      <c r="C56" s="7" t="s">
        <v>33</v>
      </c>
      <c r="D56" s="5">
        <f t="shared" si="0"/>
        <v>1074.5</v>
      </c>
      <c r="E56" s="5">
        <f t="shared" si="1"/>
        <v>1071.5</v>
      </c>
      <c r="F56" s="5">
        <f t="shared" si="2"/>
        <v>24.5</v>
      </c>
      <c r="G56" s="5">
        <f t="shared" si="3"/>
        <v>600.25</v>
      </c>
    </row>
    <row r="57" spans="1:7" x14ac:dyDescent="0.2">
      <c r="A57" s="2">
        <v>38412</v>
      </c>
      <c r="B57" s="3">
        <v>1137</v>
      </c>
      <c r="C57" s="7" t="s">
        <v>33</v>
      </c>
      <c r="D57" s="5">
        <f t="shared" si="0"/>
        <v>1079.5</v>
      </c>
      <c r="E57" s="5">
        <f t="shared" si="1"/>
        <v>1074.5</v>
      </c>
      <c r="F57" s="5">
        <f t="shared" si="2"/>
        <v>62.5</v>
      </c>
      <c r="G57" s="5">
        <f t="shared" si="3"/>
        <v>3906.25</v>
      </c>
    </row>
    <row r="58" spans="1:7" x14ac:dyDescent="0.2">
      <c r="A58" s="2">
        <v>38443</v>
      </c>
      <c r="B58" s="3">
        <v>1053</v>
      </c>
      <c r="C58" s="7" t="s">
        <v>33</v>
      </c>
      <c r="D58" s="5">
        <f t="shared" si="0"/>
        <v>1075.75</v>
      </c>
      <c r="E58" s="5">
        <f t="shared" si="1"/>
        <v>1079.5</v>
      </c>
      <c r="F58" s="5">
        <f t="shared" si="2"/>
        <v>-26.5</v>
      </c>
      <c r="G58" s="5">
        <f t="shared" si="3"/>
        <v>702.25</v>
      </c>
    </row>
    <row r="59" spans="1:7" x14ac:dyDescent="0.2">
      <c r="A59" s="2">
        <v>38473</v>
      </c>
      <c r="B59" s="3">
        <v>1100</v>
      </c>
      <c r="C59" s="7" t="s">
        <v>33</v>
      </c>
      <c r="D59" s="5">
        <f t="shared" si="0"/>
        <v>1076.9166666666667</v>
      </c>
      <c r="E59" s="5">
        <f t="shared" si="1"/>
        <v>1075.75</v>
      </c>
      <c r="F59" s="5">
        <f t="shared" si="2"/>
        <v>24.25</v>
      </c>
      <c r="G59" s="5">
        <f t="shared" si="3"/>
        <v>588.0625</v>
      </c>
    </row>
    <row r="60" spans="1:7" x14ac:dyDescent="0.2">
      <c r="A60" s="2">
        <v>38504</v>
      </c>
      <c r="B60" s="3">
        <v>1101</v>
      </c>
      <c r="C60" s="7" t="s">
        <v>33</v>
      </c>
      <c r="D60" s="5">
        <f t="shared" si="0"/>
        <v>1079.5</v>
      </c>
      <c r="E60" s="5">
        <f t="shared" si="1"/>
        <v>1076.9166666666667</v>
      </c>
      <c r="F60" s="5">
        <f t="shared" si="2"/>
        <v>24.083333333333258</v>
      </c>
      <c r="G60" s="5">
        <f t="shared" si="3"/>
        <v>580.00694444444082</v>
      </c>
    </row>
    <row r="61" spans="1:7" x14ac:dyDescent="0.2">
      <c r="A61" s="2">
        <v>38534</v>
      </c>
      <c r="B61" s="3">
        <v>1116</v>
      </c>
      <c r="C61" s="7" t="s">
        <v>33</v>
      </c>
      <c r="D61" s="5">
        <f t="shared" si="0"/>
        <v>1079.0833333333333</v>
      </c>
      <c r="E61" s="5">
        <f t="shared" si="1"/>
        <v>1079.5</v>
      </c>
      <c r="F61" s="5">
        <f t="shared" si="2"/>
        <v>36.5</v>
      </c>
      <c r="G61" s="5">
        <f t="shared" si="3"/>
        <v>1332.25</v>
      </c>
    </row>
    <row r="62" spans="1:7" x14ac:dyDescent="0.2">
      <c r="A62" s="2">
        <v>38565</v>
      </c>
      <c r="B62" s="3">
        <v>1051</v>
      </c>
      <c r="C62" s="7" t="s">
        <v>33</v>
      </c>
      <c r="D62" s="5">
        <f t="shared" si="0"/>
        <v>1083.9166666666667</v>
      </c>
      <c r="E62" s="5">
        <f t="shared" si="1"/>
        <v>1079.0833333333333</v>
      </c>
      <c r="F62" s="5">
        <f t="shared" si="2"/>
        <v>-28.083333333333258</v>
      </c>
      <c r="G62" s="5">
        <f t="shared" si="3"/>
        <v>788.67361111110688</v>
      </c>
    </row>
    <row r="63" spans="1:7" x14ac:dyDescent="0.2">
      <c r="A63" s="2">
        <v>38596</v>
      </c>
      <c r="B63" s="3">
        <v>1000</v>
      </c>
      <c r="C63" s="7" t="s">
        <v>33</v>
      </c>
      <c r="D63" s="5">
        <f t="shared" si="0"/>
        <v>1081.75</v>
      </c>
      <c r="E63" s="5">
        <f t="shared" si="1"/>
        <v>1083.9166666666667</v>
      </c>
      <c r="F63" s="5">
        <f t="shared" si="2"/>
        <v>-83.916666666666742</v>
      </c>
      <c r="G63" s="5">
        <f t="shared" si="3"/>
        <v>7042.0069444444571</v>
      </c>
    </row>
    <row r="64" spans="1:7" x14ac:dyDescent="0.2">
      <c r="A64" s="2">
        <v>38626</v>
      </c>
      <c r="B64" s="3">
        <v>1102</v>
      </c>
      <c r="C64" s="7" t="s">
        <v>33</v>
      </c>
      <c r="D64" s="5">
        <f t="shared" si="0"/>
        <v>1080.75</v>
      </c>
      <c r="E64" s="5">
        <f t="shared" si="1"/>
        <v>1081.75</v>
      </c>
      <c r="F64" s="5">
        <f t="shared" si="2"/>
        <v>20.25</v>
      </c>
      <c r="G64" s="5">
        <f t="shared" si="3"/>
        <v>410.0625</v>
      </c>
    </row>
    <row r="65" spans="1:7" x14ac:dyDescent="0.2">
      <c r="A65" s="2">
        <v>38657</v>
      </c>
      <c r="B65" s="3">
        <v>1094</v>
      </c>
      <c r="C65" s="7" t="s">
        <v>33</v>
      </c>
      <c r="D65" s="5">
        <f t="shared" si="0"/>
        <v>1084.4166666666667</v>
      </c>
      <c r="E65" s="5">
        <f t="shared" si="1"/>
        <v>1080.75</v>
      </c>
      <c r="F65" s="5">
        <f t="shared" si="2"/>
        <v>13.25</v>
      </c>
      <c r="G65" s="5">
        <f t="shared" si="3"/>
        <v>175.5625</v>
      </c>
    </row>
    <row r="66" spans="1:7" x14ac:dyDescent="0.2">
      <c r="A66" s="2">
        <v>38687</v>
      </c>
      <c r="B66" s="3">
        <v>1143</v>
      </c>
      <c r="C66" s="7" t="s">
        <v>33</v>
      </c>
      <c r="D66" s="5">
        <f t="shared" si="0"/>
        <v>1088.5</v>
      </c>
      <c r="E66" s="5">
        <f t="shared" si="1"/>
        <v>1084.4166666666667</v>
      </c>
      <c r="F66" s="5">
        <f t="shared" si="2"/>
        <v>58.583333333333258</v>
      </c>
      <c r="G66" s="5">
        <f t="shared" si="3"/>
        <v>3432.0069444444357</v>
      </c>
    </row>
    <row r="67" spans="1:7" x14ac:dyDescent="0.2">
      <c r="A67" s="2">
        <v>38718</v>
      </c>
      <c r="B67" s="3">
        <v>1094</v>
      </c>
      <c r="C67" s="7" t="s">
        <v>33</v>
      </c>
      <c r="D67" s="5">
        <f t="shared" si="0"/>
        <v>1090.5833333333333</v>
      </c>
      <c r="E67" s="5">
        <f t="shared" si="1"/>
        <v>1088.5</v>
      </c>
      <c r="F67" s="5">
        <f t="shared" si="2"/>
        <v>5.5</v>
      </c>
      <c r="G67" s="5">
        <f t="shared" si="3"/>
        <v>30.25</v>
      </c>
    </row>
    <row r="68" spans="1:7" x14ac:dyDescent="0.2">
      <c r="A68" s="2">
        <v>38749</v>
      </c>
      <c r="B68" s="3">
        <v>1175</v>
      </c>
      <c r="C68" s="7" t="s">
        <v>33</v>
      </c>
      <c r="D68" s="5">
        <f t="shared" si="0"/>
        <v>1097.1666666666667</v>
      </c>
      <c r="E68" s="5">
        <f t="shared" si="1"/>
        <v>1090.5833333333333</v>
      </c>
      <c r="F68" s="5">
        <f t="shared" si="2"/>
        <v>84.416666666666742</v>
      </c>
      <c r="G68" s="5">
        <f t="shared" si="3"/>
        <v>7126.173611111124</v>
      </c>
    </row>
    <row r="69" spans="1:7" x14ac:dyDescent="0.2">
      <c r="A69" s="2">
        <v>38777</v>
      </c>
      <c r="B69" s="3">
        <v>1212</v>
      </c>
      <c r="C69" s="7" t="s">
        <v>33</v>
      </c>
      <c r="D69" s="5">
        <f t="shared" si="0"/>
        <v>1103.4166666666667</v>
      </c>
      <c r="E69" s="5">
        <f t="shared" si="1"/>
        <v>1097.1666666666667</v>
      </c>
      <c r="F69" s="5">
        <f t="shared" si="2"/>
        <v>114.83333333333326</v>
      </c>
      <c r="G69" s="5">
        <f t="shared" si="3"/>
        <v>13186.694444444427</v>
      </c>
    </row>
    <row r="70" spans="1:7" x14ac:dyDescent="0.2">
      <c r="A70" s="2">
        <v>38808</v>
      </c>
      <c r="B70" s="3">
        <v>1109</v>
      </c>
      <c r="C70" s="7" t="s">
        <v>33</v>
      </c>
      <c r="D70" s="5">
        <f t="shared" si="0"/>
        <v>1108.0833333333333</v>
      </c>
      <c r="E70" s="5">
        <f t="shared" si="1"/>
        <v>1103.4166666666667</v>
      </c>
      <c r="F70" s="5">
        <f t="shared" si="2"/>
        <v>5.5833333333332575</v>
      </c>
      <c r="G70" s="5">
        <f t="shared" si="3"/>
        <v>31.173611111110265</v>
      </c>
    </row>
    <row r="71" spans="1:7" x14ac:dyDescent="0.2">
      <c r="A71" s="2">
        <v>38838</v>
      </c>
      <c r="B71" s="3">
        <v>1185</v>
      </c>
      <c r="C71" s="7" t="s">
        <v>33</v>
      </c>
      <c r="D71" s="5">
        <f t="shared" si="0"/>
        <v>1115.1666666666667</v>
      </c>
      <c r="E71" s="5">
        <f t="shared" si="1"/>
        <v>1108.0833333333333</v>
      </c>
      <c r="F71" s="5">
        <f t="shared" si="2"/>
        <v>76.916666666666742</v>
      </c>
      <c r="G71" s="5">
        <f t="shared" si="3"/>
        <v>5916.1736111111231</v>
      </c>
    </row>
    <row r="72" spans="1:7" x14ac:dyDescent="0.2">
      <c r="A72" s="2">
        <v>38869</v>
      </c>
      <c r="B72" s="3">
        <v>1102</v>
      </c>
      <c r="C72" s="7" t="s">
        <v>33</v>
      </c>
      <c r="D72" s="5">
        <f t="shared" si="0"/>
        <v>1115.25</v>
      </c>
      <c r="E72" s="5">
        <f t="shared" si="1"/>
        <v>1115.1666666666667</v>
      </c>
      <c r="F72" s="5">
        <f t="shared" si="2"/>
        <v>-13.166666666666742</v>
      </c>
      <c r="G72" s="5">
        <f t="shared" si="3"/>
        <v>173.3611111111131</v>
      </c>
    </row>
    <row r="73" spans="1:7" x14ac:dyDescent="0.2">
      <c r="A73" s="2">
        <v>38899</v>
      </c>
      <c r="B73" s="3">
        <v>1112</v>
      </c>
      <c r="C73" s="7" t="s">
        <v>33</v>
      </c>
      <c r="D73" s="5">
        <f t="shared" si="0"/>
        <v>1114.9166666666667</v>
      </c>
      <c r="E73" s="5">
        <f t="shared" si="1"/>
        <v>1115.25</v>
      </c>
      <c r="F73" s="5">
        <f t="shared" si="2"/>
        <v>-3.25</v>
      </c>
      <c r="G73" s="5">
        <f t="shared" si="3"/>
        <v>10.5625</v>
      </c>
    </row>
    <row r="74" spans="1:7" x14ac:dyDescent="0.2">
      <c r="A74" s="2">
        <v>38930</v>
      </c>
      <c r="B74" s="3">
        <v>1108</v>
      </c>
      <c r="C74" s="7" t="s">
        <v>33</v>
      </c>
      <c r="D74" s="5">
        <f t="shared" si="0"/>
        <v>1119.6666666666667</v>
      </c>
      <c r="E74" s="5">
        <f t="shared" si="1"/>
        <v>1114.9166666666667</v>
      </c>
      <c r="F74" s="5">
        <f t="shared" si="2"/>
        <v>-6.9166666666667425</v>
      </c>
      <c r="G74" s="5">
        <f t="shared" si="3"/>
        <v>47.840277777778823</v>
      </c>
    </row>
    <row r="75" spans="1:7" x14ac:dyDescent="0.2">
      <c r="A75" s="2">
        <v>38961</v>
      </c>
      <c r="B75" s="3">
        <v>1089</v>
      </c>
      <c r="C75" s="7" t="s">
        <v>33</v>
      </c>
      <c r="D75" s="5">
        <f t="shared" si="0"/>
        <v>1127.0833333333333</v>
      </c>
      <c r="E75" s="5">
        <f t="shared" si="1"/>
        <v>1119.6666666666667</v>
      </c>
      <c r="F75" s="5">
        <f t="shared" si="2"/>
        <v>-30.666666666666742</v>
      </c>
      <c r="G75" s="5">
        <f t="shared" si="3"/>
        <v>940.44444444444912</v>
      </c>
    </row>
    <row r="76" spans="1:7" x14ac:dyDescent="0.2">
      <c r="A76" s="2">
        <v>38991</v>
      </c>
      <c r="B76" s="3">
        <v>1199</v>
      </c>
      <c r="C76" s="7" t="s">
        <v>33</v>
      </c>
      <c r="D76" s="5">
        <f t="shared" si="0"/>
        <v>1135.1666666666667</v>
      </c>
      <c r="E76" s="5">
        <f t="shared" si="1"/>
        <v>1127.0833333333333</v>
      </c>
      <c r="F76" s="5">
        <f t="shared" si="2"/>
        <v>71.916666666666742</v>
      </c>
      <c r="G76" s="5">
        <f t="shared" si="3"/>
        <v>5172.0069444444553</v>
      </c>
    </row>
    <row r="77" spans="1:7" x14ac:dyDescent="0.2">
      <c r="A77" s="2">
        <v>39022</v>
      </c>
      <c r="B77" s="3">
        <v>1126</v>
      </c>
      <c r="C77" s="7" t="s">
        <v>33</v>
      </c>
      <c r="D77" s="5">
        <f t="shared" si="0"/>
        <v>1137.8333333333333</v>
      </c>
      <c r="E77" s="5">
        <f t="shared" si="1"/>
        <v>1135.1666666666667</v>
      </c>
      <c r="F77" s="5">
        <f t="shared" si="2"/>
        <v>-9.1666666666667425</v>
      </c>
      <c r="G77" s="5">
        <f t="shared" si="3"/>
        <v>84.027777777779164</v>
      </c>
    </row>
    <row r="78" spans="1:7" x14ac:dyDescent="0.2">
      <c r="A78" s="2">
        <v>39052</v>
      </c>
      <c r="B78" s="3">
        <v>1177</v>
      </c>
      <c r="C78" s="7" t="s">
        <v>33</v>
      </c>
      <c r="D78" s="5">
        <f t="shared" ref="D78:D141" si="4">AVERAGE(B67:B78)</f>
        <v>1140.6666666666667</v>
      </c>
      <c r="E78" s="5">
        <f t="shared" si="1"/>
        <v>1137.8333333333333</v>
      </c>
      <c r="F78" s="5">
        <f t="shared" si="2"/>
        <v>39.166666666666742</v>
      </c>
      <c r="G78" s="5">
        <f t="shared" si="3"/>
        <v>1534.0277777777837</v>
      </c>
    </row>
    <row r="79" spans="1:7" x14ac:dyDescent="0.2">
      <c r="A79" s="2">
        <v>39083</v>
      </c>
      <c r="B79" s="3">
        <v>1154</v>
      </c>
      <c r="C79" s="7" t="s">
        <v>33</v>
      </c>
      <c r="D79" s="5">
        <f t="shared" si="4"/>
        <v>1145.6666666666667</v>
      </c>
      <c r="E79" s="5">
        <f t="shared" ref="E79:E142" si="5">+D78</f>
        <v>1140.6666666666667</v>
      </c>
      <c r="F79" s="5">
        <f t="shared" ref="F79:F142" si="6">B79-E79</f>
        <v>13.333333333333258</v>
      </c>
      <c r="G79" s="5">
        <f t="shared" ref="G79:G142" si="7">F79^2</f>
        <v>177.77777777777575</v>
      </c>
    </row>
    <row r="80" spans="1:7" x14ac:dyDescent="0.2">
      <c r="A80" s="2">
        <v>39114</v>
      </c>
      <c r="B80" s="3">
        <v>1232</v>
      </c>
      <c r="C80" s="7" t="s">
        <v>33</v>
      </c>
      <c r="D80" s="5">
        <f t="shared" si="4"/>
        <v>1150.4166666666667</v>
      </c>
      <c r="E80" s="5">
        <f t="shared" si="5"/>
        <v>1145.6666666666667</v>
      </c>
      <c r="F80" s="5">
        <f t="shared" si="6"/>
        <v>86.333333333333258</v>
      </c>
      <c r="G80" s="5">
        <f t="shared" si="7"/>
        <v>7453.4444444444316</v>
      </c>
    </row>
    <row r="81" spans="1:7" x14ac:dyDescent="0.2">
      <c r="A81" s="2">
        <v>39142</v>
      </c>
      <c r="B81" s="3">
        <v>1205</v>
      </c>
      <c r="C81" s="7" t="s">
        <v>33</v>
      </c>
      <c r="D81" s="5">
        <f t="shared" si="4"/>
        <v>1149.8333333333333</v>
      </c>
      <c r="E81" s="5">
        <f t="shared" si="5"/>
        <v>1150.4166666666667</v>
      </c>
      <c r="F81" s="5">
        <f t="shared" si="6"/>
        <v>54.583333333333258</v>
      </c>
      <c r="G81" s="5">
        <f t="shared" si="7"/>
        <v>2979.3402777777696</v>
      </c>
    </row>
    <row r="82" spans="1:7" x14ac:dyDescent="0.2">
      <c r="A82" s="2">
        <v>39173</v>
      </c>
      <c r="B82" s="3">
        <v>1143</v>
      </c>
      <c r="C82" s="7" t="s">
        <v>33</v>
      </c>
      <c r="D82" s="5">
        <f t="shared" si="4"/>
        <v>1152.6666666666667</v>
      </c>
      <c r="E82" s="5">
        <f t="shared" si="5"/>
        <v>1149.8333333333333</v>
      </c>
      <c r="F82" s="5">
        <f t="shared" si="6"/>
        <v>-6.8333333333332575</v>
      </c>
      <c r="G82" s="5">
        <f t="shared" si="7"/>
        <v>46.694444444443405</v>
      </c>
    </row>
    <row r="83" spans="1:7" x14ac:dyDescent="0.2">
      <c r="A83" s="2">
        <v>39203</v>
      </c>
      <c r="B83" s="3">
        <v>1227</v>
      </c>
      <c r="C83" s="7" t="s">
        <v>33</v>
      </c>
      <c r="D83" s="5">
        <f t="shared" si="4"/>
        <v>1156.1666666666667</v>
      </c>
      <c r="E83" s="5">
        <f t="shared" si="5"/>
        <v>1152.6666666666667</v>
      </c>
      <c r="F83" s="5">
        <f t="shared" si="6"/>
        <v>74.333333333333258</v>
      </c>
      <c r="G83" s="5">
        <f t="shared" si="7"/>
        <v>5525.4444444444334</v>
      </c>
    </row>
    <row r="84" spans="1:7" x14ac:dyDescent="0.2">
      <c r="A84" s="2">
        <v>39234</v>
      </c>
      <c r="B84" s="3">
        <v>1117</v>
      </c>
      <c r="C84" s="7" t="s">
        <v>33</v>
      </c>
      <c r="D84" s="5">
        <f t="shared" si="4"/>
        <v>1157.4166666666667</v>
      </c>
      <c r="E84" s="5">
        <f t="shared" si="5"/>
        <v>1156.1666666666667</v>
      </c>
      <c r="F84" s="5">
        <f t="shared" si="6"/>
        <v>-39.166666666666742</v>
      </c>
      <c r="G84" s="5">
        <f t="shared" si="7"/>
        <v>1534.0277777777837</v>
      </c>
    </row>
    <row r="85" spans="1:7" x14ac:dyDescent="0.2">
      <c r="A85" s="2">
        <v>39264</v>
      </c>
      <c r="B85" s="3">
        <v>1180</v>
      </c>
      <c r="C85" s="7" t="s">
        <v>33</v>
      </c>
      <c r="D85" s="5">
        <f t="shared" si="4"/>
        <v>1163.0833333333333</v>
      </c>
      <c r="E85" s="5">
        <f t="shared" si="5"/>
        <v>1157.4166666666667</v>
      </c>
      <c r="F85" s="5">
        <f t="shared" si="6"/>
        <v>22.583333333333258</v>
      </c>
      <c r="G85" s="5">
        <f t="shared" si="7"/>
        <v>510.00694444444105</v>
      </c>
    </row>
    <row r="86" spans="1:7" x14ac:dyDescent="0.2">
      <c r="A86" s="2">
        <v>39295</v>
      </c>
      <c r="B86" s="3">
        <v>1102</v>
      </c>
      <c r="C86" s="7" t="s">
        <v>33</v>
      </c>
      <c r="D86" s="5">
        <f t="shared" si="4"/>
        <v>1162.5833333333333</v>
      </c>
      <c r="E86" s="5">
        <f t="shared" si="5"/>
        <v>1163.0833333333333</v>
      </c>
      <c r="F86" s="5">
        <f t="shared" si="6"/>
        <v>-61.083333333333258</v>
      </c>
      <c r="G86" s="5">
        <f t="shared" si="7"/>
        <v>3731.1736111111018</v>
      </c>
    </row>
    <row r="87" spans="1:7" x14ac:dyDescent="0.2">
      <c r="A87" s="2">
        <v>39326</v>
      </c>
      <c r="B87" s="3">
        <v>1140</v>
      </c>
      <c r="C87" s="7" t="s">
        <v>33</v>
      </c>
      <c r="D87" s="5">
        <f t="shared" si="4"/>
        <v>1166.8333333333333</v>
      </c>
      <c r="E87" s="5">
        <f t="shared" si="5"/>
        <v>1162.5833333333333</v>
      </c>
      <c r="F87" s="5">
        <f t="shared" si="6"/>
        <v>-22.583333333333258</v>
      </c>
      <c r="G87" s="5">
        <f t="shared" si="7"/>
        <v>510.00694444444105</v>
      </c>
    </row>
    <row r="88" spans="1:7" x14ac:dyDescent="0.2">
      <c r="A88" s="2">
        <v>39356</v>
      </c>
      <c r="B88" s="3">
        <v>1291</v>
      </c>
      <c r="C88" s="7" t="s">
        <v>33</v>
      </c>
      <c r="D88" s="5">
        <f t="shared" si="4"/>
        <v>1174.5</v>
      </c>
      <c r="E88" s="5">
        <f t="shared" si="5"/>
        <v>1166.8333333333333</v>
      </c>
      <c r="F88" s="5">
        <f t="shared" si="6"/>
        <v>124.16666666666674</v>
      </c>
      <c r="G88" s="5">
        <f t="shared" si="7"/>
        <v>15417.36111111113</v>
      </c>
    </row>
    <row r="89" spans="1:7" x14ac:dyDescent="0.2">
      <c r="A89" s="2">
        <v>39387</v>
      </c>
      <c r="B89" s="3">
        <v>1247</v>
      </c>
      <c r="C89" s="7" t="s">
        <v>33</v>
      </c>
      <c r="D89" s="5">
        <f t="shared" si="4"/>
        <v>1184.5833333333333</v>
      </c>
      <c r="E89" s="5">
        <f t="shared" si="5"/>
        <v>1174.5</v>
      </c>
      <c r="F89" s="5">
        <f t="shared" si="6"/>
        <v>72.5</v>
      </c>
      <c r="G89" s="5">
        <f t="shared" si="7"/>
        <v>5256.25</v>
      </c>
    </row>
    <row r="90" spans="1:7" x14ac:dyDescent="0.2">
      <c r="A90" s="2">
        <v>39417</v>
      </c>
      <c r="B90" s="3">
        <v>1207</v>
      </c>
      <c r="C90" s="7" t="s">
        <v>33</v>
      </c>
      <c r="D90" s="5">
        <f t="shared" si="4"/>
        <v>1187.0833333333333</v>
      </c>
      <c r="E90" s="5">
        <f t="shared" si="5"/>
        <v>1184.5833333333333</v>
      </c>
      <c r="F90" s="5">
        <f t="shared" si="6"/>
        <v>22.416666666666742</v>
      </c>
      <c r="G90" s="5">
        <f t="shared" si="7"/>
        <v>502.50694444444787</v>
      </c>
    </row>
    <row r="91" spans="1:7" x14ac:dyDescent="0.2">
      <c r="A91" s="2">
        <v>39448</v>
      </c>
      <c r="B91" s="3">
        <v>1196</v>
      </c>
      <c r="C91" s="7" t="s">
        <v>33</v>
      </c>
      <c r="D91" s="5">
        <f t="shared" si="4"/>
        <v>1190.5833333333333</v>
      </c>
      <c r="E91" s="5">
        <f t="shared" si="5"/>
        <v>1187.0833333333333</v>
      </c>
      <c r="F91" s="5">
        <f t="shared" si="6"/>
        <v>8.9166666666667425</v>
      </c>
      <c r="G91" s="5">
        <f t="shared" si="7"/>
        <v>79.506944444445793</v>
      </c>
    </row>
    <row r="92" spans="1:7" x14ac:dyDescent="0.2">
      <c r="A92" s="2">
        <v>39479</v>
      </c>
      <c r="B92" s="3">
        <v>1256</v>
      </c>
      <c r="C92" s="7" t="s">
        <v>33</v>
      </c>
      <c r="D92" s="5">
        <f t="shared" si="4"/>
        <v>1192.5833333333333</v>
      </c>
      <c r="E92" s="5">
        <f t="shared" si="5"/>
        <v>1190.5833333333333</v>
      </c>
      <c r="F92" s="5">
        <f t="shared" si="6"/>
        <v>65.416666666666742</v>
      </c>
      <c r="G92" s="5">
        <f t="shared" si="7"/>
        <v>4279.3402777777874</v>
      </c>
    </row>
    <row r="93" spans="1:7" x14ac:dyDescent="0.2">
      <c r="A93" s="2">
        <v>39508</v>
      </c>
      <c r="B93" s="3">
        <v>1205</v>
      </c>
      <c r="C93" s="7" t="s">
        <v>33</v>
      </c>
      <c r="D93" s="5">
        <f t="shared" si="4"/>
        <v>1192.5833333333333</v>
      </c>
      <c r="E93" s="5">
        <f t="shared" si="5"/>
        <v>1192.5833333333333</v>
      </c>
      <c r="F93" s="5">
        <f t="shared" si="6"/>
        <v>12.416666666666742</v>
      </c>
      <c r="G93" s="5">
        <f t="shared" si="7"/>
        <v>154.17361111111299</v>
      </c>
    </row>
    <row r="94" spans="1:7" x14ac:dyDescent="0.2">
      <c r="A94" s="2">
        <v>39539</v>
      </c>
      <c r="B94" s="3">
        <v>1177</v>
      </c>
      <c r="C94" s="7" t="s">
        <v>33</v>
      </c>
      <c r="D94" s="5">
        <f t="shared" si="4"/>
        <v>1195.4166666666667</v>
      </c>
      <c r="E94" s="5">
        <f t="shared" si="5"/>
        <v>1192.5833333333333</v>
      </c>
      <c r="F94" s="5">
        <f t="shared" si="6"/>
        <v>-15.583333333333258</v>
      </c>
      <c r="G94" s="5">
        <f t="shared" si="7"/>
        <v>242.84027777777541</v>
      </c>
    </row>
    <row r="95" spans="1:7" x14ac:dyDescent="0.2">
      <c r="A95" s="2">
        <v>39569</v>
      </c>
      <c r="B95" s="3">
        <v>1263</v>
      </c>
      <c r="C95" s="7" t="s">
        <v>33</v>
      </c>
      <c r="D95" s="5">
        <f t="shared" si="4"/>
        <v>1198.4166666666667</v>
      </c>
      <c r="E95" s="5">
        <f t="shared" si="5"/>
        <v>1195.4166666666667</v>
      </c>
      <c r="F95" s="5">
        <f t="shared" si="6"/>
        <v>67.583333333333258</v>
      </c>
      <c r="G95" s="5">
        <f t="shared" si="7"/>
        <v>4567.5069444444343</v>
      </c>
    </row>
    <row r="96" spans="1:7" x14ac:dyDescent="0.2">
      <c r="A96" s="2">
        <v>39600</v>
      </c>
      <c r="B96" s="3">
        <v>1185</v>
      </c>
      <c r="C96" s="7" t="s">
        <v>33</v>
      </c>
      <c r="D96" s="5">
        <f t="shared" si="4"/>
        <v>1204.0833333333333</v>
      </c>
      <c r="E96" s="5">
        <f t="shared" si="5"/>
        <v>1198.4166666666667</v>
      </c>
      <c r="F96" s="5">
        <f t="shared" si="6"/>
        <v>-13.416666666666742</v>
      </c>
      <c r="G96" s="5">
        <f t="shared" si="7"/>
        <v>180.00694444444648</v>
      </c>
    </row>
    <row r="97" spans="1:7" x14ac:dyDescent="0.2">
      <c r="A97" s="2">
        <v>39630</v>
      </c>
      <c r="B97" s="3">
        <v>1261</v>
      </c>
      <c r="C97" s="7" t="s">
        <v>33</v>
      </c>
      <c r="D97" s="5">
        <f t="shared" si="4"/>
        <v>1210.8333333333333</v>
      </c>
      <c r="E97" s="5">
        <f t="shared" si="5"/>
        <v>1204.0833333333333</v>
      </c>
      <c r="F97" s="5">
        <f t="shared" si="6"/>
        <v>56.916666666666742</v>
      </c>
      <c r="G97" s="5">
        <f t="shared" si="7"/>
        <v>3239.506944444453</v>
      </c>
    </row>
    <row r="98" spans="1:7" x14ac:dyDescent="0.2">
      <c r="A98" s="2">
        <v>39661</v>
      </c>
      <c r="B98" s="3">
        <v>1196</v>
      </c>
      <c r="C98" s="7" t="s">
        <v>33</v>
      </c>
      <c r="D98" s="5">
        <f t="shared" si="4"/>
        <v>1218.6666666666667</v>
      </c>
      <c r="E98" s="5">
        <f t="shared" si="5"/>
        <v>1210.8333333333333</v>
      </c>
      <c r="F98" s="5">
        <f t="shared" si="6"/>
        <v>-14.833333333333258</v>
      </c>
      <c r="G98" s="5">
        <f t="shared" si="7"/>
        <v>220.02777777777553</v>
      </c>
    </row>
    <row r="99" spans="1:7" x14ac:dyDescent="0.2">
      <c r="A99" s="2">
        <v>39692</v>
      </c>
      <c r="B99" s="3">
        <v>1251</v>
      </c>
      <c r="C99" s="7" t="s">
        <v>33</v>
      </c>
      <c r="D99" s="5">
        <f t="shared" si="4"/>
        <v>1227.9166666666667</v>
      </c>
      <c r="E99" s="5">
        <f t="shared" si="5"/>
        <v>1218.6666666666667</v>
      </c>
      <c r="F99" s="5">
        <f t="shared" si="6"/>
        <v>32.333333333333258</v>
      </c>
      <c r="G99" s="5">
        <f t="shared" si="7"/>
        <v>1045.4444444444396</v>
      </c>
    </row>
    <row r="100" spans="1:7" x14ac:dyDescent="0.2">
      <c r="A100" s="2">
        <v>39722</v>
      </c>
      <c r="B100" s="3">
        <v>1414</v>
      </c>
      <c r="C100" s="7" t="s">
        <v>33</v>
      </c>
      <c r="D100" s="5">
        <f t="shared" si="4"/>
        <v>1238.1666666666667</v>
      </c>
      <c r="E100" s="5">
        <f t="shared" si="5"/>
        <v>1227.9166666666667</v>
      </c>
      <c r="F100" s="5">
        <f t="shared" si="6"/>
        <v>186.08333333333326</v>
      </c>
      <c r="G100" s="5">
        <f t="shared" si="7"/>
        <v>34627.006944444416</v>
      </c>
    </row>
    <row r="101" spans="1:7" x14ac:dyDescent="0.2">
      <c r="A101" s="2">
        <v>39753</v>
      </c>
      <c r="B101" s="3">
        <v>1291</v>
      </c>
      <c r="C101" s="7" t="s">
        <v>33</v>
      </c>
      <c r="D101" s="5">
        <f t="shared" si="4"/>
        <v>1241.8333333333333</v>
      </c>
      <c r="E101" s="5">
        <f t="shared" si="5"/>
        <v>1238.1666666666667</v>
      </c>
      <c r="F101" s="5">
        <f t="shared" si="6"/>
        <v>52.833333333333258</v>
      </c>
      <c r="G101" s="5">
        <f t="shared" si="7"/>
        <v>2791.3611111111031</v>
      </c>
    </row>
    <row r="102" spans="1:7" x14ac:dyDescent="0.2">
      <c r="A102" s="2">
        <v>39783</v>
      </c>
      <c r="B102" s="3">
        <v>1293</v>
      </c>
      <c r="C102" s="7" t="s">
        <v>33</v>
      </c>
      <c r="D102" s="5">
        <f t="shared" si="4"/>
        <v>1249</v>
      </c>
      <c r="E102" s="5">
        <f t="shared" si="5"/>
        <v>1241.8333333333333</v>
      </c>
      <c r="F102" s="5">
        <f t="shared" si="6"/>
        <v>51.166666666666742</v>
      </c>
      <c r="G102" s="5">
        <f t="shared" si="7"/>
        <v>2618.0277777777856</v>
      </c>
    </row>
    <row r="103" spans="1:7" x14ac:dyDescent="0.2">
      <c r="A103" s="2">
        <v>39814</v>
      </c>
      <c r="B103" s="3">
        <v>1289</v>
      </c>
      <c r="C103" s="7" t="s">
        <v>33</v>
      </c>
      <c r="D103" s="5">
        <f t="shared" si="4"/>
        <v>1256.75</v>
      </c>
      <c r="E103" s="5">
        <f t="shared" si="5"/>
        <v>1249</v>
      </c>
      <c r="F103" s="5">
        <f t="shared" si="6"/>
        <v>40</v>
      </c>
      <c r="G103" s="5">
        <f t="shared" si="7"/>
        <v>1600</v>
      </c>
    </row>
    <row r="104" spans="1:7" x14ac:dyDescent="0.2">
      <c r="A104" s="2">
        <v>39845</v>
      </c>
      <c r="B104" s="3">
        <v>1320</v>
      </c>
      <c r="C104" s="7" t="s">
        <v>33</v>
      </c>
      <c r="D104" s="5">
        <f t="shared" si="4"/>
        <v>1262.0833333333333</v>
      </c>
      <c r="E104" s="5">
        <f t="shared" si="5"/>
        <v>1256.75</v>
      </c>
      <c r="F104" s="5">
        <f t="shared" si="6"/>
        <v>63.25</v>
      </c>
      <c r="G104" s="5">
        <f t="shared" si="7"/>
        <v>4000.5625</v>
      </c>
    </row>
    <row r="105" spans="1:7" x14ac:dyDescent="0.2">
      <c r="A105" s="2">
        <v>39873</v>
      </c>
      <c r="B105" s="3">
        <v>1313</v>
      </c>
      <c r="C105" s="7" t="s">
        <v>33</v>
      </c>
      <c r="D105" s="5">
        <f t="shared" si="4"/>
        <v>1271.0833333333333</v>
      </c>
      <c r="E105" s="5">
        <f t="shared" si="5"/>
        <v>1262.0833333333333</v>
      </c>
      <c r="F105" s="5">
        <f t="shared" si="6"/>
        <v>50.916666666666742</v>
      </c>
      <c r="G105" s="5">
        <f t="shared" si="7"/>
        <v>2592.5069444444521</v>
      </c>
    </row>
    <row r="106" spans="1:7" x14ac:dyDescent="0.2">
      <c r="A106" s="2">
        <v>39904</v>
      </c>
      <c r="B106" s="3">
        <v>1265</v>
      </c>
      <c r="C106" s="7" t="s">
        <v>33</v>
      </c>
      <c r="D106" s="5">
        <f t="shared" si="4"/>
        <v>1278.4166666666667</v>
      </c>
      <c r="E106" s="5">
        <f t="shared" si="5"/>
        <v>1271.0833333333333</v>
      </c>
      <c r="F106" s="5">
        <f t="shared" si="6"/>
        <v>-6.0833333333332575</v>
      </c>
      <c r="G106" s="5">
        <f t="shared" si="7"/>
        <v>37.006944444443519</v>
      </c>
    </row>
    <row r="107" spans="1:7" x14ac:dyDescent="0.2">
      <c r="A107" s="2">
        <v>39934</v>
      </c>
      <c r="B107" s="3">
        <v>1233</v>
      </c>
      <c r="C107" s="7" t="s">
        <v>33</v>
      </c>
      <c r="D107" s="5">
        <f t="shared" si="4"/>
        <v>1275.9166666666667</v>
      </c>
      <c r="E107" s="5">
        <f t="shared" si="5"/>
        <v>1278.4166666666667</v>
      </c>
      <c r="F107" s="5">
        <f t="shared" si="6"/>
        <v>-45.416666666666742</v>
      </c>
      <c r="G107" s="5">
        <f t="shared" si="7"/>
        <v>2062.6736111111181</v>
      </c>
    </row>
    <row r="108" spans="1:7" x14ac:dyDescent="0.2">
      <c r="A108" s="2">
        <v>39965</v>
      </c>
      <c r="B108" s="3">
        <v>1187</v>
      </c>
      <c r="C108" s="7" t="s">
        <v>33</v>
      </c>
      <c r="D108" s="5">
        <f t="shared" si="4"/>
        <v>1276.0833333333333</v>
      </c>
      <c r="E108" s="5">
        <f t="shared" si="5"/>
        <v>1275.9166666666667</v>
      </c>
      <c r="F108" s="5">
        <f t="shared" si="6"/>
        <v>-88.916666666666742</v>
      </c>
      <c r="G108" s="5">
        <f t="shared" si="7"/>
        <v>7906.173611111125</v>
      </c>
    </row>
    <row r="109" spans="1:7" x14ac:dyDescent="0.2">
      <c r="A109" s="2">
        <v>39995</v>
      </c>
      <c r="B109" s="3">
        <v>1278</v>
      </c>
      <c r="C109" s="7" t="s">
        <v>33</v>
      </c>
      <c r="D109" s="5">
        <f t="shared" si="4"/>
        <v>1277.5</v>
      </c>
      <c r="E109" s="5">
        <f t="shared" si="5"/>
        <v>1276.0833333333333</v>
      </c>
      <c r="F109" s="5">
        <f t="shared" si="6"/>
        <v>1.9166666666667425</v>
      </c>
      <c r="G109" s="5">
        <f t="shared" si="7"/>
        <v>3.6736111111114016</v>
      </c>
    </row>
    <row r="110" spans="1:7" x14ac:dyDescent="0.2">
      <c r="A110" s="2">
        <v>40026</v>
      </c>
      <c r="B110" s="3">
        <v>1197</v>
      </c>
      <c r="C110" s="7" t="s">
        <v>33</v>
      </c>
      <c r="D110" s="5">
        <f t="shared" si="4"/>
        <v>1277.5833333333333</v>
      </c>
      <c r="E110" s="5">
        <f t="shared" si="5"/>
        <v>1277.5</v>
      </c>
      <c r="F110" s="5">
        <f t="shared" si="6"/>
        <v>-80.5</v>
      </c>
      <c r="G110" s="5">
        <f t="shared" si="7"/>
        <v>6480.25</v>
      </c>
    </row>
    <row r="111" spans="1:7" x14ac:dyDescent="0.2">
      <c r="A111" s="2">
        <v>40057</v>
      </c>
      <c r="B111" s="3">
        <v>1181</v>
      </c>
      <c r="C111" s="7" t="s">
        <v>33</v>
      </c>
      <c r="D111" s="5">
        <f t="shared" si="4"/>
        <v>1271.75</v>
      </c>
      <c r="E111" s="5">
        <f t="shared" si="5"/>
        <v>1277.5833333333333</v>
      </c>
      <c r="F111" s="5">
        <f t="shared" si="6"/>
        <v>-96.583333333333258</v>
      </c>
      <c r="G111" s="5">
        <f t="shared" si="7"/>
        <v>9328.3402777777628</v>
      </c>
    </row>
    <row r="112" spans="1:7" x14ac:dyDescent="0.2">
      <c r="A112" s="2">
        <v>40087</v>
      </c>
      <c r="B112" s="3">
        <v>1367</v>
      </c>
      <c r="C112" s="7" t="s">
        <v>33</v>
      </c>
      <c r="D112" s="5">
        <f t="shared" si="4"/>
        <v>1267.8333333333333</v>
      </c>
      <c r="E112" s="5">
        <f t="shared" si="5"/>
        <v>1271.75</v>
      </c>
      <c r="F112" s="5">
        <f t="shared" si="6"/>
        <v>95.25</v>
      </c>
      <c r="G112" s="5">
        <f t="shared" si="7"/>
        <v>9072.5625</v>
      </c>
    </row>
    <row r="113" spans="1:7" x14ac:dyDescent="0.2">
      <c r="A113" s="2">
        <v>40118</v>
      </c>
      <c r="B113" s="3">
        <v>1234</v>
      </c>
      <c r="C113" s="7" t="s">
        <v>33</v>
      </c>
      <c r="D113" s="5">
        <f t="shared" si="4"/>
        <v>1263.0833333333333</v>
      </c>
      <c r="E113" s="5">
        <f t="shared" si="5"/>
        <v>1267.8333333333333</v>
      </c>
      <c r="F113" s="5">
        <f t="shared" si="6"/>
        <v>-33.833333333333258</v>
      </c>
      <c r="G113" s="5">
        <f t="shared" si="7"/>
        <v>1144.6944444444393</v>
      </c>
    </row>
    <row r="114" spans="1:7" x14ac:dyDescent="0.2">
      <c r="A114" s="2">
        <v>40148</v>
      </c>
      <c r="B114" s="3">
        <v>1254</v>
      </c>
      <c r="C114" s="7" t="s">
        <v>33</v>
      </c>
      <c r="D114" s="5">
        <f t="shared" si="4"/>
        <v>1259.8333333333333</v>
      </c>
      <c r="E114" s="5">
        <f t="shared" si="5"/>
        <v>1263.0833333333333</v>
      </c>
      <c r="F114" s="5">
        <f t="shared" si="6"/>
        <v>-9.0833333333332575</v>
      </c>
      <c r="G114" s="5">
        <f t="shared" si="7"/>
        <v>82.506944444443064</v>
      </c>
    </row>
    <row r="115" spans="1:7" x14ac:dyDescent="0.2">
      <c r="A115" s="2">
        <v>40179</v>
      </c>
      <c r="B115" s="3">
        <v>1287</v>
      </c>
      <c r="C115" s="7" t="s">
        <v>33</v>
      </c>
      <c r="D115" s="5">
        <f t="shared" si="4"/>
        <v>1259.6666666666667</v>
      </c>
      <c r="E115" s="5">
        <f t="shared" si="5"/>
        <v>1259.8333333333333</v>
      </c>
      <c r="F115" s="5">
        <f t="shared" si="6"/>
        <v>27.166666666666742</v>
      </c>
      <c r="G115" s="5">
        <f t="shared" si="7"/>
        <v>738.02777777778192</v>
      </c>
    </row>
    <row r="116" spans="1:7" x14ac:dyDescent="0.2">
      <c r="A116" s="2">
        <v>40210</v>
      </c>
      <c r="B116" s="3">
        <v>1314</v>
      </c>
      <c r="C116" s="7" t="s">
        <v>33</v>
      </c>
      <c r="D116" s="5">
        <f t="shared" si="4"/>
        <v>1259.1666666666667</v>
      </c>
      <c r="E116" s="5">
        <f t="shared" si="5"/>
        <v>1259.6666666666667</v>
      </c>
      <c r="F116" s="5">
        <f t="shared" si="6"/>
        <v>54.333333333333258</v>
      </c>
      <c r="G116" s="5">
        <f t="shared" si="7"/>
        <v>2952.1111111111027</v>
      </c>
    </row>
    <row r="117" spans="1:7" x14ac:dyDescent="0.2">
      <c r="A117" s="2">
        <v>40238</v>
      </c>
      <c r="B117" s="3">
        <v>1395</v>
      </c>
      <c r="C117" s="7" t="s">
        <v>33</v>
      </c>
      <c r="D117" s="5">
        <f t="shared" si="4"/>
        <v>1266</v>
      </c>
      <c r="E117" s="5">
        <f t="shared" si="5"/>
        <v>1259.1666666666667</v>
      </c>
      <c r="F117" s="5">
        <f t="shared" si="6"/>
        <v>135.83333333333326</v>
      </c>
      <c r="G117" s="5">
        <f t="shared" si="7"/>
        <v>18450.694444444423</v>
      </c>
    </row>
    <row r="118" spans="1:7" x14ac:dyDescent="0.2">
      <c r="A118" s="2">
        <v>40269</v>
      </c>
      <c r="B118" s="3">
        <v>1337</v>
      </c>
      <c r="C118" s="7" t="s">
        <v>33</v>
      </c>
      <c r="D118" s="5">
        <f t="shared" si="4"/>
        <v>1272</v>
      </c>
      <c r="E118" s="5">
        <f t="shared" si="5"/>
        <v>1266</v>
      </c>
      <c r="F118" s="5">
        <f t="shared" si="6"/>
        <v>71</v>
      </c>
      <c r="G118" s="5">
        <f t="shared" si="7"/>
        <v>5041</v>
      </c>
    </row>
    <row r="119" spans="1:7" x14ac:dyDescent="0.2">
      <c r="A119" s="2">
        <v>40299</v>
      </c>
      <c r="B119" s="3">
        <v>1363</v>
      </c>
      <c r="C119" s="7" t="s">
        <v>33</v>
      </c>
      <c r="D119" s="5">
        <f t="shared" si="4"/>
        <v>1282.8333333333333</v>
      </c>
      <c r="E119" s="5">
        <f t="shared" si="5"/>
        <v>1272</v>
      </c>
      <c r="F119" s="5">
        <f t="shared" si="6"/>
        <v>91</v>
      </c>
      <c r="G119" s="5">
        <f t="shared" si="7"/>
        <v>8281</v>
      </c>
    </row>
    <row r="120" spans="1:7" x14ac:dyDescent="0.2">
      <c r="A120" s="2">
        <v>40330</v>
      </c>
      <c r="B120" s="3">
        <v>1352</v>
      </c>
      <c r="C120" s="7" t="s">
        <v>33</v>
      </c>
      <c r="D120" s="5">
        <f t="shared" si="4"/>
        <v>1296.5833333333333</v>
      </c>
      <c r="E120" s="5">
        <f t="shared" si="5"/>
        <v>1282.8333333333333</v>
      </c>
      <c r="F120" s="5">
        <f t="shared" si="6"/>
        <v>69.166666666666742</v>
      </c>
      <c r="G120" s="5">
        <f t="shared" si="7"/>
        <v>4784.0277777777883</v>
      </c>
    </row>
    <row r="121" spans="1:7" x14ac:dyDescent="0.2">
      <c r="A121" s="2">
        <v>40360</v>
      </c>
      <c r="B121" s="3">
        <v>1403</v>
      </c>
      <c r="C121" s="7" t="s">
        <v>33</v>
      </c>
      <c r="D121" s="5">
        <f t="shared" si="4"/>
        <v>1307</v>
      </c>
      <c r="E121" s="5">
        <f t="shared" si="5"/>
        <v>1296.5833333333333</v>
      </c>
      <c r="F121" s="5">
        <f t="shared" si="6"/>
        <v>106.41666666666674</v>
      </c>
      <c r="G121" s="5">
        <f t="shared" si="7"/>
        <v>11324.50694444446</v>
      </c>
    </row>
    <row r="122" spans="1:7" x14ac:dyDescent="0.2">
      <c r="A122" s="2">
        <v>40391</v>
      </c>
      <c r="B122" s="3">
        <v>1289</v>
      </c>
      <c r="C122" s="7" t="s">
        <v>33</v>
      </c>
      <c r="D122" s="5">
        <f t="shared" si="4"/>
        <v>1314.6666666666667</v>
      </c>
      <c r="E122" s="5">
        <f t="shared" si="5"/>
        <v>1307</v>
      </c>
      <c r="F122" s="5">
        <f t="shared" si="6"/>
        <v>-18</v>
      </c>
      <c r="G122" s="5">
        <f t="shared" si="7"/>
        <v>324</v>
      </c>
    </row>
    <row r="123" spans="1:7" x14ac:dyDescent="0.2">
      <c r="A123" s="2">
        <v>40422</v>
      </c>
      <c r="B123" s="3">
        <v>1274</v>
      </c>
      <c r="C123" s="7" t="s">
        <v>33</v>
      </c>
      <c r="D123" s="5">
        <f t="shared" si="4"/>
        <v>1322.4166666666667</v>
      </c>
      <c r="E123" s="5">
        <f t="shared" si="5"/>
        <v>1314.6666666666667</v>
      </c>
      <c r="F123" s="5">
        <f t="shared" si="6"/>
        <v>-40.666666666666742</v>
      </c>
      <c r="G123" s="5">
        <f t="shared" si="7"/>
        <v>1653.777777777784</v>
      </c>
    </row>
    <row r="124" spans="1:7" x14ac:dyDescent="0.2">
      <c r="A124" s="2">
        <v>40452</v>
      </c>
      <c r="B124" s="3">
        <v>1430</v>
      </c>
      <c r="C124" s="7" t="s">
        <v>33</v>
      </c>
      <c r="D124" s="5">
        <f t="shared" si="4"/>
        <v>1327.6666666666667</v>
      </c>
      <c r="E124" s="5">
        <f t="shared" si="5"/>
        <v>1322.4166666666667</v>
      </c>
      <c r="F124" s="5">
        <f t="shared" si="6"/>
        <v>107.58333333333326</v>
      </c>
      <c r="G124" s="5">
        <f t="shared" si="7"/>
        <v>11574.173611111095</v>
      </c>
    </row>
    <row r="125" spans="1:7" x14ac:dyDescent="0.2">
      <c r="A125" s="2">
        <v>40483</v>
      </c>
      <c r="B125" s="3">
        <v>1343</v>
      </c>
      <c r="C125" s="7" t="s">
        <v>33</v>
      </c>
      <c r="D125" s="5">
        <f t="shared" si="4"/>
        <v>1336.75</v>
      </c>
      <c r="E125" s="5">
        <f t="shared" si="5"/>
        <v>1327.6666666666667</v>
      </c>
      <c r="F125" s="5">
        <f t="shared" si="6"/>
        <v>15.333333333333258</v>
      </c>
      <c r="G125" s="5">
        <f t="shared" si="7"/>
        <v>235.11111111110878</v>
      </c>
    </row>
    <row r="126" spans="1:7" x14ac:dyDescent="0.2">
      <c r="A126" s="2">
        <v>40513</v>
      </c>
      <c r="B126" s="3">
        <v>1405</v>
      </c>
      <c r="C126" s="7" t="s">
        <v>33</v>
      </c>
      <c r="D126" s="5">
        <f t="shared" si="4"/>
        <v>1349.3333333333333</v>
      </c>
      <c r="E126" s="5">
        <f t="shared" si="5"/>
        <v>1336.75</v>
      </c>
      <c r="F126" s="5">
        <f t="shared" si="6"/>
        <v>68.25</v>
      </c>
      <c r="G126" s="5">
        <f t="shared" si="7"/>
        <v>4658.0625</v>
      </c>
    </row>
    <row r="127" spans="1:7" x14ac:dyDescent="0.2">
      <c r="A127" s="2">
        <v>40544</v>
      </c>
      <c r="B127" s="3">
        <v>1372</v>
      </c>
      <c r="C127" s="7" t="s">
        <v>33</v>
      </c>
      <c r="D127" s="5">
        <f t="shared" si="4"/>
        <v>1356.4166666666667</v>
      </c>
      <c r="E127" s="5">
        <f t="shared" si="5"/>
        <v>1349.3333333333333</v>
      </c>
      <c r="F127" s="5">
        <f t="shared" si="6"/>
        <v>22.666666666666742</v>
      </c>
      <c r="G127" s="5">
        <f t="shared" si="7"/>
        <v>513.77777777778124</v>
      </c>
    </row>
    <row r="128" spans="1:7" x14ac:dyDescent="0.2">
      <c r="A128" s="2">
        <v>40575</v>
      </c>
      <c r="B128" s="3">
        <v>1426</v>
      </c>
      <c r="C128" s="7" t="s">
        <v>33</v>
      </c>
      <c r="D128" s="5">
        <f t="shared" si="4"/>
        <v>1365.75</v>
      </c>
      <c r="E128" s="5">
        <f t="shared" si="5"/>
        <v>1356.4166666666667</v>
      </c>
      <c r="F128" s="5">
        <f t="shared" si="6"/>
        <v>69.583333333333258</v>
      </c>
      <c r="G128" s="5">
        <f t="shared" si="7"/>
        <v>4841.8402777777674</v>
      </c>
    </row>
    <row r="129" spans="1:7" x14ac:dyDescent="0.2">
      <c r="A129" s="2">
        <v>40603</v>
      </c>
      <c r="B129" s="3">
        <v>1431</v>
      </c>
      <c r="C129" s="7" t="s">
        <v>33</v>
      </c>
      <c r="D129" s="5">
        <f t="shared" si="4"/>
        <v>1368.75</v>
      </c>
      <c r="E129" s="5">
        <f t="shared" si="5"/>
        <v>1365.75</v>
      </c>
      <c r="F129" s="5">
        <f t="shared" si="6"/>
        <v>65.25</v>
      </c>
      <c r="G129" s="5">
        <f t="shared" si="7"/>
        <v>4257.5625</v>
      </c>
    </row>
    <row r="130" spans="1:7" x14ac:dyDescent="0.2">
      <c r="A130" s="2">
        <v>40634</v>
      </c>
      <c r="B130" s="3">
        <v>1297</v>
      </c>
      <c r="C130" s="7" t="s">
        <v>33</v>
      </c>
      <c r="D130" s="5">
        <f t="shared" si="4"/>
        <v>1365.4166666666667</v>
      </c>
      <c r="E130" s="5">
        <f t="shared" si="5"/>
        <v>1368.75</v>
      </c>
      <c r="F130" s="5">
        <f t="shared" si="6"/>
        <v>-71.75</v>
      </c>
      <c r="G130" s="5">
        <f t="shared" si="7"/>
        <v>5148.0625</v>
      </c>
    </row>
    <row r="131" spans="1:7" x14ac:dyDescent="0.2">
      <c r="A131" s="2">
        <v>40664</v>
      </c>
      <c r="B131" s="3">
        <v>1349</v>
      </c>
      <c r="C131" s="7" t="s">
        <v>33</v>
      </c>
      <c r="D131" s="5">
        <f t="shared" si="4"/>
        <v>1364.25</v>
      </c>
      <c r="E131" s="5">
        <f t="shared" si="5"/>
        <v>1365.4166666666667</v>
      </c>
      <c r="F131" s="5">
        <f t="shared" si="6"/>
        <v>-16.416666666666742</v>
      </c>
      <c r="G131" s="5">
        <f t="shared" si="7"/>
        <v>269.50694444444696</v>
      </c>
    </row>
    <row r="132" spans="1:7" x14ac:dyDescent="0.2">
      <c r="A132" s="2">
        <v>40695</v>
      </c>
      <c r="B132" s="3">
        <v>1347</v>
      </c>
      <c r="C132" s="7" t="s">
        <v>33</v>
      </c>
      <c r="D132" s="5">
        <f t="shared" si="4"/>
        <v>1363.8333333333333</v>
      </c>
      <c r="E132" s="5">
        <f t="shared" si="5"/>
        <v>1364.25</v>
      </c>
      <c r="F132" s="5">
        <f t="shared" si="6"/>
        <v>-17.25</v>
      </c>
      <c r="G132" s="5">
        <f t="shared" si="7"/>
        <v>297.5625</v>
      </c>
    </row>
    <row r="133" spans="1:7" x14ac:dyDescent="0.2">
      <c r="A133" s="2">
        <v>40725</v>
      </c>
      <c r="B133" s="3">
        <v>1367</v>
      </c>
      <c r="C133" s="7" t="s">
        <v>33</v>
      </c>
      <c r="D133" s="5">
        <f t="shared" si="4"/>
        <v>1360.8333333333333</v>
      </c>
      <c r="E133" s="5">
        <f t="shared" si="5"/>
        <v>1363.8333333333333</v>
      </c>
      <c r="F133" s="5">
        <f t="shared" si="6"/>
        <v>3.1666666666667425</v>
      </c>
      <c r="G133" s="5">
        <f t="shared" si="7"/>
        <v>10.027777777778258</v>
      </c>
    </row>
    <row r="134" spans="1:7" x14ac:dyDescent="0.2">
      <c r="A134" s="2">
        <v>40756</v>
      </c>
      <c r="B134" s="3">
        <v>1328</v>
      </c>
      <c r="C134" s="7" t="s">
        <v>33</v>
      </c>
      <c r="D134" s="5">
        <f t="shared" si="4"/>
        <v>1364.0833333333333</v>
      </c>
      <c r="E134" s="5">
        <f t="shared" si="5"/>
        <v>1360.8333333333333</v>
      </c>
      <c r="F134" s="5">
        <f t="shared" si="6"/>
        <v>-32.833333333333258</v>
      </c>
      <c r="G134" s="5">
        <f t="shared" si="7"/>
        <v>1078.0277777777728</v>
      </c>
    </row>
    <row r="135" spans="1:7" x14ac:dyDescent="0.2">
      <c r="A135" s="2">
        <v>40787</v>
      </c>
      <c r="B135" s="3">
        <v>1280</v>
      </c>
      <c r="C135" s="7" t="s">
        <v>33</v>
      </c>
      <c r="D135" s="5">
        <f t="shared" si="4"/>
        <v>1364.5833333333333</v>
      </c>
      <c r="E135" s="5">
        <f t="shared" si="5"/>
        <v>1364.0833333333333</v>
      </c>
      <c r="F135" s="5">
        <f t="shared" si="6"/>
        <v>-84.083333333333258</v>
      </c>
      <c r="G135" s="5">
        <f t="shared" si="7"/>
        <v>7070.0069444444316</v>
      </c>
    </row>
    <row r="136" spans="1:7" x14ac:dyDescent="0.2">
      <c r="A136" s="2">
        <v>40817</v>
      </c>
      <c r="B136" s="3">
        <v>1478</v>
      </c>
      <c r="C136" s="7" t="s">
        <v>33</v>
      </c>
      <c r="D136" s="5">
        <f t="shared" si="4"/>
        <v>1368.5833333333333</v>
      </c>
      <c r="E136" s="5">
        <f t="shared" si="5"/>
        <v>1364.5833333333333</v>
      </c>
      <c r="F136" s="5">
        <f t="shared" si="6"/>
        <v>113.41666666666674</v>
      </c>
      <c r="G136" s="5">
        <f t="shared" si="7"/>
        <v>12863.340277777796</v>
      </c>
    </row>
    <row r="137" spans="1:7" x14ac:dyDescent="0.2">
      <c r="A137" s="2">
        <v>40848</v>
      </c>
      <c r="B137" s="3">
        <v>1407</v>
      </c>
      <c r="C137" s="7" t="s">
        <v>33</v>
      </c>
      <c r="D137" s="5">
        <f t="shared" si="4"/>
        <v>1373.9166666666667</v>
      </c>
      <c r="E137" s="5">
        <f t="shared" si="5"/>
        <v>1368.5833333333333</v>
      </c>
      <c r="F137" s="5">
        <f t="shared" si="6"/>
        <v>38.416666666666742</v>
      </c>
      <c r="G137" s="5">
        <f t="shared" si="7"/>
        <v>1475.8402777777835</v>
      </c>
    </row>
    <row r="138" spans="1:7" x14ac:dyDescent="0.2">
      <c r="A138" s="2">
        <v>40878</v>
      </c>
      <c r="B138" s="3">
        <v>1523</v>
      </c>
      <c r="C138" s="7" t="s">
        <v>33</v>
      </c>
      <c r="D138" s="5">
        <f t="shared" si="4"/>
        <v>1383.75</v>
      </c>
      <c r="E138" s="5">
        <f t="shared" si="5"/>
        <v>1373.9166666666667</v>
      </c>
      <c r="F138" s="5">
        <f t="shared" si="6"/>
        <v>149.08333333333326</v>
      </c>
      <c r="G138" s="5">
        <f t="shared" si="7"/>
        <v>22225.840277777756</v>
      </c>
    </row>
    <row r="139" spans="1:7" x14ac:dyDescent="0.2">
      <c r="A139" s="2">
        <v>40909</v>
      </c>
      <c r="B139" s="3">
        <v>1403</v>
      </c>
      <c r="C139" s="7" t="s">
        <v>33</v>
      </c>
      <c r="D139" s="5">
        <f t="shared" si="4"/>
        <v>1386.3333333333333</v>
      </c>
      <c r="E139" s="5">
        <f t="shared" si="5"/>
        <v>1383.75</v>
      </c>
      <c r="F139" s="5">
        <f t="shared" si="6"/>
        <v>19.25</v>
      </c>
      <c r="G139" s="5">
        <f t="shared" si="7"/>
        <v>370.5625</v>
      </c>
    </row>
    <row r="140" spans="1:7" x14ac:dyDescent="0.2">
      <c r="A140" s="2">
        <v>40940</v>
      </c>
      <c r="B140" s="3">
        <v>1477</v>
      </c>
      <c r="C140" s="7" t="s">
        <v>33</v>
      </c>
      <c r="D140" s="5">
        <f t="shared" si="4"/>
        <v>1390.5833333333333</v>
      </c>
      <c r="E140" s="5">
        <f t="shared" si="5"/>
        <v>1386.3333333333333</v>
      </c>
      <c r="F140" s="5">
        <f t="shared" si="6"/>
        <v>90.666666666666742</v>
      </c>
      <c r="G140" s="5">
        <f t="shared" si="7"/>
        <v>8220.444444444458</v>
      </c>
    </row>
    <row r="141" spans="1:7" x14ac:dyDescent="0.2">
      <c r="A141" s="2">
        <v>40969</v>
      </c>
      <c r="B141" s="3">
        <v>1572</v>
      </c>
      <c r="C141" s="7" t="s">
        <v>33</v>
      </c>
      <c r="D141" s="5">
        <f t="shared" si="4"/>
        <v>1402.3333333333333</v>
      </c>
      <c r="E141" s="5">
        <f t="shared" si="5"/>
        <v>1390.5833333333333</v>
      </c>
      <c r="F141" s="5">
        <f t="shared" si="6"/>
        <v>181.41666666666674</v>
      </c>
      <c r="G141" s="5">
        <f t="shared" si="7"/>
        <v>32912.006944444474</v>
      </c>
    </row>
    <row r="142" spans="1:7" x14ac:dyDescent="0.2">
      <c r="A142" s="2">
        <v>41000</v>
      </c>
      <c r="B142" s="3">
        <v>1434</v>
      </c>
      <c r="C142" s="7" t="s">
        <v>33</v>
      </c>
      <c r="D142" s="5">
        <f t="shared" ref="D142:D205" si="8">AVERAGE(B131:B142)</f>
        <v>1413.75</v>
      </c>
      <c r="E142" s="5">
        <f t="shared" si="5"/>
        <v>1402.3333333333333</v>
      </c>
      <c r="F142" s="5">
        <f t="shared" si="6"/>
        <v>31.666666666666742</v>
      </c>
      <c r="G142" s="5">
        <f t="shared" si="7"/>
        <v>1002.7777777777826</v>
      </c>
    </row>
    <row r="143" spans="1:7" x14ac:dyDescent="0.2">
      <c r="A143" s="2">
        <v>41030</v>
      </c>
      <c r="B143" s="3">
        <v>1508</v>
      </c>
      <c r="C143" s="7" t="s">
        <v>33</v>
      </c>
      <c r="D143" s="5">
        <f t="shared" si="8"/>
        <v>1427</v>
      </c>
      <c r="E143" s="5">
        <f t="shared" ref="E143:E206" si="9">+D142</f>
        <v>1413.75</v>
      </c>
      <c r="F143" s="5">
        <f t="shared" ref="F143:F206" si="10">B143-E143</f>
        <v>94.25</v>
      </c>
      <c r="G143" s="5">
        <f t="shared" ref="G143:G206" si="11">F143^2</f>
        <v>8883.0625</v>
      </c>
    </row>
    <row r="144" spans="1:7" x14ac:dyDescent="0.2">
      <c r="A144" s="2">
        <v>41061</v>
      </c>
      <c r="B144" s="3">
        <v>1428</v>
      </c>
      <c r="C144" s="7" t="s">
        <v>33</v>
      </c>
      <c r="D144" s="5">
        <f t="shared" si="8"/>
        <v>1433.75</v>
      </c>
      <c r="E144" s="5">
        <f t="shared" si="9"/>
        <v>1427</v>
      </c>
      <c r="F144" s="5">
        <f t="shared" si="10"/>
        <v>1</v>
      </c>
      <c r="G144" s="5">
        <f t="shared" si="11"/>
        <v>1</v>
      </c>
    </row>
    <row r="145" spans="1:7" x14ac:dyDescent="0.2">
      <c r="A145" s="2">
        <v>41091</v>
      </c>
      <c r="B145" s="3">
        <v>1421</v>
      </c>
      <c r="C145" s="7" t="s">
        <v>33</v>
      </c>
      <c r="D145" s="5">
        <f t="shared" si="8"/>
        <v>1438.25</v>
      </c>
      <c r="E145" s="5">
        <f t="shared" si="9"/>
        <v>1433.75</v>
      </c>
      <c r="F145" s="5">
        <f t="shared" si="10"/>
        <v>-12.75</v>
      </c>
      <c r="G145" s="5">
        <f t="shared" si="11"/>
        <v>162.5625</v>
      </c>
    </row>
    <row r="146" spans="1:7" x14ac:dyDescent="0.2">
      <c r="A146" s="2">
        <v>41122</v>
      </c>
      <c r="B146" s="3">
        <v>1444</v>
      </c>
      <c r="C146" s="7" t="s">
        <v>33</v>
      </c>
      <c r="D146" s="5">
        <f t="shared" si="8"/>
        <v>1447.9166666666667</v>
      </c>
      <c r="E146" s="5">
        <f t="shared" si="9"/>
        <v>1438.25</v>
      </c>
      <c r="F146" s="5">
        <f t="shared" si="10"/>
        <v>5.75</v>
      </c>
      <c r="G146" s="5">
        <f t="shared" si="11"/>
        <v>33.0625</v>
      </c>
    </row>
    <row r="147" spans="1:7" x14ac:dyDescent="0.2">
      <c r="A147" s="2">
        <v>41153</v>
      </c>
      <c r="B147" s="3">
        <v>1412</v>
      </c>
      <c r="C147" s="7" t="s">
        <v>33</v>
      </c>
      <c r="D147" s="5">
        <f t="shared" si="8"/>
        <v>1458.9166666666667</v>
      </c>
      <c r="E147" s="5">
        <f t="shared" si="9"/>
        <v>1447.9166666666667</v>
      </c>
      <c r="F147" s="5">
        <f t="shared" si="10"/>
        <v>-35.916666666666742</v>
      </c>
      <c r="G147" s="5">
        <f t="shared" si="11"/>
        <v>1290.0069444444498</v>
      </c>
    </row>
    <row r="148" spans="1:7" x14ac:dyDescent="0.2">
      <c r="A148" s="2">
        <v>41183</v>
      </c>
      <c r="B148" s="3">
        <v>1501</v>
      </c>
      <c r="C148" s="7" t="s">
        <v>33</v>
      </c>
      <c r="D148" s="5">
        <f t="shared" si="8"/>
        <v>1460.8333333333333</v>
      </c>
      <c r="E148" s="5">
        <f t="shared" si="9"/>
        <v>1458.9166666666667</v>
      </c>
      <c r="F148" s="5">
        <f t="shared" si="10"/>
        <v>42.083333333333258</v>
      </c>
      <c r="G148" s="5">
        <f t="shared" si="11"/>
        <v>1771.006944444438</v>
      </c>
    </row>
    <row r="149" spans="1:7" x14ac:dyDescent="0.2">
      <c r="A149" s="2">
        <v>41214</v>
      </c>
      <c r="B149" s="3">
        <v>1450</v>
      </c>
      <c r="C149" s="7" t="s">
        <v>33</v>
      </c>
      <c r="D149" s="5">
        <f t="shared" si="8"/>
        <v>1464.4166666666667</v>
      </c>
      <c r="E149" s="5">
        <f t="shared" si="9"/>
        <v>1460.8333333333333</v>
      </c>
      <c r="F149" s="5">
        <f t="shared" si="10"/>
        <v>-10.833333333333258</v>
      </c>
      <c r="G149" s="5">
        <f t="shared" si="11"/>
        <v>117.36111111110947</v>
      </c>
    </row>
    <row r="150" spans="1:7" x14ac:dyDescent="0.2">
      <c r="A150" s="2">
        <v>41244</v>
      </c>
      <c r="B150" s="3">
        <v>1498</v>
      </c>
      <c r="C150" s="7" t="s">
        <v>33</v>
      </c>
      <c r="D150" s="5">
        <f t="shared" si="8"/>
        <v>1462.3333333333333</v>
      </c>
      <c r="E150" s="5">
        <f t="shared" si="9"/>
        <v>1464.4166666666667</v>
      </c>
      <c r="F150" s="5">
        <f t="shared" si="10"/>
        <v>33.583333333333258</v>
      </c>
      <c r="G150" s="5">
        <f t="shared" si="11"/>
        <v>1127.8402777777726</v>
      </c>
    </row>
    <row r="151" spans="1:7" x14ac:dyDescent="0.2">
      <c r="A151" s="2">
        <v>41275</v>
      </c>
      <c r="B151" s="3">
        <v>1451</v>
      </c>
      <c r="C151" s="7" t="s">
        <v>33</v>
      </c>
      <c r="D151" s="5">
        <f t="shared" si="8"/>
        <v>1466.3333333333333</v>
      </c>
      <c r="E151" s="5">
        <f t="shared" si="9"/>
        <v>1462.3333333333333</v>
      </c>
      <c r="F151" s="5">
        <f t="shared" si="10"/>
        <v>-11.333333333333258</v>
      </c>
      <c r="G151" s="5">
        <f t="shared" si="11"/>
        <v>128.44444444444272</v>
      </c>
    </row>
    <row r="152" spans="1:7" x14ac:dyDescent="0.2">
      <c r="A152" s="2">
        <v>41306</v>
      </c>
      <c r="B152" s="3">
        <v>1530</v>
      </c>
      <c r="C152" s="7" t="s">
        <v>33</v>
      </c>
      <c r="D152" s="5">
        <f t="shared" si="8"/>
        <v>1470.75</v>
      </c>
      <c r="E152" s="5">
        <f t="shared" si="9"/>
        <v>1466.3333333333333</v>
      </c>
      <c r="F152" s="5">
        <f t="shared" si="10"/>
        <v>63.666666666666742</v>
      </c>
      <c r="G152" s="5">
        <f t="shared" si="11"/>
        <v>4053.4444444444539</v>
      </c>
    </row>
    <row r="153" spans="1:7" x14ac:dyDescent="0.2">
      <c r="A153" s="2">
        <v>41334</v>
      </c>
      <c r="B153" s="3">
        <v>1498</v>
      </c>
      <c r="C153" s="7" t="s">
        <v>33</v>
      </c>
      <c r="D153" s="5">
        <f t="shared" si="8"/>
        <v>1464.5833333333333</v>
      </c>
      <c r="E153" s="5">
        <f t="shared" si="9"/>
        <v>1470.75</v>
      </c>
      <c r="F153" s="5">
        <f t="shared" si="10"/>
        <v>27.25</v>
      </c>
      <c r="G153" s="5">
        <f t="shared" si="11"/>
        <v>742.5625</v>
      </c>
    </row>
    <row r="154" spans="1:7" x14ac:dyDescent="0.2">
      <c r="A154" s="2">
        <v>41365</v>
      </c>
      <c r="B154" s="3">
        <v>1458</v>
      </c>
      <c r="C154" s="7" t="s">
        <v>33</v>
      </c>
      <c r="D154" s="5">
        <f t="shared" si="8"/>
        <v>1466.5833333333333</v>
      </c>
      <c r="E154" s="5">
        <f t="shared" si="9"/>
        <v>1464.5833333333333</v>
      </c>
      <c r="F154" s="5">
        <f t="shared" si="10"/>
        <v>-6.5833333333332575</v>
      </c>
      <c r="G154" s="5">
        <f t="shared" si="11"/>
        <v>43.340277777776777</v>
      </c>
    </row>
    <row r="155" spans="1:7" x14ac:dyDescent="0.2">
      <c r="A155" s="2">
        <v>41395</v>
      </c>
      <c r="B155" s="3">
        <v>1520</v>
      </c>
      <c r="C155" s="7" t="s">
        <v>33</v>
      </c>
      <c r="D155" s="5">
        <f t="shared" si="8"/>
        <v>1467.5833333333333</v>
      </c>
      <c r="E155" s="5">
        <f t="shared" si="9"/>
        <v>1466.5833333333333</v>
      </c>
      <c r="F155" s="5">
        <f t="shared" si="10"/>
        <v>53.416666666666742</v>
      </c>
      <c r="G155" s="5">
        <f t="shared" si="11"/>
        <v>2853.340277777786</v>
      </c>
    </row>
    <row r="156" spans="1:7" x14ac:dyDescent="0.2">
      <c r="A156" s="2">
        <v>41426</v>
      </c>
      <c r="B156" s="3">
        <v>1402</v>
      </c>
      <c r="C156" s="7" t="s">
        <v>33</v>
      </c>
      <c r="D156" s="5">
        <f t="shared" si="8"/>
        <v>1465.4166666666667</v>
      </c>
      <c r="E156" s="5">
        <f t="shared" si="9"/>
        <v>1467.5833333333333</v>
      </c>
      <c r="F156" s="5">
        <f t="shared" si="10"/>
        <v>-65.583333333333258</v>
      </c>
      <c r="G156" s="5">
        <f t="shared" si="11"/>
        <v>4301.1736111111013</v>
      </c>
    </row>
    <row r="157" spans="1:7" x14ac:dyDescent="0.2">
      <c r="A157" s="2">
        <v>41456</v>
      </c>
      <c r="B157" s="3">
        <v>1441</v>
      </c>
      <c r="C157" s="7" t="s">
        <v>33</v>
      </c>
      <c r="D157" s="5">
        <f t="shared" si="8"/>
        <v>1467.0833333333333</v>
      </c>
      <c r="E157" s="5">
        <f t="shared" si="9"/>
        <v>1465.4166666666667</v>
      </c>
      <c r="F157" s="5">
        <f t="shared" si="10"/>
        <v>-24.416666666666742</v>
      </c>
      <c r="G157" s="5">
        <f t="shared" si="11"/>
        <v>596.17361111111484</v>
      </c>
    </row>
    <row r="158" spans="1:7" x14ac:dyDescent="0.2">
      <c r="A158" s="2">
        <v>41487</v>
      </c>
      <c r="B158" s="3">
        <v>1381</v>
      </c>
      <c r="C158" s="7" t="s">
        <v>33</v>
      </c>
      <c r="D158" s="5">
        <f t="shared" si="8"/>
        <v>1461.8333333333333</v>
      </c>
      <c r="E158" s="5">
        <f t="shared" si="9"/>
        <v>1467.0833333333333</v>
      </c>
      <c r="F158" s="5">
        <f t="shared" si="10"/>
        <v>-86.083333333333258</v>
      </c>
      <c r="G158" s="5">
        <f t="shared" si="11"/>
        <v>7410.3402777777646</v>
      </c>
    </row>
    <row r="159" spans="1:7" x14ac:dyDescent="0.2">
      <c r="A159" s="2">
        <v>41518</v>
      </c>
      <c r="B159" s="3">
        <v>1356</v>
      </c>
      <c r="C159" s="7" t="s">
        <v>33</v>
      </c>
      <c r="D159" s="5">
        <f t="shared" si="8"/>
        <v>1457.1666666666667</v>
      </c>
      <c r="E159" s="5">
        <f t="shared" si="9"/>
        <v>1461.8333333333333</v>
      </c>
      <c r="F159" s="5">
        <f t="shared" si="10"/>
        <v>-105.83333333333326</v>
      </c>
      <c r="G159" s="5">
        <f t="shared" si="11"/>
        <v>11200.694444444429</v>
      </c>
    </row>
    <row r="160" spans="1:7" x14ac:dyDescent="0.2">
      <c r="A160" s="2">
        <v>41548</v>
      </c>
      <c r="B160" s="3">
        <v>1488</v>
      </c>
      <c r="C160" s="7" t="s">
        <v>33</v>
      </c>
      <c r="D160" s="5">
        <f t="shared" si="8"/>
        <v>1456.0833333333333</v>
      </c>
      <c r="E160" s="5">
        <f t="shared" si="9"/>
        <v>1457.1666666666667</v>
      </c>
      <c r="F160" s="5">
        <f t="shared" si="10"/>
        <v>30.833333333333258</v>
      </c>
      <c r="G160" s="5">
        <f t="shared" si="11"/>
        <v>950.6944444444398</v>
      </c>
    </row>
    <row r="161" spans="1:7" x14ac:dyDescent="0.2">
      <c r="A161" s="2">
        <v>41579</v>
      </c>
      <c r="B161" s="3">
        <v>1522</v>
      </c>
      <c r="C161" s="7" t="s">
        <v>33</v>
      </c>
      <c r="D161" s="5">
        <f t="shared" si="8"/>
        <v>1462.0833333333333</v>
      </c>
      <c r="E161" s="5">
        <f t="shared" si="9"/>
        <v>1456.0833333333333</v>
      </c>
      <c r="F161" s="5">
        <f t="shared" si="10"/>
        <v>65.916666666666742</v>
      </c>
      <c r="G161" s="5">
        <f t="shared" si="11"/>
        <v>4345.0069444444543</v>
      </c>
    </row>
    <row r="162" spans="1:7" x14ac:dyDescent="0.2">
      <c r="A162" s="2">
        <v>41609</v>
      </c>
      <c r="B162" s="3">
        <v>1501</v>
      </c>
      <c r="C162" s="7" t="s">
        <v>33</v>
      </c>
      <c r="D162" s="5">
        <f t="shared" si="8"/>
        <v>1462.3333333333333</v>
      </c>
      <c r="E162" s="5">
        <f t="shared" si="9"/>
        <v>1462.0833333333333</v>
      </c>
      <c r="F162" s="5">
        <f t="shared" si="10"/>
        <v>38.916666666666742</v>
      </c>
      <c r="G162" s="5">
        <f t="shared" si="11"/>
        <v>1514.5069444444503</v>
      </c>
    </row>
    <row r="163" spans="1:7" x14ac:dyDescent="0.2">
      <c r="A163" s="2">
        <v>41640</v>
      </c>
      <c r="B163" s="3">
        <v>1475</v>
      </c>
      <c r="C163" s="7" t="s">
        <v>33</v>
      </c>
      <c r="D163" s="5">
        <f t="shared" si="8"/>
        <v>1464.3333333333333</v>
      </c>
      <c r="E163" s="5">
        <f t="shared" si="9"/>
        <v>1462.3333333333333</v>
      </c>
      <c r="F163" s="5">
        <f t="shared" si="10"/>
        <v>12.666666666666742</v>
      </c>
      <c r="G163" s="5">
        <f t="shared" si="11"/>
        <v>160.44444444444636</v>
      </c>
    </row>
    <row r="164" spans="1:7" x14ac:dyDescent="0.2">
      <c r="A164" s="2">
        <v>41671</v>
      </c>
      <c r="B164" s="3">
        <v>1576</v>
      </c>
      <c r="C164" s="7" t="s">
        <v>33</v>
      </c>
      <c r="D164" s="5">
        <f t="shared" si="8"/>
        <v>1468.1666666666667</v>
      </c>
      <c r="E164" s="5">
        <f t="shared" si="9"/>
        <v>1464.3333333333333</v>
      </c>
      <c r="F164" s="5">
        <f t="shared" si="10"/>
        <v>111.66666666666674</v>
      </c>
      <c r="G164" s="5">
        <f t="shared" si="11"/>
        <v>12469.444444444462</v>
      </c>
    </row>
    <row r="165" spans="1:7" x14ac:dyDescent="0.2">
      <c r="A165" s="2">
        <v>41699</v>
      </c>
      <c r="B165" s="3">
        <v>1571</v>
      </c>
      <c r="C165" s="7" t="s">
        <v>33</v>
      </c>
      <c r="D165" s="5">
        <f t="shared" si="8"/>
        <v>1474.25</v>
      </c>
      <c r="E165" s="5">
        <f t="shared" si="9"/>
        <v>1468.1666666666667</v>
      </c>
      <c r="F165" s="5">
        <f t="shared" si="10"/>
        <v>102.83333333333326</v>
      </c>
      <c r="G165" s="5">
        <f t="shared" si="11"/>
        <v>10574.694444444429</v>
      </c>
    </row>
    <row r="166" spans="1:7" x14ac:dyDescent="0.2">
      <c r="A166" s="2">
        <v>41730</v>
      </c>
      <c r="B166" s="3">
        <v>1568</v>
      </c>
      <c r="C166" s="7" t="s">
        <v>33</v>
      </c>
      <c r="D166" s="5">
        <f t="shared" si="8"/>
        <v>1483.4166666666667</v>
      </c>
      <c r="E166" s="5">
        <f t="shared" si="9"/>
        <v>1474.25</v>
      </c>
      <c r="F166" s="5">
        <f t="shared" si="10"/>
        <v>93.75</v>
      </c>
      <c r="G166" s="5">
        <f t="shared" si="11"/>
        <v>8789.0625</v>
      </c>
    </row>
    <row r="167" spans="1:7" x14ac:dyDescent="0.2">
      <c r="A167" s="2">
        <v>41760</v>
      </c>
      <c r="B167" s="3">
        <v>1564</v>
      </c>
      <c r="C167" s="7" t="s">
        <v>33</v>
      </c>
      <c r="D167" s="5">
        <f t="shared" si="8"/>
        <v>1487.0833333333333</v>
      </c>
      <c r="E167" s="5">
        <f t="shared" si="9"/>
        <v>1483.4166666666667</v>
      </c>
      <c r="F167" s="5">
        <f t="shared" si="10"/>
        <v>80.583333333333258</v>
      </c>
      <c r="G167" s="5">
        <f t="shared" si="11"/>
        <v>6493.6736111110986</v>
      </c>
    </row>
    <row r="168" spans="1:7" x14ac:dyDescent="0.2">
      <c r="A168" s="2">
        <v>41791</v>
      </c>
      <c r="B168" s="3">
        <v>1482</v>
      </c>
      <c r="C168" s="7" t="s">
        <v>33</v>
      </c>
      <c r="D168" s="5">
        <f t="shared" si="8"/>
        <v>1493.75</v>
      </c>
      <c r="E168" s="5">
        <f t="shared" si="9"/>
        <v>1487.0833333333333</v>
      </c>
      <c r="F168" s="5">
        <f t="shared" si="10"/>
        <v>-5.0833333333332575</v>
      </c>
      <c r="G168" s="5">
        <f t="shared" si="11"/>
        <v>25.840277777777008</v>
      </c>
    </row>
    <row r="169" spans="1:7" x14ac:dyDescent="0.2">
      <c r="A169" s="2">
        <v>41821</v>
      </c>
      <c r="B169" s="3">
        <v>1569</v>
      </c>
      <c r="C169" s="7" t="s">
        <v>33</v>
      </c>
      <c r="D169" s="5">
        <f t="shared" si="8"/>
        <v>1504.4166666666667</v>
      </c>
      <c r="E169" s="5">
        <f t="shared" si="9"/>
        <v>1493.75</v>
      </c>
      <c r="F169" s="5">
        <f t="shared" si="10"/>
        <v>75.25</v>
      </c>
      <c r="G169" s="5">
        <f t="shared" si="11"/>
        <v>5662.5625</v>
      </c>
    </row>
    <row r="170" spans="1:7" x14ac:dyDescent="0.2">
      <c r="A170" s="2">
        <v>41852</v>
      </c>
      <c r="B170" s="3">
        <v>1470</v>
      </c>
      <c r="C170" s="7" t="s">
        <v>33</v>
      </c>
      <c r="D170" s="5">
        <f t="shared" si="8"/>
        <v>1511.8333333333333</v>
      </c>
      <c r="E170" s="5">
        <f t="shared" si="9"/>
        <v>1504.4166666666667</v>
      </c>
      <c r="F170" s="5">
        <f t="shared" si="10"/>
        <v>-34.416666666666742</v>
      </c>
      <c r="G170" s="5">
        <f t="shared" si="11"/>
        <v>1184.5069444444496</v>
      </c>
    </row>
    <row r="171" spans="1:7" x14ac:dyDescent="0.2">
      <c r="A171" s="2">
        <v>41883</v>
      </c>
      <c r="B171" s="3">
        <v>1455</v>
      </c>
      <c r="C171" s="7" t="s">
        <v>33</v>
      </c>
      <c r="D171" s="5">
        <f t="shared" si="8"/>
        <v>1520.0833333333333</v>
      </c>
      <c r="E171" s="5">
        <f t="shared" si="9"/>
        <v>1511.8333333333333</v>
      </c>
      <c r="F171" s="5">
        <f t="shared" si="10"/>
        <v>-56.833333333333258</v>
      </c>
      <c r="G171" s="5">
        <f t="shared" si="11"/>
        <v>3230.0277777777692</v>
      </c>
    </row>
    <row r="172" spans="1:7" x14ac:dyDescent="0.2">
      <c r="A172" s="2">
        <v>41913</v>
      </c>
      <c r="B172" s="3">
        <v>1664</v>
      </c>
      <c r="C172" s="7" t="s">
        <v>33</v>
      </c>
      <c r="D172" s="5">
        <f t="shared" si="8"/>
        <v>1534.75</v>
      </c>
      <c r="E172" s="5">
        <f t="shared" si="9"/>
        <v>1520.0833333333333</v>
      </c>
      <c r="F172" s="5">
        <f t="shared" si="10"/>
        <v>143.91666666666674</v>
      </c>
      <c r="G172" s="5">
        <f t="shared" si="11"/>
        <v>20712.006944444467</v>
      </c>
    </row>
    <row r="173" spans="1:7" x14ac:dyDescent="0.2">
      <c r="A173" s="2">
        <v>41944</v>
      </c>
      <c r="B173" s="3">
        <v>1589</v>
      </c>
      <c r="C173" s="7" t="s">
        <v>33</v>
      </c>
      <c r="D173" s="5">
        <f t="shared" si="8"/>
        <v>1540.3333333333333</v>
      </c>
      <c r="E173" s="5">
        <f t="shared" si="9"/>
        <v>1534.75</v>
      </c>
      <c r="F173" s="5">
        <f t="shared" si="10"/>
        <v>54.25</v>
      </c>
      <c r="G173" s="5">
        <f t="shared" si="11"/>
        <v>2943.0625</v>
      </c>
    </row>
    <row r="174" spans="1:7" x14ac:dyDescent="0.2">
      <c r="A174" s="2">
        <v>41974</v>
      </c>
      <c r="B174" s="3">
        <v>1653</v>
      </c>
      <c r="C174" s="7" t="s">
        <v>33</v>
      </c>
      <c r="D174" s="5">
        <f t="shared" si="8"/>
        <v>1553</v>
      </c>
      <c r="E174" s="5">
        <f t="shared" si="9"/>
        <v>1540.3333333333333</v>
      </c>
      <c r="F174" s="5">
        <f t="shared" si="10"/>
        <v>112.66666666666674</v>
      </c>
      <c r="G174" s="5">
        <f t="shared" si="11"/>
        <v>12693.777777777796</v>
      </c>
    </row>
    <row r="175" spans="1:7" x14ac:dyDescent="0.2">
      <c r="A175" s="2">
        <v>42005</v>
      </c>
      <c r="B175" s="3">
        <v>1639</v>
      </c>
      <c r="C175" s="7" t="s">
        <v>33</v>
      </c>
      <c r="D175" s="5">
        <f t="shared" si="8"/>
        <v>1566.6666666666667</v>
      </c>
      <c r="E175" s="5">
        <f t="shared" si="9"/>
        <v>1553</v>
      </c>
      <c r="F175" s="5">
        <f t="shared" si="10"/>
        <v>86</v>
      </c>
      <c r="G175" s="5">
        <f t="shared" si="11"/>
        <v>7396</v>
      </c>
    </row>
    <row r="176" spans="1:7" x14ac:dyDescent="0.2">
      <c r="A176" s="2">
        <v>42036</v>
      </c>
      <c r="B176" s="3">
        <v>1695</v>
      </c>
      <c r="C176" s="7" t="s">
        <v>33</v>
      </c>
      <c r="D176" s="5">
        <f t="shared" si="8"/>
        <v>1576.5833333333333</v>
      </c>
      <c r="E176" s="5">
        <f t="shared" si="9"/>
        <v>1566.6666666666667</v>
      </c>
      <c r="F176" s="5">
        <f t="shared" si="10"/>
        <v>128.33333333333326</v>
      </c>
      <c r="G176" s="5">
        <f t="shared" si="11"/>
        <v>16469.444444444423</v>
      </c>
    </row>
    <row r="177" spans="1:7" x14ac:dyDescent="0.2">
      <c r="A177" s="2">
        <v>42064</v>
      </c>
      <c r="B177" s="3">
        <v>1694</v>
      </c>
      <c r="C177" s="7" t="s">
        <v>33</v>
      </c>
      <c r="D177" s="5">
        <f t="shared" si="8"/>
        <v>1586.8333333333333</v>
      </c>
      <c r="E177" s="5">
        <f t="shared" si="9"/>
        <v>1576.5833333333333</v>
      </c>
      <c r="F177" s="5">
        <f t="shared" si="10"/>
        <v>117.41666666666674</v>
      </c>
      <c r="G177" s="5">
        <f t="shared" si="11"/>
        <v>13786.67361111113</v>
      </c>
    </row>
    <row r="178" spans="1:7" x14ac:dyDescent="0.2">
      <c r="A178" s="2">
        <v>42095</v>
      </c>
      <c r="B178" s="3">
        <v>1631</v>
      </c>
      <c r="C178" s="7" t="s">
        <v>33</v>
      </c>
      <c r="D178" s="5">
        <f t="shared" si="8"/>
        <v>1592.0833333333333</v>
      </c>
      <c r="E178" s="5">
        <f t="shared" si="9"/>
        <v>1586.8333333333333</v>
      </c>
      <c r="F178" s="5">
        <f t="shared" si="10"/>
        <v>44.166666666666742</v>
      </c>
      <c r="G178" s="5">
        <f t="shared" si="11"/>
        <v>1950.6944444444512</v>
      </c>
    </row>
    <row r="179" spans="1:7" x14ac:dyDescent="0.2">
      <c r="A179" s="2">
        <v>42125</v>
      </c>
      <c r="B179" s="3">
        <v>1640</v>
      </c>
      <c r="C179" s="7" t="s">
        <v>33</v>
      </c>
      <c r="D179" s="5">
        <f t="shared" si="8"/>
        <v>1598.4166666666667</v>
      </c>
      <c r="E179" s="5">
        <f t="shared" si="9"/>
        <v>1592.0833333333333</v>
      </c>
      <c r="F179" s="5">
        <f t="shared" si="10"/>
        <v>47.916666666666742</v>
      </c>
      <c r="G179" s="5">
        <f t="shared" si="11"/>
        <v>2296.0069444444516</v>
      </c>
    </row>
    <row r="180" spans="1:7" x14ac:dyDescent="0.2">
      <c r="A180" s="2">
        <v>42156</v>
      </c>
      <c r="B180" s="3">
        <v>1556</v>
      </c>
      <c r="C180" s="7" t="s">
        <v>33</v>
      </c>
      <c r="D180" s="5">
        <f t="shared" si="8"/>
        <v>1604.5833333333333</v>
      </c>
      <c r="E180" s="5">
        <f t="shared" si="9"/>
        <v>1598.4166666666667</v>
      </c>
      <c r="F180" s="5">
        <f t="shared" si="10"/>
        <v>-42.416666666666742</v>
      </c>
      <c r="G180" s="5">
        <f t="shared" si="11"/>
        <v>1799.1736111111175</v>
      </c>
    </row>
    <row r="181" spans="1:7" x14ac:dyDescent="0.2">
      <c r="A181" s="2">
        <v>42186</v>
      </c>
      <c r="B181" s="3">
        <v>1647</v>
      </c>
      <c r="C181" s="7" t="s">
        <v>33</v>
      </c>
      <c r="D181" s="5">
        <f t="shared" si="8"/>
        <v>1611.0833333333333</v>
      </c>
      <c r="E181" s="5">
        <f t="shared" si="9"/>
        <v>1604.5833333333333</v>
      </c>
      <c r="F181" s="5">
        <f t="shared" si="10"/>
        <v>42.416666666666742</v>
      </c>
      <c r="G181" s="5">
        <f t="shared" si="11"/>
        <v>1799.1736111111175</v>
      </c>
    </row>
    <row r="182" spans="1:7" x14ac:dyDescent="0.2">
      <c r="A182" s="2">
        <v>42217</v>
      </c>
      <c r="B182" s="3">
        <v>1520</v>
      </c>
      <c r="C182" s="7" t="s">
        <v>33</v>
      </c>
      <c r="D182" s="5">
        <f t="shared" si="8"/>
        <v>1615.25</v>
      </c>
      <c r="E182" s="5">
        <f t="shared" si="9"/>
        <v>1611.0833333333333</v>
      </c>
      <c r="F182" s="5">
        <f t="shared" si="10"/>
        <v>-91.083333333333258</v>
      </c>
      <c r="G182" s="5">
        <f t="shared" si="11"/>
        <v>8296.1736111110968</v>
      </c>
    </row>
    <row r="183" spans="1:7" x14ac:dyDescent="0.2">
      <c r="A183" s="2">
        <v>42248</v>
      </c>
      <c r="B183" s="3">
        <v>1475</v>
      </c>
      <c r="C183" s="7" t="s">
        <v>33</v>
      </c>
      <c r="D183" s="5">
        <f t="shared" si="8"/>
        <v>1616.9166666666667</v>
      </c>
      <c r="E183" s="5">
        <f t="shared" si="9"/>
        <v>1615.25</v>
      </c>
      <c r="F183" s="5">
        <f t="shared" si="10"/>
        <v>-140.25</v>
      </c>
      <c r="G183" s="5">
        <f t="shared" si="11"/>
        <v>19670.0625</v>
      </c>
    </row>
    <row r="184" spans="1:7" x14ac:dyDescent="0.2">
      <c r="A184" s="2">
        <v>42278</v>
      </c>
      <c r="B184" s="3">
        <v>1754</v>
      </c>
      <c r="C184" s="7" t="s">
        <v>33</v>
      </c>
      <c r="D184" s="5">
        <f t="shared" si="8"/>
        <v>1624.4166666666667</v>
      </c>
      <c r="E184" s="5">
        <f t="shared" si="9"/>
        <v>1616.9166666666667</v>
      </c>
      <c r="F184" s="5">
        <f t="shared" si="10"/>
        <v>137.08333333333326</v>
      </c>
      <c r="G184" s="5">
        <f t="shared" si="11"/>
        <v>18791.840277777756</v>
      </c>
    </row>
    <row r="185" spans="1:7" x14ac:dyDescent="0.2">
      <c r="A185" s="2">
        <v>42309</v>
      </c>
      <c r="B185" s="3">
        <v>1605</v>
      </c>
      <c r="C185" s="7" t="s">
        <v>33</v>
      </c>
      <c r="D185" s="5">
        <f t="shared" si="8"/>
        <v>1625.75</v>
      </c>
      <c r="E185" s="5">
        <f t="shared" si="9"/>
        <v>1624.4166666666667</v>
      </c>
      <c r="F185" s="5">
        <f t="shared" si="10"/>
        <v>-19.416666666666742</v>
      </c>
      <c r="G185" s="5">
        <f t="shared" si="11"/>
        <v>377.00694444444741</v>
      </c>
    </row>
    <row r="186" spans="1:7" x14ac:dyDescent="0.2">
      <c r="A186" s="2">
        <v>42339</v>
      </c>
      <c r="B186" s="3">
        <v>1701</v>
      </c>
      <c r="C186" s="7" t="s">
        <v>33</v>
      </c>
      <c r="D186" s="5">
        <f t="shared" si="8"/>
        <v>1629.75</v>
      </c>
      <c r="E186" s="5">
        <f t="shared" si="9"/>
        <v>1625.75</v>
      </c>
      <c r="F186" s="5">
        <f t="shared" si="10"/>
        <v>75.25</v>
      </c>
      <c r="G186" s="5">
        <f t="shared" si="11"/>
        <v>5662.5625</v>
      </c>
    </row>
    <row r="187" spans="1:7" x14ac:dyDescent="0.2">
      <c r="A187" s="2">
        <v>42370</v>
      </c>
      <c r="B187" s="3">
        <v>1701</v>
      </c>
      <c r="C187" s="7" t="s">
        <v>33</v>
      </c>
      <c r="D187" s="5">
        <f t="shared" si="8"/>
        <v>1634.9166666666667</v>
      </c>
      <c r="E187" s="5">
        <f t="shared" si="9"/>
        <v>1629.75</v>
      </c>
      <c r="F187" s="5">
        <f t="shared" si="10"/>
        <v>71.25</v>
      </c>
      <c r="G187" s="5">
        <f t="shared" si="11"/>
        <v>5076.5625</v>
      </c>
    </row>
    <row r="188" spans="1:7" x14ac:dyDescent="0.2">
      <c r="A188" s="2">
        <v>42401</v>
      </c>
      <c r="B188" s="3">
        <v>1830</v>
      </c>
      <c r="C188" s="7" t="s">
        <v>33</v>
      </c>
      <c r="D188" s="5">
        <f t="shared" si="8"/>
        <v>1646.1666666666667</v>
      </c>
      <c r="E188" s="5">
        <f t="shared" si="9"/>
        <v>1634.9166666666667</v>
      </c>
      <c r="F188" s="5">
        <f t="shared" si="10"/>
        <v>195.08333333333326</v>
      </c>
      <c r="G188" s="5">
        <f t="shared" si="11"/>
        <v>38057.506944444416</v>
      </c>
    </row>
    <row r="189" spans="1:7" x14ac:dyDescent="0.2">
      <c r="A189" s="2">
        <v>42430</v>
      </c>
      <c r="B189" s="3">
        <v>1713</v>
      </c>
      <c r="C189" s="7" t="s">
        <v>33</v>
      </c>
      <c r="D189" s="5">
        <f t="shared" si="8"/>
        <v>1647.75</v>
      </c>
      <c r="E189" s="5">
        <f t="shared" si="9"/>
        <v>1646.1666666666667</v>
      </c>
      <c r="F189" s="5">
        <f t="shared" si="10"/>
        <v>66.833333333333258</v>
      </c>
      <c r="G189" s="5">
        <f t="shared" si="11"/>
        <v>4466.6944444444343</v>
      </c>
    </row>
    <row r="190" spans="1:7" x14ac:dyDescent="0.2">
      <c r="A190" s="2">
        <v>42461</v>
      </c>
      <c r="B190" s="3">
        <v>1668</v>
      </c>
      <c r="C190" s="7" t="s">
        <v>33</v>
      </c>
      <c r="D190" s="5">
        <f t="shared" si="8"/>
        <v>1650.8333333333333</v>
      </c>
      <c r="E190" s="5">
        <f t="shared" si="9"/>
        <v>1647.75</v>
      </c>
      <c r="F190" s="5">
        <f t="shared" si="10"/>
        <v>20.25</v>
      </c>
      <c r="G190" s="5">
        <f t="shared" si="11"/>
        <v>410.0625</v>
      </c>
    </row>
    <row r="191" spans="1:7" x14ac:dyDescent="0.2">
      <c r="A191" s="2">
        <v>42491</v>
      </c>
      <c r="B191" s="3">
        <v>1664</v>
      </c>
      <c r="C191" s="7" t="s">
        <v>33</v>
      </c>
      <c r="D191" s="5">
        <f t="shared" si="8"/>
        <v>1652.8333333333333</v>
      </c>
      <c r="E191" s="5">
        <f t="shared" si="9"/>
        <v>1650.8333333333333</v>
      </c>
      <c r="F191" s="5">
        <f t="shared" si="10"/>
        <v>13.166666666666742</v>
      </c>
      <c r="G191" s="5">
        <f t="shared" si="11"/>
        <v>173.3611111111131</v>
      </c>
    </row>
    <row r="192" spans="1:7" x14ac:dyDescent="0.2">
      <c r="A192" s="2">
        <v>42522</v>
      </c>
      <c r="B192" s="3">
        <v>1623</v>
      </c>
      <c r="C192" s="7" t="s">
        <v>33</v>
      </c>
      <c r="D192" s="5">
        <f t="shared" si="8"/>
        <v>1658.4166666666667</v>
      </c>
      <c r="E192" s="5">
        <f t="shared" si="9"/>
        <v>1652.8333333333333</v>
      </c>
      <c r="F192" s="5">
        <f t="shared" si="10"/>
        <v>-29.833333333333258</v>
      </c>
      <c r="G192" s="5">
        <f t="shared" si="11"/>
        <v>890.02777777777328</v>
      </c>
    </row>
    <row r="193" spans="1:7" x14ac:dyDescent="0.2">
      <c r="A193" s="2">
        <v>42552</v>
      </c>
      <c r="B193" s="3">
        <v>1634</v>
      </c>
      <c r="C193" s="7" t="s">
        <v>33</v>
      </c>
      <c r="D193" s="5">
        <f t="shared" si="8"/>
        <v>1657.3333333333333</v>
      </c>
      <c r="E193" s="5">
        <f t="shared" si="9"/>
        <v>1658.4166666666667</v>
      </c>
      <c r="F193" s="5">
        <f t="shared" si="10"/>
        <v>-24.416666666666742</v>
      </c>
      <c r="G193" s="5">
        <f t="shared" si="11"/>
        <v>596.17361111111484</v>
      </c>
    </row>
    <row r="194" spans="1:7" x14ac:dyDescent="0.2">
      <c r="A194" s="2">
        <v>42583</v>
      </c>
      <c r="B194" s="3">
        <v>1498</v>
      </c>
      <c r="C194" s="7" t="s">
        <v>33</v>
      </c>
      <c r="D194" s="5">
        <f t="shared" si="8"/>
        <v>1655.5</v>
      </c>
      <c r="E194" s="5">
        <f t="shared" si="9"/>
        <v>1657.3333333333333</v>
      </c>
      <c r="F194" s="5">
        <f t="shared" si="10"/>
        <v>-159.33333333333326</v>
      </c>
      <c r="G194" s="5">
        <f t="shared" si="11"/>
        <v>25387.111111111088</v>
      </c>
    </row>
    <row r="195" spans="1:7" x14ac:dyDescent="0.2">
      <c r="A195" s="2">
        <v>42614</v>
      </c>
      <c r="B195" s="3">
        <v>1529</v>
      </c>
      <c r="C195" s="7" t="s">
        <v>33</v>
      </c>
      <c r="D195" s="5">
        <f t="shared" si="8"/>
        <v>1660</v>
      </c>
      <c r="E195" s="5">
        <f t="shared" si="9"/>
        <v>1655.5</v>
      </c>
      <c r="F195" s="5">
        <f t="shared" si="10"/>
        <v>-126.5</v>
      </c>
      <c r="G195" s="5">
        <f t="shared" si="11"/>
        <v>16002.25</v>
      </c>
    </row>
    <row r="196" spans="1:7" x14ac:dyDescent="0.2">
      <c r="A196" s="2">
        <v>42644</v>
      </c>
      <c r="B196" s="3">
        <v>1710</v>
      </c>
      <c r="C196" s="7" t="s">
        <v>33</v>
      </c>
      <c r="D196" s="5">
        <f t="shared" si="8"/>
        <v>1656.3333333333333</v>
      </c>
      <c r="E196" s="5">
        <f t="shared" si="9"/>
        <v>1660</v>
      </c>
      <c r="F196" s="5">
        <f t="shared" si="10"/>
        <v>50</v>
      </c>
      <c r="G196" s="5">
        <f t="shared" si="11"/>
        <v>2500</v>
      </c>
    </row>
    <row r="197" spans="1:7" x14ac:dyDescent="0.2">
      <c r="A197" s="2">
        <v>42675</v>
      </c>
      <c r="B197" s="3">
        <v>1657</v>
      </c>
      <c r="C197" s="7" t="s">
        <v>33</v>
      </c>
      <c r="D197" s="5">
        <f t="shared" si="8"/>
        <v>1660.6666666666667</v>
      </c>
      <c r="E197" s="5">
        <f t="shared" si="9"/>
        <v>1656.3333333333333</v>
      </c>
      <c r="F197" s="5">
        <f t="shared" si="10"/>
        <v>0.66666666666674246</v>
      </c>
      <c r="G197" s="5">
        <f t="shared" si="11"/>
        <v>0.44444444444454551</v>
      </c>
    </row>
    <row r="198" spans="1:7" x14ac:dyDescent="0.2">
      <c r="A198" s="2">
        <v>42705</v>
      </c>
      <c r="B198" s="3">
        <v>1743</v>
      </c>
      <c r="C198" s="7" t="s">
        <v>33</v>
      </c>
      <c r="D198" s="5">
        <f t="shared" si="8"/>
        <v>1664.1666666666667</v>
      </c>
      <c r="E198" s="5">
        <f t="shared" si="9"/>
        <v>1660.6666666666667</v>
      </c>
      <c r="F198" s="5">
        <f t="shared" si="10"/>
        <v>82.333333333333258</v>
      </c>
      <c r="G198" s="5">
        <f t="shared" si="11"/>
        <v>6778.7777777777656</v>
      </c>
    </row>
    <row r="199" spans="1:7" x14ac:dyDescent="0.2">
      <c r="A199" s="2">
        <v>42736</v>
      </c>
      <c r="B199" s="3">
        <v>1696</v>
      </c>
      <c r="C199" s="7" t="s">
        <v>33</v>
      </c>
      <c r="D199" s="5">
        <f t="shared" si="8"/>
        <v>1663.75</v>
      </c>
      <c r="E199" s="5">
        <f t="shared" si="9"/>
        <v>1664.1666666666667</v>
      </c>
      <c r="F199" s="5">
        <f t="shared" si="10"/>
        <v>31.833333333333258</v>
      </c>
      <c r="G199" s="5">
        <f t="shared" si="11"/>
        <v>1013.3611111111063</v>
      </c>
    </row>
    <row r="200" spans="1:7" x14ac:dyDescent="0.2">
      <c r="A200" s="2">
        <v>42767</v>
      </c>
      <c r="B200" s="3">
        <v>1885</v>
      </c>
      <c r="C200" s="7" t="s">
        <v>33</v>
      </c>
      <c r="D200" s="5">
        <f t="shared" si="8"/>
        <v>1668.3333333333333</v>
      </c>
      <c r="E200" s="5">
        <f t="shared" si="9"/>
        <v>1663.75</v>
      </c>
      <c r="F200" s="5">
        <f t="shared" si="10"/>
        <v>221.25</v>
      </c>
      <c r="G200" s="5">
        <f t="shared" si="11"/>
        <v>48951.5625</v>
      </c>
    </row>
    <row r="201" spans="1:7" x14ac:dyDescent="0.2">
      <c r="A201" s="2">
        <v>42795</v>
      </c>
      <c r="B201" s="3">
        <v>1840</v>
      </c>
      <c r="C201" s="7" t="s">
        <v>33</v>
      </c>
      <c r="D201" s="5">
        <f t="shared" si="8"/>
        <v>1678.9166666666667</v>
      </c>
      <c r="E201" s="5">
        <f t="shared" si="9"/>
        <v>1668.3333333333333</v>
      </c>
      <c r="F201" s="5">
        <f t="shared" si="10"/>
        <v>171.66666666666674</v>
      </c>
      <c r="G201" s="5">
        <f t="shared" si="11"/>
        <v>29469.444444444471</v>
      </c>
    </row>
    <row r="202" spans="1:7" x14ac:dyDescent="0.2">
      <c r="A202" s="2">
        <v>42826</v>
      </c>
      <c r="B202" s="3">
        <v>1674</v>
      </c>
      <c r="C202" s="7" t="s">
        <v>33</v>
      </c>
      <c r="D202" s="5">
        <f t="shared" si="8"/>
        <v>1679.4166666666667</v>
      </c>
      <c r="E202" s="5">
        <f t="shared" si="9"/>
        <v>1678.9166666666667</v>
      </c>
      <c r="F202" s="5">
        <f t="shared" si="10"/>
        <v>-4.9166666666667425</v>
      </c>
      <c r="G202" s="5">
        <f t="shared" si="11"/>
        <v>24.173611111111857</v>
      </c>
    </row>
    <row r="203" spans="1:7" x14ac:dyDescent="0.2">
      <c r="A203" s="2">
        <v>42856</v>
      </c>
      <c r="B203" s="3">
        <v>1709</v>
      </c>
      <c r="C203" s="7" t="s">
        <v>33</v>
      </c>
      <c r="D203" s="5">
        <f t="shared" si="8"/>
        <v>1683.1666666666667</v>
      </c>
      <c r="E203" s="5">
        <f t="shared" si="9"/>
        <v>1679.4166666666667</v>
      </c>
      <c r="F203" s="5">
        <f t="shared" si="10"/>
        <v>29.583333333333258</v>
      </c>
      <c r="G203" s="5">
        <f t="shared" si="11"/>
        <v>875.17361111110665</v>
      </c>
    </row>
    <row r="204" spans="1:7" x14ac:dyDescent="0.2">
      <c r="A204" s="2">
        <v>42887</v>
      </c>
      <c r="B204" s="3">
        <v>1618</v>
      </c>
      <c r="C204" s="7" t="s">
        <v>33</v>
      </c>
      <c r="D204" s="5">
        <f t="shared" si="8"/>
        <v>1682.75</v>
      </c>
      <c r="E204" s="5">
        <f t="shared" si="9"/>
        <v>1683.1666666666667</v>
      </c>
      <c r="F204" s="5">
        <f t="shared" si="10"/>
        <v>-65.166666666666742</v>
      </c>
      <c r="G204" s="5">
        <f t="shared" si="11"/>
        <v>4246.6944444444543</v>
      </c>
    </row>
    <row r="205" spans="1:7" x14ac:dyDescent="0.2">
      <c r="A205" s="2">
        <v>42917</v>
      </c>
      <c r="B205" s="3">
        <v>1673</v>
      </c>
      <c r="C205" s="7" t="s">
        <v>33</v>
      </c>
      <c r="D205" s="5">
        <f t="shared" si="8"/>
        <v>1686</v>
      </c>
      <c r="E205" s="5">
        <f t="shared" si="9"/>
        <v>1682.75</v>
      </c>
      <c r="F205" s="5">
        <f t="shared" si="10"/>
        <v>-9.75</v>
      </c>
      <c r="G205" s="5">
        <f t="shared" si="11"/>
        <v>95.0625</v>
      </c>
    </row>
    <row r="206" spans="1:7" x14ac:dyDescent="0.2">
      <c r="A206" s="2">
        <v>42948</v>
      </c>
      <c r="B206" s="3">
        <v>1591</v>
      </c>
      <c r="C206" s="7" t="s">
        <v>33</v>
      </c>
      <c r="D206" s="5">
        <f t="shared" ref="D206:D270" si="12">AVERAGE(B195:B206)</f>
        <v>1693.75</v>
      </c>
      <c r="E206" s="5">
        <f t="shared" si="9"/>
        <v>1686</v>
      </c>
      <c r="F206" s="5">
        <f t="shared" si="10"/>
        <v>-95</v>
      </c>
      <c r="G206" s="5">
        <f t="shared" si="11"/>
        <v>9025</v>
      </c>
    </row>
    <row r="207" spans="1:7" x14ac:dyDescent="0.2">
      <c r="A207" s="2">
        <v>42979</v>
      </c>
      <c r="B207" s="3">
        <v>1521</v>
      </c>
      <c r="C207" s="7" t="s">
        <v>33</v>
      </c>
      <c r="D207" s="5">
        <f t="shared" si="12"/>
        <v>1693.0833333333333</v>
      </c>
      <c r="E207" s="5">
        <f t="shared" ref="E207:E267" si="13">+D206</f>
        <v>1693.75</v>
      </c>
      <c r="F207" s="5">
        <f t="shared" ref="F207:F268" si="14">B207-E207</f>
        <v>-172.75</v>
      </c>
      <c r="G207" s="5">
        <f t="shared" ref="G207:G270" si="15">F207^2</f>
        <v>29842.5625</v>
      </c>
    </row>
    <row r="208" spans="1:7" x14ac:dyDescent="0.2">
      <c r="A208" s="2">
        <v>43009</v>
      </c>
      <c r="B208" s="3">
        <v>1764</v>
      </c>
      <c r="C208" s="7" t="s">
        <v>33</v>
      </c>
      <c r="D208" s="5">
        <f t="shared" si="12"/>
        <v>1697.5833333333333</v>
      </c>
      <c r="E208" s="5">
        <f t="shared" si="13"/>
        <v>1693.0833333333333</v>
      </c>
      <c r="F208" s="5">
        <f t="shared" si="14"/>
        <v>70.916666666666742</v>
      </c>
      <c r="G208" s="5">
        <f t="shared" si="15"/>
        <v>5029.1736111111222</v>
      </c>
    </row>
    <row r="209" spans="1:7" x14ac:dyDescent="0.2">
      <c r="A209" s="2">
        <v>43040</v>
      </c>
      <c r="B209" s="3">
        <v>1665</v>
      </c>
      <c r="C209" s="7" t="s">
        <v>33</v>
      </c>
      <c r="D209" s="5">
        <f t="shared" si="12"/>
        <v>1698.25</v>
      </c>
      <c r="E209" s="5">
        <f t="shared" si="13"/>
        <v>1697.5833333333333</v>
      </c>
      <c r="F209" s="5">
        <f t="shared" si="14"/>
        <v>-32.583333333333258</v>
      </c>
      <c r="G209" s="5">
        <f t="shared" si="15"/>
        <v>1061.6736111111061</v>
      </c>
    </row>
    <row r="210" spans="1:7" x14ac:dyDescent="0.2">
      <c r="A210" s="2">
        <v>43070</v>
      </c>
      <c r="B210" s="3">
        <v>1750</v>
      </c>
      <c r="C210" s="7" t="s">
        <v>33</v>
      </c>
      <c r="D210" s="5">
        <f t="shared" si="12"/>
        <v>1698.8333333333333</v>
      </c>
      <c r="E210" s="5">
        <f t="shared" si="13"/>
        <v>1698.25</v>
      </c>
      <c r="F210" s="5">
        <f t="shared" si="14"/>
        <v>51.75</v>
      </c>
      <c r="G210" s="5">
        <f t="shared" si="15"/>
        <v>2678.0625</v>
      </c>
    </row>
    <row r="211" spans="1:7" x14ac:dyDescent="0.2">
      <c r="A211" s="2">
        <v>43101</v>
      </c>
      <c r="B211" s="3">
        <v>1728</v>
      </c>
      <c r="C211" s="7" t="s">
        <v>33</v>
      </c>
      <c r="D211" s="5">
        <f t="shared" si="12"/>
        <v>1701.5</v>
      </c>
      <c r="E211" s="5">
        <f t="shared" si="13"/>
        <v>1698.8333333333333</v>
      </c>
      <c r="F211" s="5">
        <f t="shared" si="14"/>
        <v>29.166666666666742</v>
      </c>
      <c r="G211" s="5">
        <f t="shared" si="15"/>
        <v>850.69444444444889</v>
      </c>
    </row>
    <row r="212" spans="1:7" x14ac:dyDescent="0.2">
      <c r="A212" s="2">
        <v>43132</v>
      </c>
      <c r="B212" s="3">
        <v>1783</v>
      </c>
      <c r="C212" s="7" t="s">
        <v>33</v>
      </c>
      <c r="D212" s="5">
        <f t="shared" si="12"/>
        <v>1693</v>
      </c>
      <c r="E212" s="5">
        <f t="shared" si="13"/>
        <v>1701.5</v>
      </c>
      <c r="F212" s="5">
        <f t="shared" si="14"/>
        <v>81.5</v>
      </c>
      <c r="G212" s="5">
        <f t="shared" si="15"/>
        <v>6642.25</v>
      </c>
    </row>
    <row r="213" spans="1:7" x14ac:dyDescent="0.2">
      <c r="A213" s="2">
        <v>43160</v>
      </c>
      <c r="B213" s="3">
        <v>1679</v>
      </c>
      <c r="C213" s="7" t="s">
        <v>33</v>
      </c>
      <c r="D213" s="5">
        <f t="shared" si="12"/>
        <v>1679.5833333333333</v>
      </c>
      <c r="E213" s="5">
        <f t="shared" si="13"/>
        <v>1693</v>
      </c>
      <c r="F213" s="5">
        <f t="shared" si="14"/>
        <v>-14</v>
      </c>
      <c r="G213" s="5">
        <f t="shared" si="15"/>
        <v>196</v>
      </c>
    </row>
    <row r="214" spans="1:7" x14ac:dyDescent="0.2">
      <c r="A214" s="2">
        <v>43191</v>
      </c>
      <c r="B214" s="3">
        <v>1605</v>
      </c>
      <c r="C214" s="7" t="s">
        <v>33</v>
      </c>
      <c r="D214" s="5">
        <f t="shared" si="12"/>
        <v>1673.8333333333333</v>
      </c>
      <c r="E214" s="5">
        <f t="shared" si="13"/>
        <v>1679.5833333333333</v>
      </c>
      <c r="F214" s="5">
        <f t="shared" si="14"/>
        <v>-74.583333333333258</v>
      </c>
      <c r="G214" s="5">
        <f t="shared" si="15"/>
        <v>5562.6736111110995</v>
      </c>
    </row>
    <row r="215" spans="1:7" x14ac:dyDescent="0.2">
      <c r="A215" s="2">
        <v>43221</v>
      </c>
      <c r="B215" s="3">
        <v>1694</v>
      </c>
      <c r="C215" s="7" t="s">
        <v>33</v>
      </c>
      <c r="D215" s="5">
        <f t="shared" si="12"/>
        <v>1672.5833333333333</v>
      </c>
      <c r="E215" s="5">
        <f t="shared" si="13"/>
        <v>1673.8333333333333</v>
      </c>
      <c r="F215" s="5">
        <f t="shared" si="14"/>
        <v>20.166666666666742</v>
      </c>
      <c r="G215" s="5">
        <f t="shared" si="15"/>
        <v>406.69444444444753</v>
      </c>
    </row>
    <row r="216" spans="1:7" x14ac:dyDescent="0.2">
      <c r="A216" s="2">
        <v>43252</v>
      </c>
      <c r="B216" s="3">
        <v>1560</v>
      </c>
      <c r="C216" s="7" t="s">
        <v>33</v>
      </c>
      <c r="D216" s="5">
        <f t="shared" si="12"/>
        <v>1667.75</v>
      </c>
      <c r="E216" s="5">
        <f t="shared" si="13"/>
        <v>1672.5833333333333</v>
      </c>
      <c r="F216" s="5">
        <f t="shared" si="14"/>
        <v>-112.58333333333326</v>
      </c>
      <c r="G216" s="5">
        <f t="shared" si="15"/>
        <v>12675.006944444427</v>
      </c>
    </row>
    <row r="217" spans="1:7" x14ac:dyDescent="0.2">
      <c r="A217" s="2">
        <v>43282</v>
      </c>
      <c r="B217" s="3">
        <v>1629</v>
      </c>
      <c r="C217" s="7" t="s">
        <v>33</v>
      </c>
      <c r="D217" s="5">
        <f t="shared" si="12"/>
        <v>1664.0833333333333</v>
      </c>
      <c r="E217" s="5">
        <f t="shared" si="13"/>
        <v>1667.75</v>
      </c>
      <c r="F217" s="5">
        <f t="shared" si="14"/>
        <v>-38.75</v>
      </c>
      <c r="G217" s="5">
        <f t="shared" si="15"/>
        <v>1501.5625</v>
      </c>
    </row>
    <row r="218" spans="1:7" x14ac:dyDescent="0.2">
      <c r="A218" s="2">
        <v>43313</v>
      </c>
      <c r="B218" s="4">
        <v>1546</v>
      </c>
      <c r="C218" s="7" t="s">
        <v>33</v>
      </c>
      <c r="D218" s="5">
        <f t="shared" si="12"/>
        <v>1660.3333333333333</v>
      </c>
      <c r="E218" s="5">
        <f t="shared" si="13"/>
        <v>1664.0833333333333</v>
      </c>
      <c r="F218" s="5">
        <f t="shared" si="14"/>
        <v>-118.08333333333326</v>
      </c>
      <c r="G218" s="5">
        <f t="shared" si="15"/>
        <v>13943.673611111093</v>
      </c>
    </row>
    <row r="219" spans="1:7" x14ac:dyDescent="0.2">
      <c r="A219" s="2">
        <v>43344</v>
      </c>
      <c r="B219" s="4">
        <v>1574</v>
      </c>
      <c r="C219" s="7" t="s">
        <v>33</v>
      </c>
      <c r="D219" s="5">
        <f t="shared" si="12"/>
        <v>1664.75</v>
      </c>
      <c r="E219" s="5">
        <f t="shared" si="13"/>
        <v>1660.3333333333333</v>
      </c>
      <c r="F219" s="5">
        <f t="shared" si="14"/>
        <v>-86.333333333333258</v>
      </c>
      <c r="G219" s="5">
        <f t="shared" si="15"/>
        <v>7453.4444444444316</v>
      </c>
    </row>
    <row r="220" spans="1:7" x14ac:dyDescent="0.2">
      <c r="A220" s="2">
        <v>43374</v>
      </c>
      <c r="B220" s="4">
        <v>1737</v>
      </c>
      <c r="C220" s="7" t="s">
        <v>33</v>
      </c>
      <c r="D220" s="5">
        <f t="shared" si="12"/>
        <v>1662.5</v>
      </c>
      <c r="E220" s="5">
        <f t="shared" si="13"/>
        <v>1664.75</v>
      </c>
      <c r="F220" s="5">
        <f t="shared" si="14"/>
        <v>72.25</v>
      </c>
      <c r="G220" s="5">
        <f t="shared" si="15"/>
        <v>5220.0625</v>
      </c>
    </row>
    <row r="221" spans="1:7" x14ac:dyDescent="0.2">
      <c r="A221" s="2">
        <v>43405</v>
      </c>
      <c r="B221" s="4">
        <v>1659</v>
      </c>
      <c r="C221" s="7" t="s">
        <v>33</v>
      </c>
      <c r="D221" s="5">
        <f t="shared" si="12"/>
        <v>1662</v>
      </c>
      <c r="E221" s="5">
        <f t="shared" si="13"/>
        <v>1662.5</v>
      </c>
      <c r="F221" s="5">
        <f t="shared" si="14"/>
        <v>-3.5</v>
      </c>
      <c r="G221" s="5">
        <f t="shared" si="15"/>
        <v>12.25</v>
      </c>
    </row>
    <row r="222" spans="1:7" x14ac:dyDescent="0.2">
      <c r="A222" s="2">
        <v>43435</v>
      </c>
      <c r="B222" s="4">
        <v>1691</v>
      </c>
      <c r="C222" s="7" t="s">
        <v>33</v>
      </c>
      <c r="D222" s="5">
        <f t="shared" si="12"/>
        <v>1657.0833333333333</v>
      </c>
      <c r="E222" s="5">
        <f t="shared" si="13"/>
        <v>1662</v>
      </c>
      <c r="F222" s="5">
        <f t="shared" si="14"/>
        <v>29</v>
      </c>
      <c r="G222" s="5">
        <f t="shared" si="15"/>
        <v>841</v>
      </c>
    </row>
    <row r="223" spans="1:7" x14ac:dyDescent="0.2">
      <c r="A223" s="2">
        <v>43466</v>
      </c>
      <c r="B223" s="4">
        <v>1681</v>
      </c>
      <c r="C223" s="7" t="s">
        <v>33</v>
      </c>
      <c r="D223" s="5">
        <f t="shared" si="12"/>
        <v>1653.1666666666667</v>
      </c>
      <c r="E223" s="5">
        <f t="shared" si="13"/>
        <v>1657.0833333333333</v>
      </c>
      <c r="F223" s="5">
        <f t="shared" si="14"/>
        <v>23.916666666666742</v>
      </c>
      <c r="G223" s="5">
        <f t="shared" si="15"/>
        <v>572.0069444444481</v>
      </c>
    </row>
    <row r="224" spans="1:7" x14ac:dyDescent="0.2">
      <c r="A224" s="2">
        <v>43497</v>
      </c>
      <c r="B224" s="4">
        <v>1788</v>
      </c>
      <c r="C224" s="7" t="s">
        <v>33</v>
      </c>
      <c r="D224" s="5">
        <f t="shared" si="12"/>
        <v>1653.5833333333333</v>
      </c>
      <c r="E224" s="5">
        <f t="shared" si="13"/>
        <v>1653.1666666666667</v>
      </c>
      <c r="F224" s="5">
        <f t="shared" si="14"/>
        <v>134.83333333333326</v>
      </c>
      <c r="G224" s="5">
        <f t="shared" si="15"/>
        <v>18180.027777777756</v>
      </c>
    </row>
    <row r="225" spans="1:7" x14ac:dyDescent="0.2">
      <c r="A225" s="2">
        <v>43525</v>
      </c>
      <c r="B225" s="4">
        <v>1746</v>
      </c>
      <c r="C225" s="7" t="s">
        <v>33</v>
      </c>
      <c r="D225" s="5">
        <f t="shared" si="12"/>
        <v>1659.1666666666667</v>
      </c>
      <c r="E225" s="5">
        <f t="shared" si="13"/>
        <v>1653.5833333333333</v>
      </c>
      <c r="F225" s="5">
        <f t="shared" si="14"/>
        <v>92.416666666666742</v>
      </c>
      <c r="G225" s="5">
        <f t="shared" si="15"/>
        <v>8540.8402777777919</v>
      </c>
    </row>
    <row r="226" spans="1:7" x14ac:dyDescent="0.2">
      <c r="A226" s="2">
        <v>43556</v>
      </c>
      <c r="B226" s="4">
        <v>1672</v>
      </c>
      <c r="C226" s="7" t="s">
        <v>33</v>
      </c>
      <c r="D226" s="5">
        <f t="shared" si="12"/>
        <v>1664.75</v>
      </c>
      <c r="E226" s="5">
        <f t="shared" si="13"/>
        <v>1659.1666666666667</v>
      </c>
      <c r="F226" s="5">
        <f t="shared" si="14"/>
        <v>12.833333333333258</v>
      </c>
      <c r="G226" s="5">
        <f t="shared" si="15"/>
        <v>164.6944444444425</v>
      </c>
    </row>
    <row r="227" spans="1:7" x14ac:dyDescent="0.2">
      <c r="A227" s="2">
        <v>43586</v>
      </c>
      <c r="B227" s="4">
        <v>1751</v>
      </c>
      <c r="C227" s="7" t="s">
        <v>33</v>
      </c>
      <c r="D227" s="5">
        <f t="shared" si="12"/>
        <v>1669.5</v>
      </c>
      <c r="E227" s="5">
        <f t="shared" si="13"/>
        <v>1664.75</v>
      </c>
      <c r="F227" s="5">
        <f t="shared" si="14"/>
        <v>86.25</v>
      </c>
      <c r="G227" s="5">
        <f t="shared" si="15"/>
        <v>7439.0625</v>
      </c>
    </row>
    <row r="228" spans="1:7" x14ac:dyDescent="0.2">
      <c r="A228" s="2">
        <v>43617</v>
      </c>
      <c r="B228" s="4">
        <v>1646</v>
      </c>
      <c r="C228" s="7" t="s">
        <v>33</v>
      </c>
      <c r="D228" s="5">
        <f t="shared" si="12"/>
        <v>1676.6666666666667</v>
      </c>
      <c r="E228" s="5">
        <f t="shared" si="13"/>
        <v>1669.5</v>
      </c>
      <c r="F228" s="5">
        <f t="shared" si="14"/>
        <v>-23.5</v>
      </c>
      <c r="G228" s="5">
        <f t="shared" si="15"/>
        <v>552.25</v>
      </c>
    </row>
    <row r="229" spans="1:7" x14ac:dyDescent="0.2">
      <c r="A229" s="2">
        <v>43647</v>
      </c>
      <c r="B229" s="4">
        <v>1714</v>
      </c>
      <c r="C229" s="7" t="s">
        <v>33</v>
      </c>
      <c r="D229" s="5">
        <f t="shared" si="12"/>
        <v>1683.75</v>
      </c>
      <c r="E229" s="5">
        <f t="shared" si="13"/>
        <v>1676.6666666666667</v>
      </c>
      <c r="F229" s="5">
        <f t="shared" si="14"/>
        <v>37.333333333333258</v>
      </c>
      <c r="G229" s="5">
        <f t="shared" si="15"/>
        <v>1393.7777777777721</v>
      </c>
    </row>
    <row r="230" spans="1:7" x14ac:dyDescent="0.2">
      <c r="A230" s="2">
        <v>43678</v>
      </c>
      <c r="B230" s="4">
        <v>1557</v>
      </c>
      <c r="C230" s="7" t="s">
        <v>33</v>
      </c>
      <c r="D230" s="5">
        <f t="shared" si="12"/>
        <v>1684.6666666666667</v>
      </c>
      <c r="E230" s="5">
        <f t="shared" si="13"/>
        <v>1683.75</v>
      </c>
      <c r="F230" s="5">
        <f t="shared" si="14"/>
        <v>-126.75</v>
      </c>
      <c r="G230" s="5">
        <f t="shared" si="15"/>
        <v>16065.5625</v>
      </c>
    </row>
    <row r="231" spans="1:7" x14ac:dyDescent="0.2">
      <c r="A231" s="2">
        <v>43709</v>
      </c>
      <c r="B231" s="4">
        <v>1617</v>
      </c>
      <c r="C231" s="7" t="s">
        <v>33</v>
      </c>
      <c r="D231" s="5">
        <f t="shared" si="12"/>
        <v>1688.25</v>
      </c>
      <c r="E231" s="5">
        <f t="shared" si="13"/>
        <v>1684.6666666666667</v>
      </c>
      <c r="F231" s="5">
        <f t="shared" si="14"/>
        <v>-67.666666666666742</v>
      </c>
      <c r="G231" s="5">
        <f t="shared" si="15"/>
        <v>4578.7777777777883</v>
      </c>
    </row>
    <row r="232" spans="1:7" x14ac:dyDescent="0.2">
      <c r="A232" s="2">
        <v>43739</v>
      </c>
      <c r="B232" s="4">
        <v>1826</v>
      </c>
      <c r="C232" s="7" t="s">
        <v>33</v>
      </c>
      <c r="D232" s="5">
        <f t="shared" si="12"/>
        <v>1695.6666666666667</v>
      </c>
      <c r="E232" s="5">
        <f t="shared" si="13"/>
        <v>1688.25</v>
      </c>
      <c r="F232" s="5">
        <f t="shared" si="14"/>
        <v>137.75</v>
      </c>
      <c r="G232" s="5">
        <f t="shared" si="15"/>
        <v>18975.0625</v>
      </c>
    </row>
    <row r="233" spans="1:7" x14ac:dyDescent="0.2">
      <c r="A233" s="2">
        <v>43770</v>
      </c>
      <c r="B233" s="4">
        <v>1758</v>
      </c>
      <c r="C233" s="7" t="s">
        <v>33</v>
      </c>
      <c r="D233" s="5">
        <f t="shared" si="12"/>
        <v>1703.9166666666667</v>
      </c>
      <c r="E233" s="5">
        <f t="shared" si="13"/>
        <v>1695.6666666666667</v>
      </c>
      <c r="F233" s="5">
        <f t="shared" si="14"/>
        <v>62.333333333333258</v>
      </c>
      <c r="G233" s="5">
        <f t="shared" si="15"/>
        <v>3885.4444444444348</v>
      </c>
    </row>
    <row r="234" spans="1:7" x14ac:dyDescent="0.2">
      <c r="A234" s="2">
        <v>43800</v>
      </c>
      <c r="B234" s="4">
        <v>1756</v>
      </c>
      <c r="C234" s="7" t="s">
        <v>33</v>
      </c>
      <c r="D234" s="5">
        <f t="shared" si="12"/>
        <v>1709.3333333333333</v>
      </c>
      <c r="E234" s="5">
        <f t="shared" si="13"/>
        <v>1703.9166666666667</v>
      </c>
      <c r="F234" s="5">
        <f t="shared" si="14"/>
        <v>52.083333333333258</v>
      </c>
      <c r="G234" s="5">
        <f t="shared" si="15"/>
        <v>2712.6736111111031</v>
      </c>
    </row>
    <row r="235" spans="1:7" x14ac:dyDescent="0.2">
      <c r="A235" s="2">
        <v>43831</v>
      </c>
      <c r="B235" s="4">
        <v>1725</v>
      </c>
      <c r="C235" s="7" t="s">
        <v>33</v>
      </c>
      <c r="D235" s="5">
        <f t="shared" si="12"/>
        <v>1713</v>
      </c>
      <c r="E235" s="5">
        <f t="shared" si="13"/>
        <v>1709.3333333333333</v>
      </c>
      <c r="F235" s="5">
        <f t="shared" si="14"/>
        <v>15.666666666666742</v>
      </c>
      <c r="G235" s="5">
        <f t="shared" si="15"/>
        <v>245.44444444444682</v>
      </c>
    </row>
    <row r="236" spans="1:7" x14ac:dyDescent="0.2">
      <c r="A236" s="2">
        <v>43862</v>
      </c>
      <c r="B236" s="4">
        <v>1835</v>
      </c>
      <c r="C236" s="7" t="s">
        <v>33</v>
      </c>
      <c r="D236" s="5">
        <f t="shared" si="12"/>
        <v>1716.9166666666667</v>
      </c>
      <c r="E236" s="5">
        <f t="shared" si="13"/>
        <v>1713</v>
      </c>
      <c r="F236" s="5">
        <f t="shared" si="14"/>
        <v>122</v>
      </c>
      <c r="G236" s="5">
        <f t="shared" si="15"/>
        <v>14884</v>
      </c>
    </row>
    <row r="237" spans="1:7" x14ac:dyDescent="0.2">
      <c r="A237" s="2">
        <v>43891</v>
      </c>
      <c r="B237" s="4">
        <v>1724</v>
      </c>
      <c r="C237" s="7" t="s">
        <v>33</v>
      </c>
      <c r="D237" s="5">
        <f t="shared" si="12"/>
        <v>1715.0833333333333</v>
      </c>
      <c r="E237" s="5">
        <f t="shared" si="13"/>
        <v>1716.9166666666667</v>
      </c>
      <c r="F237" s="5">
        <f t="shared" si="14"/>
        <v>7.0833333333332575</v>
      </c>
      <c r="G237" s="5">
        <f t="shared" si="15"/>
        <v>50.173611111110034</v>
      </c>
    </row>
    <row r="238" spans="1:7" x14ac:dyDescent="0.2">
      <c r="A238" s="2">
        <v>43922</v>
      </c>
      <c r="B238" s="4">
        <v>1730</v>
      </c>
      <c r="C238" s="7" t="s">
        <v>33</v>
      </c>
      <c r="D238" s="5">
        <f t="shared" si="12"/>
        <v>1719.9166666666667</v>
      </c>
      <c r="E238" s="5">
        <f t="shared" si="13"/>
        <v>1715.0833333333333</v>
      </c>
      <c r="F238" s="5">
        <f t="shared" si="14"/>
        <v>14.916666666666742</v>
      </c>
      <c r="G238" s="5">
        <f t="shared" si="15"/>
        <v>222.5069444444467</v>
      </c>
    </row>
    <row r="239" spans="1:7" x14ac:dyDescent="0.2">
      <c r="A239" s="2">
        <v>43952</v>
      </c>
      <c r="B239" s="4">
        <v>1752</v>
      </c>
      <c r="C239" s="7" t="s">
        <v>33</v>
      </c>
      <c r="D239" s="5">
        <f t="shared" si="12"/>
        <v>1720</v>
      </c>
      <c r="E239" s="5">
        <f t="shared" si="13"/>
        <v>1719.9166666666667</v>
      </c>
      <c r="F239" s="5">
        <f t="shared" si="14"/>
        <v>32.083333333333258</v>
      </c>
      <c r="G239" s="5">
        <f t="shared" si="15"/>
        <v>1029.3402777777728</v>
      </c>
    </row>
    <row r="240" spans="1:7" x14ac:dyDescent="0.2">
      <c r="A240" s="2">
        <v>43983</v>
      </c>
      <c r="B240" s="4">
        <v>1642</v>
      </c>
      <c r="C240" s="7" t="s">
        <v>33</v>
      </c>
      <c r="D240" s="5">
        <f t="shared" si="12"/>
        <v>1719.6666666666667</v>
      </c>
      <c r="E240" s="5">
        <f t="shared" si="13"/>
        <v>1720</v>
      </c>
      <c r="F240" s="5">
        <f t="shared" si="14"/>
        <v>-78</v>
      </c>
      <c r="G240" s="5">
        <f t="shared" si="15"/>
        <v>6084</v>
      </c>
    </row>
    <row r="241" spans="1:7" x14ac:dyDescent="0.2">
      <c r="A241" s="2">
        <v>44013</v>
      </c>
      <c r="B241" s="4">
        <v>1717</v>
      </c>
      <c r="C241" s="7" t="s">
        <v>33</v>
      </c>
      <c r="D241" s="5">
        <f t="shared" si="12"/>
        <v>1719.9166666666667</v>
      </c>
      <c r="E241" s="5">
        <f t="shared" si="13"/>
        <v>1719.6666666666667</v>
      </c>
      <c r="F241" s="5">
        <f t="shared" si="14"/>
        <v>-2.6666666666667425</v>
      </c>
      <c r="G241" s="5">
        <f t="shared" si="15"/>
        <v>7.1111111111115157</v>
      </c>
    </row>
    <row r="242" spans="1:7" x14ac:dyDescent="0.2">
      <c r="A242" s="2">
        <v>44044</v>
      </c>
      <c r="B242" s="4">
        <v>1579</v>
      </c>
      <c r="C242" s="7" t="s">
        <v>33</v>
      </c>
      <c r="D242" s="5">
        <f t="shared" si="12"/>
        <v>1721.75</v>
      </c>
      <c r="E242" s="5">
        <f t="shared" si="13"/>
        <v>1719.9166666666667</v>
      </c>
      <c r="F242" s="5">
        <f t="shared" si="14"/>
        <v>-140.91666666666674</v>
      </c>
      <c r="G242" s="5">
        <f t="shared" si="15"/>
        <v>19857.506944444467</v>
      </c>
    </row>
    <row r="243" spans="1:7" x14ac:dyDescent="0.2">
      <c r="A243" s="2">
        <v>44075</v>
      </c>
      <c r="B243" s="4">
        <v>1647</v>
      </c>
      <c r="C243" s="7" t="s">
        <v>33</v>
      </c>
      <c r="D243" s="5">
        <f t="shared" si="12"/>
        <v>1724.25</v>
      </c>
      <c r="E243" s="5">
        <f t="shared" si="13"/>
        <v>1721.75</v>
      </c>
      <c r="F243" s="5">
        <f t="shared" si="14"/>
        <v>-74.75</v>
      </c>
      <c r="G243" s="5">
        <f t="shared" si="15"/>
        <v>5587.5625</v>
      </c>
    </row>
    <row r="244" spans="1:7" x14ac:dyDescent="0.2">
      <c r="A244" s="2">
        <v>44105</v>
      </c>
      <c r="B244" s="4">
        <v>1961</v>
      </c>
      <c r="C244" s="7" t="s">
        <v>33</v>
      </c>
      <c r="D244" s="5">
        <f t="shared" si="12"/>
        <v>1735.5</v>
      </c>
      <c r="E244" s="5">
        <f t="shared" si="13"/>
        <v>1724.25</v>
      </c>
      <c r="F244" s="5">
        <f t="shared" si="14"/>
        <v>236.75</v>
      </c>
      <c r="G244" s="5">
        <f t="shared" si="15"/>
        <v>56050.5625</v>
      </c>
    </row>
    <row r="245" spans="1:7" x14ac:dyDescent="0.2">
      <c r="A245" s="2">
        <v>44136</v>
      </c>
      <c r="B245" s="4">
        <v>1772</v>
      </c>
      <c r="C245" s="7" t="s">
        <v>33</v>
      </c>
      <c r="D245" s="5">
        <f t="shared" si="12"/>
        <v>1736.6666666666667</v>
      </c>
      <c r="E245" s="5">
        <f t="shared" si="13"/>
        <v>1735.5</v>
      </c>
      <c r="F245" s="5">
        <f t="shared" si="14"/>
        <v>36.5</v>
      </c>
      <c r="G245" s="5">
        <f t="shared" si="15"/>
        <v>1332.25</v>
      </c>
    </row>
    <row r="246" spans="1:7" x14ac:dyDescent="0.2">
      <c r="A246" s="2">
        <v>44166</v>
      </c>
      <c r="B246" s="4">
        <v>1822</v>
      </c>
      <c r="C246" s="7" t="s">
        <v>33</v>
      </c>
      <c r="D246" s="5">
        <f t="shared" si="12"/>
        <v>1742.1666666666667</v>
      </c>
      <c r="E246" s="5">
        <f t="shared" si="13"/>
        <v>1736.6666666666667</v>
      </c>
      <c r="F246" s="5">
        <f t="shared" si="14"/>
        <v>85.333333333333258</v>
      </c>
      <c r="G246" s="5">
        <f t="shared" si="15"/>
        <v>7281.7777777777646</v>
      </c>
    </row>
    <row r="247" spans="1:7" x14ac:dyDescent="0.2">
      <c r="A247" s="2">
        <v>44197</v>
      </c>
      <c r="B247" s="4">
        <v>1884</v>
      </c>
      <c r="C247" s="7" t="s">
        <v>33</v>
      </c>
      <c r="D247" s="5">
        <f t="shared" si="12"/>
        <v>1755.4166666666667</v>
      </c>
      <c r="E247" s="5">
        <f t="shared" si="13"/>
        <v>1742.1666666666667</v>
      </c>
      <c r="F247" s="5">
        <f t="shared" si="14"/>
        <v>141.83333333333326</v>
      </c>
      <c r="G247" s="5">
        <f t="shared" si="15"/>
        <v>20116.694444444423</v>
      </c>
    </row>
    <row r="248" spans="1:7" x14ac:dyDescent="0.2">
      <c r="A248" s="2">
        <v>44228</v>
      </c>
      <c r="B248" s="4">
        <v>1901</v>
      </c>
      <c r="C248" s="7" t="s">
        <v>33</v>
      </c>
      <c r="D248" s="5">
        <f t="shared" si="12"/>
        <v>1760.9166666666667</v>
      </c>
      <c r="E248" s="5">
        <f t="shared" si="13"/>
        <v>1755.4166666666667</v>
      </c>
      <c r="F248" s="5">
        <f t="shared" si="14"/>
        <v>145.58333333333326</v>
      </c>
      <c r="G248" s="5">
        <f t="shared" si="15"/>
        <v>21194.506944444423</v>
      </c>
    </row>
    <row r="249" spans="1:7" x14ac:dyDescent="0.2">
      <c r="A249" s="2">
        <v>44256</v>
      </c>
      <c r="B249" s="4">
        <v>1917</v>
      </c>
      <c r="C249" s="7" t="s">
        <v>33</v>
      </c>
      <c r="D249" s="5">
        <f t="shared" si="12"/>
        <v>1777</v>
      </c>
      <c r="E249" s="5">
        <f t="shared" si="13"/>
        <v>1760.9166666666667</v>
      </c>
      <c r="F249" s="5">
        <f t="shared" si="14"/>
        <v>156.08333333333326</v>
      </c>
      <c r="G249" s="5">
        <f t="shared" si="15"/>
        <v>24362.00694444442</v>
      </c>
    </row>
    <row r="250" spans="1:7" x14ac:dyDescent="0.2">
      <c r="A250" s="2">
        <v>44287</v>
      </c>
      <c r="B250" s="4">
        <v>1796</v>
      </c>
      <c r="C250" s="7" t="s">
        <v>33</v>
      </c>
      <c r="D250" s="5">
        <f t="shared" si="12"/>
        <v>1782.5</v>
      </c>
      <c r="E250" s="5">
        <f t="shared" si="13"/>
        <v>1777</v>
      </c>
      <c r="F250" s="5">
        <f t="shared" si="14"/>
        <v>19</v>
      </c>
      <c r="G250" s="5">
        <f t="shared" si="15"/>
        <v>361</v>
      </c>
    </row>
    <row r="251" spans="1:7" x14ac:dyDescent="0.2">
      <c r="A251" s="2">
        <v>44317</v>
      </c>
      <c r="B251" s="4">
        <v>1722</v>
      </c>
      <c r="C251" s="7" t="s">
        <v>33</v>
      </c>
      <c r="D251" s="5">
        <f t="shared" si="12"/>
        <v>1780</v>
      </c>
      <c r="E251" s="5">
        <f t="shared" si="13"/>
        <v>1782.5</v>
      </c>
      <c r="F251" s="5">
        <f t="shared" si="14"/>
        <v>-60.5</v>
      </c>
      <c r="G251" s="5">
        <f t="shared" si="15"/>
        <v>3660.25</v>
      </c>
    </row>
    <row r="252" spans="1:7" x14ac:dyDescent="0.2">
      <c r="A252" s="2">
        <v>44348</v>
      </c>
      <c r="B252" s="4">
        <v>1702</v>
      </c>
      <c r="C252" s="7" t="s">
        <v>33</v>
      </c>
      <c r="D252" s="5">
        <f t="shared" si="12"/>
        <v>1785</v>
      </c>
      <c r="E252" s="5">
        <f t="shared" si="13"/>
        <v>1780</v>
      </c>
      <c r="F252" s="5">
        <f t="shared" si="14"/>
        <v>-78</v>
      </c>
      <c r="G252" s="5">
        <f t="shared" si="15"/>
        <v>6084</v>
      </c>
    </row>
    <row r="253" spans="1:7" x14ac:dyDescent="0.2">
      <c r="A253" s="2">
        <v>44378</v>
      </c>
      <c r="B253" s="4">
        <v>1829</v>
      </c>
      <c r="C253" s="7" t="s">
        <v>33</v>
      </c>
      <c r="D253" s="5">
        <f t="shared" si="12"/>
        <v>1794.3333333333333</v>
      </c>
      <c r="E253" s="5">
        <f t="shared" si="13"/>
        <v>1785</v>
      </c>
      <c r="F253" s="5">
        <f t="shared" si="14"/>
        <v>44</v>
      </c>
      <c r="G253" s="5">
        <f t="shared" si="15"/>
        <v>1936</v>
      </c>
    </row>
    <row r="254" spans="1:7" x14ac:dyDescent="0.2">
      <c r="A254" s="2">
        <v>44409</v>
      </c>
      <c r="B254" s="3">
        <v>1687</v>
      </c>
      <c r="C254" s="7" t="s">
        <v>33</v>
      </c>
      <c r="D254" s="5">
        <f t="shared" si="12"/>
        <v>1803.3333333333333</v>
      </c>
      <c r="E254" s="5">
        <f t="shared" si="13"/>
        <v>1794.3333333333333</v>
      </c>
      <c r="F254" s="5">
        <f t="shared" si="14"/>
        <v>-107.33333333333326</v>
      </c>
      <c r="G254" s="5">
        <f t="shared" si="15"/>
        <v>11520.444444444429</v>
      </c>
    </row>
    <row r="255" spans="1:7" x14ac:dyDescent="0.2">
      <c r="A255" s="2">
        <v>44440</v>
      </c>
      <c r="B255" s="3">
        <v>1668</v>
      </c>
      <c r="C255" s="7" t="s">
        <v>33</v>
      </c>
      <c r="D255" s="5">
        <f t="shared" si="12"/>
        <v>1805.0833333333333</v>
      </c>
      <c r="E255" s="5">
        <f t="shared" si="13"/>
        <v>1803.3333333333333</v>
      </c>
      <c r="F255" s="5">
        <f t="shared" si="14"/>
        <v>-135.33333333333326</v>
      </c>
      <c r="G255" s="5">
        <f t="shared" si="15"/>
        <v>18315.111111111091</v>
      </c>
    </row>
    <row r="256" spans="1:7" x14ac:dyDescent="0.2">
      <c r="A256" s="2">
        <v>44470</v>
      </c>
      <c r="B256" s="3">
        <v>2009</v>
      </c>
      <c r="C256" s="7" t="s">
        <v>33</v>
      </c>
      <c r="D256" s="5">
        <f t="shared" si="12"/>
        <v>1809.0833333333333</v>
      </c>
      <c r="E256" s="5">
        <f t="shared" si="13"/>
        <v>1805.0833333333333</v>
      </c>
      <c r="F256" s="5">
        <f t="shared" si="14"/>
        <v>203.91666666666674</v>
      </c>
      <c r="G256" s="5">
        <f t="shared" si="15"/>
        <v>41582.006944444474</v>
      </c>
    </row>
    <row r="257" spans="1:7" x14ac:dyDescent="0.2">
      <c r="A257" s="2">
        <v>44501</v>
      </c>
      <c r="B257" s="3">
        <v>1774</v>
      </c>
      <c r="C257" s="7" t="s">
        <v>33</v>
      </c>
      <c r="D257" s="5">
        <f t="shared" si="12"/>
        <v>1809.25</v>
      </c>
      <c r="E257" s="5">
        <f t="shared" si="13"/>
        <v>1809.0833333333333</v>
      </c>
      <c r="F257" s="5">
        <f t="shared" si="14"/>
        <v>-35.083333333333258</v>
      </c>
      <c r="G257" s="5">
        <f t="shared" si="15"/>
        <v>1230.8402777777724</v>
      </c>
    </row>
    <row r="258" spans="1:7" x14ac:dyDescent="0.2">
      <c r="A258" s="2">
        <v>44531</v>
      </c>
      <c r="B258" s="3">
        <v>1863</v>
      </c>
      <c r="C258" s="7" t="s">
        <v>33</v>
      </c>
      <c r="D258" s="5">
        <f t="shared" si="12"/>
        <v>1812.6666666666667</v>
      </c>
      <c r="E258" s="5">
        <f t="shared" si="13"/>
        <v>1809.25</v>
      </c>
      <c r="F258" s="5">
        <f t="shared" si="14"/>
        <v>53.75</v>
      </c>
      <c r="G258" s="5">
        <f t="shared" si="15"/>
        <v>2889.0625</v>
      </c>
    </row>
    <row r="259" spans="1:7" x14ac:dyDescent="0.2">
      <c r="A259" s="2">
        <v>44562</v>
      </c>
      <c r="B259" s="3">
        <v>1758</v>
      </c>
      <c r="C259" s="7" t="s">
        <v>33</v>
      </c>
      <c r="D259" s="5">
        <f t="shared" si="12"/>
        <v>1802.1666666666667</v>
      </c>
      <c r="E259" s="5">
        <f t="shared" si="13"/>
        <v>1812.6666666666667</v>
      </c>
      <c r="F259" s="5">
        <f t="shared" si="14"/>
        <v>-54.666666666666742</v>
      </c>
      <c r="G259" s="5">
        <f t="shared" si="15"/>
        <v>2988.4444444444525</v>
      </c>
    </row>
    <row r="260" spans="1:7" x14ac:dyDescent="0.2">
      <c r="A260" s="2">
        <v>44593</v>
      </c>
      <c r="B260" s="3">
        <v>1717</v>
      </c>
      <c r="C260" s="7" t="s">
        <v>33</v>
      </c>
      <c r="D260" s="5">
        <f t="shared" si="12"/>
        <v>1786.8333333333333</v>
      </c>
      <c r="E260" s="5">
        <f t="shared" si="13"/>
        <v>1802.1666666666667</v>
      </c>
      <c r="F260" s="5">
        <f t="shared" si="14"/>
        <v>-85.166666666666742</v>
      </c>
      <c r="G260" s="5">
        <f t="shared" si="15"/>
        <v>7253.361111111124</v>
      </c>
    </row>
    <row r="261" spans="1:7" x14ac:dyDescent="0.2">
      <c r="A261" s="2">
        <v>44621</v>
      </c>
      <c r="B261" s="3">
        <v>1823</v>
      </c>
      <c r="C261" s="7" t="s">
        <v>33</v>
      </c>
      <c r="D261" s="5">
        <f t="shared" si="12"/>
        <v>1779</v>
      </c>
      <c r="E261" s="5">
        <f t="shared" si="13"/>
        <v>1786.8333333333333</v>
      </c>
      <c r="F261" s="5">
        <f t="shared" si="14"/>
        <v>36.166666666666742</v>
      </c>
      <c r="G261" s="5">
        <f t="shared" si="15"/>
        <v>1308.0277777777833</v>
      </c>
    </row>
    <row r="262" spans="1:7" x14ac:dyDescent="0.2">
      <c r="A262" s="2">
        <v>44652</v>
      </c>
      <c r="B262" s="3">
        <v>1746</v>
      </c>
      <c r="C262" s="7" t="s">
        <v>33</v>
      </c>
      <c r="D262" s="5">
        <f t="shared" si="12"/>
        <v>1774.8333333333333</v>
      </c>
      <c r="E262" s="5">
        <f t="shared" si="13"/>
        <v>1779</v>
      </c>
      <c r="F262" s="5">
        <f t="shared" si="14"/>
        <v>-33</v>
      </c>
      <c r="G262" s="5">
        <f t="shared" si="15"/>
        <v>1089</v>
      </c>
    </row>
    <row r="263" spans="1:7" x14ac:dyDescent="0.2">
      <c r="A263" s="2">
        <v>44682</v>
      </c>
      <c r="B263" s="3">
        <v>1857</v>
      </c>
      <c r="C263" s="7" t="s">
        <v>33</v>
      </c>
      <c r="D263" s="5">
        <f t="shared" si="12"/>
        <v>1786.0833333333333</v>
      </c>
      <c r="E263" s="5">
        <f t="shared" si="13"/>
        <v>1774.8333333333333</v>
      </c>
      <c r="F263" s="5">
        <f t="shared" si="14"/>
        <v>82.166666666666742</v>
      </c>
      <c r="G263" s="5">
        <f t="shared" si="15"/>
        <v>6751.3611111111231</v>
      </c>
    </row>
    <row r="264" spans="1:7" x14ac:dyDescent="0.2">
      <c r="A264" s="2">
        <v>44713</v>
      </c>
      <c r="B264" s="3">
        <v>1803</v>
      </c>
      <c r="C264" s="7" t="s">
        <v>33</v>
      </c>
      <c r="D264" s="5">
        <f t="shared" si="12"/>
        <v>1794.5</v>
      </c>
      <c r="E264" s="5">
        <f t="shared" si="13"/>
        <v>1786.0833333333333</v>
      </c>
      <c r="F264" s="5">
        <f t="shared" si="14"/>
        <v>16.916666666666742</v>
      </c>
      <c r="G264" s="5">
        <f t="shared" si="15"/>
        <v>286.1736111111137</v>
      </c>
    </row>
    <row r="265" spans="1:7" x14ac:dyDescent="0.2">
      <c r="A265" s="2">
        <v>44743</v>
      </c>
      <c r="B265" s="3">
        <v>1777</v>
      </c>
      <c r="C265" s="7" t="s">
        <v>33</v>
      </c>
      <c r="D265" s="5">
        <f t="shared" si="12"/>
        <v>1790.1666666666667</v>
      </c>
      <c r="E265" s="5">
        <f t="shared" si="13"/>
        <v>1794.5</v>
      </c>
      <c r="F265" s="5">
        <f t="shared" si="14"/>
        <v>-17.5</v>
      </c>
      <c r="G265" s="5">
        <f t="shared" si="15"/>
        <v>306.25</v>
      </c>
    </row>
    <row r="266" spans="1:7" x14ac:dyDescent="0.2">
      <c r="A266" s="2">
        <v>44774</v>
      </c>
      <c r="B266" s="3">
        <v>1690</v>
      </c>
      <c r="C266" s="7" t="s">
        <v>33</v>
      </c>
      <c r="D266" s="5">
        <f t="shared" si="12"/>
        <v>1790.4166666666667</v>
      </c>
      <c r="E266" s="5">
        <f t="shared" si="13"/>
        <v>1790.1666666666667</v>
      </c>
      <c r="F266" s="5">
        <f t="shared" si="14"/>
        <v>-100.16666666666674</v>
      </c>
      <c r="G266" s="5">
        <f t="shared" si="15"/>
        <v>10033.361111111126</v>
      </c>
    </row>
    <row r="267" spans="1:7" x14ac:dyDescent="0.2">
      <c r="A267" s="2">
        <v>44805</v>
      </c>
      <c r="B267" s="3">
        <v>1686</v>
      </c>
      <c r="C267" s="7" t="s">
        <v>33</v>
      </c>
      <c r="D267" s="5">
        <f t="shared" si="12"/>
        <v>1791.9166666666667</v>
      </c>
      <c r="E267" s="14">
        <f t="shared" si="13"/>
        <v>1790.4166666666667</v>
      </c>
      <c r="F267" s="14">
        <f t="shared" si="14"/>
        <v>-104.41666666666674</v>
      </c>
      <c r="G267" s="14">
        <f t="shared" si="15"/>
        <v>10902.840277777794</v>
      </c>
    </row>
    <row r="268" spans="1:7" x14ac:dyDescent="0.2">
      <c r="A268" s="2">
        <v>44835</v>
      </c>
      <c r="B268" s="3">
        <v>1956</v>
      </c>
      <c r="C268" s="7" t="s">
        <v>33</v>
      </c>
      <c r="D268" s="5">
        <f t="shared" si="12"/>
        <v>1787.5</v>
      </c>
      <c r="E268" s="14">
        <f>D267</f>
        <v>1791.9166666666667</v>
      </c>
      <c r="F268" s="14">
        <f t="shared" si="14"/>
        <v>164.08333333333326</v>
      </c>
      <c r="G268" s="14">
        <f t="shared" si="15"/>
        <v>26923.340277777752</v>
      </c>
    </row>
    <row r="269" spans="1:7" x14ac:dyDescent="0.2">
      <c r="A269" s="2">
        <v>44866</v>
      </c>
      <c r="B269" s="3">
        <v>1807</v>
      </c>
      <c r="C269" s="7" t="s">
        <v>33</v>
      </c>
      <c r="D269" s="5">
        <f t="shared" si="12"/>
        <v>1790.25</v>
      </c>
      <c r="E269" s="14">
        <f>D268</f>
        <v>1787.5</v>
      </c>
      <c r="F269" s="14">
        <f t="shared" ref="F269:F276" si="16">B269-E269</f>
        <v>19.5</v>
      </c>
      <c r="G269" s="14">
        <f t="shared" si="15"/>
        <v>380.25</v>
      </c>
    </row>
    <row r="270" spans="1:7" x14ac:dyDescent="0.2">
      <c r="A270" s="2">
        <v>44896</v>
      </c>
      <c r="B270" s="3">
        <v>1949</v>
      </c>
      <c r="C270" s="7" t="s">
        <v>33</v>
      </c>
      <c r="D270" s="5">
        <f>AVERAGE(B259:B270)</f>
        <v>1797.4166666666667</v>
      </c>
      <c r="E270" s="14">
        <f>D269</f>
        <v>1790.25</v>
      </c>
      <c r="F270" s="14">
        <f t="shared" si="16"/>
        <v>158.75</v>
      </c>
      <c r="G270" s="14">
        <f t="shared" si="15"/>
        <v>25201.5625</v>
      </c>
    </row>
    <row r="271" spans="1:7" x14ac:dyDescent="0.2">
      <c r="A271" s="2">
        <v>44927</v>
      </c>
      <c r="B271" s="3">
        <v>1833</v>
      </c>
      <c r="C271" s="7" t="s">
        <v>34</v>
      </c>
      <c r="D271" s="5">
        <f>AVERAGE(B260:$B$270,E271)</f>
        <v>1800.7013888888889</v>
      </c>
      <c r="E271" s="14">
        <f>D270</f>
        <v>1797.4166666666667</v>
      </c>
      <c r="F271" s="14">
        <f t="shared" si="16"/>
        <v>35.583333333333258</v>
      </c>
      <c r="G271" s="14">
        <f t="shared" ref="G271:G276" si="17">F271^2</f>
        <v>1266.1736111111056</v>
      </c>
    </row>
    <row r="272" spans="1:7" x14ac:dyDescent="0.2">
      <c r="A272" s="2">
        <v>44958</v>
      </c>
      <c r="B272" s="3">
        <v>1813</v>
      </c>
      <c r="C272" s="7" t="s">
        <v>34</v>
      </c>
      <c r="D272" s="5">
        <f>AVERAGE(B261:$B$270,$E$271:E272)</f>
        <v>1807.6765046296298</v>
      </c>
      <c r="E272" s="14">
        <f t="shared" ref="E272:E276" si="18">D271</f>
        <v>1800.7013888888889</v>
      </c>
      <c r="F272" s="14">
        <f t="shared" si="16"/>
        <v>12.298611111111086</v>
      </c>
      <c r="G272" s="14">
        <f t="shared" si="17"/>
        <v>151.25583526234504</v>
      </c>
    </row>
    <row r="273" spans="1:7" x14ac:dyDescent="0.2">
      <c r="A273" s="2">
        <v>44986</v>
      </c>
      <c r="B273" s="3">
        <v>1886</v>
      </c>
      <c r="C273" s="7" t="s">
        <v>34</v>
      </c>
      <c r="D273" s="5">
        <f>AVERAGE(B262:$B$270,$E$271:E273)</f>
        <v>1806.3995466820991</v>
      </c>
      <c r="E273" s="14">
        <f t="shared" si="18"/>
        <v>1807.6765046296298</v>
      </c>
      <c r="F273" s="14">
        <f t="shared" si="16"/>
        <v>78.32349537037021</v>
      </c>
      <c r="G273" s="14">
        <f t="shared" si="17"/>
        <v>6134.5699270324039</v>
      </c>
    </row>
    <row r="274" spans="1:7" x14ac:dyDescent="0.2">
      <c r="A274" s="2">
        <v>45017</v>
      </c>
      <c r="B274" s="3">
        <v>1805</v>
      </c>
      <c r="C274" s="7" t="s">
        <v>34</v>
      </c>
      <c r="D274" s="5">
        <f>AVERAGE(B263:$B$270,$E$271:E274)</f>
        <v>1811.4328422389406</v>
      </c>
      <c r="E274" s="14">
        <f t="shared" si="18"/>
        <v>1806.3995466820991</v>
      </c>
      <c r="F274" s="14">
        <f t="shared" si="16"/>
        <v>-1.3995466820990714</v>
      </c>
      <c r="G274" s="14">
        <f t="shared" si="17"/>
        <v>1.9587309153745192</v>
      </c>
    </row>
    <row r="275" spans="1:7" x14ac:dyDescent="0.2">
      <c r="A275" s="2">
        <v>45047</v>
      </c>
      <c r="B275" s="3">
        <v>1931</v>
      </c>
      <c r="C275" s="7" t="s">
        <v>34</v>
      </c>
      <c r="D275" s="5">
        <f>AVERAGE(B264:$B$270,$E$271:E275)</f>
        <v>1807.6355790921855</v>
      </c>
      <c r="E275" s="14">
        <f t="shared" si="18"/>
        <v>1811.4328422389406</v>
      </c>
      <c r="F275" s="14">
        <f t="shared" si="16"/>
        <v>119.56715776105943</v>
      </c>
      <c r="G275" s="14">
        <f t="shared" si="17"/>
        <v>14296.305215058075</v>
      </c>
    </row>
    <row r="276" spans="1:7" x14ac:dyDescent="0.2">
      <c r="A276" s="2">
        <v>45078</v>
      </c>
      <c r="B276" s="3">
        <v>1822</v>
      </c>
      <c r="C276" s="7" t="s">
        <v>34</v>
      </c>
      <c r="D276" s="5">
        <f>AVERAGE(B265:$B$270,$E$271:E276)</f>
        <v>1808.0218773498673</v>
      </c>
      <c r="E276" s="14">
        <f t="shared" si="18"/>
        <v>1807.6355790921855</v>
      </c>
      <c r="F276" s="14">
        <f t="shared" si="16"/>
        <v>14.36442090781452</v>
      </c>
      <c r="G276" s="14">
        <f t="shared" si="17"/>
        <v>206.33658801685891</v>
      </c>
    </row>
  </sheetData>
  <mergeCells count="1">
    <mergeCell ref="J11:K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6"/>
  <sheetViews>
    <sheetView showGridLines="0" zoomScale="140" workbookViewId="0">
      <pane ySplit="1" topLeftCell="A2" activePane="bottomLeft" state="frozen"/>
      <selection pane="bottomLeft" activeCell="L15" sqref="L15"/>
    </sheetView>
  </sheetViews>
  <sheetFormatPr baseColWidth="10" defaultRowHeight="15" x14ac:dyDescent="0.2"/>
  <cols>
    <col min="1" max="5" width="10.83203125" style="6"/>
    <col min="6" max="6" width="11.5" style="6" bestFit="1" customWidth="1"/>
    <col min="7" max="7" width="10.83203125" style="6"/>
    <col min="8" max="8" width="12.5" style="6" bestFit="1" customWidth="1"/>
    <col min="9" max="9" width="13.6640625" style="6" bestFit="1" customWidth="1"/>
    <col min="10" max="10" width="11.1640625" style="6" bestFit="1" customWidth="1"/>
    <col min="11" max="11" width="2.5" style="6" customWidth="1"/>
    <col min="12" max="12" width="13" style="6" bestFit="1" customWidth="1"/>
    <col min="13" max="16384" width="10.83203125" style="6"/>
  </cols>
  <sheetData>
    <row r="1" spans="1:12" x14ac:dyDescent="0.2">
      <c r="A1" s="1" t="s">
        <v>1</v>
      </c>
      <c r="B1" s="1" t="s">
        <v>0</v>
      </c>
      <c r="C1" s="1" t="s">
        <v>6</v>
      </c>
      <c r="D1" s="1" t="s">
        <v>7</v>
      </c>
      <c r="E1" s="1" t="s">
        <v>4</v>
      </c>
      <c r="F1" s="1" t="s">
        <v>5</v>
      </c>
    </row>
    <row r="2" spans="1:12" x14ac:dyDescent="0.2">
      <c r="A2" s="2">
        <v>36739</v>
      </c>
      <c r="B2" s="3">
        <v>1049</v>
      </c>
      <c r="C2" s="5" t="s">
        <v>33</v>
      </c>
      <c r="D2" s="9"/>
      <c r="E2" s="9"/>
      <c r="F2" s="9"/>
    </row>
    <row r="3" spans="1:12" x14ac:dyDescent="0.2">
      <c r="A3" s="2">
        <v>36770</v>
      </c>
      <c r="B3" s="3">
        <v>1026</v>
      </c>
      <c r="C3" s="5" t="s">
        <v>33</v>
      </c>
      <c r="D3" s="5">
        <f>B2</f>
        <v>1049</v>
      </c>
      <c r="E3" s="5">
        <f>B3-D3</f>
        <v>-23</v>
      </c>
      <c r="F3" s="5">
        <f>E3^2</f>
        <v>529</v>
      </c>
    </row>
    <row r="4" spans="1:12" x14ac:dyDescent="0.2">
      <c r="A4" s="2">
        <v>36800</v>
      </c>
      <c r="B4" s="3">
        <v>1074</v>
      </c>
      <c r="C4" s="5" t="s">
        <v>33</v>
      </c>
      <c r="D4" s="5">
        <f>$I$6*B3+(1-$I$6)*D3</f>
        <v>1041.5722898373779</v>
      </c>
      <c r="E4" s="5">
        <f t="shared" ref="E4:E67" si="0">B4-D4</f>
        <v>32.427710162622134</v>
      </c>
      <c r="F4" s="5">
        <f t="shared" ref="F4:F67" si="1">E4^2</f>
        <v>1051.5563863910268</v>
      </c>
    </row>
    <row r="5" spans="1:12" x14ac:dyDescent="0.2">
      <c r="A5" s="2">
        <v>36831</v>
      </c>
      <c r="B5" s="3">
        <v>1031</v>
      </c>
      <c r="C5" s="5" t="s">
        <v>33</v>
      </c>
      <c r="D5" s="5">
        <f>$I$6*B4+(1-$I$6)*D4</f>
        <v>1052.0446216776161</v>
      </c>
      <c r="E5" s="5">
        <f t="shared" si="0"/>
        <v>-21.044621677616078</v>
      </c>
      <c r="F5" s="5">
        <f t="shared" si="1"/>
        <v>442.87610155398858</v>
      </c>
    </row>
    <row r="6" spans="1:12" x14ac:dyDescent="0.2">
      <c r="A6" s="2">
        <v>36861</v>
      </c>
      <c r="B6" s="3">
        <v>1047</v>
      </c>
      <c r="C6" s="5" t="s">
        <v>33</v>
      </c>
      <c r="D6" s="5">
        <f>$I$6*B5+(1-$I$6)*D5</f>
        <v>1045.2483890557305</v>
      </c>
      <c r="E6" s="5">
        <f t="shared" si="0"/>
        <v>1.7516109442694869</v>
      </c>
      <c r="F6" s="5">
        <f t="shared" si="1"/>
        <v>3.0681409000846438</v>
      </c>
      <c r="H6" s="8" t="s">
        <v>40</v>
      </c>
      <c r="I6" s="15">
        <v>0.32294392011401013</v>
      </c>
    </row>
    <row r="7" spans="1:12" x14ac:dyDescent="0.2">
      <c r="A7" s="2">
        <v>36892</v>
      </c>
      <c r="B7" s="3">
        <v>986</v>
      </c>
      <c r="C7" s="5" t="s">
        <v>33</v>
      </c>
      <c r="D7" s="5">
        <f>$I$6*B6+(1-$I$6)*D6</f>
        <v>1045.8140611605875</v>
      </c>
      <c r="E7" s="5">
        <f t="shared" si="0"/>
        <v>-59.814061160587471</v>
      </c>
      <c r="F7" s="5">
        <f t="shared" si="1"/>
        <v>3577.7219125224988</v>
      </c>
    </row>
    <row r="8" spans="1:12" x14ac:dyDescent="0.2">
      <c r="A8" s="2">
        <v>36923</v>
      </c>
      <c r="B8" s="3">
        <v>1015</v>
      </c>
      <c r="C8" s="5" t="s">
        <v>33</v>
      </c>
      <c r="D8" s="5">
        <f>$I$6*B7+(1-$I$6)*D7</f>
        <v>1026.4974737714483</v>
      </c>
      <c r="E8" s="5">
        <f t="shared" si="0"/>
        <v>-11.497473771448313</v>
      </c>
      <c r="F8" s="5">
        <f t="shared" si="1"/>
        <v>132.19190312514189</v>
      </c>
      <c r="H8" s="9"/>
      <c r="I8" s="8" t="s">
        <v>42</v>
      </c>
      <c r="J8" s="8" t="s">
        <v>37</v>
      </c>
    </row>
    <row r="9" spans="1:12" x14ac:dyDescent="0.2">
      <c r="A9" s="2">
        <v>36951</v>
      </c>
      <c r="B9" s="3">
        <v>1021</v>
      </c>
      <c r="C9" s="5" t="s">
        <v>33</v>
      </c>
      <c r="D9" s="5">
        <f>$I$6*B8+(1-$I$6)*D8</f>
        <v>1022.7844345202889</v>
      </c>
      <c r="E9" s="5">
        <f t="shared" si="0"/>
        <v>-1.784434520288869</v>
      </c>
      <c r="F9" s="5">
        <f t="shared" si="1"/>
        <v>3.184206557198566</v>
      </c>
      <c r="H9" s="9" t="s">
        <v>41</v>
      </c>
      <c r="I9" s="20">
        <f>SQRT(AVERAGE(F3:F267))</f>
        <v>72.637856568829022</v>
      </c>
      <c r="J9" s="20">
        <f>I9*1000</f>
        <v>72637.856568829025</v>
      </c>
    </row>
    <row r="10" spans="1:12" x14ac:dyDescent="0.2">
      <c r="A10" s="2">
        <v>36982</v>
      </c>
      <c r="B10" s="3">
        <v>958</v>
      </c>
      <c r="C10" s="5" t="s">
        <v>33</v>
      </c>
      <c r="D10" s="5">
        <f>$I$6*B9+(1-$I$6)*D9</f>
        <v>1022.2081622411201</v>
      </c>
      <c r="E10" s="5">
        <f t="shared" si="0"/>
        <v>-64.208162241120135</v>
      </c>
      <c r="F10" s="5">
        <f t="shared" si="1"/>
        <v>4122.6880983820056</v>
      </c>
      <c r="H10" s="9" t="s">
        <v>34</v>
      </c>
      <c r="I10" s="20">
        <f>SQRT(AVERAGE(F268:F276))</f>
        <v>94.70489420672655</v>
      </c>
      <c r="J10" s="20">
        <f>I10*1000</f>
        <v>94704.894206726545</v>
      </c>
    </row>
    <row r="11" spans="1:12" x14ac:dyDescent="0.2">
      <c r="A11" s="2">
        <v>37012</v>
      </c>
      <c r="B11" s="3">
        <v>1041</v>
      </c>
      <c r="C11" s="5" t="s">
        <v>33</v>
      </c>
      <c r="D11" s="5">
        <f>$I$6*B10+(1-$I$6)*D10</f>
        <v>1001.4725266236564</v>
      </c>
      <c r="E11" s="5">
        <f t="shared" si="0"/>
        <v>39.527473376343551</v>
      </c>
      <c r="F11" s="5">
        <f t="shared" si="1"/>
        <v>1562.4211515175482</v>
      </c>
    </row>
    <row r="12" spans="1:12" x14ac:dyDescent="0.2">
      <c r="A12" s="2">
        <v>37043</v>
      </c>
      <c r="B12" s="3">
        <v>999</v>
      </c>
      <c r="C12" s="5" t="s">
        <v>33</v>
      </c>
      <c r="D12" s="5">
        <f>$I$6*B11+(1-$I$6)*D11</f>
        <v>1014.2376838280152</v>
      </c>
      <c r="E12" s="5">
        <f t="shared" si="0"/>
        <v>-15.237683828015179</v>
      </c>
      <c r="F12" s="5">
        <f t="shared" si="1"/>
        <v>232.18700844255531</v>
      </c>
      <c r="H12" s="9"/>
      <c r="I12" s="11" t="s">
        <v>38</v>
      </c>
      <c r="J12" s="11"/>
      <c r="L12" s="8" t="s">
        <v>39</v>
      </c>
    </row>
    <row r="13" spans="1:12" x14ac:dyDescent="0.2">
      <c r="A13" s="2">
        <v>37073</v>
      </c>
      <c r="B13" s="3">
        <v>1034</v>
      </c>
      <c r="C13" s="5" t="s">
        <v>33</v>
      </c>
      <c r="D13" s="5">
        <f>$I$6*B12+(1-$I$6)*D12</f>
        <v>1009.3167664791382</v>
      </c>
      <c r="E13" s="5">
        <f t="shared" si="0"/>
        <v>24.683233520861791</v>
      </c>
      <c r="F13" s="5">
        <f t="shared" si="1"/>
        <v>609.26201704539517</v>
      </c>
      <c r="H13" s="9" t="s">
        <v>35</v>
      </c>
      <c r="I13" s="12">
        <f>AVERAGE(B2:B276)</f>
        <v>1407.8909090909092</v>
      </c>
      <c r="J13" s="12">
        <f>I13*1000</f>
        <v>1407890.9090909092</v>
      </c>
      <c r="L13" s="19">
        <f>J9/J13</f>
        <v>5.1593384188929878E-2</v>
      </c>
    </row>
    <row r="14" spans="1:12" x14ac:dyDescent="0.2">
      <c r="A14" s="2">
        <v>37104</v>
      </c>
      <c r="B14" s="3">
        <v>959</v>
      </c>
      <c r="C14" s="5" t="s">
        <v>33</v>
      </c>
      <c r="D14" s="5">
        <f>$I$6*B13+(1-$I$6)*D13</f>
        <v>1017.288066673455</v>
      </c>
      <c r="E14" s="5">
        <f t="shared" si="0"/>
        <v>-58.288066673454978</v>
      </c>
      <c r="F14" s="5">
        <f t="shared" si="1"/>
        <v>3397.4987165291327</v>
      </c>
      <c r="H14" s="9" t="s">
        <v>34</v>
      </c>
      <c r="I14" s="10">
        <f>AVERAGE(B271:B276)</f>
        <v>1848.3333333333333</v>
      </c>
      <c r="J14" s="12">
        <f>I14*1000</f>
        <v>1848333.3333333333</v>
      </c>
      <c r="L14" s="19">
        <f>J10/J14</f>
        <v>5.1237995062250616E-2</v>
      </c>
    </row>
    <row r="15" spans="1:12" x14ac:dyDescent="0.2">
      <c r="A15" s="2">
        <v>37135</v>
      </c>
      <c r="B15" s="3">
        <v>920</v>
      </c>
      <c r="C15" s="5" t="s">
        <v>33</v>
      </c>
      <c r="D15" s="5">
        <f>$I$6*B14+(1-$I$6)*D14</f>
        <v>998.46428992606275</v>
      </c>
      <c r="E15" s="5">
        <f t="shared" si="0"/>
        <v>-78.464289926062747</v>
      </c>
      <c r="F15" s="5">
        <f t="shared" si="1"/>
        <v>6156.6447936012319</v>
      </c>
    </row>
    <row r="16" spans="1:12" x14ac:dyDescent="0.2">
      <c r="A16" s="2">
        <v>37165</v>
      </c>
      <c r="B16" s="3">
        <v>1019</v>
      </c>
      <c r="C16" s="5" t="s">
        <v>33</v>
      </c>
      <c r="D16" s="5">
        <f>$I$6*B15+(1-$I$6)*D15</f>
        <v>973.12472454837791</v>
      </c>
      <c r="E16" s="5">
        <f t="shared" si="0"/>
        <v>45.875275451622088</v>
      </c>
      <c r="F16" s="5">
        <f t="shared" si="1"/>
        <v>2104.5408977622001</v>
      </c>
    </row>
    <row r="17" spans="1:6" x14ac:dyDescent="0.2">
      <c r="A17" s="2">
        <v>37196</v>
      </c>
      <c r="B17" s="3">
        <v>1056</v>
      </c>
      <c r="C17" s="5" t="s">
        <v>33</v>
      </c>
      <c r="D17" s="5">
        <f>$I$6*B16+(1-$I$6)*D16</f>
        <v>987.93986583903484</v>
      </c>
      <c r="E17" s="5">
        <f t="shared" si="0"/>
        <v>68.060134160965163</v>
      </c>
      <c r="F17" s="5">
        <f t="shared" si="1"/>
        <v>4632.1818620085769</v>
      </c>
    </row>
    <row r="18" spans="1:6" x14ac:dyDescent="0.2">
      <c r="A18" s="2">
        <v>37226</v>
      </c>
      <c r="B18" s="3">
        <v>1057</v>
      </c>
      <c r="C18" s="5" t="s">
        <v>33</v>
      </c>
      <c r="D18" s="5">
        <f>$I$6*B17+(1-$I$6)*D17</f>
        <v>1009.9194723684625</v>
      </c>
      <c r="E18" s="5">
        <f t="shared" si="0"/>
        <v>47.080527631537507</v>
      </c>
      <c r="F18" s="5">
        <f t="shared" si="1"/>
        <v>2216.5760820639666</v>
      </c>
    </row>
    <row r="19" spans="1:6" x14ac:dyDescent="0.2">
      <c r="A19" s="2">
        <v>37257</v>
      </c>
      <c r="B19" s="3">
        <v>1017</v>
      </c>
      <c r="C19" s="5" t="s">
        <v>33</v>
      </c>
      <c r="D19" s="5">
        <f>$I$6*B18+(1-$I$6)*D18</f>
        <v>1025.1238425228273</v>
      </c>
      <c r="E19" s="5">
        <f t="shared" si="0"/>
        <v>-8.1238425228273172</v>
      </c>
      <c r="F19" s="5">
        <f t="shared" si="1"/>
        <v>65.996817335697315</v>
      </c>
    </row>
    <row r="20" spans="1:6" x14ac:dyDescent="0.2">
      <c r="A20" s="2">
        <v>37288</v>
      </c>
      <c r="B20" s="3">
        <v>1096</v>
      </c>
      <c r="C20" s="5" t="s">
        <v>33</v>
      </c>
      <c r="D20" s="5">
        <f>$I$6*B19+(1-$I$6)*D19</f>
        <v>1022.5002969721166</v>
      </c>
      <c r="E20" s="5">
        <f t="shared" si="0"/>
        <v>73.499703027883356</v>
      </c>
      <c r="F20" s="5">
        <f t="shared" si="1"/>
        <v>5402.2063451870454</v>
      </c>
    </row>
    <row r="21" spans="1:6" x14ac:dyDescent="0.2">
      <c r="A21" s="2">
        <v>37316</v>
      </c>
      <c r="B21" s="3">
        <v>1052</v>
      </c>
      <c r="C21" s="5" t="s">
        <v>33</v>
      </c>
      <c r="D21" s="5">
        <f>$I$6*B20+(1-$I$6)*D20</f>
        <v>1046.236579195157</v>
      </c>
      <c r="E21" s="5">
        <f t="shared" si="0"/>
        <v>5.7634208048430082</v>
      </c>
      <c r="F21" s="5">
        <f t="shared" si="1"/>
        <v>33.217019373697227</v>
      </c>
    </row>
    <row r="22" spans="1:6" x14ac:dyDescent="0.2">
      <c r="A22" s="2">
        <v>37347</v>
      </c>
      <c r="B22" s="3">
        <v>971</v>
      </c>
      <c r="C22" s="5" t="s">
        <v>33</v>
      </c>
      <c r="D22" s="5">
        <f>$I$6*B21+(1-$I$6)*D21</f>
        <v>1048.0978409031397</v>
      </c>
      <c r="E22" s="5">
        <f t="shared" si="0"/>
        <v>-77.09784090313974</v>
      </c>
      <c r="F22" s="5">
        <f t="shared" si="1"/>
        <v>5944.0770719258471</v>
      </c>
    </row>
    <row r="23" spans="1:6" x14ac:dyDescent="0.2">
      <c r="A23" s="2">
        <v>37377</v>
      </c>
      <c r="B23" s="3">
        <v>1033</v>
      </c>
      <c r="C23" s="5" t="s">
        <v>33</v>
      </c>
      <c r="D23" s="5">
        <f>$I$6*B22+(1-$I$6)*D22</f>
        <v>1023.1995619295535</v>
      </c>
      <c r="E23" s="5">
        <f t="shared" si="0"/>
        <v>9.8004380704464893</v>
      </c>
      <c r="F23" s="5">
        <f t="shared" si="1"/>
        <v>96.048586372656899</v>
      </c>
    </row>
    <row r="24" spans="1:6" x14ac:dyDescent="0.2">
      <c r="A24" s="2">
        <v>37408</v>
      </c>
      <c r="B24" s="3">
        <v>978</v>
      </c>
      <c r="C24" s="5" t="s">
        <v>33</v>
      </c>
      <c r="D24" s="5">
        <f>$I$6*B23+(1-$I$6)*D23</f>
        <v>1026.3645538188582</v>
      </c>
      <c r="E24" s="5">
        <f t="shared" si="0"/>
        <v>-48.364553818858212</v>
      </c>
      <c r="F24" s="5">
        <f t="shared" si="1"/>
        <v>2339.1300660972324</v>
      </c>
    </row>
    <row r="25" spans="1:6" x14ac:dyDescent="0.2">
      <c r="A25" s="2">
        <v>37438</v>
      </c>
      <c r="B25" s="3">
        <v>983</v>
      </c>
      <c r="C25" s="5" t="s">
        <v>33</v>
      </c>
      <c r="D25" s="5">
        <f>$I$6*B24+(1-$I$6)*D24</f>
        <v>1010.7455152140312</v>
      </c>
      <c r="E25" s="5">
        <f t="shared" si="0"/>
        <v>-27.745515214031229</v>
      </c>
      <c r="F25" s="5">
        <f t="shared" si="1"/>
        <v>769.81361449203837</v>
      </c>
    </row>
    <row r="26" spans="1:6" x14ac:dyDescent="0.2">
      <c r="A26" s="2">
        <v>37469</v>
      </c>
      <c r="B26" s="3">
        <v>906</v>
      </c>
      <c r="C26" s="5" t="s">
        <v>33</v>
      </c>
      <c r="D26" s="5">
        <f>$I$6*B25+(1-$I$6)*D25</f>
        <v>1001.785269765229</v>
      </c>
      <c r="E26" s="5">
        <f t="shared" si="0"/>
        <v>-95.785269765229032</v>
      </c>
      <c r="F26" s="5">
        <f t="shared" si="1"/>
        <v>9174.8179039976985</v>
      </c>
    </row>
    <row r="27" spans="1:6" x14ac:dyDescent="0.2">
      <c r="A27" s="2">
        <v>37500</v>
      </c>
      <c r="B27" s="3">
        <v>910</v>
      </c>
      <c r="C27" s="5" t="s">
        <v>33</v>
      </c>
      <c r="D27" s="5">
        <f>$I$6*B26+(1-$I$6)*D26</f>
        <v>970.85199925806808</v>
      </c>
      <c r="E27" s="5">
        <f t="shared" si="0"/>
        <v>-60.851999258068076</v>
      </c>
      <c r="F27" s="5">
        <f t="shared" si="1"/>
        <v>3702.9658137039178</v>
      </c>
    </row>
    <row r="28" spans="1:6" x14ac:dyDescent="0.2">
      <c r="A28" s="2">
        <v>37530</v>
      </c>
      <c r="B28" s="3">
        <v>1025</v>
      </c>
      <c r="C28" s="5" t="s">
        <v>33</v>
      </c>
      <c r="D28" s="5">
        <f>$I$6*B27+(1-$I$6)*D27</f>
        <v>951.20021607089279</v>
      </c>
      <c r="E28" s="5">
        <f t="shared" si="0"/>
        <v>73.799783929107207</v>
      </c>
      <c r="F28" s="5">
        <f t="shared" si="1"/>
        <v>5446.4081079829102</v>
      </c>
    </row>
    <row r="29" spans="1:6" x14ac:dyDescent="0.2">
      <c r="A29" s="2">
        <v>37561</v>
      </c>
      <c r="B29" s="3">
        <v>1026</v>
      </c>
      <c r="C29" s="5" t="s">
        <v>33</v>
      </c>
      <c r="D29" s="5">
        <f>$I$6*B28+(1-$I$6)*D28</f>
        <v>975.03340759652565</v>
      </c>
      <c r="E29" s="5">
        <f t="shared" si="0"/>
        <v>50.966592403474351</v>
      </c>
      <c r="F29" s="5">
        <f t="shared" si="1"/>
        <v>2597.5935412218896</v>
      </c>
    </row>
    <row r="30" spans="1:6" x14ac:dyDescent="0.2">
      <c r="A30" s="2">
        <v>37591</v>
      </c>
      <c r="B30" s="3">
        <v>1014</v>
      </c>
      <c r="C30" s="5" t="s">
        <v>33</v>
      </c>
      <c r="D30" s="5">
        <f>$I$6*B29+(1-$I$6)*D29</f>
        <v>991.49275874215664</v>
      </c>
      <c r="E30" s="5">
        <f t="shared" si="0"/>
        <v>22.507241257843361</v>
      </c>
      <c r="F30" s="5">
        <f t="shared" si="1"/>
        <v>506.57590903876644</v>
      </c>
    </row>
    <row r="31" spans="1:6" x14ac:dyDescent="0.2">
      <c r="A31" s="2">
        <v>37622</v>
      </c>
      <c r="B31" s="3">
        <v>977</v>
      </c>
      <c r="C31" s="5" t="s">
        <v>33</v>
      </c>
      <c r="D31" s="5">
        <f>$I$6*B30+(1-$I$6)*D30</f>
        <v>998.76133546491644</v>
      </c>
      <c r="E31" s="5">
        <f t="shared" si="0"/>
        <v>-21.761335464916442</v>
      </c>
      <c r="F31" s="5">
        <f t="shared" si="1"/>
        <v>473.5557212166301</v>
      </c>
    </row>
    <row r="32" spans="1:6" x14ac:dyDescent="0.2">
      <c r="A32" s="2">
        <v>37653</v>
      </c>
      <c r="B32" s="3">
        <v>990</v>
      </c>
      <c r="C32" s="5" t="s">
        <v>33</v>
      </c>
      <c r="D32" s="5">
        <f>$I$6*B31+(1-$I$6)*D31</f>
        <v>991.73364448296024</v>
      </c>
      <c r="E32" s="5">
        <f t="shared" si="0"/>
        <v>-1.7336444829602442</v>
      </c>
      <c r="F32" s="5">
        <f t="shared" si="1"/>
        <v>3.0055231932984925</v>
      </c>
    </row>
    <row r="33" spans="1:6" x14ac:dyDescent="0.2">
      <c r="A33" s="2">
        <v>37681</v>
      </c>
      <c r="B33" s="3">
        <v>989</v>
      </c>
      <c r="C33" s="5" t="s">
        <v>33</v>
      </c>
      <c r="D33" s="5">
        <f>$I$6*B32+(1-$I$6)*D32</f>
        <v>991.17377453754909</v>
      </c>
      <c r="E33" s="5">
        <f t="shared" si="0"/>
        <v>-2.1737745375490931</v>
      </c>
      <c r="F33" s="5">
        <f t="shared" si="1"/>
        <v>4.7252957400967732</v>
      </c>
    </row>
    <row r="34" spans="1:6" x14ac:dyDescent="0.2">
      <c r="A34" s="2">
        <v>37712</v>
      </c>
      <c r="B34" s="3">
        <v>960</v>
      </c>
      <c r="C34" s="5" t="s">
        <v>33</v>
      </c>
      <c r="D34" s="5">
        <f>$I$6*B33+(1-$I$6)*D33</f>
        <v>990.47176726694897</v>
      </c>
      <c r="E34" s="5">
        <f t="shared" si="0"/>
        <v>-30.471767266948973</v>
      </c>
      <c r="F34" s="5">
        <f t="shared" si="1"/>
        <v>928.52860037110293</v>
      </c>
    </row>
    <row r="35" spans="1:6" x14ac:dyDescent="0.2">
      <c r="A35" s="2">
        <v>37742</v>
      </c>
      <c r="B35" s="3">
        <v>981</v>
      </c>
      <c r="C35" s="5" t="s">
        <v>33</v>
      </c>
      <c r="D35" s="5">
        <f>$I$6*B34+(1-$I$6)*D34</f>
        <v>980.63109529295866</v>
      </c>
      <c r="E35" s="5">
        <f t="shared" si="0"/>
        <v>0.36890470704133804</v>
      </c>
      <c r="F35" s="5">
        <f t="shared" si="1"/>
        <v>0.13609068287725545</v>
      </c>
    </row>
    <row r="36" spans="1:6" x14ac:dyDescent="0.2">
      <c r="A36" s="2">
        <v>37773</v>
      </c>
      <c r="B36" s="3">
        <v>962</v>
      </c>
      <c r="C36" s="5" t="s">
        <v>33</v>
      </c>
      <c r="D36" s="5">
        <f>$I$6*B35+(1-$I$6)*D35</f>
        <v>980.7502308251992</v>
      </c>
      <c r="E36" s="5">
        <f t="shared" si="0"/>
        <v>-18.750230825199196</v>
      </c>
      <c r="F36" s="5">
        <f t="shared" si="1"/>
        <v>351.57115599825011</v>
      </c>
    </row>
    <row r="37" spans="1:6" x14ac:dyDescent="0.2">
      <c r="A37" s="2">
        <v>37803</v>
      </c>
      <c r="B37" s="3">
        <v>1022</v>
      </c>
      <c r="C37" s="5" t="s">
        <v>33</v>
      </c>
      <c r="D37" s="5">
        <f>$I$6*B36+(1-$I$6)*D36</f>
        <v>974.6949577794669</v>
      </c>
      <c r="E37" s="5">
        <f t="shared" si="0"/>
        <v>47.305042220533096</v>
      </c>
      <c r="F37" s="5">
        <f t="shared" si="1"/>
        <v>2237.7670194864186</v>
      </c>
    </row>
    <row r="38" spans="1:6" x14ac:dyDescent="0.2">
      <c r="A38" s="2">
        <v>37834</v>
      </c>
      <c r="B38" s="3">
        <v>910</v>
      </c>
      <c r="C38" s="5" t="s">
        <v>33</v>
      </c>
      <c r="D38" s="5">
        <f>$I$6*B37+(1-$I$6)*D37</f>
        <v>989.97183355532468</v>
      </c>
      <c r="E38" s="5">
        <f t="shared" si="0"/>
        <v>-79.971833555324679</v>
      </c>
      <c r="F38" s="5">
        <f t="shared" si="1"/>
        <v>6395.4941622005545</v>
      </c>
    </row>
    <row r="39" spans="1:6" x14ac:dyDescent="0.2">
      <c r="A39" s="2">
        <v>37865</v>
      </c>
      <c r="B39" s="3">
        <v>912</v>
      </c>
      <c r="C39" s="5" t="s">
        <v>33</v>
      </c>
      <c r="D39" s="5">
        <f>$I$6*B38+(1-$I$6)*D38</f>
        <v>964.14541612826315</v>
      </c>
      <c r="E39" s="5">
        <f t="shared" si="0"/>
        <v>-52.14541612826315</v>
      </c>
      <c r="F39" s="5">
        <f t="shared" si="1"/>
        <v>2719.1444231897267</v>
      </c>
    </row>
    <row r="40" spans="1:6" x14ac:dyDescent="0.2">
      <c r="A40" s="2">
        <v>37895</v>
      </c>
      <c r="B40" s="3">
        <v>1025</v>
      </c>
      <c r="C40" s="5" t="s">
        <v>33</v>
      </c>
      <c r="D40" s="5">
        <f>$I$6*B39+(1-$I$6)*D39</f>
        <v>947.30537102782557</v>
      </c>
      <c r="E40" s="5">
        <f t="shared" si="0"/>
        <v>77.694628972174428</v>
      </c>
      <c r="F40" s="5">
        <f t="shared" si="1"/>
        <v>6036.4553711238459</v>
      </c>
    </row>
    <row r="41" spans="1:6" x14ac:dyDescent="0.2">
      <c r="A41" s="2">
        <v>37926</v>
      </c>
      <c r="B41" s="3">
        <v>1017</v>
      </c>
      <c r="C41" s="5" t="s">
        <v>33</v>
      </c>
      <c r="D41" s="5">
        <f>$I$6*B40+(1-$I$6)*D40</f>
        <v>972.39637907990323</v>
      </c>
      <c r="E41" s="5">
        <f t="shared" si="0"/>
        <v>44.603620920096773</v>
      </c>
      <c r="F41" s="5">
        <f t="shared" si="1"/>
        <v>1989.4829991836946</v>
      </c>
    </row>
    <row r="42" spans="1:6" x14ac:dyDescent="0.2">
      <c r="A42" s="2">
        <v>37956</v>
      </c>
      <c r="B42" s="3">
        <v>1044</v>
      </c>
      <c r="C42" s="5" t="s">
        <v>33</v>
      </c>
      <c r="D42" s="5">
        <f>$I$6*B41+(1-$I$6)*D41</f>
        <v>986.80084727111864</v>
      </c>
      <c r="E42" s="5">
        <f t="shared" si="0"/>
        <v>57.199152728881359</v>
      </c>
      <c r="F42" s="5">
        <f t="shared" si="1"/>
        <v>3271.7430729018956</v>
      </c>
    </row>
    <row r="43" spans="1:6" x14ac:dyDescent="0.2">
      <c r="A43" s="2">
        <v>37987</v>
      </c>
      <c r="B43" s="3">
        <v>1032</v>
      </c>
      <c r="C43" s="5" t="s">
        <v>33</v>
      </c>
      <c r="D43" s="5">
        <f>$I$6*B42+(1-$I$6)*D42</f>
        <v>1005.2729658805836</v>
      </c>
      <c r="E43" s="5">
        <f t="shared" si="0"/>
        <v>26.72703411941643</v>
      </c>
      <c r="F43" s="5">
        <f t="shared" si="1"/>
        <v>714.33435282045002</v>
      </c>
    </row>
    <row r="44" spans="1:6" x14ac:dyDescent="0.2">
      <c r="A44" s="2">
        <v>38018</v>
      </c>
      <c r="B44" s="3">
        <v>1060</v>
      </c>
      <c r="C44" s="5" t="s">
        <v>33</v>
      </c>
      <c r="D44" s="5">
        <f>$I$6*B43+(1-$I$6)*D43</f>
        <v>1013.9042990521289</v>
      </c>
      <c r="E44" s="5">
        <f t="shared" si="0"/>
        <v>46.095700947871137</v>
      </c>
      <c r="F44" s="5">
        <f t="shared" si="1"/>
        <v>2124.813645875568</v>
      </c>
    </row>
    <row r="45" spans="1:6" x14ac:dyDescent="0.2">
      <c r="A45" s="2">
        <v>38047</v>
      </c>
      <c r="B45" s="3">
        <v>1077</v>
      </c>
      <c r="C45" s="5" t="s">
        <v>33</v>
      </c>
      <c r="D45" s="5">
        <f>$I$6*B44+(1-$I$6)*D44</f>
        <v>1028.7906254166376</v>
      </c>
      <c r="E45" s="5">
        <f t="shared" si="0"/>
        <v>48.209374583362433</v>
      </c>
      <c r="F45" s="5">
        <f t="shared" si="1"/>
        <v>2324.1437977189516</v>
      </c>
    </row>
    <row r="46" spans="1:6" x14ac:dyDescent="0.2">
      <c r="A46" s="2">
        <v>38078</v>
      </c>
      <c r="B46" s="3">
        <v>1098</v>
      </c>
      <c r="C46" s="5" t="s">
        <v>33</v>
      </c>
      <c r="D46" s="5">
        <f>$I$6*B45+(1-$I$6)*D45</f>
        <v>1044.3595498308334</v>
      </c>
      <c r="E46" s="5">
        <f t="shared" si="0"/>
        <v>53.64045016916657</v>
      </c>
      <c r="F46" s="5">
        <f t="shared" si="1"/>
        <v>2877.2978943508419</v>
      </c>
    </row>
    <row r="47" spans="1:6" x14ac:dyDescent="0.2">
      <c r="A47" s="2">
        <v>38108</v>
      </c>
      <c r="B47" s="3">
        <v>1086</v>
      </c>
      <c r="C47" s="5" t="s">
        <v>33</v>
      </c>
      <c r="D47" s="5">
        <f>$I$6*B46+(1-$I$6)*D46</f>
        <v>1061.6824070851444</v>
      </c>
      <c r="E47" s="5">
        <f t="shared" si="0"/>
        <v>24.317592914855595</v>
      </c>
      <c r="F47" s="5">
        <f t="shared" si="1"/>
        <v>591.34532517263506</v>
      </c>
    </row>
    <row r="48" spans="1:6" x14ac:dyDescent="0.2">
      <c r="A48" s="2">
        <v>38139</v>
      </c>
      <c r="B48" s="3">
        <v>1070</v>
      </c>
      <c r="C48" s="5" t="s">
        <v>33</v>
      </c>
      <c r="D48" s="5">
        <f>$I$6*B47+(1-$I$6)*D47</f>
        <v>1069.5356258688046</v>
      </c>
      <c r="E48" s="5">
        <f t="shared" si="0"/>
        <v>0.46437413119542725</v>
      </c>
      <c r="F48" s="5">
        <f t="shared" si="1"/>
        <v>0.21564333372350789</v>
      </c>
    </row>
    <row r="49" spans="1:6" x14ac:dyDescent="0.2">
      <c r="A49" s="2">
        <v>38169</v>
      </c>
      <c r="B49" s="3">
        <v>1121</v>
      </c>
      <c r="C49" s="5" t="s">
        <v>33</v>
      </c>
      <c r="D49" s="5">
        <f>$I$6*B48+(1-$I$6)*D48</f>
        <v>1069.6855926711323</v>
      </c>
      <c r="E49" s="5">
        <f t="shared" si="0"/>
        <v>51.314407328867674</v>
      </c>
      <c r="F49" s="5">
        <f t="shared" si="1"/>
        <v>2633.1683995129483</v>
      </c>
    </row>
    <row r="50" spans="1:6" x14ac:dyDescent="0.2">
      <c r="A50" s="2">
        <v>38200</v>
      </c>
      <c r="B50" s="3">
        <v>993</v>
      </c>
      <c r="C50" s="5" t="s">
        <v>33</v>
      </c>
      <c r="D50" s="5">
        <f>$I$6*B49+(1-$I$6)*D49</f>
        <v>1086.2572685322439</v>
      </c>
      <c r="E50" s="5">
        <f t="shared" si="0"/>
        <v>-93.25726853224387</v>
      </c>
      <c r="F50" s="5">
        <f t="shared" si="1"/>
        <v>8696.9181340950436</v>
      </c>
    </row>
    <row r="51" spans="1:6" x14ac:dyDescent="0.2">
      <c r="A51" s="2">
        <v>38231</v>
      </c>
      <c r="B51" s="3">
        <v>1026</v>
      </c>
      <c r="C51" s="5" t="s">
        <v>33</v>
      </c>
      <c r="D51" s="5">
        <f>$I$6*B50+(1-$I$6)*D50</f>
        <v>1056.1404006533162</v>
      </c>
      <c r="E51" s="5">
        <f t="shared" si="0"/>
        <v>-30.140400653316192</v>
      </c>
      <c r="F51" s="5">
        <f t="shared" si="1"/>
        <v>908.44375154242312</v>
      </c>
    </row>
    <row r="52" spans="1:6" x14ac:dyDescent="0.2">
      <c r="A52" s="2">
        <v>38261</v>
      </c>
      <c r="B52" s="3">
        <v>1114</v>
      </c>
      <c r="C52" s="5" t="s">
        <v>33</v>
      </c>
      <c r="D52" s="5">
        <f>$I$6*B51+(1-$I$6)*D51</f>
        <v>1046.4067415125273</v>
      </c>
      <c r="E52" s="5">
        <f t="shared" si="0"/>
        <v>67.593258487472667</v>
      </c>
      <c r="F52" s="5">
        <f t="shared" si="1"/>
        <v>4568.8485929542958</v>
      </c>
    </row>
    <row r="53" spans="1:6" x14ac:dyDescent="0.2">
      <c r="A53" s="2">
        <v>38292</v>
      </c>
      <c r="B53" s="3">
        <v>1050</v>
      </c>
      <c r="C53" s="5" t="s">
        <v>33</v>
      </c>
      <c r="D53" s="5">
        <f>$I$6*B52+(1-$I$6)*D52</f>
        <v>1068.2355733817515</v>
      </c>
      <c r="E53" s="5">
        <f t="shared" si="0"/>
        <v>-18.235573381751465</v>
      </c>
      <c r="F53" s="5">
        <f t="shared" si="1"/>
        <v>332.53613656124253</v>
      </c>
    </row>
    <row r="54" spans="1:6" x14ac:dyDescent="0.2">
      <c r="A54" s="2">
        <v>38322</v>
      </c>
      <c r="B54" s="3">
        <v>1094</v>
      </c>
      <c r="C54" s="5" t="s">
        <v>33</v>
      </c>
      <c r="D54" s="5">
        <f>$I$6*B53+(1-$I$6)*D53</f>
        <v>1062.3465058283221</v>
      </c>
      <c r="E54" s="5">
        <f t="shared" si="0"/>
        <v>31.653494171677949</v>
      </c>
      <c r="F54" s="5">
        <f t="shared" si="1"/>
        <v>1001.9436932764498</v>
      </c>
    </row>
    <row r="55" spans="1:6" x14ac:dyDescent="0.2">
      <c r="A55" s="2">
        <v>38353</v>
      </c>
      <c r="B55" s="3">
        <v>1069</v>
      </c>
      <c r="C55" s="5" t="s">
        <v>33</v>
      </c>
      <c r="D55" s="5">
        <f>$I$6*B54+(1-$I$6)*D54</f>
        <v>1072.5688093214299</v>
      </c>
      <c r="E55" s="5">
        <f t="shared" si="0"/>
        <v>-3.5688093214298533</v>
      </c>
      <c r="F55" s="5">
        <f t="shared" si="1"/>
        <v>12.736399972724611</v>
      </c>
    </row>
    <row r="56" spans="1:6" x14ac:dyDescent="0.2">
      <c r="A56" s="2">
        <v>38384</v>
      </c>
      <c r="B56" s="3">
        <v>1096</v>
      </c>
      <c r="C56" s="5" t="s">
        <v>33</v>
      </c>
      <c r="D56" s="5">
        <f>$I$6*B55+(1-$I$6)*D55</f>
        <v>1071.416284049028</v>
      </c>
      <c r="E56" s="5">
        <f t="shared" si="0"/>
        <v>24.583715950971964</v>
      </c>
      <c r="F56" s="5">
        <f t="shared" si="1"/>
        <v>604.35908995807335</v>
      </c>
    </row>
    <row r="57" spans="1:6" x14ac:dyDescent="0.2">
      <c r="A57" s="2">
        <v>38412</v>
      </c>
      <c r="B57" s="3">
        <v>1137</v>
      </c>
      <c r="C57" s="5" t="s">
        <v>33</v>
      </c>
      <c r="D57" s="5">
        <f>$I$6*B56+(1-$I$6)*D56</f>
        <v>1079.3554456492043</v>
      </c>
      <c r="E57" s="5">
        <f t="shared" si="0"/>
        <v>57.644554350795715</v>
      </c>
      <c r="F57" s="5">
        <f t="shared" si="1"/>
        <v>3322.894646301841</v>
      </c>
    </row>
    <row r="58" spans="1:6" x14ac:dyDescent="0.2">
      <c r="A58" s="2">
        <v>38443</v>
      </c>
      <c r="B58" s="3">
        <v>1053</v>
      </c>
      <c r="C58" s="5" t="s">
        <v>33</v>
      </c>
      <c r="D58" s="5">
        <f>$I$6*B57+(1-$I$6)*D57</f>
        <v>1097.9714040044755</v>
      </c>
      <c r="E58" s="5">
        <f t="shared" si="0"/>
        <v>-44.971404004475517</v>
      </c>
      <c r="F58" s="5">
        <f t="shared" si="1"/>
        <v>2022.4271781337566</v>
      </c>
    </row>
    <row r="59" spans="1:6" x14ac:dyDescent="0.2">
      <c r="A59" s="2">
        <v>38473</v>
      </c>
      <c r="B59" s="3">
        <v>1100</v>
      </c>
      <c r="C59" s="5" t="s">
        <v>33</v>
      </c>
      <c r="D59" s="5">
        <f>$I$6*B58+(1-$I$6)*D58</f>
        <v>1083.4481625022393</v>
      </c>
      <c r="E59" s="5">
        <f t="shared" si="0"/>
        <v>16.551837497760744</v>
      </c>
      <c r="F59" s="5">
        <f t="shared" si="1"/>
        <v>273.96332455227866</v>
      </c>
    </row>
    <row r="60" spans="1:6" x14ac:dyDescent="0.2">
      <c r="A60" s="2">
        <v>38504</v>
      </c>
      <c r="B60" s="3">
        <v>1101</v>
      </c>
      <c r="C60" s="5" t="s">
        <v>33</v>
      </c>
      <c r="D60" s="5">
        <f>$I$6*B59+(1-$I$6)*D59</f>
        <v>1088.7934777888563</v>
      </c>
      <c r="E60" s="5">
        <f t="shared" si="0"/>
        <v>12.206522211143692</v>
      </c>
      <c r="F60" s="5">
        <f t="shared" si="1"/>
        <v>148.99918449114429</v>
      </c>
    </row>
    <row r="61" spans="1:6" x14ac:dyDescent="0.2">
      <c r="A61" s="2">
        <v>38534</v>
      </c>
      <c r="B61" s="3">
        <v>1116</v>
      </c>
      <c r="C61" s="5" t="s">
        <v>33</v>
      </c>
      <c r="D61" s="5">
        <f>$I$6*B60+(1-$I$6)*D60</f>
        <v>1092.7354999226818</v>
      </c>
      <c r="E61" s="5">
        <f t="shared" si="0"/>
        <v>23.264500077318189</v>
      </c>
      <c r="F61" s="5">
        <f t="shared" si="1"/>
        <v>541.23696384753805</v>
      </c>
    </row>
    <row r="62" spans="1:6" x14ac:dyDescent="0.2">
      <c r="A62" s="2">
        <v>38565</v>
      </c>
      <c r="B62" s="3">
        <v>1051</v>
      </c>
      <c r="C62" s="5" t="s">
        <v>33</v>
      </c>
      <c r="D62" s="5">
        <f>$I$6*B61+(1-$I$6)*D61</f>
        <v>1100.2486287771437</v>
      </c>
      <c r="E62" s="5">
        <f t="shared" si="0"/>
        <v>-49.248628777143722</v>
      </c>
      <c r="F62" s="5">
        <f t="shared" si="1"/>
        <v>2425.4274364289085</v>
      </c>
    </row>
    <row r="63" spans="1:6" x14ac:dyDescent="0.2">
      <c r="A63" s="2">
        <v>38596</v>
      </c>
      <c r="B63" s="3">
        <v>1000</v>
      </c>
      <c r="C63" s="5" t="s">
        <v>33</v>
      </c>
      <c r="D63" s="5">
        <f>$I$6*B62+(1-$I$6)*D62</f>
        <v>1084.3440835396134</v>
      </c>
      <c r="E63" s="5">
        <f t="shared" si="0"/>
        <v>-84.344083539613393</v>
      </c>
      <c r="F63" s="5">
        <f t="shared" si="1"/>
        <v>7113.924428137283</v>
      </c>
    </row>
    <row r="64" spans="1:6" x14ac:dyDescent="0.2">
      <c r="A64" s="2">
        <v>38626</v>
      </c>
      <c r="B64" s="3">
        <v>1102</v>
      </c>
      <c r="C64" s="5" t="s">
        <v>33</v>
      </c>
      <c r="D64" s="5">
        <f>$I$6*B63+(1-$I$6)*D63</f>
        <v>1057.1056745629071</v>
      </c>
      <c r="E64" s="5">
        <f t="shared" si="0"/>
        <v>44.894325437092903</v>
      </c>
      <c r="F64" s="5">
        <f t="shared" si="1"/>
        <v>2015.5004564516069</v>
      </c>
    </row>
    <row r="65" spans="1:6" x14ac:dyDescent="0.2">
      <c r="A65" s="2">
        <v>38657</v>
      </c>
      <c r="B65" s="3">
        <v>1094</v>
      </c>
      <c r="C65" s="5" t="s">
        <v>33</v>
      </c>
      <c r="D65" s="5">
        <f>$I$6*B64+(1-$I$6)*D64</f>
        <v>1071.6040240104362</v>
      </c>
      <c r="E65" s="5">
        <f t="shared" si="0"/>
        <v>22.395975989563794</v>
      </c>
      <c r="F65" s="5">
        <f t="shared" si="1"/>
        <v>501.57974052511798</v>
      </c>
    </row>
    <row r="66" spans="1:6" x14ac:dyDescent="0.2">
      <c r="A66" s="2">
        <v>38687</v>
      </c>
      <c r="B66" s="3">
        <v>1143</v>
      </c>
      <c r="C66" s="5" t="s">
        <v>33</v>
      </c>
      <c r="D66" s="5">
        <f>$I$6*B65+(1-$I$6)*D65</f>
        <v>1078.8366682912852</v>
      </c>
      <c r="E66" s="5">
        <f t="shared" si="0"/>
        <v>64.16333170871485</v>
      </c>
      <c r="F66" s="5">
        <f t="shared" si="1"/>
        <v>4116.9331359625721</v>
      </c>
    </row>
    <row r="67" spans="1:6" x14ac:dyDescent="0.2">
      <c r="A67" s="2">
        <v>38718</v>
      </c>
      <c r="B67" s="3">
        <v>1094</v>
      </c>
      <c r="C67" s="5" t="s">
        <v>33</v>
      </c>
      <c r="D67" s="5">
        <f>$I$6*B66+(1-$I$6)*D66</f>
        <v>1099.557826160873</v>
      </c>
      <c r="E67" s="5">
        <f t="shared" si="0"/>
        <v>-5.5578261608729917</v>
      </c>
      <c r="F67" s="5">
        <f t="shared" si="1"/>
        <v>30.889431634484218</v>
      </c>
    </row>
    <row r="68" spans="1:6" x14ac:dyDescent="0.2">
      <c r="A68" s="2">
        <v>38749</v>
      </c>
      <c r="B68" s="3">
        <v>1175</v>
      </c>
      <c r="C68" s="5" t="s">
        <v>33</v>
      </c>
      <c r="D68" s="5">
        <f>$I$6*B67+(1-$I$6)*D67</f>
        <v>1097.7629599931686</v>
      </c>
      <c r="E68" s="5">
        <f t="shared" ref="E68:E131" si="2">B68-D68</f>
        <v>77.237040006831421</v>
      </c>
      <c r="F68" s="5">
        <f t="shared" ref="F68:F131" si="3">E68^2</f>
        <v>5965.5603490168778</v>
      </c>
    </row>
    <row r="69" spans="1:6" x14ac:dyDescent="0.2">
      <c r="A69" s="2">
        <v>38777</v>
      </c>
      <c r="B69" s="3">
        <v>1212</v>
      </c>
      <c r="C69" s="5" t="s">
        <v>33</v>
      </c>
      <c r="D69" s="5">
        <f>$I$6*B68+(1-$I$6)*D68</f>
        <v>1122.7061924709774</v>
      </c>
      <c r="E69" s="5">
        <f t="shared" si="2"/>
        <v>89.293807529022615</v>
      </c>
      <c r="F69" s="5">
        <f t="shared" si="3"/>
        <v>7973.3840630301356</v>
      </c>
    </row>
    <row r="70" spans="1:6" x14ac:dyDescent="0.2">
      <c r="A70" s="2">
        <v>38808</v>
      </c>
      <c r="B70" s="3">
        <v>1109</v>
      </c>
      <c r="C70" s="5" t="s">
        <v>33</v>
      </c>
      <c r="D70" s="5">
        <f>$I$6*B69+(1-$I$6)*D69</f>
        <v>1151.5430847163059</v>
      </c>
      <c r="E70" s="5">
        <f t="shared" si="2"/>
        <v>-42.543084716305884</v>
      </c>
      <c r="F70" s="5">
        <f t="shared" si="3"/>
        <v>1809.9140571787793</v>
      </c>
    </row>
    <row r="71" spans="1:6" x14ac:dyDescent="0.2">
      <c r="A71" s="2">
        <v>38838</v>
      </c>
      <c r="B71" s="3">
        <v>1185</v>
      </c>
      <c r="C71" s="5" t="s">
        <v>33</v>
      </c>
      <c r="D71" s="5">
        <f>$I$6*B70+(1-$I$6)*D70</f>
        <v>1137.8040541642797</v>
      </c>
      <c r="E71" s="5">
        <f t="shared" si="2"/>
        <v>47.195945835720295</v>
      </c>
      <c r="F71" s="5">
        <f t="shared" si="3"/>
        <v>2227.4573033282441</v>
      </c>
    </row>
    <row r="72" spans="1:6" x14ac:dyDescent="0.2">
      <c r="A72" s="2">
        <v>38869</v>
      </c>
      <c r="B72" s="3">
        <v>1102</v>
      </c>
      <c r="C72" s="5" t="s">
        <v>33</v>
      </c>
      <c r="D72" s="5">
        <f>$I$6*B71+(1-$I$6)*D71</f>
        <v>1153.0456979259557</v>
      </c>
      <c r="E72" s="5">
        <f t="shared" si="2"/>
        <v>-51.045697925955665</v>
      </c>
      <c r="F72" s="5">
        <f t="shared" si="3"/>
        <v>2605.6632767479146</v>
      </c>
    </row>
    <row r="73" spans="1:6" x14ac:dyDescent="0.2">
      <c r="A73" s="2">
        <v>38899</v>
      </c>
      <c r="B73" s="3">
        <v>1112</v>
      </c>
      <c r="C73" s="5" t="s">
        <v>33</v>
      </c>
      <c r="D73" s="5">
        <f>$I$6*B72+(1-$I$6)*D72</f>
        <v>1136.5608001327919</v>
      </c>
      <c r="E73" s="5">
        <f t="shared" si="2"/>
        <v>-24.560800132791883</v>
      </c>
      <c r="F73" s="5">
        <f t="shared" si="3"/>
        <v>603.23290316294981</v>
      </c>
    </row>
    <row r="74" spans="1:6" x14ac:dyDescent="0.2">
      <c r="A74" s="2">
        <v>38930</v>
      </c>
      <c r="B74" s="3">
        <v>1108</v>
      </c>
      <c r="C74" s="5" t="s">
        <v>33</v>
      </c>
      <c r="D74" s="5">
        <f>$I$6*B73+(1-$I$6)*D73</f>
        <v>1128.6290390567715</v>
      </c>
      <c r="E74" s="5">
        <f t="shared" si="2"/>
        <v>-20.629039056771489</v>
      </c>
      <c r="F74" s="5">
        <f t="shared" si="3"/>
        <v>425.55725240580352</v>
      </c>
    </row>
    <row r="75" spans="1:6" x14ac:dyDescent="0.2">
      <c r="A75" s="2">
        <v>38961</v>
      </c>
      <c r="B75" s="3">
        <v>1089</v>
      </c>
      <c r="C75" s="5" t="s">
        <v>33</v>
      </c>
      <c r="D75" s="5">
        <f>$I$6*B74+(1-$I$6)*D74</f>
        <v>1121.9670163155927</v>
      </c>
      <c r="E75" s="5">
        <f t="shared" si="2"/>
        <v>-32.967016315592673</v>
      </c>
      <c r="F75" s="5">
        <f t="shared" si="3"/>
        <v>1086.8241647525535</v>
      </c>
    </row>
    <row r="76" spans="1:6" x14ac:dyDescent="0.2">
      <c r="A76" s="2">
        <v>38991</v>
      </c>
      <c r="B76" s="3">
        <v>1199</v>
      </c>
      <c r="C76" s="5" t="s">
        <v>33</v>
      </c>
      <c r="D76" s="5">
        <f>$I$6*B75+(1-$I$6)*D75</f>
        <v>1111.3205188321726</v>
      </c>
      <c r="E76" s="5">
        <f t="shared" si="2"/>
        <v>87.679481167827362</v>
      </c>
      <c r="F76" s="5">
        <f t="shared" si="3"/>
        <v>7687.6914178593934</v>
      </c>
    </row>
    <row r="77" spans="1:6" x14ac:dyDescent="0.2">
      <c r="A77" s="2">
        <v>39022</v>
      </c>
      <c r="B77" s="3">
        <v>1126</v>
      </c>
      <c r="C77" s="5" t="s">
        <v>33</v>
      </c>
      <c r="D77" s="5">
        <f>$I$6*B76+(1-$I$6)*D76</f>
        <v>1139.6360741940734</v>
      </c>
      <c r="E77" s="5">
        <f t="shared" si="2"/>
        <v>-13.636074194073444</v>
      </c>
      <c r="F77" s="5">
        <f t="shared" si="3"/>
        <v>185.94251942627574</v>
      </c>
    </row>
    <row r="78" spans="1:6" x14ac:dyDescent="0.2">
      <c r="A78" s="2">
        <v>39052</v>
      </c>
      <c r="B78" s="3">
        <v>1177</v>
      </c>
      <c r="C78" s="5" t="s">
        <v>33</v>
      </c>
      <c r="D78" s="5">
        <f>$I$6*B77+(1-$I$6)*D77</f>
        <v>1135.232386938874</v>
      </c>
      <c r="E78" s="5">
        <f t="shared" si="2"/>
        <v>41.767613061125985</v>
      </c>
      <c r="F78" s="5">
        <f t="shared" si="3"/>
        <v>1744.5335008239419</v>
      </c>
    </row>
    <row r="79" spans="1:6" x14ac:dyDescent="0.2">
      <c r="A79" s="2">
        <v>39083</v>
      </c>
      <c r="B79" s="3">
        <v>1154</v>
      </c>
      <c r="C79" s="5" t="s">
        <v>33</v>
      </c>
      <c r="D79" s="5">
        <f>$I$6*B78+(1-$I$6)*D78</f>
        <v>1148.7209836346392</v>
      </c>
      <c r="E79" s="5">
        <f t="shared" si="2"/>
        <v>5.2790163653608033</v>
      </c>
      <c r="F79" s="5">
        <f t="shared" si="3"/>
        <v>27.868013785747188</v>
      </c>
    </row>
    <row r="80" spans="1:6" x14ac:dyDescent="0.2">
      <c r="A80" s="2">
        <v>39114</v>
      </c>
      <c r="B80" s="3">
        <v>1232</v>
      </c>
      <c r="C80" s="5" t="s">
        <v>33</v>
      </c>
      <c r="D80" s="5">
        <f>$I$6*B79+(1-$I$6)*D79</f>
        <v>1150.4258098740149</v>
      </c>
      <c r="E80" s="5">
        <f t="shared" si="2"/>
        <v>81.574190125985069</v>
      </c>
      <c r="F80" s="5">
        <f t="shared" si="3"/>
        <v>6654.3484947103598</v>
      </c>
    </row>
    <row r="81" spans="1:6" x14ac:dyDescent="0.2">
      <c r="A81" s="2">
        <v>39142</v>
      </c>
      <c r="B81" s="3">
        <v>1205</v>
      </c>
      <c r="C81" s="5" t="s">
        <v>33</v>
      </c>
      <c r="D81" s="5">
        <f>$I$6*B80+(1-$I$6)*D80</f>
        <v>1176.7696986134263</v>
      </c>
      <c r="E81" s="5">
        <f t="shared" si="2"/>
        <v>28.230301386573728</v>
      </c>
      <c r="F81" s="5">
        <f t="shared" si="3"/>
        <v>796.94991637678652</v>
      </c>
    </row>
    <row r="82" spans="1:6" x14ac:dyDescent="0.2">
      <c r="A82" s="2">
        <v>39173</v>
      </c>
      <c r="B82" s="3">
        <v>1143</v>
      </c>
      <c r="C82" s="5" t="s">
        <v>33</v>
      </c>
      <c r="D82" s="5">
        <f>$I$6*B81+(1-$I$6)*D81</f>
        <v>1185.8865028092064</v>
      </c>
      <c r="E82" s="5">
        <f t="shared" si="2"/>
        <v>-42.886502809206377</v>
      </c>
      <c r="F82" s="5">
        <f t="shared" si="3"/>
        <v>1839.2521232040665</v>
      </c>
    </row>
    <row r="83" spans="1:6" x14ac:dyDescent="0.2">
      <c r="A83" s="2">
        <v>39203</v>
      </c>
      <c r="B83" s="3">
        <v>1227</v>
      </c>
      <c r="C83" s="5" t="s">
        <v>33</v>
      </c>
      <c r="D83" s="5">
        <f>$I$6*B82+(1-$I$6)*D82</f>
        <v>1172.0365674720208</v>
      </c>
      <c r="E83" s="5">
        <f t="shared" si="2"/>
        <v>54.963432527979194</v>
      </c>
      <c r="F83" s="5">
        <f t="shared" si="3"/>
        <v>3020.9789152577214</v>
      </c>
    </row>
    <row r="84" spans="1:6" x14ac:dyDescent="0.2">
      <c r="A84" s="2">
        <v>39234</v>
      </c>
      <c r="B84" s="3">
        <v>1117</v>
      </c>
      <c r="C84" s="5" t="s">
        <v>33</v>
      </c>
      <c r="D84" s="5">
        <f>$I$6*B83+(1-$I$6)*D83</f>
        <v>1189.7866738355283</v>
      </c>
      <c r="E84" s="5">
        <f t="shared" si="2"/>
        <v>-72.786673835528291</v>
      </c>
      <c r="F84" s="5">
        <f t="shared" si="3"/>
        <v>5297.8998880395784</v>
      </c>
    </row>
    <row r="85" spans="1:6" x14ac:dyDescent="0.2">
      <c r="A85" s="2">
        <v>39264</v>
      </c>
      <c r="B85" s="3">
        <v>1180</v>
      </c>
      <c r="C85" s="5" t="s">
        <v>33</v>
      </c>
      <c r="D85" s="5">
        <f>$I$6*B84+(1-$I$6)*D84</f>
        <v>1166.280660055023</v>
      </c>
      <c r="E85" s="5">
        <f t="shared" si="2"/>
        <v>13.719339944977037</v>
      </c>
      <c r="F85" s="5">
        <f t="shared" si="3"/>
        <v>188.22028852584253</v>
      </c>
    </row>
    <row r="86" spans="1:6" x14ac:dyDescent="0.2">
      <c r="A86" s="2">
        <v>39295</v>
      </c>
      <c r="B86" s="3">
        <v>1102</v>
      </c>
      <c r="C86" s="5" t="s">
        <v>33</v>
      </c>
      <c r="D86" s="5">
        <f>$I$6*B85+(1-$I$6)*D85</f>
        <v>1170.7112374782305</v>
      </c>
      <c r="E86" s="5">
        <f t="shared" si="2"/>
        <v>-68.711237478230487</v>
      </c>
      <c r="F86" s="5">
        <f t="shared" si="3"/>
        <v>4721.2341557897862</v>
      </c>
    </row>
    <row r="87" spans="1:6" x14ac:dyDescent="0.2">
      <c r="A87" s="2">
        <v>39326</v>
      </c>
      <c r="B87" s="3">
        <v>1140</v>
      </c>
      <c r="C87" s="5" t="s">
        <v>33</v>
      </c>
      <c r="D87" s="5">
        <f>$I$6*B86+(1-$I$6)*D86</f>
        <v>1148.521361091126</v>
      </c>
      <c r="E87" s="5">
        <f t="shared" si="2"/>
        <v>-8.5213610911259821</v>
      </c>
      <c r="F87" s="5">
        <f t="shared" si="3"/>
        <v>72.613594845355792</v>
      </c>
    </row>
    <row r="88" spans="1:6" x14ac:dyDescent="0.2">
      <c r="A88" s="2">
        <v>39356</v>
      </c>
      <c r="B88" s="3">
        <v>1291</v>
      </c>
      <c r="C88" s="5" t="s">
        <v>33</v>
      </c>
      <c r="D88" s="5">
        <f>$I$6*B87+(1-$I$6)*D87</f>
        <v>1145.7694393356508</v>
      </c>
      <c r="E88" s="5">
        <f t="shared" si="2"/>
        <v>145.23056066434924</v>
      </c>
      <c r="F88" s="5">
        <f t="shared" si="3"/>
        <v>21091.915750881224</v>
      </c>
    </row>
    <row r="89" spans="1:6" x14ac:dyDescent="0.2">
      <c r="A89" s="2">
        <v>39387</v>
      </c>
      <c r="B89" s="3">
        <v>1247</v>
      </c>
      <c r="C89" s="5" t="s">
        <v>33</v>
      </c>
      <c r="D89" s="5">
        <f>$I$6*B88+(1-$I$6)*D88</f>
        <v>1192.6707659169515</v>
      </c>
      <c r="E89" s="5">
        <f t="shared" si="2"/>
        <v>54.329234083048505</v>
      </c>
      <c r="F89" s="5">
        <f t="shared" si="3"/>
        <v>2951.6656760506794</v>
      </c>
    </row>
    <row r="90" spans="1:6" x14ac:dyDescent="0.2">
      <c r="A90" s="2">
        <v>39417</v>
      </c>
      <c r="B90" s="3">
        <v>1207</v>
      </c>
      <c r="C90" s="5" t="s">
        <v>33</v>
      </c>
      <c r="D90" s="5">
        <f>$I$6*B89+(1-$I$6)*D89</f>
        <v>1210.2160617485229</v>
      </c>
      <c r="E90" s="5">
        <f t="shared" si="2"/>
        <v>-3.2160617485228613</v>
      </c>
      <c r="F90" s="5">
        <f t="shared" si="3"/>
        <v>10.343053170311924</v>
      </c>
    </row>
    <row r="91" spans="1:6" x14ac:dyDescent="0.2">
      <c r="A91" s="2">
        <v>39448</v>
      </c>
      <c r="B91" s="3">
        <v>1196</v>
      </c>
      <c r="C91" s="5" t="s">
        <v>33</v>
      </c>
      <c r="D91" s="5">
        <f>$I$6*B90+(1-$I$6)*D90</f>
        <v>1209.1774541601262</v>
      </c>
      <c r="E91" s="5">
        <f t="shared" si="2"/>
        <v>-13.177454160126217</v>
      </c>
      <c r="F91" s="5">
        <f t="shared" si="3"/>
        <v>173.64529814222774</v>
      </c>
    </row>
    <row r="92" spans="1:6" x14ac:dyDescent="0.2">
      <c r="A92" s="2">
        <v>39479</v>
      </c>
      <c r="B92" s="3">
        <v>1256</v>
      </c>
      <c r="C92" s="5" t="s">
        <v>33</v>
      </c>
      <c r="D92" s="5">
        <f>$I$6*B91+(1-$I$6)*D91</f>
        <v>1204.9218754565325</v>
      </c>
      <c r="E92" s="5">
        <f t="shared" si="2"/>
        <v>51.078124543467538</v>
      </c>
      <c r="F92" s="5">
        <f t="shared" si="3"/>
        <v>2608.9748068779809</v>
      </c>
    </row>
    <row r="93" spans="1:6" x14ac:dyDescent="0.2">
      <c r="A93" s="2">
        <v>39508</v>
      </c>
      <c r="B93" s="3">
        <v>1205</v>
      </c>
      <c r="C93" s="5" t="s">
        <v>33</v>
      </c>
      <c r="D93" s="5">
        <f>$I$6*B92+(1-$I$6)*D92</f>
        <v>1221.4172452286716</v>
      </c>
      <c r="E93" s="5">
        <f t="shared" si="2"/>
        <v>-16.417245228671618</v>
      </c>
      <c r="F93" s="5">
        <f t="shared" si="3"/>
        <v>269.52594089834099</v>
      </c>
    </row>
    <row r="94" spans="1:6" x14ac:dyDescent="0.2">
      <c r="A94" s="2">
        <v>39539</v>
      </c>
      <c r="B94" s="3">
        <v>1177</v>
      </c>
      <c r="C94" s="5" t="s">
        <v>33</v>
      </c>
      <c r="D94" s="5">
        <f>$I$6*B93+(1-$I$6)*D93</f>
        <v>1216.1153956970516</v>
      </c>
      <c r="E94" s="5">
        <f t="shared" si="2"/>
        <v>-39.115395697051554</v>
      </c>
      <c r="F94" s="5">
        <f t="shared" si="3"/>
        <v>1530.0141805369192</v>
      </c>
    </row>
    <row r="95" spans="1:6" x14ac:dyDescent="0.2">
      <c r="A95" s="2">
        <v>39569</v>
      </c>
      <c r="B95" s="3">
        <v>1263</v>
      </c>
      <c r="C95" s="5" t="s">
        <v>33</v>
      </c>
      <c r="D95" s="5">
        <f>$I$6*B94+(1-$I$6)*D94</f>
        <v>1203.4833164738352</v>
      </c>
      <c r="E95" s="5">
        <f t="shared" si="2"/>
        <v>59.516683526164798</v>
      </c>
      <c r="F95" s="5">
        <f t="shared" si="3"/>
        <v>3542.2356179536564</v>
      </c>
    </row>
    <row r="96" spans="1:6" x14ac:dyDescent="0.2">
      <c r="A96" s="2">
        <v>39600</v>
      </c>
      <c r="B96" s="3">
        <v>1185</v>
      </c>
      <c r="C96" s="5" t="s">
        <v>33</v>
      </c>
      <c r="D96" s="5">
        <f>$I$6*B95+(1-$I$6)*D95</f>
        <v>1222.7038675639599</v>
      </c>
      <c r="E96" s="5">
        <f t="shared" si="2"/>
        <v>-37.703867563959875</v>
      </c>
      <c r="F96" s="5">
        <f t="shared" si="3"/>
        <v>1421.5816292806255</v>
      </c>
    </row>
    <row r="97" spans="1:6" x14ac:dyDescent="0.2">
      <c r="A97" s="2">
        <v>39630</v>
      </c>
      <c r="B97" s="3">
        <v>1261</v>
      </c>
      <c r="C97" s="5" t="s">
        <v>33</v>
      </c>
      <c r="D97" s="5">
        <f>$I$6*B96+(1-$I$6)*D96</f>
        <v>1210.5276327693953</v>
      </c>
      <c r="E97" s="5">
        <f t="shared" si="2"/>
        <v>50.472367230604732</v>
      </c>
      <c r="F97" s="5">
        <f t="shared" si="3"/>
        <v>2547.4598538610226</v>
      </c>
    </row>
    <row r="98" spans="1:6" x14ac:dyDescent="0.2">
      <c r="A98" s="2">
        <v>39661</v>
      </c>
      <c r="B98" s="3">
        <v>1196</v>
      </c>
      <c r="C98" s="5" t="s">
        <v>33</v>
      </c>
      <c r="D98" s="5">
        <f>$I$6*B97+(1-$I$6)*D97</f>
        <v>1226.8273769002808</v>
      </c>
      <c r="E98" s="5">
        <f t="shared" si="2"/>
        <v>-30.827376900280797</v>
      </c>
      <c r="F98" s="5">
        <f t="shared" si="3"/>
        <v>950.32716655196612</v>
      </c>
    </row>
    <row r="99" spans="1:6" x14ac:dyDescent="0.2">
      <c r="A99" s="2">
        <v>39692</v>
      </c>
      <c r="B99" s="3">
        <v>1251</v>
      </c>
      <c r="C99" s="5" t="s">
        <v>33</v>
      </c>
      <c r="D99" s="5">
        <f>$I$6*B98+(1-$I$6)*D98</f>
        <v>1216.871862957272</v>
      </c>
      <c r="E99" s="5">
        <f t="shared" si="2"/>
        <v>34.128137042727985</v>
      </c>
      <c r="F99" s="5">
        <f t="shared" si="3"/>
        <v>1164.7297380072221</v>
      </c>
    </row>
    <row r="100" spans="1:6" x14ac:dyDescent="0.2">
      <c r="A100" s="2">
        <v>39722</v>
      </c>
      <c r="B100" s="3">
        <v>1414</v>
      </c>
      <c r="C100" s="5" t="s">
        <v>33</v>
      </c>
      <c r="D100" s="5">
        <f>$I$6*B99+(1-$I$6)*D99</f>
        <v>1227.8933373200389</v>
      </c>
      <c r="E100" s="5">
        <f t="shared" si="2"/>
        <v>186.10666267996112</v>
      </c>
      <c r="F100" s="5">
        <f t="shared" si="3"/>
        <v>34635.689893872834</v>
      </c>
    </row>
    <row r="101" spans="1:6" x14ac:dyDescent="0.2">
      <c r="A101" s="2">
        <v>39753</v>
      </c>
      <c r="B101" s="3">
        <v>1291</v>
      </c>
      <c r="C101" s="5" t="s">
        <v>33</v>
      </c>
      <c r="D101" s="5">
        <f>$I$6*B100+(1-$I$6)*D100</f>
        <v>1287.9953525252413</v>
      </c>
      <c r="E101" s="5">
        <f t="shared" si="2"/>
        <v>3.0046474747587126</v>
      </c>
      <c r="F101" s="5">
        <f t="shared" si="3"/>
        <v>9.0279064475739084</v>
      </c>
    </row>
    <row r="102" spans="1:6" x14ac:dyDescent="0.2">
      <c r="A102" s="2">
        <v>39783</v>
      </c>
      <c r="B102" s="3">
        <v>1293</v>
      </c>
      <c r="C102" s="5" t="s">
        <v>33</v>
      </c>
      <c r="D102" s="5">
        <f>$I$6*B101+(1-$I$6)*D101</f>
        <v>1288.9656851593006</v>
      </c>
      <c r="E102" s="5">
        <f t="shared" si="2"/>
        <v>4.0343148406993805</v>
      </c>
      <c r="F102" s="5">
        <f t="shared" si="3"/>
        <v>16.275696233887267</v>
      </c>
    </row>
    <row r="103" spans="1:6" x14ac:dyDescent="0.2">
      <c r="A103" s="2">
        <v>39814</v>
      </c>
      <c r="B103" s="3">
        <v>1289</v>
      </c>
      <c r="C103" s="5" t="s">
        <v>33</v>
      </c>
      <c r="D103" s="5">
        <f>$I$6*B102+(1-$I$6)*D102</f>
        <v>1290.2685426089304</v>
      </c>
      <c r="E103" s="5">
        <f t="shared" si="2"/>
        <v>-1.2685426089303746</v>
      </c>
      <c r="F103" s="5">
        <f t="shared" si="3"/>
        <v>1.6092003506718813</v>
      </c>
    </row>
    <row r="104" spans="1:6" x14ac:dyDescent="0.2">
      <c r="A104" s="2">
        <v>39845</v>
      </c>
      <c r="B104" s="3">
        <v>1320</v>
      </c>
      <c r="C104" s="5" t="s">
        <v>33</v>
      </c>
      <c r="D104" s="5">
        <f>$I$6*B103+(1-$I$6)*D103</f>
        <v>1289.8588744859708</v>
      </c>
      <c r="E104" s="5">
        <f t="shared" si="2"/>
        <v>30.141125514029227</v>
      </c>
      <c r="F104" s="5">
        <f t="shared" si="3"/>
        <v>908.48744725246365</v>
      </c>
    </row>
    <row r="105" spans="1:6" x14ac:dyDescent="0.2">
      <c r="A105" s="2">
        <v>39873</v>
      </c>
      <c r="B105" s="3">
        <v>1313</v>
      </c>
      <c r="C105" s="5" t="s">
        <v>33</v>
      </c>
      <c r="D105" s="5">
        <f>$I$6*B104+(1-$I$6)*D104</f>
        <v>1299.5927677161199</v>
      </c>
      <c r="E105" s="5">
        <f t="shared" si="2"/>
        <v>13.407232283880148</v>
      </c>
      <c r="F105" s="5">
        <f t="shared" si="3"/>
        <v>179.7538775139181</v>
      </c>
    </row>
    <row r="106" spans="1:6" x14ac:dyDescent="0.2">
      <c r="A106" s="2">
        <v>39904</v>
      </c>
      <c r="B106" s="3">
        <v>1265</v>
      </c>
      <c r="C106" s="5" t="s">
        <v>33</v>
      </c>
      <c r="D106" s="5">
        <f>$I$6*B105+(1-$I$6)*D105</f>
        <v>1303.9225518677554</v>
      </c>
      <c r="E106" s="5">
        <f t="shared" si="2"/>
        <v>-38.922551867755374</v>
      </c>
      <c r="F106" s="5">
        <f t="shared" si="3"/>
        <v>1514.9650438981073</v>
      </c>
    </row>
    <row r="107" spans="1:6" x14ac:dyDescent="0.2">
      <c r="A107" s="2">
        <v>39934</v>
      </c>
      <c r="B107" s="3">
        <v>1233</v>
      </c>
      <c r="C107" s="5" t="s">
        <v>33</v>
      </c>
      <c r="D107" s="5">
        <f>$I$6*B106+(1-$I$6)*D106</f>
        <v>1291.3527503867417</v>
      </c>
      <c r="E107" s="5">
        <f t="shared" si="2"/>
        <v>-58.352750386741718</v>
      </c>
      <c r="F107" s="5">
        <f t="shared" si="3"/>
        <v>3405.0434776973857</v>
      </c>
    </row>
    <row r="108" spans="1:6" x14ac:dyDescent="0.2">
      <c r="A108" s="2">
        <v>39965</v>
      </c>
      <c r="B108" s="3">
        <v>1187</v>
      </c>
      <c r="C108" s="5" t="s">
        <v>33</v>
      </c>
      <c r="D108" s="5">
        <f>$I$6*B107+(1-$I$6)*D107</f>
        <v>1272.508084427413</v>
      </c>
      <c r="E108" s="5">
        <f t="shared" si="2"/>
        <v>-85.508084427412996</v>
      </c>
      <c r="F108" s="5">
        <f t="shared" si="3"/>
        <v>7311.6325024455891</v>
      </c>
    </row>
    <row r="109" spans="1:6" x14ac:dyDescent="0.2">
      <c r="A109" s="2">
        <v>39995</v>
      </c>
      <c r="B109" s="3">
        <v>1278</v>
      </c>
      <c r="C109" s="5" t="s">
        <v>33</v>
      </c>
      <c r="D109" s="5">
        <f>$I$6*B108+(1-$I$6)*D108</f>
        <v>1244.8937684409846</v>
      </c>
      <c r="E109" s="5">
        <f t="shared" si="2"/>
        <v>33.106231559015441</v>
      </c>
      <c r="F109" s="5">
        <f t="shared" si="3"/>
        <v>1096.02256803915</v>
      </c>
    </row>
    <row r="110" spans="1:6" x14ac:dyDescent="0.2">
      <c r="A110" s="2">
        <v>40026</v>
      </c>
      <c r="B110" s="3">
        <v>1197</v>
      </c>
      <c r="C110" s="5" t="s">
        <v>33</v>
      </c>
      <c r="D110" s="5">
        <f>$I$6*B109+(1-$I$6)*D109</f>
        <v>1255.5852246408551</v>
      </c>
      <c r="E110" s="5">
        <f t="shared" si="2"/>
        <v>-58.585224640855131</v>
      </c>
      <c r="F110" s="5">
        <f t="shared" si="3"/>
        <v>3432.2285462194591</v>
      </c>
    </row>
    <row r="111" spans="1:6" x14ac:dyDescent="0.2">
      <c r="A111" s="2">
        <v>40057</v>
      </c>
      <c r="B111" s="3">
        <v>1181</v>
      </c>
      <c r="C111" s="5" t="s">
        <v>33</v>
      </c>
      <c r="D111" s="5">
        <f>$I$6*B110+(1-$I$6)*D110</f>
        <v>1236.6654825345774</v>
      </c>
      <c r="E111" s="5">
        <f t="shared" si="2"/>
        <v>-55.66548253457745</v>
      </c>
      <c r="F111" s="5">
        <f t="shared" si="3"/>
        <v>3098.6459458073473</v>
      </c>
    </row>
    <row r="112" spans="1:6" x14ac:dyDescent="0.2">
      <c r="A112" s="2">
        <v>40087</v>
      </c>
      <c r="B112" s="3">
        <v>1367</v>
      </c>
      <c r="C112" s="5" t="s">
        <v>33</v>
      </c>
      <c r="D112" s="5">
        <f>$I$6*B111+(1-$I$6)*D111</f>
        <v>1218.6886533898232</v>
      </c>
      <c r="E112" s="5">
        <f t="shared" si="2"/>
        <v>148.31134661017677</v>
      </c>
      <c r="F112" s="5">
        <f t="shared" si="3"/>
        <v>21996.255533323991</v>
      </c>
    </row>
    <row r="113" spans="1:6" x14ac:dyDescent="0.2">
      <c r="A113" s="2">
        <v>40118</v>
      </c>
      <c r="B113" s="3">
        <v>1234</v>
      </c>
      <c r="C113" s="5" t="s">
        <v>33</v>
      </c>
      <c r="D113" s="5">
        <f>$I$6*B112+(1-$I$6)*D112</f>
        <v>1266.5849010615016</v>
      </c>
      <c r="E113" s="5">
        <f t="shared" si="2"/>
        <v>-32.584901061501569</v>
      </c>
      <c r="F113" s="5">
        <f t="shared" si="3"/>
        <v>1061.775777187846</v>
      </c>
    </row>
    <row r="114" spans="1:6" x14ac:dyDescent="0.2">
      <c r="A114" s="2">
        <v>40148</v>
      </c>
      <c r="B114" s="3">
        <v>1254</v>
      </c>
      <c r="C114" s="5" t="s">
        <v>33</v>
      </c>
      <c r="D114" s="5">
        <f>$I$6*B113+(1-$I$6)*D113</f>
        <v>1256.0618053761732</v>
      </c>
      <c r="E114" s="5">
        <f t="shared" si="2"/>
        <v>-2.0618053761731971</v>
      </c>
      <c r="F114" s="5">
        <f t="shared" si="3"/>
        <v>4.2510414092166986</v>
      </c>
    </row>
    <row r="115" spans="1:6" x14ac:dyDescent="0.2">
      <c r="A115" s="2">
        <v>40179</v>
      </c>
      <c r="B115" s="3">
        <v>1287</v>
      </c>
      <c r="C115" s="5" t="s">
        <v>33</v>
      </c>
      <c r="D115" s="5">
        <f>$I$6*B114+(1-$I$6)*D114</f>
        <v>1255.3959578654799</v>
      </c>
      <c r="E115" s="5">
        <f t="shared" si="2"/>
        <v>31.604042134520114</v>
      </c>
      <c r="F115" s="5">
        <f t="shared" si="3"/>
        <v>998.81547924052268</v>
      </c>
    </row>
    <row r="116" spans="1:6" x14ac:dyDescent="0.2">
      <c r="A116" s="2">
        <v>40210</v>
      </c>
      <c r="B116" s="3">
        <v>1314</v>
      </c>
      <c r="C116" s="5" t="s">
        <v>33</v>
      </c>
      <c r="D116" s="5">
        <f>$I$6*B115+(1-$I$6)*D115</f>
        <v>1265.6022911238501</v>
      </c>
      <c r="E116" s="5">
        <f t="shared" si="2"/>
        <v>48.397708876149863</v>
      </c>
      <c r="F116" s="5">
        <f t="shared" si="3"/>
        <v>2342.3382244605555</v>
      </c>
    </row>
    <row r="117" spans="1:6" x14ac:dyDescent="0.2">
      <c r="A117" s="2">
        <v>40238</v>
      </c>
      <c r="B117" s="3">
        <v>1395</v>
      </c>
      <c r="C117" s="5" t="s">
        <v>33</v>
      </c>
      <c r="D117" s="5">
        <f>$I$6*B116+(1-$I$6)*D116</f>
        <v>1281.2320369528506</v>
      </c>
      <c r="E117" s="5">
        <f t="shared" si="2"/>
        <v>113.76796304714935</v>
      </c>
      <c r="F117" s="5">
        <f t="shared" si="3"/>
        <v>12943.14941589754</v>
      </c>
    </row>
    <row r="118" spans="1:6" x14ac:dyDescent="0.2">
      <c r="A118" s="2">
        <v>40269</v>
      </c>
      <c r="B118" s="3">
        <v>1337</v>
      </c>
      <c r="C118" s="5" t="s">
        <v>33</v>
      </c>
      <c r="D118" s="5">
        <f>$I$6*B117+(1-$I$6)*D117</f>
        <v>1317.9727089226831</v>
      </c>
      <c r="E118" s="5">
        <f t="shared" si="2"/>
        <v>19.027291077316931</v>
      </c>
      <c r="F118" s="5">
        <f t="shared" si="3"/>
        <v>362.03780574094452</v>
      </c>
    </row>
    <row r="119" spans="1:6" x14ac:dyDescent="0.2">
      <c r="A119" s="2">
        <v>40299</v>
      </c>
      <c r="B119" s="3">
        <v>1363</v>
      </c>
      <c r="C119" s="5" t="s">
        <v>33</v>
      </c>
      <c r="D119" s="5">
        <f>$I$6*B118+(1-$I$6)*D118</f>
        <v>1324.1174568923423</v>
      </c>
      <c r="E119" s="5">
        <f t="shared" si="2"/>
        <v>38.882543107657739</v>
      </c>
      <c r="F119" s="5">
        <f t="shared" si="3"/>
        <v>1511.8521585188623</v>
      </c>
    </row>
    <row r="120" spans="1:6" x14ac:dyDescent="0.2">
      <c r="A120" s="2">
        <v>40330</v>
      </c>
      <c r="B120" s="3">
        <v>1352</v>
      </c>
      <c r="C120" s="5" t="s">
        <v>33</v>
      </c>
      <c r="D120" s="5">
        <f>$I$6*B119+(1-$I$6)*D119</f>
        <v>1336.6743377875314</v>
      </c>
      <c r="E120" s="5">
        <f t="shared" si="2"/>
        <v>15.325662212468615</v>
      </c>
      <c r="F120" s="5">
        <f t="shared" si="3"/>
        <v>234.8759222506884</v>
      </c>
    </row>
    <row r="121" spans="1:6" x14ac:dyDescent="0.2">
      <c r="A121" s="2">
        <v>40360</v>
      </c>
      <c r="B121" s="3">
        <v>1403</v>
      </c>
      <c r="C121" s="5" t="s">
        <v>33</v>
      </c>
      <c r="D121" s="5">
        <f>$I$6*B120+(1-$I$6)*D120</f>
        <v>1341.6236672207692</v>
      </c>
      <c r="E121" s="5">
        <f t="shared" si="2"/>
        <v>61.376332779230779</v>
      </c>
      <c r="F121" s="5">
        <f t="shared" si="3"/>
        <v>3767.0542254268785</v>
      </c>
    </row>
    <row r="122" spans="1:6" x14ac:dyDescent="0.2">
      <c r="A122" s="2">
        <v>40391</v>
      </c>
      <c r="B122" s="3">
        <v>1289</v>
      </c>
      <c r="C122" s="5" t="s">
        <v>33</v>
      </c>
      <c r="D122" s="5">
        <f>$I$6*B121+(1-$I$6)*D121</f>
        <v>1361.444780730716</v>
      </c>
      <c r="E122" s="5">
        <f t="shared" si="2"/>
        <v>-72.444780730716047</v>
      </c>
      <c r="F122" s="5">
        <f t="shared" si="3"/>
        <v>5248.2462551215267</v>
      </c>
    </row>
    <row r="123" spans="1:6" x14ac:dyDescent="0.2">
      <c r="A123" s="2">
        <v>40422</v>
      </c>
      <c r="B123" s="3">
        <v>1274</v>
      </c>
      <c r="C123" s="5" t="s">
        <v>33</v>
      </c>
      <c r="D123" s="5">
        <f>$I$6*B122+(1-$I$6)*D122</f>
        <v>1338.0491792497387</v>
      </c>
      <c r="E123" s="5">
        <f t="shared" si="2"/>
        <v>-64.0491792497387</v>
      </c>
      <c r="F123" s="5">
        <f t="shared" si="3"/>
        <v>4102.2973625651584</v>
      </c>
    </row>
    <row r="124" spans="1:6" x14ac:dyDescent="0.2">
      <c r="A124" s="2">
        <v>40452</v>
      </c>
      <c r="B124" s="3">
        <v>1430</v>
      </c>
      <c r="C124" s="5" t="s">
        <v>33</v>
      </c>
      <c r="D124" s="5">
        <f>$I$6*B123+(1-$I$6)*D123</f>
        <v>1317.3648862227433</v>
      </c>
      <c r="E124" s="5">
        <f t="shared" si="2"/>
        <v>112.63511377725672</v>
      </c>
      <c r="F124" s="5">
        <f t="shared" si="3"/>
        <v>12686.668855615566</v>
      </c>
    </row>
    <row r="125" spans="1:6" x14ac:dyDescent="0.2">
      <c r="A125" s="2">
        <v>40483</v>
      </c>
      <c r="B125" s="3">
        <v>1343</v>
      </c>
      <c r="C125" s="5" t="s">
        <v>33</v>
      </c>
      <c r="D125" s="5">
        <f>$I$6*B124+(1-$I$6)*D124</f>
        <v>1353.7397114084581</v>
      </c>
      <c r="E125" s="5">
        <f t="shared" si="2"/>
        <v>-10.739711408458106</v>
      </c>
      <c r="F125" s="5">
        <f t="shared" si="3"/>
        <v>115.3414011369652</v>
      </c>
    </row>
    <row r="126" spans="1:6" x14ac:dyDescent="0.2">
      <c r="A126" s="2">
        <v>40513</v>
      </c>
      <c r="B126" s="3">
        <v>1405</v>
      </c>
      <c r="C126" s="5" t="s">
        <v>33</v>
      </c>
      <c r="D126" s="5">
        <f>$I$6*B125+(1-$I$6)*D125</f>
        <v>1350.2713869053175</v>
      </c>
      <c r="E126" s="5">
        <f t="shared" si="2"/>
        <v>54.728613094682487</v>
      </c>
      <c r="F126" s="5">
        <f t="shared" si="3"/>
        <v>2995.2210912674514</v>
      </c>
    </row>
    <row r="127" spans="1:6" x14ac:dyDescent="0.2">
      <c r="A127" s="2">
        <v>40544</v>
      </c>
      <c r="B127" s="3">
        <v>1372</v>
      </c>
      <c r="C127" s="5" t="s">
        <v>33</v>
      </c>
      <c r="D127" s="5">
        <f>$I$6*B126+(1-$I$6)*D126</f>
        <v>1367.9456597605172</v>
      </c>
      <c r="E127" s="5">
        <f t="shared" si="2"/>
        <v>4.0543402394828263</v>
      </c>
      <c r="F127" s="5">
        <f t="shared" si="3"/>
        <v>16.437674777489661</v>
      </c>
    </row>
    <row r="128" spans="1:6" x14ac:dyDescent="0.2">
      <c r="A128" s="2">
        <v>40575</v>
      </c>
      <c r="B128" s="3">
        <v>1426</v>
      </c>
      <c r="C128" s="5" t="s">
        <v>33</v>
      </c>
      <c r="D128" s="5">
        <f>$I$6*B127+(1-$I$6)*D127</f>
        <v>1369.2549842909318</v>
      </c>
      <c r="E128" s="5">
        <f t="shared" si="2"/>
        <v>56.745015709068184</v>
      </c>
      <c r="F128" s="5">
        <f t="shared" si="3"/>
        <v>3219.9968078223951</v>
      </c>
    </row>
    <row r="129" spans="1:6" x14ac:dyDescent="0.2">
      <c r="A129" s="2">
        <v>40603</v>
      </c>
      <c r="B129" s="3">
        <v>1431</v>
      </c>
      <c r="C129" s="5" t="s">
        <v>33</v>
      </c>
      <c r="D129" s="5">
        <f>$I$6*B128+(1-$I$6)*D128</f>
        <v>1387.5804421109494</v>
      </c>
      <c r="E129" s="5">
        <f t="shared" si="2"/>
        <v>43.419557889050566</v>
      </c>
      <c r="F129" s="5">
        <f t="shared" si="3"/>
        <v>1885.2580072806131</v>
      </c>
    </row>
    <row r="130" spans="1:6" x14ac:dyDescent="0.2">
      <c r="A130" s="2">
        <v>40634</v>
      </c>
      <c r="B130" s="3">
        <v>1297</v>
      </c>
      <c r="C130" s="5" t="s">
        <v>33</v>
      </c>
      <c r="D130" s="5">
        <f>$I$6*B129+(1-$I$6)*D129</f>
        <v>1401.6025243452568</v>
      </c>
      <c r="E130" s="5">
        <f t="shared" si="2"/>
        <v>-104.60252434525682</v>
      </c>
      <c r="F130" s="5">
        <f t="shared" si="3"/>
        <v>10941.688099400048</v>
      </c>
    </row>
    <row r="131" spans="1:6" x14ac:dyDescent="0.2">
      <c r="A131" s="2">
        <v>40664</v>
      </c>
      <c r="B131" s="3">
        <v>1349</v>
      </c>
      <c r="C131" s="5" t="s">
        <v>33</v>
      </c>
      <c r="D131" s="5">
        <f>$I$6*B130+(1-$I$6)*D130</f>
        <v>1367.8217750793785</v>
      </c>
      <c r="E131" s="5">
        <f t="shared" si="2"/>
        <v>-18.82177507937854</v>
      </c>
      <c r="F131" s="5">
        <f t="shared" si="3"/>
        <v>354.25921713871503</v>
      </c>
    </row>
    <row r="132" spans="1:6" x14ac:dyDescent="0.2">
      <c r="A132" s="2">
        <v>40695</v>
      </c>
      <c r="B132" s="3">
        <v>1347</v>
      </c>
      <c r="C132" s="5" t="s">
        <v>33</v>
      </c>
      <c r="D132" s="5">
        <f>$I$6*B131+(1-$I$6)*D131</f>
        <v>1361.7433972517399</v>
      </c>
      <c r="E132" s="5">
        <f t="shared" ref="E132:E195" si="4">B132-D132</f>
        <v>-14.743397251739907</v>
      </c>
      <c r="F132" s="5">
        <f t="shared" ref="F132:F195" si="5">E132^2</f>
        <v>217.36776252261186</v>
      </c>
    </row>
    <row r="133" spans="1:6" x14ac:dyDescent="0.2">
      <c r="A133" s="2">
        <v>40725</v>
      </c>
      <c r="B133" s="3">
        <v>1367</v>
      </c>
      <c r="C133" s="5" t="s">
        <v>33</v>
      </c>
      <c r="D133" s="5">
        <f>$I$6*B132+(1-$I$6)*D132</f>
        <v>1356.982106747465</v>
      </c>
      <c r="E133" s="5">
        <f t="shared" si="4"/>
        <v>10.017893252535032</v>
      </c>
      <c r="F133" s="5">
        <f t="shared" si="5"/>
        <v>100.35818521918692</v>
      </c>
    </row>
    <row r="134" spans="1:6" x14ac:dyDescent="0.2">
      <c r="A134" s="2">
        <v>40756</v>
      </c>
      <c r="B134" s="3">
        <v>1328</v>
      </c>
      <c r="C134" s="5" t="s">
        <v>33</v>
      </c>
      <c r="D134" s="5">
        <f>$I$6*B133+(1-$I$6)*D133</f>
        <v>1360.2173244657224</v>
      </c>
      <c r="E134" s="5">
        <f t="shared" si="4"/>
        <v>-32.217324465722413</v>
      </c>
      <c r="F134" s="5">
        <f t="shared" si="5"/>
        <v>1037.955995729636</v>
      </c>
    </row>
    <row r="135" spans="1:6" x14ac:dyDescent="0.2">
      <c r="A135" s="2">
        <v>40787</v>
      </c>
      <c r="B135" s="3">
        <v>1280</v>
      </c>
      <c r="C135" s="5" t="s">
        <v>33</v>
      </c>
      <c r="D135" s="5">
        <f>$I$6*B134+(1-$I$6)*D134</f>
        <v>1349.8129354071771</v>
      </c>
      <c r="E135" s="5">
        <f t="shared" si="4"/>
        <v>-69.812935407177065</v>
      </c>
      <c r="F135" s="5">
        <f t="shared" si="5"/>
        <v>4873.8459501666775</v>
      </c>
    </row>
    <row r="136" spans="1:6" x14ac:dyDescent="0.2">
      <c r="A136" s="2">
        <v>40817</v>
      </c>
      <c r="B136" s="3">
        <v>1478</v>
      </c>
      <c r="C136" s="5" t="s">
        <v>33</v>
      </c>
      <c r="D136" s="5">
        <f>$I$6*B135+(1-$I$6)*D135</f>
        <v>1327.2672723721171</v>
      </c>
      <c r="E136" s="5">
        <f t="shared" si="4"/>
        <v>150.73272762788292</v>
      </c>
      <c r="F136" s="5">
        <f t="shared" si="5"/>
        <v>22720.355178141541</v>
      </c>
    </row>
    <row r="137" spans="1:6" x14ac:dyDescent="0.2">
      <c r="A137" s="2">
        <v>40848</v>
      </c>
      <c r="B137" s="3">
        <v>1407</v>
      </c>
      <c r="C137" s="5" t="s">
        <v>33</v>
      </c>
      <c r="D137" s="5">
        <f>$I$6*B136+(1-$I$6)*D136</f>
        <v>1375.9454903217429</v>
      </c>
      <c r="E137" s="5">
        <f t="shared" si="4"/>
        <v>31.054509678257091</v>
      </c>
      <c r="F137" s="5">
        <f t="shared" si="5"/>
        <v>964.38257135696335</v>
      </c>
    </row>
    <row r="138" spans="1:6" x14ac:dyDescent="0.2">
      <c r="A138" s="2">
        <v>40878</v>
      </c>
      <c r="B138" s="3">
        <v>1523</v>
      </c>
      <c r="C138" s="5" t="s">
        <v>33</v>
      </c>
      <c r="D138" s="5">
        <f>$I$6*B137+(1-$I$6)*D137</f>
        <v>1385.9743554144577</v>
      </c>
      <c r="E138" s="5">
        <f t="shared" si="4"/>
        <v>137.0256445855423</v>
      </c>
      <c r="F138" s="5">
        <f t="shared" si="5"/>
        <v>18776.027274083357</v>
      </c>
    </row>
    <row r="139" spans="1:6" x14ac:dyDescent="0.2">
      <c r="A139" s="2">
        <v>40909</v>
      </c>
      <c r="B139" s="3">
        <v>1403</v>
      </c>
      <c r="C139" s="5" t="s">
        <v>33</v>
      </c>
      <c r="D139" s="5">
        <f>$I$6*B138+(1-$I$6)*D138</f>
        <v>1430.2259542330619</v>
      </c>
      <c r="E139" s="5">
        <f t="shared" si="4"/>
        <v>-27.225954233061884</v>
      </c>
      <c r="F139" s="5">
        <f t="shared" si="5"/>
        <v>741.25258390078034</v>
      </c>
    </row>
    <row r="140" spans="1:6" x14ac:dyDescent="0.2">
      <c r="A140" s="2">
        <v>40940</v>
      </c>
      <c r="B140" s="3">
        <v>1477</v>
      </c>
      <c r="C140" s="5" t="s">
        <v>33</v>
      </c>
      <c r="D140" s="5">
        <f>$I$6*B139+(1-$I$6)*D139</f>
        <v>1421.4334978441923</v>
      </c>
      <c r="E140" s="5">
        <f t="shared" si="4"/>
        <v>55.566502155807711</v>
      </c>
      <c r="F140" s="5">
        <f t="shared" si="5"/>
        <v>3087.6361618313831</v>
      </c>
    </row>
    <row r="141" spans="1:6" x14ac:dyDescent="0.2">
      <c r="A141" s="2">
        <v>40969</v>
      </c>
      <c r="B141" s="3">
        <v>1572</v>
      </c>
      <c r="C141" s="5" t="s">
        <v>33</v>
      </c>
      <c r="D141" s="5">
        <f>$I$6*B140+(1-$I$6)*D140</f>
        <v>1439.3783618774125</v>
      </c>
      <c r="E141" s="5">
        <f t="shared" si="4"/>
        <v>132.62163812258746</v>
      </c>
      <c r="F141" s="5">
        <f t="shared" si="5"/>
        <v>17588.498898318543</v>
      </c>
    </row>
    <row r="142" spans="1:6" x14ac:dyDescent="0.2">
      <c r="A142" s="2">
        <v>41000</v>
      </c>
      <c r="B142" s="3">
        <v>1434</v>
      </c>
      <c r="C142" s="5" t="s">
        <v>33</v>
      </c>
      <c r="D142" s="5">
        <f>$I$6*B141+(1-$I$6)*D141</f>
        <v>1482.2077135846625</v>
      </c>
      <c r="E142" s="5">
        <f t="shared" si="4"/>
        <v>-48.207713584662542</v>
      </c>
      <c r="F142" s="5">
        <f t="shared" si="5"/>
        <v>2323.9836490608573</v>
      </c>
    </row>
    <row r="143" spans="1:6" x14ac:dyDescent="0.2">
      <c r="A143" s="2">
        <v>41030</v>
      </c>
      <c r="B143" s="3">
        <v>1508</v>
      </c>
      <c r="C143" s="5" t="s">
        <v>33</v>
      </c>
      <c r="D143" s="5">
        <f>$I$6*B142+(1-$I$6)*D142</f>
        <v>1466.6393255798985</v>
      </c>
      <c r="E143" s="5">
        <f t="shared" si="4"/>
        <v>41.360674420101532</v>
      </c>
      <c r="F143" s="5">
        <f t="shared" si="5"/>
        <v>1710.7053884856412</v>
      </c>
    </row>
    <row r="144" spans="1:6" x14ac:dyDescent="0.2">
      <c r="A144" s="2">
        <v>41061</v>
      </c>
      <c r="B144" s="3">
        <v>1428</v>
      </c>
      <c r="C144" s="5" t="s">
        <v>33</v>
      </c>
      <c r="D144" s="5">
        <f>$I$6*B143+(1-$I$6)*D143</f>
        <v>1479.9965039156855</v>
      </c>
      <c r="E144" s="5">
        <f t="shared" si="4"/>
        <v>-51.99650391568548</v>
      </c>
      <c r="F144" s="5">
        <f t="shared" si="5"/>
        <v>2703.6364194538955</v>
      </c>
    </row>
    <row r="145" spans="1:6" x14ac:dyDescent="0.2">
      <c r="A145" s="2">
        <v>41091</v>
      </c>
      <c r="B145" s="3">
        <v>1421</v>
      </c>
      <c r="C145" s="5" t="s">
        <v>33</v>
      </c>
      <c r="D145" s="5">
        <f>$I$6*B144+(1-$I$6)*D144</f>
        <v>1463.2045491089307</v>
      </c>
      <c r="E145" s="5">
        <f t="shared" si="4"/>
        <v>-42.204549108930678</v>
      </c>
      <c r="F145" s="5">
        <f t="shared" si="5"/>
        <v>1781.2239654881412</v>
      </c>
    </row>
    <row r="146" spans="1:6" x14ac:dyDescent="0.2">
      <c r="A146" s="2">
        <v>41122</v>
      </c>
      <c r="B146" s="3">
        <v>1444</v>
      </c>
      <c r="C146" s="5" t="s">
        <v>33</v>
      </c>
      <c r="D146" s="5">
        <f>$I$6*B145+(1-$I$6)*D145</f>
        <v>1449.5748465730485</v>
      </c>
      <c r="E146" s="5">
        <f t="shared" si="4"/>
        <v>-5.5748465730484895</v>
      </c>
      <c r="F146" s="5">
        <f t="shared" si="5"/>
        <v>31.078914313030488</v>
      </c>
    </row>
    <row r="147" spans="1:6" x14ac:dyDescent="0.2">
      <c r="A147" s="2">
        <v>41153</v>
      </c>
      <c r="B147" s="3">
        <v>1412</v>
      </c>
      <c r="C147" s="5" t="s">
        <v>33</v>
      </c>
      <c r="D147" s="5">
        <f>$I$6*B146+(1-$I$6)*D146</f>
        <v>1447.7744837667142</v>
      </c>
      <c r="E147" s="5">
        <f t="shared" si="4"/>
        <v>-35.774483766714184</v>
      </c>
      <c r="F147" s="5">
        <f t="shared" si="5"/>
        <v>1279.8136887748967</v>
      </c>
    </row>
    <row r="148" spans="1:6" x14ac:dyDescent="0.2">
      <c r="A148" s="2">
        <v>41183</v>
      </c>
      <c r="B148" s="3">
        <v>1501</v>
      </c>
      <c r="C148" s="5" t="s">
        <v>33</v>
      </c>
      <c r="D148" s="5">
        <f>$I$6*B147+(1-$I$6)*D147</f>
        <v>1436.2213317390365</v>
      </c>
      <c r="E148" s="5">
        <f t="shared" si="4"/>
        <v>64.778668260963514</v>
      </c>
      <c r="F148" s="5">
        <f t="shared" si="5"/>
        <v>4196.2758616639621</v>
      </c>
    </row>
    <row r="149" spans="1:6" x14ac:dyDescent="0.2">
      <c r="A149" s="2">
        <v>41214</v>
      </c>
      <c r="B149" s="3">
        <v>1450</v>
      </c>
      <c r="C149" s="5" t="s">
        <v>33</v>
      </c>
      <c r="D149" s="5">
        <f>$I$6*B148+(1-$I$6)*D148</f>
        <v>1457.1412088069972</v>
      </c>
      <c r="E149" s="5">
        <f t="shared" si="4"/>
        <v>-7.141208806997156</v>
      </c>
      <c r="F149" s="5">
        <f t="shared" si="5"/>
        <v>50.996863225133744</v>
      </c>
    </row>
    <row r="150" spans="1:6" x14ac:dyDescent="0.2">
      <c r="A150" s="2">
        <v>41244</v>
      </c>
      <c r="B150" s="3">
        <v>1498</v>
      </c>
      <c r="C150" s="5" t="s">
        <v>33</v>
      </c>
      <c r="D150" s="5">
        <f>$I$6*B149+(1-$I$6)*D149</f>
        <v>1454.834998840513</v>
      </c>
      <c r="E150" s="5">
        <f t="shared" si="4"/>
        <v>43.165001159487019</v>
      </c>
      <c r="F150" s="5">
        <f t="shared" si="5"/>
        <v>1863.2173250985156</v>
      </c>
    </row>
    <row r="151" spans="1:6" x14ac:dyDescent="0.2">
      <c r="A151" s="2">
        <v>41275</v>
      </c>
      <c r="B151" s="3">
        <v>1451</v>
      </c>
      <c r="C151" s="5" t="s">
        <v>33</v>
      </c>
      <c r="D151" s="5">
        <f>$I$6*B150+(1-$I$6)*D150</f>
        <v>1468.7748735266837</v>
      </c>
      <c r="E151" s="5">
        <f t="shared" si="4"/>
        <v>-17.774873526683677</v>
      </c>
      <c r="F151" s="5">
        <f t="shared" si="5"/>
        <v>315.94612888960023</v>
      </c>
    </row>
    <row r="152" spans="1:6" x14ac:dyDescent="0.2">
      <c r="A152" s="2">
        <v>41306</v>
      </c>
      <c r="B152" s="3">
        <v>1530</v>
      </c>
      <c r="C152" s="5" t="s">
        <v>33</v>
      </c>
      <c r="D152" s="5">
        <f>$I$6*B151+(1-$I$6)*D151</f>
        <v>1463.0345861904457</v>
      </c>
      <c r="E152" s="5">
        <f t="shared" si="4"/>
        <v>66.96541380955432</v>
      </c>
      <c r="F152" s="5">
        <f t="shared" si="5"/>
        <v>4484.3666466848481</v>
      </c>
    </row>
    <row r="153" spans="1:6" x14ac:dyDescent="0.2">
      <c r="A153" s="2">
        <v>41334</v>
      </c>
      <c r="B153" s="3">
        <v>1498</v>
      </c>
      <c r="C153" s="5" t="s">
        <v>33</v>
      </c>
      <c r="D153" s="5">
        <f>$I$6*B152+(1-$I$6)*D152</f>
        <v>1484.6606594381601</v>
      </c>
      <c r="E153" s="5">
        <f t="shared" si="4"/>
        <v>13.33934056183989</v>
      </c>
      <c r="F153" s="5">
        <f t="shared" si="5"/>
        <v>177.93800662474695</v>
      </c>
    </row>
    <row r="154" spans="1:6" x14ac:dyDescent="0.2">
      <c r="A154" s="2">
        <v>41365</v>
      </c>
      <c r="B154" s="3">
        <v>1458</v>
      </c>
      <c r="C154" s="5" t="s">
        <v>33</v>
      </c>
      <c r="D154" s="5">
        <f>$I$6*B153+(1-$I$6)*D153</f>
        <v>1488.9685183709366</v>
      </c>
      <c r="E154" s="5">
        <f t="shared" si="4"/>
        <v>-30.968518370936636</v>
      </c>
      <c r="F154" s="5">
        <f t="shared" si="5"/>
        <v>959.04913009103984</v>
      </c>
    </row>
    <row r="155" spans="1:6" x14ac:dyDescent="0.2">
      <c r="A155" s="2">
        <v>41395</v>
      </c>
      <c r="B155" s="3">
        <v>1520</v>
      </c>
      <c r="C155" s="5" t="s">
        <v>33</v>
      </c>
      <c r="D155" s="5">
        <f>$I$6*B154+(1-$I$6)*D154</f>
        <v>1478.9674236481037</v>
      </c>
      <c r="E155" s="5">
        <f t="shared" si="4"/>
        <v>41.032576351896296</v>
      </c>
      <c r="F155" s="5">
        <f t="shared" si="5"/>
        <v>1683.6723220741992</v>
      </c>
    </row>
    <row r="156" spans="1:6" x14ac:dyDescent="0.2">
      <c r="A156" s="2">
        <v>41426</v>
      </c>
      <c r="B156" s="3">
        <v>1402</v>
      </c>
      <c r="C156" s="5" t="s">
        <v>33</v>
      </c>
      <c r="D156" s="5">
        <f>$I$6*B155+(1-$I$6)*D155</f>
        <v>1492.2186447075626</v>
      </c>
      <c r="E156" s="5">
        <f t="shared" si="4"/>
        <v>-90.218644707562589</v>
      </c>
      <c r="F156" s="5">
        <f t="shared" si="5"/>
        <v>8139.4038528694109</v>
      </c>
    </row>
    <row r="157" spans="1:6" x14ac:dyDescent="0.2">
      <c r="A157" s="2">
        <v>41456</v>
      </c>
      <c r="B157" s="3">
        <v>1441</v>
      </c>
      <c r="C157" s="5" t="s">
        <v>33</v>
      </c>
      <c r="D157" s="5">
        <f>$I$6*B156+(1-$I$6)*D156</f>
        <v>1463.0830819183293</v>
      </c>
      <c r="E157" s="5">
        <f t="shared" si="4"/>
        <v>-22.083081918329299</v>
      </c>
      <c r="F157" s="5">
        <f t="shared" si="5"/>
        <v>487.66250701164245</v>
      </c>
    </row>
    <row r="158" spans="1:6" x14ac:dyDescent="0.2">
      <c r="A158" s="2">
        <v>41487</v>
      </c>
      <c r="B158" s="3">
        <v>1381</v>
      </c>
      <c r="C158" s="5" t="s">
        <v>33</v>
      </c>
      <c r="D158" s="5">
        <f>$I$6*B157+(1-$I$6)*D157</f>
        <v>1455.9514848754252</v>
      </c>
      <c r="E158" s="5">
        <f t="shared" si="4"/>
        <v>-74.951484875425194</v>
      </c>
      <c r="F158" s="5">
        <f t="shared" si="5"/>
        <v>5617.725085031092</v>
      </c>
    </row>
    <row r="159" spans="1:6" x14ac:dyDescent="0.2">
      <c r="A159" s="2">
        <v>41518</v>
      </c>
      <c r="B159" s="3">
        <v>1356</v>
      </c>
      <c r="C159" s="5" t="s">
        <v>33</v>
      </c>
      <c r="D159" s="5">
        <f>$I$6*B158+(1-$I$6)*D158</f>
        <v>1431.7463585313894</v>
      </c>
      <c r="E159" s="5">
        <f t="shared" si="4"/>
        <v>-75.746358531389433</v>
      </c>
      <c r="F159" s="5">
        <f t="shared" si="5"/>
        <v>5737.5108307657929</v>
      </c>
    </row>
    <row r="160" spans="1:6" x14ac:dyDescent="0.2">
      <c r="A160" s="2">
        <v>41548</v>
      </c>
      <c r="B160" s="3">
        <v>1488</v>
      </c>
      <c r="C160" s="5" t="s">
        <v>33</v>
      </c>
      <c r="D160" s="5">
        <f>$I$6*B159+(1-$I$6)*D159</f>
        <v>1407.2845325729013</v>
      </c>
      <c r="E160" s="5">
        <f t="shared" si="4"/>
        <v>80.715467427098702</v>
      </c>
      <c r="F160" s="5">
        <f t="shared" si="5"/>
        <v>6514.9866819750314</v>
      </c>
    </row>
    <row r="161" spans="1:6" x14ac:dyDescent="0.2">
      <c r="A161" s="2">
        <v>41579</v>
      </c>
      <c r="B161" s="3">
        <v>1522</v>
      </c>
      <c r="C161" s="5" t="s">
        <v>33</v>
      </c>
      <c r="D161" s="5">
        <f>$I$6*B160+(1-$I$6)*D160</f>
        <v>1433.3511020376434</v>
      </c>
      <c r="E161" s="5">
        <f t="shared" si="4"/>
        <v>88.648897962356614</v>
      </c>
      <c r="F161" s="5">
        <f t="shared" si="5"/>
        <v>7858.6271099403148</v>
      </c>
    </row>
    <row r="162" spans="1:6" x14ac:dyDescent="0.2">
      <c r="A162" s="2">
        <v>41609</v>
      </c>
      <c r="B162" s="3">
        <v>1501</v>
      </c>
      <c r="C162" s="5" t="s">
        <v>33</v>
      </c>
      <c r="D162" s="5">
        <f>$I$6*B161+(1-$I$6)*D161</f>
        <v>1461.9797246593939</v>
      </c>
      <c r="E162" s="5">
        <f t="shared" si="4"/>
        <v>39.020275340606076</v>
      </c>
      <c r="F162" s="5">
        <f t="shared" si="5"/>
        <v>1522.5818876567107</v>
      </c>
    </row>
    <row r="163" spans="1:6" x14ac:dyDescent="0.2">
      <c r="A163" s="2">
        <v>41640</v>
      </c>
      <c r="B163" s="3">
        <v>1475</v>
      </c>
      <c r="C163" s="5" t="s">
        <v>33</v>
      </c>
      <c r="D163" s="5">
        <f>$I$6*B162+(1-$I$6)*D162</f>
        <v>1474.5810853418175</v>
      </c>
      <c r="E163" s="5">
        <f t="shared" si="4"/>
        <v>0.41891465818252982</v>
      </c>
      <c r="F163" s="5">
        <f t="shared" si="5"/>
        <v>0.17548949084018581</v>
      </c>
    </row>
    <row r="164" spans="1:6" x14ac:dyDescent="0.2">
      <c r="A164" s="2">
        <v>41671</v>
      </c>
      <c r="B164" s="3">
        <v>1576</v>
      </c>
      <c r="C164" s="5" t="s">
        <v>33</v>
      </c>
      <c r="D164" s="5">
        <f>$I$6*B163+(1-$I$6)*D163</f>
        <v>1474.7163712837241</v>
      </c>
      <c r="E164" s="5">
        <f t="shared" si="4"/>
        <v>101.28362871627587</v>
      </c>
      <c r="F164" s="5">
        <f t="shared" si="5"/>
        <v>10258.373445936422</v>
      </c>
    </row>
    <row r="165" spans="1:6" x14ac:dyDescent="0.2">
      <c r="A165" s="2">
        <v>41699</v>
      </c>
      <c r="B165" s="3">
        <v>1571</v>
      </c>
      <c r="C165" s="5" t="s">
        <v>33</v>
      </c>
      <c r="D165" s="5">
        <f>$I$6*B164+(1-$I$6)*D164</f>
        <v>1507.4253033847303</v>
      </c>
      <c r="E165" s="5">
        <f t="shared" si="4"/>
        <v>63.574696615269659</v>
      </c>
      <c r="F165" s="5">
        <f t="shared" si="5"/>
        <v>4041.7420497235794</v>
      </c>
    </row>
    <row r="166" spans="1:6" x14ac:dyDescent="0.2">
      <c r="A166" s="2">
        <v>41730</v>
      </c>
      <c r="B166" s="3">
        <v>1568</v>
      </c>
      <c r="C166" s="5" t="s">
        <v>33</v>
      </c>
      <c r="D166" s="5">
        <f>$I$6*B165+(1-$I$6)*D165</f>
        <v>1527.9563651297244</v>
      </c>
      <c r="E166" s="5">
        <f t="shared" si="4"/>
        <v>40.043634870275582</v>
      </c>
      <c r="F166" s="5">
        <f t="shared" si="5"/>
        <v>1603.4926936239506</v>
      </c>
    </row>
    <row r="167" spans="1:6" x14ac:dyDescent="0.2">
      <c r="A167" s="2">
        <v>41760</v>
      </c>
      <c r="B167" s="3">
        <v>1564</v>
      </c>
      <c r="C167" s="5" t="s">
        <v>33</v>
      </c>
      <c r="D167" s="5">
        <f>$I$6*B166+(1-$I$6)*D166</f>
        <v>1540.8882135503452</v>
      </c>
      <c r="E167" s="5">
        <f t="shared" si="4"/>
        <v>23.111786449654801</v>
      </c>
      <c r="F167" s="5">
        <f t="shared" si="5"/>
        <v>534.15467289444723</v>
      </c>
    </row>
    <row r="168" spans="1:6" x14ac:dyDescent="0.2">
      <c r="A168" s="2">
        <v>41791</v>
      </c>
      <c r="B168" s="3">
        <v>1482</v>
      </c>
      <c r="C168" s="5" t="s">
        <v>33</v>
      </c>
      <c r="D168" s="5">
        <f>$I$6*B167+(1-$I$6)*D167</f>
        <v>1548.3520244672347</v>
      </c>
      <c r="E168" s="5">
        <f t="shared" si="4"/>
        <v>-66.352024467234742</v>
      </c>
      <c r="F168" s="5">
        <f t="shared" si="5"/>
        <v>4402.5911509005182</v>
      </c>
    </row>
    <row r="169" spans="1:6" x14ac:dyDescent="0.2">
      <c r="A169" s="2">
        <v>41821</v>
      </c>
      <c r="B169" s="3">
        <v>1569</v>
      </c>
      <c r="C169" s="5" t="s">
        <v>33</v>
      </c>
      <c r="D169" s="5">
        <f>$I$6*B168+(1-$I$6)*D168</f>
        <v>1526.9240415782854</v>
      </c>
      <c r="E169" s="5">
        <f t="shared" si="4"/>
        <v>42.075958421714631</v>
      </c>
      <c r="F169" s="5">
        <f t="shared" si="5"/>
        <v>1770.3862771058584</v>
      </c>
    </row>
    <row r="170" spans="1:6" x14ac:dyDescent="0.2">
      <c r="A170" s="2">
        <v>41852</v>
      </c>
      <c r="B170" s="3">
        <v>1470</v>
      </c>
      <c r="C170" s="5" t="s">
        <v>33</v>
      </c>
      <c r="D170" s="5">
        <f>$I$6*B169+(1-$I$6)*D169</f>
        <v>1540.5122165335481</v>
      </c>
      <c r="E170" s="5">
        <f t="shared" si="4"/>
        <v>-70.512216533548099</v>
      </c>
      <c r="F170" s="5">
        <f t="shared" si="5"/>
        <v>4971.9726804739739</v>
      </c>
    </row>
    <row r="171" spans="1:6" x14ac:dyDescent="0.2">
      <c r="A171" s="2">
        <v>41883</v>
      </c>
      <c r="B171" s="3">
        <v>1455</v>
      </c>
      <c r="C171" s="5" t="s">
        <v>33</v>
      </c>
      <c r="D171" s="5">
        <f>$I$6*B170+(1-$I$6)*D170</f>
        <v>1517.7407249102762</v>
      </c>
      <c r="E171" s="5">
        <f t="shared" si="4"/>
        <v>-62.740724910276185</v>
      </c>
      <c r="F171" s="5">
        <f t="shared" si="5"/>
        <v>3936.3985622669506</v>
      </c>
    </row>
    <row r="172" spans="1:6" x14ac:dyDescent="0.2">
      <c r="A172" s="2">
        <v>41913</v>
      </c>
      <c r="B172" s="3">
        <v>1664</v>
      </c>
      <c r="C172" s="5" t="s">
        <v>33</v>
      </c>
      <c r="D172" s="5">
        <f>$I$6*B171+(1-$I$6)*D171</f>
        <v>1497.478989256957</v>
      </c>
      <c r="E172" s="5">
        <f t="shared" si="4"/>
        <v>166.52101074304301</v>
      </c>
      <c r="F172" s="5">
        <f t="shared" si="5"/>
        <v>27729.247018884646</v>
      </c>
    </row>
    <row r="173" spans="1:6" x14ac:dyDescent="0.2">
      <c r="A173" s="2">
        <v>41944</v>
      </c>
      <c r="B173" s="3">
        <v>1589</v>
      </c>
      <c r="C173" s="5" t="s">
        <v>33</v>
      </c>
      <c r="D173" s="5">
        <f>$I$6*B172+(1-$I$6)*D172</f>
        <v>1551.2559372476626</v>
      </c>
      <c r="E173" s="5">
        <f t="shared" si="4"/>
        <v>37.744062752337413</v>
      </c>
      <c r="F173" s="5">
        <f t="shared" si="5"/>
        <v>1424.6142730523845</v>
      </c>
    </row>
    <row r="174" spans="1:6" x14ac:dyDescent="0.2">
      <c r="A174" s="2">
        <v>41974</v>
      </c>
      <c r="B174" s="3">
        <v>1653</v>
      </c>
      <c r="C174" s="5" t="s">
        <v>33</v>
      </c>
      <c r="D174" s="5">
        <f>$I$6*B173+(1-$I$6)*D173</f>
        <v>1563.4451528339318</v>
      </c>
      <c r="E174" s="5">
        <f t="shared" si="4"/>
        <v>89.554847166068157</v>
      </c>
      <c r="F174" s="5">
        <f t="shared" si="5"/>
        <v>8020.070650937826</v>
      </c>
    </row>
    <row r="175" spans="1:6" x14ac:dyDescent="0.2">
      <c r="A175" s="2">
        <v>42005</v>
      </c>
      <c r="B175" s="3">
        <v>1639</v>
      </c>
      <c r="C175" s="5" t="s">
        <v>33</v>
      </c>
      <c r="D175" s="5">
        <f>$I$6*B174+(1-$I$6)*D174</f>
        <v>1592.3663462429531</v>
      </c>
      <c r="E175" s="5">
        <f t="shared" si="4"/>
        <v>46.633653757046886</v>
      </c>
      <c r="F175" s="5">
        <f t="shared" si="5"/>
        <v>2174.6976627321333</v>
      </c>
    </row>
    <row r="176" spans="1:6" x14ac:dyDescent="0.2">
      <c r="A176" s="2">
        <v>42036</v>
      </c>
      <c r="B176" s="3">
        <v>1695</v>
      </c>
      <c r="C176" s="5" t="s">
        <v>33</v>
      </c>
      <c r="D176" s="5">
        <f>$I$6*B175+(1-$I$6)*D175</f>
        <v>1607.4264011964933</v>
      </c>
      <c r="E176" s="5">
        <f t="shared" si="4"/>
        <v>87.573598803506684</v>
      </c>
      <c r="F176" s="5">
        <f t="shared" si="5"/>
        <v>7669.1352073975477</v>
      </c>
    </row>
    <row r="177" spans="1:6" x14ac:dyDescent="0.2">
      <c r="A177" s="2">
        <v>42064</v>
      </c>
      <c r="B177" s="3">
        <v>1694</v>
      </c>
      <c r="C177" s="5" t="s">
        <v>33</v>
      </c>
      <c r="D177" s="5">
        <f>$I$6*B176+(1-$I$6)*D176</f>
        <v>1635.7077624925896</v>
      </c>
      <c r="E177" s="5">
        <f t="shared" si="4"/>
        <v>58.292237507410391</v>
      </c>
      <c r="F177" s="5">
        <f t="shared" si="5"/>
        <v>3397.9849536203428</v>
      </c>
    </row>
    <row r="178" spans="1:6" x14ac:dyDescent="0.2">
      <c r="A178" s="2">
        <v>42095</v>
      </c>
      <c r="B178" s="3">
        <v>1631</v>
      </c>
      <c r="C178" s="5" t="s">
        <v>33</v>
      </c>
      <c r="D178" s="5">
        <f>$I$6*B177+(1-$I$6)*D177</f>
        <v>1654.5328861854498</v>
      </c>
      <c r="E178" s="5">
        <f t="shared" si="4"/>
        <v>-23.532886185449797</v>
      </c>
      <c r="F178" s="5">
        <f t="shared" si="5"/>
        <v>553.7967322173339</v>
      </c>
    </row>
    <row r="179" spans="1:6" x14ac:dyDescent="0.2">
      <c r="A179" s="2">
        <v>42125</v>
      </c>
      <c r="B179" s="3">
        <v>1640</v>
      </c>
      <c r="C179" s="5" t="s">
        <v>33</v>
      </c>
      <c r="D179" s="5">
        <f>$I$6*B178+(1-$I$6)*D178</f>
        <v>1646.9330836691238</v>
      </c>
      <c r="E179" s="5">
        <f t="shared" si="4"/>
        <v>-6.9330836691237892</v>
      </c>
      <c r="F179" s="5">
        <f t="shared" si="5"/>
        <v>48.067649163070982</v>
      </c>
    </row>
    <row r="180" spans="1:6" x14ac:dyDescent="0.2">
      <c r="A180" s="2">
        <v>42156</v>
      </c>
      <c r="B180" s="3">
        <v>1556</v>
      </c>
      <c r="C180" s="5" t="s">
        <v>33</v>
      </c>
      <c r="D180" s="5">
        <f>$I$6*B179+(1-$I$6)*D179</f>
        <v>1644.6940864505386</v>
      </c>
      <c r="E180" s="5">
        <f t="shared" si="4"/>
        <v>-88.694086450538634</v>
      </c>
      <c r="F180" s="5">
        <f t="shared" si="5"/>
        <v>7866.6409712956211</v>
      </c>
    </row>
    <row r="181" spans="1:6" x14ac:dyDescent="0.2">
      <c r="A181" s="2">
        <v>42186</v>
      </c>
      <c r="B181" s="3">
        <v>1647</v>
      </c>
      <c r="C181" s="5" t="s">
        <v>33</v>
      </c>
      <c r="D181" s="5">
        <f>$I$6*B180+(1-$I$6)*D180</f>
        <v>1616.0508704812707</v>
      </c>
      <c r="E181" s="5">
        <f t="shared" si="4"/>
        <v>30.949129518729251</v>
      </c>
      <c r="F181" s="5">
        <f t="shared" si="5"/>
        <v>957.84861796707821</v>
      </c>
    </row>
    <row r="182" spans="1:6" x14ac:dyDescent="0.2">
      <c r="A182" s="2">
        <v>42217</v>
      </c>
      <c r="B182" s="3">
        <v>1520</v>
      </c>
      <c r="C182" s="5" t="s">
        <v>33</v>
      </c>
      <c r="D182" s="5">
        <f>$I$6*B181+(1-$I$6)*D181</f>
        <v>1626.0457036921657</v>
      </c>
      <c r="E182" s="5">
        <f t="shared" si="4"/>
        <v>-106.04570369216572</v>
      </c>
      <c r="F182" s="5">
        <f t="shared" si="5"/>
        <v>11245.691271566609</v>
      </c>
    </row>
    <row r="183" spans="1:6" x14ac:dyDescent="0.2">
      <c r="A183" s="2">
        <v>42248</v>
      </c>
      <c r="B183" s="3">
        <v>1475</v>
      </c>
      <c r="C183" s="5" t="s">
        <v>33</v>
      </c>
      <c r="D183" s="5">
        <f>$I$6*B182+(1-$I$6)*D182</f>
        <v>1591.7988884305689</v>
      </c>
      <c r="E183" s="5">
        <f t="shared" si="4"/>
        <v>-116.79888843056892</v>
      </c>
      <c r="F183" s="5">
        <f t="shared" si="5"/>
        <v>13641.980338616488</v>
      </c>
    </row>
    <row r="184" spans="1:6" x14ac:dyDescent="0.2">
      <c r="A184" s="2">
        <v>42278</v>
      </c>
      <c r="B184" s="3">
        <v>1754</v>
      </c>
      <c r="C184" s="5" t="s">
        <v>33</v>
      </c>
      <c r="D184" s="5">
        <f>$I$6*B183+(1-$I$6)*D183</f>
        <v>1554.0793975358422</v>
      </c>
      <c r="E184" s="5">
        <f t="shared" si="4"/>
        <v>199.92060246415781</v>
      </c>
      <c r="F184" s="5">
        <f t="shared" si="5"/>
        <v>39968.247289631821</v>
      </c>
    </row>
    <row r="185" spans="1:6" x14ac:dyDescent="0.2">
      <c r="A185" s="2">
        <v>42309</v>
      </c>
      <c r="B185" s="3">
        <v>1605</v>
      </c>
      <c r="C185" s="5" t="s">
        <v>33</v>
      </c>
      <c r="D185" s="5">
        <f>$I$6*B184+(1-$I$6)*D184</f>
        <v>1618.6425406071719</v>
      </c>
      <c r="E185" s="5">
        <f t="shared" si="4"/>
        <v>-13.642540607171895</v>
      </c>
      <c r="F185" s="5">
        <f t="shared" si="5"/>
        <v>186.11891421833411</v>
      </c>
    </row>
    <row r="186" spans="1:6" x14ac:dyDescent="0.2">
      <c r="A186" s="2">
        <v>42339</v>
      </c>
      <c r="B186" s="3">
        <v>1701</v>
      </c>
      <c r="C186" s="5" t="s">
        <v>33</v>
      </c>
      <c r="D186" s="5">
        <f>$I$6*B185+(1-$I$6)*D185</f>
        <v>1614.2367650631772</v>
      </c>
      <c r="E186" s="5">
        <f t="shared" si="4"/>
        <v>86.763234936822755</v>
      </c>
      <c r="F186" s="5">
        <f t="shared" si="5"/>
        <v>7527.8589367023005</v>
      </c>
    </row>
    <row r="187" spans="1:6" x14ac:dyDescent="0.2">
      <c r="A187" s="2">
        <v>42370</v>
      </c>
      <c r="B187" s="3">
        <v>1701</v>
      </c>
      <c r="C187" s="5" t="s">
        <v>33</v>
      </c>
      <c r="D187" s="5">
        <f>$I$6*B186+(1-$I$6)*D186</f>
        <v>1642.2564242754479</v>
      </c>
      <c r="E187" s="5">
        <f t="shared" si="4"/>
        <v>58.743575724552102</v>
      </c>
      <c r="F187" s="5">
        <f t="shared" si="5"/>
        <v>3450.8076889061872</v>
      </c>
    </row>
    <row r="188" spans="1:6" x14ac:dyDescent="0.2">
      <c r="A188" s="2">
        <v>42401</v>
      </c>
      <c r="B188" s="3">
        <v>1830</v>
      </c>
      <c r="C188" s="5" t="s">
        <v>33</v>
      </c>
      <c r="D188" s="5">
        <f>$I$6*B187+(1-$I$6)*D187</f>
        <v>1661.2273049014489</v>
      </c>
      <c r="E188" s="5">
        <f t="shared" si="4"/>
        <v>168.77269509855114</v>
      </c>
      <c r="F188" s="5">
        <f t="shared" si="5"/>
        <v>28484.222610828507</v>
      </c>
    </row>
    <row r="189" spans="1:6" x14ac:dyDescent="0.2">
      <c r="A189" s="2">
        <v>42430</v>
      </c>
      <c r="B189" s="3">
        <v>1713</v>
      </c>
      <c r="C189" s="5" t="s">
        <v>33</v>
      </c>
      <c r="D189" s="5">
        <f>$I$6*B188+(1-$I$6)*D188</f>
        <v>1715.7314206647816</v>
      </c>
      <c r="E189" s="5">
        <f t="shared" si="4"/>
        <v>-2.7314206647815809</v>
      </c>
      <c r="F189" s="5">
        <f t="shared" si="5"/>
        <v>7.4606588479958527</v>
      </c>
    </row>
    <row r="190" spans="1:6" x14ac:dyDescent="0.2">
      <c r="A190" s="2">
        <v>42461</v>
      </c>
      <c r="B190" s="3">
        <v>1668</v>
      </c>
      <c r="C190" s="5" t="s">
        <v>33</v>
      </c>
      <c r="D190" s="5">
        <f>$I$6*B189+(1-$I$6)*D189</f>
        <v>1714.8493249678168</v>
      </c>
      <c r="E190" s="5">
        <f t="shared" si="4"/>
        <v>-46.849324967816756</v>
      </c>
      <c r="F190" s="5">
        <f t="shared" si="5"/>
        <v>2194.8592499400984</v>
      </c>
    </row>
    <row r="191" spans="1:6" x14ac:dyDescent="0.2">
      <c r="A191" s="2">
        <v>42491</v>
      </c>
      <c r="B191" s="3">
        <v>1664</v>
      </c>
      <c r="C191" s="5" t="s">
        <v>33</v>
      </c>
      <c r="D191" s="5">
        <f>$I$6*B190+(1-$I$6)*D190</f>
        <v>1699.7196203080148</v>
      </c>
      <c r="E191" s="5">
        <f t="shared" si="4"/>
        <v>-35.719620308014782</v>
      </c>
      <c r="F191" s="5">
        <f t="shared" si="5"/>
        <v>1275.891274948742</v>
      </c>
    </row>
    <row r="192" spans="1:6" x14ac:dyDescent="0.2">
      <c r="A192" s="2">
        <v>42522</v>
      </c>
      <c r="B192" s="3">
        <v>1623</v>
      </c>
      <c r="C192" s="5" t="s">
        <v>33</v>
      </c>
      <c r="D192" s="5">
        <f>$I$6*B191+(1-$I$6)*D191</f>
        <v>1688.1841861007606</v>
      </c>
      <c r="E192" s="5">
        <f t="shared" si="4"/>
        <v>-65.184186100760598</v>
      </c>
      <c r="F192" s="5">
        <f t="shared" si="5"/>
        <v>4248.9781176185916</v>
      </c>
    </row>
    <row r="193" spans="1:6" x14ac:dyDescent="0.2">
      <c r="A193" s="2">
        <v>42552</v>
      </c>
      <c r="B193" s="3">
        <v>1634</v>
      </c>
      <c r="C193" s="5" t="s">
        <v>33</v>
      </c>
      <c r="D193" s="5">
        <f>$I$6*B192+(1-$I$6)*D192</f>
        <v>1667.1333495119397</v>
      </c>
      <c r="E193" s="5">
        <f t="shared" si="4"/>
        <v>-33.133349511939741</v>
      </c>
      <c r="F193" s="5">
        <f t="shared" si="5"/>
        <v>1097.8188498803574</v>
      </c>
    </row>
    <row r="194" spans="1:6" x14ac:dyDescent="0.2">
      <c r="A194" s="2">
        <v>42583</v>
      </c>
      <c r="B194" s="3">
        <v>1498</v>
      </c>
      <c r="C194" s="5" t="s">
        <v>33</v>
      </c>
      <c r="D194" s="5">
        <f>$I$6*B193+(1-$I$6)*D193</f>
        <v>1656.4331357340466</v>
      </c>
      <c r="E194" s="5">
        <f t="shared" si="4"/>
        <v>-158.43313573404657</v>
      </c>
      <c r="F194" s="5">
        <f t="shared" si="5"/>
        <v>25101.058498522823</v>
      </c>
    </row>
    <row r="195" spans="1:6" x14ac:dyDescent="0.2">
      <c r="A195" s="2">
        <v>42614</v>
      </c>
      <c r="B195" s="3">
        <v>1529</v>
      </c>
      <c r="C195" s="5" t="s">
        <v>33</v>
      </c>
      <c r="D195" s="5">
        <f>$I$6*B194+(1-$I$6)*D194</f>
        <v>1605.2681178041385</v>
      </c>
      <c r="E195" s="5">
        <f t="shared" si="4"/>
        <v>-76.268117804138456</v>
      </c>
      <c r="F195" s="5">
        <f t="shared" si="5"/>
        <v>5816.8257933859413</v>
      </c>
    </row>
    <row r="196" spans="1:6" x14ac:dyDescent="0.2">
      <c r="A196" s="2">
        <v>42644</v>
      </c>
      <c r="B196" s="3">
        <v>1710</v>
      </c>
      <c r="C196" s="5" t="s">
        <v>33</v>
      </c>
      <c r="D196" s="5">
        <f>$I$6*B195+(1-$I$6)*D195</f>
        <v>1580.6377928607528</v>
      </c>
      <c r="E196" s="5">
        <f t="shared" ref="E196:E259" si="6">B196-D196</f>
        <v>129.36220713924718</v>
      </c>
      <c r="F196" s="5">
        <f t="shared" ref="F196:F259" si="7">E196^2</f>
        <v>16734.580635937495</v>
      </c>
    </row>
    <row r="197" spans="1:6" x14ac:dyDescent="0.2">
      <c r="A197" s="2">
        <v>42675</v>
      </c>
      <c r="B197" s="3">
        <v>1657</v>
      </c>
      <c r="C197" s="5" t="s">
        <v>33</v>
      </c>
      <c r="D197" s="5">
        <f>$I$6*B196+(1-$I$6)*D196</f>
        <v>1622.4145311489019</v>
      </c>
      <c r="E197" s="5">
        <f t="shared" si="6"/>
        <v>34.585468851098085</v>
      </c>
      <c r="F197" s="5">
        <f t="shared" si="7"/>
        <v>1196.1546556502758</v>
      </c>
    </row>
    <row r="198" spans="1:6" x14ac:dyDescent="0.2">
      <c r="A198" s="2">
        <v>42705</v>
      </c>
      <c r="B198" s="3">
        <v>1743</v>
      </c>
      <c r="C198" s="5" t="s">
        <v>33</v>
      </c>
      <c r="D198" s="5">
        <f>$I$6*B197+(1-$I$6)*D197</f>
        <v>1633.5836980386566</v>
      </c>
      <c r="E198" s="5">
        <f t="shared" si="6"/>
        <v>109.41630196134338</v>
      </c>
      <c r="F198" s="5">
        <f t="shared" si="7"/>
        <v>11971.927134895875</v>
      </c>
    </row>
    <row r="199" spans="1:6" x14ac:dyDescent="0.2">
      <c r="A199" s="2">
        <v>42736</v>
      </c>
      <c r="B199" s="3">
        <v>1696</v>
      </c>
      <c r="C199" s="5" t="s">
        <v>33</v>
      </c>
      <c r="D199" s="5">
        <f>$I$6*B198+(1-$I$6)*D198</f>
        <v>1668.9190275184312</v>
      </c>
      <c r="E199" s="5">
        <f t="shared" si="6"/>
        <v>27.080972481568779</v>
      </c>
      <c r="F199" s="5">
        <f t="shared" si="7"/>
        <v>733.37907054748541</v>
      </c>
    </row>
    <row r="200" spans="1:6" x14ac:dyDescent="0.2">
      <c r="A200" s="2">
        <v>42767</v>
      </c>
      <c r="B200" s="3">
        <v>1885</v>
      </c>
      <c r="C200" s="5" t="s">
        <v>33</v>
      </c>
      <c r="D200" s="5">
        <f>$I$6*B199+(1-$I$6)*D199</f>
        <v>1677.664662932129</v>
      </c>
      <c r="E200" s="5">
        <f t="shared" si="6"/>
        <v>207.33533706787102</v>
      </c>
      <c r="F200" s="5">
        <f t="shared" si="7"/>
        <v>42987.941997047696</v>
      </c>
    </row>
    <row r="201" spans="1:6" x14ac:dyDescent="0.2">
      <c r="A201" s="2">
        <v>42795</v>
      </c>
      <c r="B201" s="3">
        <v>1840</v>
      </c>
      <c r="C201" s="5" t="s">
        <v>33</v>
      </c>
      <c r="D201" s="5">
        <f>$I$6*B200+(1-$I$6)*D200</f>
        <v>1744.6223494629869</v>
      </c>
      <c r="E201" s="5">
        <f t="shared" si="6"/>
        <v>95.377650537013096</v>
      </c>
      <c r="F201" s="5">
        <f t="shared" si="7"/>
        <v>9096.8962219605946</v>
      </c>
    </row>
    <row r="202" spans="1:6" x14ac:dyDescent="0.2">
      <c r="A202" s="2">
        <v>42826</v>
      </c>
      <c r="B202" s="3">
        <v>1674</v>
      </c>
      <c r="C202" s="5" t="s">
        <v>33</v>
      </c>
      <c r="D202" s="5">
        <f>$I$6*B201+(1-$I$6)*D201</f>
        <v>1775.4239818186741</v>
      </c>
      <c r="E202" s="5">
        <f t="shared" si="6"/>
        <v>-101.42398181867406</v>
      </c>
      <c r="F202" s="5">
        <f t="shared" si="7"/>
        <v>10286.824087954727</v>
      </c>
    </row>
    <row r="203" spans="1:6" x14ac:dyDescent="0.2">
      <c r="A203" s="2">
        <v>42856</v>
      </c>
      <c r="B203" s="3">
        <v>1709</v>
      </c>
      <c r="C203" s="5" t="s">
        <v>33</v>
      </c>
      <c r="D203" s="5">
        <f>$I$6*B202+(1-$I$6)*D202</f>
        <v>1742.6697235365796</v>
      </c>
      <c r="E203" s="5">
        <f t="shared" si="6"/>
        <v>-33.669723536579568</v>
      </c>
      <c r="F203" s="5">
        <f t="shared" si="7"/>
        <v>1133.6502830297002</v>
      </c>
    </row>
    <row r="204" spans="1:6" x14ac:dyDescent="0.2">
      <c r="A204" s="2">
        <v>42887</v>
      </c>
      <c r="B204" s="3">
        <v>1618</v>
      </c>
      <c r="C204" s="5" t="s">
        <v>33</v>
      </c>
      <c r="D204" s="5">
        <f>$I$6*B203+(1-$I$6)*D203</f>
        <v>1731.7962910285216</v>
      </c>
      <c r="E204" s="5">
        <f t="shared" si="6"/>
        <v>-113.79629102852164</v>
      </c>
      <c r="F204" s="5">
        <f t="shared" si="7"/>
        <v>12949.595851847995</v>
      </c>
    </row>
    <row r="205" spans="1:6" x14ac:dyDescent="0.2">
      <c r="A205" s="2">
        <v>42917</v>
      </c>
      <c r="B205" s="3">
        <v>1673</v>
      </c>
      <c r="C205" s="5" t="s">
        <v>33</v>
      </c>
      <c r="D205" s="5">
        <f>$I$6*B204+(1-$I$6)*D204</f>
        <v>1695.0464707093363</v>
      </c>
      <c r="E205" s="5">
        <f t="shared" si="6"/>
        <v>-22.04647070933629</v>
      </c>
      <c r="F205" s="5">
        <f t="shared" si="7"/>
        <v>486.04687073762301</v>
      </c>
    </row>
    <row r="206" spans="1:6" x14ac:dyDescent="0.2">
      <c r="A206" s="2">
        <v>42948</v>
      </c>
      <c r="B206" s="3">
        <v>1591</v>
      </c>
      <c r="C206" s="5" t="s">
        <v>33</v>
      </c>
      <c r="D206" s="5">
        <f>$I$6*B205+(1-$I$6)*D205</f>
        <v>1687.9266970337846</v>
      </c>
      <c r="E206" s="5">
        <f t="shared" si="6"/>
        <v>-96.926697033784649</v>
      </c>
      <c r="F206" s="5">
        <f t="shared" si="7"/>
        <v>9394.7845978790774</v>
      </c>
    </row>
    <row r="207" spans="1:6" x14ac:dyDescent="0.2">
      <c r="A207" s="2">
        <v>42979</v>
      </c>
      <c r="B207" s="3">
        <v>1521</v>
      </c>
      <c r="C207" s="5" t="s">
        <v>33</v>
      </c>
      <c r="D207" s="5">
        <f>$I$6*B206+(1-$I$6)*D206</f>
        <v>1656.6248095299914</v>
      </c>
      <c r="E207" s="5">
        <f t="shared" si="6"/>
        <v>-135.62480952999135</v>
      </c>
      <c r="F207" s="5">
        <f t="shared" si="7"/>
        <v>18394.088960046432</v>
      </c>
    </row>
    <row r="208" spans="1:6" x14ac:dyDescent="0.2">
      <c r="A208" s="2">
        <v>43009</v>
      </c>
      <c r="B208" s="3">
        <v>1764</v>
      </c>
      <c r="C208" s="5" t="s">
        <v>33</v>
      </c>
      <c r="D208" s="5">
        <f>$I$6*B207+(1-$I$6)*D207</f>
        <v>1612.8256018756601</v>
      </c>
      <c r="E208" s="5">
        <f t="shared" si="6"/>
        <v>151.17439812433986</v>
      </c>
      <c r="F208" s="5">
        <f t="shared" si="7"/>
        <v>22853.69864825641</v>
      </c>
    </row>
    <row r="209" spans="1:6" x14ac:dyDescent="0.2">
      <c r="A209" s="2">
        <v>43040</v>
      </c>
      <c r="B209" s="3">
        <v>1665</v>
      </c>
      <c r="C209" s="5" t="s">
        <v>33</v>
      </c>
      <c r="D209" s="5">
        <f>$I$6*B208+(1-$I$6)*D208</f>
        <v>1661.6464546268107</v>
      </c>
      <c r="E209" s="5">
        <f t="shared" si="6"/>
        <v>3.353545373189263</v>
      </c>
      <c r="F209" s="5">
        <f t="shared" si="7"/>
        <v>11.246266570039113</v>
      </c>
    </row>
    <row r="210" spans="1:6" x14ac:dyDescent="0.2">
      <c r="A210" s="2">
        <v>43070</v>
      </c>
      <c r="B210" s="3">
        <v>1750</v>
      </c>
      <c r="C210" s="5" t="s">
        <v>33</v>
      </c>
      <c r="D210" s="5">
        <f>$I$6*B209+(1-$I$6)*D209</f>
        <v>1662.7294617159087</v>
      </c>
      <c r="E210" s="5">
        <f t="shared" si="6"/>
        <v>87.270538284091344</v>
      </c>
      <c r="F210" s="5">
        <f t="shared" si="7"/>
        <v>7616.1468523950534</v>
      </c>
    </row>
    <row r="211" spans="1:6" x14ac:dyDescent="0.2">
      <c r="A211" s="2">
        <v>43101</v>
      </c>
      <c r="B211" s="3">
        <v>1728</v>
      </c>
      <c r="C211" s="5" t="s">
        <v>33</v>
      </c>
      <c r="D211" s="5">
        <f>$I$6*B210+(1-$I$6)*D210</f>
        <v>1690.912951459833</v>
      </c>
      <c r="E211" s="5">
        <f t="shared" si="6"/>
        <v>37.087048540166961</v>
      </c>
      <c r="F211" s="5">
        <f t="shared" si="7"/>
        <v>1375.4491694207004</v>
      </c>
    </row>
    <row r="212" spans="1:6" x14ac:dyDescent="0.2">
      <c r="A212" s="2">
        <v>43132</v>
      </c>
      <c r="B212" s="3">
        <v>1783</v>
      </c>
      <c r="C212" s="5" t="s">
        <v>33</v>
      </c>
      <c r="D212" s="5">
        <f>$I$6*B211+(1-$I$6)*D211</f>
        <v>1702.889988300853</v>
      </c>
      <c r="E212" s="5">
        <f t="shared" si="6"/>
        <v>80.11001169914698</v>
      </c>
      <c r="F212" s="5">
        <f t="shared" si="7"/>
        <v>6417.6139744374659</v>
      </c>
    </row>
    <row r="213" spans="1:6" x14ac:dyDescent="0.2">
      <c r="A213" s="2">
        <v>43160</v>
      </c>
      <c r="B213" s="3">
        <v>1679</v>
      </c>
      <c r="C213" s="5" t="s">
        <v>33</v>
      </c>
      <c r="D213" s="5">
        <f>$I$6*B212+(1-$I$6)*D212</f>
        <v>1728.7610295193549</v>
      </c>
      <c r="E213" s="5">
        <f t="shared" si="6"/>
        <v>-49.761029519354906</v>
      </c>
      <c r="F213" s="5">
        <f t="shared" si="7"/>
        <v>2476.1600588261103</v>
      </c>
    </row>
    <row r="214" spans="1:6" x14ac:dyDescent="0.2">
      <c r="A214" s="2">
        <v>43191</v>
      </c>
      <c r="B214" s="3">
        <v>1605</v>
      </c>
      <c r="C214" s="5" t="s">
        <v>33</v>
      </c>
      <c r="D214" s="5">
        <f>$I$6*B213+(1-$I$6)*D213</f>
        <v>1712.6910075774656</v>
      </c>
      <c r="E214" s="5">
        <f t="shared" si="6"/>
        <v>-107.6910075774656</v>
      </c>
      <c r="F214" s="5">
        <f t="shared" si="7"/>
        <v>11597.353113049752</v>
      </c>
    </row>
    <row r="215" spans="1:6" x14ac:dyDescent="0.2">
      <c r="A215" s="2">
        <v>43221</v>
      </c>
      <c r="B215" s="3">
        <v>1694</v>
      </c>
      <c r="C215" s="5" t="s">
        <v>33</v>
      </c>
      <c r="D215" s="5">
        <f>$I$6*B214+(1-$I$6)*D214</f>
        <v>1677.9128514293714</v>
      </c>
      <c r="E215" s="5">
        <f t="shared" si="6"/>
        <v>16.087148570628642</v>
      </c>
      <c r="F215" s="5">
        <f t="shared" si="7"/>
        <v>258.79634913347917</v>
      </c>
    </row>
    <row r="216" spans="1:6" x14ac:dyDescent="0.2">
      <c r="A216" s="2">
        <v>43252</v>
      </c>
      <c r="B216" s="3">
        <v>1560</v>
      </c>
      <c r="C216" s="5" t="s">
        <v>33</v>
      </c>
      <c r="D216" s="5">
        <f>$I$6*B215+(1-$I$6)*D215</f>
        <v>1683.1080982522267</v>
      </c>
      <c r="E216" s="5">
        <f t="shared" si="6"/>
        <v>-123.10809825222668</v>
      </c>
      <c r="F216" s="5">
        <f t="shared" si="7"/>
        <v>15155.603855279898</v>
      </c>
    </row>
    <row r="217" spans="1:6" x14ac:dyDescent="0.2">
      <c r="A217" s="2">
        <v>43282</v>
      </c>
      <c r="B217" s="3">
        <v>1629</v>
      </c>
      <c r="C217" s="5" t="s">
        <v>33</v>
      </c>
      <c r="D217" s="5">
        <f>$I$6*B216+(1-$I$6)*D216</f>
        <v>1643.3510864048719</v>
      </c>
      <c r="E217" s="5">
        <f t="shared" si="6"/>
        <v>-14.351086404871921</v>
      </c>
      <c r="F217" s="5">
        <f t="shared" si="7"/>
        <v>205.95368100009969</v>
      </c>
    </row>
    <row r="218" spans="1:6" x14ac:dyDescent="0.2">
      <c r="A218" s="2">
        <v>43313</v>
      </c>
      <c r="B218" s="4">
        <v>1546</v>
      </c>
      <c r="C218" s="5" t="s">
        <v>33</v>
      </c>
      <c r="D218" s="5">
        <f>$I$6*B217+(1-$I$6)*D217</f>
        <v>1638.7164903033877</v>
      </c>
      <c r="E218" s="5">
        <f t="shared" si="6"/>
        <v>-92.716490303387673</v>
      </c>
      <c r="F218" s="5">
        <f t="shared" si="7"/>
        <v>8596.3475741781804</v>
      </c>
    </row>
    <row r="219" spans="1:6" x14ac:dyDescent="0.2">
      <c r="A219" s="2">
        <v>43344</v>
      </c>
      <c r="B219" s="4">
        <v>1574</v>
      </c>
      <c r="C219" s="5" t="s">
        <v>33</v>
      </c>
      <c r="D219" s="5">
        <f>$I$6*B218+(1-$I$6)*D218</f>
        <v>1608.7742634655992</v>
      </c>
      <c r="E219" s="5">
        <f t="shared" si="6"/>
        <v>-34.774263465599233</v>
      </c>
      <c r="F219" s="5">
        <f t="shared" si="7"/>
        <v>1209.2493995749096</v>
      </c>
    </row>
    <row r="220" spans="1:6" x14ac:dyDescent="0.2">
      <c r="A220" s="2">
        <v>43374</v>
      </c>
      <c r="B220" s="4">
        <v>1737</v>
      </c>
      <c r="C220" s="5" t="s">
        <v>33</v>
      </c>
      <c r="D220" s="5">
        <f>$I$6*B219+(1-$I$6)*D219</f>
        <v>1597.5441265029413</v>
      </c>
      <c r="E220" s="5">
        <f t="shared" si="6"/>
        <v>139.45587349705875</v>
      </c>
      <c r="F220" s="5">
        <f t="shared" si="7"/>
        <v>19447.940652827652</v>
      </c>
    </row>
    <row r="221" spans="1:6" x14ac:dyDescent="0.2">
      <c r="A221" s="2">
        <v>43405</v>
      </c>
      <c r="B221" s="4">
        <v>1659</v>
      </c>
      <c r="C221" s="5" t="s">
        <v>33</v>
      </c>
      <c r="D221" s="5">
        <f>$I$6*B220+(1-$I$6)*D220</f>
        <v>1642.5805529730051</v>
      </c>
      <c r="E221" s="5">
        <f t="shared" si="6"/>
        <v>16.419447026994931</v>
      </c>
      <c r="F221" s="5">
        <f t="shared" si="7"/>
        <v>269.59824067229266</v>
      </c>
    </row>
    <row r="222" spans="1:6" x14ac:dyDescent="0.2">
      <c r="A222" s="2">
        <v>43435</v>
      </c>
      <c r="B222" s="4">
        <v>1691</v>
      </c>
      <c r="C222" s="5" t="s">
        <v>33</v>
      </c>
      <c r="D222" s="5">
        <f>$I$6*B221+(1-$I$6)*D221</f>
        <v>1647.8831135620071</v>
      </c>
      <c r="E222" s="5">
        <f t="shared" si="6"/>
        <v>43.116886437992889</v>
      </c>
      <c r="F222" s="5">
        <f t="shared" si="7"/>
        <v>1859.0658961067752</v>
      </c>
    </row>
    <row r="223" spans="1:6" x14ac:dyDescent="0.2">
      <c r="A223" s="2">
        <v>43466</v>
      </c>
      <c r="B223" s="4">
        <v>1681</v>
      </c>
      <c r="C223" s="5" t="s">
        <v>33</v>
      </c>
      <c r="D223" s="5">
        <f>$I$6*B222+(1-$I$6)*D222</f>
        <v>1661.8074498914032</v>
      </c>
      <c r="E223" s="5">
        <f t="shared" si="6"/>
        <v>19.192550108596834</v>
      </c>
      <c r="F223" s="5">
        <f t="shared" si="7"/>
        <v>368.35397967100033</v>
      </c>
    </row>
    <row r="224" spans="1:6" x14ac:dyDescent="0.2">
      <c r="A224" s="2">
        <v>43497</v>
      </c>
      <c r="B224" s="4">
        <v>1788</v>
      </c>
      <c r="C224" s="5" t="s">
        <v>33</v>
      </c>
      <c r="D224" s="5">
        <f>$I$6*B223+(1-$I$6)*D223</f>
        <v>1668.0055672604581</v>
      </c>
      <c r="E224" s="5">
        <f t="shared" si="6"/>
        <v>119.99443273954194</v>
      </c>
      <c r="F224" s="5">
        <f t="shared" si="7"/>
        <v>14398.663888484454</v>
      </c>
    </row>
    <row r="225" spans="1:6" x14ac:dyDescent="0.2">
      <c r="A225" s="2">
        <v>43525</v>
      </c>
      <c r="B225" s="4">
        <v>1746</v>
      </c>
      <c r="C225" s="5" t="s">
        <v>33</v>
      </c>
      <c r="D225" s="5">
        <f>$I$6*B224+(1-$I$6)*D224</f>
        <v>1706.7570397612228</v>
      </c>
      <c r="E225" s="5">
        <f t="shared" si="6"/>
        <v>39.242960238777187</v>
      </c>
      <c r="F225" s="5">
        <f t="shared" si="7"/>
        <v>1540.0099283022473</v>
      </c>
    </row>
    <row r="226" spans="1:6" x14ac:dyDescent="0.2">
      <c r="A226" s="2">
        <v>43556</v>
      </c>
      <c r="B226" s="4">
        <v>1672</v>
      </c>
      <c r="C226" s="5" t="s">
        <v>33</v>
      </c>
      <c r="D226" s="5">
        <f>$I$6*B225+(1-$I$6)*D225</f>
        <v>1719.4303151776119</v>
      </c>
      <c r="E226" s="5">
        <f t="shared" si="6"/>
        <v>-47.430315177611874</v>
      </c>
      <c r="F226" s="5">
        <f t="shared" si="7"/>
        <v>2249.6347978475992</v>
      </c>
    </row>
    <row r="227" spans="1:6" x14ac:dyDescent="0.2">
      <c r="A227" s="2">
        <v>43586</v>
      </c>
      <c r="B227" s="4">
        <v>1751</v>
      </c>
      <c r="C227" s="5" t="s">
        <v>33</v>
      </c>
      <c r="D227" s="5">
        <f>$I$6*B226+(1-$I$6)*D226</f>
        <v>1704.1129832619108</v>
      </c>
      <c r="E227" s="5">
        <f t="shared" si="6"/>
        <v>46.887016738089187</v>
      </c>
      <c r="F227" s="5">
        <f t="shared" si="7"/>
        <v>2198.3923385978555</v>
      </c>
    </row>
    <row r="228" spans="1:6" x14ac:dyDescent="0.2">
      <c r="A228" s="2">
        <v>43617</v>
      </c>
      <c r="B228" s="4">
        <v>1646</v>
      </c>
      <c r="C228" s="5" t="s">
        <v>33</v>
      </c>
      <c r="D228" s="5">
        <f>$I$6*B227+(1-$I$6)*D227</f>
        <v>1719.2548602497607</v>
      </c>
      <c r="E228" s="5">
        <f t="shared" si="6"/>
        <v>-73.254860249760668</v>
      </c>
      <c r="F228" s="5">
        <f t="shared" si="7"/>
        <v>5366.274550211966</v>
      </c>
    </row>
    <row r="229" spans="1:6" x14ac:dyDescent="0.2">
      <c r="A229" s="2">
        <v>43647</v>
      </c>
      <c r="B229" s="4">
        <v>1714</v>
      </c>
      <c r="C229" s="5" t="s">
        <v>33</v>
      </c>
      <c r="D229" s="5">
        <f>$I$6*B228+(1-$I$6)*D228</f>
        <v>1695.5976485132992</v>
      </c>
      <c r="E229" s="5">
        <f t="shared" si="6"/>
        <v>18.402351486700809</v>
      </c>
      <c r="F229" s="5">
        <f t="shared" si="7"/>
        <v>338.64654024007945</v>
      </c>
    </row>
    <row r="230" spans="1:6" x14ac:dyDescent="0.2">
      <c r="A230" s="2">
        <v>43678</v>
      </c>
      <c r="B230" s="4">
        <v>1557</v>
      </c>
      <c r="C230" s="5" t="s">
        <v>33</v>
      </c>
      <c r="D230" s="5">
        <f>$I$6*B229+(1-$I$6)*D229</f>
        <v>1701.5405760417302</v>
      </c>
      <c r="E230" s="5">
        <f t="shared" si="6"/>
        <v>-144.54057604173022</v>
      </c>
      <c r="F230" s="5">
        <f t="shared" si="7"/>
        <v>20891.978122475197</v>
      </c>
    </row>
    <row r="231" spans="1:6" x14ac:dyDescent="0.2">
      <c r="A231" s="2">
        <v>43709</v>
      </c>
      <c r="B231" s="4">
        <v>1617</v>
      </c>
      <c r="C231" s="5" t="s">
        <v>33</v>
      </c>
      <c r="D231" s="5">
        <f>$I$6*B230+(1-$I$6)*D230</f>
        <v>1654.8620757992767</v>
      </c>
      <c r="E231" s="5">
        <f t="shared" si="6"/>
        <v>-37.862075799276681</v>
      </c>
      <c r="F231" s="5">
        <f t="shared" si="7"/>
        <v>1433.5367838301729</v>
      </c>
    </row>
    <row r="232" spans="1:6" x14ac:dyDescent="0.2">
      <c r="A232" s="2">
        <v>43739</v>
      </c>
      <c r="B232" s="4">
        <v>1826</v>
      </c>
      <c r="C232" s="5" t="s">
        <v>33</v>
      </c>
      <c r="D232" s="5">
        <f>$I$6*B231+(1-$I$6)*D231</f>
        <v>1642.6347486170046</v>
      </c>
      <c r="E232" s="5">
        <f t="shared" si="6"/>
        <v>183.36525138299544</v>
      </c>
      <c r="F232" s="5">
        <f t="shared" si="7"/>
        <v>33622.815414749108</v>
      </c>
    </row>
    <row r="233" spans="1:6" x14ac:dyDescent="0.2">
      <c r="A233" s="2">
        <v>43770</v>
      </c>
      <c r="B233" s="4">
        <v>1758</v>
      </c>
      <c r="C233" s="5" t="s">
        <v>33</v>
      </c>
      <c r="D233" s="5">
        <f>$I$6*B232+(1-$I$6)*D232</f>
        <v>1701.8514417113201</v>
      </c>
      <c r="E233" s="5">
        <f t="shared" si="6"/>
        <v>56.148558288679851</v>
      </c>
      <c r="F233" s="5">
        <f t="shared" si="7"/>
        <v>3152.6605978972789</v>
      </c>
    </row>
    <row r="234" spans="1:6" x14ac:dyDescent="0.2">
      <c r="A234" s="2">
        <v>43800</v>
      </c>
      <c r="B234" s="4">
        <v>1756</v>
      </c>
      <c r="C234" s="5" t="s">
        <v>33</v>
      </c>
      <c r="D234" s="5">
        <f>$I$6*B233+(1-$I$6)*D233</f>
        <v>1719.9842772338166</v>
      </c>
      <c r="E234" s="5">
        <f t="shared" si="6"/>
        <v>36.015722766183444</v>
      </c>
      <c r="F234" s="5">
        <f t="shared" si="7"/>
        <v>1297.1322863705843</v>
      </c>
    </row>
    <row r="235" spans="1:6" x14ac:dyDescent="0.2">
      <c r="A235" s="2">
        <v>43831</v>
      </c>
      <c r="B235" s="4">
        <v>1725</v>
      </c>
      <c r="C235" s="5" t="s">
        <v>33</v>
      </c>
      <c r="D235" s="5">
        <f>$I$6*B234+(1-$I$6)*D234</f>
        <v>1731.6153359296673</v>
      </c>
      <c r="E235" s="5">
        <f t="shared" si="6"/>
        <v>-6.6153359296672534</v>
      </c>
      <c r="F235" s="5">
        <f t="shared" si="7"/>
        <v>43.762669462346501</v>
      </c>
    </row>
    <row r="236" spans="1:6" x14ac:dyDescent="0.2">
      <c r="A236" s="2">
        <v>43862</v>
      </c>
      <c r="B236" s="4">
        <v>1835</v>
      </c>
      <c r="C236" s="5" t="s">
        <v>33</v>
      </c>
      <c r="D236" s="5">
        <f>$I$6*B235+(1-$I$6)*D235</f>
        <v>1729.4789534116694</v>
      </c>
      <c r="E236" s="5">
        <f t="shared" si="6"/>
        <v>105.52104658833059</v>
      </c>
      <c r="F236" s="5">
        <f t="shared" si="7"/>
        <v>11134.691273096636</v>
      </c>
    </row>
    <row r="237" spans="1:6" x14ac:dyDescent="0.2">
      <c r="A237" s="2">
        <v>43891</v>
      </c>
      <c r="B237" s="4">
        <v>1724</v>
      </c>
      <c r="C237" s="5" t="s">
        <v>33</v>
      </c>
      <c r="D237" s="5">
        <f>$I$6*B236+(1-$I$6)*D236</f>
        <v>1763.556333851438</v>
      </c>
      <c r="E237" s="5">
        <f t="shared" si="6"/>
        <v>-39.556333851438012</v>
      </c>
      <c r="F237" s="5">
        <f t="shared" si="7"/>
        <v>1564.7035477664208</v>
      </c>
    </row>
    <row r="238" spans="1:6" x14ac:dyDescent="0.2">
      <c r="A238" s="2">
        <v>43922</v>
      </c>
      <c r="B238" s="4">
        <v>1730</v>
      </c>
      <c r="C238" s="5" t="s">
        <v>33</v>
      </c>
      <c r="D238" s="5">
        <f>$I$6*B237+(1-$I$6)*D237</f>
        <v>1750.7818563321161</v>
      </c>
      <c r="E238" s="5">
        <f t="shared" si="6"/>
        <v>-20.781856332116149</v>
      </c>
      <c r="F238" s="5">
        <f t="shared" si="7"/>
        <v>431.88555260871607</v>
      </c>
    </row>
    <row r="239" spans="1:6" x14ac:dyDescent="0.2">
      <c r="A239" s="2">
        <v>43952</v>
      </c>
      <c r="B239" s="4">
        <v>1752</v>
      </c>
      <c r="C239" s="5" t="s">
        <v>33</v>
      </c>
      <c r="D239" s="5">
        <f>$I$6*B238+(1-$I$6)*D238</f>
        <v>1744.0704821809766</v>
      </c>
      <c r="E239" s="5">
        <f t="shared" si="6"/>
        <v>7.929517819023431</v>
      </c>
      <c r="F239" s="5">
        <f t="shared" si="7"/>
        <v>62.877252842210112</v>
      </c>
    </row>
    <row r="240" spans="1:6" x14ac:dyDescent="0.2">
      <c r="A240" s="2">
        <v>43983</v>
      </c>
      <c r="B240" s="4">
        <v>1642</v>
      </c>
      <c r="C240" s="5" t="s">
        <v>33</v>
      </c>
      <c r="D240" s="5">
        <f>$I$6*B239+(1-$I$6)*D239</f>
        <v>1746.6312717500659</v>
      </c>
      <c r="E240" s="5">
        <f t="shared" si="6"/>
        <v>-104.63127175006593</v>
      </c>
      <c r="F240" s="5">
        <f t="shared" si="7"/>
        <v>10947.703028036145</v>
      </c>
    </row>
    <row r="241" spans="1:6" x14ac:dyDescent="0.2">
      <c r="A241" s="2">
        <v>44013</v>
      </c>
      <c r="B241" s="4">
        <v>1717</v>
      </c>
      <c r="C241" s="5" t="s">
        <v>33</v>
      </c>
      <c r="D241" s="5">
        <f>$I$6*B240+(1-$I$6)*D240</f>
        <v>1712.8412386845855</v>
      </c>
      <c r="E241" s="5">
        <f t="shared" si="6"/>
        <v>4.1587613154144947</v>
      </c>
      <c r="F241" s="5">
        <f t="shared" si="7"/>
        <v>17.295295678588097</v>
      </c>
    </row>
    <row r="242" spans="1:6" x14ac:dyDescent="0.2">
      <c r="A242" s="2">
        <v>44044</v>
      </c>
      <c r="B242" s="4">
        <v>1579</v>
      </c>
      <c r="C242" s="5" t="s">
        <v>33</v>
      </c>
      <c r="D242" s="5">
        <f>$I$6*B241+(1-$I$6)*D241</f>
        <v>1714.1842853666039</v>
      </c>
      <c r="E242" s="5">
        <f t="shared" si="6"/>
        <v>-135.18428536660394</v>
      </c>
      <c r="F242" s="5">
        <f t="shared" si="7"/>
        <v>18274.791010079411</v>
      </c>
    </row>
    <row r="243" spans="1:6" x14ac:dyDescent="0.2">
      <c r="A243" s="2">
        <v>44075</v>
      </c>
      <c r="B243" s="4">
        <v>1647</v>
      </c>
      <c r="C243" s="5" t="s">
        <v>33</v>
      </c>
      <c r="D243" s="5">
        <f>$I$6*B242+(1-$I$6)*D242</f>
        <v>1670.527342312502</v>
      </c>
      <c r="E243" s="5">
        <f t="shared" si="6"/>
        <v>-23.527342312502014</v>
      </c>
      <c r="F243" s="5">
        <f t="shared" si="7"/>
        <v>553.53583628964759</v>
      </c>
    </row>
    <row r="244" spans="1:6" x14ac:dyDescent="0.2">
      <c r="A244" s="2">
        <v>44105</v>
      </c>
      <c r="B244" s="4">
        <v>1961</v>
      </c>
      <c r="C244" s="5" t="s">
        <v>33</v>
      </c>
      <c r="D244" s="5">
        <f>$I$6*B243+(1-$I$6)*D243</f>
        <v>1662.9293301562384</v>
      </c>
      <c r="E244" s="5">
        <f t="shared" si="6"/>
        <v>298.07066984376161</v>
      </c>
      <c r="F244" s="5">
        <f t="shared" si="7"/>
        <v>88846.124221108737</v>
      </c>
    </row>
    <row r="245" spans="1:6" x14ac:dyDescent="0.2">
      <c r="A245" s="2">
        <v>44136</v>
      </c>
      <c r="B245" s="4">
        <v>1772</v>
      </c>
      <c r="C245" s="5" t="s">
        <v>33</v>
      </c>
      <c r="D245" s="5">
        <f>$I$6*B244+(1-$I$6)*D244</f>
        <v>1759.1894407465918</v>
      </c>
      <c r="E245" s="5">
        <f t="shared" si="6"/>
        <v>12.810559253408201</v>
      </c>
      <c r="F245" s="5">
        <f t="shared" si="7"/>
        <v>164.11042838508249</v>
      </c>
    </row>
    <row r="246" spans="1:6" x14ac:dyDescent="0.2">
      <c r="A246" s="2">
        <v>44166</v>
      </c>
      <c r="B246" s="4">
        <v>1822</v>
      </c>
      <c r="C246" s="5" t="s">
        <v>33</v>
      </c>
      <c r="D246" s="5">
        <f>$I$6*B245+(1-$I$6)*D245</f>
        <v>1763.3265329707406</v>
      </c>
      <c r="E246" s="5">
        <f t="shared" si="6"/>
        <v>58.673467029259427</v>
      </c>
      <c r="F246" s="5">
        <f t="shared" si="7"/>
        <v>3442.5757332335929</v>
      </c>
    </row>
    <row r="247" spans="1:6" x14ac:dyDescent="0.2">
      <c r="A247" s="2">
        <v>44197</v>
      </c>
      <c r="B247" s="4">
        <v>1884</v>
      </c>
      <c r="C247" s="5" t="s">
        <v>33</v>
      </c>
      <c r="D247" s="5">
        <f>$I$6*B246+(1-$I$6)*D246</f>
        <v>1782.2747724198498</v>
      </c>
      <c r="E247" s="5">
        <f t="shared" si="6"/>
        <v>101.7252275801502</v>
      </c>
      <c r="F247" s="5">
        <f t="shared" si="7"/>
        <v>10348.021926233352</v>
      </c>
    </row>
    <row r="248" spans="1:6" x14ac:dyDescent="0.2">
      <c r="A248" s="2">
        <v>44228</v>
      </c>
      <c r="B248" s="4">
        <v>1901</v>
      </c>
      <c r="C248" s="5" t="s">
        <v>33</v>
      </c>
      <c r="D248" s="5">
        <f>$I$6*B247+(1-$I$6)*D247</f>
        <v>1815.1263161890733</v>
      </c>
      <c r="E248" s="5">
        <f t="shared" si="6"/>
        <v>85.87368381092665</v>
      </c>
      <c r="F248" s="5">
        <f t="shared" si="7"/>
        <v>7374.2895712590062</v>
      </c>
    </row>
    <row r="249" spans="1:6" x14ac:dyDescent="0.2">
      <c r="A249" s="2">
        <v>44256</v>
      </c>
      <c r="B249" s="4">
        <v>1917</v>
      </c>
      <c r="C249" s="5" t="s">
        <v>33</v>
      </c>
      <c r="D249" s="5">
        <f>$I$6*B248+(1-$I$6)*D248</f>
        <v>1842.8587002736051</v>
      </c>
      <c r="E249" s="5">
        <f t="shared" si="6"/>
        <v>74.141299726394891</v>
      </c>
      <c r="F249" s="5">
        <f t="shared" si="7"/>
        <v>5496.9323251191236</v>
      </c>
    </row>
    <row r="250" spans="1:6" x14ac:dyDescent="0.2">
      <c r="A250" s="2">
        <v>44287</v>
      </c>
      <c r="B250" s="4">
        <v>1796</v>
      </c>
      <c r="C250" s="5" t="s">
        <v>33</v>
      </c>
      <c r="D250" s="5">
        <f>$I$6*B249+(1-$I$6)*D249</f>
        <v>1866.8021822495948</v>
      </c>
      <c r="E250" s="5">
        <f t="shared" si="6"/>
        <v>-70.802182249594807</v>
      </c>
      <c r="F250" s="5">
        <f t="shared" si="7"/>
        <v>5012.9490113048378</v>
      </c>
    </row>
    <row r="251" spans="1:6" x14ac:dyDescent="0.2">
      <c r="A251" s="2">
        <v>44317</v>
      </c>
      <c r="B251" s="4">
        <v>1722</v>
      </c>
      <c r="C251" s="5" t="s">
        <v>33</v>
      </c>
      <c r="D251" s="5">
        <f>$I$6*B250+(1-$I$6)*D250</f>
        <v>1843.9370479612844</v>
      </c>
      <c r="E251" s="5">
        <f t="shared" si="6"/>
        <v>-121.93704796128441</v>
      </c>
      <c r="F251" s="5">
        <f t="shared" si="7"/>
        <v>14868.643665512574</v>
      </c>
    </row>
    <row r="252" spans="1:6" x14ac:dyDescent="0.2">
      <c r="A252" s="2">
        <v>44348</v>
      </c>
      <c r="B252" s="4">
        <v>1702</v>
      </c>
      <c r="C252" s="5" t="s">
        <v>33</v>
      </c>
      <c r="D252" s="5">
        <f>$I$6*B251+(1-$I$6)*D251</f>
        <v>1804.5582196855371</v>
      </c>
      <c r="E252" s="5">
        <f t="shared" si="6"/>
        <v>-102.5582196855371</v>
      </c>
      <c r="F252" s="5">
        <f t="shared" si="7"/>
        <v>10518.188425066888</v>
      </c>
    </row>
    <row r="253" spans="1:6" x14ac:dyDescent="0.2">
      <c r="A253" s="2">
        <v>44378</v>
      </c>
      <c r="B253" s="4">
        <v>1829</v>
      </c>
      <c r="C253" s="5" t="s">
        <v>33</v>
      </c>
      <c r="D253" s="5">
        <f>$I$6*B252+(1-$I$6)*D252</f>
        <v>1771.4376661803763</v>
      </c>
      <c r="E253" s="5">
        <f t="shared" si="6"/>
        <v>57.562333819623746</v>
      </c>
      <c r="F253" s="5">
        <f t="shared" si="7"/>
        <v>3313.4222747617996</v>
      </c>
    </row>
    <row r="254" spans="1:6" x14ac:dyDescent="0.2">
      <c r="A254" s="2">
        <v>44409</v>
      </c>
      <c r="B254" s="3">
        <v>1687</v>
      </c>
      <c r="C254" s="5" t="s">
        <v>33</v>
      </c>
      <c r="D254" s="5">
        <f>$I$6*B253+(1-$I$6)*D253</f>
        <v>1790.0270719149971</v>
      </c>
      <c r="E254" s="5">
        <f t="shared" si="6"/>
        <v>-103.02707191499712</v>
      </c>
      <c r="F254" s="5">
        <f t="shared" si="7"/>
        <v>10614.577547377989</v>
      </c>
    </row>
    <row r="255" spans="1:6" x14ac:dyDescent="0.2">
      <c r="A255" s="2">
        <v>44440</v>
      </c>
      <c r="B255" s="3">
        <v>1668</v>
      </c>
      <c r="C255" s="5" t="s">
        <v>33</v>
      </c>
      <c r="D255" s="5">
        <f>$I$6*B254+(1-$I$6)*D254</f>
        <v>1756.7551054328999</v>
      </c>
      <c r="E255" s="5">
        <f t="shared" si="6"/>
        <v>-88.755105432899882</v>
      </c>
      <c r="F255" s="5">
        <f t="shared" si="7"/>
        <v>7877.4687404051738</v>
      </c>
    </row>
    <row r="256" spans="1:6" x14ac:dyDescent="0.2">
      <c r="A256" s="2">
        <v>44470</v>
      </c>
      <c r="B256" s="3">
        <v>2009</v>
      </c>
      <c r="C256" s="5" t="s">
        <v>33</v>
      </c>
      <c r="D256" s="5">
        <f>$I$6*B255+(1-$I$6)*D255</f>
        <v>1728.0921837542669</v>
      </c>
      <c r="E256" s="5">
        <f t="shared" si="6"/>
        <v>280.9078162457331</v>
      </c>
      <c r="F256" s="5">
        <f t="shared" si="7"/>
        <v>78909.201227946556</v>
      </c>
    </row>
    <row r="257" spans="1:6" x14ac:dyDescent="0.2">
      <c r="A257" s="2">
        <v>44501</v>
      </c>
      <c r="B257" s="3">
        <v>1774</v>
      </c>
      <c r="C257" s="5" t="s">
        <v>33</v>
      </c>
      <c r="D257" s="5">
        <f>$I$6*B256+(1-$I$6)*D256</f>
        <v>1818.8096551233302</v>
      </c>
      <c r="E257" s="5">
        <f t="shared" si="6"/>
        <v>-44.809655123330231</v>
      </c>
      <c r="F257" s="5">
        <f t="shared" si="7"/>
        <v>2007.9051922717952</v>
      </c>
    </row>
    <row r="258" spans="1:6" x14ac:dyDescent="0.2">
      <c r="A258" s="2">
        <v>44531</v>
      </c>
      <c r="B258" s="3">
        <v>1863</v>
      </c>
      <c r="C258" s="5" t="s">
        <v>33</v>
      </c>
      <c r="D258" s="5">
        <f>$I$6*B257+(1-$I$6)*D257</f>
        <v>1804.3386494388451</v>
      </c>
      <c r="E258" s="5">
        <f t="shared" si="6"/>
        <v>58.661350561154904</v>
      </c>
      <c r="F258" s="5">
        <f t="shared" si="7"/>
        <v>3441.154049658709</v>
      </c>
    </row>
    <row r="259" spans="1:6" x14ac:dyDescent="0.2">
      <c r="A259" s="2">
        <v>44562</v>
      </c>
      <c r="B259" s="3">
        <v>1758</v>
      </c>
      <c r="C259" s="5" t="s">
        <v>33</v>
      </c>
      <c r="D259" s="5">
        <f>$I$6*B258+(1-$I$6)*D258</f>
        <v>1823.282975948247</v>
      </c>
      <c r="E259" s="5">
        <f t="shared" si="6"/>
        <v>-65.282975948246985</v>
      </c>
      <c r="F259" s="5">
        <f t="shared" si="7"/>
        <v>4261.8669486593944</v>
      </c>
    </row>
    <row r="260" spans="1:6" x14ac:dyDescent="0.2">
      <c r="A260" s="2">
        <v>44593</v>
      </c>
      <c r="B260" s="3">
        <v>1717</v>
      </c>
      <c r="C260" s="5" t="s">
        <v>33</v>
      </c>
      <c r="D260" s="5">
        <f>$I$6*B259+(1-$I$6)*D259</f>
        <v>1802.2002357788117</v>
      </c>
      <c r="E260" s="5">
        <f t="shared" ref="E260:E276" si="8">B260-D260</f>
        <v>-85.200235778811702</v>
      </c>
      <c r="F260" s="5">
        <f t="shared" ref="F260:F276" si="9">E260^2</f>
        <v>7259.0801767651055</v>
      </c>
    </row>
    <row r="261" spans="1:6" x14ac:dyDescent="0.2">
      <c r="A261" s="2">
        <v>44621</v>
      </c>
      <c r="B261" s="3">
        <v>1823</v>
      </c>
      <c r="C261" s="5" t="s">
        <v>33</v>
      </c>
      <c r="D261" s="5">
        <f>$I$6*B260+(1-$I$6)*D260</f>
        <v>1774.6853376417644</v>
      </c>
      <c r="E261" s="5">
        <f t="shared" si="8"/>
        <v>48.314662358235637</v>
      </c>
      <c r="F261" s="5">
        <f t="shared" si="9"/>
        <v>2334.3065987903115</v>
      </c>
    </row>
    <row r="262" spans="1:6" x14ac:dyDescent="0.2">
      <c r="A262" s="2">
        <v>44652</v>
      </c>
      <c r="B262" s="3">
        <v>1746</v>
      </c>
      <c r="C262" s="5" t="s">
        <v>33</v>
      </c>
      <c r="D262" s="5">
        <f>$I$6*B261+(1-$I$6)*D261</f>
        <v>1790.2882641027177</v>
      </c>
      <c r="E262" s="5">
        <f t="shared" si="8"/>
        <v>-44.288264102717676</v>
      </c>
      <c r="F262" s="5">
        <f t="shared" si="9"/>
        <v>1961.4503372320712</v>
      </c>
    </row>
    <row r="263" spans="1:6" x14ac:dyDescent="0.2">
      <c r="A263" s="2">
        <v>44682</v>
      </c>
      <c r="B263" s="3">
        <v>1857</v>
      </c>
      <c r="C263" s="5" t="s">
        <v>33</v>
      </c>
      <c r="D263" s="5">
        <f>$I$6*B262+(1-$I$6)*D262</f>
        <v>1775.9856384783416</v>
      </c>
      <c r="E263" s="5">
        <f t="shared" si="8"/>
        <v>81.014361521658429</v>
      </c>
      <c r="F263" s="5">
        <f t="shared" si="9"/>
        <v>6563.3267727619696</v>
      </c>
    </row>
    <row r="264" spans="1:6" x14ac:dyDescent="0.2">
      <c r="A264" s="2">
        <v>44713</v>
      </c>
      <c r="B264" s="3">
        <v>1803</v>
      </c>
      <c r="C264" s="5" t="s">
        <v>33</v>
      </c>
      <c r="D264" s="5">
        <f>$I$6*B263+(1-$I$6)*D263</f>
        <v>1802.1487339736796</v>
      </c>
      <c r="E264" s="5">
        <f t="shared" si="8"/>
        <v>0.85126602632044523</v>
      </c>
      <c r="F264" s="5">
        <f t="shared" si="9"/>
        <v>0.72465384756740092</v>
      </c>
    </row>
    <row r="265" spans="1:6" x14ac:dyDescent="0.2">
      <c r="A265" s="2">
        <v>44743</v>
      </c>
      <c r="B265" s="3">
        <v>1777</v>
      </c>
      <c r="C265" s="5" t="s">
        <v>33</v>
      </c>
      <c r="D265" s="5">
        <f>$I$6*B264+(1-$I$6)*D264</f>
        <v>1802.4236451612794</v>
      </c>
      <c r="E265" s="5">
        <f t="shared" si="8"/>
        <v>-25.42364516127941</v>
      </c>
      <c r="F265" s="5">
        <f t="shared" si="9"/>
        <v>646.36173328664597</v>
      </c>
    </row>
    <row r="266" spans="1:6" x14ac:dyDescent="0.2">
      <c r="A266" s="2">
        <v>44774</v>
      </c>
      <c r="B266" s="3">
        <v>1690</v>
      </c>
      <c r="C266" s="5" t="s">
        <v>33</v>
      </c>
      <c r="D266" s="5">
        <f>$I$6*B265+(1-$I$6)*D265</f>
        <v>1794.2132335293081</v>
      </c>
      <c r="E266" s="5">
        <f t="shared" si="8"/>
        <v>-104.21323352930813</v>
      </c>
      <c r="F266" s="5">
        <f t="shared" si="9"/>
        <v>10860.398042634111</v>
      </c>
    </row>
    <row r="267" spans="1:6" x14ac:dyDescent="0.2">
      <c r="A267" s="2">
        <v>44805</v>
      </c>
      <c r="B267" s="3">
        <v>1686</v>
      </c>
      <c r="C267" s="5" t="s">
        <v>33</v>
      </c>
      <c r="D267" s="14">
        <f>$I$6*B266+(1-$I$6)*D266</f>
        <v>1760.5582033655967</v>
      </c>
      <c r="E267" s="14">
        <f t="shared" si="8"/>
        <v>-74.558203365596682</v>
      </c>
      <c r="F267" s="14">
        <f t="shared" si="9"/>
        <v>5558.9256891056721</v>
      </c>
    </row>
    <row r="268" spans="1:6" x14ac:dyDescent="0.2">
      <c r="A268" s="2">
        <v>44835</v>
      </c>
      <c r="B268" s="3">
        <v>1956</v>
      </c>
      <c r="C268" s="5" t="s">
        <v>33</v>
      </c>
      <c r="D268" s="14">
        <f t="shared" ref="D268:D270" si="10">$I$6*B267+(1-$I$6)*D267</f>
        <v>1736.4800848940536</v>
      </c>
      <c r="E268" s="14">
        <f t="shared" si="8"/>
        <v>219.51991510594644</v>
      </c>
      <c r="F268" s="14">
        <f t="shared" si="9"/>
        <v>48188.993128121932</v>
      </c>
    </row>
    <row r="269" spans="1:6" x14ac:dyDescent="0.2">
      <c r="A269" s="2">
        <v>44866</v>
      </c>
      <c r="B269" s="3">
        <v>1807</v>
      </c>
      <c r="C269" s="5" t="s">
        <v>33</v>
      </c>
      <c r="D269" s="14">
        <f>$I$6*B268+(1-$I$6)*D268</f>
        <v>1807.3727068214628</v>
      </c>
      <c r="E269" s="14">
        <f t="shared" si="8"/>
        <v>-0.37270682146277068</v>
      </c>
      <c r="F269" s="14">
        <f t="shared" si="9"/>
        <v>0.13891037476488161</v>
      </c>
    </row>
    <row r="270" spans="1:6" x14ac:dyDescent="0.2">
      <c r="A270" s="2">
        <v>44896</v>
      </c>
      <c r="B270" s="3">
        <v>1949</v>
      </c>
      <c r="C270" s="5" t="s">
        <v>33</v>
      </c>
      <c r="D270" s="14">
        <f>$I$6*B269+(1-$I$6)*D269</f>
        <v>1807.2523434194866</v>
      </c>
      <c r="E270" s="14">
        <f t="shared" si="8"/>
        <v>141.74765658051342</v>
      </c>
      <c r="F270" s="14">
        <f t="shared" si="9"/>
        <v>20092.398146067171</v>
      </c>
    </row>
    <row r="271" spans="1:6" x14ac:dyDescent="0.2">
      <c r="A271" s="2">
        <v>44927</v>
      </c>
      <c r="B271" s="3">
        <v>1833</v>
      </c>
      <c r="C271" s="5" t="s">
        <v>34</v>
      </c>
      <c r="D271" s="14">
        <f>$I$6*B270+(1-$I$6)*D270</f>
        <v>1853.0288873025722</v>
      </c>
      <c r="E271" s="14">
        <f t="shared" si="8"/>
        <v>-20.02888730257223</v>
      </c>
      <c r="F271" s="14">
        <f t="shared" si="9"/>
        <v>401.15632657913909</v>
      </c>
    </row>
    <row r="272" spans="1:6" x14ac:dyDescent="0.2">
      <c r="A272" s="2">
        <v>44958</v>
      </c>
      <c r="B272" s="3">
        <v>1813</v>
      </c>
      <c r="C272" s="5" t="s">
        <v>34</v>
      </c>
      <c r="D272" s="14">
        <f>$I$6*D271+(1-$I$6)*D271</f>
        <v>1853.0288873025725</v>
      </c>
      <c r="E272" s="14">
        <f t="shared" si="8"/>
        <v>-40.028887302572457</v>
      </c>
      <c r="F272" s="14">
        <f t="shared" si="9"/>
        <v>1602.3118186820466</v>
      </c>
    </row>
    <row r="273" spans="1:6" x14ac:dyDescent="0.2">
      <c r="A273" s="2">
        <v>44986</v>
      </c>
      <c r="B273" s="3">
        <v>1886</v>
      </c>
      <c r="C273" s="5" t="s">
        <v>34</v>
      </c>
      <c r="D273" s="14">
        <f t="shared" ref="D272:D276" si="11">$I$6*D272+(1-$I$6)*D272</f>
        <v>1853.0288873025725</v>
      </c>
      <c r="E273" s="14">
        <f t="shared" si="8"/>
        <v>32.971112697427543</v>
      </c>
      <c r="F273" s="14">
        <f t="shared" si="9"/>
        <v>1087.0942725064679</v>
      </c>
    </row>
    <row r="274" spans="1:6" x14ac:dyDescent="0.2">
      <c r="A274" s="2">
        <v>45017</v>
      </c>
      <c r="B274" s="3">
        <v>1805</v>
      </c>
      <c r="C274" s="5" t="s">
        <v>34</v>
      </c>
      <c r="D274" s="14">
        <f t="shared" si="11"/>
        <v>1853.0288873025725</v>
      </c>
      <c r="E274" s="14">
        <f t="shared" si="8"/>
        <v>-48.028887302572457</v>
      </c>
      <c r="F274" s="14">
        <f t="shared" si="9"/>
        <v>2306.7740155232059</v>
      </c>
    </row>
    <row r="275" spans="1:6" x14ac:dyDescent="0.2">
      <c r="A275" s="2">
        <v>45047</v>
      </c>
      <c r="B275" s="3">
        <v>1931</v>
      </c>
      <c r="C275" s="5" t="s">
        <v>34</v>
      </c>
      <c r="D275" s="14">
        <f t="shared" si="11"/>
        <v>1853.0288873025725</v>
      </c>
      <c r="E275" s="14">
        <f t="shared" si="8"/>
        <v>77.971112697427543</v>
      </c>
      <c r="F275" s="14">
        <f t="shared" si="9"/>
        <v>6079.4944152749467</v>
      </c>
    </row>
    <row r="276" spans="1:6" x14ac:dyDescent="0.2">
      <c r="A276" s="2">
        <v>45078</v>
      </c>
      <c r="B276" s="3">
        <v>1822</v>
      </c>
      <c r="C276" s="5" t="s">
        <v>34</v>
      </c>
      <c r="D276" s="14">
        <f t="shared" si="11"/>
        <v>1853.0288873025725</v>
      </c>
      <c r="E276" s="14">
        <f t="shared" si="8"/>
        <v>-31.028887302572457</v>
      </c>
      <c r="F276" s="14">
        <f t="shared" si="9"/>
        <v>962.79184723574224</v>
      </c>
    </row>
  </sheetData>
  <mergeCells count="1">
    <mergeCell ref="I12:J1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6"/>
  <sheetViews>
    <sheetView showGridLines="0" zoomScale="130" zoomScaleNormal="130" workbookViewId="0">
      <pane ySplit="1" topLeftCell="A2" activePane="bottomLeft" state="frozen"/>
      <selection pane="bottomLeft" activeCell="J19" sqref="J19"/>
    </sheetView>
  </sheetViews>
  <sheetFormatPr baseColWidth="10" defaultRowHeight="15" x14ac:dyDescent="0.2"/>
  <cols>
    <col min="1" max="3" width="10.83203125" style="6"/>
    <col min="4" max="4" width="11.6640625" style="6" bestFit="1" customWidth="1"/>
    <col min="5" max="5" width="13.1640625" style="6" bestFit="1" customWidth="1"/>
    <col min="6" max="6" width="12.6640625" style="6" bestFit="1" customWidth="1"/>
    <col min="7" max="7" width="11.6640625" style="6" bestFit="1" customWidth="1"/>
    <col min="8" max="8" width="11.1640625" style="6" bestFit="1" customWidth="1"/>
    <col min="9" max="9" width="12.6640625" style="6" bestFit="1" customWidth="1"/>
    <col min="10" max="10" width="10.83203125" style="6"/>
    <col min="11" max="11" width="11.6640625" style="6" bestFit="1" customWidth="1"/>
    <col min="12" max="13" width="10.83203125" style="6"/>
    <col min="14" max="14" width="3" style="6" customWidth="1"/>
    <col min="15" max="15" width="13" style="6" bestFit="1" customWidth="1"/>
    <col min="16" max="16384" width="10.83203125" style="6"/>
  </cols>
  <sheetData>
    <row r="1" spans="1:15" x14ac:dyDescent="0.2">
      <c r="A1" s="1" t="s">
        <v>1</v>
      </c>
      <c r="B1" s="1" t="s">
        <v>0</v>
      </c>
      <c r="C1" s="17" t="s">
        <v>6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12</v>
      </c>
      <c r="I1" s="1" t="s">
        <v>13</v>
      </c>
    </row>
    <row r="2" spans="1:15" x14ac:dyDescent="0.2">
      <c r="A2" s="2">
        <v>36739</v>
      </c>
      <c r="B2" s="3">
        <v>1049</v>
      </c>
      <c r="C2" s="7" t="s">
        <v>33</v>
      </c>
      <c r="D2" s="9"/>
      <c r="E2" s="9"/>
      <c r="F2" s="15">
        <f t="shared" ref="F2:F13" si="0">B2/$D$13</f>
        <v>1.0249979643351519</v>
      </c>
      <c r="G2" s="9"/>
      <c r="H2" s="9"/>
      <c r="I2" s="9"/>
    </row>
    <row r="3" spans="1:15" x14ac:dyDescent="0.2">
      <c r="A3" s="2">
        <v>36770</v>
      </c>
      <c r="B3" s="3">
        <v>1026</v>
      </c>
      <c r="C3" s="7" t="s">
        <v>33</v>
      </c>
      <c r="D3" s="9"/>
      <c r="E3" s="9"/>
      <c r="F3" s="15">
        <f t="shared" si="0"/>
        <v>1.002524224411693</v>
      </c>
      <c r="G3" s="9"/>
      <c r="H3" s="9"/>
      <c r="I3" s="9"/>
      <c r="K3" s="9" t="s">
        <v>9</v>
      </c>
      <c r="L3" s="9" t="s">
        <v>8</v>
      </c>
      <c r="M3" s="18">
        <v>0.40204701226250977</v>
      </c>
    </row>
    <row r="4" spans="1:15" x14ac:dyDescent="0.2">
      <c r="A4" s="2">
        <v>36800</v>
      </c>
      <c r="B4" s="3">
        <v>1074</v>
      </c>
      <c r="C4" s="7" t="s">
        <v>33</v>
      </c>
      <c r="D4" s="9"/>
      <c r="E4" s="9"/>
      <c r="F4" s="15">
        <f t="shared" si="0"/>
        <v>1.0494259425128247</v>
      </c>
      <c r="G4" s="9"/>
      <c r="H4" s="9"/>
      <c r="I4" s="9"/>
      <c r="K4" s="9" t="s">
        <v>10</v>
      </c>
      <c r="L4" s="9" t="s">
        <v>14</v>
      </c>
      <c r="M4" s="18">
        <v>7.6794120831257104E-3</v>
      </c>
    </row>
    <row r="5" spans="1:15" x14ac:dyDescent="0.2">
      <c r="A5" s="2">
        <v>36831</v>
      </c>
      <c r="B5" s="3">
        <v>1031</v>
      </c>
      <c r="C5" s="7" t="s">
        <v>33</v>
      </c>
      <c r="D5" s="9"/>
      <c r="E5" s="9"/>
      <c r="F5" s="15">
        <f t="shared" si="0"/>
        <v>1.0074098200472275</v>
      </c>
      <c r="G5" s="9"/>
      <c r="H5" s="9"/>
      <c r="I5" s="9"/>
      <c r="K5" s="9" t="s">
        <v>20</v>
      </c>
      <c r="L5" s="9" t="s">
        <v>15</v>
      </c>
      <c r="M5" s="18">
        <v>0.39916676248173133</v>
      </c>
    </row>
    <row r="6" spans="1:15" x14ac:dyDescent="0.2">
      <c r="A6" s="2">
        <v>36861</v>
      </c>
      <c r="B6" s="3">
        <v>1047</v>
      </c>
      <c r="C6" s="7" t="s">
        <v>33</v>
      </c>
      <c r="D6" s="9"/>
      <c r="E6" s="9"/>
      <c r="F6" s="15">
        <f t="shared" si="0"/>
        <v>1.023043726080938</v>
      </c>
      <c r="G6" s="9"/>
      <c r="H6" s="9"/>
      <c r="I6" s="9"/>
    </row>
    <row r="7" spans="1:15" x14ac:dyDescent="0.2">
      <c r="A7" s="2">
        <v>36892</v>
      </c>
      <c r="B7" s="3">
        <v>986</v>
      </c>
      <c r="C7" s="7" t="s">
        <v>33</v>
      </c>
      <c r="D7" s="9"/>
      <c r="E7" s="9"/>
      <c r="F7" s="15">
        <f t="shared" si="0"/>
        <v>0.96343945932741637</v>
      </c>
      <c r="G7" s="9"/>
      <c r="H7" s="9"/>
      <c r="I7" s="9"/>
    </row>
    <row r="8" spans="1:15" x14ac:dyDescent="0.2">
      <c r="A8" s="2">
        <v>36923</v>
      </c>
      <c r="B8" s="3">
        <v>1015</v>
      </c>
      <c r="C8" s="7" t="s">
        <v>33</v>
      </c>
      <c r="D8" s="9"/>
      <c r="E8" s="9"/>
      <c r="F8" s="15">
        <f t="shared" si="0"/>
        <v>0.99177591401351683</v>
      </c>
      <c r="G8" s="9"/>
      <c r="H8" s="9"/>
      <c r="I8" s="9"/>
      <c r="K8" s="8"/>
      <c r="L8" s="8" t="s">
        <v>42</v>
      </c>
      <c r="M8" s="8" t="s">
        <v>37</v>
      </c>
    </row>
    <row r="9" spans="1:15" x14ac:dyDescent="0.2">
      <c r="A9" s="2">
        <v>36951</v>
      </c>
      <c r="B9" s="3">
        <v>1021</v>
      </c>
      <c r="C9" s="7" t="s">
        <v>33</v>
      </c>
      <c r="D9" s="9"/>
      <c r="E9" s="9"/>
      <c r="F9" s="15">
        <f t="shared" si="0"/>
        <v>0.99763862877615828</v>
      </c>
      <c r="G9" s="9"/>
      <c r="H9" s="9"/>
      <c r="I9" s="9"/>
      <c r="K9" s="21" t="s">
        <v>35</v>
      </c>
      <c r="L9" s="20">
        <f>SQRT(AVERAGE(I14:I267))</f>
        <v>45.568682758079021</v>
      </c>
      <c r="M9" s="20">
        <f>L9*1000</f>
        <v>45568.68275807902</v>
      </c>
    </row>
    <row r="10" spans="1:15" x14ac:dyDescent="0.2">
      <c r="A10" s="2">
        <v>36982</v>
      </c>
      <c r="B10" s="3">
        <v>958</v>
      </c>
      <c r="C10" s="7" t="s">
        <v>33</v>
      </c>
      <c r="D10" s="9"/>
      <c r="E10" s="9"/>
      <c r="F10" s="15">
        <f t="shared" si="0"/>
        <v>0.93608012376842276</v>
      </c>
      <c r="G10" s="9"/>
      <c r="H10" s="9"/>
      <c r="I10" s="9"/>
      <c r="K10" s="21" t="s">
        <v>34</v>
      </c>
      <c r="L10" s="20">
        <f>SQRT(AVERAGE(I268:I276))</f>
        <v>57.912276159283813</v>
      </c>
      <c r="M10" s="20">
        <f>L10*1000</f>
        <v>57912.276159283814</v>
      </c>
    </row>
    <row r="11" spans="1:15" x14ac:dyDescent="0.2">
      <c r="A11" s="2">
        <v>37012</v>
      </c>
      <c r="B11" s="3">
        <v>1041</v>
      </c>
      <c r="C11" s="7" t="s">
        <v>33</v>
      </c>
      <c r="D11" s="9"/>
      <c r="E11" s="9"/>
      <c r="F11" s="15">
        <f t="shared" si="0"/>
        <v>1.0171810113182966</v>
      </c>
      <c r="G11" s="9"/>
      <c r="H11" s="9"/>
      <c r="I11" s="9"/>
    </row>
    <row r="12" spans="1:15" x14ac:dyDescent="0.2">
      <c r="A12" s="2">
        <v>37043</v>
      </c>
      <c r="B12" s="3">
        <v>999</v>
      </c>
      <c r="C12" s="7" t="s">
        <v>33</v>
      </c>
      <c r="D12" s="9"/>
      <c r="E12" s="9"/>
      <c r="F12" s="15">
        <f t="shared" si="0"/>
        <v>0.97614200797980621</v>
      </c>
      <c r="G12" s="9"/>
      <c r="H12" s="9"/>
      <c r="I12" s="9"/>
      <c r="K12" s="9"/>
      <c r="L12" s="11" t="s">
        <v>38</v>
      </c>
      <c r="M12" s="11"/>
      <c r="O12" s="8" t="s">
        <v>39</v>
      </c>
    </row>
    <row r="13" spans="1:15" x14ac:dyDescent="0.2">
      <c r="A13" s="2">
        <v>37073</v>
      </c>
      <c r="B13" s="3">
        <v>1034</v>
      </c>
      <c r="C13" s="7" t="s">
        <v>33</v>
      </c>
      <c r="D13" s="5">
        <f>+AVERAGE(B2:B13)</f>
        <v>1023.4166666666666</v>
      </c>
      <c r="E13" s="15">
        <v>0</v>
      </c>
      <c r="F13" s="15">
        <f t="shared" si="0"/>
        <v>1.0103411774285482</v>
      </c>
      <c r="G13" s="9"/>
      <c r="H13" s="9"/>
      <c r="I13" s="9"/>
      <c r="K13" s="9" t="s">
        <v>35</v>
      </c>
      <c r="L13" s="10">
        <f>AVERAGE(B2:B276)</f>
        <v>1407.8909090909092</v>
      </c>
      <c r="M13" s="10">
        <f>L13*1000</f>
        <v>1407890.9090909092</v>
      </c>
      <c r="O13" s="19">
        <f>M9/M13</f>
        <v>3.2366629022061964E-2</v>
      </c>
    </row>
    <row r="14" spans="1:15" x14ac:dyDescent="0.2">
      <c r="A14" s="2">
        <v>37104</v>
      </c>
      <c r="B14" s="3">
        <v>959</v>
      </c>
      <c r="C14" s="7" t="s">
        <v>33</v>
      </c>
      <c r="D14" s="16">
        <f>+$M$3*(B14/F2)+(1-$M$3)*(D13+E13)</f>
        <v>988.11490767527573</v>
      </c>
      <c r="E14" s="15">
        <f>+$M$4*(D14-D13)+(1-$M$4)*E13</f>
        <v>-0.27109675455407894</v>
      </c>
      <c r="F14" s="15">
        <f>+$M$5*(B14/D14)+(1-$M$5)*F2</f>
        <v>1.0032581180136648</v>
      </c>
      <c r="G14" s="16">
        <f>+(D13+E13)*F2</f>
        <v>1049</v>
      </c>
      <c r="H14" s="16">
        <f t="shared" ref="H14:H77" si="1">+B14-G14</f>
        <v>-90</v>
      </c>
      <c r="I14" s="16">
        <f>+H14^2</f>
        <v>8100</v>
      </c>
      <c r="K14" s="9" t="s">
        <v>34</v>
      </c>
      <c r="L14" s="10">
        <f>AVERAGE(B271:B276)</f>
        <v>1848.3333333333333</v>
      </c>
      <c r="M14" s="10">
        <f>L14*1000</f>
        <v>1848333.3333333333</v>
      </c>
      <c r="O14" s="19">
        <f>M10/M14</f>
        <v>3.1332160230451121E-2</v>
      </c>
    </row>
    <row r="15" spans="1:15" x14ac:dyDescent="0.2">
      <c r="A15" s="2">
        <v>37135</v>
      </c>
      <c r="B15" s="3">
        <v>920</v>
      </c>
      <c r="C15" s="7" t="s">
        <v>33</v>
      </c>
      <c r="D15" s="16">
        <f>+$M$3*(B15/F3)+(1-$M$3)*(D14+E14)</f>
        <v>959.63609196149491</v>
      </c>
      <c r="E15" s="15">
        <f>+$M$4*(D15-D14)+(1-$M$4)*E14</f>
        <v>-0.487715452366979</v>
      </c>
      <c r="F15" s="15">
        <f>+$M$5*(B15/D15)+(1-$M$5)*F3</f>
        <v>0.9850297522839242</v>
      </c>
      <c r="G15" s="16">
        <f t="shared" ref="G15:G78" si="2">+(D14+E14)*F3</f>
        <v>990.33735038318764</v>
      </c>
      <c r="H15" s="16">
        <f t="shared" si="1"/>
        <v>-70.337350383187641</v>
      </c>
      <c r="I15" s="16">
        <f t="shared" ref="I15:I78" si="3">+H15^2</f>
        <v>4947.3428589273062</v>
      </c>
    </row>
    <row r="16" spans="1:15" x14ac:dyDescent="0.2">
      <c r="A16" s="2">
        <v>37165</v>
      </c>
      <c r="B16" s="3">
        <v>1019</v>
      </c>
      <c r="C16" s="7" t="s">
        <v>33</v>
      </c>
      <c r="D16" s="16">
        <f>+$M$3*(B16/F4)+(1-$M$3)*(D15+E15)</f>
        <v>963.91612511041512</v>
      </c>
      <c r="E16" s="15">
        <f>+$M$4*(D16-D15)+(1-$M$4)*E15</f>
        <v>-0.45110194614894844</v>
      </c>
      <c r="F16" s="15">
        <f>+$M$5*(B16/D16)+(1-$M$5)*F4</f>
        <v>1.052507501395503</v>
      </c>
      <c r="G16" s="16">
        <f t="shared" si="2"/>
        <v>1006.5551890277372</v>
      </c>
      <c r="H16" s="16">
        <f t="shared" si="1"/>
        <v>12.444810972262758</v>
      </c>
      <c r="I16" s="16">
        <f t="shared" si="3"/>
        <v>154.87332013535152</v>
      </c>
    </row>
    <row r="17" spans="1:9" x14ac:dyDescent="0.2">
      <c r="A17" s="2">
        <v>37196</v>
      </c>
      <c r="B17" s="3">
        <v>1056</v>
      </c>
      <c r="C17" s="7" t="s">
        <v>33</v>
      </c>
      <c r="D17" s="16">
        <f>+$M$3*(B17/F5)+(1-$M$3)*(D16+E16)</f>
        <v>997.5456480259088</v>
      </c>
      <c r="E17" s="15">
        <f>+$M$4*(D17-D16)+(1-$M$4)*E16</f>
        <v>-0.18938278378597551</v>
      </c>
      <c r="F17" s="15">
        <f>+$M$5*(B17/D17)+(1-$M$5)*F5</f>
        <v>1.0278425089783545</v>
      </c>
      <c r="G17" s="16">
        <f t="shared" si="2"/>
        <v>970.60412560771124</v>
      </c>
      <c r="H17" s="16">
        <f t="shared" si="1"/>
        <v>85.395874392288761</v>
      </c>
      <c r="I17" s="16">
        <f t="shared" si="3"/>
        <v>7292.4553632235593</v>
      </c>
    </row>
    <row r="18" spans="1:9" x14ac:dyDescent="0.2">
      <c r="A18" s="2">
        <v>37226</v>
      </c>
      <c r="B18" s="3">
        <v>1057</v>
      </c>
      <c r="C18" s="7" t="s">
        <v>33</v>
      </c>
      <c r="D18" s="16">
        <f>+$M$3*(B18/F6)+(1-$M$3)*(D17+E17)</f>
        <v>1011.7636821183322</v>
      </c>
      <c r="E18" s="15">
        <f>+$M$4*(D18-D17)+(1-$M$4)*E17</f>
        <v>-7.8742292540183875E-2</v>
      </c>
      <c r="F18" s="15">
        <f>+$M$5*(B18/D18)+(1-$M$5)*F6</f>
        <v>1.0316923259671587</v>
      </c>
      <c r="G18" s="16">
        <f t="shared" si="2"/>
        <v>1020.3390698234697</v>
      </c>
      <c r="H18" s="16">
        <f t="shared" si="1"/>
        <v>36.660930176530314</v>
      </c>
      <c r="I18" s="16">
        <f t="shared" si="3"/>
        <v>1344.0238014084309</v>
      </c>
    </row>
    <row r="19" spans="1:9" x14ac:dyDescent="0.2">
      <c r="A19" s="2">
        <v>37257</v>
      </c>
      <c r="B19" s="3">
        <v>1017</v>
      </c>
      <c r="C19" s="7" t="s">
        <v>33</v>
      </c>
      <c r="D19" s="16">
        <f>+$M$3*(B19/F7)+(1-$M$3)*(D18+E18)</f>
        <v>1029.3380654363657</v>
      </c>
      <c r="E19" s="15">
        <f>+$M$4*(D19-D18)+(1-$M$4)*E18</f>
        <v>5.682333357859147E-2</v>
      </c>
      <c r="F19" s="15">
        <f>+$M$5*(B19/D19)+(1-$M$5)*F7</f>
        <v>0.97324863653432847</v>
      </c>
      <c r="G19" s="16">
        <f t="shared" si="2"/>
        <v>974.69719143545092</v>
      </c>
      <c r="H19" s="16">
        <f t="shared" si="1"/>
        <v>42.302808564549082</v>
      </c>
      <c r="I19" s="16">
        <f t="shared" si="3"/>
        <v>1789.5276124488871</v>
      </c>
    </row>
    <row r="20" spans="1:9" x14ac:dyDescent="0.2">
      <c r="A20" s="2">
        <v>37288</v>
      </c>
      <c r="B20" s="3">
        <v>1096</v>
      </c>
      <c r="C20" s="7" t="s">
        <v>33</v>
      </c>
      <c r="D20" s="16">
        <f>+$M$3*(B20/F8)+(1-$M$3)*(D19+E19)</f>
        <v>1059.8272153053915</v>
      </c>
      <c r="E20" s="15">
        <f>+$M$4*(D20-D19)+(1-$M$4)*E19</f>
        <v>0.29052570969253211</v>
      </c>
      <c r="F20" s="15">
        <f>+$M$5*(B20/D20)+(1-$M$5)*F8</f>
        <v>1.0086825895239557</v>
      </c>
      <c r="G20" s="16">
        <f t="shared" si="2"/>
        <v>1020.9290566906541</v>
      </c>
      <c r="H20" s="16">
        <f t="shared" si="1"/>
        <v>75.070943309345921</v>
      </c>
      <c r="I20" s="16">
        <f t="shared" si="3"/>
        <v>5635.6465293550291</v>
      </c>
    </row>
    <row r="21" spans="1:9" x14ac:dyDescent="0.2">
      <c r="A21" s="2">
        <v>37316</v>
      </c>
      <c r="B21" s="3">
        <v>1052</v>
      </c>
      <c r="C21" s="7" t="s">
        <v>33</v>
      </c>
      <c r="D21" s="16">
        <f>+$M$3*(B21/F9)+(1-$M$3)*(D20+E20)</f>
        <v>1057.8551416178818</v>
      </c>
      <c r="E21" s="15">
        <f>+$M$4*(D21-D20)+(1-$M$4)*E20</f>
        <v>0.27315027654238438</v>
      </c>
      <c r="F21" s="15">
        <f>+$M$5*(B21/D21)+(1-$M$5)*F9</f>
        <v>0.99637185432614639</v>
      </c>
      <c r="G21" s="16">
        <f t="shared" si="2"/>
        <v>1057.6144094875669</v>
      </c>
      <c r="H21" s="16">
        <f t="shared" si="1"/>
        <v>-5.6144094875669452</v>
      </c>
      <c r="I21" s="16">
        <f t="shared" si="3"/>
        <v>31.521593894081729</v>
      </c>
    </row>
    <row r="22" spans="1:9" x14ac:dyDescent="0.2">
      <c r="A22" s="2">
        <v>37347</v>
      </c>
      <c r="B22" s="3">
        <v>971</v>
      </c>
      <c r="C22" s="7" t="s">
        <v>33</v>
      </c>
      <c r="D22" s="16">
        <f>+$M$3*(B22/F10)+(1-$M$3)*(D21+E21)</f>
        <v>1049.7560950010045</v>
      </c>
      <c r="E22" s="15">
        <f>+$M$4*(D22-D21)+(1-$M$4)*E21</f>
        <v>0.20885672655674947</v>
      </c>
      <c r="F22" s="15">
        <f>+$M$5*(B22/D22)+(1-$M$5)*F10</f>
        <v>0.93164803321558742</v>
      </c>
      <c r="G22" s="16">
        <f t="shared" si="2"/>
        <v>990.4928624394023</v>
      </c>
      <c r="H22" s="16">
        <f t="shared" si="1"/>
        <v>-19.492862439402302</v>
      </c>
      <c r="I22" s="16">
        <f t="shared" si="3"/>
        <v>379.97168608146103</v>
      </c>
    </row>
    <row r="23" spans="1:9" x14ac:dyDescent="0.2">
      <c r="A23" s="2">
        <v>37377</v>
      </c>
      <c r="B23" s="3">
        <v>1033</v>
      </c>
      <c r="C23" s="7" t="s">
        <v>33</v>
      </c>
      <c r="D23" s="16">
        <f>+$M$3*(B23/F11)+(1-$M$3)*(D22+E22)</f>
        <v>1036.1292441379778</v>
      </c>
      <c r="E23" s="15">
        <f>+$M$4*(D23-D22)+(1-$M$4)*E22</f>
        <v>0.10260662651470841</v>
      </c>
      <c r="F23" s="15">
        <f>+$M$5*(B23/D23)+(1-$M$5)*F11</f>
        <v>1.00911738747736</v>
      </c>
      <c r="G23" s="16">
        <f t="shared" si="2"/>
        <v>1068.0044114470074</v>
      </c>
      <c r="H23" s="16">
        <f t="shared" si="1"/>
        <v>-35.004411447007442</v>
      </c>
      <c r="I23" s="16">
        <f t="shared" si="3"/>
        <v>1225.3088207513856</v>
      </c>
    </row>
    <row r="24" spans="1:9" x14ac:dyDescent="0.2">
      <c r="A24" s="2">
        <v>37408</v>
      </c>
      <c r="B24" s="3">
        <v>978</v>
      </c>
      <c r="C24" s="7" t="s">
        <v>33</v>
      </c>
      <c r="D24" s="16">
        <f>+$M$3*(B24/F12)+(1-$M$3)*(D23+E23)</f>
        <v>1022.4302010673558</v>
      </c>
      <c r="E24" s="15">
        <f>+$M$4*(D24-D23)+(1-$M$4)*E23</f>
        <v>-3.3819289365515093E-3</v>
      </c>
      <c r="F24" s="15">
        <f>+$M$5*(B24/D24)+(1-$M$5)*F12</f>
        <v>0.9683193398414528</v>
      </c>
      <c r="G24" s="16">
        <f t="shared" si="2"/>
        <v>1011.5094395378826</v>
      </c>
      <c r="H24" s="16">
        <f t="shared" si="1"/>
        <v>-33.509439537882599</v>
      </c>
      <c r="I24" s="16">
        <f t="shared" si="3"/>
        <v>1122.8825381430097</v>
      </c>
    </row>
    <row r="25" spans="1:9" x14ac:dyDescent="0.2">
      <c r="A25" s="2">
        <v>37438</v>
      </c>
      <c r="B25" s="3">
        <v>983</v>
      </c>
      <c r="C25" s="7" t="s">
        <v>33</v>
      </c>
      <c r="D25" s="16">
        <f>+$M$3*(B25/F13)+(1-$M$3)*(D24+E24)</f>
        <v>1002.5302560724135</v>
      </c>
      <c r="E25" s="15">
        <f>+$M$4*(D25-D24)+(1-$M$4)*E24</f>
        <v>-0.15617583575830882</v>
      </c>
      <c r="F25" s="15">
        <f>+$M$5*(B25/D25)+(1-$M$5)*F13</f>
        <v>0.99843716968671081</v>
      </c>
      <c r="G25" s="16">
        <f t="shared" si="2"/>
        <v>1032.999916282836</v>
      </c>
      <c r="H25" s="16">
        <f t="shared" si="1"/>
        <v>-49.999916282836011</v>
      </c>
      <c r="I25" s="16">
        <f t="shared" si="3"/>
        <v>2499.9916282906097</v>
      </c>
    </row>
    <row r="26" spans="1:9" x14ac:dyDescent="0.2">
      <c r="A26" s="2">
        <v>37469</v>
      </c>
      <c r="B26" s="3">
        <v>906</v>
      </c>
      <c r="C26" s="7" t="s">
        <v>33</v>
      </c>
      <c r="D26" s="16">
        <f>+$M$3*(B26/F14)+(1-$M$3)*(D25+E25)</f>
        <v>962.44423889318944</v>
      </c>
      <c r="E26" s="15">
        <f>+$M$4*(D26-D25)+(1-$M$4)*E25</f>
        <v>-0.46281354184861245</v>
      </c>
      <c r="F26" s="15">
        <f>+$M$5*(B26/D26)+(1-$M$5)*F14</f>
        <v>0.9785477471961963</v>
      </c>
      <c r="G26" s="16">
        <f t="shared" si="2"/>
        <v>1005.639933283905</v>
      </c>
      <c r="H26" s="16">
        <f t="shared" si="1"/>
        <v>-99.639933283904952</v>
      </c>
      <c r="I26" s="16">
        <f t="shared" si="3"/>
        <v>9928.1163048210292</v>
      </c>
    </row>
    <row r="27" spans="1:9" x14ac:dyDescent="0.2">
      <c r="A27" s="2">
        <v>37500</v>
      </c>
      <c r="B27" s="3">
        <v>910</v>
      </c>
      <c r="C27" s="7" t="s">
        <v>33</v>
      </c>
      <c r="D27" s="16">
        <f>+$M$3*(B27/F15)+(1-$M$3)*(D26+E26)</f>
        <v>946.64274406020695</v>
      </c>
      <c r="E27" s="15">
        <f>+$M$4*(D27-D26)+(1-$M$4)*E26</f>
        <v>-0.58060559629496011</v>
      </c>
      <c r="F27" s="15">
        <f>+$M$5*(B27/D27)+(1-$M$5)*F15</f>
        <v>0.97555438977133424</v>
      </c>
      <c r="G27" s="16">
        <f t="shared" si="2"/>
        <v>947.58032511556758</v>
      </c>
      <c r="H27" s="16">
        <f t="shared" si="1"/>
        <v>-37.580325115567575</v>
      </c>
      <c r="I27" s="16">
        <f t="shared" si="3"/>
        <v>1412.280835791759</v>
      </c>
    </row>
    <row r="28" spans="1:9" x14ac:dyDescent="0.2">
      <c r="A28" s="2">
        <v>37530</v>
      </c>
      <c r="B28" s="3">
        <v>1025</v>
      </c>
      <c r="C28" s="7" t="s">
        <v>33</v>
      </c>
      <c r="D28" s="16">
        <f>+$M$3*(B28/F16)+(1-$M$3)*(D27+E27)</f>
        <v>957.24011266171578</v>
      </c>
      <c r="E28" s="15">
        <f>+$M$4*(D28-D27)+(1-$M$4)*E27</f>
        <v>-0.49476532617547825</v>
      </c>
      <c r="F28" s="15">
        <f>+$M$5*(B28/D28)+(1-$M$5)*F16</f>
        <v>1.0598039577024485</v>
      </c>
      <c r="G28" s="16">
        <f t="shared" si="2"/>
        <v>995.73749751953835</v>
      </c>
      <c r="H28" s="16">
        <f t="shared" si="1"/>
        <v>29.262502480461649</v>
      </c>
      <c r="I28" s="16">
        <f t="shared" si="3"/>
        <v>856.29405141902419</v>
      </c>
    </row>
    <row r="29" spans="1:9" x14ac:dyDescent="0.2">
      <c r="A29" s="2">
        <v>37561</v>
      </c>
      <c r="B29" s="3">
        <v>1026</v>
      </c>
      <c r="C29" s="7" t="s">
        <v>33</v>
      </c>
      <c r="D29" s="16">
        <f>+$M$3*(B29/F17)+(1-$M$3)*(D28+E28)</f>
        <v>973.41504231955889</v>
      </c>
      <c r="E29" s="15">
        <f>+$M$4*(D29-D28)+(1-$M$4)*E28</f>
        <v>-0.36675186909318586</v>
      </c>
      <c r="F29" s="15">
        <f>+$M$5*(B29/D29)+(1-$M$5)*F17</f>
        <v>1.0382921350017262</v>
      </c>
      <c r="G29" s="16">
        <f t="shared" si="2"/>
        <v>983.38353825872889</v>
      </c>
      <c r="H29" s="16">
        <f t="shared" si="1"/>
        <v>42.61646174127111</v>
      </c>
      <c r="I29" s="16">
        <f t="shared" si="3"/>
        <v>1816.1628113452241</v>
      </c>
    </row>
    <row r="30" spans="1:9" x14ac:dyDescent="0.2">
      <c r="A30" s="2">
        <v>37591</v>
      </c>
      <c r="B30" s="3">
        <v>1014</v>
      </c>
      <c r="C30" s="7" t="s">
        <v>33</v>
      </c>
      <c r="D30" s="16">
        <f>+$M$3*(B30/F18)+(1-$M$3)*(D29+E29)</f>
        <v>976.98950512168608</v>
      </c>
      <c r="E30" s="15">
        <f>+$M$4*(D30-D29)+(1-$M$4)*E29</f>
        <v>-0.33648565752482384</v>
      </c>
      <c r="F30" s="15">
        <f>+$M$5*(B30/D30)+(1-$M$5)*F18</f>
        <v>1.034163111018723</v>
      </c>
      <c r="G30" s="16">
        <f t="shared" si="2"/>
        <v>1003.8864540532084</v>
      </c>
      <c r="H30" s="16">
        <f t="shared" si="1"/>
        <v>10.113545946791646</v>
      </c>
      <c r="I30" s="16">
        <f t="shared" si="3"/>
        <v>102.28381161786574</v>
      </c>
    </row>
    <row r="31" spans="1:9" x14ac:dyDescent="0.2">
      <c r="A31" s="2">
        <v>37622</v>
      </c>
      <c r="B31" s="3">
        <v>977</v>
      </c>
      <c r="C31" s="7" t="s">
        <v>33</v>
      </c>
      <c r="D31" s="16">
        <f>+$M$3*(B31/F19)+(1-$M$3)*(D30+E30)</f>
        <v>987.58928377462973</v>
      </c>
      <c r="E31" s="15">
        <f>+$M$4*(D31-D30)+(1-$M$4)*E30</f>
        <v>-0.25250157723475575</v>
      </c>
      <c r="F31" s="15">
        <f>+$M$5*(B31/D31)+(1-$M$5)*F19</f>
        <v>0.97964688359376173</v>
      </c>
      <c r="G31" s="16">
        <f t="shared" si="2"/>
        <v>950.5262195606299</v>
      </c>
      <c r="H31" s="16">
        <f t="shared" si="1"/>
        <v>26.473780439370103</v>
      </c>
      <c r="I31" s="16">
        <f t="shared" si="3"/>
        <v>700.86105075197509</v>
      </c>
    </row>
    <row r="32" spans="1:9" x14ac:dyDescent="0.2">
      <c r="A32" s="2">
        <v>37653</v>
      </c>
      <c r="B32" s="3">
        <v>990</v>
      </c>
      <c r="C32" s="7" t="s">
        <v>33</v>
      </c>
      <c r="D32" s="16">
        <f>+$M$3*(B32/F20)+(1-$M$3)*(D31+E31)</f>
        <v>984.98136775480566</v>
      </c>
      <c r="E32" s="15">
        <f>+$M$4*(D32-D31)+(1-$M$4)*E31</f>
        <v>-0.27058977536594497</v>
      </c>
      <c r="F32" s="15">
        <f>+$M$5*(B32/D32)+(1-$M$5)*F20</f>
        <v>1.0072506046985583</v>
      </c>
      <c r="G32" s="16">
        <f t="shared" si="2"/>
        <v>995.90942219911824</v>
      </c>
      <c r="H32" s="16">
        <f t="shared" si="1"/>
        <v>-5.9094221991182394</v>
      </c>
      <c r="I32" s="16">
        <f t="shared" si="3"/>
        <v>34.921270727431448</v>
      </c>
    </row>
    <row r="33" spans="1:9" x14ac:dyDescent="0.2">
      <c r="A33" s="2">
        <v>37681</v>
      </c>
      <c r="B33" s="3">
        <v>989</v>
      </c>
      <c r="C33" s="7" t="s">
        <v>33</v>
      </c>
      <c r="D33" s="16">
        <f>+$M$3*(B33/F21)+(1-$M$3)*(D32+E32)</f>
        <v>987.88313963539713</v>
      </c>
      <c r="E33" s="15">
        <f>+$M$4*(D33-D32)+(1-$M$4)*E32</f>
        <v>-0.24622790293314095</v>
      </c>
      <c r="F33" s="15">
        <f>+$M$5*(B33/D33)+(1-$M$5)*F21</f>
        <v>0.99827137114124365</v>
      </c>
      <c r="G33" s="16">
        <f t="shared" si="2"/>
        <v>981.1381038303166</v>
      </c>
      <c r="H33" s="16">
        <f t="shared" si="1"/>
        <v>7.8618961696834049</v>
      </c>
      <c r="I33" s="16">
        <f t="shared" si="3"/>
        <v>61.809411382882594</v>
      </c>
    </row>
    <row r="34" spans="1:9" x14ac:dyDescent="0.2">
      <c r="A34" s="2">
        <v>37712</v>
      </c>
      <c r="B34" s="3">
        <v>960</v>
      </c>
      <c r="C34" s="7" t="s">
        <v>33</v>
      </c>
      <c r="D34" s="16">
        <f>+$M$3*(B34/F22)+(1-$M$3)*(D33+E33)</f>
        <v>1004.8425723432226</v>
      </c>
      <c r="E34" s="15">
        <f>+$M$4*(D34-D33)+(1-$M$4)*E33</f>
        <v>-0.11409854494072097</v>
      </c>
      <c r="F34" s="15">
        <f>+$M$5*(B34/D34)+(1-$M$5)*F22</f>
        <v>0.94111846476917349</v>
      </c>
      <c r="G34" s="16">
        <f t="shared" si="2"/>
        <v>920.12998634666678</v>
      </c>
      <c r="H34" s="16">
        <f t="shared" si="1"/>
        <v>39.870013653333217</v>
      </c>
      <c r="I34" s="16">
        <f t="shared" si="3"/>
        <v>1589.6179887169772</v>
      </c>
    </row>
    <row r="35" spans="1:9" x14ac:dyDescent="0.2">
      <c r="A35" s="2">
        <v>37742</v>
      </c>
      <c r="B35" s="3">
        <v>981</v>
      </c>
      <c r="C35" s="7" t="s">
        <v>33</v>
      </c>
      <c r="D35" s="16">
        <f>+$M$3*(B35/F23)+(1-$M$3)*(D34+E34)</f>
        <v>991.62502980288036</v>
      </c>
      <c r="E35" s="15">
        <f>+$M$4*(D35-D34)+(1-$M$4)*E34</f>
        <v>-0.21472529108956862</v>
      </c>
      <c r="F35" s="15">
        <f>+$M$5*(B35/D35)+(1-$M$5)*F23</f>
        <v>1.001201051122133</v>
      </c>
      <c r="G35" s="16">
        <f t="shared" si="2"/>
        <v>1013.8889726034374</v>
      </c>
      <c r="H35" s="16">
        <f t="shared" si="1"/>
        <v>-32.888972603437423</v>
      </c>
      <c r="I35" s="16">
        <f t="shared" si="3"/>
        <v>1081.6845189096573</v>
      </c>
    </row>
    <row r="36" spans="1:9" x14ac:dyDescent="0.2">
      <c r="A36" s="2">
        <v>37773</v>
      </c>
      <c r="B36" s="3">
        <v>962</v>
      </c>
      <c r="C36" s="7" t="s">
        <v>33</v>
      </c>
      <c r="D36" s="16">
        <f>+$M$3*(B36/F24)+(1-$M$3)*(D35+E35)</f>
        <v>992.23997065010076</v>
      </c>
      <c r="E36" s="15">
        <f>+$M$4*(D36-D35)+(1-$M$4)*E35</f>
        <v>-0.20835394292207082</v>
      </c>
      <c r="F36" s="15">
        <f>+$M$5*(B36/D36)+(1-$M$5)*F24</f>
        <v>0.96880001295013862</v>
      </c>
      <c r="G36" s="16">
        <f t="shared" si="2"/>
        <v>960.00177157687085</v>
      </c>
      <c r="H36" s="16">
        <f t="shared" si="1"/>
        <v>1.9982284231291487</v>
      </c>
      <c r="I36" s="16">
        <f t="shared" si="3"/>
        <v>3.9929168310012044</v>
      </c>
    </row>
    <row r="37" spans="1:9" x14ac:dyDescent="0.2">
      <c r="A37" s="2">
        <v>37803</v>
      </c>
      <c r="B37" s="3">
        <v>1022</v>
      </c>
      <c r="C37" s="7" t="s">
        <v>33</v>
      </c>
      <c r="D37" s="16">
        <f>+$M$3*(B37/F25)+(1-$M$3)*(D36+E36)</f>
        <v>1004.7234753676735</v>
      </c>
      <c r="E37" s="15">
        <f>+$M$4*(D37-D36)+(1-$M$4)*E36</f>
        <v>-0.11088793016734347</v>
      </c>
      <c r="F37" s="15">
        <f>+$M$5*(B37/D37)+(1-$M$5)*F25</f>
        <v>1.0059247930483295</v>
      </c>
      <c r="G37" s="16">
        <f t="shared" si="2"/>
        <v>990.48123962484749</v>
      </c>
      <c r="H37" s="16">
        <f t="shared" si="1"/>
        <v>31.51876037515251</v>
      </c>
      <c r="I37" s="16">
        <f t="shared" si="3"/>
        <v>993.43225558628399</v>
      </c>
    </row>
    <row r="38" spans="1:9" x14ac:dyDescent="0.2">
      <c r="A38" s="2">
        <v>37834</v>
      </c>
      <c r="B38" s="3">
        <v>910</v>
      </c>
      <c r="C38" s="7" t="s">
        <v>33</v>
      </c>
      <c r="D38" s="16">
        <f>+$M$3*(B38/F26)+(1-$M$3)*(D37+E37)</f>
        <v>974.59452104229024</v>
      </c>
      <c r="E38" s="15">
        <f>+$M$4*(D38-D37)+(1-$M$4)*E37</f>
        <v>-0.34140903195483419</v>
      </c>
      <c r="F38" s="15">
        <f>+$M$5*(B38/D38)+(1-$M$5)*F26</f>
        <v>0.96065465735541311</v>
      </c>
      <c r="G38" s="16">
        <f t="shared" si="2"/>
        <v>983.0613842419134</v>
      </c>
      <c r="H38" s="16">
        <f t="shared" si="1"/>
        <v>-73.061384241913402</v>
      </c>
      <c r="I38" s="16">
        <f t="shared" si="3"/>
        <v>5337.9658673445119</v>
      </c>
    </row>
    <row r="39" spans="1:9" x14ac:dyDescent="0.2">
      <c r="A39" s="2">
        <v>37865</v>
      </c>
      <c r="B39" s="3">
        <v>912</v>
      </c>
      <c r="C39" s="7" t="s">
        <v>33</v>
      </c>
      <c r="D39" s="16">
        <f>+$M$3*(B39/F27)+(1-$M$3)*(D38+E38)</f>
        <v>958.41243614844961</v>
      </c>
      <c r="E39" s="15">
        <f>+$M$4*(D39-D38)+(1-$M$4)*E38</f>
        <v>-0.4630561095734777</v>
      </c>
      <c r="F39" s="15">
        <f>+$M$5*(B39/D39)+(1-$M$5)*F27</f>
        <v>0.96598206715550228</v>
      </c>
      <c r="G39" s="16">
        <f t="shared" si="2"/>
        <v>950.43690017006611</v>
      </c>
      <c r="H39" s="16">
        <f t="shared" si="1"/>
        <v>-38.43690017006611</v>
      </c>
      <c r="I39" s="16">
        <f t="shared" si="3"/>
        <v>1477.3952946836282</v>
      </c>
    </row>
    <row r="40" spans="1:9" x14ac:dyDescent="0.2">
      <c r="A40" s="2">
        <v>37895</v>
      </c>
      <c r="B40" s="3">
        <v>1025</v>
      </c>
      <c r="C40" s="7" t="s">
        <v>33</v>
      </c>
      <c r="D40" s="16">
        <f>+$M$3*(B40/F28)+(1-$M$3)*(D39+E39)</f>
        <v>961.65248389462874</v>
      </c>
      <c r="E40" s="15">
        <f>+$M$4*(D40-D39)+(1-$M$4)*E39</f>
        <v>-0.43461844907854169</v>
      </c>
      <c r="F40" s="15">
        <f>+$M$5*(B40/D40)+(1-$M$5)*F28</f>
        <v>1.0622267592607595</v>
      </c>
      <c r="G40" s="16">
        <f t="shared" si="2"/>
        <v>1015.2385442438078</v>
      </c>
      <c r="H40" s="16">
        <f t="shared" si="1"/>
        <v>9.7614557561921629</v>
      </c>
      <c r="I40" s="16">
        <f t="shared" si="3"/>
        <v>95.286018480097113</v>
      </c>
    </row>
    <row r="41" spans="1:9" x14ac:dyDescent="0.2">
      <c r="A41" s="2">
        <v>37926</v>
      </c>
      <c r="B41" s="3">
        <v>1017</v>
      </c>
      <c r="C41" s="7" t="s">
        <v>33</v>
      </c>
      <c r="D41" s="16">
        <f>+$M$3*(B41/F29)+(1-$M$3)*(D40+E40)</f>
        <v>968.56537585936746</v>
      </c>
      <c r="E41" s="15">
        <f>+$M$4*(D41-D40)+(1-$M$4)*E40</f>
        <v>-0.37819388882578142</v>
      </c>
      <c r="F41" s="15">
        <f>+$M$5*(B41/D41)+(1-$M$5)*F29</f>
        <v>1.0429681447450367</v>
      </c>
      <c r="G41" s="16">
        <f t="shared" si="2"/>
        <v>998.02494971526232</v>
      </c>
      <c r="H41" s="16">
        <f t="shared" si="1"/>
        <v>18.975050284737677</v>
      </c>
      <c r="I41" s="16">
        <f t="shared" si="3"/>
        <v>360.0525333083234</v>
      </c>
    </row>
    <row r="42" spans="1:9" x14ac:dyDescent="0.2">
      <c r="A42" s="2">
        <v>37956</v>
      </c>
      <c r="B42" s="3">
        <v>1044</v>
      </c>
      <c r="C42" s="7" t="s">
        <v>33</v>
      </c>
      <c r="D42" s="16">
        <f>+$M$3*(B42/F30)+(1-$M$3)*(D41+E41)</f>
        <v>984.80167417165671</v>
      </c>
      <c r="E42" s="15">
        <f>+$M$4*(D42-D41)+(1-$M$4)*E41</f>
        <v>-0.25060435666154079</v>
      </c>
      <c r="F42" s="15">
        <f>+$M$5*(B42/D42)+(1-$M$5)*F30</f>
        <v>1.0445210156738627</v>
      </c>
      <c r="G42" s="16">
        <f t="shared" si="2"/>
        <v>1001.2634681551059</v>
      </c>
      <c r="H42" s="16">
        <f t="shared" si="1"/>
        <v>42.736531844894103</v>
      </c>
      <c r="I42" s="16">
        <f t="shared" si="3"/>
        <v>1826.4111541296477</v>
      </c>
    </row>
    <row r="43" spans="1:9" x14ac:dyDescent="0.2">
      <c r="A43" s="2">
        <v>37987</v>
      </c>
      <c r="B43" s="3">
        <v>1032</v>
      </c>
      <c r="C43" s="7" t="s">
        <v>33</v>
      </c>
      <c r="D43" s="16">
        <f>+$M$3*(B43/F31)+(1-$M$3)*(D42+E42)</f>
        <v>1012.2479813368254</v>
      </c>
      <c r="E43" s="15">
        <f>+$M$4*(D43-D42)+(1-$M$4)*E42</f>
        <v>-3.7908359655533796E-2</v>
      </c>
      <c r="F43" s="15">
        <f>+$M$5*(B43/D43)+(1-$M$5)*F31</f>
        <v>0.99556012159889928</v>
      </c>
      <c r="G43" s="16">
        <f t="shared" si="2"/>
        <v>964.51238728316412</v>
      </c>
      <c r="H43" s="16">
        <f t="shared" si="1"/>
        <v>67.487612716835883</v>
      </c>
      <c r="I43" s="16">
        <f t="shared" si="3"/>
        <v>4554.5778702176285</v>
      </c>
    </row>
    <row r="44" spans="1:9" x14ac:dyDescent="0.2">
      <c r="A44" s="2">
        <v>38018</v>
      </c>
      <c r="B44" s="3">
        <v>1060</v>
      </c>
      <c r="C44" s="7" t="s">
        <v>33</v>
      </c>
      <c r="D44" s="16">
        <f>+$M$3*(B44/F32)+(1-$M$3)*(D43+E43)</f>
        <v>1028.3561243728384</v>
      </c>
      <c r="E44" s="15">
        <f>+$M$4*(D44-D43)+(1-$M$4)*E43</f>
        <v>8.6083822527131593E-2</v>
      </c>
      <c r="F44" s="15">
        <f>+$M$5*(B44/D44)+(1-$M$5)*F32</f>
        <v>1.0166392925737779</v>
      </c>
      <c r="G44" s="16">
        <f t="shared" si="2"/>
        <v>1019.5492080882262</v>
      </c>
      <c r="H44" s="16">
        <f t="shared" si="1"/>
        <v>40.450791911773763</v>
      </c>
      <c r="I44" s="16">
        <f t="shared" si="3"/>
        <v>1636.2665662896218</v>
      </c>
    </row>
    <row r="45" spans="1:9" x14ac:dyDescent="0.2">
      <c r="A45" s="2">
        <v>38047</v>
      </c>
      <c r="B45" s="3">
        <v>1077</v>
      </c>
      <c r="C45" s="7" t="s">
        <v>33</v>
      </c>
      <c r="D45" s="16">
        <f>+$M$3*(B45/F33)+(1-$M$3)*(D44+E44)</f>
        <v>1048.7145237423531</v>
      </c>
      <c r="E45" s="15">
        <f>+$M$4*(D45-D44)+(1-$M$4)*E44</f>
        <v>0.24176328749160514</v>
      </c>
      <c r="F45" s="15">
        <f>+$M$5*(B45/D45)+(1-$M$5)*F33</f>
        <v>1.0097275362484897</v>
      </c>
      <c r="G45" s="16">
        <f t="shared" si="2"/>
        <v>1026.6644133147158</v>
      </c>
      <c r="H45" s="16">
        <f t="shared" si="1"/>
        <v>50.33558668528417</v>
      </c>
      <c r="I45" s="16">
        <f t="shared" si="3"/>
        <v>2533.6712869517569</v>
      </c>
    </row>
    <row r="46" spans="1:9" x14ac:dyDescent="0.2">
      <c r="A46" s="2">
        <v>38078</v>
      </c>
      <c r="B46" s="3">
        <v>1098</v>
      </c>
      <c r="C46" s="7" t="s">
        <v>33</v>
      </c>
      <c r="D46" s="16">
        <f>+$M$3*(B46/F34)+(1-$M$3)*(D45+E45)</f>
        <v>1096.2935506705689</v>
      </c>
      <c r="E46" s="15">
        <f>+$M$4*(D46-D45)+(1-$M$4)*E45</f>
        <v>0.6052856418762903</v>
      </c>
      <c r="F46" s="15">
        <f>+$M$5*(B46/D46)+(1-$M$5)*F34</f>
        <v>0.96524334453433669</v>
      </c>
      <c r="G46" s="16">
        <f t="shared" si="2"/>
        <v>987.19213045949982</v>
      </c>
      <c r="H46" s="16">
        <f t="shared" si="1"/>
        <v>110.80786954050018</v>
      </c>
      <c r="I46" s="16">
        <f t="shared" si="3"/>
        <v>12278.383952104507</v>
      </c>
    </row>
    <row r="47" spans="1:9" x14ac:dyDescent="0.2">
      <c r="A47" s="2">
        <v>38108</v>
      </c>
      <c r="B47" s="3">
        <v>1086</v>
      </c>
      <c r="C47" s="7" t="s">
        <v>33</v>
      </c>
      <c r="D47" s="16">
        <f>+$M$3*(B47/F35)+(1-$M$3)*(D46+E46)</f>
        <v>1091.9932142089374</v>
      </c>
      <c r="E47" s="15">
        <f>+$M$4*(D47-D46)+(1-$M$4)*E46</f>
        <v>0.56761334821936349</v>
      </c>
      <c r="F47" s="15">
        <f>+$M$5*(B47/D47)+(1-$M$5)*F35</f>
        <v>0.99853087431081999</v>
      </c>
      <c r="G47" s="16">
        <f t="shared" si="2"/>
        <v>1098.2162678906645</v>
      </c>
      <c r="H47" s="16">
        <f t="shared" si="1"/>
        <v>-12.21626789066454</v>
      </c>
      <c r="I47" s="16">
        <f t="shared" si="3"/>
        <v>149.23720117648145</v>
      </c>
    </row>
    <row r="48" spans="1:9" x14ac:dyDescent="0.2">
      <c r="A48" s="2">
        <v>38139</v>
      </c>
      <c r="B48" s="3">
        <v>1070</v>
      </c>
      <c r="C48" s="7" t="s">
        <v>33</v>
      </c>
      <c r="D48" s="16">
        <f>+$M$3*(B48/F36)+(1-$M$3)*(D47+E47)</f>
        <v>1097.3444964349349</v>
      </c>
      <c r="E48" s="15">
        <f>+$M$4*(D48-D47)+(1-$M$4)*E47</f>
        <v>0.60434911280104509</v>
      </c>
      <c r="F48" s="15">
        <f>+$M$5*(B48/D48)+(1-$M$5)*F36</f>
        <v>0.9713072582699841</v>
      </c>
      <c r="G48" s="16">
        <f t="shared" si="2"/>
        <v>1058.4729438861875</v>
      </c>
      <c r="H48" s="16">
        <f t="shared" si="1"/>
        <v>11.527056113812478</v>
      </c>
      <c r="I48" s="16">
        <f t="shared" si="3"/>
        <v>132.87302265098162</v>
      </c>
    </row>
    <row r="49" spans="1:9" x14ac:dyDescent="0.2">
      <c r="A49" s="2">
        <v>38169</v>
      </c>
      <c r="B49" s="3">
        <v>1121</v>
      </c>
      <c r="C49" s="7" t="s">
        <v>33</v>
      </c>
      <c r="D49" s="16">
        <f>+$M$3*(B49/F37)+(1-$M$3)*(D48+E48)</f>
        <v>1104.5619481255112</v>
      </c>
      <c r="E49" s="15">
        <f>+$M$4*(D49-D48)+(1-$M$4)*E48</f>
        <v>0.65513385264376267</v>
      </c>
      <c r="F49" s="15">
        <f>+$M$5*(B49/D49)+(1-$M$5)*F37</f>
        <v>1.0095001982407235</v>
      </c>
      <c r="G49" s="16">
        <f t="shared" si="2"/>
        <v>1104.4539652352585</v>
      </c>
      <c r="H49" s="16">
        <f t="shared" si="1"/>
        <v>16.546034764741535</v>
      </c>
      <c r="I49" s="16">
        <f t="shared" si="3"/>
        <v>273.77126643603543</v>
      </c>
    </row>
    <row r="50" spans="1:9" x14ac:dyDescent="0.2">
      <c r="A50" s="2">
        <v>38200</v>
      </c>
      <c r="B50" s="3">
        <v>993</v>
      </c>
      <c r="C50" s="7" t="s">
        <v>33</v>
      </c>
      <c r="D50" s="16">
        <f>+$M$3*(B50/F38)+(1-$M$3)*(D49+E49)</f>
        <v>1076.4518334228023</v>
      </c>
      <c r="E50" s="15">
        <f>+$M$4*(D50-D49)+(1-$M$4)*E49</f>
        <v>0.43423365531367331</v>
      </c>
      <c r="F50" s="15">
        <f>+$M$5*(B50/D50)+(1-$M$5)*F38</f>
        <v>0.94541464235020811</v>
      </c>
      <c r="G50" s="16">
        <f t="shared" si="2"/>
        <v>1061.7319371910739</v>
      </c>
      <c r="H50" s="16">
        <f t="shared" si="1"/>
        <v>-68.731937191073939</v>
      </c>
      <c r="I50" s="16">
        <f t="shared" si="3"/>
        <v>4724.0791900377326</v>
      </c>
    </row>
    <row r="51" spans="1:9" x14ac:dyDescent="0.2">
      <c r="A51" s="2">
        <v>38231</v>
      </c>
      <c r="B51" s="3">
        <v>1026</v>
      </c>
      <c r="C51" s="7" t="s">
        <v>33</v>
      </c>
      <c r="D51" s="16">
        <f>+$M$3*(B51/F39)+(1-$M$3)*(D50+E50)</f>
        <v>1070.9540449750737</v>
      </c>
      <c r="E51" s="15">
        <f>+$M$4*(D51-D50)+(1-$M$4)*E50</f>
        <v>0.38867921309820103</v>
      </c>
      <c r="F51" s="15">
        <f>+$M$5*(B51/D51)+(1-$M$5)*F39</f>
        <v>0.96280559127576171</v>
      </c>
      <c r="G51" s="16">
        <f t="shared" si="2"/>
        <v>1040.2526291670774</v>
      </c>
      <c r="H51" s="16">
        <f t="shared" si="1"/>
        <v>-14.25262916707743</v>
      </c>
      <c r="I51" s="16">
        <f t="shared" si="3"/>
        <v>203.13743817422628</v>
      </c>
    </row>
    <row r="52" spans="1:9" x14ac:dyDescent="0.2">
      <c r="A52" s="2">
        <v>38261</v>
      </c>
      <c r="B52" s="3">
        <v>1114</v>
      </c>
      <c r="C52" s="7" t="s">
        <v>33</v>
      </c>
      <c r="D52" s="16">
        <f>+$M$3*(B52/F40)+(1-$M$3)*(D51+E51)</f>
        <v>1062.2554832221863</v>
      </c>
      <c r="E52" s="15">
        <f>+$M$4*(D52-D51)+(1-$M$4)*E51</f>
        <v>0.31889454502173648</v>
      </c>
      <c r="F52" s="15">
        <f>+$M$5*(B52/D52)+(1-$M$5)*F40</f>
        <v>1.0568320893846899</v>
      </c>
      <c r="G52" s="16">
        <f t="shared" si="2"/>
        <v>1138.0089099719955</v>
      </c>
      <c r="H52" s="16">
        <f t="shared" si="1"/>
        <v>-24.008909971995536</v>
      </c>
      <c r="I52" s="16">
        <f t="shared" si="3"/>
        <v>576.42775804338669</v>
      </c>
    </row>
    <row r="53" spans="1:9" x14ac:dyDescent="0.2">
      <c r="A53" s="2">
        <v>38292</v>
      </c>
      <c r="B53" s="3">
        <v>1050</v>
      </c>
      <c r="C53" s="7" t="s">
        <v>33</v>
      </c>
      <c r="D53" s="16">
        <f>+$M$3*(B53/F41)+(1-$M$3)*(D52+E52)</f>
        <v>1040.1272003265863</v>
      </c>
      <c r="E53" s="15">
        <f>+$M$4*(D53-D52)+(1-$M$4)*E52</f>
        <v>0.14651341935215886</v>
      </c>
      <c r="F53" s="15">
        <f>+$M$5*(B53/D53)+(1-$M$5)*F41</f>
        <v>1.0296055467657639</v>
      </c>
      <c r="G53" s="16">
        <f t="shared" si="2"/>
        <v>1108.2312274334768</v>
      </c>
      <c r="H53" s="16">
        <f t="shared" si="1"/>
        <v>-58.231227433476761</v>
      </c>
      <c r="I53" s="16">
        <f t="shared" si="3"/>
        <v>3390.8758484092964</v>
      </c>
    </row>
    <row r="54" spans="1:9" x14ac:dyDescent="0.2">
      <c r="A54" s="2">
        <v>38322</v>
      </c>
      <c r="B54" s="3">
        <v>1094</v>
      </c>
      <c r="C54" s="7" t="s">
        <v>33</v>
      </c>
      <c r="D54" s="16">
        <f>+$M$3*(B54/F42)+(1-$M$3)*(D53+E53)</f>
        <v>1043.1267635986717</v>
      </c>
      <c r="E54" s="15">
        <f>+$M$4*(D54-D53)+(1-$M$4)*E53</f>
        <v>0.16842316486499875</v>
      </c>
      <c r="F54" s="15">
        <f>+$M$5*(B54/D54)+(1-$M$5)*F42</f>
        <v>1.046217047615805</v>
      </c>
      <c r="G54" s="16">
        <f t="shared" si="2"/>
        <v>1086.5877560607287</v>
      </c>
      <c r="H54" s="16">
        <f t="shared" si="1"/>
        <v>7.4122439392713204</v>
      </c>
      <c r="I54" s="16">
        <f t="shared" si="3"/>
        <v>54.941360215264424</v>
      </c>
    </row>
    <row r="55" spans="1:9" x14ac:dyDescent="0.2">
      <c r="A55" s="2">
        <v>38353</v>
      </c>
      <c r="B55" s="3">
        <v>1069</v>
      </c>
      <c r="C55" s="7" t="s">
        <v>33</v>
      </c>
      <c r="D55" s="16">
        <f>+$M$3*(B55/F43)+(1-$M$3)*(D54+E54)</f>
        <v>1055.5464477143878</v>
      </c>
      <c r="E55" s="15">
        <f>+$M$4*(D55-D54)+(1-$M$4)*E54</f>
        <v>0.26250564624449096</v>
      </c>
      <c r="F55" s="15">
        <f>+$M$5*(B55/D55)+(1-$M$5)*F43</f>
        <v>1.0024199856147116</v>
      </c>
      <c r="G55" s="16">
        <f t="shared" si="2"/>
        <v>1038.6630829978531</v>
      </c>
      <c r="H55" s="16">
        <f t="shared" si="1"/>
        <v>30.336917002146947</v>
      </c>
      <c r="I55" s="16">
        <f t="shared" si="3"/>
        <v>920.32853319515254</v>
      </c>
    </row>
    <row r="56" spans="1:9" x14ac:dyDescent="0.2">
      <c r="A56" s="2">
        <v>38384</v>
      </c>
      <c r="B56" s="3">
        <v>1096</v>
      </c>
      <c r="C56" s="7" t="s">
        <v>33</v>
      </c>
      <c r="D56" s="16">
        <f>+$M$3*(B56/F44)+(1-$M$3)*(D55+E55)</f>
        <v>1064.7556495203876</v>
      </c>
      <c r="E56" s="15">
        <f>+$M$4*(D56-D55)+(1-$M$4)*E55</f>
        <v>0.33121101283777016</v>
      </c>
      <c r="F56" s="15">
        <f>+$M$5*(B56/D56)+(1-$M$5)*F44</f>
        <v>1.0217106497503139</v>
      </c>
      <c r="G56" s="16">
        <f t="shared" si="2"/>
        <v>1073.3768674376142</v>
      </c>
      <c r="H56" s="16">
        <f t="shared" si="1"/>
        <v>22.623132562385763</v>
      </c>
      <c r="I56" s="16">
        <f t="shared" si="3"/>
        <v>511.806126935279</v>
      </c>
    </row>
    <row r="57" spans="1:9" x14ac:dyDescent="0.2">
      <c r="A57" s="2">
        <v>38412</v>
      </c>
      <c r="B57" s="3">
        <v>1137</v>
      </c>
      <c r="C57" s="7" t="s">
        <v>33</v>
      </c>
      <c r="D57" s="16">
        <f>+$M$3*(B57/F45)+(1-$M$3)*(D56+E56)</f>
        <v>1089.5954384797606</v>
      </c>
      <c r="E57" s="15">
        <f>+$M$4*(D57-D56)+(1-$M$4)*E56</f>
        <v>0.51942248246062095</v>
      </c>
      <c r="F57" s="15">
        <f>+$M$5*(B57/D57)+(1-$M$5)*F45</f>
        <v>1.0232110042686779</v>
      </c>
      <c r="G57" s="16">
        <f t="shared" si="2"/>
        <v>1075.4475315768523</v>
      </c>
      <c r="H57" s="16">
        <f t="shared" si="1"/>
        <v>61.552468423147729</v>
      </c>
      <c r="I57" s="16">
        <f t="shared" si="3"/>
        <v>3788.7063689825982</v>
      </c>
    </row>
    <row r="58" spans="1:9" x14ac:dyDescent="0.2">
      <c r="A58" s="2">
        <v>38443</v>
      </c>
      <c r="B58" s="3">
        <v>1053</v>
      </c>
      <c r="C58" s="7" t="s">
        <v>33</v>
      </c>
      <c r="D58" s="16">
        <f>+$M$3*(B58/F46)+(1-$M$3)*(D57+E57)</f>
        <v>1090.4372029151928</v>
      </c>
      <c r="E58" s="15">
        <f>+$M$4*(D58-D57)+(1-$M$4)*E57</f>
        <v>0.52189787914916919</v>
      </c>
      <c r="F58" s="15">
        <f>+$M$5*(B58/D58)+(1-$M$5)*F46</f>
        <v>0.9654127383541018</v>
      </c>
      <c r="G58" s="16">
        <f t="shared" si="2"/>
        <v>1052.2261143217579</v>
      </c>
      <c r="H58" s="16">
        <f t="shared" si="1"/>
        <v>0.77388567824209531</v>
      </c>
      <c r="I58" s="16">
        <f t="shared" si="3"/>
        <v>0.59889904298822783</v>
      </c>
    </row>
    <row r="59" spans="1:9" x14ac:dyDescent="0.2">
      <c r="A59" s="2">
        <v>38473</v>
      </c>
      <c r="B59" s="3">
        <v>1100</v>
      </c>
      <c r="C59" s="7" t="s">
        <v>33</v>
      </c>
      <c r="D59" s="16">
        <f>+$M$3*(B59/F47)+(1-$M$3)*(D58+E58)</f>
        <v>1095.2446465911637</v>
      </c>
      <c r="E59" s="15">
        <f>+$M$4*(D59-D58)+(1-$M$4)*E58</f>
        <v>0.55480835132407091</v>
      </c>
      <c r="F59" s="15">
        <f>+$M$5*(B59/D59)+(1-$M$5)*F47</f>
        <v>1.0008504100679976</v>
      </c>
      <c r="G59" s="16">
        <f t="shared" si="2"/>
        <v>1089.3563447535203</v>
      </c>
      <c r="H59" s="16">
        <f t="shared" si="1"/>
        <v>10.643655246479739</v>
      </c>
      <c r="I59" s="16">
        <f t="shared" si="3"/>
        <v>113.28739700591566</v>
      </c>
    </row>
    <row r="60" spans="1:9" x14ac:dyDescent="0.2">
      <c r="A60" s="2">
        <v>38504</v>
      </c>
      <c r="B60" s="3">
        <v>1101</v>
      </c>
      <c r="C60" s="7" t="s">
        <v>33</v>
      </c>
      <c r="D60" s="16">
        <f>+$M$3*(B60/F48)+(1-$M$3)*(D59+E59)</f>
        <v>1110.9664588885771</v>
      </c>
      <c r="E60" s="15">
        <f>+$M$4*(D60-D59)+(1-$M$4)*E59</f>
        <v>0.67128202469248477</v>
      </c>
      <c r="F60" s="15">
        <f>+$M$5*(B60/D60)+(1-$M$5)*F48</f>
        <v>0.97917952968901933</v>
      </c>
      <c r="G60" s="16">
        <f t="shared" si="2"/>
        <v>1064.3579641939307</v>
      </c>
      <c r="H60" s="16">
        <f t="shared" si="1"/>
        <v>36.642035806069316</v>
      </c>
      <c r="I60" s="16">
        <f t="shared" si="3"/>
        <v>1342.6387880132659</v>
      </c>
    </row>
    <row r="61" spans="1:9" x14ac:dyDescent="0.2">
      <c r="A61" s="2">
        <v>38534</v>
      </c>
      <c r="B61" s="3">
        <v>1116</v>
      </c>
      <c r="C61" s="7" t="s">
        <v>33</v>
      </c>
      <c r="D61" s="16">
        <f>+$M$3*(B61/F49)+(1-$M$3)*(D60+E60)</f>
        <v>1109.1690971428593</v>
      </c>
      <c r="E61" s="15">
        <f>+$M$4*(D61-D60)+(1-$M$4)*E60</f>
        <v>0.65232429189306296</v>
      </c>
      <c r="F61" s="15">
        <f>+$M$5*(B61/D61)+(1-$M$5)*F49</f>
        <v>1.0081663339525679</v>
      </c>
      <c r="G61" s="16">
        <f t="shared" si="2"/>
        <v>1122.1985198238158</v>
      </c>
      <c r="H61" s="16">
        <f t="shared" si="1"/>
        <v>-6.1985198238157864</v>
      </c>
      <c r="I61" s="16">
        <f t="shared" si="3"/>
        <v>38.421648006237284</v>
      </c>
    </row>
    <row r="62" spans="1:9" x14ac:dyDescent="0.2">
      <c r="A62" s="2">
        <v>38565</v>
      </c>
      <c r="B62" s="3">
        <v>1051</v>
      </c>
      <c r="C62" s="7" t="s">
        <v>33</v>
      </c>
      <c r="D62" s="16">
        <f>+$M$3*(B62/F50)+(1-$M$3)*(D61+E61)</f>
        <v>1110.5692741876903</v>
      </c>
      <c r="E62" s="15">
        <f>+$M$4*(D62-D61)+(1-$M$4)*E61</f>
        <v>0.65806736136037347</v>
      </c>
      <c r="F62" s="15">
        <f>+$M$5*(B62/D62)+(1-$M$5)*F50</f>
        <v>0.94579259495250256</v>
      </c>
      <c r="G62" s="16">
        <f t="shared" si="2"/>
        <v>1049.2414222183361</v>
      </c>
      <c r="H62" s="16">
        <f t="shared" si="1"/>
        <v>1.7585777816639165</v>
      </c>
      <c r="I62" s="16">
        <f t="shared" si="3"/>
        <v>3.0925958141619816</v>
      </c>
    </row>
    <row r="63" spans="1:9" x14ac:dyDescent="0.2">
      <c r="A63" s="2">
        <v>38596</v>
      </c>
      <c r="B63" s="3">
        <v>1000</v>
      </c>
      <c r="C63" s="7" t="s">
        <v>33</v>
      </c>
      <c r="D63" s="16">
        <f>+$M$3*(B63/F51)+(1-$M$3)*(D62+E62)</f>
        <v>1082.0403103737683</v>
      </c>
      <c r="E63" s="15">
        <f>+$M$4*(D63-D62)+(1-$M$4)*E62</f>
        <v>0.43392812148234311</v>
      </c>
      <c r="F63" s="15">
        <f>+$M$5*(B63/D63)+(1-$M$5)*F51</f>
        <v>0.94738753387743668</v>
      </c>
      <c r="G63" s="16">
        <f t="shared" si="2"/>
        <v>1069.8958976219265</v>
      </c>
      <c r="H63" s="16">
        <f t="shared" si="1"/>
        <v>-69.895897621926451</v>
      </c>
      <c r="I63" s="16">
        <f t="shared" si="3"/>
        <v>4885.4365043748239</v>
      </c>
    </row>
    <row r="64" spans="1:9" x14ac:dyDescent="0.2">
      <c r="A64" s="2">
        <v>38626</v>
      </c>
      <c r="B64" s="3">
        <v>1102</v>
      </c>
      <c r="C64" s="7" t="s">
        <v>33</v>
      </c>
      <c r="D64" s="16">
        <f>+$M$3*(B64/F52)+(1-$M$3)*(D63+E63)</f>
        <v>1066.4987908612147</v>
      </c>
      <c r="E64" s="15">
        <f>+$M$4*(D64-D63)+(1-$M$4)*E63</f>
        <v>0.31124607588818559</v>
      </c>
      <c r="F64" s="15">
        <f>+$M$5*(B64/D64)+(1-$M$5)*F52</f>
        <v>1.0474339207609349</v>
      </c>
      <c r="G64" s="16">
        <f t="shared" si="2"/>
        <v>1143.9935111740367</v>
      </c>
      <c r="H64" s="16">
        <f t="shared" si="1"/>
        <v>-41.993511174036712</v>
      </c>
      <c r="I64" s="16">
        <f t="shared" si="3"/>
        <v>1763.4549807239462</v>
      </c>
    </row>
    <row r="65" spans="1:9" x14ac:dyDescent="0.2">
      <c r="A65" s="2">
        <v>38657</v>
      </c>
      <c r="B65" s="3">
        <v>1094</v>
      </c>
      <c r="C65" s="7" t="s">
        <v>33</v>
      </c>
      <c r="D65" s="16">
        <f>+$M$3*(B65/F53)+(1-$M$3)*(D64+E64)</f>
        <v>1065.094422478262</v>
      </c>
      <c r="E65" s="15">
        <f>+$M$4*(D65-D64)+(1-$M$4)*E64</f>
        <v>0.29807116548297752</v>
      </c>
      <c r="F65" s="15">
        <f>+$M$5*(B65/D65)+(1-$M$5)*F53</f>
        <v>1.0286209757796292</v>
      </c>
      <c r="G65" s="16">
        <f t="shared" si="2"/>
        <v>1098.3935313758307</v>
      </c>
      <c r="H65" s="16">
        <f t="shared" si="1"/>
        <v>-4.393531375830662</v>
      </c>
      <c r="I65" s="16">
        <f t="shared" si="3"/>
        <v>19.30311795040847</v>
      </c>
    </row>
    <row r="66" spans="1:9" x14ac:dyDescent="0.2">
      <c r="A66" s="2">
        <v>38687</v>
      </c>
      <c r="B66" s="3">
        <v>1143</v>
      </c>
      <c r="C66" s="7" t="s">
        <v>33</v>
      </c>
      <c r="D66" s="16">
        <f>+$M$3*(B66/F54)+(1-$M$3)*(D65+E65)</f>
        <v>1076.2940120241406</v>
      </c>
      <c r="E66" s="15">
        <f>+$M$4*(D66-D65)+(1-$M$4)*E65</f>
        <v>0.38178841745780434</v>
      </c>
      <c r="F66" s="15">
        <f>+$M$5*(B66/D66)+(1-$M$5)*F54</f>
        <v>1.0525080874110857</v>
      </c>
      <c r="G66" s="16">
        <f t="shared" si="2"/>
        <v>1114.6317892519992</v>
      </c>
      <c r="H66" s="16">
        <f t="shared" si="1"/>
        <v>28.36821074800082</v>
      </c>
      <c r="I66" s="16">
        <f t="shared" si="3"/>
        <v>804.75538104298926</v>
      </c>
    </row>
    <row r="67" spans="1:9" x14ac:dyDescent="0.2">
      <c r="A67" s="2">
        <v>38718</v>
      </c>
      <c r="B67" s="3">
        <v>1094</v>
      </c>
      <c r="C67" s="7" t="s">
        <v>33</v>
      </c>
      <c r="D67" s="16">
        <f>+$M$3*(B67/F55)+(1-$M$3)*(D66+E66)</f>
        <v>1082.5791076436487</v>
      </c>
      <c r="E67" s="15">
        <f>+$M$4*(D67-D66)+(1-$M$4)*E66</f>
        <v>0.42712234611563304</v>
      </c>
      <c r="F67" s="15">
        <f>+$M$5*(B67/D67)+(1-$M$5)*F55</f>
        <v>1.0056651001675627</v>
      </c>
      <c r="G67" s="16">
        <f t="shared" si="2"/>
        <v>1079.2813403903751</v>
      </c>
      <c r="H67" s="16">
        <f t="shared" si="1"/>
        <v>14.718659609624865</v>
      </c>
      <c r="I67" s="16">
        <f t="shared" si="3"/>
        <v>216.63894070400238</v>
      </c>
    </row>
    <row r="68" spans="1:9" x14ac:dyDescent="0.2">
      <c r="A68" s="2">
        <v>38749</v>
      </c>
      <c r="B68" s="3">
        <v>1175</v>
      </c>
      <c r="C68" s="7" t="s">
        <v>33</v>
      </c>
      <c r="D68" s="16">
        <f>+$M$3*(B68/F56)+(1-$M$3)*(D67+E67)</f>
        <v>1109.9537634084313</v>
      </c>
      <c r="E68" s="15">
        <f>+$M$4*(D68-D67)+(1-$M$4)*E67</f>
        <v>0.63406355986137786</v>
      </c>
      <c r="F68" s="15">
        <f>+$M$5*(B68/D68)+(1-$M$5)*F56</f>
        <v>1.0364367117339106</v>
      </c>
      <c r="G68" s="16">
        <f t="shared" si="2"/>
        <v>1106.51899892648</v>
      </c>
      <c r="H68" s="16">
        <f t="shared" si="1"/>
        <v>68.481001073520019</v>
      </c>
      <c r="I68" s="16">
        <f t="shared" si="3"/>
        <v>4689.6475080314503</v>
      </c>
    </row>
    <row r="69" spans="1:9" x14ac:dyDescent="0.2">
      <c r="A69" s="2">
        <v>38777</v>
      </c>
      <c r="B69" s="3">
        <v>1212</v>
      </c>
      <c r="C69" s="7" t="s">
        <v>33</v>
      </c>
      <c r="D69" s="16">
        <f>+$M$3*(B69/F57)+(1-$M$3)*(D68+E68)</f>
        <v>1140.3065750442383</v>
      </c>
      <c r="E69" s="15">
        <f>+$M$4*(D69-D68)+(1-$M$4)*E68</f>
        <v>0.86228607293116388</v>
      </c>
      <c r="F69" s="15">
        <f>+$M$5*(B69/D69)+(1-$M$5)*F57</f>
        <v>1.0390423800245532</v>
      </c>
      <c r="G69" s="16">
        <f t="shared" si="2"/>
        <v>1136.3656857607957</v>
      </c>
      <c r="H69" s="16">
        <f t="shared" si="1"/>
        <v>75.634314239204286</v>
      </c>
      <c r="I69" s="16">
        <f t="shared" si="3"/>
        <v>5720.5494904347006</v>
      </c>
    </row>
    <row r="70" spans="1:9" x14ac:dyDescent="0.2">
      <c r="A70" s="2">
        <v>38808</v>
      </c>
      <c r="B70" s="3">
        <v>1109</v>
      </c>
      <c r="C70" s="7" t="s">
        <v>33</v>
      </c>
      <c r="D70" s="16">
        <f>+$M$3*(B70/F58)+(1-$M$3)*(D69+E69)</f>
        <v>1144.2093878862152</v>
      </c>
      <c r="E70" s="15">
        <f>+$M$4*(D70-D69)+(1-$M$4)*E69</f>
        <v>0.88563553094044012</v>
      </c>
      <c r="F70" s="15">
        <f>+$M$5*(B70/D70)+(1-$M$5)*F58</f>
        <v>0.96693574192746423</v>
      </c>
      <c r="G70" s="16">
        <f t="shared" si="2"/>
        <v>1101.6989551355582</v>
      </c>
      <c r="H70" s="16">
        <f t="shared" si="1"/>
        <v>7.301044864441792</v>
      </c>
      <c r="I70" s="16">
        <f t="shared" si="3"/>
        <v>53.305256112591863</v>
      </c>
    </row>
    <row r="71" spans="1:9" x14ac:dyDescent="0.2">
      <c r="A71" s="2">
        <v>38838</v>
      </c>
      <c r="B71" s="3">
        <v>1185</v>
      </c>
      <c r="C71" s="7" t="s">
        <v>33</v>
      </c>
      <c r="D71" s="16">
        <f>+$M$3*(B71/F59)+(1-$M$3)*(D70+E70)</f>
        <v>1160.733887063675</v>
      </c>
      <c r="E71" s="15">
        <f>+$M$4*(D71-D70)+(1-$M$4)*E70</f>
        <v>1.0057328093938762</v>
      </c>
      <c r="F71" s="15">
        <f>+$M$5*(B71/D71)+(1-$M$5)*F59</f>
        <v>1.0088558697322794</v>
      </c>
      <c r="G71" s="16">
        <f t="shared" si="2"/>
        <v>1146.0688237538834</v>
      </c>
      <c r="H71" s="16">
        <f t="shared" si="1"/>
        <v>38.931176246116593</v>
      </c>
      <c r="I71" s="16">
        <f t="shared" si="3"/>
        <v>1515.6364839061928</v>
      </c>
    </row>
    <row r="72" spans="1:9" x14ac:dyDescent="0.2">
      <c r="A72" s="2">
        <v>38869</v>
      </c>
      <c r="B72" s="3">
        <v>1102</v>
      </c>
      <c r="C72" s="7" t="s">
        <v>33</v>
      </c>
      <c r="D72" s="16">
        <f>+$M$3*(B72/F60)+(1-$M$3)*(D71+E71)</f>
        <v>1147.1422594474072</v>
      </c>
      <c r="E72" s="15">
        <f>+$M$4*(D72-D71)+(1-$M$4)*E71</f>
        <v>0.89363366335930949</v>
      </c>
      <c r="F72" s="15">
        <f>+$M$5*(B72/D72)+(1-$M$5)*F60</f>
        <v>0.97178238777216053</v>
      </c>
      <c r="G72" s="16">
        <f t="shared" si="2"/>
        <v>1137.5516546084118</v>
      </c>
      <c r="H72" s="16">
        <f t="shared" si="1"/>
        <v>-35.551654608411809</v>
      </c>
      <c r="I72" s="16">
        <f t="shared" si="3"/>
        <v>1263.9201453958087</v>
      </c>
    </row>
    <row r="73" spans="1:9" x14ac:dyDescent="0.2">
      <c r="A73" s="2">
        <v>38899</v>
      </c>
      <c r="B73" s="3">
        <v>1112</v>
      </c>
      <c r="C73" s="7" t="s">
        <v>33</v>
      </c>
      <c r="D73" s="16">
        <f>+$M$3*(B73/F61)+(1-$M$3)*(D72+E72)</f>
        <v>1129.9263693327537</v>
      </c>
      <c r="E73" s="15">
        <f>+$M$4*(D73-D72)+(1-$M$4)*E72</f>
        <v>0.75456316763878495</v>
      </c>
      <c r="F73" s="15">
        <f>+$M$5*(B73/D73)+(1-$M$5)*F61</f>
        <v>0.9985737932755625</v>
      </c>
      <c r="G73" s="16">
        <f t="shared" si="2"/>
        <v>1157.4111376034436</v>
      </c>
      <c r="H73" s="16">
        <f t="shared" si="1"/>
        <v>-45.411137603443649</v>
      </c>
      <c r="I73" s="16">
        <f t="shared" si="3"/>
        <v>2062.1714184388939</v>
      </c>
    </row>
    <row r="74" spans="1:9" x14ac:dyDescent="0.2">
      <c r="A74" s="2">
        <v>38930</v>
      </c>
      <c r="B74" s="3">
        <v>1108</v>
      </c>
      <c r="C74" s="7" t="s">
        <v>33</v>
      </c>
      <c r="D74" s="16">
        <f>+$M$3*(B74/F62)+(1-$M$3)*(D73+E73)</f>
        <v>1147.0938063704484</v>
      </c>
      <c r="E74" s="15">
        <f>+$M$4*(D74-D73)+(1-$M$4)*E73</f>
        <v>0.88060438955531095</v>
      </c>
      <c r="F74" s="15">
        <f>+$M$5*(B74/D74)+(1-$M$5)*F62</f>
        <v>0.95382649047030332</v>
      </c>
      <c r="G74" s="16">
        <f t="shared" si="2"/>
        <v>1069.3896532128615</v>
      </c>
      <c r="H74" s="16">
        <f t="shared" si="1"/>
        <v>38.610346787138496</v>
      </c>
      <c r="I74" s="16">
        <f t="shared" si="3"/>
        <v>1490.7588790230959</v>
      </c>
    </row>
    <row r="75" spans="1:9" x14ac:dyDescent="0.2">
      <c r="A75" s="2">
        <v>38961</v>
      </c>
      <c r="B75" s="3">
        <v>1089</v>
      </c>
      <c r="C75" s="7" t="s">
        <v>33</v>
      </c>
      <c r="D75" s="16">
        <f>+$M$3*(B75/F63)+(1-$M$3)*(D74+E74)</f>
        <v>1148.5784457688808</v>
      </c>
      <c r="E75" s="15">
        <f>+$M$4*(D75-D74)+(1-$M$4)*E74</f>
        <v>0.88524302330111226</v>
      </c>
      <c r="F75" s="15">
        <f>+$M$5*(B75/D75)+(1-$M$5)*F63</f>
        <v>0.9476833172025525</v>
      </c>
      <c r="G75" s="16">
        <f t="shared" si="2"/>
        <v>1087.5766459643235</v>
      </c>
      <c r="H75" s="16">
        <f t="shared" si="1"/>
        <v>1.4233540356765388</v>
      </c>
      <c r="I75" s="16">
        <f t="shared" si="3"/>
        <v>2.0259367108766897</v>
      </c>
    </row>
    <row r="76" spans="1:9" x14ac:dyDescent="0.2">
      <c r="A76" s="2">
        <v>38991</v>
      </c>
      <c r="B76" s="3">
        <v>1199</v>
      </c>
      <c r="C76" s="7" t="s">
        <v>33</v>
      </c>
      <c r="D76" s="16">
        <f>+$M$3*(B76/F64)+(1-$M$3)*(D75+E75)</f>
        <v>1147.5493796708415</v>
      </c>
      <c r="E76" s="15">
        <f>+$M$4*(D76-D75)+(1-$M$4)*E75</f>
        <v>0.87054225470385316</v>
      </c>
      <c r="F76" s="15">
        <f>+$M$5*(B76/D76)+(1-$M$5)*F64</f>
        <v>1.0463966028107829</v>
      </c>
      <c r="G76" s="16">
        <f t="shared" si="2"/>
        <v>1203.9872583239223</v>
      </c>
      <c r="H76" s="16">
        <f t="shared" si="1"/>
        <v>-4.9872583239223331</v>
      </c>
      <c r="I76" s="16">
        <f t="shared" si="3"/>
        <v>24.872745589532599</v>
      </c>
    </row>
    <row r="77" spans="1:9" x14ac:dyDescent="0.2">
      <c r="A77" s="2">
        <v>39022</v>
      </c>
      <c r="B77" s="3">
        <v>1126</v>
      </c>
      <c r="C77" s="7" t="s">
        <v>33</v>
      </c>
      <c r="D77" s="16">
        <f>+$M$3*(B77/F65)+(1-$M$3)*(D76+E76)</f>
        <v>1126.8097217685595</v>
      </c>
      <c r="E77" s="15">
        <f>+$M$4*(D77-D76)+(1-$M$4)*E76</f>
        <v>0.70458862249953058</v>
      </c>
      <c r="F77" s="15">
        <f>+$M$5*(B77/D77)+(1-$M$5)*F65</f>
        <v>1.0169095936129096</v>
      </c>
      <c r="G77" s="16">
        <f t="shared" si="2"/>
        <v>1181.28882069582</v>
      </c>
      <c r="H77" s="16">
        <f t="shared" si="1"/>
        <v>-55.28882069582005</v>
      </c>
      <c r="I77" s="16">
        <f t="shared" si="3"/>
        <v>3056.8536939345395</v>
      </c>
    </row>
    <row r="78" spans="1:9" x14ac:dyDescent="0.2">
      <c r="A78" s="2">
        <v>39052</v>
      </c>
      <c r="B78" s="3">
        <v>1177</v>
      </c>
      <c r="C78" s="7" t="s">
        <v>33</v>
      </c>
      <c r="D78" s="16">
        <f>+$M$3*(B78/F66)+(1-$M$3)*(D77+E77)</f>
        <v>1123.8021632706041</v>
      </c>
      <c r="E78" s="15">
        <f>+$M$4*(D78-D77)+(1-$M$4)*E77</f>
        <v>0.67608151504836855</v>
      </c>
      <c r="F78" s="15">
        <f>+$M$5*(B78/D78)+(1-$M$5)*F66</f>
        <v>1.0504441081435414</v>
      </c>
      <c r="G78" s="16">
        <f t="shared" si="2"/>
        <v>1186.7179303583227</v>
      </c>
      <c r="H78" s="16">
        <f t="shared" ref="H78:H141" si="4">+B78-G78</f>
        <v>-9.7179303583227465</v>
      </c>
      <c r="I78" s="16">
        <f t="shared" si="3"/>
        <v>94.438170449210858</v>
      </c>
    </row>
    <row r="79" spans="1:9" x14ac:dyDescent="0.2">
      <c r="A79" s="2">
        <v>39083</v>
      </c>
      <c r="B79" s="3">
        <v>1154</v>
      </c>
      <c r="C79" s="7" t="s">
        <v>33</v>
      </c>
      <c r="D79" s="16">
        <f>+$M$3*(B79/F67)+(1-$M$3)*(D78+E78)</f>
        <v>1133.7337918626961</v>
      </c>
      <c r="E79" s="15">
        <f>+$M$4*(D79-D78)+(1-$M$4)*E78</f>
        <v>0.74715867510775635</v>
      </c>
      <c r="F79" s="15">
        <f>+$M$5*(B79/D79)+(1-$M$5)*F67</f>
        <v>1.0105391386582807</v>
      </c>
      <c r="G79" s="16">
        <f t="shared" ref="G79:G142" si="5">+(D78+E78)*F67</f>
        <v>1130.8485266786081</v>
      </c>
      <c r="H79" s="16">
        <f t="shared" si="4"/>
        <v>23.151473321391904</v>
      </c>
      <c r="I79" s="16">
        <f t="shared" ref="I79:I142" si="6">+H79^2</f>
        <v>535.99071695112104</v>
      </c>
    </row>
    <row r="80" spans="1:9" x14ac:dyDescent="0.2">
      <c r="A80" s="2">
        <v>39114</v>
      </c>
      <c r="B80" s="3">
        <v>1232</v>
      </c>
      <c r="C80" s="7" t="s">
        <v>33</v>
      </c>
      <c r="D80" s="16">
        <f>+$M$3*(B80/F68)+(1-$M$3)*(D79+E79)</f>
        <v>1156.274778592297</v>
      </c>
      <c r="E80" s="15">
        <f>+$M$4*(D80-D79)+(1-$M$4)*E79</f>
        <v>0.91452246160699546</v>
      </c>
      <c r="F80" s="15">
        <f>+$M$5*(B80/D80)+(1-$M$5)*F68</f>
        <v>1.0480340901462499</v>
      </c>
      <c r="G80" s="16">
        <f t="shared" si="5"/>
        <v>1175.8177059001628</v>
      </c>
      <c r="H80" s="16">
        <f t="shared" si="4"/>
        <v>56.182294099837236</v>
      </c>
      <c r="I80" s="16">
        <f t="shared" si="6"/>
        <v>3156.450170320606</v>
      </c>
    </row>
    <row r="81" spans="1:9" x14ac:dyDescent="0.2">
      <c r="A81" s="2">
        <v>39142</v>
      </c>
      <c r="B81" s="3">
        <v>1205</v>
      </c>
      <c r="C81" s="7" t="s">
        <v>33</v>
      </c>
      <c r="D81" s="16">
        <f>+$M$3*(B81/F69)+(1-$M$3)*(D80+E80)</f>
        <v>1158.2074462894539</v>
      </c>
      <c r="E81" s="15">
        <f>+$M$4*(D81-D80)+(1-$M$4)*E80</f>
        <v>0.92234121843125372</v>
      </c>
      <c r="F81" s="15">
        <f>+$M$5*(B81/D81)+(1-$M$5)*F69</f>
        <v>1.0395846320901563</v>
      </c>
      <c r="G81" s="16">
        <f t="shared" si="5"/>
        <v>1202.3687255059976</v>
      </c>
      <c r="H81" s="16">
        <f t="shared" si="4"/>
        <v>2.6312744940023549</v>
      </c>
      <c r="I81" s="16">
        <f t="shared" si="6"/>
        <v>6.9236054627873491</v>
      </c>
    </row>
    <row r="82" spans="1:9" x14ac:dyDescent="0.2">
      <c r="A82" s="2">
        <v>39173</v>
      </c>
      <c r="B82" s="3">
        <v>1143</v>
      </c>
      <c r="C82" s="7" t="s">
        <v>33</v>
      </c>
      <c r="D82" s="16">
        <f>+$M$3*(B82/F70)+(1-$M$3)*(D81+E81)</f>
        <v>1168.3587637722094</v>
      </c>
      <c r="E82" s="15">
        <f>+$M$4*(D82-D81)+(1-$M$4)*E81</f>
        <v>0.99321433027038597</v>
      </c>
      <c r="F82" s="15">
        <f>+$M$5*(B82/D82)+(1-$M$5)*F70</f>
        <v>0.97147013844601093</v>
      </c>
      <c r="G82" s="16">
        <f t="shared" si="5"/>
        <v>1120.8040210741608</v>
      </c>
      <c r="H82" s="16">
        <f t="shared" si="4"/>
        <v>22.195978925839199</v>
      </c>
      <c r="I82" s="16">
        <f t="shared" si="6"/>
        <v>492.66148047629787</v>
      </c>
    </row>
    <row r="83" spans="1:9" x14ac:dyDescent="0.2">
      <c r="A83" s="2">
        <v>39203</v>
      </c>
      <c r="B83" s="3">
        <v>1227</v>
      </c>
      <c r="C83" s="7" t="s">
        <v>33</v>
      </c>
      <c r="D83" s="16">
        <f>+$M$3*(B83/F71)+(1-$M$3)*(D82+E82)</f>
        <v>1188.1988381172471</v>
      </c>
      <c r="E83" s="15">
        <f>+$M$4*(D83-D82)+(1-$M$4)*E82</f>
        <v>1.1379471347967687</v>
      </c>
      <c r="F83" s="15">
        <f>+$M$5*(B83/D83)+(1-$M$5)*F71</f>
        <v>1.0183558691657166</v>
      </c>
      <c r="G83" s="16">
        <f t="shared" si="5"/>
        <v>1179.7076068917386</v>
      </c>
      <c r="H83" s="16">
        <f t="shared" si="4"/>
        <v>47.292393108261422</v>
      </c>
      <c r="I83" s="16">
        <f t="shared" si="6"/>
        <v>2236.5704459063322</v>
      </c>
    </row>
    <row r="84" spans="1:9" x14ac:dyDescent="0.2">
      <c r="A84" s="2">
        <v>39234</v>
      </c>
      <c r="B84" s="3">
        <v>1117</v>
      </c>
      <c r="C84" s="7" t="s">
        <v>33</v>
      </c>
      <c r="D84" s="16">
        <f>+$M$3*(B84/F72)+(1-$M$3)*(D83+E83)</f>
        <v>1173.2941066995538</v>
      </c>
      <c r="E84" s="15">
        <f>+$M$4*(D84-D83)+(1-$M$4)*E83</f>
        <v>1.0147487952750751</v>
      </c>
      <c r="F84" s="15">
        <f>+$M$5*(B84/D84)+(1-$M$5)*F72</f>
        <v>0.96389408468432869</v>
      </c>
      <c r="G84" s="16">
        <f t="shared" si="5"/>
        <v>1155.7765410374966</v>
      </c>
      <c r="H84" s="16">
        <f t="shared" si="4"/>
        <v>-38.7765410374966</v>
      </c>
      <c r="I84" s="16">
        <f t="shared" si="6"/>
        <v>1503.6201348326579</v>
      </c>
    </row>
    <row r="85" spans="1:9" x14ac:dyDescent="0.2">
      <c r="A85" s="2">
        <v>39264</v>
      </c>
      <c r="B85" s="3">
        <v>1180</v>
      </c>
      <c r="C85" s="7" t="s">
        <v>33</v>
      </c>
      <c r="D85" s="16">
        <f>+$M$3*(B85/F73)+(1-$M$3)*(D84+E84)</f>
        <v>1177.2745440498038</v>
      </c>
      <c r="E85" s="15">
        <f>+$M$4*(D85-D84)+(1-$M$4)*E84</f>
        <v>1.0375235397989371</v>
      </c>
      <c r="F85" s="15">
        <f>+$M$5*(B85/D85)+(1-$M$5)*F73</f>
        <v>1.0000671808195214</v>
      </c>
      <c r="G85" s="16">
        <f t="shared" si="5"/>
        <v>1172.6340483085557</v>
      </c>
      <c r="H85" s="16">
        <f t="shared" si="4"/>
        <v>7.365951691444252</v>
      </c>
      <c r="I85" s="16">
        <f t="shared" si="6"/>
        <v>54.25724432069044</v>
      </c>
    </row>
    <row r="86" spans="1:9" x14ac:dyDescent="0.2">
      <c r="A86" s="2">
        <v>39295</v>
      </c>
      <c r="B86" s="3">
        <v>1102</v>
      </c>
      <c r="C86" s="7" t="s">
        <v>33</v>
      </c>
      <c r="D86" s="16">
        <f>+$M$3*(B86/F74)+(1-$M$3)*(D85+E85)</f>
        <v>1169.0787887119961</v>
      </c>
      <c r="E86" s="15">
        <f>+$M$4*(D86-D85)+(1-$M$4)*E85</f>
        <v>0.96661738641937556</v>
      </c>
      <c r="F86" s="15">
        <f>+$M$5*(B86/D86)+(1-$M$5)*F74</f>
        <v>0.94935423993546064</v>
      </c>
      <c r="G86" s="16">
        <f t="shared" si="5"/>
        <v>1123.9052641077976</v>
      </c>
      <c r="H86" s="16">
        <f t="shared" si="4"/>
        <v>-21.90526410779762</v>
      </c>
      <c r="I86" s="16">
        <f t="shared" si="6"/>
        <v>479.84059563236667</v>
      </c>
    </row>
    <row r="87" spans="1:9" x14ac:dyDescent="0.2">
      <c r="A87" s="2">
        <v>39326</v>
      </c>
      <c r="B87" s="3">
        <v>1140</v>
      </c>
      <c r="C87" s="7" t="s">
        <v>33</v>
      </c>
      <c r="D87" s="16">
        <f>+$M$3*(B87/F75)+(1-$M$3)*(D86+E86)</f>
        <v>1183.2679618948923</v>
      </c>
      <c r="E87" s="15">
        <f>+$M$4*(D87-D86)+(1-$M$4)*E86</f>
        <v>1.0681588411726435</v>
      </c>
      <c r="F87" s="15">
        <f>+$M$5*(B87/D87)+(1-$M$5)*F75</f>
        <v>0.95397026871374213</v>
      </c>
      <c r="G87" s="16">
        <f t="shared" si="5"/>
        <v>1108.8325117289539</v>
      </c>
      <c r="H87" s="16">
        <f t="shared" si="4"/>
        <v>31.167488271046068</v>
      </c>
      <c r="I87" s="16">
        <f t="shared" si="6"/>
        <v>971.41232512579415</v>
      </c>
    </row>
    <row r="88" spans="1:9" x14ac:dyDescent="0.2">
      <c r="A88" s="2">
        <v>39356</v>
      </c>
      <c r="B88" s="3">
        <v>1291</v>
      </c>
      <c r="C88" s="7" t="s">
        <v>33</v>
      </c>
      <c r="D88" s="16">
        <f>+$M$3*(B88/F76)+(1-$M$3)*(D87+E87)</f>
        <v>1204.2059705168647</v>
      </c>
      <c r="E88" s="15">
        <f>+$M$4*(D88-D87)+(1-$M$4)*E87</f>
        <v>1.2207476056692095</v>
      </c>
      <c r="F88" s="15">
        <f>+$M$5*(B88/D88)+(1-$M$5)*F76</f>
        <v>1.05664685856074</v>
      </c>
      <c r="G88" s="16">
        <f t="shared" si="5"/>
        <v>1239.2852933243196</v>
      </c>
      <c r="H88" s="16">
        <f t="shared" si="4"/>
        <v>51.714706675680418</v>
      </c>
      <c r="I88" s="16">
        <f t="shared" si="6"/>
        <v>2674.4108865516646</v>
      </c>
    </row>
    <row r="89" spans="1:9" x14ac:dyDescent="0.2">
      <c r="A89" s="2">
        <v>39387</v>
      </c>
      <c r="B89" s="3">
        <v>1247</v>
      </c>
      <c r="C89" s="7" t="s">
        <v>33</v>
      </c>
      <c r="D89" s="16">
        <f>+$M$3*(B89/F77)+(1-$M$3)*(D88+E88)</f>
        <v>1213.8044329489721</v>
      </c>
      <c r="E89" s="15">
        <f>+$M$4*(D89-D88)+(1-$M$4)*E88</f>
        <v>1.2850835301363408</v>
      </c>
      <c r="F89" s="15">
        <f>+$M$5*(B89/D89)+(1-$M$5)*F77</f>
        <v>1.0210764043167866</v>
      </c>
      <c r="G89" s="16">
        <f t="shared" si="5"/>
        <v>1225.8099940561292</v>
      </c>
      <c r="H89" s="16">
        <f t="shared" si="4"/>
        <v>21.190005943870801</v>
      </c>
      <c r="I89" s="16">
        <f t="shared" si="6"/>
        <v>449.0163519012799</v>
      </c>
    </row>
    <row r="90" spans="1:9" x14ac:dyDescent="0.2">
      <c r="A90" s="2">
        <v>39417</v>
      </c>
      <c r="B90" s="3">
        <v>1207</v>
      </c>
      <c r="C90" s="7" t="s">
        <v>33</v>
      </c>
      <c r="D90" s="16">
        <f>+$M$3*(B90/F78)+(1-$M$3)*(D89+E89)</f>
        <v>1188.5336261725695</v>
      </c>
      <c r="E90" s="15">
        <f>+$M$4*(D90-D89)+(1-$M$4)*E89</f>
        <v>1.0811499052381444</v>
      </c>
      <c r="F90" s="15">
        <f>+$M$5*(B90/D90)+(1-$M$5)*F78</f>
        <v>1.0365103934098812</v>
      </c>
      <c r="G90" s="16">
        <f t="shared" si="5"/>
        <v>1276.383623452464</v>
      </c>
      <c r="H90" s="16">
        <f t="shared" si="4"/>
        <v>-69.383623452464008</v>
      </c>
      <c r="I90" s="16">
        <f t="shared" si="6"/>
        <v>4814.0872033933138</v>
      </c>
    </row>
    <row r="91" spans="1:9" x14ac:dyDescent="0.2">
      <c r="A91" s="2">
        <v>39448</v>
      </c>
      <c r="B91" s="3">
        <v>1196</v>
      </c>
      <c r="C91" s="7" t="s">
        <v>33</v>
      </c>
      <c r="D91" s="16">
        <f>+$M$3*(B91/F79)+(1-$M$3)*(D90+E90)</f>
        <v>1187.1670625930544</v>
      </c>
      <c r="E91" s="15">
        <f>+$M$4*(D91-D90)+(1-$M$4)*E90</f>
        <v>1.0623529047273008</v>
      </c>
      <c r="F91" s="15">
        <f>+$M$5*(B91/D91)+(1-$M$5)*F79</f>
        <v>1.0093022048698284</v>
      </c>
      <c r="G91" s="16">
        <f t="shared" si="5"/>
        <v>1202.1522911528311</v>
      </c>
      <c r="H91" s="16">
        <f t="shared" si="4"/>
        <v>-6.1522911528311397</v>
      </c>
      <c r="I91" s="16">
        <f t="shared" si="6"/>
        <v>37.850686429204316</v>
      </c>
    </row>
    <row r="92" spans="1:9" x14ac:dyDescent="0.2">
      <c r="A92" s="2">
        <v>39479</v>
      </c>
      <c r="B92" s="3">
        <v>1256</v>
      </c>
      <c r="C92" s="7" t="s">
        <v>33</v>
      </c>
      <c r="D92" s="16">
        <f>+$M$3*(B92/F80)+(1-$M$3)*(D91+E91)</f>
        <v>1192.3322583618244</v>
      </c>
      <c r="E92" s="15">
        <f>+$M$4*(D92-D91)+(1-$M$4)*E91</f>
        <v>1.0938603257925963</v>
      </c>
      <c r="F92" s="15">
        <f>+$M$5*(B92/D92)+(1-$M$5)*F80</f>
        <v>1.0501750453107461</v>
      </c>
      <c r="G92" s="16">
        <f t="shared" si="5"/>
        <v>1245.3049343562279</v>
      </c>
      <c r="H92" s="16">
        <f t="shared" si="4"/>
        <v>10.695065643772068</v>
      </c>
      <c r="I92" s="16">
        <f t="shared" si="6"/>
        <v>114.38442912459364</v>
      </c>
    </row>
    <row r="93" spans="1:9" x14ac:dyDescent="0.2">
      <c r="A93" s="2">
        <v>39508</v>
      </c>
      <c r="B93" s="3">
        <v>1205</v>
      </c>
      <c r="C93" s="7" t="s">
        <v>33</v>
      </c>
      <c r="D93" s="16">
        <f>+$M$3*(B93/F81)+(1-$M$3)*(D92+E92)</f>
        <v>1179.6321549456611</v>
      </c>
      <c r="E93" s="15">
        <f>+$M$4*(D93-D92)+(1-$M$4)*E92</f>
        <v>0.9879307939584222</v>
      </c>
      <c r="F93" s="15">
        <f>+$M$5*(B93/D93)+(1-$M$5)*F81</f>
        <v>1.032367795006669</v>
      </c>
      <c r="G93" s="16">
        <f t="shared" si="5"/>
        <v>1240.6674525226495</v>
      </c>
      <c r="H93" s="16">
        <f t="shared" si="4"/>
        <v>-35.667452522649455</v>
      </c>
      <c r="I93" s="16">
        <f t="shared" si="6"/>
        <v>1272.1671694554529</v>
      </c>
    </row>
    <row r="94" spans="1:9" x14ac:dyDescent="0.2">
      <c r="A94" s="2">
        <v>39539</v>
      </c>
      <c r="B94" s="3">
        <v>1177</v>
      </c>
      <c r="C94" s="7" t="s">
        <v>33</v>
      </c>
      <c r="D94" s="16">
        <f>+$M$3*(B94/F82)+(1-$M$3)*(D93+E93)</f>
        <v>1193.0617195782183</v>
      </c>
      <c r="E94" s="15">
        <f>+$M$4*(D94-D93)+(1-$M$4)*E93</f>
        <v>1.0834752271923835</v>
      </c>
      <c r="F94" s="15">
        <f>+$M$5*(B94/D94)+(1-$M$5)*F82</f>
        <v>0.97748448616071837</v>
      </c>
      <c r="G94" s="16">
        <f t="shared" si="5"/>
        <v>1146.9371581456094</v>
      </c>
      <c r="H94" s="16">
        <f t="shared" si="4"/>
        <v>30.062841854390626</v>
      </c>
      <c r="I94" s="16">
        <f t="shared" si="6"/>
        <v>903.77446036210085</v>
      </c>
    </row>
    <row r="95" spans="1:9" x14ac:dyDescent="0.2">
      <c r="A95" s="2">
        <v>39569</v>
      </c>
      <c r="B95" s="3">
        <v>1263</v>
      </c>
      <c r="C95" s="7" t="s">
        <v>33</v>
      </c>
      <c r="D95" s="16">
        <f>+$M$3*(B95/F83)+(1-$M$3)*(D94+E94)</f>
        <v>1212.6752297969451</v>
      </c>
      <c r="E95" s="15">
        <f>+$M$4*(D95-D94)+(1-$M$4)*E94</f>
        <v>1.225775001807115</v>
      </c>
      <c r="F95" s="15">
        <f>+$M$5*(B95/D95)+(1-$M$5)*F83</f>
        <v>1.0275938248851029</v>
      </c>
      <c r="G95" s="16">
        <f t="shared" si="5"/>
        <v>1216.0647677661279</v>
      </c>
      <c r="H95" s="16">
        <f t="shared" si="4"/>
        <v>46.935232233872057</v>
      </c>
      <c r="I95" s="16">
        <f t="shared" si="6"/>
        <v>2202.9160248475027</v>
      </c>
    </row>
    <row r="96" spans="1:9" x14ac:dyDescent="0.2">
      <c r="A96" s="2">
        <v>39600</v>
      </c>
      <c r="B96" s="3">
        <v>1185</v>
      </c>
      <c r="C96" s="7" t="s">
        <v>33</v>
      </c>
      <c r="D96" s="16">
        <f>+$M$3*(B96/F84)+(1-$M$3)*(D95+E95)</f>
        <v>1220.1275796180494</v>
      </c>
      <c r="E96" s="15">
        <f>+$M$4*(D96-D95)+(1-$M$4)*E95</f>
        <v>1.2735914357109115</v>
      </c>
      <c r="F96" s="15">
        <f>+$M$5*(B96/D96)+(1-$M$5)*F84</f>
        <v>0.96681432004083212</v>
      </c>
      <c r="G96" s="16">
        <f t="shared" si="5"/>
        <v>1170.07199791788</v>
      </c>
      <c r="H96" s="16">
        <f t="shared" si="4"/>
        <v>14.928002082119974</v>
      </c>
      <c r="I96" s="16">
        <f t="shared" si="6"/>
        <v>222.84524616377828</v>
      </c>
    </row>
    <row r="97" spans="1:9" x14ac:dyDescent="0.2">
      <c r="A97" s="2">
        <v>39630</v>
      </c>
      <c r="B97" s="3">
        <v>1261</v>
      </c>
      <c r="C97" s="7" t="s">
        <v>33</v>
      </c>
      <c r="D97" s="16">
        <f>+$M$3*(B97/F85)+(1-$M$3)*(D96+E96)</f>
        <v>1237.2877047906381</v>
      </c>
      <c r="E97" s="15">
        <f>+$M$4*(D97-D96)+(1-$M$4)*E96</f>
        <v>1.3955906748488758</v>
      </c>
      <c r="F97" s="15">
        <f>+$M$5*(B97/D97)+(1-$M$5)*F85</f>
        <v>1.0076902910571699</v>
      </c>
      <c r="G97" s="16">
        <f t="shared" si="5"/>
        <v>1221.4832257853959</v>
      </c>
      <c r="H97" s="16">
        <f t="shared" si="4"/>
        <v>39.516774214604084</v>
      </c>
      <c r="I97" s="16">
        <f t="shared" si="6"/>
        <v>1561.5754443279982</v>
      </c>
    </row>
    <row r="98" spans="1:9" x14ac:dyDescent="0.2">
      <c r="A98" s="2">
        <v>39661</v>
      </c>
      <c r="B98" s="3">
        <v>1196</v>
      </c>
      <c r="C98" s="7" t="s">
        <v>33</v>
      </c>
      <c r="D98" s="16">
        <f>+$M$3*(B98/F86)+(1-$M$3)*(D97+E97)</f>
        <v>1247.1746977478231</v>
      </c>
      <c r="E98" s="15">
        <f>+$M$4*(D98-D97)+(1-$M$4)*E97</f>
        <v>1.4607996521385285</v>
      </c>
      <c r="F98" s="15">
        <f>+$M$5*(B98/D98)+(1-$M$5)*F86</f>
        <v>0.95319153320421091</v>
      </c>
      <c r="G98" s="16">
        <f t="shared" si="5"/>
        <v>1175.949238487389</v>
      </c>
      <c r="H98" s="16">
        <f t="shared" si="4"/>
        <v>20.050761512610961</v>
      </c>
      <c r="I98" s="16">
        <f t="shared" si="6"/>
        <v>402.033037235601</v>
      </c>
    </row>
    <row r="99" spans="1:9" x14ac:dyDescent="0.2">
      <c r="A99" s="2">
        <v>39692</v>
      </c>
      <c r="B99" s="3">
        <v>1251</v>
      </c>
      <c r="C99" s="7" t="s">
        <v>33</v>
      </c>
      <c r="D99" s="16">
        <f>+$M$3*(B99/F87)+(1-$M$3)*(D98+E98)</f>
        <v>1273.8543488412784</v>
      </c>
      <c r="E99" s="15">
        <f>+$M$4*(D99-D98)+(1-$M$4)*E98</f>
        <v>1.6544656046195285</v>
      </c>
      <c r="F99" s="15">
        <f>+$M$5*(B99/D99)+(1-$M$5)*F87</f>
        <v>0.96518231654404718</v>
      </c>
      <c r="G99" s="16">
        <f t="shared" si="5"/>
        <v>1191.1611409801585</v>
      </c>
      <c r="H99" s="16">
        <f t="shared" si="4"/>
        <v>59.838859019841493</v>
      </c>
      <c r="I99" s="16">
        <f t="shared" si="6"/>
        <v>3580.6890487964656</v>
      </c>
    </row>
    <row r="100" spans="1:9" x14ac:dyDescent="0.2">
      <c r="A100" s="2">
        <v>39722</v>
      </c>
      <c r="B100" s="3">
        <v>1414</v>
      </c>
      <c r="C100" s="7" t="s">
        <v>33</v>
      </c>
      <c r="D100" s="16">
        <f>+$M$3*(B100/F88)+(1-$M$3)*(D99+E99)</f>
        <v>1300.7117819846912</v>
      </c>
      <c r="E100" s="15">
        <f>+$M$4*(D100-D99)+(1-$M$4)*E99</f>
        <v>1.8480095780675632</v>
      </c>
      <c r="F100" s="15">
        <f>+$M$5*(B100/D100)+(1-$M$5)*F88</f>
        <v>1.068801580971215</v>
      </c>
      <c r="G100" s="16">
        <f t="shared" si="5"/>
        <v>1347.7623818507918</v>
      </c>
      <c r="H100" s="16">
        <f t="shared" si="4"/>
        <v>66.237618149208174</v>
      </c>
      <c r="I100" s="16">
        <f t="shared" si="6"/>
        <v>4387.4220580803121</v>
      </c>
    </row>
    <row r="101" spans="1:9" x14ac:dyDescent="0.2">
      <c r="A101" s="2">
        <v>39753</v>
      </c>
      <c r="B101" s="3">
        <v>1291</v>
      </c>
      <c r="C101" s="7" t="s">
        <v>33</v>
      </c>
      <c r="D101" s="16">
        <f>+$M$3*(B101/F89)+(1-$M$3)*(D100+E100)</f>
        <v>1287.1984655016893</v>
      </c>
      <c r="E101" s="15">
        <f>+$M$4*(D101-D100)+(1-$M$4)*E100</f>
        <v>1.730043625101352</v>
      </c>
      <c r="F101" s="15">
        <f>+$M$5*(B101/D101)+(1-$M$5)*F89</f>
        <v>1.0138422793396675</v>
      </c>
      <c r="G101" s="16">
        <f t="shared" si="5"/>
        <v>1330.0130683765249</v>
      </c>
      <c r="H101" s="16">
        <f t="shared" si="4"/>
        <v>-39.01306837652487</v>
      </c>
      <c r="I101" s="16">
        <f t="shared" si="6"/>
        <v>1522.0195041514048</v>
      </c>
    </row>
    <row r="102" spans="1:9" x14ac:dyDescent="0.2">
      <c r="A102" s="2">
        <v>39783</v>
      </c>
      <c r="B102" s="3">
        <v>1293</v>
      </c>
      <c r="C102" s="7" t="s">
        <v>33</v>
      </c>
      <c r="D102" s="16">
        <f>+$M$3*(B102/F90)+(1-$M$3)*(D101+E101)</f>
        <v>1272.2541804519676</v>
      </c>
      <c r="E102" s="15">
        <f>+$M$4*(D102-D101)+(1-$M$4)*E101</f>
        <v>1.6019945839979068</v>
      </c>
      <c r="F102" s="15">
        <f>+$M$5*(B102/D102)+(1-$M$5)*F90</f>
        <v>1.0284456100576085</v>
      </c>
      <c r="G102" s="16">
        <f t="shared" si="5"/>
        <v>1335.9877960722215</v>
      </c>
      <c r="H102" s="16">
        <f t="shared" si="4"/>
        <v>-42.987796072221499</v>
      </c>
      <c r="I102" s="16">
        <f t="shared" si="6"/>
        <v>1847.9506111469022</v>
      </c>
    </row>
    <row r="103" spans="1:9" x14ac:dyDescent="0.2">
      <c r="A103" s="2">
        <v>39814</v>
      </c>
      <c r="B103" s="3">
        <v>1289</v>
      </c>
      <c r="C103" s="7" t="s">
        <v>33</v>
      </c>
      <c r="D103" s="16">
        <f>+$M$3*(B103/F91)+(1-$M$3)*(D102+E102)</f>
        <v>1275.1683734108381</v>
      </c>
      <c r="E103" s="15">
        <f>+$M$4*(D103-D102)+(1-$M$4)*E102</f>
        <v>1.6120714960533609</v>
      </c>
      <c r="F103" s="15">
        <f>+$M$5*(B103/D103)+(1-$M$5)*F91</f>
        <v>1.0099187966878034</v>
      </c>
      <c r="G103" s="16">
        <f t="shared" si="5"/>
        <v>1285.7058461508459</v>
      </c>
      <c r="H103" s="16">
        <f t="shared" si="4"/>
        <v>3.2941538491540996</v>
      </c>
      <c r="I103" s="16">
        <f t="shared" si="6"/>
        <v>10.85144958189677</v>
      </c>
    </row>
    <row r="104" spans="1:9" x14ac:dyDescent="0.2">
      <c r="A104" s="2">
        <v>39845</v>
      </c>
      <c r="B104" s="3">
        <v>1320</v>
      </c>
      <c r="C104" s="7" t="s">
        <v>33</v>
      </c>
      <c r="D104" s="16">
        <f>+$M$3*(B104/F92)+(1-$M$3)*(D103+E103)</f>
        <v>1268.8009652304786</v>
      </c>
      <c r="E104" s="15">
        <f>+$M$4*(D104-D103)+(1-$M$4)*E103</f>
        <v>1.5507937834092602</v>
      </c>
      <c r="F104" s="15">
        <f>+$M$5*(B104/D104)+(1-$M$5)*F92</f>
        <v>1.0462541311051163</v>
      </c>
      <c r="G104" s="16">
        <f t="shared" si="5"/>
        <v>1340.8429615819693</v>
      </c>
      <c r="H104" s="16">
        <f t="shared" si="4"/>
        <v>-20.842961581969348</v>
      </c>
      <c r="I104" s="16">
        <f t="shared" si="6"/>
        <v>434.42904750745021</v>
      </c>
    </row>
    <row r="105" spans="1:9" x14ac:dyDescent="0.2">
      <c r="A105" s="2">
        <v>39873</v>
      </c>
      <c r="B105" s="3">
        <v>1313</v>
      </c>
      <c r="C105" s="7" t="s">
        <v>33</v>
      </c>
      <c r="D105" s="16">
        <f>+$M$3*(B105/F93)+(1-$M$3)*(D104+E104)</f>
        <v>1270.9475095760163</v>
      </c>
      <c r="E105" s="15">
        <f>+$M$4*(D105-D104)+(1-$M$4)*E104</f>
        <v>1.555368797474598</v>
      </c>
      <c r="F105" s="15">
        <f>+$M$5*(B105/D105)+(1-$M$5)*F93</f>
        <v>1.0326550819359097</v>
      </c>
      <c r="G105" s="16">
        <f t="shared" si="5"/>
        <v>1311.4702443360109</v>
      </c>
      <c r="H105" s="16">
        <f t="shared" si="4"/>
        <v>1.5297556639891354</v>
      </c>
      <c r="I105" s="16">
        <f t="shared" si="6"/>
        <v>2.3401523915068405</v>
      </c>
    </row>
    <row r="106" spans="1:9" x14ac:dyDescent="0.2">
      <c r="A106" s="2">
        <v>39904</v>
      </c>
      <c r="B106" s="3">
        <v>1265</v>
      </c>
      <c r="C106" s="7" t="s">
        <v>33</v>
      </c>
      <c r="D106" s="16">
        <f>+$M$3*(B106/F94)+(1-$M$3)*(D105+E105)</f>
        <v>1281.2012892615176</v>
      </c>
      <c r="E106" s="15">
        <f>+$M$4*(D106-D105)+(1-$M$4)*E105</f>
        <v>1.6221674791521024</v>
      </c>
      <c r="F106" s="15">
        <f>+$M$5*(B106/D106)+(1-$M$5)*F94</f>
        <v>0.98142431176004907</v>
      </c>
      <c r="G106" s="16">
        <f t="shared" si="5"/>
        <v>1243.8518222049468</v>
      </c>
      <c r="H106" s="16">
        <f t="shared" si="4"/>
        <v>21.148177795053243</v>
      </c>
      <c r="I106" s="16">
        <f t="shared" si="6"/>
        <v>447.24542405118308</v>
      </c>
    </row>
    <row r="107" spans="1:9" x14ac:dyDescent="0.2">
      <c r="A107" s="2">
        <v>39934</v>
      </c>
      <c r="B107" s="3">
        <v>1233</v>
      </c>
      <c r="C107" s="7" t="s">
        <v>33</v>
      </c>
      <c r="D107" s="16">
        <f>+$M$3*(B107/F95)+(1-$M$3)*(D106+E106)</f>
        <v>1249.4804825275664</v>
      </c>
      <c r="E107" s="15">
        <f>+$M$4*(D107-D106)+(1-$M$4)*E106</f>
        <v>1.3661130400926484</v>
      </c>
      <c r="F107" s="15">
        <f>+$M$5*(B107/D107)+(1-$M$5)*F95</f>
        <v>1.0113143302678262</v>
      </c>
      <c r="G107" s="16">
        <f t="shared" si="5"/>
        <v>1318.221462564474</v>
      </c>
      <c r="H107" s="16">
        <f t="shared" si="4"/>
        <v>-85.221462564473995</v>
      </c>
      <c r="I107" s="16">
        <f t="shared" si="6"/>
        <v>7262.697681628043</v>
      </c>
    </row>
    <row r="108" spans="1:9" x14ac:dyDescent="0.2">
      <c r="A108" s="2">
        <v>39965</v>
      </c>
      <c r="B108" s="3">
        <v>1187</v>
      </c>
      <c r="C108" s="7" t="s">
        <v>33</v>
      </c>
      <c r="D108" s="16">
        <f>+$M$3*(B108/F96)+(1-$M$3)*(D107+E107)</f>
        <v>1241.5580662112156</v>
      </c>
      <c r="E108" s="15">
        <f>+$M$4*(D108-D107)+(1-$M$4)*E107</f>
        <v>1.2947825955183088</v>
      </c>
      <c r="F108" s="15">
        <f>+$M$5*(B108/D108)+(1-$M$5)*F96</f>
        <v>0.96252026537121038</v>
      </c>
      <c r="G108" s="16">
        <f t="shared" si="5"/>
        <v>1209.3364007691359</v>
      </c>
      <c r="H108" s="16">
        <f t="shared" si="4"/>
        <v>-22.336400769135935</v>
      </c>
      <c r="I108" s="16">
        <f t="shared" si="6"/>
        <v>498.91479931945639</v>
      </c>
    </row>
    <row r="109" spans="1:9" x14ac:dyDescent="0.2">
      <c r="A109" s="2">
        <v>39995</v>
      </c>
      <c r="B109" s="3">
        <v>1278</v>
      </c>
      <c r="C109" s="7" t="s">
        <v>33</v>
      </c>
      <c r="D109" s="16">
        <f>+$M$3*(B109/F97)+(1-$M$3)*(D108+E108)</f>
        <v>1253.0624161905453</v>
      </c>
      <c r="E109" s="15">
        <f>+$M$4*(D109-D108)+(1-$M$4)*E108</f>
        <v>1.3731860706490355</v>
      </c>
      <c r="F109" s="15">
        <f>+$M$5*(B109/D109)+(1-$M$5)*F97</f>
        <v>1.0125645240238299</v>
      </c>
      <c r="G109" s="16">
        <f t="shared" si="5"/>
        <v>1252.4107489552905</v>
      </c>
      <c r="H109" s="16">
        <f t="shared" si="4"/>
        <v>25.589251044709499</v>
      </c>
      <c r="I109" s="16">
        <f t="shared" si="6"/>
        <v>654.8097690291662</v>
      </c>
    </row>
    <row r="110" spans="1:9" x14ac:dyDescent="0.2">
      <c r="A110" s="2">
        <v>40026</v>
      </c>
      <c r="B110" s="3">
        <v>1197</v>
      </c>
      <c r="C110" s="7" t="s">
        <v>33</v>
      </c>
      <c r="D110" s="16">
        <f>+$M$3*(B110/F98)+(1-$M$3)*(D109+E109)</f>
        <v>1254.9765926917948</v>
      </c>
      <c r="E110" s="15">
        <f>+$M$4*(D110-D109)+(1-$M$4)*E109</f>
        <v>1.3773405590986447</v>
      </c>
      <c r="F110" s="15">
        <f>+$M$5*(B110/D110)+(1-$M$5)*F98</f>
        <v>0.95343547078152313</v>
      </c>
      <c r="G110" s="16">
        <f t="shared" si="5"/>
        <v>1195.7173950252957</v>
      </c>
      <c r="H110" s="16">
        <f t="shared" si="4"/>
        <v>1.2826049747043271</v>
      </c>
      <c r="I110" s="16">
        <f t="shared" si="6"/>
        <v>1.6450755211362875</v>
      </c>
    </row>
    <row r="111" spans="1:9" x14ac:dyDescent="0.2">
      <c r="A111" s="2">
        <v>40057</v>
      </c>
      <c r="B111" s="3">
        <v>1181</v>
      </c>
      <c r="C111" s="7" t="s">
        <v>33</v>
      </c>
      <c r="D111" s="16">
        <f>+$M$3*(B111/F99)+(1-$M$3)*(D110+E110)</f>
        <v>1243.1865275234095</v>
      </c>
      <c r="E111" s="15">
        <f>+$M$4*(D111-D110)+(1-$M$4)*E110</f>
        <v>1.2762226244515855</v>
      </c>
      <c r="F111" s="15">
        <f>+$M$5*(B111/D111)+(1-$M$5)*F99</f>
        <v>0.9591133065608537</v>
      </c>
      <c r="G111" s="16">
        <f t="shared" si="5"/>
        <v>1212.6105996943227</v>
      </c>
      <c r="H111" s="16">
        <f t="shared" si="4"/>
        <v>-31.610599694322673</v>
      </c>
      <c r="I111" s="16">
        <f t="shared" si="6"/>
        <v>999.23001303471267</v>
      </c>
    </row>
    <row r="112" spans="1:9" x14ac:dyDescent="0.2">
      <c r="A112" s="2">
        <v>40087</v>
      </c>
      <c r="B112" s="3">
        <v>1367</v>
      </c>
      <c r="C112" s="7" t="s">
        <v>33</v>
      </c>
      <c r="D112" s="16">
        <f>+$M$3*(B112/F100)+(1-$M$3)*(D111+E111)</f>
        <v>1258.3493932289452</v>
      </c>
      <c r="E112" s="15">
        <f>+$M$4*(D112-D111)+(1-$M$4)*E111</f>
        <v>1.3828638791225172</v>
      </c>
      <c r="F112" s="15">
        <f>+$M$5*(B112/D112)+(1-$M$5)*F100</f>
        <v>1.0758038322174053</v>
      </c>
      <c r="G112" s="16">
        <f t="shared" si="5"/>
        <v>1330.0837548178199</v>
      </c>
      <c r="H112" s="16">
        <f t="shared" si="4"/>
        <v>36.916245182180091</v>
      </c>
      <c r="I112" s="16">
        <f t="shared" si="6"/>
        <v>1362.8091583508349</v>
      </c>
    </row>
    <row r="113" spans="1:9" x14ac:dyDescent="0.2">
      <c r="A113" s="2">
        <v>40118</v>
      </c>
      <c r="B113" s="3">
        <v>1234</v>
      </c>
      <c r="C113" s="7" t="s">
        <v>33</v>
      </c>
      <c r="D113" s="16">
        <f>+$M$3*(B113/F101)+(1-$M$3)*(D112+E112)</f>
        <v>1242.6129293070824</v>
      </c>
      <c r="E113" s="15">
        <f>+$M$4*(D113-D112)+(1-$M$4)*E112</f>
        <v>1.2513975063526401</v>
      </c>
      <c r="F113" s="15">
        <f>+$M$5*(B113/D113)+(1-$M$5)*F101</f>
        <v>1.0055501549024659</v>
      </c>
      <c r="G113" s="16">
        <f t="shared" si="5"/>
        <v>1277.1698229041476</v>
      </c>
      <c r="H113" s="16">
        <f t="shared" si="4"/>
        <v>-43.169822904147622</v>
      </c>
      <c r="I113" s="16">
        <f t="shared" si="6"/>
        <v>1863.6336095754687</v>
      </c>
    </row>
    <row r="114" spans="1:9" x14ac:dyDescent="0.2">
      <c r="A114" s="2">
        <v>40148</v>
      </c>
      <c r="B114" s="3">
        <v>1254</v>
      </c>
      <c r="C114" s="7" t="s">
        <v>33</v>
      </c>
      <c r="D114" s="16">
        <f>+$M$3*(B114/F102)+(1-$M$3)*(D113+E113)</f>
        <v>1233.9946720738176</v>
      </c>
      <c r="E114" s="15">
        <f>+$M$4*(D114-D113)+(1-$M$4)*E113</f>
        <v>1.175604360488943</v>
      </c>
      <c r="F114" s="15">
        <f>+$M$5*(B114/D114)+(1-$M$5)*F102</f>
        <v>1.0235622968811044</v>
      </c>
      <c r="G114" s="16">
        <f t="shared" si="5"/>
        <v>1279.2468064185396</v>
      </c>
      <c r="H114" s="16">
        <f t="shared" si="4"/>
        <v>-25.246806418539563</v>
      </c>
      <c r="I114" s="16">
        <f t="shared" si="6"/>
        <v>637.40123433521046</v>
      </c>
    </row>
    <row r="115" spans="1:9" x14ac:dyDescent="0.2">
      <c r="A115" s="2">
        <v>40179</v>
      </c>
      <c r="B115" s="3">
        <v>1287</v>
      </c>
      <c r="C115" s="7" t="s">
        <v>33</v>
      </c>
      <c r="D115" s="16">
        <f>+$M$3*(B115/F103)+(1-$M$3)*(D114+E114)</f>
        <v>1250.9263408303727</v>
      </c>
      <c r="E115" s="15">
        <f>+$M$4*(D115-D114)+(1-$M$4)*E114</f>
        <v>1.2966016717946007</v>
      </c>
      <c r="F115" s="15">
        <f>+$M$5*(B115/D115)+(1-$M$5)*F103</f>
        <v>1.0174705368364321</v>
      </c>
      <c r="G115" s="16">
        <f t="shared" si="5"/>
        <v>1247.4216792810762</v>
      </c>
      <c r="H115" s="16">
        <f t="shared" si="4"/>
        <v>39.578320718923806</v>
      </c>
      <c r="I115" s="16">
        <f t="shared" si="6"/>
        <v>1566.4434709299933</v>
      </c>
    </row>
    <row r="116" spans="1:9" x14ac:dyDescent="0.2">
      <c r="A116" s="2">
        <v>40210</v>
      </c>
      <c r="B116" s="3">
        <v>1314</v>
      </c>
      <c r="C116" s="7" t="s">
        <v>33</v>
      </c>
      <c r="D116" s="16">
        <f>+$M$3*(B116/F104)+(1-$M$3)*(D115+E115)</f>
        <v>1253.7049187676153</v>
      </c>
      <c r="E116" s="15">
        <f>+$M$4*(D116-D115)+(1-$M$4)*E115</f>
        <v>1.3079823782343869</v>
      </c>
      <c r="F116" s="15">
        <f>+$M$5*(B116/D116)+(1-$M$5)*F104</f>
        <v>1.0469883535846214</v>
      </c>
      <c r="G116" s="16">
        <f t="shared" si="5"/>
        <v>1310.1434266574972</v>
      </c>
      <c r="H116" s="16">
        <f t="shared" si="4"/>
        <v>3.8565733425027702</v>
      </c>
      <c r="I116" s="16">
        <f t="shared" si="6"/>
        <v>14.873157946102989</v>
      </c>
    </row>
    <row r="117" spans="1:9" x14ac:dyDescent="0.2">
      <c r="A117" s="2">
        <v>40238</v>
      </c>
      <c r="B117" s="3">
        <v>1395</v>
      </c>
      <c r="C117" s="7" t="s">
        <v>33</v>
      </c>
      <c r="D117" s="16">
        <f>+$M$3*(B117/F105)+(1-$M$3)*(D116+E116)</f>
        <v>1293.5586693488954</v>
      </c>
      <c r="E117" s="15">
        <f>+$M$4*(D117-D116)+(1-$M$4)*E116</f>
        <v>1.6039912163262191</v>
      </c>
      <c r="F117" s="15">
        <f>+$M$5*(B117/D117)+(1-$M$5)*F105</f>
        <v>1.0509230580002664</v>
      </c>
      <c r="G117" s="16">
        <f t="shared" si="5"/>
        <v>1295.9954502633911</v>
      </c>
      <c r="H117" s="16">
        <f t="shared" si="4"/>
        <v>99.004549736608851</v>
      </c>
      <c r="I117" s="16">
        <f t="shared" si="6"/>
        <v>9801.9008685486551</v>
      </c>
    </row>
    <row r="118" spans="1:9" x14ac:dyDescent="0.2">
      <c r="A118" s="2">
        <v>40269</v>
      </c>
      <c r="B118" s="3">
        <v>1337</v>
      </c>
      <c r="C118" s="7" t="s">
        <v>33</v>
      </c>
      <c r="D118" s="16">
        <f>+$M$3*(B118/F106)+(1-$M$3)*(D117+E117)</f>
        <v>1322.1573459895385</v>
      </c>
      <c r="E118" s="15">
        <f>+$M$4*(D118-D117)+(1-$M$4)*E117</f>
        <v>1.811294529753896</v>
      </c>
      <c r="F118" s="15">
        <f>+$M$5*(B118/D118)+(1-$M$5)*F106</f>
        <v>0.99332019008497197</v>
      </c>
      <c r="G118" s="16">
        <f t="shared" si="5"/>
        <v>1271.1041227625367</v>
      </c>
      <c r="H118" s="16">
        <f t="shared" si="4"/>
        <v>65.89587723746331</v>
      </c>
      <c r="I118" s="16">
        <f t="shared" si="6"/>
        <v>4342.2666368948348</v>
      </c>
    </row>
    <row r="119" spans="1:9" x14ac:dyDescent="0.2">
      <c r="A119" s="2">
        <v>40299</v>
      </c>
      <c r="B119" s="3">
        <v>1363</v>
      </c>
      <c r="C119" s="7" t="s">
        <v>33</v>
      </c>
      <c r="D119" s="16">
        <f>+$M$3*(B119/F107)+(1-$M$3)*(D118+E118)</f>
        <v>1333.530306874683</v>
      </c>
      <c r="E119" s="15">
        <f>+$M$4*(D119-D118)+(1-$M$4)*E118</f>
        <v>1.884722505898299</v>
      </c>
      <c r="F119" s="15">
        <f>+$M$5*(B119/D119)+(1-$M$5)*F107</f>
        <v>1.0156192140267613</v>
      </c>
      <c r="G119" s="16">
        <f t="shared" si="5"/>
        <v>1338.9484589823726</v>
      </c>
      <c r="H119" s="16">
        <f t="shared" si="4"/>
        <v>24.051541017627414</v>
      </c>
      <c r="I119" s="16">
        <f t="shared" si="6"/>
        <v>578.47662532261393</v>
      </c>
    </row>
    <row r="120" spans="1:9" x14ac:dyDescent="0.2">
      <c r="A120" s="2">
        <v>40330</v>
      </c>
      <c r="B120" s="3">
        <v>1352</v>
      </c>
      <c r="C120" s="7" t="s">
        <v>33</v>
      </c>
      <c r="D120" s="16">
        <f>+$M$3*(B120/F108)+(1-$M$3)*(D119+E119)</f>
        <v>1363.2490337446288</v>
      </c>
      <c r="E120" s="15">
        <f>+$M$4*(D120-D119)+(1-$M$4)*E119</f>
        <v>2.0984712953333395</v>
      </c>
      <c r="F120" s="15">
        <f>+$M$5*(B120/D120)+(1-$M$5)*F108</f>
        <v>0.97418715118449573</v>
      </c>
      <c r="G120" s="16">
        <f t="shared" si="5"/>
        <v>1285.3640284600997</v>
      </c>
      <c r="H120" s="16">
        <f t="shared" si="4"/>
        <v>66.635971539900311</v>
      </c>
      <c r="I120" s="16">
        <f t="shared" si="6"/>
        <v>4440.3527030664045</v>
      </c>
    </row>
    <row r="121" spans="1:9" x14ac:dyDescent="0.2">
      <c r="A121" s="2">
        <v>40360</v>
      </c>
      <c r="B121" s="3">
        <v>1403</v>
      </c>
      <c r="C121" s="7" t="s">
        <v>33</v>
      </c>
      <c r="D121" s="16">
        <f>+$M$3*(B121/F109)+(1-$M$3)*(D120+E120)</f>
        <v>1373.4862260009859</v>
      </c>
      <c r="E121" s="15">
        <f>+$M$4*(D121-D120)+(1-$M$4)*E120</f>
        <v>2.1609718874226136</v>
      </c>
      <c r="F121" s="15">
        <f>+$M$5*(B121/D121)+(1-$M$5)*F109</f>
        <v>1.0161265668001325</v>
      </c>
      <c r="G121" s="16">
        <f t="shared" si="5"/>
        <v>1382.502446567913</v>
      </c>
      <c r="H121" s="16">
        <f t="shared" si="4"/>
        <v>20.497553432086988</v>
      </c>
      <c r="I121" s="16">
        <f t="shared" si="6"/>
        <v>420.14969670126106</v>
      </c>
    </row>
    <row r="122" spans="1:9" x14ac:dyDescent="0.2">
      <c r="A122" s="2">
        <v>40391</v>
      </c>
      <c r="B122" s="3">
        <v>1289</v>
      </c>
      <c r="C122" s="7" t="s">
        <v>33</v>
      </c>
      <c r="D122" s="16">
        <f>+$M$3*(B122/F110)+(1-$M$3)*(D121+E121)</f>
        <v>1366.1210395995158</v>
      </c>
      <c r="E122" s="15">
        <f>+$M$4*(D122-D121)+(1-$M$4)*E121</f>
        <v>2.0878165923531231</v>
      </c>
      <c r="F122" s="15">
        <f>+$M$5*(B122/D122)+(1-$M$5)*F110</f>
        <v>0.94948849472918695</v>
      </c>
      <c r="G122" s="16">
        <f t="shared" si="5"/>
        <v>1311.590833748018</v>
      </c>
      <c r="H122" s="16">
        <f t="shared" si="4"/>
        <v>-22.590833748017985</v>
      </c>
      <c r="I122" s="16">
        <f t="shared" si="6"/>
        <v>510.34576943058835</v>
      </c>
    </row>
    <row r="123" spans="1:9" x14ac:dyDescent="0.2">
      <c r="A123" s="2">
        <v>40422</v>
      </c>
      <c r="B123" s="3">
        <v>1274</v>
      </c>
      <c r="C123" s="7" t="s">
        <v>33</v>
      </c>
      <c r="D123" s="16">
        <f>+$M$3*(B123/F111)+(1-$M$3)*(D122+E122)</f>
        <v>1352.1677256815083</v>
      </c>
      <c r="E123" s="15">
        <f>+$M$4*(D123-D122)+(1-$M$4)*E122</f>
        <v>1.964630140884863</v>
      </c>
      <c r="F123" s="15">
        <f>+$M$5*(B123/D123)+(1-$M$5)*F111</f>
        <v>0.95235840700344565</v>
      </c>
      <c r="G123" s="16">
        <f t="shared" si="5"/>
        <v>1312.267320128027</v>
      </c>
      <c r="H123" s="16">
        <f t="shared" si="4"/>
        <v>-38.267320128026995</v>
      </c>
      <c r="I123" s="16">
        <f t="shared" si="6"/>
        <v>1464.3877897809</v>
      </c>
    </row>
    <row r="124" spans="1:9" x14ac:dyDescent="0.2">
      <c r="A124" s="2">
        <v>40452</v>
      </c>
      <c r="B124" s="3">
        <v>1430</v>
      </c>
      <c r="C124" s="7" t="s">
        <v>33</v>
      </c>
      <c r="D124" s="16">
        <f>+$M$3*(B124/F112)+(1-$M$3)*(D123+E123)</f>
        <v>1344.123903214884</v>
      </c>
      <c r="E124" s="15">
        <f>+$M$4*(D124-D123)+(1-$M$4)*E123</f>
        <v>1.8877711089973661</v>
      </c>
      <c r="F124" s="15">
        <f>+$M$5*(B124/D124)+(1-$M$5)*F112</f>
        <v>1.0710482325026387</v>
      </c>
      <c r="G124" s="16">
        <f t="shared" si="5"/>
        <v>1456.7807777233133</v>
      </c>
      <c r="H124" s="16">
        <f t="shared" si="4"/>
        <v>-26.780777723313349</v>
      </c>
      <c r="I124" s="16">
        <f t="shared" si="6"/>
        <v>717.21005546551658</v>
      </c>
    </row>
    <row r="125" spans="1:9" x14ac:dyDescent="0.2">
      <c r="A125" s="2">
        <v>40483</v>
      </c>
      <c r="B125" s="3">
        <v>1343</v>
      </c>
      <c r="C125" s="7" t="s">
        <v>33</v>
      </c>
      <c r="D125" s="16">
        <f>+$M$3*(B125/F113)+(1-$M$3)*(D124+E124)</f>
        <v>1341.8205792147751</v>
      </c>
      <c r="E125" s="15">
        <f>+$M$4*(D125-D124)+(1-$M$4)*E124</f>
        <v>1.8555859625749664</v>
      </c>
      <c r="F125" s="15">
        <f>+$M$5*(B125/D125)+(1-$M$5)*F113</f>
        <v>1.0036855733713181</v>
      </c>
      <c r="G125" s="16">
        <f t="shared" si="5"/>
        <v>1353.4822476169063</v>
      </c>
      <c r="H125" s="16">
        <f t="shared" si="4"/>
        <v>-10.482247616906307</v>
      </c>
      <c r="I125" s="16">
        <f t="shared" si="6"/>
        <v>109.87751510213795</v>
      </c>
    </row>
    <row r="126" spans="1:9" x14ac:dyDescent="0.2">
      <c r="A126" s="2">
        <v>40513</v>
      </c>
      <c r="B126" s="3">
        <v>1405</v>
      </c>
      <c r="C126" s="7" t="s">
        <v>33</v>
      </c>
      <c r="D126" s="16">
        <f>+$M$3*(B126/F114)+(1-$M$3)*(D125+E125)</f>
        <v>1355.3278421829095</v>
      </c>
      <c r="E126" s="15">
        <f>+$M$4*(D126-D125)+(1-$M$4)*E125</f>
        <v>1.945063991760138</v>
      </c>
      <c r="F126" s="15">
        <f>+$M$5*(B126/D126)+(1-$M$5)*F114</f>
        <v>1.0287862940153338</v>
      </c>
      <c r="G126" s="16">
        <f t="shared" si="5"/>
        <v>1375.3362618933227</v>
      </c>
      <c r="H126" s="16">
        <f t="shared" si="4"/>
        <v>29.663738106677329</v>
      </c>
      <c r="I126" s="16">
        <f t="shared" si="6"/>
        <v>879.93735846154073</v>
      </c>
    </row>
    <row r="127" spans="1:9" x14ac:dyDescent="0.2">
      <c r="A127" s="2">
        <v>40544</v>
      </c>
      <c r="B127" s="3">
        <v>1372</v>
      </c>
      <c r="C127" s="7" t="s">
        <v>33</v>
      </c>
      <c r="D127" s="16">
        <f>+$M$3*(B127/F115)+(1-$M$3)*(D126+E126)</f>
        <v>1353.7224645058113</v>
      </c>
      <c r="E127" s="15">
        <f>+$M$4*(D127-D126)+(1-$M$4)*E126</f>
        <v>1.9177986871078743</v>
      </c>
      <c r="F127" s="15">
        <f>+$M$5*(B127/D127)+(1-$M$5)*F115</f>
        <v>1.0158863034522501</v>
      </c>
      <c r="G127" s="16">
        <f t="shared" si="5"/>
        <v>1380.9851924790855</v>
      </c>
      <c r="H127" s="16">
        <f t="shared" si="4"/>
        <v>-8.9851924790855264</v>
      </c>
      <c r="I127" s="16">
        <f t="shared" si="6"/>
        <v>80.733683886215104</v>
      </c>
    </row>
    <row r="128" spans="1:9" x14ac:dyDescent="0.2">
      <c r="A128" s="2">
        <v>40575</v>
      </c>
      <c r="B128" s="3">
        <v>1426</v>
      </c>
      <c r="C128" s="7" t="s">
        <v>33</v>
      </c>
      <c r="D128" s="16">
        <f>+$M$3*(B128/F116)+(1-$M$3)*(D127+E127)</f>
        <v>1358.1978915495947</v>
      </c>
      <c r="E128" s="15">
        <f>+$M$4*(D128-D127)+(1-$M$4)*E127</f>
        <v>1.9374397692142731</v>
      </c>
      <c r="F128" s="15">
        <f>+$M$5*(B128/D128)+(1-$M$5)*F116</f>
        <v>1.0481588249942031</v>
      </c>
      <c r="G128" s="16">
        <f t="shared" si="5"/>
        <v>1419.3395672133774</v>
      </c>
      <c r="H128" s="16">
        <f t="shared" si="4"/>
        <v>6.6604327866225503</v>
      </c>
      <c r="I128" s="16">
        <f t="shared" si="6"/>
        <v>44.361364905116631</v>
      </c>
    </row>
    <row r="129" spans="1:9" x14ac:dyDescent="0.2">
      <c r="A129" s="2">
        <v>40603</v>
      </c>
      <c r="B129" s="3">
        <v>1431</v>
      </c>
      <c r="C129" s="7" t="s">
        <v>33</v>
      </c>
      <c r="D129" s="16">
        <f>+$M$3*(B129/F117)+(1-$M$3)*(D128+E128)</f>
        <v>1360.7483614464966</v>
      </c>
      <c r="E129" s="15">
        <f>+$M$4*(D129-D128)+(1-$M$4)*E128</f>
        <v>1.9421474801841572</v>
      </c>
      <c r="F129" s="15">
        <f>+$M$5*(B129/D129)+(1-$M$5)*F117</f>
        <v>1.0512041312353175</v>
      </c>
      <c r="G129" s="16">
        <f t="shared" si="5"/>
        <v>1429.3975816837683</v>
      </c>
      <c r="H129" s="16">
        <f t="shared" si="4"/>
        <v>1.6024183162317058</v>
      </c>
      <c r="I129" s="16">
        <f t="shared" si="6"/>
        <v>2.5677444601948554</v>
      </c>
    </row>
    <row r="130" spans="1:9" x14ac:dyDescent="0.2">
      <c r="A130" s="2">
        <v>40634</v>
      </c>
      <c r="B130" s="3">
        <v>1297</v>
      </c>
      <c r="C130" s="7" t="s">
        <v>33</v>
      </c>
      <c r="D130" s="16">
        <f>+$M$3*(B130/F118)+(1-$M$3)*(D129+E129)</f>
        <v>1339.7864799045087</v>
      </c>
      <c r="E130" s="15">
        <f>+$M$4*(D130-D129)+(1-$M$4)*E129</f>
        <v>1.7662580029590274</v>
      </c>
      <c r="F130" s="15">
        <f>+$M$5*(B130/D130)+(1-$M$5)*F118</f>
        <v>0.98323903884626707</v>
      </c>
      <c r="G130" s="16">
        <f t="shared" si="5"/>
        <v>1353.5879953540375</v>
      </c>
      <c r="H130" s="16">
        <f t="shared" si="4"/>
        <v>-56.587995354037503</v>
      </c>
      <c r="I130" s="16">
        <f t="shared" si="6"/>
        <v>3202.2012181885698</v>
      </c>
    </row>
    <row r="131" spans="1:9" x14ac:dyDescent="0.2">
      <c r="A131" s="2">
        <v>40664</v>
      </c>
      <c r="B131" s="3">
        <v>1349</v>
      </c>
      <c r="C131" s="7" t="s">
        <v>33</v>
      </c>
      <c r="D131" s="16">
        <f>+$M$3*(B131/F119)+(1-$M$3)*(D130+E130)</f>
        <v>1336.2059078343564</v>
      </c>
      <c r="E131" s="15">
        <f>+$M$4*(D131-D130)+(1-$M$4)*E130</f>
        <v>1.7251974914891557</v>
      </c>
      <c r="F131" s="15">
        <f>+$M$5*(B131/D131)+(1-$M$5)*F119</f>
        <v>1.0132065409621145</v>
      </c>
      <c r="G131" s="16">
        <f t="shared" si="5"/>
        <v>1362.5067372490319</v>
      </c>
      <c r="H131" s="16">
        <f t="shared" si="4"/>
        <v>-13.506737249031858</v>
      </c>
      <c r="I131" s="16">
        <f t="shared" si="6"/>
        <v>182.43195111438467</v>
      </c>
    </row>
    <row r="132" spans="1:9" x14ac:dyDescent="0.2">
      <c r="A132" s="2">
        <v>40695</v>
      </c>
      <c r="B132" s="3">
        <v>1347</v>
      </c>
      <c r="C132" s="7" t="s">
        <v>33</v>
      </c>
      <c r="D132" s="16">
        <f>+$M$3*(B132/F120)+(1-$M$3)*(D131+E131)</f>
        <v>1355.92676720591</v>
      </c>
      <c r="E132" s="15">
        <f>+$M$4*(D132-D131)+(1-$M$4)*E131</f>
        <v>1.8633935947747675</v>
      </c>
      <c r="F132" s="15">
        <f>+$M$5*(B132/D132)+(1-$M$5)*F120</f>
        <v>0.98186286122659105</v>
      </c>
      <c r="G132" s="16">
        <f t="shared" si="5"/>
        <v>1303.3952919785088</v>
      </c>
      <c r="H132" s="16">
        <f t="shared" si="4"/>
        <v>43.604708021491206</v>
      </c>
      <c r="I132" s="16">
        <f t="shared" si="6"/>
        <v>1901.3705616394996</v>
      </c>
    </row>
    <row r="133" spans="1:9" x14ac:dyDescent="0.2">
      <c r="A133" s="2">
        <v>40725</v>
      </c>
      <c r="B133" s="3">
        <v>1367</v>
      </c>
      <c r="C133" s="7" t="s">
        <v>33</v>
      </c>
      <c r="D133" s="16">
        <f>+$M$3*(B133/F121)+(1-$M$3)*(D132+E132)</f>
        <v>1352.7704794777037</v>
      </c>
      <c r="E133" s="15">
        <f>+$M$4*(D133-D132)+(1-$M$4)*E132</f>
        <v>1.8248453933696263</v>
      </c>
      <c r="F133" s="15">
        <f>+$M$5*(B133/D133)+(1-$M$5)*F121</f>
        <v>1.0138881322104696</v>
      </c>
      <c r="G133" s="16">
        <f t="shared" si="5"/>
        <v>1379.6866545293997</v>
      </c>
      <c r="H133" s="16">
        <f t="shared" si="4"/>
        <v>-12.686654529399675</v>
      </c>
      <c r="I133" s="16">
        <f t="shared" si="6"/>
        <v>160.9512031483373</v>
      </c>
    </row>
    <row r="134" spans="1:9" x14ac:dyDescent="0.2">
      <c r="A134" s="2">
        <v>40756</v>
      </c>
      <c r="B134" s="3">
        <v>1328</v>
      </c>
      <c r="C134" s="7" t="s">
        <v>33</v>
      </c>
      <c r="D134" s="16">
        <f>+$M$3*(B134/F122)+(1-$M$3)*(D133+E133)</f>
        <v>1372.3064933022015</v>
      </c>
      <c r="E134" s="15">
        <f>+$M$4*(D134-D133)+(1-$M$4)*E133</f>
        <v>1.9608567542259063</v>
      </c>
      <c r="F134" s="15">
        <f>+$M$5*(B134/D134)+(1-$M$5)*F122</f>
        <v>0.95676345078379799</v>
      </c>
      <c r="G134" s="16">
        <f t="shared" si="5"/>
        <v>1286.1726759790292</v>
      </c>
      <c r="H134" s="16">
        <f t="shared" si="4"/>
        <v>41.827324020970764</v>
      </c>
      <c r="I134" s="16">
        <f t="shared" si="6"/>
        <v>1749.5250347552778</v>
      </c>
    </row>
    <row r="135" spans="1:9" x14ac:dyDescent="0.2">
      <c r="A135" s="2">
        <v>40787</v>
      </c>
      <c r="B135" s="3">
        <v>1280</v>
      </c>
      <c r="C135" s="7" t="s">
        <v>33</v>
      </c>
      <c r="D135" s="16">
        <f>+$M$3*(B135/F123)+(1-$M$3)*(D134+E134)</f>
        <v>1362.1112442424665</v>
      </c>
      <c r="E135" s="15">
        <f>+$M$4*(D135-D134)+(1-$M$4)*E134</f>
        <v>1.86750500835442</v>
      </c>
      <c r="F135" s="15">
        <f>+$M$5*(B135/D135)+(1-$M$5)*F123</f>
        <v>0.94731264355510381</v>
      </c>
      <c r="G135" s="16">
        <f t="shared" si="5"/>
        <v>1308.7950642965859</v>
      </c>
      <c r="H135" s="16">
        <f t="shared" si="4"/>
        <v>-28.795064296585906</v>
      </c>
      <c r="I135" s="16">
        <f t="shared" si="6"/>
        <v>829.15572784451638</v>
      </c>
    </row>
    <row r="136" spans="1:9" x14ac:dyDescent="0.2">
      <c r="A136" s="2">
        <v>40817</v>
      </c>
      <c r="B136" s="3">
        <v>1478</v>
      </c>
      <c r="C136" s="7" t="s">
        <v>33</v>
      </c>
      <c r="D136" s="16">
        <f>+$M$3*(B136/F124)+(1-$M$3)*(D135+E135)</f>
        <v>1370.4025673675983</v>
      </c>
      <c r="E136" s="15">
        <f>+$M$4*(D136-D135)+(1-$M$4)*E135</f>
        <v>1.9168361548202024</v>
      </c>
      <c r="F136" s="15">
        <f>+$M$5*(B136/D136)+(1-$M$5)*F124</f>
        <v>1.074028798028118</v>
      </c>
      <c r="G136" s="16">
        <f t="shared" si="5"/>
        <v>1460.8870285562514</v>
      </c>
      <c r="H136" s="16">
        <f t="shared" si="4"/>
        <v>17.11297144374862</v>
      </c>
      <c r="I136" s="16">
        <f t="shared" si="6"/>
        <v>292.85379163455571</v>
      </c>
    </row>
    <row r="137" spans="1:9" x14ac:dyDescent="0.2">
      <c r="A137" s="2">
        <v>40848</v>
      </c>
      <c r="B137" s="3">
        <v>1407</v>
      </c>
      <c r="C137" s="7" t="s">
        <v>33</v>
      </c>
      <c r="D137" s="16">
        <f>+$M$3*(B137/F125)+(1-$M$3)*(D136+E136)</f>
        <v>1384.1854337090435</v>
      </c>
      <c r="E137" s="15">
        <f>+$M$4*(D137-D136)+(1-$M$4)*E136</f>
        <v>2.0079602904141054</v>
      </c>
      <c r="F137" s="15">
        <f>+$M$5*(B137/D137)+(1-$M$5)*F125</f>
        <v>1.0087936032470597</v>
      </c>
      <c r="G137" s="16">
        <f t="shared" si="5"/>
        <v>1377.3771873729838</v>
      </c>
      <c r="H137" s="16">
        <f t="shared" si="4"/>
        <v>29.622812627016174</v>
      </c>
      <c r="I137" s="16">
        <f t="shared" si="6"/>
        <v>877.5110279353089</v>
      </c>
    </row>
    <row r="138" spans="1:9" x14ac:dyDescent="0.2">
      <c r="A138" s="2">
        <v>40878</v>
      </c>
      <c r="B138" s="3">
        <v>1523</v>
      </c>
      <c r="C138" s="7" t="s">
        <v>33</v>
      </c>
      <c r="D138" s="16">
        <f>+$M$3*(B138/F126)+(1-$M$3)*(D137+E137)</f>
        <v>1424.0629267656686</v>
      </c>
      <c r="E138" s="15">
        <f>+$M$4*(D138-D137)+(1-$M$4)*E137</f>
        <v>2.2987760379212712</v>
      </c>
      <c r="F138" s="15">
        <f>+$M$5*(B138/D138)+(1-$M$5)*F126</f>
        <v>1.0450279575348707</v>
      </c>
      <c r="G138" s="16">
        <f t="shared" si="5"/>
        <v>1426.0967646012396</v>
      </c>
      <c r="H138" s="16">
        <f t="shared" si="4"/>
        <v>96.903235398760444</v>
      </c>
      <c r="I138" s="16">
        <f t="shared" si="6"/>
        <v>9390.2370307475794</v>
      </c>
    </row>
    <row r="139" spans="1:9" x14ac:dyDescent="0.2">
      <c r="A139" s="2">
        <v>40909</v>
      </c>
      <c r="B139" s="3">
        <v>1403</v>
      </c>
      <c r="C139" s="7" t="s">
        <v>33</v>
      </c>
      <c r="D139" s="16">
        <f>+$M$3*(B139/F127)+(1-$M$3)*(D138+E138)</f>
        <v>1408.1483129808496</v>
      </c>
      <c r="E139" s="15">
        <f>+$M$4*(D139-D138)+(1-$M$4)*E138</f>
        <v>2.1589079120418404</v>
      </c>
      <c r="F139" s="15">
        <f>+$M$5*(B139/D139)+(1-$M$5)*F127</f>
        <v>1.0080856306563273</v>
      </c>
      <c r="G139" s="16">
        <f t="shared" si="5"/>
        <v>1449.0213176469958</v>
      </c>
      <c r="H139" s="16">
        <f t="shared" si="4"/>
        <v>-46.02131764699584</v>
      </c>
      <c r="I139" s="16">
        <f t="shared" si="6"/>
        <v>2117.9616779656908</v>
      </c>
    </row>
    <row r="140" spans="1:9" x14ac:dyDescent="0.2">
      <c r="A140" s="2">
        <v>40940</v>
      </c>
      <c r="B140" s="3">
        <v>1477</v>
      </c>
      <c r="C140" s="7" t="s">
        <v>33</v>
      </c>
      <c r="D140" s="16">
        <f>+$M$3*(B140/F128)+(1-$M$3)*(D139+E139)</f>
        <v>1409.8369740608132</v>
      </c>
      <c r="E140" s="15">
        <f>+$M$4*(D140-D139)+(1-$M$4)*E139</f>
        <v>2.1552966928375272</v>
      </c>
      <c r="F140" s="15">
        <f>+$M$5*(B140/D140)+(1-$M$5)*F128</f>
        <v>1.0479512721684952</v>
      </c>
      <c r="G140" s="16">
        <f t="shared" si="5"/>
        <v>1478.2259595319331</v>
      </c>
      <c r="H140" s="16">
        <f t="shared" si="4"/>
        <v>-1.2259595319330856</v>
      </c>
      <c r="I140" s="16">
        <f t="shared" si="6"/>
        <v>1.5029767739375903</v>
      </c>
    </row>
    <row r="141" spans="1:9" x14ac:dyDescent="0.2">
      <c r="A141" s="2">
        <v>40969</v>
      </c>
      <c r="B141" s="3">
        <v>1572</v>
      </c>
      <c r="C141" s="7" t="s">
        <v>33</v>
      </c>
      <c r="D141" s="16">
        <f>+$M$3*(B141/F129)+(1-$M$3)*(D140+E140)</f>
        <v>1445.5373213928483</v>
      </c>
      <c r="E141" s="15">
        <f>+$M$4*(D141-D140)+(1-$M$4)*E140</f>
        <v>2.412902960045245</v>
      </c>
      <c r="F141" s="15">
        <f>+$M$5*(B141/D141)+(1-$M$5)*F129</f>
        <v>1.0656862056474505</v>
      </c>
      <c r="G141" s="16">
        <f t="shared" si="5"/>
        <v>1484.2921082885746</v>
      </c>
      <c r="H141" s="16">
        <f t="shared" si="4"/>
        <v>87.707891711425418</v>
      </c>
      <c r="I141" s="16">
        <f t="shared" si="6"/>
        <v>7692.6742684631272</v>
      </c>
    </row>
    <row r="142" spans="1:9" x14ac:dyDescent="0.2">
      <c r="A142" s="2">
        <v>41000</v>
      </c>
      <c r="B142" s="3">
        <v>1434</v>
      </c>
      <c r="C142" s="7" t="s">
        <v>33</v>
      </c>
      <c r="D142" s="16">
        <f>+$M$3*(B142/F130)+(1-$M$3)*(D141+E141)</f>
        <v>1452.1695930079954</v>
      </c>
      <c r="E142" s="15">
        <f>+$M$4*(D142-D141)+(1-$M$4)*E141</f>
        <v>2.4453052306783962</v>
      </c>
      <c r="F142" s="15">
        <f>+$M$5*(B142/D142)+(1-$M$5)*F130</f>
        <v>0.98493506997816571</v>
      </c>
      <c r="G142" s="16">
        <f t="shared" si="5"/>
        <v>1423.6811868899758</v>
      </c>
      <c r="H142" s="16">
        <f t="shared" ref="H142:H205" si="7">+B142-G142</f>
        <v>10.318813110024166</v>
      </c>
      <c r="I142" s="16">
        <f t="shared" si="6"/>
        <v>106.47790399960661</v>
      </c>
    </row>
    <row r="143" spans="1:9" x14ac:dyDescent="0.2">
      <c r="A143" s="2">
        <v>41030</v>
      </c>
      <c r="B143" s="3">
        <v>1508</v>
      </c>
      <c r="C143" s="7" t="s">
        <v>33</v>
      </c>
      <c r="D143" s="16">
        <f>+$M$3*(B143/F131)+(1-$M$3)*(D142+E142)</f>
        <v>1468.1756320314466</v>
      </c>
      <c r="E143" s="15">
        <f>+$M$4*(D143-D142)+(1-$M$4)*E142</f>
        <v>2.5494436936226665</v>
      </c>
      <c r="F143" s="15">
        <f>+$M$5*(B143/D143)+(1-$M$5)*F131</f>
        <v>1.0187623554567877</v>
      </c>
      <c r="G143" s="16">
        <f t="shared" ref="G143:G206" si="8">+(D142+E142)*F131</f>
        <v>1473.8253294763647</v>
      </c>
      <c r="H143" s="16">
        <f t="shared" si="7"/>
        <v>34.174670523635314</v>
      </c>
      <c r="I143" s="16">
        <f t="shared" ref="I143:I206" si="9">+H143^2</f>
        <v>1167.9081053990283</v>
      </c>
    </row>
    <row r="144" spans="1:9" x14ac:dyDescent="0.2">
      <c r="A144" s="2">
        <v>41061</v>
      </c>
      <c r="B144" s="3">
        <v>1428</v>
      </c>
      <c r="C144" s="7" t="s">
        <v>33</v>
      </c>
      <c r="D144" s="16">
        <f>+$M$3*(B144/F132)+(1-$M$3)*(D143+E143)</f>
        <v>1464.1528874381916</v>
      </c>
      <c r="E144" s="15">
        <f>+$M$4*(D144-D143)+(1-$M$4)*E143</f>
        <v>2.4989731514798401</v>
      </c>
      <c r="F144" s="15">
        <f>+$M$5*(B144/D144)+(1-$M$5)*F132</f>
        <v>0.97924637185610108</v>
      </c>
      <c r="G144" s="16">
        <f t="shared" si="8"/>
        <v>1444.0503309291114</v>
      </c>
      <c r="H144" s="16">
        <f t="shared" si="7"/>
        <v>-16.050330929111396</v>
      </c>
      <c r="I144" s="16">
        <f t="shared" si="9"/>
        <v>257.61312293398993</v>
      </c>
    </row>
    <row r="145" spans="1:9" x14ac:dyDescent="0.2">
      <c r="A145" s="2">
        <v>41091</v>
      </c>
      <c r="B145" s="3">
        <v>1421</v>
      </c>
      <c r="C145" s="7" t="s">
        <v>33</v>
      </c>
      <c r="D145" s="16">
        <f>+$M$3*(B145/F133)+(1-$M$3)*(D144+E144)</f>
        <v>1440.471938964271</v>
      </c>
      <c r="E145" s="15">
        <f>+$M$4*(D145-D144)+(1-$M$4)*E144</f>
        <v>2.2979267450144558</v>
      </c>
      <c r="F145" s="15">
        <f>+$M$5*(B145/D145)+(1-$M$5)*F133</f>
        <v>1.0029486150986844</v>
      </c>
      <c r="G145" s="16">
        <f t="shared" si="8"/>
        <v>1487.0209155362718</v>
      </c>
      <c r="H145" s="16">
        <f t="shared" si="7"/>
        <v>-66.020915536271787</v>
      </c>
      <c r="I145" s="16">
        <f t="shared" si="9"/>
        <v>4358.7612882475332</v>
      </c>
    </row>
    <row r="146" spans="1:9" x14ac:dyDescent="0.2">
      <c r="A146" s="2">
        <v>41122</v>
      </c>
      <c r="B146" s="3">
        <v>1444</v>
      </c>
      <c r="C146" s="7" t="s">
        <v>33</v>
      </c>
      <c r="D146" s="16">
        <f>+$M$3*(B146/F134)+(1-$M$3)*(D145+E145)</f>
        <v>1469.5000061026783</v>
      </c>
      <c r="E146" s="15">
        <f>+$M$4*(D146-D145)+(1-$M$4)*E145</f>
        <v>2.5031985081351236</v>
      </c>
      <c r="F146" s="15">
        <f>+$M$5*(B146/D146)+(1-$M$5)*F134</f>
        <v>0.96709536512366845</v>
      </c>
      <c r="G146" s="16">
        <f t="shared" si="8"/>
        <v>1380.3894754028927</v>
      </c>
      <c r="H146" s="16">
        <f t="shared" si="7"/>
        <v>63.610524597107315</v>
      </c>
      <c r="I146" s="16">
        <f t="shared" si="9"/>
        <v>4046.2988395191946</v>
      </c>
    </row>
    <row r="147" spans="1:9" x14ac:dyDescent="0.2">
      <c r="A147" s="2">
        <v>41153</v>
      </c>
      <c r="B147" s="3">
        <v>1412</v>
      </c>
      <c r="C147" s="7" t="s">
        <v>33</v>
      </c>
      <c r="D147" s="16">
        <f>+$M$3*(B147/F135)+(1-$M$3)*(D146+E146)</f>
        <v>1479.4527324049318</v>
      </c>
      <c r="E147" s="15">
        <f>+$M$4*(D147-D146)+(1-$M$4)*E146</f>
        <v>2.5604065018908568</v>
      </c>
      <c r="F147" s="15">
        <f>+$M$5*(B147/D147)+(1-$M$5)*F135</f>
        <v>0.95014446298396382</v>
      </c>
      <c r="G147" s="16">
        <f t="shared" si="8"/>
        <v>1394.447247081454</v>
      </c>
      <c r="H147" s="16">
        <f t="shared" si="7"/>
        <v>17.552752918546048</v>
      </c>
      <c r="I147" s="16">
        <f t="shared" si="9"/>
        <v>308.09913501952678</v>
      </c>
    </row>
    <row r="148" spans="1:9" x14ac:dyDescent="0.2">
      <c r="A148" s="2">
        <v>41183</v>
      </c>
      <c r="B148" s="3">
        <v>1501</v>
      </c>
      <c r="C148" s="7" t="s">
        <v>33</v>
      </c>
      <c r="D148" s="16">
        <f>+$M$3*(B148/F136)+(1-$M$3)*(D147+E147)</f>
        <v>1448.0516372023096</v>
      </c>
      <c r="E148" s="15">
        <f>+$M$4*(D148-D147)+(1-$M$4)*E147</f>
        <v>2.299602135340125</v>
      </c>
      <c r="F148" s="15">
        <f>+$M$5*(B148/D148)+(1-$M$5)*F136</f>
        <v>1.0590745928302154</v>
      </c>
      <c r="G148" s="16">
        <f t="shared" si="8"/>
        <v>1591.7247902419731</v>
      </c>
      <c r="H148" s="16">
        <f t="shared" si="7"/>
        <v>-90.724790241973096</v>
      </c>
      <c r="I148" s="16">
        <f t="shared" si="9"/>
        <v>8230.9875644500171</v>
      </c>
    </row>
    <row r="149" spans="1:9" x14ac:dyDescent="0.2">
      <c r="A149" s="2">
        <v>41214</v>
      </c>
      <c r="B149" s="3">
        <v>1450</v>
      </c>
      <c r="C149" s="7" t="s">
        <v>33</v>
      </c>
      <c r="D149" s="16">
        <f>+$M$3*(B149/F137)+(1-$M$3)*(D148+E148)</f>
        <v>1445.1283203295038</v>
      </c>
      <c r="E149" s="15">
        <f>+$M$4*(D149-D148)+(1-$M$4)*E148</f>
        <v>2.2594931879997824</v>
      </c>
      <c r="F149" s="15">
        <f>+$M$5*(B149/D149)+(1-$M$5)*F137</f>
        <v>1.0066291222778134</v>
      </c>
      <c r="G149" s="16">
        <f t="shared" si="8"/>
        <v>1463.1050527052664</v>
      </c>
      <c r="H149" s="16">
        <f t="shared" si="7"/>
        <v>-13.105052705266417</v>
      </c>
      <c r="I149" s="16">
        <f t="shared" si="9"/>
        <v>171.74240640781062</v>
      </c>
    </row>
    <row r="150" spans="1:9" x14ac:dyDescent="0.2">
      <c r="A150" s="2">
        <v>41244</v>
      </c>
      <c r="B150" s="3">
        <v>1498</v>
      </c>
      <c r="C150" s="7" t="s">
        <v>33</v>
      </c>
      <c r="D150" s="16">
        <f>+$M$3*(B150/F138)+(1-$M$3)*(D149+E149)</f>
        <v>1441.7859555383538</v>
      </c>
      <c r="E150" s="15">
        <f>+$M$4*(D150-D149)+(1-$M$4)*E149</f>
        <v>2.2164742121467458</v>
      </c>
      <c r="F150" s="15">
        <f>+$M$5*(B150/D150)+(1-$M$5)*F138</f>
        <v>1.0426174761305906</v>
      </c>
      <c r="G150" s="16">
        <f t="shared" si="8"/>
        <v>1512.5607305210592</v>
      </c>
      <c r="H150" s="16">
        <f t="shared" si="7"/>
        <v>-14.560730521059213</v>
      </c>
      <c r="I150" s="16">
        <f t="shared" si="9"/>
        <v>212.01487330690532</v>
      </c>
    </row>
    <row r="151" spans="1:9" x14ac:dyDescent="0.2">
      <c r="A151" s="2">
        <v>41275</v>
      </c>
      <c r="B151" s="3">
        <v>1451</v>
      </c>
      <c r="C151" s="7" t="s">
        <v>33</v>
      </c>
      <c r="D151" s="16">
        <f>+$M$3*(B151/F139)+(1-$M$3)*(D150+E150)</f>
        <v>1442.1366992046806</v>
      </c>
      <c r="E151" s="15">
        <f>+$M$4*(D151-D150)+(1-$M$4)*E150</f>
        <v>2.2021464984493182</v>
      </c>
      <c r="F151" s="15">
        <f>+$M$5*(B151/D151)+(1-$M$5)*F139</f>
        <v>1.0073113748157636</v>
      </c>
      <c r="G151" s="16">
        <f t="shared" si="8"/>
        <v>1455.6781000643023</v>
      </c>
      <c r="H151" s="16">
        <f t="shared" si="7"/>
        <v>-4.6781000643022708</v>
      </c>
      <c r="I151" s="16">
        <f t="shared" si="9"/>
        <v>21.88462021162491</v>
      </c>
    </row>
    <row r="152" spans="1:9" x14ac:dyDescent="0.2">
      <c r="A152" s="2">
        <v>41306</v>
      </c>
      <c r="B152" s="3">
        <v>1530</v>
      </c>
      <c r="C152" s="7" t="s">
        <v>33</v>
      </c>
      <c r="D152" s="16">
        <f>+$M$3*(B152/F140)+(1-$M$3)*(D151+E151)</f>
        <v>1450.6319678640191</v>
      </c>
      <c r="E152" s="15">
        <f>+$M$4*(D152-D151)+(1-$M$4)*E151</f>
        <v>2.2504739768122368</v>
      </c>
      <c r="F152" s="15">
        <f>+$M$5*(B152/D152)+(1-$M$5)*F140</f>
        <v>1.0506502205611814</v>
      </c>
      <c r="G152" s="16">
        <f t="shared" si="8"/>
        <v>1513.5967307969709</v>
      </c>
      <c r="H152" s="16">
        <f t="shared" si="7"/>
        <v>16.40326920302914</v>
      </c>
      <c r="I152" s="16">
        <f t="shared" si="9"/>
        <v>269.06724054704426</v>
      </c>
    </row>
    <row r="153" spans="1:9" x14ac:dyDescent="0.2">
      <c r="A153" s="2">
        <v>41334</v>
      </c>
      <c r="B153" s="3">
        <v>1498</v>
      </c>
      <c r="C153" s="7" t="s">
        <v>33</v>
      </c>
      <c r="D153" s="16">
        <f>+$M$3*(B153/F141)+(1-$M$3)*(D152+E152)</f>
        <v>1433.8996403082901</v>
      </c>
      <c r="E153" s="15">
        <f>+$M$4*(D153-D152)+(1-$M$4)*E152</f>
        <v>2.1046972213516626</v>
      </c>
      <c r="F153" s="15">
        <f>+$M$5*(B153/D153)+(1-$M$5)*F141</f>
        <v>1.0573106145160049</v>
      </c>
      <c r="G153" s="16">
        <f t="shared" si="8"/>
        <v>1548.3167766971583</v>
      </c>
      <c r="H153" s="16">
        <f t="shared" si="7"/>
        <v>-50.316776697158275</v>
      </c>
      <c r="I153" s="16">
        <f t="shared" si="9"/>
        <v>2531.7780171916902</v>
      </c>
    </row>
    <row r="154" spans="1:9" x14ac:dyDescent="0.2">
      <c r="A154" s="2">
        <v>41365</v>
      </c>
      <c r="B154" s="3">
        <v>1458</v>
      </c>
      <c r="C154" s="7" t="s">
        <v>33</v>
      </c>
      <c r="D154" s="16">
        <f>+$M$3*(B154/F142)+(1-$M$3)*(D153+E153)</f>
        <v>1453.813527694861</v>
      </c>
      <c r="E154" s="15">
        <f>+$M$4*(D154-D153)+(1-$M$4)*E153</f>
        <v>2.2414613314971303</v>
      </c>
      <c r="F154" s="15">
        <f>+$M$5*(B154/D154)+(1-$M$5)*F142</f>
        <v>0.99209794938989782</v>
      </c>
      <c r="G154" s="16">
        <f t="shared" si="8"/>
        <v>1414.3710326737073</v>
      </c>
      <c r="H154" s="16">
        <f t="shared" si="7"/>
        <v>43.628967326292695</v>
      </c>
      <c r="I154" s="16">
        <f t="shared" si="9"/>
        <v>1903.4867899587157</v>
      </c>
    </row>
    <row r="155" spans="1:9" x14ac:dyDescent="0.2">
      <c r="A155" s="2">
        <v>41395</v>
      </c>
      <c r="B155" s="3">
        <v>1520</v>
      </c>
      <c r="C155" s="7" t="s">
        <v>33</v>
      </c>
      <c r="D155" s="16">
        <f>+$M$3*(B155/F143)+(1-$M$3)*(D154+E154)</f>
        <v>1470.509164382504</v>
      </c>
      <c r="E155" s="15">
        <f>+$M$4*(D155-D154)+(1-$M$4)*E154</f>
        <v>2.352460900378734</v>
      </c>
      <c r="F155" s="15">
        <f>+$M$5*(B155/D155)+(1-$M$5)*F143</f>
        <v>1.0247072348105939</v>
      </c>
      <c r="G155" s="16">
        <f t="shared" si="8"/>
        <v>1483.3740102950997</v>
      </c>
      <c r="H155" s="16">
        <f t="shared" si="7"/>
        <v>36.625989704900348</v>
      </c>
      <c r="I155" s="16">
        <f t="shared" si="9"/>
        <v>1341.4631218634663</v>
      </c>
    </row>
    <row r="156" spans="1:9" x14ac:dyDescent="0.2">
      <c r="A156" s="2">
        <v>41426</v>
      </c>
      <c r="B156" s="3">
        <v>1402</v>
      </c>
      <c r="C156" s="7" t="s">
        <v>33</v>
      </c>
      <c r="D156" s="16">
        <f>+$M$3*(B156/F144)+(1-$M$3)*(D155+E155)</f>
        <v>1456.3180416414323</v>
      </c>
      <c r="E156" s="15">
        <f>+$M$4*(D156-D155)+(1-$M$4)*E155</f>
        <v>2.2254159042643789</v>
      </c>
      <c r="F156" s="15">
        <f>+$M$5*(B156/D156)+(1-$M$5)*F144</f>
        <v>0.97264232865502231</v>
      </c>
      <c r="G156" s="16">
        <f t="shared" si="8"/>
        <v>1442.294402804343</v>
      </c>
      <c r="H156" s="16">
        <f t="shared" si="7"/>
        <v>-40.294402804343008</v>
      </c>
      <c r="I156" s="16">
        <f t="shared" si="9"/>
        <v>1623.6388973586456</v>
      </c>
    </row>
    <row r="157" spans="1:9" x14ac:dyDescent="0.2">
      <c r="A157" s="2">
        <v>41456</v>
      </c>
      <c r="B157" s="3">
        <v>1441</v>
      </c>
      <c r="C157" s="7" t="s">
        <v>33</v>
      </c>
      <c r="D157" s="16">
        <f>+$M$3*(B157/F145)+(1-$M$3)*(D156+E156)</f>
        <v>1449.786905699905</v>
      </c>
      <c r="E157" s="15">
        <f>+$M$4*(D157-D156)+(1-$M$4)*E156</f>
        <v>2.1581707342132894</v>
      </c>
      <c r="F157" s="15">
        <f>+$M$5*(B157/D157)+(1-$M$5)*F145</f>
        <v>0.99935234579367838</v>
      </c>
      <c r="G157" s="16">
        <f t="shared" si="8"/>
        <v>1462.8441408067031</v>
      </c>
      <c r="H157" s="16">
        <f t="shared" si="7"/>
        <v>-21.844140806703081</v>
      </c>
      <c r="I157" s="16">
        <f t="shared" si="9"/>
        <v>477.1664875830707</v>
      </c>
    </row>
    <row r="158" spans="1:9" x14ac:dyDescent="0.2">
      <c r="A158" s="2">
        <v>41487</v>
      </c>
      <c r="B158" s="3">
        <v>1381</v>
      </c>
      <c r="C158" s="7" t="s">
        <v>33</v>
      </c>
      <c r="D158" s="16">
        <f>+$M$3*(B158/F146)+(1-$M$3)*(D157+E157)</f>
        <v>1442.3129658680141</v>
      </c>
      <c r="E158" s="15">
        <f>+$M$4*(D158-D157)+(1-$M$4)*E157</f>
        <v>2.084201787945946</v>
      </c>
      <c r="F158" s="15">
        <f>+$M$5*(B158/D158)+(1-$M$5)*F146</f>
        <v>0.96326115573626359</v>
      </c>
      <c r="G158" s="16">
        <f t="shared" si="8"/>
        <v>1404.1693538335664</v>
      </c>
      <c r="H158" s="16">
        <f t="shared" si="7"/>
        <v>-23.169353833566447</v>
      </c>
      <c r="I158" s="16">
        <f t="shared" si="9"/>
        <v>536.81895706500018</v>
      </c>
    </row>
    <row r="159" spans="1:9" x14ac:dyDescent="0.2">
      <c r="A159" s="2">
        <v>41518</v>
      </c>
      <c r="B159" s="3">
        <v>1356</v>
      </c>
      <c r="C159" s="7" t="s">
        <v>33</v>
      </c>
      <c r="D159" s="16">
        <f>+$M$3*(B159/F147)+(1-$M$3)*(D158+E158)</f>
        <v>1437.4635580630588</v>
      </c>
      <c r="E159" s="15">
        <f>+$M$4*(D159-D158)+(1-$M$4)*E158</f>
        <v>2.0309557426585441</v>
      </c>
      <c r="F159" s="15">
        <f>+$M$5*(B159/D159)+(1-$M$5)*F147</f>
        <v>0.94742366212810669</v>
      </c>
      <c r="G159" s="16">
        <f t="shared" si="8"/>
        <v>1372.3859711980303</v>
      </c>
      <c r="H159" s="16">
        <f t="shared" si="7"/>
        <v>-16.385971198030347</v>
      </c>
      <c r="I159" s="16">
        <f t="shared" si="9"/>
        <v>268.50005210268012</v>
      </c>
    </row>
    <row r="160" spans="1:9" x14ac:dyDescent="0.2">
      <c r="A160" s="2">
        <v>41548</v>
      </c>
      <c r="B160" s="3">
        <v>1488</v>
      </c>
      <c r="C160" s="7" t="s">
        <v>33</v>
      </c>
      <c r="D160" s="16">
        <f>+$M$3*(B160/F148)+(1-$M$3)*(D159+E159)</f>
        <v>1425.6261724039484</v>
      </c>
      <c r="E160" s="15">
        <f>+$M$4*(D160-D159)+(1-$M$4)*E159</f>
        <v>1.9244550341248869</v>
      </c>
      <c r="F160" s="15">
        <f>+$M$5*(B160/D160)+(1-$M$5)*F148</f>
        <v>1.0529582758226557</v>
      </c>
      <c r="G160" s="16">
        <f t="shared" si="8"/>
        <v>1524.5320660901191</v>
      </c>
      <c r="H160" s="16">
        <f t="shared" si="7"/>
        <v>-36.532066090119088</v>
      </c>
      <c r="I160" s="16">
        <f t="shared" si="9"/>
        <v>1334.5918528128288</v>
      </c>
    </row>
    <row r="161" spans="1:9" x14ac:dyDescent="0.2">
      <c r="A161" s="2">
        <v>41579</v>
      </c>
      <c r="B161" s="3">
        <v>1522</v>
      </c>
      <c r="C161" s="7" t="s">
        <v>33</v>
      </c>
      <c r="D161" s="16">
        <f>+$M$3*(B161/F149)+(1-$M$3)*(D160+E160)</f>
        <v>1461.4939661653621</v>
      </c>
      <c r="E161" s="15">
        <f>+$M$4*(D161-D160)+(1-$M$4)*E160</f>
        <v>2.1851199196888569</v>
      </c>
      <c r="F161" s="15">
        <f>+$M$5*(B161/D161)+(1-$M$5)*F149</f>
        <v>1.0205085511217686</v>
      </c>
      <c r="G161" s="16">
        <f t="shared" si="8"/>
        <v>1437.0140351051296</v>
      </c>
      <c r="H161" s="16">
        <f t="shared" si="7"/>
        <v>84.985964894870449</v>
      </c>
      <c r="I161" s="16">
        <f t="shared" si="9"/>
        <v>7222.6142291121523</v>
      </c>
    </row>
    <row r="162" spans="1:9" x14ac:dyDescent="0.2">
      <c r="A162" s="2">
        <v>41609</v>
      </c>
      <c r="B162" s="3">
        <v>1501</v>
      </c>
      <c r="C162" s="7" t="s">
        <v>33</v>
      </c>
      <c r="D162" s="16">
        <f>+$M$3*(B162/F150)+(1-$M$3)*(D161+E161)</f>
        <v>1454.0166251496664</v>
      </c>
      <c r="E162" s="15">
        <f>+$M$4*(D162-D161)+(1-$M$4)*E161</f>
        <v>2.1109179004289351</v>
      </c>
      <c r="F162" s="15">
        <f>+$M$5*(B162/D162)+(1-$M$5)*F150</f>
        <v>1.0385041991810398</v>
      </c>
      <c r="G162" s="16">
        <f t="shared" si="8"/>
        <v>1526.0573945991252</v>
      </c>
      <c r="H162" s="16">
        <f t="shared" si="7"/>
        <v>-25.057394599125246</v>
      </c>
      <c r="I162" s="16">
        <f t="shared" si="9"/>
        <v>627.87302409627102</v>
      </c>
    </row>
    <row r="163" spans="1:9" x14ac:dyDescent="0.2">
      <c r="A163" s="2">
        <v>41640</v>
      </c>
      <c r="B163" s="3">
        <v>1475</v>
      </c>
      <c r="C163" s="7" t="s">
        <v>33</v>
      </c>
      <c r="D163" s="16">
        <f>+$M$3*(B163/F151)+(1-$M$3)*(D162+E162)</f>
        <v>1459.4108417597668</v>
      </c>
      <c r="E163" s="15">
        <f>+$M$4*(D163-D162)+(1-$M$4)*E162</f>
        <v>2.1361317042124965</v>
      </c>
      <c r="F163" s="15">
        <f>+$M$5*(B163/D163)+(1-$M$5)*F151</f>
        <v>1.0086567429552133</v>
      </c>
      <c r="G163" s="16">
        <f t="shared" si="8"/>
        <v>1466.7738372968915</v>
      </c>
      <c r="H163" s="16">
        <f t="shared" si="7"/>
        <v>8.2261627031084572</v>
      </c>
      <c r="I163" s="16">
        <f t="shared" si="9"/>
        <v>67.66975281801264</v>
      </c>
    </row>
    <row r="164" spans="1:9" x14ac:dyDescent="0.2">
      <c r="A164" s="2">
        <v>41671</v>
      </c>
      <c r="B164" s="3">
        <v>1576</v>
      </c>
      <c r="C164" s="7" t="s">
        <v>33</v>
      </c>
      <c r="D164" s="16">
        <f>+$M$3*(B164/F152)+(1-$M$3)*(D163+E163)</f>
        <v>1477.0163379173937</v>
      </c>
      <c r="E164" s="15">
        <f>+$M$4*(D164-D163)+(1-$M$4)*E163</f>
        <v>2.2549273285143228</v>
      </c>
      <c r="F164" s="15">
        <f>+$M$5*(B164/D164)+(1-$M$5)*F152</f>
        <v>1.0571828782377222</v>
      </c>
      <c r="G164" s="16">
        <f t="shared" si="8"/>
        <v>1535.574650030457</v>
      </c>
      <c r="H164" s="16">
        <f t="shared" si="7"/>
        <v>40.425349969543049</v>
      </c>
      <c r="I164" s="16">
        <f t="shared" si="9"/>
        <v>1634.2089201600343</v>
      </c>
    </row>
    <row r="165" spans="1:9" x14ac:dyDescent="0.2">
      <c r="A165" s="2">
        <v>41699</v>
      </c>
      <c r="B165" s="3">
        <v>1571</v>
      </c>
      <c r="C165" s="7" t="s">
        <v>33</v>
      </c>
      <c r="D165" s="16">
        <f>+$M$3*(B165/F153)+(1-$M$3)*(D164+E164)</f>
        <v>1481.9143335323515</v>
      </c>
      <c r="E165" s="15">
        <f>+$M$4*(D165-D164)+(1-$M$4)*E164</f>
        <v>2.2752245390497632</v>
      </c>
      <c r="F165" s="15">
        <f>+$M$5*(B165/D165)+(1-$M$5)*F153</f>
        <v>1.0584301360457116</v>
      </c>
      <c r="G165" s="16">
        <f t="shared" si="8"/>
        <v>1564.049210493019</v>
      </c>
      <c r="H165" s="16">
        <f t="shared" si="7"/>
        <v>6.950789506980982</v>
      </c>
      <c r="I165" s="16">
        <f t="shared" si="9"/>
        <v>48.313474770356919</v>
      </c>
    </row>
    <row r="166" spans="1:9" x14ac:dyDescent="0.2">
      <c r="A166" s="2">
        <v>41730</v>
      </c>
      <c r="B166" s="3">
        <v>1568</v>
      </c>
      <c r="C166" s="7" t="s">
        <v>33</v>
      </c>
      <c r="D166" s="16">
        <f>+$M$3*(B166/F154)+(1-$M$3)*(D165+E165)</f>
        <v>1522.9065031543041</v>
      </c>
      <c r="E166" s="15">
        <f>+$M$4*(D166-D165)+(1-$M$4)*E165</f>
        <v>2.5725479149411217</v>
      </c>
      <c r="F166" s="15">
        <f>+$M$5*(B166/D166)+(1-$M$5)*F154</f>
        <v>1.0070715748567873</v>
      </c>
      <c r="G166" s="16">
        <f t="shared" si="8"/>
        <v>1472.4614170685359</v>
      </c>
      <c r="H166" s="16">
        <f t="shared" si="7"/>
        <v>95.538582931464134</v>
      </c>
      <c r="I166" s="16">
        <f t="shared" si="9"/>
        <v>9127.6208285522498</v>
      </c>
    </row>
    <row r="167" spans="1:9" x14ac:dyDescent="0.2">
      <c r="A167" s="2">
        <v>41760</v>
      </c>
      <c r="B167" s="3">
        <v>1564</v>
      </c>
      <c r="C167" s="7" t="s">
        <v>33</v>
      </c>
      <c r="D167" s="16">
        <f>+$M$3*(B167/F155)+(1-$M$3)*(D166+E166)</f>
        <v>1525.8049315965463</v>
      </c>
      <c r="E167" s="15">
        <f>+$M$4*(D167-D166)+(1-$M$4)*E166</f>
        <v>2.5750504858001331</v>
      </c>
      <c r="F167" s="15">
        <f>+$M$5*(B167/D167)+(1-$M$5)*F155</f>
        <v>1.0248371631151536</v>
      </c>
      <c r="G167" s="16">
        <f t="shared" si="8"/>
        <v>1563.1694201826551</v>
      </c>
      <c r="H167" s="16">
        <f t="shared" si="7"/>
        <v>0.8305798173448693</v>
      </c>
      <c r="I167" s="16">
        <f t="shared" si="9"/>
        <v>0.68986283298063644</v>
      </c>
    </row>
    <row r="168" spans="1:9" x14ac:dyDescent="0.2">
      <c r="A168" s="2">
        <v>41791</v>
      </c>
      <c r="B168" s="3">
        <v>1482</v>
      </c>
      <c r="C168" s="7" t="s">
        <v>33</v>
      </c>
      <c r="D168" s="16">
        <f>+$M$3*(B168/F156)+(1-$M$3)*(D167+E167)</f>
        <v>1526.4921609166845</v>
      </c>
      <c r="E168" s="15">
        <f>+$M$4*(D168-D167)+(1-$M$4)*E167</f>
        <v>2.5605531291297678</v>
      </c>
      <c r="F168" s="15">
        <f>+$M$5*(B168/D168)+(1-$M$5)*F156</f>
        <v>0.97192822046966543</v>
      </c>
      <c r="G168" s="16">
        <f t="shared" si="8"/>
        <v>1486.5670648422947</v>
      </c>
      <c r="H168" s="16">
        <f t="shared" si="7"/>
        <v>-4.5670648422947124</v>
      </c>
      <c r="I168" s="16">
        <f t="shared" si="9"/>
        <v>20.858081273724427</v>
      </c>
    </row>
    <row r="169" spans="1:9" x14ac:dyDescent="0.2">
      <c r="A169" s="2">
        <v>41821</v>
      </c>
      <c r="B169" s="3">
        <v>1569</v>
      </c>
      <c r="C169" s="7" t="s">
        <v>33</v>
      </c>
      <c r="D169" s="16">
        <f>+$M$3*(B169/F157)+(1-$M$3)*(D168+E168)</f>
        <v>1545.5222136721418</v>
      </c>
      <c r="E169" s="15">
        <f>+$M$4*(D169-D168)+(1-$M$4)*E168</f>
        <v>2.6870292035632217</v>
      </c>
      <c r="F169" s="15">
        <f>+$M$5*(B169/D169)+(1-$M$5)*F157</f>
        <v>1.0056745477113358</v>
      </c>
      <c r="G169" s="16">
        <f t="shared" si="8"/>
        <v>1528.0624166238752</v>
      </c>
      <c r="H169" s="16">
        <f t="shared" si="7"/>
        <v>40.937583376124849</v>
      </c>
      <c r="I169" s="16">
        <f t="shared" si="9"/>
        <v>1675.8857326771736</v>
      </c>
    </row>
    <row r="170" spans="1:9" x14ac:dyDescent="0.2">
      <c r="A170" s="2">
        <v>41852</v>
      </c>
      <c r="B170" s="3">
        <v>1470</v>
      </c>
      <c r="C170" s="7" t="s">
        <v>33</v>
      </c>
      <c r="D170" s="16">
        <f>+$M$3*(B170/F158)+(1-$M$3)*(D169+E169)</f>
        <v>1539.3065769609832</v>
      </c>
      <c r="E170" s="15">
        <f>+$M$4*(D170-D169)+(1-$M$4)*E169</f>
        <v>2.6186619633656756</v>
      </c>
      <c r="F170" s="15">
        <f>+$M$5*(B170/D170)+(1-$M$5)*F158</f>
        <v>0.95995377973096974</v>
      </c>
      <c r="G170" s="16">
        <f t="shared" si="8"/>
        <v>1491.3298246140173</v>
      </c>
      <c r="H170" s="16">
        <f t="shared" si="7"/>
        <v>-21.329824614017298</v>
      </c>
      <c r="I170" s="16">
        <f t="shared" si="9"/>
        <v>454.96141806473815</v>
      </c>
    </row>
    <row r="171" spans="1:9" x14ac:dyDescent="0.2">
      <c r="A171" s="2">
        <v>41883</v>
      </c>
      <c r="B171" s="3">
        <v>1455</v>
      </c>
      <c r="C171" s="7" t="s">
        <v>33</v>
      </c>
      <c r="D171" s="16">
        <f>+$M$3*(B171/F159)+(1-$M$3)*(D170+E170)</f>
        <v>1539.4400034712362</v>
      </c>
      <c r="E171" s="15">
        <f>+$M$4*(D171-D170)+(1-$M$4)*E170</f>
        <v>2.5995768161976298</v>
      </c>
      <c r="F171" s="15">
        <f>+$M$5*(B171/D171)+(1-$M$5)*F159</f>
        <v>0.94651564597913362</v>
      </c>
      <c r="G171" s="16">
        <f t="shared" si="8"/>
        <v>1460.8564565894624</v>
      </c>
      <c r="H171" s="16">
        <f t="shared" si="7"/>
        <v>-5.8564565894623684</v>
      </c>
      <c r="I171" s="16">
        <f t="shared" si="9"/>
        <v>34.298083784257194</v>
      </c>
    </row>
    <row r="172" spans="1:9" x14ac:dyDescent="0.2">
      <c r="A172" s="2">
        <v>41913</v>
      </c>
      <c r="B172" s="3">
        <v>1664</v>
      </c>
      <c r="C172" s="7" t="s">
        <v>33</v>
      </c>
      <c r="D172" s="16">
        <f>+$M$3*(B172/F160)+(1-$M$3)*(D171+E171)</f>
        <v>1557.4259000020395</v>
      </c>
      <c r="E172" s="15">
        <f>+$M$4*(D172-D171)+(1-$M$4)*E171</f>
        <v>2.7177347057288079</v>
      </c>
      <c r="F172" s="15">
        <f>+$M$5*(B172/D172)+(1-$M$5)*F160</f>
        <v>1.0591339317959372</v>
      </c>
      <c r="G172" s="16">
        <f t="shared" si="8"/>
        <v>1623.703337709748</v>
      </c>
      <c r="H172" s="16">
        <f t="shared" si="7"/>
        <v>40.296662290252016</v>
      </c>
      <c r="I172" s="16">
        <f t="shared" si="9"/>
        <v>1623.8209917346189</v>
      </c>
    </row>
    <row r="173" spans="1:9" x14ac:dyDescent="0.2">
      <c r="A173" s="2">
        <v>41944</v>
      </c>
      <c r="B173" s="3">
        <v>1589</v>
      </c>
      <c r="C173" s="7" t="s">
        <v>33</v>
      </c>
      <c r="D173" s="16">
        <f>+$M$3*(B173/F161)+(1-$M$3)*(D172+E172)</f>
        <v>1558.9066087830472</v>
      </c>
      <c r="E173" s="15">
        <f>+$M$4*(D173-D172)+(1-$M$4)*E172</f>
        <v>2.7082350738953647</v>
      </c>
      <c r="F173" s="15">
        <f>+$M$5*(B173/D173)+(1-$M$5)*F161</f>
        <v>1.020027800423092</v>
      </c>
      <c r="G173" s="16">
        <f t="shared" si="8"/>
        <v>1592.1399201974746</v>
      </c>
      <c r="H173" s="16">
        <f t="shared" si="7"/>
        <v>-3.1399201974745665</v>
      </c>
      <c r="I173" s="16">
        <f t="shared" si="9"/>
        <v>9.8590988465087204</v>
      </c>
    </row>
    <row r="174" spans="1:9" x14ac:dyDescent="0.2">
      <c r="A174" s="2">
        <v>41974</v>
      </c>
      <c r="B174" s="3">
        <v>1653</v>
      </c>
      <c r="C174" s="7" t="s">
        <v>33</v>
      </c>
      <c r="D174" s="16">
        <f>+$M$3*(B174/F162)+(1-$M$3)*(D173+E173)</f>
        <v>1573.7154720104149</v>
      </c>
      <c r="E174" s="15">
        <f>+$M$4*(D174-D173)+(1-$M$4)*E173</f>
        <v>2.8011607839505515</v>
      </c>
      <c r="F174" s="15">
        <f>+$M$5*(B174/D174)+(1-$M$5)*F162</f>
        <v>1.0432448124804978</v>
      </c>
      <c r="G174" s="16">
        <f t="shared" si="8"/>
        <v>1621.7435728488786</v>
      </c>
      <c r="H174" s="16">
        <f t="shared" si="7"/>
        <v>31.256427151121443</v>
      </c>
      <c r="I174" s="16">
        <f t="shared" si="9"/>
        <v>976.96423825336171</v>
      </c>
    </row>
    <row r="175" spans="1:9" x14ac:dyDescent="0.2">
      <c r="A175" s="2">
        <v>42005</v>
      </c>
      <c r="B175" s="3">
        <v>1639</v>
      </c>
      <c r="C175" s="7" t="s">
        <v>33</v>
      </c>
      <c r="D175" s="16">
        <f>+$M$3*(B175/F163)+(1-$M$3)*(D174+E174)</f>
        <v>1595.9824371307213</v>
      </c>
      <c r="E175" s="15">
        <f>+$M$4*(D175-D174)+(1-$M$4)*E174</f>
        <v>2.9506467169789232</v>
      </c>
      <c r="F175" s="15">
        <f>+$M$5*(B175/D175)+(1-$M$5)*F163</f>
        <v>1.0159602628180515</v>
      </c>
      <c r="G175" s="16">
        <f t="shared" si="8"/>
        <v>1590.1641320490849</v>
      </c>
      <c r="H175" s="16">
        <f t="shared" si="7"/>
        <v>48.835867950915144</v>
      </c>
      <c r="I175" s="16">
        <f t="shared" si="9"/>
        <v>2384.9419985192208</v>
      </c>
    </row>
    <row r="176" spans="1:9" x14ac:dyDescent="0.2">
      <c r="A176" s="2">
        <v>42036</v>
      </c>
      <c r="B176" s="3">
        <v>1695</v>
      </c>
      <c r="C176" s="7" t="s">
        <v>33</v>
      </c>
      <c r="D176" s="16">
        <f>+$M$3*(B176/F164)+(1-$M$3)*(D175+E175)</f>
        <v>1600.6958977555146</v>
      </c>
      <c r="E176" s="15">
        <f>+$M$4*(D176-D175)+(1-$M$4)*E175</f>
        <v>2.9641840914028945</v>
      </c>
      <c r="F176" s="15">
        <f>+$M$5*(B176/D176)+(1-$M$5)*F164</f>
        <v>1.0578740600950027</v>
      </c>
      <c r="G176" s="16">
        <f t="shared" si="8"/>
        <v>1690.3646796916289</v>
      </c>
      <c r="H176" s="16">
        <f t="shared" si="7"/>
        <v>4.6353203083710923</v>
      </c>
      <c r="I176" s="16">
        <f t="shared" si="9"/>
        <v>21.48619436119748</v>
      </c>
    </row>
    <row r="177" spans="1:9" x14ac:dyDescent="0.2">
      <c r="A177" s="2">
        <v>42064</v>
      </c>
      <c r="B177" s="3">
        <v>1694</v>
      </c>
      <c r="C177" s="7" t="s">
        <v>33</v>
      </c>
      <c r="D177" s="16">
        <f>+$M$3*(B177/F165)+(1-$M$3)*(D176+E176)</f>
        <v>1602.3829585168342</v>
      </c>
      <c r="E177" s="15">
        <f>+$M$4*(D177-D176)+(1-$M$4)*E176</f>
        <v>2.9543765350702111</v>
      </c>
      <c r="F177" s="15">
        <f>+$M$5*(B177/D177)+(1-$M$5)*F165</f>
        <v>1.0579293257016551</v>
      </c>
      <c r="G177" s="16">
        <f t="shared" si="8"/>
        <v>1697.3621586003096</v>
      </c>
      <c r="H177" s="16">
        <f t="shared" si="7"/>
        <v>-3.3621586003096127</v>
      </c>
      <c r="I177" s="16">
        <f t="shared" si="9"/>
        <v>11.304110453635893</v>
      </c>
    </row>
    <row r="178" spans="1:9" x14ac:dyDescent="0.2">
      <c r="A178" s="2">
        <v>42095</v>
      </c>
      <c r="B178" s="3">
        <v>1631</v>
      </c>
      <c r="C178" s="7" t="s">
        <v>33</v>
      </c>
      <c r="D178" s="16">
        <f>+$M$3*(B178/F166)+(1-$M$3)*(D177+E177)</f>
        <v>1611.0503890559983</v>
      </c>
      <c r="E178" s="15">
        <f>+$M$4*(D178-D177)+(1-$M$4)*E177</f>
        <v>2.9982494310207994</v>
      </c>
      <c r="F178" s="15">
        <f>+$M$5*(B178/D178)+(1-$M$5)*F166</f>
        <v>1.0091917127875323</v>
      </c>
      <c r="G178" s="16">
        <f t="shared" si="8"/>
        <v>1616.6895981871194</v>
      </c>
      <c r="H178" s="16">
        <f t="shared" si="7"/>
        <v>14.310401812880627</v>
      </c>
      <c r="I178" s="16">
        <f t="shared" si="9"/>
        <v>204.78760004609714</v>
      </c>
    </row>
    <row r="179" spans="1:9" x14ac:dyDescent="0.2">
      <c r="A179" s="2">
        <v>42125</v>
      </c>
      <c r="B179" s="3">
        <v>1640</v>
      </c>
      <c r="C179" s="7" t="s">
        <v>33</v>
      </c>
      <c r="D179" s="16">
        <f>+$M$3*(B179/F167)+(1-$M$3)*(D178+E178)</f>
        <v>1608.5026356754661</v>
      </c>
      <c r="E179" s="15">
        <f>+$M$4*(D179-D178)+(1-$M$4)*E178</f>
        <v>2.9556593900167103</v>
      </c>
      <c r="F179" s="15">
        <f>+$M$5*(B179/D179)+(1-$M$5)*F167</f>
        <v>1.0227393937112816</v>
      </c>
      <c r="G179" s="16">
        <f t="shared" si="8"/>
        <v>1654.1370277969129</v>
      </c>
      <c r="H179" s="16">
        <f t="shared" si="7"/>
        <v>-14.137027796912889</v>
      </c>
      <c r="I179" s="16">
        <f t="shared" si="9"/>
        <v>199.8555549306877</v>
      </c>
    </row>
    <row r="180" spans="1:9" x14ac:dyDescent="0.2">
      <c r="A180" s="2">
        <v>42156</v>
      </c>
      <c r="B180" s="3">
        <v>1556</v>
      </c>
      <c r="C180" s="7" t="s">
        <v>33</v>
      </c>
      <c r="D180" s="16">
        <f>+$M$3*(B180/F168)+(1-$M$3)*(D179+E179)</f>
        <v>1607.2299567140847</v>
      </c>
      <c r="E180" s="15">
        <f>+$M$4*(D180-D179)+(1-$M$4)*E179</f>
        <v>2.9231882373894398</v>
      </c>
      <c r="F180" s="15">
        <f>+$M$5*(B180/D180)+(1-$M$5)*F168</f>
        <v>0.97041022498834373</v>
      </c>
      <c r="G180" s="16">
        <f t="shared" si="8"/>
        <v>1566.2217930840757</v>
      </c>
      <c r="H180" s="16">
        <f t="shared" si="7"/>
        <v>-10.221793084075671</v>
      </c>
      <c r="I180" s="16">
        <f t="shared" si="9"/>
        <v>104.48505385365722</v>
      </c>
    </row>
    <row r="181" spans="1:9" x14ac:dyDescent="0.2">
      <c r="A181" s="2">
        <v>42186</v>
      </c>
      <c r="B181" s="3">
        <v>1647</v>
      </c>
      <c r="C181" s="7" t="s">
        <v>33</v>
      </c>
      <c r="D181" s="16">
        <f>+$M$3*(B181/F169)+(1-$M$3)*(D180+E180)</f>
        <v>1621.2309915011867</v>
      </c>
      <c r="E181" s="15">
        <f>+$M$4*(D181-D180)+(1-$M$4)*E180</f>
        <v>3.0082595860383154</v>
      </c>
      <c r="F181" s="15">
        <f>+$M$5*(B181/D181)+(1-$M$5)*F169</f>
        <v>1.0097540997699841</v>
      </c>
      <c r="G181" s="16">
        <f t="shared" si="8"/>
        <v>1619.2900357950587</v>
      </c>
      <c r="H181" s="16">
        <f t="shared" si="7"/>
        <v>27.709964204941343</v>
      </c>
      <c r="I181" s="16">
        <f t="shared" si="9"/>
        <v>767.84211623913052</v>
      </c>
    </row>
    <row r="182" spans="1:9" x14ac:dyDescent="0.2">
      <c r="A182" s="2">
        <v>42217</v>
      </c>
      <c r="B182" s="3">
        <v>1520</v>
      </c>
      <c r="C182" s="7" t="s">
        <v>33</v>
      </c>
      <c r="D182" s="16">
        <f>+$M$3*(B182/F170)+(1-$M$3)*(D181+E181)</f>
        <v>1607.8237991311958</v>
      </c>
      <c r="E182" s="15">
        <f>+$M$4*(D182-D181)+(1-$M$4)*E181</f>
        <v>2.8821985659372142</v>
      </c>
      <c r="F182" s="15">
        <f>+$M$5*(B182/D182)+(1-$M$5)*F170</f>
        <v>0.95413530319559126</v>
      </c>
      <c r="G182" s="16">
        <f t="shared" si="8"/>
        <v>1559.1946082685813</v>
      </c>
      <c r="H182" s="16">
        <f t="shared" si="7"/>
        <v>-39.194608268581305</v>
      </c>
      <c r="I182" s="16">
        <f t="shared" si="9"/>
        <v>1536.2173173275421</v>
      </c>
    </row>
    <row r="183" spans="1:9" x14ac:dyDescent="0.2">
      <c r="A183" s="2">
        <v>42248</v>
      </c>
      <c r="B183" s="3">
        <v>1475</v>
      </c>
      <c r="C183" s="7" t="s">
        <v>33</v>
      </c>
      <c r="D183" s="16">
        <f>+$M$3*(B183/F171)+(1-$M$3)*(D182+E182)</f>
        <v>1589.6552966851045</v>
      </c>
      <c r="E183" s="15">
        <f>+$M$4*(D183-D182)+(1-$M$4)*E182</f>
        <v>2.7205415582271764</v>
      </c>
      <c r="F183" s="15">
        <f>+$M$5*(B183/D183)+(1-$M$5)*F171</f>
        <v>0.93907456601707384</v>
      </c>
      <c r="G183" s="16">
        <f t="shared" si="8"/>
        <v>1524.5584278927668</v>
      </c>
      <c r="H183" s="16">
        <f t="shared" si="7"/>
        <v>-49.558427892766758</v>
      </c>
      <c r="I183" s="16">
        <f t="shared" si="9"/>
        <v>2456.0377752025624</v>
      </c>
    </row>
    <row r="184" spans="1:9" x14ac:dyDescent="0.2">
      <c r="A184" s="2">
        <v>42278</v>
      </c>
      <c r="B184" s="3">
        <v>1754</v>
      </c>
      <c r="C184" s="7" t="s">
        <v>33</v>
      </c>
      <c r="D184" s="16">
        <f>+$M$3*(B184/F172)+(1-$M$3)*(D183+E183)</f>
        <v>1617.9839120851889</v>
      </c>
      <c r="E184" s="15">
        <f>+$M$4*(D184-D183)+(1-$M$4)*E183</f>
        <v>2.9171965099139099</v>
      </c>
      <c r="F184" s="15">
        <f>+$M$5*(B184/D184)+(1-$M$5)*F172</f>
        <v>1.0690856522720598</v>
      </c>
      <c r="G184" s="16">
        <f t="shared" si="8"/>
        <v>1686.5392824555111</v>
      </c>
      <c r="H184" s="16">
        <f t="shared" si="7"/>
        <v>67.460717544488944</v>
      </c>
      <c r="I184" s="16">
        <f t="shared" si="9"/>
        <v>4550.948411617318</v>
      </c>
    </row>
    <row r="185" spans="1:9" x14ac:dyDescent="0.2">
      <c r="A185" s="2">
        <v>42309</v>
      </c>
      <c r="B185" s="3">
        <v>1605</v>
      </c>
      <c r="C185" s="7" t="s">
        <v>33</v>
      </c>
      <c r="D185" s="16">
        <f>+$M$3*(B185/F173)+(1-$M$3)*(D184+E184)</f>
        <v>1601.8382172812567</v>
      </c>
      <c r="E185" s="15">
        <f>+$M$4*(D185-D184)+(1-$M$4)*E184</f>
        <v>2.7708047120190478</v>
      </c>
      <c r="F185" s="15">
        <f>+$M$5*(B185/D185)+(1-$M$5)*F173</f>
        <v>1.0128212620756485</v>
      </c>
      <c r="G185" s="16">
        <f t="shared" si="8"/>
        <v>1653.3641925036143</v>
      </c>
      <c r="H185" s="16">
        <f t="shared" si="7"/>
        <v>-48.364192503614277</v>
      </c>
      <c r="I185" s="16">
        <f t="shared" si="9"/>
        <v>2339.0951165266592</v>
      </c>
    </row>
    <row r="186" spans="1:9" x14ac:dyDescent="0.2">
      <c r="A186" s="2">
        <v>42339</v>
      </c>
      <c r="B186" s="3">
        <v>1701</v>
      </c>
      <c r="C186" s="7" t="s">
        <v>33</v>
      </c>
      <c r="D186" s="16">
        <f>+$M$3*(B186/F174)+(1-$M$3)*(D185+E185)</f>
        <v>1615.0143015799677</v>
      </c>
      <c r="E186" s="15">
        <f>+$M$4*(D186-D185)+(1-$M$4)*E185</f>
        <v>2.850711141805391</v>
      </c>
      <c r="F186" s="15">
        <f>+$M$5*(B186/D186)+(1-$M$5)*F174</f>
        <v>1.0472351367366937</v>
      </c>
      <c r="G186" s="16">
        <f t="shared" si="8"/>
        <v>1674.0000382538899</v>
      </c>
      <c r="H186" s="16">
        <f t="shared" si="7"/>
        <v>26.999961746110102</v>
      </c>
      <c r="I186" s="16">
        <f t="shared" si="9"/>
        <v>728.99793429140891</v>
      </c>
    </row>
    <row r="187" spans="1:9" x14ac:dyDescent="0.2">
      <c r="A187" s="2">
        <v>42370</v>
      </c>
      <c r="B187" s="3">
        <v>1701</v>
      </c>
      <c r="C187" s="7" t="s">
        <v>33</v>
      </c>
      <c r="D187" s="16">
        <f>+$M$3*(B187/F175)+(1-$M$3)*(D186+E186)</f>
        <v>1640.5457185908888</v>
      </c>
      <c r="E187" s="15">
        <f>+$M$4*(D187-D186)+(1-$M$4)*E186</f>
        <v>3.0248856285104986</v>
      </c>
      <c r="F187" s="15">
        <f>+$M$5*(B187/D187)+(1-$M$5)*F175</f>
        <v>1.0242987933498751</v>
      </c>
      <c r="G187" s="16">
        <f t="shared" si="8"/>
        <v>1643.6865635289428</v>
      </c>
      <c r="H187" s="16">
        <f t="shared" si="7"/>
        <v>57.31343647105723</v>
      </c>
      <c r="I187" s="16">
        <f t="shared" si="9"/>
        <v>3284.8300001219131</v>
      </c>
    </row>
    <row r="188" spans="1:9" x14ac:dyDescent="0.2">
      <c r="A188" s="2">
        <v>42401</v>
      </c>
      <c r="B188" s="3">
        <v>1830</v>
      </c>
      <c r="C188" s="7" t="s">
        <v>33</v>
      </c>
      <c r="D188" s="16">
        <f>+$M$3*(B188/F176)+(1-$M$3)*(D187+E187)</f>
        <v>1678.2728711239079</v>
      </c>
      <c r="E188" s="15">
        <f>+$M$4*(D188-D187)+(1-$M$4)*E187</f>
        <v>3.2913786362888349</v>
      </c>
      <c r="F188" s="15">
        <f>+$M$5*(B188/D188)+(1-$M$5)*F176</f>
        <v>1.0708600126600092</v>
      </c>
      <c r="G188" s="16">
        <f t="shared" si="8"/>
        <v>1738.6907081383727</v>
      </c>
      <c r="H188" s="16">
        <f t="shared" si="7"/>
        <v>91.309291861627344</v>
      </c>
      <c r="I188" s="16">
        <f t="shared" si="9"/>
        <v>8337.3867802718451</v>
      </c>
    </row>
    <row r="189" spans="1:9" x14ac:dyDescent="0.2">
      <c r="A189" s="2">
        <v>42430</v>
      </c>
      <c r="B189" s="3">
        <v>1713</v>
      </c>
      <c r="C189" s="7" t="s">
        <v>33</v>
      </c>
      <c r="D189" s="16">
        <f>+$M$3*(B189/F177)+(1-$M$3)*(D188+E188)</f>
        <v>1656.4912071119493</v>
      </c>
      <c r="E189" s="15">
        <f>+$M$4*(D189-D188)+(1-$M$4)*E188</f>
        <v>3.0988324096151576</v>
      </c>
      <c r="F189" s="15">
        <f>+$M$5*(B189/D189)+(1-$M$5)*F177</f>
        <v>1.048422858960905</v>
      </c>
      <c r="G189" s="16">
        <f t="shared" si="8"/>
        <v>1778.9761328728143</v>
      </c>
      <c r="H189" s="16">
        <f t="shared" si="7"/>
        <v>-65.976132872814333</v>
      </c>
      <c r="I189" s="16">
        <f t="shared" si="9"/>
        <v>4352.8501088512521</v>
      </c>
    </row>
    <row r="190" spans="1:9" x14ac:dyDescent="0.2">
      <c r="A190" s="2">
        <v>42461</v>
      </c>
      <c r="B190" s="3">
        <v>1668</v>
      </c>
      <c r="C190" s="7" t="s">
        <v>33</v>
      </c>
      <c r="D190" s="16">
        <f>+$M$3*(B190/F178)+(1-$M$3)*(D189+E189)</f>
        <v>1656.8632864436086</v>
      </c>
      <c r="E190" s="15">
        <f>+$M$4*(D190-D189)+(1-$M$4)*E189</f>
        <v>3.0778925490806031</v>
      </c>
      <c r="F190" s="15">
        <f>+$M$5*(B190/D190)+(1-$M$5)*F178</f>
        <v>1.0082057117189791</v>
      </c>
      <c r="G190" s="16">
        <f t="shared" si="8"/>
        <v>1674.844514509896</v>
      </c>
      <c r="H190" s="16">
        <f t="shared" si="7"/>
        <v>-6.8445145098960438</v>
      </c>
      <c r="I190" s="16">
        <f t="shared" si="9"/>
        <v>46.84737887617748</v>
      </c>
    </row>
    <row r="191" spans="1:9" x14ac:dyDescent="0.2">
      <c r="A191" s="2">
        <v>42491</v>
      </c>
      <c r="B191" s="3">
        <v>1664</v>
      </c>
      <c r="C191" s="7" t="s">
        <v>33</v>
      </c>
      <c r="D191" s="16">
        <f>+$M$3*(B191/F179)+(1-$M$3)*(D190+E190)</f>
        <v>1646.69845825057</v>
      </c>
      <c r="E191" s="15">
        <f>+$M$4*(D191-D190)+(1-$M$4)*E190</f>
        <v>2.9761962394001134</v>
      </c>
      <c r="F191" s="15">
        <f>+$M$5*(B191/D191)+(1-$M$5)*F179</f>
        <v>1.0178565514009592</v>
      </c>
      <c r="G191" s="16">
        <f t="shared" si="8"/>
        <v>1697.687234999373</v>
      </c>
      <c r="H191" s="16">
        <f t="shared" si="7"/>
        <v>-33.687234999373004</v>
      </c>
      <c r="I191" s="16">
        <f t="shared" si="9"/>
        <v>1134.8298019029814</v>
      </c>
    </row>
    <row r="192" spans="1:9" x14ac:dyDescent="0.2">
      <c r="A192" s="2">
        <v>42522</v>
      </c>
      <c r="B192" s="3">
        <v>1623</v>
      </c>
      <c r="C192" s="7" t="s">
        <v>33</v>
      </c>
      <c r="D192" s="16">
        <f>+$M$3*(B192/F180)+(1-$M$3)*(D191+E191)</f>
        <v>1658.8469171211655</v>
      </c>
      <c r="E192" s="15">
        <f>+$M$4*(D192-D191)+(1-$M$4)*E191</f>
        <v>3.0466338238797177</v>
      </c>
      <c r="F192" s="15">
        <f>+$M$5*(B192/D192)+(1-$M$5)*F180</f>
        <v>0.97359566996802982</v>
      </c>
      <c r="G192" s="16">
        <f t="shared" si="8"/>
        <v>1600.8611526211801</v>
      </c>
      <c r="H192" s="16">
        <f t="shared" si="7"/>
        <v>22.138847378819946</v>
      </c>
      <c r="I192" s="16">
        <f t="shared" si="9"/>
        <v>490.1285632626828</v>
      </c>
    </row>
    <row r="193" spans="1:9" x14ac:dyDescent="0.2">
      <c r="A193" s="2">
        <v>42552</v>
      </c>
      <c r="B193" s="3">
        <v>1634</v>
      </c>
      <c r="C193" s="7" t="s">
        <v>33</v>
      </c>
      <c r="D193" s="16">
        <f>+$M$3*(B193/F181)+(1-$M$3)*(D192+E192)</f>
        <v>1644.333026400679</v>
      </c>
      <c r="E193" s="15">
        <f>+$M$4*(D193-D192)+(1-$M$4)*E192</f>
        <v>2.9117793195076866</v>
      </c>
      <c r="F193" s="15">
        <f>+$M$5*(B193/D193)+(1-$M$5)*F181</f>
        <v>1.0033522142656888</v>
      </c>
      <c r="G193" s="16">
        <f t="shared" si="8"/>
        <v>1678.1038264480565</v>
      </c>
      <c r="H193" s="16">
        <f t="shared" si="7"/>
        <v>-44.103826448056452</v>
      </c>
      <c r="I193" s="16">
        <f t="shared" si="9"/>
        <v>1945.1475073602837</v>
      </c>
    </row>
    <row r="194" spans="1:9" x14ac:dyDescent="0.2">
      <c r="A194" s="2">
        <v>42583</v>
      </c>
      <c r="B194" s="3">
        <v>1498</v>
      </c>
      <c r="C194" s="7" t="s">
        <v>33</v>
      </c>
      <c r="D194" s="16">
        <f>+$M$3*(B194/F182)+(1-$M$3)*(D193+E193)</f>
        <v>1616.191953840741</v>
      </c>
      <c r="E194" s="15">
        <f>+$M$4*(D194-D193)+(1-$M$4)*E193</f>
        <v>2.6733116735691582</v>
      </c>
      <c r="F194" s="15">
        <f>+$M$5*(B194/D194)+(1-$M$5)*F182</f>
        <v>0.94325194083229347</v>
      </c>
      <c r="G194" s="16">
        <f t="shared" si="8"/>
        <v>1571.6944221431934</v>
      </c>
      <c r="H194" s="16">
        <f t="shared" si="7"/>
        <v>-73.694422143193378</v>
      </c>
      <c r="I194" s="16">
        <f t="shared" si="9"/>
        <v>5430.8678550191908</v>
      </c>
    </row>
    <row r="195" spans="1:9" x14ac:dyDescent="0.2">
      <c r="A195" s="2">
        <v>42614</v>
      </c>
      <c r="B195" s="3">
        <v>1529</v>
      </c>
      <c r="C195" s="7" t="s">
        <v>33</v>
      </c>
      <c r="D195" s="16">
        <f>+$M$3*(B195/F183)+(1-$M$3)*(D194+E194)</f>
        <v>1622.6177502756527</v>
      </c>
      <c r="E195" s="15">
        <f>+$M$4*(D195-D194)+(1-$M$4)*E194</f>
        <v>2.7021285503871573</v>
      </c>
      <c r="F195" s="15">
        <f>+$M$5*(B195/D195)+(1-$M$5)*F183</f>
        <v>0.94036384637335724</v>
      </c>
      <c r="G195" s="16">
        <f t="shared" si="8"/>
        <v>1520.2351966529657</v>
      </c>
      <c r="H195" s="16">
        <f t="shared" si="7"/>
        <v>8.7648033470343307</v>
      </c>
      <c r="I195" s="16">
        <f t="shared" si="9"/>
        <v>76.8217777121842</v>
      </c>
    </row>
    <row r="196" spans="1:9" x14ac:dyDescent="0.2">
      <c r="A196" s="2">
        <v>42644</v>
      </c>
      <c r="B196" s="3">
        <v>1710</v>
      </c>
      <c r="C196" s="7" t="s">
        <v>33</v>
      </c>
      <c r="D196" s="16">
        <f>+$M$3*(B196/F184)+(1-$M$3)*(D195+E195)</f>
        <v>1614.9381332171747</v>
      </c>
      <c r="E196" s="15">
        <f>+$M$4*(D196-D195)+(1-$M$4)*E195</f>
        <v>2.6224028477145009</v>
      </c>
      <c r="F196" s="15">
        <f>+$M$5*(B196/D196)+(1-$M$5)*F184</f>
        <v>1.0650055451346394</v>
      </c>
      <c r="G196" s="16">
        <f t="shared" si="8"/>
        <v>1737.606162805482</v>
      </c>
      <c r="H196" s="16">
        <f t="shared" si="7"/>
        <v>-27.606162805481972</v>
      </c>
      <c r="I196" s="16">
        <f t="shared" si="9"/>
        <v>762.10022484277624</v>
      </c>
    </row>
    <row r="197" spans="1:9" x14ac:dyDescent="0.2">
      <c r="A197" s="2">
        <v>42675</v>
      </c>
      <c r="B197" s="3">
        <v>1657</v>
      </c>
      <c r="C197" s="7" t="s">
        <v>33</v>
      </c>
      <c r="D197" s="16">
        <f>+$M$3*(B197/F185)+(1-$M$3)*(D196+E196)</f>
        <v>1624.9837592624267</v>
      </c>
      <c r="E197" s="15">
        <f>+$M$4*(D197-D196)+(1-$M$4)*E196</f>
        <v>2.6794088376334093</v>
      </c>
      <c r="F197" s="15">
        <f>+$M$5*(B197/D197)+(1-$M$5)*F185</f>
        <v>1.0155680231027062</v>
      </c>
      <c r="G197" s="16">
        <f t="shared" si="8"/>
        <v>1638.2997036210036</v>
      </c>
      <c r="H197" s="16">
        <f t="shared" si="7"/>
        <v>18.700296378996427</v>
      </c>
      <c r="I197" s="16">
        <f t="shared" si="9"/>
        <v>349.70108466230687</v>
      </c>
    </row>
    <row r="198" spans="1:9" x14ac:dyDescent="0.2">
      <c r="A198" s="2">
        <v>42705</v>
      </c>
      <c r="B198" s="3">
        <v>1743</v>
      </c>
      <c r="C198" s="7" t="s">
        <v>33</v>
      </c>
      <c r="D198" s="16">
        <f>+$M$3*(B198/F186)+(1-$M$3)*(D197+E197)</f>
        <v>1642.4261291399725</v>
      </c>
      <c r="E198" s="15">
        <f>+$M$4*(D198-D197)+(1-$M$4)*E197</f>
        <v>2.7927796990260272</v>
      </c>
      <c r="F198" s="15">
        <f>+$M$5*(B198/D198)+(1-$M$5)*F186</f>
        <v>1.0528233941900897</v>
      </c>
      <c r="G198" s="16">
        <f t="shared" si="8"/>
        <v>1704.5460604065465</v>
      </c>
      <c r="H198" s="16">
        <f t="shared" si="7"/>
        <v>38.45393959345347</v>
      </c>
      <c r="I198" s="16">
        <f t="shared" si="9"/>
        <v>1478.7054702569683</v>
      </c>
    </row>
    <row r="199" spans="1:9" x14ac:dyDescent="0.2">
      <c r="A199" s="2">
        <v>42736</v>
      </c>
      <c r="B199" s="3">
        <v>1696</v>
      </c>
      <c r="C199" s="7" t="s">
        <v>33</v>
      </c>
      <c r="D199" s="16">
        <f>+$M$3*(B199/F187)+(1-$M$3)*(D198+E198)</f>
        <v>1649.4596823578668</v>
      </c>
      <c r="E199" s="15">
        <f>+$M$4*(D199-D198)+(1-$M$4)*E198</f>
        <v>2.8253463464286228</v>
      </c>
      <c r="F199" s="15">
        <f>+$M$5*(B199/D199)+(1-$M$5)*F187</f>
        <v>1.0258622095528589</v>
      </c>
      <c r="G199" s="16">
        <f t="shared" si="8"/>
        <v>1685.1957431201843</v>
      </c>
      <c r="H199" s="16">
        <f t="shared" si="7"/>
        <v>10.804256879815739</v>
      </c>
      <c r="I199" s="16">
        <f t="shared" si="9"/>
        <v>116.73196672504572</v>
      </c>
    </row>
    <row r="200" spans="1:9" x14ac:dyDescent="0.2">
      <c r="A200" s="2">
        <v>42767</v>
      </c>
      <c r="B200" s="3">
        <v>1885</v>
      </c>
      <c r="C200" s="7" t="s">
        <v>33</v>
      </c>
      <c r="D200" s="16">
        <f>+$M$3*(B200/F188)+(1-$M$3)*(D199+E199)</f>
        <v>1695.6990296305621</v>
      </c>
      <c r="E200" s="15">
        <f>+$M$4*(D200-D199)+(1-$M$4)*E199</f>
        <v>3.1587403497186264</v>
      </c>
      <c r="F200" s="15">
        <f>+$M$5*(B200/D200)+(1-$M$5)*F188</f>
        <v>1.0871364111508848</v>
      </c>
      <c r="G200" s="16">
        <f t="shared" si="8"/>
        <v>1769.3659667562254</v>
      </c>
      <c r="H200" s="16">
        <f t="shared" si="7"/>
        <v>115.63403324377464</v>
      </c>
      <c r="I200" s="16">
        <f t="shared" si="9"/>
        <v>13371.229644222378</v>
      </c>
    </row>
    <row r="201" spans="1:9" x14ac:dyDescent="0.2">
      <c r="A201" s="2">
        <v>42795</v>
      </c>
      <c r="B201" s="3">
        <v>1840</v>
      </c>
      <c r="C201" s="7" t="s">
        <v>33</v>
      </c>
      <c r="D201" s="16">
        <f>+$M$3*(B201/F189)+(1-$M$3)*(D200+E200)</f>
        <v>1721.4364433743376</v>
      </c>
      <c r="E201" s="15">
        <f>+$M$4*(D201-D200)+(1-$M$4)*E200</f>
        <v>3.3321312870018955</v>
      </c>
      <c r="F201" s="15">
        <f>+$M$5*(B201/D201)+(1-$M$5)*F189</f>
        <v>1.0565865861391672</v>
      </c>
      <c r="G201" s="16">
        <f t="shared" si="8"/>
        <v>1781.1213201706735</v>
      </c>
      <c r="H201" s="16">
        <f t="shared" si="7"/>
        <v>58.878679829326529</v>
      </c>
      <c r="I201" s="16">
        <f t="shared" si="9"/>
        <v>3466.6989384443427</v>
      </c>
    </row>
    <row r="202" spans="1:9" x14ac:dyDescent="0.2">
      <c r="A202" s="2">
        <v>42826</v>
      </c>
      <c r="B202" s="3">
        <v>1674</v>
      </c>
      <c r="C202" s="7" t="s">
        <v>33</v>
      </c>
      <c r="D202" s="16">
        <f>+$M$3*(B202/F190)+(1-$M$3)*(D201+E201)</f>
        <v>1698.879506380868</v>
      </c>
      <c r="E202" s="15">
        <f>+$M$4*(D202-D201)+(1-$M$4)*E201</f>
        <v>3.1333184632279756</v>
      </c>
      <c r="F202" s="15">
        <f>+$M$5*(B202/D202)+(1-$M$5)*F190</f>
        <v>0.99908460431534407</v>
      </c>
      <c r="G202" s="16">
        <f t="shared" si="8"/>
        <v>1738.9215283669648</v>
      </c>
      <c r="H202" s="16">
        <f t="shared" si="7"/>
        <v>-64.921528366964822</v>
      </c>
      <c r="I202" s="16">
        <f t="shared" si="9"/>
        <v>4214.8048455026183</v>
      </c>
    </row>
    <row r="203" spans="1:9" x14ac:dyDescent="0.2">
      <c r="A203" s="2">
        <v>42856</v>
      </c>
      <c r="B203" s="3">
        <v>1709</v>
      </c>
      <c r="C203" s="7" t="s">
        <v>33</v>
      </c>
      <c r="D203" s="16">
        <f>+$M$3*(B203/F191)+(1-$M$3)*(D202+E202)</f>
        <v>1692.7680330827877</v>
      </c>
      <c r="E203" s="15">
        <f>+$M$4*(D203-D202)+(1-$M$4)*E202</f>
        <v>3.0623238976702041</v>
      </c>
      <c r="F203" s="15">
        <f>+$M$5*(B203/D203)+(1-$M$5)*F191</f>
        <v>1.0145564230343624</v>
      </c>
      <c r="G203" s="16">
        <f t="shared" si="8"/>
        <v>1732.4049043360164</v>
      </c>
      <c r="H203" s="16">
        <f t="shared" si="7"/>
        <v>-23.404904336016443</v>
      </c>
      <c r="I203" s="16">
        <f t="shared" si="9"/>
        <v>547.78954697808126</v>
      </c>
    </row>
    <row r="204" spans="1:9" x14ac:dyDescent="0.2">
      <c r="A204" s="2">
        <v>42887</v>
      </c>
      <c r="B204" s="3">
        <v>1618</v>
      </c>
      <c r="C204" s="7" t="s">
        <v>33</v>
      </c>
      <c r="D204" s="16">
        <f>+$M$3*(B204/F192)+(1-$M$3)*(D203+E203)</f>
        <v>1682.1810593117264</v>
      </c>
      <c r="E204" s="15">
        <f>+$M$4*(D204-D203)+(1-$M$4)*E203</f>
        <v>2.9575053162267673</v>
      </c>
      <c r="F204" s="15">
        <f>+$M$5*(B204/D204)+(1-$M$5)*F192</f>
        <v>0.96890580030957918</v>
      </c>
      <c r="G204" s="16">
        <f t="shared" si="8"/>
        <v>1651.0530925565122</v>
      </c>
      <c r="H204" s="16">
        <f t="shared" si="7"/>
        <v>-33.053092556512183</v>
      </c>
      <c r="I204" s="16">
        <f t="shared" si="9"/>
        <v>1092.5069275493611</v>
      </c>
    </row>
    <row r="205" spans="1:9" x14ac:dyDescent="0.2">
      <c r="A205" s="2">
        <v>42917</v>
      </c>
      <c r="B205" s="3">
        <v>1673</v>
      </c>
      <c r="C205" s="7" t="s">
        <v>33</v>
      </c>
      <c r="D205" s="16">
        <f>+$M$3*(B205/F193)+(1-$M$3)*(D204+E204)</f>
        <v>1678.0110422929938</v>
      </c>
      <c r="E205" s="15">
        <f>+$M$4*(D205-D204)+(1-$M$4)*E204</f>
        <v>2.9027701350849324</v>
      </c>
      <c r="F205" s="15">
        <f>+$M$5*(B205/D205)+(1-$M$5)*F193</f>
        <v>1.0008220905427216</v>
      </c>
      <c r="G205" s="16">
        <f t="shared" si="8"/>
        <v>1690.7875101639613</v>
      </c>
      <c r="H205" s="16">
        <f t="shared" si="7"/>
        <v>-17.787510163961315</v>
      </c>
      <c r="I205" s="16">
        <f t="shared" si="9"/>
        <v>316.3955178330271</v>
      </c>
    </row>
    <row r="206" spans="1:9" x14ac:dyDescent="0.2">
      <c r="A206" s="2">
        <v>42948</v>
      </c>
      <c r="B206" s="3">
        <v>1591</v>
      </c>
      <c r="C206" s="7" t="s">
        <v>33</v>
      </c>
      <c r="D206" s="16">
        <f>+$M$3*(B206/F194)+(1-$M$3)*(D205+E205)</f>
        <v>1683.2473571333417</v>
      </c>
      <c r="E206" s="15">
        <f>+$M$4*(D206-D205)+(1-$M$4)*E205</f>
        <v>2.9206903864910427</v>
      </c>
      <c r="F206" s="15">
        <f>+$M$5*(B206/D206)+(1-$M$5)*F194</f>
        <v>0.94402826027725473</v>
      </c>
      <c r="G206" s="16">
        <f t="shared" si="8"/>
        <v>1585.5252159445949</v>
      </c>
      <c r="H206" s="16">
        <f t="shared" ref="H206:H269" si="10">+B206-G206</f>
        <v>5.4747840554050526</v>
      </c>
      <c r="I206" s="16">
        <f t="shared" si="9"/>
        <v>29.973260453317394</v>
      </c>
    </row>
    <row r="207" spans="1:9" x14ac:dyDescent="0.2">
      <c r="A207" s="2">
        <v>42979</v>
      </c>
      <c r="B207" s="3">
        <v>1521</v>
      </c>
      <c r="C207" s="7" t="s">
        <v>33</v>
      </c>
      <c r="D207" s="16">
        <f>+$M$3*(B207/F195)+(1-$M$3)*(D206+E206)</f>
        <v>1658.5437945328149</v>
      </c>
      <c r="E207" s="15">
        <f>+$M$4*(D207-D206)+(1-$M$4)*E206</f>
        <v>2.7085523643152167</v>
      </c>
      <c r="F207" s="15">
        <f>+$M$5*(B207/D207)+(1-$M$5)*F195</f>
        <v>0.93106553478430376</v>
      </c>
      <c r="G207" s="16">
        <f t="shared" ref="G207:G270" si="11">+(D206+E206)*F195</f>
        <v>1585.6114707976037</v>
      </c>
      <c r="H207" s="16">
        <f t="shared" si="10"/>
        <v>-64.611470797603715</v>
      </c>
      <c r="I207" s="16">
        <f t="shared" ref="I207:I270" si="12">+H207^2</f>
        <v>4174.6421586295974</v>
      </c>
    </row>
    <row r="208" spans="1:9" x14ac:dyDescent="0.2">
      <c r="A208" s="2">
        <v>43009</v>
      </c>
      <c r="B208" s="3">
        <v>1764</v>
      </c>
      <c r="C208" s="7" t="s">
        <v>33</v>
      </c>
      <c r="D208" s="16">
        <f>+$M$3*(B208/F196)+(1-$M$3)*(D207+E207)</f>
        <v>1659.2730924781454</v>
      </c>
      <c r="E208" s="15">
        <f>+$M$4*(D208-D207)+(1-$M$4)*E207</f>
        <v>2.6933528540144853</v>
      </c>
      <c r="F208" s="15">
        <f>+$M$5*(B208/D208)+(1-$M$5)*F196</f>
        <v>1.0642513561335383</v>
      </c>
      <c r="G208" s="16">
        <f t="shared" si="11"/>
        <v>1769.2429613133772</v>
      </c>
      <c r="H208" s="16">
        <f t="shared" si="10"/>
        <v>-5.2429613133772364</v>
      </c>
      <c r="I208" s="16">
        <f t="shared" si="12"/>
        <v>27.488643333570355</v>
      </c>
    </row>
    <row r="209" spans="1:9" x14ac:dyDescent="0.2">
      <c r="A209" s="2">
        <v>43040</v>
      </c>
      <c r="B209" s="3">
        <v>1665</v>
      </c>
      <c r="C209" s="7" t="s">
        <v>33</v>
      </c>
      <c r="D209" s="16">
        <f>+$M$3*(B209/F197)+(1-$M$3)*(D208+E208)</f>
        <v>1652.9244664155142</v>
      </c>
      <c r="E209" s="15">
        <f>+$M$4*(D209-D208)+(1-$M$4)*E208</f>
        <v>2.6239157718666286</v>
      </c>
      <c r="F209" s="15">
        <f>+$M$5*(B209/D209)+(1-$M$5)*F197</f>
        <v>1.0122699211807087</v>
      </c>
      <c r="G209" s="16">
        <f t="shared" si="11"/>
        <v>1687.8399773490135</v>
      </c>
      <c r="H209" s="16">
        <f t="shared" si="10"/>
        <v>-22.839977349013452</v>
      </c>
      <c r="I209" s="16">
        <f t="shared" si="12"/>
        <v>521.6645653034476</v>
      </c>
    </row>
    <row r="210" spans="1:9" x14ac:dyDescent="0.2">
      <c r="A210" s="2">
        <v>43070</v>
      </c>
      <c r="B210" s="3">
        <v>1750</v>
      </c>
      <c r="C210" s="7" t="s">
        <v>33</v>
      </c>
      <c r="D210" s="16">
        <f>+$M$3*(B210/F198)+(1-$M$3)*(D209+E209)</f>
        <v>1658.2214821318598</v>
      </c>
      <c r="E210" s="15">
        <f>+$M$4*(D210-D209)+(1-$M$4)*E209</f>
        <v>2.6444436078796634</v>
      </c>
      <c r="F210" s="15">
        <f>+$M$5*(B210/D210)+(1-$M$5)*F198</f>
        <v>1.0538309584621344</v>
      </c>
      <c r="G210" s="16">
        <f t="shared" si="11"/>
        <v>1743.0000669804303</v>
      </c>
      <c r="H210" s="16">
        <f t="shared" si="10"/>
        <v>6.999933019569653</v>
      </c>
      <c r="I210" s="16">
        <f t="shared" si="12"/>
        <v>48.999062278461523</v>
      </c>
    </row>
    <row r="211" spans="1:9" x14ac:dyDescent="0.2">
      <c r="A211" s="2">
        <v>43101</v>
      </c>
      <c r="B211" s="3">
        <v>1728</v>
      </c>
      <c r="C211" s="7" t="s">
        <v>33</v>
      </c>
      <c r="D211" s="16">
        <f>+$M$3*(B211/F199)+(1-$M$3)*(D210+E210)</f>
        <v>1670.342502777534</v>
      </c>
      <c r="E211" s="15">
        <f>+$M$4*(D211-D210)+(1-$M$4)*E210</f>
        <v>2.7172181480903741</v>
      </c>
      <c r="F211" s="15">
        <f>+$M$5*(B211/D211)+(1-$M$5)*F199</f>
        <v>1.0293174603018387</v>
      </c>
      <c r="G211" s="16">
        <f t="shared" si="11"/>
        <v>1703.8195883504236</v>
      </c>
      <c r="H211" s="16">
        <f t="shared" si="10"/>
        <v>24.180411649576399</v>
      </c>
      <c r="I211" s="16">
        <f t="shared" si="12"/>
        <v>584.69230754297007</v>
      </c>
    </row>
    <row r="212" spans="1:9" x14ac:dyDescent="0.2">
      <c r="A212" s="2">
        <v>43132</v>
      </c>
      <c r="B212" s="3">
        <v>1783</v>
      </c>
      <c r="C212" s="7" t="s">
        <v>33</v>
      </c>
      <c r="D212" s="16">
        <f>+$M$3*(B212/F200)+(1-$M$3)*(D211+E211)</f>
        <v>1659.8037674804966</v>
      </c>
      <c r="E212" s="15">
        <f>+$M$4*(D212-D211)+(1-$M$4)*E211</f>
        <v>2.6154202190305078</v>
      </c>
      <c r="F212" s="15">
        <f>+$M$5*(B212/D212)+(1-$M$5)*F200</f>
        <v>1.0819819551285565</v>
      </c>
      <c r="G212" s="16">
        <f t="shared" si="11"/>
        <v>1818.8441406481841</v>
      </c>
      <c r="H212" s="16">
        <f t="shared" si="10"/>
        <v>-35.844140648184066</v>
      </c>
      <c r="I212" s="16">
        <f t="shared" si="12"/>
        <v>1284.8024188068011</v>
      </c>
    </row>
    <row r="213" spans="1:9" x14ac:dyDescent="0.2">
      <c r="A213" s="2">
        <v>43160</v>
      </c>
      <c r="B213" s="3">
        <v>1679</v>
      </c>
      <c r="C213" s="7" t="s">
        <v>33</v>
      </c>
      <c r="D213" s="16">
        <f>+$M$3*(B213/F201)+(1-$M$3)*(D212+E212)</f>
        <v>1632.9331534130856</v>
      </c>
      <c r="E213" s="15">
        <f>+$M$4*(D213-D212)+(1-$M$4)*E212</f>
        <v>2.3889848110477501</v>
      </c>
      <c r="F213" s="15">
        <f>+$M$5*(B213/D213)+(1-$M$5)*F201</f>
        <v>1.0452600366949325</v>
      </c>
      <c r="G213" s="16">
        <f t="shared" si="11"/>
        <v>1756.4898142636907</v>
      </c>
      <c r="H213" s="16">
        <f t="shared" si="10"/>
        <v>-77.489814263690732</v>
      </c>
      <c r="I213" s="16">
        <f t="shared" si="12"/>
        <v>6004.6713146212878</v>
      </c>
    </row>
    <row r="214" spans="1:9" x14ac:dyDescent="0.2">
      <c r="A214" s="2">
        <v>43191</v>
      </c>
      <c r="B214" s="3">
        <v>1605</v>
      </c>
      <c r="C214" s="7" t="s">
        <v>33</v>
      </c>
      <c r="D214" s="16">
        <f>+$M$3*(B214/F202)+(1-$M$3)*(D213+E213)</f>
        <v>1623.7224458781882</v>
      </c>
      <c r="E214" s="15">
        <f>+$M$4*(D214-D213)+(1-$M$4)*E213</f>
        <v>2.299905993485758</v>
      </c>
      <c r="F214" s="15">
        <f>+$M$5*(B214/D214)+(1-$M$5)*F202</f>
        <v>0.99484737941416801</v>
      </c>
      <c r="G214" s="16">
        <f t="shared" si="11"/>
        <v>1633.8251713957807</v>
      </c>
      <c r="H214" s="16">
        <f t="shared" si="10"/>
        <v>-28.825171395780671</v>
      </c>
      <c r="I214" s="16">
        <f t="shared" si="12"/>
        <v>830.89050599613222</v>
      </c>
    </row>
    <row r="215" spans="1:9" x14ac:dyDescent="0.2">
      <c r="A215" s="2">
        <v>43221</v>
      </c>
      <c r="B215" s="3">
        <v>1694</v>
      </c>
      <c r="C215" s="7" t="s">
        <v>33</v>
      </c>
      <c r="D215" s="16">
        <f>+$M$3*(B215/F203)+(1-$M$3)*(D214+E214)</f>
        <v>1643.5808940723609</v>
      </c>
      <c r="E215" s="15">
        <f>+$M$4*(D215-D214)+(1-$M$4)*E214</f>
        <v>2.4347452746237863</v>
      </c>
      <c r="F215" s="15">
        <f>+$M$5*(B215/D215)+(1-$M$5)*F203</f>
        <v>1.0209909725765769</v>
      </c>
      <c r="G215" s="16">
        <f t="shared" si="11"/>
        <v>1649.6914210888469</v>
      </c>
      <c r="H215" s="16">
        <f t="shared" si="10"/>
        <v>44.308578911153063</v>
      </c>
      <c r="I215" s="16">
        <f t="shared" si="12"/>
        <v>1963.2501651258779</v>
      </c>
    </row>
    <row r="216" spans="1:9" x14ac:dyDescent="0.2">
      <c r="A216" s="2">
        <v>43252</v>
      </c>
      <c r="B216" s="3">
        <v>1560</v>
      </c>
      <c r="C216" s="7" t="s">
        <v>33</v>
      </c>
      <c r="D216" s="16">
        <f>+$M$3*(B216/F204)+(1-$M$3)*(D215+E215)</f>
        <v>1631.561245564274</v>
      </c>
      <c r="E216" s="15">
        <f>+$M$4*(D216-D215)+(1-$M$4)*E215</f>
        <v>2.3237440283545805</v>
      </c>
      <c r="F216" s="15">
        <f>+$M$5*(B216/D216)+(1-$M$5)*F204</f>
        <v>0.96380987997884493</v>
      </c>
      <c r="G216" s="16">
        <f t="shared" si="11"/>
        <v>1594.834100363574</v>
      </c>
      <c r="H216" s="16">
        <f t="shared" si="10"/>
        <v>-34.834100363573953</v>
      </c>
      <c r="I216" s="16">
        <f t="shared" si="12"/>
        <v>1213.4145481395431</v>
      </c>
    </row>
    <row r="217" spans="1:9" x14ac:dyDescent="0.2">
      <c r="A217" s="2">
        <v>43282</v>
      </c>
      <c r="B217" s="3">
        <v>1629</v>
      </c>
      <c r="C217" s="7" t="s">
        <v>33</v>
      </c>
      <c r="D217" s="16">
        <f>+$M$3*(B217/F205)+(1-$M$3)*(D216+E216)</f>
        <v>1631.3830208579459</v>
      </c>
      <c r="E217" s="15">
        <f>+$M$4*(D217-D216)+(1-$M$4)*E216</f>
        <v>2.304530379421855</v>
      </c>
      <c r="F217" s="15">
        <f>+$M$5*(B217/D217)+(1-$M$5)*F205</f>
        <v>0.99991086183001032</v>
      </c>
      <c r="G217" s="16">
        <f t="shared" si="11"/>
        <v>1635.2281909904677</v>
      </c>
      <c r="H217" s="16">
        <f t="shared" si="10"/>
        <v>-6.2281909904677377</v>
      </c>
      <c r="I217" s="16">
        <f t="shared" si="12"/>
        <v>38.790363013743502</v>
      </c>
    </row>
    <row r="218" spans="1:9" x14ac:dyDescent="0.2">
      <c r="A218" s="2">
        <v>43313</v>
      </c>
      <c r="B218" s="4">
        <v>1546</v>
      </c>
      <c r="C218" s="7" t="s">
        <v>33</v>
      </c>
      <c r="D218" s="16">
        <f>+$M$3*(B218/F206)+(1-$M$3)*(D217+E217)</f>
        <v>1635.2858034551919</v>
      </c>
      <c r="E218" s="15">
        <f>+$M$4*(D218-D217)+(1-$M$4)*E217</f>
        <v>2.3168040168152957</v>
      </c>
      <c r="F218" s="15">
        <f>+$M$5*(B218/D218)+(1-$M$5)*F206</f>
        <v>0.94457600880318993</v>
      </c>
      <c r="G218" s="16">
        <f t="shared" si="11"/>
        <v>1542.2472168312206</v>
      </c>
      <c r="H218" s="16">
        <f t="shared" si="10"/>
        <v>3.7527831687793878</v>
      </c>
      <c r="I218" s="16">
        <f t="shared" si="12"/>
        <v>14.083381511873863</v>
      </c>
    </row>
    <row r="219" spans="1:9" x14ac:dyDescent="0.2">
      <c r="A219" s="2">
        <v>43344</v>
      </c>
      <c r="B219" s="4">
        <v>1574</v>
      </c>
      <c r="C219" s="7" t="s">
        <v>33</v>
      </c>
      <c r="D219" s="16">
        <f>+$M$3*(B219/F207)+(1-$M$3)*(D218+E218)</f>
        <v>1658.8844040284589</v>
      </c>
      <c r="E219" s="15">
        <f>+$M$4*(D219-D218)+(1-$M$4)*E218</f>
        <v>2.4802357024415342</v>
      </c>
      <c r="F219" s="15">
        <f>+$M$5*(B219/D219)+(1-$M$5)*F207</f>
        <v>0.93815668991717915</v>
      </c>
      <c r="G219" s="16">
        <f t="shared" si="11"/>
        <v>1524.7153474900945</v>
      </c>
      <c r="H219" s="16">
        <f t="shared" si="10"/>
        <v>49.284652509905527</v>
      </c>
      <c r="I219" s="16">
        <f t="shared" si="12"/>
        <v>2428.9769730221374</v>
      </c>
    </row>
    <row r="220" spans="1:9" x14ac:dyDescent="0.2">
      <c r="A220" s="2">
        <v>43374</v>
      </c>
      <c r="B220" s="4">
        <v>1737</v>
      </c>
      <c r="C220" s="7" t="s">
        <v>33</v>
      </c>
      <c r="D220" s="16">
        <f>+$M$3*(B220/F208)+(1-$M$3)*(D219+E219)</f>
        <v>1649.6122374930951</v>
      </c>
      <c r="E220" s="15">
        <f>+$M$4*(D220-D219)+(1-$M$4)*E219</f>
        <v>2.3899841626907783</v>
      </c>
      <c r="F220" s="15">
        <f>+$M$5*(B220/D220)+(1-$M$5)*F208</f>
        <v>1.0597501016963911</v>
      </c>
      <c r="G220" s="16">
        <f t="shared" si="11"/>
        <v>1768.1095708659182</v>
      </c>
      <c r="H220" s="16">
        <f t="shared" si="10"/>
        <v>-31.109570865918158</v>
      </c>
      <c r="I220" s="16">
        <f t="shared" si="12"/>
        <v>967.80539946158387</v>
      </c>
    </row>
    <row r="221" spans="1:9" x14ac:dyDescent="0.2">
      <c r="A221" s="2">
        <v>43405</v>
      </c>
      <c r="B221" s="4">
        <v>1659</v>
      </c>
      <c r="C221" s="7" t="s">
        <v>33</v>
      </c>
      <c r="D221" s="16">
        <f>+$M$3*(B221/F209)+(1-$M$3)*(D220+E220)</f>
        <v>1646.730868983625</v>
      </c>
      <c r="E221" s="15">
        <f>+$M$4*(D221-D220)+(1-$M$4)*E220</f>
        <v>2.349503273285769</v>
      </c>
      <c r="F221" s="15">
        <f>+$M$5*(B221/D221)+(1-$M$5)*F209</f>
        <v>1.0103462078637981</v>
      </c>
      <c r="G221" s="16">
        <f t="shared" si="11"/>
        <v>1672.2721587058579</v>
      </c>
      <c r="H221" s="16">
        <f t="shared" si="10"/>
        <v>-13.272158705857919</v>
      </c>
      <c r="I221" s="16">
        <f t="shared" si="12"/>
        <v>176.15019671348014</v>
      </c>
    </row>
    <row r="222" spans="1:9" x14ac:dyDescent="0.2">
      <c r="A222" s="2">
        <v>43435</v>
      </c>
      <c r="B222" s="4">
        <v>1691</v>
      </c>
      <c r="C222" s="7" t="s">
        <v>33</v>
      </c>
      <c r="D222" s="16">
        <f>+$M$3*(B222/F210)+(1-$M$3)*(D221+E221)</f>
        <v>1631.2058867200485</v>
      </c>
      <c r="E222" s="15">
        <f>+$M$4*(D222-D221)+(1-$M$4)*E221</f>
        <v>2.2122377330743332</v>
      </c>
      <c r="F222" s="15">
        <f>+$M$5*(B222/D222)+(1-$M$5)*F210</f>
        <v>1.0469754401346882</v>
      </c>
      <c r="G222" s="16">
        <f t="shared" si="11"/>
        <v>1737.8519492765936</v>
      </c>
      <c r="H222" s="16">
        <f t="shared" si="10"/>
        <v>-46.851949276593587</v>
      </c>
      <c r="I222" s="16">
        <f t="shared" si="12"/>
        <v>2195.1051510164984</v>
      </c>
    </row>
    <row r="223" spans="1:9" x14ac:dyDescent="0.2">
      <c r="A223" s="2">
        <v>43466</v>
      </c>
      <c r="B223" s="4">
        <v>1681</v>
      </c>
      <c r="C223" s="7" t="s">
        <v>33</v>
      </c>
      <c r="D223" s="16">
        <f>+$M$3*(B223/F211)+(1-$M$3)*(D222+E222)</f>
        <v>1633.2986820448696</v>
      </c>
      <c r="E223" s="15">
        <f>+$M$4*(D223-D222)+(1-$M$4)*E222</f>
        <v>2.2113204856011555</v>
      </c>
      <c r="F223" s="15">
        <f>+$M$5*(B223/D223)+(1-$M$5)*F211</f>
        <v>1.0292727727202402</v>
      </c>
      <c r="G223" s="16">
        <f t="shared" si="11"/>
        <v>1681.3057954730809</v>
      </c>
      <c r="H223" s="16">
        <f t="shared" si="10"/>
        <v>-0.30579547308093424</v>
      </c>
      <c r="I223" s="16">
        <f t="shared" si="12"/>
        <v>9.3510871356792383E-2</v>
      </c>
    </row>
    <row r="224" spans="1:9" x14ac:dyDescent="0.2">
      <c r="A224" s="2">
        <v>43497</v>
      </c>
      <c r="B224" s="4">
        <v>1788</v>
      </c>
      <c r="C224" s="7" t="s">
        <v>33</v>
      </c>
      <c r="D224" s="16">
        <f>+$M$3*(B224/F212)+(1-$M$3)*(D223+E223)</f>
        <v>1642.3500026465863</v>
      </c>
      <c r="E224" s="15">
        <f>+$M$4*(D224-D223)+(1-$M$4)*E223</f>
        <v>2.2638476651414345</v>
      </c>
      <c r="F224" s="15">
        <f>+$M$5*(B224/D224)+(1-$M$5)*F212</f>
        <v>1.084657147295693</v>
      </c>
      <c r="G224" s="16">
        <f t="shared" si="11"/>
        <v>1769.5923101702292</v>
      </c>
      <c r="H224" s="16">
        <f t="shared" si="10"/>
        <v>18.407689829770788</v>
      </c>
      <c r="I224" s="16">
        <f t="shared" si="12"/>
        <v>338.84304486904693</v>
      </c>
    </row>
    <row r="225" spans="1:9" x14ac:dyDescent="0.2">
      <c r="A225" s="2">
        <v>43525</v>
      </c>
      <c r="B225" s="4">
        <v>1746</v>
      </c>
      <c r="C225" s="7" t="s">
        <v>33</v>
      </c>
      <c r="D225" s="16">
        <f>+$M$3*(B225/F213)+(1-$M$3)*(D224+E224)</f>
        <v>1654.9801849685919</v>
      </c>
      <c r="E225" s="15">
        <f>+$M$4*(D225-D224)+(1-$M$4)*E224</f>
        <v>2.3434550207630815</v>
      </c>
      <c r="F225" s="15">
        <f>+$M$5*(B225/D225)+(1-$M$5)*F213</f>
        <v>1.0491469186016653</v>
      </c>
      <c r="G225" s="16">
        <f t="shared" si="11"/>
        <v>1719.0491335258307</v>
      </c>
      <c r="H225" s="16">
        <f t="shared" si="10"/>
        <v>26.950866474169288</v>
      </c>
      <c r="I225" s="16">
        <f t="shared" si="12"/>
        <v>726.34920370850216</v>
      </c>
    </row>
    <row r="226" spans="1:9" x14ac:dyDescent="0.2">
      <c r="A226" s="2">
        <v>43556</v>
      </c>
      <c r="B226" s="4">
        <v>1672</v>
      </c>
      <c r="C226" s="7" t="s">
        <v>33</v>
      </c>
      <c r="D226" s="16">
        <f>+$M$3*(B226/F214)+(1-$M$3)*(D225+E225)</f>
        <v>1666.7058743220471</v>
      </c>
      <c r="E226" s="15">
        <f>+$M$4*(D226-D225)+(1-$M$4)*E225</f>
        <v>2.4155050644642744</v>
      </c>
      <c r="F226" s="15">
        <f>+$M$5*(B226/D226)+(1-$M$5)*F214</f>
        <v>0.99817204786878411</v>
      </c>
      <c r="G226" s="16">
        <f t="shared" si="11"/>
        <v>1648.7840800845597</v>
      </c>
      <c r="H226" s="16">
        <f t="shared" si="10"/>
        <v>23.215919915440281</v>
      </c>
      <c r="I226" s="16">
        <f t="shared" si="12"/>
        <v>538.9789375201367</v>
      </c>
    </row>
    <row r="227" spans="1:9" x14ac:dyDescent="0.2">
      <c r="A227" s="2">
        <v>43586</v>
      </c>
      <c r="B227" s="4">
        <v>1751</v>
      </c>
      <c r="C227" s="7" t="s">
        <v>33</v>
      </c>
      <c r="D227" s="16">
        <f>+$M$3*(B227/F215)+(1-$M$3)*(D226+E226)</f>
        <v>1687.5669315456846</v>
      </c>
      <c r="E227" s="15">
        <f>+$M$4*(D227-D226)+(1-$M$4)*E226</f>
        <v>2.5571560605953554</v>
      </c>
      <c r="F227" s="15">
        <f>+$M$5*(B227/D227)+(1-$M$5)*F215</f>
        <v>1.0276161441295226</v>
      </c>
      <c r="G227" s="16">
        <f t="shared" si="11"/>
        <v>1704.1578604881918</v>
      </c>
      <c r="H227" s="16">
        <f t="shared" si="10"/>
        <v>46.842139511808227</v>
      </c>
      <c r="I227" s="16">
        <f t="shared" si="12"/>
        <v>2194.1860340437056</v>
      </c>
    </row>
    <row r="228" spans="1:9" x14ac:dyDescent="0.2">
      <c r="A228" s="2">
        <v>43617</v>
      </c>
      <c r="B228" s="4">
        <v>1646</v>
      </c>
      <c r="C228" s="7" t="s">
        <v>33</v>
      </c>
      <c r="D228" s="16">
        <f>+$M$3*(B228/F216)+(1-$M$3)*(D227+E227)</f>
        <v>1697.2329242278652</v>
      </c>
      <c r="E228" s="15">
        <f>+$M$4*(D228-D227)+(1-$M$4)*E227</f>
        <v>2.6117477464441232</v>
      </c>
      <c r="F228" s="15">
        <f>+$M$5*(B228/D228)+(1-$M$5)*F216</f>
        <v>0.96620646605570004</v>
      </c>
      <c r="G228" s="16">
        <f t="shared" si="11"/>
        <v>1628.9582940251635</v>
      </c>
      <c r="H228" s="16">
        <f t="shared" si="10"/>
        <v>17.041705974836532</v>
      </c>
      <c r="I228" s="16">
        <f t="shared" si="12"/>
        <v>290.41974253277914</v>
      </c>
    </row>
    <row r="229" spans="1:9" x14ac:dyDescent="0.2">
      <c r="A229" s="2">
        <v>43647</v>
      </c>
      <c r="B229" s="4">
        <v>1714</v>
      </c>
      <c r="C229" s="7" t="s">
        <v>33</v>
      </c>
      <c r="D229" s="16">
        <f>+$M$3*(B229/F217)+(1-$M$3)*(D228+E228)</f>
        <v>1705.5972106681702</v>
      </c>
      <c r="E229" s="15">
        <f>+$M$4*(D229-D228)+(1-$M$4)*E228</f>
        <v>2.6559238615984064</v>
      </c>
      <c r="F229" s="15">
        <f>+$M$5*(B229/D229)+(1-$M$5)*F217</f>
        <v>1.0019129764192023</v>
      </c>
      <c r="G229" s="16">
        <f t="shared" si="11"/>
        <v>1699.6931509309827</v>
      </c>
      <c r="H229" s="16">
        <f t="shared" si="10"/>
        <v>14.306849069017289</v>
      </c>
      <c r="I229" s="16">
        <f t="shared" si="12"/>
        <v>204.68593028364089</v>
      </c>
    </row>
    <row r="230" spans="1:9" x14ac:dyDescent="0.2">
      <c r="A230" s="2">
        <v>43678</v>
      </c>
      <c r="B230" s="4">
        <v>1557</v>
      </c>
      <c r="C230" s="7" t="s">
        <v>33</v>
      </c>
      <c r="D230" s="16">
        <f>+$M$3*(B230/F218)+(1-$M$3)*(D229+E229)</f>
        <v>1684.1727212068377</v>
      </c>
      <c r="E230" s="15">
        <f>+$M$4*(D230-D229)+(1-$M$4)*E229</f>
        <v>2.4710004445596292</v>
      </c>
      <c r="F230" s="15">
        <f>+$M$5*(B230/D230)+(1-$M$5)*F218</f>
        <v>0.93655814283940286</v>
      </c>
      <c r="G230" s="16">
        <f t="shared" si="11"/>
        <v>1613.5749278396675</v>
      </c>
      <c r="H230" s="16">
        <f t="shared" si="10"/>
        <v>-56.574927839667453</v>
      </c>
      <c r="I230" s="16">
        <f t="shared" si="12"/>
        <v>3200.7224600635795</v>
      </c>
    </row>
    <row r="231" spans="1:9" x14ac:dyDescent="0.2">
      <c r="A231" s="2">
        <v>43709</v>
      </c>
      <c r="B231" s="4">
        <v>1617</v>
      </c>
      <c r="C231" s="7" t="s">
        <v>33</v>
      </c>
      <c r="D231" s="16">
        <f>+$M$3*(B231/F219)+(1-$M$3)*(D230+E230)</f>
        <v>1701.4989384899045</v>
      </c>
      <c r="E231" s="15">
        <f>+$M$4*(D231-D230)+(1-$M$4)*E230</f>
        <v>2.5850797762467139</v>
      </c>
      <c r="F231" s="15">
        <f>+$M$5*(B231/D231)+(1-$M$5)*F219</f>
        <v>0.94301927558386112</v>
      </c>
      <c r="G231" s="16">
        <f t="shared" si="11"/>
        <v>1582.336090974067</v>
      </c>
      <c r="H231" s="16">
        <f t="shared" si="10"/>
        <v>34.663909025932981</v>
      </c>
      <c r="I231" s="16">
        <f t="shared" si="12"/>
        <v>1201.586588958158</v>
      </c>
    </row>
    <row r="232" spans="1:9" x14ac:dyDescent="0.2">
      <c r="A232" s="2">
        <v>43739</v>
      </c>
      <c r="B232" s="4">
        <v>1826</v>
      </c>
      <c r="C232" s="7" t="s">
        <v>33</v>
      </c>
      <c r="D232" s="16">
        <f>+$M$3*(B232/F220)+(1-$M$3)*(D231+E231)</f>
        <v>1711.7083192183686</v>
      </c>
      <c r="E232" s="15">
        <f>+$M$4*(D232-D231)+(1-$M$4)*E231</f>
        <v>2.643629925104559</v>
      </c>
      <c r="F232" s="15">
        <f>+$M$5*(B232/D232)+(1-$M$5)*F220</f>
        <v>1.0625524254561476</v>
      </c>
      <c r="G232" s="16">
        <f t="shared" si="11"/>
        <v>1805.9032116567485</v>
      </c>
      <c r="H232" s="16">
        <f t="shared" si="10"/>
        <v>20.096788343251546</v>
      </c>
      <c r="I232" s="16">
        <f t="shared" si="12"/>
        <v>403.88090171345124</v>
      </c>
    </row>
    <row r="233" spans="1:9" x14ac:dyDescent="0.2">
      <c r="A233" s="2">
        <v>43770</v>
      </c>
      <c r="B233" s="4">
        <v>1758</v>
      </c>
      <c r="C233" s="7" t="s">
        <v>33</v>
      </c>
      <c r="D233" s="16">
        <f>+$M$3*(B233/F221)+(1-$M$3)*(D232+E232)</f>
        <v>1724.662715659106</v>
      </c>
      <c r="E233" s="15">
        <f>+$M$4*(D233-D232)+(1-$M$4)*E232</f>
        <v>2.7228105500709971</v>
      </c>
      <c r="F233" s="15">
        <f>+$M$5*(B233/D233)+(1-$M$5)*F221</f>
        <v>1.0139321358715008</v>
      </c>
      <c r="G233" s="16">
        <f t="shared" si="11"/>
        <v>1732.088990761019</v>
      </c>
      <c r="H233" s="16">
        <f t="shared" si="10"/>
        <v>25.911009238981023</v>
      </c>
      <c r="I233" s="16">
        <f t="shared" si="12"/>
        <v>671.38039978255995</v>
      </c>
    </row>
    <row r="234" spans="1:9" x14ac:dyDescent="0.2">
      <c r="A234" s="2">
        <v>43800</v>
      </c>
      <c r="B234" s="4">
        <v>1756</v>
      </c>
      <c r="C234" s="7" t="s">
        <v>33</v>
      </c>
      <c r="D234" s="16">
        <f>+$M$3*(B234/F222)+(1-$M$3)*(D233+E233)</f>
        <v>1707.2134974946568</v>
      </c>
      <c r="E234" s="15">
        <f>+$M$4*(D234-D233)+(1-$M$4)*E233</f>
        <v>2.5679012290195526</v>
      </c>
      <c r="F234" s="15">
        <f>+$M$5*(B234/D234)+(1-$M$5)*F222</f>
        <v>1.0396312686512181</v>
      </c>
      <c r="G234" s="16">
        <f t="shared" si="11"/>
        <v>1808.5302215851432</v>
      </c>
      <c r="H234" s="16">
        <f t="shared" si="10"/>
        <v>-52.530221585143181</v>
      </c>
      <c r="I234" s="16">
        <f t="shared" si="12"/>
        <v>2759.4241797842424</v>
      </c>
    </row>
    <row r="235" spans="1:9" x14ac:dyDescent="0.2">
      <c r="A235" s="2">
        <v>43831</v>
      </c>
      <c r="B235" s="4">
        <v>1725</v>
      </c>
      <c r="C235" s="7" t="s">
        <v>33</v>
      </c>
      <c r="D235" s="16">
        <f>+$M$3*(B235/F223)+(1-$M$3)*(D234+E234)</f>
        <v>1696.1757956591155</v>
      </c>
      <c r="E235" s="15">
        <f>+$M$4*(D235-D234)+(1-$M$4)*E234</f>
        <v>2.4634181964473512</v>
      </c>
      <c r="F235" s="15">
        <f>+$M$5*(B235/D235)+(1-$M$5)*F223</f>
        <v>1.0243713518881767</v>
      </c>
      <c r="G235" s="16">
        <f t="shared" si="11"/>
        <v>1759.8314410098089</v>
      </c>
      <c r="H235" s="16">
        <f t="shared" si="10"/>
        <v>-34.831441009808941</v>
      </c>
      <c r="I235" s="16">
        <f t="shared" si="12"/>
        <v>1213.2292828198001</v>
      </c>
    </row>
    <row r="236" spans="1:9" x14ac:dyDescent="0.2">
      <c r="A236" s="2">
        <v>43862</v>
      </c>
      <c r="B236" s="4">
        <v>1835</v>
      </c>
      <c r="C236" s="7" t="s">
        <v>33</v>
      </c>
      <c r="D236" s="16">
        <f>+$M$3*(B236/F224)+(1-$M$3)*(D235+E235)</f>
        <v>1695.8810171705982</v>
      </c>
      <c r="E236" s="15">
        <f>+$M$4*(D236-D235)+(1-$M$4)*E235</f>
        <v>2.4422368674971966</v>
      </c>
      <c r="F236" s="15">
        <f>+$M$5*(B236/D236)+(1-$M$5)*F224</f>
        <v>1.0836098574123321</v>
      </c>
      <c r="G236" s="16">
        <f t="shared" si="11"/>
        <v>1842.4411639851733</v>
      </c>
      <c r="H236" s="16">
        <f t="shared" si="10"/>
        <v>-7.4411639851732616</v>
      </c>
      <c r="I236" s="16">
        <f t="shared" si="12"/>
        <v>55.370921454239614</v>
      </c>
    </row>
    <row r="237" spans="1:9" x14ac:dyDescent="0.2">
      <c r="A237" s="2">
        <v>43891</v>
      </c>
      <c r="B237" s="4">
        <v>1724</v>
      </c>
      <c r="C237" s="7" t="s">
        <v>33</v>
      </c>
      <c r="D237" s="16">
        <f>+$M$3*(B237/F225)+(1-$M$3)*(D236+E236)</f>
        <v>1676.1771263811481</v>
      </c>
      <c r="E237" s="15">
        <f>+$M$4*(D237-D236)+(1-$M$4)*E236</f>
        <v>2.2721676271739915</v>
      </c>
      <c r="F237" s="15">
        <f>+$M$5*(B237/D237)+(1-$M$5)*F225</f>
        <v>1.0409176967368627</v>
      </c>
      <c r="G237" s="16">
        <f t="shared" si="11"/>
        <v>1781.7906087636211</v>
      </c>
      <c r="H237" s="16">
        <f t="shared" si="10"/>
        <v>-57.790608763621094</v>
      </c>
      <c r="I237" s="16">
        <f t="shared" si="12"/>
        <v>3339.7544612699194</v>
      </c>
    </row>
    <row r="238" spans="1:9" x14ac:dyDescent="0.2">
      <c r="A238" s="2">
        <v>43922</v>
      </c>
      <c r="B238" s="4">
        <v>1730</v>
      </c>
      <c r="C238" s="7" t="s">
        <v>33</v>
      </c>
      <c r="D238" s="16">
        <f>+$M$3*(B238/F226)+(1-$M$3)*(D237+E237)</f>
        <v>1700.4488459352024</v>
      </c>
      <c r="E238" s="15">
        <f>+$M$4*(D238-D237)+(1-$M$4)*E237</f>
        <v>2.4411112520646272</v>
      </c>
      <c r="F238" s="15">
        <f>+$M$5*(B238/D238)+(1-$M$5)*F226</f>
        <v>1.0058386026015751</v>
      </c>
      <c r="G238" s="16">
        <f t="shared" si="11"/>
        <v>1675.3811690442019</v>
      </c>
      <c r="H238" s="16">
        <f t="shared" si="10"/>
        <v>54.618830955798103</v>
      </c>
      <c r="I238" s="16">
        <f t="shared" si="12"/>
        <v>2983.216694978049</v>
      </c>
    </row>
    <row r="239" spans="1:9" x14ac:dyDescent="0.2">
      <c r="A239" s="2">
        <v>43952</v>
      </c>
      <c r="B239" s="4">
        <v>1752</v>
      </c>
      <c r="C239" s="7" t="s">
        <v>33</v>
      </c>
      <c r="D239" s="16">
        <f>+$M$3*(B239/F227)+(1-$M$3)*(D238+E238)</f>
        <v>1703.7048322992869</v>
      </c>
      <c r="E239" s="15">
        <f>+$M$4*(D239-D238)+(1-$M$4)*E238</f>
        <v>2.4473690138461111</v>
      </c>
      <c r="F239" s="15">
        <f>+$M$5*(B239/D239)+(1-$M$5)*F227</f>
        <v>1.0279079353293625</v>
      </c>
      <c r="G239" s="16">
        <f t="shared" si="11"/>
        <v>1749.9172116816674</v>
      </c>
      <c r="H239" s="16">
        <f t="shared" si="10"/>
        <v>2.0827883183326321</v>
      </c>
      <c r="I239" s="16">
        <f t="shared" si="12"/>
        <v>4.338007178982874</v>
      </c>
    </row>
    <row r="240" spans="1:9" x14ac:dyDescent="0.2">
      <c r="A240" s="2">
        <v>43983</v>
      </c>
      <c r="B240" s="4">
        <v>1642</v>
      </c>
      <c r="C240" s="7" t="s">
        <v>33</v>
      </c>
      <c r="D240" s="16">
        <f>+$M$3*(B240/F228)+(1-$M$3)*(D239+E239)</f>
        <v>1703.4494544142997</v>
      </c>
      <c r="E240" s="15">
        <f>+$M$4*(D240-D239)+(1-$M$4)*E239</f>
        <v>2.4266135066535797</v>
      </c>
      <c r="F240" s="15">
        <f>+$M$5*(B240/D240)+(1-$M$5)*F228</f>
        <v>0.96529636286171816</v>
      </c>
      <c r="G240" s="16">
        <f t="shared" si="11"/>
        <v>1648.4952889839155</v>
      </c>
      <c r="H240" s="16">
        <f t="shared" si="10"/>
        <v>-6.4952889839155432</v>
      </c>
      <c r="I240" s="16">
        <f t="shared" si="12"/>
        <v>42.188778984574611</v>
      </c>
    </row>
    <row r="241" spans="1:9" x14ac:dyDescent="0.2">
      <c r="A241" s="2">
        <v>44013</v>
      </c>
      <c r="B241" s="4">
        <v>1717</v>
      </c>
      <c r="C241" s="7" t="s">
        <v>33</v>
      </c>
      <c r="D241" s="16">
        <f>+$M$3*(B241/F229)+(1-$M$3)*(D240+E240)</f>
        <v>1709.030377165403</v>
      </c>
      <c r="E241" s="15">
        <f>+$M$4*(D241-D240)+(1-$M$4)*E240</f>
        <v>2.4508367471793222</v>
      </c>
      <c r="F241" s="15">
        <f>+$M$5*(B241/D241)+(1-$M$5)*F229</f>
        <v>1.0030107911673145</v>
      </c>
      <c r="G241" s="16">
        <f t="shared" si="11"/>
        <v>1709.1393686129677</v>
      </c>
      <c r="H241" s="16">
        <f t="shared" si="10"/>
        <v>7.8606313870322992</v>
      </c>
      <c r="I241" s="16">
        <f t="shared" si="12"/>
        <v>61.789525802797328</v>
      </c>
    </row>
    <row r="242" spans="1:9" x14ac:dyDescent="0.2">
      <c r="A242" s="2">
        <v>44044</v>
      </c>
      <c r="B242" s="4">
        <v>1579</v>
      </c>
      <c r="C242" s="7" t="s">
        <v>33</v>
      </c>
      <c r="D242" s="16">
        <f>+$M$3*(B242/F230)+(1-$M$3)*(D241+E241)</f>
        <v>1701.2206722025608</v>
      </c>
      <c r="E242" s="15">
        <f>+$M$4*(D242-D241)+(1-$M$4)*E241</f>
        <v>2.372041819191967</v>
      </c>
      <c r="F242" s="15">
        <f>+$M$5*(B242/D242)+(1-$M$5)*F230</f>
        <v>0.93320471507501779</v>
      </c>
      <c r="G242" s="16">
        <f t="shared" si="11"/>
        <v>1602.9016672064947</v>
      </c>
      <c r="H242" s="16">
        <f t="shared" si="10"/>
        <v>-23.901667206494722</v>
      </c>
      <c r="I242" s="16">
        <f t="shared" si="12"/>
        <v>571.28969525002515</v>
      </c>
    </row>
    <row r="243" spans="1:9" x14ac:dyDescent="0.2">
      <c r="A243" s="2">
        <v>44075</v>
      </c>
      <c r="B243" s="4">
        <v>1647</v>
      </c>
      <c r="C243" s="7" t="s">
        <v>33</v>
      </c>
      <c r="D243" s="16">
        <f>+$M$3*(B243/F231)+(1-$M$3)*(D242+E242)</f>
        <v>1720.8506376728046</v>
      </c>
      <c r="E243" s="15">
        <f>+$M$4*(D243-D242)+(1-$M$4)*E242</f>
        <v>2.5045725266075158</v>
      </c>
      <c r="F243" s="15">
        <f>+$M$5*(B243/D243)+(1-$M$5)*F231</f>
        <v>0.94863376812141054</v>
      </c>
      <c r="G243" s="16">
        <f t="shared" si="11"/>
        <v>1606.5207670667371</v>
      </c>
      <c r="H243" s="16">
        <f t="shared" si="10"/>
        <v>40.479232933262892</v>
      </c>
      <c r="I243" s="16">
        <f t="shared" si="12"/>
        <v>1638.5682988653552</v>
      </c>
    </row>
    <row r="244" spans="1:9" x14ac:dyDescent="0.2">
      <c r="A244" s="2">
        <v>44105</v>
      </c>
      <c r="B244" s="4">
        <v>1961</v>
      </c>
      <c r="C244" s="7" t="s">
        <v>33</v>
      </c>
      <c r="D244" s="16">
        <f>+$M$3*(B244/F232)+(1-$M$3)*(D243+E243)</f>
        <v>1772.4856710777749</v>
      </c>
      <c r="E244" s="15">
        <f>+$M$4*(D244-D243)+(1-$M$4)*E243</f>
        <v>2.8818655815263496</v>
      </c>
      <c r="F244" s="15">
        <f>+$M$5*(B244/D244)+(1-$M$5)*F232</f>
        <v>1.0800373211102996</v>
      </c>
      <c r="G244" s="16">
        <f t="shared" si="11"/>
        <v>1831.1552585198745</v>
      </c>
      <c r="H244" s="16">
        <f t="shared" si="10"/>
        <v>129.84474148012555</v>
      </c>
      <c r="I244" s="16">
        <f t="shared" si="12"/>
        <v>16859.656890040635</v>
      </c>
    </row>
    <row r="245" spans="1:9" x14ac:dyDescent="0.2">
      <c r="A245" s="2">
        <v>44136</v>
      </c>
      <c r="B245" s="4">
        <v>1772</v>
      </c>
      <c r="C245" s="7" t="s">
        <v>33</v>
      </c>
      <c r="D245" s="16">
        <f>+$M$3*(B245/F233)+(1-$M$3)*(D244+E244)</f>
        <v>1764.2243797301869</v>
      </c>
      <c r="E245" s="15">
        <f>+$M$4*(D245-D244)+(1-$M$4)*E244</f>
        <v>2.7962926875607432</v>
      </c>
      <c r="F245" s="15">
        <f>+$M$5*(B245/D245)+(1-$M$5)*F233</f>
        <v>1.0101301728533976</v>
      </c>
      <c r="G245" s="16">
        <f t="shared" si="11"/>
        <v>1800.1021984018903</v>
      </c>
      <c r="H245" s="16">
        <f t="shared" si="10"/>
        <v>-28.102198401890291</v>
      </c>
      <c r="I245" s="16">
        <f t="shared" si="12"/>
        <v>789.73355501920526</v>
      </c>
    </row>
    <row r="246" spans="1:9" x14ac:dyDescent="0.2">
      <c r="A246" s="2">
        <v>44166</v>
      </c>
      <c r="B246" s="4">
        <v>1822</v>
      </c>
      <c r="C246" s="7" t="s">
        <v>33</v>
      </c>
      <c r="D246" s="16">
        <f>+$M$3*(B246/F234)+(1-$M$3)*(D245+E245)</f>
        <v>1761.2005466091293</v>
      </c>
      <c r="E246" s="15">
        <f>+$M$4*(D246-D245)+(1-$M$4)*E245</f>
        <v>2.7515975431007282</v>
      </c>
      <c r="F246" s="15">
        <f>+$M$5*(B246/D246)+(1-$M$5)*F234</f>
        <v>1.0375916570814241</v>
      </c>
      <c r="G246" s="16">
        <f t="shared" si="11"/>
        <v>1837.0499433985915</v>
      </c>
      <c r="H246" s="16">
        <f t="shared" si="10"/>
        <v>-15.049943398591495</v>
      </c>
      <c r="I246" s="16">
        <f t="shared" si="12"/>
        <v>226.50079630080771</v>
      </c>
    </row>
    <row r="247" spans="1:9" x14ac:dyDescent="0.2">
      <c r="A247" s="2">
        <v>44197</v>
      </c>
      <c r="B247" s="4">
        <v>1884</v>
      </c>
      <c r="C247" s="7" t="s">
        <v>33</v>
      </c>
      <c r="D247" s="16">
        <f>+$M$3*(B247/F235)+(1-$M$3)*(D246+E246)</f>
        <v>1794.1959824811406</v>
      </c>
      <c r="E247" s="15">
        <f>+$M$4*(D247-D246)+(1-$M$4)*E246</f>
        <v>2.9838524406038642</v>
      </c>
      <c r="F247" s="15">
        <f>+$M$5*(B247/D247)+(1-$M$5)*F235</f>
        <v>1.0346224177772714</v>
      </c>
      <c r="G247" s="16">
        <f t="shared" si="11"/>
        <v>1806.9420425712678</v>
      </c>
      <c r="H247" s="16">
        <f t="shared" si="10"/>
        <v>77.057957428732152</v>
      </c>
      <c r="I247" s="16">
        <f t="shared" si="12"/>
        <v>5937.9288030882963</v>
      </c>
    </row>
    <row r="248" spans="1:9" x14ac:dyDescent="0.2">
      <c r="A248" s="2">
        <v>44228</v>
      </c>
      <c r="B248" s="4">
        <v>1901</v>
      </c>
      <c r="C248" s="7" t="s">
        <v>33</v>
      </c>
      <c r="D248" s="16">
        <f>+$M$3*(B248/F236)+(1-$M$3)*(D247+E247)</f>
        <v>1779.9487432695921</v>
      </c>
      <c r="E248" s="15">
        <f>+$M$4*(D248-D247)+(1-$M$4)*E247</f>
        <v>2.8515277871648785</v>
      </c>
      <c r="F248" s="15">
        <f>+$M$5*(B248/D248)+(1-$M$5)*F236</f>
        <v>1.0773822272117237</v>
      </c>
      <c r="G248" s="16">
        <f t="shared" si="11"/>
        <v>1947.4417846638701</v>
      </c>
      <c r="H248" s="16">
        <f t="shared" si="10"/>
        <v>-46.441784663870067</v>
      </c>
      <c r="I248" s="16">
        <f t="shared" si="12"/>
        <v>2156.8393627652767</v>
      </c>
    </row>
    <row r="249" spans="1:9" x14ac:dyDescent="0.2">
      <c r="A249" s="2">
        <v>44256</v>
      </c>
      <c r="B249" s="4">
        <v>1917</v>
      </c>
      <c r="C249" s="7" t="s">
        <v>33</v>
      </c>
      <c r="D249" s="16">
        <f>+$M$3*(B249/F237)+(1-$M$3)*(D248+E248)</f>
        <v>1806.4582818638337</v>
      </c>
      <c r="E249" s="15">
        <f>+$M$4*(D249-D248)+(1-$M$4)*E248</f>
        <v>3.0332074012194616</v>
      </c>
      <c r="F249" s="15">
        <f>+$M$5*(B249/D249)+(1-$M$5)*F237</f>
        <v>1.0490107286735326</v>
      </c>
      <c r="G249" s="16">
        <f t="shared" si="11"/>
        <v>1855.7483518902541</v>
      </c>
      <c r="H249" s="16">
        <f t="shared" si="10"/>
        <v>61.251648109745929</v>
      </c>
      <c r="I249" s="16">
        <f t="shared" si="12"/>
        <v>3751.764396160142</v>
      </c>
    </row>
    <row r="250" spans="1:9" x14ac:dyDescent="0.2">
      <c r="A250" s="2">
        <v>44287</v>
      </c>
      <c r="B250" s="4">
        <v>1796</v>
      </c>
      <c r="C250" s="7" t="s">
        <v>33</v>
      </c>
      <c r="D250" s="16">
        <f>+$M$3*(B250/F238)+(1-$M$3)*(D249+E249)</f>
        <v>1799.875831151478</v>
      </c>
      <c r="E250" s="15">
        <f>+$M$4*(D250-D249)+(1-$M$4)*E249</f>
        <v>2.9593648001148667</v>
      </c>
      <c r="F250" s="15">
        <f>+$M$5*(B250/D250)+(1-$M$5)*F238</f>
        <v>1.0026484655573791</v>
      </c>
      <c r="G250" s="16">
        <f t="shared" si="11"/>
        <v>1820.056390981804</v>
      </c>
      <c r="H250" s="16">
        <f t="shared" si="10"/>
        <v>-24.056390981804043</v>
      </c>
      <c r="I250" s="16">
        <f t="shared" si="12"/>
        <v>578.70994706942292</v>
      </c>
    </row>
    <row r="251" spans="1:9" x14ac:dyDescent="0.2">
      <c r="A251" s="2">
        <v>44317</v>
      </c>
      <c r="B251" s="4">
        <v>1722</v>
      </c>
      <c r="C251" s="7" t="s">
        <v>33</v>
      </c>
      <c r="D251" s="16">
        <f>+$M$3*(B251/F239)+(1-$M$3)*(D250+E250)</f>
        <v>1751.53886620042</v>
      </c>
      <c r="E251" s="15">
        <f>+$M$4*(D251-D250)+(1-$M$4)*E250</f>
        <v>2.5654391456037087</v>
      </c>
      <c r="F251" s="15">
        <f>+$M$5*(B251/D251)+(1-$M$5)*F239</f>
        <v>1.0100362583845812</v>
      </c>
      <c r="G251" s="16">
        <f t="shared" si="11"/>
        <v>1853.1486040097086</v>
      </c>
      <c r="H251" s="16">
        <f t="shared" si="10"/>
        <v>-131.14860400970861</v>
      </c>
      <c r="I251" s="16">
        <f t="shared" si="12"/>
        <v>17199.956333695358</v>
      </c>
    </row>
    <row r="252" spans="1:9" x14ac:dyDescent="0.2">
      <c r="A252" s="2">
        <v>44348</v>
      </c>
      <c r="B252" s="4">
        <v>1702</v>
      </c>
      <c r="C252" s="7" t="s">
        <v>33</v>
      </c>
      <c r="D252" s="16">
        <f>+$M$3*(B252/F240)+(1-$M$3)*(D251+E251)</f>
        <v>1757.7568093697623</v>
      </c>
      <c r="E252" s="15">
        <f>+$M$4*(D252-D251)+(1-$M$4)*E251</f>
        <v>2.5934882291372721</v>
      </c>
      <c r="F252" s="15">
        <f>+$M$5*(B252/D252)+(1-$M$5)*F240</f>
        <v>0.96648715828441389</v>
      </c>
      <c r="G252" s="16">
        <f t="shared" si="11"/>
        <v>1693.2305060305973</v>
      </c>
      <c r="H252" s="16">
        <f t="shared" si="10"/>
        <v>8.7694939694026743</v>
      </c>
      <c r="I252" s="16">
        <f t="shared" si="12"/>
        <v>76.904024479389875</v>
      </c>
    </row>
    <row r="253" spans="1:9" x14ac:dyDescent="0.2">
      <c r="A253" s="2">
        <v>44378</v>
      </c>
      <c r="B253" s="4">
        <v>1829</v>
      </c>
      <c r="C253" s="7" t="s">
        <v>33</v>
      </c>
      <c r="D253" s="16">
        <f>+$M$3*(B253/F241)+(1-$M$3)*(D252+E252)</f>
        <v>1785.7433839494597</v>
      </c>
      <c r="E253" s="15">
        <f>+$M$4*(D253-D252)+(1-$M$4)*E252</f>
        <v>2.7884922032856179</v>
      </c>
      <c r="F253" s="15">
        <f>+$M$5*(B253/D253)+(1-$M$5)*F241</f>
        <v>1.0114781237412873</v>
      </c>
      <c r="G253" s="16">
        <f t="shared" si="11"/>
        <v>1765.6503447262896</v>
      </c>
      <c r="H253" s="16">
        <f t="shared" si="10"/>
        <v>63.349655273710368</v>
      </c>
      <c r="I253" s="16">
        <f t="shared" si="12"/>
        <v>4013.1788232979397</v>
      </c>
    </row>
    <row r="254" spans="1:9" x14ac:dyDescent="0.2">
      <c r="A254" s="2">
        <v>44409</v>
      </c>
      <c r="B254" s="3">
        <v>1687</v>
      </c>
      <c r="C254" s="7" t="s">
        <v>33</v>
      </c>
      <c r="D254" s="16">
        <f>+$M$3*(B254/F242)+(1-$M$3)*(D253+E253)</f>
        <v>1796.2581105670429</v>
      </c>
      <c r="E254" s="15">
        <f>+$M$4*(D254-D253)+(1-$M$4)*E253</f>
        <v>2.847825141203836</v>
      </c>
      <c r="F254" s="15">
        <f>+$M$5*(B254/D254)+(1-$M$5)*F242</f>
        <v>0.93558769638211359</v>
      </c>
      <c r="G254" s="16">
        <f t="shared" si="11"/>
        <v>1669.0663798877097</v>
      </c>
      <c r="H254" s="16">
        <f t="shared" si="10"/>
        <v>17.933620112290328</v>
      </c>
      <c r="I254" s="16">
        <f t="shared" si="12"/>
        <v>321.61473033194414</v>
      </c>
    </row>
    <row r="255" spans="1:9" x14ac:dyDescent="0.2">
      <c r="A255" s="2">
        <v>44440</v>
      </c>
      <c r="B255" s="3">
        <v>1668</v>
      </c>
      <c r="C255" s="7" t="s">
        <v>33</v>
      </c>
      <c r="D255" s="16">
        <f>+$M$3*(B255/F243)+(1-$M$3)*(D254+E254)</f>
        <v>1782.7073401134653</v>
      </c>
      <c r="E255" s="15">
        <f>+$M$4*(D255-D254)+(1-$M$4)*E254</f>
        <v>2.7218935680469798</v>
      </c>
      <c r="F255" s="15">
        <f>+$M$5*(B255/D255)+(1-$M$5)*F243</f>
        <v>0.94345329104876052</v>
      </c>
      <c r="G255" s="16">
        <f t="shared" si="11"/>
        <v>1706.6926430405103</v>
      </c>
      <c r="H255" s="16">
        <f t="shared" si="10"/>
        <v>-38.692643040510347</v>
      </c>
      <c r="I255" s="16">
        <f t="shared" si="12"/>
        <v>1497.1206254603537</v>
      </c>
    </row>
    <row r="256" spans="1:9" x14ac:dyDescent="0.2">
      <c r="A256" s="2">
        <v>44470</v>
      </c>
      <c r="B256" s="3">
        <v>2009</v>
      </c>
      <c r="C256" s="7" t="s">
        <v>33</v>
      </c>
      <c r="D256" s="16">
        <f>+$M$3*(B256/F244)+(1-$M$3)*(D255+E255)</f>
        <v>1815.4587972821946</v>
      </c>
      <c r="E256" s="15">
        <f>+$M$4*(D256-D255)+(1-$M$4)*E255</f>
        <v>2.9525029616130514</v>
      </c>
      <c r="F256" s="15">
        <f>+$M$5*(B256/D256)+(1-$M$5)*F244</f>
        <v>1.0906431828147083</v>
      </c>
      <c r="G256" s="16">
        <f t="shared" si="11"/>
        <v>1928.3302065773955</v>
      </c>
      <c r="H256" s="16">
        <f t="shared" si="10"/>
        <v>80.669793422604471</v>
      </c>
      <c r="I256" s="16">
        <f t="shared" si="12"/>
        <v>6507.6155708456799</v>
      </c>
    </row>
    <row r="257" spans="1:9" x14ac:dyDescent="0.2">
      <c r="A257" s="2">
        <v>44501</v>
      </c>
      <c r="B257" s="3">
        <v>1774</v>
      </c>
      <c r="C257" s="7" t="s">
        <v>33</v>
      </c>
      <c r="D257" s="16">
        <f>+$M$3*(B257/F245)+(1-$M$3)*(D256+E256)</f>
        <v>1793.4031703862297</v>
      </c>
      <c r="E257" s="15">
        <f>+$M$4*(D257-D256)+(1-$M$4)*E256</f>
        <v>2.7604552270083906</v>
      </c>
      <c r="F257" s="15">
        <f>+$M$5*(B257/D257)+(1-$M$5)*F245</f>
        <v>1.0017678833426202</v>
      </c>
      <c r="G257" s="16">
        <f t="shared" si="11"/>
        <v>1836.832121033849</v>
      </c>
      <c r="H257" s="16">
        <f t="shared" si="10"/>
        <v>-62.832121033849035</v>
      </c>
      <c r="I257" s="16">
        <f t="shared" si="12"/>
        <v>3947.8754336122543</v>
      </c>
    </row>
    <row r="258" spans="1:9" x14ac:dyDescent="0.2">
      <c r="A258" s="2">
        <v>44531</v>
      </c>
      <c r="B258" s="3">
        <v>1863</v>
      </c>
      <c r="C258" s="7" t="s">
        <v>33</v>
      </c>
      <c r="D258" s="16">
        <f>+$M$3*(B258/F246)+(1-$M$3)*(D257+E257)</f>
        <v>1795.8984364763392</v>
      </c>
      <c r="E258" s="15">
        <f>+$M$4*(D258-D257)+(1-$M$4)*E257</f>
        <v>2.7584187303461754</v>
      </c>
      <c r="F258" s="15">
        <f>+$M$5*(B258/D258)+(1-$M$5)*F246</f>
        <v>1.0375006982229582</v>
      </c>
      <c r="G258" s="16">
        <f t="shared" si="11"/>
        <v>1863.6843926894182</v>
      </c>
      <c r="H258" s="16">
        <f t="shared" si="10"/>
        <v>-0.68439268941824594</v>
      </c>
      <c r="I258" s="16">
        <f t="shared" si="12"/>
        <v>0.46839335332913962</v>
      </c>
    </row>
    <row r="259" spans="1:9" x14ac:dyDescent="0.2">
      <c r="A259" s="2">
        <v>44562</v>
      </c>
      <c r="B259" s="3">
        <v>1758</v>
      </c>
      <c r="C259" s="7" t="s">
        <v>33</v>
      </c>
      <c r="D259" s="16">
        <f>+$M$3*(B259/F247)+(1-$M$3)*(D258+E258)</f>
        <v>1758.6587057204138</v>
      </c>
      <c r="E259" s="15">
        <f>+$M$4*(D259-D258)+(1-$M$4)*E258</f>
        <v>2.4512564578786327</v>
      </c>
      <c r="F259" s="15">
        <f>+$M$5*(B259/D259)+(1-$M$5)*F247</f>
        <v>1.0206527914297472</v>
      </c>
      <c r="G259" s="16">
        <f t="shared" si="11"/>
        <v>1860.9307042856044</v>
      </c>
      <c r="H259" s="16">
        <f t="shared" si="10"/>
        <v>-102.93070428560441</v>
      </c>
      <c r="I259" s="16">
        <f t="shared" si="12"/>
        <v>10594.729884730541</v>
      </c>
    </row>
    <row r="260" spans="1:9" x14ac:dyDescent="0.2">
      <c r="A260" s="2">
        <v>44593</v>
      </c>
      <c r="B260" s="3">
        <v>1717</v>
      </c>
      <c r="C260" s="7" t="s">
        <v>33</v>
      </c>
      <c r="D260" s="16">
        <f>+$M$3*(B260/F248)+(1-$M$3)*(D259+E259)</f>
        <v>1693.7943102614645</v>
      </c>
      <c r="E260" s="15">
        <f>+$M$4*(D260-D259)+(1-$M$4)*E259</f>
        <v>1.9343118271650601</v>
      </c>
      <c r="F260" s="15">
        <f>+$M$5*(B260/D260)+(1-$M$5)*F248</f>
        <v>1.0519625655247433</v>
      </c>
      <c r="G260" s="16">
        <f t="shared" si="11"/>
        <v>1897.388573416403</v>
      </c>
      <c r="H260" s="16">
        <f t="shared" si="10"/>
        <v>-180.38857341640301</v>
      </c>
      <c r="I260" s="16">
        <f t="shared" si="12"/>
        <v>32540.037419205019</v>
      </c>
    </row>
    <row r="261" spans="1:9" x14ac:dyDescent="0.2">
      <c r="A261" s="2">
        <v>44621</v>
      </c>
      <c r="B261" s="3">
        <v>1823</v>
      </c>
      <c r="C261" s="7" t="s">
        <v>33</v>
      </c>
      <c r="D261" s="16">
        <f>+$M$3*(B261/F249)+(1-$M$3)*(D260+E260)</f>
        <v>1712.6544681853511</v>
      </c>
      <c r="E261" s="15">
        <f>+$M$4*(D261-D260)+(1-$M$4)*E260</f>
        <v>2.06429237419735</v>
      </c>
      <c r="F261" s="15">
        <f>+$M$5*(B261/D261)+(1-$M$5)*F249</f>
        <v>1.0551654038658718</v>
      </c>
      <c r="G261" s="16">
        <f t="shared" si="11"/>
        <v>1778.8375174897585</v>
      </c>
      <c r="H261" s="16">
        <f t="shared" si="10"/>
        <v>44.162482510241489</v>
      </c>
      <c r="I261" s="16">
        <f t="shared" si="12"/>
        <v>1950.3248614673853</v>
      </c>
    </row>
    <row r="262" spans="1:9" x14ac:dyDescent="0.2">
      <c r="A262" s="2">
        <v>44652</v>
      </c>
      <c r="B262" s="3">
        <v>1746</v>
      </c>
      <c r="C262" s="7" t="s">
        <v>33</v>
      </c>
      <c r="D262" s="16">
        <f>+$M$3*(B262/F250)+(1-$M$3)*(D261+E261)</f>
        <v>1725.4410461338343</v>
      </c>
      <c r="E262" s="15">
        <f>+$M$4*(D262-D261)+(1-$M$4)*E261</f>
        <v>2.1466332235952454</v>
      </c>
      <c r="F262" s="15">
        <f>+$M$5*(B262/D262)+(1-$M$5)*F250</f>
        <v>1.0063474330191065</v>
      </c>
      <c r="G262" s="16">
        <f t="shared" si="11"/>
        <v>1719.2601341374821</v>
      </c>
      <c r="H262" s="16">
        <f t="shared" si="10"/>
        <v>26.739865862517945</v>
      </c>
      <c r="I262" s="16">
        <f t="shared" si="12"/>
        <v>715.02042634545262</v>
      </c>
    </row>
    <row r="263" spans="1:9" x14ac:dyDescent="0.2">
      <c r="A263" s="2">
        <v>44682</v>
      </c>
      <c r="B263" s="3">
        <v>1857</v>
      </c>
      <c r="C263" s="7" t="s">
        <v>33</v>
      </c>
      <c r="D263" s="16">
        <f>+$M$3*(B263/F251)+(1-$M$3)*(D262+E262)</f>
        <v>1772.198887917411</v>
      </c>
      <c r="E263" s="15">
        <f>+$M$4*(D263-D262)+(1-$M$4)*E262</f>
        <v>2.4892210776536077</v>
      </c>
      <c r="F263" s="15">
        <f>+$M$5*(B263/D263)+(1-$M$5)*F251</f>
        <v>1.0251305614763313</v>
      </c>
      <c r="G263" s="16">
        <f t="shared" si="11"/>
        <v>1744.9261956894798</v>
      </c>
      <c r="H263" s="16">
        <f t="shared" si="10"/>
        <v>112.07380431052025</v>
      </c>
      <c r="I263" s="16">
        <f t="shared" si="12"/>
        <v>12560.537612632786</v>
      </c>
    </row>
    <row r="264" spans="1:9" x14ac:dyDescent="0.2">
      <c r="A264" s="2">
        <v>44713</v>
      </c>
      <c r="B264" s="3">
        <v>1803</v>
      </c>
      <c r="C264" s="7" t="s">
        <v>33</v>
      </c>
      <c r="D264" s="16">
        <f>+$M$3*(B264/F252)+(1-$M$3)*(D263+E263)</f>
        <v>1811.2063320198308</v>
      </c>
      <c r="E264" s="15">
        <f>+$M$4*(D264-D263)+(1-$M$4)*E263</f>
        <v>2.7696595608042771</v>
      </c>
      <c r="F264" s="15">
        <f>+$M$5*(B264/D264)+(1-$M$5)*F252</f>
        <v>0.97805579995873981</v>
      </c>
      <c r="G264" s="16">
        <f t="shared" si="11"/>
        <v>1715.2132673037802</v>
      </c>
      <c r="H264" s="16">
        <f t="shared" si="10"/>
        <v>87.786732696219815</v>
      </c>
      <c r="I264" s="16">
        <f t="shared" si="12"/>
        <v>7706.5104374775492</v>
      </c>
    </row>
    <row r="265" spans="1:9" x14ac:dyDescent="0.2">
      <c r="A265" s="2">
        <v>44743</v>
      </c>
      <c r="B265" s="3">
        <v>1777</v>
      </c>
      <c r="C265" s="7" t="s">
        <v>33</v>
      </c>
      <c r="D265" s="16">
        <f>+$M$3*(B265/F253)+(1-$M$3)*(D264+E264)</f>
        <v>1791.002559255126</v>
      </c>
      <c r="E265" s="15">
        <f>+$M$4*(D265-D264)+(1-$M$4)*E264</f>
        <v>2.5932371070128917</v>
      </c>
      <c r="F265" s="15">
        <f>+$M$5*(B265/D265)+(1-$M$5)*F253</f>
        <v>1.0037756407844556</v>
      </c>
      <c r="G265" s="16">
        <f t="shared" si="11"/>
        <v>1834.7970324757221</v>
      </c>
      <c r="H265" s="16">
        <f t="shared" si="10"/>
        <v>-57.797032475722062</v>
      </c>
      <c r="I265" s="16">
        <f t="shared" si="12"/>
        <v>3340.4969629996708</v>
      </c>
    </row>
    <row r="266" spans="1:9" x14ac:dyDescent="0.2">
      <c r="A266" s="2">
        <v>44774</v>
      </c>
      <c r="B266" s="3">
        <v>1690</v>
      </c>
      <c r="C266" s="7" t="s">
        <v>33</v>
      </c>
      <c r="D266" s="16">
        <f>+$M$3*(B266/F254)+(1-$M$3)*(D265+E265)</f>
        <v>1798.724086305504</v>
      </c>
      <c r="E266" s="15">
        <f>+$M$4*(D266-D265)+(1-$M$4)*E265</f>
        <v>2.6326193587697415</v>
      </c>
      <c r="F266" s="15">
        <f>+$M$5*(B266/D266)+(1-$M$5)*F254</f>
        <v>0.93717126576272058</v>
      </c>
      <c r="G266" s="16">
        <f t="shared" si="11"/>
        <v>1678.066159359096</v>
      </c>
      <c r="H266" s="16">
        <f t="shared" si="10"/>
        <v>11.933840640904009</v>
      </c>
      <c r="I266" s="16">
        <f t="shared" si="12"/>
        <v>142.41655244249222</v>
      </c>
    </row>
    <row r="267" spans="1:9" x14ac:dyDescent="0.2">
      <c r="A267" s="2">
        <v>44805</v>
      </c>
      <c r="B267" s="3">
        <v>1686</v>
      </c>
      <c r="C267" s="7" t="s">
        <v>33</v>
      </c>
      <c r="D267" s="16">
        <f t="shared" ref="D267:D276" si="13">+$M$3*(B267/F255)+(1-$M$3)*(D266+E266)</f>
        <v>1795.6055028499309</v>
      </c>
      <c r="E267" s="15">
        <f>+$M$4*(D267-D266)+(1-$M$4)*E266</f>
        <v>2.5884535023847701</v>
      </c>
      <c r="F267" s="15">
        <f>+$M$5*(B267/D267)+(1-$M$5)*F255</f>
        <v>0.94165933114527434</v>
      </c>
      <c r="G267" s="16">
        <f t="shared" si="11"/>
        <v>1699.4959123117126</v>
      </c>
      <c r="H267" s="16">
        <f t="shared" si="10"/>
        <v>-13.495912311712573</v>
      </c>
      <c r="I267" s="16">
        <f t="shared" si="12"/>
        <v>182.139649125435</v>
      </c>
    </row>
    <row r="268" spans="1:9" x14ac:dyDescent="0.2">
      <c r="A268" s="2">
        <v>44835</v>
      </c>
      <c r="B268" s="3">
        <v>1956</v>
      </c>
      <c r="C268" s="7" t="s">
        <v>33</v>
      </c>
      <c r="D268" s="16">
        <f t="shared" si="13"/>
        <v>1796.2814960344122</v>
      </c>
      <c r="E268" s="22">
        <f>+$M$4*(D268-D267)+(1-$M$4)*E267</f>
        <v>2.5737669315109635</v>
      </c>
      <c r="F268" s="22">
        <f>+$M$5*(G268/D268)+(1-$M$5)*F256</f>
        <v>1.0911066885338472</v>
      </c>
      <c r="G268" s="23">
        <f t="shared" si="11"/>
        <v>1961.1879798742621</v>
      </c>
      <c r="H268" s="23">
        <f t="shared" si="10"/>
        <v>-5.1879798742620551</v>
      </c>
      <c r="I268" s="23">
        <f t="shared" si="12"/>
        <v>26.91513517574813</v>
      </c>
    </row>
    <row r="269" spans="1:9" x14ac:dyDescent="0.2">
      <c r="A269" s="2">
        <v>44866</v>
      </c>
      <c r="B269" s="3">
        <v>1807</v>
      </c>
      <c r="C269" s="7" t="s">
        <v>33</v>
      </c>
      <c r="D269" s="16">
        <f t="shared" si="13"/>
        <v>1800.8477313630535</v>
      </c>
      <c r="E269" s="22">
        <f>+$M$4*(D269-D268)+(1-$M$4)*E268</f>
        <v>2.5890679173951328</v>
      </c>
      <c r="F269" s="22">
        <f>+$M$5*(G269/D269)+(1-$M$5)*F257</f>
        <v>1.0013254621477623</v>
      </c>
      <c r="G269" s="23">
        <f t="shared" si="11"/>
        <v>1802.0354292211055</v>
      </c>
      <c r="H269" s="23">
        <f t="shared" si="10"/>
        <v>4.9645707788945401</v>
      </c>
      <c r="I269" s="23">
        <f t="shared" si="12"/>
        <v>24.64696301865354</v>
      </c>
    </row>
    <row r="270" spans="1:9" x14ac:dyDescent="0.2">
      <c r="A270" s="2">
        <v>44896</v>
      </c>
      <c r="B270" s="3">
        <v>1949</v>
      </c>
      <c r="C270" s="7" t="s">
        <v>33</v>
      </c>
      <c r="D270" s="16">
        <f t="shared" si="13"/>
        <v>1833.6370243063488</v>
      </c>
      <c r="E270" s="22">
        <f>+$M$4*(D270-D269)+(1-$M$4)*E269</f>
        <v>2.8209878903721464</v>
      </c>
      <c r="F270" s="22">
        <f>+$M$5*(G270/D270)+(1-$M$5)*F258</f>
        <v>1.0306798312640608</v>
      </c>
      <c r="G270" s="23">
        <f t="shared" si="11"/>
        <v>1871.0669384544424</v>
      </c>
      <c r="H270" s="23">
        <f t="shared" ref="H270:H333" si="14">+B270-G270</f>
        <v>77.933061545557621</v>
      </c>
      <c r="I270" s="23">
        <f t="shared" si="12"/>
        <v>6073.5620818636717</v>
      </c>
    </row>
    <row r="271" spans="1:9" x14ac:dyDescent="0.2">
      <c r="A271" s="2">
        <v>44927</v>
      </c>
      <c r="B271" s="3">
        <v>1833</v>
      </c>
      <c r="C271" s="7" t="s">
        <v>34</v>
      </c>
      <c r="D271" s="16">
        <f>+$M$3*(G271/F259)+(1-$M$3)*(D270+E270)</f>
        <v>1836.4580121967213</v>
      </c>
      <c r="E271" s="22">
        <f>+$M$4*(D271-D270)+(1-$M$4)*E270</f>
        <v>2.8209878903721486</v>
      </c>
      <c r="F271" s="22">
        <f>+$M$5*(G271/D271)+(1-$M$5)*F259</f>
        <v>1.0206527914297472</v>
      </c>
      <c r="G271" s="23">
        <f t="shared" ref="G271:G276" si="15">+(D270+E270)*F259</f>
        <v>1874.385996492108</v>
      </c>
      <c r="H271" s="23">
        <f t="shared" si="14"/>
        <v>-41.385996492108006</v>
      </c>
      <c r="I271" s="23">
        <f t="shared" ref="I271:I276" si="16">+H271^2</f>
        <v>1712.8007056447761</v>
      </c>
    </row>
    <row r="272" spans="1:9" x14ac:dyDescent="0.2">
      <c r="A272" s="2">
        <v>44958</v>
      </c>
      <c r="B272" s="3">
        <v>1813</v>
      </c>
      <c r="C272" s="7" t="s">
        <v>34</v>
      </c>
      <c r="D272" s="16">
        <f t="shared" ref="D272:D276" si="17">+$M$3*(G272/F260)+(1-$M$3)*(D271+E271)</f>
        <v>1839.2790000870934</v>
      </c>
      <c r="E272" s="22">
        <f t="shared" ref="E272:E276" si="18">+$M$4*(D272-D271)+(1-$M$4)*E271</f>
        <v>2.820987890372149</v>
      </c>
      <c r="F272" s="22">
        <f t="shared" ref="F272:F276" si="19">+$M$5*(G272/D272)+(1-$M$5)*F260</f>
        <v>1.0519625655247433</v>
      </c>
      <c r="G272" s="23">
        <f t="shared" ref="G272:G276" si="20">+(D271+E271)*F260</f>
        <v>1934.8526556474035</v>
      </c>
      <c r="H272" s="23">
        <f t="shared" si="14"/>
        <v>-121.85265564740348</v>
      </c>
      <c r="I272" s="23">
        <f t="shared" si="16"/>
        <v>14848.069688324691</v>
      </c>
    </row>
    <row r="273" spans="1:9" x14ac:dyDescent="0.2">
      <c r="A273" s="2">
        <v>44986</v>
      </c>
      <c r="B273" s="3">
        <v>1886</v>
      </c>
      <c r="C273" s="7" t="s">
        <v>34</v>
      </c>
      <c r="D273" s="16">
        <f t="shared" si="17"/>
        <v>1842.0999879774656</v>
      </c>
      <c r="E273" s="22">
        <f t="shared" si="18"/>
        <v>2.8209878903721495</v>
      </c>
      <c r="F273" s="22">
        <f t="shared" si="19"/>
        <v>1.0551654038658718</v>
      </c>
      <c r="G273" s="23">
        <f t="shared" si="20"/>
        <v>1943.7201777755599</v>
      </c>
      <c r="H273" s="23">
        <f t="shared" si="14"/>
        <v>-57.720177775559932</v>
      </c>
      <c r="I273" s="23">
        <f t="shared" si="16"/>
        <v>3331.6189224422428</v>
      </c>
    </row>
    <row r="274" spans="1:9" x14ac:dyDescent="0.2">
      <c r="A274" s="2">
        <v>45017</v>
      </c>
      <c r="B274" s="3">
        <v>1805</v>
      </c>
      <c r="C274" s="7" t="s">
        <v>34</v>
      </c>
      <c r="D274" s="16">
        <f t="shared" si="17"/>
        <v>1844.9209758678378</v>
      </c>
      <c r="E274" s="22">
        <f t="shared" si="18"/>
        <v>2.8209878903721499</v>
      </c>
      <c r="F274" s="22">
        <f>+$M$5*(G274/D274)+(1-$M$5)*F262</f>
        <v>1.0063474330191065</v>
      </c>
      <c r="G274" s="23">
        <f t="shared" si="20"/>
        <v>1856.6314881877033</v>
      </c>
      <c r="H274" s="23">
        <f t="shared" si="14"/>
        <v>-51.631488187703326</v>
      </c>
      <c r="I274" s="23">
        <f t="shared" si="16"/>
        <v>2665.810572476948</v>
      </c>
    </row>
    <row r="275" spans="1:9" x14ac:dyDescent="0.2">
      <c r="A275" s="2">
        <v>45047</v>
      </c>
      <c r="B275" s="3">
        <v>1931</v>
      </c>
      <c r="C275" s="7" t="s">
        <v>34</v>
      </c>
      <c r="D275" s="16">
        <f t="shared" si="17"/>
        <v>1847.74196375821</v>
      </c>
      <c r="E275" s="22">
        <f t="shared" si="18"/>
        <v>2.8209878903721504</v>
      </c>
      <c r="F275" s="22">
        <f t="shared" si="19"/>
        <v>1.0251305614763313</v>
      </c>
      <c r="G275" s="23">
        <f t="shared" si="20"/>
        <v>1894.1767567708328</v>
      </c>
      <c r="H275" s="23">
        <f t="shared" si="14"/>
        <v>36.823243229167247</v>
      </c>
      <c r="I275" s="23">
        <f t="shared" si="16"/>
        <v>1355.9512419144114</v>
      </c>
    </row>
    <row r="276" spans="1:9" x14ac:dyDescent="0.2">
      <c r="A276" s="2">
        <v>45078</v>
      </c>
      <c r="B276" s="3">
        <v>1822</v>
      </c>
      <c r="C276" s="7" t="s">
        <v>34</v>
      </c>
      <c r="D276" s="16">
        <f>+$M$3*(G276/F264)+(1-$M$3)*(D275+E275)</f>
        <v>1850.5629516485822</v>
      </c>
      <c r="E276" s="22">
        <f t="shared" si="18"/>
        <v>2.8209878903721508</v>
      </c>
      <c r="F276" s="22">
        <f t="shared" si="19"/>
        <v>0.97805579995873981</v>
      </c>
      <c r="G276" s="23">
        <f t="shared" si="20"/>
        <v>1809.9538280486609</v>
      </c>
      <c r="H276" s="23">
        <f t="shared" si="14"/>
        <v>12.046171951339147</v>
      </c>
      <c r="I276" s="23">
        <f t="shared" si="16"/>
        <v>145.11025868122999</v>
      </c>
    </row>
  </sheetData>
  <mergeCells count="1">
    <mergeCell ref="L12:M1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0913-7D18-5C47-BD8A-F969CEA75740}">
  <dimension ref="A1:N281"/>
  <sheetViews>
    <sheetView showGridLines="0" topLeftCell="D1" zoomScale="162" workbookViewId="0">
      <pane ySplit="1" topLeftCell="A2" activePane="bottomLeft" state="frozen"/>
      <selection pane="bottomLeft" activeCell="S34" sqref="S34"/>
    </sheetView>
  </sheetViews>
  <sheetFormatPr baseColWidth="10" defaultRowHeight="15" x14ac:dyDescent="0.2"/>
  <cols>
    <col min="1" max="2" width="10.83203125" style="6"/>
    <col min="3" max="3" width="11.6640625" style="6" bestFit="1" customWidth="1"/>
    <col min="4" max="4" width="13.1640625" style="6" bestFit="1" customWidth="1"/>
    <col min="5" max="5" width="12.6640625" style="6" bestFit="1" customWidth="1"/>
    <col min="6" max="6" width="11.6640625" style="6" bestFit="1" customWidth="1"/>
    <col min="7" max="7" width="11.1640625" style="6" bestFit="1" customWidth="1"/>
    <col min="8" max="8" width="12.6640625" style="6" bestFit="1" customWidth="1"/>
    <col min="9" max="9" width="10.83203125" style="6"/>
    <col min="10" max="10" width="11.6640625" style="6" bestFit="1" customWidth="1"/>
    <col min="11" max="12" width="10.83203125" style="6"/>
    <col min="13" max="13" width="3" style="6" customWidth="1"/>
    <col min="14" max="14" width="13" style="6" bestFit="1" customWidth="1"/>
    <col min="15" max="16384" width="10.83203125" style="6"/>
  </cols>
  <sheetData>
    <row r="1" spans="1:14" x14ac:dyDescent="0.2">
      <c r="A1" s="1" t="s">
        <v>1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3</v>
      </c>
      <c r="G1" s="1" t="s">
        <v>12</v>
      </c>
      <c r="H1" s="1" t="s">
        <v>13</v>
      </c>
    </row>
    <row r="2" spans="1:14" x14ac:dyDescent="0.2">
      <c r="A2" s="2">
        <v>36739</v>
      </c>
      <c r="B2" s="3">
        <v>1049</v>
      </c>
      <c r="C2" s="9"/>
      <c r="D2" s="9"/>
      <c r="E2" s="15">
        <f>B2/$C$13</f>
        <v>1.0249979643351519</v>
      </c>
      <c r="F2" s="9"/>
      <c r="G2" s="9"/>
      <c r="H2" s="9"/>
    </row>
    <row r="3" spans="1:14" x14ac:dyDescent="0.2">
      <c r="A3" s="2">
        <v>36770</v>
      </c>
      <c r="B3" s="3">
        <v>1026</v>
      </c>
      <c r="C3" s="9"/>
      <c r="D3" s="9"/>
      <c r="E3" s="15">
        <f>B3/$C$13</f>
        <v>1.002524224411693</v>
      </c>
      <c r="F3" s="9"/>
      <c r="G3" s="9"/>
      <c r="H3" s="9"/>
      <c r="J3" s="9" t="s">
        <v>9</v>
      </c>
      <c r="K3" s="9" t="s">
        <v>8</v>
      </c>
      <c r="L3" s="18">
        <v>0.38297059529158711</v>
      </c>
    </row>
    <row r="4" spans="1:14" x14ac:dyDescent="0.2">
      <c r="A4" s="2">
        <v>36800</v>
      </c>
      <c r="B4" s="3">
        <v>1074</v>
      </c>
      <c r="C4" s="9"/>
      <c r="D4" s="9"/>
      <c r="E4" s="15">
        <f>B4/$C$13</f>
        <v>1.0494259425128247</v>
      </c>
      <c r="F4" s="9"/>
      <c r="G4" s="9"/>
      <c r="H4" s="9"/>
      <c r="J4" s="9" t="s">
        <v>10</v>
      </c>
      <c r="K4" s="9" t="s">
        <v>14</v>
      </c>
      <c r="L4" s="18">
        <v>8.1155994094336149E-3</v>
      </c>
    </row>
    <row r="5" spans="1:14" x14ac:dyDescent="0.2">
      <c r="A5" s="2">
        <v>36831</v>
      </c>
      <c r="B5" s="3">
        <v>1031</v>
      </c>
      <c r="C5" s="9"/>
      <c r="D5" s="9"/>
      <c r="E5" s="15">
        <f>B5/$C$13</f>
        <v>1.0074098200472275</v>
      </c>
      <c r="F5" s="9"/>
      <c r="G5" s="9"/>
      <c r="H5" s="9"/>
      <c r="J5" s="9" t="s">
        <v>20</v>
      </c>
      <c r="K5" s="9" t="s">
        <v>15</v>
      </c>
      <c r="L5" s="18">
        <v>0.40396197824204355</v>
      </c>
    </row>
    <row r="6" spans="1:14" x14ac:dyDescent="0.2">
      <c r="A6" s="2">
        <v>36861</v>
      </c>
      <c r="B6" s="3">
        <v>1047</v>
      </c>
      <c r="C6" s="9"/>
      <c r="D6" s="9"/>
      <c r="E6" s="15">
        <f>B6/$C$13</f>
        <v>1.023043726080938</v>
      </c>
      <c r="F6" s="9"/>
      <c r="G6" s="9"/>
      <c r="H6" s="9"/>
    </row>
    <row r="7" spans="1:14" x14ac:dyDescent="0.2">
      <c r="A7" s="2">
        <v>36892</v>
      </c>
      <c r="B7" s="3">
        <v>986</v>
      </c>
      <c r="C7" s="9"/>
      <c r="D7" s="9"/>
      <c r="E7" s="15">
        <f>B7/$C$13</f>
        <v>0.96343945932741637</v>
      </c>
      <c r="F7" s="9"/>
      <c r="G7" s="9"/>
      <c r="H7" s="9"/>
    </row>
    <row r="8" spans="1:14" x14ac:dyDescent="0.2">
      <c r="A8" s="2">
        <v>36923</v>
      </c>
      <c r="B8" s="3">
        <v>1015</v>
      </c>
      <c r="C8" s="9"/>
      <c r="D8" s="9"/>
      <c r="E8" s="15">
        <f>B8/$C$13</f>
        <v>0.99177591401351683</v>
      </c>
      <c r="F8" s="9"/>
      <c r="G8" s="9"/>
      <c r="H8" s="9"/>
      <c r="J8" s="8"/>
      <c r="K8" s="8" t="s">
        <v>42</v>
      </c>
      <c r="L8" s="8" t="s">
        <v>37</v>
      </c>
    </row>
    <row r="9" spans="1:14" x14ac:dyDescent="0.2">
      <c r="A9" s="2">
        <v>36951</v>
      </c>
      <c r="B9" s="3">
        <v>1021</v>
      </c>
      <c r="C9" s="9"/>
      <c r="D9" s="9"/>
      <c r="E9" s="15">
        <f>B9/$C$13</f>
        <v>0.99763862877615828</v>
      </c>
      <c r="F9" s="9"/>
      <c r="G9" s="9"/>
      <c r="H9" s="9"/>
      <c r="J9" s="8" t="s">
        <v>43</v>
      </c>
      <c r="K9" s="20">
        <f>SQRT(AVERAGE(H14:H276))</f>
        <v>45.952516866657689</v>
      </c>
      <c r="L9" s="20">
        <f>K9*1000</f>
        <v>45952.516866657686</v>
      </c>
    </row>
    <row r="10" spans="1:14" x14ac:dyDescent="0.2">
      <c r="A10" s="2">
        <v>36982</v>
      </c>
      <c r="B10" s="3">
        <v>958</v>
      </c>
      <c r="C10" s="9"/>
      <c r="D10" s="9"/>
      <c r="E10" s="15">
        <f>B10/$C$13</f>
        <v>0.93608012376842276</v>
      </c>
      <c r="F10" s="9"/>
      <c r="G10" s="9"/>
      <c r="H10" s="9"/>
    </row>
    <row r="11" spans="1:14" x14ac:dyDescent="0.2">
      <c r="A11" s="2">
        <v>37012</v>
      </c>
      <c r="B11" s="3">
        <v>1041</v>
      </c>
      <c r="C11" s="9"/>
      <c r="D11" s="9"/>
      <c r="E11" s="15">
        <f>B11/$C$13</f>
        <v>1.0171810113182966</v>
      </c>
      <c r="F11" s="9"/>
      <c r="G11" s="9"/>
      <c r="H11" s="9"/>
    </row>
    <row r="12" spans="1:14" x14ac:dyDescent="0.2">
      <c r="A12" s="2">
        <v>37043</v>
      </c>
      <c r="B12" s="3">
        <v>999</v>
      </c>
      <c r="C12" s="9"/>
      <c r="D12" s="9"/>
      <c r="E12" s="15">
        <f>B12/$C$13</f>
        <v>0.97614200797980621</v>
      </c>
      <c r="F12" s="9"/>
      <c r="G12" s="9"/>
      <c r="H12" s="9"/>
      <c r="K12" s="11" t="s">
        <v>38</v>
      </c>
      <c r="L12" s="11"/>
      <c r="N12" s="8" t="s">
        <v>39</v>
      </c>
    </row>
    <row r="13" spans="1:14" x14ac:dyDescent="0.2">
      <c r="A13" s="2">
        <v>37073</v>
      </c>
      <c r="B13" s="3">
        <v>1034</v>
      </c>
      <c r="C13" s="5">
        <f>+AVERAGE(B2:B13)</f>
        <v>1023.4166666666666</v>
      </c>
      <c r="D13" s="15">
        <v>0</v>
      </c>
      <c r="E13" s="15">
        <f>B13/$C$13</f>
        <v>1.0103411774285482</v>
      </c>
      <c r="F13" s="9"/>
      <c r="G13" s="9"/>
      <c r="H13" s="9"/>
      <c r="J13" s="9" t="s">
        <v>35</v>
      </c>
      <c r="K13" s="10">
        <f>AVERAGE(B2:B276)</f>
        <v>1407.8909090909092</v>
      </c>
      <c r="L13" s="10">
        <f>K13*1000</f>
        <v>1407890.9090909092</v>
      </c>
      <c r="N13" s="19">
        <f>L9/L13</f>
        <v>3.2639259597414219E-2</v>
      </c>
    </row>
    <row r="14" spans="1:14" x14ac:dyDescent="0.2">
      <c r="A14" s="2">
        <v>37104</v>
      </c>
      <c r="B14" s="3">
        <v>959</v>
      </c>
      <c r="C14" s="16">
        <f>+$L$3*(B14/E2)+(1-$L$3)*(C13+D13)</f>
        <v>989.78991346760085</v>
      </c>
      <c r="D14" s="15">
        <f>+$L$4*(C14-C13)+(1-$L$4)*D13</f>
        <v>-0.2729012584035081</v>
      </c>
      <c r="E14" s="15">
        <f>+$L$5*(B14/C14)+(1-$L$5)*E2</f>
        <v>1.0023334802854351</v>
      </c>
      <c r="F14" s="16">
        <f>+(C13+D13)*E2</f>
        <v>1049</v>
      </c>
      <c r="G14" s="16">
        <f>+B14-F14</f>
        <v>-90</v>
      </c>
      <c r="H14" s="16">
        <f>+G14^2</f>
        <v>8100</v>
      </c>
    </row>
    <row r="15" spans="1:14" x14ac:dyDescent="0.2">
      <c r="A15" s="2">
        <v>37135</v>
      </c>
      <c r="B15" s="3">
        <v>920</v>
      </c>
      <c r="C15" s="16">
        <f>+$L$3*(B15/E3)+(1-$L$3)*(C14+D14)</f>
        <v>962.00691254344997</v>
      </c>
      <c r="D15" s="15">
        <f>+$L$4*(C15-C14)+(1-$L$4)*D14</f>
        <v>-0.49616220700430735</v>
      </c>
      <c r="E15" s="15">
        <f>+$L$5*(B15/C15)+(1-$L$5)*E3</f>
        <v>0.98386516412192493</v>
      </c>
      <c r="F15" s="16">
        <f t="shared" ref="F15:F78" si="0">+(C14+D14)*E3</f>
        <v>992.0147752072013</v>
      </c>
      <c r="G15" s="16">
        <f>+B15-F15</f>
        <v>-72.014775207201296</v>
      </c>
      <c r="H15" s="16">
        <f t="shared" ref="H15:H78" si="1">+G15^2</f>
        <v>5186.1278481437348</v>
      </c>
    </row>
    <row r="16" spans="1:14" x14ac:dyDescent="0.2">
      <c r="A16" s="2">
        <v>37165</v>
      </c>
      <c r="B16" s="3">
        <v>1019</v>
      </c>
      <c r="C16" s="16">
        <f>+$L$3*(B16/E4)+(1-$L$3)*(C15+D15)</f>
        <v>965.14755801991805</v>
      </c>
      <c r="D16" s="15">
        <f>+$L$4*(C16-C15)+(1-$L$4)*D15</f>
        <v>-0.46664733271609521</v>
      </c>
      <c r="E16" s="15">
        <f>+$L$5*(B16/C16)+(1-$L$5)*E4</f>
        <v>1.0519996508962397</v>
      </c>
      <c r="F16" s="16">
        <f t="shared" si="0"/>
        <v>1009.0343254080378</v>
      </c>
      <c r="G16" s="16">
        <f>+B16-F16</f>
        <v>9.9656745919621699</v>
      </c>
      <c r="H16" s="16">
        <f t="shared" si="1"/>
        <v>99.314670072880361</v>
      </c>
    </row>
    <row r="17" spans="1:8" x14ac:dyDescent="0.2">
      <c r="A17" s="2">
        <v>37196</v>
      </c>
      <c r="B17" s="3">
        <v>1056</v>
      </c>
      <c r="C17" s="16">
        <f>+$L$3*(B17/E5)+(1-$L$3)*(C16+D16)</f>
        <v>996.67882123460902</v>
      </c>
      <c r="D17" s="15">
        <f>+$L$4*(C17-C16)+(1-$L$4)*D16</f>
        <v>-0.20696510877444879</v>
      </c>
      <c r="E17" s="15">
        <f>+$L$5*(B17/C17)+(1-$L$5)*E5</f>
        <v>1.0284598874816786</v>
      </c>
      <c r="F17" s="16">
        <f t="shared" si="0"/>
        <v>971.82902263838957</v>
      </c>
      <c r="G17" s="16">
        <f>+B17-F17</f>
        <v>84.170977361610426</v>
      </c>
      <c r="H17" s="16">
        <f t="shared" si="1"/>
        <v>7084.7534300087345</v>
      </c>
    </row>
    <row r="18" spans="1:8" x14ac:dyDescent="0.2">
      <c r="A18" s="2">
        <v>37226</v>
      </c>
      <c r="B18" s="3">
        <v>1057</v>
      </c>
      <c r="C18" s="16">
        <f>+$L$3*(B18/E6)+(1-$L$3)*(C17+D17)</f>
        <v>1010.5343693347475</v>
      </c>
      <c r="D18" s="15">
        <f>+$L$4*(C18-C17)+(1-$L$4)*D17</f>
        <v>-9.2839384881042986E-2</v>
      </c>
      <c r="E18" s="15">
        <f>+$L$5*(B18/C18)+(1-$L$5)*E6</f>
        <v>1.0323096124980669</v>
      </c>
      <c r="F18" s="16">
        <f t="shared" si="0"/>
        <v>1019.4342806257622</v>
      </c>
      <c r="G18" s="16">
        <f>+B18-F18</f>
        <v>37.565719374237801</v>
      </c>
      <c r="H18" s="16">
        <f t="shared" si="1"/>
        <v>1411.1832721039852</v>
      </c>
    </row>
    <row r="19" spans="1:8" x14ac:dyDescent="0.2">
      <c r="A19" s="2">
        <v>37257</v>
      </c>
      <c r="B19" s="3">
        <v>1017</v>
      </c>
      <c r="C19" s="16">
        <f>+$L$3*(B19/E7)+(1-$L$3)*(C18+D18)</f>
        <v>1027.7332355104884</v>
      </c>
      <c r="D19" s="15">
        <f>+$L$4*(C19-C18)+(1-$L$4)*D18</f>
        <v>4.7493170554840661E-2</v>
      </c>
      <c r="E19" s="15">
        <f>+$L$5*(B19/C19)+(1-$L$5)*E7</f>
        <v>0.97398971007510138</v>
      </c>
      <c r="F19" s="16">
        <f t="shared" si="0"/>
        <v>973.49924129686667</v>
      </c>
      <c r="G19" s="16">
        <f>+B19-F19</f>
        <v>43.500758703133329</v>
      </c>
      <c r="H19" s="16">
        <f t="shared" si="1"/>
        <v>1892.31600774823</v>
      </c>
    </row>
    <row r="20" spans="1:8" x14ac:dyDescent="0.2">
      <c r="A20" s="2">
        <v>37288</v>
      </c>
      <c r="B20" s="3">
        <v>1096</v>
      </c>
      <c r="C20" s="16">
        <f>+$L$3*(B20/E8)+(1-$L$3)*(C19+D19)</f>
        <v>1057.387271199555</v>
      </c>
      <c r="D20" s="15">
        <f>+$L$4*(C20-C19)+(1-$L$4)*D19</f>
        <v>0.28776800953344617</v>
      </c>
      <c r="E20" s="15">
        <f>+$L$5*(B20/C20)+(1-$L$5)*E8</f>
        <v>1.0098496566282709</v>
      </c>
      <c r="F20" s="16">
        <f t="shared" si="0"/>
        <v>1019.32817159312</v>
      </c>
      <c r="G20" s="16">
        <f>+B20-F20</f>
        <v>76.671828406879968</v>
      </c>
      <c r="H20" s="16">
        <f t="shared" si="1"/>
        <v>5878.5692712540458</v>
      </c>
    </row>
    <row r="21" spans="1:8" x14ac:dyDescent="0.2">
      <c r="A21" s="2">
        <v>37316</v>
      </c>
      <c r="B21" s="3">
        <v>1052</v>
      </c>
      <c r="C21" s="16">
        <f>+$L$3*(B21/E9)+(1-$L$3)*(C20+D20)</f>
        <v>1056.455279101214</v>
      </c>
      <c r="D21" s="15">
        <f>+$L$4*(C21-C20)+(1-$L$4)*D20</f>
        <v>0.27786892512232991</v>
      </c>
      <c r="E21" s="15">
        <f>+$L$5*(B21/C21)+(1-$L$5)*E9</f>
        <v>0.99688894608089262</v>
      </c>
      <c r="F21" s="16">
        <f t="shared" si="0"/>
        <v>1055.1774758073245</v>
      </c>
      <c r="G21" s="16">
        <f>+B21-F21</f>
        <v>-3.1774758073245266</v>
      </c>
      <c r="H21" s="16">
        <f t="shared" si="1"/>
        <v>10.096352506132652</v>
      </c>
    </row>
    <row r="22" spans="1:8" x14ac:dyDescent="0.2">
      <c r="A22" s="2">
        <v>37347</v>
      </c>
      <c r="B22" s="3">
        <v>971</v>
      </c>
      <c r="C22" s="16">
        <f>+$L$3*(B22/E10)+(1-$L$3)*(C21+D21)</f>
        <v>1049.2924960898843</v>
      </c>
      <c r="D22" s="15">
        <f>+$L$4*(C22-C21)+(1-$L$4)*D21</f>
        <v>0.21748357466105797</v>
      </c>
      <c r="E22" s="15">
        <f>+$L$5*(B22/C22)+(1-$L$5)*E10</f>
        <v>0.93175987885623868</v>
      </c>
      <c r="F22" s="16">
        <f t="shared" si="0"/>
        <v>989.1868959946878</v>
      </c>
      <c r="G22" s="16">
        <f>+B22-F22</f>
        <v>-18.186895994687802</v>
      </c>
      <c r="H22" s="16">
        <f t="shared" si="1"/>
        <v>330.76318592159123</v>
      </c>
    </row>
    <row r="23" spans="1:8" x14ac:dyDescent="0.2">
      <c r="A23" s="2">
        <v>37377</v>
      </c>
      <c r="B23" s="3">
        <v>1033</v>
      </c>
      <c r="C23" s="16">
        <f>+$L$3*(B23/E11)+(1-$L$3)*(C22+D22)</f>
        <v>1036.5049927591333</v>
      </c>
      <c r="D23" s="15">
        <f>+$L$4*(C23-C22)+(1-$L$4)*D22</f>
        <v>0.11194031061180437</v>
      </c>
      <c r="E23" s="15">
        <f>+$L$5*(B23/C23)+(1-$L$5)*E11</f>
        <v>1.00887451864291</v>
      </c>
      <c r="F23" s="16">
        <f t="shared" si="0"/>
        <v>1067.5416225038271</v>
      </c>
      <c r="G23" s="16">
        <f>+B23-F23</f>
        <v>-34.541622503827057</v>
      </c>
      <c r="H23" s="16">
        <f t="shared" si="1"/>
        <v>1193.1236851968918</v>
      </c>
    </row>
    <row r="24" spans="1:8" x14ac:dyDescent="0.2">
      <c r="A24" s="2">
        <v>37408</v>
      </c>
      <c r="B24" s="3">
        <v>978</v>
      </c>
      <c r="C24" s="16">
        <f>+$L$3*(B24/E12)+(1-$L$3)*(C23+D23)</f>
        <v>1023.3226719487541</v>
      </c>
      <c r="D24" s="15">
        <f>+$L$4*(C24-C23)+(1-$L$4)*D23</f>
        <v>4.0494129094333087E-3</v>
      </c>
      <c r="E24" s="15">
        <f>+$L$5*(B24/C24)+(1-$L$5)*E12</f>
        <v>0.96788836777682463</v>
      </c>
      <c r="F24" s="16">
        <f t="shared" si="0"/>
        <v>1011.8853345525694</v>
      </c>
      <c r="G24" s="16">
        <f>+B24-F24</f>
        <v>-33.885334552569361</v>
      </c>
      <c r="H24" s="16">
        <f t="shared" si="1"/>
        <v>1148.2158977395511</v>
      </c>
    </row>
    <row r="25" spans="1:8" x14ac:dyDescent="0.2">
      <c r="A25" s="2">
        <v>37438</v>
      </c>
      <c r="B25" s="3">
        <v>983</v>
      </c>
      <c r="C25" s="16">
        <f>+$L$3*(B25/E13)+(1-$L$3)*(C24+D24)</f>
        <v>1004.0295788002909</v>
      </c>
      <c r="D25" s="15">
        <f>+$L$4*(C25-C24)+(1-$L$4)*D24</f>
        <v>-0.15255846586539859</v>
      </c>
      <c r="E25" s="15">
        <f>+$L$5*(B25/C25)+(1-$L$5)*E13</f>
        <v>0.99770267917432742</v>
      </c>
      <c r="F25" s="16">
        <f t="shared" si="0"/>
        <v>1033.909124554639</v>
      </c>
      <c r="G25" s="16">
        <f>+B25-F25</f>
        <v>-50.909124554638993</v>
      </c>
      <c r="H25" s="16">
        <f t="shared" si="1"/>
        <v>2591.7389629197469</v>
      </c>
    </row>
    <row r="26" spans="1:8" x14ac:dyDescent="0.2">
      <c r="A26" s="2">
        <v>37469</v>
      </c>
      <c r="B26" s="3">
        <v>906</v>
      </c>
      <c r="C26" s="16">
        <f>+$L$3*(B26/E14)+(1-$L$3)*(C25+D25)</f>
        <v>965.58523367081807</v>
      </c>
      <c r="D26" s="15">
        <f>+$L$4*(C26-C25)+(1-$L$4)*D25</f>
        <v>-0.46331926709872895</v>
      </c>
      <c r="E26" s="15">
        <f>+$L$5*(B26/C26)+(1-$L$5)*E14</f>
        <v>0.97646278066612868</v>
      </c>
      <c r="F26" s="16">
        <f t="shared" si="0"/>
        <v>1006.2195475703772</v>
      </c>
      <c r="G26" s="16">
        <f>+B26-F26</f>
        <v>-100.21954757037724</v>
      </c>
      <c r="H26" s="16">
        <f t="shared" si="1"/>
        <v>10043.957715211107</v>
      </c>
    </row>
    <row r="27" spans="1:8" x14ac:dyDescent="0.2">
      <c r="A27" s="2">
        <v>37500</v>
      </c>
      <c r="B27" s="3">
        <v>910</v>
      </c>
      <c r="C27" s="16">
        <f>+$L$3*(B27/E15)+(1-$L$3)*(C26+D26)</f>
        <v>949.72709937826971</v>
      </c>
      <c r="D27" s="15">
        <f>+$L$4*(C27-C26)+(1-$L$4)*D26</f>
        <v>-0.58825741882760774</v>
      </c>
      <c r="E27" s="15">
        <f>+$L$5*(B27/C27)+(1-$L$5)*E15</f>
        <v>0.97348528849207083</v>
      </c>
      <c r="F27" s="16">
        <f t="shared" si="0"/>
        <v>949.54983071248171</v>
      </c>
      <c r="G27" s="16">
        <f>+B27-F27</f>
        <v>-39.549830712481707</v>
      </c>
      <c r="H27" s="16">
        <f t="shared" si="1"/>
        <v>1564.1891093859613</v>
      </c>
    </row>
    <row r="28" spans="1:8" x14ac:dyDescent="0.2">
      <c r="A28" s="2">
        <v>37530</v>
      </c>
      <c r="B28" s="3">
        <v>1025</v>
      </c>
      <c r="C28" s="16">
        <f>+$L$3*(B28/E16)+(1-$L$3)*(C27+D27)</f>
        <v>958.78820053247296</v>
      </c>
      <c r="D28" s="15">
        <f>+$L$4*(C28-C27)+(1-$L$4)*D27</f>
        <v>-0.50994709009090533</v>
      </c>
      <c r="E28" s="15">
        <f>+$L$5*(B28/C28)+(1-$L$5)*E16</f>
        <v>1.0588904927301805</v>
      </c>
      <c r="F28" s="16">
        <f t="shared" si="0"/>
        <v>998.49373039339423</v>
      </c>
      <c r="G28" s="16">
        <f>+B28-F28</f>
        <v>26.50626960660577</v>
      </c>
      <c r="H28" s="16">
        <f t="shared" si="1"/>
        <v>702.58232845807277</v>
      </c>
    </row>
    <row r="29" spans="1:8" x14ac:dyDescent="0.2">
      <c r="A29" s="2">
        <v>37561</v>
      </c>
      <c r="B29" s="3">
        <v>1026</v>
      </c>
      <c r="C29" s="16">
        <f>+$L$3*(B29/E17)+(1-$L$3)*(C28+D28)</f>
        <v>973.34046011227247</v>
      </c>
      <c r="D29" s="15">
        <f>+$L$4*(C29-C28)+(1-$L$4)*D28</f>
        <v>-0.38770825453597563</v>
      </c>
      <c r="E29" s="15">
        <f>+$L$5*(B29/C29)+(1-$L$5)*E17</f>
        <v>1.0388182738181821</v>
      </c>
      <c r="F29" s="16">
        <f t="shared" si="0"/>
        <v>985.55074471149169</v>
      </c>
      <c r="G29" s="16">
        <f>+B29-F29</f>
        <v>40.449255288508311</v>
      </c>
      <c r="H29" s="16">
        <f t="shared" si="1"/>
        <v>1636.1422533949176</v>
      </c>
    </row>
    <row r="30" spans="1:8" x14ac:dyDescent="0.2">
      <c r="A30" s="2">
        <v>37591</v>
      </c>
      <c r="B30" s="3">
        <v>1014</v>
      </c>
      <c r="C30" s="16">
        <f>+$L$3*(B30/E18)+(1-$L$3)*(C29+D29)</f>
        <v>976.51847493345122</v>
      </c>
      <c r="D30" s="15">
        <f>+$L$4*(C30-C29)+(1-$L$4)*D29</f>
        <v>-0.35877027444850135</v>
      </c>
      <c r="E30" s="15">
        <f>+$L$5*(B30/C30)+(1-$L$5)*E18</f>
        <v>1.0347629541949788</v>
      </c>
      <c r="F30" s="16">
        <f t="shared" si="0"/>
        <v>1004.3884782491878</v>
      </c>
      <c r="G30" s="16">
        <f>+B30-F30</f>
        <v>9.6115217508122441</v>
      </c>
      <c r="H30" s="16">
        <f t="shared" si="1"/>
        <v>92.381350366336861</v>
      </c>
    </row>
    <row r="31" spans="1:8" x14ac:dyDescent="0.2">
      <c r="A31" s="2">
        <v>37622</v>
      </c>
      <c r="B31" s="3">
        <v>977</v>
      </c>
      <c r="C31" s="16">
        <f>+$L$3*(B31/E19)+(1-$L$3)*(C30+D30)</f>
        <v>986.47347608426151</v>
      </c>
      <c r="D31" s="15">
        <f>+$L$4*(C31-C30)+(1-$L$4)*D30</f>
        <v>-0.27506783716063782</v>
      </c>
      <c r="E31" s="15">
        <f>+$L$5*(B31/C31)+(1-$L$5)*E19</f>
        <v>0.98061747932568666</v>
      </c>
      <c r="F31" s="16">
        <f t="shared" si="0"/>
        <v>950.76950772781868</v>
      </c>
      <c r="G31" s="16">
        <f>+B31-F31</f>
        <v>26.230492272181323</v>
      </c>
      <c r="H31" s="16">
        <f t="shared" si="1"/>
        <v>688.03872484096405</v>
      </c>
    </row>
    <row r="32" spans="1:8" x14ac:dyDescent="0.2">
      <c r="A32" s="2">
        <v>37653</v>
      </c>
      <c r="B32" s="3">
        <v>990</v>
      </c>
      <c r="C32" s="16">
        <f>+$L$3*(B32/E20)+(1-$L$3)*(C31+D31)</f>
        <v>983.95632239974248</v>
      </c>
      <c r="D32" s="15">
        <f>+$L$4*(C32-C31)+(1-$L$4)*D31</f>
        <v>-0.29326370773935906</v>
      </c>
      <c r="E32" s="15">
        <f>+$L$5*(B32/C32)+(1-$L$5)*E20</f>
        <v>1.0083519937675263</v>
      </c>
      <c r="F32" s="16">
        <f t="shared" si="0"/>
        <v>995.91212393568208</v>
      </c>
      <c r="G32" s="16">
        <f>+B32-F32</f>
        <v>-5.9121239356820752</v>
      </c>
      <c r="H32" s="16">
        <f t="shared" si="1"/>
        <v>34.953209430864909</v>
      </c>
    </row>
    <row r="33" spans="1:8" x14ac:dyDescent="0.2">
      <c r="A33" s="2">
        <v>37681</v>
      </c>
      <c r="B33" s="3">
        <v>989</v>
      </c>
      <c r="C33" s="16">
        <f>+$L$3*(B33/E21)+(1-$L$3)*(C32+D32)</f>
        <v>986.88896389735362</v>
      </c>
      <c r="D33" s="15">
        <f>+$L$4*(C33-C32)+(1-$L$4)*D32</f>
        <v>-0.26708355335992767</v>
      </c>
      <c r="E33" s="15">
        <f>+$L$5*(B33/C33)+(1-$L$5)*E21</f>
        <v>0.99900980124345662</v>
      </c>
      <c r="F33" s="16">
        <f t="shared" si="0"/>
        <v>980.60282987817823</v>
      </c>
      <c r="G33" s="16">
        <f>+B33-F33</f>
        <v>8.3971701218217731</v>
      </c>
      <c r="H33" s="16">
        <f t="shared" si="1"/>
        <v>70.512466054816286</v>
      </c>
    </row>
    <row r="34" spans="1:8" x14ac:dyDescent="0.2">
      <c r="A34" s="2">
        <v>37712</v>
      </c>
      <c r="B34" s="3">
        <v>960</v>
      </c>
      <c r="C34" s="16">
        <f>+$L$3*(B34/E22)+(1-$L$3)*(C33+D33)</f>
        <v>1003.3525204652358</v>
      </c>
      <c r="D34" s="15">
        <f>+$L$4*(C34-C33)+(1-$L$4)*D33</f>
        <v>-0.13130438027252897</v>
      </c>
      <c r="E34" s="15">
        <f>+$L$5*(B34/C34)+(1-$L$5)*E22</f>
        <v>0.94187203900439309</v>
      </c>
      <c r="F34" s="16">
        <f t="shared" si="0"/>
        <v>919.29468370623397</v>
      </c>
      <c r="G34" s="16">
        <f>+B34-F34</f>
        <v>40.705316293766032</v>
      </c>
      <c r="H34" s="16">
        <f t="shared" si="1"/>
        <v>1656.9227745755345</v>
      </c>
    </row>
    <row r="35" spans="1:8" x14ac:dyDescent="0.2">
      <c r="A35" s="2">
        <v>37742</v>
      </c>
      <c r="B35" s="3">
        <v>981</v>
      </c>
      <c r="C35" s="16">
        <f>+$L$3*(B35/E23)+(1-$L$3)*(C34+D34)</f>
        <v>991.40636725968602</v>
      </c>
      <c r="D35" s="15">
        <f>+$L$4*(C35-C34)+(1-$L$4)*D34</f>
        <v>-0.22718896042149633</v>
      </c>
      <c r="E35" s="15">
        <f>+$L$5*(B35/C35)+(1-$L$5)*E23</f>
        <v>1.0010493349761775</v>
      </c>
      <c r="F35" s="16">
        <f t="shared" si="0"/>
        <v>1012.124321470072</v>
      </c>
      <c r="G35" s="16">
        <f>+B35-F35</f>
        <v>-31.124321470072005</v>
      </c>
      <c r="H35" s="16">
        <f t="shared" si="1"/>
        <v>968.72338697238513</v>
      </c>
    </row>
    <row r="36" spans="1:8" x14ac:dyDescent="0.2">
      <c r="A36" s="2">
        <v>37773</v>
      </c>
      <c r="B36" s="3">
        <v>962</v>
      </c>
      <c r="C36" s="16">
        <f>+$L$3*(B36/E24)+(1-$L$3)*(C35+D35)</f>
        <v>992.22740541031476</v>
      </c>
      <c r="D36" s="15">
        <f>+$L$4*(C36-C35)+(1-$L$4)*D35</f>
        <v>-0.21868196909810475</v>
      </c>
      <c r="E36" s="15">
        <f>+$L$5*(B36/C36)+(1-$L$5)*E24</f>
        <v>0.96855387130424919</v>
      </c>
      <c r="F36" s="16">
        <f t="shared" si="0"/>
        <v>959.35079705844942</v>
      </c>
      <c r="G36" s="16">
        <f>+B36-F36</f>
        <v>2.649202941550584</v>
      </c>
      <c r="H36" s="16">
        <f t="shared" si="1"/>
        <v>7.0182762255202666</v>
      </c>
    </row>
    <row r="37" spans="1:8" x14ac:dyDescent="0.2">
      <c r="A37" s="2">
        <v>37803</v>
      </c>
      <c r="B37" s="3">
        <v>1022</v>
      </c>
      <c r="C37" s="16">
        <f>+$L$3*(B37/E25)+(1-$L$3)*(C36+D36)</f>
        <v>1004.3957329619572</v>
      </c>
      <c r="D37" s="15">
        <f>+$L$4*(C37-C36)+(1-$L$4)*D36</f>
        <v>-0.11815396194693462</v>
      </c>
      <c r="E37" s="15">
        <f>+$L$5*(B37/C37)+(1-$L$5)*E25</f>
        <v>1.0057110407322676</v>
      </c>
      <c r="F37" s="16">
        <f t="shared" si="0"/>
        <v>989.72976114160622</v>
      </c>
      <c r="G37" s="16">
        <f>+B37-F37</f>
        <v>32.270238858393782</v>
      </c>
      <c r="H37" s="16">
        <f t="shared" si="1"/>
        <v>1041.3683159777879</v>
      </c>
    </row>
    <row r="38" spans="1:8" x14ac:dyDescent="0.2">
      <c r="A38" s="2">
        <v>37834</v>
      </c>
      <c r="B38" s="3">
        <v>910</v>
      </c>
      <c r="C38" s="16">
        <f>+$L$3*(B38/E26)+(1-$L$3)*(C37+D37)</f>
        <v>976.57256061942007</v>
      </c>
      <c r="D38" s="15">
        <f>+$L$4*(C38-C37)+(1-$L$4)*D37</f>
        <v>-0.34299679275479944</v>
      </c>
      <c r="E38" s="15">
        <f>+$L$5*(B38/C38)+(1-$L$5)*E26</f>
        <v>0.95843299596503306</v>
      </c>
      <c r="F38" s="16">
        <f t="shared" si="0"/>
        <v>980.63967735099766</v>
      </c>
      <c r="G38" s="16">
        <f>+B38-F38</f>
        <v>-70.639677350997658</v>
      </c>
      <c r="H38" s="16">
        <f t="shared" si="1"/>
        <v>4989.9640162530513</v>
      </c>
    </row>
    <row r="39" spans="1:8" x14ac:dyDescent="0.2">
      <c r="A39" s="2">
        <v>37865</v>
      </c>
      <c r="B39" s="3">
        <v>912</v>
      </c>
      <c r="C39" s="16">
        <f>+$L$3*(B39/E27)+(1-$L$3)*(C38+D38)</f>
        <v>961.14453577201903</v>
      </c>
      <c r="D39" s="15">
        <f>+$L$4*(C39-C38)+(1-$L$4)*D38</f>
        <v>-0.46542083752637603</v>
      </c>
      <c r="E39" s="15">
        <f>+$L$5*(B39/C39)+(1-$L$5)*E27</f>
        <v>0.96354113692570209</v>
      </c>
      <c r="F39" s="16">
        <f t="shared" si="0"/>
        <v>950.34511857628979</v>
      </c>
      <c r="G39" s="16">
        <f>+B39-F39</f>
        <v>-38.345118576289792</v>
      </c>
      <c r="H39" s="16">
        <f t="shared" si="1"/>
        <v>1470.3481186297245</v>
      </c>
    </row>
    <row r="40" spans="1:8" x14ac:dyDescent="0.2">
      <c r="A40" s="2">
        <v>37895</v>
      </c>
      <c r="B40" s="3">
        <v>1025</v>
      </c>
      <c r="C40" s="16">
        <f>+$L$3*(B40/E28)+(1-$L$3)*(C39+D39)</f>
        <v>963.48062971508762</v>
      </c>
      <c r="D40" s="15">
        <f>+$L$4*(C40-C39)+(1-$L$4)*D39</f>
        <v>-0.44268486582745997</v>
      </c>
      <c r="E40" s="15">
        <f>+$L$5*(B40/C40)+(1-$L$5)*E28</f>
        <v>1.0608944197482386</v>
      </c>
      <c r="F40" s="16">
        <f t="shared" si="0"/>
        <v>1017.2539813685787</v>
      </c>
      <c r="G40" s="16">
        <f>+B40-F40</f>
        <v>7.7460186314212933</v>
      </c>
      <c r="H40" s="16">
        <f t="shared" si="1"/>
        <v>60.000804638325803</v>
      </c>
    </row>
    <row r="41" spans="1:8" x14ac:dyDescent="0.2">
      <c r="A41" s="2">
        <v>37926</v>
      </c>
      <c r="B41" s="3">
        <v>1017</v>
      </c>
      <c r="C41" s="16">
        <f>+$L$3*(B41/E29)+(1-$L$3)*(C40+D40)</f>
        <v>969.14980342839181</v>
      </c>
      <c r="D41" s="15">
        <f>+$L$4*(C41-C40)+(1-$L$4)*D40</f>
        <v>-0.3930834699521174</v>
      </c>
      <c r="E41" s="15">
        <f>+$L$5*(B41/C41)+(1-$L$5)*E29</f>
        <v>1.0430821333286855</v>
      </c>
      <c r="F41" s="16">
        <f t="shared" si="0"/>
        <v>1000.4214154897181</v>
      </c>
      <c r="G41" s="16">
        <f>+B41-F41</f>
        <v>16.578584510281871</v>
      </c>
      <c r="H41" s="16">
        <f t="shared" si="1"/>
        <v>274.849464364558</v>
      </c>
    </row>
    <row r="42" spans="1:8" x14ac:dyDescent="0.2">
      <c r="A42" s="2">
        <v>37956</v>
      </c>
      <c r="B42" s="3">
        <v>1044</v>
      </c>
      <c r="C42" s="16">
        <f>+$L$3*(B42/E30)+(1-$L$3)*(C41+D41)</f>
        <v>984.14065124713807</v>
      </c>
      <c r="D42" s="15">
        <f>+$L$4*(C42-C41)+(1-$L$4)*D41</f>
        <v>-0.26823364627078955</v>
      </c>
      <c r="E42" s="15">
        <f>+$L$5*(B42/C42)+(1-$L$5)*E30</f>
        <v>1.0452906166933256</v>
      </c>
      <c r="F42" s="16">
        <f t="shared" si="0"/>
        <v>1002.4335654404329</v>
      </c>
      <c r="G42" s="16">
        <f>+B42-F42</f>
        <v>41.566434559567142</v>
      </c>
      <c r="H42" s="16">
        <f t="shared" si="1"/>
        <v>1727.7684819947776</v>
      </c>
    </row>
    <row r="43" spans="1:8" x14ac:dyDescent="0.2">
      <c r="A43" s="2">
        <v>37987</v>
      </c>
      <c r="B43" s="3">
        <v>1032</v>
      </c>
      <c r="C43" s="16">
        <f>+$L$3*(B43/E31)+(1-$L$3)*(C42+D42)</f>
        <v>1010.1157498901496</v>
      </c>
      <c r="D43" s="15">
        <f>+$L$4*(C43-C42)+(1-$L$4)*D42</f>
        <v>-5.5253274242320044E-2</v>
      </c>
      <c r="E43" s="15">
        <f>+$L$5*(B43/C43)+(1-$L$5)*E31</f>
        <v>0.99719915392689318</v>
      </c>
      <c r="F43" s="16">
        <f t="shared" si="0"/>
        <v>964.80249012583181</v>
      </c>
      <c r="G43" s="16">
        <f>+B43-F43</f>
        <v>67.19750987416819</v>
      </c>
      <c r="H43" s="16">
        <f t="shared" si="1"/>
        <v>4515.5053332889311</v>
      </c>
    </row>
    <row r="44" spans="1:8" x14ac:dyDescent="0.2">
      <c r="A44" s="2">
        <v>38018</v>
      </c>
      <c r="B44" s="3">
        <v>1060</v>
      </c>
      <c r="C44" s="16">
        <f>+$L$3*(B44/E32)+(1-$L$3)*(C43+D43)</f>
        <v>1025.8234585875221</v>
      </c>
      <c r="D44" s="15">
        <f>+$L$4*(C44-C43)+(1-$L$4)*D43</f>
        <v>7.2672610625441586E-2</v>
      </c>
      <c r="E44" s="15">
        <f>+$L$5*(B44/C44)+(1-$L$5)*E32</f>
        <v>1.0184365846512295</v>
      </c>
      <c r="F44" s="16">
        <f t="shared" si="0"/>
        <v>1018.4965155884678</v>
      </c>
      <c r="G44" s="16">
        <f>+B44-F44</f>
        <v>41.503484411532213</v>
      </c>
      <c r="H44" s="16">
        <f t="shared" si="1"/>
        <v>1722.5392182982973</v>
      </c>
    </row>
    <row r="45" spans="1:8" x14ac:dyDescent="0.2">
      <c r="A45" s="2">
        <v>38047</v>
      </c>
      <c r="B45" s="3">
        <v>1077</v>
      </c>
      <c r="C45" s="16">
        <f>+$L$3*(B45/E33)+(1-$L$3)*(C44+D44)</f>
        <v>1045.8762317862768</v>
      </c>
      <c r="D45" s="15">
        <f>+$L$4*(C45-C44)+(1-$L$4)*D44</f>
        <v>0.23482310315888777</v>
      </c>
      <c r="E45" s="15">
        <f>+$L$5*(B45/C45)+(1-$L$5)*E33</f>
        <v>1.0114311297390286</v>
      </c>
      <c r="F45" s="16">
        <f t="shared" si="0"/>
        <v>1024.8802901246925</v>
      </c>
      <c r="G45" s="16">
        <f>+B45-F45</f>
        <v>52.119709875307535</v>
      </c>
      <c r="H45" s="16">
        <f t="shared" si="1"/>
        <v>2716.4641574862299</v>
      </c>
    </row>
    <row r="46" spans="1:8" x14ac:dyDescent="0.2">
      <c r="A46" s="2">
        <v>38078</v>
      </c>
      <c r="B46" s="3">
        <v>1098</v>
      </c>
      <c r="C46" s="16">
        <f>+$L$3*(B46/E34)+(1-$L$3)*(C45+D45)</f>
        <v>1091.9344048292091</v>
      </c>
      <c r="D46" s="15">
        <f>+$L$4*(C46-C45)+(1-$L$4)*D45</f>
        <v>0.60670705486838328</v>
      </c>
      <c r="E46" s="15">
        <f>+$L$5*(B46/C46)+(1-$L$5)*E34</f>
        <v>0.96759749674766082</v>
      </c>
      <c r="F46" s="16">
        <f t="shared" si="0"/>
        <v>985.30275229374945</v>
      </c>
      <c r="G46" s="16">
        <f>+B46-F46</f>
        <v>112.69724770625055</v>
      </c>
      <c r="H46" s="16">
        <f t="shared" si="1"/>
        <v>12700.669640563994</v>
      </c>
    </row>
    <row r="47" spans="1:8" x14ac:dyDescent="0.2">
      <c r="A47" s="2">
        <v>38108</v>
      </c>
      <c r="B47" s="3">
        <v>1086</v>
      </c>
      <c r="C47" s="16">
        <f>+$L$3*(B47/E35)+(1-$L$3)*(C46+D46)</f>
        <v>1089.6000910653379</v>
      </c>
      <c r="D47" s="15">
        <f>+$L$4*(C47-C46)+(1-$L$4)*D46</f>
        <v>0.58283890804868799</v>
      </c>
      <c r="E47" s="15">
        <f>+$L$5*(B47/C47)+(1-$L$5)*E35</f>
        <v>0.99929073375347643</v>
      </c>
      <c r="F47" s="16">
        <f t="shared" si="0"/>
        <v>1093.6875534856895</v>
      </c>
      <c r="G47" s="16">
        <f>+B47-F47</f>
        <v>-7.6875534856894774</v>
      </c>
      <c r="H47" s="16">
        <f t="shared" si="1"/>
        <v>59.098478595336431</v>
      </c>
    </row>
    <row r="48" spans="1:8" x14ac:dyDescent="0.2">
      <c r="A48" s="2">
        <v>38139</v>
      </c>
      <c r="B48" s="3">
        <v>1070</v>
      </c>
      <c r="C48" s="16">
        <f>+$L$3*(B48/E36)+(1-$L$3)*(C47+D47)</f>
        <v>1095.7577791698022</v>
      </c>
      <c r="D48" s="15">
        <f>+$L$4*(C48-C47)+(1-$L$4)*D47</f>
        <v>0.62808215089480035</v>
      </c>
      <c r="E48" s="15">
        <f>+$L$5*(B48/C48)+(1-$L$5)*E36</f>
        <v>0.97176105078080366</v>
      </c>
      <c r="F48" s="16">
        <f t="shared" si="0"/>
        <v>1055.9008972555328</v>
      </c>
      <c r="G48" s="16">
        <f>+B48-F48</f>
        <v>14.099102744467245</v>
      </c>
      <c r="H48" s="16">
        <f t="shared" si="1"/>
        <v>198.78469819904382</v>
      </c>
    </row>
    <row r="49" spans="1:8" x14ac:dyDescent="0.2">
      <c r="A49" s="2">
        <v>38169</v>
      </c>
      <c r="B49" s="3">
        <v>1121</v>
      </c>
      <c r="C49" s="16">
        <f>+$L$3*(B49/E37)+(1-$L$3)*(C48+D48)</f>
        <v>1103.3744684096559</v>
      </c>
      <c r="D49" s="15">
        <f>+$L$4*(C49-C48)+(1-$L$4)*D48</f>
        <v>0.68479888645871889</v>
      </c>
      <c r="E49" s="15">
        <f>+$L$5*(B49/C49)+(1-$L$5)*E37</f>
        <v>1.0098569694733865</v>
      </c>
      <c r="F49" s="16">
        <f t="shared" si="0"/>
        <v>1102.647365632982</v>
      </c>
      <c r="G49" s="16">
        <f>+B49-F49</f>
        <v>18.352634367018027</v>
      </c>
      <c r="H49" s="16">
        <f t="shared" si="1"/>
        <v>336.81918820945117</v>
      </c>
    </row>
    <row r="50" spans="1:8" x14ac:dyDescent="0.2">
      <c r="A50" s="2">
        <v>38200</v>
      </c>
      <c r="B50" s="3">
        <v>993</v>
      </c>
      <c r="C50" s="16">
        <f>+$L$3*(B50/E38)+(1-$L$3)*(C49+D49)</f>
        <v>1078.0199090178551</v>
      </c>
      <c r="D50" s="15">
        <f>+$L$4*(C50-C49)+(1-$L$4)*D49</f>
        <v>0.47347388579364502</v>
      </c>
      <c r="E50" s="15">
        <f>+$L$5*(B50/C50)+(1-$L$5)*E38</f>
        <v>0.9433653234078665</v>
      </c>
      <c r="F50" s="16">
        <f t="shared" si="0"/>
        <v>1058.1668312775746</v>
      </c>
      <c r="G50" s="16">
        <f>+B50-F50</f>
        <v>-65.166831277574602</v>
      </c>
      <c r="H50" s="16">
        <f t="shared" si="1"/>
        <v>4246.715898759875</v>
      </c>
    </row>
    <row r="51" spans="1:8" x14ac:dyDescent="0.2">
      <c r="A51" s="2">
        <v>38231</v>
      </c>
      <c r="B51" s="3">
        <v>1026</v>
      </c>
      <c r="C51" s="16">
        <f>+$L$3*(B51/E39)+(1-$L$3)*(C50+D50)</f>
        <v>1073.257724546776</v>
      </c>
      <c r="D51" s="15">
        <f>+$L$4*(C51-C50)+(1-$L$4)*D50</f>
        <v>0.43098337992461255</v>
      </c>
      <c r="E51" s="15">
        <f>+$L$5*(B51/C51)+(1-$L$5)*E39</f>
        <v>0.96048186233824617</v>
      </c>
      <c r="F51" s="16">
        <f t="shared" si="0"/>
        <v>1039.1727403298282</v>
      </c>
      <c r="G51" s="16">
        <f>+B51-F51</f>
        <v>-13.17274032982823</v>
      </c>
      <c r="H51" s="16">
        <f t="shared" si="1"/>
        <v>173.52108779708314</v>
      </c>
    </row>
    <row r="52" spans="1:8" x14ac:dyDescent="0.2">
      <c r="A52" s="2">
        <v>38261</v>
      </c>
      <c r="B52" s="3">
        <v>1114</v>
      </c>
      <c r="C52" s="16">
        <f>+$L$3*(B52/E40)+(1-$L$3)*(C51+D51)</f>
        <v>1064.6385988397119</v>
      </c>
      <c r="D52" s="15">
        <f>+$L$4*(C52-C51)+(1-$L$4)*D51</f>
        <v>0.35753631996293728</v>
      </c>
      <c r="E52" s="15">
        <f>+$L$5*(B52/C52)+(1-$L$5)*E40</f>
        <v>1.0550248712837433</v>
      </c>
      <c r="F52" s="16">
        <f t="shared" si="0"/>
        <v>1139.0703587861331</v>
      </c>
      <c r="G52" s="16">
        <f>+B52-F52</f>
        <v>-25.070358786133056</v>
      </c>
      <c r="H52" s="16">
        <f t="shared" si="1"/>
        <v>628.52288966543892</v>
      </c>
    </row>
    <row r="53" spans="1:8" x14ac:dyDescent="0.2">
      <c r="A53" s="2">
        <v>38292</v>
      </c>
      <c r="B53" s="3">
        <v>1050</v>
      </c>
      <c r="C53" s="16">
        <f>+$L$3*(B53/E41)+(1-$L$3)*(C52+D52)</f>
        <v>1042.644441164658</v>
      </c>
      <c r="D53" s="15">
        <f>+$L$4*(C53-C52)+(1-$L$4)*D52</f>
        <v>0.17613892537713788</v>
      </c>
      <c r="E53" s="15">
        <f>+$L$5*(B53/C53)+(1-$L$5)*E41</f>
        <v>1.0285284259391378</v>
      </c>
      <c r="F53" s="16">
        <f t="shared" si="0"/>
        <v>1110.8784406491586</v>
      </c>
      <c r="G53" s="16">
        <f>+B53-F53</f>
        <v>-60.87844064915862</v>
      </c>
      <c r="H53" s="16">
        <f t="shared" si="1"/>
        <v>3706.1845358731284</v>
      </c>
    </row>
    <row r="54" spans="1:8" x14ac:dyDescent="0.2">
      <c r="A54" s="2">
        <v>38322</v>
      </c>
      <c r="B54" s="3">
        <v>1094</v>
      </c>
      <c r="C54" s="16">
        <f>+$L$3*(B54/E42)+(1-$L$3)*(C53+D53)</f>
        <v>1044.267561993702</v>
      </c>
      <c r="D54" s="15">
        <f>+$L$4*(C54-C53)+(1-$L$4)*D53</f>
        <v>0.18788205085999743</v>
      </c>
      <c r="E54" s="15">
        <f>+$L$5*(B54/C54)+(1-$L$5)*E42</f>
        <v>1.046233307529298</v>
      </c>
      <c r="F54" s="16">
        <f t="shared" si="0"/>
        <v>1090.0505672628044</v>
      </c>
      <c r="G54" s="16">
        <f>+B54-F54</f>
        <v>3.9494327371955933</v>
      </c>
      <c r="H54" s="16">
        <f t="shared" si="1"/>
        <v>15.598018945632276</v>
      </c>
    </row>
    <row r="55" spans="1:8" x14ac:dyDescent="0.2">
      <c r="A55" s="2">
        <v>38353</v>
      </c>
      <c r="B55" s="3">
        <v>1069</v>
      </c>
      <c r="C55" s="16">
        <f>+$L$3*(B55/E43)+(1-$L$3)*(C54+D54)</f>
        <v>1055.0051618361085</v>
      </c>
      <c r="D55" s="15">
        <f>+$L$4*(C55-C54)+(1-$L$4)*D54</f>
        <v>0.27349933433876394</v>
      </c>
      <c r="E55" s="15">
        <f>+$L$5*(B55/C55)+(1-$L$5)*E43</f>
        <v>1.0036892194364289</v>
      </c>
      <c r="F55" s="16">
        <f t="shared" si="0"/>
        <v>1041.5300851155748</v>
      </c>
      <c r="G55" s="16">
        <f>+B55-F55</f>
        <v>27.469914884425179</v>
      </c>
      <c r="H55" s="16">
        <f t="shared" si="1"/>
        <v>754.59622375756408</v>
      </c>
    </row>
    <row r="56" spans="1:8" x14ac:dyDescent="0.2">
      <c r="A56" s="2">
        <v>38384</v>
      </c>
      <c r="B56" s="3">
        <v>1096</v>
      </c>
      <c r="C56" s="16">
        <f>+$L$3*(B56/E44)+(1-$L$3)*(C55+D55)</f>
        <v>1063.2753310887135</v>
      </c>
      <c r="D56" s="15">
        <f>+$L$4*(C56-C55)+(1-$L$4)*D55</f>
        <v>0.33839710400488093</v>
      </c>
      <c r="E56" s="15">
        <f>+$L$5*(B56/C56)+(1-$L$5)*E44</f>
        <v>1.0234217359664979</v>
      </c>
      <c r="F56" s="16">
        <f t="shared" si="0"/>
        <v>1074.7343955377526</v>
      </c>
      <c r="G56" s="16">
        <f>+B56-F56</f>
        <v>21.265604462247438</v>
      </c>
      <c r="H56" s="16">
        <f t="shared" si="1"/>
        <v>452.22593314475813</v>
      </c>
    </row>
    <row r="57" spans="1:8" x14ac:dyDescent="0.2">
      <c r="A57" s="2">
        <v>38412</v>
      </c>
      <c r="B57" s="3">
        <v>1137</v>
      </c>
      <c r="C57" s="16">
        <f>+$L$3*(B57/E45)+(1-$L$3)*(C56+D56)</f>
        <v>1086.7972249483757</v>
      </c>
      <c r="D57" s="15">
        <f>+$L$4*(C57-C56)+(1-$L$4)*D56</f>
        <v>0.52654507658369976</v>
      </c>
      <c r="E57" s="15">
        <f>+$L$5*(B57/C57)+(1-$L$5)*E45</f>
        <v>1.0254737340239397</v>
      </c>
      <c r="F57" s="16">
        <f t="shared" si="0"/>
        <v>1075.7720347119011</v>
      </c>
      <c r="G57" s="16">
        <f>+B57-F57</f>
        <v>61.227965288098858</v>
      </c>
      <c r="H57" s="16">
        <f t="shared" si="1"/>
        <v>3748.8637333206389</v>
      </c>
    </row>
    <row r="58" spans="1:8" x14ac:dyDescent="0.2">
      <c r="A58" s="2">
        <v>38443</v>
      </c>
      <c r="B58" s="3">
        <v>1053</v>
      </c>
      <c r="C58" s="16">
        <f>+$L$3*(B58/E46)+(1-$L$3)*(C57+D57)</f>
        <v>1087.6832479782854</v>
      </c>
      <c r="D58" s="15">
        <f>+$L$4*(C58-C57)+(1-$L$4)*D57</f>
        <v>0.5294624556494163</v>
      </c>
      <c r="E58" s="15">
        <f>+$L$5*(B58/C58)+(1-$L$5)*E46</f>
        <v>0.96780563192057711</v>
      </c>
      <c r="F58" s="16">
        <f t="shared" si="0"/>
        <v>1052.0917580303801</v>
      </c>
      <c r="G58" s="16">
        <f>+B58-F58</f>
        <v>0.90824196961989401</v>
      </c>
      <c r="H58" s="16">
        <f t="shared" si="1"/>
        <v>0.82490347537902442</v>
      </c>
    </row>
    <row r="59" spans="1:8" x14ac:dyDescent="0.2">
      <c r="A59" s="2">
        <v>38473</v>
      </c>
      <c r="B59" s="3">
        <v>1100</v>
      </c>
      <c r="C59" s="16">
        <f>+$L$3*(B59/E47)+(1-$L$3)*(C58+D58)</f>
        <v>1093.0258987369778</v>
      </c>
      <c r="D59" s="15">
        <f>+$L$4*(C59-C58)+(1-$L$4)*D58</f>
        <v>0.56852436379908422</v>
      </c>
      <c r="E59" s="15">
        <f>+$L$5*(B59/C59)+(1-$L$5)*E47</f>
        <v>1.0021547480519337</v>
      </c>
      <c r="F59" s="16">
        <f t="shared" si="0"/>
        <v>1087.440877889386</v>
      </c>
      <c r="G59" s="16">
        <f>+B59-F59</f>
        <v>12.559122110613998</v>
      </c>
      <c r="H59" s="16">
        <f t="shared" si="1"/>
        <v>157.7315481893134</v>
      </c>
    </row>
    <row r="60" spans="1:8" x14ac:dyDescent="0.2">
      <c r="A60" s="2">
        <v>38504</v>
      </c>
      <c r="B60" s="3">
        <v>1101</v>
      </c>
      <c r="C60" s="16">
        <f>+$L$3*(B60/E48)+(1-$L$3)*(C59+D59)</f>
        <v>1108.6835232283331</v>
      </c>
      <c r="D60" s="15">
        <f>+$L$4*(C60-C59)+(1-$L$4)*D59</f>
        <v>0.69098145588316462</v>
      </c>
      <c r="E60" s="15">
        <f>+$L$5*(B60/C60)+(1-$L$5)*E48</f>
        <v>0.98036892984220114</v>
      </c>
      <c r="F60" s="16">
        <f t="shared" si="0"/>
        <v>1062.7124657204376</v>
      </c>
      <c r="G60" s="16">
        <f>+B60-F60</f>
        <v>38.287534279562351</v>
      </c>
      <c r="H60" s="16">
        <f t="shared" si="1"/>
        <v>1465.9352812086622</v>
      </c>
    </row>
    <row r="61" spans="1:8" x14ac:dyDescent="0.2">
      <c r="A61" s="2">
        <v>38534</v>
      </c>
      <c r="B61" s="3">
        <v>1116</v>
      </c>
      <c r="C61" s="16">
        <f>+$L$3*(B61/E49)+(1-$L$3)*(C60+D60)</f>
        <v>1107.7401736132156</v>
      </c>
      <c r="D61" s="15">
        <f>+$L$4*(C61-C60)+(1-$L$4)*D60</f>
        <v>0.67771787960853225</v>
      </c>
      <c r="E61" s="15">
        <f>+$L$5*(B61/C61)+(1-$L$5)*E49</f>
        <v>1.0088872571392544</v>
      </c>
      <c r="F61" s="16">
        <f t="shared" si="0"/>
        <v>1120.3095753114421</v>
      </c>
      <c r="G61" s="16">
        <f>+B61-F61</f>
        <v>-4.3095753114421314</v>
      </c>
      <c r="H61" s="16">
        <f t="shared" si="1"/>
        <v>18.572439364991542</v>
      </c>
    </row>
    <row r="62" spans="1:8" x14ac:dyDescent="0.2">
      <c r="A62" s="2">
        <v>38565</v>
      </c>
      <c r="B62" s="3">
        <v>1051</v>
      </c>
      <c r="C62" s="16">
        <f>+$L$3*(B62/E50)+(1-$L$3)*(C61+D61)</f>
        <v>1110.5926295312263</v>
      </c>
      <c r="D62" s="15">
        <f>+$L$4*(C62-C61)+(1-$L$4)*D61</f>
        <v>0.69536718234866179</v>
      </c>
      <c r="E62" s="15">
        <f>+$L$5*(B62/C62)+(1-$L$5)*E50</f>
        <v>0.94456762381312265</v>
      </c>
      <c r="F62" s="16">
        <f t="shared" si="0"/>
        <v>1045.6430026791934</v>
      </c>
      <c r="G62" s="16">
        <f>+B62-F62</f>
        <v>5.3569973208066131</v>
      </c>
      <c r="H62" s="16">
        <f t="shared" si="1"/>
        <v>28.697420295129231</v>
      </c>
    </row>
    <row r="63" spans="1:8" x14ac:dyDescent="0.2">
      <c r="A63" s="2">
        <v>38596</v>
      </c>
      <c r="B63" s="3">
        <v>1000</v>
      </c>
      <c r="C63" s="16">
        <f>+$L$3*(B63/E51)+(1-$L$3)*(C62+D62)</f>
        <v>1084.4249372116192</v>
      </c>
      <c r="D63" s="15">
        <f>+$L$4*(C63-C62)+(1-$L$4)*D62</f>
        <v>0.47735735251900946</v>
      </c>
      <c r="E63" s="15">
        <f>+$L$5*(B63/C63)+(1-$L$5)*E51</f>
        <v>0.94499633256337412</v>
      </c>
      <c r="F63" s="16">
        <f t="shared" si="0"/>
        <v>1067.3719646775933</v>
      </c>
      <c r="G63" s="16">
        <f>+B63-F63</f>
        <v>-67.371964677593269</v>
      </c>
      <c r="H63" s="16">
        <f t="shared" si="1"/>
        <v>4538.9816245188749</v>
      </c>
    </row>
    <row r="64" spans="1:8" x14ac:dyDescent="0.2">
      <c r="A64" s="2">
        <v>38626</v>
      </c>
      <c r="B64" s="3">
        <v>1102</v>
      </c>
      <c r="C64" s="16">
        <f>+$L$3*(B64/E52)+(1-$L$3)*(C63+D63)</f>
        <v>1069.4390311431825</v>
      </c>
      <c r="D64" s="15">
        <f>+$L$4*(C64-C63)+(1-$L$4)*D63</f>
        <v>0.35186370103198544</v>
      </c>
      <c r="E64" s="15">
        <f>+$L$5*(B64/C64)+(1-$L$5)*E52</f>
        <v>1.045096254622893</v>
      </c>
      <c r="F64" s="16">
        <f t="shared" si="0"/>
        <v>1144.5989036779677</v>
      </c>
      <c r="G64" s="16">
        <f>+B64-F64</f>
        <v>-42.598903677967655</v>
      </c>
      <c r="H64" s="16">
        <f t="shared" si="1"/>
        <v>1814.6665945647662</v>
      </c>
    </row>
    <row r="65" spans="1:8" x14ac:dyDescent="0.2">
      <c r="A65" s="2">
        <v>38657</v>
      </c>
      <c r="B65" s="3">
        <v>1094</v>
      </c>
      <c r="C65" s="16">
        <f>+$L$3*(B65/E53)+(1-$L$3)*(C64+D64)</f>
        <v>1067.4412498749932</v>
      </c>
      <c r="D65" s="15">
        <f>+$L$4*(C65-C64)+(1-$L$4)*D64</f>
        <v>0.33279492370739427</v>
      </c>
      <c r="E65" s="15">
        <f>+$L$5*(B65/C65)+(1-$L$5)*E53</f>
        <v>1.0270549078071551</v>
      </c>
      <c r="F65" s="16">
        <f t="shared" si="0"/>
        <v>1100.3103451581417</v>
      </c>
      <c r="G65" s="16">
        <f>+B65-F65</f>
        <v>-6.3103451581416721</v>
      </c>
      <c r="H65" s="16">
        <f t="shared" si="1"/>
        <v>39.820456014882048</v>
      </c>
    </row>
    <row r="66" spans="1:8" x14ac:dyDescent="0.2">
      <c r="A66" s="2">
        <v>38687</v>
      </c>
      <c r="B66" s="3">
        <v>1143</v>
      </c>
      <c r="C66" s="16">
        <f>+$L$3*(B66/E54)+(1-$L$3)*(C65+D65)</f>
        <v>1077.2397389341093</v>
      </c>
      <c r="D66" s="15">
        <f>+$L$4*(C66-C65)+(1-$L$4)*D65</f>
        <v>0.40961470544259587</v>
      </c>
      <c r="E66" s="15">
        <f>+$L$5*(B66/C66)+(1-$L$5)*E54</f>
        <v>1.0522167285714348</v>
      </c>
      <c r="F66" s="16">
        <f t="shared" si="0"/>
        <v>1117.1407705836812</v>
      </c>
      <c r="G66" s="16">
        <f>+B66-F66</f>
        <v>25.85922941631884</v>
      </c>
      <c r="H66" s="16">
        <f t="shared" si="1"/>
        <v>668.69974600580963</v>
      </c>
    </row>
    <row r="67" spans="1:8" x14ac:dyDescent="0.2">
      <c r="A67" s="2">
        <v>38718</v>
      </c>
      <c r="B67" s="3">
        <v>1094</v>
      </c>
      <c r="C67" s="16">
        <f>+$L$3*(B67/E55)+(1-$L$3)*(C66+D66)</f>
        <v>1082.3711801269765</v>
      </c>
      <c r="D67" s="15">
        <f>+$L$4*(C67-C66)+(1-$L$4)*D66</f>
        <v>0.44793515769538711</v>
      </c>
      <c r="E67" s="15">
        <f>+$L$5*(B67/C67)+(1-$L$5)*E55</f>
        <v>1.0065390168301349</v>
      </c>
      <c r="F67" s="16">
        <f t="shared" si="0"/>
        <v>1081.6250385806541</v>
      </c>
      <c r="G67" s="16">
        <f>+B67-F67</f>
        <v>12.374961419345937</v>
      </c>
      <c r="H67" s="16">
        <f t="shared" si="1"/>
        <v>153.1396701303004</v>
      </c>
    </row>
    <row r="68" spans="1:8" x14ac:dyDescent="0.2">
      <c r="A68" s="2">
        <v>38749</v>
      </c>
      <c r="B68" s="3">
        <v>1175</v>
      </c>
      <c r="C68" s="16">
        <f>+$L$3*(B68/E56)+(1-$L$3)*(C67+D67)</f>
        <v>1107.8233313700489</v>
      </c>
      <c r="D68" s="15">
        <f>+$L$4*(C68-C67)+(1-$L$4)*D67</f>
        <v>0.65085935899122349</v>
      </c>
      <c r="E68" s="15">
        <f>+$L$5*(B68/C68)+(1-$L$5)*E56</f>
        <v>1.0384558657123901</v>
      </c>
      <c r="F68" s="16">
        <f t="shared" si="0"/>
        <v>1108.1806187023462</v>
      </c>
      <c r="G68" s="16">
        <f>+B68-F68</f>
        <v>66.819381297653763</v>
      </c>
      <c r="H68" s="16">
        <f t="shared" si="1"/>
        <v>4464.8297170012411</v>
      </c>
    </row>
    <row r="69" spans="1:8" x14ac:dyDescent="0.2">
      <c r="A69" s="2">
        <v>38777</v>
      </c>
      <c r="B69" s="3">
        <v>1212</v>
      </c>
      <c r="C69" s="16">
        <f>+$L$3*(B69/E57)+(1-$L$3)*(C68+D68)</f>
        <v>1136.5913507002408</v>
      </c>
      <c r="D69" s="15">
        <f>+$L$4*(C69-C68)+(1-$L$4)*D68</f>
        <v>0.87904696584845032</v>
      </c>
      <c r="E69" s="15">
        <f>+$L$5*(B69/C69)+(1-$L$5)*E57</f>
        <v>1.0419847032310918</v>
      </c>
      <c r="F69" s="16">
        <f t="shared" si="0"/>
        <v>1136.7111674360735</v>
      </c>
      <c r="G69" s="16">
        <f>+B69-F69</f>
        <v>75.288832563926462</v>
      </c>
      <c r="H69" s="16">
        <f t="shared" si="1"/>
        <v>5668.4083088389534</v>
      </c>
    </row>
    <row r="70" spans="1:8" x14ac:dyDescent="0.2">
      <c r="A70" s="2">
        <v>38808</v>
      </c>
      <c r="B70" s="3">
        <v>1109</v>
      </c>
      <c r="C70" s="16">
        <f>+$L$3*(B70/E58)+(1-$L$3)*(C69+D69)</f>
        <v>1140.6953343926807</v>
      </c>
      <c r="D70" s="15">
        <f>+$L$4*(C70-C69)+(1-$L$4)*D69</f>
        <v>0.90521926044223666</v>
      </c>
      <c r="E70" s="15">
        <f>+$L$5*(B70/C70)+(1-$L$5)*E58</f>
        <v>0.96958645427807377</v>
      </c>
      <c r="F70" s="16">
        <f t="shared" si="0"/>
        <v>1100.8502570041796</v>
      </c>
      <c r="G70" s="16">
        <f>+B70-F70</f>
        <v>8.1497429958203611</v>
      </c>
      <c r="H70" s="16">
        <f t="shared" si="1"/>
        <v>66.418310897923035</v>
      </c>
    </row>
    <row r="71" spans="1:8" x14ac:dyDescent="0.2">
      <c r="A71" s="2">
        <v>38838</v>
      </c>
      <c r="B71" s="3">
        <v>1185</v>
      </c>
      <c r="C71" s="16">
        <f>+$L$3*(B71/E59)+(1-$L$3)*(C70+D70)</f>
        <v>1157.2454998890453</v>
      </c>
      <c r="D71" s="15">
        <f>+$L$4*(C71-C70)+(1-$L$4)*D70</f>
        <v>1.0321873768751086</v>
      </c>
      <c r="E71" s="15">
        <f>+$L$5*(B71/C71)+(1-$L$5)*E59</f>
        <v>1.0109726300798907</v>
      </c>
      <c r="F71" s="16">
        <f t="shared" si="0"/>
        <v>1144.0604152221933</v>
      </c>
      <c r="G71" s="16">
        <f>+B71-F71</f>
        <v>40.939584777806658</v>
      </c>
      <c r="H71" s="16">
        <f t="shared" si="1"/>
        <v>1676.0496017792186</v>
      </c>
    </row>
    <row r="72" spans="1:8" x14ac:dyDescent="0.2">
      <c r="A72" s="2">
        <v>38869</v>
      </c>
      <c r="B72" s="3">
        <v>1102</v>
      </c>
      <c r="C72" s="16">
        <f>+$L$3*(B72/E60)+(1-$L$3)*(C71+D71)</f>
        <v>1145.1758586412684</v>
      </c>
      <c r="D72" s="15">
        <f>+$L$4*(C72-C71)+(1-$L$4)*D71</f>
        <v>0.92585818422638266</v>
      </c>
      <c r="E72" s="15">
        <f>+$L$5*(B72/C72)+(1-$L$5)*E60</f>
        <v>0.97306880662179218</v>
      </c>
      <c r="F72" s="16">
        <f t="shared" si="0"/>
        <v>1135.53945672499</v>
      </c>
      <c r="G72" s="16">
        <f>+B72-F72</f>
        <v>-33.539456724990032</v>
      </c>
      <c r="H72" s="16">
        <f t="shared" si="1"/>
        <v>1124.895157407479</v>
      </c>
    </row>
    <row r="73" spans="1:8" x14ac:dyDescent="0.2">
      <c r="A73" s="2">
        <v>38899</v>
      </c>
      <c r="B73" s="3">
        <v>1112</v>
      </c>
      <c r="C73" s="16">
        <f>+$L$3*(B73/E61)+(1-$L$3)*(C72+D72)</f>
        <v>1129.2903451679522</v>
      </c>
      <c r="D73" s="15">
        <f>+$L$4*(C73-C72)+(1-$L$4)*D72</f>
        <v>0.78942382633066077</v>
      </c>
      <c r="E73" s="15">
        <f>+$L$5*(B73/C73)+(1-$L$5)*E61</f>
        <v>0.99911215976423307</v>
      </c>
      <c r="F73" s="16">
        <f t="shared" si="0"/>
        <v>1156.287417490664</v>
      </c>
      <c r="G73" s="16">
        <f>+B73-F73</f>
        <v>-44.287417490663984</v>
      </c>
      <c r="H73" s="16">
        <f t="shared" si="1"/>
        <v>1961.3753479923701</v>
      </c>
    </row>
    <row r="74" spans="1:8" x14ac:dyDescent="0.2">
      <c r="A74" s="2">
        <v>38930</v>
      </c>
      <c r="B74" s="3">
        <v>1108</v>
      </c>
      <c r="C74" s="16">
        <f>+$L$3*(B74/E62)+(1-$L$3)*(C73+D73)</f>
        <v>1146.5259470835035</v>
      </c>
      <c r="D74" s="15">
        <f>+$L$4*(C74-C73)+(1-$L$4)*D73</f>
        <v>0.9228944195189801</v>
      </c>
      <c r="E74" s="15">
        <f>+$L$5*(B74/C74)+(1-$L$5)*E62</f>
        <v>0.953386131097268</v>
      </c>
      <c r="F74" s="16">
        <f t="shared" si="0"/>
        <v>1067.4367621182123</v>
      </c>
      <c r="G74" s="16">
        <f>+B74-F74</f>
        <v>40.5632378817877</v>
      </c>
      <c r="H74" s="16">
        <f t="shared" si="1"/>
        <v>1645.3762674544967</v>
      </c>
    </row>
    <row r="75" spans="1:8" x14ac:dyDescent="0.2">
      <c r="A75" s="2">
        <v>38961</v>
      </c>
      <c r="B75" s="3">
        <v>1089</v>
      </c>
      <c r="C75" s="16">
        <f>+$L$3*(B75/E63)+(1-$L$3)*(C74+D74)</f>
        <v>1149.3394076920652</v>
      </c>
      <c r="D75" s="15">
        <f>+$L$4*(C75-C74)+(1-$L$4)*D74</f>
        <v>0.93823749736626971</v>
      </c>
      <c r="E75" s="15">
        <f>+$L$5*(B75/C75)+(1-$L$5)*E63</f>
        <v>0.94600803928043287</v>
      </c>
      <c r="F75" s="16">
        <f t="shared" si="0"/>
        <v>1084.3349470244486</v>
      </c>
      <c r="G75" s="16">
        <f>+B75-F75</f>
        <v>4.6650529755513617</v>
      </c>
      <c r="H75" s="16">
        <f t="shared" si="1"/>
        <v>21.762719264700614</v>
      </c>
    </row>
    <row r="76" spans="1:8" x14ac:dyDescent="0.2">
      <c r="A76" s="2">
        <v>38991</v>
      </c>
      <c r="B76" s="3">
        <v>1199</v>
      </c>
      <c r="C76" s="16">
        <f>+$L$3*(B76/E64)+(1-$L$3)*(C75+D75)</f>
        <v>1149.1230278504459</v>
      </c>
      <c r="D76" s="15">
        <f>+$L$4*(C76-C75)+(1-$L$4)*D75</f>
        <v>0.92886708557187658</v>
      </c>
      <c r="E76" s="15">
        <f>+$L$5*(B76/C76)+(1-$L$5)*E64</f>
        <v>1.0444128014563421</v>
      </c>
      <c r="F76" s="16">
        <f t="shared" si="0"/>
        <v>1202.1508587639159</v>
      </c>
      <c r="G76" s="16">
        <f>+B76-F76</f>
        <v>-3.1508587639159487</v>
      </c>
      <c r="H76" s="16">
        <f t="shared" si="1"/>
        <v>9.9279109501459395</v>
      </c>
    </row>
    <row r="77" spans="1:8" x14ac:dyDescent="0.2">
      <c r="A77" s="2">
        <v>39022</v>
      </c>
      <c r="B77" s="3">
        <v>1126</v>
      </c>
      <c r="C77" s="16">
        <f>+$L$3*(B77/E65)+(1-$L$3)*(C76+D76)</f>
        <v>1129.481304866044</v>
      </c>
      <c r="D77" s="15">
        <f>+$L$4*(C77-C76)+(1-$L$4)*D76</f>
        <v>0.76192441694829649</v>
      </c>
      <c r="E77" s="15">
        <f>+$L$5*(B77/C77)+(1-$L$5)*E65</f>
        <v>1.0148806558284218</v>
      </c>
      <c r="F77" s="16">
        <f t="shared" si="0"/>
        <v>1181.1664429269558</v>
      </c>
      <c r="G77" s="16">
        <f>+B77-F77</f>
        <v>-55.166442926955824</v>
      </c>
      <c r="H77" s="16">
        <f t="shared" si="1"/>
        <v>3043.3364252130741</v>
      </c>
    </row>
    <row r="78" spans="1:8" x14ac:dyDescent="0.2">
      <c r="A78" s="2">
        <v>39052</v>
      </c>
      <c r="B78" s="3">
        <v>1177</v>
      </c>
      <c r="C78" s="16">
        <f>+$L$3*(B78/E66)+(1-$L$3)*(C77+D77)</f>
        <v>1125.7807089065004</v>
      </c>
      <c r="D78" s="15">
        <f>+$L$4*(C78-C77)+(1-$L$4)*D77</f>
        <v>0.72570838921625391</v>
      </c>
      <c r="E78" s="15">
        <f>+$L$5*(B78/C78)+(1-$L$5)*E66</f>
        <v>1.0495020867639757</v>
      </c>
      <c r="F78" s="16">
        <f t="shared" si="0"/>
        <v>1189.2608332061641</v>
      </c>
      <c r="G78" s="16">
        <f>+B78-F78</f>
        <v>-12.260833206164079</v>
      </c>
      <c r="H78" s="16">
        <f t="shared" si="1"/>
        <v>150.32803090937574</v>
      </c>
    </row>
    <row r="79" spans="1:8" x14ac:dyDescent="0.2">
      <c r="A79" s="2">
        <v>39083</v>
      </c>
      <c r="B79" s="3">
        <v>1154</v>
      </c>
      <c r="C79" s="16">
        <f>+$L$3*(B79/E67)+(1-$L$3)*(C78+D78)</f>
        <v>1134.1645195597448</v>
      </c>
      <c r="D79" s="15">
        <f>+$L$4*(C79-C78)+(1-$L$4)*D78</f>
        <v>0.7878584794275828</v>
      </c>
      <c r="E79" s="15">
        <f>+$L$5*(B79/C79)+(1-$L$5)*E67</f>
        <v>1.0109624211748487</v>
      </c>
      <c r="F79" s="16">
        <f t="shared" ref="F79:F142" si="2">+(C78+D78)*E67</f>
        <v>1133.8726617176683</v>
      </c>
      <c r="G79" s="16">
        <f>+B79-F79</f>
        <v>20.127338282331721</v>
      </c>
      <c r="H79" s="16">
        <f t="shared" ref="H79:H142" si="3">+G79^2</f>
        <v>405.10974633141603</v>
      </c>
    </row>
    <row r="80" spans="1:8" x14ac:dyDescent="0.2">
      <c r="A80" s="2">
        <v>39114</v>
      </c>
      <c r="B80" s="3">
        <v>1232</v>
      </c>
      <c r="C80" s="16">
        <f>+$L$3*(B80/E68)+(1-$L$3)*(C79+D79)</f>
        <v>1154.6464391108273</v>
      </c>
      <c r="D80" s="15">
        <f>+$L$4*(C80-C79)+(1-$L$4)*D79</f>
        <v>0.94768758983005463</v>
      </c>
      <c r="E80" s="15">
        <f>+$L$5*(B80/C80)+(1-$L$5)*E68</f>
        <v>1.0499838990831754</v>
      </c>
      <c r="F80" s="16">
        <f t="shared" si="2"/>
        <v>1178.5979542790046</v>
      </c>
      <c r="G80" s="16">
        <f>+B80-F80</f>
        <v>53.402045720995375</v>
      </c>
      <c r="H80" s="16">
        <f t="shared" si="3"/>
        <v>2851.7784871872805</v>
      </c>
    </row>
    <row r="81" spans="1:8" x14ac:dyDescent="0.2">
      <c r="A81" s="2">
        <v>39142</v>
      </c>
      <c r="B81" s="3">
        <v>1205</v>
      </c>
      <c r="C81" s="16">
        <f>+$L$3*(B81/E69)+(1-$L$3)*(C80+D80)</f>
        <v>1155.9207211866619</v>
      </c>
      <c r="D81" s="15">
        <f>+$L$4*(C81-C80)+(1-$L$4)*D80</f>
        <v>0.95033809984779793</v>
      </c>
      <c r="E81" s="15">
        <f>+$L$5*(B81/C81)+(1-$L$5)*E69</f>
        <v>1.0421763153898995</v>
      </c>
      <c r="F81" s="16">
        <f t="shared" si="2"/>
        <v>1204.1114031657771</v>
      </c>
      <c r="G81" s="16">
        <f>+B81-F81</f>
        <v>0.88859683422288072</v>
      </c>
      <c r="H81" s="16">
        <f t="shared" si="3"/>
        <v>0.78960433379092576</v>
      </c>
    </row>
    <row r="82" spans="1:8" x14ac:dyDescent="0.2">
      <c r="A82" s="2">
        <v>39173</v>
      </c>
      <c r="B82" s="3">
        <v>1143</v>
      </c>
      <c r="C82" s="16">
        <f>+$L$3*(B82/E70)+(1-$L$3)*(C81+D81)</f>
        <v>1165.2895355534674</v>
      </c>
      <c r="D82" s="15">
        <f>+$L$4*(C82-C81)+(1-$L$4)*D81</f>
        <v>1.0186590808682507</v>
      </c>
      <c r="E82" s="15">
        <f>+$L$5*(B82/C82)+(1-$L$5)*E70</f>
        <v>0.97414542818287897</v>
      </c>
      <c r="F82" s="16">
        <f t="shared" si="2"/>
        <v>1121.6865084305264</v>
      </c>
      <c r="G82" s="16">
        <f>+B82-F82</f>
        <v>21.313491569473626</v>
      </c>
      <c r="H82" s="16">
        <f t="shared" si="3"/>
        <v>454.26492288202337</v>
      </c>
    </row>
    <row r="83" spans="1:8" x14ac:dyDescent="0.2">
      <c r="A83" s="2">
        <v>39203</v>
      </c>
      <c r="B83" s="3">
        <v>1227</v>
      </c>
      <c r="C83" s="16">
        <f>+$L$3*(B83/E71)+(1-$L$3)*(C82+D82)</f>
        <v>1184.4512404509962</v>
      </c>
      <c r="D83" s="15">
        <f>+$L$4*(C83-C82)+(1-$L$4)*D82</f>
        <v>1.1659007727832682</v>
      </c>
      <c r="E83" s="15">
        <f>+$L$5*(B83/C83)+(1-$L$5)*E71</f>
        <v>1.021051534570061</v>
      </c>
      <c r="F83" s="16">
        <f t="shared" si="2"/>
        <v>1179.1056630132034</v>
      </c>
      <c r="G83" s="16">
        <f>+B83-F83</f>
        <v>47.894336986796588</v>
      </c>
      <c r="H83" s="16">
        <f t="shared" si="3"/>
        <v>2293.8675154048319</v>
      </c>
    </row>
    <row r="84" spans="1:8" x14ac:dyDescent="0.2">
      <c r="A84" s="2">
        <v>39234</v>
      </c>
      <c r="B84" s="3">
        <v>1117</v>
      </c>
      <c r="C84" s="16">
        <f>+$L$3*(B84/E72)+(1-$L$3)*(C83+D83)</f>
        <v>1171.178219889222</v>
      </c>
      <c r="D84" s="15">
        <f>+$L$4*(C84-C83)+(1-$L$4)*D83</f>
        <v>1.0487202713276746</v>
      </c>
      <c r="E84" s="15">
        <f>+$L$5*(B84/C84)+(1-$L$5)*E72</f>
        <v>0.96526087079687795</v>
      </c>
      <c r="F84" s="16">
        <f t="shared" si="2"/>
        <v>1153.6870567209639</v>
      </c>
      <c r="G84" s="16">
        <f>+B84-F84</f>
        <v>-36.687056720963938</v>
      </c>
      <c r="H84" s="16">
        <f t="shared" si="3"/>
        <v>1345.9401308472252</v>
      </c>
    </row>
    <row r="85" spans="1:8" x14ac:dyDescent="0.2">
      <c r="A85" s="2">
        <v>39264</v>
      </c>
      <c r="B85" s="3">
        <v>1180</v>
      </c>
      <c r="C85" s="16">
        <f>+$L$3*(B85/E73)+(1-$L$3)*(C84+D84)</f>
        <v>1175.6053697603161</v>
      </c>
      <c r="D85" s="15">
        <f>+$L$4*(C85-C84)+(1-$L$4)*D84</f>
        <v>1.0761382525923522</v>
      </c>
      <c r="E85" s="15">
        <f>+$L$5*(B85/C85)+(1-$L$5)*E73</f>
        <v>1.0009808980288175</v>
      </c>
      <c r="F85" s="16">
        <f t="shared" si="2"/>
        <v>1171.1861899176251</v>
      </c>
      <c r="G85" s="16">
        <f>+B85-F85</f>
        <v>8.8138100823748573</v>
      </c>
      <c r="H85" s="16">
        <f t="shared" si="3"/>
        <v>77.683248168172682</v>
      </c>
    </row>
    <row r="86" spans="1:8" x14ac:dyDescent="0.2">
      <c r="A86" s="2">
        <v>39295</v>
      </c>
      <c r="B86" s="3">
        <v>1102</v>
      </c>
      <c r="C86" s="16">
        <f>+$L$3*(B86/E74)+(1-$L$3)*(C85+D85)</f>
        <v>1168.7151576869087</v>
      </c>
      <c r="D86" s="15">
        <f>+$L$4*(C86-C85)+(1-$L$4)*D85</f>
        <v>1.0114865445913275</v>
      </c>
      <c r="E86" s="15">
        <f>+$L$5*(B86/C86)+(1-$L$5)*E74</f>
        <v>0.94915651962274217</v>
      </c>
      <c r="F86" s="16">
        <f t="shared" si="2"/>
        <v>1121.8318304581258</v>
      </c>
      <c r="G86" s="16">
        <f>+B86-F86</f>
        <v>-19.831830458125751</v>
      </c>
      <c r="H86" s="16">
        <f t="shared" si="3"/>
        <v>393.3014993198442</v>
      </c>
    </row>
    <row r="87" spans="1:8" x14ac:dyDescent="0.2">
      <c r="A87" s="2">
        <v>39326</v>
      </c>
      <c r="B87" s="3">
        <v>1140</v>
      </c>
      <c r="C87" s="16">
        <f>+$L$3*(B87/E75)+(1-$L$3)*(C86+D86)</f>
        <v>1183.2597185478464</v>
      </c>
      <c r="D87" s="15">
        <f>+$L$4*(C87-C86)+(1-$L$4)*D86</f>
        <v>1.1213155545208897</v>
      </c>
      <c r="E87" s="15">
        <f>+$L$5*(B87/C87)+(1-$L$5)*E75</f>
        <v>0.95304997627535626</v>
      </c>
      <c r="F87" s="16">
        <f t="shared" si="2"/>
        <v>1106.570809203522</v>
      </c>
      <c r="G87" s="16">
        <f>+B87-F87</f>
        <v>33.429190796477997</v>
      </c>
      <c r="H87" s="16">
        <f t="shared" si="3"/>
        <v>1117.5107973073291</v>
      </c>
    </row>
    <row r="88" spans="1:8" x14ac:dyDescent="0.2">
      <c r="A88" s="2">
        <v>39356</v>
      </c>
      <c r="B88" s="3">
        <v>1291</v>
      </c>
      <c r="C88" s="16">
        <f>+$L$3*(B88/E76)+(1-$L$3)*(C87+D87)</f>
        <v>1204.1883671952551</v>
      </c>
      <c r="D88" s="15">
        <f>+$L$4*(C88-C87)+(1-$L$4)*D87</f>
        <v>1.2820639352719843</v>
      </c>
      <c r="E88" s="15">
        <f>+$L$5*(B88/C88)+(1-$L$5)*E76</f>
        <v>1.0555939054117343</v>
      </c>
      <c r="F88" s="16">
        <f t="shared" si="2"/>
        <v>1236.9827138186129</v>
      </c>
      <c r="G88" s="16">
        <f>+B88-F88</f>
        <v>54.017286181387135</v>
      </c>
      <c r="H88" s="16">
        <f t="shared" si="3"/>
        <v>2917.8672064018774</v>
      </c>
    </row>
    <row r="89" spans="1:8" x14ac:dyDescent="0.2">
      <c r="A89" s="2">
        <v>39387</v>
      </c>
      <c r="B89" s="3">
        <v>1247</v>
      </c>
      <c r="C89" s="16">
        <f>+$L$3*(B89/E77)+(1-$L$3)*(C88+D88)</f>
        <v>1214.3727627779717</v>
      </c>
      <c r="D89" s="15">
        <f>+$L$4*(C89-C88)+(1-$L$4)*D88</f>
        <v>1.3543116927325685</v>
      </c>
      <c r="E89" s="15">
        <f>+$L$5*(B89/C89)+(1-$L$5)*E77</f>
        <v>1.0197229107329753</v>
      </c>
      <c r="F89" s="16">
        <f t="shared" si="2"/>
        <v>1223.4086217275196</v>
      </c>
      <c r="G89" s="16">
        <f>+B89-F89</f>
        <v>23.59137827248037</v>
      </c>
      <c r="H89" s="16">
        <f t="shared" si="3"/>
        <v>556.55312879525889</v>
      </c>
    </row>
    <row r="90" spans="1:8" x14ac:dyDescent="0.2">
      <c r="A90" s="2">
        <v>39417</v>
      </c>
      <c r="B90" s="3">
        <v>1207</v>
      </c>
      <c r="C90" s="16">
        <f>+$L$3*(B90/E78)+(1-$L$3)*(C89+D89)</f>
        <v>1190.5820299585487</v>
      </c>
      <c r="D90" s="15">
        <f>+$L$4*(C90-C89)+(1-$L$4)*D89</f>
        <v>1.1502445843395364</v>
      </c>
      <c r="E90" s="15">
        <f>+$L$5*(B90/C90)+(1-$L$5)*E78</f>
        <v>1.035075708565713</v>
      </c>
      <c r="F90" s="16">
        <f t="shared" si="2"/>
        <v>1275.9081015924676</v>
      </c>
      <c r="G90" s="16">
        <f>+B90-F90</f>
        <v>-68.908101592467574</v>
      </c>
      <c r="H90" s="16">
        <f t="shared" si="3"/>
        <v>4748.3264650778319</v>
      </c>
    </row>
    <row r="91" spans="1:8" x14ac:dyDescent="0.2">
      <c r="A91" s="2">
        <v>39448</v>
      </c>
      <c r="B91" s="3">
        <v>1196</v>
      </c>
      <c r="C91" s="16">
        <f>+$L$3*(B91/E79)+(1-$L$3)*(C90+D90)</f>
        <v>1188.3999861621089</v>
      </c>
      <c r="D91" s="15">
        <f>+$L$4*(C91-C90)+(1-$L$4)*D90</f>
        <v>1.1232010667244214</v>
      </c>
      <c r="E91" s="15">
        <f>+$L$5*(B91/C91)+(1-$L$5)*E79</f>
        <v>1.0091174232810627</v>
      </c>
      <c r="F91" s="16">
        <f t="shared" si="2"/>
        <v>1204.7965456640877</v>
      </c>
      <c r="G91" s="16">
        <f>+B91-F91</f>
        <v>-8.7965456640877164</v>
      </c>
      <c r="H91" s="16">
        <f t="shared" si="3"/>
        <v>77.379215620380407</v>
      </c>
    </row>
    <row r="92" spans="1:8" x14ac:dyDescent="0.2">
      <c r="A92" s="2">
        <v>39479</v>
      </c>
      <c r="B92" s="3">
        <v>1256</v>
      </c>
      <c r="C92" s="16">
        <f>+$L$3*(B92/E80)+(1-$L$3)*(C91+D91)</f>
        <v>1192.0835876477845</v>
      </c>
      <c r="D92" s="15">
        <f>+$L$4*(C92-C91)+(1-$L$4)*D91</f>
        <v>1.1439802508523749</v>
      </c>
      <c r="E92" s="15">
        <f>+$L$5*(B92/C92)+(1-$L$5)*E80</f>
        <v>1.0514516918449566</v>
      </c>
      <c r="F92" s="16">
        <f t="shared" si="2"/>
        <v>1248.9801941763765</v>
      </c>
      <c r="G92" s="16">
        <f>+B92-F92</f>
        <v>7.0198058236235283</v>
      </c>
      <c r="H92" s="16">
        <f t="shared" si="3"/>
        <v>49.277673801378803</v>
      </c>
    </row>
    <row r="93" spans="1:8" x14ac:dyDescent="0.2">
      <c r="A93" s="2">
        <v>39508</v>
      </c>
      <c r="B93" s="3">
        <v>1205</v>
      </c>
      <c r="C93" s="16">
        <f>+$L$3*(B93/E81)+(1-$L$3)*(C92+D92)</f>
        <v>1179.0602331505129</v>
      </c>
      <c r="D93" s="15">
        <f>+$L$4*(C93-C92)+(1-$L$4)*D92</f>
        <v>1.0290038373372514</v>
      </c>
      <c r="E93" s="15">
        <f>+$L$5*(B93/C93)+(1-$L$5)*E81</f>
        <v>1.0340260024506651</v>
      </c>
      <c r="F93" s="16">
        <f t="shared" si="2"/>
        <v>1243.5535101342525</v>
      </c>
      <c r="G93" s="16">
        <f>+B93-F93</f>
        <v>-38.553510134252519</v>
      </c>
      <c r="H93" s="16">
        <f t="shared" si="3"/>
        <v>1486.3731436719117</v>
      </c>
    </row>
    <row r="94" spans="1:8" x14ac:dyDescent="0.2">
      <c r="A94" s="2">
        <v>39539</v>
      </c>
      <c r="B94" s="3">
        <v>1177</v>
      </c>
      <c r="C94" s="16">
        <f>+$L$3*(B94/E82)+(1-$L$3)*(C93+D93)</f>
        <v>1190.8695727038489</v>
      </c>
      <c r="D94" s="15">
        <f>+$L$4*(C94-C93)+(1-$L$4)*D93</f>
        <v>1.1164927235075073</v>
      </c>
      <c r="E94" s="15">
        <f>+$L$5*(B94/C94)+(1-$L$5)*E82</f>
        <v>0.97988491159092783</v>
      </c>
      <c r="F94" s="16">
        <f t="shared" si="2"/>
        <v>1149.5785350595363</v>
      </c>
      <c r="G94" s="16">
        <f>+B94-F94</f>
        <v>27.421464940463693</v>
      </c>
      <c r="H94" s="16">
        <f t="shared" si="3"/>
        <v>751.93673948107948</v>
      </c>
    </row>
    <row r="95" spans="1:8" x14ac:dyDescent="0.2">
      <c r="A95" s="2">
        <v>39569</v>
      </c>
      <c r="B95" s="3">
        <v>1263</v>
      </c>
      <c r="C95" s="16">
        <f>+$L$3*(B95/E83)+(1-$L$3)*(C94+D94)</f>
        <v>1209.2097951045844</v>
      </c>
      <c r="D95" s="15">
        <f>+$L$4*(C95-C94)+(1-$L$4)*D94</f>
        <v>1.2562736139042627</v>
      </c>
      <c r="E95" s="15">
        <f>+$L$5*(B95/C95)+(1-$L$5)*E83</f>
        <v>1.0305172649076517</v>
      </c>
      <c r="F95" s="16">
        <f t="shared" si="2"/>
        <v>1217.0792012907314</v>
      </c>
      <c r="G95" s="16">
        <f>+B95-F95</f>
        <v>45.920798709268638</v>
      </c>
      <c r="H95" s="16">
        <f t="shared" si="3"/>
        <v>2108.7197540971683</v>
      </c>
    </row>
    <row r="96" spans="1:8" x14ac:dyDescent="0.2">
      <c r="A96" s="2">
        <v>39600</v>
      </c>
      <c r="B96" s="3">
        <v>1185</v>
      </c>
      <c r="C96" s="16">
        <f>+$L$3*(B96/E84)+(1-$L$3)*(C95+D95)</f>
        <v>1217.0460140397229</v>
      </c>
      <c r="D96" s="15">
        <f>+$L$4*(C96-C95)+(1-$L$4)*D95</f>
        <v>1.3096738142673767</v>
      </c>
      <c r="E96" s="15">
        <f>+$L$5*(B96/C96)+(1-$L$5)*E84</f>
        <v>0.96865744345370042</v>
      </c>
      <c r="F96" s="16">
        <f t="shared" si="2"/>
        <v>1168.415531561282</v>
      </c>
      <c r="G96" s="16">
        <f>+B96-F96</f>
        <v>16.584468438717977</v>
      </c>
      <c r="H96" s="16">
        <f t="shared" si="3"/>
        <v>275.0445933948327</v>
      </c>
    </row>
    <row r="97" spans="1:8" x14ac:dyDescent="0.2">
      <c r="A97" s="2">
        <v>39630</v>
      </c>
      <c r="B97" s="3">
        <v>1261</v>
      </c>
      <c r="C97" s="16">
        <f>+$L$3*(B97/E85)+(1-$L$3)*(C96+D96)</f>
        <v>1234.2139685758341</v>
      </c>
      <c r="D97" s="15">
        <f>+$L$4*(C97-C96)+(1-$L$4)*D96</f>
        <v>1.4383732679282049</v>
      </c>
      <c r="E97" s="15">
        <f>+$L$5*(B97/C97)+(1-$L$5)*E85</f>
        <v>1.0093518019119636</v>
      </c>
      <c r="F97" s="16">
        <f t="shared" si="2"/>
        <v>1219.5507705466048</v>
      </c>
      <c r="G97" s="16">
        <f>+B97-F97</f>
        <v>41.449229453395219</v>
      </c>
      <c r="H97" s="16">
        <f t="shared" si="3"/>
        <v>1718.0386222802058</v>
      </c>
    </row>
    <row r="98" spans="1:8" x14ac:dyDescent="0.2">
      <c r="A98" s="2">
        <v>39661</v>
      </c>
      <c r="B98" s="3">
        <v>1196</v>
      </c>
      <c r="C98" s="16">
        <f>+$L$3*(B98/E86)+(1-$L$3)*(C97+D97)</f>
        <v>1245.0021119103415</v>
      </c>
      <c r="D98" s="15">
        <f>+$L$4*(C98-C97)+(1-$L$4)*D97</f>
        <v>1.5142522563588747</v>
      </c>
      <c r="E98" s="15">
        <f>+$L$5*(B98/C98)+(1-$L$5)*E86</f>
        <v>0.95379578909336682</v>
      </c>
      <c r="F98" s="16">
        <f t="shared" si="2"/>
        <v>1172.8274762481162</v>
      </c>
      <c r="G98" s="16">
        <f>+B98-F98</f>
        <v>23.172523751883773</v>
      </c>
      <c r="H98" s="16">
        <f t="shared" si="3"/>
        <v>536.96585703161759</v>
      </c>
    </row>
    <row r="99" spans="1:8" x14ac:dyDescent="0.2">
      <c r="A99" s="2">
        <v>39692</v>
      </c>
      <c r="B99" s="3">
        <v>1251</v>
      </c>
      <c r="C99" s="16">
        <f>+$L$3*(B99/E87)+(1-$L$3)*(C98+D98)</f>
        <v>1271.8351428393628</v>
      </c>
      <c r="D99" s="15">
        <f>+$L$4*(C99-C98)+(1-$L$4)*D98</f>
        <v>1.7197293216023146</v>
      </c>
      <c r="E99" s="15">
        <f>+$L$5*(B99/C99)+(1-$L$5)*E87</f>
        <v>0.96539831481687588</v>
      </c>
      <c r="F99" s="16">
        <f t="shared" si="2"/>
        <v>1187.9923912959173</v>
      </c>
      <c r="G99" s="16">
        <f>+B99-F99</f>
        <v>63.007608704082713</v>
      </c>
      <c r="H99" s="16">
        <f t="shared" si="3"/>
        <v>3969.9587546067996</v>
      </c>
    </row>
    <row r="100" spans="1:8" x14ac:dyDescent="0.2">
      <c r="A100" s="2">
        <v>39722</v>
      </c>
      <c r="B100" s="3">
        <v>1414</v>
      </c>
      <c r="C100" s="16">
        <f>+$L$3*(B100/E88)+(1-$L$3)*(C99+D99)</f>
        <v>1298.8215134908842</v>
      </c>
      <c r="D100" s="15">
        <f>+$L$4*(C100-C99)+(1-$L$4)*D99</f>
        <v>1.9247832610577769</v>
      </c>
      <c r="E100" s="15">
        <f>+$L$5*(B100/C100)+(1-$L$5)*E88</f>
        <v>1.0689591169613071</v>
      </c>
      <c r="F100" s="16">
        <f t="shared" si="2"/>
        <v>1344.356761260535</v>
      </c>
      <c r="G100" s="16">
        <f>+B100-F100</f>
        <v>69.643238739465005</v>
      </c>
      <c r="H100" s="16">
        <f t="shared" si="3"/>
        <v>4850.1807021221193</v>
      </c>
    </row>
    <row r="101" spans="1:8" x14ac:dyDescent="0.2">
      <c r="A101" s="2">
        <v>39753</v>
      </c>
      <c r="B101" s="3">
        <v>1291</v>
      </c>
      <c r="C101" s="16">
        <f>+$L$3*(B101/E89)+(1-$L$3)*(C100+D100)</f>
        <v>1287.4510522798571</v>
      </c>
      <c r="D101" s="15">
        <f>+$L$4*(C101-C100)+(1-$L$4)*D100</f>
        <v>1.8168843828718495</v>
      </c>
      <c r="E101" s="15">
        <f>+$L$5*(B101/C101)+(1-$L$5)*E89</f>
        <v>1.012869153781947</v>
      </c>
      <c r="F101" s="16">
        <f t="shared" si="2"/>
        <v>1326.4007998490288</v>
      </c>
      <c r="G101" s="16">
        <f>+B101-F101</f>
        <v>-35.400799849028772</v>
      </c>
      <c r="H101" s="16">
        <f t="shared" si="3"/>
        <v>1253.2166299509954</v>
      </c>
    </row>
    <row r="102" spans="1:8" x14ac:dyDescent="0.2">
      <c r="A102" s="2">
        <v>39783</v>
      </c>
      <c r="B102" s="3">
        <v>1293</v>
      </c>
      <c r="C102" s="16">
        <f>+$L$3*(B102/E90)+(1-$L$3)*(C101+D101)</f>
        <v>1273.9169624237611</v>
      </c>
      <c r="D102" s="15">
        <f>+$L$4*(C102-C101)+(1-$L$4)*D101</f>
        <v>1.6923020254038514</v>
      </c>
      <c r="E102" s="15">
        <f>+$L$5*(B102/C102)+(1-$L$5)*E90</f>
        <v>1.0269577307438196</v>
      </c>
      <c r="F102" s="16">
        <f t="shared" si="2"/>
        <v>1334.489923072229</v>
      </c>
      <c r="G102" s="16">
        <f>+B102-F102</f>
        <v>-41.489923072228976</v>
      </c>
      <c r="H102" s="16">
        <f t="shared" si="3"/>
        <v>1721.4137165394784</v>
      </c>
    </row>
    <row r="103" spans="1:8" x14ac:dyDescent="0.2">
      <c r="A103" s="2">
        <v>39814</v>
      </c>
      <c r="B103" s="3">
        <v>1289</v>
      </c>
      <c r="C103" s="16">
        <f>+$L$3*(B103/E91)+(1-$L$3)*(C102+D102)</f>
        <v>1276.2773796512467</v>
      </c>
      <c r="D103" s="15">
        <f>+$L$4*(C103-C102)+(1-$L$4)*D102</f>
        <v>1.6977241807432999</v>
      </c>
      <c r="E103" s="15">
        <f>+$L$5*(B103/C103)+(1-$L$5)*E91</f>
        <v>1.0094612415170499</v>
      </c>
      <c r="F103" s="16">
        <f t="shared" si="2"/>
        <v>1287.2395340543931</v>
      </c>
      <c r="G103" s="16">
        <f>+B103-F103</f>
        <v>1.7604659456069385</v>
      </c>
      <c r="H103" s="16">
        <f t="shared" si="3"/>
        <v>3.0992403456417321</v>
      </c>
    </row>
    <row r="104" spans="1:8" x14ac:dyDescent="0.2">
      <c r="A104" s="2">
        <v>39845</v>
      </c>
      <c r="B104" s="3">
        <v>1320</v>
      </c>
      <c r="C104" s="16">
        <f>+$L$3*(B104/E92)+(1-$L$3)*(C103+D103)</f>
        <v>1269.3322513818111</v>
      </c>
      <c r="D104" s="15">
        <f>+$L$4*(C104-C103)+(1-$L$4)*D103</f>
        <v>1.6275822525028061</v>
      </c>
      <c r="E104" s="15">
        <f>+$L$5*(B104/C104)+(1-$L$5)*E92</f>
        <v>1.0467920554410342</v>
      </c>
      <c r="F104" s="16">
        <f t="shared" si="2"/>
        <v>1343.7290850598799</v>
      </c>
      <c r="G104" s="16">
        <f>+B104-F104</f>
        <v>-23.729085059879935</v>
      </c>
      <c r="H104" s="16">
        <f t="shared" si="3"/>
        <v>563.06947777901712</v>
      </c>
    </row>
    <row r="105" spans="1:8" x14ac:dyDescent="0.2">
      <c r="A105" s="2">
        <v>39873</v>
      </c>
      <c r="B105" s="3">
        <v>1313</v>
      </c>
      <c r="C105" s="16">
        <f>+$L$3*(B105/E93)+(1-$L$3)*(C104+D104)</f>
        <v>1270.5133485386407</v>
      </c>
      <c r="D105" s="15">
        <f>+$L$4*(C105-C104)+(1-$L$4)*D104</f>
        <v>1.6239587583240391</v>
      </c>
      <c r="E105" s="15">
        <f>+$L$5*(B105/C105)+(1-$L$5)*E93</f>
        <v>1.0337894975658237</v>
      </c>
      <c r="F105" s="16">
        <f t="shared" si="2"/>
        <v>1314.2055160482521</v>
      </c>
      <c r="G105" s="16">
        <f>+B105-F105</f>
        <v>-1.2055160482520932</v>
      </c>
      <c r="H105" s="16">
        <f t="shared" si="3"/>
        <v>1.4532689425933432</v>
      </c>
    </row>
    <row r="106" spans="1:8" x14ac:dyDescent="0.2">
      <c r="A106" s="2">
        <v>39904</v>
      </c>
      <c r="B106" s="3">
        <v>1265</v>
      </c>
      <c r="C106" s="16">
        <f>+$L$3*(B106/E94)+(1-$L$3)*(C105+D105)</f>
        <v>1279.3488836642623</v>
      </c>
      <c r="D106" s="15">
        <f>+$L$4*(C106-C105)+(1-$L$4)*D105</f>
        <v>1.6824850232315649</v>
      </c>
      <c r="E106" s="15">
        <f>+$L$5*(B106/C106)+(1-$L$5)*E94</f>
        <v>0.98347989759670296</v>
      </c>
      <c r="F106" s="16">
        <f t="shared" si="2"/>
        <v>1246.5481528922073</v>
      </c>
      <c r="G106" s="16">
        <f>+B106-F106</f>
        <v>18.451847107792673</v>
      </c>
      <c r="H106" s="16">
        <f t="shared" si="3"/>
        <v>340.47066168935686</v>
      </c>
    </row>
    <row r="107" spans="1:8" x14ac:dyDescent="0.2">
      <c r="A107" s="2">
        <v>39934</v>
      </c>
      <c r="B107" s="3">
        <v>1233</v>
      </c>
      <c r="C107" s="16">
        <f>+$L$3*(B107/E95)+(1-$L$3)*(C106+D106)</f>
        <v>1248.6531716775585</v>
      </c>
      <c r="D107" s="15">
        <f>+$L$4*(C107-C106)+(1-$L$4)*D106</f>
        <v>1.4197165466992079</v>
      </c>
      <c r="E107" s="15">
        <f>+$L$5*(B107/C107)+(1-$L$5)*E95</f>
        <v>1.0131253648848881</v>
      </c>
      <c r="F107" s="16">
        <f t="shared" si="2"/>
        <v>1320.1249423207416</v>
      </c>
      <c r="G107" s="16">
        <f>+B107-F107</f>
        <v>-87.124942320741638</v>
      </c>
      <c r="H107" s="16">
        <f t="shared" si="3"/>
        <v>7590.7555743925577</v>
      </c>
    </row>
    <row r="108" spans="1:8" x14ac:dyDescent="0.2">
      <c r="A108" s="2">
        <v>39965</v>
      </c>
      <c r="B108" s="3">
        <v>1187</v>
      </c>
      <c r="C108" s="16">
        <f>+$L$3*(B108/E96)+(1-$L$3)*(C107+D107)</f>
        <v>1240.6267318031871</v>
      </c>
      <c r="D108" s="15">
        <f>+$L$4*(C108-C107)+(1-$L$4)*D107</f>
        <v>1.3430553252269499</v>
      </c>
      <c r="E108" s="15">
        <f>+$L$5*(B108/C108)+(1-$L$5)*E96</f>
        <v>0.9638571792684858</v>
      </c>
      <c r="F108" s="16">
        <f t="shared" si="2"/>
        <v>1210.8924080380928</v>
      </c>
      <c r="G108" s="16">
        <f>+B108-F108</f>
        <v>-23.892408038092753</v>
      </c>
      <c r="H108" s="16">
        <f t="shared" si="3"/>
        <v>570.84716185871923</v>
      </c>
    </row>
    <row r="109" spans="1:8" x14ac:dyDescent="0.2">
      <c r="A109" s="2">
        <v>39995</v>
      </c>
      <c r="B109" s="3">
        <v>1278</v>
      </c>
      <c r="C109" s="16">
        <f>+$L$3*(B109/E97)+(1-$L$3)*(C108+D108)</f>
        <v>1251.2335944056372</v>
      </c>
      <c r="D109" s="15">
        <f>+$L$4*(C109-C108)+(1-$L$4)*D108</f>
        <v>1.4182366740950887</v>
      </c>
      <c r="E109" s="15">
        <f>+$L$5*(B109/C109)+(1-$L$5)*E97</f>
        <v>1.014215589490904</v>
      </c>
      <c r="F109" s="16">
        <f t="shared" si="2"/>
        <v>1253.5844425582825</v>
      </c>
      <c r="G109" s="16">
        <f>+B109-F109</f>
        <v>24.41555744171751</v>
      </c>
      <c r="H109" s="16">
        <f t="shared" si="3"/>
        <v>596.11944518980727</v>
      </c>
    </row>
    <row r="110" spans="1:8" x14ac:dyDescent="0.2">
      <c r="A110" s="2">
        <v>40026</v>
      </c>
      <c r="B110" s="3">
        <v>1197</v>
      </c>
      <c r="C110" s="16">
        <f>+$L$3*(B110/E98)+(1-$L$3)*(C109+D109)</f>
        <v>1253.5456037207337</v>
      </c>
      <c r="D110" s="15">
        <f>+$L$4*(C110-C109)+(1-$L$4)*D109</f>
        <v>1.4254901748125675</v>
      </c>
      <c r="E110" s="15">
        <f>+$L$5*(B110/C110)+(1-$L$5)*E98</f>
        <v>0.95423840115069158</v>
      </c>
      <c r="F110" s="16">
        <f t="shared" si="2"/>
        <v>1194.7740416839442</v>
      </c>
      <c r="G110" s="16">
        <f>+B110-F110</f>
        <v>2.2259583160557668</v>
      </c>
      <c r="H110" s="16">
        <f t="shared" si="3"/>
        <v>4.9548904248178252</v>
      </c>
    </row>
    <row r="111" spans="1:8" x14ac:dyDescent="0.2">
      <c r="A111" s="2">
        <v>40057</v>
      </c>
      <c r="B111" s="3">
        <v>1181</v>
      </c>
      <c r="C111" s="16">
        <f>+$L$3*(B111/E99)+(1-$L$3)*(C110+D110)</f>
        <v>1242.8531995244307</v>
      </c>
      <c r="D111" s="15">
        <f>+$L$4*(C111-C110)+(1-$L$4)*D110</f>
        <v>1.3271461984107633</v>
      </c>
      <c r="E111" s="15">
        <f>+$L$5*(B111/C111)+(1-$L$5)*E99</f>
        <v>0.95927206382761487</v>
      </c>
      <c r="F111" s="16">
        <f t="shared" si="2"/>
        <v>1211.5469791906514</v>
      </c>
      <c r="G111" s="16">
        <f>+B111-F111</f>
        <v>-30.546979190651427</v>
      </c>
      <c r="H111" s="16">
        <f t="shared" si="3"/>
        <v>933.11793767409131</v>
      </c>
    </row>
    <row r="112" spans="1:8" x14ac:dyDescent="0.2">
      <c r="A112" s="2">
        <v>40087</v>
      </c>
      <c r="B112" s="3">
        <v>1367</v>
      </c>
      <c r="C112" s="16">
        <f>+$L$3*(B112/E100)+(1-$L$3)*(C111+D111)</f>
        <v>1257.4440584063736</v>
      </c>
      <c r="D112" s="15">
        <f>+$L$4*(C112-C111)+(1-$L$4)*D111</f>
        <v>1.4347891772321344</v>
      </c>
      <c r="E112" s="15">
        <f>+$L$5*(B112/C112)+(1-$L$5)*E100</f>
        <v>1.0762978053889711</v>
      </c>
      <c r="F112" s="16">
        <f t="shared" si="2"/>
        <v>1329.9779237045022</v>
      </c>
      <c r="G112" s="16">
        <f>+B112-F112</f>
        <v>37.022076295497754</v>
      </c>
      <c r="H112" s="16">
        <f t="shared" si="3"/>
        <v>1370.6341332296568</v>
      </c>
    </row>
    <row r="113" spans="1:8" x14ac:dyDescent="0.2">
      <c r="A113" s="2">
        <v>40118</v>
      </c>
      <c r="B113" s="3">
        <v>1234</v>
      </c>
      <c r="C113" s="16">
        <f>+$L$3*(B113/E101)+(1-$L$3)*(C112+D112)</f>
        <v>1243.3464751806596</v>
      </c>
      <c r="D113" s="15">
        <f>+$L$4*(C113-C112)+(1-$L$4)*D112</f>
        <v>1.3087346649316813</v>
      </c>
      <c r="E113" s="15">
        <f>+$L$5*(B113/C113)+(1-$L$5)*E101</f>
        <v>1.0046338448844807</v>
      </c>
      <c r="F113" s="16">
        <f t="shared" si="2"/>
        <v>1275.0795530659996</v>
      </c>
      <c r="G113" s="16">
        <f>+B113-F113</f>
        <v>-41.079553065999562</v>
      </c>
      <c r="H113" s="16">
        <f t="shared" si="3"/>
        <v>1687.5296801022739</v>
      </c>
    </row>
    <row r="114" spans="1:8" x14ac:dyDescent="0.2">
      <c r="A114" s="2">
        <v>40148</v>
      </c>
      <c r="B114" s="3">
        <v>1254</v>
      </c>
      <c r="C114" s="16">
        <f>+$L$3*(B114/E102)+(1-$L$3)*(C113+D113)</f>
        <v>1235.6275128901038</v>
      </c>
      <c r="D114" s="15">
        <f>+$L$4*(C114-C113)+(1-$L$4)*D113</f>
        <v>1.235469492851182</v>
      </c>
      <c r="E114" s="15">
        <f>+$L$5*(B114/C114)+(1-$L$5)*E102</f>
        <v>1.0220743240722585</v>
      </c>
      <c r="F114" s="16">
        <f t="shared" si="2"/>
        <v>1278.208289861501</v>
      </c>
      <c r="G114" s="16">
        <f>+B114-F114</f>
        <v>-24.208289861501044</v>
      </c>
      <c r="H114" s="16">
        <f t="shared" si="3"/>
        <v>586.0412980184542</v>
      </c>
    </row>
    <row r="115" spans="1:8" x14ac:dyDescent="0.2">
      <c r="A115" s="2">
        <v>40179</v>
      </c>
      <c r="B115" s="3">
        <v>1287</v>
      </c>
      <c r="C115" s="16">
        <f>+$L$3*(B115/E103)+(1-$L$3)*(C114+D114)</f>
        <v>1251.4444062444761</v>
      </c>
      <c r="D115" s="15">
        <f>+$L$4*(C115-C114)+(1-$L$4)*D114</f>
        <v>1.3538064877304439</v>
      </c>
      <c r="E115" s="15">
        <f>+$L$5*(B115/C115)+(1-$L$5)*E103</f>
        <v>1.0171164838506259</v>
      </c>
      <c r="F115" s="16">
        <f t="shared" si="2"/>
        <v>1248.5652417827789</v>
      </c>
      <c r="G115" s="16">
        <f>+B115-F115</f>
        <v>38.434758217221088</v>
      </c>
      <c r="H115" s="16">
        <f t="shared" si="3"/>
        <v>1477.2306392162438</v>
      </c>
    </row>
    <row r="116" spans="1:8" x14ac:dyDescent="0.2">
      <c r="A116" s="2">
        <v>40210</v>
      </c>
      <c r="B116" s="3">
        <v>1314</v>
      </c>
      <c r="C116" s="16">
        <f>+$L$3*(B116/E104)+(1-$L$3)*(C115+D115)</f>
        <v>1253.7423967454934</v>
      </c>
      <c r="D116" s="15">
        <f>+$L$4*(C116-C115)+(1-$L$4)*D115</f>
        <v>1.3614691069510707</v>
      </c>
      <c r="E116" s="15">
        <f>+$L$5*(B116/C116)+(1-$L$5)*E104</f>
        <v>1.047305140856376</v>
      </c>
      <c r="F116" s="16">
        <f t="shared" si="2"/>
        <v>1311.4192161588005</v>
      </c>
      <c r="G116" s="16">
        <f>+B116-F116</f>
        <v>2.5807838411994908</v>
      </c>
      <c r="H116" s="16">
        <f t="shared" si="3"/>
        <v>6.6604452349963985</v>
      </c>
    </row>
    <row r="117" spans="1:8" x14ac:dyDescent="0.2">
      <c r="A117" s="2">
        <v>40238</v>
      </c>
      <c r="B117" s="3">
        <v>1395</v>
      </c>
      <c r="C117" s="16">
        <f>+$L$3*(B117/E105)+(1-$L$3)*(C116+D116)</f>
        <v>1291.2181617324604</v>
      </c>
      <c r="D117" s="15">
        <f>+$L$4*(C117-C116)+(1-$L$4)*D116</f>
        <v>1.6545582652670392</v>
      </c>
      <c r="E117" s="15">
        <f>+$L$5*(B117/C117)+(1-$L$5)*E105</f>
        <v>1.0526083251365861</v>
      </c>
      <c r="F117" s="16">
        <f t="shared" si="2"/>
        <v>1297.5131948725216</v>
      </c>
      <c r="G117" s="16">
        <f>+B117-F117</f>
        <v>97.486805127478419</v>
      </c>
      <c r="H117" s="16">
        <f t="shared" si="3"/>
        <v>9503.677173962953</v>
      </c>
    </row>
    <row r="118" spans="1:8" x14ac:dyDescent="0.2">
      <c r="A118" s="2">
        <v>40269</v>
      </c>
      <c r="B118" s="3">
        <v>1337</v>
      </c>
      <c r="C118" s="16">
        <f>+$L$3*(B118/E106)+(1-$L$3)*(C117+D117)</f>
        <v>1318.3730743834742</v>
      </c>
      <c r="D118" s="15">
        <f>+$L$4*(C118-C117)+(1-$L$4)*D117</f>
        <v>1.8615089262603532</v>
      </c>
      <c r="E118" s="15">
        <f>+$L$5*(B118/C118)+(1-$L$5)*E106</f>
        <v>0.99586085701364502</v>
      </c>
      <c r="F118" s="16">
        <f t="shared" si="2"/>
        <v>1271.5143302689357</v>
      </c>
      <c r="G118" s="16">
        <f>+B118-F118</f>
        <v>65.485669731064263</v>
      </c>
      <c r="H118" s="16">
        <f t="shared" si="3"/>
        <v>4288.3729401260262</v>
      </c>
    </row>
    <row r="119" spans="1:8" x14ac:dyDescent="0.2">
      <c r="A119" s="2">
        <v>40299</v>
      </c>
      <c r="B119" s="3">
        <v>1363</v>
      </c>
      <c r="C119" s="16">
        <f>+$L$3*(B119/E107)+(1-$L$3)*(C118+D118)</f>
        <v>1329.8499460690914</v>
      </c>
      <c r="D119" s="15">
        <f>+$L$4*(C119-C118)+(1-$L$4)*D118</f>
        <v>1.9395433585916797</v>
      </c>
      <c r="E119" s="15">
        <f>+$L$5*(B119/C119)+(1-$L$5)*E107</f>
        <v>1.01789304537961</v>
      </c>
      <c r="F119" s="16">
        <f t="shared" si="2"/>
        <v>1337.5631439493229</v>
      </c>
      <c r="G119" s="16">
        <f>+B119-F119</f>
        <v>25.436856050677079</v>
      </c>
      <c r="H119" s="16">
        <f t="shared" si="3"/>
        <v>647.03364574286718</v>
      </c>
    </row>
    <row r="120" spans="1:8" x14ac:dyDescent="0.2">
      <c r="A120" s="2">
        <v>40330</v>
      </c>
      <c r="B120" s="3">
        <v>1352</v>
      </c>
      <c r="C120" s="16">
        <f>+$L$3*(B120/E108)+(1-$L$3)*(C119+D119)</f>
        <v>1358.9451503094162</v>
      </c>
      <c r="D120" s="15">
        <f>+$L$4*(C120-C119)+(1-$L$4)*D119</f>
        <v>2.1599278240062527</v>
      </c>
      <c r="E120" s="15">
        <f>+$L$5*(B120/C120)+(1-$L$5)*E108</f>
        <v>0.97639297932009383</v>
      </c>
      <c r="F120" s="16">
        <f t="shared" si="2"/>
        <v>1283.6548606591834</v>
      </c>
      <c r="G120" s="16">
        <f>+B120-F120</f>
        <v>68.345139340816559</v>
      </c>
      <c r="H120" s="16">
        <f t="shared" si="3"/>
        <v>4671.0580715156311</v>
      </c>
    </row>
    <row r="121" spans="1:8" x14ac:dyDescent="0.2">
      <c r="A121" s="2">
        <v>40360</v>
      </c>
      <c r="B121" s="3">
        <v>1403</v>
      </c>
      <c r="C121" s="16">
        <f>+$L$3*(B121/E109)+(1-$L$3)*(C120+D120)</f>
        <v>1369.6185138125445</v>
      </c>
      <c r="D121" s="15">
        <f>+$L$4*(C121-C120)+(1-$L$4)*D120</f>
        <v>2.2290194575759861</v>
      </c>
      <c r="E121" s="15">
        <f>+$L$5*(B121/C121)+(1-$L$5)*E109</f>
        <v>1.0183187305207613</v>
      </c>
      <c r="F121" s="16">
        <f t="shared" si="2"/>
        <v>1380.4539891781519</v>
      </c>
      <c r="G121" s="16">
        <f>+B121-F121</f>
        <v>22.546010821848085</v>
      </c>
      <c r="H121" s="16">
        <f t="shared" si="3"/>
        <v>508.32260397889098</v>
      </c>
    </row>
    <row r="122" spans="1:8" x14ac:dyDescent="0.2">
      <c r="A122" s="2">
        <v>40391</v>
      </c>
      <c r="B122" s="3">
        <v>1289</v>
      </c>
      <c r="C122" s="16">
        <f>+$L$3*(B122/E110)+(1-$L$3)*(C121+D121)</f>
        <v>1363.7928737499446</v>
      </c>
      <c r="D122" s="15">
        <f>+$L$4*(C122-C121)+(1-$L$4)*D121</f>
        <v>2.163651067530858</v>
      </c>
      <c r="E122" s="15">
        <f>+$L$5*(B122/C122)+(1-$L$5)*E110</f>
        <v>0.95057033988040018</v>
      </c>
      <c r="F122" s="16">
        <f t="shared" si="2"/>
        <v>1309.0695967702</v>
      </c>
      <c r="G122" s="16">
        <f>+B122-F122</f>
        <v>-20.069596770199951</v>
      </c>
      <c r="H122" s="16">
        <f t="shared" si="3"/>
        <v>402.78871451842031</v>
      </c>
    </row>
    <row r="123" spans="1:8" x14ac:dyDescent="0.2">
      <c r="A123" s="2">
        <v>40422</v>
      </c>
      <c r="B123" s="3">
        <v>1274</v>
      </c>
      <c r="C123" s="16">
        <f>+$L$3*(B123/E111)+(1-$L$3)*(C122+D122)</f>
        <v>1351.4549048862737</v>
      </c>
      <c r="D123" s="15">
        <f>+$L$4*(C123-C122)+(1-$L$4)*D122</f>
        <v>2.0459617293813657</v>
      </c>
      <c r="E123" s="15">
        <f>+$L$5*(B123/C123)+(1-$L$5)*E111</f>
        <v>0.95257263653392577</v>
      </c>
      <c r="F123" s="16">
        <f t="shared" si="2"/>
        <v>1310.3239346604564</v>
      </c>
      <c r="G123" s="16">
        <f>+B123-F123</f>
        <v>-36.323934660456416</v>
      </c>
      <c r="H123" s="16">
        <f t="shared" si="3"/>
        <v>1319.4282292171069</v>
      </c>
    </row>
    <row r="124" spans="1:8" x14ac:dyDescent="0.2">
      <c r="A124" s="2">
        <v>40452</v>
      </c>
      <c r="B124" s="3">
        <v>1430</v>
      </c>
      <c r="C124" s="16">
        <f>+$L$3*(B124/E112)+(1-$L$3)*(C123+D123)</f>
        <v>1343.9755033687518</v>
      </c>
      <c r="D124" s="15">
        <f>+$L$4*(C124-C123)+(1-$L$4)*D123</f>
        <v>1.968657697040157</v>
      </c>
      <c r="E124" s="15">
        <f>+$L$5*(B124/C124)+(1-$L$5)*E112</f>
        <v>1.0713329846818396</v>
      </c>
      <c r="F124" s="16">
        <f t="shared" si="2"/>
        <v>1456.7700123305001</v>
      </c>
      <c r="G124" s="16">
        <f>+B124-F124</f>
        <v>-26.770012330500094</v>
      </c>
      <c r="H124" s="16">
        <f t="shared" si="3"/>
        <v>716.63356017512706</v>
      </c>
    </row>
    <row r="125" spans="1:8" x14ac:dyDescent="0.2">
      <c r="A125" s="2">
        <v>40483</v>
      </c>
      <c r="B125" s="3">
        <v>1343</v>
      </c>
      <c r="C125" s="16">
        <f>+$L$3*(B125/E113)+(1-$L$3)*(C124+D124)</f>
        <v>1342.4443037933254</v>
      </c>
      <c r="D125" s="15">
        <f>+$L$4*(C125-C124)+(1-$L$4)*D124</f>
        <v>1.9402542574266255</v>
      </c>
      <c r="E125" s="15">
        <f>+$L$5*(B125/C125)+(1-$L$5)*E113</f>
        <v>1.0029291652072252</v>
      </c>
      <c r="F125" s="16">
        <f t="shared" si="2"/>
        <v>1352.1810575313432</v>
      </c>
      <c r="G125" s="16">
        <f>+B125-F125</f>
        <v>-9.1810575313431855</v>
      </c>
      <c r="H125" s="16">
        <f t="shared" si="3"/>
        <v>84.291817393833426</v>
      </c>
    </row>
    <row r="126" spans="1:8" x14ac:dyDescent="0.2">
      <c r="A126" s="2">
        <v>40513</v>
      </c>
      <c r="B126" s="3">
        <v>1405</v>
      </c>
      <c r="C126" s="16">
        <f>+$L$3*(B126/E114)+(1-$L$3)*(C125+D125)</f>
        <v>1355.9774046134321</v>
      </c>
      <c r="D126" s="15">
        <f>+$L$4*(C126-C125)+(1-$L$4)*D125</f>
        <v>2.0343371561443666</v>
      </c>
      <c r="E126" s="15">
        <f>+$L$5*(B126/C126)+(1-$L$5)*E114</f>
        <v>1.027761557250678</v>
      </c>
      <c r="F126" s="16">
        <f t="shared" si="2"/>
        <v>1374.0609384629045</v>
      </c>
      <c r="G126" s="16">
        <f>+B126-F126</f>
        <v>30.93906153709554</v>
      </c>
      <c r="H126" s="16">
        <f t="shared" si="3"/>
        <v>957.22552879618468</v>
      </c>
    </row>
    <row r="127" spans="1:8" x14ac:dyDescent="0.2">
      <c r="A127" s="2">
        <v>40544</v>
      </c>
      <c r="B127" s="3">
        <v>1372</v>
      </c>
      <c r="C127" s="16">
        <f>+$L$3*(B127/E115)+(1-$L$3)*(C126+D126)</f>
        <v>1354.5265708611535</v>
      </c>
      <c r="D127" s="15">
        <f>+$L$4*(C127-C126)+(1-$L$4)*D126</f>
        <v>2.0060529051781932</v>
      </c>
      <c r="E127" s="15">
        <f>+$L$5*(B127/C127)+(1-$L$5)*E115</f>
        <v>1.0154131955411803</v>
      </c>
      <c r="F127" s="16">
        <f t="shared" si="2"/>
        <v>1381.2561278165358</v>
      </c>
      <c r="G127" s="16">
        <f>+B127-F127</f>
        <v>-9.256127816535809</v>
      </c>
      <c r="H127" s="16">
        <f t="shared" si="3"/>
        <v>85.675902156047968</v>
      </c>
    </row>
    <row r="128" spans="1:8" x14ac:dyDescent="0.2">
      <c r="A128" s="2">
        <v>40575</v>
      </c>
      <c r="B128" s="3">
        <v>1426</v>
      </c>
      <c r="C128" s="16">
        <f>+$L$3*(B128/E116)+(1-$L$3)*(C127+D127)</f>
        <v>1358.4693745545387</v>
      </c>
      <c r="D128" s="15">
        <f>+$L$4*(C128-C127)+(1-$L$4)*D127</f>
        <v>2.0217707987311866</v>
      </c>
      <c r="E128" s="15">
        <f>+$L$5*(B128/C128)+(1-$L$5)*E116</f>
        <v>1.0482769434326107</v>
      </c>
      <c r="F128" s="16">
        <f t="shared" si="2"/>
        <v>1420.7035906098674</v>
      </c>
      <c r="G128" s="16">
        <f>+B128-F128</f>
        <v>5.2964093901325668</v>
      </c>
      <c r="H128" s="16">
        <f t="shared" si="3"/>
        <v>28.05195242788443</v>
      </c>
    </row>
    <row r="129" spans="1:8" x14ac:dyDescent="0.2">
      <c r="A129" s="2">
        <v>40603</v>
      </c>
      <c r="B129" s="3">
        <v>1431</v>
      </c>
      <c r="C129" s="16">
        <f>+$L$3*(B129/E117)+(1-$L$3)*(C128+D128)</f>
        <v>1360.1039188377672</v>
      </c>
      <c r="D129" s="15">
        <f>+$L$4*(C129-C128)+(1-$L$4)*D128</f>
        <v>2.0186282234506558</v>
      </c>
      <c r="E129" s="15">
        <f>+$L$5*(B129/C129)+(1-$L$5)*E117</f>
        <v>1.0524132774883717</v>
      </c>
      <c r="F129" s="16">
        <f t="shared" si="2"/>
        <v>1432.0643058734613</v>
      </c>
      <c r="G129" s="16">
        <f>+B129-F129</f>
        <v>-1.0643058734613078</v>
      </c>
      <c r="H129" s="16">
        <f t="shared" si="3"/>
        <v>1.1327469922842373</v>
      </c>
    </row>
    <row r="130" spans="1:8" x14ac:dyDescent="0.2">
      <c r="A130" s="2">
        <v>40634</v>
      </c>
      <c r="B130" s="3">
        <v>1297</v>
      </c>
      <c r="C130" s="16">
        <f>+$L$3*(B130/E118)+(1-$L$3)*(C129+D129)</f>
        <v>1339.2470373113113</v>
      </c>
      <c r="D130" s="15">
        <f>+$L$4*(C130-C129)+(1-$L$4)*D129</f>
        <v>1.832979750033821</v>
      </c>
      <c r="E130" s="15">
        <f>+$L$5*(B130/C130)+(1-$L$5)*E118</f>
        <v>0.98478978514349103</v>
      </c>
      <c r="F130" s="16">
        <f t="shared" si="2"/>
        <v>1356.4845270739934</v>
      </c>
      <c r="G130" s="16">
        <f>+B130-F130</f>
        <v>-59.484527073993377</v>
      </c>
      <c r="H130" s="16">
        <f t="shared" si="3"/>
        <v>3538.4089612166508</v>
      </c>
    </row>
    <row r="131" spans="1:8" x14ac:dyDescent="0.2">
      <c r="A131" s="2">
        <v>40664</v>
      </c>
      <c r="B131" s="3">
        <v>1349</v>
      </c>
      <c r="C131" s="16">
        <f>+$L$3*(B131/E119)+(1-$L$3)*(C130+D130)</f>
        <v>1335.0315977331861</v>
      </c>
      <c r="D131" s="15">
        <f>+$L$4*(C131-C130)+(1-$L$4)*D130</f>
        <v>1.7838932017062072</v>
      </c>
      <c r="E131" s="15">
        <f>+$L$5*(B131/C131)+(1-$L$5)*E119</f>
        <v>1.0148915794613333</v>
      </c>
      <c r="F131" s="16">
        <f t="shared" si="2"/>
        <v>1365.0760226643119</v>
      </c>
      <c r="G131" s="16">
        <f>+B131-F131</f>
        <v>-16.076022664311949</v>
      </c>
      <c r="H131" s="16">
        <f t="shared" si="3"/>
        <v>258.43850470347149</v>
      </c>
    </row>
    <row r="132" spans="1:8" x14ac:dyDescent="0.2">
      <c r="A132" s="2">
        <v>40695</v>
      </c>
      <c r="B132" s="3">
        <v>1347</v>
      </c>
      <c r="C132" s="16">
        <f>+$L$3*(B132/E120)+(1-$L$3)*(C131+D131)</f>
        <v>1353.1882448642396</v>
      </c>
      <c r="D132" s="15">
        <f>+$L$4*(C132-C131)+(1-$L$4)*D131</f>
        <v>1.9167679138260194</v>
      </c>
      <c r="E132" s="15">
        <f>+$L$5*(B132/C132)+(1-$L$5)*E120</f>
        <v>0.9840819656312374</v>
      </c>
      <c r="F132" s="16">
        <f t="shared" si="2"/>
        <v>1305.2572599951734</v>
      </c>
      <c r="G132" s="16">
        <f>+B132-F132</f>
        <v>41.742740004826601</v>
      </c>
      <c r="H132" s="16">
        <f t="shared" si="3"/>
        <v>1742.4563431105512</v>
      </c>
    </row>
    <row r="133" spans="1:8" x14ac:dyDescent="0.2">
      <c r="A133" s="2">
        <v>40725</v>
      </c>
      <c r="B133" s="3">
        <v>1367</v>
      </c>
      <c r="C133" s="16">
        <f>+$L$3*(B133/E121)+(1-$L$3)*(C132+D132)</f>
        <v>1350.2427271894471</v>
      </c>
      <c r="D133" s="15">
        <f>+$L$4*(C133-C132)+(1-$L$4)*D132</f>
        <v>1.8773075517745299</v>
      </c>
      <c r="E133" s="15">
        <f>+$L$5*(B133/C133)+(1-$L$5)*E121</f>
        <v>1.0159320555948197</v>
      </c>
      <c r="F133" s="16">
        <f t="shared" si="2"/>
        <v>1379.9288163344797</v>
      </c>
      <c r="G133" s="16">
        <f>+B133-F133</f>
        <v>-12.928816334479734</v>
      </c>
      <c r="H133" s="16">
        <f t="shared" si="3"/>
        <v>167.15429181070999</v>
      </c>
    </row>
    <row r="134" spans="1:8" x14ac:dyDescent="0.2">
      <c r="A134" s="2">
        <v>40756</v>
      </c>
      <c r="B134" s="3">
        <v>1328</v>
      </c>
      <c r="C134" s="16">
        <f>+$L$3*(B134/E122)+(1-$L$3)*(C133+D133)</f>
        <v>1369.3291894149679</v>
      </c>
      <c r="D134" s="15">
        <f>+$L$4*(C134-C133)+(1-$L$4)*D133</f>
        <v>2.0169701572816368</v>
      </c>
      <c r="E134" s="15">
        <f>+$L$5*(B134/C134)+(1-$L$5)*E122</f>
        <v>0.95834563447124022</v>
      </c>
      <c r="F134" s="16">
        <f t="shared" si="2"/>
        <v>1285.2852009830615</v>
      </c>
      <c r="G134" s="16">
        <f>+B134-F134</f>
        <v>42.714799016938514</v>
      </c>
      <c r="H134" s="16">
        <f t="shared" si="3"/>
        <v>1824.5540550574515</v>
      </c>
    </row>
    <row r="135" spans="1:8" x14ac:dyDescent="0.2">
      <c r="A135" s="2">
        <v>40787</v>
      </c>
      <c r="B135" s="3">
        <v>1280</v>
      </c>
      <c r="C135" s="16">
        <f>+$L$3*(B135/E123)+(1-$L$3)*(C134+D134)</f>
        <v>1360.7698100711386</v>
      </c>
      <c r="D135" s="15">
        <f>+$L$4*(C135-C134)+(1-$L$4)*D134</f>
        <v>1.9311367415164573</v>
      </c>
      <c r="E135" s="15">
        <f>+$L$5*(B135/C135)+(1-$L$5)*E123</f>
        <v>0.94775393362039018</v>
      </c>
      <c r="F135" s="16">
        <f t="shared" si="2"/>
        <v>1306.3068268244112</v>
      </c>
      <c r="G135" s="16">
        <f>+B135-F135</f>
        <v>-26.306826824411246</v>
      </c>
      <c r="H135" s="16">
        <f t="shared" si="3"/>
        <v>692.04913756956307</v>
      </c>
    </row>
    <row r="136" spans="1:8" x14ac:dyDescent="0.2">
      <c r="A136" s="2">
        <v>40817</v>
      </c>
      <c r="B136" s="3">
        <v>1478</v>
      </c>
      <c r="C136" s="16">
        <f>+$L$3*(B136/E124)+(1-$L$3)*(C135+D135)</f>
        <v>1369.1688602130348</v>
      </c>
      <c r="D136" s="15">
        <f>+$L$4*(C136-C135)+(1-$L$4)*D135</f>
        <v>1.9836277356888468</v>
      </c>
      <c r="E136" s="15">
        <f>+$L$5*(B136/C136)+(1-$L$5)*E124</f>
        <v>1.0746269011465763</v>
      </c>
      <c r="F136" s="16">
        <f t="shared" si="2"/>
        <v>1459.9064725775704</v>
      </c>
      <c r="G136" s="16">
        <f>+B136-F136</f>
        <v>18.093527422429588</v>
      </c>
      <c r="H136" s="16">
        <f t="shared" si="3"/>
        <v>327.37573458621148</v>
      </c>
    </row>
    <row r="137" spans="1:8" x14ac:dyDescent="0.2">
      <c r="A137" s="2">
        <v>40848</v>
      </c>
      <c r="B137" s="3">
        <v>1407</v>
      </c>
      <c r="C137" s="16">
        <f>+$L$3*(B137/E125)+(1-$L$3)*(C136+D136)</f>
        <v>1383.3072904354003</v>
      </c>
      <c r="D137" s="15">
        <f>+$L$4*(C137-C136)+(1-$L$4)*D136</f>
        <v>2.0822712435715021</v>
      </c>
      <c r="E137" s="15">
        <f>+$L$5*(B137/C137)+(1-$L$5)*E125</f>
        <v>1.0086647858935622</v>
      </c>
      <c r="F137" s="16">
        <f t="shared" si="2"/>
        <v>1375.1688201102231</v>
      </c>
      <c r="G137" s="16">
        <f>+B137-F137</f>
        <v>31.831179889776877</v>
      </c>
      <c r="H137" s="16">
        <f t="shared" si="3"/>
        <v>1013.2240131753358</v>
      </c>
    </row>
    <row r="138" spans="1:8" x14ac:dyDescent="0.2">
      <c r="A138" s="2">
        <v>40878</v>
      </c>
      <c r="B138" s="3">
        <v>1523</v>
      </c>
      <c r="C138" s="16">
        <f>+$L$3*(B138/E126)+(1-$L$3)*(C137+D137)</f>
        <v>1422.3353719220804</v>
      </c>
      <c r="D138" s="15">
        <f>+$L$4*(C138-C137)+(1-$L$4)*D137</f>
        <v>2.3821086393615207</v>
      </c>
      <c r="E138" s="15">
        <f>+$L$5*(B138/C138)+(1-$L$5)*E126</f>
        <v>1.0451370238244035</v>
      </c>
      <c r="F138" s="16">
        <f t="shared" si="2"/>
        <v>1423.8501333100144</v>
      </c>
      <c r="G138" s="16">
        <f>+B138-F138</f>
        <v>99.149866689985629</v>
      </c>
      <c r="H138" s="16">
        <f t="shared" si="3"/>
        <v>9830.6960646419211</v>
      </c>
    </row>
    <row r="139" spans="1:8" x14ac:dyDescent="0.2">
      <c r="A139" s="2">
        <v>40909</v>
      </c>
      <c r="B139" s="3">
        <v>1403</v>
      </c>
      <c r="C139" s="16">
        <f>+$L$3*(B139/E127)+(1-$L$3)*(C138+D138)</f>
        <v>1408.2444035582935</v>
      </c>
      <c r="D139" s="15">
        <f>+$L$4*(C139-C138)+(1-$L$4)*D138</f>
        <v>2.2484197453632149</v>
      </c>
      <c r="E139" s="15">
        <f>+$L$5*(B139/C139)+(1-$L$5)*E127</f>
        <v>1.007682467085421</v>
      </c>
      <c r="F139" s="16">
        <f t="shared" si="2"/>
        <v>1446.6769296802731</v>
      </c>
      <c r="G139" s="16">
        <f>+B139-F139</f>
        <v>-43.676929680273133</v>
      </c>
      <c r="H139" s="16">
        <f t="shared" si="3"/>
        <v>1907.6741862955241</v>
      </c>
    </row>
    <row r="140" spans="1:8" x14ac:dyDescent="0.2">
      <c r="A140" s="2">
        <v>40940</v>
      </c>
      <c r="B140" s="3">
        <v>1477</v>
      </c>
      <c r="C140" s="16">
        <f>+$L$3*(B140/E128)+(1-$L$3)*(C139+D139)</f>
        <v>1409.9130006149103</v>
      </c>
      <c r="D140" s="15">
        <f>+$L$4*(C140-C139)+(1-$L$4)*D139</f>
        <v>2.2437141366928484</v>
      </c>
      <c r="E140" s="15">
        <f>+$L$5*(B140/C140)+(1-$L$5)*E128</f>
        <v>1.0479963614074563</v>
      </c>
      <c r="F140" s="16">
        <f t="shared" si="2"/>
        <v>1478.5871055463906</v>
      </c>
      <c r="G140" s="16">
        <f>+B140-F140</f>
        <v>-1.5871055463906032</v>
      </c>
      <c r="H140" s="16">
        <f t="shared" si="3"/>
        <v>2.5189040153838151</v>
      </c>
    </row>
    <row r="141" spans="1:8" x14ac:dyDescent="0.2">
      <c r="A141" s="2">
        <v>40969</v>
      </c>
      <c r="B141" s="3">
        <v>1572</v>
      </c>
      <c r="C141" s="16">
        <f>+$L$3*(B141/E129)+(1-$L$3)*(C140+D140)</f>
        <v>1443.3891388103775</v>
      </c>
      <c r="D141" s="15">
        <f>+$L$4*(C141-C140)+(1-$L$4)*D140</f>
        <v>2.4971839789394181</v>
      </c>
      <c r="E141" s="15">
        <f>+$L$5*(B141/C141)+(1-$L$5)*E129</f>
        <v>1.0672346867541145</v>
      </c>
      <c r="F141" s="16">
        <f t="shared" si="2"/>
        <v>1486.1724764989463</v>
      </c>
      <c r="G141" s="16">
        <f>+B141-F141</f>
        <v>85.827523501053747</v>
      </c>
      <c r="H141" s="16">
        <f t="shared" si="3"/>
        <v>7366.3637903239332</v>
      </c>
    </row>
    <row r="142" spans="1:8" x14ac:dyDescent="0.2">
      <c r="A142" s="2">
        <v>41000</v>
      </c>
      <c r="B142" s="3">
        <v>1434</v>
      </c>
      <c r="C142" s="16">
        <f>+$L$3*(B142/E130)+(1-$L$3)*(C141+D141)</f>
        <v>1449.8163693961114</v>
      </c>
      <c r="D142" s="15">
        <f>+$L$4*(C142-C141)+(1-$L$4)*D141</f>
        <v>2.5290786628605662</v>
      </c>
      <c r="E142" s="15">
        <f>+$L$5*(B142/C142)+(1-$L$5)*E130</f>
        <v>0.98652722251357905</v>
      </c>
      <c r="F142" s="16">
        <f t="shared" si="2"/>
        <v>1423.8940811616037</v>
      </c>
      <c r="G142" s="16">
        <f>+B142-F142</f>
        <v>10.105918838396292</v>
      </c>
      <c r="H142" s="16">
        <f t="shared" si="3"/>
        <v>102.12959556825305</v>
      </c>
    </row>
    <row r="143" spans="1:8" x14ac:dyDescent="0.2">
      <c r="A143" s="2">
        <v>41030</v>
      </c>
      <c r="B143" s="3">
        <v>1508</v>
      </c>
      <c r="C143" s="16">
        <f>+$L$3*(B143/E131)+(1-$L$3)*(C142+D142)</f>
        <v>1465.1855161509009</v>
      </c>
      <c r="D143" s="15">
        <f>+$L$4*(C143-C142)+(1-$L$4)*D142</f>
        <v>2.6332835118845113</v>
      </c>
      <c r="E143" s="15">
        <f>+$L$5*(B143/C143)+(1-$L$5)*E131</f>
        <v>1.0206802026572674</v>
      </c>
      <c r="F143" s="16">
        <f t="shared" ref="F143:F206" si="4">+(C142+D142)*E131</f>
        <v>1473.9731657040479</v>
      </c>
      <c r="G143" s="16">
        <f>+B143-F143</f>
        <v>34.026834295952085</v>
      </c>
      <c r="H143" s="16">
        <f t="shared" ref="H143:H206" si="5">+G143^2</f>
        <v>1157.8254522041809</v>
      </c>
    </row>
    <row r="144" spans="1:8" x14ac:dyDescent="0.2">
      <c r="A144" s="2">
        <v>41061</v>
      </c>
      <c r="B144" s="3">
        <v>1428</v>
      </c>
      <c r="C144" s="16">
        <f>+$L$3*(B144/E132)+(1-$L$3)*(C143+D143)</f>
        <v>1461.4154693943615</v>
      </c>
      <c r="D144" s="15">
        <f>+$L$4*(C144-C143)+(1-$L$4)*D143</f>
        <v>2.5813166485396817</v>
      </c>
      <c r="E144" s="15">
        <f>+$L$5*(B144/C144)+(1-$L$5)*E132</f>
        <v>0.98127559907292494</v>
      </c>
      <c r="F144" s="16">
        <f t="shared" si="4"/>
        <v>1444.4540095626371</v>
      </c>
      <c r="G144" s="16">
        <f>+B144-F144</f>
        <v>-16.454009562637111</v>
      </c>
      <c r="H144" s="16">
        <f t="shared" si="5"/>
        <v>270.73443068735349</v>
      </c>
    </row>
    <row r="145" spans="1:8" x14ac:dyDescent="0.2">
      <c r="A145" s="2">
        <v>41091</v>
      </c>
      <c r="B145" s="3">
        <v>1421</v>
      </c>
      <c r="C145" s="16">
        <f>+$L$3*(B145/E133)+(1-$L$3)*(C144+D144)</f>
        <v>1438.9960058211241</v>
      </c>
      <c r="D145" s="15">
        <f>+$L$4*(C145-C144)+(1-$L$4)*D144</f>
        <v>2.3784203313364483</v>
      </c>
      <c r="E145" s="15">
        <f>+$L$5*(B145/C145)+(1-$L$5)*E133</f>
        <v>1.0044441843598335</v>
      </c>
      <c r="F145" s="16">
        <f t="shared" si="4"/>
        <v>1487.321264228774</v>
      </c>
      <c r="G145" s="16">
        <f>+B145-F145</f>
        <v>-66.321264228773998</v>
      </c>
      <c r="H145" s="16">
        <f t="shared" si="5"/>
        <v>4398.5100889028572</v>
      </c>
    </row>
    <row r="146" spans="1:8" x14ac:dyDescent="0.2">
      <c r="A146" s="2">
        <v>41122</v>
      </c>
      <c r="B146" s="3">
        <v>1444</v>
      </c>
      <c r="C146" s="16">
        <f>+$L$3*(B146/E134)+(1-$L$3)*(C145+D145)</f>
        <v>1466.416429812499</v>
      </c>
      <c r="D146" s="15">
        <f>+$L$4*(C146-C145)+(1-$L$4)*D145</f>
        <v>2.581651201450891</v>
      </c>
      <c r="E146" s="15">
        <f>+$L$5*(B146/C146)+(1-$L$5)*E134</f>
        <v>0.96899723442507446</v>
      </c>
      <c r="F146" s="16">
        <f t="shared" si="4"/>
        <v>1381.3348889416995</v>
      </c>
      <c r="G146" s="16">
        <f>+B146-F146</f>
        <v>62.665111058300454</v>
      </c>
      <c r="H146" s="16">
        <f t="shared" si="5"/>
        <v>3926.9161439491299</v>
      </c>
    </row>
    <row r="147" spans="1:8" x14ac:dyDescent="0.2">
      <c r="A147" s="2">
        <v>41153</v>
      </c>
      <c r="B147" s="3">
        <v>1412</v>
      </c>
      <c r="C147" s="16">
        <f>+$L$3*(B147/E135)+(1-$L$3)*(C146+D146)</f>
        <v>1476.9792279255905</v>
      </c>
      <c r="D147" s="15">
        <f>+$L$4*(C147-C146)+(1-$L$4)*D146</f>
        <v>2.6464229926136045</v>
      </c>
      <c r="E147" s="15">
        <f>+$L$5*(B147/C147)+(1-$L$5)*E135</f>
        <v>0.95108718014243121</v>
      </c>
      <c r="F147" s="16">
        <f t="shared" si="4"/>
        <v>1392.2487097617757</v>
      </c>
      <c r="G147" s="16">
        <f>+B147-F147</f>
        <v>19.751290238224328</v>
      </c>
      <c r="H147" s="16">
        <f t="shared" si="5"/>
        <v>390.11346607457563</v>
      </c>
    </row>
    <row r="148" spans="1:8" x14ac:dyDescent="0.2">
      <c r="A148" s="2">
        <v>41183</v>
      </c>
      <c r="B148" s="3">
        <v>1501</v>
      </c>
      <c r="C148" s="16">
        <f>+$L$3*(B148/E136)+(1-$L$3)*(C147+D147)</f>
        <v>1447.8920149284877</v>
      </c>
      <c r="D148" s="15">
        <f>+$L$4*(C148-C147)+(1-$L$4)*D147</f>
        <v>2.3888855151162804</v>
      </c>
      <c r="E148" s="15">
        <f>+$L$5*(B148/C148)+(1-$L$5)*E136</f>
        <v>1.0592976022551372</v>
      </c>
      <c r="F148" s="16">
        <f t="shared" si="4"/>
        <v>1590.0455281032157</v>
      </c>
      <c r="G148" s="16">
        <f>+B148-F148</f>
        <v>-89.045528103215702</v>
      </c>
      <c r="H148" s="16">
        <f t="shared" si="5"/>
        <v>7929.1060751805771</v>
      </c>
    </row>
    <row r="149" spans="1:8" x14ac:dyDescent="0.2">
      <c r="A149" s="2">
        <v>41214</v>
      </c>
      <c r="B149" s="3">
        <v>1450</v>
      </c>
      <c r="C149" s="16">
        <f>+$L$3*(B149/E137)+(1-$L$3)*(C148+D148)</f>
        <v>1445.4030379324718</v>
      </c>
      <c r="D149" s="15">
        <f>+$L$4*(C149-C148)+(1-$L$4)*D148</f>
        <v>2.3492987370016372</v>
      </c>
      <c r="E149" s="15">
        <f>+$L$5*(B149/C149)+(1-$L$5)*E137</f>
        <v>1.0064493031461821</v>
      </c>
      <c r="F149" s="16">
        <f t="shared" si="4"/>
        <v>1462.8472739314705</v>
      </c>
      <c r="G149" s="16">
        <f>+B149-F149</f>
        <v>-12.847273931470454</v>
      </c>
      <c r="H149" s="16">
        <f t="shared" si="5"/>
        <v>165.05244747024031</v>
      </c>
    </row>
    <row r="150" spans="1:8" x14ac:dyDescent="0.2">
      <c r="A150" s="2">
        <v>41244</v>
      </c>
      <c r="B150" s="3">
        <v>1498</v>
      </c>
      <c r="C150" s="16">
        <f>+$L$3*(B150/E138)+(1-$L$3)*(C149+D149)</f>
        <v>1442.2193868648901</v>
      </c>
      <c r="D150" s="15">
        <f>+$L$4*(C150-C149)+(1-$L$4)*D149</f>
        <v>2.3043955328351355</v>
      </c>
      <c r="E150" s="15">
        <f>+$L$5*(B150/C150)+(1-$L$5)*E138</f>
        <v>1.042527390105082</v>
      </c>
      <c r="F150" s="16">
        <f t="shared" si="4"/>
        <v>1513.0995683815593</v>
      </c>
      <c r="G150" s="16">
        <f>+B150-F150</f>
        <v>-15.099568381559266</v>
      </c>
      <c r="H150" s="16">
        <f t="shared" si="5"/>
        <v>227.99696530938431</v>
      </c>
    </row>
    <row r="151" spans="1:8" x14ac:dyDescent="0.2">
      <c r="A151" s="2">
        <v>41275</v>
      </c>
      <c r="B151" s="3">
        <v>1451</v>
      </c>
      <c r="C151" s="16">
        <f>+$L$3*(B151/E139)+(1-$L$3)*(C150+D150)</f>
        <v>1442.7674575787187</v>
      </c>
      <c r="D151" s="15">
        <f>+$L$4*(C151-C150)+(1-$L$4)*D150</f>
        <v>2.2901419041712323</v>
      </c>
      <c r="E151" s="15">
        <f>+$L$5*(B151/C151)+(1-$L$5)*E139</f>
        <v>1.0068840806970023</v>
      </c>
      <c r="F151" s="16">
        <f t="shared" si="4"/>
        <v>1455.6212888101036</v>
      </c>
      <c r="G151" s="16">
        <f>+B151-F151</f>
        <v>-4.6212888101035787</v>
      </c>
      <c r="H151" s="16">
        <f t="shared" si="5"/>
        <v>21.356310266388551</v>
      </c>
    </row>
    <row r="152" spans="1:8" x14ac:dyDescent="0.2">
      <c r="A152" s="2">
        <v>41306</v>
      </c>
      <c r="B152" s="3">
        <v>1530</v>
      </c>
      <c r="C152" s="16">
        <f>+$L$3*(B152/E140)+(1-$L$3)*(C151+D151)</f>
        <v>1450.7528063027135</v>
      </c>
      <c r="D152" s="15">
        <f>+$L$4*(C152-C151)+(1-$L$4)*D151</f>
        <v>2.3363619212747944</v>
      </c>
      <c r="E152" s="15">
        <f>+$L$5*(B152/C152)+(1-$L$5)*E140</f>
        <v>1.0506740297056472</v>
      </c>
      <c r="F152" s="16">
        <f t="shared" si="4"/>
        <v>1514.4151062822618</v>
      </c>
      <c r="G152" s="16">
        <f>+B152-F152</f>
        <v>15.584893717738169</v>
      </c>
      <c r="H152" s="16">
        <f t="shared" si="5"/>
        <v>242.88891219319464</v>
      </c>
    </row>
    <row r="153" spans="1:8" x14ac:dyDescent="0.2">
      <c r="A153" s="2">
        <v>41334</v>
      </c>
      <c r="B153" s="3">
        <v>1498</v>
      </c>
      <c r="C153" s="16">
        <f>+$L$3*(B153/E141)+(1-$L$3)*(C152+D152)</f>
        <v>1434.1468197469253</v>
      </c>
      <c r="D153" s="15">
        <f>+$L$4*(C153-C152)+(1-$L$4)*D152</f>
        <v>2.1826334091610562</v>
      </c>
      <c r="E153" s="15">
        <f>+$L$5*(B153/C153)+(1-$L$5)*E141</f>
        <v>1.0580602151422325</v>
      </c>
      <c r="F153" s="16">
        <f t="shared" si="4"/>
        <v>1550.7871632753249</v>
      </c>
      <c r="G153" s="16">
        <f>+B153-F153</f>
        <v>-52.787163275324929</v>
      </c>
      <c r="H153" s="16">
        <f t="shared" si="5"/>
        <v>2786.484606655813</v>
      </c>
    </row>
    <row r="154" spans="1:8" x14ac:dyDescent="0.2">
      <c r="A154" s="2">
        <v>41365</v>
      </c>
      <c r="B154" s="3">
        <v>1458</v>
      </c>
      <c r="C154" s="16">
        <f>+$L$3*(B154/E142)+(1-$L$3)*(C153+D153)</f>
        <v>1452.2541826441925</v>
      </c>
      <c r="D154" s="15">
        <f>+$L$4*(C154-C153)+(1-$L$4)*D153</f>
        <v>2.3118721343901205</v>
      </c>
      <c r="E154" s="15">
        <f>+$L$5*(B154/C154)+(1-$L$5)*E142</f>
        <v>0.99356798060570362</v>
      </c>
      <c r="F154" s="16">
        <f t="shared" si="4"/>
        <v>1416.9781060365217</v>
      </c>
      <c r="G154" s="16">
        <f>+B154-F154</f>
        <v>41.021893963478306</v>
      </c>
      <c r="H154" s="16">
        <f t="shared" si="5"/>
        <v>1682.7957843508577</v>
      </c>
    </row>
    <row r="155" spans="1:8" x14ac:dyDescent="0.2">
      <c r="A155" s="2">
        <v>41395</v>
      </c>
      <c r="B155" s="3">
        <v>1520</v>
      </c>
      <c r="C155" s="16">
        <f>+$L$3*(B155/E143)+(1-$L$3)*(C154+D154)</f>
        <v>1467.830978865743</v>
      </c>
      <c r="D155" s="15">
        <f>+$L$4*(C155-C154)+(1-$L$4)*D154</f>
        <v>2.4195249444780607</v>
      </c>
      <c r="E155" s="15">
        <f>+$L$5*(B155/C155)+(1-$L$5)*E143</f>
        <v>1.0266836310131378</v>
      </c>
      <c r="F155" s="16">
        <f t="shared" si="4"/>
        <v>1484.6467755697856</v>
      </c>
      <c r="G155" s="16">
        <f>+B155-F155</f>
        <v>35.353224430214368</v>
      </c>
      <c r="H155" s="16">
        <f t="shared" si="5"/>
        <v>1249.850477613106</v>
      </c>
    </row>
    <row r="156" spans="1:8" x14ac:dyDescent="0.2">
      <c r="A156" s="2">
        <v>41426</v>
      </c>
      <c r="B156" s="3">
        <v>1402</v>
      </c>
      <c r="C156" s="16">
        <f>+$L$3*(B156/E144)+(1-$L$3)*(C155+D155)</f>
        <v>1454.3580021051166</v>
      </c>
      <c r="D156" s="15">
        <f>+$L$4*(C156-C155)+(1-$L$4)*D155</f>
        <v>2.2905477670256924</v>
      </c>
      <c r="E156" s="15">
        <f>+$L$5*(B156/C156)+(1-$L$5)*E144</f>
        <v>0.9742966044637057</v>
      </c>
      <c r="F156" s="16">
        <f t="shared" si="4"/>
        <v>1442.7209439136443</v>
      </c>
      <c r="G156" s="16">
        <f>+B156-F156</f>
        <v>-40.720943913644305</v>
      </c>
      <c r="H156" s="16">
        <f t="shared" si="5"/>
        <v>1658.1952732181651</v>
      </c>
    </row>
    <row r="157" spans="1:8" x14ac:dyDescent="0.2">
      <c r="A157" s="2">
        <v>41456</v>
      </c>
      <c r="B157" s="3">
        <v>1441</v>
      </c>
      <c r="C157" s="16">
        <f>+$L$3*(B157/E145)+(1-$L$3)*(C156+D156)</f>
        <v>1448.2138964902574</v>
      </c>
      <c r="D157" s="15">
        <f>+$L$4*(C157-C156)+(1-$L$4)*D156</f>
        <v>2.2220954990208903</v>
      </c>
      <c r="E157" s="15">
        <f>+$L$5*(B157/C157)+(1-$L$5)*E145</f>
        <v>1.0006366725447451</v>
      </c>
      <c r="F157" s="16">
        <f t="shared" si="4"/>
        <v>1463.1221645752582</v>
      </c>
      <c r="G157" s="16">
        <f>+B157-F157</f>
        <v>-22.122164575258239</v>
      </c>
      <c r="H157" s="16">
        <f t="shared" si="5"/>
        <v>489.39016549481056</v>
      </c>
    </row>
    <row r="158" spans="1:8" x14ac:dyDescent="0.2">
      <c r="A158" s="2">
        <v>41487</v>
      </c>
      <c r="B158" s="3">
        <v>1381</v>
      </c>
      <c r="C158" s="16">
        <f>+$L$3*(B158/E146)+(1-$L$3)*(C157+D157)</f>
        <v>1440.7654766831706</v>
      </c>
      <c r="D158" s="15">
        <f>+$L$4*(C158-C157)+(1-$L$4)*D157</f>
        <v>2.1436134707137242</v>
      </c>
      <c r="E158" s="15">
        <f>+$L$5*(B158/C158)+(1-$L$5)*E146</f>
        <v>0.96476412220165741</v>
      </c>
      <c r="F158" s="16">
        <f t="shared" si="4"/>
        <v>1405.4684649482001</v>
      </c>
      <c r="G158" s="16">
        <f>+B158-F158</f>
        <v>-24.468464948200108</v>
      </c>
      <c r="H158" s="16">
        <f t="shared" si="5"/>
        <v>598.70577692129734</v>
      </c>
    </row>
    <row r="159" spans="1:8" x14ac:dyDescent="0.2">
      <c r="A159" s="2">
        <v>41518</v>
      </c>
      <c r="B159" s="3">
        <v>1356</v>
      </c>
      <c r="C159" s="16">
        <f>+$L$3*(B159/E147)+(1-$L$3)*(C158+D158)</f>
        <v>1436.3326108955773</v>
      </c>
      <c r="D159" s="15">
        <f>+$L$4*(C159-C158)+(1-$L$4)*D158</f>
        <v>2.0902413995288556</v>
      </c>
      <c r="E159" s="15">
        <f>+$L$5*(B159/C159)+(1-$L$5)*E147</f>
        <v>0.9482529201726293</v>
      </c>
      <c r="F159" s="16">
        <f t="shared" si="4"/>
        <v>1372.3323377563388</v>
      </c>
      <c r="G159" s="16">
        <f>+B159-F159</f>
        <v>-16.332337756338802</v>
      </c>
      <c r="H159" s="16">
        <f t="shared" si="5"/>
        <v>266.74525658712997</v>
      </c>
    </row>
    <row r="160" spans="1:8" x14ac:dyDescent="0.2">
      <c r="A160" s="2">
        <v>41548</v>
      </c>
      <c r="B160" s="3">
        <v>1488</v>
      </c>
      <c r="C160" s="16">
        <f>+$L$3*(B160/E148)+(1-$L$3)*(C159+D159)</f>
        <v>1425.5096755360446</v>
      </c>
      <c r="D160" s="15">
        <f>+$L$4*(C160-C159)+(1-$L$4)*D159</f>
        <v>1.9854432298491034</v>
      </c>
      <c r="E160" s="15">
        <f>+$L$5*(B160/C160)+(1-$L$5)*E148</f>
        <v>1.053052179560465</v>
      </c>
      <c r="F160" s="16">
        <f t="shared" si="4"/>
        <v>1523.7178784652015</v>
      </c>
      <c r="G160" s="16">
        <f>+B160-F160</f>
        <v>-35.717878465201466</v>
      </c>
      <c r="H160" s="16">
        <f t="shared" si="5"/>
        <v>1275.7668420549026</v>
      </c>
    </row>
    <row r="161" spans="1:8" x14ac:dyDescent="0.2">
      <c r="A161" s="2">
        <v>41579</v>
      </c>
      <c r="B161" s="3">
        <v>1522</v>
      </c>
      <c r="C161" s="16">
        <f>+$L$3*(B161/E149)+(1-$L$3)*(C160+D160)</f>
        <v>1459.9526202582729</v>
      </c>
      <c r="D161" s="15">
        <f>+$L$4*(C161-C160)+(1-$L$4)*D160</f>
        <v>2.2488553097923463</v>
      </c>
      <c r="E161" s="15">
        <f>+$L$5*(B161/C161)+(1-$L$5)*E149</f>
        <v>1.0210122461155802</v>
      </c>
      <c r="F161" s="16">
        <f t="shared" si="4"/>
        <v>1436.7014675265102</v>
      </c>
      <c r="G161" s="16">
        <f>+B161-F161</f>
        <v>85.298532473489786</v>
      </c>
      <c r="H161" s="16">
        <f t="shared" si="5"/>
        <v>7275.8396421309917</v>
      </c>
    </row>
    <row r="162" spans="1:8" x14ac:dyDescent="0.2">
      <c r="A162" s="2">
        <v>41609</v>
      </c>
      <c r="B162" s="3">
        <v>1501</v>
      </c>
      <c r="C162" s="16">
        <f>+$L$3*(B162/E150)+(1-$L$3)*(C161+D161)</f>
        <v>1453.6110047490017</v>
      </c>
      <c r="D162" s="15">
        <f>+$L$4*(C162-C161)+(1-$L$4)*D161</f>
        <v>2.1791384898863981</v>
      </c>
      <c r="E162" s="15">
        <f>+$L$5*(B162/C162)+(1-$L$5)*E150</f>
        <v>1.0385174567007973</v>
      </c>
      <c r="F162" s="16">
        <f t="shared" si="4"/>
        <v>1524.3850881317749</v>
      </c>
      <c r="G162" s="16">
        <f>+B162-F162</f>
        <v>-23.385088131774864</v>
      </c>
      <c r="H162" s="16">
        <f t="shared" si="5"/>
        <v>546.86234693087761</v>
      </c>
    </row>
    <row r="163" spans="1:8" x14ac:dyDescent="0.2">
      <c r="A163" s="2">
        <v>41640</v>
      </c>
      <c r="B163" s="3">
        <v>1475</v>
      </c>
      <c r="C163" s="16">
        <f>+$L$3*(B163/E151)+(1-$L$3)*(C162+D162)</f>
        <v>1459.2848498397543</v>
      </c>
      <c r="D163" s="15">
        <f>+$L$4*(C163-C162)+(1-$L$4)*D162</f>
        <v>2.2075001287125318</v>
      </c>
      <c r="E163" s="15">
        <f>+$L$5*(B163/C163)+(1-$L$5)*E151</f>
        <v>1.0084534712806847</v>
      </c>
      <c r="F163" s="16">
        <f t="shared" si="4"/>
        <v>1465.811920062845</v>
      </c>
      <c r="G163" s="16">
        <f>+B163-F163</f>
        <v>9.1880799371549529</v>
      </c>
      <c r="H163" s="16">
        <f t="shared" si="5"/>
        <v>84.420812931549364</v>
      </c>
    </row>
    <row r="164" spans="1:8" x14ac:dyDescent="0.2">
      <c r="A164" s="2">
        <v>41671</v>
      </c>
      <c r="B164" s="3">
        <v>1576</v>
      </c>
      <c r="C164" s="16">
        <f>+$L$3*(B164/E152)+(1-$L$3)*(C163+D163)</f>
        <v>1476.2356218836912</v>
      </c>
      <c r="D164" s="15">
        <f>+$L$4*(C164-C163)+(1-$L$4)*D163</f>
        <v>2.3271506175608461</v>
      </c>
      <c r="E164" s="15">
        <f>+$L$5*(B164/C164)+(1-$L$5)*E152</f>
        <v>1.0575035014684635</v>
      </c>
      <c r="F164" s="16">
        <f t="shared" si="4"/>
        <v>1535.552056725345</v>
      </c>
      <c r="G164" s="16">
        <f>+B164-F164</f>
        <v>40.447943274655017</v>
      </c>
      <c r="H164" s="16">
        <f t="shared" si="5"/>
        <v>1636.03611514971</v>
      </c>
    </row>
    <row r="165" spans="1:8" x14ac:dyDescent="0.2">
      <c r="A165" s="2">
        <v>41699</v>
      </c>
      <c r="B165" s="3">
        <v>1571</v>
      </c>
      <c r="C165" s="16">
        <f>+$L$3*(B165/E153)+(1-$L$3)*(C164+D164)</f>
        <v>1480.9486212832917</v>
      </c>
      <c r="D165" s="15">
        <f>+$L$4*(C165-C164)+(1-$L$4)*D164</f>
        <v>2.3465132105273643</v>
      </c>
      <c r="E165" s="15">
        <f>+$L$5*(B165/C165)+(1-$L$5)*E153</f>
        <v>1.0591696306396368</v>
      </c>
      <c r="F165" s="16">
        <f t="shared" si="4"/>
        <v>1564.4084451739704</v>
      </c>
      <c r="G165" s="16">
        <f>+B165-F165</f>
        <v>6.5915548260295509</v>
      </c>
      <c r="H165" s="16">
        <f t="shared" si="5"/>
        <v>43.448595024553462</v>
      </c>
    </row>
    <row r="166" spans="1:8" x14ac:dyDescent="0.2">
      <c r="A166" s="2">
        <v>41730</v>
      </c>
      <c r="B166" s="3">
        <v>1568</v>
      </c>
      <c r="C166" s="16">
        <f>+$L$3*(B166/E154)+(1-$L$3)*(C165+D165)</f>
        <v>1519.6220253057672</v>
      </c>
      <c r="D166" s="15">
        <f>+$L$4*(C166-C165)+(1-$L$4)*D165</f>
        <v>2.6413277041473706</v>
      </c>
      <c r="E166" s="15">
        <f>+$L$5*(B166/C166)+(1-$L$5)*E154</f>
        <v>1.0090266161247803</v>
      </c>
      <c r="F166" s="16">
        <f t="shared" si="4"/>
        <v>1473.7545514212893</v>
      </c>
      <c r="G166" s="16">
        <f>+B166-F166</f>
        <v>94.245448578710693</v>
      </c>
      <c r="H166" s="16">
        <f t="shared" si="5"/>
        <v>8882.2045778024021</v>
      </c>
    </row>
    <row r="167" spans="1:8" x14ac:dyDescent="0.2">
      <c r="A167" s="2">
        <v>41760</v>
      </c>
      <c r="B167" s="3">
        <v>1564</v>
      </c>
      <c r="C167" s="16">
        <f>+$L$3*(B167/E155)+(1-$L$3)*(C166+D166)</f>
        <v>1522.6800629097941</v>
      </c>
      <c r="D167" s="15">
        <f>+$L$4*(C167-C166)+(1-$L$4)*D166</f>
        <v>2.6447095547647375</v>
      </c>
      <c r="E167" s="15">
        <f>+$L$5*(B167/C167)+(1-$L$5)*E155</f>
        <v>1.0268665011189291</v>
      </c>
      <c r="F167" s="16">
        <f t="shared" si="4"/>
        <v>1562.8828666264531</v>
      </c>
      <c r="G167" s="16">
        <f>+B167-F167</f>
        <v>1.1171333735469489</v>
      </c>
      <c r="H167" s="16">
        <f t="shared" si="5"/>
        <v>1.2479869742923868</v>
      </c>
    </row>
    <row r="168" spans="1:8" x14ac:dyDescent="0.2">
      <c r="A168" s="2">
        <v>41791</v>
      </c>
      <c r="B168" s="3">
        <v>1482</v>
      </c>
      <c r="C168" s="16">
        <f>+$L$3*(B168/E156)+(1-$L$3)*(C167+D167)</f>
        <v>1523.705800584652</v>
      </c>
      <c r="D168" s="15">
        <f>+$L$4*(C168-C167)+(1-$L$4)*D167</f>
        <v>2.6315706275322763</v>
      </c>
      <c r="E168" s="15">
        <f>+$L$5*(B168/C168)+(1-$L$5)*E156</f>
        <v>0.97362283659661863</v>
      </c>
      <c r="F168" s="16">
        <f t="shared" si="4"/>
        <v>1486.118746516594</v>
      </c>
      <c r="G168" s="16">
        <f>+B168-F168</f>
        <v>-4.1187465165940012</v>
      </c>
      <c r="H168" s="16">
        <f t="shared" si="5"/>
        <v>16.964072867955217</v>
      </c>
    </row>
    <row r="169" spans="1:8" x14ac:dyDescent="0.2">
      <c r="A169" s="2">
        <v>41821</v>
      </c>
      <c r="B169" s="3">
        <v>1569</v>
      </c>
      <c r="C169" s="16">
        <f>+$L$3*(B169/E157)+(1-$L$3)*(C168+D168)</f>
        <v>1542.2935826202215</v>
      </c>
      <c r="D169" s="15">
        <f>+$L$4*(C169-C168)+(1-$L$4)*D168</f>
        <v>2.7610648474121411</v>
      </c>
      <c r="E169" s="15">
        <f>+$L$5*(B169/C169)+(1-$L$5)*E157</f>
        <v>1.0073745028207775</v>
      </c>
      <c r="F169" s="16">
        <f t="shared" si="4"/>
        <v>1527.3091483104536</v>
      </c>
      <c r="G169" s="16">
        <f>+B169-F169</f>
        <v>41.690851689546434</v>
      </c>
      <c r="H169" s="16">
        <f t="shared" si="5"/>
        <v>1738.1271145997569</v>
      </c>
    </row>
    <row r="170" spans="1:8" x14ac:dyDescent="0.2">
      <c r="A170" s="2">
        <v>41852</v>
      </c>
      <c r="B170" s="3">
        <v>1470</v>
      </c>
      <c r="C170" s="16">
        <f>+$L$3*(B170/E158)+(1-$L$3)*(C169+D169)</f>
        <v>1536.8720419629203</v>
      </c>
      <c r="D170" s="15">
        <f>+$L$4*(C170-C169)+(1-$L$4)*D169</f>
        <v>2.6946580990104612</v>
      </c>
      <c r="E170" s="15">
        <f>+$L$5*(B170/C170)+(1-$L$5)*E158</f>
        <v>0.96142097138169458</v>
      </c>
      <c r="F170" s="16">
        <f t="shared" si="4"/>
        <v>1490.613290717703</v>
      </c>
      <c r="G170" s="16">
        <f>+B170-F170</f>
        <v>-20.613290717702967</v>
      </c>
      <c r="H170" s="16">
        <f t="shared" si="5"/>
        <v>424.90775421253926</v>
      </c>
    </row>
    <row r="171" spans="1:8" x14ac:dyDescent="0.2">
      <c r="A171" s="2">
        <v>41883</v>
      </c>
      <c r="B171" s="3">
        <v>1455</v>
      </c>
      <c r="C171" s="16">
        <f>+$L$3*(B171/E159)+(1-$L$3)*(C170+D170)</f>
        <v>1537.5882963617719</v>
      </c>
      <c r="D171" s="15">
        <f>+$L$4*(C171-C170)+(1-$L$4)*D170</f>
        <v>2.6786021671098306</v>
      </c>
      <c r="E171" s="15">
        <f>+$L$5*(B171/C171)+(1-$L$5)*E159</f>
        <v>0.94745881145956057</v>
      </c>
      <c r="F171" s="16">
        <f t="shared" si="4"/>
        <v>1459.8986191342644</v>
      </c>
      <c r="G171" s="16">
        <f>+B171-F171</f>
        <v>-4.8986191342644361</v>
      </c>
      <c r="H171" s="16">
        <f t="shared" si="5"/>
        <v>23.996469422581654</v>
      </c>
    </row>
    <row r="172" spans="1:8" x14ac:dyDescent="0.2">
      <c r="A172" s="2">
        <v>41913</v>
      </c>
      <c r="B172" s="3">
        <v>1664</v>
      </c>
      <c r="C172" s="16">
        <f>+$L$3*(B172/E160)+(1-$L$3)*(C171+D171)</f>
        <v>1555.5480811483469</v>
      </c>
      <c r="D172" s="15">
        <f>+$L$4*(C172-C171)+(1-$L$4)*D171</f>
        <v>2.8026181237518095</v>
      </c>
      <c r="E172" s="15">
        <f>+$L$5*(B172/C172)+(1-$L$5)*E160</f>
        <v>1.059785113279009</v>
      </c>
      <c r="F172" s="16">
        <f t="shared" si="4"/>
        <v>1621.9814146006765</v>
      </c>
      <c r="G172" s="16">
        <f>+B172-F172</f>
        <v>42.018585399323456</v>
      </c>
      <c r="H172" s="16">
        <f t="shared" si="5"/>
        <v>1765.5615189602383</v>
      </c>
    </row>
    <row r="173" spans="1:8" x14ac:dyDescent="0.2">
      <c r="A173" s="2">
        <v>41944</v>
      </c>
      <c r="B173" s="3">
        <v>1589</v>
      </c>
      <c r="C173" s="16">
        <f>+$L$3*(B173/E161)+(1-$L$3)*(C172+D172)</f>
        <v>1557.564832143875</v>
      </c>
      <c r="D173" s="15">
        <f>+$L$4*(C173-C172)+(1-$L$4)*D172</f>
        <v>2.7962403409501042</v>
      </c>
      <c r="E173" s="15">
        <f>+$L$5*(B173/C173)+(1-$L$5)*E161</f>
        <v>1.0206769605454298</v>
      </c>
      <c r="F173" s="16">
        <f t="shared" si="4"/>
        <v>1591.0951476995904</v>
      </c>
      <c r="G173" s="16">
        <f>+B173-F173</f>
        <v>-2.0951476995903704</v>
      </c>
      <c r="H173" s="16">
        <f t="shared" si="5"/>
        <v>4.3896438830988211</v>
      </c>
    </row>
    <row r="174" spans="1:8" x14ac:dyDescent="0.2">
      <c r="A174" s="2">
        <v>41974</v>
      </c>
      <c r="B174" s="3">
        <v>1653</v>
      </c>
      <c r="C174" s="16">
        <f>+$L$3*(B174/E162)+(1-$L$3)*(C173+D173)</f>
        <v>1572.359923111494</v>
      </c>
      <c r="D174" s="15">
        <f>+$L$4*(C174-C173)+(1-$L$4)*D173</f>
        <v>2.8936182060097804</v>
      </c>
      <c r="E174" s="15">
        <f>+$L$5*(B174/C174)+(1-$L$5)*E162</f>
        <v>1.0436754693580541</v>
      </c>
      <c r="F174" s="16">
        <f t="shared" si="4"/>
        <v>1620.462212531869</v>
      </c>
      <c r="G174" s="16">
        <f>+B174-F174</f>
        <v>32.537787468131</v>
      </c>
      <c r="H174" s="16">
        <f t="shared" si="5"/>
        <v>1058.7076133212627</v>
      </c>
    </row>
    <row r="175" spans="1:8" x14ac:dyDescent="0.2">
      <c r="A175" s="2">
        <v>42005</v>
      </c>
      <c r="B175" s="3">
        <v>1639</v>
      </c>
      <c r="C175" s="16">
        <f>+$L$3*(B175/E163)+(1-$L$3)*(C174+D174)</f>
        <v>1594.4048906303497</v>
      </c>
      <c r="D175" s="15">
        <f>+$L$4*(C175-C174)+(1-$L$4)*D174</f>
        <v>3.0490428851829687</v>
      </c>
      <c r="E175" s="15">
        <f>+$L$5*(B175/C175)+(1-$L$5)*E163</f>
        <v>1.0163373066457395</v>
      </c>
      <c r="F175" s="16">
        <f t="shared" si="4"/>
        <v>1588.5699018888281</v>
      </c>
      <c r="G175" s="16">
        <f>+B175-F175</f>
        <v>50.430098111171901</v>
      </c>
      <c r="H175" s="16">
        <f t="shared" si="5"/>
        <v>2543.1947955024239</v>
      </c>
    </row>
    <row r="176" spans="1:8" x14ac:dyDescent="0.2">
      <c r="A176" s="2">
        <v>42036</v>
      </c>
      <c r="B176" s="3">
        <v>1695</v>
      </c>
      <c r="C176" s="16">
        <f>+$L$3*(B176/E164)+(1-$L$3)*(C175+D175)</f>
        <v>1599.5134110524214</v>
      </c>
      <c r="D176" s="15">
        <f>+$L$4*(C176-C175)+(1-$L$4)*D175</f>
        <v>3.0657567798650849</v>
      </c>
      <c r="E176" s="15">
        <f>+$L$5*(B176/C176)+(1-$L$5)*E164</f>
        <v>1.0583897018018209</v>
      </c>
      <c r="F176" s="16">
        <f t="shared" si="4"/>
        <v>1689.3131281272458</v>
      </c>
      <c r="G176" s="16">
        <f>+B176-F176</f>
        <v>5.6868718727541818</v>
      </c>
      <c r="H176" s="16">
        <f t="shared" si="5"/>
        <v>32.340511697122658</v>
      </c>
    </row>
    <row r="177" spans="1:8" x14ac:dyDescent="0.2">
      <c r="A177" s="2">
        <v>42064</v>
      </c>
      <c r="B177" s="3">
        <v>1694</v>
      </c>
      <c r="C177" s="16">
        <f>+$L$3*(B177/E165)+(1-$L$3)*(C176+D176)</f>
        <v>1601.3486568276048</v>
      </c>
      <c r="D177" s="15">
        <f>+$L$4*(C177-C176)+(1-$L$4)*D176</f>
        <v>3.0557704454821892</v>
      </c>
      <c r="E177" s="15">
        <f>+$L$5*(B177/C177)+(1-$L$5)*E165</f>
        <v>1.0586399110384315</v>
      </c>
      <c r="F177" s="16">
        <f t="shared" si="4"/>
        <v>1697.4031852636992</v>
      </c>
      <c r="G177" s="16">
        <f>+B177-F177</f>
        <v>-3.4031852636992426</v>
      </c>
      <c r="H177" s="16">
        <f t="shared" si="5"/>
        <v>11.581669939059683</v>
      </c>
    </row>
    <row r="178" spans="1:8" x14ac:dyDescent="0.2">
      <c r="A178" s="2">
        <v>42095</v>
      </c>
      <c r="B178" s="3">
        <v>1631</v>
      </c>
      <c r="C178" s="16">
        <f>+$L$3*(B178/E166)+(1-$L$3)*(C177+D177)</f>
        <v>1609.0019381549423</v>
      </c>
      <c r="D178" s="15">
        <f>+$L$4*(C178-C177)+(1-$L$4)*D177</f>
        <v>3.0930820020798389</v>
      </c>
      <c r="E178" s="15">
        <f>+$L$5*(B178/C178)+(1-$L$5)*E166</f>
        <v>1.0109031211951593</v>
      </c>
      <c r="F178" s="16">
        <f t="shared" si="4"/>
        <v>1618.8867701469792</v>
      </c>
      <c r="G178" s="16">
        <f>+B178-F178</f>
        <v>12.113229853020812</v>
      </c>
      <c r="H178" s="16">
        <f t="shared" si="5"/>
        <v>146.7303374721146</v>
      </c>
    </row>
    <row r="179" spans="1:8" x14ac:dyDescent="0.2">
      <c r="A179" s="2">
        <v>42125</v>
      </c>
      <c r="B179" s="3">
        <v>1640</v>
      </c>
      <c r="C179" s="16">
        <f>+$L$3*(B179/E167)+(1-$L$3)*(C178+D178)</f>
        <v>1606.3492024059428</v>
      </c>
      <c r="D179" s="15">
        <f>+$L$4*(C179-C178)+(1-$L$4)*D178</f>
        <v>3.0464512469324663</v>
      </c>
      <c r="E179" s="15">
        <f>+$L$5*(B179/C179)+(1-$L$5)*E167</f>
        <v>1.0244759017943927</v>
      </c>
      <c r="F179" s="16">
        <f t="shared" si="4"/>
        <v>1655.4063728198907</v>
      </c>
      <c r="G179" s="16">
        <f>+B179-F179</f>
        <v>-15.406372819890748</v>
      </c>
      <c r="H179" s="16">
        <f t="shared" si="5"/>
        <v>237.35632346546842</v>
      </c>
    </row>
    <row r="180" spans="1:8" x14ac:dyDescent="0.2">
      <c r="A180" s="2">
        <v>42156</v>
      </c>
      <c r="B180" s="3">
        <v>1556</v>
      </c>
      <c r="C180" s="16">
        <f>+$L$3*(B180/E168)+(1-$L$3)*(C179+D179)</f>
        <v>1605.0907334237684</v>
      </c>
      <c r="D180" s="15">
        <f>+$L$4*(C180-C179)+(1-$L$4)*D179</f>
        <v>3.0115142388634668</v>
      </c>
      <c r="E180" s="15">
        <f>+$L$5*(B180/C180)+(1-$L$5)*E168</f>
        <v>0.97192327388504329</v>
      </c>
      <c r="F180" s="16">
        <f t="shared" si="4"/>
        <v>1566.9443615157818</v>
      </c>
      <c r="G180" s="16">
        <f>+B180-F180</f>
        <v>-10.944361515781793</v>
      </c>
      <c r="H180" s="16">
        <f t="shared" si="5"/>
        <v>119.77904898812555</v>
      </c>
    </row>
    <row r="181" spans="1:8" x14ac:dyDescent="0.2">
      <c r="A181" s="2">
        <v>42186</v>
      </c>
      <c r="B181" s="3">
        <v>1647</v>
      </c>
      <c r="C181" s="16">
        <f>+$L$3*(B181/E169)+(1-$L$3)*(C180+D180)</f>
        <v>1618.3815077106105</v>
      </c>
      <c r="D181" s="15">
        <f>+$L$4*(C181-C180)+(1-$L$4)*D180</f>
        <v>3.0949365956382575</v>
      </c>
      <c r="E181" s="15">
        <f>+$L$5*(B181/C181)+(1-$L$5)*E169</f>
        <v>1.0115389065009213</v>
      </c>
      <c r="F181" s="16">
        <f t="shared" si="4"/>
        <v>1619.9612022241183</v>
      </c>
      <c r="G181" s="16">
        <f>+B181-F181</f>
        <v>27.038797775881676</v>
      </c>
      <c r="H181" s="16">
        <f t="shared" si="5"/>
        <v>731.09658516502384</v>
      </c>
    </row>
    <row r="182" spans="1:8" x14ac:dyDescent="0.2">
      <c r="A182" s="2">
        <v>42217</v>
      </c>
      <c r="B182" s="3">
        <v>1520</v>
      </c>
      <c r="C182" s="16">
        <f>+$L$3*(B182/E170)+(1-$L$3)*(C181+D181)</f>
        <v>1605.9725449282753</v>
      </c>
      <c r="D182" s="15">
        <f>+$L$4*(C182-C181)+(1-$L$4)*D181</f>
        <v>2.9691131590024571</v>
      </c>
      <c r="E182" s="15">
        <f>+$L$5*(B182/C182)+(1-$L$5)*E170</f>
        <v>0.95538013132396982</v>
      </c>
      <c r="F182" s="16">
        <f t="shared" si="4"/>
        <v>1558.9214581574499</v>
      </c>
      <c r="G182" s="16">
        <f>+B182-F182</f>
        <v>-38.921458157449933</v>
      </c>
      <c r="H182" s="16">
        <f t="shared" si="5"/>
        <v>1514.879905102126</v>
      </c>
    </row>
    <row r="183" spans="1:8" x14ac:dyDescent="0.2">
      <c r="A183" s="2">
        <v>42248</v>
      </c>
      <c r="B183" s="3">
        <v>1475</v>
      </c>
      <c r="C183" s="16">
        <f>+$L$3*(B183/E171)+(1-$L$3)*(C182+D182)</f>
        <v>1588.9713688600552</v>
      </c>
      <c r="D183" s="15">
        <f>+$L$4*(C183-C182)+(1-$L$4)*D182</f>
        <v>2.8070422915437914</v>
      </c>
      <c r="E183" s="15">
        <f>+$L$5*(B183/C183)+(1-$L$5)*E171</f>
        <v>0.93970867153720805</v>
      </c>
      <c r="F183" s="16">
        <f t="shared" si="4"/>
        <v>1524.4059510791469</v>
      </c>
      <c r="G183" s="16">
        <f>+B183-F183</f>
        <v>-49.405951079146917</v>
      </c>
      <c r="H183" s="16">
        <f t="shared" si="5"/>
        <v>2440.9480020350584</v>
      </c>
    </row>
    <row r="184" spans="1:8" x14ac:dyDescent="0.2">
      <c r="A184" s="2">
        <v>42278</v>
      </c>
      <c r="B184" s="3">
        <v>1754</v>
      </c>
      <c r="C184" s="16">
        <f>+$L$3*(B184/E172)+(1-$L$3)*(C183+D183)</f>
        <v>1616.0105261924964</v>
      </c>
      <c r="D184" s="15">
        <f>+$L$4*(C184-C183)+(1-$L$4)*D183</f>
        <v>3.0037004300590255</v>
      </c>
      <c r="E184" s="15">
        <f>+$L$5*(B184/C184)+(1-$L$5)*E172</f>
        <v>1.070128097757352</v>
      </c>
      <c r="F184" s="16">
        <f t="shared" si="4"/>
        <v>1686.9430637773785</v>
      </c>
      <c r="G184" s="16">
        <f>+B184-F184</f>
        <v>67.056936222621516</v>
      </c>
      <c r="H184" s="16">
        <f t="shared" si="5"/>
        <v>4496.6326955647291</v>
      </c>
    </row>
    <row r="185" spans="1:8" x14ac:dyDescent="0.2">
      <c r="A185" s="2">
        <v>42309</v>
      </c>
      <c r="B185" s="3">
        <v>1605</v>
      </c>
      <c r="C185" s="16">
        <f>+$L$3*(B185/E173)+(1-$L$3)*(C184+D184)</f>
        <v>1601.1951973084158</v>
      </c>
      <c r="D185" s="15">
        <f>+$L$4*(C185-C184)+(1-$L$4)*D184</f>
        <v>2.8590883262805136</v>
      </c>
      <c r="E185" s="15">
        <f>+$L$5*(B185/C185)+(1-$L$5)*E173</f>
        <v>1.0132841598757041</v>
      </c>
      <c r="F185" s="16">
        <f t="shared" si="4"/>
        <v>1652.4905199089196</v>
      </c>
      <c r="G185" s="16">
        <f>+B185-F185</f>
        <v>-47.490519908919623</v>
      </c>
      <c r="H185" s="16">
        <f t="shared" si="5"/>
        <v>2255.3494812194913</v>
      </c>
    </row>
    <row r="186" spans="1:8" x14ac:dyDescent="0.2">
      <c r="A186" s="2">
        <v>42339</v>
      </c>
      <c r="B186" s="3">
        <v>1701</v>
      </c>
      <c r="C186" s="16">
        <f>+$L$3*(B186/E174)+(1-$L$3)*(C185+D185)</f>
        <v>1613.9206394562734</v>
      </c>
      <c r="D186" s="15">
        <f>+$L$4*(C186-C185)+(1-$L$4)*D185</f>
        <v>2.9391597015281681</v>
      </c>
      <c r="E186" s="15">
        <f>+$L$5*(B186/C186)+(1-$L$5)*E174</f>
        <v>1.0478280770833746</v>
      </c>
      <c r="F186" s="16">
        <f t="shared" si="4"/>
        <v>1674.1121094355899</v>
      </c>
      <c r="G186" s="16">
        <f>+B186-F186</f>
        <v>26.8878905644101</v>
      </c>
      <c r="H186" s="16">
        <f t="shared" si="5"/>
        <v>722.9586590036937</v>
      </c>
    </row>
    <row r="187" spans="1:8" x14ac:dyDescent="0.2">
      <c r="A187" s="2">
        <v>42370</v>
      </c>
      <c r="B187" s="3">
        <v>1701</v>
      </c>
      <c r="C187" s="16">
        <f>+$L$3*(B187/E175)+(1-$L$3)*(C186+D186)</f>
        <v>1638.6114390280177</v>
      </c>
      <c r="D187" s="15">
        <f>+$L$4*(C187-C186)+(1-$L$4)*D186</f>
        <v>3.1156872972131064</v>
      </c>
      <c r="E187" s="15">
        <f>+$L$5*(B187/C187)+(1-$L$5)*E175</f>
        <v>1.025118121314391</v>
      </c>
      <c r="F187" s="16">
        <f t="shared" si="4"/>
        <v>1643.2749334998114</v>
      </c>
      <c r="G187" s="16">
        <f>+B187-F187</f>
        <v>57.725066500188632</v>
      </c>
      <c r="H187" s="16">
        <f t="shared" si="5"/>
        <v>3332.1833024511998</v>
      </c>
    </row>
    <row r="188" spans="1:8" x14ac:dyDescent="0.2">
      <c r="A188" s="2">
        <v>42401</v>
      </c>
      <c r="B188" s="3">
        <v>1830</v>
      </c>
      <c r="C188" s="16">
        <f>+$L$3*(B188/E176)+(1-$L$3)*(C187+D187)</f>
        <v>1675.1660661777016</v>
      </c>
      <c r="D188" s="15">
        <f>+$L$4*(C188-C187)+(1-$L$4)*D187</f>
        <v>3.3870643377319047</v>
      </c>
      <c r="E188" s="15">
        <f>+$L$5*(B188/C188)+(1-$L$5)*E176</f>
        <v>1.0721402863287932</v>
      </c>
      <c r="F188" s="16">
        <f t="shared" si="4"/>
        <v>1737.5870836713214</v>
      </c>
      <c r="G188" s="16">
        <f>+B188-F188</f>
        <v>92.412916328678648</v>
      </c>
      <c r="H188" s="16">
        <f t="shared" si="5"/>
        <v>8540.1471043713609</v>
      </c>
    </row>
    <row r="189" spans="1:8" x14ac:dyDescent="0.2">
      <c r="A189" s="2">
        <v>42430</v>
      </c>
      <c r="B189" s="3">
        <v>1713</v>
      </c>
      <c r="C189" s="16">
        <f>+$L$3*(B189/E177)+(1-$L$3)*(C188+D188)</f>
        <v>1655.4066986522116</v>
      </c>
      <c r="D189" s="15">
        <f>+$L$4*(C189-C188)+(1-$L$4)*D188</f>
        <v>3.1992171689722455</v>
      </c>
      <c r="E189" s="15">
        <f>+$L$5*(B189/C189)+(1-$L$5)*E177</f>
        <v>1.0490058692000139</v>
      </c>
      <c r="F189" s="16">
        <f t="shared" si="4"/>
        <v>1776.9833367621393</v>
      </c>
      <c r="G189" s="16">
        <f>+B189-F189</f>
        <v>-63.983336762139288</v>
      </c>
      <c r="H189" s="16">
        <f t="shared" si="5"/>
        <v>4093.8673832173249</v>
      </c>
    </row>
    <row r="190" spans="1:8" x14ac:dyDescent="0.2">
      <c r="A190" s="2">
        <v>42461</v>
      </c>
      <c r="B190" s="3">
        <v>1668</v>
      </c>
      <c r="C190" s="16">
        <f>+$L$3*(B190/E178)+(1-$L$3)*(C189+D189)</f>
        <v>1655.3138347012723</v>
      </c>
      <c r="D190" s="15">
        <f>+$L$4*(C190-C189)+(1-$L$4)*D189</f>
        <v>3.1724999573796837</v>
      </c>
      <c r="E190" s="15">
        <f>+$L$5*(B190/C190)+(1-$L$5)*E178</f>
        <v>1.0095946003600549</v>
      </c>
      <c r="F190" s="16">
        <f t="shared" si="4"/>
        <v>1676.6898971363903</v>
      </c>
      <c r="G190" s="16">
        <f>+B190-F190</f>
        <v>-8.6898971363903001</v>
      </c>
      <c r="H190" s="16">
        <f t="shared" si="5"/>
        <v>75.514312241044337</v>
      </c>
    </row>
    <row r="191" spans="1:8" x14ac:dyDescent="0.2">
      <c r="A191" s="2">
        <v>42491</v>
      </c>
      <c r="B191" s="3">
        <v>1664</v>
      </c>
      <c r="C191" s="16">
        <f>+$L$3*(B191/E179)+(1-$L$3)*(C190+D190)</f>
        <v>1645.3729622608341</v>
      </c>
      <c r="D191" s="15">
        <f>+$L$4*(C191-C190)+(1-$L$4)*D190</f>
        <v>3.0660770800922701</v>
      </c>
      <c r="E191" s="15">
        <f>+$L$5*(B191/C191)+(1-$L$5)*E179</f>
        <v>1.019161765280155</v>
      </c>
      <c r="F191" s="16">
        <f t="shared" si="4"/>
        <v>1699.0792833130995</v>
      </c>
      <c r="G191" s="16">
        <f>+B191-F191</f>
        <v>-35.079283313099495</v>
      </c>
      <c r="H191" s="16">
        <f t="shared" si="5"/>
        <v>1230.5561177607008</v>
      </c>
    </row>
    <row r="192" spans="1:8" x14ac:dyDescent="0.2">
      <c r="A192" s="2">
        <v>42522</v>
      </c>
      <c r="B192" s="3">
        <v>1623</v>
      </c>
      <c r="C192" s="16">
        <f>+$L$3*(B192/E180)+(1-$L$3)*(C191+D191)</f>
        <v>1656.6521737505414</v>
      </c>
      <c r="D192" s="15">
        <f>+$L$4*(C192-C191)+(1-$L$4)*D191</f>
        <v>3.1327315888565401</v>
      </c>
      <c r="E192" s="15">
        <f>+$L$5*(B192/C192)+(1-$L$5)*E180</f>
        <v>0.97505937819184552</v>
      </c>
      <c r="F192" s="16">
        <f t="shared" si="4"/>
        <v>1602.1562679161489</v>
      </c>
      <c r="G192" s="16">
        <f>+B192-F192</f>
        <v>20.843732083851137</v>
      </c>
      <c r="H192" s="16">
        <f t="shared" si="5"/>
        <v>434.46116718336526</v>
      </c>
    </row>
    <row r="193" spans="1:8" x14ac:dyDescent="0.2">
      <c r="A193" s="2">
        <v>42552</v>
      </c>
      <c r="B193" s="3">
        <v>1634</v>
      </c>
      <c r="C193" s="16">
        <f>+$L$3*(B193/E181)+(1-$L$3)*(C192+D192)</f>
        <v>1642.7716667379736</v>
      </c>
      <c r="D193" s="15">
        <f>+$L$4*(C193-C192)+(1-$L$4)*D192</f>
        <v>2.9946589597102684</v>
      </c>
      <c r="E193" s="15">
        <f>+$L$5*(B193/C193)+(1-$L$5)*E181</f>
        <v>1.0047206505235797</v>
      </c>
      <c r="F193" s="16">
        <f t="shared" si="4"/>
        <v>1678.9370081737497</v>
      </c>
      <c r="G193" s="16">
        <f>+B193-F193</f>
        <v>-44.937008173749746</v>
      </c>
      <c r="H193" s="16">
        <f t="shared" si="5"/>
        <v>2019.3347036076514</v>
      </c>
    </row>
    <row r="194" spans="1:8" x14ac:dyDescent="0.2">
      <c r="A194" s="2">
        <v>42583</v>
      </c>
      <c r="B194" s="3">
        <v>1498</v>
      </c>
      <c r="C194" s="16">
        <f>+$L$3*(B194/E182)+(1-$L$3)*(C193+D193)</f>
        <v>1615.9696604020837</v>
      </c>
      <c r="D194" s="15">
        <f>+$L$4*(C194-C193)+(1-$L$4)*D193</f>
        <v>2.7528411604342042</v>
      </c>
      <c r="E194" s="15">
        <f>+$L$5*(B194/C194)+(1-$L$5)*E182</f>
        <v>0.94391466860637641</v>
      </c>
      <c r="F194" s="16">
        <f t="shared" si="4"/>
        <v>1572.3324483736205</v>
      </c>
      <c r="G194" s="16">
        <f>+B194-F194</f>
        <v>-74.332448373620537</v>
      </c>
      <c r="H194" s="16">
        <f t="shared" si="5"/>
        <v>5525.3128812169625</v>
      </c>
    </row>
    <row r="195" spans="1:8" x14ac:dyDescent="0.2">
      <c r="A195" s="2">
        <v>42614</v>
      </c>
      <c r="B195" s="3">
        <v>1529</v>
      </c>
      <c r="C195" s="16">
        <f>+$L$3*(B195/E183)+(1-$L$3)*(C194+D194)</f>
        <v>1621.9308454978211</v>
      </c>
      <c r="D195" s="15">
        <f>+$L$4*(C195-C194)+(1-$L$4)*D194</f>
        <v>2.7788787945808107</v>
      </c>
      <c r="E195" s="15">
        <f>+$L$5*(B195/C195)+(1-$L$5)*E183</f>
        <v>0.9409184970573401</v>
      </c>
      <c r="F195" s="16">
        <f t="shared" si="4"/>
        <v>1521.1275715306999</v>
      </c>
      <c r="G195" s="16">
        <f>+B195-F195</f>
        <v>7.8724284693000754</v>
      </c>
      <c r="H195" s="16">
        <f t="shared" si="5"/>
        <v>61.975130004246331</v>
      </c>
    </row>
    <row r="196" spans="1:8" x14ac:dyDescent="0.2">
      <c r="A196" s="2">
        <v>42644</v>
      </c>
      <c r="B196" s="3">
        <v>1710</v>
      </c>
      <c r="C196" s="16">
        <f>+$L$3*(B196/E184)+(1-$L$3)*(C195+D195)</f>
        <v>1614.4575307807277</v>
      </c>
      <c r="D196" s="15">
        <f>+$L$4*(C196-C195)+(1-$L$4)*D195</f>
        <v>2.6956760989720676</v>
      </c>
      <c r="E196" s="15">
        <f>+$L$5*(B196/C196)+(1-$L$5)*E184</f>
        <v>1.0657052004234795</v>
      </c>
      <c r="F196" s="16">
        <f t="shared" si="4"/>
        <v>1738.6475266648997</v>
      </c>
      <c r="G196" s="16">
        <f>+B196-F196</f>
        <v>-28.647526664899715</v>
      </c>
      <c r="H196" s="16">
        <f t="shared" si="5"/>
        <v>820.68078401614014</v>
      </c>
    </row>
    <row r="197" spans="1:8" x14ac:dyDescent="0.2">
      <c r="A197" s="2">
        <v>42675</v>
      </c>
      <c r="B197" s="3">
        <v>1657</v>
      </c>
      <c r="C197" s="16">
        <f>+$L$3*(B197/E185)+(1-$L$3)*(C196+D196)</f>
        <v>1624.0939804747952</v>
      </c>
      <c r="D197" s="15">
        <f>+$L$4*(C197-C196)+(1-$L$4)*D196</f>
        <v>2.7520046370614368</v>
      </c>
      <c r="E197" s="15">
        <f>+$L$5*(B197/C197)+(1-$L$5)*E185</f>
        <v>1.0161026005418008</v>
      </c>
      <c r="F197" s="16">
        <f t="shared" si="4"/>
        <v>1638.6357286233974</v>
      </c>
      <c r="G197" s="16">
        <f>+B197-F197</f>
        <v>18.364271376602574</v>
      </c>
      <c r="H197" s="16">
        <f t="shared" si="5"/>
        <v>337.24646319350461</v>
      </c>
    </row>
    <row r="198" spans="1:8" x14ac:dyDescent="0.2">
      <c r="A198" s="2">
        <v>42705</v>
      </c>
      <c r="B198" s="3">
        <v>1743</v>
      </c>
      <c r="C198" s="16">
        <f>+$L$3*(B198/E186)+(1-$L$3)*(C197+D197)</f>
        <v>1640.8607323622962</v>
      </c>
      <c r="D198" s="15">
        <f>+$L$4*(C198-C197)+(1-$L$4)*D197</f>
        <v>2.8657427115704652</v>
      </c>
      <c r="E198" s="15">
        <f>+$L$5*(B198/C198)+(1-$L$5)*E186</f>
        <v>1.0536529237932226</v>
      </c>
      <c r="F198" s="16">
        <f t="shared" si="4"/>
        <v>1704.6549002905649</v>
      </c>
      <c r="G198" s="16">
        <f>+B198-F198</f>
        <v>38.34509970943509</v>
      </c>
      <c r="H198" s="16">
        <f t="shared" si="5"/>
        <v>1470.3466717265189</v>
      </c>
    </row>
    <row r="199" spans="1:8" x14ac:dyDescent="0.2">
      <c r="A199" s="2">
        <v>42736</v>
      </c>
      <c r="B199" s="3">
        <v>1696</v>
      </c>
      <c r="C199" s="16">
        <f>+$L$3*(B199/E187)+(1-$L$3)*(C198+D198)</f>
        <v>1647.8307758045032</v>
      </c>
      <c r="D199" s="15">
        <f>+$L$4*(C199-C198)+(1-$L$4)*D198</f>
        <v>2.8990515721561572</v>
      </c>
      <c r="E199" s="15">
        <f>+$L$5*(B199/C199)+(1-$L$5)*E187</f>
        <v>1.0267799314266042</v>
      </c>
      <c r="F199" s="16">
        <f t="shared" si="4"/>
        <v>1685.0137960824482</v>
      </c>
      <c r="G199" s="16">
        <f>+B199-F199</f>
        <v>10.986203917551848</v>
      </c>
      <c r="H199" s="16">
        <f t="shared" si="5"/>
        <v>120.69667651803157</v>
      </c>
    </row>
    <row r="200" spans="1:8" x14ac:dyDescent="0.2">
      <c r="A200" s="2">
        <v>42767</v>
      </c>
      <c r="B200" s="3">
        <v>1885</v>
      </c>
      <c r="C200" s="16">
        <f>+$L$3*(B200/E188)+(1-$L$3)*(C199+D199)</f>
        <v>1691.8745085218579</v>
      </c>
      <c r="D200" s="15">
        <f>+$L$4*(C200-C199)+(1-$L$4)*D199</f>
        <v>3.232965322159465</v>
      </c>
      <c r="E200" s="15">
        <f>+$L$5*(B200/C200)+(1-$L$5)*E188</f>
        <v>1.0891101397360865</v>
      </c>
      <c r="F200" s="16">
        <f t="shared" si="4"/>
        <v>1769.813949775091</v>
      </c>
      <c r="G200" s="16">
        <f>+B200-F200</f>
        <v>115.18605022490897</v>
      </c>
      <c r="H200" s="16">
        <f t="shared" si="5"/>
        <v>13267.826166415251</v>
      </c>
    </row>
    <row r="201" spans="1:8" x14ac:dyDescent="0.2">
      <c r="A201" s="2">
        <v>42795</v>
      </c>
      <c r="B201" s="3">
        <v>1840</v>
      </c>
      <c r="C201" s="16">
        <f>+$L$3*(B201/E189)+(1-$L$3)*(C200+D200)</f>
        <v>1717.6775356006169</v>
      </c>
      <c r="D201" s="15">
        <f>+$L$4*(C201-C200)+(1-$L$4)*D200</f>
        <v>3.416134902022204</v>
      </c>
      <c r="E201" s="15">
        <f>+$L$5*(B201/C201)+(1-$L$5)*E189</f>
        <v>1.0579770570600615</v>
      </c>
      <c r="F201" s="16">
        <f t="shared" si="4"/>
        <v>1778.1776889871835</v>
      </c>
      <c r="G201" s="16">
        <f>+B201-F201</f>
        <v>61.822311012816499</v>
      </c>
      <c r="H201" s="16">
        <f t="shared" si="5"/>
        <v>3821.9981389654122</v>
      </c>
    </row>
    <row r="202" spans="1:8" x14ac:dyDescent="0.2">
      <c r="A202" s="2">
        <v>42826</v>
      </c>
      <c r="B202" s="3">
        <v>1674</v>
      </c>
      <c r="C202" s="16">
        <f>+$L$3*(B202/E190)+(1-$L$3)*(C201+D201)</f>
        <v>1696.9656062961908</v>
      </c>
      <c r="D202" s="15">
        <f>+$L$4*(C202-C201)+(1-$L$4)*D201</f>
        <v>3.2203211983975759</v>
      </c>
      <c r="E202" s="15">
        <f>+$L$5*(B202/C202)+(1-$L$5)*E190</f>
        <v>1.0002517933007167</v>
      </c>
      <c r="F202" s="16">
        <f t="shared" si="4"/>
        <v>1737.6068764533318</v>
      </c>
      <c r="G202" s="16">
        <f>+B202-F202</f>
        <v>-63.606876453331779</v>
      </c>
      <c r="H202" s="16">
        <f t="shared" si="5"/>
        <v>4045.8347321494125</v>
      </c>
    </row>
    <row r="203" spans="1:8" x14ac:dyDescent="0.2">
      <c r="A203" s="2">
        <v>42856</v>
      </c>
      <c r="B203" s="3">
        <v>1709</v>
      </c>
      <c r="C203" s="16">
        <f>+$L$3*(B203/E191)+(1-$L$3)*(C202+D202)</f>
        <v>1691.2559404796007</v>
      </c>
      <c r="D203" s="15">
        <f>+$L$4*(C203-C202)+(1-$L$4)*D202</f>
        <v>3.1478490010524918</v>
      </c>
      <c r="E203" s="15">
        <f>+$L$5*(B203/C203)+(1-$L$5)*E191</f>
        <v>1.0156593669585177</v>
      </c>
      <c r="F203" s="16">
        <f t="shared" si="4"/>
        <v>1732.7644911698624</v>
      </c>
      <c r="G203" s="16">
        <f>+B203-F203</f>
        <v>-23.764491169862367</v>
      </c>
      <c r="H203" s="16">
        <f t="shared" si="5"/>
        <v>564.75104056246641</v>
      </c>
    </row>
    <row r="204" spans="1:8" x14ac:dyDescent="0.2">
      <c r="A204" s="2">
        <v>42887</v>
      </c>
      <c r="B204" s="3">
        <v>1618</v>
      </c>
      <c r="C204" s="16">
        <f>+$L$3*(B204/E192)+(1-$L$3)*(C203+D203)</f>
        <v>1680.9930524030171</v>
      </c>
      <c r="D204" s="15">
        <f>+$L$4*(C204-C203)+(1-$L$4)*D203</f>
        <v>3.0390128311451594</v>
      </c>
      <c r="E204" s="15">
        <f>+$L$5*(B204/C204)+(1-$L$5)*E192</f>
        <v>0.96999648559157969</v>
      </c>
      <c r="F204" s="16">
        <f t="shared" si="4"/>
        <v>1652.1443053769124</v>
      </c>
      <c r="G204" s="16">
        <f>+B204-F204</f>
        <v>-34.144305376912371</v>
      </c>
      <c r="H204" s="16">
        <f t="shared" si="5"/>
        <v>1165.833589671847</v>
      </c>
    </row>
    <row r="205" spans="1:8" x14ac:dyDescent="0.2">
      <c r="A205" s="2">
        <v>42917</v>
      </c>
      <c r="B205" s="3">
        <v>1673</v>
      </c>
      <c r="C205" s="16">
        <f>+$L$3*(B205/E193)+(1-$L$3)*(C204+D204)</f>
        <v>1676.7967524031126</v>
      </c>
      <c r="D205" s="15">
        <f>+$L$4*(C205-C204)+(1-$L$4)*D204</f>
        <v>2.9802939306064249</v>
      </c>
      <c r="E205" s="15">
        <f>+$L$5*(B205/C205)+(1-$L$5)*E193</f>
        <v>1.0018990005450301</v>
      </c>
      <c r="F205" s="16">
        <f t="shared" si="4"/>
        <v>1691.9817920846349</v>
      </c>
      <c r="G205" s="16">
        <f>+B205-F205</f>
        <v>-18.98179208463489</v>
      </c>
      <c r="H205" s="16">
        <f t="shared" si="5"/>
        <v>360.30843074430777</v>
      </c>
    </row>
    <row r="206" spans="1:8" x14ac:dyDescent="0.2">
      <c r="A206" s="2">
        <v>42948</v>
      </c>
      <c r="B206" s="3">
        <v>1591</v>
      </c>
      <c r="C206" s="16">
        <f>+$L$3*(B206/E194)+(1-$L$3)*(C205+D205)</f>
        <v>1681.9816819634436</v>
      </c>
      <c r="D206" s="15">
        <f>+$L$4*(C206-C205)+(1-$L$4)*D205</f>
        <v>2.9981858702210342</v>
      </c>
      <c r="E206" s="15">
        <f>+$L$5*(B206/C206)+(1-$L$5)*E194</f>
        <v>0.94471991579411263</v>
      </c>
      <c r="F206" s="16">
        <f t="shared" si="4"/>
        <v>1585.5661940226901</v>
      </c>
      <c r="G206" s="16">
        <f>+B206-F206</f>
        <v>5.4338059773099303</v>
      </c>
      <c r="H206" s="16">
        <f t="shared" si="5"/>
        <v>29.526247399049126</v>
      </c>
    </row>
    <row r="207" spans="1:8" x14ac:dyDescent="0.2">
      <c r="A207" s="2">
        <v>42979</v>
      </c>
      <c r="B207" s="3">
        <v>1521</v>
      </c>
      <c r="C207" s="16">
        <f>+$L$3*(B207/E195)+(1-$L$3)*(C206+D206)</f>
        <v>1658.7562287267338</v>
      </c>
      <c r="D207" s="15">
        <f>+$L$4*(C207-C206)+(1-$L$4)*D206</f>
        <v>2.7853653201716253</v>
      </c>
      <c r="E207" s="15">
        <f>+$L$5*(B207/C207)+(1-$L$5)*E195</f>
        <v>0.93123698210828976</v>
      </c>
      <c r="F207" s="16">
        <f t="shared" ref="F207:F270" si="6">+(C206+D206)*E195</f>
        <v>1585.4287248139274</v>
      </c>
      <c r="G207" s="16">
        <f>+B207-F207</f>
        <v>-64.428724813927374</v>
      </c>
      <c r="H207" s="16">
        <f t="shared" ref="H207:H270" si="7">+G207^2</f>
        <v>4151.0605811487812</v>
      </c>
    </row>
    <row r="208" spans="1:8" x14ac:dyDescent="0.2">
      <c r="A208" s="2">
        <v>43009</v>
      </c>
      <c r="B208" s="3">
        <v>1764</v>
      </c>
      <c r="C208" s="16">
        <f>+$L$3*(B208/E196)+(1-$L$3)*(C207+D207)</f>
        <v>1659.1290321200152</v>
      </c>
      <c r="D208" s="15">
        <f>+$L$4*(C208-C207)+(1-$L$4)*D207</f>
        <v>2.7657859340225333</v>
      </c>
      <c r="E208" s="15">
        <f>+$L$5*(B208/C208)+(1-$L$5)*E196</f>
        <v>1.0646966065786334</v>
      </c>
      <c r="F208" s="16">
        <f t="shared" si="6"/>
        <v>1770.713517495705</v>
      </c>
      <c r="G208" s="16">
        <f>+B208-F208</f>
        <v>-6.7135174957049912</v>
      </c>
      <c r="H208" s="16">
        <f t="shared" si="7"/>
        <v>45.071317165137017</v>
      </c>
    </row>
    <row r="209" spans="1:8" x14ac:dyDescent="0.2">
      <c r="A209" s="2">
        <v>43040</v>
      </c>
      <c r="B209" s="3">
        <v>1665</v>
      </c>
      <c r="C209" s="16">
        <f>+$L$3*(B209/E197)+(1-$L$3)*(C208+D208)</f>
        <v>1652.9789693998118</v>
      </c>
      <c r="D209" s="15">
        <f>+$L$4*(C209-C208)+(1-$L$4)*D208</f>
        <v>2.693428477949698</v>
      </c>
      <c r="E209" s="15">
        <f>+$L$5*(B209/C209)+(1-$L$5)*E197</f>
        <v>1.0125355123743984</v>
      </c>
      <c r="F209" s="16">
        <f t="shared" si="6"/>
        <v>1688.6556464516505</v>
      </c>
      <c r="G209" s="16">
        <f>+B209-F209</f>
        <v>-23.655646451650455</v>
      </c>
      <c r="H209" s="16">
        <f t="shared" si="7"/>
        <v>559.5896090454828</v>
      </c>
    </row>
    <row r="210" spans="1:8" x14ac:dyDescent="0.2">
      <c r="A210" s="2">
        <v>43070</v>
      </c>
      <c r="B210" s="3">
        <v>1750</v>
      </c>
      <c r="C210" s="16">
        <f>+$L$3*(B210/E198)+(1-$L$3)*(C209+D209)</f>
        <v>1657.6700028459022</v>
      </c>
      <c r="D210" s="15">
        <f>+$L$4*(C210-C209)+(1-$L$4)*D209</f>
        <v>2.7096402396494224</v>
      </c>
      <c r="E210" s="15">
        <f>+$L$5*(B210/C210)+(1-$L$5)*E198</f>
        <v>1.0544793232612031</v>
      </c>
      <c r="F210" s="16">
        <f t="shared" si="6"/>
        <v>1744.5040628676393</v>
      </c>
      <c r="G210" s="16">
        <f>+B210-F210</f>
        <v>5.4959371323607229</v>
      </c>
      <c r="H210" s="16">
        <f t="shared" si="7"/>
        <v>30.205324962861408</v>
      </c>
    </row>
    <row r="211" spans="1:8" x14ac:dyDescent="0.2">
      <c r="A211" s="2">
        <v>43101</v>
      </c>
      <c r="B211" s="3">
        <v>1728</v>
      </c>
      <c r="C211" s="16">
        <f>+$L$3*(B211/E199)+(1-$L$3)*(C210+D210)</f>
        <v>1669.0162329263899</v>
      </c>
      <c r="D211" s="15">
        <f>+$L$4*(C211-C210)+(1-$L$4)*D210</f>
        <v>2.7797313430612496</v>
      </c>
      <c r="E211" s="15">
        <f>+$L$5*(B211/C211)+(1-$L$5)*E199</f>
        <v>1.0302380511710698</v>
      </c>
      <c r="F211" s="16">
        <f t="shared" si="6"/>
        <v>1704.8444960695122</v>
      </c>
      <c r="G211" s="16">
        <f>+B211-F211</f>
        <v>23.155503930487839</v>
      </c>
      <c r="H211" s="16">
        <f t="shared" si="7"/>
        <v>536.17736227483772</v>
      </c>
    </row>
    <row r="212" spans="1:8" x14ac:dyDescent="0.2">
      <c r="A212" s="2">
        <v>43132</v>
      </c>
      <c r="B212" s="3">
        <v>1783</v>
      </c>
      <c r="C212" s="16">
        <f>+$L$3*(B212/E200)+(1-$L$3)*(C211+D211)</f>
        <v>1658.5146858713945</v>
      </c>
      <c r="D212" s="15">
        <f>+$L$4*(C212-C211)+(1-$L$4)*D211</f>
        <v>2.6719458079374574</v>
      </c>
      <c r="E212" s="15">
        <f>+$L$5*(B212/C212)+(1-$L$5)*E200</f>
        <v>1.0834337359419979</v>
      </c>
      <c r="F212" s="16">
        <f t="shared" si="6"/>
        <v>1820.7699362557273</v>
      </c>
      <c r="G212" s="16">
        <f>+B212-F212</f>
        <v>-37.769936255727316</v>
      </c>
      <c r="H212" s="16">
        <f t="shared" si="7"/>
        <v>1426.5680847617048</v>
      </c>
    </row>
    <row r="213" spans="1:8" x14ac:dyDescent="0.2">
      <c r="A213" s="2">
        <v>43160</v>
      </c>
      <c r="B213" s="3">
        <v>1679</v>
      </c>
      <c r="C213" s="16">
        <f>+$L$3*(B213/E201)+(1-$L$3)*(C212+D212)</f>
        <v>1632.7718619187467</v>
      </c>
      <c r="D213" s="15">
        <f>+$L$4*(C213-C212)+(1-$L$4)*D212</f>
        <v>2.4413429192492599</v>
      </c>
      <c r="E213" s="15">
        <f>+$L$5*(B213/C213)+(1-$L$5)*E201</f>
        <v>1.0459937743537286</v>
      </c>
      <c r="F213" s="16">
        <f t="shared" si="6"/>
        <v>1757.4973438116158</v>
      </c>
      <c r="G213" s="16">
        <f>+B213-F213</f>
        <v>-78.497343811615792</v>
      </c>
      <c r="H213" s="16">
        <f t="shared" si="7"/>
        <v>6161.8329854790163</v>
      </c>
    </row>
    <row r="214" spans="1:8" x14ac:dyDescent="0.2">
      <c r="A214" s="2">
        <v>43191</v>
      </c>
      <c r="B214" s="3">
        <v>1605</v>
      </c>
      <c r="C214" s="16">
        <f>+$L$3*(B214/E202)+(1-$L$3)*(C213+D213)</f>
        <v>1623.487705519992</v>
      </c>
      <c r="D214" s="15">
        <f>+$L$4*(C214-C213)+(1-$L$4)*D213</f>
        <v>2.3461834639087527</v>
      </c>
      <c r="E214" s="15">
        <f>+$L$5*(B214/C214)+(1-$L$5)*E202</f>
        <v>0.99554990181676661</v>
      </c>
      <c r="F214" s="16">
        <f t="shared" si="6"/>
        <v>1635.6249405682177</v>
      </c>
      <c r="G214" s="16">
        <f>+B214-F214</f>
        <v>-30.624940568217653</v>
      </c>
      <c r="H214" s="16">
        <f t="shared" si="7"/>
        <v>937.88698480686344</v>
      </c>
    </row>
    <row r="215" spans="1:8" x14ac:dyDescent="0.2">
      <c r="A215" s="2">
        <v>43221</v>
      </c>
      <c r="B215" s="3">
        <v>1694</v>
      </c>
      <c r="C215" s="16">
        <f>+$L$3*(B215/E203)+(1-$L$3)*(C214+D214)</f>
        <v>1641.93708803406</v>
      </c>
      <c r="D215" s="15">
        <f>+$L$4*(C215-C214)+(1-$L$4)*D214</f>
        <v>2.4768705766102168</v>
      </c>
      <c r="E215" s="15">
        <f>+$L$5*(B215/C215)+(1-$L$5)*E203</f>
        <v>1.0221424957318246</v>
      </c>
      <c r="F215" s="16">
        <f t="shared" si="6"/>
        <v>1651.2934184650935</v>
      </c>
      <c r="G215" s="16">
        <f>+B215-F215</f>
        <v>42.706581534906491</v>
      </c>
      <c r="H215" s="16">
        <f t="shared" si="7"/>
        <v>1823.8521063976161</v>
      </c>
    </row>
    <row r="216" spans="1:8" x14ac:dyDescent="0.2">
      <c r="A216" s="2">
        <v>43252</v>
      </c>
      <c r="B216" s="3">
        <v>1560</v>
      </c>
      <c r="C216" s="16">
        <f>+$L$3*(B216/E204)+(1-$L$3)*(C215+D215)</f>
        <v>1630.5654703336691</v>
      </c>
      <c r="D216" s="15">
        <f>+$L$4*(C216-C215)+(1-$L$4)*D215</f>
        <v>2.3644817933278377</v>
      </c>
      <c r="E216" s="15">
        <f>+$L$5*(B216/C216)+(1-$L$5)*E204</f>
        <v>0.96463462882106399</v>
      </c>
      <c r="F216" s="16">
        <f t="shared" si="6"/>
        <v>1595.0757607100875</v>
      </c>
      <c r="G216" s="16">
        <f>+B216-F216</f>
        <v>-35.075760710087479</v>
      </c>
      <c r="H216" s="16">
        <f t="shared" si="7"/>
        <v>1230.3089893913166</v>
      </c>
    </row>
    <row r="217" spans="1:8" x14ac:dyDescent="0.2">
      <c r="A217" s="2">
        <v>43282</v>
      </c>
      <c r="B217" s="3">
        <v>1629</v>
      </c>
      <c r="C217" s="16">
        <f>+$L$3*(B217/E205)+(1-$L$3)*(C216+D216)</f>
        <v>1630.2424327494421</v>
      </c>
      <c r="D217" s="15">
        <f>+$L$4*(C217-C216)+(1-$L$4)*D216</f>
        <v>2.3426709626545126</v>
      </c>
      <c r="E217" s="15">
        <f>+$L$5*(B217/C217)+(1-$L$5)*E205</f>
        <v>1.0008240109118645</v>
      </c>
      <c r="F217" s="16">
        <f t="shared" si="6"/>
        <v>1636.030886996082</v>
      </c>
      <c r="G217" s="16">
        <f>+B217-F217</f>
        <v>-7.0308869960820175</v>
      </c>
      <c r="H217" s="16">
        <f t="shared" si="7"/>
        <v>49.433371951675213</v>
      </c>
    </row>
    <row r="218" spans="1:8" x14ac:dyDescent="0.2">
      <c r="A218" s="2">
        <v>43313</v>
      </c>
      <c r="B218" s="4">
        <v>1546</v>
      </c>
      <c r="C218" s="16">
        <f>+$L$3*(B218/E206)+(1-$L$3)*(C217+D217)</f>
        <v>1634.0705533088385</v>
      </c>
      <c r="D218" s="15">
        <f>+$L$4*(C218-C217)+(1-$L$4)*D217</f>
        <v>2.3547262765245747</v>
      </c>
      <c r="E218" s="15">
        <f>+$L$5*(B218/C218)+(1-$L$5)*E206</f>
        <v>0.94527886341070433</v>
      </c>
      <c r="F218" s="16">
        <f t="shared" si="6"/>
        <v>1542.3356617056145</v>
      </c>
      <c r="G218" s="16">
        <f>+B218-F218</f>
        <v>3.6643382943855158</v>
      </c>
      <c r="H218" s="16">
        <f t="shared" si="7"/>
        <v>13.427375135700151</v>
      </c>
    </row>
    <row r="219" spans="1:8" x14ac:dyDescent="0.2">
      <c r="A219" s="2">
        <v>43344</v>
      </c>
      <c r="B219" s="4">
        <v>1574</v>
      </c>
      <c r="C219" s="16">
        <f>+$L$3*(B219/E207)+(1-$L$3)*(C218+D218)</f>
        <v>1657.0289789895573</v>
      </c>
      <c r="D219" s="15">
        <f>+$L$4*(C219-C218)+(1-$L$4)*D218</f>
        <v>2.5219376472414017</v>
      </c>
      <c r="E219" s="15">
        <f>+$L$5*(B219/C219)+(1-$L$5)*E207</f>
        <v>0.93877324843331911</v>
      </c>
      <c r="F219" s="16">
        <f t="shared" si="6"/>
        <v>1523.8997388067878</v>
      </c>
      <c r="G219" s="16">
        <f>+B219-F219</f>
        <v>50.100261193212191</v>
      </c>
      <c r="H219" s="16">
        <f t="shared" si="7"/>
        <v>2510.0361716280836</v>
      </c>
    </row>
    <row r="220" spans="1:8" x14ac:dyDescent="0.2">
      <c r="A220" s="2">
        <v>43374</v>
      </c>
      <c r="B220" s="4">
        <v>1737</v>
      </c>
      <c r="C220" s="16">
        <f>+$L$3*(B220/E208)+(1-$L$3)*(C219+D219)</f>
        <v>1648.7893512783048</v>
      </c>
      <c r="D220" s="15">
        <f>+$L$4*(C220-C219)+(1-$L$4)*D219</f>
        <v>2.434601093773427</v>
      </c>
      <c r="E220" s="15">
        <f>+$L$5*(B220/C220)+(1-$L$5)*E208</f>
        <v>1.0601737057526448</v>
      </c>
      <c r="F220" s="16">
        <f t="shared" si="6"/>
        <v>1766.9182293876602</v>
      </c>
      <c r="G220" s="16">
        <f>+B220-F220</f>
        <v>-29.918229387660176</v>
      </c>
      <c r="H220" s="16">
        <f t="shared" si="7"/>
        <v>895.100449692653</v>
      </c>
    </row>
    <row r="221" spans="1:8" x14ac:dyDescent="0.2">
      <c r="A221" s="2">
        <v>43405</v>
      </c>
      <c r="B221" s="4">
        <v>1659</v>
      </c>
      <c r="C221" s="16">
        <f>+$L$3*(B221/E209)+(1-$L$3)*(C220+D220)</f>
        <v>1646.3361365192591</v>
      </c>
      <c r="D221" s="15">
        <f>+$L$4*(C221-C220)+(1-$L$4)*D220</f>
        <v>2.3949335383248673</v>
      </c>
      <c r="E221" s="15">
        <f>+$L$5*(B221/C221)+(1-$L$5)*E209</f>
        <v>1.0105789778751237</v>
      </c>
      <c r="F221" s="16">
        <f t="shared" si="6"/>
        <v>1671.9228906599415</v>
      </c>
      <c r="G221" s="16">
        <f>+B221-F221</f>
        <v>-12.922890659941459</v>
      </c>
      <c r="H221" s="16">
        <f t="shared" si="7"/>
        <v>167.00110300880218</v>
      </c>
    </row>
    <row r="222" spans="1:8" x14ac:dyDescent="0.2">
      <c r="A222" s="2">
        <v>43435</v>
      </c>
      <c r="B222" s="4">
        <v>1691</v>
      </c>
      <c r="C222" s="16">
        <f>+$L$3*(B222/E210)+(1-$L$3)*(C221+D221)</f>
        <v>1631.4606195820825</v>
      </c>
      <c r="D222" s="15">
        <f>+$L$4*(C222-C221)+(1-$L$4)*D221</f>
        <v>2.2547734806452353</v>
      </c>
      <c r="E222" s="15">
        <f>+$L$5*(B222/C222)+(1-$L$5)*E210</f>
        <v>1.0472141485897195</v>
      </c>
      <c r="F222" s="16">
        <f t="shared" si="6"/>
        <v>1738.5528229940403</v>
      </c>
      <c r="G222" s="16">
        <f>+B222-F222</f>
        <v>-47.552822994040298</v>
      </c>
      <c r="H222" s="16">
        <f t="shared" si="7"/>
        <v>2261.2709747025278</v>
      </c>
    </row>
    <row r="223" spans="1:8" x14ac:dyDescent="0.2">
      <c r="A223" s="2">
        <v>43466</v>
      </c>
      <c r="B223" s="4">
        <v>1681</v>
      </c>
      <c r="C223" s="16">
        <f>+$L$3*(B223/E211)+(1-$L$3)*(C222+D222)</f>
        <v>1632.9289001678562</v>
      </c>
      <c r="D223" s="15">
        <f>+$L$4*(C223-C222)+(1-$L$4)*D222</f>
        <v>2.2483906193720924</v>
      </c>
      <c r="E223" s="15">
        <f>+$L$5*(B223/C223)+(1-$L$5)*E211</f>
        <v>1.0299150931793384</v>
      </c>
      <c r="F223" s="16">
        <f t="shared" si="6"/>
        <v>1683.1157627171231</v>
      </c>
      <c r="G223" s="16">
        <f>+B223-F223</f>
        <v>-2.1157627171230615</v>
      </c>
      <c r="H223" s="16">
        <f t="shared" si="7"/>
        <v>4.4764518751679603</v>
      </c>
    </row>
    <row r="224" spans="1:8" x14ac:dyDescent="0.2">
      <c r="A224" s="2">
        <v>43497</v>
      </c>
      <c r="B224" s="4">
        <v>1788</v>
      </c>
      <c r="C224" s="16">
        <f>+$L$3*(B224/E212)+(1-$L$3)*(C223+D223)</f>
        <v>1640.9721330580746</v>
      </c>
      <c r="D224" s="15">
        <f>+$L$4*(C224-C223)+(1-$L$4)*D223</f>
        <v>2.295419237883134</v>
      </c>
      <c r="E224" s="15">
        <f>+$L$5*(B224/C224)+(1-$L$5)*E212</f>
        <v>1.0859238755111527</v>
      </c>
      <c r="F224" s="16">
        <f t="shared" si="6"/>
        <v>1771.6062410851214</v>
      </c>
      <c r="G224" s="16">
        <f>+B224-F224</f>
        <v>16.393758914878617</v>
      </c>
      <c r="H224" s="16">
        <f t="shared" si="7"/>
        <v>268.75533135916214</v>
      </c>
    </row>
    <row r="225" spans="1:8" x14ac:dyDescent="0.2">
      <c r="A225" s="2">
        <v>43525</v>
      </c>
      <c r="B225" s="4">
        <v>1746</v>
      </c>
      <c r="C225" s="16">
        <f>+$L$3*(B225/E213)+(1-$L$3)*(C224+D224)</f>
        <v>1653.2088730053863</v>
      </c>
      <c r="D225" s="15">
        <f>+$L$4*(C225-C224)+(1-$L$4)*D224</f>
        <v>2.3760990143615621</v>
      </c>
      <c r="E225" s="15">
        <f>+$L$5*(B225/C225)+(1-$L$5)*E213</f>
        <v>1.0500875720569032</v>
      </c>
      <c r="F225" s="16">
        <f t="shared" si="6"/>
        <v>1718.847629299062</v>
      </c>
      <c r="G225" s="16">
        <f>+B225-F225</f>
        <v>27.152370700938036</v>
      </c>
      <c r="H225" s="16">
        <f t="shared" si="7"/>
        <v>737.25123468115828</v>
      </c>
    </row>
    <row r="226" spans="1:8" x14ac:dyDescent="0.2">
      <c r="A226" s="2">
        <v>43556</v>
      </c>
      <c r="B226" s="4">
        <v>1672</v>
      </c>
      <c r="C226" s="16">
        <f>+$L$3*(B226/E214)+(1-$L$3)*(C225+D225)</f>
        <v>1664.7336996576375</v>
      </c>
      <c r="D226" s="15">
        <f>+$L$4*(C226-C225)+(1-$L$4)*D225</f>
        <v>2.4503464229766885</v>
      </c>
      <c r="E226" s="15">
        <f>+$L$5*(B226/C226)+(1-$L$5)*E214</f>
        <v>0.999110802678429</v>
      </c>
      <c r="F226" s="16">
        <f t="shared" si="6"/>
        <v>1648.2174563435744</v>
      </c>
      <c r="G226" s="16">
        <f>+B226-F226</f>
        <v>23.78254365642556</v>
      </c>
      <c r="H226" s="16">
        <f t="shared" si="7"/>
        <v>565.60938276978766</v>
      </c>
    </row>
    <row r="227" spans="1:8" x14ac:dyDescent="0.2">
      <c r="A227" s="2">
        <v>43586</v>
      </c>
      <c r="B227" s="4">
        <v>1751</v>
      </c>
      <c r="C227" s="16">
        <f>+$L$3*(B227/E215)+(1-$L$3)*(C226+D226)</f>
        <v>1684.7564007681149</v>
      </c>
      <c r="D227" s="15">
        <f>+$L$4*(C227-C226)+(1-$L$4)*D226</f>
        <v>2.5929566143009266</v>
      </c>
      <c r="E227" s="15">
        <f>+$L$5*(B227/C227)+(1-$L$5)*E215</f>
        <v>1.029081309180488</v>
      </c>
      <c r="F227" s="16">
        <f t="shared" si="6"/>
        <v>1704.0996617051203</v>
      </c>
      <c r="G227" s="16">
        <f>+B227-F227</f>
        <v>46.900338294879703</v>
      </c>
      <c r="H227" s="16">
        <f t="shared" si="7"/>
        <v>2199.6417321741596</v>
      </c>
    </row>
    <row r="228" spans="1:8" x14ac:dyDescent="0.2">
      <c r="A228" s="2">
        <v>43617</v>
      </c>
      <c r="B228" s="4">
        <v>1646</v>
      </c>
      <c r="C228" s="16">
        <f>+$L$3*(B228/E216)+(1-$L$3)*(C227+D227)</f>
        <v>1694.6243380902808</v>
      </c>
      <c r="D228" s="15">
        <f>+$L$4*(C228-C227)+(1-$L$4)*D227</f>
        <v>2.6519974434373168</v>
      </c>
      <c r="E228" s="15">
        <f>+$L$5*(B228/C228)+(1-$L$5)*E216</f>
        <v>0.96732989819378501</v>
      </c>
      <c r="F228" s="16">
        <f t="shared" si="6"/>
        <v>1627.6756210500475</v>
      </c>
      <c r="G228" s="16">
        <f>+B228-F228</f>
        <v>18.324378949952461</v>
      </c>
      <c r="H228" s="16">
        <f t="shared" si="7"/>
        <v>335.78286390146087</v>
      </c>
    </row>
    <row r="229" spans="1:8" x14ac:dyDescent="0.2">
      <c r="A229" s="2">
        <v>43647</v>
      </c>
      <c r="B229" s="4">
        <v>1714</v>
      </c>
      <c r="C229" s="16">
        <f>+$L$3*(B229/E217)+(1-$L$3)*(C228+D228)</f>
        <v>1703.1405622810485</v>
      </c>
      <c r="D229" s="15">
        <f>+$L$4*(C229-C228)+(1-$L$4)*D228</f>
        <v>2.6995891585647351</v>
      </c>
      <c r="E229" s="15">
        <f>+$L$5*(B229/C229)+(1-$L$5)*E217</f>
        <v>1.0030668540449481</v>
      </c>
      <c r="F229" s="16">
        <f t="shared" si="6"/>
        <v>1698.6749097546472</v>
      </c>
      <c r="G229" s="16">
        <f>+B229-F229</f>
        <v>15.32509024535284</v>
      </c>
      <c r="H229" s="16">
        <f t="shared" si="7"/>
        <v>234.85839102820876</v>
      </c>
    </row>
    <row r="230" spans="1:8" x14ac:dyDescent="0.2">
      <c r="A230" s="2">
        <v>43678</v>
      </c>
      <c r="B230" s="4">
        <v>1557</v>
      </c>
      <c r="C230" s="16">
        <f>+$L$3*(B230/E218)+(1-$L$3)*(C229+D229)</f>
        <v>1683.3570346023535</v>
      </c>
      <c r="D230" s="15">
        <f>+$L$4*(C230-C229)+(1-$L$4)*D229</f>
        <v>2.517125188838043</v>
      </c>
      <c r="E230" s="15">
        <f>+$L$5*(B230/C230)+(1-$L$5)*E218</f>
        <v>0.93706171468219779</v>
      </c>
      <c r="F230" s="16">
        <f t="shared" si="6"/>
        <v>1612.4946395131813</v>
      </c>
      <c r="G230" s="16">
        <f>+B230-F230</f>
        <v>-55.494639513181255</v>
      </c>
      <c r="H230" s="16">
        <f t="shared" si="7"/>
        <v>3079.6550146979384</v>
      </c>
    </row>
    <row r="231" spans="1:8" x14ac:dyDescent="0.2">
      <c r="A231" s="2">
        <v>43709</v>
      </c>
      <c r="B231" s="4">
        <v>1617</v>
      </c>
      <c r="C231" s="16">
        <f>+$L$3*(B231/E219)+(1-$L$3)*(C230+D230)</f>
        <v>1699.8857180078123</v>
      </c>
      <c r="D231" s="15">
        <f>+$L$4*(C231-C230)+(1-$L$4)*D230</f>
        <v>2.6308373824260958</v>
      </c>
      <c r="E231" s="15">
        <f>+$L$5*(B231/C231)+(1-$L$5)*E219</f>
        <v>0.94380951068880026</v>
      </c>
      <c r="F231" s="16">
        <f t="shared" si="6"/>
        <v>1582.6535614369693</v>
      </c>
      <c r="G231" s="16">
        <f>+B231-F231</f>
        <v>34.346438563030688</v>
      </c>
      <c r="H231" s="16">
        <f t="shared" si="7"/>
        <v>1179.6778419640416</v>
      </c>
    </row>
    <row r="232" spans="1:8" x14ac:dyDescent="0.2">
      <c r="A232" s="2">
        <v>43739</v>
      </c>
      <c r="B232" s="4">
        <v>1826</v>
      </c>
      <c r="C232" s="16">
        <f>+$L$3*(B232/E220)+(1-$L$3)*(C231+D231)</f>
        <v>1710.1157280355133</v>
      </c>
      <c r="D232" s="15">
        <f>+$L$4*(C232-C231)+(1-$L$4)*D231</f>
        <v>2.6925092234582721</v>
      </c>
      <c r="E232" s="15">
        <f>+$L$5*(B232/C232)+(1-$L$5)*E220</f>
        <v>1.0632398936156977</v>
      </c>
      <c r="F232" s="16">
        <f t="shared" si="6"/>
        <v>1804.9632856332971</v>
      </c>
      <c r="G232" s="16">
        <f>+B232-F232</f>
        <v>21.036714366702881</v>
      </c>
      <c r="H232" s="16">
        <f t="shared" si="7"/>
        <v>442.54335134624341</v>
      </c>
    </row>
    <row r="233" spans="1:8" x14ac:dyDescent="0.2">
      <c r="A233" s="2">
        <v>43770</v>
      </c>
      <c r="B233" s="4">
        <v>1758</v>
      </c>
      <c r="C233" s="16">
        <f>+$L$3*(B233/E221)+(1-$L$3)*(C232+D232)</f>
        <v>1723.0674857309214</v>
      </c>
      <c r="D233" s="15">
        <f>+$L$4*(C233-C232)+(1-$L$4)*D232</f>
        <v>2.7757691742984609</v>
      </c>
      <c r="E233" s="15">
        <f>+$L$5*(B233/C233)+(1-$L$5)*E221</f>
        <v>1.0144951740786563</v>
      </c>
      <c r="F233" s="16">
        <f t="shared" si="6"/>
        <v>1730.9279977052638</v>
      </c>
      <c r="G233" s="16">
        <f>+B233-F233</f>
        <v>27.072002294736194</v>
      </c>
      <c r="H233" s="16">
        <f t="shared" si="7"/>
        <v>732.89330824620174</v>
      </c>
    </row>
    <row r="234" spans="1:8" x14ac:dyDescent="0.2">
      <c r="A234" s="2">
        <v>43800</v>
      </c>
      <c r="B234" s="4">
        <v>1756</v>
      </c>
      <c r="C234" s="16">
        <f>+$L$3*(B234/E222)+(1-$L$3)*(C233+D233)</f>
        <v>1707.0725826414314</v>
      </c>
      <c r="D234" s="15">
        <f>+$L$4*(C234-C233)+(1-$L$4)*D233</f>
        <v>2.6234339175597876</v>
      </c>
      <c r="E234" s="15">
        <f>+$L$5*(B234/C234)+(1-$L$5)*E222</f>
        <v>1.0397196210053576</v>
      </c>
      <c r="F234" s="16">
        <f t="shared" si="6"/>
        <v>1807.32747478488</v>
      </c>
      <c r="G234" s="16">
        <f>+B234-F234</f>
        <v>-51.327474784879996</v>
      </c>
      <c r="H234" s="16">
        <f t="shared" si="7"/>
        <v>2634.5096677924917</v>
      </c>
    </row>
    <row r="235" spans="1:8" x14ac:dyDescent="0.2">
      <c r="A235" s="2">
        <v>43831</v>
      </c>
      <c r="B235" s="4">
        <v>1725</v>
      </c>
      <c r="C235" s="16">
        <f>+$L$3*(B235/E223)+(1-$L$3)*(C234+D234)</f>
        <v>1696.3683843989695</v>
      </c>
      <c r="D235" s="15">
        <f>+$L$4*(C235-C234)+(1-$L$4)*D234</f>
        <v>2.5152721938727671</v>
      </c>
      <c r="E235" s="15">
        <f>+$L$5*(B235/C235)+(1-$L$5)*E223</f>
        <v>1.0246486770516199</v>
      </c>
      <c r="F235" s="16">
        <f t="shared" si="6"/>
        <v>1760.8417322026971</v>
      </c>
      <c r="G235" s="16">
        <f>+B235-F235</f>
        <v>-35.841732202697131</v>
      </c>
      <c r="H235" s="16">
        <f t="shared" si="7"/>
        <v>1284.6297672898565</v>
      </c>
    </row>
    <row r="236" spans="1:8" x14ac:dyDescent="0.2">
      <c r="A236" s="2">
        <v>43862</v>
      </c>
      <c r="B236" s="4">
        <v>1835</v>
      </c>
      <c r="C236" s="16">
        <f>+$L$3*(B236/E224)+(1-$L$3)*(C235+D235)</f>
        <v>1695.4069410946736</v>
      </c>
      <c r="D236" s="15">
        <f>+$L$4*(C236-C235)+(1-$L$4)*D235</f>
        <v>2.4870565636290607</v>
      </c>
      <c r="E236" s="15">
        <f>+$L$5*(B236/C236)+(1-$L$5)*E224</f>
        <v>1.0844745180856394</v>
      </c>
      <c r="F236" s="16">
        <f t="shared" si="6"/>
        <v>1844.8583244098575</v>
      </c>
      <c r="G236" s="16">
        <f>+B236-F236</f>
        <v>-9.8583244098574596</v>
      </c>
      <c r="H236" s="16">
        <f t="shared" si="7"/>
        <v>97.186560169991424</v>
      </c>
    </row>
    <row r="237" spans="1:8" x14ac:dyDescent="0.2">
      <c r="A237" s="2">
        <v>43891</v>
      </c>
      <c r="B237" s="4">
        <v>1724</v>
      </c>
      <c r="C237" s="16">
        <f>+$L$3*(B237/E225)+(1-$L$3)*(C236+D236)</f>
        <v>1676.399327829804</v>
      </c>
      <c r="D237" s="15">
        <f>+$L$4*(C237-C236)+(1-$L$4)*D236</f>
        <v>2.312614433862926</v>
      </c>
      <c r="E237" s="15">
        <f>+$L$5*(B237/C237)+(1-$L$5)*E225</f>
        <v>1.0413244322510367</v>
      </c>
      <c r="F237" s="16">
        <f t="shared" si="6"/>
        <v>1782.9373856109962</v>
      </c>
      <c r="G237" s="16">
        <f>+B237-F237</f>
        <v>-58.937385610996216</v>
      </c>
      <c r="H237" s="16">
        <f t="shared" si="7"/>
        <v>3473.6154226592639</v>
      </c>
    </row>
    <row r="238" spans="1:8" x14ac:dyDescent="0.2">
      <c r="A238" s="2">
        <v>43922</v>
      </c>
      <c r="B238" s="4">
        <v>1730</v>
      </c>
      <c r="C238" s="16">
        <f>+$L$3*(B238/E226)+(1-$L$3)*(C237+D237)</f>
        <v>1698.9434126032806</v>
      </c>
      <c r="D238" s="15">
        <f>+$L$4*(C238-C237)+(1-$L$4)*D237</f>
        <v>2.4768049426030694</v>
      </c>
      <c r="E238" s="15">
        <f>+$L$5*(B238/C238)+(1-$L$5)*E226</f>
        <v>1.0068544062039135</v>
      </c>
      <c r="F238" s="16">
        <f t="shared" si="6"/>
        <v>1677.2192361009168</v>
      </c>
      <c r="G238" s="16">
        <f>+B238-F238</f>
        <v>52.78076389908324</v>
      </c>
      <c r="H238" s="16">
        <f t="shared" si="7"/>
        <v>2785.8090377707686</v>
      </c>
    </row>
    <row r="239" spans="1:8" x14ac:dyDescent="0.2">
      <c r="A239" s="2">
        <v>43952</v>
      </c>
      <c r="B239" s="4">
        <v>1752</v>
      </c>
      <c r="C239" s="16">
        <f>+$L$3*(B239/E227)+(1-$L$3)*(C238+D238)</f>
        <v>1701.8296753138993</v>
      </c>
      <c r="D239" s="15">
        <f>+$L$4*(C239-C238)+(1-$L$4)*D238</f>
        <v>2.4801279378233647</v>
      </c>
      <c r="E239" s="15">
        <f>+$L$5*(B239/C239)+(1-$L$5)*E227</f>
        <v>1.0292424567034202</v>
      </c>
      <c r="F239" s="16">
        <f t="shared" si="6"/>
        <v>1750.8997449382689</v>
      </c>
      <c r="G239" s="16">
        <f>+B239-F239</f>
        <v>1.1002550617311044</v>
      </c>
      <c r="H239" s="16">
        <f t="shared" si="7"/>
        <v>1.2105612008649165</v>
      </c>
    </row>
    <row r="240" spans="1:8" x14ac:dyDescent="0.2">
      <c r="A240" s="2">
        <v>43983</v>
      </c>
      <c r="B240" s="4">
        <v>1642</v>
      </c>
      <c r="C240" s="16">
        <f>+$L$3*(B240/E228)+(1-$L$3)*(C239+D239)</f>
        <v>1701.6850220259603</v>
      </c>
      <c r="D240" s="15">
        <f>+$L$4*(C240-C239)+(1-$L$4)*D239</f>
        <v>2.4588262648576746</v>
      </c>
      <c r="E240" s="15">
        <f>+$L$5*(B240/C240)+(1-$L$5)*E228</f>
        <v>0.96635878586606394</v>
      </c>
      <c r="F240" s="16">
        <f t="shared" si="6"/>
        <v>1648.6298284701588</v>
      </c>
      <c r="G240" s="16">
        <f>+B240-F240</f>
        <v>-6.6298284701588273</v>
      </c>
      <c r="H240" s="16">
        <f t="shared" si="7"/>
        <v>43.954625543728532</v>
      </c>
    </row>
    <row r="241" spans="1:8" x14ac:dyDescent="0.2">
      <c r="A241" s="2">
        <v>44013</v>
      </c>
      <c r="B241" s="4">
        <v>1717</v>
      </c>
      <c r="C241" s="16">
        <f>+$L$3*(B241/E229)+(1-$L$3)*(C240+D240)</f>
        <v>1707.0569000849709</v>
      </c>
      <c r="D241" s="15">
        <f>+$L$4*(C241-C240)+(1-$L$4)*D240</f>
        <v>2.4824674262779522</v>
      </c>
      <c r="E241" s="15">
        <f>+$L$5*(B241/C241)+(1-$L$5)*E229</f>
        <v>1.0041809202752563</v>
      </c>
      <c r="F241" s="16">
        <f t="shared" si="6"/>
        <v>1709.370208745122</v>
      </c>
      <c r="G241" s="16">
        <f>+B241-F241</f>
        <v>7.6297912548780005</v>
      </c>
      <c r="H241" s="16">
        <f t="shared" si="7"/>
        <v>58.21371459301281</v>
      </c>
    </row>
    <row r="242" spans="1:8" x14ac:dyDescent="0.2">
      <c r="A242" s="2">
        <v>44044</v>
      </c>
      <c r="B242" s="4">
        <v>1579</v>
      </c>
      <c r="C242" s="16">
        <f>+$L$3*(B242/E230)+(1-$L$3)*(C241+D241)</f>
        <v>1700.162359069865</v>
      </c>
      <c r="D242" s="15">
        <f>+$L$4*(C242-C241)+(1-$L$4)*D241</f>
        <v>2.4063673821088032</v>
      </c>
      <c r="E242" s="15">
        <f>+$L$5*(B242/C242)+(1-$L$5)*E230</f>
        <v>0.93369796998668431</v>
      </c>
      <c r="F242" s="16">
        <f t="shared" si="6"/>
        <v>1601.9438910368108</v>
      </c>
      <c r="G242" s="16">
        <f>+B242-F242</f>
        <v>-22.943891036810783</v>
      </c>
      <c r="H242" s="16">
        <f t="shared" si="7"/>
        <v>526.42213590904612</v>
      </c>
    </row>
    <row r="243" spans="1:8" x14ac:dyDescent="0.2">
      <c r="A243" s="2">
        <v>44075</v>
      </c>
      <c r="B243" s="4">
        <v>1647</v>
      </c>
      <c r="C243" s="16">
        <f>+$L$3*(B243/E231)+(1-$L$3)*(C242+D242)</f>
        <v>1718.8399205071487</v>
      </c>
      <c r="D243" s="15">
        <f>+$L$4*(C243-C242)+(1-$L$4)*D242</f>
        <v>2.53841787497376</v>
      </c>
      <c r="E243" s="15">
        <f>+$L$5*(B243/C243)+(1-$L$5)*E231</f>
        <v>0.94962450459152037</v>
      </c>
      <c r="F243" s="16">
        <f t="shared" si="6"/>
        <v>1606.9005566266912</v>
      </c>
      <c r="G243" s="16">
        <f>+B243-F243</f>
        <v>40.099443373308759</v>
      </c>
      <c r="H243" s="16">
        <f t="shared" si="7"/>
        <v>1607.9653588491958</v>
      </c>
    </row>
    <row r="244" spans="1:8" x14ac:dyDescent="0.2">
      <c r="A244" s="2">
        <v>44105</v>
      </c>
      <c r="B244" s="4">
        <v>1961</v>
      </c>
      <c r="C244" s="16">
        <f>+$L$3*(B244/E232)+(1-$L$3)*(C243+D243)</f>
        <v>1768.4777322250627</v>
      </c>
      <c r="D244" s="15">
        <f>+$L$4*(C244-C243)+(1-$L$4)*D243</f>
        <v>2.9206576878302073</v>
      </c>
      <c r="E244" s="15">
        <f>+$L$5*(B244/C244)+(1-$L$5)*E232</f>
        <v>1.0816700027479085</v>
      </c>
      <c r="F244" s="16">
        <f t="shared" si="6"/>
        <v>1830.2381213737742</v>
      </c>
      <c r="G244" s="16">
        <f>+B244-F244</f>
        <v>130.76187862622578</v>
      </c>
      <c r="H244" s="16">
        <f t="shared" si="7"/>
        <v>17098.668901859801</v>
      </c>
    </row>
    <row r="245" spans="1:8" x14ac:dyDescent="0.2">
      <c r="A245" s="2">
        <v>44136</v>
      </c>
      <c r="B245" s="4">
        <v>1772</v>
      </c>
      <c r="C245" s="16">
        <f>+$L$3*(B245/E233)+(1-$L$3)*(C244+D244)</f>
        <v>1761.9325658372013</v>
      </c>
      <c r="D245" s="15">
        <f>+$L$4*(C245-C244)+(1-$L$4)*D244</f>
        <v>2.8438368515517221</v>
      </c>
      <c r="E245" s="15">
        <f>+$L$5*(B245/C245)+(1-$L$5)*E233</f>
        <v>1.0109478566482204</v>
      </c>
      <c r="F245" s="16">
        <f t="shared" si="6"/>
        <v>1797.0751179373319</v>
      </c>
      <c r="G245" s="16">
        <f>+B245-F245</f>
        <v>-25.075117937331925</v>
      </c>
      <c r="H245" s="16">
        <f t="shared" si="7"/>
        <v>628.76153957110523</v>
      </c>
    </row>
    <row r="246" spans="1:8" x14ac:dyDescent="0.2">
      <c r="A246" s="2">
        <v>44166</v>
      </c>
      <c r="B246" s="4">
        <v>1822</v>
      </c>
      <c r="C246" s="16">
        <f>+$L$3*(B246/E234)+(1-$L$3)*(C245+D245)</f>
        <v>1760.03488649983</v>
      </c>
      <c r="D246" s="15">
        <f>+$L$4*(C246-C245)+(1-$L$4)*D245</f>
        <v>2.8053566055690786</v>
      </c>
      <c r="E246" s="15">
        <f>+$L$5*(B246/C246)+(1-$L$5)*E234</f>
        <v>1.0378965939137288</v>
      </c>
      <c r="F246" s="16">
        <f t="shared" si="6"/>
        <v>1834.8726525627487</v>
      </c>
      <c r="G246" s="16">
        <f>+B246-F246</f>
        <v>-12.872652562748726</v>
      </c>
      <c r="H246" s="16">
        <f t="shared" si="7"/>
        <v>165.70518400124135</v>
      </c>
    </row>
    <row r="247" spans="1:8" x14ac:dyDescent="0.2">
      <c r="A247" s="2">
        <v>44197</v>
      </c>
      <c r="B247" s="4">
        <v>1884</v>
      </c>
      <c r="C247" s="16">
        <f>+$L$3*(B247/E235)+(1-$L$3)*(C246+D246)</f>
        <v>1791.8842551583271</v>
      </c>
      <c r="D247" s="15">
        <f>+$L$4*(C247-C246)+(1-$L$4)*D246</f>
        <v>3.0410661726334034</v>
      </c>
      <c r="E247" s="15">
        <f>+$L$5*(B247/C247)+(1-$L$5)*E235</f>
        <v>1.0354581012393878</v>
      </c>
      <c r="F247" s="16">
        <f t="shared" si="6"/>
        <v>1806.2919229513031</v>
      </c>
      <c r="G247" s="16">
        <f>+B247-F247</f>
        <v>77.70807704869685</v>
      </c>
      <c r="H247" s="16">
        <f t="shared" si="7"/>
        <v>6038.5452386062061</v>
      </c>
    </row>
    <row r="248" spans="1:8" x14ac:dyDescent="0.2">
      <c r="A248" s="2">
        <v>44228</v>
      </c>
      <c r="B248" s="4">
        <v>1901</v>
      </c>
      <c r="C248" s="16">
        <f>+$L$3*(B248/E236)+(1-$L$3)*(C247+D247)</f>
        <v>1778.8395523216614</v>
      </c>
      <c r="D248" s="15">
        <f>+$L$4*(C248-C247)+(1-$L$4)*D247</f>
        <v>2.9105205151612501</v>
      </c>
      <c r="E248" s="15">
        <f>+$L$5*(B248/C248)+(1-$L$5)*E236</f>
        <v>1.0780918049811117</v>
      </c>
      <c r="F248" s="16">
        <f t="shared" si="6"/>
        <v>1946.550772850105</v>
      </c>
      <c r="G248" s="16">
        <f>+B248-F248</f>
        <v>-45.550772850104977</v>
      </c>
      <c r="H248" s="16">
        <f t="shared" si="7"/>
        <v>2074.8729072418605</v>
      </c>
    </row>
    <row r="249" spans="1:8" x14ac:dyDescent="0.2">
      <c r="A249" s="2">
        <v>44256</v>
      </c>
      <c r="B249" s="4">
        <v>1917</v>
      </c>
      <c r="C249" s="16">
        <f>+$L$3*(B249/E237)+(1-$L$3)*(C248+D248)</f>
        <v>1804.4122635573131</v>
      </c>
      <c r="D249" s="15">
        <f>+$L$4*(C249-C248)+(1-$L$4)*D248</f>
        <v>3.0944377767889346</v>
      </c>
      <c r="E249" s="15">
        <f>+$L$5*(B249/C249)+(1-$L$5)*E237</f>
        <v>1.0498364613515827</v>
      </c>
      <c r="F249" s="16">
        <f t="shared" si="6"/>
        <v>1855.3798830100477</v>
      </c>
      <c r="G249" s="16">
        <f>+B249-F249</f>
        <v>61.620116989952294</v>
      </c>
      <c r="H249" s="16">
        <f t="shared" si="7"/>
        <v>3797.0388178554072</v>
      </c>
    </row>
    <row r="250" spans="1:8" x14ac:dyDescent="0.2">
      <c r="A250" s="2">
        <v>44287</v>
      </c>
      <c r="B250" s="4">
        <v>1796</v>
      </c>
      <c r="C250" s="16">
        <f>+$L$3*(B250/E238)+(1-$L$3)*(C249+D249)</f>
        <v>1798.4175039203446</v>
      </c>
      <c r="D250" s="15">
        <f>+$L$4*(C250-C249)+(1-$L$4)*D249</f>
        <v>3.0206734916256202</v>
      </c>
      <c r="E250" s="15">
        <f>+$L$5*(B250/C250)+(1-$L$5)*E238</f>
        <v>1.0035424650498144</v>
      </c>
      <c r="F250" s="16">
        <f t="shared" si="6"/>
        <v>1819.8960864813419</v>
      </c>
      <c r="G250" s="16">
        <f>+B250-F250</f>
        <v>-23.896086481341854</v>
      </c>
      <c r="H250" s="16">
        <f t="shared" si="7"/>
        <v>571.02294912376885</v>
      </c>
    </row>
    <row r="251" spans="1:8" x14ac:dyDescent="0.2">
      <c r="A251" s="2">
        <v>44317</v>
      </c>
      <c r="B251" s="4">
        <v>1722</v>
      </c>
      <c r="C251" s="16">
        <f>+$L$3*(B251/E239)+(1-$L$3)*(C250+D250)</f>
        <v>1752.2789207122005</v>
      </c>
      <c r="D251" s="15">
        <f>+$L$4*(C251-C250)+(1-$L$4)*D250</f>
        <v>2.621716656984773</v>
      </c>
      <c r="E251" s="15">
        <f>+$L$5*(B251/C251)+(1-$L$5)*E239</f>
        <v>1.0104492588851779</v>
      </c>
      <c r="F251" s="16">
        <f t="shared" si="6"/>
        <v>1854.116655318828</v>
      </c>
      <c r="G251" s="16">
        <f>+B251-F251</f>
        <v>-132.11665531882795</v>
      </c>
      <c r="H251" s="16">
        <f t="shared" si="7"/>
        <v>17454.810612633992</v>
      </c>
    </row>
    <row r="252" spans="1:8" x14ac:dyDescent="0.2">
      <c r="A252" s="2">
        <v>44348</v>
      </c>
      <c r="B252" s="4">
        <v>1702</v>
      </c>
      <c r="C252" s="16">
        <f>+$L$3*(B252/E240)+(1-$L$3)*(C251+D251)</f>
        <v>1757.332489737521</v>
      </c>
      <c r="D252" s="15">
        <f>+$L$4*(C252-C251)+(1-$L$4)*D251</f>
        <v>2.6414525966290681</v>
      </c>
      <c r="E252" s="15">
        <f>+$L$5*(B252/C252)+(1-$L$5)*E240</f>
        <v>0.96722915321199032</v>
      </c>
      <c r="F252" s="16">
        <f t="shared" si="6"/>
        <v>1695.8636492436676</v>
      </c>
      <c r="G252" s="16">
        <f>+B252-F252</f>
        <v>6.1363507563323765</v>
      </c>
      <c r="H252" s="16">
        <f t="shared" si="7"/>
        <v>37.654800604740927</v>
      </c>
    </row>
    <row r="253" spans="1:8" x14ac:dyDescent="0.2">
      <c r="A253" s="2">
        <v>44378</v>
      </c>
      <c r="B253" s="4">
        <v>1829</v>
      </c>
      <c r="C253" s="16">
        <f>+$L$3*(B253/E241)+(1-$L$3)*(C252+D252)</f>
        <v>1783.4925466751179</v>
      </c>
      <c r="D253" s="15">
        <f>+$L$4*(C253-C252)+(1-$L$4)*D252</f>
        <v>2.8323201681293293</v>
      </c>
      <c r="E253" s="15">
        <f>+$L$5*(B253/C253)+(1-$L$5)*E241</f>
        <v>1.0127994490113799</v>
      </c>
      <c r="F253" s="16">
        <f t="shared" si="6"/>
        <v>1767.3322530735777</v>
      </c>
      <c r="G253" s="16">
        <f>+B253-F253</f>
        <v>61.667746926422296</v>
      </c>
      <c r="H253" s="16">
        <f t="shared" si="7"/>
        <v>3802.9110109812664</v>
      </c>
    </row>
    <row r="254" spans="1:8" x14ac:dyDescent="0.2">
      <c r="A254" s="2">
        <v>44409</v>
      </c>
      <c r="B254" s="3">
        <v>1687</v>
      </c>
      <c r="C254" s="16">
        <f>+$L$3*(B254/E242)+(1-$L$3)*(C253+D253)</f>
        <v>1794.1639880780976</v>
      </c>
      <c r="D254" s="15">
        <f>+$L$4*(C254-C253)+(1-$L$4)*D253</f>
        <v>2.8959393357933605</v>
      </c>
      <c r="E254" s="15">
        <f>+$L$5*(B254/C254)+(1-$L$5)*E242</f>
        <v>0.93635314150991267</v>
      </c>
      <c r="F254" s="16">
        <f t="shared" si="6"/>
        <v>1667.8879019082742</v>
      </c>
      <c r="G254" s="16">
        <f>+B254-F254</f>
        <v>19.112098091725784</v>
      </c>
      <c r="H254" s="16">
        <f t="shared" si="7"/>
        <v>365.27229346774834</v>
      </c>
    </row>
    <row r="255" spans="1:8" x14ac:dyDescent="0.2">
      <c r="A255" s="2">
        <v>44440</v>
      </c>
      <c r="B255" s="3">
        <v>1668</v>
      </c>
      <c r="C255" s="16">
        <f>+$L$3*(B255/E243)+(1-$L$3)*(C254+D254)</f>
        <v>1781.520440192437</v>
      </c>
      <c r="D255" s="15">
        <f>+$L$4*(C255-C254)+(1-$L$4)*D254</f>
        <v>2.7698270824760276</v>
      </c>
      <c r="E255" s="15">
        <f>+$L$5*(B255/C255)+(1-$L$5)*E243</f>
        <v>0.9442333881973215</v>
      </c>
      <c r="F255" s="16">
        <f t="shared" si="6"/>
        <v>1706.5321432916899</v>
      </c>
      <c r="G255" s="16">
        <f>+B255-F255</f>
        <v>-38.532143291689863</v>
      </c>
      <c r="H255" s="16">
        <f t="shared" si="7"/>
        <v>1484.72606665132</v>
      </c>
    </row>
    <row r="256" spans="1:8" x14ac:dyDescent="0.2">
      <c r="A256" s="2">
        <v>44470</v>
      </c>
      <c r="B256" s="3">
        <v>2009</v>
      </c>
      <c r="C256" s="16">
        <f>+$L$3*(B256/E244)+(1-$L$3)*(C255+D255)</f>
        <v>1812.2559124437016</v>
      </c>
      <c r="D256" s="15">
        <f>+$L$4*(C256-C255)+(1-$L$4)*D255</f>
        <v>2.9967850558922779</v>
      </c>
      <c r="E256" s="15">
        <f>+$L$5*(B256/C256)+(1-$L$5)*E244</f>
        <v>1.0925337843168696</v>
      </c>
      <c r="F256" s="16">
        <f t="shared" si="6"/>
        <v>1930.0132583063216</v>
      </c>
      <c r="G256" s="16">
        <f>+B256-F256</f>
        <v>78.986741693678368</v>
      </c>
      <c r="H256" s="16">
        <f t="shared" si="7"/>
        <v>6238.9053633838685</v>
      </c>
    </row>
    <row r="257" spans="1:8" x14ac:dyDescent="0.2">
      <c r="A257" s="2">
        <v>44501</v>
      </c>
      <c r="B257" s="3">
        <v>1774</v>
      </c>
      <c r="C257" s="16">
        <f>+$L$3*(B257/E245)+(1-$L$3)*(C256+D256)</f>
        <v>1792.0968116850399</v>
      </c>
      <c r="D257" s="15">
        <f>+$L$4*(C257-C256)+(1-$L$4)*D256</f>
        <v>2.8088611626507713</v>
      </c>
      <c r="E257" s="15">
        <f>+$L$5*(B257/C257)+(1-$L$5)*E245</f>
        <v>1.0024460816045873</v>
      </c>
      <c r="F257" s="16">
        <f t="shared" si="6"/>
        <v>1835.125823812115</v>
      </c>
      <c r="G257" s="16">
        <f>+B257-F257</f>
        <v>-61.125823812114959</v>
      </c>
      <c r="H257" s="16">
        <f t="shared" si="7"/>
        <v>3736.3663367097201</v>
      </c>
    </row>
    <row r="258" spans="1:8" x14ac:dyDescent="0.2">
      <c r="A258" s="2">
        <v>44531</v>
      </c>
      <c r="B258" s="3">
        <v>1863</v>
      </c>
      <c r="C258" s="16">
        <f>+$L$3*(B258/E246)+(1-$L$3)*(C257+D257)</f>
        <v>1794.9327992229023</v>
      </c>
      <c r="D258" s="15">
        <f>+$L$4*(C258-C257)+(1-$L$4)*D257</f>
        <v>2.8090813094454186</v>
      </c>
      <c r="E258" s="15">
        <f>+$L$5*(B258/C258)+(1-$L$5)*E246</f>
        <v>1.0379068028050167</v>
      </c>
      <c r="F258" s="16">
        <f t="shared" si="6"/>
        <v>1862.926484245048</v>
      </c>
      <c r="G258" s="16">
        <f>+B258-F258</f>
        <v>7.3515754952040879E-2</v>
      </c>
      <c r="H258" s="16">
        <f t="shared" si="7"/>
        <v>5.4045662261685227E-3</v>
      </c>
    </row>
    <row r="259" spans="1:8" x14ac:dyDescent="0.2">
      <c r="A259" s="2">
        <v>44562</v>
      </c>
      <c r="B259" s="3">
        <v>1758</v>
      </c>
      <c r="C259" s="16">
        <f>+$L$3*(B259/E247)+(1-$L$3)*(C258+D258)</f>
        <v>1759.4667963750544</v>
      </c>
      <c r="D259" s="15">
        <f>+$L$4*(C259-C258)+(1-$L$4)*D258</f>
        <v>2.4984560590624669</v>
      </c>
      <c r="E259" s="15">
        <f>+$L$5*(B259/C259)+(1-$L$5)*E247</f>
        <v>1.0207976097392608</v>
      </c>
      <c r="F259" s="16">
        <f t="shared" si="6"/>
        <v>1861.4863941345511</v>
      </c>
      <c r="G259" s="16">
        <f>+B259-F259</f>
        <v>-103.48639413455112</v>
      </c>
      <c r="H259" s="16">
        <f t="shared" si="7"/>
        <v>10709.433770971656</v>
      </c>
    </row>
    <row r="260" spans="1:8" x14ac:dyDescent="0.2">
      <c r="A260" s="2">
        <v>44593</v>
      </c>
      <c r="B260" s="3">
        <v>1717</v>
      </c>
      <c r="C260" s="16">
        <f>+$L$3*(B260/E248)+(1-$L$3)*(C259+D259)</f>
        <v>1697.1143499593936</v>
      </c>
      <c r="D260" s="15">
        <f>+$L$4*(C260-C259)+(1-$L$4)*D259</f>
        <v>1.9721521132373661</v>
      </c>
      <c r="E260" s="15">
        <f>+$L$5*(B260/C260)+(1-$L$5)*E248</f>
        <v>1.0512790410377444</v>
      </c>
      <c r="F260" s="16">
        <f t="shared" si="6"/>
        <v>1899.560299310697</v>
      </c>
      <c r="G260" s="16">
        <f>+B260-F260</f>
        <v>-182.56029931069702</v>
      </c>
      <c r="H260" s="16">
        <f t="shared" si="7"/>
        <v>33328.262884411284</v>
      </c>
    </row>
    <row r="261" spans="1:8" x14ac:dyDescent="0.2">
      <c r="A261" s="2">
        <v>44621</v>
      </c>
      <c r="B261" s="3">
        <v>1823</v>
      </c>
      <c r="C261" s="16">
        <f>+$L$3*(B261/E249)+(1-$L$3)*(C260+D260)</f>
        <v>1713.3998097045805</v>
      </c>
      <c r="D261" s="15">
        <f>+$L$4*(C261-C260)+(1-$L$4)*D260</f>
        <v>2.0883131842022578</v>
      </c>
      <c r="E261" s="15">
        <f>+$L$5*(B261/C261)+(1-$L$5)*E249</f>
        <v>1.0555444600391508</v>
      </c>
      <c r="F261" s="16">
        <f t="shared" si="6"/>
        <v>1783.7629608661696</v>
      </c>
      <c r="G261" s="16">
        <f>+B261-F261</f>
        <v>39.237039133830422</v>
      </c>
      <c r="H261" s="16">
        <f t="shared" si="7"/>
        <v>1539.5452399897399</v>
      </c>
    </row>
    <row r="262" spans="1:8" x14ac:dyDescent="0.2">
      <c r="A262" s="2">
        <v>44652</v>
      </c>
      <c r="B262" s="3">
        <v>1746</v>
      </c>
      <c r="C262" s="16">
        <f>+$L$3*(B262/E250)+(1-$L$3)*(C261+D261)</f>
        <v>1724.8129078754339</v>
      </c>
      <c r="D262" s="15">
        <f>+$L$4*(C262-C261)+(1-$L$4)*D261</f>
        <v>2.163989403733019</v>
      </c>
      <c r="E262" s="15">
        <f>+$L$5*(B262/C262)+(1-$L$5)*E250</f>
        <v>1.0070735934412749</v>
      </c>
      <c r="F262" s="16">
        <f t="shared" si="6"/>
        <v>1721.5651796074878</v>
      </c>
      <c r="G262" s="16">
        <f>+B262-F262</f>
        <v>24.434820392512165</v>
      </c>
      <c r="H262" s="16">
        <f t="shared" si="7"/>
        <v>597.06044761432838</v>
      </c>
    </row>
    <row r="263" spans="1:8" x14ac:dyDescent="0.2">
      <c r="A263" s="2">
        <v>44682</v>
      </c>
      <c r="B263" s="3">
        <v>1857</v>
      </c>
      <c r="C263" s="16">
        <f t="shared" ref="C263:C281" si="8">+$L$3*(B263/E251)+(1-$L$3)*(C262+D262)</f>
        <v>1769.4175042788356</v>
      </c>
      <c r="D263" s="15">
        <f t="shared" ref="D263:D281" si="9">+$L$4*(C263-C262)+(1-$L$4)*D262</f>
        <v>2.5084203688355347</v>
      </c>
      <c r="E263" s="15">
        <f t="shared" ref="E263:E281" si="10">+$L$5*(B263/C263)+(1-$L$5)*E251</f>
        <v>1.0262234354794324</v>
      </c>
      <c r="F263" s="16">
        <f t="shared" ref="F263:F281" si="11">+(C262+D262)*E251</f>
        <v>1745.0225259675583</v>
      </c>
      <c r="G263" s="16">
        <f>+B263-F263</f>
        <v>111.97747403244171</v>
      </c>
      <c r="H263" s="16">
        <f t="shared" si="7"/>
        <v>12538.954690686156</v>
      </c>
    </row>
    <row r="264" spans="1:8" x14ac:dyDescent="0.2">
      <c r="A264" s="2">
        <v>44713</v>
      </c>
      <c r="B264" s="3">
        <v>1803</v>
      </c>
      <c r="C264" s="16">
        <f t="shared" si="8"/>
        <v>1807.2211874525151</v>
      </c>
      <c r="D264" s="15">
        <f t="shared" si="9"/>
        <v>2.7948625828103304</v>
      </c>
      <c r="E264" s="15">
        <f t="shared" si="10"/>
        <v>0.97952378169820842</v>
      </c>
      <c r="F264" s="16">
        <f t="shared" si="11"/>
        <v>1713.8584116513398</v>
      </c>
      <c r="G264" s="16">
        <f>+B264-F264</f>
        <v>89.141588348660207</v>
      </c>
      <c r="H264" s="16">
        <f t="shared" si="7"/>
        <v>7946.2227733219934</v>
      </c>
    </row>
    <row r="265" spans="1:8" x14ac:dyDescent="0.2">
      <c r="A265" s="2">
        <v>44743</v>
      </c>
      <c r="B265" s="3">
        <v>1777</v>
      </c>
      <c r="C265" s="16">
        <f t="shared" si="8"/>
        <v>1788.7714335906055</v>
      </c>
      <c r="D265" s="15">
        <f t="shared" si="9"/>
        <v>2.6224497861379175</v>
      </c>
      <c r="E265" s="15">
        <f t="shared" si="10"/>
        <v>1.0049705909047297</v>
      </c>
      <c r="F265" s="16">
        <f t="shared" si="11"/>
        <v>1833.1832581775318</v>
      </c>
      <c r="G265" s="16">
        <f>+B265-F265</f>
        <v>-56.183258177531798</v>
      </c>
      <c r="H265" s="16">
        <f t="shared" si="7"/>
        <v>3156.5584994431938</v>
      </c>
    </row>
    <row r="266" spans="1:8" x14ac:dyDescent="0.2">
      <c r="A266" s="2">
        <v>44774</v>
      </c>
      <c r="B266" s="3">
        <v>1690</v>
      </c>
      <c r="C266" s="16">
        <f t="shared" si="8"/>
        <v>1796.5566007346533</v>
      </c>
      <c r="D266" s="15">
        <f t="shared" si="9"/>
        <v>2.6643483320788435</v>
      </c>
      <c r="E266" s="15">
        <f t="shared" si="10"/>
        <v>0.93810443139178878</v>
      </c>
      <c r="F266" s="16">
        <f t="shared" si="11"/>
        <v>1677.3772903814559</v>
      </c>
      <c r="G266" s="16">
        <f>+B266-F266</f>
        <v>12.62270961854415</v>
      </c>
      <c r="H266" s="16">
        <f t="shared" si="7"/>
        <v>159.33279811408698</v>
      </c>
    </row>
    <row r="267" spans="1:8" x14ac:dyDescent="0.2">
      <c r="A267" s="2">
        <v>44805</v>
      </c>
      <c r="B267" s="3">
        <v>1686</v>
      </c>
      <c r="C267" s="16">
        <f t="shared" si="8"/>
        <v>1793.9951415920373</v>
      </c>
      <c r="D267" s="15">
        <f t="shared" si="9"/>
        <v>2.6219377720233958</v>
      </c>
      <c r="E267" s="15">
        <f t="shared" si="10"/>
        <v>0.94244322585286344</v>
      </c>
      <c r="F267" s="16">
        <f t="shared" si="11"/>
        <v>1698.8844928528808</v>
      </c>
      <c r="G267" s="16">
        <f>+B267-F267</f>
        <v>-12.88449285288084</v>
      </c>
      <c r="H267" s="16">
        <f t="shared" si="7"/>
        <v>166.01015607593743</v>
      </c>
    </row>
    <row r="268" spans="1:8" x14ac:dyDescent="0.2">
      <c r="A268" s="2">
        <v>44835</v>
      </c>
      <c r="B268" s="3">
        <v>1956</v>
      </c>
      <c r="C268" s="16">
        <f t="shared" si="8"/>
        <v>1794.210711442679</v>
      </c>
      <c r="D268" s="15">
        <f t="shared" si="9"/>
        <v>2.6024086539417506</v>
      </c>
      <c r="E268" s="15">
        <f t="shared" si="10"/>
        <v>1.0915801005698633</v>
      </c>
      <c r="F268" s="16">
        <f t="shared" si="11"/>
        <v>1962.8648566859388</v>
      </c>
      <c r="G268" s="23">
        <f>+B268-F268</f>
        <v>-6.8648566859387756</v>
      </c>
      <c r="H268" s="23">
        <f t="shared" si="7"/>
        <v>47.126257318478309</v>
      </c>
    </row>
    <row r="269" spans="1:8" x14ac:dyDescent="0.2">
      <c r="A269" s="2">
        <v>44866</v>
      </c>
      <c r="B269" s="3">
        <v>1807</v>
      </c>
      <c r="C269" s="16">
        <f t="shared" si="8"/>
        <v>1799.0257694425272</v>
      </c>
      <c r="D269" s="15">
        <f t="shared" si="9"/>
        <v>2.6203656296666726</v>
      </c>
      <c r="E269" s="15">
        <f t="shared" si="10"/>
        <v>1.003248530074732</v>
      </c>
      <c r="F269" s="16">
        <f t="shared" si="11"/>
        <v>1801.2082716165701</v>
      </c>
      <c r="G269" s="23">
        <f>+B269-F269</f>
        <v>5.7917283834299269</v>
      </c>
      <c r="H269" s="23">
        <f t="shared" si="7"/>
        <v>33.544117667427834</v>
      </c>
    </row>
    <row r="270" spans="1:8" x14ac:dyDescent="0.2">
      <c r="A270" s="2">
        <v>44896</v>
      </c>
      <c r="B270" s="3">
        <v>1949</v>
      </c>
      <c r="C270" s="16">
        <f t="shared" si="8"/>
        <v>1830.8176912529591</v>
      </c>
      <c r="D270" s="15">
        <f t="shared" si="9"/>
        <v>2.8571102937795505</v>
      </c>
      <c r="E270" s="15">
        <f t="shared" si="10"/>
        <v>1.0486703092957299</v>
      </c>
      <c r="F270" s="16">
        <f t="shared" si="11"/>
        <v>1869.9407798387958</v>
      </c>
      <c r="G270" s="23">
        <f>+B270-F270</f>
        <v>79.059220161204166</v>
      </c>
      <c r="H270" s="23">
        <f t="shared" si="7"/>
        <v>6250.3602924977513</v>
      </c>
    </row>
    <row r="271" spans="1:8" x14ac:dyDescent="0.2">
      <c r="A271" s="2">
        <v>44927</v>
      </c>
      <c r="B271" s="3">
        <v>1833</v>
      </c>
      <c r="C271" s="16">
        <f t="shared" si="8"/>
        <v>1819.1142109911225</v>
      </c>
      <c r="D271" s="15">
        <f t="shared" si="9"/>
        <v>2.7389423736653873</v>
      </c>
      <c r="E271" s="15">
        <f t="shared" si="10"/>
        <v>1.0154797168106493</v>
      </c>
      <c r="F271" s="16">
        <f t="shared" si="11"/>
        <v>1871.8108544580241</v>
      </c>
      <c r="G271" s="23">
        <f>+B271-F271</f>
        <v>-38.810854458024096</v>
      </c>
      <c r="H271" s="23">
        <f t="shared" ref="H271:H276" si="12">+G271^2</f>
        <v>1506.2824237619288</v>
      </c>
    </row>
    <row r="272" spans="1:8" x14ac:dyDescent="0.2">
      <c r="A272" s="2">
        <v>44958</v>
      </c>
      <c r="B272" s="3">
        <v>1813</v>
      </c>
      <c r="C272" s="16">
        <f t="shared" si="8"/>
        <v>1784.5950012903259</v>
      </c>
      <c r="D272" s="15">
        <f t="shared" si="9"/>
        <v>2.4365701366932955</v>
      </c>
      <c r="E272" s="15">
        <f t="shared" si="10"/>
        <v>1.0369940304580061</v>
      </c>
      <c r="F272" s="16">
        <f t="shared" si="11"/>
        <v>1915.2760359809249</v>
      </c>
      <c r="G272" s="23">
        <f>+B272-F272</f>
        <v>-102.27603598092492</v>
      </c>
      <c r="H272" s="23">
        <f t="shared" si="12"/>
        <v>10460.387535971448</v>
      </c>
    </row>
    <row r="273" spans="1:8" x14ac:dyDescent="0.2">
      <c r="A273" s="2">
        <v>44986</v>
      </c>
      <c r="B273" s="3">
        <v>1886</v>
      </c>
      <c r="C273" s="16">
        <f t="shared" si="8"/>
        <v>1786.9258915470996</v>
      </c>
      <c r="D273" s="15">
        <f t="shared" si="9"/>
        <v>2.4357124811222315</v>
      </c>
      <c r="E273" s="15">
        <f t="shared" si="10"/>
        <v>1.0555038303760027</v>
      </c>
      <c r="F273" s="16">
        <f t="shared" si="11"/>
        <v>1886.2912751348481</v>
      </c>
      <c r="G273" s="23">
        <f>+B273-F273</f>
        <v>-0.29127513484809242</v>
      </c>
      <c r="H273" s="23">
        <f t="shared" si="12"/>
        <v>8.4841204180774427E-2</v>
      </c>
    </row>
    <row r="274" spans="1:8" x14ac:dyDescent="0.2">
      <c r="A274" s="2">
        <v>45017</v>
      </c>
      <c r="B274" s="3">
        <v>1805</v>
      </c>
      <c r="C274" s="16">
        <f t="shared" si="8"/>
        <v>1790.4952888770667</v>
      </c>
      <c r="D274" s="15">
        <f t="shared" si="9"/>
        <v>2.4449130132120014</v>
      </c>
      <c r="E274" s="15">
        <f t="shared" si="10"/>
        <v>1.0074886060483736</v>
      </c>
      <c r="F274" s="16">
        <f t="shared" si="11"/>
        <v>1802.0188205345451</v>
      </c>
      <c r="G274" s="23">
        <f>+B274-F274</f>
        <v>2.9811794654549431</v>
      </c>
      <c r="H274" s="23">
        <f t="shared" si="12"/>
        <v>8.8874310052502192</v>
      </c>
    </row>
    <row r="275" spans="1:8" x14ac:dyDescent="0.2">
      <c r="A275" s="2">
        <v>45047</v>
      </c>
      <c r="B275" s="3">
        <v>1931</v>
      </c>
      <c r="C275" s="16">
        <f t="shared" si="8"/>
        <v>1826.9159362021437</v>
      </c>
      <c r="D275" s="15">
        <f t="shared" si="9"/>
        <v>2.7206464625284461</v>
      </c>
      <c r="E275" s="15">
        <f t="shared" si="10"/>
        <v>1.0386449095560208</v>
      </c>
      <c r="F275" s="16">
        <f t="shared" si="11"/>
        <v>1839.957253593029</v>
      </c>
      <c r="G275" s="23">
        <f>+B275-F275</f>
        <v>91.042746406970991</v>
      </c>
      <c r="H275" s="23">
        <f t="shared" si="12"/>
        <v>8288.7816733240288</v>
      </c>
    </row>
    <row r="276" spans="1:8" x14ac:dyDescent="0.2">
      <c r="A276" s="2">
        <v>45078</v>
      </c>
      <c r="B276" s="3">
        <v>1822</v>
      </c>
      <c r="C276" s="16">
        <f t="shared" si="8"/>
        <v>1841.2984111671701</v>
      </c>
      <c r="D276" s="15">
        <f t="shared" si="9"/>
        <v>2.8152891910362348</v>
      </c>
      <c r="E276" s="15">
        <f t="shared" si="10"/>
        <v>0.98356152195709634</v>
      </c>
      <c r="F276" s="16">
        <f t="shared" si="11"/>
        <v>1792.1725445850864</v>
      </c>
      <c r="G276" s="23">
        <f>+B276-F276</f>
        <v>29.827455414913629</v>
      </c>
      <c r="H276" s="23">
        <f t="shared" si="12"/>
        <v>889.6770965286604</v>
      </c>
    </row>
    <row r="277" spans="1:8" x14ac:dyDescent="0.2">
      <c r="A277" s="2">
        <v>45108</v>
      </c>
      <c r="C277" s="16">
        <f>+$L$3*(F277/E265)+(1-$L$3)*(C276+D276)</f>
        <v>1844.1137003582062</v>
      </c>
      <c r="D277" s="15">
        <f t="shared" si="9"/>
        <v>2.8152891910362334</v>
      </c>
      <c r="E277" s="15">
        <f>+$L$5*(F277/C277)+(1-$L$5)*E265</f>
        <v>1.0049705909047297</v>
      </c>
      <c r="F277" s="42">
        <f t="shared" si="11"/>
        <v>1853.2800351444944</v>
      </c>
    </row>
    <row r="278" spans="1:8" x14ac:dyDescent="0.2">
      <c r="A278" s="2">
        <v>45139</v>
      </c>
      <c r="C278" s="16">
        <f t="shared" ref="C278:C281" si="13">+$L$3*(F278/E266)+(1-$L$3)*(C277+D277)</f>
        <v>1846.9289895492425</v>
      </c>
      <c r="D278" s="15">
        <f t="shared" ref="D278:D281" si="14">+$L$4*(C278-C277)+(1-$L$4)*D277</f>
        <v>2.8152891910362339</v>
      </c>
      <c r="E278" s="15">
        <f t="shared" ref="E278:E281" si="15">+$L$5*(F278/C278)+(1-$L$5)*E266</f>
        <v>0.93810443139178878</v>
      </c>
      <c r="F278" s="42">
        <f t="shared" si="11"/>
        <v>1732.6122695621032</v>
      </c>
    </row>
    <row r="279" spans="1:8" x14ac:dyDescent="0.2">
      <c r="A279" s="2">
        <v>45170</v>
      </c>
      <c r="C279" s="16">
        <f t="shared" si="13"/>
        <v>1849.7442787402788</v>
      </c>
      <c r="D279" s="15">
        <f t="shared" si="14"/>
        <v>2.8152891910362343</v>
      </c>
      <c r="E279" s="15">
        <f t="shared" si="15"/>
        <v>0.94244322585286344</v>
      </c>
      <c r="F279" s="42">
        <f t="shared" si="11"/>
        <v>1743.2789650588666</v>
      </c>
    </row>
    <row r="280" spans="1:8" x14ac:dyDescent="0.2">
      <c r="A280" s="2">
        <v>45200</v>
      </c>
      <c r="C280" s="16">
        <f t="shared" si="13"/>
        <v>1852.5595679313151</v>
      </c>
      <c r="D280" s="15">
        <f t="shared" si="14"/>
        <v>2.8152891910362348</v>
      </c>
      <c r="E280" s="15">
        <f t="shared" si="15"/>
        <v>1.0915801005698631</v>
      </c>
      <c r="F280" s="42">
        <f t="shared" si="11"/>
        <v>2022.2171594741274</v>
      </c>
    </row>
    <row r="281" spans="1:8" x14ac:dyDescent="0.2">
      <c r="A281" s="2">
        <v>45231</v>
      </c>
      <c r="C281" s="16">
        <f t="shared" si="13"/>
        <v>1855.3748571223514</v>
      </c>
      <c r="D281" s="15">
        <f t="shared" si="14"/>
        <v>2.8152891910362352</v>
      </c>
      <c r="E281" s="15">
        <f t="shared" si="15"/>
        <v>1.003248530074732</v>
      </c>
      <c r="F281" s="42">
        <f t="shared" si="11"/>
        <v>1861.4020981456149</v>
      </c>
    </row>
  </sheetData>
  <mergeCells count="1">
    <mergeCell ref="K12:L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I44"/>
  <sheetViews>
    <sheetView zoomScale="150" workbookViewId="0">
      <selection activeCell="I12" sqref="I12"/>
    </sheetView>
  </sheetViews>
  <sheetFormatPr baseColWidth="10" defaultColWidth="9.1640625" defaultRowHeight="12" x14ac:dyDescent="0.15"/>
  <cols>
    <col min="1" max="1" width="2.6640625" style="25" customWidth="1"/>
    <col min="2" max="2" width="13.1640625" style="25" customWidth="1"/>
    <col min="3" max="3" width="16.83203125" style="25" customWidth="1"/>
    <col min="4" max="4" width="14.1640625" style="25" customWidth="1"/>
    <col min="5" max="6" width="2.6640625" style="25" customWidth="1"/>
    <col min="7" max="7" width="13.1640625" style="25" customWidth="1"/>
    <col min="8" max="8" width="16.83203125" style="25" customWidth="1"/>
    <col min="9" max="9" width="14.1640625" style="25" customWidth="1"/>
    <col min="10" max="10" width="2.6640625" style="25" customWidth="1"/>
    <col min="11" max="256" width="9.1640625" style="25"/>
    <col min="257" max="257" width="2.6640625" style="25" customWidth="1"/>
    <col min="258" max="258" width="13.1640625" style="25" customWidth="1"/>
    <col min="259" max="259" width="17" style="25" customWidth="1"/>
    <col min="260" max="260" width="14.33203125" style="25" customWidth="1"/>
    <col min="261" max="262" width="2.6640625" style="25" customWidth="1"/>
    <col min="263" max="263" width="13.1640625" style="25" customWidth="1"/>
    <col min="264" max="264" width="17" style="25" customWidth="1"/>
    <col min="265" max="265" width="14.33203125" style="25" customWidth="1"/>
    <col min="266" max="266" width="2.6640625" style="25" customWidth="1"/>
    <col min="267" max="512" width="9.1640625" style="25"/>
    <col min="513" max="513" width="2.6640625" style="25" customWidth="1"/>
    <col min="514" max="514" width="13.1640625" style="25" customWidth="1"/>
    <col min="515" max="515" width="17" style="25" customWidth="1"/>
    <col min="516" max="516" width="14.33203125" style="25" customWidth="1"/>
    <col min="517" max="518" width="2.6640625" style="25" customWidth="1"/>
    <col min="519" max="519" width="13.1640625" style="25" customWidth="1"/>
    <col min="520" max="520" width="17" style="25" customWidth="1"/>
    <col min="521" max="521" width="14.33203125" style="25" customWidth="1"/>
    <col min="522" max="522" width="2.6640625" style="25" customWidth="1"/>
    <col min="523" max="768" width="9.1640625" style="25"/>
    <col min="769" max="769" width="2.6640625" style="25" customWidth="1"/>
    <col min="770" max="770" width="13.1640625" style="25" customWidth="1"/>
    <col min="771" max="771" width="17" style="25" customWidth="1"/>
    <col min="772" max="772" width="14.33203125" style="25" customWidth="1"/>
    <col min="773" max="774" width="2.6640625" style="25" customWidth="1"/>
    <col min="775" max="775" width="13.1640625" style="25" customWidth="1"/>
    <col min="776" max="776" width="17" style="25" customWidth="1"/>
    <col min="777" max="777" width="14.33203125" style="25" customWidth="1"/>
    <col min="778" max="778" width="2.6640625" style="25" customWidth="1"/>
    <col min="779" max="1024" width="9.1640625" style="25"/>
    <col min="1025" max="1025" width="2.6640625" style="25" customWidth="1"/>
    <col min="1026" max="1026" width="13.1640625" style="25" customWidth="1"/>
    <col min="1027" max="1027" width="17" style="25" customWidth="1"/>
    <col min="1028" max="1028" width="14.33203125" style="25" customWidth="1"/>
    <col min="1029" max="1030" width="2.6640625" style="25" customWidth="1"/>
    <col min="1031" max="1031" width="13.1640625" style="25" customWidth="1"/>
    <col min="1032" max="1032" width="17" style="25" customWidth="1"/>
    <col min="1033" max="1033" width="14.33203125" style="25" customWidth="1"/>
    <col min="1034" max="1034" width="2.6640625" style="25" customWidth="1"/>
    <col min="1035" max="1280" width="9.1640625" style="25"/>
    <col min="1281" max="1281" width="2.6640625" style="25" customWidth="1"/>
    <col min="1282" max="1282" width="13.1640625" style="25" customWidth="1"/>
    <col min="1283" max="1283" width="17" style="25" customWidth="1"/>
    <col min="1284" max="1284" width="14.33203125" style="25" customWidth="1"/>
    <col min="1285" max="1286" width="2.6640625" style="25" customWidth="1"/>
    <col min="1287" max="1287" width="13.1640625" style="25" customWidth="1"/>
    <col min="1288" max="1288" width="17" style="25" customWidth="1"/>
    <col min="1289" max="1289" width="14.33203125" style="25" customWidth="1"/>
    <col min="1290" max="1290" width="2.6640625" style="25" customWidth="1"/>
    <col min="1291" max="1536" width="9.1640625" style="25"/>
    <col min="1537" max="1537" width="2.6640625" style="25" customWidth="1"/>
    <col min="1538" max="1538" width="13.1640625" style="25" customWidth="1"/>
    <col min="1539" max="1539" width="17" style="25" customWidth="1"/>
    <col min="1540" max="1540" width="14.33203125" style="25" customWidth="1"/>
    <col min="1541" max="1542" width="2.6640625" style="25" customWidth="1"/>
    <col min="1543" max="1543" width="13.1640625" style="25" customWidth="1"/>
    <col min="1544" max="1544" width="17" style="25" customWidth="1"/>
    <col min="1545" max="1545" width="14.33203125" style="25" customWidth="1"/>
    <col min="1546" max="1546" width="2.6640625" style="25" customWidth="1"/>
    <col min="1547" max="1792" width="9.1640625" style="25"/>
    <col min="1793" max="1793" width="2.6640625" style="25" customWidth="1"/>
    <col min="1794" max="1794" width="13.1640625" style="25" customWidth="1"/>
    <col min="1795" max="1795" width="17" style="25" customWidth="1"/>
    <col min="1796" max="1796" width="14.33203125" style="25" customWidth="1"/>
    <col min="1797" max="1798" width="2.6640625" style="25" customWidth="1"/>
    <col min="1799" max="1799" width="13.1640625" style="25" customWidth="1"/>
    <col min="1800" max="1800" width="17" style="25" customWidth="1"/>
    <col min="1801" max="1801" width="14.33203125" style="25" customWidth="1"/>
    <col min="1802" max="1802" width="2.6640625" style="25" customWidth="1"/>
    <col min="1803" max="2048" width="9.1640625" style="25"/>
    <col min="2049" max="2049" width="2.6640625" style="25" customWidth="1"/>
    <col min="2050" max="2050" width="13.1640625" style="25" customWidth="1"/>
    <col min="2051" max="2051" width="17" style="25" customWidth="1"/>
    <col min="2052" max="2052" width="14.33203125" style="25" customWidth="1"/>
    <col min="2053" max="2054" width="2.6640625" style="25" customWidth="1"/>
    <col min="2055" max="2055" width="13.1640625" style="25" customWidth="1"/>
    <col min="2056" max="2056" width="17" style="25" customWidth="1"/>
    <col min="2057" max="2057" width="14.33203125" style="25" customWidth="1"/>
    <col min="2058" max="2058" width="2.6640625" style="25" customWidth="1"/>
    <col min="2059" max="2304" width="9.1640625" style="25"/>
    <col min="2305" max="2305" width="2.6640625" style="25" customWidth="1"/>
    <col min="2306" max="2306" width="13.1640625" style="25" customWidth="1"/>
    <col min="2307" max="2307" width="17" style="25" customWidth="1"/>
    <col min="2308" max="2308" width="14.33203125" style="25" customWidth="1"/>
    <col min="2309" max="2310" width="2.6640625" style="25" customWidth="1"/>
    <col min="2311" max="2311" width="13.1640625" style="25" customWidth="1"/>
    <col min="2312" max="2312" width="17" style="25" customWidth="1"/>
    <col min="2313" max="2313" width="14.33203125" style="25" customWidth="1"/>
    <col min="2314" max="2314" width="2.6640625" style="25" customWidth="1"/>
    <col min="2315" max="2560" width="9.1640625" style="25"/>
    <col min="2561" max="2561" width="2.6640625" style="25" customWidth="1"/>
    <col min="2562" max="2562" width="13.1640625" style="25" customWidth="1"/>
    <col min="2563" max="2563" width="17" style="25" customWidth="1"/>
    <col min="2564" max="2564" width="14.33203125" style="25" customWidth="1"/>
    <col min="2565" max="2566" width="2.6640625" style="25" customWidth="1"/>
    <col min="2567" max="2567" width="13.1640625" style="25" customWidth="1"/>
    <col min="2568" max="2568" width="17" style="25" customWidth="1"/>
    <col min="2569" max="2569" width="14.33203125" style="25" customWidth="1"/>
    <col min="2570" max="2570" width="2.6640625" style="25" customWidth="1"/>
    <col min="2571" max="2816" width="9.1640625" style="25"/>
    <col min="2817" max="2817" width="2.6640625" style="25" customWidth="1"/>
    <col min="2818" max="2818" width="13.1640625" style="25" customWidth="1"/>
    <col min="2819" max="2819" width="17" style="25" customWidth="1"/>
    <col min="2820" max="2820" width="14.33203125" style="25" customWidth="1"/>
    <col min="2821" max="2822" width="2.6640625" style="25" customWidth="1"/>
    <col min="2823" max="2823" width="13.1640625" style="25" customWidth="1"/>
    <col min="2824" max="2824" width="17" style="25" customWidth="1"/>
    <col min="2825" max="2825" width="14.33203125" style="25" customWidth="1"/>
    <col min="2826" max="2826" width="2.6640625" style="25" customWidth="1"/>
    <col min="2827" max="3072" width="9.1640625" style="25"/>
    <col min="3073" max="3073" width="2.6640625" style="25" customWidth="1"/>
    <col min="3074" max="3074" width="13.1640625" style="25" customWidth="1"/>
    <col min="3075" max="3075" width="17" style="25" customWidth="1"/>
    <col min="3076" max="3076" width="14.33203125" style="25" customWidth="1"/>
    <col min="3077" max="3078" width="2.6640625" style="25" customWidth="1"/>
    <col min="3079" max="3079" width="13.1640625" style="25" customWidth="1"/>
    <col min="3080" max="3080" width="17" style="25" customWidth="1"/>
    <col min="3081" max="3081" width="14.33203125" style="25" customWidth="1"/>
    <col min="3082" max="3082" width="2.6640625" style="25" customWidth="1"/>
    <col min="3083" max="3328" width="9.1640625" style="25"/>
    <col min="3329" max="3329" width="2.6640625" style="25" customWidth="1"/>
    <col min="3330" max="3330" width="13.1640625" style="25" customWidth="1"/>
    <col min="3331" max="3331" width="17" style="25" customWidth="1"/>
    <col min="3332" max="3332" width="14.33203125" style="25" customWidth="1"/>
    <col min="3333" max="3334" width="2.6640625" style="25" customWidth="1"/>
    <col min="3335" max="3335" width="13.1640625" style="25" customWidth="1"/>
    <col min="3336" max="3336" width="17" style="25" customWidth="1"/>
    <col min="3337" max="3337" width="14.33203125" style="25" customWidth="1"/>
    <col min="3338" max="3338" width="2.6640625" style="25" customWidth="1"/>
    <col min="3339" max="3584" width="9.1640625" style="25"/>
    <col min="3585" max="3585" width="2.6640625" style="25" customWidth="1"/>
    <col min="3586" max="3586" width="13.1640625" style="25" customWidth="1"/>
    <col min="3587" max="3587" width="17" style="25" customWidth="1"/>
    <col min="3588" max="3588" width="14.33203125" style="25" customWidth="1"/>
    <col min="3589" max="3590" width="2.6640625" style="25" customWidth="1"/>
    <col min="3591" max="3591" width="13.1640625" style="25" customWidth="1"/>
    <col min="3592" max="3592" width="17" style="25" customWidth="1"/>
    <col min="3593" max="3593" width="14.33203125" style="25" customWidth="1"/>
    <col min="3594" max="3594" width="2.6640625" style="25" customWidth="1"/>
    <col min="3595" max="3840" width="9.1640625" style="25"/>
    <col min="3841" max="3841" width="2.6640625" style="25" customWidth="1"/>
    <col min="3842" max="3842" width="13.1640625" style="25" customWidth="1"/>
    <col min="3843" max="3843" width="17" style="25" customWidth="1"/>
    <col min="3844" max="3844" width="14.33203125" style="25" customWidth="1"/>
    <col min="3845" max="3846" width="2.6640625" style="25" customWidth="1"/>
    <col min="3847" max="3847" width="13.1640625" style="25" customWidth="1"/>
    <col min="3848" max="3848" width="17" style="25" customWidth="1"/>
    <col min="3849" max="3849" width="14.33203125" style="25" customWidth="1"/>
    <col min="3850" max="3850" width="2.6640625" style="25" customWidth="1"/>
    <col min="3851" max="4096" width="9.1640625" style="25"/>
    <col min="4097" max="4097" width="2.6640625" style="25" customWidth="1"/>
    <col min="4098" max="4098" width="13.1640625" style="25" customWidth="1"/>
    <col min="4099" max="4099" width="17" style="25" customWidth="1"/>
    <col min="4100" max="4100" width="14.33203125" style="25" customWidth="1"/>
    <col min="4101" max="4102" width="2.6640625" style="25" customWidth="1"/>
    <col min="4103" max="4103" width="13.1640625" style="25" customWidth="1"/>
    <col min="4104" max="4104" width="17" style="25" customWidth="1"/>
    <col min="4105" max="4105" width="14.33203125" style="25" customWidth="1"/>
    <col min="4106" max="4106" width="2.6640625" style="25" customWidth="1"/>
    <col min="4107" max="4352" width="9.1640625" style="25"/>
    <col min="4353" max="4353" width="2.6640625" style="25" customWidth="1"/>
    <col min="4354" max="4354" width="13.1640625" style="25" customWidth="1"/>
    <col min="4355" max="4355" width="17" style="25" customWidth="1"/>
    <col min="4356" max="4356" width="14.33203125" style="25" customWidth="1"/>
    <col min="4357" max="4358" width="2.6640625" style="25" customWidth="1"/>
    <col min="4359" max="4359" width="13.1640625" style="25" customWidth="1"/>
    <col min="4360" max="4360" width="17" style="25" customWidth="1"/>
    <col min="4361" max="4361" width="14.33203125" style="25" customWidth="1"/>
    <col min="4362" max="4362" width="2.6640625" style="25" customWidth="1"/>
    <col min="4363" max="4608" width="9.1640625" style="25"/>
    <col min="4609" max="4609" width="2.6640625" style="25" customWidth="1"/>
    <col min="4610" max="4610" width="13.1640625" style="25" customWidth="1"/>
    <col min="4611" max="4611" width="17" style="25" customWidth="1"/>
    <col min="4612" max="4612" width="14.33203125" style="25" customWidth="1"/>
    <col min="4613" max="4614" width="2.6640625" style="25" customWidth="1"/>
    <col min="4615" max="4615" width="13.1640625" style="25" customWidth="1"/>
    <col min="4616" max="4616" width="17" style="25" customWidth="1"/>
    <col min="4617" max="4617" width="14.33203125" style="25" customWidth="1"/>
    <col min="4618" max="4618" width="2.6640625" style="25" customWidth="1"/>
    <col min="4619" max="4864" width="9.1640625" style="25"/>
    <col min="4865" max="4865" width="2.6640625" style="25" customWidth="1"/>
    <col min="4866" max="4866" width="13.1640625" style="25" customWidth="1"/>
    <col min="4867" max="4867" width="17" style="25" customWidth="1"/>
    <col min="4868" max="4868" width="14.33203125" style="25" customWidth="1"/>
    <col min="4869" max="4870" width="2.6640625" style="25" customWidth="1"/>
    <col min="4871" max="4871" width="13.1640625" style="25" customWidth="1"/>
    <col min="4872" max="4872" width="17" style="25" customWidth="1"/>
    <col min="4873" max="4873" width="14.33203125" style="25" customWidth="1"/>
    <col min="4874" max="4874" width="2.6640625" style="25" customWidth="1"/>
    <col min="4875" max="5120" width="9.1640625" style="25"/>
    <col min="5121" max="5121" width="2.6640625" style="25" customWidth="1"/>
    <col min="5122" max="5122" width="13.1640625" style="25" customWidth="1"/>
    <col min="5123" max="5123" width="17" style="25" customWidth="1"/>
    <col min="5124" max="5124" width="14.33203125" style="25" customWidth="1"/>
    <col min="5125" max="5126" width="2.6640625" style="25" customWidth="1"/>
    <col min="5127" max="5127" width="13.1640625" style="25" customWidth="1"/>
    <col min="5128" max="5128" width="17" style="25" customWidth="1"/>
    <col min="5129" max="5129" width="14.33203125" style="25" customWidth="1"/>
    <col min="5130" max="5130" width="2.6640625" style="25" customWidth="1"/>
    <col min="5131" max="5376" width="9.1640625" style="25"/>
    <col min="5377" max="5377" width="2.6640625" style="25" customWidth="1"/>
    <col min="5378" max="5378" width="13.1640625" style="25" customWidth="1"/>
    <col min="5379" max="5379" width="17" style="25" customWidth="1"/>
    <col min="5380" max="5380" width="14.33203125" style="25" customWidth="1"/>
    <col min="5381" max="5382" width="2.6640625" style="25" customWidth="1"/>
    <col min="5383" max="5383" width="13.1640625" style="25" customWidth="1"/>
    <col min="5384" max="5384" width="17" style="25" customWidth="1"/>
    <col min="5385" max="5385" width="14.33203125" style="25" customWidth="1"/>
    <col min="5386" max="5386" width="2.6640625" style="25" customWidth="1"/>
    <col min="5387" max="5632" width="9.1640625" style="25"/>
    <col min="5633" max="5633" width="2.6640625" style="25" customWidth="1"/>
    <col min="5634" max="5634" width="13.1640625" style="25" customWidth="1"/>
    <col min="5635" max="5635" width="17" style="25" customWidth="1"/>
    <col min="5636" max="5636" width="14.33203125" style="25" customWidth="1"/>
    <col min="5637" max="5638" width="2.6640625" style="25" customWidth="1"/>
    <col min="5639" max="5639" width="13.1640625" style="25" customWidth="1"/>
    <col min="5640" max="5640" width="17" style="25" customWidth="1"/>
    <col min="5641" max="5641" width="14.33203125" style="25" customWidth="1"/>
    <col min="5642" max="5642" width="2.6640625" style="25" customWidth="1"/>
    <col min="5643" max="5888" width="9.1640625" style="25"/>
    <col min="5889" max="5889" width="2.6640625" style="25" customWidth="1"/>
    <col min="5890" max="5890" width="13.1640625" style="25" customWidth="1"/>
    <col min="5891" max="5891" width="17" style="25" customWidth="1"/>
    <col min="5892" max="5892" width="14.33203125" style="25" customWidth="1"/>
    <col min="5893" max="5894" width="2.6640625" style="25" customWidth="1"/>
    <col min="5895" max="5895" width="13.1640625" style="25" customWidth="1"/>
    <col min="5896" max="5896" width="17" style="25" customWidth="1"/>
    <col min="5897" max="5897" width="14.33203125" style="25" customWidth="1"/>
    <col min="5898" max="5898" width="2.6640625" style="25" customWidth="1"/>
    <col min="5899" max="6144" width="9.1640625" style="25"/>
    <col min="6145" max="6145" width="2.6640625" style="25" customWidth="1"/>
    <col min="6146" max="6146" width="13.1640625" style="25" customWidth="1"/>
    <col min="6147" max="6147" width="17" style="25" customWidth="1"/>
    <col min="6148" max="6148" width="14.33203125" style="25" customWidth="1"/>
    <col min="6149" max="6150" width="2.6640625" style="25" customWidth="1"/>
    <col min="6151" max="6151" width="13.1640625" style="25" customWidth="1"/>
    <col min="6152" max="6152" width="17" style="25" customWidth="1"/>
    <col min="6153" max="6153" width="14.33203125" style="25" customWidth="1"/>
    <col min="6154" max="6154" width="2.6640625" style="25" customWidth="1"/>
    <col min="6155" max="6400" width="9.1640625" style="25"/>
    <col min="6401" max="6401" width="2.6640625" style="25" customWidth="1"/>
    <col min="6402" max="6402" width="13.1640625" style="25" customWidth="1"/>
    <col min="6403" max="6403" width="17" style="25" customWidth="1"/>
    <col min="6404" max="6404" width="14.33203125" style="25" customWidth="1"/>
    <col min="6405" max="6406" width="2.6640625" style="25" customWidth="1"/>
    <col min="6407" max="6407" width="13.1640625" style="25" customWidth="1"/>
    <col min="6408" max="6408" width="17" style="25" customWidth="1"/>
    <col min="6409" max="6409" width="14.33203125" style="25" customWidth="1"/>
    <col min="6410" max="6410" width="2.6640625" style="25" customWidth="1"/>
    <col min="6411" max="6656" width="9.1640625" style="25"/>
    <col min="6657" max="6657" width="2.6640625" style="25" customWidth="1"/>
    <col min="6658" max="6658" width="13.1640625" style="25" customWidth="1"/>
    <col min="6659" max="6659" width="17" style="25" customWidth="1"/>
    <col min="6660" max="6660" width="14.33203125" style="25" customWidth="1"/>
    <col min="6661" max="6662" width="2.6640625" style="25" customWidth="1"/>
    <col min="6663" max="6663" width="13.1640625" style="25" customWidth="1"/>
    <col min="6664" max="6664" width="17" style="25" customWidth="1"/>
    <col min="6665" max="6665" width="14.33203125" style="25" customWidth="1"/>
    <col min="6666" max="6666" width="2.6640625" style="25" customWidth="1"/>
    <col min="6667" max="6912" width="9.1640625" style="25"/>
    <col min="6913" max="6913" width="2.6640625" style="25" customWidth="1"/>
    <col min="6914" max="6914" width="13.1640625" style="25" customWidth="1"/>
    <col min="6915" max="6915" width="17" style="25" customWidth="1"/>
    <col min="6916" max="6916" width="14.33203125" style="25" customWidth="1"/>
    <col min="6917" max="6918" width="2.6640625" style="25" customWidth="1"/>
    <col min="6919" max="6919" width="13.1640625" style="25" customWidth="1"/>
    <col min="6920" max="6920" width="17" style="25" customWidth="1"/>
    <col min="6921" max="6921" width="14.33203125" style="25" customWidth="1"/>
    <col min="6922" max="6922" width="2.6640625" style="25" customWidth="1"/>
    <col min="6923" max="7168" width="9.1640625" style="25"/>
    <col min="7169" max="7169" width="2.6640625" style="25" customWidth="1"/>
    <col min="7170" max="7170" width="13.1640625" style="25" customWidth="1"/>
    <col min="7171" max="7171" width="17" style="25" customWidth="1"/>
    <col min="7172" max="7172" width="14.33203125" style="25" customWidth="1"/>
    <col min="7173" max="7174" width="2.6640625" style="25" customWidth="1"/>
    <col min="7175" max="7175" width="13.1640625" style="25" customWidth="1"/>
    <col min="7176" max="7176" width="17" style="25" customWidth="1"/>
    <col min="7177" max="7177" width="14.33203125" style="25" customWidth="1"/>
    <col min="7178" max="7178" width="2.6640625" style="25" customWidth="1"/>
    <col min="7179" max="7424" width="9.1640625" style="25"/>
    <col min="7425" max="7425" width="2.6640625" style="25" customWidth="1"/>
    <col min="7426" max="7426" width="13.1640625" style="25" customWidth="1"/>
    <col min="7427" max="7427" width="17" style="25" customWidth="1"/>
    <col min="7428" max="7428" width="14.33203125" style="25" customWidth="1"/>
    <col min="7429" max="7430" width="2.6640625" style="25" customWidth="1"/>
    <col min="7431" max="7431" width="13.1640625" style="25" customWidth="1"/>
    <col min="7432" max="7432" width="17" style="25" customWidth="1"/>
    <col min="7433" max="7433" width="14.33203125" style="25" customWidth="1"/>
    <col min="7434" max="7434" width="2.6640625" style="25" customWidth="1"/>
    <col min="7435" max="7680" width="9.1640625" style="25"/>
    <col min="7681" max="7681" width="2.6640625" style="25" customWidth="1"/>
    <col min="7682" max="7682" width="13.1640625" style="25" customWidth="1"/>
    <col min="7683" max="7683" width="17" style="25" customWidth="1"/>
    <col min="7684" max="7684" width="14.33203125" style="25" customWidth="1"/>
    <col min="7685" max="7686" width="2.6640625" style="25" customWidth="1"/>
    <col min="7687" max="7687" width="13.1640625" style="25" customWidth="1"/>
    <col min="7688" max="7688" width="17" style="25" customWidth="1"/>
    <col min="7689" max="7689" width="14.33203125" style="25" customWidth="1"/>
    <col min="7690" max="7690" width="2.6640625" style="25" customWidth="1"/>
    <col min="7691" max="7936" width="9.1640625" style="25"/>
    <col min="7937" max="7937" width="2.6640625" style="25" customWidth="1"/>
    <col min="7938" max="7938" width="13.1640625" style="25" customWidth="1"/>
    <col min="7939" max="7939" width="17" style="25" customWidth="1"/>
    <col min="7940" max="7940" width="14.33203125" style="25" customWidth="1"/>
    <col min="7941" max="7942" width="2.6640625" style="25" customWidth="1"/>
    <col min="7943" max="7943" width="13.1640625" style="25" customWidth="1"/>
    <col min="7944" max="7944" width="17" style="25" customWidth="1"/>
    <col min="7945" max="7945" width="14.33203125" style="25" customWidth="1"/>
    <col min="7946" max="7946" width="2.6640625" style="25" customWidth="1"/>
    <col min="7947" max="8192" width="9.1640625" style="25"/>
    <col min="8193" max="8193" width="2.6640625" style="25" customWidth="1"/>
    <col min="8194" max="8194" width="13.1640625" style="25" customWidth="1"/>
    <col min="8195" max="8195" width="17" style="25" customWidth="1"/>
    <col min="8196" max="8196" width="14.33203125" style="25" customWidth="1"/>
    <col min="8197" max="8198" width="2.6640625" style="25" customWidth="1"/>
    <col min="8199" max="8199" width="13.1640625" style="25" customWidth="1"/>
    <col min="8200" max="8200" width="17" style="25" customWidth="1"/>
    <col min="8201" max="8201" width="14.33203125" style="25" customWidth="1"/>
    <col min="8202" max="8202" width="2.6640625" style="25" customWidth="1"/>
    <col min="8203" max="8448" width="9.1640625" style="25"/>
    <col min="8449" max="8449" width="2.6640625" style="25" customWidth="1"/>
    <col min="8450" max="8450" width="13.1640625" style="25" customWidth="1"/>
    <col min="8451" max="8451" width="17" style="25" customWidth="1"/>
    <col min="8452" max="8452" width="14.33203125" style="25" customWidth="1"/>
    <col min="8453" max="8454" width="2.6640625" style="25" customWidth="1"/>
    <col min="8455" max="8455" width="13.1640625" style="25" customWidth="1"/>
    <col min="8456" max="8456" width="17" style="25" customWidth="1"/>
    <col min="8457" max="8457" width="14.33203125" style="25" customWidth="1"/>
    <col min="8458" max="8458" width="2.6640625" style="25" customWidth="1"/>
    <col min="8459" max="8704" width="9.1640625" style="25"/>
    <col min="8705" max="8705" width="2.6640625" style="25" customWidth="1"/>
    <col min="8706" max="8706" width="13.1640625" style="25" customWidth="1"/>
    <col min="8707" max="8707" width="17" style="25" customWidth="1"/>
    <col min="8708" max="8708" width="14.33203125" style="25" customWidth="1"/>
    <col min="8709" max="8710" width="2.6640625" style="25" customWidth="1"/>
    <col min="8711" max="8711" width="13.1640625" style="25" customWidth="1"/>
    <col min="8712" max="8712" width="17" style="25" customWidth="1"/>
    <col min="8713" max="8713" width="14.33203125" style="25" customWidth="1"/>
    <col min="8714" max="8714" width="2.6640625" style="25" customWidth="1"/>
    <col min="8715" max="8960" width="9.1640625" style="25"/>
    <col min="8961" max="8961" width="2.6640625" style="25" customWidth="1"/>
    <col min="8962" max="8962" width="13.1640625" style="25" customWidth="1"/>
    <col min="8963" max="8963" width="17" style="25" customWidth="1"/>
    <col min="8964" max="8964" width="14.33203125" style="25" customWidth="1"/>
    <col min="8965" max="8966" width="2.6640625" style="25" customWidth="1"/>
    <col min="8967" max="8967" width="13.1640625" style="25" customWidth="1"/>
    <col min="8968" max="8968" width="17" style="25" customWidth="1"/>
    <col min="8969" max="8969" width="14.33203125" style="25" customWidth="1"/>
    <col min="8970" max="8970" width="2.6640625" style="25" customWidth="1"/>
    <col min="8971" max="9216" width="9.1640625" style="25"/>
    <col min="9217" max="9217" width="2.6640625" style="25" customWidth="1"/>
    <col min="9218" max="9218" width="13.1640625" style="25" customWidth="1"/>
    <col min="9219" max="9219" width="17" style="25" customWidth="1"/>
    <col min="9220" max="9220" width="14.33203125" style="25" customWidth="1"/>
    <col min="9221" max="9222" width="2.6640625" style="25" customWidth="1"/>
    <col min="9223" max="9223" width="13.1640625" style="25" customWidth="1"/>
    <col min="9224" max="9224" width="17" style="25" customWidth="1"/>
    <col min="9225" max="9225" width="14.33203125" style="25" customWidth="1"/>
    <col min="9226" max="9226" width="2.6640625" style="25" customWidth="1"/>
    <col min="9227" max="9472" width="9.1640625" style="25"/>
    <col min="9473" max="9473" width="2.6640625" style="25" customWidth="1"/>
    <col min="9474" max="9474" width="13.1640625" style="25" customWidth="1"/>
    <col min="9475" max="9475" width="17" style="25" customWidth="1"/>
    <col min="9476" max="9476" width="14.33203125" style="25" customWidth="1"/>
    <col min="9477" max="9478" width="2.6640625" style="25" customWidth="1"/>
    <col min="9479" max="9479" width="13.1640625" style="25" customWidth="1"/>
    <col min="9480" max="9480" width="17" style="25" customWidth="1"/>
    <col min="9481" max="9481" width="14.33203125" style="25" customWidth="1"/>
    <col min="9482" max="9482" width="2.6640625" style="25" customWidth="1"/>
    <col min="9483" max="9728" width="9.1640625" style="25"/>
    <col min="9729" max="9729" width="2.6640625" style="25" customWidth="1"/>
    <col min="9730" max="9730" width="13.1640625" style="25" customWidth="1"/>
    <col min="9731" max="9731" width="17" style="25" customWidth="1"/>
    <col min="9732" max="9732" width="14.33203125" style="25" customWidth="1"/>
    <col min="9733" max="9734" width="2.6640625" style="25" customWidth="1"/>
    <col min="9735" max="9735" width="13.1640625" style="25" customWidth="1"/>
    <col min="9736" max="9736" width="17" style="25" customWidth="1"/>
    <col min="9737" max="9737" width="14.33203125" style="25" customWidth="1"/>
    <col min="9738" max="9738" width="2.6640625" style="25" customWidth="1"/>
    <col min="9739" max="9984" width="9.1640625" style="25"/>
    <col min="9985" max="9985" width="2.6640625" style="25" customWidth="1"/>
    <col min="9986" max="9986" width="13.1640625" style="25" customWidth="1"/>
    <col min="9987" max="9987" width="17" style="25" customWidth="1"/>
    <col min="9988" max="9988" width="14.33203125" style="25" customWidth="1"/>
    <col min="9989" max="9990" width="2.6640625" style="25" customWidth="1"/>
    <col min="9991" max="9991" width="13.1640625" style="25" customWidth="1"/>
    <col min="9992" max="9992" width="17" style="25" customWidth="1"/>
    <col min="9993" max="9993" width="14.33203125" style="25" customWidth="1"/>
    <col min="9994" max="9994" width="2.6640625" style="25" customWidth="1"/>
    <col min="9995" max="10240" width="9.1640625" style="25"/>
    <col min="10241" max="10241" width="2.6640625" style="25" customWidth="1"/>
    <col min="10242" max="10242" width="13.1640625" style="25" customWidth="1"/>
    <col min="10243" max="10243" width="17" style="25" customWidth="1"/>
    <col min="10244" max="10244" width="14.33203125" style="25" customWidth="1"/>
    <col min="10245" max="10246" width="2.6640625" style="25" customWidth="1"/>
    <col min="10247" max="10247" width="13.1640625" style="25" customWidth="1"/>
    <col min="10248" max="10248" width="17" style="25" customWidth="1"/>
    <col min="10249" max="10249" width="14.33203125" style="25" customWidth="1"/>
    <col min="10250" max="10250" width="2.6640625" style="25" customWidth="1"/>
    <col min="10251" max="10496" width="9.1640625" style="25"/>
    <col min="10497" max="10497" width="2.6640625" style="25" customWidth="1"/>
    <col min="10498" max="10498" width="13.1640625" style="25" customWidth="1"/>
    <col min="10499" max="10499" width="17" style="25" customWidth="1"/>
    <col min="10500" max="10500" width="14.33203125" style="25" customWidth="1"/>
    <col min="10501" max="10502" width="2.6640625" style="25" customWidth="1"/>
    <col min="10503" max="10503" width="13.1640625" style="25" customWidth="1"/>
    <col min="10504" max="10504" width="17" style="25" customWidth="1"/>
    <col min="10505" max="10505" width="14.33203125" style="25" customWidth="1"/>
    <col min="10506" max="10506" width="2.6640625" style="25" customWidth="1"/>
    <col min="10507" max="10752" width="9.1640625" style="25"/>
    <col min="10753" max="10753" width="2.6640625" style="25" customWidth="1"/>
    <col min="10754" max="10754" width="13.1640625" style="25" customWidth="1"/>
    <col min="10755" max="10755" width="17" style="25" customWidth="1"/>
    <col min="10756" max="10756" width="14.33203125" style="25" customWidth="1"/>
    <col min="10757" max="10758" width="2.6640625" style="25" customWidth="1"/>
    <col min="10759" max="10759" width="13.1640625" style="25" customWidth="1"/>
    <col min="10760" max="10760" width="17" style="25" customWidth="1"/>
    <col min="10761" max="10761" width="14.33203125" style="25" customWidth="1"/>
    <col min="10762" max="10762" width="2.6640625" style="25" customWidth="1"/>
    <col min="10763" max="11008" width="9.1640625" style="25"/>
    <col min="11009" max="11009" width="2.6640625" style="25" customWidth="1"/>
    <col min="11010" max="11010" width="13.1640625" style="25" customWidth="1"/>
    <col min="11011" max="11011" width="17" style="25" customWidth="1"/>
    <col min="11012" max="11012" width="14.33203125" style="25" customWidth="1"/>
    <col min="11013" max="11014" width="2.6640625" style="25" customWidth="1"/>
    <col min="11015" max="11015" width="13.1640625" style="25" customWidth="1"/>
    <col min="11016" max="11016" width="17" style="25" customWidth="1"/>
    <col min="11017" max="11017" width="14.33203125" style="25" customWidth="1"/>
    <col min="11018" max="11018" width="2.6640625" style="25" customWidth="1"/>
    <col min="11019" max="11264" width="9.1640625" style="25"/>
    <col min="11265" max="11265" width="2.6640625" style="25" customWidth="1"/>
    <col min="11266" max="11266" width="13.1640625" style="25" customWidth="1"/>
    <col min="11267" max="11267" width="17" style="25" customWidth="1"/>
    <col min="11268" max="11268" width="14.33203125" style="25" customWidth="1"/>
    <col min="11269" max="11270" width="2.6640625" style="25" customWidth="1"/>
    <col min="11271" max="11271" width="13.1640625" style="25" customWidth="1"/>
    <col min="11272" max="11272" width="17" style="25" customWidth="1"/>
    <col min="11273" max="11273" width="14.33203125" style="25" customWidth="1"/>
    <col min="11274" max="11274" width="2.6640625" style="25" customWidth="1"/>
    <col min="11275" max="11520" width="9.1640625" style="25"/>
    <col min="11521" max="11521" width="2.6640625" style="25" customWidth="1"/>
    <col min="11522" max="11522" width="13.1640625" style="25" customWidth="1"/>
    <col min="11523" max="11523" width="17" style="25" customWidth="1"/>
    <col min="11524" max="11524" width="14.33203125" style="25" customWidth="1"/>
    <col min="11525" max="11526" width="2.6640625" style="25" customWidth="1"/>
    <col min="11527" max="11527" width="13.1640625" style="25" customWidth="1"/>
    <col min="11528" max="11528" width="17" style="25" customWidth="1"/>
    <col min="11529" max="11529" width="14.33203125" style="25" customWidth="1"/>
    <col min="11530" max="11530" width="2.6640625" style="25" customWidth="1"/>
    <col min="11531" max="11776" width="9.1640625" style="25"/>
    <col min="11777" max="11777" width="2.6640625" style="25" customWidth="1"/>
    <col min="11778" max="11778" width="13.1640625" style="25" customWidth="1"/>
    <col min="11779" max="11779" width="17" style="25" customWidth="1"/>
    <col min="11780" max="11780" width="14.33203125" style="25" customWidth="1"/>
    <col min="11781" max="11782" width="2.6640625" style="25" customWidth="1"/>
    <col min="11783" max="11783" width="13.1640625" style="25" customWidth="1"/>
    <col min="11784" max="11784" width="17" style="25" customWidth="1"/>
    <col min="11785" max="11785" width="14.33203125" style="25" customWidth="1"/>
    <col min="11786" max="11786" width="2.6640625" style="25" customWidth="1"/>
    <col min="11787" max="12032" width="9.1640625" style="25"/>
    <col min="12033" max="12033" width="2.6640625" style="25" customWidth="1"/>
    <col min="12034" max="12034" width="13.1640625" style="25" customWidth="1"/>
    <col min="12035" max="12035" width="17" style="25" customWidth="1"/>
    <col min="12036" max="12036" width="14.33203125" style="25" customWidth="1"/>
    <col min="12037" max="12038" width="2.6640625" style="25" customWidth="1"/>
    <col min="12039" max="12039" width="13.1640625" style="25" customWidth="1"/>
    <col min="12040" max="12040" width="17" style="25" customWidth="1"/>
    <col min="12041" max="12041" width="14.33203125" style="25" customWidth="1"/>
    <col min="12042" max="12042" width="2.6640625" style="25" customWidth="1"/>
    <col min="12043" max="12288" width="9.1640625" style="25"/>
    <col min="12289" max="12289" width="2.6640625" style="25" customWidth="1"/>
    <col min="12290" max="12290" width="13.1640625" style="25" customWidth="1"/>
    <col min="12291" max="12291" width="17" style="25" customWidth="1"/>
    <col min="12292" max="12292" width="14.33203125" style="25" customWidth="1"/>
    <col min="12293" max="12294" width="2.6640625" style="25" customWidth="1"/>
    <col min="12295" max="12295" width="13.1640625" style="25" customWidth="1"/>
    <col min="12296" max="12296" width="17" style="25" customWidth="1"/>
    <col min="12297" max="12297" width="14.33203125" style="25" customWidth="1"/>
    <col min="12298" max="12298" width="2.6640625" style="25" customWidth="1"/>
    <col min="12299" max="12544" width="9.1640625" style="25"/>
    <col min="12545" max="12545" width="2.6640625" style="25" customWidth="1"/>
    <col min="12546" max="12546" width="13.1640625" style="25" customWidth="1"/>
    <col min="12547" max="12547" width="17" style="25" customWidth="1"/>
    <col min="12548" max="12548" width="14.33203125" style="25" customWidth="1"/>
    <col min="12549" max="12550" width="2.6640625" style="25" customWidth="1"/>
    <col min="12551" max="12551" width="13.1640625" style="25" customWidth="1"/>
    <col min="12552" max="12552" width="17" style="25" customWidth="1"/>
    <col min="12553" max="12553" width="14.33203125" style="25" customWidth="1"/>
    <col min="12554" max="12554" width="2.6640625" style="25" customWidth="1"/>
    <col min="12555" max="12800" width="9.1640625" style="25"/>
    <col min="12801" max="12801" width="2.6640625" style="25" customWidth="1"/>
    <col min="12802" max="12802" width="13.1640625" style="25" customWidth="1"/>
    <col min="12803" max="12803" width="17" style="25" customWidth="1"/>
    <col min="12804" max="12804" width="14.33203125" style="25" customWidth="1"/>
    <col min="12805" max="12806" width="2.6640625" style="25" customWidth="1"/>
    <col min="12807" max="12807" width="13.1640625" style="25" customWidth="1"/>
    <col min="12808" max="12808" width="17" style="25" customWidth="1"/>
    <col min="12809" max="12809" width="14.33203125" style="25" customWidth="1"/>
    <col min="12810" max="12810" width="2.6640625" style="25" customWidth="1"/>
    <col min="12811" max="13056" width="9.1640625" style="25"/>
    <col min="13057" max="13057" width="2.6640625" style="25" customWidth="1"/>
    <col min="13058" max="13058" width="13.1640625" style="25" customWidth="1"/>
    <col min="13059" max="13059" width="17" style="25" customWidth="1"/>
    <col min="13060" max="13060" width="14.33203125" style="25" customWidth="1"/>
    <col min="13061" max="13062" width="2.6640625" style="25" customWidth="1"/>
    <col min="13063" max="13063" width="13.1640625" style="25" customWidth="1"/>
    <col min="13064" max="13064" width="17" style="25" customWidth="1"/>
    <col min="13065" max="13065" width="14.33203125" style="25" customWidth="1"/>
    <col min="13066" max="13066" width="2.6640625" style="25" customWidth="1"/>
    <col min="13067" max="13312" width="9.1640625" style="25"/>
    <col min="13313" max="13313" width="2.6640625" style="25" customWidth="1"/>
    <col min="13314" max="13314" width="13.1640625" style="25" customWidth="1"/>
    <col min="13315" max="13315" width="17" style="25" customWidth="1"/>
    <col min="13316" max="13316" width="14.33203125" style="25" customWidth="1"/>
    <col min="13317" max="13318" width="2.6640625" style="25" customWidth="1"/>
    <col min="13319" max="13319" width="13.1640625" style="25" customWidth="1"/>
    <col min="13320" max="13320" width="17" style="25" customWidth="1"/>
    <col min="13321" max="13321" width="14.33203125" style="25" customWidth="1"/>
    <col min="13322" max="13322" width="2.6640625" style="25" customWidth="1"/>
    <col min="13323" max="13568" width="9.1640625" style="25"/>
    <col min="13569" max="13569" width="2.6640625" style="25" customWidth="1"/>
    <col min="13570" max="13570" width="13.1640625" style="25" customWidth="1"/>
    <col min="13571" max="13571" width="17" style="25" customWidth="1"/>
    <col min="13572" max="13572" width="14.33203125" style="25" customWidth="1"/>
    <col min="13573" max="13574" width="2.6640625" style="25" customWidth="1"/>
    <col min="13575" max="13575" width="13.1640625" style="25" customWidth="1"/>
    <col min="13576" max="13576" width="17" style="25" customWidth="1"/>
    <col min="13577" max="13577" width="14.33203125" style="25" customWidth="1"/>
    <col min="13578" max="13578" width="2.6640625" style="25" customWidth="1"/>
    <col min="13579" max="13824" width="9.1640625" style="25"/>
    <col min="13825" max="13825" width="2.6640625" style="25" customWidth="1"/>
    <col min="13826" max="13826" width="13.1640625" style="25" customWidth="1"/>
    <col min="13827" max="13827" width="17" style="25" customWidth="1"/>
    <col min="13828" max="13828" width="14.33203125" style="25" customWidth="1"/>
    <col min="13829" max="13830" width="2.6640625" style="25" customWidth="1"/>
    <col min="13831" max="13831" width="13.1640625" style="25" customWidth="1"/>
    <col min="13832" max="13832" width="17" style="25" customWidth="1"/>
    <col min="13833" max="13833" width="14.33203125" style="25" customWidth="1"/>
    <col min="13834" max="13834" width="2.6640625" style="25" customWidth="1"/>
    <col min="13835" max="14080" width="9.1640625" style="25"/>
    <col min="14081" max="14081" width="2.6640625" style="25" customWidth="1"/>
    <col min="14082" max="14082" width="13.1640625" style="25" customWidth="1"/>
    <col min="14083" max="14083" width="17" style="25" customWidth="1"/>
    <col min="14084" max="14084" width="14.33203125" style="25" customWidth="1"/>
    <col min="14085" max="14086" width="2.6640625" style="25" customWidth="1"/>
    <col min="14087" max="14087" width="13.1640625" style="25" customWidth="1"/>
    <col min="14088" max="14088" width="17" style="25" customWidth="1"/>
    <col min="14089" max="14089" width="14.33203125" style="25" customWidth="1"/>
    <col min="14090" max="14090" width="2.6640625" style="25" customWidth="1"/>
    <col min="14091" max="14336" width="9.1640625" style="25"/>
    <col min="14337" max="14337" width="2.6640625" style="25" customWidth="1"/>
    <col min="14338" max="14338" width="13.1640625" style="25" customWidth="1"/>
    <col min="14339" max="14339" width="17" style="25" customWidth="1"/>
    <col min="14340" max="14340" width="14.33203125" style="25" customWidth="1"/>
    <col min="14341" max="14342" width="2.6640625" style="25" customWidth="1"/>
    <col min="14343" max="14343" width="13.1640625" style="25" customWidth="1"/>
    <col min="14344" max="14344" width="17" style="25" customWidth="1"/>
    <col min="14345" max="14345" width="14.33203125" style="25" customWidth="1"/>
    <col min="14346" max="14346" width="2.6640625" style="25" customWidth="1"/>
    <col min="14347" max="14592" width="9.1640625" style="25"/>
    <col min="14593" max="14593" width="2.6640625" style="25" customWidth="1"/>
    <col min="14594" max="14594" width="13.1640625" style="25" customWidth="1"/>
    <col min="14595" max="14595" width="17" style="25" customWidth="1"/>
    <col min="14596" max="14596" width="14.33203125" style="25" customWidth="1"/>
    <col min="14597" max="14598" width="2.6640625" style="25" customWidth="1"/>
    <col min="14599" max="14599" width="13.1640625" style="25" customWidth="1"/>
    <col min="14600" max="14600" width="17" style="25" customWidth="1"/>
    <col min="14601" max="14601" width="14.33203125" style="25" customWidth="1"/>
    <col min="14602" max="14602" width="2.6640625" style="25" customWidth="1"/>
    <col min="14603" max="14848" width="9.1640625" style="25"/>
    <col min="14849" max="14849" width="2.6640625" style="25" customWidth="1"/>
    <col min="14850" max="14850" width="13.1640625" style="25" customWidth="1"/>
    <col min="14851" max="14851" width="17" style="25" customWidth="1"/>
    <col min="14852" max="14852" width="14.33203125" style="25" customWidth="1"/>
    <col min="14853" max="14854" width="2.6640625" style="25" customWidth="1"/>
    <col min="14855" max="14855" width="13.1640625" style="25" customWidth="1"/>
    <col min="14856" max="14856" width="17" style="25" customWidth="1"/>
    <col min="14857" max="14857" width="14.33203125" style="25" customWidth="1"/>
    <col min="14858" max="14858" width="2.6640625" style="25" customWidth="1"/>
    <col min="14859" max="15104" width="9.1640625" style="25"/>
    <col min="15105" max="15105" width="2.6640625" style="25" customWidth="1"/>
    <col min="15106" max="15106" width="13.1640625" style="25" customWidth="1"/>
    <col min="15107" max="15107" width="17" style="25" customWidth="1"/>
    <col min="15108" max="15108" width="14.33203125" style="25" customWidth="1"/>
    <col min="15109" max="15110" width="2.6640625" style="25" customWidth="1"/>
    <col min="15111" max="15111" width="13.1640625" style="25" customWidth="1"/>
    <col min="15112" max="15112" width="17" style="25" customWidth="1"/>
    <col min="15113" max="15113" width="14.33203125" style="25" customWidth="1"/>
    <col min="15114" max="15114" width="2.6640625" style="25" customWidth="1"/>
    <col min="15115" max="15360" width="9.1640625" style="25"/>
    <col min="15361" max="15361" width="2.6640625" style="25" customWidth="1"/>
    <col min="15362" max="15362" width="13.1640625" style="25" customWidth="1"/>
    <col min="15363" max="15363" width="17" style="25" customWidth="1"/>
    <col min="15364" max="15364" width="14.33203125" style="25" customWidth="1"/>
    <col min="15365" max="15366" width="2.6640625" style="25" customWidth="1"/>
    <col min="15367" max="15367" width="13.1640625" style="25" customWidth="1"/>
    <col min="15368" max="15368" width="17" style="25" customWidth="1"/>
    <col min="15369" max="15369" width="14.33203125" style="25" customWidth="1"/>
    <col min="15370" max="15370" width="2.6640625" style="25" customWidth="1"/>
    <col min="15371" max="15616" width="9.1640625" style="25"/>
    <col min="15617" max="15617" width="2.6640625" style="25" customWidth="1"/>
    <col min="15618" max="15618" width="13.1640625" style="25" customWidth="1"/>
    <col min="15619" max="15619" width="17" style="25" customWidth="1"/>
    <col min="15620" max="15620" width="14.33203125" style="25" customWidth="1"/>
    <col min="15621" max="15622" width="2.6640625" style="25" customWidth="1"/>
    <col min="15623" max="15623" width="13.1640625" style="25" customWidth="1"/>
    <col min="15624" max="15624" width="17" style="25" customWidth="1"/>
    <col min="15625" max="15625" width="14.33203125" style="25" customWidth="1"/>
    <col min="15626" max="15626" width="2.6640625" style="25" customWidth="1"/>
    <col min="15627" max="15872" width="9.1640625" style="25"/>
    <col min="15873" max="15873" width="2.6640625" style="25" customWidth="1"/>
    <col min="15874" max="15874" width="13.1640625" style="25" customWidth="1"/>
    <col min="15875" max="15875" width="17" style="25" customWidth="1"/>
    <col min="15876" max="15876" width="14.33203125" style="25" customWidth="1"/>
    <col min="15877" max="15878" width="2.6640625" style="25" customWidth="1"/>
    <col min="15879" max="15879" width="13.1640625" style="25" customWidth="1"/>
    <col min="15880" max="15880" width="17" style="25" customWidth="1"/>
    <col min="15881" max="15881" width="14.33203125" style="25" customWidth="1"/>
    <col min="15882" max="15882" width="2.6640625" style="25" customWidth="1"/>
    <col min="15883" max="16128" width="9.1640625" style="25"/>
    <col min="16129" max="16129" width="2.6640625" style="25" customWidth="1"/>
    <col min="16130" max="16130" width="13.1640625" style="25" customWidth="1"/>
    <col min="16131" max="16131" width="17" style="25" customWidth="1"/>
    <col min="16132" max="16132" width="14.33203125" style="25" customWidth="1"/>
    <col min="16133" max="16134" width="2.6640625" style="25" customWidth="1"/>
    <col min="16135" max="16135" width="13.1640625" style="25" customWidth="1"/>
    <col min="16136" max="16136" width="17" style="25" customWidth="1"/>
    <col min="16137" max="16137" width="14.33203125" style="25" customWidth="1"/>
    <col min="16138" max="16138" width="2.6640625" style="25" customWidth="1"/>
    <col min="16139" max="16384" width="9.1640625" style="25"/>
  </cols>
  <sheetData>
    <row r="1" spans="2:9" s="25" customFormat="1" ht="25" customHeight="1" thickBot="1" x14ac:dyDescent="0.2">
      <c r="B1" s="24" t="s">
        <v>16</v>
      </c>
      <c r="C1" s="24"/>
      <c r="D1" s="24"/>
      <c r="E1" s="24"/>
      <c r="F1" s="24"/>
      <c r="G1" s="24"/>
      <c r="H1" s="24"/>
      <c r="I1" s="24"/>
    </row>
    <row r="2" spans="2:9" s="25" customFormat="1" ht="14" thickTop="1" thickBot="1" x14ac:dyDescent="0.2"/>
    <row r="3" spans="2:9" s="25" customFormat="1" ht="15" x14ac:dyDescent="0.2">
      <c r="B3" s="26" t="s">
        <v>17</v>
      </c>
      <c r="C3" s="27"/>
      <c r="D3" s="28"/>
      <c r="G3" s="29" t="s">
        <v>26</v>
      </c>
      <c r="H3" s="30"/>
      <c r="I3" s="30"/>
    </row>
    <row r="4" spans="2:9" s="25" customFormat="1" x14ac:dyDescent="0.15">
      <c r="B4" s="31" t="s">
        <v>18</v>
      </c>
      <c r="C4" s="32">
        <v>0.40204024251103504</v>
      </c>
      <c r="D4" s="33"/>
      <c r="G4" s="34" t="s">
        <v>18</v>
      </c>
      <c r="H4" s="32">
        <v>0.43781061956830453</v>
      </c>
    </row>
    <row r="5" spans="2:9" s="25" customFormat="1" x14ac:dyDescent="0.15">
      <c r="B5" s="31" t="s">
        <v>19</v>
      </c>
      <c r="C5" s="32">
        <v>7.6799190445578968E-3</v>
      </c>
      <c r="D5" s="33"/>
      <c r="G5" s="34" t="s">
        <v>15</v>
      </c>
      <c r="H5" s="32">
        <v>0.43575742095314091</v>
      </c>
    </row>
    <row r="6" spans="2:9" s="25" customFormat="1" x14ac:dyDescent="0.15">
      <c r="B6" s="31" t="s">
        <v>15</v>
      </c>
      <c r="C6" s="32">
        <v>0.39915824841042769</v>
      </c>
      <c r="D6" s="33"/>
      <c r="G6" s="34" t="s">
        <v>20</v>
      </c>
      <c r="H6" s="35">
        <v>12</v>
      </c>
    </row>
    <row r="7" spans="2:9" s="25" customFormat="1" x14ac:dyDescent="0.15">
      <c r="B7" s="31" t="s">
        <v>20</v>
      </c>
      <c r="C7" s="35">
        <v>12</v>
      </c>
      <c r="D7" s="33"/>
      <c r="G7" s="34" t="s">
        <v>21</v>
      </c>
      <c r="H7" s="32">
        <v>45.820574305302443</v>
      </c>
    </row>
    <row r="8" spans="2:9" s="25" customFormat="1" x14ac:dyDescent="0.15">
      <c r="B8" s="31" t="s">
        <v>21</v>
      </c>
      <c r="C8" s="32">
        <v>45.568682759680229</v>
      </c>
      <c r="D8" s="33"/>
      <c r="G8" s="34" t="s">
        <v>22</v>
      </c>
      <c r="H8" s="32">
        <v>2099.5250296677427</v>
      </c>
    </row>
    <row r="9" spans="2:9" s="25" customFormat="1" x14ac:dyDescent="0.15">
      <c r="B9" s="31" t="s">
        <v>22</v>
      </c>
      <c r="C9" s="32">
        <v>2076.5048484523782</v>
      </c>
      <c r="D9" s="33"/>
      <c r="G9" s="34" t="s">
        <v>23</v>
      </c>
      <c r="H9" s="32">
        <v>35.915542249579524</v>
      </c>
    </row>
    <row r="10" spans="2:9" s="25" customFormat="1" x14ac:dyDescent="0.15">
      <c r="B10" s="31" t="s">
        <v>23</v>
      </c>
      <c r="C10" s="32">
        <v>35.634337996609034</v>
      </c>
      <c r="D10" s="33"/>
      <c r="G10" s="34" t="s">
        <v>24</v>
      </c>
      <c r="H10" s="36">
        <v>2.6148397522382242E-2</v>
      </c>
    </row>
    <row r="11" spans="2:9" s="25" customFormat="1" x14ac:dyDescent="0.15">
      <c r="B11" s="31" t="s">
        <v>24</v>
      </c>
      <c r="C11" s="36">
        <v>2.6011842626168617E-2</v>
      </c>
      <c r="D11" s="33"/>
      <c r="G11" s="34" t="s">
        <v>25</v>
      </c>
      <c r="H11" s="32">
        <v>0.55531288819604041</v>
      </c>
    </row>
    <row r="12" spans="2:9" s="25" customFormat="1" ht="13" thickBot="1" x14ac:dyDescent="0.2">
      <c r="B12" s="37" t="s">
        <v>25</v>
      </c>
      <c r="C12" s="38">
        <v>0.55353093153149124</v>
      </c>
      <c r="D12" s="39"/>
      <c r="G12" s="34"/>
      <c r="H12" s="40"/>
    </row>
    <row r="13" spans="2:9" s="25" customFormat="1" x14ac:dyDescent="0.15">
      <c r="B13" s="34"/>
      <c r="C13" s="40"/>
    </row>
    <row r="15" spans="2:9" s="25" customFormat="1" ht="15" x14ac:dyDescent="0.2">
      <c r="B15" s="41" t="s">
        <v>27</v>
      </c>
      <c r="C15" s="30"/>
      <c r="D15" s="30"/>
      <c r="G15" s="41" t="s">
        <v>28</v>
      </c>
      <c r="H15" s="30"/>
      <c r="I15" s="30"/>
    </row>
    <row r="16" spans="2:9" s="25" customFormat="1" x14ac:dyDescent="0.15">
      <c r="B16" s="34" t="s">
        <v>18</v>
      </c>
      <c r="C16" s="32">
        <v>0.41616041565009121</v>
      </c>
      <c r="G16" s="34" t="s">
        <v>18</v>
      </c>
      <c r="H16" s="32">
        <v>0.45468273852751701</v>
      </c>
    </row>
    <row r="17" spans="2:9" s="25" customFormat="1" x14ac:dyDescent="0.15">
      <c r="B17" s="34" t="s">
        <v>19</v>
      </c>
      <c r="C17" s="32">
        <v>6.8850174310127882E-3</v>
      </c>
      <c r="G17" s="34" t="s">
        <v>15</v>
      </c>
      <c r="H17" s="32">
        <v>0.50507715077827664</v>
      </c>
    </row>
    <row r="18" spans="2:9" s="25" customFormat="1" x14ac:dyDescent="0.15">
      <c r="B18" s="34" t="s">
        <v>15</v>
      </c>
      <c r="C18" s="32">
        <v>0.46987216646445568</v>
      </c>
      <c r="G18" s="34" t="s">
        <v>20</v>
      </c>
      <c r="H18" s="35">
        <v>12</v>
      </c>
    </row>
    <row r="19" spans="2:9" s="25" customFormat="1" x14ac:dyDescent="0.15">
      <c r="B19" s="34" t="s">
        <v>20</v>
      </c>
      <c r="C19" s="35">
        <v>12</v>
      </c>
      <c r="G19" s="34" t="s">
        <v>21</v>
      </c>
      <c r="H19" s="32">
        <v>46.290126308952708</v>
      </c>
    </row>
    <row r="20" spans="2:9" s="25" customFormat="1" x14ac:dyDescent="0.15">
      <c r="B20" s="34" t="s">
        <v>21</v>
      </c>
      <c r="C20" s="32">
        <v>46.085171151559479</v>
      </c>
      <c r="G20" s="34" t="s">
        <v>22</v>
      </c>
      <c r="H20" s="32">
        <v>2142.7757936987955</v>
      </c>
    </row>
    <row r="21" spans="2:9" s="25" customFormat="1" x14ac:dyDescent="0.15">
      <c r="B21" s="34" t="s">
        <v>22</v>
      </c>
      <c r="C21" s="32">
        <v>2123.8430000685303</v>
      </c>
      <c r="G21" s="34" t="s">
        <v>23</v>
      </c>
      <c r="H21" s="32">
        <v>36.375498123846853</v>
      </c>
    </row>
    <row r="22" spans="2:9" s="25" customFormat="1" x14ac:dyDescent="0.15">
      <c r="B22" s="34" t="s">
        <v>23</v>
      </c>
      <c r="C22" s="32">
        <v>36.011481573510139</v>
      </c>
      <c r="G22" s="34" t="s">
        <v>24</v>
      </c>
      <c r="H22" s="36">
        <v>2.6361693553429426E-2</v>
      </c>
    </row>
    <row r="23" spans="2:9" s="25" customFormat="1" x14ac:dyDescent="0.15">
      <c r="B23" s="34" t="s">
        <v>24</v>
      </c>
      <c r="C23" s="36">
        <v>2.616580434751609E-2</v>
      </c>
      <c r="G23" s="34" t="s">
        <v>25</v>
      </c>
      <c r="H23" s="32">
        <v>0.55748679769959653</v>
      </c>
    </row>
    <row r="24" spans="2:9" s="25" customFormat="1" x14ac:dyDescent="0.15">
      <c r="B24" s="34" t="s">
        <v>25</v>
      </c>
      <c r="C24" s="32">
        <v>0.55604957984923076</v>
      </c>
      <c r="G24" s="34"/>
      <c r="H24" s="40"/>
    </row>
    <row r="25" spans="2:9" s="25" customFormat="1" x14ac:dyDescent="0.15">
      <c r="B25" s="34"/>
      <c r="C25" s="40"/>
    </row>
    <row r="27" spans="2:9" s="25" customFormat="1" ht="15" x14ac:dyDescent="0.2">
      <c r="B27" s="41" t="s">
        <v>29</v>
      </c>
      <c r="C27" s="30"/>
      <c r="D27" s="30"/>
      <c r="G27" s="41" t="s">
        <v>30</v>
      </c>
      <c r="H27" s="30"/>
      <c r="I27" s="30"/>
    </row>
    <row r="28" spans="2:9" s="25" customFormat="1" x14ac:dyDescent="0.15">
      <c r="B28" s="34" t="s">
        <v>18</v>
      </c>
      <c r="C28" s="32">
        <v>0.24790158253313568</v>
      </c>
      <c r="G28" s="34" t="s">
        <v>18</v>
      </c>
      <c r="H28" s="32">
        <v>0.32294394802965348</v>
      </c>
    </row>
    <row r="29" spans="2:9" s="25" customFormat="1" x14ac:dyDescent="0.15">
      <c r="B29" s="34" t="s">
        <v>19</v>
      </c>
      <c r="C29" s="32">
        <v>8.405677596478445E-3</v>
      </c>
      <c r="G29" s="34" t="s">
        <v>21</v>
      </c>
      <c r="H29" s="32">
        <v>72.637856568829037</v>
      </c>
    </row>
    <row r="30" spans="2:9" s="25" customFormat="1" x14ac:dyDescent="0.15">
      <c r="B30" s="34" t="s">
        <v>21</v>
      </c>
      <c r="C30" s="32">
        <v>72.540130607437959</v>
      </c>
      <c r="G30" s="34" t="s">
        <v>22</v>
      </c>
      <c r="H30" s="32">
        <v>5276.2582069137788</v>
      </c>
    </row>
    <row r="31" spans="2:9" s="25" customFormat="1" x14ac:dyDescent="0.15">
      <c r="B31" s="34" t="s">
        <v>22</v>
      </c>
      <c r="C31" s="32">
        <v>5262.0705485441576</v>
      </c>
      <c r="G31" s="34" t="s">
        <v>23</v>
      </c>
      <c r="H31" s="32">
        <v>56.488533404492713</v>
      </c>
    </row>
    <row r="32" spans="2:9" s="25" customFormat="1" x14ac:dyDescent="0.15">
      <c r="B32" s="34" t="s">
        <v>23</v>
      </c>
      <c r="C32" s="32">
        <v>57.26785486740107</v>
      </c>
      <c r="G32" s="34" t="s">
        <v>24</v>
      </c>
      <c r="H32" s="36">
        <v>3.9953230934106743E-2</v>
      </c>
    </row>
    <row r="33" spans="2:9" s="25" customFormat="1" x14ac:dyDescent="0.15">
      <c r="B33" s="34" t="s">
        <v>24</v>
      </c>
      <c r="C33" s="36">
        <v>4.058742178440751E-2</v>
      </c>
      <c r="G33" s="34" t="s">
        <v>25</v>
      </c>
      <c r="H33" s="32">
        <v>0.85074218932181778</v>
      </c>
    </row>
    <row r="34" spans="2:9" s="25" customFormat="1" x14ac:dyDescent="0.15">
      <c r="B34" s="34" t="s">
        <v>25</v>
      </c>
      <c r="C34" s="32">
        <v>0.84638867810391605</v>
      </c>
      <c r="G34" s="34"/>
      <c r="H34" s="40"/>
    </row>
    <row r="35" spans="2:9" s="25" customFormat="1" x14ac:dyDescent="0.15">
      <c r="B35" s="34"/>
      <c r="C35" s="40"/>
    </row>
    <row r="37" spans="2:9" s="25" customFormat="1" ht="15" x14ac:dyDescent="0.2">
      <c r="B37" s="41" t="s">
        <v>31</v>
      </c>
      <c r="C37" s="30"/>
      <c r="D37" s="30"/>
      <c r="G37" s="41" t="s">
        <v>32</v>
      </c>
      <c r="H37" s="30"/>
      <c r="I37" s="30"/>
    </row>
    <row r="38" spans="2:9" s="25" customFormat="1" x14ac:dyDescent="0.15">
      <c r="B38" s="34"/>
      <c r="C38" s="35">
        <v>3</v>
      </c>
      <c r="G38" s="34"/>
      <c r="H38" s="35">
        <v>13</v>
      </c>
    </row>
    <row r="39" spans="2:9" s="25" customFormat="1" x14ac:dyDescent="0.15">
      <c r="B39" s="34" t="s">
        <v>21</v>
      </c>
      <c r="C39" s="32">
        <v>73.673470887640647</v>
      </c>
      <c r="G39" s="34" t="s">
        <v>21</v>
      </c>
      <c r="H39" s="32">
        <v>75.425296689177912</v>
      </c>
    </row>
    <row r="40" spans="2:9" s="25" customFormat="1" x14ac:dyDescent="0.15">
      <c r="B40" s="34" t="s">
        <v>22</v>
      </c>
      <c r="C40" s="32">
        <v>5427.7803126320332</v>
      </c>
      <c r="G40" s="34" t="s">
        <v>22</v>
      </c>
      <c r="H40" s="32">
        <v>5688.9753806505132</v>
      </c>
    </row>
    <row r="41" spans="2:9" s="25" customFormat="1" x14ac:dyDescent="0.15">
      <c r="B41" s="34" t="s">
        <v>23</v>
      </c>
      <c r="C41" s="32">
        <v>56.831432192648919</v>
      </c>
      <c r="G41" s="34" t="s">
        <v>23</v>
      </c>
      <c r="H41" s="32">
        <v>59.772896120973058</v>
      </c>
    </row>
    <row r="42" spans="2:9" s="25" customFormat="1" x14ac:dyDescent="0.15">
      <c r="B42" s="34" t="s">
        <v>24</v>
      </c>
      <c r="C42" s="36">
        <v>4.024599774045675E-2</v>
      </c>
      <c r="G42" s="34" t="s">
        <v>24</v>
      </c>
      <c r="H42" s="36">
        <v>4.1430582310591386E-2</v>
      </c>
    </row>
    <row r="43" spans="2:9" s="25" customFormat="1" x14ac:dyDescent="0.15">
      <c r="B43" s="34" t="s">
        <v>25</v>
      </c>
      <c r="C43" s="32">
        <v>0.86100874257784477</v>
      </c>
      <c r="G43" s="34" t="s">
        <v>25</v>
      </c>
      <c r="H43" s="32">
        <v>0.85576285845329347</v>
      </c>
    </row>
    <row r="44" spans="2:9" s="25" customFormat="1" x14ac:dyDescent="0.15">
      <c r="B44" s="34"/>
      <c r="C44" s="40"/>
      <c r="G44" s="34"/>
      <c r="H44" s="40"/>
    </row>
  </sheetData>
  <mergeCells count="9">
    <mergeCell ref="B37:D37"/>
    <mergeCell ref="G37:I37"/>
    <mergeCell ref="B1:I1"/>
    <mergeCell ref="B3:D3"/>
    <mergeCell ref="G3:I3"/>
    <mergeCell ref="B15:D15"/>
    <mergeCell ref="G15:I15"/>
    <mergeCell ref="B27:D27"/>
    <mergeCell ref="G27:I27"/>
  </mergeCells>
  <printOptions horizontalCentered="1"/>
  <pageMargins left="0.75" right="0.75" top="1" bottom="1" header="0.5" footer="0.5"/>
  <pageSetup scale="9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</vt:lpstr>
      <vt:lpstr>Análisis</vt:lpstr>
      <vt:lpstr>Mod_1. Promedio Movil</vt:lpstr>
      <vt:lpstr>Mod_2. SES</vt:lpstr>
      <vt:lpstr>Mod_3. Holt-Winter</vt:lpstr>
      <vt:lpstr>Modelo final</vt:lpstr>
      <vt:lpstr>Otras Metodologías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Ibañez</dc:creator>
  <cp:lastModifiedBy>Microsoft Office User</cp:lastModifiedBy>
  <dcterms:created xsi:type="dcterms:W3CDTF">2020-12-28T18:45:40Z</dcterms:created>
  <dcterms:modified xsi:type="dcterms:W3CDTF">2023-07-14T23:17:57Z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n248872@corp.santander.cl</vt:lpwstr>
  </property>
  <property fmtid="{D5CDD505-2E9C-101B-9397-08002B2CF9AE}" pid="5" name="MSIP_Label_0c2abd79-57a9-4473-8700-c843f76a1e37_SetDate">
    <vt:lpwstr>2020-12-28T18:47:21.2378441Z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de579403-19a9-49b9-8c60-8e00738c2d8f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