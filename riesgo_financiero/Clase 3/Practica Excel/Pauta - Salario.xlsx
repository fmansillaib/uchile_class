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omansilla/Library/CloudStorage/GoogleDrive-franco.andres.mansilla@gmail.com/Mi unidad/universidad de chile/MBA Panamá &amp; DAR/Clase 3/Practica Excel/"/>
    </mc:Choice>
  </mc:AlternateContent>
  <xr:revisionPtr revIDLastSave="0" documentId="13_ncr:1_{6C120CB6-969E-724D-9F9B-F58006413358}" xr6:coauthVersionLast="47" xr6:coauthVersionMax="47" xr10:uidLastSave="{00000000-0000-0000-0000-000000000000}"/>
  <bookViews>
    <workbookView xWindow="0" yWindow="760" windowWidth="34560" windowHeight="19800" xr2:uid="{00000000-000D-0000-FFFF-FFFF00000000}"/>
  </bookViews>
  <sheets>
    <sheet name="BD. Original" sheetId="8" r:id="rId1"/>
    <sheet name="Identificaicón" sheetId="1" r:id="rId2"/>
    <sheet name="Tratamiento" sheetId="7" r:id="rId3"/>
    <sheet name="Muestra" sheetId="9" r:id="rId4"/>
    <sheet name="Filtro Correlación" sheetId="10" r:id="rId5"/>
    <sheet name="Est. Manual" sheetId="11" r:id="rId6"/>
    <sheet name="Est. HA. Mod.1" sheetId="12" r:id="rId7"/>
    <sheet name="Est. HA. Mod.2" sheetId="13" r:id="rId8"/>
    <sheet name="Est. HA. Mod.3" sheetId="14" r:id="rId9"/>
    <sheet name="Est. HA. Mod. 4" sheetId="15" r:id="rId10"/>
    <sheet name="Est. HA. Mod.5" sheetId="16" r:id="rId11"/>
    <sheet name="Ev. Desempeño" sheetId="18" r:id="rId12"/>
    <sheet name="Modelo Final" sheetId="19" r:id="rId13"/>
  </sheets>
  <definedNames>
    <definedName name="_xlnm._FilterDatabase" localSheetId="1" hidden="1">Identificaicón!$A$1:$K$527</definedName>
    <definedName name="_xlnm._FilterDatabase" localSheetId="3" hidden="1">Muestra!$A$1:$L$527</definedName>
    <definedName name="_xlnm._FilterDatabase" localSheetId="2" hidden="1">Tratamiento!$A$1:$K$528</definedName>
    <definedName name="solver_adj" localSheetId="5" hidden="1">'Est. Manual'!$K$18:$K$20</definedName>
    <definedName name="solver_cvg" localSheetId="5" hidden="1">0.0001</definedName>
    <definedName name="solver_drv" localSheetId="5" hidden="1">1</definedName>
    <definedName name="solver_eng" localSheetId="5" hidden="1">1</definedName>
    <definedName name="solver_itr" localSheetId="5" hidden="1">2147483647</definedName>
    <definedName name="solver_lin" localSheetId="5" hidden="1">2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od" localSheetId="5" hidden="1">2147483647</definedName>
    <definedName name="solver_num" localSheetId="5" hidden="1">0</definedName>
    <definedName name="solver_opt" localSheetId="5" hidden="1">'Est. Manual'!$L$18</definedName>
    <definedName name="solver_pre" localSheetId="5" hidden="1">0.000001</definedName>
    <definedName name="solver_rbv" localSheetId="5" hidden="1">1</definedName>
    <definedName name="solver_rlx" localSheetId="5" hidden="1">2</definedName>
    <definedName name="solver_rsd" localSheetId="5" hidden="1">0</definedName>
    <definedName name="solver_scl" localSheetId="5" hidden="1">1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2</definedName>
    <definedName name="solver_val" localSheetId="5" hidden="1">0</definedName>
    <definedName name="solver_ver" localSheetId="5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8" l="1"/>
  <c r="K3" i="18"/>
  <c r="K4" i="18"/>
  <c r="K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76" i="18"/>
  <c r="K77" i="18"/>
  <c r="K78" i="18"/>
  <c r="K79" i="18"/>
  <c r="K80" i="18"/>
  <c r="K81" i="18"/>
  <c r="K82" i="18"/>
  <c r="K83" i="18"/>
  <c r="K84" i="18"/>
  <c r="K85" i="18"/>
  <c r="K86" i="18"/>
  <c r="K87" i="18"/>
  <c r="K88" i="18"/>
  <c r="K89" i="18"/>
  <c r="K90" i="18"/>
  <c r="K91" i="18"/>
  <c r="K92" i="18"/>
  <c r="K93" i="18"/>
  <c r="K94" i="18"/>
  <c r="K95" i="18"/>
  <c r="K96" i="18"/>
  <c r="K97" i="18"/>
  <c r="K98" i="18"/>
  <c r="K99" i="18"/>
  <c r="K100" i="18"/>
  <c r="K101" i="18"/>
  <c r="K102" i="18"/>
  <c r="K103" i="18"/>
  <c r="K104" i="18"/>
  <c r="K105" i="18"/>
  <c r="K106" i="18"/>
  <c r="K107" i="18"/>
  <c r="K108" i="18"/>
  <c r="K109" i="18"/>
  <c r="K110" i="18"/>
  <c r="K111" i="18"/>
  <c r="K112" i="18"/>
  <c r="K113" i="18"/>
  <c r="K114" i="18"/>
  <c r="K115" i="18"/>
  <c r="K116" i="18"/>
  <c r="K117" i="18"/>
  <c r="K118" i="18"/>
  <c r="K119" i="18"/>
  <c r="K120" i="18"/>
  <c r="K121" i="18"/>
  <c r="K122" i="18"/>
  <c r="K123" i="18"/>
  <c r="K124" i="18"/>
  <c r="K125" i="18"/>
  <c r="K126" i="18"/>
  <c r="K127" i="18"/>
  <c r="K128" i="18"/>
  <c r="K129" i="18"/>
  <c r="K130" i="18"/>
  <c r="K131" i="18"/>
  <c r="K132" i="18"/>
  <c r="K133" i="18"/>
  <c r="K134" i="18"/>
  <c r="K135" i="18"/>
  <c r="K136" i="18"/>
  <c r="K137" i="18"/>
  <c r="K138" i="18"/>
  <c r="K139" i="18"/>
  <c r="K140" i="18"/>
  <c r="K141" i="18"/>
  <c r="K142" i="18"/>
  <c r="K143" i="18"/>
  <c r="K144" i="18"/>
  <c r="K145" i="18"/>
  <c r="K146" i="18"/>
  <c r="K147" i="18"/>
  <c r="K148" i="18"/>
  <c r="K149" i="18"/>
  <c r="K150" i="18"/>
  <c r="K151" i="18"/>
  <c r="K152" i="18"/>
  <c r="K153" i="18"/>
  <c r="K154" i="18"/>
  <c r="K155" i="18"/>
  <c r="K156" i="18"/>
  <c r="K157" i="18"/>
  <c r="K158" i="18"/>
  <c r="K159" i="18"/>
  <c r="K160" i="18"/>
  <c r="K161" i="18"/>
  <c r="K162" i="18"/>
  <c r="K163" i="18"/>
  <c r="K164" i="18"/>
  <c r="K165" i="18"/>
  <c r="K166" i="18"/>
  <c r="K167" i="18"/>
  <c r="K168" i="18"/>
  <c r="K169" i="18"/>
  <c r="K170" i="18"/>
  <c r="K171" i="18"/>
  <c r="K172" i="18"/>
  <c r="K173" i="18"/>
  <c r="K174" i="18"/>
  <c r="K175" i="18"/>
  <c r="K176" i="18"/>
  <c r="K177" i="18"/>
  <c r="K178" i="18"/>
  <c r="K179" i="18"/>
  <c r="K180" i="18"/>
  <c r="K181" i="18"/>
  <c r="K182" i="18"/>
  <c r="K183" i="18"/>
  <c r="K184" i="18"/>
  <c r="K185" i="18"/>
  <c r="K186" i="18"/>
  <c r="K187" i="18"/>
  <c r="K188" i="18"/>
  <c r="K189" i="18"/>
  <c r="K190" i="18"/>
  <c r="K191" i="18"/>
  <c r="K192" i="18"/>
  <c r="K193" i="18"/>
  <c r="K194" i="18"/>
  <c r="K195" i="18"/>
  <c r="K196" i="18"/>
  <c r="K197" i="18"/>
  <c r="K198" i="18"/>
  <c r="K199" i="18"/>
  <c r="K200" i="18"/>
  <c r="K201" i="18"/>
  <c r="K202" i="18"/>
  <c r="K203" i="18"/>
  <c r="K204" i="18"/>
  <c r="K205" i="18"/>
  <c r="K206" i="18"/>
  <c r="K207" i="18"/>
  <c r="K208" i="18"/>
  <c r="K209" i="18"/>
  <c r="K210" i="18"/>
  <c r="K211" i="18"/>
  <c r="K212" i="18"/>
  <c r="K213" i="18"/>
  <c r="K214" i="18"/>
  <c r="K215" i="18"/>
  <c r="K216" i="18"/>
  <c r="K217" i="18"/>
  <c r="K218" i="18"/>
  <c r="K219" i="18"/>
  <c r="K220" i="18"/>
  <c r="K221" i="18"/>
  <c r="K222" i="18"/>
  <c r="K223" i="18"/>
  <c r="K224" i="18"/>
  <c r="K225" i="18"/>
  <c r="K226" i="18"/>
  <c r="K227" i="18"/>
  <c r="K228" i="18"/>
  <c r="K229" i="18"/>
  <c r="K230" i="18"/>
  <c r="K231" i="18"/>
  <c r="K232" i="18"/>
  <c r="K233" i="18"/>
  <c r="K234" i="18"/>
  <c r="K235" i="18"/>
  <c r="K236" i="18"/>
  <c r="K237" i="18"/>
  <c r="K238" i="18"/>
  <c r="K239" i="18"/>
  <c r="K240" i="18"/>
  <c r="K241" i="18"/>
  <c r="K242" i="18"/>
  <c r="K243" i="18"/>
  <c r="K244" i="18"/>
  <c r="K245" i="18"/>
  <c r="K246" i="18"/>
  <c r="K247" i="18"/>
  <c r="K248" i="18"/>
  <c r="K249" i="18"/>
  <c r="K250" i="18"/>
  <c r="K251" i="18"/>
  <c r="K252" i="18"/>
  <c r="K253" i="18"/>
  <c r="K254" i="18"/>
  <c r="K255" i="18"/>
  <c r="K256" i="18"/>
  <c r="K257" i="18"/>
  <c r="K258" i="18"/>
  <c r="K259" i="18"/>
  <c r="K260" i="18"/>
  <c r="K261" i="18"/>
  <c r="K262" i="18"/>
  <c r="K263" i="18"/>
  <c r="K264" i="18"/>
  <c r="K265" i="18"/>
  <c r="K266" i="18"/>
  <c r="K267" i="18"/>
  <c r="K268" i="18"/>
  <c r="K269" i="18"/>
  <c r="K270" i="18"/>
  <c r="K271" i="18"/>
  <c r="K272" i="18"/>
  <c r="K273" i="18"/>
  <c r="K274" i="18"/>
  <c r="K275" i="18"/>
  <c r="K276" i="18"/>
  <c r="K277" i="18"/>
  <c r="K278" i="18"/>
  <c r="K279" i="18"/>
  <c r="K280" i="18"/>
  <c r="K281" i="18"/>
  <c r="K282" i="18"/>
  <c r="K283" i="18"/>
  <c r="K284" i="18"/>
  <c r="K285" i="18"/>
  <c r="K286" i="18"/>
  <c r="K287" i="18"/>
  <c r="K288" i="18"/>
  <c r="K289" i="18"/>
  <c r="K290" i="18"/>
  <c r="K291" i="18"/>
  <c r="K292" i="18"/>
  <c r="K293" i="18"/>
  <c r="K294" i="18"/>
  <c r="K295" i="18"/>
  <c r="K296" i="18"/>
  <c r="K297" i="18"/>
  <c r="K298" i="18"/>
  <c r="K299" i="18"/>
  <c r="K300" i="18"/>
  <c r="K301" i="18"/>
  <c r="K302" i="18"/>
  <c r="K303" i="18"/>
  <c r="K304" i="18"/>
  <c r="K305" i="18"/>
  <c r="K306" i="18"/>
  <c r="K307" i="18"/>
  <c r="K308" i="18"/>
  <c r="K309" i="18"/>
  <c r="K310" i="18"/>
  <c r="K311" i="18"/>
  <c r="K312" i="18"/>
  <c r="K313" i="18"/>
  <c r="K314" i="18"/>
  <c r="K315" i="18"/>
  <c r="K316" i="18"/>
  <c r="K317" i="18"/>
  <c r="K318" i="18"/>
  <c r="K319" i="18"/>
  <c r="K320" i="18"/>
  <c r="K321" i="18"/>
  <c r="K322" i="18"/>
  <c r="K323" i="18"/>
  <c r="K324" i="18"/>
  <c r="K325" i="18"/>
  <c r="K326" i="18"/>
  <c r="K327" i="18"/>
  <c r="K328" i="18"/>
  <c r="K329" i="18"/>
  <c r="K330" i="18"/>
  <c r="K331" i="18"/>
  <c r="K332" i="18"/>
  <c r="K333" i="18"/>
  <c r="K334" i="18"/>
  <c r="K335" i="18"/>
  <c r="K336" i="18"/>
  <c r="K337" i="18"/>
  <c r="K338" i="18"/>
  <c r="K339" i="18"/>
  <c r="K340" i="18"/>
  <c r="K341" i="18"/>
  <c r="K342" i="18"/>
  <c r="K343" i="18"/>
  <c r="K344" i="18"/>
  <c r="K345" i="18"/>
  <c r="K346" i="18"/>
  <c r="K347" i="18"/>
  <c r="K348" i="18"/>
  <c r="K349" i="18"/>
  <c r="K350" i="18"/>
  <c r="K351" i="18"/>
  <c r="K352" i="18"/>
  <c r="K353" i="18"/>
  <c r="K354" i="18"/>
  <c r="K355" i="18"/>
  <c r="K356" i="18"/>
  <c r="K357" i="18"/>
  <c r="K358" i="18"/>
  <c r="K359" i="18"/>
  <c r="K360" i="18"/>
  <c r="K361" i="18"/>
  <c r="K362" i="18"/>
  <c r="K363" i="18"/>
  <c r="K364" i="18"/>
  <c r="K365" i="18"/>
  <c r="K366" i="18"/>
  <c r="K367" i="18"/>
  <c r="K368" i="18"/>
  <c r="K369" i="18"/>
  <c r="K370" i="18"/>
  <c r="K371" i="18"/>
  <c r="K372" i="18"/>
  <c r="K373" i="18"/>
  <c r="K374" i="18"/>
  <c r="K375" i="18"/>
  <c r="K376" i="18"/>
  <c r="K377" i="18"/>
  <c r="K378" i="18"/>
  <c r="K379" i="18"/>
  <c r="K380" i="18"/>
  <c r="K381" i="18"/>
  <c r="K382" i="18"/>
  <c r="K383" i="18"/>
  <c r="K384" i="18"/>
  <c r="K385" i="18"/>
  <c r="K386" i="18"/>
  <c r="K387" i="18"/>
  <c r="K388" i="18"/>
  <c r="K389" i="18"/>
  <c r="K390" i="18"/>
  <c r="K391" i="18"/>
  <c r="K392" i="18"/>
  <c r="K393" i="18"/>
  <c r="K394" i="18"/>
  <c r="K395" i="18"/>
  <c r="K396" i="18"/>
  <c r="K397" i="18"/>
  <c r="K398" i="18"/>
  <c r="K399" i="18"/>
  <c r="K400" i="18"/>
  <c r="K401" i="18"/>
  <c r="K402" i="18"/>
  <c r="K403" i="18"/>
  <c r="K404" i="18"/>
  <c r="K405" i="18"/>
  <c r="K406" i="18"/>
  <c r="K407" i="18"/>
  <c r="K408" i="18"/>
  <c r="K409" i="18"/>
  <c r="K410" i="18"/>
  <c r="K411" i="18"/>
  <c r="K412" i="18"/>
  <c r="K413" i="18"/>
  <c r="K414" i="18"/>
  <c r="K415" i="18"/>
  <c r="K416" i="18"/>
  <c r="K417" i="18"/>
  <c r="K418" i="18"/>
  <c r="K419" i="18"/>
  <c r="K420" i="18"/>
  <c r="K421" i="18"/>
  <c r="K422" i="18"/>
  <c r="K423" i="18"/>
  <c r="K424" i="18"/>
  <c r="K425" i="18"/>
  <c r="K426" i="18"/>
  <c r="K427" i="18"/>
  <c r="K428" i="18"/>
  <c r="K429" i="18"/>
  <c r="K430" i="18"/>
  <c r="K431" i="18"/>
  <c r="K432" i="18"/>
  <c r="K433" i="18"/>
  <c r="K434" i="18"/>
  <c r="K435" i="18"/>
  <c r="K436" i="18"/>
  <c r="K437" i="18"/>
  <c r="K438" i="18"/>
  <c r="K439" i="18"/>
  <c r="K440" i="18"/>
  <c r="K441" i="18"/>
  <c r="K442" i="18"/>
  <c r="K443" i="18"/>
  <c r="K444" i="18"/>
  <c r="K445" i="18"/>
  <c r="K446" i="18"/>
  <c r="K447" i="18"/>
  <c r="K448" i="18"/>
  <c r="K449" i="18"/>
  <c r="K450" i="18"/>
  <c r="K451" i="18"/>
  <c r="K452" i="18"/>
  <c r="K453" i="18"/>
  <c r="K454" i="18"/>
  <c r="K455" i="18"/>
  <c r="K456" i="18"/>
  <c r="K457" i="18"/>
  <c r="K458" i="18"/>
  <c r="K459" i="18"/>
  <c r="K460" i="18"/>
  <c r="K461" i="18"/>
  <c r="K462" i="18"/>
  <c r="K463" i="18"/>
  <c r="K464" i="18"/>
  <c r="K465" i="18"/>
  <c r="K466" i="18"/>
  <c r="K467" i="18"/>
  <c r="K468" i="18"/>
  <c r="K469" i="18"/>
  <c r="K470" i="18"/>
  <c r="K471" i="18"/>
  <c r="K472" i="18"/>
  <c r="K473" i="18"/>
  <c r="K474" i="18"/>
  <c r="K475" i="18"/>
  <c r="K476" i="18"/>
  <c r="K477" i="18"/>
  <c r="K478" i="18"/>
  <c r="K479" i="18"/>
  <c r="K480" i="18"/>
  <c r="K481" i="18"/>
  <c r="K482" i="18"/>
  <c r="K483" i="18"/>
  <c r="K484" i="18"/>
  <c r="K485" i="18"/>
  <c r="K486" i="18"/>
  <c r="K487" i="18"/>
  <c r="K488" i="18"/>
  <c r="K489" i="18"/>
  <c r="K490" i="18"/>
  <c r="K491" i="18"/>
  <c r="K492" i="18"/>
  <c r="K493" i="18"/>
  <c r="K494" i="18"/>
  <c r="K495" i="18"/>
  <c r="K496" i="18"/>
  <c r="K497" i="18"/>
  <c r="K498" i="18"/>
  <c r="K499" i="18"/>
  <c r="K500" i="18"/>
  <c r="K501" i="18"/>
  <c r="K502" i="18"/>
  <c r="K503" i="18"/>
  <c r="K504" i="18"/>
  <c r="K505" i="18"/>
  <c r="K506" i="18"/>
  <c r="K507" i="18"/>
  <c r="K508" i="18"/>
  <c r="K509" i="18"/>
  <c r="K510" i="18"/>
  <c r="K511" i="18"/>
  <c r="K512" i="18"/>
  <c r="K513" i="18"/>
  <c r="K514" i="18"/>
  <c r="K515" i="18"/>
  <c r="K516" i="18"/>
  <c r="K517" i="18"/>
  <c r="K518" i="18"/>
  <c r="K519" i="18"/>
  <c r="K520" i="18"/>
  <c r="K521" i="18"/>
  <c r="K522" i="18"/>
  <c r="K523" i="18"/>
  <c r="K524" i="18"/>
  <c r="K525" i="18"/>
  <c r="K526" i="18"/>
  <c r="K527" i="18"/>
  <c r="K2" i="18"/>
  <c r="L3" i="18"/>
  <c r="L4" i="18"/>
  <c r="L5" i="18"/>
  <c r="L6" i="18"/>
  <c r="L7" i="18"/>
  <c r="L8" i="18"/>
  <c r="L9" i="18"/>
  <c r="L1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L98" i="18"/>
  <c r="L99" i="18"/>
  <c r="L100" i="18"/>
  <c r="L101" i="18"/>
  <c r="L102" i="18"/>
  <c r="L103" i="18"/>
  <c r="L104" i="18"/>
  <c r="L105" i="18"/>
  <c r="L106" i="18"/>
  <c r="L107" i="18"/>
  <c r="L108" i="18"/>
  <c r="L109" i="18"/>
  <c r="L110" i="18"/>
  <c r="L111" i="18"/>
  <c r="L112" i="18"/>
  <c r="L113" i="18"/>
  <c r="L114" i="18"/>
  <c r="L115" i="18"/>
  <c r="L116" i="18"/>
  <c r="L117" i="18"/>
  <c r="L118" i="18"/>
  <c r="L119" i="18"/>
  <c r="L120" i="18"/>
  <c r="L121" i="18"/>
  <c r="L122" i="18"/>
  <c r="L123" i="18"/>
  <c r="L124" i="18"/>
  <c r="L125" i="18"/>
  <c r="L126" i="18"/>
  <c r="L127" i="18"/>
  <c r="L128" i="18"/>
  <c r="L129" i="18"/>
  <c r="L130" i="18"/>
  <c r="L131" i="18"/>
  <c r="L132" i="18"/>
  <c r="L133" i="18"/>
  <c r="L134" i="18"/>
  <c r="L135" i="18"/>
  <c r="L136" i="18"/>
  <c r="L137" i="18"/>
  <c r="L138" i="18"/>
  <c r="L139" i="18"/>
  <c r="L140" i="18"/>
  <c r="L141" i="18"/>
  <c r="L142" i="18"/>
  <c r="L143" i="18"/>
  <c r="L144" i="18"/>
  <c r="L145" i="18"/>
  <c r="L146" i="18"/>
  <c r="L147" i="18"/>
  <c r="L148" i="18"/>
  <c r="L149" i="18"/>
  <c r="L150" i="18"/>
  <c r="L151" i="18"/>
  <c r="L152" i="18"/>
  <c r="L153" i="18"/>
  <c r="L154" i="18"/>
  <c r="L155" i="18"/>
  <c r="L156" i="18"/>
  <c r="L157" i="18"/>
  <c r="L158" i="18"/>
  <c r="L159" i="18"/>
  <c r="L160" i="18"/>
  <c r="L161" i="18"/>
  <c r="L162" i="18"/>
  <c r="L163" i="18"/>
  <c r="L164" i="18"/>
  <c r="L165" i="18"/>
  <c r="L166" i="18"/>
  <c r="L167" i="18"/>
  <c r="L168" i="18"/>
  <c r="L169" i="18"/>
  <c r="L170" i="18"/>
  <c r="L171" i="18"/>
  <c r="L172" i="18"/>
  <c r="L173" i="18"/>
  <c r="L174" i="18"/>
  <c r="L175" i="18"/>
  <c r="L176" i="18"/>
  <c r="L177" i="18"/>
  <c r="L178" i="18"/>
  <c r="L179" i="18"/>
  <c r="L180" i="18"/>
  <c r="L181" i="18"/>
  <c r="L182" i="18"/>
  <c r="L183" i="18"/>
  <c r="L184" i="18"/>
  <c r="L185" i="18"/>
  <c r="L186" i="18"/>
  <c r="L187" i="18"/>
  <c r="L188" i="18"/>
  <c r="L189" i="18"/>
  <c r="L190" i="18"/>
  <c r="L191" i="18"/>
  <c r="L192" i="18"/>
  <c r="L193" i="18"/>
  <c r="L194" i="18"/>
  <c r="L195" i="18"/>
  <c r="L196" i="18"/>
  <c r="L197" i="18"/>
  <c r="L198" i="18"/>
  <c r="L199" i="18"/>
  <c r="L200" i="18"/>
  <c r="L201" i="18"/>
  <c r="L202" i="18"/>
  <c r="L203" i="18"/>
  <c r="L204" i="18"/>
  <c r="L205" i="18"/>
  <c r="L206" i="18"/>
  <c r="L207" i="18"/>
  <c r="L208" i="18"/>
  <c r="L209" i="18"/>
  <c r="L210" i="18"/>
  <c r="L211" i="18"/>
  <c r="L212" i="18"/>
  <c r="L213" i="18"/>
  <c r="L214" i="18"/>
  <c r="L215" i="18"/>
  <c r="L216" i="18"/>
  <c r="L217" i="18"/>
  <c r="L218" i="18"/>
  <c r="L219" i="18"/>
  <c r="L220" i="18"/>
  <c r="L221" i="18"/>
  <c r="L222" i="18"/>
  <c r="L223" i="18"/>
  <c r="L224" i="18"/>
  <c r="L225" i="18"/>
  <c r="L226" i="18"/>
  <c r="L227" i="18"/>
  <c r="L228" i="18"/>
  <c r="L229" i="18"/>
  <c r="L230" i="18"/>
  <c r="L231" i="18"/>
  <c r="L232" i="18"/>
  <c r="L233" i="18"/>
  <c r="L234" i="18"/>
  <c r="L235" i="18"/>
  <c r="L236" i="18"/>
  <c r="L237" i="18"/>
  <c r="L238" i="18"/>
  <c r="L239" i="18"/>
  <c r="L240" i="18"/>
  <c r="L241" i="18"/>
  <c r="L242" i="18"/>
  <c r="L243" i="18"/>
  <c r="L244" i="18"/>
  <c r="L245" i="18"/>
  <c r="L246" i="18"/>
  <c r="L247" i="18"/>
  <c r="L248" i="18"/>
  <c r="L249" i="18"/>
  <c r="L250" i="18"/>
  <c r="L251" i="18"/>
  <c r="L252" i="18"/>
  <c r="L253" i="18"/>
  <c r="L254" i="18"/>
  <c r="L255" i="18"/>
  <c r="L256" i="18"/>
  <c r="L257" i="18"/>
  <c r="L258" i="18"/>
  <c r="L259" i="18"/>
  <c r="L260" i="18"/>
  <c r="L261" i="18"/>
  <c r="L262" i="18"/>
  <c r="L263" i="18"/>
  <c r="L264" i="18"/>
  <c r="L265" i="18"/>
  <c r="L266" i="18"/>
  <c r="L267" i="18"/>
  <c r="L268" i="18"/>
  <c r="L269" i="18"/>
  <c r="L270" i="18"/>
  <c r="L271" i="18"/>
  <c r="L272" i="18"/>
  <c r="L273" i="18"/>
  <c r="L274" i="18"/>
  <c r="L275" i="18"/>
  <c r="L276" i="18"/>
  <c r="L277" i="18"/>
  <c r="L278" i="18"/>
  <c r="L279" i="18"/>
  <c r="L280" i="18"/>
  <c r="L281" i="18"/>
  <c r="L282" i="18"/>
  <c r="L283" i="18"/>
  <c r="L284" i="18"/>
  <c r="L285" i="18"/>
  <c r="L286" i="18"/>
  <c r="L287" i="18"/>
  <c r="L288" i="18"/>
  <c r="L289" i="18"/>
  <c r="L290" i="18"/>
  <c r="L291" i="18"/>
  <c r="L292" i="18"/>
  <c r="L293" i="18"/>
  <c r="L294" i="18"/>
  <c r="L295" i="18"/>
  <c r="L296" i="18"/>
  <c r="L297" i="18"/>
  <c r="L298" i="18"/>
  <c r="L299" i="18"/>
  <c r="L300" i="18"/>
  <c r="L301" i="18"/>
  <c r="L302" i="18"/>
  <c r="L303" i="18"/>
  <c r="L304" i="18"/>
  <c r="L305" i="18"/>
  <c r="L306" i="18"/>
  <c r="L307" i="18"/>
  <c r="L308" i="18"/>
  <c r="L309" i="18"/>
  <c r="L310" i="18"/>
  <c r="L311" i="18"/>
  <c r="L312" i="18"/>
  <c r="L313" i="18"/>
  <c r="L314" i="18"/>
  <c r="L315" i="18"/>
  <c r="L316" i="18"/>
  <c r="L317" i="18"/>
  <c r="L318" i="18"/>
  <c r="L319" i="18"/>
  <c r="L320" i="18"/>
  <c r="L321" i="18"/>
  <c r="L322" i="18"/>
  <c r="L323" i="18"/>
  <c r="L324" i="18"/>
  <c r="L325" i="18"/>
  <c r="L326" i="18"/>
  <c r="L327" i="18"/>
  <c r="L328" i="18"/>
  <c r="L329" i="18"/>
  <c r="L330" i="18"/>
  <c r="L331" i="18"/>
  <c r="L332" i="18"/>
  <c r="L333" i="18"/>
  <c r="L334" i="18"/>
  <c r="L335" i="18"/>
  <c r="L336" i="18"/>
  <c r="L337" i="18"/>
  <c r="L338" i="18"/>
  <c r="L339" i="18"/>
  <c r="L340" i="18"/>
  <c r="L341" i="18"/>
  <c r="L342" i="18"/>
  <c r="L343" i="18"/>
  <c r="L344" i="18"/>
  <c r="L345" i="18"/>
  <c r="L346" i="18"/>
  <c r="L347" i="18"/>
  <c r="L348" i="18"/>
  <c r="L349" i="18"/>
  <c r="L350" i="18"/>
  <c r="L351" i="18"/>
  <c r="L352" i="18"/>
  <c r="L353" i="18"/>
  <c r="L354" i="18"/>
  <c r="L355" i="18"/>
  <c r="L356" i="18"/>
  <c r="L357" i="18"/>
  <c r="L358" i="18"/>
  <c r="L359" i="18"/>
  <c r="L360" i="18"/>
  <c r="L361" i="18"/>
  <c r="L362" i="18"/>
  <c r="L363" i="18"/>
  <c r="L364" i="18"/>
  <c r="L365" i="18"/>
  <c r="L366" i="18"/>
  <c r="L367" i="18"/>
  <c r="L368" i="18"/>
  <c r="L369" i="18"/>
  <c r="L370" i="18"/>
  <c r="L371" i="18"/>
  <c r="L372" i="18"/>
  <c r="L373" i="18"/>
  <c r="L374" i="18"/>
  <c r="L375" i="18"/>
  <c r="L376" i="18"/>
  <c r="L377" i="18"/>
  <c r="L378" i="18"/>
  <c r="L379" i="18"/>
  <c r="L380" i="18"/>
  <c r="L381" i="18"/>
  <c r="L382" i="18"/>
  <c r="L383" i="18"/>
  <c r="L384" i="18"/>
  <c r="L385" i="18"/>
  <c r="L386" i="18"/>
  <c r="L387" i="18"/>
  <c r="L388" i="18"/>
  <c r="L389" i="18"/>
  <c r="L390" i="18"/>
  <c r="L391" i="18"/>
  <c r="L392" i="18"/>
  <c r="L393" i="18"/>
  <c r="L394" i="18"/>
  <c r="L395" i="18"/>
  <c r="L396" i="18"/>
  <c r="L397" i="18"/>
  <c r="L398" i="18"/>
  <c r="L399" i="18"/>
  <c r="L400" i="18"/>
  <c r="L401" i="18"/>
  <c r="L402" i="18"/>
  <c r="L403" i="18"/>
  <c r="L404" i="18"/>
  <c r="L405" i="18"/>
  <c r="L406" i="18"/>
  <c r="L407" i="18"/>
  <c r="L408" i="18"/>
  <c r="L409" i="18"/>
  <c r="L410" i="18"/>
  <c r="L411" i="18"/>
  <c r="L412" i="18"/>
  <c r="L413" i="18"/>
  <c r="L414" i="18"/>
  <c r="L415" i="18"/>
  <c r="L416" i="18"/>
  <c r="L417" i="18"/>
  <c r="L418" i="18"/>
  <c r="L419" i="18"/>
  <c r="L420" i="18"/>
  <c r="L421" i="18"/>
  <c r="L422" i="18"/>
  <c r="L423" i="18"/>
  <c r="L424" i="18"/>
  <c r="L425" i="18"/>
  <c r="L426" i="18"/>
  <c r="L427" i="18"/>
  <c r="L428" i="18"/>
  <c r="L429" i="18"/>
  <c r="L430" i="18"/>
  <c r="L431" i="18"/>
  <c r="L432" i="18"/>
  <c r="L433" i="18"/>
  <c r="L434" i="18"/>
  <c r="L435" i="18"/>
  <c r="L436" i="18"/>
  <c r="L437" i="18"/>
  <c r="L438" i="18"/>
  <c r="L439" i="18"/>
  <c r="L440" i="18"/>
  <c r="L441" i="18"/>
  <c r="L442" i="18"/>
  <c r="L443" i="18"/>
  <c r="L444" i="18"/>
  <c r="L445" i="18"/>
  <c r="L446" i="18"/>
  <c r="L447" i="18"/>
  <c r="L448" i="18"/>
  <c r="L449" i="18"/>
  <c r="L450" i="18"/>
  <c r="L451" i="18"/>
  <c r="L452" i="18"/>
  <c r="L453" i="18"/>
  <c r="L454" i="18"/>
  <c r="L455" i="18"/>
  <c r="L456" i="18"/>
  <c r="L457" i="18"/>
  <c r="L458" i="18"/>
  <c r="L459" i="18"/>
  <c r="L460" i="18"/>
  <c r="L461" i="18"/>
  <c r="L462" i="18"/>
  <c r="L463" i="18"/>
  <c r="L464" i="18"/>
  <c r="L465" i="18"/>
  <c r="L466" i="18"/>
  <c r="L467" i="18"/>
  <c r="L468" i="18"/>
  <c r="L469" i="18"/>
  <c r="L470" i="18"/>
  <c r="L471" i="18"/>
  <c r="L472" i="18"/>
  <c r="L473" i="18"/>
  <c r="L474" i="18"/>
  <c r="L475" i="18"/>
  <c r="L476" i="18"/>
  <c r="L477" i="18"/>
  <c r="L478" i="18"/>
  <c r="L479" i="18"/>
  <c r="L480" i="18"/>
  <c r="L481" i="18"/>
  <c r="L482" i="18"/>
  <c r="L483" i="18"/>
  <c r="L484" i="18"/>
  <c r="L485" i="18"/>
  <c r="L486" i="18"/>
  <c r="L487" i="18"/>
  <c r="L488" i="18"/>
  <c r="L489" i="18"/>
  <c r="L490" i="18"/>
  <c r="L491" i="18"/>
  <c r="L492" i="18"/>
  <c r="L493" i="18"/>
  <c r="L494" i="18"/>
  <c r="L495" i="18"/>
  <c r="L496" i="18"/>
  <c r="L497" i="18"/>
  <c r="L498" i="18"/>
  <c r="L499" i="18"/>
  <c r="L500" i="18"/>
  <c r="L501" i="18"/>
  <c r="L502" i="18"/>
  <c r="L503" i="18"/>
  <c r="L504" i="18"/>
  <c r="L505" i="18"/>
  <c r="L506" i="18"/>
  <c r="L507" i="18"/>
  <c r="L508" i="18"/>
  <c r="L509" i="18"/>
  <c r="L510" i="18"/>
  <c r="L511" i="18"/>
  <c r="L512" i="18"/>
  <c r="L513" i="18"/>
  <c r="L514" i="18"/>
  <c r="L515" i="18"/>
  <c r="L516" i="18"/>
  <c r="L517" i="18"/>
  <c r="L518" i="18"/>
  <c r="L519" i="18"/>
  <c r="L520" i="18"/>
  <c r="L521" i="18"/>
  <c r="L522" i="18"/>
  <c r="L523" i="18"/>
  <c r="L524" i="18"/>
  <c r="L525" i="18"/>
  <c r="L526" i="18"/>
  <c r="L527" i="18"/>
  <c r="P43" i="18"/>
  <c r="P42" i="18"/>
  <c r="I80" i="18"/>
  <c r="J80" i="18" s="1"/>
  <c r="I90" i="18"/>
  <c r="J90" i="18" s="1"/>
  <c r="I100" i="18"/>
  <c r="J100" i="18" s="1"/>
  <c r="I300" i="18"/>
  <c r="J300" i="18" s="1"/>
  <c r="I330" i="18"/>
  <c r="J330" i="18" s="1"/>
  <c r="I340" i="18"/>
  <c r="J340" i="18" s="1"/>
  <c r="I460" i="18"/>
  <c r="J460" i="18" s="1"/>
  <c r="I490" i="18"/>
  <c r="J490" i="18" s="1"/>
  <c r="H3" i="18"/>
  <c r="I3" i="18" s="1"/>
  <c r="J3" i="18" s="1"/>
  <c r="H4" i="18"/>
  <c r="I4" i="18" s="1"/>
  <c r="J4" i="18" s="1"/>
  <c r="H5" i="18"/>
  <c r="I5" i="18" s="1"/>
  <c r="J5" i="18" s="1"/>
  <c r="H6" i="18"/>
  <c r="I6" i="18" s="1"/>
  <c r="J6" i="18" s="1"/>
  <c r="H7" i="18"/>
  <c r="I7" i="18" s="1"/>
  <c r="J7" i="18" s="1"/>
  <c r="H8" i="18"/>
  <c r="I8" i="18" s="1"/>
  <c r="J8" i="18" s="1"/>
  <c r="H9" i="18"/>
  <c r="I9" i="18" s="1"/>
  <c r="J9" i="18" s="1"/>
  <c r="H10" i="18"/>
  <c r="I10" i="18" s="1"/>
  <c r="J10" i="18" s="1"/>
  <c r="H11" i="18"/>
  <c r="I11" i="18" s="1"/>
  <c r="J11" i="18" s="1"/>
  <c r="H12" i="18"/>
  <c r="I12" i="18" s="1"/>
  <c r="J12" i="18" s="1"/>
  <c r="H13" i="18"/>
  <c r="I13" i="18" s="1"/>
  <c r="J13" i="18" s="1"/>
  <c r="H14" i="18"/>
  <c r="I14" i="18" s="1"/>
  <c r="J14" i="18" s="1"/>
  <c r="H15" i="18"/>
  <c r="I15" i="18" s="1"/>
  <c r="J15" i="18" s="1"/>
  <c r="H16" i="18"/>
  <c r="I16" i="18" s="1"/>
  <c r="J16" i="18" s="1"/>
  <c r="H17" i="18"/>
  <c r="I17" i="18" s="1"/>
  <c r="J17" i="18" s="1"/>
  <c r="H18" i="18"/>
  <c r="I18" i="18" s="1"/>
  <c r="J18" i="18" s="1"/>
  <c r="H19" i="18"/>
  <c r="I19" i="18" s="1"/>
  <c r="J19" i="18" s="1"/>
  <c r="H20" i="18"/>
  <c r="I20" i="18" s="1"/>
  <c r="J20" i="18" s="1"/>
  <c r="H21" i="18"/>
  <c r="I21" i="18" s="1"/>
  <c r="J21" i="18" s="1"/>
  <c r="H22" i="18"/>
  <c r="I22" i="18" s="1"/>
  <c r="J22" i="18" s="1"/>
  <c r="H23" i="18"/>
  <c r="I23" i="18" s="1"/>
  <c r="J23" i="18" s="1"/>
  <c r="H24" i="18"/>
  <c r="I24" i="18" s="1"/>
  <c r="J24" i="18" s="1"/>
  <c r="H25" i="18"/>
  <c r="I25" i="18" s="1"/>
  <c r="J25" i="18" s="1"/>
  <c r="H26" i="18"/>
  <c r="I26" i="18" s="1"/>
  <c r="J26" i="18" s="1"/>
  <c r="H27" i="18"/>
  <c r="I27" i="18" s="1"/>
  <c r="J27" i="18" s="1"/>
  <c r="H28" i="18"/>
  <c r="I28" i="18" s="1"/>
  <c r="J28" i="18" s="1"/>
  <c r="H29" i="18"/>
  <c r="I29" i="18" s="1"/>
  <c r="J29" i="18" s="1"/>
  <c r="H30" i="18"/>
  <c r="I30" i="18" s="1"/>
  <c r="J30" i="18" s="1"/>
  <c r="H31" i="18"/>
  <c r="I31" i="18" s="1"/>
  <c r="J31" i="18" s="1"/>
  <c r="H32" i="18"/>
  <c r="I32" i="18" s="1"/>
  <c r="J32" i="18" s="1"/>
  <c r="H33" i="18"/>
  <c r="I33" i="18" s="1"/>
  <c r="J33" i="18" s="1"/>
  <c r="H34" i="18"/>
  <c r="I34" i="18" s="1"/>
  <c r="J34" i="18" s="1"/>
  <c r="H35" i="18"/>
  <c r="I35" i="18" s="1"/>
  <c r="J35" i="18" s="1"/>
  <c r="H36" i="18"/>
  <c r="I36" i="18" s="1"/>
  <c r="J36" i="18" s="1"/>
  <c r="H37" i="18"/>
  <c r="I37" i="18" s="1"/>
  <c r="J37" i="18" s="1"/>
  <c r="H38" i="18"/>
  <c r="I38" i="18" s="1"/>
  <c r="J38" i="18" s="1"/>
  <c r="H39" i="18"/>
  <c r="I39" i="18" s="1"/>
  <c r="J39" i="18" s="1"/>
  <c r="H40" i="18"/>
  <c r="I40" i="18" s="1"/>
  <c r="J40" i="18" s="1"/>
  <c r="H41" i="18"/>
  <c r="I41" i="18" s="1"/>
  <c r="J41" i="18" s="1"/>
  <c r="H42" i="18"/>
  <c r="I42" i="18" s="1"/>
  <c r="J42" i="18" s="1"/>
  <c r="H43" i="18"/>
  <c r="I43" i="18" s="1"/>
  <c r="J43" i="18" s="1"/>
  <c r="H44" i="18"/>
  <c r="I44" i="18" s="1"/>
  <c r="J44" i="18" s="1"/>
  <c r="H45" i="18"/>
  <c r="I45" i="18" s="1"/>
  <c r="J45" i="18" s="1"/>
  <c r="H46" i="18"/>
  <c r="I46" i="18" s="1"/>
  <c r="J46" i="18" s="1"/>
  <c r="H47" i="18"/>
  <c r="I47" i="18" s="1"/>
  <c r="J47" i="18" s="1"/>
  <c r="H48" i="18"/>
  <c r="I48" i="18" s="1"/>
  <c r="J48" i="18" s="1"/>
  <c r="H49" i="18"/>
  <c r="I49" i="18" s="1"/>
  <c r="J49" i="18" s="1"/>
  <c r="H50" i="18"/>
  <c r="I50" i="18" s="1"/>
  <c r="J50" i="18" s="1"/>
  <c r="H51" i="18"/>
  <c r="I51" i="18" s="1"/>
  <c r="J51" i="18" s="1"/>
  <c r="H52" i="18"/>
  <c r="I52" i="18" s="1"/>
  <c r="J52" i="18" s="1"/>
  <c r="H53" i="18"/>
  <c r="I53" i="18" s="1"/>
  <c r="J53" i="18" s="1"/>
  <c r="H54" i="18"/>
  <c r="I54" i="18" s="1"/>
  <c r="J54" i="18" s="1"/>
  <c r="H55" i="18"/>
  <c r="I55" i="18" s="1"/>
  <c r="J55" i="18" s="1"/>
  <c r="H56" i="18"/>
  <c r="I56" i="18" s="1"/>
  <c r="J56" i="18" s="1"/>
  <c r="H57" i="18"/>
  <c r="I57" i="18" s="1"/>
  <c r="J57" i="18" s="1"/>
  <c r="H58" i="18"/>
  <c r="I58" i="18" s="1"/>
  <c r="J58" i="18" s="1"/>
  <c r="H59" i="18"/>
  <c r="I59" i="18" s="1"/>
  <c r="J59" i="18" s="1"/>
  <c r="H60" i="18"/>
  <c r="I60" i="18" s="1"/>
  <c r="J60" i="18" s="1"/>
  <c r="H61" i="18"/>
  <c r="I61" i="18" s="1"/>
  <c r="J61" i="18" s="1"/>
  <c r="H62" i="18"/>
  <c r="I62" i="18" s="1"/>
  <c r="J62" i="18" s="1"/>
  <c r="H63" i="18"/>
  <c r="I63" i="18" s="1"/>
  <c r="J63" i="18" s="1"/>
  <c r="H64" i="18"/>
  <c r="I64" i="18" s="1"/>
  <c r="J64" i="18" s="1"/>
  <c r="H65" i="18"/>
  <c r="I65" i="18" s="1"/>
  <c r="J65" i="18" s="1"/>
  <c r="H66" i="18"/>
  <c r="I66" i="18" s="1"/>
  <c r="J66" i="18" s="1"/>
  <c r="H67" i="18"/>
  <c r="I67" i="18" s="1"/>
  <c r="J67" i="18" s="1"/>
  <c r="H68" i="18"/>
  <c r="I68" i="18" s="1"/>
  <c r="J68" i="18" s="1"/>
  <c r="H69" i="18"/>
  <c r="I69" i="18" s="1"/>
  <c r="J69" i="18" s="1"/>
  <c r="H70" i="18"/>
  <c r="I70" i="18" s="1"/>
  <c r="J70" i="18" s="1"/>
  <c r="H71" i="18"/>
  <c r="I71" i="18" s="1"/>
  <c r="J71" i="18" s="1"/>
  <c r="H72" i="18"/>
  <c r="I72" i="18" s="1"/>
  <c r="J72" i="18" s="1"/>
  <c r="H73" i="18"/>
  <c r="I73" i="18" s="1"/>
  <c r="J73" i="18" s="1"/>
  <c r="H74" i="18"/>
  <c r="I74" i="18" s="1"/>
  <c r="J74" i="18" s="1"/>
  <c r="H75" i="18"/>
  <c r="I75" i="18" s="1"/>
  <c r="J75" i="18" s="1"/>
  <c r="H76" i="18"/>
  <c r="I76" i="18" s="1"/>
  <c r="J76" i="18" s="1"/>
  <c r="H77" i="18"/>
  <c r="I77" i="18" s="1"/>
  <c r="J77" i="18" s="1"/>
  <c r="H78" i="18"/>
  <c r="I78" i="18" s="1"/>
  <c r="J78" i="18" s="1"/>
  <c r="H79" i="18"/>
  <c r="I79" i="18" s="1"/>
  <c r="J79" i="18" s="1"/>
  <c r="H80" i="18"/>
  <c r="H81" i="18"/>
  <c r="I81" i="18" s="1"/>
  <c r="J81" i="18" s="1"/>
  <c r="H82" i="18"/>
  <c r="I82" i="18" s="1"/>
  <c r="J82" i="18" s="1"/>
  <c r="H83" i="18"/>
  <c r="I83" i="18" s="1"/>
  <c r="J83" i="18" s="1"/>
  <c r="H84" i="18"/>
  <c r="I84" i="18" s="1"/>
  <c r="J84" i="18" s="1"/>
  <c r="H85" i="18"/>
  <c r="I85" i="18" s="1"/>
  <c r="J85" i="18" s="1"/>
  <c r="H86" i="18"/>
  <c r="I86" i="18" s="1"/>
  <c r="J86" i="18" s="1"/>
  <c r="H87" i="18"/>
  <c r="I87" i="18" s="1"/>
  <c r="J87" i="18" s="1"/>
  <c r="H88" i="18"/>
  <c r="I88" i="18" s="1"/>
  <c r="J88" i="18" s="1"/>
  <c r="H89" i="18"/>
  <c r="I89" i="18" s="1"/>
  <c r="J89" i="18" s="1"/>
  <c r="H90" i="18"/>
  <c r="H91" i="18"/>
  <c r="I91" i="18" s="1"/>
  <c r="J91" i="18" s="1"/>
  <c r="H92" i="18"/>
  <c r="I92" i="18" s="1"/>
  <c r="J92" i="18" s="1"/>
  <c r="H93" i="18"/>
  <c r="I93" i="18" s="1"/>
  <c r="J93" i="18" s="1"/>
  <c r="H94" i="18"/>
  <c r="I94" i="18" s="1"/>
  <c r="J94" i="18" s="1"/>
  <c r="H95" i="18"/>
  <c r="I95" i="18" s="1"/>
  <c r="J95" i="18" s="1"/>
  <c r="H96" i="18"/>
  <c r="I96" i="18" s="1"/>
  <c r="J96" i="18" s="1"/>
  <c r="H97" i="18"/>
  <c r="I97" i="18" s="1"/>
  <c r="J97" i="18" s="1"/>
  <c r="H98" i="18"/>
  <c r="I98" i="18" s="1"/>
  <c r="J98" i="18" s="1"/>
  <c r="H99" i="18"/>
  <c r="I99" i="18" s="1"/>
  <c r="J99" i="18" s="1"/>
  <c r="H100" i="18"/>
  <c r="H101" i="18"/>
  <c r="I101" i="18" s="1"/>
  <c r="J101" i="18" s="1"/>
  <c r="H102" i="18"/>
  <c r="I102" i="18" s="1"/>
  <c r="J102" i="18" s="1"/>
  <c r="H103" i="18"/>
  <c r="I103" i="18" s="1"/>
  <c r="J103" i="18" s="1"/>
  <c r="H104" i="18"/>
  <c r="I104" i="18" s="1"/>
  <c r="J104" i="18" s="1"/>
  <c r="H105" i="18"/>
  <c r="I105" i="18" s="1"/>
  <c r="J105" i="18" s="1"/>
  <c r="H106" i="18"/>
  <c r="I106" i="18" s="1"/>
  <c r="J106" i="18" s="1"/>
  <c r="H107" i="18"/>
  <c r="I107" i="18" s="1"/>
  <c r="J107" i="18" s="1"/>
  <c r="H108" i="18"/>
  <c r="I108" i="18" s="1"/>
  <c r="J108" i="18" s="1"/>
  <c r="H109" i="18"/>
  <c r="I109" i="18" s="1"/>
  <c r="J109" i="18" s="1"/>
  <c r="H110" i="18"/>
  <c r="I110" i="18" s="1"/>
  <c r="J110" i="18" s="1"/>
  <c r="H111" i="18"/>
  <c r="I111" i="18" s="1"/>
  <c r="J111" i="18" s="1"/>
  <c r="H112" i="18"/>
  <c r="I112" i="18" s="1"/>
  <c r="J112" i="18" s="1"/>
  <c r="H113" i="18"/>
  <c r="I113" i="18" s="1"/>
  <c r="J113" i="18" s="1"/>
  <c r="H114" i="18"/>
  <c r="I114" i="18" s="1"/>
  <c r="J114" i="18" s="1"/>
  <c r="H115" i="18"/>
  <c r="I115" i="18" s="1"/>
  <c r="J115" i="18" s="1"/>
  <c r="H116" i="18"/>
  <c r="I116" i="18" s="1"/>
  <c r="J116" i="18" s="1"/>
  <c r="H117" i="18"/>
  <c r="I117" i="18" s="1"/>
  <c r="J117" i="18" s="1"/>
  <c r="H118" i="18"/>
  <c r="I118" i="18" s="1"/>
  <c r="J118" i="18" s="1"/>
  <c r="H119" i="18"/>
  <c r="I119" i="18" s="1"/>
  <c r="J119" i="18" s="1"/>
  <c r="H120" i="18"/>
  <c r="I120" i="18" s="1"/>
  <c r="J120" i="18" s="1"/>
  <c r="H121" i="18"/>
  <c r="I121" i="18" s="1"/>
  <c r="J121" i="18" s="1"/>
  <c r="H122" i="18"/>
  <c r="I122" i="18" s="1"/>
  <c r="J122" i="18" s="1"/>
  <c r="H123" i="18"/>
  <c r="I123" i="18" s="1"/>
  <c r="J123" i="18" s="1"/>
  <c r="H124" i="18"/>
  <c r="I124" i="18" s="1"/>
  <c r="J124" i="18" s="1"/>
  <c r="H125" i="18"/>
  <c r="I125" i="18" s="1"/>
  <c r="J125" i="18" s="1"/>
  <c r="H126" i="18"/>
  <c r="I126" i="18" s="1"/>
  <c r="J126" i="18" s="1"/>
  <c r="H127" i="18"/>
  <c r="I127" i="18" s="1"/>
  <c r="J127" i="18" s="1"/>
  <c r="H128" i="18"/>
  <c r="I128" i="18" s="1"/>
  <c r="J128" i="18" s="1"/>
  <c r="H129" i="18"/>
  <c r="I129" i="18" s="1"/>
  <c r="J129" i="18" s="1"/>
  <c r="H130" i="18"/>
  <c r="I130" i="18" s="1"/>
  <c r="J130" i="18" s="1"/>
  <c r="H131" i="18"/>
  <c r="I131" i="18" s="1"/>
  <c r="J131" i="18" s="1"/>
  <c r="H132" i="18"/>
  <c r="I132" i="18" s="1"/>
  <c r="J132" i="18" s="1"/>
  <c r="H133" i="18"/>
  <c r="I133" i="18" s="1"/>
  <c r="J133" i="18" s="1"/>
  <c r="H134" i="18"/>
  <c r="I134" i="18" s="1"/>
  <c r="J134" i="18" s="1"/>
  <c r="H135" i="18"/>
  <c r="I135" i="18" s="1"/>
  <c r="J135" i="18" s="1"/>
  <c r="H136" i="18"/>
  <c r="I136" i="18" s="1"/>
  <c r="J136" i="18" s="1"/>
  <c r="H137" i="18"/>
  <c r="I137" i="18" s="1"/>
  <c r="J137" i="18" s="1"/>
  <c r="H138" i="18"/>
  <c r="I138" i="18" s="1"/>
  <c r="J138" i="18" s="1"/>
  <c r="H139" i="18"/>
  <c r="I139" i="18" s="1"/>
  <c r="J139" i="18" s="1"/>
  <c r="H140" i="18"/>
  <c r="I140" i="18" s="1"/>
  <c r="J140" i="18" s="1"/>
  <c r="H141" i="18"/>
  <c r="I141" i="18" s="1"/>
  <c r="J141" i="18" s="1"/>
  <c r="H142" i="18"/>
  <c r="I142" i="18" s="1"/>
  <c r="J142" i="18" s="1"/>
  <c r="H143" i="18"/>
  <c r="I143" i="18" s="1"/>
  <c r="J143" i="18" s="1"/>
  <c r="H144" i="18"/>
  <c r="I144" i="18" s="1"/>
  <c r="J144" i="18" s="1"/>
  <c r="H145" i="18"/>
  <c r="I145" i="18" s="1"/>
  <c r="J145" i="18" s="1"/>
  <c r="H146" i="18"/>
  <c r="I146" i="18" s="1"/>
  <c r="J146" i="18" s="1"/>
  <c r="H147" i="18"/>
  <c r="I147" i="18" s="1"/>
  <c r="J147" i="18" s="1"/>
  <c r="H148" i="18"/>
  <c r="I148" i="18" s="1"/>
  <c r="J148" i="18" s="1"/>
  <c r="H149" i="18"/>
  <c r="I149" i="18" s="1"/>
  <c r="J149" i="18" s="1"/>
  <c r="H150" i="18"/>
  <c r="I150" i="18" s="1"/>
  <c r="J150" i="18" s="1"/>
  <c r="H151" i="18"/>
  <c r="I151" i="18" s="1"/>
  <c r="J151" i="18" s="1"/>
  <c r="H152" i="18"/>
  <c r="I152" i="18" s="1"/>
  <c r="J152" i="18" s="1"/>
  <c r="H153" i="18"/>
  <c r="I153" i="18" s="1"/>
  <c r="J153" i="18" s="1"/>
  <c r="H154" i="18"/>
  <c r="I154" i="18" s="1"/>
  <c r="J154" i="18" s="1"/>
  <c r="H155" i="18"/>
  <c r="I155" i="18" s="1"/>
  <c r="J155" i="18" s="1"/>
  <c r="H156" i="18"/>
  <c r="I156" i="18" s="1"/>
  <c r="J156" i="18" s="1"/>
  <c r="H157" i="18"/>
  <c r="I157" i="18" s="1"/>
  <c r="J157" i="18" s="1"/>
  <c r="H158" i="18"/>
  <c r="I158" i="18" s="1"/>
  <c r="J158" i="18" s="1"/>
  <c r="H159" i="18"/>
  <c r="I159" i="18" s="1"/>
  <c r="J159" i="18" s="1"/>
  <c r="H160" i="18"/>
  <c r="I160" i="18" s="1"/>
  <c r="J160" i="18" s="1"/>
  <c r="H161" i="18"/>
  <c r="I161" i="18" s="1"/>
  <c r="J161" i="18" s="1"/>
  <c r="H162" i="18"/>
  <c r="I162" i="18" s="1"/>
  <c r="J162" i="18" s="1"/>
  <c r="H163" i="18"/>
  <c r="I163" i="18" s="1"/>
  <c r="J163" i="18" s="1"/>
  <c r="H164" i="18"/>
  <c r="I164" i="18" s="1"/>
  <c r="J164" i="18" s="1"/>
  <c r="H165" i="18"/>
  <c r="I165" i="18" s="1"/>
  <c r="J165" i="18" s="1"/>
  <c r="H166" i="18"/>
  <c r="I166" i="18" s="1"/>
  <c r="J166" i="18" s="1"/>
  <c r="H167" i="18"/>
  <c r="I167" i="18" s="1"/>
  <c r="J167" i="18" s="1"/>
  <c r="H168" i="18"/>
  <c r="I168" i="18" s="1"/>
  <c r="J168" i="18" s="1"/>
  <c r="H169" i="18"/>
  <c r="I169" i="18" s="1"/>
  <c r="J169" i="18" s="1"/>
  <c r="H170" i="18"/>
  <c r="I170" i="18" s="1"/>
  <c r="J170" i="18" s="1"/>
  <c r="H171" i="18"/>
  <c r="I171" i="18" s="1"/>
  <c r="J171" i="18" s="1"/>
  <c r="H172" i="18"/>
  <c r="I172" i="18" s="1"/>
  <c r="J172" i="18" s="1"/>
  <c r="H173" i="18"/>
  <c r="I173" i="18" s="1"/>
  <c r="J173" i="18" s="1"/>
  <c r="H174" i="18"/>
  <c r="I174" i="18" s="1"/>
  <c r="J174" i="18" s="1"/>
  <c r="H175" i="18"/>
  <c r="I175" i="18" s="1"/>
  <c r="J175" i="18" s="1"/>
  <c r="H176" i="18"/>
  <c r="I176" i="18" s="1"/>
  <c r="J176" i="18" s="1"/>
  <c r="H177" i="18"/>
  <c r="I177" i="18" s="1"/>
  <c r="J177" i="18" s="1"/>
  <c r="H178" i="18"/>
  <c r="I178" i="18" s="1"/>
  <c r="J178" i="18" s="1"/>
  <c r="H179" i="18"/>
  <c r="I179" i="18" s="1"/>
  <c r="J179" i="18" s="1"/>
  <c r="H180" i="18"/>
  <c r="I180" i="18" s="1"/>
  <c r="J180" i="18" s="1"/>
  <c r="H181" i="18"/>
  <c r="I181" i="18" s="1"/>
  <c r="J181" i="18" s="1"/>
  <c r="H182" i="18"/>
  <c r="I182" i="18" s="1"/>
  <c r="J182" i="18" s="1"/>
  <c r="H183" i="18"/>
  <c r="I183" i="18" s="1"/>
  <c r="J183" i="18" s="1"/>
  <c r="H184" i="18"/>
  <c r="I184" i="18" s="1"/>
  <c r="J184" i="18" s="1"/>
  <c r="H185" i="18"/>
  <c r="I185" i="18" s="1"/>
  <c r="J185" i="18" s="1"/>
  <c r="H186" i="18"/>
  <c r="I186" i="18" s="1"/>
  <c r="J186" i="18" s="1"/>
  <c r="H187" i="18"/>
  <c r="I187" i="18" s="1"/>
  <c r="J187" i="18" s="1"/>
  <c r="H188" i="18"/>
  <c r="I188" i="18" s="1"/>
  <c r="J188" i="18" s="1"/>
  <c r="H189" i="18"/>
  <c r="I189" i="18" s="1"/>
  <c r="J189" i="18" s="1"/>
  <c r="H190" i="18"/>
  <c r="I190" i="18" s="1"/>
  <c r="J190" i="18" s="1"/>
  <c r="H191" i="18"/>
  <c r="I191" i="18" s="1"/>
  <c r="J191" i="18" s="1"/>
  <c r="H192" i="18"/>
  <c r="I192" i="18" s="1"/>
  <c r="J192" i="18" s="1"/>
  <c r="H193" i="18"/>
  <c r="I193" i="18" s="1"/>
  <c r="J193" i="18" s="1"/>
  <c r="H194" i="18"/>
  <c r="I194" i="18" s="1"/>
  <c r="J194" i="18" s="1"/>
  <c r="H195" i="18"/>
  <c r="I195" i="18" s="1"/>
  <c r="J195" i="18" s="1"/>
  <c r="H196" i="18"/>
  <c r="I196" i="18" s="1"/>
  <c r="J196" i="18" s="1"/>
  <c r="H197" i="18"/>
  <c r="I197" i="18" s="1"/>
  <c r="J197" i="18" s="1"/>
  <c r="H198" i="18"/>
  <c r="I198" i="18" s="1"/>
  <c r="J198" i="18" s="1"/>
  <c r="H199" i="18"/>
  <c r="I199" i="18" s="1"/>
  <c r="J199" i="18" s="1"/>
  <c r="H200" i="18"/>
  <c r="I200" i="18" s="1"/>
  <c r="J200" i="18" s="1"/>
  <c r="H201" i="18"/>
  <c r="I201" i="18" s="1"/>
  <c r="J201" i="18" s="1"/>
  <c r="H202" i="18"/>
  <c r="I202" i="18" s="1"/>
  <c r="J202" i="18" s="1"/>
  <c r="H203" i="18"/>
  <c r="I203" i="18" s="1"/>
  <c r="J203" i="18" s="1"/>
  <c r="H204" i="18"/>
  <c r="I204" i="18" s="1"/>
  <c r="J204" i="18" s="1"/>
  <c r="H205" i="18"/>
  <c r="I205" i="18" s="1"/>
  <c r="J205" i="18" s="1"/>
  <c r="H206" i="18"/>
  <c r="I206" i="18" s="1"/>
  <c r="J206" i="18" s="1"/>
  <c r="H207" i="18"/>
  <c r="I207" i="18" s="1"/>
  <c r="J207" i="18" s="1"/>
  <c r="H208" i="18"/>
  <c r="I208" i="18" s="1"/>
  <c r="J208" i="18" s="1"/>
  <c r="H209" i="18"/>
  <c r="I209" i="18" s="1"/>
  <c r="J209" i="18" s="1"/>
  <c r="H210" i="18"/>
  <c r="I210" i="18" s="1"/>
  <c r="J210" i="18" s="1"/>
  <c r="H211" i="18"/>
  <c r="I211" i="18" s="1"/>
  <c r="J211" i="18" s="1"/>
  <c r="H212" i="18"/>
  <c r="I212" i="18" s="1"/>
  <c r="J212" i="18" s="1"/>
  <c r="H213" i="18"/>
  <c r="I213" i="18" s="1"/>
  <c r="J213" i="18" s="1"/>
  <c r="H214" i="18"/>
  <c r="I214" i="18" s="1"/>
  <c r="J214" i="18" s="1"/>
  <c r="H215" i="18"/>
  <c r="I215" i="18" s="1"/>
  <c r="J215" i="18" s="1"/>
  <c r="H216" i="18"/>
  <c r="I216" i="18" s="1"/>
  <c r="J216" i="18" s="1"/>
  <c r="H217" i="18"/>
  <c r="I217" i="18" s="1"/>
  <c r="J217" i="18" s="1"/>
  <c r="H218" i="18"/>
  <c r="I218" i="18" s="1"/>
  <c r="J218" i="18" s="1"/>
  <c r="H219" i="18"/>
  <c r="I219" i="18" s="1"/>
  <c r="J219" i="18" s="1"/>
  <c r="H220" i="18"/>
  <c r="I220" i="18" s="1"/>
  <c r="J220" i="18" s="1"/>
  <c r="H221" i="18"/>
  <c r="I221" i="18" s="1"/>
  <c r="J221" i="18" s="1"/>
  <c r="H222" i="18"/>
  <c r="I222" i="18" s="1"/>
  <c r="J222" i="18" s="1"/>
  <c r="H223" i="18"/>
  <c r="I223" i="18" s="1"/>
  <c r="J223" i="18" s="1"/>
  <c r="H224" i="18"/>
  <c r="I224" i="18" s="1"/>
  <c r="J224" i="18" s="1"/>
  <c r="H225" i="18"/>
  <c r="I225" i="18" s="1"/>
  <c r="J225" i="18" s="1"/>
  <c r="H226" i="18"/>
  <c r="I226" i="18" s="1"/>
  <c r="J226" i="18" s="1"/>
  <c r="H227" i="18"/>
  <c r="I227" i="18" s="1"/>
  <c r="J227" i="18" s="1"/>
  <c r="H228" i="18"/>
  <c r="I228" i="18" s="1"/>
  <c r="J228" i="18" s="1"/>
  <c r="H229" i="18"/>
  <c r="I229" i="18" s="1"/>
  <c r="J229" i="18" s="1"/>
  <c r="H230" i="18"/>
  <c r="I230" i="18" s="1"/>
  <c r="J230" i="18" s="1"/>
  <c r="H231" i="18"/>
  <c r="I231" i="18" s="1"/>
  <c r="J231" i="18" s="1"/>
  <c r="H232" i="18"/>
  <c r="I232" i="18" s="1"/>
  <c r="J232" i="18" s="1"/>
  <c r="H233" i="18"/>
  <c r="I233" i="18" s="1"/>
  <c r="J233" i="18" s="1"/>
  <c r="H234" i="18"/>
  <c r="I234" i="18" s="1"/>
  <c r="J234" i="18" s="1"/>
  <c r="H235" i="18"/>
  <c r="I235" i="18" s="1"/>
  <c r="J235" i="18" s="1"/>
  <c r="H236" i="18"/>
  <c r="I236" i="18" s="1"/>
  <c r="J236" i="18" s="1"/>
  <c r="H237" i="18"/>
  <c r="I237" i="18" s="1"/>
  <c r="J237" i="18" s="1"/>
  <c r="H238" i="18"/>
  <c r="I238" i="18" s="1"/>
  <c r="J238" i="18" s="1"/>
  <c r="H239" i="18"/>
  <c r="I239" i="18" s="1"/>
  <c r="J239" i="18" s="1"/>
  <c r="H240" i="18"/>
  <c r="I240" i="18" s="1"/>
  <c r="J240" i="18" s="1"/>
  <c r="H241" i="18"/>
  <c r="I241" i="18" s="1"/>
  <c r="J241" i="18" s="1"/>
  <c r="H242" i="18"/>
  <c r="I242" i="18" s="1"/>
  <c r="J242" i="18" s="1"/>
  <c r="H243" i="18"/>
  <c r="I243" i="18" s="1"/>
  <c r="J243" i="18" s="1"/>
  <c r="H244" i="18"/>
  <c r="I244" i="18" s="1"/>
  <c r="J244" i="18" s="1"/>
  <c r="H245" i="18"/>
  <c r="I245" i="18" s="1"/>
  <c r="J245" i="18" s="1"/>
  <c r="H246" i="18"/>
  <c r="I246" i="18" s="1"/>
  <c r="J246" i="18" s="1"/>
  <c r="H247" i="18"/>
  <c r="I247" i="18" s="1"/>
  <c r="J247" i="18" s="1"/>
  <c r="H248" i="18"/>
  <c r="I248" i="18" s="1"/>
  <c r="J248" i="18" s="1"/>
  <c r="H249" i="18"/>
  <c r="I249" i="18" s="1"/>
  <c r="J249" i="18" s="1"/>
  <c r="H250" i="18"/>
  <c r="I250" i="18" s="1"/>
  <c r="J250" i="18" s="1"/>
  <c r="H251" i="18"/>
  <c r="I251" i="18" s="1"/>
  <c r="J251" i="18" s="1"/>
  <c r="H252" i="18"/>
  <c r="I252" i="18" s="1"/>
  <c r="J252" i="18" s="1"/>
  <c r="H253" i="18"/>
  <c r="I253" i="18" s="1"/>
  <c r="J253" i="18" s="1"/>
  <c r="H254" i="18"/>
  <c r="I254" i="18" s="1"/>
  <c r="J254" i="18" s="1"/>
  <c r="H255" i="18"/>
  <c r="I255" i="18" s="1"/>
  <c r="J255" i="18" s="1"/>
  <c r="H256" i="18"/>
  <c r="I256" i="18" s="1"/>
  <c r="J256" i="18" s="1"/>
  <c r="H257" i="18"/>
  <c r="I257" i="18" s="1"/>
  <c r="J257" i="18" s="1"/>
  <c r="H258" i="18"/>
  <c r="I258" i="18" s="1"/>
  <c r="J258" i="18" s="1"/>
  <c r="H259" i="18"/>
  <c r="I259" i="18" s="1"/>
  <c r="J259" i="18" s="1"/>
  <c r="H260" i="18"/>
  <c r="I260" i="18" s="1"/>
  <c r="J260" i="18" s="1"/>
  <c r="H261" i="18"/>
  <c r="I261" i="18" s="1"/>
  <c r="J261" i="18" s="1"/>
  <c r="H262" i="18"/>
  <c r="I262" i="18" s="1"/>
  <c r="J262" i="18" s="1"/>
  <c r="H263" i="18"/>
  <c r="I263" i="18" s="1"/>
  <c r="J263" i="18" s="1"/>
  <c r="H264" i="18"/>
  <c r="I264" i="18" s="1"/>
  <c r="J264" i="18" s="1"/>
  <c r="H265" i="18"/>
  <c r="I265" i="18" s="1"/>
  <c r="J265" i="18" s="1"/>
  <c r="H266" i="18"/>
  <c r="I266" i="18" s="1"/>
  <c r="J266" i="18" s="1"/>
  <c r="H267" i="18"/>
  <c r="I267" i="18" s="1"/>
  <c r="J267" i="18" s="1"/>
  <c r="H268" i="18"/>
  <c r="I268" i="18" s="1"/>
  <c r="J268" i="18" s="1"/>
  <c r="H269" i="18"/>
  <c r="I269" i="18" s="1"/>
  <c r="J269" i="18" s="1"/>
  <c r="H270" i="18"/>
  <c r="I270" i="18" s="1"/>
  <c r="J270" i="18" s="1"/>
  <c r="H271" i="18"/>
  <c r="I271" i="18" s="1"/>
  <c r="J271" i="18" s="1"/>
  <c r="H272" i="18"/>
  <c r="I272" i="18" s="1"/>
  <c r="J272" i="18" s="1"/>
  <c r="H273" i="18"/>
  <c r="I273" i="18" s="1"/>
  <c r="J273" i="18" s="1"/>
  <c r="H274" i="18"/>
  <c r="I274" i="18" s="1"/>
  <c r="J274" i="18" s="1"/>
  <c r="H275" i="18"/>
  <c r="I275" i="18" s="1"/>
  <c r="J275" i="18" s="1"/>
  <c r="H276" i="18"/>
  <c r="I276" i="18" s="1"/>
  <c r="J276" i="18" s="1"/>
  <c r="H277" i="18"/>
  <c r="I277" i="18" s="1"/>
  <c r="J277" i="18" s="1"/>
  <c r="H278" i="18"/>
  <c r="I278" i="18" s="1"/>
  <c r="J278" i="18" s="1"/>
  <c r="H279" i="18"/>
  <c r="I279" i="18" s="1"/>
  <c r="J279" i="18" s="1"/>
  <c r="H280" i="18"/>
  <c r="I280" i="18" s="1"/>
  <c r="J280" i="18" s="1"/>
  <c r="H281" i="18"/>
  <c r="I281" i="18" s="1"/>
  <c r="J281" i="18" s="1"/>
  <c r="H282" i="18"/>
  <c r="I282" i="18" s="1"/>
  <c r="J282" i="18" s="1"/>
  <c r="H283" i="18"/>
  <c r="I283" i="18" s="1"/>
  <c r="J283" i="18" s="1"/>
  <c r="H284" i="18"/>
  <c r="I284" i="18" s="1"/>
  <c r="J284" i="18" s="1"/>
  <c r="H285" i="18"/>
  <c r="I285" i="18" s="1"/>
  <c r="J285" i="18" s="1"/>
  <c r="H286" i="18"/>
  <c r="I286" i="18" s="1"/>
  <c r="J286" i="18" s="1"/>
  <c r="H287" i="18"/>
  <c r="I287" i="18" s="1"/>
  <c r="J287" i="18" s="1"/>
  <c r="H288" i="18"/>
  <c r="I288" i="18" s="1"/>
  <c r="J288" i="18" s="1"/>
  <c r="H289" i="18"/>
  <c r="I289" i="18" s="1"/>
  <c r="J289" i="18" s="1"/>
  <c r="H290" i="18"/>
  <c r="I290" i="18" s="1"/>
  <c r="J290" i="18" s="1"/>
  <c r="H291" i="18"/>
  <c r="I291" i="18" s="1"/>
  <c r="J291" i="18" s="1"/>
  <c r="H292" i="18"/>
  <c r="I292" i="18" s="1"/>
  <c r="J292" i="18" s="1"/>
  <c r="H293" i="18"/>
  <c r="I293" i="18" s="1"/>
  <c r="J293" i="18" s="1"/>
  <c r="H294" i="18"/>
  <c r="I294" i="18" s="1"/>
  <c r="J294" i="18" s="1"/>
  <c r="H295" i="18"/>
  <c r="I295" i="18" s="1"/>
  <c r="J295" i="18" s="1"/>
  <c r="H296" i="18"/>
  <c r="I296" i="18" s="1"/>
  <c r="J296" i="18" s="1"/>
  <c r="H297" i="18"/>
  <c r="I297" i="18" s="1"/>
  <c r="J297" i="18" s="1"/>
  <c r="H298" i="18"/>
  <c r="I298" i="18" s="1"/>
  <c r="J298" i="18" s="1"/>
  <c r="H299" i="18"/>
  <c r="I299" i="18" s="1"/>
  <c r="J299" i="18" s="1"/>
  <c r="H300" i="18"/>
  <c r="H301" i="18"/>
  <c r="I301" i="18" s="1"/>
  <c r="J301" i="18" s="1"/>
  <c r="H302" i="18"/>
  <c r="I302" i="18" s="1"/>
  <c r="J302" i="18" s="1"/>
  <c r="H303" i="18"/>
  <c r="I303" i="18" s="1"/>
  <c r="J303" i="18" s="1"/>
  <c r="H304" i="18"/>
  <c r="I304" i="18" s="1"/>
  <c r="J304" i="18" s="1"/>
  <c r="H305" i="18"/>
  <c r="I305" i="18" s="1"/>
  <c r="J305" i="18" s="1"/>
  <c r="H306" i="18"/>
  <c r="I306" i="18" s="1"/>
  <c r="J306" i="18" s="1"/>
  <c r="H307" i="18"/>
  <c r="I307" i="18" s="1"/>
  <c r="J307" i="18" s="1"/>
  <c r="H308" i="18"/>
  <c r="I308" i="18" s="1"/>
  <c r="J308" i="18" s="1"/>
  <c r="H309" i="18"/>
  <c r="I309" i="18" s="1"/>
  <c r="J309" i="18" s="1"/>
  <c r="H310" i="18"/>
  <c r="I310" i="18" s="1"/>
  <c r="J310" i="18" s="1"/>
  <c r="H311" i="18"/>
  <c r="I311" i="18" s="1"/>
  <c r="J311" i="18" s="1"/>
  <c r="H312" i="18"/>
  <c r="I312" i="18" s="1"/>
  <c r="J312" i="18" s="1"/>
  <c r="H313" i="18"/>
  <c r="I313" i="18" s="1"/>
  <c r="J313" i="18" s="1"/>
  <c r="H314" i="18"/>
  <c r="I314" i="18" s="1"/>
  <c r="J314" i="18" s="1"/>
  <c r="H315" i="18"/>
  <c r="I315" i="18" s="1"/>
  <c r="J315" i="18" s="1"/>
  <c r="H316" i="18"/>
  <c r="I316" i="18" s="1"/>
  <c r="J316" i="18" s="1"/>
  <c r="H317" i="18"/>
  <c r="I317" i="18" s="1"/>
  <c r="J317" i="18" s="1"/>
  <c r="H318" i="18"/>
  <c r="I318" i="18" s="1"/>
  <c r="J318" i="18" s="1"/>
  <c r="H319" i="18"/>
  <c r="I319" i="18" s="1"/>
  <c r="J319" i="18" s="1"/>
  <c r="H320" i="18"/>
  <c r="I320" i="18" s="1"/>
  <c r="J320" i="18" s="1"/>
  <c r="H321" i="18"/>
  <c r="I321" i="18" s="1"/>
  <c r="J321" i="18" s="1"/>
  <c r="H322" i="18"/>
  <c r="I322" i="18" s="1"/>
  <c r="J322" i="18" s="1"/>
  <c r="H323" i="18"/>
  <c r="I323" i="18" s="1"/>
  <c r="J323" i="18" s="1"/>
  <c r="H324" i="18"/>
  <c r="I324" i="18" s="1"/>
  <c r="J324" i="18" s="1"/>
  <c r="H325" i="18"/>
  <c r="I325" i="18" s="1"/>
  <c r="J325" i="18" s="1"/>
  <c r="H326" i="18"/>
  <c r="I326" i="18" s="1"/>
  <c r="J326" i="18" s="1"/>
  <c r="H327" i="18"/>
  <c r="I327" i="18" s="1"/>
  <c r="J327" i="18" s="1"/>
  <c r="H328" i="18"/>
  <c r="I328" i="18" s="1"/>
  <c r="J328" i="18" s="1"/>
  <c r="H329" i="18"/>
  <c r="I329" i="18" s="1"/>
  <c r="J329" i="18" s="1"/>
  <c r="H330" i="18"/>
  <c r="H331" i="18"/>
  <c r="I331" i="18" s="1"/>
  <c r="J331" i="18" s="1"/>
  <c r="H332" i="18"/>
  <c r="I332" i="18" s="1"/>
  <c r="J332" i="18" s="1"/>
  <c r="H333" i="18"/>
  <c r="I333" i="18" s="1"/>
  <c r="J333" i="18" s="1"/>
  <c r="H334" i="18"/>
  <c r="I334" i="18" s="1"/>
  <c r="J334" i="18" s="1"/>
  <c r="H335" i="18"/>
  <c r="I335" i="18" s="1"/>
  <c r="J335" i="18" s="1"/>
  <c r="H336" i="18"/>
  <c r="I336" i="18" s="1"/>
  <c r="J336" i="18" s="1"/>
  <c r="H337" i="18"/>
  <c r="I337" i="18" s="1"/>
  <c r="J337" i="18" s="1"/>
  <c r="H338" i="18"/>
  <c r="I338" i="18" s="1"/>
  <c r="J338" i="18" s="1"/>
  <c r="H339" i="18"/>
  <c r="I339" i="18" s="1"/>
  <c r="J339" i="18" s="1"/>
  <c r="H340" i="18"/>
  <c r="H341" i="18"/>
  <c r="I341" i="18" s="1"/>
  <c r="J341" i="18" s="1"/>
  <c r="H342" i="18"/>
  <c r="I342" i="18" s="1"/>
  <c r="J342" i="18" s="1"/>
  <c r="H343" i="18"/>
  <c r="I343" i="18" s="1"/>
  <c r="J343" i="18" s="1"/>
  <c r="H344" i="18"/>
  <c r="I344" i="18" s="1"/>
  <c r="J344" i="18" s="1"/>
  <c r="H345" i="18"/>
  <c r="I345" i="18" s="1"/>
  <c r="J345" i="18" s="1"/>
  <c r="H346" i="18"/>
  <c r="I346" i="18" s="1"/>
  <c r="J346" i="18" s="1"/>
  <c r="H347" i="18"/>
  <c r="I347" i="18" s="1"/>
  <c r="J347" i="18" s="1"/>
  <c r="H348" i="18"/>
  <c r="I348" i="18" s="1"/>
  <c r="J348" i="18" s="1"/>
  <c r="H349" i="18"/>
  <c r="I349" i="18" s="1"/>
  <c r="J349" i="18" s="1"/>
  <c r="H350" i="18"/>
  <c r="I350" i="18" s="1"/>
  <c r="J350" i="18" s="1"/>
  <c r="H351" i="18"/>
  <c r="I351" i="18" s="1"/>
  <c r="J351" i="18" s="1"/>
  <c r="H352" i="18"/>
  <c r="I352" i="18" s="1"/>
  <c r="J352" i="18" s="1"/>
  <c r="H353" i="18"/>
  <c r="I353" i="18" s="1"/>
  <c r="J353" i="18" s="1"/>
  <c r="H354" i="18"/>
  <c r="I354" i="18" s="1"/>
  <c r="J354" i="18" s="1"/>
  <c r="H355" i="18"/>
  <c r="I355" i="18" s="1"/>
  <c r="J355" i="18" s="1"/>
  <c r="H356" i="18"/>
  <c r="I356" i="18" s="1"/>
  <c r="J356" i="18" s="1"/>
  <c r="H357" i="18"/>
  <c r="I357" i="18" s="1"/>
  <c r="J357" i="18" s="1"/>
  <c r="H358" i="18"/>
  <c r="I358" i="18" s="1"/>
  <c r="J358" i="18" s="1"/>
  <c r="H359" i="18"/>
  <c r="I359" i="18" s="1"/>
  <c r="J359" i="18" s="1"/>
  <c r="H360" i="18"/>
  <c r="I360" i="18" s="1"/>
  <c r="J360" i="18" s="1"/>
  <c r="H361" i="18"/>
  <c r="I361" i="18" s="1"/>
  <c r="J361" i="18" s="1"/>
  <c r="H362" i="18"/>
  <c r="I362" i="18" s="1"/>
  <c r="J362" i="18" s="1"/>
  <c r="H363" i="18"/>
  <c r="I363" i="18" s="1"/>
  <c r="J363" i="18" s="1"/>
  <c r="H364" i="18"/>
  <c r="I364" i="18" s="1"/>
  <c r="J364" i="18" s="1"/>
  <c r="H365" i="18"/>
  <c r="I365" i="18" s="1"/>
  <c r="J365" i="18" s="1"/>
  <c r="H366" i="18"/>
  <c r="I366" i="18" s="1"/>
  <c r="J366" i="18" s="1"/>
  <c r="H367" i="18"/>
  <c r="I367" i="18" s="1"/>
  <c r="J367" i="18" s="1"/>
  <c r="H368" i="18"/>
  <c r="I368" i="18" s="1"/>
  <c r="J368" i="18" s="1"/>
  <c r="H369" i="18"/>
  <c r="I369" i="18" s="1"/>
  <c r="J369" i="18" s="1"/>
  <c r="H370" i="18"/>
  <c r="I370" i="18" s="1"/>
  <c r="J370" i="18" s="1"/>
  <c r="H371" i="18"/>
  <c r="I371" i="18" s="1"/>
  <c r="J371" i="18" s="1"/>
  <c r="H372" i="18"/>
  <c r="I372" i="18" s="1"/>
  <c r="J372" i="18" s="1"/>
  <c r="H373" i="18"/>
  <c r="I373" i="18" s="1"/>
  <c r="J373" i="18" s="1"/>
  <c r="H374" i="18"/>
  <c r="I374" i="18" s="1"/>
  <c r="J374" i="18" s="1"/>
  <c r="H375" i="18"/>
  <c r="I375" i="18" s="1"/>
  <c r="J375" i="18" s="1"/>
  <c r="H376" i="18"/>
  <c r="I376" i="18" s="1"/>
  <c r="J376" i="18" s="1"/>
  <c r="H377" i="18"/>
  <c r="I377" i="18" s="1"/>
  <c r="J377" i="18" s="1"/>
  <c r="H378" i="18"/>
  <c r="I378" i="18" s="1"/>
  <c r="J378" i="18" s="1"/>
  <c r="H379" i="18"/>
  <c r="I379" i="18" s="1"/>
  <c r="J379" i="18" s="1"/>
  <c r="H380" i="18"/>
  <c r="I380" i="18" s="1"/>
  <c r="J380" i="18" s="1"/>
  <c r="H381" i="18"/>
  <c r="I381" i="18" s="1"/>
  <c r="J381" i="18" s="1"/>
  <c r="H382" i="18"/>
  <c r="I382" i="18" s="1"/>
  <c r="J382" i="18" s="1"/>
  <c r="H383" i="18"/>
  <c r="I383" i="18" s="1"/>
  <c r="J383" i="18" s="1"/>
  <c r="H384" i="18"/>
  <c r="I384" i="18" s="1"/>
  <c r="J384" i="18" s="1"/>
  <c r="H385" i="18"/>
  <c r="I385" i="18" s="1"/>
  <c r="J385" i="18" s="1"/>
  <c r="H386" i="18"/>
  <c r="I386" i="18" s="1"/>
  <c r="J386" i="18" s="1"/>
  <c r="H387" i="18"/>
  <c r="I387" i="18" s="1"/>
  <c r="J387" i="18" s="1"/>
  <c r="H388" i="18"/>
  <c r="I388" i="18" s="1"/>
  <c r="J388" i="18" s="1"/>
  <c r="H389" i="18"/>
  <c r="I389" i="18" s="1"/>
  <c r="J389" i="18" s="1"/>
  <c r="H390" i="18"/>
  <c r="I390" i="18" s="1"/>
  <c r="J390" i="18" s="1"/>
  <c r="H391" i="18"/>
  <c r="I391" i="18" s="1"/>
  <c r="J391" i="18" s="1"/>
  <c r="H392" i="18"/>
  <c r="I392" i="18" s="1"/>
  <c r="J392" i="18" s="1"/>
  <c r="H393" i="18"/>
  <c r="I393" i="18" s="1"/>
  <c r="J393" i="18" s="1"/>
  <c r="H394" i="18"/>
  <c r="I394" i="18" s="1"/>
  <c r="J394" i="18" s="1"/>
  <c r="H395" i="18"/>
  <c r="I395" i="18" s="1"/>
  <c r="J395" i="18" s="1"/>
  <c r="H396" i="18"/>
  <c r="I396" i="18" s="1"/>
  <c r="J396" i="18" s="1"/>
  <c r="H397" i="18"/>
  <c r="I397" i="18" s="1"/>
  <c r="J397" i="18" s="1"/>
  <c r="H398" i="18"/>
  <c r="I398" i="18" s="1"/>
  <c r="J398" i="18" s="1"/>
  <c r="H399" i="18"/>
  <c r="I399" i="18" s="1"/>
  <c r="J399" i="18" s="1"/>
  <c r="H400" i="18"/>
  <c r="I400" i="18" s="1"/>
  <c r="J400" i="18" s="1"/>
  <c r="H401" i="18"/>
  <c r="I401" i="18" s="1"/>
  <c r="J401" i="18" s="1"/>
  <c r="H402" i="18"/>
  <c r="I402" i="18" s="1"/>
  <c r="J402" i="18" s="1"/>
  <c r="H403" i="18"/>
  <c r="I403" i="18" s="1"/>
  <c r="J403" i="18" s="1"/>
  <c r="H404" i="18"/>
  <c r="I404" i="18" s="1"/>
  <c r="J404" i="18" s="1"/>
  <c r="H405" i="18"/>
  <c r="I405" i="18" s="1"/>
  <c r="J405" i="18" s="1"/>
  <c r="H406" i="18"/>
  <c r="I406" i="18" s="1"/>
  <c r="J406" i="18" s="1"/>
  <c r="H407" i="18"/>
  <c r="I407" i="18" s="1"/>
  <c r="J407" i="18" s="1"/>
  <c r="H408" i="18"/>
  <c r="I408" i="18" s="1"/>
  <c r="J408" i="18" s="1"/>
  <c r="H409" i="18"/>
  <c r="I409" i="18" s="1"/>
  <c r="J409" i="18" s="1"/>
  <c r="H410" i="18"/>
  <c r="I410" i="18" s="1"/>
  <c r="J410" i="18" s="1"/>
  <c r="H411" i="18"/>
  <c r="I411" i="18" s="1"/>
  <c r="J411" i="18" s="1"/>
  <c r="H412" i="18"/>
  <c r="I412" i="18" s="1"/>
  <c r="J412" i="18" s="1"/>
  <c r="H413" i="18"/>
  <c r="I413" i="18" s="1"/>
  <c r="J413" i="18" s="1"/>
  <c r="H414" i="18"/>
  <c r="I414" i="18" s="1"/>
  <c r="J414" i="18" s="1"/>
  <c r="H415" i="18"/>
  <c r="I415" i="18" s="1"/>
  <c r="J415" i="18" s="1"/>
  <c r="H416" i="18"/>
  <c r="I416" i="18" s="1"/>
  <c r="J416" i="18" s="1"/>
  <c r="H417" i="18"/>
  <c r="I417" i="18" s="1"/>
  <c r="J417" i="18" s="1"/>
  <c r="H418" i="18"/>
  <c r="I418" i="18" s="1"/>
  <c r="J418" i="18" s="1"/>
  <c r="H419" i="18"/>
  <c r="I419" i="18" s="1"/>
  <c r="J419" i="18" s="1"/>
  <c r="H420" i="18"/>
  <c r="I420" i="18" s="1"/>
  <c r="J420" i="18" s="1"/>
  <c r="H421" i="18"/>
  <c r="I421" i="18" s="1"/>
  <c r="J421" i="18" s="1"/>
  <c r="H422" i="18"/>
  <c r="I422" i="18" s="1"/>
  <c r="J422" i="18" s="1"/>
  <c r="H423" i="18"/>
  <c r="I423" i="18" s="1"/>
  <c r="J423" i="18" s="1"/>
  <c r="H424" i="18"/>
  <c r="I424" i="18" s="1"/>
  <c r="J424" i="18" s="1"/>
  <c r="H425" i="18"/>
  <c r="I425" i="18" s="1"/>
  <c r="J425" i="18" s="1"/>
  <c r="H426" i="18"/>
  <c r="I426" i="18" s="1"/>
  <c r="J426" i="18" s="1"/>
  <c r="H427" i="18"/>
  <c r="I427" i="18" s="1"/>
  <c r="J427" i="18" s="1"/>
  <c r="H428" i="18"/>
  <c r="I428" i="18" s="1"/>
  <c r="J428" i="18" s="1"/>
  <c r="H429" i="18"/>
  <c r="I429" i="18" s="1"/>
  <c r="J429" i="18" s="1"/>
  <c r="H430" i="18"/>
  <c r="I430" i="18" s="1"/>
  <c r="J430" i="18" s="1"/>
  <c r="H431" i="18"/>
  <c r="I431" i="18" s="1"/>
  <c r="J431" i="18" s="1"/>
  <c r="H432" i="18"/>
  <c r="I432" i="18" s="1"/>
  <c r="J432" i="18" s="1"/>
  <c r="H433" i="18"/>
  <c r="I433" i="18" s="1"/>
  <c r="J433" i="18" s="1"/>
  <c r="H434" i="18"/>
  <c r="I434" i="18" s="1"/>
  <c r="J434" i="18" s="1"/>
  <c r="H435" i="18"/>
  <c r="I435" i="18" s="1"/>
  <c r="J435" i="18" s="1"/>
  <c r="H436" i="18"/>
  <c r="I436" i="18" s="1"/>
  <c r="J436" i="18" s="1"/>
  <c r="H437" i="18"/>
  <c r="I437" i="18" s="1"/>
  <c r="J437" i="18" s="1"/>
  <c r="H438" i="18"/>
  <c r="I438" i="18" s="1"/>
  <c r="J438" i="18" s="1"/>
  <c r="H439" i="18"/>
  <c r="I439" i="18" s="1"/>
  <c r="J439" i="18" s="1"/>
  <c r="H440" i="18"/>
  <c r="I440" i="18" s="1"/>
  <c r="J440" i="18" s="1"/>
  <c r="H441" i="18"/>
  <c r="I441" i="18" s="1"/>
  <c r="J441" i="18" s="1"/>
  <c r="H442" i="18"/>
  <c r="I442" i="18" s="1"/>
  <c r="J442" i="18" s="1"/>
  <c r="H443" i="18"/>
  <c r="I443" i="18" s="1"/>
  <c r="J443" i="18" s="1"/>
  <c r="H444" i="18"/>
  <c r="I444" i="18" s="1"/>
  <c r="J444" i="18" s="1"/>
  <c r="H445" i="18"/>
  <c r="I445" i="18" s="1"/>
  <c r="J445" i="18" s="1"/>
  <c r="H446" i="18"/>
  <c r="I446" i="18" s="1"/>
  <c r="J446" i="18" s="1"/>
  <c r="H447" i="18"/>
  <c r="I447" i="18" s="1"/>
  <c r="J447" i="18" s="1"/>
  <c r="H448" i="18"/>
  <c r="I448" i="18" s="1"/>
  <c r="J448" i="18" s="1"/>
  <c r="H449" i="18"/>
  <c r="I449" i="18" s="1"/>
  <c r="J449" i="18" s="1"/>
  <c r="H450" i="18"/>
  <c r="I450" i="18" s="1"/>
  <c r="J450" i="18" s="1"/>
  <c r="H451" i="18"/>
  <c r="I451" i="18" s="1"/>
  <c r="J451" i="18" s="1"/>
  <c r="H452" i="18"/>
  <c r="I452" i="18" s="1"/>
  <c r="J452" i="18" s="1"/>
  <c r="H453" i="18"/>
  <c r="I453" i="18" s="1"/>
  <c r="J453" i="18" s="1"/>
  <c r="H454" i="18"/>
  <c r="I454" i="18" s="1"/>
  <c r="J454" i="18" s="1"/>
  <c r="H455" i="18"/>
  <c r="I455" i="18" s="1"/>
  <c r="J455" i="18" s="1"/>
  <c r="H456" i="18"/>
  <c r="I456" i="18" s="1"/>
  <c r="J456" i="18" s="1"/>
  <c r="H457" i="18"/>
  <c r="I457" i="18" s="1"/>
  <c r="J457" i="18" s="1"/>
  <c r="H458" i="18"/>
  <c r="I458" i="18" s="1"/>
  <c r="J458" i="18" s="1"/>
  <c r="H459" i="18"/>
  <c r="I459" i="18" s="1"/>
  <c r="J459" i="18" s="1"/>
  <c r="H460" i="18"/>
  <c r="H461" i="18"/>
  <c r="I461" i="18" s="1"/>
  <c r="J461" i="18" s="1"/>
  <c r="H462" i="18"/>
  <c r="I462" i="18" s="1"/>
  <c r="J462" i="18" s="1"/>
  <c r="H463" i="18"/>
  <c r="I463" i="18" s="1"/>
  <c r="J463" i="18" s="1"/>
  <c r="H464" i="18"/>
  <c r="I464" i="18" s="1"/>
  <c r="J464" i="18" s="1"/>
  <c r="H465" i="18"/>
  <c r="I465" i="18" s="1"/>
  <c r="J465" i="18" s="1"/>
  <c r="H466" i="18"/>
  <c r="I466" i="18" s="1"/>
  <c r="J466" i="18" s="1"/>
  <c r="H467" i="18"/>
  <c r="I467" i="18" s="1"/>
  <c r="J467" i="18" s="1"/>
  <c r="H468" i="18"/>
  <c r="I468" i="18" s="1"/>
  <c r="J468" i="18" s="1"/>
  <c r="H469" i="18"/>
  <c r="I469" i="18" s="1"/>
  <c r="J469" i="18" s="1"/>
  <c r="H470" i="18"/>
  <c r="I470" i="18" s="1"/>
  <c r="J470" i="18" s="1"/>
  <c r="H471" i="18"/>
  <c r="I471" i="18" s="1"/>
  <c r="J471" i="18" s="1"/>
  <c r="H472" i="18"/>
  <c r="I472" i="18" s="1"/>
  <c r="J472" i="18" s="1"/>
  <c r="H473" i="18"/>
  <c r="I473" i="18" s="1"/>
  <c r="J473" i="18" s="1"/>
  <c r="H474" i="18"/>
  <c r="I474" i="18" s="1"/>
  <c r="J474" i="18" s="1"/>
  <c r="H475" i="18"/>
  <c r="I475" i="18" s="1"/>
  <c r="J475" i="18" s="1"/>
  <c r="H476" i="18"/>
  <c r="I476" i="18" s="1"/>
  <c r="J476" i="18" s="1"/>
  <c r="H477" i="18"/>
  <c r="I477" i="18" s="1"/>
  <c r="J477" i="18" s="1"/>
  <c r="H478" i="18"/>
  <c r="I478" i="18" s="1"/>
  <c r="J478" i="18" s="1"/>
  <c r="H479" i="18"/>
  <c r="I479" i="18" s="1"/>
  <c r="J479" i="18" s="1"/>
  <c r="H480" i="18"/>
  <c r="I480" i="18" s="1"/>
  <c r="J480" i="18" s="1"/>
  <c r="H481" i="18"/>
  <c r="I481" i="18" s="1"/>
  <c r="J481" i="18" s="1"/>
  <c r="H482" i="18"/>
  <c r="I482" i="18" s="1"/>
  <c r="J482" i="18" s="1"/>
  <c r="H483" i="18"/>
  <c r="I483" i="18" s="1"/>
  <c r="J483" i="18" s="1"/>
  <c r="H484" i="18"/>
  <c r="I484" i="18" s="1"/>
  <c r="J484" i="18" s="1"/>
  <c r="H485" i="18"/>
  <c r="I485" i="18" s="1"/>
  <c r="J485" i="18" s="1"/>
  <c r="H486" i="18"/>
  <c r="I486" i="18" s="1"/>
  <c r="J486" i="18" s="1"/>
  <c r="H487" i="18"/>
  <c r="I487" i="18" s="1"/>
  <c r="J487" i="18" s="1"/>
  <c r="H488" i="18"/>
  <c r="I488" i="18" s="1"/>
  <c r="J488" i="18" s="1"/>
  <c r="H489" i="18"/>
  <c r="I489" i="18" s="1"/>
  <c r="J489" i="18" s="1"/>
  <c r="H490" i="18"/>
  <c r="H491" i="18"/>
  <c r="I491" i="18" s="1"/>
  <c r="J491" i="18" s="1"/>
  <c r="H492" i="18"/>
  <c r="I492" i="18" s="1"/>
  <c r="J492" i="18" s="1"/>
  <c r="H493" i="18"/>
  <c r="I493" i="18" s="1"/>
  <c r="J493" i="18" s="1"/>
  <c r="H494" i="18"/>
  <c r="I494" i="18" s="1"/>
  <c r="J494" i="18" s="1"/>
  <c r="H495" i="18"/>
  <c r="I495" i="18" s="1"/>
  <c r="J495" i="18" s="1"/>
  <c r="H496" i="18"/>
  <c r="I496" i="18" s="1"/>
  <c r="J496" i="18" s="1"/>
  <c r="H497" i="18"/>
  <c r="I497" i="18" s="1"/>
  <c r="J497" i="18" s="1"/>
  <c r="H498" i="18"/>
  <c r="I498" i="18" s="1"/>
  <c r="J498" i="18" s="1"/>
  <c r="H499" i="18"/>
  <c r="I499" i="18" s="1"/>
  <c r="J499" i="18" s="1"/>
  <c r="H500" i="18"/>
  <c r="I500" i="18" s="1"/>
  <c r="J500" i="18" s="1"/>
  <c r="H501" i="18"/>
  <c r="I501" i="18" s="1"/>
  <c r="J501" i="18" s="1"/>
  <c r="H502" i="18"/>
  <c r="I502" i="18" s="1"/>
  <c r="J502" i="18" s="1"/>
  <c r="H503" i="18"/>
  <c r="I503" i="18" s="1"/>
  <c r="J503" i="18" s="1"/>
  <c r="H504" i="18"/>
  <c r="I504" i="18" s="1"/>
  <c r="J504" i="18" s="1"/>
  <c r="H505" i="18"/>
  <c r="I505" i="18" s="1"/>
  <c r="J505" i="18" s="1"/>
  <c r="H506" i="18"/>
  <c r="I506" i="18" s="1"/>
  <c r="J506" i="18" s="1"/>
  <c r="H507" i="18"/>
  <c r="I507" i="18" s="1"/>
  <c r="J507" i="18" s="1"/>
  <c r="H508" i="18"/>
  <c r="I508" i="18" s="1"/>
  <c r="J508" i="18" s="1"/>
  <c r="H509" i="18"/>
  <c r="I509" i="18" s="1"/>
  <c r="J509" i="18" s="1"/>
  <c r="H510" i="18"/>
  <c r="I510" i="18" s="1"/>
  <c r="J510" i="18" s="1"/>
  <c r="H511" i="18"/>
  <c r="I511" i="18" s="1"/>
  <c r="J511" i="18" s="1"/>
  <c r="H512" i="18"/>
  <c r="I512" i="18" s="1"/>
  <c r="J512" i="18" s="1"/>
  <c r="H513" i="18"/>
  <c r="I513" i="18" s="1"/>
  <c r="J513" i="18" s="1"/>
  <c r="H514" i="18"/>
  <c r="I514" i="18" s="1"/>
  <c r="J514" i="18" s="1"/>
  <c r="H515" i="18"/>
  <c r="I515" i="18" s="1"/>
  <c r="J515" i="18" s="1"/>
  <c r="H516" i="18"/>
  <c r="I516" i="18" s="1"/>
  <c r="J516" i="18" s="1"/>
  <c r="H517" i="18"/>
  <c r="I517" i="18" s="1"/>
  <c r="J517" i="18" s="1"/>
  <c r="H518" i="18"/>
  <c r="I518" i="18" s="1"/>
  <c r="J518" i="18" s="1"/>
  <c r="H519" i="18"/>
  <c r="I519" i="18" s="1"/>
  <c r="J519" i="18" s="1"/>
  <c r="H520" i="18"/>
  <c r="I520" i="18" s="1"/>
  <c r="J520" i="18" s="1"/>
  <c r="H521" i="18"/>
  <c r="I521" i="18" s="1"/>
  <c r="J521" i="18" s="1"/>
  <c r="H522" i="18"/>
  <c r="I522" i="18" s="1"/>
  <c r="J522" i="18" s="1"/>
  <c r="H523" i="18"/>
  <c r="I523" i="18" s="1"/>
  <c r="J523" i="18" s="1"/>
  <c r="H524" i="18"/>
  <c r="I524" i="18" s="1"/>
  <c r="J524" i="18" s="1"/>
  <c r="H525" i="18"/>
  <c r="I525" i="18" s="1"/>
  <c r="J525" i="18" s="1"/>
  <c r="H526" i="18"/>
  <c r="I526" i="18" s="1"/>
  <c r="J526" i="18" s="1"/>
  <c r="H527" i="18"/>
  <c r="I527" i="18" s="1"/>
  <c r="J527" i="18" s="1"/>
  <c r="H2" i="18"/>
  <c r="I2" i="18" s="1"/>
  <c r="J2" i="18" s="1"/>
  <c r="M479" i="18" l="1"/>
  <c r="M419" i="18"/>
  <c r="M369" i="18"/>
  <c r="M481" i="18"/>
  <c r="M441" i="18"/>
  <c r="M381" i="18"/>
  <c r="M331" i="18"/>
  <c r="M311" i="18"/>
  <c r="M131" i="18"/>
  <c r="M247" i="18"/>
  <c r="M197" i="18"/>
  <c r="M157" i="18"/>
  <c r="M117" i="18"/>
  <c r="M87" i="18"/>
  <c r="M47" i="18"/>
  <c r="M17" i="18"/>
  <c r="M500" i="18"/>
  <c r="M310" i="18"/>
  <c r="M280" i="18"/>
  <c r="M130" i="18"/>
  <c r="M90" i="18"/>
  <c r="M6" i="18"/>
  <c r="M525" i="18"/>
  <c r="M515" i="18"/>
  <c r="M505" i="18"/>
  <c r="M495" i="18"/>
  <c r="M485" i="18"/>
  <c r="M475" i="18"/>
  <c r="M465" i="18"/>
  <c r="M455" i="18"/>
  <c r="M445" i="18"/>
  <c r="M435" i="18"/>
  <c r="M425" i="18"/>
  <c r="M415" i="18"/>
  <c r="M409" i="18"/>
  <c r="M281" i="18"/>
  <c r="M41" i="18"/>
  <c r="M267" i="18"/>
  <c r="M237" i="18"/>
  <c r="M217" i="18"/>
  <c r="M187" i="18"/>
  <c r="M147" i="18"/>
  <c r="M107" i="18"/>
  <c r="M77" i="18"/>
  <c r="M7" i="18"/>
  <c r="M480" i="18"/>
  <c r="M380" i="18"/>
  <c r="M200" i="18"/>
  <c r="M150" i="18"/>
  <c r="M40" i="18"/>
  <c r="M524" i="18"/>
  <c r="M514" i="18"/>
  <c r="M504" i="18"/>
  <c r="M494" i="18"/>
  <c r="M484" i="18"/>
  <c r="M474" i="18"/>
  <c r="M464" i="18"/>
  <c r="M454" i="18"/>
  <c r="M444" i="18"/>
  <c r="M434" i="18"/>
  <c r="M424" i="18"/>
  <c r="M414" i="18"/>
  <c r="M404" i="18"/>
  <c r="M394" i="18"/>
  <c r="M384" i="18"/>
  <c r="M374" i="18"/>
  <c r="M364" i="18"/>
  <c r="M354" i="18"/>
  <c r="M344" i="18"/>
  <c r="M334" i="18"/>
  <c r="M324" i="18"/>
  <c r="M314" i="18"/>
  <c r="M304" i="18"/>
  <c r="M294" i="18"/>
  <c r="M284" i="18"/>
  <c r="M274" i="18"/>
  <c r="M264" i="18"/>
  <c r="M254" i="18"/>
  <c r="M244" i="18"/>
  <c r="M234" i="18"/>
  <c r="M224" i="18"/>
  <c r="M214" i="18"/>
  <c r="M204" i="18"/>
  <c r="M194" i="18"/>
  <c r="M184" i="18"/>
  <c r="M174" i="18"/>
  <c r="M164" i="18"/>
  <c r="M154" i="18"/>
  <c r="M144" i="18"/>
  <c r="M134" i="18"/>
  <c r="M124" i="18"/>
  <c r="M114" i="18"/>
  <c r="M104" i="18"/>
  <c r="M94" i="18"/>
  <c r="M84" i="18"/>
  <c r="M74" i="18"/>
  <c r="M501" i="18"/>
  <c r="M371" i="18"/>
  <c r="M271" i="18"/>
  <c r="M201" i="18"/>
  <c r="M257" i="18"/>
  <c r="M207" i="18"/>
  <c r="M167" i="18"/>
  <c r="M137" i="18"/>
  <c r="M97" i="18"/>
  <c r="M67" i="18"/>
  <c r="M27" i="18"/>
  <c r="M470" i="18"/>
  <c r="M440" i="18"/>
  <c r="M370" i="18"/>
  <c r="M250" i="18"/>
  <c r="M190" i="18"/>
  <c r="M140" i="18"/>
  <c r="M30" i="18"/>
  <c r="M519" i="18"/>
  <c r="M469" i="18"/>
  <c r="M349" i="18"/>
  <c r="M309" i="18"/>
  <c r="M249" i="18"/>
  <c r="M2" i="18"/>
  <c r="M431" i="18"/>
  <c r="M191" i="18"/>
  <c r="M151" i="18"/>
  <c r="M101" i="18"/>
  <c r="M31" i="18"/>
  <c r="M227" i="18"/>
  <c r="M177" i="18"/>
  <c r="M127" i="18"/>
  <c r="M57" i="18"/>
  <c r="M37" i="18"/>
  <c r="M270" i="18"/>
  <c r="M240" i="18"/>
  <c r="M100" i="18"/>
  <c r="M510" i="18"/>
  <c r="M450" i="18"/>
  <c r="M410" i="18"/>
  <c r="M400" i="18"/>
  <c r="M350" i="18"/>
  <c r="M340" i="18"/>
  <c r="M300" i="18"/>
  <c r="M230" i="18"/>
  <c r="M180" i="18"/>
  <c r="M80" i="18"/>
  <c r="M50" i="18"/>
  <c r="M64" i="18"/>
  <c r="M511" i="18"/>
  <c r="M471" i="18"/>
  <c r="M411" i="18"/>
  <c r="M401" i="18"/>
  <c r="M341" i="18"/>
  <c r="M301" i="18"/>
  <c r="M241" i="18"/>
  <c r="M231" i="18"/>
  <c r="M181" i="18"/>
  <c r="M141" i="18"/>
  <c r="M91" i="18"/>
  <c r="M81" i="18"/>
  <c r="M51" i="18"/>
  <c r="M405" i="18"/>
  <c r="M395" i="18"/>
  <c r="M385" i="18"/>
  <c r="M375" i="18"/>
  <c r="M365" i="18"/>
  <c r="M355" i="18"/>
  <c r="M345" i="18"/>
  <c r="M335" i="18"/>
  <c r="M325" i="18"/>
  <c r="M315" i="18"/>
  <c r="M305" i="18"/>
  <c r="M295" i="18"/>
  <c r="M285" i="18"/>
  <c r="M275" i="18"/>
  <c r="M265" i="18"/>
  <c r="M255" i="18"/>
  <c r="M245" i="18"/>
  <c r="M235" i="18"/>
  <c r="M225" i="18"/>
  <c r="M215" i="18"/>
  <c r="M205" i="18"/>
  <c r="M195" i="18"/>
  <c r="M185" i="18"/>
  <c r="M175" i="18"/>
  <c r="M165" i="18"/>
  <c r="M155" i="18"/>
  <c r="M145" i="18"/>
  <c r="M135" i="18"/>
  <c r="M125" i="18"/>
  <c r="M115" i="18"/>
  <c r="M105" i="18"/>
  <c r="M95" i="18"/>
  <c r="M85" i="18"/>
  <c r="M75" i="18"/>
  <c r="M65" i="18"/>
  <c r="M55" i="18"/>
  <c r="M45" i="18"/>
  <c r="M35" i="18"/>
  <c r="M25" i="18"/>
  <c r="M15" i="18"/>
  <c r="M5" i="18"/>
  <c r="M54" i="18"/>
  <c r="M44" i="18"/>
  <c r="M34" i="18"/>
  <c r="M24" i="18"/>
  <c r="M14" i="18"/>
  <c r="M4" i="18"/>
  <c r="M526" i="18"/>
  <c r="M516" i="18"/>
  <c r="M506" i="18"/>
  <c r="M496" i="18"/>
  <c r="M486" i="18"/>
  <c r="M476" i="18"/>
  <c r="M466" i="18"/>
  <c r="M456" i="18"/>
  <c r="M446" i="18"/>
  <c r="M436" i="18"/>
  <c r="M426" i="18"/>
  <c r="M416" i="18"/>
  <c r="M406" i="18"/>
  <c r="M396" i="18"/>
  <c r="M386" i="18"/>
  <c r="M376" i="18"/>
  <c r="M366" i="18"/>
  <c r="M356" i="18"/>
  <c r="M346" i="18"/>
  <c r="M336" i="18"/>
  <c r="M326" i="18"/>
  <c r="M316" i="18"/>
  <c r="M306" i="18"/>
  <c r="M296" i="18"/>
  <c r="M286" i="18"/>
  <c r="M276" i="18"/>
  <c r="M266" i="18"/>
  <c r="M256" i="18"/>
  <c r="M246" i="18"/>
  <c r="M236" i="18"/>
  <c r="M226" i="18"/>
  <c r="M216" i="18"/>
  <c r="M521" i="18"/>
  <c r="M491" i="18"/>
  <c r="M461" i="18"/>
  <c r="M451" i="18"/>
  <c r="M421" i="18"/>
  <c r="M391" i="18"/>
  <c r="M361" i="18"/>
  <c r="M351" i="18"/>
  <c r="M321" i="18"/>
  <c r="M291" i="18"/>
  <c r="M261" i="18"/>
  <c r="M251" i="18"/>
  <c r="M221" i="18"/>
  <c r="M211" i="18"/>
  <c r="M171" i="18"/>
  <c r="M161" i="18"/>
  <c r="M121" i="18"/>
  <c r="M111" i="18"/>
  <c r="M71" i="18"/>
  <c r="M61" i="18"/>
  <c r="M21" i="18"/>
  <c r="M11" i="18"/>
  <c r="M520" i="18"/>
  <c r="M490" i="18"/>
  <c r="M460" i="18"/>
  <c r="M430" i="18"/>
  <c r="M420" i="18"/>
  <c r="M390" i="18"/>
  <c r="M360" i="18"/>
  <c r="M330" i="18"/>
  <c r="M320" i="18"/>
  <c r="M290" i="18"/>
  <c r="M260" i="18"/>
  <c r="M220" i="18"/>
  <c r="M210" i="18"/>
  <c r="M170" i="18"/>
  <c r="M160" i="18"/>
  <c r="M120" i="18"/>
  <c r="M110" i="18"/>
  <c r="M70" i="18"/>
  <c r="M60" i="18"/>
  <c r="M20" i="18"/>
  <c r="M10" i="18"/>
  <c r="M509" i="18"/>
  <c r="M499" i="18"/>
  <c r="M489" i="18"/>
  <c r="M459" i="18"/>
  <c r="M449" i="18"/>
  <c r="M439" i="18"/>
  <c r="M429" i="18"/>
  <c r="M399" i="18"/>
  <c r="M389" i="18"/>
  <c r="M379" i="18"/>
  <c r="M359" i="18"/>
  <c r="M339" i="18"/>
  <c r="M329" i="18"/>
  <c r="M319" i="18"/>
  <c r="M299" i="18"/>
  <c r="M289" i="18"/>
  <c r="M279" i="18"/>
  <c r="M269" i="18"/>
  <c r="M259" i="18"/>
  <c r="M9" i="18"/>
  <c r="M518" i="18"/>
  <c r="M508" i="18"/>
  <c r="M498" i="18"/>
  <c r="M488" i="18"/>
  <c r="M478" i="18"/>
  <c r="M468" i="18"/>
  <c r="M458" i="18"/>
  <c r="M448" i="18"/>
  <c r="M438" i="18"/>
  <c r="M428" i="18"/>
  <c r="M418" i="18"/>
  <c r="M408" i="18"/>
  <c r="M398" i="18"/>
  <c r="M388" i="18"/>
  <c r="M378" i="18"/>
  <c r="M368" i="18"/>
  <c r="M358" i="18"/>
  <c r="M348" i="18"/>
  <c r="M338" i="18"/>
  <c r="M328" i="18"/>
  <c r="M318" i="18"/>
  <c r="M308" i="18"/>
  <c r="M298" i="18"/>
  <c r="M288" i="18"/>
  <c r="M278" i="18"/>
  <c r="M268" i="18"/>
  <c r="M258" i="18"/>
  <c r="M248" i="18"/>
  <c r="M238" i="18"/>
  <c r="M228" i="18"/>
  <c r="M218" i="18"/>
  <c r="M208" i="18"/>
  <c r="M198" i="18"/>
  <c r="M188" i="18"/>
  <c r="M178" i="18"/>
  <c r="M168" i="18"/>
  <c r="M158" i="18"/>
  <c r="M148" i="18"/>
  <c r="M138" i="18"/>
  <c r="M128" i="18"/>
  <c r="M118" i="18"/>
  <c r="M108" i="18"/>
  <c r="M98" i="18"/>
  <c r="M88" i="18"/>
  <c r="M78" i="18"/>
  <c r="M68" i="18"/>
  <c r="M58" i="18"/>
  <c r="M48" i="18"/>
  <c r="M38" i="18"/>
  <c r="M28" i="18"/>
  <c r="M18" i="18"/>
  <c r="M8" i="18"/>
  <c r="M517" i="18"/>
  <c r="M497" i="18"/>
  <c r="M477" i="18"/>
  <c r="M457" i="18"/>
  <c r="M447" i="18"/>
  <c r="M437" i="18"/>
  <c r="M427" i="18"/>
  <c r="M407" i="18"/>
  <c r="M397" i="18"/>
  <c r="M387" i="18"/>
  <c r="M377" i="18"/>
  <c r="M367" i="18"/>
  <c r="M357" i="18"/>
  <c r="M347" i="18"/>
  <c r="M337" i="18"/>
  <c r="M327" i="18"/>
  <c r="M317" i="18"/>
  <c r="M307" i="18"/>
  <c r="M297" i="18"/>
  <c r="M287" i="18"/>
  <c r="M277" i="18"/>
  <c r="M527" i="18"/>
  <c r="M507" i="18"/>
  <c r="M487" i="18"/>
  <c r="M467" i="18"/>
  <c r="M417" i="18"/>
  <c r="R44" i="18"/>
  <c r="M229" i="18"/>
  <c r="M209" i="18"/>
  <c r="M189" i="18"/>
  <c r="M169" i="18"/>
  <c r="M149" i="18"/>
  <c r="M129" i="18"/>
  <c r="M109" i="18"/>
  <c r="M99" i="18"/>
  <c r="M79" i="18"/>
  <c r="M69" i="18"/>
  <c r="M39" i="18"/>
  <c r="M19" i="18"/>
  <c r="M239" i="18"/>
  <c r="M219" i="18"/>
  <c r="M199" i="18"/>
  <c r="M179" i="18"/>
  <c r="M159" i="18"/>
  <c r="M139" i="18"/>
  <c r="M119" i="18"/>
  <c r="M89" i="18"/>
  <c r="M59" i="18"/>
  <c r="M49" i="18"/>
  <c r="M29" i="18"/>
  <c r="M523" i="18"/>
  <c r="M513" i="18"/>
  <c r="M503" i="18"/>
  <c r="M493" i="18"/>
  <c r="M483" i="18"/>
  <c r="M473" i="18"/>
  <c r="M463" i="18"/>
  <c r="M453" i="18"/>
  <c r="M443" i="18"/>
  <c r="M433" i="18"/>
  <c r="M423" i="18"/>
  <c r="M413" i="18"/>
  <c r="M403" i="18"/>
  <c r="M393" i="18"/>
  <c r="M383" i="18"/>
  <c r="M373" i="18"/>
  <c r="M363" i="18"/>
  <c r="M353" i="18"/>
  <c r="M343" i="18"/>
  <c r="M333" i="18"/>
  <c r="M323" i="18"/>
  <c r="M313" i="18"/>
  <c r="M303" i="18"/>
  <c r="M293" i="18"/>
  <c r="M283" i="18"/>
  <c r="M273" i="18"/>
  <c r="M263" i="18"/>
  <c r="M253" i="18"/>
  <c r="M243" i="18"/>
  <c r="M233" i="18"/>
  <c r="M223" i="18"/>
  <c r="M213" i="18"/>
  <c r="M203" i="18"/>
  <c r="M193" i="18"/>
  <c r="M183" i="18"/>
  <c r="M173" i="18"/>
  <c r="M163" i="18"/>
  <c r="M153" i="18"/>
  <c r="M143" i="18"/>
  <c r="M133" i="18"/>
  <c r="M123" i="18"/>
  <c r="M113" i="18"/>
  <c r="M103" i="18"/>
  <c r="M93" i="18"/>
  <c r="M83" i="18"/>
  <c r="M73" i="18"/>
  <c r="M63" i="18"/>
  <c r="M53" i="18"/>
  <c r="M43" i="18"/>
  <c r="M33" i="18"/>
  <c r="M23" i="18"/>
  <c r="M13" i="18"/>
  <c r="M3" i="18"/>
  <c r="M206" i="18"/>
  <c r="M196" i="18"/>
  <c r="M186" i="18"/>
  <c r="M176" i="18"/>
  <c r="M166" i="18"/>
  <c r="M156" i="18"/>
  <c r="M146" i="18"/>
  <c r="M136" i="18"/>
  <c r="M126" i="18"/>
  <c r="M116" i="18"/>
  <c r="M106" i="18"/>
  <c r="M96" i="18"/>
  <c r="M86" i="18"/>
  <c r="M76" i="18"/>
  <c r="M66" i="18"/>
  <c r="M56" i="18"/>
  <c r="M46" i="18"/>
  <c r="M36" i="18"/>
  <c r="M26" i="18"/>
  <c r="M16" i="18"/>
  <c r="M522" i="18"/>
  <c r="M512" i="18"/>
  <c r="M502" i="18"/>
  <c r="M492" i="18"/>
  <c r="M482" i="18"/>
  <c r="M472" i="18"/>
  <c r="M462" i="18"/>
  <c r="M452" i="18"/>
  <c r="M442" i="18"/>
  <c r="M432" i="18"/>
  <c r="M422" i="18"/>
  <c r="M412" i="18"/>
  <c r="M402" i="18"/>
  <c r="M392" i="18"/>
  <c r="M382" i="18"/>
  <c r="M372" i="18"/>
  <c r="M362" i="18"/>
  <c r="M352" i="18"/>
  <c r="M342" i="18"/>
  <c r="M332" i="18"/>
  <c r="M322" i="18"/>
  <c r="M312" i="18"/>
  <c r="M302" i="18"/>
  <c r="M292" i="18"/>
  <c r="M282" i="18"/>
  <c r="M272" i="18"/>
  <c r="M262" i="18"/>
  <c r="M252" i="18"/>
  <c r="M242" i="18"/>
  <c r="M232" i="18"/>
  <c r="M222" i="18"/>
  <c r="M212" i="18"/>
  <c r="M202" i="18"/>
  <c r="M192" i="18"/>
  <c r="M182" i="18"/>
  <c r="M172" i="18"/>
  <c r="M162" i="18"/>
  <c r="M152" i="18"/>
  <c r="M142" i="18"/>
  <c r="M132" i="18"/>
  <c r="M122" i="18"/>
  <c r="M112" i="18"/>
  <c r="M102" i="18"/>
  <c r="M92" i="18"/>
  <c r="M82" i="18"/>
  <c r="M72" i="18"/>
  <c r="M62" i="18"/>
  <c r="M52" i="18"/>
  <c r="M42" i="18"/>
  <c r="M32" i="18"/>
  <c r="M22" i="18"/>
  <c r="M12" i="18"/>
  <c r="Q43" i="18"/>
  <c r="Q44" i="18"/>
  <c r="F3" i="11"/>
  <c r="F4" i="11"/>
  <c r="G4" i="11" s="1"/>
  <c r="H4" i="11" s="1"/>
  <c r="F5" i="11"/>
  <c r="G5" i="11" s="1"/>
  <c r="H5" i="11" s="1"/>
  <c r="F6" i="11"/>
  <c r="G6" i="11" s="1"/>
  <c r="H6" i="11" s="1"/>
  <c r="F7" i="11"/>
  <c r="G7" i="11" s="1"/>
  <c r="H7" i="11" s="1"/>
  <c r="F8" i="11"/>
  <c r="G8" i="11" s="1"/>
  <c r="H8" i="11" s="1"/>
  <c r="F9" i="11"/>
  <c r="G9" i="11" s="1"/>
  <c r="H9" i="11" s="1"/>
  <c r="F10" i="11"/>
  <c r="G10" i="11" s="1"/>
  <c r="H10" i="11" s="1"/>
  <c r="F11" i="11"/>
  <c r="G11" i="11" s="1"/>
  <c r="H11" i="11" s="1"/>
  <c r="F12" i="11"/>
  <c r="G12" i="11" s="1"/>
  <c r="H12" i="11" s="1"/>
  <c r="F13" i="11"/>
  <c r="F14" i="11"/>
  <c r="G14" i="11" s="1"/>
  <c r="H14" i="11" s="1"/>
  <c r="F15" i="11"/>
  <c r="G15" i="11" s="1"/>
  <c r="H15" i="11" s="1"/>
  <c r="F16" i="11"/>
  <c r="G16" i="11" s="1"/>
  <c r="H16" i="11" s="1"/>
  <c r="F17" i="11"/>
  <c r="G17" i="11" s="1"/>
  <c r="H17" i="11" s="1"/>
  <c r="F18" i="11"/>
  <c r="G18" i="11" s="1"/>
  <c r="H18" i="11" s="1"/>
  <c r="F19" i="11"/>
  <c r="G19" i="11" s="1"/>
  <c r="H19" i="11" s="1"/>
  <c r="F20" i="11"/>
  <c r="G20" i="11" s="1"/>
  <c r="H20" i="11" s="1"/>
  <c r="F21" i="11"/>
  <c r="G21" i="11" s="1"/>
  <c r="H21" i="11" s="1"/>
  <c r="F22" i="11"/>
  <c r="G22" i="11" s="1"/>
  <c r="H22" i="11" s="1"/>
  <c r="F23" i="11"/>
  <c r="F24" i="11"/>
  <c r="G24" i="11" s="1"/>
  <c r="H24" i="11" s="1"/>
  <c r="F25" i="11"/>
  <c r="G25" i="11" s="1"/>
  <c r="H25" i="11" s="1"/>
  <c r="F26" i="11"/>
  <c r="G26" i="11" s="1"/>
  <c r="H26" i="11" s="1"/>
  <c r="F27" i="11"/>
  <c r="G27" i="11" s="1"/>
  <c r="H27" i="11" s="1"/>
  <c r="F28" i="11"/>
  <c r="G28" i="11" s="1"/>
  <c r="H28" i="11" s="1"/>
  <c r="F29" i="11"/>
  <c r="G29" i="11" s="1"/>
  <c r="H29" i="11" s="1"/>
  <c r="F30" i="11"/>
  <c r="G30" i="11" s="1"/>
  <c r="H30" i="11" s="1"/>
  <c r="F31" i="11"/>
  <c r="G31" i="11" s="1"/>
  <c r="H31" i="11" s="1"/>
  <c r="F32" i="11"/>
  <c r="G32" i="11" s="1"/>
  <c r="H32" i="11" s="1"/>
  <c r="F33" i="11"/>
  <c r="F34" i="11"/>
  <c r="G34" i="11" s="1"/>
  <c r="H34" i="11" s="1"/>
  <c r="F35" i="11"/>
  <c r="G35" i="11" s="1"/>
  <c r="H35" i="11" s="1"/>
  <c r="F36" i="11"/>
  <c r="G36" i="11" s="1"/>
  <c r="H36" i="11" s="1"/>
  <c r="F37" i="11"/>
  <c r="G37" i="11" s="1"/>
  <c r="H37" i="11" s="1"/>
  <c r="F38" i="11"/>
  <c r="G38" i="11" s="1"/>
  <c r="H38" i="11" s="1"/>
  <c r="F39" i="11"/>
  <c r="G39" i="11" s="1"/>
  <c r="H39" i="11" s="1"/>
  <c r="F40" i="11"/>
  <c r="G40" i="11" s="1"/>
  <c r="H40" i="11" s="1"/>
  <c r="F41" i="11"/>
  <c r="G41" i="11" s="1"/>
  <c r="H41" i="11" s="1"/>
  <c r="F42" i="11"/>
  <c r="G42" i="11" s="1"/>
  <c r="H42" i="11" s="1"/>
  <c r="F43" i="11"/>
  <c r="F44" i="11"/>
  <c r="F45" i="11"/>
  <c r="G45" i="11" s="1"/>
  <c r="H45" i="11" s="1"/>
  <c r="F46" i="11"/>
  <c r="G46" i="11" s="1"/>
  <c r="H46" i="11" s="1"/>
  <c r="F47" i="11"/>
  <c r="G47" i="11" s="1"/>
  <c r="H47" i="11" s="1"/>
  <c r="F48" i="11"/>
  <c r="G48" i="11" s="1"/>
  <c r="H48" i="11" s="1"/>
  <c r="F49" i="11"/>
  <c r="G49" i="11" s="1"/>
  <c r="H49" i="11" s="1"/>
  <c r="F50" i="11"/>
  <c r="G50" i="11" s="1"/>
  <c r="H50" i="11" s="1"/>
  <c r="F51" i="11"/>
  <c r="G51" i="11" s="1"/>
  <c r="H51" i="11" s="1"/>
  <c r="F52" i="11"/>
  <c r="G52" i="11" s="1"/>
  <c r="H52" i="11" s="1"/>
  <c r="F53" i="11"/>
  <c r="F54" i="11"/>
  <c r="F55" i="11"/>
  <c r="G55" i="11" s="1"/>
  <c r="H55" i="11" s="1"/>
  <c r="F56" i="11"/>
  <c r="G56" i="11" s="1"/>
  <c r="H56" i="11" s="1"/>
  <c r="F57" i="11"/>
  <c r="G57" i="11" s="1"/>
  <c r="H57" i="11" s="1"/>
  <c r="F58" i="11"/>
  <c r="G58" i="11" s="1"/>
  <c r="H58" i="11" s="1"/>
  <c r="F59" i="11"/>
  <c r="G59" i="11" s="1"/>
  <c r="H59" i="11" s="1"/>
  <c r="F60" i="11"/>
  <c r="G60" i="11" s="1"/>
  <c r="H60" i="11" s="1"/>
  <c r="F61" i="11"/>
  <c r="G61" i="11" s="1"/>
  <c r="H61" i="11" s="1"/>
  <c r="F62" i="11"/>
  <c r="G62" i="11" s="1"/>
  <c r="H62" i="11" s="1"/>
  <c r="F63" i="11"/>
  <c r="F64" i="11"/>
  <c r="G64" i="11" s="1"/>
  <c r="H64" i="11" s="1"/>
  <c r="F65" i="11"/>
  <c r="G65" i="11" s="1"/>
  <c r="H65" i="11" s="1"/>
  <c r="F66" i="11"/>
  <c r="G66" i="11" s="1"/>
  <c r="H66" i="11" s="1"/>
  <c r="F67" i="11"/>
  <c r="G67" i="11" s="1"/>
  <c r="H67" i="11" s="1"/>
  <c r="F68" i="11"/>
  <c r="G68" i="11" s="1"/>
  <c r="H68" i="11" s="1"/>
  <c r="F69" i="11"/>
  <c r="G69" i="11" s="1"/>
  <c r="H69" i="11" s="1"/>
  <c r="F70" i="11"/>
  <c r="G70" i="11" s="1"/>
  <c r="H70" i="11" s="1"/>
  <c r="F71" i="11"/>
  <c r="G71" i="11" s="1"/>
  <c r="H71" i="11" s="1"/>
  <c r="F72" i="11"/>
  <c r="G72" i="11" s="1"/>
  <c r="H72" i="11" s="1"/>
  <c r="F73" i="11"/>
  <c r="F74" i="11"/>
  <c r="G74" i="11" s="1"/>
  <c r="H74" i="11" s="1"/>
  <c r="F75" i="11"/>
  <c r="G75" i="11" s="1"/>
  <c r="H75" i="11" s="1"/>
  <c r="F76" i="11"/>
  <c r="G76" i="11" s="1"/>
  <c r="H76" i="11" s="1"/>
  <c r="F77" i="11"/>
  <c r="G77" i="11" s="1"/>
  <c r="H77" i="11" s="1"/>
  <c r="F78" i="11"/>
  <c r="G78" i="11" s="1"/>
  <c r="H78" i="11" s="1"/>
  <c r="F79" i="11"/>
  <c r="G79" i="11" s="1"/>
  <c r="H79" i="11" s="1"/>
  <c r="F80" i="11"/>
  <c r="G80" i="11" s="1"/>
  <c r="H80" i="11" s="1"/>
  <c r="F81" i="11"/>
  <c r="G81" i="11" s="1"/>
  <c r="H81" i="11" s="1"/>
  <c r="F82" i="11"/>
  <c r="G82" i="11" s="1"/>
  <c r="H82" i="11" s="1"/>
  <c r="F83" i="11"/>
  <c r="F84" i="11"/>
  <c r="G84" i="11" s="1"/>
  <c r="H84" i="11" s="1"/>
  <c r="F85" i="11"/>
  <c r="G85" i="11" s="1"/>
  <c r="H85" i="11" s="1"/>
  <c r="F86" i="11"/>
  <c r="G86" i="11" s="1"/>
  <c r="H86" i="11" s="1"/>
  <c r="F87" i="11"/>
  <c r="G87" i="11" s="1"/>
  <c r="H87" i="11" s="1"/>
  <c r="F88" i="11"/>
  <c r="G88" i="11" s="1"/>
  <c r="H88" i="11" s="1"/>
  <c r="F89" i="11"/>
  <c r="G89" i="11" s="1"/>
  <c r="H89" i="11" s="1"/>
  <c r="F90" i="11"/>
  <c r="G90" i="11" s="1"/>
  <c r="H90" i="11" s="1"/>
  <c r="F91" i="11"/>
  <c r="G91" i="11" s="1"/>
  <c r="H91" i="11" s="1"/>
  <c r="F92" i="11"/>
  <c r="G92" i="11" s="1"/>
  <c r="H92" i="11" s="1"/>
  <c r="F93" i="11"/>
  <c r="F94" i="11"/>
  <c r="G94" i="11" s="1"/>
  <c r="H94" i="11" s="1"/>
  <c r="F95" i="11"/>
  <c r="G95" i="11" s="1"/>
  <c r="H95" i="11" s="1"/>
  <c r="F96" i="11"/>
  <c r="G96" i="11" s="1"/>
  <c r="H96" i="11" s="1"/>
  <c r="F97" i="11"/>
  <c r="G97" i="11" s="1"/>
  <c r="H97" i="11" s="1"/>
  <c r="F98" i="11"/>
  <c r="G98" i="11" s="1"/>
  <c r="H98" i="11" s="1"/>
  <c r="F99" i="11"/>
  <c r="G99" i="11" s="1"/>
  <c r="H99" i="11" s="1"/>
  <c r="F100" i="11"/>
  <c r="G100" i="11" s="1"/>
  <c r="H100" i="11" s="1"/>
  <c r="F101" i="11"/>
  <c r="G101" i="11" s="1"/>
  <c r="H101" i="11" s="1"/>
  <c r="F102" i="11"/>
  <c r="G102" i="11" s="1"/>
  <c r="H102" i="11" s="1"/>
  <c r="F103" i="11"/>
  <c r="F104" i="11"/>
  <c r="G104" i="11" s="1"/>
  <c r="H104" i="11" s="1"/>
  <c r="F105" i="11"/>
  <c r="G105" i="11" s="1"/>
  <c r="H105" i="11" s="1"/>
  <c r="F106" i="11"/>
  <c r="G106" i="11" s="1"/>
  <c r="H106" i="11" s="1"/>
  <c r="F107" i="11"/>
  <c r="G107" i="11" s="1"/>
  <c r="H107" i="11" s="1"/>
  <c r="F108" i="11"/>
  <c r="G108" i="11" s="1"/>
  <c r="H108" i="11" s="1"/>
  <c r="F109" i="11"/>
  <c r="G109" i="11" s="1"/>
  <c r="H109" i="11" s="1"/>
  <c r="F110" i="11"/>
  <c r="G110" i="11" s="1"/>
  <c r="H110" i="11" s="1"/>
  <c r="F111" i="11"/>
  <c r="G111" i="11" s="1"/>
  <c r="H111" i="11" s="1"/>
  <c r="F112" i="11"/>
  <c r="G112" i="11" s="1"/>
  <c r="H112" i="11" s="1"/>
  <c r="F113" i="11"/>
  <c r="F114" i="11"/>
  <c r="G114" i="11" s="1"/>
  <c r="H114" i="11" s="1"/>
  <c r="F115" i="11"/>
  <c r="G115" i="11" s="1"/>
  <c r="H115" i="11" s="1"/>
  <c r="F116" i="11"/>
  <c r="G116" i="11" s="1"/>
  <c r="H116" i="11" s="1"/>
  <c r="F117" i="11"/>
  <c r="G117" i="11" s="1"/>
  <c r="H117" i="11" s="1"/>
  <c r="F118" i="11"/>
  <c r="G118" i="11" s="1"/>
  <c r="H118" i="11" s="1"/>
  <c r="F119" i="11"/>
  <c r="G119" i="11" s="1"/>
  <c r="H119" i="11" s="1"/>
  <c r="F120" i="11"/>
  <c r="G120" i="11" s="1"/>
  <c r="H120" i="11" s="1"/>
  <c r="F121" i="11"/>
  <c r="G121" i="11" s="1"/>
  <c r="H121" i="11" s="1"/>
  <c r="F122" i="11"/>
  <c r="G122" i="11" s="1"/>
  <c r="H122" i="11" s="1"/>
  <c r="F123" i="11"/>
  <c r="F124" i="11"/>
  <c r="G124" i="11" s="1"/>
  <c r="H124" i="11" s="1"/>
  <c r="F125" i="11"/>
  <c r="G125" i="11" s="1"/>
  <c r="H125" i="11" s="1"/>
  <c r="F126" i="11"/>
  <c r="G126" i="11" s="1"/>
  <c r="H126" i="11" s="1"/>
  <c r="F127" i="11"/>
  <c r="G127" i="11" s="1"/>
  <c r="H127" i="11" s="1"/>
  <c r="F128" i="11"/>
  <c r="G128" i="11" s="1"/>
  <c r="H128" i="11" s="1"/>
  <c r="F129" i="11"/>
  <c r="G129" i="11" s="1"/>
  <c r="H129" i="11" s="1"/>
  <c r="F130" i="11"/>
  <c r="G130" i="11" s="1"/>
  <c r="H130" i="11" s="1"/>
  <c r="F131" i="11"/>
  <c r="G131" i="11" s="1"/>
  <c r="H131" i="11" s="1"/>
  <c r="F132" i="11"/>
  <c r="G132" i="11" s="1"/>
  <c r="H132" i="11" s="1"/>
  <c r="F133" i="11"/>
  <c r="F134" i="11"/>
  <c r="G134" i="11" s="1"/>
  <c r="H134" i="11" s="1"/>
  <c r="F135" i="11"/>
  <c r="G135" i="11" s="1"/>
  <c r="H135" i="11" s="1"/>
  <c r="F136" i="11"/>
  <c r="G136" i="11" s="1"/>
  <c r="H136" i="11" s="1"/>
  <c r="F137" i="11"/>
  <c r="G137" i="11" s="1"/>
  <c r="H137" i="11" s="1"/>
  <c r="F138" i="11"/>
  <c r="G138" i="11" s="1"/>
  <c r="H138" i="11" s="1"/>
  <c r="F139" i="11"/>
  <c r="G139" i="11" s="1"/>
  <c r="H139" i="11" s="1"/>
  <c r="F140" i="11"/>
  <c r="G140" i="11" s="1"/>
  <c r="H140" i="11" s="1"/>
  <c r="F141" i="11"/>
  <c r="G141" i="11" s="1"/>
  <c r="H141" i="11" s="1"/>
  <c r="F142" i="11"/>
  <c r="G142" i="11" s="1"/>
  <c r="H142" i="11" s="1"/>
  <c r="F143" i="11"/>
  <c r="F144" i="11"/>
  <c r="F145" i="11"/>
  <c r="G145" i="11" s="1"/>
  <c r="H145" i="11" s="1"/>
  <c r="F146" i="11"/>
  <c r="G146" i="11" s="1"/>
  <c r="H146" i="11" s="1"/>
  <c r="F147" i="11"/>
  <c r="G147" i="11" s="1"/>
  <c r="H147" i="11" s="1"/>
  <c r="F148" i="11"/>
  <c r="G148" i="11" s="1"/>
  <c r="H148" i="11" s="1"/>
  <c r="F149" i="11"/>
  <c r="G149" i="11" s="1"/>
  <c r="H149" i="11" s="1"/>
  <c r="F150" i="11"/>
  <c r="G150" i="11" s="1"/>
  <c r="H150" i="11" s="1"/>
  <c r="F151" i="11"/>
  <c r="G151" i="11" s="1"/>
  <c r="H151" i="11" s="1"/>
  <c r="F152" i="11"/>
  <c r="G152" i="11" s="1"/>
  <c r="H152" i="11" s="1"/>
  <c r="F153" i="11"/>
  <c r="F154" i="11"/>
  <c r="G154" i="11" s="1"/>
  <c r="H154" i="11" s="1"/>
  <c r="F155" i="11"/>
  <c r="G155" i="11" s="1"/>
  <c r="H155" i="11" s="1"/>
  <c r="F156" i="11"/>
  <c r="G156" i="11" s="1"/>
  <c r="H156" i="11" s="1"/>
  <c r="F157" i="11"/>
  <c r="G157" i="11" s="1"/>
  <c r="H157" i="11" s="1"/>
  <c r="F158" i="11"/>
  <c r="G158" i="11" s="1"/>
  <c r="H158" i="11" s="1"/>
  <c r="F159" i="11"/>
  <c r="G159" i="11" s="1"/>
  <c r="H159" i="11" s="1"/>
  <c r="F160" i="11"/>
  <c r="G160" i="11" s="1"/>
  <c r="H160" i="11" s="1"/>
  <c r="F161" i="11"/>
  <c r="G161" i="11" s="1"/>
  <c r="H161" i="11" s="1"/>
  <c r="F162" i="11"/>
  <c r="G162" i="11" s="1"/>
  <c r="H162" i="11" s="1"/>
  <c r="F163" i="11"/>
  <c r="F164" i="11"/>
  <c r="F165" i="11"/>
  <c r="G165" i="11" s="1"/>
  <c r="H165" i="11" s="1"/>
  <c r="F166" i="11"/>
  <c r="G166" i="11" s="1"/>
  <c r="H166" i="11" s="1"/>
  <c r="F167" i="11"/>
  <c r="G167" i="11" s="1"/>
  <c r="H167" i="11" s="1"/>
  <c r="F168" i="11"/>
  <c r="G168" i="11" s="1"/>
  <c r="H168" i="11" s="1"/>
  <c r="F169" i="11"/>
  <c r="G169" i="11" s="1"/>
  <c r="H169" i="11" s="1"/>
  <c r="F170" i="11"/>
  <c r="G170" i="11" s="1"/>
  <c r="H170" i="11" s="1"/>
  <c r="F171" i="11"/>
  <c r="G171" i="11" s="1"/>
  <c r="H171" i="11" s="1"/>
  <c r="F172" i="11"/>
  <c r="G172" i="11" s="1"/>
  <c r="H172" i="11" s="1"/>
  <c r="F173" i="11"/>
  <c r="F174" i="11"/>
  <c r="G174" i="11" s="1"/>
  <c r="H174" i="11" s="1"/>
  <c r="F175" i="11"/>
  <c r="G175" i="11" s="1"/>
  <c r="H175" i="11" s="1"/>
  <c r="F176" i="11"/>
  <c r="G176" i="11" s="1"/>
  <c r="H176" i="11" s="1"/>
  <c r="F177" i="11"/>
  <c r="G177" i="11" s="1"/>
  <c r="H177" i="11" s="1"/>
  <c r="F178" i="11"/>
  <c r="G178" i="11" s="1"/>
  <c r="H178" i="11" s="1"/>
  <c r="F179" i="11"/>
  <c r="G179" i="11" s="1"/>
  <c r="H179" i="11" s="1"/>
  <c r="F180" i="11"/>
  <c r="G180" i="11" s="1"/>
  <c r="H180" i="11" s="1"/>
  <c r="F181" i="11"/>
  <c r="G181" i="11" s="1"/>
  <c r="H181" i="11" s="1"/>
  <c r="F182" i="11"/>
  <c r="G182" i="11" s="1"/>
  <c r="H182" i="11" s="1"/>
  <c r="F183" i="11"/>
  <c r="F184" i="11"/>
  <c r="G184" i="11" s="1"/>
  <c r="H184" i="11" s="1"/>
  <c r="F185" i="11"/>
  <c r="G185" i="11" s="1"/>
  <c r="H185" i="11" s="1"/>
  <c r="F186" i="11"/>
  <c r="G186" i="11" s="1"/>
  <c r="H186" i="11" s="1"/>
  <c r="F187" i="11"/>
  <c r="G187" i="11" s="1"/>
  <c r="H187" i="11" s="1"/>
  <c r="F188" i="11"/>
  <c r="G188" i="11" s="1"/>
  <c r="H188" i="11" s="1"/>
  <c r="F189" i="11"/>
  <c r="G189" i="11" s="1"/>
  <c r="H189" i="11" s="1"/>
  <c r="F190" i="11"/>
  <c r="G190" i="11" s="1"/>
  <c r="H190" i="11" s="1"/>
  <c r="F191" i="11"/>
  <c r="G191" i="11" s="1"/>
  <c r="H191" i="11" s="1"/>
  <c r="F192" i="11"/>
  <c r="G192" i="11" s="1"/>
  <c r="H192" i="11" s="1"/>
  <c r="F193" i="11"/>
  <c r="F194" i="11"/>
  <c r="G194" i="11" s="1"/>
  <c r="H194" i="11" s="1"/>
  <c r="F195" i="11"/>
  <c r="G195" i="11" s="1"/>
  <c r="H195" i="11" s="1"/>
  <c r="F196" i="11"/>
  <c r="G196" i="11" s="1"/>
  <c r="H196" i="11" s="1"/>
  <c r="F197" i="11"/>
  <c r="G197" i="11" s="1"/>
  <c r="H197" i="11" s="1"/>
  <c r="F198" i="11"/>
  <c r="G198" i="11" s="1"/>
  <c r="H198" i="11" s="1"/>
  <c r="F199" i="11"/>
  <c r="G199" i="11" s="1"/>
  <c r="H199" i="11" s="1"/>
  <c r="F200" i="11"/>
  <c r="G200" i="11" s="1"/>
  <c r="H200" i="11" s="1"/>
  <c r="F201" i="11"/>
  <c r="G201" i="11" s="1"/>
  <c r="H201" i="11" s="1"/>
  <c r="F202" i="11"/>
  <c r="G202" i="11" s="1"/>
  <c r="H202" i="11" s="1"/>
  <c r="F203" i="11"/>
  <c r="F204" i="11"/>
  <c r="G204" i="11" s="1"/>
  <c r="H204" i="11" s="1"/>
  <c r="F205" i="11"/>
  <c r="G205" i="11" s="1"/>
  <c r="H205" i="11" s="1"/>
  <c r="F206" i="11"/>
  <c r="G206" i="11" s="1"/>
  <c r="H206" i="11" s="1"/>
  <c r="F207" i="11"/>
  <c r="G207" i="11" s="1"/>
  <c r="H207" i="11" s="1"/>
  <c r="F208" i="11"/>
  <c r="G208" i="11" s="1"/>
  <c r="H208" i="11" s="1"/>
  <c r="F209" i="11"/>
  <c r="G209" i="11" s="1"/>
  <c r="H209" i="11" s="1"/>
  <c r="F210" i="11"/>
  <c r="G210" i="11" s="1"/>
  <c r="H210" i="11" s="1"/>
  <c r="F211" i="11"/>
  <c r="G211" i="11" s="1"/>
  <c r="H211" i="11" s="1"/>
  <c r="F212" i="11"/>
  <c r="G212" i="11" s="1"/>
  <c r="H212" i="11" s="1"/>
  <c r="F213" i="11"/>
  <c r="F214" i="11"/>
  <c r="F215" i="11"/>
  <c r="G215" i="11" s="1"/>
  <c r="H215" i="11" s="1"/>
  <c r="F216" i="11"/>
  <c r="G216" i="11" s="1"/>
  <c r="H216" i="11" s="1"/>
  <c r="F217" i="11"/>
  <c r="G217" i="11" s="1"/>
  <c r="H217" i="11" s="1"/>
  <c r="F218" i="11"/>
  <c r="G218" i="11" s="1"/>
  <c r="H218" i="11" s="1"/>
  <c r="F219" i="11"/>
  <c r="G219" i="11" s="1"/>
  <c r="H219" i="11" s="1"/>
  <c r="F220" i="11"/>
  <c r="G220" i="11" s="1"/>
  <c r="H220" i="11" s="1"/>
  <c r="F221" i="11"/>
  <c r="G221" i="11" s="1"/>
  <c r="H221" i="11" s="1"/>
  <c r="F222" i="11"/>
  <c r="G222" i="11" s="1"/>
  <c r="H222" i="11" s="1"/>
  <c r="F223" i="11"/>
  <c r="F224" i="11"/>
  <c r="G224" i="11" s="1"/>
  <c r="H224" i="11" s="1"/>
  <c r="F225" i="11"/>
  <c r="G225" i="11" s="1"/>
  <c r="H225" i="11" s="1"/>
  <c r="F226" i="11"/>
  <c r="G226" i="11" s="1"/>
  <c r="H226" i="11" s="1"/>
  <c r="F227" i="11"/>
  <c r="G227" i="11" s="1"/>
  <c r="H227" i="11" s="1"/>
  <c r="F228" i="11"/>
  <c r="G228" i="11" s="1"/>
  <c r="H228" i="11" s="1"/>
  <c r="F229" i="11"/>
  <c r="G229" i="11" s="1"/>
  <c r="H229" i="11" s="1"/>
  <c r="F230" i="11"/>
  <c r="G230" i="11" s="1"/>
  <c r="H230" i="11" s="1"/>
  <c r="F231" i="11"/>
  <c r="G231" i="11" s="1"/>
  <c r="H231" i="11" s="1"/>
  <c r="F232" i="11"/>
  <c r="G232" i="11" s="1"/>
  <c r="H232" i="11" s="1"/>
  <c r="F233" i="11"/>
  <c r="F234" i="11"/>
  <c r="G234" i="11" s="1"/>
  <c r="H234" i="11" s="1"/>
  <c r="F235" i="11"/>
  <c r="G235" i="11" s="1"/>
  <c r="H235" i="11" s="1"/>
  <c r="F236" i="11"/>
  <c r="G236" i="11" s="1"/>
  <c r="H236" i="11" s="1"/>
  <c r="F237" i="11"/>
  <c r="G237" i="11" s="1"/>
  <c r="H237" i="11" s="1"/>
  <c r="F238" i="11"/>
  <c r="G238" i="11" s="1"/>
  <c r="H238" i="11" s="1"/>
  <c r="F239" i="11"/>
  <c r="G239" i="11" s="1"/>
  <c r="H239" i="11" s="1"/>
  <c r="F240" i="11"/>
  <c r="G240" i="11" s="1"/>
  <c r="H240" i="11" s="1"/>
  <c r="F241" i="11"/>
  <c r="G241" i="11" s="1"/>
  <c r="H241" i="11" s="1"/>
  <c r="F242" i="11"/>
  <c r="G242" i="11" s="1"/>
  <c r="H242" i="11" s="1"/>
  <c r="F243" i="11"/>
  <c r="F244" i="11"/>
  <c r="G244" i="11" s="1"/>
  <c r="H244" i="11" s="1"/>
  <c r="F245" i="11"/>
  <c r="G245" i="11" s="1"/>
  <c r="H245" i="11" s="1"/>
  <c r="F246" i="11"/>
  <c r="G246" i="11" s="1"/>
  <c r="H246" i="11" s="1"/>
  <c r="F247" i="11"/>
  <c r="G247" i="11" s="1"/>
  <c r="H247" i="11" s="1"/>
  <c r="F248" i="11"/>
  <c r="G248" i="11" s="1"/>
  <c r="H248" i="11" s="1"/>
  <c r="F249" i="11"/>
  <c r="G249" i="11" s="1"/>
  <c r="H249" i="11" s="1"/>
  <c r="F250" i="11"/>
  <c r="G250" i="11" s="1"/>
  <c r="H250" i="11" s="1"/>
  <c r="F251" i="11"/>
  <c r="G251" i="11" s="1"/>
  <c r="H251" i="11" s="1"/>
  <c r="F252" i="11"/>
  <c r="G252" i="11" s="1"/>
  <c r="H252" i="11" s="1"/>
  <c r="F253" i="11"/>
  <c r="F254" i="11"/>
  <c r="G254" i="11" s="1"/>
  <c r="H254" i="11" s="1"/>
  <c r="F255" i="11"/>
  <c r="G255" i="11" s="1"/>
  <c r="H255" i="11" s="1"/>
  <c r="F256" i="11"/>
  <c r="G256" i="11" s="1"/>
  <c r="H256" i="11" s="1"/>
  <c r="F257" i="11"/>
  <c r="G257" i="11" s="1"/>
  <c r="H257" i="11" s="1"/>
  <c r="F258" i="11"/>
  <c r="G258" i="11" s="1"/>
  <c r="H258" i="11" s="1"/>
  <c r="F259" i="11"/>
  <c r="G259" i="11" s="1"/>
  <c r="H259" i="11" s="1"/>
  <c r="F260" i="11"/>
  <c r="G260" i="11" s="1"/>
  <c r="H260" i="11" s="1"/>
  <c r="F261" i="11"/>
  <c r="G261" i="11" s="1"/>
  <c r="H261" i="11" s="1"/>
  <c r="F262" i="11"/>
  <c r="G262" i="11" s="1"/>
  <c r="H262" i="11" s="1"/>
  <c r="F263" i="11"/>
  <c r="F264" i="11"/>
  <c r="G264" i="11" s="1"/>
  <c r="H264" i="11" s="1"/>
  <c r="F265" i="11"/>
  <c r="G265" i="11" s="1"/>
  <c r="H265" i="11" s="1"/>
  <c r="F266" i="11"/>
  <c r="G266" i="11" s="1"/>
  <c r="H266" i="11" s="1"/>
  <c r="F267" i="11"/>
  <c r="G267" i="11" s="1"/>
  <c r="H267" i="11" s="1"/>
  <c r="F268" i="11"/>
  <c r="G268" i="11" s="1"/>
  <c r="H268" i="11" s="1"/>
  <c r="F269" i="11"/>
  <c r="G269" i="11" s="1"/>
  <c r="H269" i="11" s="1"/>
  <c r="F270" i="11"/>
  <c r="G270" i="11" s="1"/>
  <c r="H270" i="11" s="1"/>
  <c r="F271" i="11"/>
  <c r="G271" i="11" s="1"/>
  <c r="H271" i="11" s="1"/>
  <c r="F272" i="11"/>
  <c r="G272" i="11" s="1"/>
  <c r="H272" i="11" s="1"/>
  <c r="F273" i="11"/>
  <c r="F274" i="11"/>
  <c r="G274" i="11" s="1"/>
  <c r="H274" i="11" s="1"/>
  <c r="F275" i="11"/>
  <c r="G275" i="11" s="1"/>
  <c r="H275" i="11" s="1"/>
  <c r="F276" i="11"/>
  <c r="G276" i="11" s="1"/>
  <c r="H276" i="11" s="1"/>
  <c r="F277" i="11"/>
  <c r="G277" i="11" s="1"/>
  <c r="H277" i="11" s="1"/>
  <c r="F278" i="11"/>
  <c r="G278" i="11" s="1"/>
  <c r="H278" i="11" s="1"/>
  <c r="F279" i="11"/>
  <c r="G279" i="11" s="1"/>
  <c r="H279" i="11" s="1"/>
  <c r="F280" i="11"/>
  <c r="G280" i="11" s="1"/>
  <c r="H280" i="11" s="1"/>
  <c r="F281" i="11"/>
  <c r="G281" i="11" s="1"/>
  <c r="H281" i="11" s="1"/>
  <c r="F282" i="11"/>
  <c r="G282" i="11" s="1"/>
  <c r="H282" i="11" s="1"/>
  <c r="F283" i="11"/>
  <c r="F284" i="11"/>
  <c r="G284" i="11" s="1"/>
  <c r="H284" i="11" s="1"/>
  <c r="F285" i="11"/>
  <c r="G285" i="11" s="1"/>
  <c r="H285" i="11" s="1"/>
  <c r="F286" i="11"/>
  <c r="G286" i="11" s="1"/>
  <c r="H286" i="11" s="1"/>
  <c r="F287" i="11"/>
  <c r="G287" i="11" s="1"/>
  <c r="H287" i="11" s="1"/>
  <c r="F288" i="11"/>
  <c r="G288" i="11" s="1"/>
  <c r="H288" i="11" s="1"/>
  <c r="F289" i="11"/>
  <c r="G289" i="11" s="1"/>
  <c r="H289" i="11" s="1"/>
  <c r="F290" i="11"/>
  <c r="G290" i="11" s="1"/>
  <c r="H290" i="11" s="1"/>
  <c r="F291" i="11"/>
  <c r="G291" i="11" s="1"/>
  <c r="H291" i="11" s="1"/>
  <c r="F292" i="11"/>
  <c r="G292" i="11" s="1"/>
  <c r="H292" i="11" s="1"/>
  <c r="F293" i="11"/>
  <c r="F294" i="11"/>
  <c r="G294" i="11" s="1"/>
  <c r="H294" i="11" s="1"/>
  <c r="F295" i="11"/>
  <c r="G295" i="11" s="1"/>
  <c r="H295" i="11" s="1"/>
  <c r="F296" i="11"/>
  <c r="G296" i="11" s="1"/>
  <c r="H296" i="11" s="1"/>
  <c r="F297" i="11"/>
  <c r="G297" i="11" s="1"/>
  <c r="H297" i="11" s="1"/>
  <c r="F298" i="11"/>
  <c r="G298" i="11" s="1"/>
  <c r="H298" i="11" s="1"/>
  <c r="F299" i="11"/>
  <c r="G299" i="11" s="1"/>
  <c r="H299" i="11" s="1"/>
  <c r="F300" i="11"/>
  <c r="G300" i="11" s="1"/>
  <c r="H300" i="11" s="1"/>
  <c r="F301" i="11"/>
  <c r="G301" i="11" s="1"/>
  <c r="H301" i="11" s="1"/>
  <c r="F302" i="11"/>
  <c r="G302" i="11" s="1"/>
  <c r="H302" i="11" s="1"/>
  <c r="F303" i="11"/>
  <c r="F304" i="11"/>
  <c r="G304" i="11" s="1"/>
  <c r="H304" i="11" s="1"/>
  <c r="F305" i="11"/>
  <c r="G305" i="11" s="1"/>
  <c r="H305" i="11" s="1"/>
  <c r="F306" i="11"/>
  <c r="G306" i="11" s="1"/>
  <c r="H306" i="11" s="1"/>
  <c r="F307" i="11"/>
  <c r="G307" i="11" s="1"/>
  <c r="H307" i="11" s="1"/>
  <c r="F308" i="11"/>
  <c r="G308" i="11" s="1"/>
  <c r="H308" i="11" s="1"/>
  <c r="F309" i="11"/>
  <c r="G309" i="11" s="1"/>
  <c r="H309" i="11" s="1"/>
  <c r="F310" i="11"/>
  <c r="G310" i="11" s="1"/>
  <c r="H310" i="11" s="1"/>
  <c r="F311" i="11"/>
  <c r="G311" i="11" s="1"/>
  <c r="H311" i="11" s="1"/>
  <c r="F312" i="11"/>
  <c r="G312" i="11" s="1"/>
  <c r="H312" i="11" s="1"/>
  <c r="F313" i="11"/>
  <c r="F314" i="11"/>
  <c r="G314" i="11" s="1"/>
  <c r="H314" i="11" s="1"/>
  <c r="F315" i="11"/>
  <c r="G315" i="11" s="1"/>
  <c r="H315" i="11" s="1"/>
  <c r="F316" i="11"/>
  <c r="G316" i="11" s="1"/>
  <c r="H316" i="11" s="1"/>
  <c r="F317" i="11"/>
  <c r="G317" i="11" s="1"/>
  <c r="H317" i="11" s="1"/>
  <c r="F318" i="11"/>
  <c r="G318" i="11" s="1"/>
  <c r="H318" i="11" s="1"/>
  <c r="F319" i="11"/>
  <c r="G319" i="11" s="1"/>
  <c r="H319" i="11" s="1"/>
  <c r="F320" i="11"/>
  <c r="G320" i="11" s="1"/>
  <c r="H320" i="11" s="1"/>
  <c r="F321" i="11"/>
  <c r="G321" i="11" s="1"/>
  <c r="H321" i="11" s="1"/>
  <c r="F322" i="11"/>
  <c r="G322" i="11" s="1"/>
  <c r="H322" i="11" s="1"/>
  <c r="F323" i="11"/>
  <c r="F324" i="11"/>
  <c r="G324" i="11" s="1"/>
  <c r="H324" i="11" s="1"/>
  <c r="F325" i="11"/>
  <c r="G325" i="11" s="1"/>
  <c r="H325" i="11" s="1"/>
  <c r="F326" i="11"/>
  <c r="G326" i="11" s="1"/>
  <c r="H326" i="11" s="1"/>
  <c r="F327" i="11"/>
  <c r="G327" i="11" s="1"/>
  <c r="H327" i="11" s="1"/>
  <c r="F328" i="11"/>
  <c r="G328" i="11" s="1"/>
  <c r="H328" i="11" s="1"/>
  <c r="F329" i="11"/>
  <c r="G329" i="11" s="1"/>
  <c r="H329" i="11" s="1"/>
  <c r="F330" i="11"/>
  <c r="G330" i="11" s="1"/>
  <c r="H330" i="11" s="1"/>
  <c r="F331" i="11"/>
  <c r="G331" i="11" s="1"/>
  <c r="H331" i="11" s="1"/>
  <c r="F332" i="11"/>
  <c r="G332" i="11" s="1"/>
  <c r="H332" i="11" s="1"/>
  <c r="F333" i="11"/>
  <c r="F334" i="11"/>
  <c r="G334" i="11" s="1"/>
  <c r="H334" i="11" s="1"/>
  <c r="F335" i="11"/>
  <c r="G335" i="11" s="1"/>
  <c r="H335" i="11" s="1"/>
  <c r="F336" i="11"/>
  <c r="G336" i="11" s="1"/>
  <c r="H336" i="11" s="1"/>
  <c r="F337" i="11"/>
  <c r="G337" i="11" s="1"/>
  <c r="H337" i="11" s="1"/>
  <c r="F338" i="11"/>
  <c r="G338" i="11" s="1"/>
  <c r="H338" i="11" s="1"/>
  <c r="F339" i="11"/>
  <c r="G339" i="11" s="1"/>
  <c r="H339" i="11" s="1"/>
  <c r="F340" i="11"/>
  <c r="G340" i="11" s="1"/>
  <c r="H340" i="11" s="1"/>
  <c r="F341" i="11"/>
  <c r="G341" i="11" s="1"/>
  <c r="H341" i="11" s="1"/>
  <c r="F342" i="11"/>
  <c r="G342" i="11" s="1"/>
  <c r="H342" i="11" s="1"/>
  <c r="F343" i="11"/>
  <c r="F344" i="11"/>
  <c r="G344" i="11" s="1"/>
  <c r="H344" i="11" s="1"/>
  <c r="F345" i="11"/>
  <c r="G345" i="11" s="1"/>
  <c r="H345" i="11" s="1"/>
  <c r="F346" i="11"/>
  <c r="G346" i="11" s="1"/>
  <c r="H346" i="11" s="1"/>
  <c r="F347" i="11"/>
  <c r="G347" i="11" s="1"/>
  <c r="H347" i="11" s="1"/>
  <c r="F348" i="11"/>
  <c r="G348" i="11" s="1"/>
  <c r="H348" i="11" s="1"/>
  <c r="F349" i="11"/>
  <c r="G349" i="11" s="1"/>
  <c r="H349" i="11" s="1"/>
  <c r="F350" i="11"/>
  <c r="G350" i="11" s="1"/>
  <c r="H350" i="11" s="1"/>
  <c r="F351" i="11"/>
  <c r="G351" i="11" s="1"/>
  <c r="H351" i="11" s="1"/>
  <c r="F352" i="11"/>
  <c r="G352" i="11" s="1"/>
  <c r="H352" i="11" s="1"/>
  <c r="F353" i="11"/>
  <c r="F354" i="11"/>
  <c r="G354" i="11" s="1"/>
  <c r="H354" i="11" s="1"/>
  <c r="F355" i="11"/>
  <c r="G355" i="11" s="1"/>
  <c r="H355" i="11" s="1"/>
  <c r="F356" i="11"/>
  <c r="G356" i="11" s="1"/>
  <c r="H356" i="11" s="1"/>
  <c r="F357" i="11"/>
  <c r="G357" i="11" s="1"/>
  <c r="H357" i="11" s="1"/>
  <c r="F358" i="11"/>
  <c r="G358" i="11" s="1"/>
  <c r="H358" i="11" s="1"/>
  <c r="F359" i="11"/>
  <c r="G359" i="11" s="1"/>
  <c r="H359" i="11" s="1"/>
  <c r="F360" i="11"/>
  <c r="G360" i="11" s="1"/>
  <c r="H360" i="11" s="1"/>
  <c r="F361" i="11"/>
  <c r="G361" i="11" s="1"/>
  <c r="H361" i="11" s="1"/>
  <c r="F362" i="11"/>
  <c r="G362" i="11" s="1"/>
  <c r="H362" i="11" s="1"/>
  <c r="F363" i="11"/>
  <c r="F364" i="11"/>
  <c r="G364" i="11" s="1"/>
  <c r="H364" i="11" s="1"/>
  <c r="F365" i="11"/>
  <c r="G365" i="11" s="1"/>
  <c r="H365" i="11" s="1"/>
  <c r="F366" i="11"/>
  <c r="G366" i="11" s="1"/>
  <c r="H366" i="11" s="1"/>
  <c r="F367" i="11"/>
  <c r="G367" i="11" s="1"/>
  <c r="H367" i="11" s="1"/>
  <c r="F368" i="11"/>
  <c r="G368" i="11" s="1"/>
  <c r="H368" i="11" s="1"/>
  <c r="F369" i="11"/>
  <c r="G369" i="11" s="1"/>
  <c r="H369" i="11" s="1"/>
  <c r="F370" i="11"/>
  <c r="G370" i="11" s="1"/>
  <c r="H370" i="11" s="1"/>
  <c r="F371" i="11"/>
  <c r="G371" i="11" s="1"/>
  <c r="H371" i="11" s="1"/>
  <c r="F372" i="11"/>
  <c r="G372" i="11" s="1"/>
  <c r="H372" i="11" s="1"/>
  <c r="F373" i="11"/>
  <c r="F374" i="11"/>
  <c r="G374" i="11" s="1"/>
  <c r="H374" i="11" s="1"/>
  <c r="F375" i="11"/>
  <c r="G375" i="11" s="1"/>
  <c r="H375" i="11" s="1"/>
  <c r="F376" i="11"/>
  <c r="G376" i="11" s="1"/>
  <c r="H376" i="11" s="1"/>
  <c r="F377" i="11"/>
  <c r="G377" i="11" s="1"/>
  <c r="H377" i="11" s="1"/>
  <c r="F378" i="11"/>
  <c r="G378" i="11" s="1"/>
  <c r="H378" i="11" s="1"/>
  <c r="F379" i="11"/>
  <c r="G379" i="11" s="1"/>
  <c r="H379" i="11" s="1"/>
  <c r="F380" i="11"/>
  <c r="G380" i="11" s="1"/>
  <c r="H380" i="11" s="1"/>
  <c r="F381" i="11"/>
  <c r="G381" i="11" s="1"/>
  <c r="H381" i="11" s="1"/>
  <c r="F382" i="11"/>
  <c r="G382" i="11" s="1"/>
  <c r="H382" i="11" s="1"/>
  <c r="F383" i="11"/>
  <c r="F384" i="11"/>
  <c r="G384" i="11" s="1"/>
  <c r="H384" i="11" s="1"/>
  <c r="F385" i="11"/>
  <c r="G385" i="11" s="1"/>
  <c r="H385" i="11" s="1"/>
  <c r="F386" i="11"/>
  <c r="G386" i="11" s="1"/>
  <c r="H386" i="11" s="1"/>
  <c r="F387" i="11"/>
  <c r="G387" i="11" s="1"/>
  <c r="H387" i="11" s="1"/>
  <c r="F388" i="11"/>
  <c r="G388" i="11" s="1"/>
  <c r="H388" i="11" s="1"/>
  <c r="F389" i="11"/>
  <c r="G389" i="11" s="1"/>
  <c r="H389" i="11" s="1"/>
  <c r="F390" i="11"/>
  <c r="G390" i="11" s="1"/>
  <c r="H390" i="11" s="1"/>
  <c r="F391" i="11"/>
  <c r="G391" i="11" s="1"/>
  <c r="H391" i="11" s="1"/>
  <c r="F392" i="11"/>
  <c r="G392" i="11" s="1"/>
  <c r="H392" i="11" s="1"/>
  <c r="F393" i="11"/>
  <c r="F394" i="11"/>
  <c r="G394" i="11" s="1"/>
  <c r="H394" i="11" s="1"/>
  <c r="F395" i="11"/>
  <c r="G395" i="11" s="1"/>
  <c r="H395" i="11" s="1"/>
  <c r="F396" i="11"/>
  <c r="G396" i="11" s="1"/>
  <c r="H396" i="11" s="1"/>
  <c r="F397" i="11"/>
  <c r="G397" i="11" s="1"/>
  <c r="H397" i="11" s="1"/>
  <c r="F398" i="11"/>
  <c r="G398" i="11" s="1"/>
  <c r="H398" i="11" s="1"/>
  <c r="F399" i="11"/>
  <c r="G399" i="11" s="1"/>
  <c r="H399" i="11" s="1"/>
  <c r="F400" i="11"/>
  <c r="G400" i="11" s="1"/>
  <c r="H400" i="11" s="1"/>
  <c r="F401" i="11"/>
  <c r="G401" i="11" s="1"/>
  <c r="H401" i="11" s="1"/>
  <c r="F402" i="11"/>
  <c r="G402" i="11" s="1"/>
  <c r="H402" i="11" s="1"/>
  <c r="F403" i="11"/>
  <c r="F404" i="11"/>
  <c r="G404" i="11" s="1"/>
  <c r="H404" i="11" s="1"/>
  <c r="F405" i="11"/>
  <c r="G405" i="11" s="1"/>
  <c r="H405" i="11" s="1"/>
  <c r="F406" i="11"/>
  <c r="G406" i="11" s="1"/>
  <c r="H406" i="11" s="1"/>
  <c r="F407" i="11"/>
  <c r="G407" i="11" s="1"/>
  <c r="H407" i="11" s="1"/>
  <c r="F408" i="11"/>
  <c r="G408" i="11" s="1"/>
  <c r="H408" i="11" s="1"/>
  <c r="F409" i="11"/>
  <c r="G409" i="11" s="1"/>
  <c r="H409" i="11" s="1"/>
  <c r="F410" i="11"/>
  <c r="G410" i="11" s="1"/>
  <c r="H410" i="11" s="1"/>
  <c r="F411" i="11"/>
  <c r="G411" i="11" s="1"/>
  <c r="H411" i="11" s="1"/>
  <c r="F412" i="11"/>
  <c r="G412" i="11" s="1"/>
  <c r="H412" i="11" s="1"/>
  <c r="F413" i="11"/>
  <c r="F414" i="11"/>
  <c r="G414" i="11" s="1"/>
  <c r="H414" i="11" s="1"/>
  <c r="F415" i="11"/>
  <c r="G415" i="11" s="1"/>
  <c r="H415" i="11" s="1"/>
  <c r="F416" i="11"/>
  <c r="G416" i="11" s="1"/>
  <c r="H416" i="11" s="1"/>
  <c r="F417" i="11"/>
  <c r="G417" i="11" s="1"/>
  <c r="H417" i="11" s="1"/>
  <c r="F418" i="11"/>
  <c r="G418" i="11" s="1"/>
  <c r="H418" i="11" s="1"/>
  <c r="F419" i="11"/>
  <c r="G419" i="11" s="1"/>
  <c r="H419" i="11" s="1"/>
  <c r="F420" i="11"/>
  <c r="G420" i="11" s="1"/>
  <c r="H420" i="11" s="1"/>
  <c r="F421" i="11"/>
  <c r="G421" i="11" s="1"/>
  <c r="H421" i="11" s="1"/>
  <c r="F422" i="11"/>
  <c r="G422" i="11" s="1"/>
  <c r="H422" i="11" s="1"/>
  <c r="F423" i="11"/>
  <c r="F424" i="11"/>
  <c r="G424" i="11" s="1"/>
  <c r="H424" i="11" s="1"/>
  <c r="F425" i="11"/>
  <c r="G425" i="11" s="1"/>
  <c r="H425" i="11" s="1"/>
  <c r="F426" i="11"/>
  <c r="G426" i="11" s="1"/>
  <c r="H426" i="11" s="1"/>
  <c r="F427" i="11"/>
  <c r="G427" i="11" s="1"/>
  <c r="H427" i="11" s="1"/>
  <c r="F428" i="11"/>
  <c r="G428" i="11" s="1"/>
  <c r="H428" i="11" s="1"/>
  <c r="F429" i="11"/>
  <c r="G429" i="11" s="1"/>
  <c r="H429" i="11" s="1"/>
  <c r="F430" i="11"/>
  <c r="G430" i="11" s="1"/>
  <c r="H430" i="11" s="1"/>
  <c r="F431" i="11"/>
  <c r="G431" i="11" s="1"/>
  <c r="H431" i="11" s="1"/>
  <c r="F432" i="11"/>
  <c r="G432" i="11" s="1"/>
  <c r="H432" i="11" s="1"/>
  <c r="F433" i="11"/>
  <c r="F434" i="11"/>
  <c r="G434" i="11" s="1"/>
  <c r="H434" i="11" s="1"/>
  <c r="F435" i="11"/>
  <c r="G435" i="11" s="1"/>
  <c r="H435" i="11" s="1"/>
  <c r="F436" i="11"/>
  <c r="G436" i="11" s="1"/>
  <c r="H436" i="11" s="1"/>
  <c r="F437" i="11"/>
  <c r="G437" i="11" s="1"/>
  <c r="H437" i="11" s="1"/>
  <c r="F438" i="11"/>
  <c r="G438" i="11" s="1"/>
  <c r="H438" i="11" s="1"/>
  <c r="F439" i="11"/>
  <c r="G439" i="11" s="1"/>
  <c r="H439" i="11" s="1"/>
  <c r="F440" i="11"/>
  <c r="G440" i="11" s="1"/>
  <c r="H440" i="11" s="1"/>
  <c r="F441" i="11"/>
  <c r="G441" i="11" s="1"/>
  <c r="H441" i="11" s="1"/>
  <c r="F442" i="11"/>
  <c r="G442" i="11" s="1"/>
  <c r="H442" i="11" s="1"/>
  <c r="F443" i="11"/>
  <c r="F444" i="11"/>
  <c r="G444" i="11" s="1"/>
  <c r="H444" i="11" s="1"/>
  <c r="F445" i="11"/>
  <c r="G445" i="11" s="1"/>
  <c r="H445" i="11" s="1"/>
  <c r="F446" i="11"/>
  <c r="G446" i="11" s="1"/>
  <c r="H446" i="11" s="1"/>
  <c r="F447" i="11"/>
  <c r="G447" i="11" s="1"/>
  <c r="H447" i="11" s="1"/>
  <c r="F448" i="11"/>
  <c r="G448" i="11" s="1"/>
  <c r="H448" i="11" s="1"/>
  <c r="F449" i="11"/>
  <c r="G449" i="11" s="1"/>
  <c r="H449" i="11" s="1"/>
  <c r="F450" i="11"/>
  <c r="G450" i="11" s="1"/>
  <c r="H450" i="11" s="1"/>
  <c r="F451" i="11"/>
  <c r="G451" i="11" s="1"/>
  <c r="H451" i="11" s="1"/>
  <c r="F452" i="11"/>
  <c r="G452" i="11" s="1"/>
  <c r="H452" i="11" s="1"/>
  <c r="F453" i="11"/>
  <c r="F454" i="11"/>
  <c r="G454" i="11" s="1"/>
  <c r="H454" i="11" s="1"/>
  <c r="F455" i="11"/>
  <c r="G455" i="11" s="1"/>
  <c r="H455" i="11" s="1"/>
  <c r="F456" i="11"/>
  <c r="G456" i="11" s="1"/>
  <c r="H456" i="11" s="1"/>
  <c r="F457" i="11"/>
  <c r="G457" i="11" s="1"/>
  <c r="H457" i="11" s="1"/>
  <c r="F458" i="11"/>
  <c r="G458" i="11" s="1"/>
  <c r="H458" i="11" s="1"/>
  <c r="F459" i="11"/>
  <c r="G459" i="11" s="1"/>
  <c r="H459" i="11" s="1"/>
  <c r="F460" i="11"/>
  <c r="G460" i="11" s="1"/>
  <c r="H460" i="11" s="1"/>
  <c r="F461" i="11"/>
  <c r="G461" i="11" s="1"/>
  <c r="H461" i="11" s="1"/>
  <c r="F462" i="11"/>
  <c r="G462" i="11" s="1"/>
  <c r="H462" i="11" s="1"/>
  <c r="F463" i="11"/>
  <c r="F464" i="11"/>
  <c r="G464" i="11" s="1"/>
  <c r="H464" i="11" s="1"/>
  <c r="F465" i="11"/>
  <c r="G465" i="11" s="1"/>
  <c r="H465" i="11" s="1"/>
  <c r="F466" i="11"/>
  <c r="G466" i="11" s="1"/>
  <c r="H466" i="11" s="1"/>
  <c r="F467" i="11"/>
  <c r="G467" i="11" s="1"/>
  <c r="H467" i="11" s="1"/>
  <c r="F468" i="11"/>
  <c r="G468" i="11" s="1"/>
  <c r="H468" i="11" s="1"/>
  <c r="F469" i="11"/>
  <c r="G469" i="11" s="1"/>
  <c r="H469" i="11" s="1"/>
  <c r="F470" i="11"/>
  <c r="G470" i="11" s="1"/>
  <c r="H470" i="11" s="1"/>
  <c r="F471" i="11"/>
  <c r="G471" i="11" s="1"/>
  <c r="H471" i="11" s="1"/>
  <c r="F472" i="11"/>
  <c r="G472" i="11" s="1"/>
  <c r="H472" i="11" s="1"/>
  <c r="F473" i="11"/>
  <c r="F474" i="11"/>
  <c r="G474" i="11" s="1"/>
  <c r="H474" i="11" s="1"/>
  <c r="F475" i="11"/>
  <c r="G475" i="11" s="1"/>
  <c r="H475" i="11" s="1"/>
  <c r="F476" i="11"/>
  <c r="G476" i="11" s="1"/>
  <c r="H476" i="11" s="1"/>
  <c r="F477" i="11"/>
  <c r="G477" i="11" s="1"/>
  <c r="H477" i="11" s="1"/>
  <c r="F478" i="11"/>
  <c r="G478" i="11" s="1"/>
  <c r="H478" i="11" s="1"/>
  <c r="F479" i="11"/>
  <c r="G479" i="11" s="1"/>
  <c r="H479" i="11" s="1"/>
  <c r="F480" i="11"/>
  <c r="G480" i="11" s="1"/>
  <c r="H480" i="11" s="1"/>
  <c r="F481" i="11"/>
  <c r="G481" i="11" s="1"/>
  <c r="H481" i="11" s="1"/>
  <c r="F482" i="11"/>
  <c r="G482" i="11" s="1"/>
  <c r="H482" i="11" s="1"/>
  <c r="F483" i="11"/>
  <c r="G483" i="11" s="1"/>
  <c r="H483" i="11" s="1"/>
  <c r="F484" i="11"/>
  <c r="G484" i="11" s="1"/>
  <c r="H484" i="11" s="1"/>
  <c r="F485" i="11"/>
  <c r="G485" i="11" s="1"/>
  <c r="H485" i="11" s="1"/>
  <c r="F486" i="11"/>
  <c r="G486" i="11" s="1"/>
  <c r="H486" i="11" s="1"/>
  <c r="F487" i="11"/>
  <c r="G487" i="11" s="1"/>
  <c r="H487" i="11" s="1"/>
  <c r="F488" i="11"/>
  <c r="G488" i="11" s="1"/>
  <c r="H488" i="11" s="1"/>
  <c r="F489" i="11"/>
  <c r="G489" i="11" s="1"/>
  <c r="H489" i="11" s="1"/>
  <c r="F490" i="11"/>
  <c r="G490" i="11" s="1"/>
  <c r="H490" i="11" s="1"/>
  <c r="F491" i="11"/>
  <c r="G491" i="11" s="1"/>
  <c r="H491" i="11" s="1"/>
  <c r="F492" i="11"/>
  <c r="G492" i="11" s="1"/>
  <c r="H492" i="11" s="1"/>
  <c r="F493" i="11"/>
  <c r="G493" i="11" s="1"/>
  <c r="H493" i="11" s="1"/>
  <c r="F494" i="11"/>
  <c r="G494" i="11" s="1"/>
  <c r="H494" i="11" s="1"/>
  <c r="F495" i="11"/>
  <c r="G495" i="11" s="1"/>
  <c r="H495" i="11" s="1"/>
  <c r="F496" i="11"/>
  <c r="G496" i="11" s="1"/>
  <c r="H496" i="11" s="1"/>
  <c r="F497" i="11"/>
  <c r="G497" i="11" s="1"/>
  <c r="H497" i="11" s="1"/>
  <c r="F498" i="11"/>
  <c r="G498" i="11" s="1"/>
  <c r="H498" i="11" s="1"/>
  <c r="F499" i="11"/>
  <c r="G499" i="11" s="1"/>
  <c r="H499" i="11" s="1"/>
  <c r="F500" i="11"/>
  <c r="G500" i="11" s="1"/>
  <c r="H500" i="11" s="1"/>
  <c r="F501" i="11"/>
  <c r="G501" i="11" s="1"/>
  <c r="H501" i="11" s="1"/>
  <c r="F502" i="11"/>
  <c r="G502" i="11" s="1"/>
  <c r="H502" i="11" s="1"/>
  <c r="F503" i="11"/>
  <c r="F504" i="11"/>
  <c r="G504" i="11" s="1"/>
  <c r="H504" i="11" s="1"/>
  <c r="F505" i="11"/>
  <c r="G505" i="11" s="1"/>
  <c r="H505" i="11" s="1"/>
  <c r="F506" i="11"/>
  <c r="G506" i="11" s="1"/>
  <c r="H506" i="11" s="1"/>
  <c r="F507" i="11"/>
  <c r="G507" i="11" s="1"/>
  <c r="H507" i="11" s="1"/>
  <c r="F508" i="11"/>
  <c r="G508" i="11" s="1"/>
  <c r="H508" i="11" s="1"/>
  <c r="F509" i="11"/>
  <c r="G509" i="11" s="1"/>
  <c r="H509" i="11" s="1"/>
  <c r="F510" i="11"/>
  <c r="G510" i="11" s="1"/>
  <c r="H510" i="11" s="1"/>
  <c r="F511" i="11"/>
  <c r="G511" i="11" s="1"/>
  <c r="H511" i="11" s="1"/>
  <c r="F512" i="11"/>
  <c r="G512" i="11" s="1"/>
  <c r="H512" i="11" s="1"/>
  <c r="F513" i="11"/>
  <c r="F514" i="11"/>
  <c r="G514" i="11" s="1"/>
  <c r="H514" i="11" s="1"/>
  <c r="F515" i="11"/>
  <c r="G515" i="11" s="1"/>
  <c r="H515" i="11" s="1"/>
  <c r="F516" i="11"/>
  <c r="G516" i="11" s="1"/>
  <c r="H516" i="11" s="1"/>
  <c r="F517" i="11"/>
  <c r="G517" i="11" s="1"/>
  <c r="H517" i="11" s="1"/>
  <c r="F518" i="11"/>
  <c r="G518" i="11" s="1"/>
  <c r="H518" i="11" s="1"/>
  <c r="F519" i="11"/>
  <c r="G519" i="11" s="1"/>
  <c r="H519" i="11" s="1"/>
  <c r="F520" i="11"/>
  <c r="G520" i="11" s="1"/>
  <c r="H520" i="11" s="1"/>
  <c r="F521" i="11"/>
  <c r="G521" i="11" s="1"/>
  <c r="H521" i="11" s="1"/>
  <c r="F522" i="11"/>
  <c r="G522" i="11" s="1"/>
  <c r="H522" i="11" s="1"/>
  <c r="F523" i="11"/>
  <c r="F524" i="11"/>
  <c r="G524" i="11" s="1"/>
  <c r="H524" i="11" s="1"/>
  <c r="F525" i="11"/>
  <c r="G525" i="11" s="1"/>
  <c r="H525" i="11" s="1"/>
  <c r="F526" i="11"/>
  <c r="G526" i="11" s="1"/>
  <c r="H526" i="11" s="1"/>
  <c r="F527" i="11"/>
  <c r="G527" i="11" s="1"/>
  <c r="H527" i="11" s="1"/>
  <c r="F2" i="11"/>
  <c r="G2" i="11" s="1"/>
  <c r="H2" i="11" s="1"/>
  <c r="G3" i="11"/>
  <c r="H3" i="11" s="1"/>
  <c r="G13" i="11"/>
  <c r="H13" i="11" s="1"/>
  <c r="G23" i="11"/>
  <c r="H23" i="11" s="1"/>
  <c r="G33" i="11"/>
  <c r="H33" i="11" s="1"/>
  <c r="G43" i="11"/>
  <c r="H43" i="11" s="1"/>
  <c r="G44" i="11"/>
  <c r="H44" i="11" s="1"/>
  <c r="G53" i="11"/>
  <c r="H53" i="11" s="1"/>
  <c r="G54" i="11"/>
  <c r="H54" i="11" s="1"/>
  <c r="G63" i="11"/>
  <c r="H63" i="11" s="1"/>
  <c r="G73" i="11"/>
  <c r="H73" i="11" s="1"/>
  <c r="G83" i="11"/>
  <c r="H83" i="11" s="1"/>
  <c r="G93" i="11"/>
  <c r="H93" i="11" s="1"/>
  <c r="G103" i="11"/>
  <c r="H103" i="11" s="1"/>
  <c r="G113" i="11"/>
  <c r="H113" i="11" s="1"/>
  <c r="G123" i="11"/>
  <c r="H123" i="11" s="1"/>
  <c r="G133" i="11"/>
  <c r="H133" i="11" s="1"/>
  <c r="G143" i="11"/>
  <c r="H143" i="11" s="1"/>
  <c r="G144" i="11"/>
  <c r="H144" i="11" s="1"/>
  <c r="G153" i="11"/>
  <c r="H153" i="11" s="1"/>
  <c r="G163" i="11"/>
  <c r="H163" i="11" s="1"/>
  <c r="G164" i="11"/>
  <c r="H164" i="11" s="1"/>
  <c r="G173" i="11"/>
  <c r="H173" i="11" s="1"/>
  <c r="G183" i="11"/>
  <c r="H183" i="11" s="1"/>
  <c r="G193" i="11"/>
  <c r="H193" i="11" s="1"/>
  <c r="G203" i="11"/>
  <c r="H203" i="11" s="1"/>
  <c r="G213" i="11"/>
  <c r="H213" i="11" s="1"/>
  <c r="G214" i="11"/>
  <c r="H214" i="11" s="1"/>
  <c r="G223" i="11"/>
  <c r="H223" i="11" s="1"/>
  <c r="G233" i="11"/>
  <c r="H233" i="11" s="1"/>
  <c r="G243" i="11"/>
  <c r="H243" i="11" s="1"/>
  <c r="G253" i="11"/>
  <c r="H253" i="11" s="1"/>
  <c r="G263" i="11"/>
  <c r="H263" i="11" s="1"/>
  <c r="G273" i="11"/>
  <c r="H273" i="11" s="1"/>
  <c r="G283" i="11"/>
  <c r="H283" i="11" s="1"/>
  <c r="G293" i="11"/>
  <c r="H293" i="11" s="1"/>
  <c r="G303" i="11"/>
  <c r="H303" i="11" s="1"/>
  <c r="G313" i="11"/>
  <c r="H313" i="11" s="1"/>
  <c r="G323" i="11"/>
  <c r="H323" i="11" s="1"/>
  <c r="G333" i="11"/>
  <c r="H333" i="11" s="1"/>
  <c r="G343" i="11"/>
  <c r="H343" i="11" s="1"/>
  <c r="G353" i="11"/>
  <c r="H353" i="11" s="1"/>
  <c r="G363" i="11"/>
  <c r="H363" i="11" s="1"/>
  <c r="G373" i="11"/>
  <c r="H373" i="11" s="1"/>
  <c r="G383" i="11"/>
  <c r="H383" i="11" s="1"/>
  <c r="G393" i="11"/>
  <c r="H393" i="11" s="1"/>
  <c r="G403" i="11"/>
  <c r="H403" i="11" s="1"/>
  <c r="G413" i="11"/>
  <c r="H413" i="11" s="1"/>
  <c r="G423" i="11"/>
  <c r="H423" i="11" s="1"/>
  <c r="G433" i="11"/>
  <c r="H433" i="11" s="1"/>
  <c r="G443" i="11"/>
  <c r="H443" i="11" s="1"/>
  <c r="G453" i="11"/>
  <c r="H453" i="11" s="1"/>
  <c r="G463" i="11"/>
  <c r="H463" i="11" s="1"/>
  <c r="G473" i="11"/>
  <c r="H473" i="11" s="1"/>
  <c r="G503" i="11"/>
  <c r="H503" i="11" s="1"/>
  <c r="G513" i="11"/>
  <c r="H513" i="11" s="1"/>
  <c r="G523" i="11"/>
  <c r="H523" i="11" s="1"/>
  <c r="O5" i="9"/>
  <c r="S29" i="1"/>
  <c r="R29" i="1"/>
  <c r="O18" i="8"/>
  <c r="T33" i="1"/>
  <c r="Q33" i="1"/>
  <c r="Q31" i="1"/>
  <c r="R31" i="1"/>
  <c r="S31" i="1"/>
  <c r="T31" i="1"/>
  <c r="U31" i="1"/>
  <c r="V31" i="1"/>
  <c r="W31" i="1"/>
  <c r="X31" i="1"/>
  <c r="Y31" i="1"/>
  <c r="Y32" i="1" s="1"/>
  <c r="Z31" i="1"/>
  <c r="Z32" i="1" s="1"/>
  <c r="P31" i="1"/>
  <c r="P32" i="1" s="1"/>
  <c r="P17" i="1"/>
  <c r="R32" i="1" s="1"/>
  <c r="Q20" i="1"/>
  <c r="R20" i="1"/>
  <c r="S20" i="1"/>
  <c r="T20" i="1"/>
  <c r="U20" i="1"/>
  <c r="V20" i="1"/>
  <c r="W20" i="1"/>
  <c r="X20" i="1"/>
  <c r="Y20" i="1"/>
  <c r="Z20" i="1"/>
  <c r="Q21" i="1"/>
  <c r="R21" i="1"/>
  <c r="S21" i="1"/>
  <c r="T21" i="1"/>
  <c r="U21" i="1"/>
  <c r="V21" i="1"/>
  <c r="W21" i="1"/>
  <c r="X21" i="1"/>
  <c r="Y21" i="1"/>
  <c r="Z21" i="1"/>
  <c r="Q22" i="1"/>
  <c r="R22" i="1"/>
  <c r="S22" i="1"/>
  <c r="T22" i="1"/>
  <c r="U22" i="1"/>
  <c r="V22" i="1"/>
  <c r="W22" i="1"/>
  <c r="X22" i="1"/>
  <c r="Y22" i="1"/>
  <c r="Z22" i="1"/>
  <c r="Q23" i="1"/>
  <c r="R23" i="1"/>
  <c r="S23" i="1"/>
  <c r="T23" i="1"/>
  <c r="U23" i="1"/>
  <c r="V23" i="1"/>
  <c r="W23" i="1"/>
  <c r="X23" i="1"/>
  <c r="Y23" i="1"/>
  <c r="Z23" i="1"/>
  <c r="Q24" i="1"/>
  <c r="R24" i="1"/>
  <c r="S24" i="1"/>
  <c r="T24" i="1"/>
  <c r="U24" i="1"/>
  <c r="V24" i="1"/>
  <c r="W24" i="1"/>
  <c r="X24" i="1"/>
  <c r="Y24" i="1"/>
  <c r="Z24" i="1"/>
  <c r="P24" i="1"/>
  <c r="P23" i="1"/>
  <c r="P22" i="1"/>
  <c r="P21" i="1"/>
  <c r="P20" i="1"/>
  <c r="R43" i="18" l="1"/>
  <c r="L18" i="11"/>
  <c r="O6" i="9"/>
  <c r="AA31" i="1"/>
  <c r="AA32" i="1" s="1"/>
  <c r="AA20" i="1"/>
  <c r="AA24" i="1"/>
  <c r="AA23" i="1"/>
  <c r="AA22" i="1"/>
  <c r="AA21" i="1"/>
  <c r="S28" i="1"/>
  <c r="R28" i="1"/>
  <c r="X32" i="1"/>
  <c r="W32" i="1"/>
  <c r="V32" i="1"/>
  <c r="U32" i="1"/>
  <c r="T32" i="1"/>
  <c r="S32" i="1"/>
  <c r="Q32" i="1"/>
  <c r="Y27" i="1"/>
  <c r="T27" i="1"/>
  <c r="X27" i="1"/>
  <c r="U27" i="1"/>
  <c r="S27" i="1"/>
  <c r="Z27" i="1"/>
  <c r="V27" i="1"/>
  <c r="W27" i="1"/>
  <c r="Q27" i="1"/>
  <c r="R27" i="1"/>
  <c r="P27" i="1"/>
  <c r="AA27" i="1" l="1"/>
</calcChain>
</file>

<file path=xl/sharedStrings.xml><?xml version="1.0" encoding="utf-8"?>
<sst xmlns="http://schemas.openxmlformats.org/spreadsheetml/2006/main" count="5391" uniqueCount="98">
  <si>
    <t>educ</t>
  </si>
  <si>
    <t>exper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</si>
  <si>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</si>
  <si>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</si>
  <si>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</si>
  <si>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</si>
  <si>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</si>
  <si>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</si>
  <si>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</si>
  <si>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</si>
  <si>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</si>
  <si>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</si>
  <si>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</si>
  <si>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</si>
  <si>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</si>
  <si>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</si>
  <si>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</si>
  <si>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</si>
  <si>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</si>
  <si>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</si>
  <si>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</si>
  <si>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</si>
  <si>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</si>
  <si>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</si>
  <si>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95,0%</t>
  </si>
  <si>
    <t>Superior 95,0%</t>
  </si>
  <si>
    <t>Salario en $MM</t>
  </si>
  <si>
    <t>Años de Educación</t>
  </si>
  <si>
    <t>salario</t>
  </si>
  <si>
    <t>Años de Experiencia</t>
  </si>
  <si>
    <t>Años de Permanencia</t>
  </si>
  <si>
    <t>1: Mujer; 0: Hombre</t>
  </si>
  <si>
    <t>1: Casado; 0: No casado</t>
  </si>
  <si>
    <t>Número de Hijos</t>
  </si>
  <si>
    <t>sur</t>
  </si>
  <si>
    <t>oeste</t>
  </si>
  <si>
    <t>1: oeste; 0: otro caso</t>
  </si>
  <si>
    <t>1: Norte; 0: otro caso</t>
  </si>
  <si>
    <t>1: Sur; 0:otro caso</t>
  </si>
  <si>
    <t>1: Área construcción; 0: otro caso</t>
  </si>
  <si>
    <t>cst</t>
  </si>
  <si>
    <t>Label</t>
  </si>
  <si>
    <t>Descripción</t>
  </si>
  <si>
    <t>promedio</t>
  </si>
  <si>
    <t>mediana</t>
  </si>
  <si>
    <t>desveación estandar</t>
  </si>
  <si>
    <t>mínimo</t>
  </si>
  <si>
    <t>máximo</t>
  </si>
  <si>
    <t>variación porcentual</t>
  </si>
  <si>
    <t>perm</t>
  </si>
  <si>
    <t>feml</t>
  </si>
  <si>
    <t>marr</t>
  </si>
  <si>
    <t>#dep</t>
  </si>
  <si>
    <t>nort</t>
  </si>
  <si>
    <t>Intervalo Inferior</t>
  </si>
  <si>
    <t>Intervalo Superior</t>
  </si>
  <si>
    <t>Número de Observaciones</t>
  </si>
  <si>
    <t>Missing Value (#)</t>
  </si>
  <si>
    <t>Missing Value (%)</t>
  </si>
  <si>
    <t># zap</t>
  </si>
  <si>
    <t>Número de zapatillas en el closet</t>
  </si>
  <si>
    <t>#zap</t>
  </si>
  <si>
    <t>Tratamiento según variable</t>
  </si>
  <si>
    <t>Paso a Paso</t>
  </si>
  <si>
    <t>1. Identificación y Tratamiento</t>
  </si>
  <si>
    <t>1.1. Datos átipicos y extremos.</t>
  </si>
  <si>
    <t>1.2. Datos vacios (missing value)</t>
  </si>
  <si>
    <t>2. Muestras de Desarrollo</t>
  </si>
  <si>
    <t>1.1. Entrenamiento (75%).</t>
  </si>
  <si>
    <t>1.2. Validación (25%).</t>
  </si>
  <si>
    <t>3. Filtro por Correlación</t>
  </si>
  <si>
    <t>4. Estimación modelo manual</t>
  </si>
  <si>
    <t>5. Estimación modelo por herramienta análitica</t>
  </si>
  <si>
    <t>6. Evaluación de Desempeño.</t>
  </si>
  <si>
    <t xml:space="preserve">7. Modelo final </t>
  </si>
  <si>
    <t># Obs</t>
  </si>
  <si>
    <t>Y</t>
  </si>
  <si>
    <t>X's</t>
  </si>
  <si>
    <t>Descripción inicial</t>
  </si>
  <si>
    <t>Entrenamiento</t>
  </si>
  <si>
    <t>Validación</t>
  </si>
  <si>
    <t>muestra</t>
  </si>
  <si>
    <t>4. Estimación modelo manual (ejemplo)</t>
  </si>
  <si>
    <t>Constante</t>
  </si>
  <si>
    <t>constante</t>
  </si>
  <si>
    <t>Parámetros</t>
  </si>
  <si>
    <t>Estimación</t>
  </si>
  <si>
    <t>RMSE</t>
  </si>
  <si>
    <t>Error</t>
  </si>
  <si>
    <t>Error^2</t>
  </si>
  <si>
    <t>Arbitraio</t>
  </si>
  <si>
    <t>Optimizados</t>
  </si>
  <si>
    <t>Función Opt.</t>
  </si>
  <si>
    <t>Error2</t>
  </si>
  <si>
    <t>Acierto</t>
  </si>
  <si>
    <t>Int. Inf</t>
  </si>
  <si>
    <t>Int. Sup</t>
  </si>
  <si>
    <t>Tolerancia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</si>
</sst>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%"/>
  </numFmts>
  <fonts count="8" x14ac:knownFonts="1">
    <font>
      <sz val="10"/>
      <name val="Arial"/>
    </font>
    <font>
      <sz val="10"/>
      <name val="Arial"/>
      <family val="2"/>
    </font>
    <font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002060"/>
      <name val="Calibri Light"/>
      <family val="2"/>
      <scheme val="major"/>
    </font>
    <font>
      <i/>
      <sz val="10"/>
      <name val="Calibri Light"/>
      <family val="2"/>
      <scheme val="major"/>
    </font>
    <font>
      <b/>
      <sz val="10"/>
      <name val="Calibri Light"/>
      <family val="2"/>
      <scheme val="major"/>
    </font>
    <font>
      <sz val="10"/>
      <color theme="1"/>
      <name val="Calibri Light (Títulos)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9" fontId="2" fillId="0" borderId="0" xfId="1" applyFont="1" applyAlignment="1">
      <alignment horizontal="center"/>
    </xf>
    <xf numFmtId="10" fontId="2" fillId="0" borderId="0" xfId="1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2" borderId="0" xfId="0" applyFont="1" applyFill="1"/>
    <xf numFmtId="2" fontId="2" fillId="2" borderId="0" xfId="0" applyNumberFormat="1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9" fontId="2" fillId="0" borderId="1" xfId="1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/>
    </xf>
    <xf numFmtId="10" fontId="5" fillId="0" borderId="1" xfId="1" applyNumberFormat="1" applyFont="1" applyFill="1" applyBorder="1" applyAlignment="1">
      <alignment horizontal="center"/>
    </xf>
    <xf numFmtId="10" fontId="2" fillId="0" borderId="1" xfId="1" applyNumberFormat="1" applyFont="1" applyFill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0" borderId="3" xfId="1" applyNumberFormat="1" applyFont="1" applyBorder="1" applyAlignment="1">
      <alignment horizontal="center" vertical="center"/>
    </xf>
    <xf numFmtId="165" fontId="2" fillId="0" borderId="2" xfId="1" applyNumberFormat="1" applyFont="1" applyBorder="1" applyAlignment="1">
      <alignment horizontal="center" vertical="center"/>
    </xf>
    <xf numFmtId="165" fontId="2" fillId="0" borderId="4" xfId="1" applyNumberFormat="1" applyFont="1" applyBorder="1" applyAlignment="1">
      <alignment horizontal="center" vertical="center"/>
    </xf>
    <xf numFmtId="166" fontId="2" fillId="4" borderId="1" xfId="1" applyNumberFormat="1" applyFont="1" applyFill="1" applyBorder="1" applyAlignment="1"/>
    <xf numFmtId="166" fontId="2" fillId="4" borderId="1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2" fontId="2" fillId="4" borderId="1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Continuous"/>
    </xf>
    <xf numFmtId="166" fontId="6" fillId="4" borderId="1" xfId="1" applyNumberFormat="1" applyFont="1" applyFill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9" fontId="2" fillId="0" borderId="3" xfId="1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0" xfId="0" applyFont="1"/>
  </cellXfs>
  <cellStyles count="2">
    <cellStyle name="Normal" xfId="0" builtinId="0"/>
    <cellStyle name="Porcentaje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6350</xdr:colOff>
      <xdr:row>38</xdr:row>
      <xdr:rowOff>158750</xdr:rowOff>
    </xdr:from>
    <xdr:ext cx="10736978" cy="313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CDA953CF-32B4-E7E0-31CB-263392536E82}"/>
                </a:ext>
              </a:extLst>
            </xdr:cNvPr>
            <xdr:cNvSpPr txBox="1"/>
          </xdr:nvSpPr>
          <xdr:spPr>
            <a:xfrm>
              <a:off x="5784850" y="6915150"/>
              <a:ext cx="10736978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2000" b="0" i="1">
                        <a:latin typeface="Cambria Math" panose="02040503050406030204" pitchFamily="18" charset="0"/>
                      </a:rPr>
                      <m:t>𝑆𝑎𝑙𝑎𝑟𝑖𝑜</m:t>
                    </m:r>
                    <m:r>
                      <a:rPr lang="es-ES" sz="2000" b="0" i="1">
                        <a:latin typeface="Cambria Math" panose="02040503050406030204" pitchFamily="18" charset="0"/>
                      </a:rPr>
                      <m:t>=−0.85+0.483∗</m:t>
                    </m:r>
                    <m:r>
                      <a:rPr lang="es-ES" sz="2000" b="0" i="1">
                        <a:latin typeface="Cambria Math" panose="02040503050406030204" pitchFamily="18" charset="0"/>
                      </a:rPr>
                      <m:t>𝐸𝑑𝑢𝑐</m:t>
                    </m:r>
                    <m:r>
                      <a:rPr lang="es-ES" sz="2000" b="0" i="1">
                        <a:latin typeface="Cambria Math" panose="02040503050406030204" pitchFamily="18" charset="0"/>
                      </a:rPr>
                      <m:t>+0.161∗</m:t>
                    </m:r>
                    <m:r>
                      <a:rPr lang="es-ES" sz="2000" b="0" i="1">
                        <a:latin typeface="Cambria Math" panose="02040503050406030204" pitchFamily="18" charset="0"/>
                      </a:rPr>
                      <m:t>𝑝𝑒𝑟𝑚</m:t>
                    </m:r>
                    <m:r>
                      <a:rPr lang="es-ES" sz="2000" b="0" i="1">
                        <a:latin typeface="Cambria Math" panose="02040503050406030204" pitchFamily="18" charset="0"/>
                      </a:rPr>
                      <m:t>−1.208∗</m:t>
                    </m:r>
                    <m:r>
                      <a:rPr lang="es-ES" sz="2000" b="0" i="1">
                        <a:latin typeface="Cambria Math" panose="02040503050406030204" pitchFamily="18" charset="0"/>
                      </a:rPr>
                      <m:t>𝐹𝑒𝑚𝑙</m:t>
                    </m:r>
                    <m:r>
                      <a:rPr lang="es-ES" sz="2000" b="0" i="1">
                        <a:latin typeface="Cambria Math" panose="02040503050406030204" pitchFamily="18" charset="0"/>
                      </a:rPr>
                      <m:t>+0.565∗</m:t>
                    </m:r>
                    <m:r>
                      <a:rPr lang="es-ES" sz="2000" b="0" i="1">
                        <a:latin typeface="Cambria Math" panose="02040503050406030204" pitchFamily="18" charset="0"/>
                      </a:rPr>
                      <m:t>𝑚𝑎𝑟𝑟</m:t>
                    </m:r>
                    <m:r>
                      <a:rPr lang="es-ES" sz="2000" b="0" i="1">
                        <a:latin typeface="Cambria Math" panose="02040503050406030204" pitchFamily="18" charset="0"/>
                      </a:rPr>
                      <m:t>+1.118∗</m:t>
                    </m:r>
                    <m:r>
                      <a:rPr lang="es-ES" sz="2000" b="0" i="1">
                        <a:latin typeface="Cambria Math" panose="02040503050406030204" pitchFamily="18" charset="0"/>
                      </a:rPr>
                      <m:t>𝑜𝑒𝑠𝑡𝑒</m:t>
                    </m:r>
                  </m:oMath>
                </m:oMathPara>
              </a14:m>
              <a:endParaRPr lang="es-ES" sz="1100" b="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CDA953CF-32B4-E7E0-31CB-263392536E82}"/>
                </a:ext>
              </a:extLst>
            </xdr:cNvPr>
            <xdr:cNvSpPr txBox="1"/>
          </xdr:nvSpPr>
          <xdr:spPr>
            <a:xfrm>
              <a:off x="5784850" y="6915150"/>
              <a:ext cx="10736978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2000" b="0" i="0">
                  <a:latin typeface="Cambria Math" panose="02040503050406030204" pitchFamily="18" charset="0"/>
                </a:rPr>
                <a:t>𝑆𝑎𝑙𝑎𝑟𝑖𝑜=−0.85+0.483∗𝐸𝑑𝑢𝑐+0.161∗𝑝𝑒𝑟𝑚−1.208∗𝐹𝑒𝑚𝑙+0.565∗𝑚𝑎𝑟𝑟+1.118∗𝑜𝑒𝑠𝑡𝑒</a:t>
              </a:r>
              <a:endParaRPr lang="es-ES" sz="1100" b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9FB0-CDAA-3642-9243-09E3E719DC9E}">
  <dimension ref="A1:W527"/>
  <sheetViews>
    <sheetView showGridLines="0" tabSelected="1" topLeftCell="B1" zoomScale="140" workbookViewId="0">
      <selection activeCell="Q23" sqref="Q23"/>
    </sheetView>
  </sheetViews>
  <sheetFormatPr baseColWidth="10" defaultColWidth="8.83203125" defaultRowHeight="14" x14ac:dyDescent="0.2"/>
  <cols>
    <col min="1" max="11" width="8.83203125" style="5"/>
    <col min="12" max="14" width="8.83203125" style="3"/>
    <col min="15" max="15" width="26.33203125" style="3" bestFit="1" customWidth="1"/>
    <col min="16" max="22" width="9.33203125" style="3" bestFit="1" customWidth="1"/>
    <col min="23" max="16384" width="8.83203125" style="3"/>
  </cols>
  <sheetData>
    <row r="1" spans="1:19" x14ac:dyDescent="0.2">
      <c r="A1" s="4" t="s">
        <v>28</v>
      </c>
      <c r="B1" s="4" t="s">
        <v>0</v>
      </c>
      <c r="C1" s="4" t="s">
        <v>1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34</v>
      </c>
      <c r="J1" s="4" t="s">
        <v>35</v>
      </c>
      <c r="K1" s="4" t="s">
        <v>40</v>
      </c>
      <c r="L1" s="4" t="s">
        <v>59</v>
      </c>
    </row>
    <row r="2" spans="1:19" x14ac:dyDescent="0.2">
      <c r="A2" s="4">
        <v>0.53</v>
      </c>
      <c r="B2" s="4">
        <v>12</v>
      </c>
      <c r="C2" s="4">
        <v>3</v>
      </c>
      <c r="D2" s="4">
        <v>1</v>
      </c>
      <c r="E2" s="4">
        <v>1</v>
      </c>
      <c r="F2" s="4">
        <v>0</v>
      </c>
      <c r="G2" s="4">
        <v>0</v>
      </c>
      <c r="H2" s="4">
        <v>0</v>
      </c>
      <c r="I2" s="4">
        <v>0</v>
      </c>
      <c r="J2" s="4">
        <v>1</v>
      </c>
      <c r="K2" s="4">
        <v>0</v>
      </c>
      <c r="L2" s="4">
        <v>2</v>
      </c>
    </row>
    <row r="3" spans="1:19" x14ac:dyDescent="0.2">
      <c r="A3" s="4">
        <v>1.43</v>
      </c>
      <c r="B3" s="4">
        <v>12</v>
      </c>
      <c r="C3" s="4">
        <v>17</v>
      </c>
      <c r="D3" s="4">
        <v>0</v>
      </c>
      <c r="E3" s="4"/>
      <c r="F3" s="4">
        <v>1</v>
      </c>
      <c r="G3" s="4">
        <v>2</v>
      </c>
      <c r="H3" s="4">
        <v>0</v>
      </c>
      <c r="I3" s="4">
        <v>0</v>
      </c>
      <c r="J3" s="4">
        <v>0</v>
      </c>
      <c r="K3" s="4">
        <v>0</v>
      </c>
      <c r="L3" s="4">
        <v>4</v>
      </c>
      <c r="N3" s="4" t="s">
        <v>41</v>
      </c>
      <c r="O3" s="4" t="s">
        <v>42</v>
      </c>
      <c r="Q3" s="43" t="s">
        <v>63</v>
      </c>
      <c r="R3" s="43"/>
      <c r="S3" s="43"/>
    </row>
    <row r="4" spans="1:19" x14ac:dyDescent="0.2">
      <c r="A4" s="4">
        <v>1.5</v>
      </c>
      <c r="B4" s="4">
        <v>8</v>
      </c>
      <c r="C4" s="4">
        <v>31</v>
      </c>
      <c r="D4" s="4">
        <v>30</v>
      </c>
      <c r="E4" s="4"/>
      <c r="F4" s="4">
        <v>0</v>
      </c>
      <c r="G4" s="4">
        <v>0</v>
      </c>
      <c r="H4" s="4">
        <v>0</v>
      </c>
      <c r="I4" s="4">
        <v>1</v>
      </c>
      <c r="J4" s="4">
        <v>0</v>
      </c>
      <c r="K4" s="4">
        <v>0</v>
      </c>
      <c r="L4" s="4">
        <v>3</v>
      </c>
      <c r="N4" s="4" t="s">
        <v>28</v>
      </c>
      <c r="O4" s="2" t="s">
        <v>26</v>
      </c>
      <c r="Q4" s="44" t="s">
        <v>64</v>
      </c>
      <c r="R4" s="17"/>
      <c r="S4" s="17"/>
    </row>
    <row r="5" spans="1:19" x14ac:dyDescent="0.2">
      <c r="A5" s="4">
        <v>1.5</v>
      </c>
      <c r="B5" s="4">
        <v>12</v>
      </c>
      <c r="C5" s="4">
        <v>11</v>
      </c>
      <c r="D5" s="4">
        <v>1</v>
      </c>
      <c r="E5" s="4">
        <v>1</v>
      </c>
      <c r="F5" s="4">
        <v>1</v>
      </c>
      <c r="G5" s="4">
        <v>2</v>
      </c>
      <c r="H5" s="4">
        <v>1</v>
      </c>
      <c r="I5" s="4">
        <v>0</v>
      </c>
      <c r="J5" s="4">
        <v>0</v>
      </c>
      <c r="K5" s="4">
        <v>0</v>
      </c>
      <c r="L5" s="4">
        <v>2</v>
      </c>
      <c r="N5" s="4" t="s">
        <v>0</v>
      </c>
      <c r="O5" s="2" t="s">
        <v>27</v>
      </c>
      <c r="Q5" s="17"/>
      <c r="R5" s="17" t="s">
        <v>65</v>
      </c>
      <c r="S5" s="17"/>
    </row>
    <row r="6" spans="1:19" x14ac:dyDescent="0.2">
      <c r="A6" s="4">
        <v>1.63</v>
      </c>
      <c r="B6" s="4">
        <v>12</v>
      </c>
      <c r="C6" s="4">
        <v>18</v>
      </c>
      <c r="D6" s="4">
        <v>0</v>
      </c>
      <c r="E6" s="4"/>
      <c r="F6" s="4">
        <v>0</v>
      </c>
      <c r="G6" s="4">
        <v>2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N6" s="4" t="s">
        <v>1</v>
      </c>
      <c r="O6" s="2" t="s">
        <v>29</v>
      </c>
      <c r="Q6" s="17"/>
      <c r="R6" s="17" t="s">
        <v>66</v>
      </c>
      <c r="S6" s="17"/>
    </row>
    <row r="7" spans="1:19" x14ac:dyDescent="0.2">
      <c r="A7" s="4">
        <v>1.67</v>
      </c>
      <c r="B7" s="4">
        <v>10</v>
      </c>
      <c r="C7" s="4">
        <v>1</v>
      </c>
      <c r="D7" s="4">
        <v>0</v>
      </c>
      <c r="E7" s="4">
        <v>0</v>
      </c>
      <c r="F7" s="4">
        <v>0</v>
      </c>
      <c r="G7" s="4">
        <v>1</v>
      </c>
      <c r="H7" s="4">
        <v>0</v>
      </c>
      <c r="I7" s="4">
        <v>0</v>
      </c>
      <c r="J7" s="4">
        <v>1</v>
      </c>
      <c r="K7" s="4">
        <v>0</v>
      </c>
      <c r="L7" s="4">
        <v>3</v>
      </c>
      <c r="N7" s="4" t="s">
        <v>49</v>
      </c>
      <c r="O7" s="2" t="s">
        <v>30</v>
      </c>
      <c r="Q7" s="17" t="s">
        <v>67</v>
      </c>
      <c r="R7" s="17"/>
      <c r="S7" s="17"/>
    </row>
    <row r="8" spans="1:19" x14ac:dyDescent="0.2">
      <c r="A8" s="4">
        <v>1.75</v>
      </c>
      <c r="B8" s="4">
        <v>11</v>
      </c>
      <c r="C8" s="4">
        <v>2</v>
      </c>
      <c r="D8" s="4">
        <v>1</v>
      </c>
      <c r="E8" s="4">
        <v>0</v>
      </c>
      <c r="F8" s="4">
        <v>0</v>
      </c>
      <c r="G8" s="4">
        <v>2</v>
      </c>
      <c r="H8" s="4">
        <v>0</v>
      </c>
      <c r="I8" s="4">
        <v>0</v>
      </c>
      <c r="J8" s="4">
        <v>1</v>
      </c>
      <c r="K8" s="4">
        <v>0</v>
      </c>
      <c r="L8" s="4">
        <v>0</v>
      </c>
      <c r="N8" s="4" t="s">
        <v>50</v>
      </c>
      <c r="O8" s="2" t="s">
        <v>31</v>
      </c>
      <c r="Q8" s="17"/>
      <c r="R8" s="17" t="s">
        <v>68</v>
      </c>
      <c r="S8" s="17"/>
    </row>
    <row r="9" spans="1:19" x14ac:dyDescent="0.2">
      <c r="A9" s="4">
        <v>1.96</v>
      </c>
      <c r="B9" s="4">
        <v>11</v>
      </c>
      <c r="C9" s="4">
        <v>38</v>
      </c>
      <c r="D9" s="4">
        <v>3</v>
      </c>
      <c r="E9" s="4">
        <v>1</v>
      </c>
      <c r="F9" s="4">
        <v>0</v>
      </c>
      <c r="G9" s="4">
        <v>0</v>
      </c>
      <c r="H9" s="4">
        <v>0</v>
      </c>
      <c r="I9" s="4">
        <v>1</v>
      </c>
      <c r="J9" s="4">
        <v>0</v>
      </c>
      <c r="K9" s="4">
        <v>0</v>
      </c>
      <c r="L9" s="4">
        <v>2</v>
      </c>
      <c r="N9" s="4" t="s">
        <v>51</v>
      </c>
      <c r="O9" s="2" t="s">
        <v>32</v>
      </c>
      <c r="Q9" s="17"/>
      <c r="R9" s="17" t="s">
        <v>69</v>
      </c>
      <c r="S9" s="17"/>
    </row>
    <row r="10" spans="1:19" x14ac:dyDescent="0.2">
      <c r="A10" s="4">
        <v>2</v>
      </c>
      <c r="B10" s="4">
        <v>12</v>
      </c>
      <c r="C10" s="4">
        <v>3</v>
      </c>
      <c r="D10" s="4">
        <v>2</v>
      </c>
      <c r="E10" s="4">
        <v>1</v>
      </c>
      <c r="F10" s="4">
        <v>0</v>
      </c>
      <c r="G10" s="4">
        <v>4</v>
      </c>
      <c r="H10" s="4">
        <v>0</v>
      </c>
      <c r="I10" s="4">
        <v>0</v>
      </c>
      <c r="J10" s="4">
        <v>0</v>
      </c>
      <c r="K10" s="4">
        <v>0</v>
      </c>
      <c r="L10" s="4">
        <v>2</v>
      </c>
      <c r="N10" s="4" t="s">
        <v>52</v>
      </c>
      <c r="O10" s="2" t="s">
        <v>33</v>
      </c>
      <c r="Q10" s="17" t="s">
        <v>70</v>
      </c>
      <c r="R10" s="17"/>
      <c r="S10" s="17"/>
    </row>
    <row r="11" spans="1:19" x14ac:dyDescent="0.2">
      <c r="A11" s="4">
        <v>2</v>
      </c>
      <c r="B11" s="4">
        <v>10</v>
      </c>
      <c r="C11" s="4">
        <v>3</v>
      </c>
      <c r="D11" s="4">
        <v>0</v>
      </c>
      <c r="E11" s="4">
        <v>1</v>
      </c>
      <c r="F11" s="4">
        <v>0</v>
      </c>
      <c r="G11" s="4">
        <v>5</v>
      </c>
      <c r="H11" s="4">
        <v>0</v>
      </c>
      <c r="I11" s="4">
        <v>1</v>
      </c>
      <c r="J11" s="4">
        <v>0</v>
      </c>
      <c r="K11" s="4">
        <v>0</v>
      </c>
      <c r="L11" s="4">
        <v>0</v>
      </c>
      <c r="N11" s="4" t="s">
        <v>53</v>
      </c>
      <c r="O11" s="2" t="s">
        <v>37</v>
      </c>
      <c r="Q11" s="17" t="s">
        <v>71</v>
      </c>
      <c r="R11" s="17"/>
      <c r="S11" s="17"/>
    </row>
    <row r="12" spans="1:19" x14ac:dyDescent="0.2">
      <c r="A12" s="4">
        <v>2</v>
      </c>
      <c r="B12" s="4">
        <v>13</v>
      </c>
      <c r="C12" s="4">
        <v>2</v>
      </c>
      <c r="D12" s="4">
        <v>6</v>
      </c>
      <c r="E12" s="4">
        <v>1</v>
      </c>
      <c r="F12" s="4">
        <v>0</v>
      </c>
      <c r="G12" s="4">
        <v>0</v>
      </c>
      <c r="H12" s="4">
        <v>1</v>
      </c>
      <c r="I12" s="4">
        <v>0</v>
      </c>
      <c r="J12" s="4">
        <v>0</v>
      </c>
      <c r="K12" s="4">
        <v>0</v>
      </c>
      <c r="L12" s="4">
        <v>4</v>
      </c>
      <c r="N12" s="4" t="s">
        <v>34</v>
      </c>
      <c r="O12" s="2" t="s">
        <v>38</v>
      </c>
      <c r="Q12" s="17" t="s">
        <v>72</v>
      </c>
      <c r="R12" s="17"/>
      <c r="S12" s="17"/>
    </row>
    <row r="13" spans="1:19" x14ac:dyDescent="0.2">
      <c r="A13" s="4">
        <v>2</v>
      </c>
      <c r="B13" s="4">
        <v>9</v>
      </c>
      <c r="C13" s="4">
        <v>2</v>
      </c>
      <c r="D13" s="4">
        <v>0</v>
      </c>
      <c r="E13" s="4">
        <v>0</v>
      </c>
      <c r="F13" s="4">
        <v>0</v>
      </c>
      <c r="G13" s="4">
        <v>3</v>
      </c>
      <c r="H13" s="4">
        <v>1</v>
      </c>
      <c r="I13" s="4">
        <v>0</v>
      </c>
      <c r="J13" s="4">
        <v>0</v>
      </c>
      <c r="K13" s="4">
        <v>0</v>
      </c>
      <c r="L13" s="4">
        <v>4</v>
      </c>
      <c r="N13" s="4" t="s">
        <v>35</v>
      </c>
      <c r="O13" s="2" t="s">
        <v>36</v>
      </c>
      <c r="Q13" s="17" t="s">
        <v>73</v>
      </c>
      <c r="R13" s="17"/>
      <c r="S13" s="17"/>
    </row>
    <row r="14" spans="1:19" x14ac:dyDescent="0.2">
      <c r="A14" s="4">
        <v>2.14</v>
      </c>
      <c r="B14" s="4">
        <v>13</v>
      </c>
      <c r="C14" s="4">
        <v>34</v>
      </c>
      <c r="D14" s="4">
        <v>15</v>
      </c>
      <c r="E14" s="4">
        <v>1</v>
      </c>
      <c r="F14" s="4">
        <v>1</v>
      </c>
      <c r="G14" s="4">
        <v>0</v>
      </c>
      <c r="H14" s="4">
        <v>0</v>
      </c>
      <c r="I14" s="4">
        <v>1</v>
      </c>
      <c r="J14" s="4">
        <v>0</v>
      </c>
      <c r="K14" s="4">
        <v>0</v>
      </c>
      <c r="L14" s="4">
        <v>1</v>
      </c>
      <c r="N14" s="4" t="s">
        <v>40</v>
      </c>
      <c r="O14" s="2" t="s">
        <v>39</v>
      </c>
      <c r="Q14" s="17" t="s">
        <v>74</v>
      </c>
      <c r="R14" s="17"/>
      <c r="S14" s="17"/>
    </row>
    <row r="15" spans="1:19" x14ac:dyDescent="0.2">
      <c r="A15" s="4">
        <v>2.17</v>
      </c>
      <c r="B15" s="4">
        <v>13</v>
      </c>
      <c r="C15" s="4">
        <v>1</v>
      </c>
      <c r="D15" s="4">
        <v>4</v>
      </c>
      <c r="E15" s="4">
        <v>1</v>
      </c>
      <c r="F15" s="4">
        <v>0</v>
      </c>
      <c r="G15" s="4">
        <v>1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N15" s="4" t="s">
        <v>59</v>
      </c>
      <c r="O15" s="2" t="s">
        <v>60</v>
      </c>
    </row>
    <row r="16" spans="1:19" x14ac:dyDescent="0.2">
      <c r="A16" s="4">
        <v>2.23</v>
      </c>
      <c r="B16" s="4">
        <v>8</v>
      </c>
      <c r="C16" s="4">
        <v>28</v>
      </c>
      <c r="D16" s="4">
        <v>3</v>
      </c>
      <c r="E16" s="4">
        <v>0</v>
      </c>
      <c r="F16" s="4">
        <v>1</v>
      </c>
      <c r="G16" s="4">
        <v>4</v>
      </c>
      <c r="H16" s="4">
        <v>0</v>
      </c>
      <c r="I16" s="4">
        <v>1</v>
      </c>
      <c r="J16" s="4">
        <v>0</v>
      </c>
      <c r="K16" s="4">
        <v>0</v>
      </c>
      <c r="L16" s="4">
        <v>5</v>
      </c>
    </row>
    <row r="17" spans="1:23" x14ac:dyDescent="0.2">
      <c r="A17" s="4">
        <v>2.25</v>
      </c>
      <c r="B17" s="4">
        <v>12</v>
      </c>
      <c r="C17" s="4">
        <v>5</v>
      </c>
      <c r="D17" s="4">
        <v>0</v>
      </c>
      <c r="E17" s="4">
        <v>1</v>
      </c>
      <c r="F17" s="4">
        <v>0</v>
      </c>
      <c r="G17" s="4">
        <v>2</v>
      </c>
      <c r="H17" s="4">
        <v>0</v>
      </c>
      <c r="I17" s="4">
        <v>1</v>
      </c>
      <c r="J17" s="4">
        <v>0</v>
      </c>
      <c r="K17" s="4">
        <v>0</v>
      </c>
      <c r="L17" s="4"/>
      <c r="N17" s="37" t="s">
        <v>78</v>
      </c>
      <c r="O17" s="37"/>
    </row>
    <row r="18" spans="1:23" x14ac:dyDescent="0.2">
      <c r="A18" s="4">
        <v>2.27</v>
      </c>
      <c r="B18" s="4">
        <v>10</v>
      </c>
      <c r="C18" s="4">
        <v>2</v>
      </c>
      <c r="D18" s="4">
        <v>0</v>
      </c>
      <c r="E18" s="4"/>
      <c r="F18" s="4">
        <v>0</v>
      </c>
      <c r="G18" s="4">
        <v>3</v>
      </c>
      <c r="H18" s="4">
        <v>0</v>
      </c>
      <c r="I18" s="4">
        <v>0</v>
      </c>
      <c r="J18" s="4">
        <v>1</v>
      </c>
      <c r="K18" s="4">
        <v>0</v>
      </c>
      <c r="L18" s="4">
        <v>2</v>
      </c>
      <c r="N18" s="2" t="s">
        <v>75</v>
      </c>
      <c r="O18" s="4">
        <f>COUNT(A2:A527)</f>
        <v>526</v>
      </c>
    </row>
    <row r="19" spans="1:23" x14ac:dyDescent="0.2">
      <c r="A19" s="4">
        <v>2.2999999999999998</v>
      </c>
      <c r="B19" s="4">
        <v>10</v>
      </c>
      <c r="C19" s="4">
        <v>2</v>
      </c>
      <c r="D19" s="4">
        <v>0</v>
      </c>
      <c r="E19" s="4">
        <v>1</v>
      </c>
      <c r="F19" s="4">
        <v>0</v>
      </c>
      <c r="G19" s="4">
        <v>4</v>
      </c>
      <c r="H19" s="4">
        <v>1</v>
      </c>
      <c r="I19" s="4">
        <v>0</v>
      </c>
      <c r="J19" s="4">
        <v>0</v>
      </c>
      <c r="K19" s="4">
        <v>0</v>
      </c>
      <c r="L19" s="4">
        <v>4</v>
      </c>
      <c r="N19" s="2" t="s">
        <v>76</v>
      </c>
      <c r="O19" s="4">
        <v>1</v>
      </c>
    </row>
    <row r="20" spans="1:23" x14ac:dyDescent="0.2">
      <c r="A20" s="4">
        <v>2.31</v>
      </c>
      <c r="B20" s="4">
        <v>9</v>
      </c>
      <c r="C20" s="4">
        <v>4</v>
      </c>
      <c r="D20" s="4">
        <v>1</v>
      </c>
      <c r="E20" s="4">
        <v>1</v>
      </c>
      <c r="F20" s="4">
        <v>0</v>
      </c>
      <c r="G20" s="4">
        <v>5</v>
      </c>
      <c r="H20" s="4">
        <v>1</v>
      </c>
      <c r="I20" s="4">
        <v>0</v>
      </c>
      <c r="J20" s="4">
        <v>0</v>
      </c>
      <c r="K20" s="4">
        <v>0</v>
      </c>
      <c r="L20" s="4"/>
      <c r="N20" s="2" t="s">
        <v>77</v>
      </c>
      <c r="O20" s="4">
        <v>11</v>
      </c>
      <c r="P20" s="6"/>
      <c r="Q20" s="6"/>
      <c r="R20" s="6"/>
      <c r="S20" s="6"/>
      <c r="T20" s="6"/>
      <c r="U20" s="6"/>
      <c r="V20" s="6"/>
      <c r="W20" s="6"/>
    </row>
    <row r="21" spans="1:23" x14ac:dyDescent="0.2">
      <c r="A21" s="4">
        <v>2.38</v>
      </c>
      <c r="B21" s="4">
        <v>9</v>
      </c>
      <c r="C21" s="4">
        <v>5</v>
      </c>
      <c r="D21" s="4">
        <v>0</v>
      </c>
      <c r="E21" s="4">
        <v>0</v>
      </c>
      <c r="F21" s="4">
        <v>0</v>
      </c>
      <c r="G21" s="4">
        <v>5</v>
      </c>
      <c r="H21" s="4">
        <v>0</v>
      </c>
      <c r="I21" s="4">
        <v>1</v>
      </c>
      <c r="J21" s="4">
        <v>0</v>
      </c>
      <c r="K21" s="4">
        <v>0</v>
      </c>
      <c r="L21" s="4"/>
      <c r="P21" s="6"/>
      <c r="Q21" s="6"/>
      <c r="R21" s="6"/>
      <c r="S21" s="6"/>
      <c r="T21" s="6"/>
      <c r="U21" s="6"/>
      <c r="V21" s="6"/>
      <c r="W21" s="6"/>
    </row>
    <row r="22" spans="1:23" x14ac:dyDescent="0.2">
      <c r="A22" s="4">
        <v>2.5</v>
      </c>
      <c r="B22" s="4"/>
      <c r="C22" s="4">
        <v>2</v>
      </c>
      <c r="D22" s="4">
        <v>0</v>
      </c>
      <c r="E22" s="4">
        <v>0</v>
      </c>
      <c r="F22" s="4">
        <v>0</v>
      </c>
      <c r="G22" s="4">
        <v>2</v>
      </c>
      <c r="H22" s="4">
        <v>0</v>
      </c>
      <c r="I22" s="4">
        <v>0</v>
      </c>
      <c r="J22" s="4">
        <v>0</v>
      </c>
      <c r="K22" s="4">
        <v>0</v>
      </c>
      <c r="L22" s="4"/>
      <c r="P22" s="6"/>
      <c r="Q22" s="6"/>
      <c r="R22" s="6"/>
      <c r="S22" s="6"/>
      <c r="T22" s="6"/>
      <c r="U22" s="6"/>
      <c r="V22" s="6"/>
      <c r="W22" s="6"/>
    </row>
    <row r="23" spans="1:23" x14ac:dyDescent="0.2">
      <c r="A23" s="4">
        <v>2.5299999999999998</v>
      </c>
      <c r="B23" s="4">
        <v>12</v>
      </c>
      <c r="C23" s="4">
        <v>46</v>
      </c>
      <c r="D23" s="4">
        <v>0</v>
      </c>
      <c r="E23" s="4">
        <v>1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/>
      <c r="P23" s="6"/>
      <c r="Q23" s="6"/>
      <c r="R23" s="6"/>
      <c r="S23" s="6"/>
      <c r="T23" s="6"/>
      <c r="U23" s="6"/>
      <c r="V23" s="6"/>
      <c r="W23" s="6"/>
    </row>
    <row r="24" spans="1:23" x14ac:dyDescent="0.2">
      <c r="A24" s="4">
        <v>2.54</v>
      </c>
      <c r="B24" s="4">
        <v>9</v>
      </c>
      <c r="C24" s="4">
        <v>2</v>
      </c>
      <c r="D24" s="4">
        <v>0</v>
      </c>
      <c r="E24" s="4">
        <v>1</v>
      </c>
      <c r="F24" s="4">
        <v>0</v>
      </c>
      <c r="G24" s="4">
        <v>1</v>
      </c>
      <c r="H24" s="4">
        <v>0</v>
      </c>
      <c r="I24" s="4">
        <v>1</v>
      </c>
      <c r="J24" s="4">
        <v>0</v>
      </c>
      <c r="K24" s="4">
        <v>0</v>
      </c>
      <c r="L24" s="4"/>
      <c r="P24" s="6"/>
      <c r="Q24" s="6"/>
      <c r="R24" s="6"/>
      <c r="S24" s="6"/>
      <c r="T24" s="6"/>
      <c r="U24" s="6"/>
      <c r="V24" s="6"/>
      <c r="W24" s="6"/>
    </row>
    <row r="25" spans="1:23" x14ac:dyDescent="0.2">
      <c r="A25" s="4">
        <v>2.6</v>
      </c>
      <c r="B25" s="4">
        <v>9</v>
      </c>
      <c r="C25" s="4">
        <v>4</v>
      </c>
      <c r="D25" s="4">
        <v>0</v>
      </c>
      <c r="E25" s="4"/>
      <c r="F25" s="4">
        <v>0</v>
      </c>
      <c r="G25" s="4">
        <v>1</v>
      </c>
      <c r="H25" s="4">
        <v>0</v>
      </c>
      <c r="I25" s="4">
        <v>0</v>
      </c>
      <c r="J25" s="4">
        <v>1</v>
      </c>
      <c r="K25" s="4">
        <v>0</v>
      </c>
      <c r="L25" s="4">
        <v>4</v>
      </c>
    </row>
    <row r="26" spans="1:23" x14ac:dyDescent="0.2">
      <c r="A26" s="4">
        <v>2.65</v>
      </c>
      <c r="B26" s="4">
        <v>12</v>
      </c>
      <c r="C26" s="4">
        <v>42</v>
      </c>
      <c r="D26" s="4">
        <v>10</v>
      </c>
      <c r="E26" s="4">
        <v>1</v>
      </c>
      <c r="F26" s="4">
        <v>1</v>
      </c>
      <c r="G26" s="4">
        <v>0</v>
      </c>
      <c r="H26" s="4">
        <v>0</v>
      </c>
      <c r="I26" s="4">
        <v>0</v>
      </c>
      <c r="J26" s="4">
        <v>1</v>
      </c>
      <c r="K26" s="4">
        <v>0</v>
      </c>
      <c r="L26" s="4">
        <v>5</v>
      </c>
    </row>
    <row r="27" spans="1:23" x14ac:dyDescent="0.2">
      <c r="A27" s="4">
        <v>2.7</v>
      </c>
      <c r="B27" s="4">
        <v>9</v>
      </c>
      <c r="C27" s="4">
        <v>2</v>
      </c>
      <c r="D27" s="4">
        <v>0</v>
      </c>
      <c r="E27" s="4">
        <v>1</v>
      </c>
      <c r="F27" s="4">
        <v>0</v>
      </c>
      <c r="G27" s="4">
        <v>1</v>
      </c>
      <c r="H27" s="4">
        <v>1</v>
      </c>
      <c r="I27" s="4">
        <v>0</v>
      </c>
      <c r="J27" s="4">
        <v>0</v>
      </c>
      <c r="K27" s="4">
        <v>0</v>
      </c>
      <c r="L27" s="4">
        <v>1</v>
      </c>
      <c r="P27" s="7"/>
      <c r="Q27" s="7"/>
      <c r="R27" s="7"/>
      <c r="S27" s="7"/>
      <c r="T27" s="7"/>
      <c r="U27" s="7"/>
      <c r="V27" s="7"/>
      <c r="W27" s="7"/>
    </row>
    <row r="28" spans="1:23" x14ac:dyDescent="0.2">
      <c r="A28" s="4">
        <v>2.75</v>
      </c>
      <c r="B28" s="4">
        <v>13</v>
      </c>
      <c r="C28" s="4">
        <v>1</v>
      </c>
      <c r="D28" s="4">
        <v>2</v>
      </c>
      <c r="E28" s="4">
        <v>1</v>
      </c>
      <c r="F28" s="4">
        <v>0</v>
      </c>
      <c r="G28" s="4">
        <v>1</v>
      </c>
      <c r="H28" s="4">
        <v>1</v>
      </c>
      <c r="I28" s="4">
        <v>0</v>
      </c>
      <c r="J28" s="4">
        <v>0</v>
      </c>
      <c r="K28" s="4">
        <v>0</v>
      </c>
      <c r="L28" s="4">
        <v>0</v>
      </c>
    </row>
    <row r="29" spans="1:23" x14ac:dyDescent="0.2">
      <c r="A29" s="4">
        <v>2.83</v>
      </c>
      <c r="B29" s="4">
        <v>10</v>
      </c>
      <c r="C29" s="4">
        <v>1</v>
      </c>
      <c r="D29" s="4">
        <v>0</v>
      </c>
      <c r="E29" s="4"/>
      <c r="F29" s="4">
        <v>0</v>
      </c>
      <c r="G29" s="4">
        <v>4</v>
      </c>
      <c r="H29" s="4">
        <v>1</v>
      </c>
      <c r="I29" s="4">
        <v>0</v>
      </c>
      <c r="J29" s="4">
        <v>0</v>
      </c>
      <c r="K29" s="4">
        <v>0</v>
      </c>
      <c r="L29" s="4">
        <v>2</v>
      </c>
    </row>
    <row r="30" spans="1:23" x14ac:dyDescent="0.2">
      <c r="A30" s="4">
        <v>2.87</v>
      </c>
      <c r="B30" s="4">
        <v>12</v>
      </c>
      <c r="C30" s="4">
        <v>45</v>
      </c>
      <c r="D30" s="4">
        <v>8</v>
      </c>
      <c r="E30" s="4">
        <v>1</v>
      </c>
      <c r="F30" s="4">
        <v>1</v>
      </c>
      <c r="G30" s="4">
        <v>0</v>
      </c>
      <c r="H30" s="4">
        <v>1</v>
      </c>
      <c r="I30" s="4">
        <v>0</v>
      </c>
      <c r="J30" s="4">
        <v>0</v>
      </c>
      <c r="K30" s="4">
        <v>0</v>
      </c>
      <c r="L30" s="4">
        <v>5</v>
      </c>
    </row>
    <row r="31" spans="1:23" x14ac:dyDescent="0.2">
      <c r="A31" s="4">
        <v>2.88</v>
      </c>
      <c r="B31" s="4">
        <v>10</v>
      </c>
      <c r="C31" s="4">
        <v>2</v>
      </c>
      <c r="D31" s="4">
        <v>0</v>
      </c>
      <c r="E31" s="4">
        <v>1</v>
      </c>
      <c r="F31" s="4">
        <v>0</v>
      </c>
      <c r="G31" s="4">
        <v>3</v>
      </c>
      <c r="H31" s="4">
        <v>0</v>
      </c>
      <c r="I31" s="4">
        <v>0</v>
      </c>
      <c r="J31" s="4">
        <v>0</v>
      </c>
      <c r="K31" s="4">
        <v>0</v>
      </c>
      <c r="L31" s="4"/>
      <c r="P31" s="5"/>
      <c r="Q31" s="5"/>
      <c r="R31" s="5"/>
      <c r="S31" s="5"/>
      <c r="T31" s="5"/>
      <c r="U31" s="5"/>
      <c r="V31" s="5"/>
      <c r="W31" s="5"/>
    </row>
    <row r="32" spans="1:23" x14ac:dyDescent="0.2">
      <c r="A32" s="4">
        <v>2.89</v>
      </c>
      <c r="B32" s="4">
        <v>10</v>
      </c>
      <c r="C32" s="4">
        <v>8</v>
      </c>
      <c r="D32" s="4">
        <v>0</v>
      </c>
      <c r="E32" s="4">
        <v>1</v>
      </c>
      <c r="F32" s="4">
        <v>0</v>
      </c>
      <c r="G32" s="4">
        <v>1</v>
      </c>
      <c r="H32" s="4">
        <v>0</v>
      </c>
      <c r="I32" s="4">
        <v>0</v>
      </c>
      <c r="J32" s="4">
        <v>0</v>
      </c>
      <c r="K32" s="4">
        <v>0</v>
      </c>
      <c r="L32" s="4">
        <v>2</v>
      </c>
      <c r="P32" s="8"/>
      <c r="Q32" s="8"/>
      <c r="R32" s="8"/>
      <c r="S32" s="8"/>
      <c r="T32" s="8"/>
      <c r="U32" s="8"/>
      <c r="V32" s="8"/>
      <c r="W32" s="8"/>
    </row>
    <row r="33" spans="1:16" x14ac:dyDescent="0.2">
      <c r="A33" s="4">
        <v>2.89</v>
      </c>
      <c r="B33" s="4">
        <v>0</v>
      </c>
      <c r="C33" s="4">
        <v>42</v>
      </c>
      <c r="D33" s="4">
        <v>0</v>
      </c>
      <c r="E33" s="4">
        <v>1</v>
      </c>
      <c r="F33" s="4">
        <v>1</v>
      </c>
      <c r="G33" s="4">
        <v>2</v>
      </c>
      <c r="H33" s="4">
        <v>0</v>
      </c>
      <c r="I33" s="4">
        <v>0</v>
      </c>
      <c r="J33" s="4">
        <v>1</v>
      </c>
      <c r="K33" s="4">
        <v>0</v>
      </c>
      <c r="L33" s="4"/>
      <c r="P33" s="5"/>
    </row>
    <row r="34" spans="1:16" x14ac:dyDescent="0.2">
      <c r="A34" s="4">
        <v>2.9</v>
      </c>
      <c r="B34" s="4">
        <v>12</v>
      </c>
      <c r="C34" s="4">
        <v>15</v>
      </c>
      <c r="D34" s="4">
        <v>1</v>
      </c>
      <c r="E34" s="4">
        <v>1</v>
      </c>
      <c r="F34" s="4">
        <v>1</v>
      </c>
      <c r="G34" s="4">
        <v>2</v>
      </c>
      <c r="H34" s="4">
        <v>0</v>
      </c>
      <c r="I34" s="4">
        <v>0</v>
      </c>
      <c r="J34" s="4">
        <v>1</v>
      </c>
      <c r="K34" s="4">
        <v>0</v>
      </c>
      <c r="L34" s="4"/>
    </row>
    <row r="35" spans="1:16" x14ac:dyDescent="0.2">
      <c r="A35" s="4">
        <v>2.9</v>
      </c>
      <c r="B35" s="4">
        <v>10</v>
      </c>
      <c r="C35" s="4">
        <v>4</v>
      </c>
      <c r="D35" s="4">
        <v>0</v>
      </c>
      <c r="E35" s="4">
        <v>1</v>
      </c>
      <c r="F35" s="4">
        <v>0</v>
      </c>
      <c r="G35" s="4">
        <v>1</v>
      </c>
      <c r="H35" s="4">
        <v>0</v>
      </c>
      <c r="I35" s="4">
        <v>0</v>
      </c>
      <c r="J35" s="4">
        <v>0</v>
      </c>
      <c r="K35" s="4">
        <v>0</v>
      </c>
      <c r="L35" s="4"/>
    </row>
    <row r="36" spans="1:16" x14ac:dyDescent="0.2">
      <c r="A36" s="4">
        <v>2.9</v>
      </c>
      <c r="B36" s="4">
        <v>10</v>
      </c>
      <c r="C36" s="4">
        <v>23</v>
      </c>
      <c r="D36" s="4">
        <v>2</v>
      </c>
      <c r="E36" s="4">
        <v>1</v>
      </c>
      <c r="F36" s="4">
        <v>0</v>
      </c>
      <c r="G36" s="4">
        <v>2</v>
      </c>
      <c r="H36" s="4">
        <v>0</v>
      </c>
      <c r="I36" s="4">
        <v>1</v>
      </c>
      <c r="J36" s="4">
        <v>0</v>
      </c>
      <c r="K36" s="4">
        <v>0</v>
      </c>
      <c r="L36" s="4"/>
    </row>
    <row r="37" spans="1:16" x14ac:dyDescent="0.2">
      <c r="A37" s="4">
        <v>2.9</v>
      </c>
      <c r="B37" s="4">
        <v>11</v>
      </c>
      <c r="C37" s="4">
        <v>6</v>
      </c>
      <c r="D37" s="4">
        <v>0</v>
      </c>
      <c r="E37" s="4">
        <v>1</v>
      </c>
      <c r="F37" s="4">
        <v>0</v>
      </c>
      <c r="G37" s="4">
        <v>1</v>
      </c>
      <c r="H37" s="4">
        <v>0</v>
      </c>
      <c r="I37" s="4">
        <v>1</v>
      </c>
      <c r="J37" s="4">
        <v>0</v>
      </c>
      <c r="K37" s="4">
        <v>0</v>
      </c>
      <c r="L37" s="4"/>
    </row>
    <row r="38" spans="1:16" x14ac:dyDescent="0.2">
      <c r="A38" s="4">
        <v>2.9</v>
      </c>
      <c r="B38" s="4">
        <v>8</v>
      </c>
      <c r="C38" s="4">
        <v>49</v>
      </c>
      <c r="D38" s="4">
        <v>6</v>
      </c>
      <c r="E38" s="4">
        <v>1</v>
      </c>
      <c r="F38" s="4">
        <v>0</v>
      </c>
      <c r="G38" s="4">
        <v>1</v>
      </c>
      <c r="H38" s="4">
        <v>0</v>
      </c>
      <c r="I38" s="4">
        <v>0</v>
      </c>
      <c r="J38" s="4">
        <v>0</v>
      </c>
      <c r="K38" s="4">
        <v>0</v>
      </c>
      <c r="L38" s="4">
        <v>3</v>
      </c>
    </row>
    <row r="39" spans="1:16" x14ac:dyDescent="0.2">
      <c r="A39" s="4">
        <v>2.9</v>
      </c>
      <c r="B39" s="4">
        <v>6</v>
      </c>
      <c r="C39" s="4">
        <v>49</v>
      </c>
      <c r="D39" s="4">
        <v>7</v>
      </c>
      <c r="E39" s="4">
        <v>0</v>
      </c>
      <c r="F39" s="4">
        <v>1</v>
      </c>
      <c r="G39" s="4">
        <v>0</v>
      </c>
      <c r="H39" s="4">
        <v>0</v>
      </c>
      <c r="I39" s="4">
        <v>1</v>
      </c>
      <c r="J39" s="4">
        <v>0</v>
      </c>
      <c r="K39" s="4">
        <v>0</v>
      </c>
      <c r="L39" s="4">
        <v>1</v>
      </c>
    </row>
    <row r="40" spans="1:16" x14ac:dyDescent="0.2">
      <c r="A40" s="4">
        <v>2.9</v>
      </c>
      <c r="B40" s="4">
        <v>12</v>
      </c>
      <c r="C40" s="4">
        <v>17</v>
      </c>
      <c r="D40" s="4">
        <v>1</v>
      </c>
      <c r="E40" s="4">
        <v>1</v>
      </c>
      <c r="F40" s="4">
        <v>1</v>
      </c>
      <c r="G40" s="4">
        <v>2</v>
      </c>
      <c r="H40" s="4">
        <v>1</v>
      </c>
      <c r="I40" s="4">
        <v>0</v>
      </c>
      <c r="J40" s="4">
        <v>0</v>
      </c>
      <c r="K40" s="4">
        <v>0</v>
      </c>
      <c r="L40" s="4">
        <v>2</v>
      </c>
    </row>
    <row r="41" spans="1:16" x14ac:dyDescent="0.2">
      <c r="A41" s="4">
        <v>2.9</v>
      </c>
      <c r="B41" s="4">
        <v>11</v>
      </c>
      <c r="C41" s="4">
        <v>1</v>
      </c>
      <c r="D41" s="4">
        <v>2</v>
      </c>
      <c r="E41" s="4">
        <v>0</v>
      </c>
      <c r="F41" s="4">
        <v>0</v>
      </c>
      <c r="G41" s="4">
        <v>2</v>
      </c>
      <c r="H41" s="4">
        <v>0</v>
      </c>
      <c r="I41" s="4">
        <v>1</v>
      </c>
      <c r="J41" s="4">
        <v>0</v>
      </c>
      <c r="K41" s="4">
        <v>0</v>
      </c>
      <c r="L41" s="4">
        <v>4</v>
      </c>
    </row>
    <row r="42" spans="1:16" x14ac:dyDescent="0.2">
      <c r="A42" s="4">
        <v>2.9</v>
      </c>
      <c r="B42" s="4">
        <v>10</v>
      </c>
      <c r="C42" s="4">
        <v>18</v>
      </c>
      <c r="D42" s="4">
        <v>0</v>
      </c>
      <c r="E42" s="4">
        <v>1</v>
      </c>
      <c r="F42" s="4">
        <v>1</v>
      </c>
      <c r="G42" s="4">
        <v>2</v>
      </c>
      <c r="H42" s="4">
        <v>0</v>
      </c>
      <c r="I42" s="4">
        <v>1</v>
      </c>
      <c r="J42" s="4">
        <v>0</v>
      </c>
      <c r="K42" s="4">
        <v>0</v>
      </c>
      <c r="L42" s="4"/>
    </row>
    <row r="43" spans="1:16" x14ac:dyDescent="0.2">
      <c r="A43" s="4">
        <v>2.9</v>
      </c>
      <c r="B43" s="4">
        <v>11</v>
      </c>
      <c r="C43" s="4">
        <v>2</v>
      </c>
      <c r="D43" s="4">
        <v>0</v>
      </c>
      <c r="E43" s="4">
        <v>1</v>
      </c>
      <c r="F43" s="4">
        <v>0</v>
      </c>
      <c r="G43" s="4">
        <v>2</v>
      </c>
      <c r="H43" s="4">
        <v>0</v>
      </c>
      <c r="I43" s="4">
        <v>1</v>
      </c>
      <c r="J43" s="4">
        <v>0</v>
      </c>
      <c r="K43" s="4">
        <v>0</v>
      </c>
      <c r="L43" s="4"/>
    </row>
    <row r="44" spans="1:16" x14ac:dyDescent="0.2">
      <c r="A44" s="4">
        <v>2.9</v>
      </c>
      <c r="B44" s="4">
        <v>12</v>
      </c>
      <c r="C44" s="4">
        <v>37</v>
      </c>
      <c r="D44" s="4">
        <v>0</v>
      </c>
      <c r="E44" s="4">
        <v>1</v>
      </c>
      <c r="F44" s="4">
        <v>1</v>
      </c>
      <c r="G44" s="4">
        <v>0</v>
      </c>
      <c r="H44" s="4">
        <v>0</v>
      </c>
      <c r="I44" s="4">
        <v>1</v>
      </c>
      <c r="J44" s="4">
        <v>0</v>
      </c>
      <c r="K44" s="4">
        <v>0</v>
      </c>
      <c r="L44" s="4"/>
    </row>
    <row r="45" spans="1:16" x14ac:dyDescent="0.2">
      <c r="A45" s="4">
        <v>2.9</v>
      </c>
      <c r="B45" s="4">
        <v>11</v>
      </c>
      <c r="C45" s="4">
        <v>1</v>
      </c>
      <c r="D45" s="4">
        <v>0</v>
      </c>
      <c r="E45" s="4">
        <v>1</v>
      </c>
      <c r="F45" s="4">
        <v>0</v>
      </c>
      <c r="G45" s="4">
        <v>1</v>
      </c>
      <c r="H45" s="4">
        <v>1</v>
      </c>
      <c r="I45" s="4">
        <v>0</v>
      </c>
      <c r="J45" s="4">
        <v>0</v>
      </c>
      <c r="K45" s="4">
        <v>0</v>
      </c>
      <c r="L45" s="4"/>
    </row>
    <row r="46" spans="1:16" x14ac:dyDescent="0.2">
      <c r="A46" s="4">
        <v>2.9</v>
      </c>
      <c r="B46" s="4">
        <v>12</v>
      </c>
      <c r="C46" s="4">
        <v>39</v>
      </c>
      <c r="D46" s="4">
        <v>1</v>
      </c>
      <c r="E46" s="4">
        <v>1</v>
      </c>
      <c r="F46" s="4">
        <v>1</v>
      </c>
      <c r="G46" s="4">
        <v>0</v>
      </c>
      <c r="H46" s="4">
        <v>0</v>
      </c>
      <c r="I46" s="4">
        <v>1</v>
      </c>
      <c r="J46" s="4">
        <v>0</v>
      </c>
      <c r="K46" s="4">
        <v>0</v>
      </c>
      <c r="L46" s="4">
        <v>5</v>
      </c>
    </row>
    <row r="47" spans="1:16" x14ac:dyDescent="0.2">
      <c r="A47" s="4">
        <v>2.9</v>
      </c>
      <c r="B47" s="4">
        <v>12</v>
      </c>
      <c r="C47" s="4">
        <v>26</v>
      </c>
      <c r="D47" s="4">
        <v>1</v>
      </c>
      <c r="E47" s="4">
        <v>1</v>
      </c>
      <c r="F47" s="4">
        <v>0</v>
      </c>
      <c r="G47" s="4">
        <v>4</v>
      </c>
      <c r="H47" s="4">
        <v>0</v>
      </c>
      <c r="I47" s="4">
        <v>1</v>
      </c>
      <c r="J47" s="4">
        <v>0</v>
      </c>
      <c r="K47" s="4">
        <v>0</v>
      </c>
      <c r="L47" s="4">
        <v>4</v>
      </c>
    </row>
    <row r="48" spans="1:16" x14ac:dyDescent="0.2">
      <c r="A48" s="4">
        <v>2.9</v>
      </c>
      <c r="B48" s="4">
        <v>12</v>
      </c>
      <c r="C48" s="4">
        <v>2</v>
      </c>
      <c r="D48" s="4">
        <v>2</v>
      </c>
      <c r="E48" s="4">
        <v>1</v>
      </c>
      <c r="F48" s="4">
        <v>0</v>
      </c>
      <c r="G48" s="4">
        <v>0</v>
      </c>
      <c r="H48" s="4">
        <v>0</v>
      </c>
      <c r="I48" s="4">
        <v>0</v>
      </c>
      <c r="J48" s="4">
        <v>1</v>
      </c>
      <c r="K48" s="4">
        <v>0</v>
      </c>
      <c r="L48" s="4">
        <v>3</v>
      </c>
    </row>
    <row r="49" spans="1:12" x14ac:dyDescent="0.2">
      <c r="A49" s="4">
        <v>2.9</v>
      </c>
      <c r="B49" s="4">
        <v>5</v>
      </c>
      <c r="C49" s="4">
        <v>34</v>
      </c>
      <c r="D49" s="4">
        <v>0</v>
      </c>
      <c r="E49" s="4">
        <v>1</v>
      </c>
      <c r="F49" s="4">
        <v>1</v>
      </c>
      <c r="G49" s="4">
        <v>5</v>
      </c>
      <c r="H49" s="4">
        <v>0</v>
      </c>
      <c r="I49" s="4">
        <v>0</v>
      </c>
      <c r="J49" s="4">
        <v>1</v>
      </c>
      <c r="K49" s="4">
        <v>0</v>
      </c>
      <c r="L49" s="4">
        <v>5</v>
      </c>
    </row>
    <row r="50" spans="1:12" x14ac:dyDescent="0.2">
      <c r="A50" s="4">
        <v>2.91</v>
      </c>
      <c r="B50" s="4">
        <v>12</v>
      </c>
      <c r="C50" s="4">
        <v>20</v>
      </c>
      <c r="D50" s="4">
        <v>34</v>
      </c>
      <c r="E50" s="4">
        <v>1</v>
      </c>
      <c r="F50" s="4">
        <v>1</v>
      </c>
      <c r="G50" s="4">
        <v>2</v>
      </c>
      <c r="H50" s="4">
        <v>0</v>
      </c>
      <c r="I50" s="4">
        <v>0</v>
      </c>
      <c r="J50" s="4">
        <v>0</v>
      </c>
      <c r="K50" s="4">
        <v>0</v>
      </c>
      <c r="L50" s="4"/>
    </row>
    <row r="51" spans="1:12" x14ac:dyDescent="0.2">
      <c r="A51" s="4">
        <v>2.91</v>
      </c>
      <c r="B51" s="4">
        <v>11</v>
      </c>
      <c r="C51" s="4">
        <v>1</v>
      </c>
      <c r="D51" s="4">
        <v>0</v>
      </c>
      <c r="E51" s="4">
        <v>1</v>
      </c>
      <c r="F51" s="4">
        <v>0</v>
      </c>
      <c r="G51" s="4">
        <v>3</v>
      </c>
      <c r="H51" s="4">
        <v>1</v>
      </c>
      <c r="I51" s="4">
        <v>0</v>
      </c>
      <c r="J51" s="4">
        <v>0</v>
      </c>
      <c r="K51" s="4">
        <v>0</v>
      </c>
      <c r="L51" s="4"/>
    </row>
    <row r="52" spans="1:12" x14ac:dyDescent="0.2">
      <c r="A52" s="4">
        <v>2.91</v>
      </c>
      <c r="B52" s="4">
        <v>12</v>
      </c>
      <c r="C52" s="4">
        <v>4</v>
      </c>
      <c r="D52" s="4">
        <v>0</v>
      </c>
      <c r="E52" s="4">
        <v>0</v>
      </c>
      <c r="F52" s="4">
        <v>1</v>
      </c>
      <c r="G52" s="4">
        <v>0</v>
      </c>
      <c r="H52" s="4">
        <v>0</v>
      </c>
      <c r="I52" s="4">
        <v>1</v>
      </c>
      <c r="J52" s="4">
        <v>0</v>
      </c>
      <c r="K52" s="4">
        <v>0</v>
      </c>
      <c r="L52" s="4">
        <v>3</v>
      </c>
    </row>
    <row r="53" spans="1:12" x14ac:dyDescent="0.2">
      <c r="A53" s="4">
        <v>2.91</v>
      </c>
      <c r="B53" s="4">
        <v>11</v>
      </c>
      <c r="C53" s="4">
        <v>2</v>
      </c>
      <c r="D53" s="4">
        <v>2</v>
      </c>
      <c r="E53" s="4">
        <v>0</v>
      </c>
      <c r="F53" s="4">
        <v>0</v>
      </c>
      <c r="G53" s="4">
        <v>2</v>
      </c>
      <c r="H53" s="4">
        <v>1</v>
      </c>
      <c r="I53" s="4">
        <v>0</v>
      </c>
      <c r="J53" s="4">
        <v>0</v>
      </c>
      <c r="K53" s="4">
        <v>0</v>
      </c>
      <c r="L53" s="4">
        <v>2</v>
      </c>
    </row>
    <row r="54" spans="1:12" x14ac:dyDescent="0.2">
      <c r="A54" s="4">
        <v>2.92</v>
      </c>
      <c r="B54" s="4">
        <v>12</v>
      </c>
      <c r="C54" s="4">
        <v>4</v>
      </c>
      <c r="D54" s="4">
        <v>0</v>
      </c>
      <c r="E54" s="4">
        <v>1</v>
      </c>
      <c r="F54" s="4">
        <v>0</v>
      </c>
      <c r="G54" s="4">
        <v>1</v>
      </c>
      <c r="H54" s="4">
        <v>0</v>
      </c>
      <c r="I54" s="4">
        <v>1</v>
      </c>
      <c r="J54" s="4">
        <v>0</v>
      </c>
      <c r="K54" s="4">
        <v>0</v>
      </c>
      <c r="L54" s="4"/>
    </row>
    <row r="55" spans="1:12" x14ac:dyDescent="0.2">
      <c r="A55" s="4">
        <v>2.92</v>
      </c>
      <c r="B55" s="4">
        <v>14</v>
      </c>
      <c r="C55" s="4">
        <v>1</v>
      </c>
      <c r="D55" s="4">
        <v>3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/>
    </row>
    <row r="56" spans="1:12" x14ac:dyDescent="0.2">
      <c r="A56" s="4">
        <v>2.92</v>
      </c>
      <c r="B56" s="4">
        <v>11</v>
      </c>
      <c r="C56" s="4">
        <v>1</v>
      </c>
      <c r="D56" s="4">
        <v>0</v>
      </c>
      <c r="E56" s="4">
        <v>1</v>
      </c>
      <c r="F56" s="4">
        <v>0</v>
      </c>
      <c r="G56" s="4">
        <v>1</v>
      </c>
      <c r="H56" s="4">
        <v>1</v>
      </c>
      <c r="I56" s="4">
        <v>0</v>
      </c>
      <c r="J56" s="4">
        <v>0</v>
      </c>
      <c r="K56" s="4">
        <v>0</v>
      </c>
      <c r="L56" s="4">
        <v>2</v>
      </c>
    </row>
    <row r="57" spans="1:12" x14ac:dyDescent="0.2">
      <c r="A57" s="4">
        <v>2.92</v>
      </c>
      <c r="B57" s="4">
        <v>9</v>
      </c>
      <c r="C57" s="4">
        <v>49</v>
      </c>
      <c r="D57" s="4">
        <v>0</v>
      </c>
      <c r="E57" s="4">
        <v>1</v>
      </c>
      <c r="F57" s="4">
        <v>0</v>
      </c>
      <c r="G57" s="4">
        <v>0</v>
      </c>
      <c r="H57" s="4">
        <v>0</v>
      </c>
      <c r="I57" s="4">
        <v>1</v>
      </c>
      <c r="J57" s="4">
        <v>0</v>
      </c>
      <c r="K57" s="4">
        <v>0</v>
      </c>
      <c r="L57" s="4">
        <v>2</v>
      </c>
    </row>
    <row r="58" spans="1:12" x14ac:dyDescent="0.2">
      <c r="A58" s="4">
        <v>2.92</v>
      </c>
      <c r="B58" s="4">
        <v>3</v>
      </c>
      <c r="C58" s="4">
        <v>11</v>
      </c>
      <c r="D58" s="4">
        <v>30</v>
      </c>
      <c r="E58" s="4">
        <v>0</v>
      </c>
      <c r="F58" s="4">
        <v>0</v>
      </c>
      <c r="G58" s="4">
        <v>0</v>
      </c>
      <c r="H58" s="4">
        <v>0</v>
      </c>
      <c r="I58" s="4">
        <v>1</v>
      </c>
      <c r="J58" s="4">
        <v>0</v>
      </c>
      <c r="K58" s="4">
        <v>0</v>
      </c>
      <c r="L58" s="4">
        <v>3</v>
      </c>
    </row>
    <row r="59" spans="1:12" x14ac:dyDescent="0.2">
      <c r="A59" s="4">
        <v>2.93</v>
      </c>
      <c r="B59" s="4">
        <v>12</v>
      </c>
      <c r="C59" s="4">
        <v>36</v>
      </c>
      <c r="D59" s="4">
        <v>2</v>
      </c>
      <c r="E59" s="4">
        <v>1</v>
      </c>
      <c r="F59" s="4">
        <v>1</v>
      </c>
      <c r="G59" s="4">
        <v>1</v>
      </c>
      <c r="H59" s="4">
        <v>0</v>
      </c>
      <c r="I59" s="4">
        <v>0</v>
      </c>
      <c r="J59" s="4">
        <v>1</v>
      </c>
      <c r="K59" s="4">
        <v>0</v>
      </c>
      <c r="L59" s="4">
        <v>4</v>
      </c>
    </row>
    <row r="60" spans="1:12" x14ac:dyDescent="0.2">
      <c r="A60" s="4">
        <v>2.95</v>
      </c>
      <c r="B60" s="4">
        <v>8</v>
      </c>
      <c r="C60" s="4">
        <v>15</v>
      </c>
      <c r="D60" s="4">
        <v>2</v>
      </c>
      <c r="E60" s="4">
        <v>1</v>
      </c>
      <c r="F60" s="4">
        <v>1</v>
      </c>
      <c r="G60" s="4">
        <v>1</v>
      </c>
      <c r="H60" s="4">
        <v>0</v>
      </c>
      <c r="I60" s="4">
        <v>0</v>
      </c>
      <c r="J60" s="4">
        <v>0</v>
      </c>
      <c r="K60" s="4">
        <v>0</v>
      </c>
      <c r="L60" s="4">
        <v>5</v>
      </c>
    </row>
    <row r="61" spans="1:12" x14ac:dyDescent="0.2">
      <c r="A61" s="4">
        <v>2.95</v>
      </c>
      <c r="B61" s="4">
        <v>14</v>
      </c>
      <c r="C61" s="4">
        <v>41</v>
      </c>
      <c r="D61" s="4">
        <v>23</v>
      </c>
      <c r="E61" s="4">
        <v>0</v>
      </c>
      <c r="F61" s="4">
        <v>1</v>
      </c>
      <c r="G61" s="4">
        <v>0</v>
      </c>
      <c r="H61" s="4">
        <v>1</v>
      </c>
      <c r="I61" s="4">
        <v>0</v>
      </c>
      <c r="J61" s="4">
        <v>0</v>
      </c>
      <c r="K61" s="4">
        <v>0</v>
      </c>
      <c r="L61" s="4">
        <v>1</v>
      </c>
    </row>
    <row r="62" spans="1:12" x14ac:dyDescent="0.2">
      <c r="A62" s="4">
        <v>2.95</v>
      </c>
      <c r="B62" s="4">
        <v>12</v>
      </c>
      <c r="C62" s="4">
        <v>3</v>
      </c>
      <c r="D62" s="4">
        <v>1</v>
      </c>
      <c r="E62" s="4">
        <v>0</v>
      </c>
      <c r="F62" s="4">
        <v>0</v>
      </c>
      <c r="G62" s="4">
        <v>1</v>
      </c>
      <c r="H62" s="4">
        <v>1</v>
      </c>
      <c r="I62" s="4">
        <v>0</v>
      </c>
      <c r="J62" s="4">
        <v>0</v>
      </c>
      <c r="K62" s="4">
        <v>0</v>
      </c>
      <c r="L62" s="4">
        <v>0</v>
      </c>
    </row>
    <row r="63" spans="1:12" x14ac:dyDescent="0.2">
      <c r="A63" s="4">
        <v>3</v>
      </c>
      <c r="B63" s="4">
        <v>11</v>
      </c>
      <c r="C63" s="4">
        <v>2</v>
      </c>
      <c r="D63" s="4">
        <v>0</v>
      </c>
      <c r="E63" s="4">
        <v>0</v>
      </c>
      <c r="F63" s="4">
        <v>0</v>
      </c>
      <c r="G63" s="4">
        <v>2</v>
      </c>
      <c r="H63" s="4">
        <v>0</v>
      </c>
      <c r="I63" s="4">
        <v>0</v>
      </c>
      <c r="J63" s="4">
        <v>1</v>
      </c>
      <c r="K63" s="4">
        <v>0</v>
      </c>
      <c r="L63" s="4"/>
    </row>
    <row r="64" spans="1:12" x14ac:dyDescent="0.2">
      <c r="A64" s="4">
        <v>3</v>
      </c>
      <c r="B64" s="4">
        <v>14</v>
      </c>
      <c r="C64" s="4">
        <v>3</v>
      </c>
      <c r="D64" s="4">
        <v>3</v>
      </c>
      <c r="E64" s="4">
        <v>1</v>
      </c>
      <c r="F64" s="4">
        <v>1</v>
      </c>
      <c r="G64" s="4">
        <v>0</v>
      </c>
      <c r="H64" s="4">
        <v>0</v>
      </c>
      <c r="I64" s="4">
        <v>0</v>
      </c>
      <c r="J64" s="4">
        <v>1</v>
      </c>
      <c r="K64" s="4">
        <v>0</v>
      </c>
      <c r="L64" s="4"/>
    </row>
    <row r="65" spans="1:12" x14ac:dyDescent="0.2">
      <c r="A65" s="4">
        <v>3</v>
      </c>
      <c r="B65" s="4">
        <v>12</v>
      </c>
      <c r="C65" s="4">
        <v>1</v>
      </c>
      <c r="D65" s="4">
        <v>0</v>
      </c>
      <c r="E65" s="4">
        <v>1</v>
      </c>
      <c r="F65" s="4">
        <v>0</v>
      </c>
      <c r="G65" s="4">
        <v>2</v>
      </c>
      <c r="H65" s="4">
        <v>0</v>
      </c>
      <c r="I65" s="4">
        <v>0</v>
      </c>
      <c r="J65" s="4">
        <v>0</v>
      </c>
      <c r="K65" s="4">
        <v>0</v>
      </c>
      <c r="L65" s="4"/>
    </row>
    <row r="66" spans="1:12" x14ac:dyDescent="0.2">
      <c r="A66" s="4">
        <v>3</v>
      </c>
      <c r="B66" s="4">
        <v>8</v>
      </c>
      <c r="C66" s="4">
        <v>33</v>
      </c>
      <c r="D66" s="4">
        <v>12</v>
      </c>
      <c r="E66" s="4">
        <v>1</v>
      </c>
      <c r="F66" s="4">
        <v>1</v>
      </c>
      <c r="G66" s="4">
        <v>3</v>
      </c>
      <c r="H66" s="4">
        <v>0</v>
      </c>
      <c r="I66" s="4">
        <v>1</v>
      </c>
      <c r="J66" s="4">
        <v>0</v>
      </c>
      <c r="K66" s="4">
        <v>0</v>
      </c>
      <c r="L66" s="4"/>
    </row>
    <row r="67" spans="1:12" x14ac:dyDescent="0.2">
      <c r="A67" s="4">
        <v>3</v>
      </c>
      <c r="B67" s="4">
        <v>15</v>
      </c>
      <c r="C67" s="4">
        <v>1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1</v>
      </c>
      <c r="J67" s="4">
        <v>0</v>
      </c>
      <c r="K67" s="4">
        <v>0</v>
      </c>
      <c r="L67" s="4"/>
    </row>
    <row r="68" spans="1:12" x14ac:dyDescent="0.2">
      <c r="A68" s="4">
        <v>3</v>
      </c>
      <c r="B68" s="4">
        <v>12</v>
      </c>
      <c r="C68" s="4">
        <v>38</v>
      </c>
      <c r="D68" s="4">
        <v>0</v>
      </c>
      <c r="E68" s="4">
        <v>1</v>
      </c>
      <c r="F68" s="4">
        <v>1</v>
      </c>
      <c r="G68" s="4">
        <v>0</v>
      </c>
      <c r="H68" s="4">
        <v>1</v>
      </c>
      <c r="I68" s="4">
        <v>0</v>
      </c>
      <c r="J68" s="4">
        <v>0</v>
      </c>
      <c r="K68" s="4">
        <v>0</v>
      </c>
      <c r="L68" s="4">
        <v>4</v>
      </c>
    </row>
    <row r="69" spans="1:12" x14ac:dyDescent="0.2">
      <c r="A69" s="4">
        <v>3</v>
      </c>
      <c r="B69" s="4">
        <v>16</v>
      </c>
      <c r="C69" s="4">
        <v>19</v>
      </c>
      <c r="D69" s="4">
        <v>10</v>
      </c>
      <c r="E69" s="4">
        <v>1</v>
      </c>
      <c r="F69" s="4">
        <v>1</v>
      </c>
      <c r="G69" s="4">
        <v>0</v>
      </c>
      <c r="H69" s="4">
        <v>1</v>
      </c>
      <c r="I69" s="4">
        <v>0</v>
      </c>
      <c r="J69" s="4">
        <v>0</v>
      </c>
      <c r="K69" s="4">
        <v>0</v>
      </c>
      <c r="L69" s="4">
        <v>2</v>
      </c>
    </row>
    <row r="70" spans="1:12" x14ac:dyDescent="0.2">
      <c r="A70" s="4">
        <v>3</v>
      </c>
      <c r="B70" s="4">
        <v>14</v>
      </c>
      <c r="C70" s="4">
        <v>3</v>
      </c>
      <c r="D70" s="4">
        <v>2</v>
      </c>
      <c r="E70" s="4">
        <v>1</v>
      </c>
      <c r="F70" s="4">
        <v>0</v>
      </c>
      <c r="G70" s="4">
        <v>0</v>
      </c>
      <c r="H70" s="4">
        <v>1</v>
      </c>
      <c r="I70" s="4">
        <v>0</v>
      </c>
      <c r="J70" s="4">
        <v>0</v>
      </c>
      <c r="K70" s="4">
        <v>0</v>
      </c>
      <c r="L70" s="4">
        <v>5</v>
      </c>
    </row>
    <row r="71" spans="1:12" x14ac:dyDescent="0.2">
      <c r="A71" s="4">
        <v>3</v>
      </c>
      <c r="B71" s="4">
        <v>9</v>
      </c>
      <c r="C71" s="4">
        <v>3</v>
      </c>
      <c r="D71" s="4">
        <v>0</v>
      </c>
      <c r="E71" s="4">
        <v>1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5</v>
      </c>
    </row>
    <row r="72" spans="1:12" x14ac:dyDescent="0.2">
      <c r="A72" s="4">
        <v>3</v>
      </c>
      <c r="B72" s="4">
        <v>11</v>
      </c>
      <c r="C72" s="4">
        <v>2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/>
    </row>
    <row r="73" spans="1:12" x14ac:dyDescent="0.2">
      <c r="A73" s="4">
        <v>3</v>
      </c>
      <c r="B73" s="4">
        <v>12</v>
      </c>
      <c r="C73" s="4">
        <v>2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1</v>
      </c>
      <c r="L73" s="4">
        <v>5</v>
      </c>
    </row>
    <row r="74" spans="1:12" x14ac:dyDescent="0.2">
      <c r="A74" s="4">
        <v>3</v>
      </c>
      <c r="B74" s="4">
        <v>14</v>
      </c>
      <c r="C74" s="4">
        <v>17</v>
      </c>
      <c r="D74" s="4">
        <v>0</v>
      </c>
      <c r="E74" s="4">
        <v>1</v>
      </c>
      <c r="F74" s="4">
        <v>1</v>
      </c>
      <c r="G74" s="4">
        <v>4</v>
      </c>
      <c r="H74" s="4">
        <v>0</v>
      </c>
      <c r="I74" s="4">
        <v>1</v>
      </c>
      <c r="J74" s="4">
        <v>0</v>
      </c>
      <c r="K74" s="4">
        <v>0</v>
      </c>
      <c r="L74" s="4"/>
    </row>
    <row r="75" spans="1:12" x14ac:dyDescent="0.2">
      <c r="A75" s="4">
        <v>3</v>
      </c>
      <c r="B75" s="4">
        <v>10</v>
      </c>
      <c r="C75" s="4">
        <v>47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1</v>
      </c>
      <c r="J75" s="4">
        <v>0</v>
      </c>
      <c r="K75" s="4">
        <v>0</v>
      </c>
      <c r="L75" s="4">
        <v>5</v>
      </c>
    </row>
    <row r="76" spans="1:12" x14ac:dyDescent="0.2">
      <c r="A76" s="4">
        <v>3</v>
      </c>
      <c r="B76" s="4">
        <v>13</v>
      </c>
      <c r="C76" s="4">
        <v>3</v>
      </c>
      <c r="D76" s="4">
        <v>1</v>
      </c>
      <c r="E76" s="4">
        <v>0</v>
      </c>
      <c r="F76" s="4">
        <v>0</v>
      </c>
      <c r="G76" s="4">
        <v>0</v>
      </c>
      <c r="H76" s="4">
        <v>0</v>
      </c>
      <c r="I76" s="4">
        <v>1</v>
      </c>
      <c r="J76" s="4">
        <v>0</v>
      </c>
      <c r="K76" s="4">
        <v>0</v>
      </c>
      <c r="L76" s="4">
        <v>3</v>
      </c>
    </row>
    <row r="77" spans="1:12" x14ac:dyDescent="0.2">
      <c r="A77" s="4">
        <v>3</v>
      </c>
      <c r="B77" s="4">
        <v>12</v>
      </c>
      <c r="C77" s="4">
        <v>1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1</v>
      </c>
      <c r="J77" s="4">
        <v>0</v>
      </c>
      <c r="K77" s="4">
        <v>0</v>
      </c>
      <c r="L77" s="4"/>
    </row>
    <row r="78" spans="1:12" x14ac:dyDescent="0.2">
      <c r="A78" s="4">
        <v>3</v>
      </c>
      <c r="B78" s="4">
        <v>12</v>
      </c>
      <c r="C78" s="4">
        <v>11</v>
      </c>
      <c r="D78" s="4">
        <v>1</v>
      </c>
      <c r="E78" s="4">
        <v>1</v>
      </c>
      <c r="F78" s="4">
        <v>1</v>
      </c>
      <c r="G78" s="4">
        <v>2</v>
      </c>
      <c r="H78" s="4">
        <v>0</v>
      </c>
      <c r="I78" s="4">
        <v>0</v>
      </c>
      <c r="J78" s="4">
        <v>0</v>
      </c>
      <c r="K78" s="4">
        <v>0</v>
      </c>
      <c r="L78" s="4"/>
    </row>
    <row r="79" spans="1:12" x14ac:dyDescent="0.2">
      <c r="A79" s="4">
        <v>3</v>
      </c>
      <c r="B79" s="4">
        <v>12</v>
      </c>
      <c r="C79" s="4">
        <v>26</v>
      </c>
      <c r="D79" s="4">
        <v>9</v>
      </c>
      <c r="E79" s="4">
        <v>1</v>
      </c>
      <c r="F79" s="4">
        <v>1</v>
      </c>
      <c r="G79" s="4">
        <v>0</v>
      </c>
      <c r="H79" s="4">
        <v>0</v>
      </c>
      <c r="I79" s="4">
        <v>1</v>
      </c>
      <c r="J79" s="4">
        <v>0</v>
      </c>
      <c r="K79" s="4">
        <v>0</v>
      </c>
      <c r="L79" s="4"/>
    </row>
    <row r="80" spans="1:12" x14ac:dyDescent="0.2">
      <c r="A80" s="4">
        <v>3</v>
      </c>
      <c r="B80" s="4">
        <v>8</v>
      </c>
      <c r="C80" s="4">
        <v>33</v>
      </c>
      <c r="D80" s="4">
        <v>2</v>
      </c>
      <c r="E80" s="4">
        <v>0</v>
      </c>
      <c r="F80" s="4">
        <v>1</v>
      </c>
      <c r="G80" s="4">
        <v>0</v>
      </c>
      <c r="H80" s="4">
        <v>0</v>
      </c>
      <c r="I80" s="4">
        <v>1</v>
      </c>
      <c r="J80" s="4">
        <v>0</v>
      </c>
      <c r="K80" s="4">
        <v>0</v>
      </c>
      <c r="L80" s="4">
        <v>5</v>
      </c>
    </row>
    <row r="81" spans="1:12" x14ac:dyDescent="0.2">
      <c r="A81" s="4">
        <v>3</v>
      </c>
      <c r="B81" s="4">
        <v>4</v>
      </c>
      <c r="C81" s="4">
        <v>48</v>
      </c>
      <c r="D81" s="4">
        <v>0</v>
      </c>
      <c r="E81" s="4">
        <v>0</v>
      </c>
      <c r="F81" s="4">
        <v>1</v>
      </c>
      <c r="G81" s="4">
        <v>0</v>
      </c>
      <c r="H81" s="4">
        <v>0</v>
      </c>
      <c r="I81" s="4">
        <v>1</v>
      </c>
      <c r="J81" s="4">
        <v>0</v>
      </c>
      <c r="K81" s="4">
        <v>0</v>
      </c>
      <c r="L81" s="4">
        <v>5</v>
      </c>
    </row>
    <row r="82" spans="1:12" x14ac:dyDescent="0.2">
      <c r="A82" s="4">
        <v>3</v>
      </c>
      <c r="B82" s="4">
        <v>7</v>
      </c>
      <c r="C82" s="4">
        <v>26</v>
      </c>
      <c r="D82" s="4">
        <v>1</v>
      </c>
      <c r="E82" s="4">
        <v>1</v>
      </c>
      <c r="F82" s="4">
        <v>0</v>
      </c>
      <c r="G82" s="4">
        <v>3</v>
      </c>
      <c r="H82" s="4">
        <v>0</v>
      </c>
      <c r="I82" s="4">
        <v>1</v>
      </c>
      <c r="J82" s="4">
        <v>0</v>
      </c>
      <c r="K82" s="4">
        <v>0</v>
      </c>
      <c r="L82" s="4">
        <v>0</v>
      </c>
    </row>
    <row r="83" spans="1:12" x14ac:dyDescent="0.2">
      <c r="A83" s="4">
        <v>3</v>
      </c>
      <c r="B83" s="4">
        <v>10</v>
      </c>
      <c r="C83" s="4">
        <v>7</v>
      </c>
      <c r="D83" s="4">
        <v>0</v>
      </c>
      <c r="E83" s="4">
        <v>1</v>
      </c>
      <c r="F83" s="4">
        <v>1</v>
      </c>
      <c r="G83" s="4">
        <v>2</v>
      </c>
      <c r="H83" s="4">
        <v>1</v>
      </c>
      <c r="I83" s="4">
        <v>0</v>
      </c>
      <c r="J83" s="4">
        <v>0</v>
      </c>
      <c r="K83" s="4">
        <v>0</v>
      </c>
      <c r="L83" s="4">
        <v>4</v>
      </c>
    </row>
    <row r="84" spans="1:12" x14ac:dyDescent="0.2">
      <c r="A84" s="4">
        <v>3</v>
      </c>
      <c r="B84" s="4">
        <v>8</v>
      </c>
      <c r="C84" s="4">
        <v>33</v>
      </c>
      <c r="D84" s="4">
        <v>0</v>
      </c>
      <c r="E84" s="4">
        <v>0</v>
      </c>
      <c r="F84" s="4">
        <v>1</v>
      </c>
      <c r="G84" s="4">
        <v>1</v>
      </c>
      <c r="H84" s="4">
        <v>0</v>
      </c>
      <c r="I84" s="4">
        <v>1</v>
      </c>
      <c r="J84" s="4">
        <v>0</v>
      </c>
      <c r="K84" s="4">
        <v>0</v>
      </c>
      <c r="L84" s="4"/>
    </row>
    <row r="85" spans="1:12" x14ac:dyDescent="0.2">
      <c r="A85" s="4">
        <v>3</v>
      </c>
      <c r="B85" s="4">
        <v>9</v>
      </c>
      <c r="C85" s="4">
        <v>23</v>
      </c>
      <c r="D85" s="4">
        <v>20</v>
      </c>
      <c r="E85" s="4">
        <v>1</v>
      </c>
      <c r="F85" s="4">
        <v>1</v>
      </c>
      <c r="G85" s="4">
        <v>2</v>
      </c>
      <c r="H85" s="4">
        <v>0</v>
      </c>
      <c r="I85" s="4">
        <v>1</v>
      </c>
      <c r="J85" s="4">
        <v>0</v>
      </c>
      <c r="K85" s="4">
        <v>0</v>
      </c>
      <c r="L85" s="4">
        <v>0</v>
      </c>
    </row>
    <row r="86" spans="1:12" x14ac:dyDescent="0.2">
      <c r="A86" s="4">
        <v>3</v>
      </c>
      <c r="B86" s="4">
        <v>10</v>
      </c>
      <c r="C86" s="4">
        <v>2</v>
      </c>
      <c r="D86" s="4">
        <v>1</v>
      </c>
      <c r="E86" s="4">
        <v>1</v>
      </c>
      <c r="F86" s="4">
        <v>0</v>
      </c>
      <c r="G86" s="4">
        <v>1</v>
      </c>
      <c r="H86" s="4">
        <v>0</v>
      </c>
      <c r="I86" s="4">
        <v>1</v>
      </c>
      <c r="J86" s="4">
        <v>0</v>
      </c>
      <c r="K86" s="4">
        <v>0</v>
      </c>
      <c r="L86" s="4"/>
    </row>
    <row r="87" spans="1:12" x14ac:dyDescent="0.2">
      <c r="A87" s="4">
        <v>3</v>
      </c>
      <c r="B87" s="4">
        <v>11</v>
      </c>
      <c r="C87" s="4">
        <v>1</v>
      </c>
      <c r="D87" s="4">
        <v>1</v>
      </c>
      <c r="E87" s="4">
        <v>1</v>
      </c>
      <c r="F87" s="4">
        <v>0</v>
      </c>
      <c r="G87" s="4">
        <v>1</v>
      </c>
      <c r="H87" s="4">
        <v>0</v>
      </c>
      <c r="I87" s="4">
        <v>1</v>
      </c>
      <c r="J87" s="4">
        <v>0</v>
      </c>
      <c r="K87" s="4">
        <v>0</v>
      </c>
      <c r="L87" s="4"/>
    </row>
    <row r="88" spans="1:12" x14ac:dyDescent="0.2">
      <c r="A88" s="4">
        <v>3</v>
      </c>
      <c r="B88" s="4">
        <v>15</v>
      </c>
      <c r="C88" s="4">
        <v>9</v>
      </c>
      <c r="D88" s="4">
        <v>0</v>
      </c>
      <c r="E88" s="4">
        <v>0</v>
      </c>
      <c r="F88" s="4">
        <v>0</v>
      </c>
      <c r="G88" s="4">
        <v>0</v>
      </c>
      <c r="H88" s="4">
        <v>1</v>
      </c>
      <c r="I88" s="4">
        <v>0</v>
      </c>
      <c r="J88" s="4">
        <v>0</v>
      </c>
      <c r="K88" s="4">
        <v>0</v>
      </c>
      <c r="L88" s="4">
        <v>2</v>
      </c>
    </row>
    <row r="89" spans="1:12" x14ac:dyDescent="0.2">
      <c r="A89" s="4">
        <v>3</v>
      </c>
      <c r="B89" s="4">
        <v>13</v>
      </c>
      <c r="C89" s="4">
        <v>5</v>
      </c>
      <c r="D89" s="4">
        <v>0</v>
      </c>
      <c r="E89" s="4">
        <v>1</v>
      </c>
      <c r="F89" s="4">
        <v>0</v>
      </c>
      <c r="G89" s="4">
        <v>1</v>
      </c>
      <c r="H89" s="4">
        <v>0</v>
      </c>
      <c r="I89" s="4">
        <v>1</v>
      </c>
      <c r="J89" s="4">
        <v>0</v>
      </c>
      <c r="K89" s="4">
        <v>0</v>
      </c>
      <c r="L89" s="4">
        <v>2</v>
      </c>
    </row>
    <row r="90" spans="1:12" x14ac:dyDescent="0.2">
      <c r="A90" s="4">
        <v>3</v>
      </c>
      <c r="B90" s="4">
        <v>8</v>
      </c>
      <c r="C90" s="4">
        <v>45</v>
      </c>
      <c r="D90" s="4">
        <v>1</v>
      </c>
      <c r="E90" s="4">
        <v>1</v>
      </c>
      <c r="F90" s="4">
        <v>1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2</v>
      </c>
    </row>
    <row r="91" spans="1:12" x14ac:dyDescent="0.2">
      <c r="A91" s="4">
        <v>3</v>
      </c>
      <c r="B91" s="4">
        <v>14</v>
      </c>
      <c r="C91" s="4">
        <v>33</v>
      </c>
      <c r="D91" s="4">
        <v>3</v>
      </c>
      <c r="E91" s="4">
        <v>1</v>
      </c>
      <c r="F91" s="4">
        <v>1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/>
    </row>
    <row r="92" spans="1:12" x14ac:dyDescent="0.2">
      <c r="A92" s="4">
        <v>3</v>
      </c>
      <c r="B92" s="4">
        <v>15</v>
      </c>
      <c r="C92" s="4">
        <v>32</v>
      </c>
      <c r="D92" s="4">
        <v>0</v>
      </c>
      <c r="E92" s="4">
        <v>0</v>
      </c>
      <c r="F92" s="4">
        <v>1</v>
      </c>
      <c r="G92" s="4">
        <v>0</v>
      </c>
      <c r="H92" s="4">
        <v>0</v>
      </c>
      <c r="I92" s="4">
        <v>1</v>
      </c>
      <c r="J92" s="4">
        <v>0</v>
      </c>
      <c r="K92" s="4">
        <v>0</v>
      </c>
      <c r="L92" s="4"/>
    </row>
    <row r="93" spans="1:12" x14ac:dyDescent="0.2">
      <c r="A93" s="4">
        <v>3</v>
      </c>
      <c r="B93" s="4">
        <v>12</v>
      </c>
      <c r="C93" s="4">
        <v>11</v>
      </c>
      <c r="D93" s="4">
        <v>0</v>
      </c>
      <c r="E93" s="4">
        <v>1</v>
      </c>
      <c r="F93" s="4">
        <v>1</v>
      </c>
      <c r="G93" s="4">
        <v>2</v>
      </c>
      <c r="H93" s="4">
        <v>0</v>
      </c>
      <c r="I93" s="4">
        <v>1</v>
      </c>
      <c r="J93" s="4">
        <v>0</v>
      </c>
      <c r="K93" s="4">
        <v>0</v>
      </c>
      <c r="L93" s="4"/>
    </row>
    <row r="94" spans="1:12" x14ac:dyDescent="0.2">
      <c r="A94" s="4">
        <v>3</v>
      </c>
      <c r="B94" s="4">
        <v>4</v>
      </c>
      <c r="C94" s="4">
        <v>36</v>
      </c>
      <c r="D94" s="4">
        <v>0</v>
      </c>
      <c r="E94" s="4">
        <v>0</v>
      </c>
      <c r="F94" s="4">
        <v>1</v>
      </c>
      <c r="G94" s="4">
        <v>1</v>
      </c>
      <c r="H94" s="4">
        <v>0</v>
      </c>
      <c r="I94" s="4">
        <v>1</v>
      </c>
      <c r="J94" s="4">
        <v>0</v>
      </c>
      <c r="K94" s="4">
        <v>1</v>
      </c>
      <c r="L94" s="4"/>
    </row>
    <row r="95" spans="1:12" x14ac:dyDescent="0.2">
      <c r="A95" s="4">
        <v>3</v>
      </c>
      <c r="B95" s="4">
        <v>11</v>
      </c>
      <c r="C95" s="4">
        <v>3</v>
      </c>
      <c r="D95" s="4">
        <v>0</v>
      </c>
      <c r="E95" s="4">
        <v>1</v>
      </c>
      <c r="F95" s="4">
        <v>0</v>
      </c>
      <c r="G95" s="4">
        <v>2</v>
      </c>
      <c r="H95" s="4">
        <v>0</v>
      </c>
      <c r="I95" s="4">
        <v>0</v>
      </c>
      <c r="J95" s="4">
        <v>1</v>
      </c>
      <c r="K95" s="4">
        <v>0</v>
      </c>
      <c r="L95" s="4"/>
    </row>
    <row r="96" spans="1:12" x14ac:dyDescent="0.2">
      <c r="A96" s="4">
        <v>3</v>
      </c>
      <c r="B96" s="4">
        <v>12</v>
      </c>
      <c r="C96" s="4">
        <v>36</v>
      </c>
      <c r="D96" s="4">
        <v>1</v>
      </c>
      <c r="E96" s="4"/>
      <c r="F96" s="4">
        <v>0</v>
      </c>
      <c r="G96" s="4">
        <v>0</v>
      </c>
      <c r="H96" s="4">
        <v>0</v>
      </c>
      <c r="I96" s="4">
        <v>0</v>
      </c>
      <c r="J96" s="4">
        <v>1</v>
      </c>
      <c r="K96" s="4">
        <v>0</v>
      </c>
      <c r="L96" s="4">
        <v>5</v>
      </c>
    </row>
    <row r="97" spans="1:12" x14ac:dyDescent="0.2">
      <c r="A97" s="4">
        <v>3.05</v>
      </c>
      <c r="B97" s="4">
        <v>12</v>
      </c>
      <c r="C97" s="4">
        <v>10</v>
      </c>
      <c r="D97" s="4">
        <v>0</v>
      </c>
      <c r="E97" s="4">
        <v>1</v>
      </c>
      <c r="F97" s="4">
        <v>1</v>
      </c>
      <c r="G97" s="4">
        <v>2</v>
      </c>
      <c r="H97" s="4">
        <v>1</v>
      </c>
      <c r="I97" s="4">
        <v>0</v>
      </c>
      <c r="J97" s="4">
        <v>0</v>
      </c>
      <c r="K97" s="4">
        <v>0</v>
      </c>
      <c r="L97" s="4">
        <v>3</v>
      </c>
    </row>
    <row r="98" spans="1:12" x14ac:dyDescent="0.2">
      <c r="A98" s="4">
        <v>3.05</v>
      </c>
      <c r="B98" s="4">
        <v>12</v>
      </c>
      <c r="C98" s="4">
        <v>2</v>
      </c>
      <c r="D98" s="4">
        <v>0</v>
      </c>
      <c r="E98" s="4">
        <v>1</v>
      </c>
      <c r="F98" s="4">
        <v>0</v>
      </c>
      <c r="G98" s="4">
        <v>1</v>
      </c>
      <c r="H98" s="4">
        <v>1</v>
      </c>
      <c r="I98" s="4">
        <v>0</v>
      </c>
      <c r="J98" s="4">
        <v>0</v>
      </c>
      <c r="K98" s="4">
        <v>0</v>
      </c>
      <c r="L98" s="4">
        <v>2</v>
      </c>
    </row>
    <row r="99" spans="1:12" x14ac:dyDescent="0.2">
      <c r="A99" s="4">
        <v>3.05</v>
      </c>
      <c r="B99" s="4">
        <v>8</v>
      </c>
      <c r="C99" s="4">
        <v>50</v>
      </c>
      <c r="D99" s="4">
        <v>24</v>
      </c>
      <c r="E99" s="4">
        <v>1</v>
      </c>
      <c r="F99" s="4">
        <v>0</v>
      </c>
      <c r="G99" s="4">
        <v>0</v>
      </c>
      <c r="H99" s="4">
        <v>0</v>
      </c>
      <c r="I99" s="4">
        <v>1</v>
      </c>
      <c r="J99" s="4">
        <v>0</v>
      </c>
      <c r="K99" s="4">
        <v>0</v>
      </c>
      <c r="L99" s="4"/>
    </row>
    <row r="100" spans="1:12" x14ac:dyDescent="0.2">
      <c r="A100" s="4">
        <v>3.06</v>
      </c>
      <c r="B100" s="4">
        <v>12</v>
      </c>
      <c r="C100" s="4">
        <v>14</v>
      </c>
      <c r="D100" s="4">
        <v>10</v>
      </c>
      <c r="E100" s="4">
        <v>1</v>
      </c>
      <c r="F100" s="4">
        <v>0</v>
      </c>
      <c r="G100" s="4">
        <v>3</v>
      </c>
      <c r="H100" s="4">
        <v>0</v>
      </c>
      <c r="I100" s="4">
        <v>1</v>
      </c>
      <c r="J100" s="4">
        <v>0</v>
      </c>
      <c r="K100" s="4">
        <v>0</v>
      </c>
      <c r="L100" s="4">
        <v>1</v>
      </c>
    </row>
    <row r="101" spans="1:12" x14ac:dyDescent="0.2">
      <c r="A101" s="4">
        <v>3.08</v>
      </c>
      <c r="B101" s="4">
        <v>12</v>
      </c>
      <c r="C101" s="4">
        <v>3</v>
      </c>
      <c r="D101" s="4">
        <v>1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/>
    </row>
    <row r="102" spans="1:12" x14ac:dyDescent="0.2">
      <c r="A102" s="4">
        <v>3.1</v>
      </c>
      <c r="B102" s="4">
        <v>11</v>
      </c>
      <c r="C102" s="4">
        <v>2</v>
      </c>
      <c r="D102" s="4">
        <v>0</v>
      </c>
      <c r="E102" s="4">
        <v>1</v>
      </c>
      <c r="F102" s="4">
        <v>0</v>
      </c>
      <c r="G102" s="4">
        <v>2</v>
      </c>
      <c r="H102" s="4">
        <v>0</v>
      </c>
      <c r="I102" s="4">
        <v>0</v>
      </c>
      <c r="J102" s="4">
        <v>1</v>
      </c>
      <c r="K102" s="4">
        <v>0</v>
      </c>
      <c r="L102" s="4">
        <v>4</v>
      </c>
    </row>
    <row r="103" spans="1:12" x14ac:dyDescent="0.2">
      <c r="A103" s="4">
        <v>3.1</v>
      </c>
      <c r="B103" s="4">
        <v>12</v>
      </c>
      <c r="C103" s="4">
        <v>2</v>
      </c>
      <c r="D103" s="4">
        <v>1</v>
      </c>
      <c r="E103" s="4">
        <v>1</v>
      </c>
      <c r="F103" s="4">
        <v>0</v>
      </c>
      <c r="G103" s="4">
        <v>1</v>
      </c>
      <c r="H103" s="4">
        <v>0</v>
      </c>
      <c r="I103" s="4">
        <v>0</v>
      </c>
      <c r="J103" s="4">
        <v>0</v>
      </c>
      <c r="K103" s="4">
        <v>0</v>
      </c>
      <c r="L103" s="4">
        <v>2</v>
      </c>
    </row>
    <row r="104" spans="1:12" x14ac:dyDescent="0.2">
      <c r="A104" s="4">
        <v>3.1</v>
      </c>
      <c r="B104" s="4">
        <v>12</v>
      </c>
      <c r="C104" s="4">
        <v>2</v>
      </c>
      <c r="D104" s="4">
        <v>2</v>
      </c>
      <c r="E104" s="4">
        <v>1</v>
      </c>
      <c r="F104" s="4">
        <v>0</v>
      </c>
      <c r="G104" s="4">
        <v>1</v>
      </c>
      <c r="H104" s="4">
        <v>0</v>
      </c>
      <c r="I104" s="4">
        <v>1</v>
      </c>
      <c r="J104" s="4">
        <v>0</v>
      </c>
      <c r="K104" s="4">
        <v>0</v>
      </c>
      <c r="L104" s="4">
        <v>2</v>
      </c>
    </row>
    <row r="105" spans="1:12" x14ac:dyDescent="0.2">
      <c r="A105" s="4">
        <v>3.1</v>
      </c>
      <c r="B105" s="4">
        <v>6</v>
      </c>
      <c r="C105" s="4">
        <v>14</v>
      </c>
      <c r="D105" s="4">
        <v>0</v>
      </c>
      <c r="E105" s="4">
        <v>1</v>
      </c>
      <c r="F105" s="4">
        <v>0</v>
      </c>
      <c r="G105" s="4">
        <v>5</v>
      </c>
      <c r="H105" s="4">
        <v>0</v>
      </c>
      <c r="I105" s="4">
        <v>1</v>
      </c>
      <c r="J105" s="4">
        <v>0</v>
      </c>
      <c r="K105" s="4">
        <v>0</v>
      </c>
      <c r="L105" s="4">
        <v>2</v>
      </c>
    </row>
    <row r="106" spans="1:12" x14ac:dyDescent="0.2">
      <c r="A106" s="4">
        <v>3.13</v>
      </c>
      <c r="B106" s="4">
        <v>10</v>
      </c>
      <c r="C106" s="4">
        <v>1</v>
      </c>
      <c r="D106" s="4">
        <v>0</v>
      </c>
      <c r="E106" s="4">
        <v>1</v>
      </c>
      <c r="F106" s="4">
        <v>0</v>
      </c>
      <c r="G106" s="4">
        <v>1</v>
      </c>
      <c r="H106" s="4">
        <v>1</v>
      </c>
      <c r="I106" s="4">
        <v>0</v>
      </c>
      <c r="J106" s="4">
        <v>0</v>
      </c>
      <c r="K106" s="4">
        <v>0</v>
      </c>
      <c r="L106" s="4">
        <v>5</v>
      </c>
    </row>
    <row r="107" spans="1:12" x14ac:dyDescent="0.2">
      <c r="A107" s="4">
        <v>3.13</v>
      </c>
      <c r="B107" s="4">
        <v>12</v>
      </c>
      <c r="C107" s="4">
        <v>6</v>
      </c>
      <c r="D107" s="4">
        <v>5</v>
      </c>
      <c r="E107" s="4">
        <v>1</v>
      </c>
      <c r="F107" s="4">
        <v>1</v>
      </c>
      <c r="G107" s="4">
        <v>1</v>
      </c>
      <c r="H107" s="4">
        <v>0</v>
      </c>
      <c r="I107" s="4">
        <v>1</v>
      </c>
      <c r="J107" s="4">
        <v>0</v>
      </c>
      <c r="K107" s="4">
        <v>0</v>
      </c>
      <c r="L107" s="4">
        <v>1</v>
      </c>
    </row>
    <row r="108" spans="1:12" x14ac:dyDescent="0.2">
      <c r="A108" s="4">
        <v>3.13</v>
      </c>
      <c r="B108" s="4">
        <v>10</v>
      </c>
      <c r="C108" s="4">
        <v>1</v>
      </c>
      <c r="D108" s="4">
        <v>1</v>
      </c>
      <c r="E108" s="4">
        <v>0</v>
      </c>
      <c r="F108" s="4">
        <v>0</v>
      </c>
      <c r="G108" s="4">
        <v>2</v>
      </c>
      <c r="H108" s="4">
        <v>0</v>
      </c>
      <c r="I108" s="4">
        <v>0</v>
      </c>
      <c r="J108" s="4">
        <v>1</v>
      </c>
      <c r="K108" s="4">
        <v>0</v>
      </c>
      <c r="L108" s="4">
        <v>3</v>
      </c>
    </row>
    <row r="109" spans="1:12" x14ac:dyDescent="0.2">
      <c r="A109" s="4">
        <v>3.15</v>
      </c>
      <c r="B109" s="4">
        <v>12</v>
      </c>
      <c r="C109" s="4">
        <v>26</v>
      </c>
      <c r="D109" s="4">
        <v>1</v>
      </c>
      <c r="E109" s="4">
        <v>0</v>
      </c>
      <c r="F109" s="4">
        <v>1</v>
      </c>
      <c r="G109" s="4">
        <v>0</v>
      </c>
      <c r="H109" s="4">
        <v>1</v>
      </c>
      <c r="I109" s="4">
        <v>0</v>
      </c>
      <c r="J109" s="4">
        <v>0</v>
      </c>
      <c r="K109" s="4">
        <v>0</v>
      </c>
      <c r="L109" s="4">
        <v>5</v>
      </c>
    </row>
    <row r="110" spans="1:12" x14ac:dyDescent="0.2">
      <c r="A110" s="4">
        <v>3.15</v>
      </c>
      <c r="B110" s="4">
        <v>13</v>
      </c>
      <c r="C110" s="4">
        <v>1</v>
      </c>
      <c r="D110" s="4">
        <v>0</v>
      </c>
      <c r="E110" s="4">
        <v>1</v>
      </c>
      <c r="F110" s="4">
        <v>0</v>
      </c>
      <c r="G110" s="4">
        <v>4</v>
      </c>
      <c r="H110" s="4">
        <v>1</v>
      </c>
      <c r="I110" s="4">
        <v>0</v>
      </c>
      <c r="J110" s="4">
        <v>0</v>
      </c>
      <c r="K110" s="4">
        <v>0</v>
      </c>
      <c r="L110" s="4"/>
    </row>
    <row r="111" spans="1:12" x14ac:dyDescent="0.2">
      <c r="A111" s="4">
        <v>3.18</v>
      </c>
      <c r="B111" s="4">
        <v>12</v>
      </c>
      <c r="C111" s="4">
        <v>5</v>
      </c>
      <c r="D111" s="4">
        <v>0</v>
      </c>
      <c r="E111" s="4">
        <v>1</v>
      </c>
      <c r="F111" s="4">
        <v>1</v>
      </c>
      <c r="G111" s="4">
        <v>0</v>
      </c>
      <c r="H111" s="4">
        <v>1</v>
      </c>
      <c r="I111" s="4">
        <v>0</v>
      </c>
      <c r="J111" s="4">
        <v>0</v>
      </c>
      <c r="K111" s="4">
        <v>0</v>
      </c>
      <c r="L111" s="4"/>
    </row>
    <row r="112" spans="1:12" x14ac:dyDescent="0.2">
      <c r="A112" s="4">
        <v>3.2</v>
      </c>
      <c r="B112" s="4">
        <v>12</v>
      </c>
      <c r="C112" s="4">
        <v>29</v>
      </c>
      <c r="D112" s="4">
        <v>0</v>
      </c>
      <c r="E112" s="4">
        <v>1</v>
      </c>
      <c r="F112" s="4">
        <v>0</v>
      </c>
      <c r="G112" s="4">
        <v>1</v>
      </c>
      <c r="H112" s="4">
        <v>0</v>
      </c>
      <c r="I112" s="4">
        <v>1</v>
      </c>
      <c r="J112" s="4">
        <v>0</v>
      </c>
      <c r="K112" s="4">
        <v>0</v>
      </c>
      <c r="L112" s="4"/>
    </row>
    <row r="113" spans="1:12" x14ac:dyDescent="0.2">
      <c r="A113" s="4">
        <v>3.2</v>
      </c>
      <c r="B113" s="4">
        <v>15</v>
      </c>
      <c r="C113" s="4">
        <v>2</v>
      </c>
      <c r="D113" s="4">
        <v>2</v>
      </c>
      <c r="E113" s="4">
        <v>1</v>
      </c>
      <c r="F113" s="4">
        <v>0</v>
      </c>
      <c r="G113" s="4">
        <v>2</v>
      </c>
      <c r="H113" s="4">
        <v>0</v>
      </c>
      <c r="I113" s="4">
        <v>1</v>
      </c>
      <c r="J113" s="4">
        <v>0</v>
      </c>
      <c r="K113" s="4">
        <v>0</v>
      </c>
      <c r="L113" s="4">
        <v>1</v>
      </c>
    </row>
    <row r="114" spans="1:12" x14ac:dyDescent="0.2">
      <c r="A114" s="4">
        <v>3.2</v>
      </c>
      <c r="B114" s="4">
        <v>12</v>
      </c>
      <c r="C114" s="4">
        <v>15</v>
      </c>
      <c r="D114" s="4">
        <v>5</v>
      </c>
      <c r="E114" s="4">
        <v>1</v>
      </c>
      <c r="F114" s="4">
        <v>1</v>
      </c>
      <c r="G114" s="4">
        <v>1</v>
      </c>
      <c r="H114" s="4">
        <v>0</v>
      </c>
      <c r="I114" s="4">
        <v>1</v>
      </c>
      <c r="J114" s="4">
        <v>0</v>
      </c>
      <c r="K114" s="4">
        <v>0</v>
      </c>
      <c r="L114" s="4"/>
    </row>
    <row r="115" spans="1:12" x14ac:dyDescent="0.2">
      <c r="A115" s="4">
        <v>3.2</v>
      </c>
      <c r="B115" s="4">
        <v>11</v>
      </c>
      <c r="C115" s="4">
        <v>1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5</v>
      </c>
    </row>
    <row r="116" spans="1:12" x14ac:dyDescent="0.2">
      <c r="A116" s="4">
        <v>3.24</v>
      </c>
      <c r="B116" s="4">
        <v>12</v>
      </c>
      <c r="C116" s="4">
        <v>22</v>
      </c>
      <c r="D116" s="4">
        <v>2</v>
      </c>
      <c r="E116" s="4">
        <v>1</v>
      </c>
      <c r="F116" s="4">
        <v>1</v>
      </c>
      <c r="G116" s="4">
        <v>3</v>
      </c>
      <c r="H116" s="4">
        <v>0</v>
      </c>
      <c r="I116" s="4">
        <v>0</v>
      </c>
      <c r="J116" s="4">
        <v>1</v>
      </c>
      <c r="K116" s="4">
        <v>0</v>
      </c>
      <c r="L116" s="4">
        <v>2</v>
      </c>
    </row>
    <row r="117" spans="1:12" x14ac:dyDescent="0.2">
      <c r="A117" s="4">
        <v>3.24</v>
      </c>
      <c r="B117" s="4">
        <v>12</v>
      </c>
      <c r="C117" s="4">
        <v>16</v>
      </c>
      <c r="D117" s="4">
        <v>0</v>
      </c>
      <c r="E117" s="4">
        <v>1</v>
      </c>
      <c r="F117" s="4">
        <v>1</v>
      </c>
      <c r="G117" s="4">
        <v>2</v>
      </c>
      <c r="H117" s="4">
        <v>0</v>
      </c>
      <c r="I117" s="4">
        <v>1</v>
      </c>
      <c r="J117" s="4">
        <v>0</v>
      </c>
      <c r="K117" s="4">
        <v>0</v>
      </c>
      <c r="L117" s="4"/>
    </row>
    <row r="118" spans="1:12" x14ac:dyDescent="0.2">
      <c r="A118" s="4">
        <v>3.25</v>
      </c>
      <c r="B118" s="4">
        <v>8</v>
      </c>
      <c r="C118" s="4">
        <v>9</v>
      </c>
      <c r="D118" s="4">
        <v>1</v>
      </c>
      <c r="E118" s="4">
        <v>1</v>
      </c>
      <c r="F118" s="4">
        <v>1</v>
      </c>
      <c r="G118" s="4">
        <v>2</v>
      </c>
      <c r="H118" s="4">
        <v>0</v>
      </c>
      <c r="I118" s="4">
        <v>0</v>
      </c>
      <c r="J118" s="4">
        <v>1</v>
      </c>
      <c r="K118" s="4">
        <v>0</v>
      </c>
      <c r="L118" s="4">
        <v>1</v>
      </c>
    </row>
    <row r="119" spans="1:12" x14ac:dyDescent="0.2">
      <c r="A119" s="4">
        <v>3.25</v>
      </c>
      <c r="B119" s="4">
        <v>15</v>
      </c>
      <c r="C119" s="4">
        <v>3</v>
      </c>
      <c r="D119" s="4">
        <v>0</v>
      </c>
      <c r="E119" s="4">
        <v>0</v>
      </c>
      <c r="F119" s="4">
        <v>0</v>
      </c>
      <c r="G119" s="4">
        <v>1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</row>
    <row r="120" spans="1:12" x14ac:dyDescent="0.2">
      <c r="A120" s="4">
        <v>3.25</v>
      </c>
      <c r="B120" s="4">
        <v>12</v>
      </c>
      <c r="C120" s="4">
        <v>14</v>
      </c>
      <c r="D120" s="4">
        <v>0</v>
      </c>
      <c r="E120" s="4">
        <v>1</v>
      </c>
      <c r="F120" s="4">
        <v>1</v>
      </c>
      <c r="G120" s="4">
        <v>1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</row>
    <row r="121" spans="1:12" x14ac:dyDescent="0.2">
      <c r="A121" s="4">
        <v>3.25</v>
      </c>
      <c r="B121" s="4">
        <v>9</v>
      </c>
      <c r="C121" s="4">
        <v>29</v>
      </c>
      <c r="D121" s="4">
        <v>0</v>
      </c>
      <c r="E121" s="4">
        <v>0</v>
      </c>
      <c r="F121" s="4">
        <v>1</v>
      </c>
      <c r="G121" s="4">
        <v>1</v>
      </c>
      <c r="H121" s="4">
        <v>1</v>
      </c>
      <c r="I121" s="4">
        <v>0</v>
      </c>
      <c r="J121" s="4">
        <v>0</v>
      </c>
      <c r="K121" s="4">
        <v>0</v>
      </c>
      <c r="L121" s="4"/>
    </row>
    <row r="122" spans="1:12" x14ac:dyDescent="0.2">
      <c r="A122" s="4">
        <v>3.25</v>
      </c>
      <c r="B122" s="4">
        <v>12</v>
      </c>
      <c r="C122" s="4">
        <v>4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/>
    </row>
    <row r="123" spans="1:12" x14ac:dyDescent="0.2">
      <c r="A123" s="4">
        <v>3.25</v>
      </c>
      <c r="B123" s="4">
        <v>12</v>
      </c>
      <c r="C123" s="4">
        <v>14</v>
      </c>
      <c r="D123" s="4">
        <v>2</v>
      </c>
      <c r="E123" s="4">
        <v>1</v>
      </c>
      <c r="F123" s="4">
        <v>1</v>
      </c>
      <c r="G123" s="4">
        <v>2</v>
      </c>
      <c r="H123" s="4">
        <v>0</v>
      </c>
      <c r="I123" s="4">
        <v>1</v>
      </c>
      <c r="J123" s="4">
        <v>0</v>
      </c>
      <c r="K123" s="4">
        <v>0</v>
      </c>
      <c r="L123" s="4"/>
    </row>
    <row r="124" spans="1:12" x14ac:dyDescent="0.2">
      <c r="A124" s="4">
        <v>3.25</v>
      </c>
      <c r="B124" s="4">
        <v>12</v>
      </c>
      <c r="C124" s="4">
        <v>40</v>
      </c>
      <c r="D124" s="4">
        <v>2</v>
      </c>
      <c r="E124" s="4">
        <v>1</v>
      </c>
      <c r="F124" s="4">
        <v>0</v>
      </c>
      <c r="G124" s="4">
        <v>0</v>
      </c>
      <c r="H124" s="4">
        <v>1</v>
      </c>
      <c r="I124" s="4">
        <v>0</v>
      </c>
      <c r="J124" s="4">
        <v>0</v>
      </c>
      <c r="K124" s="4">
        <v>0</v>
      </c>
      <c r="L124" s="4"/>
    </row>
    <row r="125" spans="1:12" x14ac:dyDescent="0.2">
      <c r="A125" s="4">
        <v>3.25</v>
      </c>
      <c r="B125" s="4">
        <v>12</v>
      </c>
      <c r="C125" s="4">
        <v>42</v>
      </c>
      <c r="D125" s="4">
        <v>0</v>
      </c>
      <c r="E125" s="4">
        <v>1</v>
      </c>
      <c r="F125" s="4">
        <v>1</v>
      </c>
      <c r="G125" s="4">
        <v>0</v>
      </c>
      <c r="H125" s="4">
        <v>0</v>
      </c>
      <c r="I125" s="4">
        <v>0</v>
      </c>
      <c r="J125" s="4">
        <v>1</v>
      </c>
      <c r="K125" s="4">
        <v>0</v>
      </c>
      <c r="L125" s="4"/>
    </row>
    <row r="126" spans="1:12" x14ac:dyDescent="0.2">
      <c r="A126" s="4">
        <v>3.26</v>
      </c>
      <c r="B126" s="4">
        <v>12</v>
      </c>
      <c r="C126" s="4">
        <v>13</v>
      </c>
      <c r="D126" s="4">
        <v>3</v>
      </c>
      <c r="E126" s="4">
        <v>1</v>
      </c>
      <c r="F126" s="4">
        <v>1</v>
      </c>
      <c r="G126" s="4">
        <v>1</v>
      </c>
      <c r="H126" s="4">
        <v>0</v>
      </c>
      <c r="I126" s="4">
        <v>0</v>
      </c>
      <c r="J126" s="4">
        <v>0</v>
      </c>
      <c r="K126" s="4">
        <v>0</v>
      </c>
      <c r="L126" s="4"/>
    </row>
    <row r="127" spans="1:12" x14ac:dyDescent="0.2">
      <c r="A127" s="4">
        <v>3.26</v>
      </c>
      <c r="B127" s="4">
        <v>16</v>
      </c>
      <c r="C127" s="4">
        <v>15</v>
      </c>
      <c r="D127" s="4">
        <v>5</v>
      </c>
      <c r="E127" s="4">
        <v>1</v>
      </c>
      <c r="F127" s="4">
        <v>1</v>
      </c>
      <c r="G127" s="4">
        <v>2</v>
      </c>
      <c r="H127" s="4">
        <v>0</v>
      </c>
      <c r="I127" s="4">
        <v>1</v>
      </c>
      <c r="J127" s="4">
        <v>0</v>
      </c>
      <c r="K127" s="4">
        <v>0</v>
      </c>
      <c r="L127" s="4"/>
    </row>
    <row r="128" spans="1:12" x14ac:dyDescent="0.2">
      <c r="A128" s="4">
        <v>3.28</v>
      </c>
      <c r="B128" s="4">
        <v>12</v>
      </c>
      <c r="C128" s="4">
        <v>17</v>
      </c>
      <c r="D128" s="4">
        <v>2</v>
      </c>
      <c r="E128" s="4">
        <v>1</v>
      </c>
      <c r="F128" s="4">
        <v>0</v>
      </c>
      <c r="G128" s="4">
        <v>0</v>
      </c>
      <c r="H128" s="4">
        <v>0</v>
      </c>
      <c r="I128" s="4">
        <v>1</v>
      </c>
      <c r="J128" s="4">
        <v>0</v>
      </c>
      <c r="K128" s="4">
        <v>0</v>
      </c>
      <c r="L128" s="4"/>
    </row>
    <row r="129" spans="1:12" x14ac:dyDescent="0.2">
      <c r="A129" s="4">
        <v>3.29</v>
      </c>
      <c r="B129" s="4">
        <v>14</v>
      </c>
      <c r="C129" s="4">
        <v>30</v>
      </c>
      <c r="D129" s="4">
        <v>13</v>
      </c>
      <c r="E129" s="4">
        <v>0</v>
      </c>
      <c r="F129" s="4">
        <v>0</v>
      </c>
      <c r="G129" s="4">
        <v>0</v>
      </c>
      <c r="H129" s="4">
        <v>1</v>
      </c>
      <c r="I129" s="4">
        <v>0</v>
      </c>
      <c r="J129" s="4">
        <v>0</v>
      </c>
      <c r="K129" s="4">
        <v>0</v>
      </c>
      <c r="L129" s="4">
        <v>3</v>
      </c>
    </row>
    <row r="130" spans="1:12" x14ac:dyDescent="0.2">
      <c r="A130" s="4">
        <v>3.3</v>
      </c>
      <c r="B130" s="4">
        <v>12</v>
      </c>
      <c r="C130" s="4">
        <v>25</v>
      </c>
      <c r="D130" s="4">
        <v>8</v>
      </c>
      <c r="E130" s="4">
        <v>0</v>
      </c>
      <c r="F130" s="4">
        <v>1</v>
      </c>
      <c r="G130" s="4">
        <v>1</v>
      </c>
      <c r="H130" s="4">
        <v>1</v>
      </c>
      <c r="I130" s="4">
        <v>0</v>
      </c>
      <c r="J130" s="4">
        <v>0</v>
      </c>
      <c r="K130" s="4">
        <v>0</v>
      </c>
      <c r="L130" s="4">
        <v>5</v>
      </c>
    </row>
    <row r="131" spans="1:12" x14ac:dyDescent="0.2">
      <c r="A131" s="4">
        <v>3.3</v>
      </c>
      <c r="B131" s="4">
        <v>12</v>
      </c>
      <c r="C131" s="4">
        <v>21</v>
      </c>
      <c r="D131" s="4">
        <v>9</v>
      </c>
      <c r="E131" s="4">
        <v>1</v>
      </c>
      <c r="F131" s="4">
        <v>1</v>
      </c>
      <c r="G131" s="4">
        <v>2</v>
      </c>
      <c r="H131" s="4">
        <v>0</v>
      </c>
      <c r="I131" s="4">
        <v>1</v>
      </c>
      <c r="J131" s="4">
        <v>0</v>
      </c>
      <c r="K131" s="4">
        <v>0</v>
      </c>
      <c r="L131" s="4">
        <v>0</v>
      </c>
    </row>
    <row r="132" spans="1:12" x14ac:dyDescent="0.2">
      <c r="A132" s="4">
        <v>3.3</v>
      </c>
      <c r="B132" s="4">
        <v>13</v>
      </c>
      <c r="C132" s="4">
        <v>5</v>
      </c>
      <c r="D132" s="4">
        <v>0</v>
      </c>
      <c r="E132" s="4">
        <v>1</v>
      </c>
      <c r="F132" s="4">
        <v>0</v>
      </c>
      <c r="G132" s="4">
        <v>0</v>
      </c>
      <c r="H132" s="4">
        <v>1</v>
      </c>
      <c r="I132" s="4">
        <v>0</v>
      </c>
      <c r="J132" s="4">
        <v>0</v>
      </c>
      <c r="K132" s="4">
        <v>0</v>
      </c>
      <c r="L132" s="4">
        <v>1</v>
      </c>
    </row>
    <row r="133" spans="1:12" x14ac:dyDescent="0.2">
      <c r="A133" s="4">
        <v>3.33</v>
      </c>
      <c r="B133" s="4">
        <v>12</v>
      </c>
      <c r="C133" s="4">
        <v>45</v>
      </c>
      <c r="D133" s="4">
        <v>4</v>
      </c>
      <c r="E133" s="4">
        <v>1</v>
      </c>
      <c r="F133" s="4">
        <v>1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4</v>
      </c>
    </row>
    <row r="134" spans="1:12" x14ac:dyDescent="0.2">
      <c r="A134" s="4">
        <v>3.33</v>
      </c>
      <c r="B134" s="4">
        <v>12</v>
      </c>
      <c r="C134" s="4">
        <v>36</v>
      </c>
      <c r="D134" s="4">
        <v>8</v>
      </c>
      <c r="E134" s="4">
        <v>1</v>
      </c>
      <c r="F134" s="4">
        <v>1</v>
      </c>
      <c r="G134" s="4">
        <v>1</v>
      </c>
      <c r="H134" s="4">
        <v>0</v>
      </c>
      <c r="I134" s="4">
        <v>1</v>
      </c>
      <c r="J134" s="4">
        <v>0</v>
      </c>
      <c r="K134" s="4">
        <v>0</v>
      </c>
      <c r="L134" s="4">
        <v>0</v>
      </c>
    </row>
    <row r="135" spans="1:12" x14ac:dyDescent="0.2">
      <c r="A135" s="4">
        <v>3.35</v>
      </c>
      <c r="B135" s="4">
        <v>7</v>
      </c>
      <c r="C135" s="4">
        <v>35</v>
      </c>
      <c r="D135" s="4">
        <v>0</v>
      </c>
      <c r="E135" s="4">
        <v>1</v>
      </c>
      <c r="F135" s="4">
        <v>0</v>
      </c>
      <c r="G135" s="4">
        <v>1</v>
      </c>
      <c r="H135" s="4">
        <v>0</v>
      </c>
      <c r="I135" s="4">
        <v>1</v>
      </c>
      <c r="J135" s="4">
        <v>0</v>
      </c>
      <c r="K135" s="4">
        <v>0</v>
      </c>
      <c r="L135" s="4">
        <v>5</v>
      </c>
    </row>
    <row r="136" spans="1:12" x14ac:dyDescent="0.2">
      <c r="A136" s="4">
        <v>3.35</v>
      </c>
      <c r="B136" s="4">
        <v>14</v>
      </c>
      <c r="C136" s="4">
        <v>5</v>
      </c>
      <c r="D136" s="4">
        <v>4</v>
      </c>
      <c r="E136" s="4">
        <v>1</v>
      </c>
      <c r="F136" s="4">
        <v>1</v>
      </c>
      <c r="G136" s="4">
        <v>0</v>
      </c>
      <c r="H136" s="4">
        <v>1</v>
      </c>
      <c r="I136" s="4">
        <v>0</v>
      </c>
      <c r="J136" s="4">
        <v>0</v>
      </c>
      <c r="K136" s="4">
        <v>0</v>
      </c>
      <c r="L136" s="4">
        <v>5</v>
      </c>
    </row>
    <row r="137" spans="1:12" x14ac:dyDescent="0.2">
      <c r="A137" s="4">
        <v>3.35</v>
      </c>
      <c r="B137" s="4">
        <v>13</v>
      </c>
      <c r="C137" s="4">
        <v>22</v>
      </c>
      <c r="D137" s="4">
        <v>0</v>
      </c>
      <c r="E137" s="4">
        <v>1</v>
      </c>
      <c r="F137" s="4">
        <v>0</v>
      </c>
      <c r="G137" s="4">
        <v>2</v>
      </c>
      <c r="H137" s="4">
        <v>1</v>
      </c>
      <c r="I137" s="4">
        <v>0</v>
      </c>
      <c r="J137" s="4">
        <v>0</v>
      </c>
      <c r="K137" s="4">
        <v>0</v>
      </c>
      <c r="L137" s="4">
        <v>3</v>
      </c>
    </row>
    <row r="138" spans="1:12" x14ac:dyDescent="0.2">
      <c r="A138" s="4">
        <v>3.35</v>
      </c>
      <c r="B138" s="4">
        <v>12</v>
      </c>
      <c r="C138" s="4">
        <v>9</v>
      </c>
      <c r="D138" s="4">
        <v>1</v>
      </c>
      <c r="E138" s="4">
        <v>0</v>
      </c>
      <c r="F138" s="4">
        <v>1</v>
      </c>
      <c r="G138" s="4">
        <v>0</v>
      </c>
      <c r="H138" s="4">
        <v>1</v>
      </c>
      <c r="I138" s="4">
        <v>0</v>
      </c>
      <c r="J138" s="4">
        <v>0</v>
      </c>
      <c r="K138" s="4">
        <v>0</v>
      </c>
      <c r="L138" s="4">
        <v>4</v>
      </c>
    </row>
    <row r="139" spans="1:12" x14ac:dyDescent="0.2">
      <c r="A139" s="4">
        <v>3.35</v>
      </c>
      <c r="B139" s="4">
        <v>15</v>
      </c>
      <c r="C139" s="4">
        <v>3</v>
      </c>
      <c r="D139" s="4">
        <v>1</v>
      </c>
      <c r="E139" s="4">
        <v>1</v>
      </c>
      <c r="F139" s="4">
        <v>1</v>
      </c>
      <c r="G139" s="4">
        <v>2</v>
      </c>
      <c r="H139" s="4">
        <v>0</v>
      </c>
      <c r="I139" s="4">
        <v>1</v>
      </c>
      <c r="J139" s="4">
        <v>0</v>
      </c>
      <c r="K139" s="4">
        <v>0</v>
      </c>
      <c r="L139" s="4">
        <v>5</v>
      </c>
    </row>
    <row r="140" spans="1:12" x14ac:dyDescent="0.2">
      <c r="A140" s="4">
        <v>3.37</v>
      </c>
      <c r="B140" s="4">
        <v>11</v>
      </c>
      <c r="C140" s="4">
        <v>45</v>
      </c>
      <c r="D140" s="4">
        <v>12</v>
      </c>
      <c r="E140" s="4">
        <v>0</v>
      </c>
      <c r="F140" s="4">
        <v>1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2</v>
      </c>
    </row>
    <row r="141" spans="1:12" x14ac:dyDescent="0.2">
      <c r="A141" s="4">
        <v>3.4</v>
      </c>
      <c r="B141" s="4">
        <v>16</v>
      </c>
      <c r="C141" s="4">
        <v>1</v>
      </c>
      <c r="D141" s="4">
        <v>1</v>
      </c>
      <c r="E141" s="4">
        <v>1</v>
      </c>
      <c r="F141" s="4">
        <v>0</v>
      </c>
      <c r="G141" s="4">
        <v>1</v>
      </c>
      <c r="H141" s="4">
        <v>0</v>
      </c>
      <c r="I141" s="4">
        <v>0</v>
      </c>
      <c r="J141" s="4">
        <v>0</v>
      </c>
      <c r="K141" s="4">
        <v>0</v>
      </c>
      <c r="L141" s="4">
        <v>4</v>
      </c>
    </row>
    <row r="142" spans="1:12" x14ac:dyDescent="0.2">
      <c r="A142" s="4">
        <v>3.4</v>
      </c>
      <c r="B142" s="4">
        <v>12</v>
      </c>
      <c r="C142" s="4">
        <v>26</v>
      </c>
      <c r="D142" s="4">
        <v>15</v>
      </c>
      <c r="E142" s="4">
        <v>1</v>
      </c>
      <c r="F142" s="4">
        <v>1</v>
      </c>
      <c r="G142" s="4">
        <v>1</v>
      </c>
      <c r="H142" s="4">
        <v>1</v>
      </c>
      <c r="I142" s="4">
        <v>0</v>
      </c>
      <c r="J142" s="4">
        <v>0</v>
      </c>
      <c r="K142" s="4">
        <v>1</v>
      </c>
      <c r="L142" s="4">
        <v>3</v>
      </c>
    </row>
    <row r="143" spans="1:12" x14ac:dyDescent="0.2">
      <c r="A143" s="4">
        <v>3.45</v>
      </c>
      <c r="B143" s="4">
        <v>10</v>
      </c>
      <c r="C143" s="4">
        <v>11</v>
      </c>
      <c r="D143" s="4">
        <v>0</v>
      </c>
      <c r="E143" s="4">
        <v>1</v>
      </c>
      <c r="F143" s="4">
        <v>0</v>
      </c>
      <c r="G143" s="4">
        <v>2</v>
      </c>
      <c r="H143" s="4">
        <v>0</v>
      </c>
      <c r="I143" s="4">
        <v>1</v>
      </c>
      <c r="J143" s="4">
        <v>0</v>
      </c>
      <c r="K143" s="4">
        <v>0</v>
      </c>
      <c r="L143" s="4">
        <v>0</v>
      </c>
    </row>
    <row r="144" spans="1:12" x14ac:dyDescent="0.2">
      <c r="A144" s="4">
        <v>3.45</v>
      </c>
      <c r="B144" s="4">
        <v>12</v>
      </c>
      <c r="C144" s="4">
        <v>6</v>
      </c>
      <c r="D144" s="4">
        <v>5</v>
      </c>
      <c r="E144" s="4">
        <v>1</v>
      </c>
      <c r="F144" s="4">
        <v>1</v>
      </c>
      <c r="G144" s="4">
        <v>0</v>
      </c>
      <c r="H144" s="4">
        <v>0</v>
      </c>
      <c r="I144" s="4">
        <v>1</v>
      </c>
      <c r="J144" s="4">
        <v>0</v>
      </c>
      <c r="K144" s="4">
        <v>0</v>
      </c>
      <c r="L144" s="4">
        <v>5</v>
      </c>
    </row>
    <row r="145" spans="1:12" x14ac:dyDescent="0.2">
      <c r="A145" s="4">
        <v>3.5</v>
      </c>
      <c r="B145" s="4">
        <v>12</v>
      </c>
      <c r="C145" s="4">
        <v>6</v>
      </c>
      <c r="D145" s="4">
        <v>2</v>
      </c>
      <c r="E145" s="4">
        <v>1</v>
      </c>
      <c r="F145" s="4">
        <v>0</v>
      </c>
      <c r="G145" s="4">
        <v>1</v>
      </c>
      <c r="H145" s="4">
        <v>0</v>
      </c>
      <c r="I145" s="4">
        <v>0</v>
      </c>
      <c r="J145" s="4">
        <v>0</v>
      </c>
      <c r="K145" s="4">
        <v>0</v>
      </c>
      <c r="L145" s="4">
        <v>4</v>
      </c>
    </row>
    <row r="146" spans="1:12" x14ac:dyDescent="0.2">
      <c r="A146" s="4">
        <v>3.5</v>
      </c>
      <c r="B146" s="4">
        <v>13</v>
      </c>
      <c r="C146" s="4">
        <v>1</v>
      </c>
      <c r="D146" s="4">
        <v>0</v>
      </c>
      <c r="E146" s="4">
        <v>0</v>
      </c>
      <c r="F146" s="4">
        <v>0</v>
      </c>
      <c r="G146" s="4">
        <v>1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</row>
    <row r="147" spans="1:12" x14ac:dyDescent="0.2">
      <c r="A147" s="4">
        <v>3.5</v>
      </c>
      <c r="B147" s="4">
        <v>12</v>
      </c>
      <c r="C147" s="4">
        <v>3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3</v>
      </c>
    </row>
    <row r="148" spans="1:12" x14ac:dyDescent="0.2">
      <c r="A148" s="4">
        <v>3.5</v>
      </c>
      <c r="B148" s="4">
        <v>14</v>
      </c>
      <c r="C148" s="4">
        <v>5</v>
      </c>
      <c r="D148" s="4">
        <v>0</v>
      </c>
      <c r="E148" s="4">
        <v>1</v>
      </c>
      <c r="F148" s="4">
        <v>1</v>
      </c>
      <c r="G148" s="4">
        <v>0</v>
      </c>
      <c r="H148" s="4">
        <v>0</v>
      </c>
      <c r="I148" s="4">
        <v>1</v>
      </c>
      <c r="J148" s="4">
        <v>0</v>
      </c>
      <c r="K148" s="4">
        <v>0</v>
      </c>
      <c r="L148" s="4">
        <v>1</v>
      </c>
    </row>
    <row r="149" spans="1:12" x14ac:dyDescent="0.2">
      <c r="A149" s="4">
        <v>3.5</v>
      </c>
      <c r="B149" s="4">
        <v>12</v>
      </c>
      <c r="C149" s="4">
        <v>7</v>
      </c>
      <c r="D149" s="4">
        <v>6</v>
      </c>
      <c r="E149" s="4">
        <v>1</v>
      </c>
      <c r="F149" s="4">
        <v>1</v>
      </c>
      <c r="G149" s="4">
        <v>0</v>
      </c>
      <c r="H149" s="4">
        <v>1</v>
      </c>
      <c r="I149" s="4">
        <v>0</v>
      </c>
      <c r="J149" s="4">
        <v>0</v>
      </c>
      <c r="K149" s="4">
        <v>0</v>
      </c>
      <c r="L149" s="4">
        <v>4</v>
      </c>
    </row>
    <row r="150" spans="1:12" x14ac:dyDescent="0.2">
      <c r="A150" s="4">
        <v>3.5</v>
      </c>
      <c r="B150" s="4">
        <v>13</v>
      </c>
      <c r="C150" s="4">
        <v>1</v>
      </c>
      <c r="D150" s="4">
        <v>2</v>
      </c>
      <c r="E150" s="4">
        <v>0</v>
      </c>
      <c r="F150" s="4">
        <v>0</v>
      </c>
      <c r="G150" s="4">
        <v>3</v>
      </c>
      <c r="H150" s="4">
        <v>1</v>
      </c>
      <c r="I150" s="4">
        <v>0</v>
      </c>
      <c r="J150" s="4">
        <v>0</v>
      </c>
      <c r="K150" s="4">
        <v>0</v>
      </c>
      <c r="L150" s="4">
        <v>2</v>
      </c>
    </row>
    <row r="151" spans="1:12" x14ac:dyDescent="0.2">
      <c r="A151" s="4">
        <v>3.5</v>
      </c>
      <c r="B151" s="4">
        <v>8</v>
      </c>
      <c r="C151" s="4">
        <v>4</v>
      </c>
      <c r="D151" s="4">
        <v>0</v>
      </c>
      <c r="E151" s="4">
        <v>0</v>
      </c>
      <c r="F151" s="4">
        <v>0</v>
      </c>
      <c r="G151" s="4">
        <v>3</v>
      </c>
      <c r="H151" s="4">
        <v>0</v>
      </c>
      <c r="I151" s="4">
        <v>0</v>
      </c>
      <c r="J151" s="4">
        <v>0</v>
      </c>
      <c r="K151" s="4">
        <v>0</v>
      </c>
      <c r="L151" s="4">
        <v>3</v>
      </c>
    </row>
    <row r="152" spans="1:12" x14ac:dyDescent="0.2">
      <c r="A152" s="4">
        <v>3.5</v>
      </c>
      <c r="B152" s="4">
        <v>12</v>
      </c>
      <c r="C152" s="4">
        <v>20</v>
      </c>
      <c r="D152" s="4">
        <v>4</v>
      </c>
      <c r="E152" s="4">
        <v>1</v>
      </c>
      <c r="F152" s="4">
        <v>1</v>
      </c>
      <c r="G152" s="4">
        <v>2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</row>
    <row r="153" spans="1:12" x14ac:dyDescent="0.2">
      <c r="A153" s="4">
        <v>3.5</v>
      </c>
      <c r="B153" s="4">
        <v>18</v>
      </c>
      <c r="C153" s="4">
        <v>3</v>
      </c>
      <c r="D153" s="4">
        <v>1</v>
      </c>
      <c r="E153" s="4">
        <v>1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1</v>
      </c>
    </row>
    <row r="154" spans="1:12" x14ac:dyDescent="0.2">
      <c r="A154" s="4">
        <v>3.5</v>
      </c>
      <c r="B154" s="4">
        <v>12</v>
      </c>
      <c r="C154" s="4">
        <v>2</v>
      </c>
      <c r="D154" s="4">
        <v>0</v>
      </c>
      <c r="E154" s="4"/>
      <c r="F154" s="4">
        <v>0</v>
      </c>
      <c r="G154" s="4">
        <v>2</v>
      </c>
      <c r="H154" s="4">
        <v>0</v>
      </c>
      <c r="I154" s="4">
        <v>1</v>
      </c>
      <c r="J154" s="4">
        <v>0</v>
      </c>
      <c r="K154" s="4">
        <v>0</v>
      </c>
      <c r="L154" s="4">
        <v>4</v>
      </c>
    </row>
    <row r="155" spans="1:12" x14ac:dyDescent="0.2">
      <c r="A155" s="4">
        <v>3.5</v>
      </c>
      <c r="B155" s="4">
        <v>13</v>
      </c>
      <c r="C155" s="4">
        <v>2</v>
      </c>
      <c r="D155" s="4">
        <v>0</v>
      </c>
      <c r="E155" s="4">
        <v>1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3</v>
      </c>
    </row>
    <row r="156" spans="1:12" x14ac:dyDescent="0.2">
      <c r="A156" s="4">
        <v>3.5</v>
      </c>
      <c r="B156" s="4">
        <v>11</v>
      </c>
      <c r="C156" s="4">
        <v>23</v>
      </c>
      <c r="D156" s="4">
        <v>2</v>
      </c>
      <c r="E156" s="4">
        <v>1</v>
      </c>
      <c r="F156" s="4">
        <v>0</v>
      </c>
      <c r="G156" s="4">
        <v>2</v>
      </c>
      <c r="H156" s="4">
        <v>0</v>
      </c>
      <c r="I156" s="4">
        <v>1</v>
      </c>
      <c r="J156" s="4">
        <v>0</v>
      </c>
      <c r="K156" s="4">
        <v>0</v>
      </c>
      <c r="L156" s="4">
        <v>4</v>
      </c>
    </row>
    <row r="157" spans="1:12" x14ac:dyDescent="0.2">
      <c r="A157" s="4">
        <v>3.5</v>
      </c>
      <c r="B157" s="4">
        <v>14</v>
      </c>
      <c r="C157" s="4">
        <v>18</v>
      </c>
      <c r="D157" s="4">
        <v>2</v>
      </c>
      <c r="E157" s="4">
        <v>0</v>
      </c>
      <c r="F157" s="4">
        <v>1</v>
      </c>
      <c r="G157" s="4">
        <v>1</v>
      </c>
      <c r="H157" s="4">
        <v>1</v>
      </c>
      <c r="I157" s="4">
        <v>0</v>
      </c>
      <c r="J157" s="4">
        <v>0</v>
      </c>
      <c r="K157" s="4">
        <v>0</v>
      </c>
      <c r="L157" s="4">
        <v>4</v>
      </c>
    </row>
    <row r="158" spans="1:12" x14ac:dyDescent="0.2">
      <c r="A158" s="4">
        <v>3.5</v>
      </c>
      <c r="B158" s="4">
        <v>13</v>
      </c>
      <c r="C158" s="4">
        <v>29</v>
      </c>
      <c r="D158" s="4">
        <v>1</v>
      </c>
      <c r="E158" s="4">
        <v>1</v>
      </c>
      <c r="F158" s="4">
        <v>1</v>
      </c>
      <c r="G158" s="4">
        <v>0</v>
      </c>
      <c r="H158" s="4">
        <v>0</v>
      </c>
      <c r="I158" s="4">
        <v>1</v>
      </c>
      <c r="J158" s="4">
        <v>0</v>
      </c>
      <c r="K158" s="4">
        <v>0</v>
      </c>
      <c r="L158" s="4">
        <v>5</v>
      </c>
    </row>
    <row r="159" spans="1:12" x14ac:dyDescent="0.2">
      <c r="A159" s="4">
        <v>3.5</v>
      </c>
      <c r="B159" s="4">
        <v>12</v>
      </c>
      <c r="C159" s="4">
        <v>14</v>
      </c>
      <c r="D159" s="4">
        <v>0</v>
      </c>
      <c r="E159" s="4">
        <v>1</v>
      </c>
      <c r="F159" s="4">
        <v>0</v>
      </c>
      <c r="G159" s="4">
        <v>2</v>
      </c>
      <c r="H159" s="4">
        <v>0</v>
      </c>
      <c r="I159" s="4">
        <v>1</v>
      </c>
      <c r="J159" s="4">
        <v>0</v>
      </c>
      <c r="K159" s="4">
        <v>1</v>
      </c>
      <c r="L159" s="4">
        <v>5</v>
      </c>
    </row>
    <row r="160" spans="1:12" x14ac:dyDescent="0.2">
      <c r="A160" s="4">
        <v>3.5</v>
      </c>
      <c r="B160" s="4">
        <v>12</v>
      </c>
      <c r="C160" s="4">
        <v>26</v>
      </c>
      <c r="D160" s="4">
        <v>20</v>
      </c>
      <c r="E160" s="4">
        <v>1</v>
      </c>
      <c r="F160" s="4">
        <v>1</v>
      </c>
      <c r="G160" s="4">
        <v>0</v>
      </c>
      <c r="H160" s="4">
        <v>0</v>
      </c>
      <c r="I160" s="4">
        <v>1</v>
      </c>
      <c r="J160" s="4">
        <v>0</v>
      </c>
      <c r="K160" s="4">
        <v>0</v>
      </c>
      <c r="L160" s="4">
        <v>4</v>
      </c>
    </row>
    <row r="161" spans="1:12" x14ac:dyDescent="0.2">
      <c r="A161" s="4">
        <v>3.5</v>
      </c>
      <c r="B161" s="4">
        <v>12</v>
      </c>
      <c r="C161" s="4">
        <v>31</v>
      </c>
      <c r="D161" s="4">
        <v>3</v>
      </c>
      <c r="E161" s="4">
        <v>1</v>
      </c>
      <c r="F161" s="4">
        <v>0</v>
      </c>
      <c r="G161" s="4">
        <v>1</v>
      </c>
      <c r="H161" s="4">
        <v>0</v>
      </c>
      <c r="I161" s="4">
        <v>0</v>
      </c>
      <c r="J161" s="4">
        <v>1</v>
      </c>
      <c r="K161" s="4">
        <v>0</v>
      </c>
      <c r="L161" s="4">
        <v>5</v>
      </c>
    </row>
    <row r="162" spans="1:12" x14ac:dyDescent="0.2">
      <c r="A162" s="4">
        <v>3.5</v>
      </c>
      <c r="B162" s="4">
        <v>14</v>
      </c>
      <c r="C162" s="4">
        <v>5</v>
      </c>
      <c r="D162" s="4">
        <v>4</v>
      </c>
      <c r="E162" s="4">
        <v>1</v>
      </c>
      <c r="F162" s="4">
        <v>0</v>
      </c>
      <c r="G162" s="4">
        <v>2</v>
      </c>
      <c r="H162" s="4">
        <v>0</v>
      </c>
      <c r="I162" s="4">
        <v>0</v>
      </c>
      <c r="J162" s="4">
        <v>1</v>
      </c>
      <c r="K162" s="4">
        <v>0</v>
      </c>
      <c r="L162" s="4">
        <v>3</v>
      </c>
    </row>
    <row r="163" spans="1:12" x14ac:dyDescent="0.2">
      <c r="A163" s="4">
        <v>3.51</v>
      </c>
      <c r="B163" s="4">
        <v>4</v>
      </c>
      <c r="C163" s="4">
        <v>39</v>
      </c>
      <c r="D163" s="4">
        <v>15</v>
      </c>
      <c r="E163" s="4">
        <v>0</v>
      </c>
      <c r="F163" s="4">
        <v>1</v>
      </c>
      <c r="G163" s="4">
        <v>5</v>
      </c>
      <c r="H163" s="4">
        <v>0</v>
      </c>
      <c r="I163" s="4">
        <v>0</v>
      </c>
      <c r="J163" s="4">
        <v>1</v>
      </c>
      <c r="K163" s="4">
        <v>0</v>
      </c>
      <c r="L163" s="4"/>
    </row>
    <row r="164" spans="1:12" x14ac:dyDescent="0.2">
      <c r="A164" s="4">
        <v>3.51</v>
      </c>
      <c r="B164" s="4">
        <v>12</v>
      </c>
      <c r="C164" s="4">
        <v>7</v>
      </c>
      <c r="D164" s="4">
        <v>2</v>
      </c>
      <c r="E164" s="4">
        <v>1</v>
      </c>
      <c r="F164" s="4">
        <v>1</v>
      </c>
      <c r="G164" s="4">
        <v>0</v>
      </c>
      <c r="H164" s="4">
        <v>1</v>
      </c>
      <c r="I164" s="4">
        <v>0</v>
      </c>
      <c r="J164" s="4">
        <v>0</v>
      </c>
      <c r="K164" s="4">
        <v>0</v>
      </c>
      <c r="L164" s="4"/>
    </row>
    <row r="165" spans="1:12" x14ac:dyDescent="0.2">
      <c r="A165" s="4">
        <v>3.52</v>
      </c>
      <c r="B165" s="4">
        <v>12</v>
      </c>
      <c r="C165" s="4">
        <v>48</v>
      </c>
      <c r="D165" s="4">
        <v>1</v>
      </c>
      <c r="E165" s="4">
        <v>0</v>
      </c>
      <c r="F165" s="4">
        <v>1</v>
      </c>
      <c r="G165" s="4">
        <v>0</v>
      </c>
      <c r="H165" s="4">
        <v>0</v>
      </c>
      <c r="I165" s="4">
        <v>1</v>
      </c>
      <c r="J165" s="4">
        <v>0</v>
      </c>
      <c r="K165" s="4">
        <v>0</v>
      </c>
      <c r="L165" s="4"/>
    </row>
    <row r="166" spans="1:12" x14ac:dyDescent="0.2">
      <c r="A166" s="4">
        <v>3.54</v>
      </c>
      <c r="B166" s="4">
        <v>13</v>
      </c>
      <c r="C166" s="4">
        <v>6</v>
      </c>
      <c r="D166" s="4">
        <v>7</v>
      </c>
      <c r="E166" s="4">
        <v>1</v>
      </c>
      <c r="F166" s="4">
        <v>1</v>
      </c>
      <c r="G166" s="4">
        <v>0</v>
      </c>
      <c r="H166" s="4">
        <v>1</v>
      </c>
      <c r="I166" s="4">
        <v>0</v>
      </c>
      <c r="J166" s="4">
        <v>0</v>
      </c>
      <c r="K166" s="4">
        <v>0</v>
      </c>
      <c r="L166" s="4"/>
    </row>
    <row r="167" spans="1:12" x14ac:dyDescent="0.2">
      <c r="A167" s="4">
        <v>3.55</v>
      </c>
      <c r="B167" s="4">
        <v>12</v>
      </c>
      <c r="C167" s="4">
        <v>6</v>
      </c>
      <c r="D167" s="4">
        <v>0</v>
      </c>
      <c r="E167" s="4">
        <v>1</v>
      </c>
      <c r="F167" s="4">
        <v>1</v>
      </c>
      <c r="G167" s="4">
        <v>1</v>
      </c>
      <c r="H167" s="4">
        <v>0</v>
      </c>
      <c r="I167" s="4">
        <v>0</v>
      </c>
      <c r="J167" s="4">
        <v>0</v>
      </c>
      <c r="K167" s="4">
        <v>0</v>
      </c>
      <c r="L167" s="4"/>
    </row>
    <row r="168" spans="1:12" x14ac:dyDescent="0.2">
      <c r="A168" s="4">
        <v>3.55</v>
      </c>
      <c r="B168" s="4">
        <v>12</v>
      </c>
      <c r="C168" s="4">
        <v>21</v>
      </c>
      <c r="D168" s="4">
        <v>0</v>
      </c>
      <c r="E168" s="4">
        <v>1</v>
      </c>
      <c r="F168" s="4">
        <v>1</v>
      </c>
      <c r="G168" s="4">
        <v>1</v>
      </c>
      <c r="H168" s="4">
        <v>0</v>
      </c>
      <c r="I168" s="4">
        <v>1</v>
      </c>
      <c r="J168" s="4">
        <v>0</v>
      </c>
      <c r="K168" s="4">
        <v>0</v>
      </c>
      <c r="L168" s="4"/>
    </row>
    <row r="169" spans="1:12" x14ac:dyDescent="0.2">
      <c r="A169" s="4">
        <v>3.58</v>
      </c>
      <c r="B169" s="4">
        <v>12</v>
      </c>
      <c r="C169" s="4">
        <v>13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1</v>
      </c>
      <c r="J169" s="4">
        <v>0</v>
      </c>
      <c r="K169" s="4">
        <v>0</v>
      </c>
      <c r="L169" s="4">
        <v>0</v>
      </c>
    </row>
    <row r="170" spans="1:12" x14ac:dyDescent="0.2">
      <c r="A170" s="4">
        <v>3.6</v>
      </c>
      <c r="B170" s="4">
        <v>12</v>
      </c>
      <c r="C170" s="4">
        <v>26</v>
      </c>
      <c r="D170" s="4">
        <v>4</v>
      </c>
      <c r="E170" s="4">
        <v>1</v>
      </c>
      <c r="F170" s="4">
        <v>0</v>
      </c>
      <c r="G170" s="4">
        <v>2</v>
      </c>
      <c r="H170" s="4">
        <v>0</v>
      </c>
      <c r="I170" s="4">
        <v>0</v>
      </c>
      <c r="J170" s="4">
        <v>1</v>
      </c>
      <c r="K170" s="4">
        <v>0</v>
      </c>
      <c r="L170" s="4">
        <v>3</v>
      </c>
    </row>
    <row r="171" spans="1:12" x14ac:dyDescent="0.2">
      <c r="A171" s="4">
        <v>3.6</v>
      </c>
      <c r="B171" s="4">
        <v>12</v>
      </c>
      <c r="C171" s="4">
        <v>13</v>
      </c>
      <c r="D171" s="4">
        <v>0</v>
      </c>
      <c r="E171" s="4"/>
      <c r="F171" s="4">
        <v>1</v>
      </c>
      <c r="G171" s="4">
        <v>3</v>
      </c>
      <c r="H171" s="4">
        <v>0</v>
      </c>
      <c r="I171" s="4">
        <v>0</v>
      </c>
      <c r="J171" s="4">
        <v>1</v>
      </c>
      <c r="K171" s="4">
        <v>0</v>
      </c>
      <c r="L171" s="4">
        <v>2</v>
      </c>
    </row>
    <row r="172" spans="1:12" x14ac:dyDescent="0.2">
      <c r="A172" s="4">
        <v>3.6</v>
      </c>
      <c r="B172" s="4">
        <v>10</v>
      </c>
      <c r="C172" s="4">
        <v>34</v>
      </c>
      <c r="D172" s="4">
        <v>26</v>
      </c>
      <c r="E172" s="4">
        <v>1</v>
      </c>
      <c r="F172" s="4">
        <v>1</v>
      </c>
      <c r="G172" s="4">
        <v>0</v>
      </c>
      <c r="H172" s="4">
        <v>0</v>
      </c>
      <c r="I172" s="4">
        <v>1</v>
      </c>
      <c r="J172" s="4">
        <v>0</v>
      </c>
      <c r="K172" s="4">
        <v>0</v>
      </c>
      <c r="L172" s="4">
        <v>3</v>
      </c>
    </row>
    <row r="173" spans="1:12" x14ac:dyDescent="0.2">
      <c r="A173" s="4">
        <v>3.64</v>
      </c>
      <c r="B173" s="4">
        <v>12</v>
      </c>
      <c r="C173" s="4">
        <v>7</v>
      </c>
      <c r="D173" s="4">
        <v>2</v>
      </c>
      <c r="E173" s="4">
        <v>0</v>
      </c>
      <c r="F173" s="4">
        <v>0</v>
      </c>
      <c r="G173" s="4">
        <v>0</v>
      </c>
      <c r="H173" s="4">
        <v>0</v>
      </c>
      <c r="I173" s="4">
        <v>1</v>
      </c>
      <c r="J173" s="4">
        <v>0</v>
      </c>
      <c r="K173" s="4">
        <v>0</v>
      </c>
      <c r="L173" s="4">
        <v>0</v>
      </c>
    </row>
    <row r="174" spans="1:12" x14ac:dyDescent="0.2">
      <c r="A174" s="4">
        <v>3.65</v>
      </c>
      <c r="B174" s="4">
        <v>14</v>
      </c>
      <c r="C174" s="4">
        <v>9</v>
      </c>
      <c r="D174" s="4">
        <v>2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1</v>
      </c>
      <c r="K174" s="4">
        <v>0</v>
      </c>
      <c r="L174" s="4">
        <v>4</v>
      </c>
    </row>
    <row r="175" spans="1:12" x14ac:dyDescent="0.2">
      <c r="A175" s="4">
        <v>3.71</v>
      </c>
      <c r="B175" s="4">
        <v>10</v>
      </c>
      <c r="C175" s="4">
        <v>13</v>
      </c>
      <c r="D175" s="4">
        <v>0</v>
      </c>
      <c r="E175" s="4">
        <v>1</v>
      </c>
      <c r="F175" s="4">
        <v>0</v>
      </c>
      <c r="G175" s="4">
        <v>4</v>
      </c>
      <c r="H175" s="4">
        <v>0</v>
      </c>
      <c r="I175" s="4">
        <v>0</v>
      </c>
      <c r="J175" s="4">
        <v>0</v>
      </c>
      <c r="K175" s="4">
        <v>0</v>
      </c>
      <c r="L175" s="4">
        <v>5</v>
      </c>
    </row>
    <row r="176" spans="1:12" x14ac:dyDescent="0.2">
      <c r="A176" s="4">
        <v>3.71</v>
      </c>
      <c r="B176" s="4">
        <v>9</v>
      </c>
      <c r="C176" s="4">
        <v>14</v>
      </c>
      <c r="D176" s="4">
        <v>7</v>
      </c>
      <c r="E176" s="4">
        <v>0</v>
      </c>
      <c r="F176" s="4">
        <v>1</v>
      </c>
      <c r="G176" s="4">
        <v>2</v>
      </c>
      <c r="H176" s="4">
        <v>0</v>
      </c>
      <c r="I176" s="4">
        <v>1</v>
      </c>
      <c r="J176" s="4">
        <v>0</v>
      </c>
      <c r="K176" s="4">
        <v>0</v>
      </c>
      <c r="L176" s="4">
        <v>5</v>
      </c>
    </row>
    <row r="177" spans="1:12" x14ac:dyDescent="0.2">
      <c r="A177" s="4">
        <v>3.73</v>
      </c>
      <c r="B177" s="4">
        <v>9</v>
      </c>
      <c r="C177" s="4">
        <v>33</v>
      </c>
      <c r="D177" s="4">
        <v>2</v>
      </c>
      <c r="E177" s="4"/>
      <c r="F177" s="4">
        <v>0</v>
      </c>
      <c r="G177" s="4">
        <v>1</v>
      </c>
      <c r="H177" s="4">
        <v>1</v>
      </c>
      <c r="I177" s="4">
        <v>0</v>
      </c>
      <c r="J177" s="4">
        <v>0</v>
      </c>
      <c r="K177" s="4">
        <v>0</v>
      </c>
      <c r="L177" s="4">
        <v>1</v>
      </c>
    </row>
    <row r="178" spans="1:12" x14ac:dyDescent="0.2">
      <c r="A178" s="4">
        <v>3.75</v>
      </c>
      <c r="B178" s="4">
        <v>12</v>
      </c>
      <c r="C178" s="4">
        <v>7</v>
      </c>
      <c r="D178" s="4">
        <v>0</v>
      </c>
      <c r="E178" s="4">
        <v>1</v>
      </c>
      <c r="F178" s="4">
        <v>1</v>
      </c>
      <c r="G178" s="4">
        <v>0</v>
      </c>
      <c r="H178" s="4">
        <v>0</v>
      </c>
      <c r="I178" s="4">
        <v>0</v>
      </c>
      <c r="J178" s="4">
        <v>0</v>
      </c>
      <c r="K178" s="4">
        <v>1</v>
      </c>
      <c r="L178" s="4">
        <v>0</v>
      </c>
    </row>
    <row r="179" spans="1:12" x14ac:dyDescent="0.2">
      <c r="A179" s="4">
        <v>3.75</v>
      </c>
      <c r="B179" s="4">
        <v>12</v>
      </c>
      <c r="C179" s="4">
        <v>14</v>
      </c>
      <c r="D179" s="4">
        <v>0</v>
      </c>
      <c r="E179" s="4">
        <v>1</v>
      </c>
      <c r="F179" s="4">
        <v>1</v>
      </c>
      <c r="G179" s="4">
        <v>3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</row>
    <row r="180" spans="1:12" x14ac:dyDescent="0.2">
      <c r="A180" s="4">
        <v>3.75</v>
      </c>
      <c r="B180" s="4">
        <v>10</v>
      </c>
      <c r="C180" s="4">
        <v>15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4</v>
      </c>
    </row>
    <row r="181" spans="1:12" x14ac:dyDescent="0.2">
      <c r="A181" s="4">
        <v>3.75</v>
      </c>
      <c r="B181" s="4">
        <v>2</v>
      </c>
      <c r="C181" s="4">
        <v>39</v>
      </c>
      <c r="D181" s="4">
        <v>13</v>
      </c>
      <c r="E181" s="4">
        <v>0</v>
      </c>
      <c r="F181" s="4">
        <v>1</v>
      </c>
      <c r="G181" s="4">
        <v>0</v>
      </c>
      <c r="H181" s="4">
        <v>0</v>
      </c>
      <c r="I181" s="4">
        <v>1</v>
      </c>
      <c r="J181" s="4">
        <v>0</v>
      </c>
      <c r="K181" s="4">
        <v>0</v>
      </c>
      <c r="L181" s="4">
        <v>5</v>
      </c>
    </row>
    <row r="182" spans="1:12" x14ac:dyDescent="0.2">
      <c r="A182" s="4">
        <v>3.75</v>
      </c>
      <c r="B182" s="4">
        <v>12</v>
      </c>
      <c r="C182" s="4">
        <v>11</v>
      </c>
      <c r="D182" s="4">
        <v>0</v>
      </c>
      <c r="E182" s="4">
        <v>0</v>
      </c>
      <c r="F182" s="4">
        <v>0</v>
      </c>
      <c r="G182" s="4">
        <v>1</v>
      </c>
      <c r="H182" s="4">
        <v>0</v>
      </c>
      <c r="I182" s="4">
        <v>1</v>
      </c>
      <c r="J182" s="4">
        <v>0</v>
      </c>
      <c r="K182" s="4">
        <v>0</v>
      </c>
      <c r="L182" s="4">
        <v>0</v>
      </c>
    </row>
    <row r="183" spans="1:12" x14ac:dyDescent="0.2">
      <c r="A183" s="4">
        <v>3.75</v>
      </c>
      <c r="B183" s="4">
        <v>18</v>
      </c>
      <c r="C183" s="4">
        <v>1</v>
      </c>
      <c r="D183" s="4">
        <v>2</v>
      </c>
      <c r="E183" s="4">
        <v>0</v>
      </c>
      <c r="F183" s="4">
        <v>0</v>
      </c>
      <c r="G183" s="4">
        <v>1</v>
      </c>
      <c r="H183" s="4">
        <v>1</v>
      </c>
      <c r="I183" s="4">
        <v>0</v>
      </c>
      <c r="J183" s="4">
        <v>0</v>
      </c>
      <c r="K183" s="4">
        <v>0</v>
      </c>
      <c r="L183" s="4">
        <v>2</v>
      </c>
    </row>
    <row r="184" spans="1:12" x14ac:dyDescent="0.2">
      <c r="A184" s="4">
        <v>3.75</v>
      </c>
      <c r="B184" s="4">
        <v>12</v>
      </c>
      <c r="C184" s="4">
        <v>18</v>
      </c>
      <c r="D184" s="4">
        <v>0</v>
      </c>
      <c r="E184" s="4">
        <v>1</v>
      </c>
      <c r="F184" s="4">
        <v>1</v>
      </c>
      <c r="G184" s="4">
        <v>4</v>
      </c>
      <c r="H184" s="4">
        <v>1</v>
      </c>
      <c r="I184" s="4">
        <v>0</v>
      </c>
      <c r="J184" s="4">
        <v>0</v>
      </c>
      <c r="K184" s="4">
        <v>0</v>
      </c>
      <c r="L184" s="4"/>
    </row>
    <row r="185" spans="1:12" x14ac:dyDescent="0.2">
      <c r="A185" s="4">
        <v>3.75</v>
      </c>
      <c r="B185" s="4"/>
      <c r="C185" s="4">
        <v>5</v>
      </c>
      <c r="D185" s="4">
        <v>2</v>
      </c>
      <c r="E185" s="4">
        <v>1</v>
      </c>
      <c r="F185" s="4">
        <v>1</v>
      </c>
      <c r="G185" s="4">
        <v>1</v>
      </c>
      <c r="H185" s="4">
        <v>0</v>
      </c>
      <c r="I185" s="4">
        <v>1</v>
      </c>
      <c r="J185" s="4">
        <v>0</v>
      </c>
      <c r="K185" s="4">
        <v>0</v>
      </c>
      <c r="L185" s="4"/>
    </row>
    <row r="186" spans="1:12" x14ac:dyDescent="0.2">
      <c r="A186" s="4">
        <v>3.75</v>
      </c>
      <c r="B186" s="4"/>
      <c r="C186" s="4">
        <v>13</v>
      </c>
      <c r="D186" s="4">
        <v>0</v>
      </c>
      <c r="E186" s="4">
        <v>1</v>
      </c>
      <c r="F186" s="4">
        <v>1</v>
      </c>
      <c r="G186" s="4">
        <v>3</v>
      </c>
      <c r="H186" s="4">
        <v>1</v>
      </c>
      <c r="I186" s="4">
        <v>0</v>
      </c>
      <c r="J186" s="4">
        <v>0</v>
      </c>
      <c r="K186" s="4">
        <v>0</v>
      </c>
      <c r="L186" s="4"/>
    </row>
    <row r="187" spans="1:12" x14ac:dyDescent="0.2">
      <c r="A187" s="4">
        <v>3.75</v>
      </c>
      <c r="B187" s="4"/>
      <c r="C187" s="4">
        <v>8</v>
      </c>
      <c r="D187" s="4">
        <v>4</v>
      </c>
      <c r="E187" s="4">
        <v>1</v>
      </c>
      <c r="F187" s="4">
        <v>1</v>
      </c>
      <c r="G187" s="4">
        <v>0</v>
      </c>
      <c r="H187" s="4">
        <v>0</v>
      </c>
      <c r="I187" s="4">
        <v>1</v>
      </c>
      <c r="J187" s="4">
        <v>0</v>
      </c>
      <c r="K187" s="4">
        <v>0</v>
      </c>
      <c r="L187" s="4"/>
    </row>
    <row r="188" spans="1:12" x14ac:dyDescent="0.2">
      <c r="A188" s="4">
        <v>3.75</v>
      </c>
      <c r="B188" s="4">
        <v>12</v>
      </c>
      <c r="C188" s="4">
        <v>39</v>
      </c>
      <c r="D188" s="4">
        <v>2</v>
      </c>
      <c r="E188" s="4">
        <v>1</v>
      </c>
      <c r="F188" s="4">
        <v>1</v>
      </c>
      <c r="G188" s="4">
        <v>0</v>
      </c>
      <c r="H188" s="4">
        <v>1</v>
      </c>
      <c r="I188" s="4">
        <v>0</v>
      </c>
      <c r="J188" s="4">
        <v>0</v>
      </c>
      <c r="K188" s="4">
        <v>0</v>
      </c>
      <c r="L188" s="4"/>
    </row>
    <row r="189" spans="1:12" x14ac:dyDescent="0.2">
      <c r="A189" s="4">
        <v>3.76</v>
      </c>
      <c r="B189" s="4">
        <v>6</v>
      </c>
      <c r="C189" s="4">
        <v>6</v>
      </c>
      <c r="D189" s="4">
        <v>0</v>
      </c>
      <c r="E189" s="4">
        <v>0</v>
      </c>
      <c r="F189" s="4">
        <v>0</v>
      </c>
      <c r="G189" s="4">
        <v>4</v>
      </c>
      <c r="H189" s="4">
        <v>0</v>
      </c>
      <c r="I189" s="4">
        <v>1</v>
      </c>
      <c r="J189" s="4">
        <v>0</v>
      </c>
      <c r="K189" s="4">
        <v>0</v>
      </c>
      <c r="L189" s="4"/>
    </row>
    <row r="190" spans="1:12" x14ac:dyDescent="0.2">
      <c r="A190" s="4">
        <v>3.8</v>
      </c>
      <c r="B190" s="4">
        <v>15</v>
      </c>
      <c r="C190" s="4">
        <v>6</v>
      </c>
      <c r="D190" s="4">
        <v>1</v>
      </c>
      <c r="E190" s="4">
        <v>0</v>
      </c>
      <c r="F190" s="4">
        <v>1</v>
      </c>
      <c r="G190" s="4">
        <v>1</v>
      </c>
      <c r="H190" s="4">
        <v>0</v>
      </c>
      <c r="I190" s="4">
        <v>1</v>
      </c>
      <c r="J190" s="4">
        <v>0</v>
      </c>
      <c r="K190" s="4">
        <v>0</v>
      </c>
      <c r="L190" s="4"/>
    </row>
    <row r="191" spans="1:12" x14ac:dyDescent="0.2">
      <c r="A191" s="4">
        <v>3.81</v>
      </c>
      <c r="B191" s="4">
        <v>12</v>
      </c>
      <c r="C191" s="4">
        <v>8</v>
      </c>
      <c r="D191" s="4">
        <v>1</v>
      </c>
      <c r="E191" s="4">
        <v>1</v>
      </c>
      <c r="F191" s="4">
        <v>1</v>
      </c>
      <c r="G191" s="4">
        <v>2</v>
      </c>
      <c r="H191" s="4">
        <v>1</v>
      </c>
      <c r="I191" s="4">
        <v>0</v>
      </c>
      <c r="J191" s="4">
        <v>0</v>
      </c>
      <c r="K191" s="4">
        <v>0</v>
      </c>
      <c r="L191" s="4"/>
    </row>
    <row r="192" spans="1:12" x14ac:dyDescent="0.2">
      <c r="A192" s="4">
        <v>3.83</v>
      </c>
      <c r="B192" s="4">
        <v>12</v>
      </c>
      <c r="C192" s="4">
        <v>18</v>
      </c>
      <c r="D192" s="4">
        <v>2</v>
      </c>
      <c r="E192" s="4">
        <v>1</v>
      </c>
      <c r="F192" s="4">
        <v>0</v>
      </c>
      <c r="G192" s="4">
        <v>3</v>
      </c>
      <c r="H192" s="4">
        <v>0</v>
      </c>
      <c r="I192" s="4">
        <v>1</v>
      </c>
      <c r="J192" s="4">
        <v>0</v>
      </c>
      <c r="K192" s="4">
        <v>0</v>
      </c>
      <c r="L192" s="4">
        <v>3</v>
      </c>
    </row>
    <row r="193" spans="1:12" x14ac:dyDescent="0.2">
      <c r="A193" s="4">
        <v>3.85</v>
      </c>
      <c r="B193" s="4">
        <v>16</v>
      </c>
      <c r="C193" s="4">
        <v>5</v>
      </c>
      <c r="D193" s="4">
        <v>0</v>
      </c>
      <c r="E193" s="4">
        <v>0</v>
      </c>
      <c r="F193" s="4">
        <v>1</v>
      </c>
      <c r="G193" s="4">
        <v>0</v>
      </c>
      <c r="H193" s="4">
        <v>1</v>
      </c>
      <c r="I193" s="4">
        <v>0</v>
      </c>
      <c r="J193" s="4">
        <v>0</v>
      </c>
      <c r="K193" s="4">
        <v>0</v>
      </c>
      <c r="L193" s="4">
        <v>5</v>
      </c>
    </row>
    <row r="194" spans="1:12" x14ac:dyDescent="0.2">
      <c r="A194" s="4">
        <v>3.88</v>
      </c>
      <c r="B194" s="4">
        <v>12</v>
      </c>
      <c r="C194" s="4">
        <v>12</v>
      </c>
      <c r="D194" s="4">
        <v>3</v>
      </c>
      <c r="E194" s="4">
        <v>0</v>
      </c>
      <c r="F194" s="4">
        <v>1</v>
      </c>
      <c r="G194" s="4">
        <v>3</v>
      </c>
      <c r="H194" s="4">
        <v>0</v>
      </c>
      <c r="I194" s="4">
        <v>1</v>
      </c>
      <c r="J194" s="4">
        <v>0</v>
      </c>
      <c r="K194" s="4">
        <v>0</v>
      </c>
      <c r="L194" s="4">
        <v>5</v>
      </c>
    </row>
    <row r="195" spans="1:12" x14ac:dyDescent="0.2">
      <c r="A195" s="4">
        <v>3.91</v>
      </c>
      <c r="B195" s="4">
        <v>18</v>
      </c>
      <c r="C195" s="4">
        <v>17</v>
      </c>
      <c r="D195" s="4">
        <v>3</v>
      </c>
      <c r="E195" s="4">
        <v>0</v>
      </c>
      <c r="F195" s="4">
        <v>1</v>
      </c>
      <c r="G195" s="4">
        <v>2</v>
      </c>
      <c r="H195" s="4">
        <v>0</v>
      </c>
      <c r="I195" s="4">
        <v>1</v>
      </c>
      <c r="J195" s="4">
        <v>0</v>
      </c>
      <c r="K195" s="4">
        <v>0</v>
      </c>
      <c r="L195" s="4">
        <v>1</v>
      </c>
    </row>
    <row r="196" spans="1:12" x14ac:dyDescent="0.2">
      <c r="A196" s="4">
        <v>3.95</v>
      </c>
      <c r="B196" s="4">
        <v>6</v>
      </c>
      <c r="C196" s="4">
        <v>49</v>
      </c>
      <c r="D196" s="4">
        <v>6</v>
      </c>
      <c r="E196" s="4">
        <v>0</v>
      </c>
      <c r="F196" s="4">
        <v>1</v>
      </c>
      <c r="G196" s="4">
        <v>6</v>
      </c>
      <c r="H196" s="4">
        <v>0</v>
      </c>
      <c r="I196" s="4">
        <v>1</v>
      </c>
      <c r="J196" s="4">
        <v>0</v>
      </c>
      <c r="K196" s="4">
        <v>0</v>
      </c>
      <c r="L196" s="4">
        <v>2</v>
      </c>
    </row>
    <row r="197" spans="1:12" x14ac:dyDescent="0.2">
      <c r="A197" s="4">
        <v>4</v>
      </c>
      <c r="B197" s="4">
        <v>11</v>
      </c>
      <c r="C197" s="4">
        <v>45</v>
      </c>
      <c r="D197" s="4">
        <v>12</v>
      </c>
      <c r="E197" s="4">
        <v>1</v>
      </c>
      <c r="F197" s="4">
        <v>1</v>
      </c>
      <c r="G197" s="4">
        <v>0</v>
      </c>
      <c r="H197" s="4">
        <v>0</v>
      </c>
      <c r="I197" s="4">
        <v>0</v>
      </c>
      <c r="J197" s="4">
        <v>1</v>
      </c>
      <c r="K197" s="4">
        <v>0</v>
      </c>
      <c r="L197" s="4">
        <v>5</v>
      </c>
    </row>
    <row r="198" spans="1:12" x14ac:dyDescent="0.2">
      <c r="A198" s="4">
        <v>4</v>
      </c>
      <c r="B198" s="4">
        <v>12</v>
      </c>
      <c r="C198" s="4">
        <v>28</v>
      </c>
      <c r="D198" s="4">
        <v>0</v>
      </c>
      <c r="E198" s="4">
        <v>1</v>
      </c>
      <c r="F198" s="4">
        <v>1</v>
      </c>
      <c r="G198" s="4">
        <v>1</v>
      </c>
      <c r="H198" s="4">
        <v>0</v>
      </c>
      <c r="I198" s="4">
        <v>0</v>
      </c>
      <c r="J198" s="4">
        <v>0</v>
      </c>
      <c r="K198" s="4">
        <v>0</v>
      </c>
      <c r="L198" s="4">
        <v>2</v>
      </c>
    </row>
    <row r="199" spans="1:12" x14ac:dyDescent="0.2">
      <c r="A199" s="4">
        <v>4</v>
      </c>
      <c r="B199" s="4">
        <v>9</v>
      </c>
      <c r="C199" s="4">
        <v>19</v>
      </c>
      <c r="D199" s="4">
        <v>1</v>
      </c>
      <c r="E199" s="4">
        <v>1</v>
      </c>
      <c r="F199" s="4">
        <v>1</v>
      </c>
      <c r="G199" s="4">
        <v>1</v>
      </c>
      <c r="H199" s="4">
        <v>0</v>
      </c>
      <c r="I199" s="4">
        <v>0</v>
      </c>
      <c r="J199" s="4">
        <v>0</v>
      </c>
      <c r="K199" s="4">
        <v>0</v>
      </c>
      <c r="L199" s="4">
        <v>5</v>
      </c>
    </row>
    <row r="200" spans="1:12" x14ac:dyDescent="0.2">
      <c r="A200" s="4">
        <v>4</v>
      </c>
      <c r="B200" s="4">
        <v>12</v>
      </c>
      <c r="C200" s="4">
        <v>22</v>
      </c>
      <c r="D200" s="4">
        <v>11</v>
      </c>
      <c r="E200" s="4">
        <v>1</v>
      </c>
      <c r="F200" s="4">
        <v>1</v>
      </c>
      <c r="G200" s="4">
        <v>2</v>
      </c>
      <c r="H200" s="4">
        <v>1</v>
      </c>
      <c r="I200" s="4">
        <v>0</v>
      </c>
      <c r="J200" s="4">
        <v>0</v>
      </c>
      <c r="K200" s="4">
        <v>0</v>
      </c>
      <c r="L200" s="4">
        <v>5</v>
      </c>
    </row>
    <row r="201" spans="1:12" x14ac:dyDescent="0.2">
      <c r="A201" s="4">
        <v>4</v>
      </c>
      <c r="B201" s="4">
        <v>14</v>
      </c>
      <c r="C201" s="4">
        <v>22</v>
      </c>
      <c r="D201" s="4">
        <v>3</v>
      </c>
      <c r="E201" s="4">
        <v>1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1</v>
      </c>
      <c r="L201" s="4">
        <v>1</v>
      </c>
    </row>
    <row r="202" spans="1:12" x14ac:dyDescent="0.2">
      <c r="A202" s="4">
        <v>4</v>
      </c>
      <c r="B202" s="4">
        <v>12</v>
      </c>
      <c r="C202" s="4">
        <v>10</v>
      </c>
      <c r="D202" s="4">
        <v>1</v>
      </c>
      <c r="E202" s="4">
        <v>1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</row>
    <row r="203" spans="1:12" x14ac:dyDescent="0.2">
      <c r="A203" s="4">
        <v>4</v>
      </c>
      <c r="B203" s="4">
        <v>12</v>
      </c>
      <c r="C203" s="4">
        <v>9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1</v>
      </c>
      <c r="J203" s="4">
        <v>0</v>
      </c>
      <c r="K203" s="4">
        <v>0</v>
      </c>
      <c r="L203" s="4"/>
    </row>
    <row r="204" spans="1:12" x14ac:dyDescent="0.2">
      <c r="A204" s="4">
        <v>4</v>
      </c>
      <c r="B204" s="4">
        <v>12</v>
      </c>
      <c r="C204" s="4">
        <v>43</v>
      </c>
      <c r="D204" s="4">
        <v>6</v>
      </c>
      <c r="E204" s="4">
        <v>1</v>
      </c>
      <c r="F204" s="4">
        <v>1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/>
    </row>
    <row r="205" spans="1:12" x14ac:dyDescent="0.2">
      <c r="A205" s="4">
        <v>4</v>
      </c>
      <c r="B205" s="4">
        <v>10</v>
      </c>
      <c r="C205" s="4">
        <v>34</v>
      </c>
      <c r="D205" s="4">
        <v>12</v>
      </c>
      <c r="E205" s="4">
        <v>0</v>
      </c>
      <c r="F205" s="4">
        <v>1</v>
      </c>
      <c r="G205" s="4">
        <v>0</v>
      </c>
      <c r="H205" s="4">
        <v>1</v>
      </c>
      <c r="I205" s="4">
        <v>0</v>
      </c>
      <c r="J205" s="4">
        <v>0</v>
      </c>
      <c r="K205" s="4">
        <v>0</v>
      </c>
      <c r="L205" s="4"/>
    </row>
    <row r="206" spans="1:12" x14ac:dyDescent="0.2">
      <c r="A206" s="4">
        <v>4</v>
      </c>
      <c r="B206" s="4">
        <v>12</v>
      </c>
      <c r="C206" s="4">
        <v>8</v>
      </c>
      <c r="D206" s="4">
        <v>0</v>
      </c>
      <c r="E206" s="4">
        <v>1</v>
      </c>
      <c r="F206" s="4">
        <v>1</v>
      </c>
      <c r="G206" s="4">
        <v>2</v>
      </c>
      <c r="H206" s="4">
        <v>1</v>
      </c>
      <c r="I206" s="4">
        <v>0</v>
      </c>
      <c r="J206" s="4">
        <v>0</v>
      </c>
      <c r="K206" s="4">
        <v>0</v>
      </c>
      <c r="L206" s="4"/>
    </row>
    <row r="207" spans="1:12" x14ac:dyDescent="0.2">
      <c r="A207" s="4">
        <v>4</v>
      </c>
      <c r="B207" s="4">
        <v>12</v>
      </c>
      <c r="C207" s="4">
        <v>5</v>
      </c>
      <c r="D207" s="4">
        <v>2</v>
      </c>
      <c r="E207" s="4">
        <v>0</v>
      </c>
      <c r="F207" s="4">
        <v>1</v>
      </c>
      <c r="G207" s="4">
        <v>0</v>
      </c>
      <c r="H207" s="4">
        <v>0</v>
      </c>
      <c r="I207" s="4">
        <v>1</v>
      </c>
      <c r="J207" s="4">
        <v>0</v>
      </c>
      <c r="K207" s="4">
        <v>1</v>
      </c>
      <c r="L207" s="4"/>
    </row>
    <row r="208" spans="1:12" x14ac:dyDescent="0.2">
      <c r="A208" s="4">
        <v>4</v>
      </c>
      <c r="B208" s="4">
        <v>12</v>
      </c>
      <c r="C208" s="4">
        <v>22</v>
      </c>
      <c r="D208" s="4">
        <v>3</v>
      </c>
      <c r="E208" s="4">
        <v>0</v>
      </c>
      <c r="F208" s="4">
        <v>1</v>
      </c>
      <c r="G208" s="4">
        <v>3</v>
      </c>
      <c r="H208" s="4">
        <v>0</v>
      </c>
      <c r="I208" s="4">
        <v>1</v>
      </c>
      <c r="J208" s="4">
        <v>0</v>
      </c>
      <c r="K208" s="4">
        <v>0</v>
      </c>
      <c r="L208" s="4"/>
    </row>
    <row r="209" spans="1:12" x14ac:dyDescent="0.2">
      <c r="A209" s="4">
        <v>4</v>
      </c>
      <c r="B209" s="4">
        <v>10</v>
      </c>
      <c r="C209" s="4">
        <v>2</v>
      </c>
      <c r="D209" s="4">
        <v>0</v>
      </c>
      <c r="E209" s="4">
        <v>1</v>
      </c>
      <c r="F209" s="4">
        <v>0</v>
      </c>
      <c r="G209" s="4">
        <v>1</v>
      </c>
      <c r="H209" s="4">
        <v>0</v>
      </c>
      <c r="I209" s="4">
        <v>0</v>
      </c>
      <c r="J209" s="4">
        <v>1</v>
      </c>
      <c r="K209" s="4">
        <v>0</v>
      </c>
      <c r="L209" s="4">
        <v>0</v>
      </c>
    </row>
    <row r="210" spans="1:12" x14ac:dyDescent="0.2">
      <c r="A210" s="4">
        <v>4</v>
      </c>
      <c r="B210" s="4">
        <v>9</v>
      </c>
      <c r="C210" s="4">
        <v>22</v>
      </c>
      <c r="D210" s="4">
        <v>18</v>
      </c>
      <c r="E210" s="4">
        <v>0</v>
      </c>
      <c r="F210" s="4">
        <v>0</v>
      </c>
      <c r="G210" s="4">
        <v>0</v>
      </c>
      <c r="H210" s="4">
        <v>0</v>
      </c>
      <c r="I210" s="4">
        <v>1</v>
      </c>
      <c r="J210" s="4">
        <v>0</v>
      </c>
      <c r="K210" s="4">
        <v>0</v>
      </c>
      <c r="L210" s="4">
        <v>2</v>
      </c>
    </row>
    <row r="211" spans="1:12" x14ac:dyDescent="0.2">
      <c r="A211" s="4">
        <v>4</v>
      </c>
      <c r="B211" s="4">
        <v>13</v>
      </c>
      <c r="C211" s="4">
        <v>6</v>
      </c>
      <c r="D211" s="4">
        <v>0</v>
      </c>
      <c r="E211" s="4">
        <v>1</v>
      </c>
      <c r="F211" s="4">
        <v>0</v>
      </c>
      <c r="G211" s="4">
        <v>1</v>
      </c>
      <c r="H211" s="4">
        <v>1</v>
      </c>
      <c r="I211" s="4">
        <v>0</v>
      </c>
      <c r="J211" s="4">
        <v>0</v>
      </c>
      <c r="K211" s="4">
        <v>1</v>
      </c>
      <c r="L211" s="4"/>
    </row>
    <row r="212" spans="1:12" x14ac:dyDescent="0.2">
      <c r="A212" s="4">
        <v>4.05</v>
      </c>
      <c r="B212" s="4">
        <v>8</v>
      </c>
      <c r="C212" s="4">
        <v>44</v>
      </c>
      <c r="D212" s="4">
        <v>25</v>
      </c>
      <c r="E212" s="4">
        <v>0</v>
      </c>
      <c r="F212" s="4">
        <v>1</v>
      </c>
      <c r="G212" s="4">
        <v>0</v>
      </c>
      <c r="H212" s="4">
        <v>1</v>
      </c>
      <c r="I212" s="4">
        <v>0</v>
      </c>
      <c r="J212" s="4">
        <v>0</v>
      </c>
      <c r="K212" s="4">
        <v>0</v>
      </c>
      <c r="L212" s="4">
        <v>1</v>
      </c>
    </row>
    <row r="213" spans="1:12" x14ac:dyDescent="0.2">
      <c r="A213" s="4">
        <v>4.05</v>
      </c>
      <c r="B213" s="4">
        <v>9</v>
      </c>
      <c r="C213" s="4">
        <v>7</v>
      </c>
      <c r="D213" s="4">
        <v>4</v>
      </c>
      <c r="E213" s="4">
        <v>1</v>
      </c>
      <c r="F213" s="4">
        <v>1</v>
      </c>
      <c r="G213" s="4">
        <v>1</v>
      </c>
      <c r="H213" s="4">
        <v>0</v>
      </c>
      <c r="I213" s="4">
        <v>1</v>
      </c>
      <c r="J213" s="4">
        <v>0</v>
      </c>
      <c r="K213" s="4">
        <v>0</v>
      </c>
      <c r="L213" s="4">
        <v>3</v>
      </c>
    </row>
    <row r="214" spans="1:12" x14ac:dyDescent="0.2">
      <c r="A214" s="4">
        <v>4.08</v>
      </c>
      <c r="B214" s="4">
        <v>12</v>
      </c>
      <c r="C214" s="4">
        <v>43</v>
      </c>
      <c r="D214" s="4">
        <v>17</v>
      </c>
      <c r="E214" s="4"/>
      <c r="F214" s="4">
        <v>1</v>
      </c>
      <c r="G214" s="4">
        <v>0</v>
      </c>
      <c r="H214" s="4">
        <v>1</v>
      </c>
      <c r="I214" s="4">
        <v>0</v>
      </c>
      <c r="J214" s="4">
        <v>0</v>
      </c>
      <c r="K214" s="4">
        <v>0</v>
      </c>
      <c r="L214" s="4">
        <v>1</v>
      </c>
    </row>
    <row r="215" spans="1:12" x14ac:dyDescent="0.2">
      <c r="A215" s="4">
        <v>4.0999999999999996</v>
      </c>
      <c r="B215" s="4">
        <v>16</v>
      </c>
      <c r="C215" s="4">
        <v>5</v>
      </c>
      <c r="D215" s="4">
        <v>0</v>
      </c>
      <c r="E215" s="4">
        <v>1</v>
      </c>
      <c r="F215" s="4">
        <v>1</v>
      </c>
      <c r="G215" s="4">
        <v>0</v>
      </c>
      <c r="H215" s="4">
        <v>1</v>
      </c>
      <c r="I215" s="4">
        <v>0</v>
      </c>
      <c r="J215" s="4">
        <v>0</v>
      </c>
      <c r="K215" s="4">
        <v>0</v>
      </c>
      <c r="L215" s="4"/>
    </row>
    <row r="216" spans="1:12" x14ac:dyDescent="0.2">
      <c r="A216" s="4">
        <v>4.0999999999999996</v>
      </c>
      <c r="B216" s="4">
        <v>14</v>
      </c>
      <c r="C216" s="4">
        <v>6</v>
      </c>
      <c r="D216" s="4">
        <v>0</v>
      </c>
      <c r="E216" s="4">
        <v>1</v>
      </c>
      <c r="F216" s="4">
        <v>1</v>
      </c>
      <c r="G216" s="4">
        <v>0</v>
      </c>
      <c r="H216" s="4">
        <v>0</v>
      </c>
      <c r="I216" s="4">
        <v>1</v>
      </c>
      <c r="J216" s="4">
        <v>0</v>
      </c>
      <c r="K216" s="4">
        <v>0</v>
      </c>
      <c r="L216" s="4">
        <v>5</v>
      </c>
    </row>
    <row r="217" spans="1:12" x14ac:dyDescent="0.2">
      <c r="A217" s="4">
        <v>4.0999999999999996</v>
      </c>
      <c r="B217" s="4">
        <v>12</v>
      </c>
      <c r="C217" s="4">
        <v>3</v>
      </c>
      <c r="D217" s="4">
        <v>2</v>
      </c>
      <c r="E217" s="4">
        <v>1</v>
      </c>
      <c r="F217" s="4">
        <v>0</v>
      </c>
      <c r="G217" s="4">
        <v>0</v>
      </c>
      <c r="H217" s="4">
        <v>1</v>
      </c>
      <c r="I217" s="4">
        <v>0</v>
      </c>
      <c r="J217" s="4">
        <v>0</v>
      </c>
      <c r="K217" s="4">
        <v>0</v>
      </c>
      <c r="L217" s="4">
        <v>3</v>
      </c>
    </row>
    <row r="218" spans="1:12" x14ac:dyDescent="0.2">
      <c r="A218" s="4">
        <v>4.1100000000000003</v>
      </c>
      <c r="B218" s="4">
        <v>14</v>
      </c>
      <c r="C218" s="4">
        <v>5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1</v>
      </c>
      <c r="J218" s="4">
        <v>0</v>
      </c>
      <c r="K218" s="4">
        <v>0</v>
      </c>
      <c r="L218" s="4">
        <v>5</v>
      </c>
    </row>
    <row r="219" spans="1:12" x14ac:dyDescent="0.2">
      <c r="A219" s="4">
        <v>4.1399999999999997</v>
      </c>
      <c r="B219" s="4">
        <v>13</v>
      </c>
      <c r="C219" s="4">
        <v>29</v>
      </c>
      <c r="D219" s="4">
        <v>0</v>
      </c>
      <c r="E219" s="4">
        <v>1</v>
      </c>
      <c r="F219" s="4">
        <v>1</v>
      </c>
      <c r="G219" s="4">
        <v>0</v>
      </c>
      <c r="H219" s="4">
        <v>0</v>
      </c>
      <c r="I219" s="4">
        <v>1</v>
      </c>
      <c r="J219" s="4">
        <v>0</v>
      </c>
      <c r="K219" s="4">
        <v>0</v>
      </c>
      <c r="L219" s="4">
        <v>2</v>
      </c>
    </row>
    <row r="220" spans="1:12" x14ac:dyDescent="0.2">
      <c r="A220" s="4">
        <v>4.17</v>
      </c>
      <c r="B220" s="4">
        <v>0</v>
      </c>
      <c r="C220" s="4">
        <v>22</v>
      </c>
      <c r="D220" s="4">
        <v>10</v>
      </c>
      <c r="E220" s="4">
        <v>1</v>
      </c>
      <c r="F220" s="4">
        <v>0</v>
      </c>
      <c r="G220" s="4">
        <v>0</v>
      </c>
      <c r="H220" s="4">
        <v>0</v>
      </c>
      <c r="I220" s="4">
        <v>1</v>
      </c>
      <c r="J220" s="4">
        <v>0</v>
      </c>
      <c r="K220" s="4">
        <v>0</v>
      </c>
      <c r="L220" s="4">
        <v>1</v>
      </c>
    </row>
    <row r="221" spans="1:12" x14ac:dyDescent="0.2">
      <c r="A221" s="4">
        <v>4.2</v>
      </c>
      <c r="B221" s="4">
        <v>14</v>
      </c>
      <c r="C221" s="4">
        <v>33</v>
      </c>
      <c r="D221" s="4">
        <v>16</v>
      </c>
      <c r="E221" s="4">
        <v>1</v>
      </c>
      <c r="F221" s="4">
        <v>1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/>
    </row>
    <row r="222" spans="1:12" x14ac:dyDescent="0.2">
      <c r="A222" s="4">
        <v>4.2</v>
      </c>
      <c r="B222" s="4">
        <v>13</v>
      </c>
      <c r="C222" s="4">
        <v>11</v>
      </c>
      <c r="D222" s="4">
        <v>3</v>
      </c>
      <c r="E222" s="4">
        <v>1</v>
      </c>
      <c r="F222" s="4">
        <v>1</v>
      </c>
      <c r="G222" s="4">
        <v>2</v>
      </c>
      <c r="H222" s="4">
        <v>1</v>
      </c>
      <c r="I222" s="4">
        <v>0</v>
      </c>
      <c r="J222" s="4">
        <v>0</v>
      </c>
      <c r="K222" s="4">
        <v>0</v>
      </c>
      <c r="L222" s="4"/>
    </row>
    <row r="223" spans="1:12" x14ac:dyDescent="0.2">
      <c r="A223" s="4">
        <v>4.2</v>
      </c>
      <c r="B223" s="4">
        <v>16</v>
      </c>
      <c r="C223" s="4">
        <v>8</v>
      </c>
      <c r="D223" s="4">
        <v>0</v>
      </c>
      <c r="E223" s="4">
        <v>1</v>
      </c>
      <c r="F223" s="4">
        <v>1</v>
      </c>
      <c r="G223" s="4">
        <v>1</v>
      </c>
      <c r="H223" s="4">
        <v>1</v>
      </c>
      <c r="I223" s="4">
        <v>0</v>
      </c>
      <c r="J223" s="4">
        <v>0</v>
      </c>
      <c r="K223" s="4">
        <v>0</v>
      </c>
      <c r="L223" s="4">
        <v>4</v>
      </c>
    </row>
    <row r="224" spans="1:12" x14ac:dyDescent="0.2">
      <c r="A224" s="4">
        <v>4.24</v>
      </c>
      <c r="B224" s="4">
        <v>10</v>
      </c>
      <c r="C224" s="4">
        <v>14</v>
      </c>
      <c r="D224" s="4">
        <v>5</v>
      </c>
      <c r="E224" s="4"/>
      <c r="F224" s="4">
        <v>1</v>
      </c>
      <c r="G224" s="4">
        <v>1</v>
      </c>
      <c r="H224" s="4">
        <v>0</v>
      </c>
      <c r="I224" s="4">
        <v>1</v>
      </c>
      <c r="J224" s="4">
        <v>0</v>
      </c>
      <c r="K224" s="4">
        <v>0</v>
      </c>
      <c r="L224" s="4">
        <v>0</v>
      </c>
    </row>
    <row r="225" spans="1:12" x14ac:dyDescent="0.2">
      <c r="A225" s="4">
        <v>4.25</v>
      </c>
      <c r="B225" s="4">
        <v>14</v>
      </c>
      <c r="C225" s="4">
        <v>5</v>
      </c>
      <c r="D225" s="4">
        <v>2</v>
      </c>
      <c r="E225" s="4">
        <v>0</v>
      </c>
      <c r="F225" s="4">
        <v>1</v>
      </c>
      <c r="G225" s="4">
        <v>2</v>
      </c>
      <c r="H225" s="4">
        <v>0</v>
      </c>
      <c r="I225" s="4">
        <v>0</v>
      </c>
      <c r="J225" s="4">
        <v>0</v>
      </c>
      <c r="K225" s="4">
        <v>0</v>
      </c>
      <c r="L225" s="4">
        <v>1</v>
      </c>
    </row>
    <row r="226" spans="1:12" x14ac:dyDescent="0.2">
      <c r="A226" s="4">
        <v>4.2699999999999996</v>
      </c>
      <c r="B226" s="4">
        <v>16</v>
      </c>
      <c r="C226" s="4">
        <v>22</v>
      </c>
      <c r="D226" s="4">
        <v>4</v>
      </c>
      <c r="E226" s="4">
        <v>1</v>
      </c>
      <c r="F226" s="4">
        <v>1</v>
      </c>
      <c r="G226" s="4">
        <v>1</v>
      </c>
      <c r="H226" s="4">
        <v>0</v>
      </c>
      <c r="I226" s="4">
        <v>0</v>
      </c>
      <c r="J226" s="4">
        <v>1</v>
      </c>
      <c r="K226" s="4">
        <v>0</v>
      </c>
      <c r="L226" s="4">
        <v>4</v>
      </c>
    </row>
    <row r="227" spans="1:12" x14ac:dyDescent="0.2">
      <c r="A227" s="4">
        <v>4.28</v>
      </c>
      <c r="B227" s="4">
        <v>13</v>
      </c>
      <c r="C227" s="4">
        <v>1</v>
      </c>
      <c r="D227" s="4">
        <v>1</v>
      </c>
      <c r="E227" s="4">
        <v>1</v>
      </c>
      <c r="F227" s="4">
        <v>0</v>
      </c>
      <c r="G227" s="4">
        <v>2</v>
      </c>
      <c r="H227" s="4">
        <v>0</v>
      </c>
      <c r="I227" s="4">
        <v>0</v>
      </c>
      <c r="J227" s="4">
        <v>0</v>
      </c>
      <c r="K227" s="4">
        <v>0</v>
      </c>
      <c r="L227" s="4">
        <v>5</v>
      </c>
    </row>
    <row r="228" spans="1:12" x14ac:dyDescent="0.2">
      <c r="A228" s="4">
        <v>4.29</v>
      </c>
      <c r="B228" s="4">
        <v>12</v>
      </c>
      <c r="C228" s="4">
        <v>3</v>
      </c>
      <c r="D228" s="4">
        <v>0</v>
      </c>
      <c r="E228" s="4">
        <v>1</v>
      </c>
      <c r="F228" s="4">
        <v>0</v>
      </c>
      <c r="G228" s="4">
        <v>0</v>
      </c>
      <c r="H228" s="4">
        <v>0</v>
      </c>
      <c r="I228" s="4">
        <v>1</v>
      </c>
      <c r="J228" s="4">
        <v>0</v>
      </c>
      <c r="K228" s="4">
        <v>0</v>
      </c>
      <c r="L228" s="4">
        <v>1</v>
      </c>
    </row>
    <row r="229" spans="1:12" x14ac:dyDescent="0.2">
      <c r="A229" s="4">
        <v>4.29</v>
      </c>
      <c r="B229" s="4">
        <v>12</v>
      </c>
      <c r="C229" s="4">
        <v>47</v>
      </c>
      <c r="D229" s="4">
        <v>25</v>
      </c>
      <c r="E229" s="4">
        <v>1</v>
      </c>
      <c r="F229" s="4">
        <v>1</v>
      </c>
      <c r="G229" s="4">
        <v>2</v>
      </c>
      <c r="H229" s="4">
        <v>0</v>
      </c>
      <c r="I229" s="4">
        <v>1</v>
      </c>
      <c r="J229" s="4">
        <v>0</v>
      </c>
      <c r="K229" s="4">
        <v>0</v>
      </c>
      <c r="L229" s="4">
        <v>0</v>
      </c>
    </row>
    <row r="230" spans="1:12" x14ac:dyDescent="0.2">
      <c r="A230" s="4">
        <v>4.33</v>
      </c>
      <c r="B230" s="4">
        <v>18</v>
      </c>
      <c r="C230" s="4">
        <v>1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5</v>
      </c>
    </row>
    <row r="231" spans="1:12" x14ac:dyDescent="0.2">
      <c r="A231" s="4">
        <v>4.34</v>
      </c>
      <c r="B231" s="4">
        <v>16</v>
      </c>
      <c r="C231" s="4">
        <v>5</v>
      </c>
      <c r="D231" s="4">
        <v>2</v>
      </c>
      <c r="E231" s="4">
        <v>1</v>
      </c>
      <c r="F231" s="4">
        <v>0</v>
      </c>
      <c r="G231" s="4">
        <v>0</v>
      </c>
      <c r="H231" s="4">
        <v>0</v>
      </c>
      <c r="I231" s="4">
        <v>1</v>
      </c>
      <c r="J231" s="4">
        <v>0</v>
      </c>
      <c r="K231" s="4">
        <v>0</v>
      </c>
      <c r="L231" s="4">
        <v>1</v>
      </c>
    </row>
    <row r="232" spans="1:12" x14ac:dyDescent="0.2">
      <c r="A232" s="4">
        <v>4.38</v>
      </c>
      <c r="B232" s="4">
        <v>16</v>
      </c>
      <c r="C232" s="4">
        <v>7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2</v>
      </c>
    </row>
    <row r="233" spans="1:12" x14ac:dyDescent="0.2">
      <c r="A233" s="4">
        <v>4.38</v>
      </c>
      <c r="B233" s="4">
        <v>13</v>
      </c>
      <c r="C233" s="4">
        <v>7</v>
      </c>
      <c r="D233" s="4">
        <v>0</v>
      </c>
      <c r="E233" s="4">
        <v>0</v>
      </c>
      <c r="F233" s="4">
        <v>1</v>
      </c>
      <c r="G233" s="4">
        <v>1</v>
      </c>
      <c r="H233" s="4">
        <v>0</v>
      </c>
      <c r="I233" s="4">
        <v>0</v>
      </c>
      <c r="J233" s="4">
        <v>1</v>
      </c>
      <c r="K233" s="4">
        <v>0</v>
      </c>
      <c r="L233" s="4">
        <v>4</v>
      </c>
    </row>
    <row r="234" spans="1:12" x14ac:dyDescent="0.2">
      <c r="A234" s="4">
        <v>4.4400000000000004</v>
      </c>
      <c r="B234" s="4">
        <v>12</v>
      </c>
      <c r="C234" s="4">
        <v>3</v>
      </c>
      <c r="D234" s="4">
        <v>0</v>
      </c>
      <c r="E234" s="4">
        <v>0</v>
      </c>
      <c r="F234" s="4">
        <v>0</v>
      </c>
      <c r="G234" s="4">
        <v>0</v>
      </c>
      <c r="H234" s="4">
        <v>1</v>
      </c>
      <c r="I234" s="4">
        <v>0</v>
      </c>
      <c r="J234" s="4">
        <v>0</v>
      </c>
      <c r="K234" s="4">
        <v>0</v>
      </c>
      <c r="L234" s="4">
        <v>2</v>
      </c>
    </row>
    <row r="235" spans="1:12" x14ac:dyDescent="0.2">
      <c r="A235" s="4">
        <v>4.4400000000000004</v>
      </c>
      <c r="B235" s="4">
        <v>8</v>
      </c>
      <c r="C235" s="4">
        <v>29</v>
      </c>
      <c r="D235" s="4">
        <v>11</v>
      </c>
      <c r="E235" s="4">
        <v>0</v>
      </c>
      <c r="F235" s="4">
        <v>1</v>
      </c>
      <c r="G235" s="4">
        <v>3</v>
      </c>
      <c r="H235" s="4">
        <v>0</v>
      </c>
      <c r="I235" s="4">
        <v>1</v>
      </c>
      <c r="J235" s="4">
        <v>0</v>
      </c>
      <c r="K235" s="4">
        <v>0</v>
      </c>
      <c r="L235" s="4">
        <v>0</v>
      </c>
    </row>
    <row r="236" spans="1:12" x14ac:dyDescent="0.2">
      <c r="A236" s="4">
        <v>4.5</v>
      </c>
      <c r="B236" s="4">
        <v>14</v>
      </c>
      <c r="C236" s="4">
        <v>2</v>
      </c>
      <c r="D236" s="4">
        <v>5</v>
      </c>
      <c r="E236" s="4">
        <v>1</v>
      </c>
      <c r="F236" s="4">
        <v>0</v>
      </c>
      <c r="G236" s="4">
        <v>2</v>
      </c>
      <c r="H236" s="4">
        <v>0</v>
      </c>
      <c r="I236" s="4">
        <v>0</v>
      </c>
      <c r="J236" s="4">
        <v>1</v>
      </c>
      <c r="K236" s="4">
        <v>0</v>
      </c>
      <c r="L236" s="4">
        <v>1</v>
      </c>
    </row>
    <row r="237" spans="1:12" x14ac:dyDescent="0.2">
      <c r="A237" s="4">
        <v>4.5</v>
      </c>
      <c r="B237" s="4">
        <v>14</v>
      </c>
      <c r="C237" s="4">
        <v>16</v>
      </c>
      <c r="D237" s="4">
        <v>0</v>
      </c>
      <c r="E237" s="4">
        <v>1</v>
      </c>
      <c r="F237" s="4">
        <v>1</v>
      </c>
      <c r="G237" s="4">
        <v>1</v>
      </c>
      <c r="H237" s="4">
        <v>0</v>
      </c>
      <c r="I237" s="4">
        <v>0</v>
      </c>
      <c r="J237" s="4">
        <v>1</v>
      </c>
      <c r="K237" s="4">
        <v>0</v>
      </c>
      <c r="L237" s="4">
        <v>1</v>
      </c>
    </row>
    <row r="238" spans="1:12" x14ac:dyDescent="0.2">
      <c r="A238" s="4">
        <v>4.5</v>
      </c>
      <c r="B238" s="4">
        <v>9</v>
      </c>
      <c r="C238" s="4">
        <v>22</v>
      </c>
      <c r="D238" s="4">
        <v>5</v>
      </c>
      <c r="E238" s="4">
        <v>0</v>
      </c>
      <c r="F238" s="4">
        <v>1</v>
      </c>
      <c r="G238" s="4">
        <v>4</v>
      </c>
      <c r="H238" s="4">
        <v>0</v>
      </c>
      <c r="I238" s="4">
        <v>0</v>
      </c>
      <c r="J238" s="4">
        <v>0</v>
      </c>
      <c r="K238" s="4">
        <v>0</v>
      </c>
      <c r="L238" s="4">
        <v>2</v>
      </c>
    </row>
    <row r="239" spans="1:12" x14ac:dyDescent="0.2">
      <c r="A239" s="4">
        <v>4.5</v>
      </c>
      <c r="B239" s="4">
        <v>12</v>
      </c>
      <c r="C239" s="4">
        <v>35</v>
      </c>
      <c r="D239" s="4">
        <v>12</v>
      </c>
      <c r="E239" s="4">
        <v>1</v>
      </c>
      <c r="F239" s="4">
        <v>1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3</v>
      </c>
    </row>
    <row r="240" spans="1:12" x14ac:dyDescent="0.2">
      <c r="A240" s="4">
        <v>4.5</v>
      </c>
      <c r="B240" s="4">
        <v>12</v>
      </c>
      <c r="C240" s="4">
        <v>12</v>
      </c>
      <c r="D240" s="4">
        <v>0</v>
      </c>
      <c r="E240" s="4">
        <v>0</v>
      </c>
      <c r="F240" s="4">
        <v>1</v>
      </c>
      <c r="G240" s="4">
        <v>3</v>
      </c>
      <c r="H240" s="4">
        <v>0</v>
      </c>
      <c r="I240" s="4">
        <v>1</v>
      </c>
      <c r="J240" s="4">
        <v>0</v>
      </c>
      <c r="K240" s="4">
        <v>0</v>
      </c>
      <c r="L240" s="4">
        <v>4</v>
      </c>
    </row>
    <row r="241" spans="1:12" x14ac:dyDescent="0.2">
      <c r="A241" s="4">
        <v>4.5</v>
      </c>
      <c r="B241" s="4">
        <v>12</v>
      </c>
      <c r="C241" s="4">
        <v>31</v>
      </c>
      <c r="D241" s="4">
        <v>4</v>
      </c>
      <c r="E241" s="4">
        <v>1</v>
      </c>
      <c r="F241" s="4">
        <v>1</v>
      </c>
      <c r="G241" s="4">
        <v>3</v>
      </c>
      <c r="H241" s="4">
        <v>0</v>
      </c>
      <c r="I241" s="4">
        <v>1</v>
      </c>
      <c r="J241" s="4">
        <v>0</v>
      </c>
      <c r="K241" s="4">
        <v>0</v>
      </c>
      <c r="L241" s="4">
        <v>2</v>
      </c>
    </row>
    <row r="242" spans="1:12" x14ac:dyDescent="0.2">
      <c r="A242" s="4">
        <v>4.5</v>
      </c>
      <c r="B242" s="4">
        <v>12</v>
      </c>
      <c r="C242" s="4">
        <v>47</v>
      </c>
      <c r="D242" s="4">
        <v>4</v>
      </c>
      <c r="E242" s="4">
        <v>1</v>
      </c>
      <c r="F242" s="4">
        <v>1</v>
      </c>
      <c r="G242" s="4">
        <v>0</v>
      </c>
      <c r="H242" s="4">
        <v>1</v>
      </c>
      <c r="I242" s="4">
        <v>0</v>
      </c>
      <c r="J242" s="4">
        <v>0</v>
      </c>
      <c r="K242" s="4">
        <v>0</v>
      </c>
      <c r="L242" s="4">
        <v>2</v>
      </c>
    </row>
    <row r="243" spans="1:12" x14ac:dyDescent="0.2">
      <c r="A243" s="4">
        <v>4.5</v>
      </c>
      <c r="B243" s="4">
        <v>13</v>
      </c>
      <c r="C243" s="4">
        <v>23</v>
      </c>
      <c r="D243" s="4">
        <v>2</v>
      </c>
      <c r="E243" s="4">
        <v>1</v>
      </c>
      <c r="F243" s="4">
        <v>0</v>
      </c>
      <c r="G243" s="4">
        <v>0</v>
      </c>
      <c r="H243" s="4">
        <v>0</v>
      </c>
      <c r="I243" s="4">
        <v>1</v>
      </c>
      <c r="J243" s="4">
        <v>0</v>
      </c>
      <c r="K243" s="4">
        <v>0</v>
      </c>
      <c r="L243" s="4">
        <v>2</v>
      </c>
    </row>
    <row r="244" spans="1:12" x14ac:dyDescent="0.2">
      <c r="A244" s="4">
        <v>4.5</v>
      </c>
      <c r="B244" s="4">
        <v>12</v>
      </c>
      <c r="C244" s="4">
        <v>2</v>
      </c>
      <c r="D244" s="4">
        <v>1</v>
      </c>
      <c r="E244" s="4">
        <v>1</v>
      </c>
      <c r="F244" s="4">
        <v>0</v>
      </c>
      <c r="G244" s="4">
        <v>2</v>
      </c>
      <c r="H244" s="4">
        <v>0</v>
      </c>
      <c r="I244" s="4">
        <v>0</v>
      </c>
      <c r="J244" s="4">
        <v>0</v>
      </c>
      <c r="K244" s="4">
        <v>1</v>
      </c>
      <c r="L244" s="4">
        <v>1</v>
      </c>
    </row>
    <row r="245" spans="1:12" x14ac:dyDescent="0.2">
      <c r="A245" s="4">
        <v>4.5</v>
      </c>
      <c r="B245" s="4">
        <v>12</v>
      </c>
      <c r="C245" s="4">
        <v>13</v>
      </c>
      <c r="D245" s="4">
        <v>0</v>
      </c>
      <c r="E245" s="4">
        <v>0</v>
      </c>
      <c r="F245" s="4">
        <v>1</v>
      </c>
      <c r="G245" s="4">
        <v>0</v>
      </c>
      <c r="H245" s="4">
        <v>0</v>
      </c>
      <c r="I245" s="4">
        <v>1</v>
      </c>
      <c r="J245" s="4">
        <v>0</v>
      </c>
      <c r="K245" s="4">
        <v>0</v>
      </c>
      <c r="L245" s="4">
        <v>1</v>
      </c>
    </row>
    <row r="246" spans="1:12" x14ac:dyDescent="0.2">
      <c r="A246" s="4">
        <v>4.5</v>
      </c>
      <c r="B246" s="4">
        <v>14</v>
      </c>
      <c r="C246" s="4">
        <v>5</v>
      </c>
      <c r="D246" s="4">
        <v>0</v>
      </c>
      <c r="E246" s="4">
        <v>0</v>
      </c>
      <c r="F246" s="4">
        <v>1</v>
      </c>
      <c r="G246" s="4">
        <v>0</v>
      </c>
      <c r="H246" s="4">
        <v>1</v>
      </c>
      <c r="I246" s="4">
        <v>0</v>
      </c>
      <c r="J246" s="4">
        <v>0</v>
      </c>
      <c r="K246" s="4">
        <v>1</v>
      </c>
      <c r="L246" s="4">
        <v>4</v>
      </c>
    </row>
    <row r="247" spans="1:12" x14ac:dyDescent="0.2">
      <c r="A247" s="4">
        <v>4.5</v>
      </c>
      <c r="B247" s="4">
        <v>12</v>
      </c>
      <c r="C247" s="4">
        <v>35</v>
      </c>
      <c r="D247" s="4">
        <v>0</v>
      </c>
      <c r="E247" s="4">
        <v>1</v>
      </c>
      <c r="F247" s="4">
        <v>1</v>
      </c>
      <c r="G247" s="4">
        <v>1</v>
      </c>
      <c r="H247" s="4">
        <v>0</v>
      </c>
      <c r="I247" s="4">
        <v>1</v>
      </c>
      <c r="J247" s="4">
        <v>0</v>
      </c>
      <c r="K247" s="4">
        <v>0</v>
      </c>
      <c r="L247" s="4">
        <v>4</v>
      </c>
    </row>
    <row r="248" spans="1:12" x14ac:dyDescent="0.2">
      <c r="A248" s="4">
        <v>4.5</v>
      </c>
      <c r="B248" s="4">
        <v>11</v>
      </c>
      <c r="C248" s="4">
        <v>37</v>
      </c>
      <c r="D248" s="4">
        <v>10</v>
      </c>
      <c r="E248" s="4">
        <v>0</v>
      </c>
      <c r="F248" s="4">
        <v>1</v>
      </c>
      <c r="G248" s="4">
        <v>2</v>
      </c>
      <c r="H248" s="4">
        <v>0</v>
      </c>
      <c r="I248" s="4">
        <v>1</v>
      </c>
      <c r="J248" s="4">
        <v>0</v>
      </c>
      <c r="K248" s="4">
        <v>0</v>
      </c>
      <c r="L248" s="4"/>
    </row>
    <row r="249" spans="1:12" x14ac:dyDescent="0.2">
      <c r="A249" s="4">
        <v>4.5</v>
      </c>
      <c r="B249" s="4">
        <v>14</v>
      </c>
      <c r="C249" s="4">
        <v>10</v>
      </c>
      <c r="D249" s="4">
        <v>0</v>
      </c>
      <c r="E249" s="4">
        <v>0</v>
      </c>
      <c r="F249" s="4">
        <v>1</v>
      </c>
      <c r="G249" s="4">
        <v>0</v>
      </c>
      <c r="H249" s="4">
        <v>1</v>
      </c>
      <c r="I249" s="4">
        <v>0</v>
      </c>
      <c r="J249" s="4">
        <v>0</v>
      </c>
      <c r="K249" s="4">
        <v>0</v>
      </c>
      <c r="L249" s="4"/>
    </row>
    <row r="250" spans="1:12" x14ac:dyDescent="0.2">
      <c r="A250" s="4">
        <v>4.5</v>
      </c>
      <c r="B250" s="4">
        <v>16</v>
      </c>
      <c r="C250" s="4">
        <v>21</v>
      </c>
      <c r="D250" s="4">
        <v>10</v>
      </c>
      <c r="E250" s="4">
        <v>0</v>
      </c>
      <c r="F250" s="4">
        <v>1</v>
      </c>
      <c r="G250" s="4">
        <v>1</v>
      </c>
      <c r="H250" s="4">
        <v>0</v>
      </c>
      <c r="I250" s="4">
        <v>1</v>
      </c>
      <c r="J250" s="4">
        <v>0</v>
      </c>
      <c r="K250" s="4">
        <v>0</v>
      </c>
      <c r="L250" s="4"/>
    </row>
    <row r="251" spans="1:12" x14ac:dyDescent="0.2">
      <c r="A251" s="4">
        <v>4.5</v>
      </c>
      <c r="B251" s="4">
        <v>11</v>
      </c>
      <c r="C251" s="4">
        <v>3</v>
      </c>
      <c r="D251" s="4">
        <v>9</v>
      </c>
      <c r="E251" s="4">
        <v>0</v>
      </c>
      <c r="F251" s="4">
        <v>0</v>
      </c>
      <c r="G251" s="4">
        <v>0</v>
      </c>
      <c r="H251" s="4">
        <v>0</v>
      </c>
      <c r="I251" s="4">
        <v>1</v>
      </c>
      <c r="J251" s="4">
        <v>0</v>
      </c>
      <c r="K251" s="4">
        <v>1</v>
      </c>
      <c r="L251" s="4">
        <v>0</v>
      </c>
    </row>
    <row r="252" spans="1:12" x14ac:dyDescent="0.2">
      <c r="A252" s="4">
        <v>4.5</v>
      </c>
      <c r="B252" s="4">
        <v>12</v>
      </c>
      <c r="C252" s="4">
        <v>37</v>
      </c>
      <c r="D252" s="4">
        <v>14</v>
      </c>
      <c r="E252" s="4">
        <v>1</v>
      </c>
      <c r="F252" s="4">
        <v>1</v>
      </c>
      <c r="G252" s="4">
        <v>0</v>
      </c>
      <c r="H252" s="4">
        <v>0</v>
      </c>
      <c r="I252" s="4">
        <v>0</v>
      </c>
      <c r="J252" s="4">
        <v>1</v>
      </c>
      <c r="K252" s="4">
        <v>0</v>
      </c>
      <c r="L252" s="4">
        <v>5</v>
      </c>
    </row>
    <row r="253" spans="1:12" x14ac:dyDescent="0.2">
      <c r="A253" s="4">
        <v>4.5</v>
      </c>
      <c r="B253" s="4">
        <v>12</v>
      </c>
      <c r="C253" s="4">
        <v>3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1</v>
      </c>
      <c r="K253" s="4">
        <v>0</v>
      </c>
      <c r="L253" s="4">
        <v>5</v>
      </c>
    </row>
    <row r="254" spans="1:12" x14ac:dyDescent="0.2">
      <c r="A254" s="4">
        <v>4.5</v>
      </c>
      <c r="B254" s="4">
        <v>12</v>
      </c>
      <c r="C254" s="4">
        <v>13</v>
      </c>
      <c r="D254" s="4">
        <v>0</v>
      </c>
      <c r="E254" s="4">
        <v>0</v>
      </c>
      <c r="F254" s="4">
        <v>1</v>
      </c>
      <c r="G254" s="4">
        <v>0</v>
      </c>
      <c r="H254" s="4">
        <v>0</v>
      </c>
      <c r="I254" s="4">
        <v>0</v>
      </c>
      <c r="J254" s="4">
        <v>1</v>
      </c>
      <c r="K254" s="4">
        <v>0</v>
      </c>
      <c r="L254" s="4">
        <v>5</v>
      </c>
    </row>
    <row r="255" spans="1:12" x14ac:dyDescent="0.2">
      <c r="A255" s="4">
        <v>4.51</v>
      </c>
      <c r="B255" s="4">
        <v>12</v>
      </c>
      <c r="C255" s="4">
        <v>5</v>
      </c>
      <c r="D255" s="4">
        <v>2</v>
      </c>
      <c r="E255" s="4">
        <v>0</v>
      </c>
      <c r="F255" s="4">
        <v>0</v>
      </c>
      <c r="G255" s="4">
        <v>0</v>
      </c>
      <c r="H255" s="4">
        <v>1</v>
      </c>
      <c r="I255" s="4">
        <v>0</v>
      </c>
      <c r="J255" s="4">
        <v>0</v>
      </c>
      <c r="K255" s="4">
        <v>0</v>
      </c>
      <c r="L255" s="4">
        <v>5</v>
      </c>
    </row>
    <row r="256" spans="1:12" x14ac:dyDescent="0.2">
      <c r="A256" s="4">
        <v>4.55</v>
      </c>
      <c r="B256" s="4">
        <v>12</v>
      </c>
      <c r="C256" s="4">
        <v>11</v>
      </c>
      <c r="D256" s="4">
        <v>0</v>
      </c>
      <c r="E256" s="4"/>
      <c r="F256" s="4">
        <v>1</v>
      </c>
      <c r="G256" s="4">
        <v>0</v>
      </c>
      <c r="H256" s="4">
        <v>1</v>
      </c>
      <c r="I256" s="4">
        <v>0</v>
      </c>
      <c r="J256" s="4">
        <v>0</v>
      </c>
      <c r="K256" s="4">
        <v>0</v>
      </c>
      <c r="L256" s="4"/>
    </row>
    <row r="257" spans="1:12" x14ac:dyDescent="0.2">
      <c r="A257" s="4">
        <v>4.55</v>
      </c>
      <c r="B257" s="4">
        <v>16</v>
      </c>
      <c r="C257" s="4">
        <v>34</v>
      </c>
      <c r="D257" s="4">
        <v>2</v>
      </c>
      <c r="E257" s="4">
        <v>0</v>
      </c>
      <c r="F257" s="4">
        <v>1</v>
      </c>
      <c r="G257" s="4">
        <v>0</v>
      </c>
      <c r="H257" s="4">
        <v>0</v>
      </c>
      <c r="I257" s="4">
        <v>1</v>
      </c>
      <c r="J257" s="4">
        <v>0</v>
      </c>
      <c r="K257" s="4">
        <v>0</v>
      </c>
      <c r="L257" s="4"/>
    </row>
    <row r="258" spans="1:12" x14ac:dyDescent="0.2">
      <c r="A258" s="4">
        <v>4.57</v>
      </c>
      <c r="B258" s="4">
        <v>14</v>
      </c>
      <c r="C258" s="4">
        <v>37</v>
      </c>
      <c r="D258" s="4">
        <v>7</v>
      </c>
      <c r="E258" s="4">
        <v>1</v>
      </c>
      <c r="F258" s="4">
        <v>1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1</v>
      </c>
    </row>
    <row r="259" spans="1:12" x14ac:dyDescent="0.2">
      <c r="A259" s="4">
        <v>4.57</v>
      </c>
      <c r="B259" s="4">
        <v>14</v>
      </c>
      <c r="C259" s="4">
        <v>3</v>
      </c>
      <c r="D259" s="4">
        <v>0</v>
      </c>
      <c r="E259" s="4">
        <v>0</v>
      </c>
      <c r="F259" s="4">
        <v>1</v>
      </c>
      <c r="G259" s="4">
        <v>0</v>
      </c>
      <c r="H259" s="4">
        <v>0</v>
      </c>
      <c r="I259" s="4">
        <v>1</v>
      </c>
      <c r="J259" s="4">
        <v>0</v>
      </c>
      <c r="K259" s="4">
        <v>0</v>
      </c>
      <c r="L259" s="4">
        <v>3</v>
      </c>
    </row>
    <row r="260" spans="1:12" x14ac:dyDescent="0.2">
      <c r="A260" s="4">
        <v>4.5999999999999996</v>
      </c>
      <c r="B260" s="4">
        <v>14</v>
      </c>
      <c r="C260" s="4">
        <v>7</v>
      </c>
      <c r="D260" s="4">
        <v>0</v>
      </c>
      <c r="E260" s="4">
        <v>1</v>
      </c>
      <c r="F260" s="4">
        <v>1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1</v>
      </c>
    </row>
    <row r="261" spans="1:12" x14ac:dyDescent="0.2">
      <c r="A261" s="4">
        <v>4.63</v>
      </c>
      <c r="B261" s="4">
        <v>14</v>
      </c>
      <c r="C261" s="4">
        <v>4</v>
      </c>
      <c r="D261" s="4">
        <v>0</v>
      </c>
      <c r="E261" s="4">
        <v>1</v>
      </c>
      <c r="F261" s="4">
        <v>1</v>
      </c>
      <c r="G261" s="4">
        <v>2</v>
      </c>
      <c r="H261" s="4">
        <v>0</v>
      </c>
      <c r="I261" s="4">
        <v>1</v>
      </c>
      <c r="J261" s="4">
        <v>0</v>
      </c>
      <c r="K261" s="4">
        <v>0</v>
      </c>
      <c r="L261" s="4">
        <v>2</v>
      </c>
    </row>
    <row r="262" spans="1:12" x14ac:dyDescent="0.2">
      <c r="A262" s="4">
        <v>4.63</v>
      </c>
      <c r="B262" s="4">
        <v>12</v>
      </c>
      <c r="C262" s="4">
        <v>16</v>
      </c>
      <c r="D262" s="4">
        <v>1</v>
      </c>
      <c r="E262" s="4">
        <v>1</v>
      </c>
      <c r="F262" s="4">
        <v>0</v>
      </c>
      <c r="G262" s="4">
        <v>0</v>
      </c>
      <c r="H262" s="4">
        <v>0</v>
      </c>
      <c r="I262" s="4">
        <v>1</v>
      </c>
      <c r="J262" s="4">
        <v>0</v>
      </c>
      <c r="K262" s="4">
        <v>0</v>
      </c>
      <c r="L262" s="4">
        <v>2</v>
      </c>
    </row>
    <row r="263" spans="1:12" x14ac:dyDescent="0.2">
      <c r="A263" s="4">
        <v>4.6500000000000004</v>
      </c>
      <c r="B263" s="4">
        <v>16</v>
      </c>
      <c r="C263" s="4">
        <v>3</v>
      </c>
      <c r="D263" s="4">
        <v>1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5</v>
      </c>
    </row>
    <row r="264" spans="1:12" x14ac:dyDescent="0.2">
      <c r="A264" s="4">
        <v>4.6500000000000004</v>
      </c>
      <c r="B264" s="4">
        <v>12</v>
      </c>
      <c r="C264" s="4">
        <v>27</v>
      </c>
      <c r="D264" s="4">
        <v>2</v>
      </c>
      <c r="E264" s="4">
        <v>0</v>
      </c>
      <c r="F264" s="4">
        <v>1</v>
      </c>
      <c r="G264" s="4">
        <v>3</v>
      </c>
      <c r="H264" s="4">
        <v>0</v>
      </c>
      <c r="I264" s="4">
        <v>1</v>
      </c>
      <c r="J264" s="4">
        <v>0</v>
      </c>
      <c r="K264" s="4">
        <v>0</v>
      </c>
      <c r="L264" s="4">
        <v>5</v>
      </c>
    </row>
    <row r="265" spans="1:12" x14ac:dyDescent="0.2">
      <c r="A265" s="4">
        <v>4.67</v>
      </c>
      <c r="B265" s="4">
        <v>15</v>
      </c>
      <c r="C265" s="4">
        <v>13</v>
      </c>
      <c r="D265" s="4">
        <v>18</v>
      </c>
      <c r="E265" s="4">
        <v>0</v>
      </c>
      <c r="F265" s="4">
        <v>1</v>
      </c>
      <c r="G265" s="4">
        <v>3</v>
      </c>
      <c r="H265" s="4">
        <v>0</v>
      </c>
      <c r="I265" s="4">
        <v>0</v>
      </c>
      <c r="J265" s="4">
        <v>1</v>
      </c>
      <c r="K265" s="4">
        <v>1</v>
      </c>
      <c r="L265" s="4">
        <v>1</v>
      </c>
    </row>
    <row r="266" spans="1:12" x14ac:dyDescent="0.2">
      <c r="A266" s="4">
        <v>4.68</v>
      </c>
      <c r="B266" s="4">
        <v>12</v>
      </c>
      <c r="C266" s="4">
        <v>3</v>
      </c>
      <c r="D266" s="4">
        <v>0</v>
      </c>
      <c r="E266" s="4">
        <v>1</v>
      </c>
      <c r="F266" s="4">
        <v>0</v>
      </c>
      <c r="G266" s="4">
        <v>0</v>
      </c>
      <c r="H266" s="4">
        <v>0</v>
      </c>
      <c r="I266" s="4">
        <v>0</v>
      </c>
      <c r="J266" s="4">
        <v>1</v>
      </c>
      <c r="K266" s="4">
        <v>0</v>
      </c>
      <c r="L266" s="4">
        <v>1</v>
      </c>
    </row>
    <row r="267" spans="1:12" x14ac:dyDescent="0.2">
      <c r="A267" s="4">
        <v>4.68</v>
      </c>
      <c r="B267" s="4">
        <v>16</v>
      </c>
      <c r="C267" s="4">
        <v>3</v>
      </c>
      <c r="D267" s="4">
        <v>1</v>
      </c>
      <c r="E267" s="4">
        <v>1</v>
      </c>
      <c r="F267" s="4">
        <v>0</v>
      </c>
      <c r="G267" s="4">
        <v>0</v>
      </c>
      <c r="H267" s="4">
        <v>1</v>
      </c>
      <c r="I267" s="4">
        <v>0</v>
      </c>
      <c r="J267" s="4">
        <v>0</v>
      </c>
      <c r="K267" s="4">
        <v>0</v>
      </c>
      <c r="L267" s="4">
        <v>4</v>
      </c>
    </row>
    <row r="268" spans="1:12" x14ac:dyDescent="0.2">
      <c r="A268" s="4">
        <v>4.68</v>
      </c>
      <c r="B268" s="4">
        <v>16</v>
      </c>
      <c r="C268" s="4">
        <v>1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1</v>
      </c>
      <c r="J268" s="4">
        <v>0</v>
      </c>
      <c r="K268" s="4">
        <v>0</v>
      </c>
      <c r="L268" s="4">
        <v>3</v>
      </c>
    </row>
    <row r="269" spans="1:12" x14ac:dyDescent="0.2">
      <c r="A269" s="4">
        <v>4.6900000000000004</v>
      </c>
      <c r="B269" s="4">
        <v>10</v>
      </c>
      <c r="C269" s="4">
        <v>7</v>
      </c>
      <c r="D269" s="4">
        <v>7</v>
      </c>
      <c r="E269" s="4">
        <v>0</v>
      </c>
      <c r="F269" s="4">
        <v>0</v>
      </c>
      <c r="G269" s="4">
        <v>0</v>
      </c>
      <c r="H269" s="4">
        <v>1</v>
      </c>
      <c r="I269" s="4">
        <v>0</v>
      </c>
      <c r="J269" s="4">
        <v>0</v>
      </c>
      <c r="K269" s="4">
        <v>0</v>
      </c>
      <c r="L269" s="4">
        <v>0</v>
      </c>
    </row>
    <row r="270" spans="1:12" x14ac:dyDescent="0.2">
      <c r="A270" s="4">
        <v>4.72</v>
      </c>
      <c r="B270" s="4">
        <v>12</v>
      </c>
      <c r="C270" s="4">
        <v>15</v>
      </c>
      <c r="D270" s="4">
        <v>1</v>
      </c>
      <c r="E270" s="4">
        <v>1</v>
      </c>
      <c r="F270" s="4">
        <v>0</v>
      </c>
      <c r="G270" s="4">
        <v>0</v>
      </c>
      <c r="H270" s="4">
        <v>0</v>
      </c>
      <c r="I270" s="4">
        <v>1</v>
      </c>
      <c r="J270" s="4">
        <v>0</v>
      </c>
      <c r="K270" s="4">
        <v>0</v>
      </c>
      <c r="L270" s="4">
        <v>2</v>
      </c>
    </row>
    <row r="271" spans="1:12" x14ac:dyDescent="0.2">
      <c r="A271" s="4">
        <v>4.75</v>
      </c>
      <c r="B271" s="4">
        <v>12</v>
      </c>
      <c r="C271" s="4">
        <v>48</v>
      </c>
      <c r="D271" s="4">
        <v>2</v>
      </c>
      <c r="E271" s="4">
        <v>1</v>
      </c>
      <c r="F271" s="4">
        <v>1</v>
      </c>
      <c r="G271" s="4">
        <v>0</v>
      </c>
      <c r="H271" s="4">
        <v>1</v>
      </c>
      <c r="I271" s="4">
        <v>0</v>
      </c>
      <c r="J271" s="4">
        <v>0</v>
      </c>
      <c r="K271" s="4">
        <v>0</v>
      </c>
      <c r="L271" s="4">
        <v>0</v>
      </c>
    </row>
    <row r="272" spans="1:12" x14ac:dyDescent="0.2">
      <c r="A272" s="4">
        <v>4.75</v>
      </c>
      <c r="B272" s="4">
        <v>12</v>
      </c>
      <c r="C272" s="4">
        <v>19</v>
      </c>
      <c r="D272" s="4">
        <v>0</v>
      </c>
      <c r="E272" s="4">
        <v>0</v>
      </c>
      <c r="F272" s="4">
        <v>1</v>
      </c>
      <c r="G272" s="4">
        <v>3</v>
      </c>
      <c r="H272" s="4">
        <v>0</v>
      </c>
      <c r="I272" s="4">
        <v>1</v>
      </c>
      <c r="J272" s="4">
        <v>0</v>
      </c>
      <c r="K272" s="4">
        <v>0</v>
      </c>
      <c r="L272" s="4">
        <v>4</v>
      </c>
    </row>
    <row r="273" spans="1:12" x14ac:dyDescent="0.2">
      <c r="A273" s="4">
        <v>4.75</v>
      </c>
      <c r="B273" s="4">
        <v>13</v>
      </c>
      <c r="C273" s="4">
        <v>47</v>
      </c>
      <c r="D273" s="4">
        <v>1</v>
      </c>
      <c r="E273" s="4">
        <v>0</v>
      </c>
      <c r="F273" s="4">
        <v>1</v>
      </c>
      <c r="G273" s="4">
        <v>0</v>
      </c>
      <c r="H273" s="4">
        <v>0</v>
      </c>
      <c r="I273" s="4">
        <v>0</v>
      </c>
      <c r="J273" s="4">
        <v>1</v>
      </c>
      <c r="K273" s="4">
        <v>0</v>
      </c>
      <c r="L273" s="4">
        <v>4</v>
      </c>
    </row>
    <row r="274" spans="1:12" x14ac:dyDescent="0.2">
      <c r="A274" s="4">
        <v>4.79</v>
      </c>
      <c r="B274" s="4">
        <v>12</v>
      </c>
      <c r="C274" s="4">
        <v>41</v>
      </c>
      <c r="D274" s="4">
        <v>8</v>
      </c>
      <c r="E274" s="4">
        <v>0</v>
      </c>
      <c r="F274" s="4">
        <v>1</v>
      </c>
      <c r="G274" s="4">
        <v>0</v>
      </c>
      <c r="H274" s="4">
        <v>1</v>
      </c>
      <c r="I274" s="4">
        <v>0</v>
      </c>
      <c r="J274" s="4">
        <v>0</v>
      </c>
      <c r="K274" s="4">
        <v>0</v>
      </c>
      <c r="L274" s="4">
        <v>4</v>
      </c>
    </row>
    <row r="275" spans="1:12" x14ac:dyDescent="0.2">
      <c r="A275" s="4">
        <v>4.79</v>
      </c>
      <c r="B275" s="4">
        <v>12</v>
      </c>
      <c r="C275" s="4">
        <v>12</v>
      </c>
      <c r="D275" s="4">
        <v>3</v>
      </c>
      <c r="E275" s="4">
        <v>1</v>
      </c>
      <c r="F275" s="4">
        <v>1</v>
      </c>
      <c r="G275" s="4">
        <v>3</v>
      </c>
      <c r="H275" s="4">
        <v>1</v>
      </c>
      <c r="I275" s="4">
        <v>0</v>
      </c>
      <c r="J275" s="4">
        <v>0</v>
      </c>
      <c r="K275" s="4">
        <v>0</v>
      </c>
      <c r="L275" s="4">
        <v>1</v>
      </c>
    </row>
    <row r="276" spans="1:12" x14ac:dyDescent="0.2">
      <c r="A276" s="4">
        <v>4.8099999999999996</v>
      </c>
      <c r="B276" s="4">
        <v>12</v>
      </c>
      <c r="C276" s="4">
        <v>2</v>
      </c>
      <c r="D276" s="4">
        <v>0</v>
      </c>
      <c r="E276" s="4">
        <v>1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3</v>
      </c>
    </row>
    <row r="277" spans="1:12" x14ac:dyDescent="0.2">
      <c r="A277" s="4">
        <v>4.91</v>
      </c>
      <c r="B277" s="4">
        <v>12</v>
      </c>
      <c r="C277" s="4">
        <v>17</v>
      </c>
      <c r="D277" s="4">
        <v>8</v>
      </c>
      <c r="E277" s="4">
        <v>0</v>
      </c>
      <c r="F277" s="4">
        <v>1</v>
      </c>
      <c r="G277" s="4">
        <v>2</v>
      </c>
      <c r="H277" s="4">
        <v>0</v>
      </c>
      <c r="I277" s="4">
        <v>0</v>
      </c>
      <c r="J277" s="4">
        <v>0</v>
      </c>
      <c r="K277" s="4">
        <v>0</v>
      </c>
      <c r="L277" s="4">
        <v>5</v>
      </c>
    </row>
    <row r="278" spans="1:12" x14ac:dyDescent="0.2">
      <c r="A278" s="4">
        <v>4.95</v>
      </c>
      <c r="B278" s="4">
        <v>7</v>
      </c>
      <c r="C278" s="4">
        <v>25</v>
      </c>
      <c r="D278" s="4">
        <v>17</v>
      </c>
      <c r="E278" s="4">
        <v>0</v>
      </c>
      <c r="F278" s="4">
        <v>1</v>
      </c>
      <c r="G278" s="4">
        <v>5</v>
      </c>
      <c r="H278" s="4">
        <v>0</v>
      </c>
      <c r="I278" s="4">
        <v>0</v>
      </c>
      <c r="J278" s="4">
        <v>0</v>
      </c>
      <c r="K278" s="4">
        <v>1</v>
      </c>
      <c r="L278" s="4">
        <v>1</v>
      </c>
    </row>
    <row r="279" spans="1:12" x14ac:dyDescent="0.2">
      <c r="A279" s="4">
        <v>5</v>
      </c>
      <c r="B279" s="4">
        <v>12</v>
      </c>
      <c r="C279" s="4">
        <v>5</v>
      </c>
      <c r="D279" s="4">
        <v>3</v>
      </c>
      <c r="E279" s="4">
        <v>1</v>
      </c>
      <c r="F279" s="4">
        <v>0</v>
      </c>
      <c r="G279" s="4">
        <v>0</v>
      </c>
      <c r="H279" s="4">
        <v>0</v>
      </c>
      <c r="I279" s="4">
        <v>0</v>
      </c>
      <c r="J279" s="4">
        <v>1</v>
      </c>
      <c r="K279" s="4">
        <v>0</v>
      </c>
      <c r="L279" s="4">
        <v>1</v>
      </c>
    </row>
    <row r="280" spans="1:12" x14ac:dyDescent="0.2">
      <c r="A280" s="4">
        <v>5</v>
      </c>
      <c r="B280" s="4">
        <v>12</v>
      </c>
      <c r="C280" s="4">
        <v>7</v>
      </c>
      <c r="D280" s="4">
        <v>3</v>
      </c>
      <c r="E280" s="4">
        <v>1</v>
      </c>
      <c r="F280" s="4">
        <v>0</v>
      </c>
      <c r="G280" s="4">
        <v>0</v>
      </c>
      <c r="H280" s="4">
        <v>0</v>
      </c>
      <c r="I280" s="4">
        <v>0</v>
      </c>
      <c r="J280" s="4">
        <v>1</v>
      </c>
      <c r="K280" s="4">
        <v>0</v>
      </c>
      <c r="L280" s="4">
        <v>1</v>
      </c>
    </row>
    <row r="281" spans="1:12" x14ac:dyDescent="0.2">
      <c r="A281" s="4">
        <v>5</v>
      </c>
      <c r="B281" s="4">
        <v>12</v>
      </c>
      <c r="C281" s="4">
        <v>15</v>
      </c>
      <c r="D281" s="4">
        <v>5</v>
      </c>
      <c r="E281" s="4">
        <v>0</v>
      </c>
      <c r="F281" s="4">
        <v>1</v>
      </c>
      <c r="G281" s="4">
        <v>1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</row>
    <row r="282" spans="1:12" x14ac:dyDescent="0.2">
      <c r="A282" s="4">
        <v>5</v>
      </c>
      <c r="B282" s="4">
        <v>16</v>
      </c>
      <c r="C282" s="4">
        <v>2</v>
      </c>
      <c r="D282" s="4">
        <v>1</v>
      </c>
      <c r="E282" s="4">
        <v>1</v>
      </c>
      <c r="F282" s="4">
        <v>1</v>
      </c>
      <c r="G282" s="4">
        <v>0</v>
      </c>
      <c r="H282" s="4">
        <v>0</v>
      </c>
      <c r="I282" s="4">
        <v>1</v>
      </c>
      <c r="J282" s="4">
        <v>0</v>
      </c>
      <c r="K282" s="4">
        <v>0</v>
      </c>
      <c r="L282" s="4">
        <v>5</v>
      </c>
    </row>
    <row r="283" spans="1:12" x14ac:dyDescent="0.2">
      <c r="A283" s="4">
        <v>5</v>
      </c>
      <c r="B283" s="4">
        <v>11</v>
      </c>
      <c r="C283" s="4">
        <v>13</v>
      </c>
      <c r="D283" s="4">
        <v>1</v>
      </c>
      <c r="E283" s="4">
        <v>0</v>
      </c>
      <c r="F283" s="4">
        <v>1</v>
      </c>
      <c r="G283" s="4">
        <v>0</v>
      </c>
      <c r="H283" s="4">
        <v>0</v>
      </c>
      <c r="I283" s="4">
        <v>1</v>
      </c>
      <c r="J283" s="4">
        <v>0</v>
      </c>
      <c r="K283" s="4">
        <v>0</v>
      </c>
      <c r="L283" s="4">
        <v>1</v>
      </c>
    </row>
    <row r="284" spans="1:12" x14ac:dyDescent="0.2">
      <c r="A284" s="4">
        <v>5</v>
      </c>
      <c r="B284" s="4">
        <v>15</v>
      </c>
      <c r="C284" s="4">
        <v>15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1</v>
      </c>
      <c r="J284" s="4">
        <v>0</v>
      </c>
      <c r="K284" s="4">
        <v>0</v>
      </c>
      <c r="L284" s="4">
        <v>2</v>
      </c>
    </row>
    <row r="285" spans="1:12" x14ac:dyDescent="0.2">
      <c r="A285" s="4">
        <v>5</v>
      </c>
      <c r="B285" s="4">
        <v>14</v>
      </c>
      <c r="C285" s="4">
        <v>19</v>
      </c>
      <c r="D285" s="4">
        <v>5</v>
      </c>
      <c r="E285" s="4">
        <v>0</v>
      </c>
      <c r="F285" s="4">
        <v>1</v>
      </c>
      <c r="G285" s="4">
        <v>4</v>
      </c>
      <c r="H285" s="4">
        <v>0</v>
      </c>
      <c r="I285" s="4">
        <v>1</v>
      </c>
      <c r="J285" s="4">
        <v>0</v>
      </c>
      <c r="K285" s="4">
        <v>0</v>
      </c>
      <c r="L285" s="4">
        <v>0</v>
      </c>
    </row>
    <row r="286" spans="1:12" x14ac:dyDescent="0.2">
      <c r="A286" s="4">
        <v>5</v>
      </c>
      <c r="B286" s="4">
        <v>14</v>
      </c>
      <c r="C286" s="4">
        <v>5</v>
      </c>
      <c r="D286" s="4">
        <v>0</v>
      </c>
      <c r="E286" s="4">
        <v>0</v>
      </c>
      <c r="F286" s="4">
        <v>0</v>
      </c>
      <c r="G286" s="4">
        <v>0</v>
      </c>
      <c r="H286" s="4">
        <v>1</v>
      </c>
      <c r="I286" s="4">
        <v>0</v>
      </c>
      <c r="J286" s="4">
        <v>0</v>
      </c>
      <c r="K286" s="4">
        <v>0</v>
      </c>
      <c r="L286" s="4">
        <v>5</v>
      </c>
    </row>
    <row r="287" spans="1:12" x14ac:dyDescent="0.2">
      <c r="A287" s="4">
        <v>5</v>
      </c>
      <c r="B287" s="4">
        <v>12</v>
      </c>
      <c r="C287" s="4">
        <v>14</v>
      </c>
      <c r="D287" s="4">
        <v>11</v>
      </c>
      <c r="E287" s="4">
        <v>1</v>
      </c>
      <c r="F287" s="4">
        <v>0</v>
      </c>
      <c r="G287" s="4">
        <v>0</v>
      </c>
      <c r="H287" s="4">
        <v>1</v>
      </c>
      <c r="I287" s="4">
        <v>0</v>
      </c>
      <c r="J287" s="4">
        <v>0</v>
      </c>
      <c r="K287" s="4">
        <v>0</v>
      </c>
      <c r="L287" s="4">
        <v>4</v>
      </c>
    </row>
    <row r="288" spans="1:12" x14ac:dyDescent="0.2">
      <c r="A288" s="4">
        <v>5</v>
      </c>
      <c r="B288" s="4"/>
      <c r="C288" s="4">
        <v>45</v>
      </c>
      <c r="D288" s="4">
        <v>2</v>
      </c>
      <c r="E288" s="4">
        <v>0</v>
      </c>
      <c r="F288" s="4">
        <v>0</v>
      </c>
      <c r="G288" s="4">
        <v>0</v>
      </c>
      <c r="H288" s="4">
        <v>1</v>
      </c>
      <c r="I288" s="4">
        <v>0</v>
      </c>
      <c r="J288" s="4">
        <v>0</v>
      </c>
      <c r="K288" s="4">
        <v>0</v>
      </c>
      <c r="L288" s="4">
        <v>1</v>
      </c>
    </row>
    <row r="289" spans="1:12" x14ac:dyDescent="0.2">
      <c r="A289" s="4">
        <v>5</v>
      </c>
      <c r="B289" s="4"/>
      <c r="C289" s="4">
        <v>15</v>
      </c>
      <c r="D289" s="4">
        <v>5</v>
      </c>
      <c r="E289" s="4">
        <v>0</v>
      </c>
      <c r="F289" s="4">
        <v>1</v>
      </c>
      <c r="G289" s="4">
        <v>2</v>
      </c>
      <c r="H289" s="4">
        <v>0</v>
      </c>
      <c r="I289" s="4">
        <v>1</v>
      </c>
      <c r="J289" s="4">
        <v>0</v>
      </c>
      <c r="K289" s="4">
        <v>0</v>
      </c>
      <c r="L289" s="4">
        <v>3</v>
      </c>
    </row>
    <row r="290" spans="1:12" x14ac:dyDescent="0.2">
      <c r="A290" s="4">
        <v>5</v>
      </c>
      <c r="B290" s="4"/>
      <c r="C290" s="4">
        <v>24</v>
      </c>
      <c r="D290" s="4">
        <v>5</v>
      </c>
      <c r="E290" s="4">
        <v>0</v>
      </c>
      <c r="F290" s="4">
        <v>1</v>
      </c>
      <c r="G290" s="4">
        <v>0</v>
      </c>
      <c r="H290" s="4">
        <v>0</v>
      </c>
      <c r="I290" s="4">
        <v>1</v>
      </c>
      <c r="J290" s="4">
        <v>0</v>
      </c>
      <c r="K290" s="4">
        <v>0</v>
      </c>
      <c r="L290" s="4">
        <v>1</v>
      </c>
    </row>
    <row r="291" spans="1:12" x14ac:dyDescent="0.2">
      <c r="A291" s="4">
        <v>5</v>
      </c>
      <c r="B291" s="4"/>
      <c r="C291" s="4">
        <v>31</v>
      </c>
      <c r="D291" s="4">
        <v>9</v>
      </c>
      <c r="E291" s="4">
        <v>0</v>
      </c>
      <c r="F291" s="4">
        <v>1</v>
      </c>
      <c r="G291" s="4">
        <v>6</v>
      </c>
      <c r="H291" s="4">
        <v>0</v>
      </c>
      <c r="I291" s="4">
        <v>1</v>
      </c>
      <c r="J291" s="4">
        <v>0</v>
      </c>
      <c r="K291" s="4">
        <v>0</v>
      </c>
      <c r="L291" s="4">
        <v>3</v>
      </c>
    </row>
    <row r="292" spans="1:12" x14ac:dyDescent="0.2">
      <c r="A292" s="4">
        <v>5</v>
      </c>
      <c r="B292" s="4"/>
      <c r="C292" s="4">
        <v>18</v>
      </c>
      <c r="D292" s="4">
        <v>0</v>
      </c>
      <c r="E292" s="4">
        <v>1</v>
      </c>
      <c r="F292" s="4">
        <v>1</v>
      </c>
      <c r="G292" s="4">
        <v>3</v>
      </c>
      <c r="H292" s="4">
        <v>0</v>
      </c>
      <c r="I292" s="4">
        <v>0</v>
      </c>
      <c r="J292" s="4">
        <v>1</v>
      </c>
      <c r="K292" s="4">
        <v>0</v>
      </c>
      <c r="L292" s="4">
        <v>5</v>
      </c>
    </row>
    <row r="293" spans="1:12" x14ac:dyDescent="0.2">
      <c r="A293" s="4">
        <v>5.05</v>
      </c>
      <c r="B293" s="4"/>
      <c r="C293" s="4">
        <v>5</v>
      </c>
      <c r="D293" s="4">
        <v>0</v>
      </c>
      <c r="E293" s="4">
        <v>1</v>
      </c>
      <c r="F293" s="4">
        <v>0</v>
      </c>
      <c r="G293" s="4">
        <v>0</v>
      </c>
      <c r="H293" s="4">
        <v>1</v>
      </c>
      <c r="I293" s="4">
        <v>0</v>
      </c>
      <c r="J293" s="4">
        <v>0</v>
      </c>
      <c r="K293" s="4">
        <v>0</v>
      </c>
      <c r="L293" s="4"/>
    </row>
    <row r="294" spans="1:12" x14ac:dyDescent="0.2">
      <c r="A294" s="4">
        <v>5.05</v>
      </c>
      <c r="B294" s="4">
        <v>12</v>
      </c>
      <c r="C294" s="4">
        <v>19</v>
      </c>
      <c r="D294" s="4">
        <v>0</v>
      </c>
      <c r="E294" s="4">
        <v>1</v>
      </c>
      <c r="F294" s="4">
        <v>1</v>
      </c>
      <c r="G294" s="4">
        <v>3</v>
      </c>
      <c r="H294" s="4">
        <v>0</v>
      </c>
      <c r="I294" s="4">
        <v>1</v>
      </c>
      <c r="J294" s="4">
        <v>0</v>
      </c>
      <c r="K294" s="4">
        <v>0</v>
      </c>
      <c r="L294" s="4"/>
    </row>
    <row r="295" spans="1:12" x14ac:dyDescent="0.2">
      <c r="A295" s="4">
        <v>5.1100000000000003</v>
      </c>
      <c r="B295" s="4">
        <v>11</v>
      </c>
      <c r="C295" s="4">
        <v>3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1</v>
      </c>
      <c r="K295" s="4">
        <v>1</v>
      </c>
      <c r="L295" s="4"/>
    </row>
    <row r="296" spans="1:12" x14ac:dyDescent="0.2">
      <c r="A296" s="4">
        <v>5.13</v>
      </c>
      <c r="B296" s="4">
        <v>15</v>
      </c>
      <c r="C296" s="4">
        <v>6</v>
      </c>
      <c r="D296" s="4">
        <v>6</v>
      </c>
      <c r="E296" s="4"/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/>
    </row>
    <row r="297" spans="1:12" x14ac:dyDescent="0.2">
      <c r="A297" s="4">
        <v>5.15</v>
      </c>
      <c r="B297" s="4">
        <v>16</v>
      </c>
      <c r="C297" s="4">
        <v>39</v>
      </c>
      <c r="D297" s="4">
        <v>21</v>
      </c>
      <c r="E297" s="4">
        <v>1</v>
      </c>
      <c r="F297" s="4">
        <v>0</v>
      </c>
      <c r="G297" s="4">
        <v>0</v>
      </c>
      <c r="H297" s="4">
        <v>0</v>
      </c>
      <c r="I297" s="4">
        <v>0</v>
      </c>
      <c r="J297" s="4">
        <v>1</v>
      </c>
      <c r="K297" s="4">
        <v>0</v>
      </c>
      <c r="L297" s="4">
        <v>0</v>
      </c>
    </row>
    <row r="298" spans="1:12" x14ac:dyDescent="0.2">
      <c r="A298" s="4">
        <v>5.2</v>
      </c>
      <c r="B298" s="4">
        <v>6</v>
      </c>
      <c r="C298" s="4">
        <v>47</v>
      </c>
      <c r="D298" s="4">
        <v>13</v>
      </c>
      <c r="E298" s="4">
        <v>0</v>
      </c>
      <c r="F298" s="4">
        <v>1</v>
      </c>
      <c r="G298" s="4">
        <v>0</v>
      </c>
      <c r="H298" s="4">
        <v>0</v>
      </c>
      <c r="I298" s="4">
        <v>1</v>
      </c>
      <c r="J298" s="4">
        <v>0</v>
      </c>
      <c r="K298" s="4">
        <v>1</v>
      </c>
      <c r="L298" s="4">
        <v>2</v>
      </c>
    </row>
    <row r="299" spans="1:12" x14ac:dyDescent="0.2">
      <c r="A299" s="4">
        <v>5.25</v>
      </c>
      <c r="B299" s="4">
        <v>12</v>
      </c>
      <c r="C299" s="4">
        <v>19</v>
      </c>
      <c r="D299" s="4">
        <v>10</v>
      </c>
      <c r="E299" s="4">
        <v>1</v>
      </c>
      <c r="F299" s="4">
        <v>1</v>
      </c>
      <c r="G299" s="4">
        <v>2</v>
      </c>
      <c r="H299" s="4">
        <v>1</v>
      </c>
      <c r="I299" s="4">
        <v>0</v>
      </c>
      <c r="J299" s="4">
        <v>0</v>
      </c>
      <c r="K299" s="4">
        <v>0</v>
      </c>
      <c r="L299" s="4">
        <v>5</v>
      </c>
    </row>
    <row r="300" spans="1:12" x14ac:dyDescent="0.2">
      <c r="A300" s="4">
        <v>5.25</v>
      </c>
      <c r="B300" s="4">
        <v>16</v>
      </c>
      <c r="C300" s="4">
        <v>4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1</v>
      </c>
      <c r="J300" s="4">
        <v>0</v>
      </c>
      <c r="K300" s="4">
        <v>0</v>
      </c>
      <c r="L300" s="4">
        <v>4</v>
      </c>
    </row>
    <row r="301" spans="1:12" x14ac:dyDescent="0.2">
      <c r="A301" s="4">
        <v>5.25</v>
      </c>
      <c r="B301" s="4">
        <v>12</v>
      </c>
      <c r="C301" s="4">
        <v>4</v>
      </c>
      <c r="D301" s="4">
        <v>0</v>
      </c>
      <c r="E301" s="4">
        <v>0</v>
      </c>
      <c r="F301" s="4">
        <v>0</v>
      </c>
      <c r="G301" s="4">
        <v>0</v>
      </c>
      <c r="H301" s="4">
        <v>1</v>
      </c>
      <c r="I301" s="4">
        <v>0</v>
      </c>
      <c r="J301" s="4">
        <v>0</v>
      </c>
      <c r="K301" s="4">
        <v>0</v>
      </c>
      <c r="L301" s="4">
        <v>4</v>
      </c>
    </row>
    <row r="302" spans="1:12" x14ac:dyDescent="0.2">
      <c r="A302" s="4">
        <v>5.25</v>
      </c>
      <c r="B302" s="4">
        <v>11</v>
      </c>
      <c r="C302" s="4">
        <v>13</v>
      </c>
      <c r="D302" s="4">
        <v>11</v>
      </c>
      <c r="E302" s="4">
        <v>0</v>
      </c>
      <c r="F302" s="4">
        <v>1</v>
      </c>
      <c r="G302" s="4">
        <v>2</v>
      </c>
      <c r="H302" s="4">
        <v>0</v>
      </c>
      <c r="I302" s="4">
        <v>1</v>
      </c>
      <c r="J302" s="4">
        <v>0</v>
      </c>
      <c r="K302" s="4">
        <v>0</v>
      </c>
      <c r="L302" s="4">
        <v>1</v>
      </c>
    </row>
    <row r="303" spans="1:12" x14ac:dyDescent="0.2">
      <c r="A303" s="4">
        <v>5.25</v>
      </c>
      <c r="B303" s="4">
        <v>10</v>
      </c>
      <c r="C303" s="4">
        <v>44</v>
      </c>
      <c r="D303" s="4">
        <v>7</v>
      </c>
      <c r="E303" s="4">
        <v>0</v>
      </c>
      <c r="F303" s="4">
        <v>1</v>
      </c>
      <c r="G303" s="4">
        <v>1</v>
      </c>
      <c r="H303" s="4">
        <v>1</v>
      </c>
      <c r="I303" s="4">
        <v>0</v>
      </c>
      <c r="J303" s="4">
        <v>0</v>
      </c>
      <c r="K303" s="4">
        <v>0</v>
      </c>
      <c r="L303" s="4">
        <v>1</v>
      </c>
    </row>
    <row r="304" spans="1:12" x14ac:dyDescent="0.2">
      <c r="A304" s="4">
        <v>5.3</v>
      </c>
      <c r="B304" s="4">
        <v>12</v>
      </c>
      <c r="C304" s="4">
        <v>7</v>
      </c>
      <c r="D304" s="4">
        <v>2</v>
      </c>
      <c r="E304" s="4">
        <v>0</v>
      </c>
      <c r="F304" s="4">
        <v>1</v>
      </c>
      <c r="G304" s="4">
        <v>1</v>
      </c>
      <c r="H304" s="4">
        <v>0</v>
      </c>
      <c r="I304" s="4">
        <v>0</v>
      </c>
      <c r="J304" s="4">
        <v>1</v>
      </c>
      <c r="K304" s="4">
        <v>0</v>
      </c>
      <c r="L304" s="4">
        <v>0</v>
      </c>
    </row>
    <row r="305" spans="1:12" x14ac:dyDescent="0.2">
      <c r="A305" s="4">
        <v>5.4</v>
      </c>
      <c r="B305" s="4">
        <v>12</v>
      </c>
      <c r="C305" s="4">
        <v>6</v>
      </c>
      <c r="D305" s="4">
        <v>3</v>
      </c>
      <c r="E305" s="4">
        <v>0</v>
      </c>
      <c r="F305" s="4">
        <v>1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2</v>
      </c>
    </row>
    <row r="306" spans="1:12" x14ac:dyDescent="0.2">
      <c r="A306" s="4">
        <v>5.43</v>
      </c>
      <c r="B306" s="4">
        <v>14</v>
      </c>
      <c r="C306" s="4">
        <v>10</v>
      </c>
      <c r="D306" s="4">
        <v>3</v>
      </c>
      <c r="E306" s="4">
        <v>0</v>
      </c>
      <c r="F306" s="4">
        <v>1</v>
      </c>
      <c r="G306" s="4">
        <v>1</v>
      </c>
      <c r="H306" s="4">
        <v>0</v>
      </c>
      <c r="I306" s="4">
        <v>1</v>
      </c>
      <c r="J306" s="4">
        <v>0</v>
      </c>
      <c r="K306" s="4">
        <v>0</v>
      </c>
      <c r="L306" s="4"/>
    </row>
    <row r="307" spans="1:12" x14ac:dyDescent="0.2">
      <c r="A307" s="4">
        <v>5.48</v>
      </c>
      <c r="B307" s="4">
        <v>10</v>
      </c>
      <c r="C307" s="4">
        <v>36</v>
      </c>
      <c r="D307" s="4">
        <v>3</v>
      </c>
      <c r="E307" s="4">
        <v>1</v>
      </c>
      <c r="F307" s="4">
        <v>1</v>
      </c>
      <c r="G307" s="4">
        <v>0</v>
      </c>
      <c r="H307" s="4">
        <v>0</v>
      </c>
      <c r="I307" s="4">
        <v>1</v>
      </c>
      <c r="J307" s="4">
        <v>0</v>
      </c>
      <c r="K307" s="4">
        <v>0</v>
      </c>
      <c r="L307" s="4">
        <v>2</v>
      </c>
    </row>
    <row r="308" spans="1:12" x14ac:dyDescent="0.2">
      <c r="A308" s="4">
        <v>5.5</v>
      </c>
      <c r="B308" s="4">
        <v>12</v>
      </c>
      <c r="C308" s="4">
        <v>18</v>
      </c>
      <c r="D308" s="4">
        <v>3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1</v>
      </c>
      <c r="K308" s="4">
        <v>0</v>
      </c>
      <c r="L308" s="4">
        <v>2</v>
      </c>
    </row>
    <row r="309" spans="1:12" x14ac:dyDescent="0.2">
      <c r="A309" s="4">
        <v>5.5</v>
      </c>
      <c r="B309" s="4">
        <v>12</v>
      </c>
      <c r="C309" s="4">
        <v>9</v>
      </c>
      <c r="D309" s="4">
        <v>4</v>
      </c>
      <c r="E309" s="4">
        <v>0</v>
      </c>
      <c r="F309" s="4">
        <v>1</v>
      </c>
      <c r="G309" s="4">
        <v>1</v>
      </c>
      <c r="H309" s="4">
        <v>0</v>
      </c>
      <c r="I309" s="4">
        <v>1</v>
      </c>
      <c r="J309" s="4">
        <v>0</v>
      </c>
      <c r="K309" s="4">
        <v>0</v>
      </c>
      <c r="L309" s="4">
        <v>5</v>
      </c>
    </row>
    <row r="310" spans="1:12" x14ac:dyDescent="0.2">
      <c r="A310" s="4">
        <v>5.52</v>
      </c>
      <c r="B310" s="4">
        <v>13</v>
      </c>
      <c r="C310" s="4">
        <v>31</v>
      </c>
      <c r="D310" s="4">
        <v>3</v>
      </c>
      <c r="E310" s="4">
        <v>0</v>
      </c>
      <c r="F310" s="4">
        <v>0</v>
      </c>
      <c r="G310" s="4">
        <v>0</v>
      </c>
      <c r="H310" s="4">
        <v>0</v>
      </c>
      <c r="I310" s="4">
        <v>1</v>
      </c>
      <c r="J310" s="4">
        <v>0</v>
      </c>
      <c r="K310" s="4">
        <v>0</v>
      </c>
      <c r="L310" s="4">
        <v>0</v>
      </c>
    </row>
    <row r="311" spans="1:12" x14ac:dyDescent="0.2">
      <c r="A311" s="4">
        <v>5.58</v>
      </c>
      <c r="B311" s="4">
        <v>16</v>
      </c>
      <c r="C311" s="4">
        <v>1</v>
      </c>
      <c r="D311" s="4">
        <v>1</v>
      </c>
      <c r="E311" s="4">
        <v>0</v>
      </c>
      <c r="F311" s="4">
        <v>1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5</v>
      </c>
    </row>
    <row r="312" spans="1:12" x14ac:dyDescent="0.2">
      <c r="A312" s="4">
        <v>5.6</v>
      </c>
      <c r="B312" s="4">
        <v>15</v>
      </c>
      <c r="C312" s="4">
        <v>31</v>
      </c>
      <c r="D312" s="4">
        <v>15</v>
      </c>
      <c r="E312" s="4">
        <v>1</v>
      </c>
      <c r="F312" s="4">
        <v>0</v>
      </c>
      <c r="G312" s="4">
        <v>2</v>
      </c>
      <c r="H312" s="4">
        <v>1</v>
      </c>
      <c r="I312" s="4">
        <v>0</v>
      </c>
      <c r="J312" s="4">
        <v>0</v>
      </c>
      <c r="K312" s="4">
        <v>0</v>
      </c>
      <c r="L312" s="4">
        <v>3</v>
      </c>
    </row>
    <row r="313" spans="1:12" x14ac:dyDescent="0.2">
      <c r="A313" s="4">
        <v>5.6</v>
      </c>
      <c r="B313" s="4">
        <v>11</v>
      </c>
      <c r="C313" s="4">
        <v>11</v>
      </c>
      <c r="D313" s="4">
        <v>8</v>
      </c>
      <c r="E313" s="4">
        <v>0</v>
      </c>
      <c r="F313" s="4">
        <v>1</v>
      </c>
      <c r="G313" s="4">
        <v>2</v>
      </c>
      <c r="H313" s="4">
        <v>0</v>
      </c>
      <c r="I313" s="4">
        <v>1</v>
      </c>
      <c r="J313" s="4">
        <v>0</v>
      </c>
      <c r="K313" s="4">
        <v>0</v>
      </c>
      <c r="L313" s="4">
        <v>0</v>
      </c>
    </row>
    <row r="314" spans="1:12" x14ac:dyDescent="0.2">
      <c r="A314" s="4">
        <v>5.63</v>
      </c>
      <c r="B314" s="4">
        <v>16</v>
      </c>
      <c r="C314" s="4">
        <v>2</v>
      </c>
      <c r="D314" s="4">
        <v>2</v>
      </c>
      <c r="E314" s="4">
        <v>0</v>
      </c>
      <c r="F314" s="4">
        <v>1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</row>
    <row r="315" spans="1:12" x14ac:dyDescent="0.2">
      <c r="A315" s="4">
        <v>5.65</v>
      </c>
      <c r="B315" s="4">
        <v>12</v>
      </c>
      <c r="C315" s="4">
        <v>2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1</v>
      </c>
      <c r="K315" s="4">
        <v>1</v>
      </c>
      <c r="L315" s="4">
        <v>5</v>
      </c>
    </row>
    <row r="316" spans="1:12" x14ac:dyDescent="0.2">
      <c r="A316" s="4">
        <v>5.7</v>
      </c>
      <c r="B316" s="4">
        <v>16</v>
      </c>
      <c r="C316" s="4">
        <v>2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1</v>
      </c>
      <c r="J316" s="4">
        <v>0</v>
      </c>
      <c r="K316" s="4">
        <v>0</v>
      </c>
      <c r="L316" s="4">
        <v>5</v>
      </c>
    </row>
    <row r="317" spans="1:12" x14ac:dyDescent="0.2">
      <c r="A317" s="4">
        <v>5.71</v>
      </c>
      <c r="B317" s="4">
        <v>16</v>
      </c>
      <c r="C317" s="4">
        <v>10</v>
      </c>
      <c r="D317" s="4">
        <v>5</v>
      </c>
      <c r="E317" s="4">
        <v>0</v>
      </c>
      <c r="F317" s="4">
        <v>1</v>
      </c>
      <c r="G317" s="4">
        <v>1</v>
      </c>
      <c r="H317" s="4">
        <v>0</v>
      </c>
      <c r="I317" s="4">
        <v>0</v>
      </c>
      <c r="J317" s="4">
        <v>0</v>
      </c>
      <c r="K317" s="4">
        <v>0</v>
      </c>
      <c r="L317" s="4">
        <v>2</v>
      </c>
    </row>
    <row r="318" spans="1:12" x14ac:dyDescent="0.2">
      <c r="A318" s="4">
        <v>5.71</v>
      </c>
      <c r="B318" s="4">
        <v>16</v>
      </c>
      <c r="C318" s="4">
        <v>3</v>
      </c>
      <c r="D318" s="4">
        <v>0</v>
      </c>
      <c r="E318" s="4">
        <v>1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2</v>
      </c>
    </row>
    <row r="319" spans="1:12" x14ac:dyDescent="0.2">
      <c r="A319" s="4">
        <v>5.71</v>
      </c>
      <c r="B319" s="4">
        <v>13</v>
      </c>
      <c r="C319" s="4">
        <v>10</v>
      </c>
      <c r="D319" s="4">
        <v>2</v>
      </c>
      <c r="E319" s="4">
        <v>1</v>
      </c>
      <c r="F319" s="4">
        <v>1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/>
    </row>
    <row r="320" spans="1:12" x14ac:dyDescent="0.2">
      <c r="A320" s="4">
        <v>5.75</v>
      </c>
      <c r="B320" s="4">
        <v>14</v>
      </c>
      <c r="C320" s="4">
        <v>6</v>
      </c>
      <c r="D320" s="4">
        <v>5</v>
      </c>
      <c r="E320" s="4">
        <v>0</v>
      </c>
      <c r="F320" s="4">
        <v>1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4</v>
      </c>
    </row>
    <row r="321" spans="1:12" x14ac:dyDescent="0.2">
      <c r="A321" s="4">
        <v>5.77</v>
      </c>
      <c r="B321" s="4">
        <v>10</v>
      </c>
      <c r="C321" s="4">
        <v>44</v>
      </c>
      <c r="D321" s="4">
        <v>3</v>
      </c>
      <c r="E321" s="4">
        <v>0</v>
      </c>
      <c r="F321" s="4">
        <v>1</v>
      </c>
      <c r="G321" s="4">
        <v>0</v>
      </c>
      <c r="H321" s="4">
        <v>1</v>
      </c>
      <c r="I321" s="4">
        <v>0</v>
      </c>
      <c r="J321" s="4">
        <v>0</v>
      </c>
      <c r="K321" s="4">
        <v>0</v>
      </c>
      <c r="L321" s="4">
        <v>4</v>
      </c>
    </row>
    <row r="322" spans="1:12" x14ac:dyDescent="0.2">
      <c r="A322" s="4">
        <v>5.78</v>
      </c>
      <c r="B322" s="4">
        <v>16</v>
      </c>
      <c r="C322" s="4">
        <v>11</v>
      </c>
      <c r="D322" s="4">
        <v>4</v>
      </c>
      <c r="E322" s="4">
        <v>0</v>
      </c>
      <c r="F322" s="4">
        <v>1</v>
      </c>
      <c r="G322" s="4">
        <v>2</v>
      </c>
      <c r="H322" s="4">
        <v>1</v>
      </c>
      <c r="I322" s="4">
        <v>0</v>
      </c>
      <c r="J322" s="4">
        <v>0</v>
      </c>
      <c r="K322" s="4">
        <v>0</v>
      </c>
      <c r="L322" s="4"/>
    </row>
    <row r="323" spans="1:12" x14ac:dyDescent="0.2">
      <c r="A323" s="4">
        <v>5.8</v>
      </c>
      <c r="B323" s="4">
        <v>12</v>
      </c>
      <c r="C323" s="4">
        <v>19</v>
      </c>
      <c r="D323" s="4">
        <v>6</v>
      </c>
      <c r="E323" s="4">
        <v>1</v>
      </c>
      <c r="F323" s="4">
        <v>1</v>
      </c>
      <c r="G323" s="4">
        <v>2</v>
      </c>
      <c r="H323" s="4">
        <v>1</v>
      </c>
      <c r="I323" s="4">
        <v>0</v>
      </c>
      <c r="J323" s="4">
        <v>0</v>
      </c>
      <c r="K323" s="4">
        <v>0</v>
      </c>
      <c r="L323" s="4">
        <v>5</v>
      </c>
    </row>
    <row r="324" spans="1:12" x14ac:dyDescent="0.2">
      <c r="A324" s="4">
        <v>5.83</v>
      </c>
      <c r="B324" s="4">
        <v>8</v>
      </c>
      <c r="C324" s="4">
        <v>36</v>
      </c>
      <c r="D324" s="4">
        <v>15</v>
      </c>
      <c r="E324" s="4">
        <v>1</v>
      </c>
      <c r="F324" s="4">
        <v>1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1</v>
      </c>
    </row>
    <row r="325" spans="1:12" x14ac:dyDescent="0.2">
      <c r="A325" s="4">
        <v>5.84</v>
      </c>
      <c r="B325" s="4">
        <v>13</v>
      </c>
      <c r="C325" s="4">
        <v>5</v>
      </c>
      <c r="D325" s="4">
        <v>0</v>
      </c>
      <c r="E325" s="4">
        <v>1</v>
      </c>
      <c r="F325" s="4">
        <v>1</v>
      </c>
      <c r="G325" s="4">
        <v>1</v>
      </c>
      <c r="H325" s="4">
        <v>0</v>
      </c>
      <c r="I325" s="4">
        <v>1</v>
      </c>
      <c r="J325" s="4">
        <v>0</v>
      </c>
      <c r="K325" s="4">
        <v>0</v>
      </c>
      <c r="L325" s="4">
        <v>0</v>
      </c>
    </row>
    <row r="326" spans="1:12" x14ac:dyDescent="0.2">
      <c r="A326" s="4">
        <v>5.9</v>
      </c>
      <c r="B326" s="4">
        <v>12</v>
      </c>
      <c r="C326" s="4">
        <v>14</v>
      </c>
      <c r="D326" s="4">
        <v>7</v>
      </c>
      <c r="E326" s="4">
        <v>0</v>
      </c>
      <c r="F326" s="4">
        <v>1</v>
      </c>
      <c r="G326" s="4">
        <v>2</v>
      </c>
      <c r="H326" s="4">
        <v>0</v>
      </c>
      <c r="I326" s="4">
        <v>1</v>
      </c>
      <c r="J326" s="4">
        <v>0</v>
      </c>
      <c r="K326" s="4">
        <v>0</v>
      </c>
      <c r="L326" s="4">
        <v>2</v>
      </c>
    </row>
    <row r="327" spans="1:12" x14ac:dyDescent="0.2">
      <c r="A327" s="4">
        <v>5.9</v>
      </c>
      <c r="B327" s="4">
        <v>12</v>
      </c>
      <c r="C327" s="4">
        <v>9</v>
      </c>
      <c r="D327" s="4">
        <v>7</v>
      </c>
      <c r="E327" s="4">
        <v>1</v>
      </c>
      <c r="F327" s="4">
        <v>1</v>
      </c>
      <c r="G327" s="4">
        <v>1</v>
      </c>
      <c r="H327" s="4">
        <v>1</v>
      </c>
      <c r="I327" s="4">
        <v>0</v>
      </c>
      <c r="J327" s="4">
        <v>0</v>
      </c>
      <c r="K327" s="4">
        <v>0</v>
      </c>
      <c r="L327" s="4">
        <v>4</v>
      </c>
    </row>
    <row r="328" spans="1:12" x14ac:dyDescent="0.2">
      <c r="A328" s="4">
        <v>5.91</v>
      </c>
      <c r="B328" s="4">
        <v>12</v>
      </c>
      <c r="C328" s="4">
        <v>14</v>
      </c>
      <c r="D328" s="4">
        <v>6</v>
      </c>
      <c r="E328" s="4">
        <v>0</v>
      </c>
      <c r="F328" s="4">
        <v>1</v>
      </c>
      <c r="G328" s="4">
        <v>2</v>
      </c>
      <c r="H328" s="4">
        <v>0</v>
      </c>
      <c r="I328" s="4">
        <v>0</v>
      </c>
      <c r="J328" s="4">
        <v>0</v>
      </c>
      <c r="K328" s="4">
        <v>0</v>
      </c>
      <c r="L328" s="4"/>
    </row>
    <row r="329" spans="1:12" x14ac:dyDescent="0.2">
      <c r="A329" s="4">
        <v>5.95</v>
      </c>
      <c r="B329" s="4">
        <v>11</v>
      </c>
      <c r="C329" s="4">
        <v>15</v>
      </c>
      <c r="D329" s="4">
        <v>9</v>
      </c>
      <c r="E329" s="4">
        <v>0</v>
      </c>
      <c r="F329" s="4">
        <v>1</v>
      </c>
      <c r="G329" s="4">
        <v>1</v>
      </c>
      <c r="H329" s="4">
        <v>0</v>
      </c>
      <c r="I329" s="4">
        <v>1</v>
      </c>
      <c r="J329" s="4">
        <v>0</v>
      </c>
      <c r="K329" s="4">
        <v>1</v>
      </c>
      <c r="L329" s="4"/>
    </row>
    <row r="330" spans="1:12" x14ac:dyDescent="0.2">
      <c r="A330" s="4">
        <v>6</v>
      </c>
      <c r="B330" s="4">
        <v>8</v>
      </c>
      <c r="C330" s="4">
        <v>44</v>
      </c>
      <c r="D330" s="4">
        <v>28</v>
      </c>
      <c r="E330" s="4">
        <v>0</v>
      </c>
      <c r="F330" s="4">
        <v>1</v>
      </c>
      <c r="G330" s="4">
        <v>0</v>
      </c>
      <c r="H330" s="4">
        <v>0</v>
      </c>
      <c r="I330" s="4">
        <v>0</v>
      </c>
      <c r="J330" s="4">
        <v>1</v>
      </c>
      <c r="K330" s="4">
        <v>0</v>
      </c>
      <c r="L330" s="4"/>
    </row>
    <row r="331" spans="1:12" x14ac:dyDescent="0.2">
      <c r="A331" s="4">
        <v>6</v>
      </c>
      <c r="B331" s="4">
        <v>11</v>
      </c>
      <c r="C331" s="4">
        <v>37</v>
      </c>
      <c r="D331" s="4">
        <v>8</v>
      </c>
      <c r="E331" s="4">
        <v>1</v>
      </c>
      <c r="F331" s="4">
        <v>0</v>
      </c>
      <c r="G331" s="4">
        <v>0</v>
      </c>
      <c r="H331" s="4">
        <v>0</v>
      </c>
      <c r="I331" s="4">
        <v>0</v>
      </c>
      <c r="J331" s="4">
        <v>1</v>
      </c>
      <c r="K331" s="4">
        <v>0</v>
      </c>
      <c r="L331" s="4">
        <v>1</v>
      </c>
    </row>
    <row r="332" spans="1:12" x14ac:dyDescent="0.2">
      <c r="A332" s="4">
        <v>6</v>
      </c>
      <c r="B332" s="4">
        <v>12</v>
      </c>
      <c r="C332" s="4">
        <v>7</v>
      </c>
      <c r="D332" s="4">
        <v>7</v>
      </c>
      <c r="E332" s="4">
        <v>0</v>
      </c>
      <c r="F332" s="4">
        <v>1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</row>
    <row r="333" spans="1:12" x14ac:dyDescent="0.2">
      <c r="A333" s="4">
        <v>6</v>
      </c>
      <c r="B333" s="4">
        <v>13</v>
      </c>
      <c r="C333" s="4">
        <v>8</v>
      </c>
      <c r="D333" s="4">
        <v>0</v>
      </c>
      <c r="E333" s="4">
        <v>0</v>
      </c>
      <c r="F333" s="4">
        <v>1</v>
      </c>
      <c r="G333" s="4">
        <v>2</v>
      </c>
      <c r="H333" s="4">
        <v>1</v>
      </c>
      <c r="I333" s="4">
        <v>0</v>
      </c>
      <c r="J333" s="4">
        <v>0</v>
      </c>
      <c r="K333" s="4">
        <v>0</v>
      </c>
      <c r="L333" s="4">
        <v>1</v>
      </c>
    </row>
    <row r="334" spans="1:12" x14ac:dyDescent="0.2">
      <c r="A334" s="4">
        <v>6</v>
      </c>
      <c r="B334" s="4">
        <v>12</v>
      </c>
      <c r="C334" s="4">
        <v>22</v>
      </c>
      <c r="D334" s="4">
        <v>8</v>
      </c>
      <c r="E334" s="4">
        <v>0</v>
      </c>
      <c r="F334" s="4">
        <v>0</v>
      </c>
      <c r="G334" s="4">
        <v>2</v>
      </c>
      <c r="H334" s="4">
        <v>0</v>
      </c>
      <c r="I334" s="4">
        <v>0</v>
      </c>
      <c r="J334" s="4">
        <v>0</v>
      </c>
      <c r="K334" s="4">
        <v>0</v>
      </c>
      <c r="L334" s="4">
        <v>2</v>
      </c>
    </row>
    <row r="335" spans="1:12" x14ac:dyDescent="0.2">
      <c r="A335" s="4">
        <v>6</v>
      </c>
      <c r="B335" s="4">
        <v>16</v>
      </c>
      <c r="C335" s="4">
        <v>2</v>
      </c>
      <c r="D335" s="4">
        <v>2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5</v>
      </c>
    </row>
    <row r="336" spans="1:12" x14ac:dyDescent="0.2">
      <c r="A336" s="4">
        <v>6</v>
      </c>
      <c r="B336" s="4">
        <v>13</v>
      </c>
      <c r="C336" s="4">
        <v>21</v>
      </c>
      <c r="D336" s="4">
        <v>13</v>
      </c>
      <c r="E336" s="4">
        <v>0</v>
      </c>
      <c r="F336" s="4">
        <v>1</v>
      </c>
      <c r="G336" s="4">
        <v>4</v>
      </c>
      <c r="H336" s="4">
        <v>0</v>
      </c>
      <c r="I336" s="4">
        <v>1</v>
      </c>
      <c r="J336" s="4">
        <v>0</v>
      </c>
      <c r="K336" s="4">
        <v>0</v>
      </c>
      <c r="L336" s="4">
        <v>4</v>
      </c>
    </row>
    <row r="337" spans="1:12" x14ac:dyDescent="0.2">
      <c r="A337" s="4">
        <v>6</v>
      </c>
      <c r="B337" s="4">
        <v>14</v>
      </c>
      <c r="C337" s="4">
        <v>11</v>
      </c>
      <c r="D337" s="4">
        <v>3</v>
      </c>
      <c r="E337" s="4">
        <v>1</v>
      </c>
      <c r="F337" s="4">
        <v>1</v>
      </c>
      <c r="G337" s="4">
        <v>2</v>
      </c>
      <c r="H337" s="4">
        <v>0</v>
      </c>
      <c r="I337" s="4">
        <v>1</v>
      </c>
      <c r="J337" s="4">
        <v>0</v>
      </c>
      <c r="K337" s="4">
        <v>0</v>
      </c>
      <c r="L337" s="4">
        <v>1</v>
      </c>
    </row>
    <row r="338" spans="1:12" x14ac:dyDescent="0.2">
      <c r="A338" s="4">
        <v>6</v>
      </c>
      <c r="B338" s="4">
        <v>15</v>
      </c>
      <c r="C338" s="4">
        <v>19</v>
      </c>
      <c r="D338" s="4">
        <v>4</v>
      </c>
      <c r="E338" s="4">
        <v>1</v>
      </c>
      <c r="F338" s="4">
        <v>1</v>
      </c>
      <c r="G338" s="4">
        <v>2</v>
      </c>
      <c r="H338" s="4">
        <v>0</v>
      </c>
      <c r="I338" s="4">
        <v>1</v>
      </c>
      <c r="J338" s="4">
        <v>0</v>
      </c>
      <c r="K338" s="4">
        <v>0</v>
      </c>
      <c r="L338" s="4">
        <v>1</v>
      </c>
    </row>
    <row r="339" spans="1:12" x14ac:dyDescent="0.2">
      <c r="A339" s="4">
        <v>6</v>
      </c>
      <c r="B339" s="4">
        <v>14</v>
      </c>
      <c r="C339" s="4">
        <v>11</v>
      </c>
      <c r="D339" s="4">
        <v>0</v>
      </c>
      <c r="E339" s="4">
        <v>0</v>
      </c>
      <c r="F339" s="4">
        <v>1</v>
      </c>
      <c r="G339" s="4">
        <v>0</v>
      </c>
      <c r="H339" s="4">
        <v>1</v>
      </c>
      <c r="I339" s="4">
        <v>0</v>
      </c>
      <c r="J339" s="4">
        <v>0</v>
      </c>
      <c r="K339" s="4">
        <v>0</v>
      </c>
      <c r="L339" s="4">
        <v>1</v>
      </c>
    </row>
    <row r="340" spans="1:12" x14ac:dyDescent="0.2">
      <c r="A340" s="4">
        <v>6.08</v>
      </c>
      <c r="B340" s="4">
        <v>16</v>
      </c>
      <c r="C340" s="4">
        <v>9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1</v>
      </c>
      <c r="J340" s="4">
        <v>0</v>
      </c>
      <c r="K340" s="4">
        <v>0</v>
      </c>
      <c r="L340" s="4">
        <v>4</v>
      </c>
    </row>
    <row r="341" spans="1:12" x14ac:dyDescent="0.2">
      <c r="A341" s="4">
        <v>6.08</v>
      </c>
      <c r="B341" s="4">
        <v>16</v>
      </c>
      <c r="C341" s="4">
        <v>42</v>
      </c>
      <c r="D341" s="4">
        <v>10</v>
      </c>
      <c r="E341" s="4">
        <v>0</v>
      </c>
      <c r="F341" s="4">
        <v>0</v>
      </c>
      <c r="G341" s="4">
        <v>0</v>
      </c>
      <c r="H341" s="4">
        <v>1</v>
      </c>
      <c r="I341" s="4">
        <v>0</v>
      </c>
      <c r="J341" s="4">
        <v>0</v>
      </c>
      <c r="K341" s="4">
        <v>0</v>
      </c>
      <c r="L341" s="4">
        <v>1</v>
      </c>
    </row>
    <row r="342" spans="1:12" x14ac:dyDescent="0.2">
      <c r="A342" s="4">
        <v>6.11</v>
      </c>
      <c r="B342" s="4">
        <v>14</v>
      </c>
      <c r="C342" s="4">
        <v>15</v>
      </c>
      <c r="D342" s="4">
        <v>0</v>
      </c>
      <c r="E342" s="4">
        <v>0</v>
      </c>
      <c r="F342" s="4">
        <v>1</v>
      </c>
      <c r="G342" s="4">
        <v>2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</row>
    <row r="343" spans="1:12" x14ac:dyDescent="0.2">
      <c r="A343" s="4">
        <v>6.15</v>
      </c>
      <c r="B343" s="4">
        <v>12</v>
      </c>
      <c r="C343" s="4">
        <v>15</v>
      </c>
      <c r="D343" s="4">
        <v>6</v>
      </c>
      <c r="E343" s="4">
        <v>1</v>
      </c>
      <c r="F343" s="4">
        <v>1</v>
      </c>
      <c r="G343" s="4">
        <v>1</v>
      </c>
      <c r="H343" s="4">
        <v>0</v>
      </c>
      <c r="I343" s="4">
        <v>0</v>
      </c>
      <c r="J343" s="4">
        <v>1</v>
      </c>
      <c r="K343" s="4">
        <v>0</v>
      </c>
      <c r="L343" s="4">
        <v>5</v>
      </c>
    </row>
    <row r="344" spans="1:12" x14ac:dyDescent="0.2">
      <c r="A344" s="4">
        <v>6.15</v>
      </c>
      <c r="B344" s="4">
        <v>12</v>
      </c>
      <c r="C344" s="4">
        <v>35</v>
      </c>
      <c r="D344" s="4">
        <v>12</v>
      </c>
      <c r="E344" s="4">
        <v>1</v>
      </c>
      <c r="F344" s="4">
        <v>0</v>
      </c>
      <c r="G344" s="4">
        <v>0</v>
      </c>
      <c r="H344" s="4">
        <v>1</v>
      </c>
      <c r="I344" s="4">
        <v>0</v>
      </c>
      <c r="J344" s="4">
        <v>0</v>
      </c>
      <c r="K344" s="4">
        <v>0</v>
      </c>
      <c r="L344" s="4">
        <v>5</v>
      </c>
    </row>
    <row r="345" spans="1:12" x14ac:dyDescent="0.2">
      <c r="A345" s="4">
        <v>6.18</v>
      </c>
      <c r="B345" s="4">
        <v>14</v>
      </c>
      <c r="C345" s="4">
        <v>9</v>
      </c>
      <c r="D345" s="4">
        <v>3</v>
      </c>
      <c r="E345" s="4">
        <v>1</v>
      </c>
      <c r="F345" s="4">
        <v>1</v>
      </c>
      <c r="G345" s="4">
        <v>0</v>
      </c>
      <c r="H345" s="4">
        <v>1</v>
      </c>
      <c r="I345" s="4">
        <v>0</v>
      </c>
      <c r="J345" s="4">
        <v>0</v>
      </c>
      <c r="K345" s="4">
        <v>0</v>
      </c>
      <c r="L345" s="4">
        <v>3</v>
      </c>
    </row>
    <row r="346" spans="1:12" x14ac:dyDescent="0.2">
      <c r="A346" s="4">
        <v>6.22</v>
      </c>
      <c r="B346" s="4">
        <v>12</v>
      </c>
      <c r="C346" s="4">
        <v>19</v>
      </c>
      <c r="D346" s="4">
        <v>9</v>
      </c>
      <c r="E346" s="4">
        <v>1</v>
      </c>
      <c r="F346" s="4">
        <v>1</v>
      </c>
      <c r="G346" s="4">
        <v>1</v>
      </c>
      <c r="H346" s="4">
        <v>1</v>
      </c>
      <c r="I346" s="4">
        <v>0</v>
      </c>
      <c r="J346" s="4">
        <v>0</v>
      </c>
      <c r="K346" s="4">
        <v>0</v>
      </c>
      <c r="L346" s="4">
        <v>5</v>
      </c>
    </row>
    <row r="347" spans="1:12" x14ac:dyDescent="0.2">
      <c r="A347" s="4">
        <v>6.25</v>
      </c>
      <c r="B347" s="4">
        <v>16</v>
      </c>
      <c r="C347" s="4">
        <v>8</v>
      </c>
      <c r="D347" s="4">
        <v>2</v>
      </c>
      <c r="E347" s="4"/>
      <c r="F347" s="4">
        <v>0</v>
      </c>
      <c r="G347" s="4">
        <v>0</v>
      </c>
      <c r="H347" s="4">
        <v>0</v>
      </c>
      <c r="I347" s="4">
        <v>0</v>
      </c>
      <c r="J347" s="4">
        <v>1</v>
      </c>
      <c r="K347" s="4">
        <v>0</v>
      </c>
      <c r="L347" s="4">
        <v>5</v>
      </c>
    </row>
    <row r="348" spans="1:12" x14ac:dyDescent="0.2">
      <c r="A348" s="4">
        <v>6.25</v>
      </c>
      <c r="B348" s="4">
        <v>12</v>
      </c>
      <c r="C348" s="4">
        <v>11</v>
      </c>
      <c r="D348" s="4">
        <v>0</v>
      </c>
      <c r="E348" s="4">
        <v>1</v>
      </c>
      <c r="F348" s="4">
        <v>0</v>
      </c>
      <c r="G348" s="4">
        <v>0</v>
      </c>
      <c r="H348" s="4">
        <v>0</v>
      </c>
      <c r="I348" s="4">
        <v>0</v>
      </c>
      <c r="J348" s="4">
        <v>1</v>
      </c>
      <c r="K348" s="4">
        <v>0</v>
      </c>
      <c r="L348" s="4">
        <v>3</v>
      </c>
    </row>
    <row r="349" spans="1:12" x14ac:dyDescent="0.2">
      <c r="A349" s="4">
        <v>6.25</v>
      </c>
      <c r="B349" s="4">
        <v>10</v>
      </c>
      <c r="C349" s="4">
        <v>36</v>
      </c>
      <c r="D349" s="4">
        <v>8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4</v>
      </c>
    </row>
    <row r="350" spans="1:12" x14ac:dyDescent="0.2">
      <c r="A350" s="4">
        <v>6.25</v>
      </c>
      <c r="B350" s="4"/>
      <c r="C350" s="4">
        <v>7</v>
      </c>
      <c r="D350" s="4">
        <v>4</v>
      </c>
      <c r="E350" s="4">
        <v>1</v>
      </c>
      <c r="F350" s="4">
        <v>1</v>
      </c>
      <c r="G350" s="4">
        <v>3</v>
      </c>
      <c r="H350" s="4">
        <v>0</v>
      </c>
      <c r="I350" s="4">
        <v>0</v>
      </c>
      <c r="J350" s="4">
        <v>0</v>
      </c>
      <c r="K350" s="4">
        <v>0</v>
      </c>
      <c r="L350" s="4">
        <v>4</v>
      </c>
    </row>
    <row r="351" spans="1:12" x14ac:dyDescent="0.2">
      <c r="A351" s="4">
        <v>6.25</v>
      </c>
      <c r="B351" s="4"/>
      <c r="C351" s="4">
        <v>6</v>
      </c>
      <c r="D351" s="4">
        <v>5</v>
      </c>
      <c r="E351" s="4">
        <v>1</v>
      </c>
      <c r="F351" s="4">
        <v>1</v>
      </c>
      <c r="G351" s="4">
        <v>1</v>
      </c>
      <c r="H351" s="4">
        <v>1</v>
      </c>
      <c r="I351" s="4">
        <v>0</v>
      </c>
      <c r="J351" s="4">
        <v>0</v>
      </c>
      <c r="K351" s="4">
        <v>0</v>
      </c>
      <c r="L351" s="4">
        <v>1</v>
      </c>
    </row>
    <row r="352" spans="1:12" x14ac:dyDescent="0.2">
      <c r="A352" s="4">
        <v>6.25</v>
      </c>
      <c r="B352" s="4"/>
      <c r="C352" s="4">
        <v>9</v>
      </c>
      <c r="D352" s="4">
        <v>2</v>
      </c>
      <c r="E352" s="4">
        <v>0</v>
      </c>
      <c r="F352" s="4">
        <v>1</v>
      </c>
      <c r="G352" s="4">
        <v>1</v>
      </c>
      <c r="H352" s="4">
        <v>1</v>
      </c>
      <c r="I352" s="4">
        <v>0</v>
      </c>
      <c r="J352" s="4">
        <v>0</v>
      </c>
      <c r="K352" s="4">
        <v>0</v>
      </c>
      <c r="L352" s="4">
        <v>3</v>
      </c>
    </row>
    <row r="353" spans="1:12" x14ac:dyDescent="0.2">
      <c r="A353" s="4">
        <v>6.25</v>
      </c>
      <c r="B353" s="4"/>
      <c r="C353" s="4">
        <v>2</v>
      </c>
      <c r="D353" s="4">
        <v>1</v>
      </c>
      <c r="E353" s="4">
        <v>1</v>
      </c>
      <c r="F353" s="4">
        <v>0</v>
      </c>
      <c r="G353" s="4">
        <v>0</v>
      </c>
      <c r="H353" s="4">
        <v>1</v>
      </c>
      <c r="I353" s="4">
        <v>0</v>
      </c>
      <c r="J353" s="4">
        <v>0</v>
      </c>
      <c r="K353" s="4">
        <v>0</v>
      </c>
      <c r="L353" s="4">
        <v>3</v>
      </c>
    </row>
    <row r="354" spans="1:12" x14ac:dyDescent="0.2">
      <c r="A354" s="4">
        <v>6.25</v>
      </c>
      <c r="B354" s="4"/>
      <c r="C354" s="4">
        <v>13</v>
      </c>
      <c r="D354" s="4">
        <v>0</v>
      </c>
      <c r="E354" s="4">
        <v>1</v>
      </c>
      <c r="F354" s="4">
        <v>1</v>
      </c>
      <c r="G354" s="4">
        <v>0</v>
      </c>
      <c r="H354" s="4">
        <v>1</v>
      </c>
      <c r="I354" s="4">
        <v>0</v>
      </c>
      <c r="J354" s="4">
        <v>0</v>
      </c>
      <c r="K354" s="4">
        <v>0</v>
      </c>
      <c r="L354" s="4">
        <v>4</v>
      </c>
    </row>
    <row r="355" spans="1:12" x14ac:dyDescent="0.2">
      <c r="A355" s="4">
        <v>6.25</v>
      </c>
      <c r="B355" s="4">
        <v>16</v>
      </c>
      <c r="C355" s="4">
        <v>5</v>
      </c>
      <c r="D355" s="4">
        <v>0</v>
      </c>
      <c r="E355" s="4">
        <v>0</v>
      </c>
      <c r="F355" s="4">
        <v>1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</row>
    <row r="356" spans="1:12" x14ac:dyDescent="0.2">
      <c r="A356" s="4">
        <v>6.25</v>
      </c>
      <c r="B356" s="4">
        <v>15</v>
      </c>
      <c r="C356" s="4">
        <v>12</v>
      </c>
      <c r="D356" s="4">
        <v>4</v>
      </c>
      <c r="E356" s="4">
        <v>1</v>
      </c>
      <c r="F356" s="4">
        <v>1</v>
      </c>
      <c r="G356" s="4">
        <v>2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</row>
    <row r="357" spans="1:12" x14ac:dyDescent="0.2">
      <c r="A357" s="4">
        <v>6.25</v>
      </c>
      <c r="B357" s="4">
        <v>11</v>
      </c>
      <c r="C357" s="4">
        <v>35</v>
      </c>
      <c r="D357" s="4">
        <v>31</v>
      </c>
      <c r="E357" s="4">
        <v>0</v>
      </c>
      <c r="F357" s="4">
        <v>1</v>
      </c>
      <c r="G357" s="4">
        <v>0</v>
      </c>
      <c r="H357" s="4">
        <v>0</v>
      </c>
      <c r="I357" s="4">
        <v>1</v>
      </c>
      <c r="J357" s="4">
        <v>0</v>
      </c>
      <c r="K357" s="4">
        <v>0</v>
      </c>
      <c r="L357" s="4">
        <v>2</v>
      </c>
    </row>
    <row r="358" spans="1:12" x14ac:dyDescent="0.2">
      <c r="A358" s="4">
        <v>6.25</v>
      </c>
      <c r="B358" s="4">
        <v>12</v>
      </c>
      <c r="C358" s="4">
        <v>10</v>
      </c>
      <c r="D358" s="4">
        <v>0</v>
      </c>
      <c r="E358" s="4">
        <v>0</v>
      </c>
      <c r="F358" s="4">
        <v>1</v>
      </c>
      <c r="G358" s="4">
        <v>3</v>
      </c>
      <c r="H358" s="4">
        <v>0</v>
      </c>
      <c r="I358" s="4">
        <v>1</v>
      </c>
      <c r="J358" s="4">
        <v>0</v>
      </c>
      <c r="K358" s="4">
        <v>1</v>
      </c>
      <c r="L358" s="4">
        <v>3</v>
      </c>
    </row>
    <row r="359" spans="1:12" x14ac:dyDescent="0.2">
      <c r="A359" s="4">
        <v>6.25</v>
      </c>
      <c r="B359" s="4">
        <v>16</v>
      </c>
      <c r="C359" s="4">
        <v>11</v>
      </c>
      <c r="D359" s="4">
        <v>4</v>
      </c>
      <c r="E359" s="4">
        <v>0</v>
      </c>
      <c r="F359" s="4">
        <v>0</v>
      </c>
      <c r="G359" s="4">
        <v>0</v>
      </c>
      <c r="H359" s="4">
        <v>1</v>
      </c>
      <c r="I359" s="4">
        <v>0</v>
      </c>
      <c r="J359" s="4">
        <v>0</v>
      </c>
      <c r="K359" s="4">
        <v>0</v>
      </c>
      <c r="L359" s="4">
        <v>4</v>
      </c>
    </row>
    <row r="360" spans="1:12" x14ac:dyDescent="0.2">
      <c r="A360" s="4">
        <v>6.25</v>
      </c>
      <c r="B360" s="4">
        <v>17</v>
      </c>
      <c r="C360" s="4">
        <v>4</v>
      </c>
      <c r="D360" s="4">
        <v>0</v>
      </c>
      <c r="E360" s="4">
        <v>1</v>
      </c>
      <c r="F360" s="4">
        <v>0</v>
      </c>
      <c r="G360" s="4">
        <v>0</v>
      </c>
      <c r="H360" s="4">
        <v>0</v>
      </c>
      <c r="I360" s="4">
        <v>0</v>
      </c>
      <c r="J360" s="4">
        <v>1</v>
      </c>
      <c r="K360" s="4">
        <v>0</v>
      </c>
      <c r="L360" s="4">
        <v>3</v>
      </c>
    </row>
    <row r="361" spans="1:12" x14ac:dyDescent="0.2">
      <c r="A361" s="4">
        <v>6.25</v>
      </c>
      <c r="B361" s="4">
        <v>16</v>
      </c>
      <c r="C361" s="4">
        <v>24</v>
      </c>
      <c r="D361" s="4">
        <v>2</v>
      </c>
      <c r="E361" s="4">
        <v>1</v>
      </c>
      <c r="F361" s="4">
        <v>1</v>
      </c>
      <c r="G361" s="4">
        <v>2</v>
      </c>
      <c r="H361" s="4">
        <v>0</v>
      </c>
      <c r="I361" s="4">
        <v>0</v>
      </c>
      <c r="J361" s="4">
        <v>1</v>
      </c>
      <c r="K361" s="4">
        <v>0</v>
      </c>
      <c r="L361" s="4">
        <v>5</v>
      </c>
    </row>
    <row r="362" spans="1:12" x14ac:dyDescent="0.2">
      <c r="A362" s="4">
        <v>6.25</v>
      </c>
      <c r="B362" s="4">
        <v>7</v>
      </c>
      <c r="C362" s="4">
        <v>39</v>
      </c>
      <c r="D362" s="4">
        <v>21</v>
      </c>
      <c r="E362" s="4">
        <v>0</v>
      </c>
      <c r="F362" s="4">
        <v>1</v>
      </c>
      <c r="G362" s="4">
        <v>0</v>
      </c>
      <c r="H362" s="4">
        <v>0</v>
      </c>
      <c r="I362" s="4">
        <v>1</v>
      </c>
      <c r="J362" s="4">
        <v>0</v>
      </c>
      <c r="K362" s="4">
        <v>0</v>
      </c>
      <c r="L362" s="4">
        <v>3</v>
      </c>
    </row>
    <row r="363" spans="1:12" x14ac:dyDescent="0.2">
      <c r="A363" s="4">
        <v>6.25</v>
      </c>
      <c r="B363" s="4">
        <v>12</v>
      </c>
      <c r="C363" s="4">
        <v>21</v>
      </c>
      <c r="D363" s="4">
        <v>6</v>
      </c>
      <c r="E363" s="4">
        <v>0</v>
      </c>
      <c r="F363" s="4">
        <v>1</v>
      </c>
      <c r="G363" s="4">
        <v>3</v>
      </c>
      <c r="H363" s="4">
        <v>0</v>
      </c>
      <c r="I363" s="4">
        <v>1</v>
      </c>
      <c r="J363" s="4">
        <v>0</v>
      </c>
      <c r="K363" s="4">
        <v>0</v>
      </c>
      <c r="L363" s="4">
        <v>2</v>
      </c>
    </row>
    <row r="364" spans="1:12" x14ac:dyDescent="0.2">
      <c r="A364" s="4">
        <v>6.25</v>
      </c>
      <c r="B364" s="4">
        <v>16</v>
      </c>
      <c r="C364" s="4">
        <v>4</v>
      </c>
      <c r="D364" s="4">
        <v>3</v>
      </c>
      <c r="E364" s="4">
        <v>0</v>
      </c>
      <c r="F364" s="4">
        <v>1</v>
      </c>
      <c r="G364" s="4">
        <v>0</v>
      </c>
      <c r="H364" s="4">
        <v>0</v>
      </c>
      <c r="I364" s="4">
        <v>0</v>
      </c>
      <c r="J364" s="4">
        <v>1</v>
      </c>
      <c r="K364" s="4">
        <v>0</v>
      </c>
      <c r="L364" s="4">
        <v>2</v>
      </c>
    </row>
    <row r="365" spans="1:12" x14ac:dyDescent="0.2">
      <c r="A365" s="4">
        <v>6.26</v>
      </c>
      <c r="B365" s="4">
        <v>13</v>
      </c>
      <c r="C365" s="4">
        <v>37</v>
      </c>
      <c r="D365" s="4">
        <v>17</v>
      </c>
      <c r="E365" s="4">
        <v>1</v>
      </c>
      <c r="F365" s="4">
        <v>1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4</v>
      </c>
    </row>
    <row r="366" spans="1:12" x14ac:dyDescent="0.2">
      <c r="A366" s="4">
        <v>6.29</v>
      </c>
      <c r="B366" s="4">
        <v>17</v>
      </c>
      <c r="C366" s="4">
        <v>10</v>
      </c>
      <c r="D366" s="4">
        <v>3</v>
      </c>
      <c r="E366" s="4">
        <v>0</v>
      </c>
      <c r="F366" s="4">
        <v>1</v>
      </c>
      <c r="G366" s="4">
        <v>1</v>
      </c>
      <c r="H366" s="4">
        <v>0</v>
      </c>
      <c r="I366" s="4">
        <v>1</v>
      </c>
      <c r="J366" s="4">
        <v>0</v>
      </c>
      <c r="K366" s="4">
        <v>0</v>
      </c>
      <c r="L366" s="4">
        <v>1</v>
      </c>
    </row>
    <row r="367" spans="1:12" x14ac:dyDescent="0.2">
      <c r="A367" s="4">
        <v>6.33</v>
      </c>
      <c r="B367" s="4">
        <v>16</v>
      </c>
      <c r="C367" s="4">
        <v>9</v>
      </c>
      <c r="D367" s="4">
        <v>9</v>
      </c>
      <c r="E367" s="4">
        <v>1</v>
      </c>
      <c r="F367" s="4">
        <v>0</v>
      </c>
      <c r="G367" s="4">
        <v>0</v>
      </c>
      <c r="H367" s="4">
        <v>0</v>
      </c>
      <c r="I367" s="4">
        <v>0</v>
      </c>
      <c r="J367" s="4">
        <v>1</v>
      </c>
      <c r="K367" s="4">
        <v>0</v>
      </c>
      <c r="L367" s="4">
        <v>3</v>
      </c>
    </row>
    <row r="368" spans="1:12" x14ac:dyDescent="0.2">
      <c r="A368" s="4">
        <v>6.33</v>
      </c>
      <c r="B368" s="4">
        <v>12</v>
      </c>
      <c r="C368" s="4">
        <v>23</v>
      </c>
      <c r="D368" s="4">
        <v>8</v>
      </c>
      <c r="E368" s="4">
        <v>0</v>
      </c>
      <c r="F368" s="4">
        <v>1</v>
      </c>
      <c r="G368" s="4">
        <v>2</v>
      </c>
      <c r="H368" s="4">
        <v>0</v>
      </c>
      <c r="I368" s="4">
        <v>1</v>
      </c>
      <c r="J368" s="4">
        <v>0</v>
      </c>
      <c r="K368" s="4">
        <v>0</v>
      </c>
      <c r="L368" s="4">
        <v>4</v>
      </c>
    </row>
    <row r="369" spans="1:12" x14ac:dyDescent="0.2">
      <c r="A369" s="4">
        <v>6.35</v>
      </c>
      <c r="B369" s="4">
        <v>14</v>
      </c>
      <c r="C369" s="4">
        <v>10</v>
      </c>
      <c r="D369" s="4">
        <v>1</v>
      </c>
      <c r="E369" s="4">
        <v>1</v>
      </c>
      <c r="F369" s="4">
        <v>1</v>
      </c>
      <c r="G369" s="4">
        <v>2</v>
      </c>
      <c r="H369" s="4">
        <v>0</v>
      </c>
      <c r="I369" s="4">
        <v>1</v>
      </c>
      <c r="J369" s="4">
        <v>0</v>
      </c>
      <c r="K369" s="4">
        <v>0</v>
      </c>
      <c r="L369" s="4">
        <v>1</v>
      </c>
    </row>
    <row r="370" spans="1:12" x14ac:dyDescent="0.2">
      <c r="A370" s="4">
        <v>6.36</v>
      </c>
      <c r="B370" s="4">
        <v>14</v>
      </c>
      <c r="C370" s="4">
        <v>8</v>
      </c>
      <c r="D370" s="4">
        <v>1</v>
      </c>
      <c r="E370" s="4">
        <v>0</v>
      </c>
      <c r="F370" s="4">
        <v>1</v>
      </c>
      <c r="G370" s="4">
        <v>0</v>
      </c>
      <c r="H370" s="4">
        <v>0</v>
      </c>
      <c r="I370" s="4">
        <v>1</v>
      </c>
      <c r="J370" s="4">
        <v>0</v>
      </c>
      <c r="K370" s="4">
        <v>0</v>
      </c>
      <c r="L370" s="4">
        <v>3</v>
      </c>
    </row>
    <row r="371" spans="1:12" x14ac:dyDescent="0.2">
      <c r="A371" s="4">
        <v>6.36</v>
      </c>
      <c r="B371" s="4">
        <v>16</v>
      </c>
      <c r="C371" s="4">
        <v>25</v>
      </c>
      <c r="D371" s="4">
        <v>0</v>
      </c>
      <c r="E371" s="4">
        <v>0</v>
      </c>
      <c r="F371" s="4">
        <v>1</v>
      </c>
      <c r="G371" s="4">
        <v>1</v>
      </c>
      <c r="H371" s="4">
        <v>0</v>
      </c>
      <c r="I371" s="4">
        <v>1</v>
      </c>
      <c r="J371" s="4">
        <v>0</v>
      </c>
      <c r="K371" s="4">
        <v>0</v>
      </c>
      <c r="L371" s="4">
        <v>4</v>
      </c>
    </row>
    <row r="372" spans="1:12" x14ac:dyDescent="0.2">
      <c r="A372" s="4">
        <v>6.38</v>
      </c>
      <c r="B372" s="4">
        <v>13</v>
      </c>
      <c r="C372" s="4">
        <v>11</v>
      </c>
      <c r="D372" s="4">
        <v>4</v>
      </c>
      <c r="E372" s="4">
        <v>1</v>
      </c>
      <c r="F372" s="4">
        <v>0</v>
      </c>
      <c r="G372" s="4">
        <v>0</v>
      </c>
      <c r="H372" s="4">
        <v>0</v>
      </c>
      <c r="I372" s="4">
        <v>0</v>
      </c>
      <c r="J372" s="4">
        <v>1</v>
      </c>
      <c r="K372" s="4">
        <v>0</v>
      </c>
      <c r="L372" s="4">
        <v>5</v>
      </c>
    </row>
    <row r="373" spans="1:12" x14ac:dyDescent="0.2">
      <c r="A373" s="4">
        <v>6.43</v>
      </c>
      <c r="B373" s="4">
        <v>16</v>
      </c>
      <c r="C373" s="4">
        <v>17</v>
      </c>
      <c r="D373" s="4">
        <v>3</v>
      </c>
      <c r="E373" s="4">
        <v>1</v>
      </c>
      <c r="F373" s="4">
        <v>1</v>
      </c>
      <c r="G373" s="4">
        <v>2</v>
      </c>
      <c r="H373" s="4">
        <v>0</v>
      </c>
      <c r="I373" s="4">
        <v>1</v>
      </c>
      <c r="J373" s="4">
        <v>0</v>
      </c>
      <c r="K373" s="4">
        <v>0</v>
      </c>
      <c r="L373" s="4">
        <v>3</v>
      </c>
    </row>
    <row r="374" spans="1:12" x14ac:dyDescent="0.2">
      <c r="A374" s="4">
        <v>6.45</v>
      </c>
      <c r="B374" s="4">
        <v>12</v>
      </c>
      <c r="C374" s="4">
        <v>7</v>
      </c>
      <c r="D374" s="4">
        <v>6</v>
      </c>
      <c r="E374" s="4"/>
      <c r="F374" s="4">
        <v>1</v>
      </c>
      <c r="G374" s="4">
        <v>0</v>
      </c>
      <c r="H374" s="4">
        <v>0</v>
      </c>
      <c r="I374" s="4">
        <v>1</v>
      </c>
      <c r="J374" s="4">
        <v>0</v>
      </c>
      <c r="K374" s="4">
        <v>0</v>
      </c>
      <c r="L374" s="4">
        <v>2</v>
      </c>
    </row>
    <row r="375" spans="1:12" x14ac:dyDescent="0.2">
      <c r="A375" s="4">
        <v>6.46</v>
      </c>
      <c r="B375" s="4">
        <v>12</v>
      </c>
      <c r="C375" s="4">
        <v>27</v>
      </c>
      <c r="D375" s="4">
        <v>0</v>
      </c>
      <c r="E375" s="4">
        <v>0</v>
      </c>
      <c r="F375" s="4">
        <v>1</v>
      </c>
      <c r="G375" s="4">
        <v>3</v>
      </c>
      <c r="H375" s="4">
        <v>1</v>
      </c>
      <c r="I375" s="4">
        <v>0</v>
      </c>
      <c r="J375" s="4">
        <v>0</v>
      </c>
      <c r="K375" s="4">
        <v>0</v>
      </c>
      <c r="L375" s="4">
        <v>3</v>
      </c>
    </row>
    <row r="376" spans="1:12" x14ac:dyDescent="0.2">
      <c r="A376" s="4">
        <v>6.5</v>
      </c>
      <c r="B376" s="4">
        <v>12</v>
      </c>
      <c r="C376" s="4">
        <v>4</v>
      </c>
      <c r="D376" s="4">
        <v>1</v>
      </c>
      <c r="E376" s="4">
        <v>1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4</v>
      </c>
    </row>
    <row r="377" spans="1:12" x14ac:dyDescent="0.2">
      <c r="A377" s="4">
        <v>6.5</v>
      </c>
      <c r="B377" s="4">
        <v>12</v>
      </c>
      <c r="C377" s="4">
        <v>8</v>
      </c>
      <c r="D377" s="4">
        <v>5</v>
      </c>
      <c r="E377" s="4">
        <v>1</v>
      </c>
      <c r="F377" s="4">
        <v>1</v>
      </c>
      <c r="G377" s="4">
        <v>0</v>
      </c>
      <c r="H377" s="4">
        <v>0</v>
      </c>
      <c r="I377" s="4">
        <v>1</v>
      </c>
      <c r="J377" s="4">
        <v>0</v>
      </c>
      <c r="K377" s="4">
        <v>0</v>
      </c>
      <c r="L377" s="4">
        <v>3</v>
      </c>
    </row>
    <row r="378" spans="1:12" x14ac:dyDescent="0.2">
      <c r="A378" s="4">
        <v>6.5</v>
      </c>
      <c r="B378" s="4">
        <v>17</v>
      </c>
      <c r="C378" s="4">
        <v>3</v>
      </c>
      <c r="D378" s="4">
        <v>0</v>
      </c>
      <c r="E378" s="4">
        <v>0</v>
      </c>
      <c r="F378" s="4">
        <v>1</v>
      </c>
      <c r="G378" s="4">
        <v>0</v>
      </c>
      <c r="H378" s="4">
        <v>1</v>
      </c>
      <c r="I378" s="4">
        <v>0</v>
      </c>
      <c r="J378" s="4">
        <v>0</v>
      </c>
      <c r="K378" s="4">
        <v>0</v>
      </c>
      <c r="L378" s="4">
        <v>3</v>
      </c>
    </row>
    <row r="379" spans="1:12" x14ac:dyDescent="0.2">
      <c r="A379" s="4">
        <v>6.5</v>
      </c>
      <c r="B379" s="4">
        <v>12</v>
      </c>
      <c r="C379" s="4">
        <v>33</v>
      </c>
      <c r="D379" s="4">
        <v>2</v>
      </c>
      <c r="E379" s="4">
        <v>0</v>
      </c>
      <c r="F379" s="4">
        <v>1</v>
      </c>
      <c r="G379" s="4">
        <v>0</v>
      </c>
      <c r="H379" s="4">
        <v>1</v>
      </c>
      <c r="I379" s="4">
        <v>0</v>
      </c>
      <c r="J379" s="4">
        <v>0</v>
      </c>
      <c r="K379" s="4">
        <v>0</v>
      </c>
      <c r="L379" s="4">
        <v>3</v>
      </c>
    </row>
    <row r="380" spans="1:12" x14ac:dyDescent="0.2">
      <c r="A380" s="4">
        <v>6.5</v>
      </c>
      <c r="B380" s="4">
        <v>14</v>
      </c>
      <c r="C380" s="4">
        <v>41</v>
      </c>
      <c r="D380" s="4">
        <v>33</v>
      </c>
      <c r="E380" s="4">
        <v>0</v>
      </c>
      <c r="F380" s="4">
        <v>1</v>
      </c>
      <c r="G380" s="4">
        <v>0</v>
      </c>
      <c r="H380" s="4">
        <v>1</v>
      </c>
      <c r="I380" s="4">
        <v>0</v>
      </c>
      <c r="J380" s="4">
        <v>0</v>
      </c>
      <c r="K380" s="4">
        <v>0</v>
      </c>
      <c r="L380" s="4">
        <v>5</v>
      </c>
    </row>
    <row r="381" spans="1:12" x14ac:dyDescent="0.2">
      <c r="A381" s="4">
        <v>6.5</v>
      </c>
      <c r="B381" s="4">
        <v>10</v>
      </c>
      <c r="C381" s="4">
        <v>14</v>
      </c>
      <c r="D381" s="4">
        <v>11</v>
      </c>
      <c r="E381" s="4">
        <v>0</v>
      </c>
      <c r="F381" s="4">
        <v>1</v>
      </c>
      <c r="G381" s="4">
        <v>3</v>
      </c>
      <c r="H381" s="4">
        <v>0</v>
      </c>
      <c r="I381" s="4">
        <v>1</v>
      </c>
      <c r="J381" s="4">
        <v>0</v>
      </c>
      <c r="K381" s="4">
        <v>0</v>
      </c>
      <c r="L381" s="4">
        <v>3</v>
      </c>
    </row>
    <row r="382" spans="1:12" x14ac:dyDescent="0.2">
      <c r="A382" s="4">
        <v>6.5</v>
      </c>
      <c r="B382" s="4">
        <v>12</v>
      </c>
      <c r="C382" s="4">
        <v>20</v>
      </c>
      <c r="D382" s="4">
        <v>14</v>
      </c>
      <c r="E382" s="4">
        <v>0</v>
      </c>
      <c r="F382" s="4">
        <v>1</v>
      </c>
      <c r="G382" s="4">
        <v>3</v>
      </c>
      <c r="H382" s="4">
        <v>0</v>
      </c>
      <c r="I382" s="4">
        <v>0</v>
      </c>
      <c r="J382" s="4">
        <v>1</v>
      </c>
      <c r="K382" s="4">
        <v>0</v>
      </c>
      <c r="L382" s="4">
        <v>1</v>
      </c>
    </row>
    <row r="383" spans="1:12" x14ac:dyDescent="0.2">
      <c r="A383" s="4">
        <v>6.53</v>
      </c>
      <c r="B383" s="4">
        <v>16</v>
      </c>
      <c r="C383" s="4">
        <v>3</v>
      </c>
      <c r="D383" s="4">
        <v>2</v>
      </c>
      <c r="E383" s="4">
        <v>1</v>
      </c>
      <c r="F383" s="4">
        <v>0</v>
      </c>
      <c r="G383" s="4">
        <v>0</v>
      </c>
      <c r="H383" s="4">
        <v>1</v>
      </c>
      <c r="I383" s="4">
        <v>0</v>
      </c>
      <c r="J383" s="4">
        <v>0</v>
      </c>
      <c r="K383" s="4">
        <v>0</v>
      </c>
      <c r="L383" s="4">
        <v>1</v>
      </c>
    </row>
    <row r="384" spans="1:12" x14ac:dyDescent="0.2">
      <c r="A384" s="4">
        <v>6.63</v>
      </c>
      <c r="B384" s="4">
        <v>16</v>
      </c>
      <c r="C384" s="4">
        <v>3</v>
      </c>
      <c r="D384" s="4">
        <v>0</v>
      </c>
      <c r="E384" s="4">
        <v>0</v>
      </c>
      <c r="F384" s="4">
        <v>1</v>
      </c>
      <c r="G384" s="4">
        <v>0</v>
      </c>
      <c r="H384" s="4">
        <v>0</v>
      </c>
      <c r="I384" s="4">
        <v>1</v>
      </c>
      <c r="J384" s="4">
        <v>0</v>
      </c>
      <c r="K384" s="4">
        <v>0</v>
      </c>
      <c r="L384" s="4">
        <v>1</v>
      </c>
    </row>
    <row r="385" spans="1:12" x14ac:dyDescent="0.2">
      <c r="A385" s="4">
        <v>6.63</v>
      </c>
      <c r="B385" s="4">
        <v>12</v>
      </c>
      <c r="C385" s="4">
        <v>36</v>
      </c>
      <c r="D385" s="4">
        <v>0</v>
      </c>
      <c r="E385" s="4">
        <v>1</v>
      </c>
      <c r="F385" s="4">
        <v>0</v>
      </c>
      <c r="G385" s="4">
        <v>0</v>
      </c>
      <c r="H385" s="4">
        <v>0</v>
      </c>
      <c r="I385" s="4">
        <v>1</v>
      </c>
      <c r="J385" s="4">
        <v>0</v>
      </c>
      <c r="K385" s="4">
        <v>0</v>
      </c>
      <c r="L385" s="4">
        <v>4</v>
      </c>
    </row>
    <row r="386" spans="1:12" x14ac:dyDescent="0.2">
      <c r="A386" s="4">
        <v>6.63</v>
      </c>
      <c r="B386" s="4">
        <v>15</v>
      </c>
      <c r="C386" s="4">
        <v>21</v>
      </c>
      <c r="D386" s="4">
        <v>3</v>
      </c>
      <c r="E386" s="4">
        <v>1</v>
      </c>
      <c r="F386" s="4">
        <v>1</v>
      </c>
      <c r="G386" s="4">
        <v>2</v>
      </c>
      <c r="H386" s="4">
        <v>0</v>
      </c>
      <c r="I386" s="4">
        <v>0</v>
      </c>
      <c r="J386" s="4">
        <v>1</v>
      </c>
      <c r="K386" s="4">
        <v>0</v>
      </c>
      <c r="L386" s="4">
        <v>3</v>
      </c>
    </row>
    <row r="387" spans="1:12" x14ac:dyDescent="0.2">
      <c r="A387" s="4">
        <v>6.67</v>
      </c>
      <c r="B387" s="4">
        <v>12</v>
      </c>
      <c r="C387" s="4">
        <v>7</v>
      </c>
      <c r="D387" s="4">
        <v>5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2</v>
      </c>
    </row>
    <row r="388" spans="1:12" x14ac:dyDescent="0.2">
      <c r="A388" s="4">
        <v>6.67</v>
      </c>
      <c r="B388" s="4">
        <v>12</v>
      </c>
      <c r="C388" s="4">
        <v>35</v>
      </c>
      <c r="D388" s="4">
        <v>10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1</v>
      </c>
    </row>
    <row r="389" spans="1:12" x14ac:dyDescent="0.2">
      <c r="A389" s="4">
        <v>6.76</v>
      </c>
      <c r="B389" s="4">
        <v>12</v>
      </c>
      <c r="C389" s="4">
        <v>19</v>
      </c>
      <c r="D389" s="4">
        <v>3</v>
      </c>
      <c r="E389" s="4">
        <v>0</v>
      </c>
      <c r="F389" s="4">
        <v>1</v>
      </c>
      <c r="G389" s="4">
        <v>2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</row>
    <row r="390" spans="1:12" x14ac:dyDescent="0.2">
      <c r="A390" s="4">
        <v>6.8</v>
      </c>
      <c r="B390" s="4">
        <v>12</v>
      </c>
      <c r="C390" s="4">
        <v>14</v>
      </c>
      <c r="D390" s="4">
        <v>10</v>
      </c>
      <c r="E390" s="4">
        <v>0</v>
      </c>
      <c r="F390" s="4">
        <v>1</v>
      </c>
      <c r="G390" s="4">
        <v>2</v>
      </c>
      <c r="H390" s="4">
        <v>0</v>
      </c>
      <c r="I390" s="4">
        <v>1</v>
      </c>
      <c r="J390" s="4">
        <v>0</v>
      </c>
      <c r="K390" s="4">
        <v>0</v>
      </c>
      <c r="L390" s="4">
        <v>1</v>
      </c>
    </row>
    <row r="391" spans="1:12" x14ac:dyDescent="0.2">
      <c r="A391" s="4">
        <v>6.85</v>
      </c>
      <c r="B391" s="4">
        <v>15</v>
      </c>
      <c r="C391" s="4">
        <v>11</v>
      </c>
      <c r="D391" s="4">
        <v>3</v>
      </c>
      <c r="E391" s="4">
        <v>1</v>
      </c>
      <c r="F391" s="4">
        <v>1</v>
      </c>
      <c r="G391" s="4">
        <v>2</v>
      </c>
      <c r="H391" s="4">
        <v>0</v>
      </c>
      <c r="I391" s="4">
        <v>0</v>
      </c>
      <c r="J391" s="4">
        <v>0</v>
      </c>
      <c r="K391" s="4">
        <v>0</v>
      </c>
      <c r="L391" s="4">
        <v>1</v>
      </c>
    </row>
    <row r="392" spans="1:12" x14ac:dyDescent="0.2">
      <c r="A392" s="4">
        <v>6.88</v>
      </c>
      <c r="B392" s="4"/>
      <c r="C392" s="4">
        <v>11</v>
      </c>
      <c r="D392" s="4">
        <v>4</v>
      </c>
      <c r="E392" s="4">
        <v>1</v>
      </c>
      <c r="F392" s="4">
        <v>0</v>
      </c>
      <c r="G392" s="4">
        <v>0</v>
      </c>
      <c r="H392" s="4">
        <v>0</v>
      </c>
      <c r="I392" s="4">
        <v>0</v>
      </c>
      <c r="J392" s="4">
        <v>1</v>
      </c>
      <c r="K392" s="4">
        <v>0</v>
      </c>
      <c r="L392" s="4">
        <v>0</v>
      </c>
    </row>
    <row r="393" spans="1:12" x14ac:dyDescent="0.2">
      <c r="A393" s="4">
        <v>6.88</v>
      </c>
      <c r="B393" s="4"/>
      <c r="C393" s="4">
        <v>4</v>
      </c>
      <c r="D393" s="4">
        <v>4</v>
      </c>
      <c r="E393" s="4">
        <v>0</v>
      </c>
      <c r="F393" s="4">
        <v>0</v>
      </c>
      <c r="G393" s="4">
        <v>0</v>
      </c>
      <c r="H393" s="4">
        <v>1</v>
      </c>
      <c r="I393" s="4">
        <v>0</v>
      </c>
      <c r="J393" s="4">
        <v>0</v>
      </c>
      <c r="K393" s="4">
        <v>0</v>
      </c>
      <c r="L393" s="4">
        <v>2</v>
      </c>
    </row>
    <row r="394" spans="1:12" x14ac:dyDescent="0.2">
      <c r="A394" s="4">
        <v>6.88</v>
      </c>
      <c r="B394" s="4">
        <v>12</v>
      </c>
      <c r="C394" s="4">
        <v>31</v>
      </c>
      <c r="D394" s="4">
        <v>19</v>
      </c>
      <c r="E394" s="4">
        <v>0</v>
      </c>
      <c r="F394" s="4">
        <v>1</v>
      </c>
      <c r="G394" s="4">
        <v>3</v>
      </c>
      <c r="H394" s="4">
        <v>1</v>
      </c>
      <c r="I394" s="4">
        <v>0</v>
      </c>
      <c r="J394" s="4">
        <v>0</v>
      </c>
      <c r="K394" s="4">
        <v>0</v>
      </c>
      <c r="L394" s="4">
        <v>5</v>
      </c>
    </row>
    <row r="395" spans="1:12" x14ac:dyDescent="0.2">
      <c r="A395" s="4">
        <v>6.88</v>
      </c>
      <c r="B395" s="4">
        <v>13</v>
      </c>
      <c r="C395" s="4">
        <v>34</v>
      </c>
      <c r="D395" s="4">
        <v>21</v>
      </c>
      <c r="E395" s="4">
        <v>0</v>
      </c>
      <c r="F395" s="4">
        <v>1</v>
      </c>
      <c r="G395" s="4">
        <v>0</v>
      </c>
      <c r="H395" s="4">
        <v>0</v>
      </c>
      <c r="I395" s="4">
        <v>1</v>
      </c>
      <c r="J395" s="4">
        <v>0</v>
      </c>
      <c r="K395" s="4">
        <v>0</v>
      </c>
      <c r="L395" s="4">
        <v>3</v>
      </c>
    </row>
    <row r="396" spans="1:12" x14ac:dyDescent="0.2">
      <c r="A396" s="4">
        <v>7</v>
      </c>
      <c r="B396" s="4">
        <v>12</v>
      </c>
      <c r="C396" s="4">
        <v>6</v>
      </c>
      <c r="D396" s="4">
        <v>5</v>
      </c>
      <c r="E396" s="4">
        <v>0</v>
      </c>
      <c r="F396" s="4">
        <v>1</v>
      </c>
      <c r="G396" s="4">
        <v>1</v>
      </c>
      <c r="H396" s="4">
        <v>0</v>
      </c>
      <c r="I396" s="4">
        <v>1</v>
      </c>
      <c r="J396" s="4">
        <v>0</v>
      </c>
      <c r="K396" s="4">
        <v>1</v>
      </c>
      <c r="L396" s="4">
        <v>0</v>
      </c>
    </row>
    <row r="397" spans="1:12" x14ac:dyDescent="0.2">
      <c r="A397" s="4">
        <v>7</v>
      </c>
      <c r="B397" s="4">
        <v>16</v>
      </c>
      <c r="C397" s="4">
        <v>26</v>
      </c>
      <c r="D397" s="4">
        <v>3</v>
      </c>
      <c r="E397" s="4">
        <v>1</v>
      </c>
      <c r="F397" s="4">
        <v>1</v>
      </c>
      <c r="G397" s="4">
        <v>1</v>
      </c>
      <c r="H397" s="4">
        <v>0</v>
      </c>
      <c r="I397" s="4">
        <v>1</v>
      </c>
      <c r="J397" s="4">
        <v>0</v>
      </c>
      <c r="K397" s="4">
        <v>0</v>
      </c>
      <c r="L397" s="4">
        <v>2</v>
      </c>
    </row>
    <row r="398" spans="1:12" x14ac:dyDescent="0.2">
      <c r="A398" s="4">
        <v>7.14</v>
      </c>
      <c r="B398" s="4">
        <v>18</v>
      </c>
      <c r="C398" s="4">
        <v>13</v>
      </c>
      <c r="D398" s="4">
        <v>0</v>
      </c>
      <c r="E398" s="4">
        <v>0</v>
      </c>
      <c r="F398" s="4">
        <v>1</v>
      </c>
      <c r="G398" s="4">
        <v>2</v>
      </c>
      <c r="H398" s="4">
        <v>0</v>
      </c>
      <c r="I398" s="4">
        <v>0</v>
      </c>
      <c r="J398" s="4">
        <v>0</v>
      </c>
      <c r="K398" s="4">
        <v>0</v>
      </c>
      <c r="L398" s="4">
        <v>4</v>
      </c>
    </row>
    <row r="399" spans="1:12" x14ac:dyDescent="0.2">
      <c r="A399" s="4">
        <v>7.14</v>
      </c>
      <c r="B399" s="4">
        <v>12</v>
      </c>
      <c r="C399" s="4">
        <v>43</v>
      </c>
      <c r="D399" s="4">
        <v>5</v>
      </c>
      <c r="E399" s="4">
        <v>1</v>
      </c>
      <c r="F399" s="4">
        <v>0</v>
      </c>
      <c r="G399" s="4">
        <v>0</v>
      </c>
      <c r="H399" s="4">
        <v>1</v>
      </c>
      <c r="I399" s="4">
        <v>0</v>
      </c>
      <c r="J399" s="4">
        <v>0</v>
      </c>
      <c r="K399" s="4">
        <v>0</v>
      </c>
      <c r="L399" s="4">
        <v>3</v>
      </c>
    </row>
    <row r="400" spans="1:12" x14ac:dyDescent="0.2">
      <c r="A400" s="4">
        <v>7.25</v>
      </c>
      <c r="B400" s="4">
        <v>12</v>
      </c>
      <c r="C400" s="4">
        <v>14</v>
      </c>
      <c r="D400" s="4">
        <v>5</v>
      </c>
      <c r="E400" s="4">
        <v>0</v>
      </c>
      <c r="F400" s="4">
        <v>1</v>
      </c>
      <c r="G400" s="4">
        <v>3</v>
      </c>
      <c r="H400" s="4">
        <v>0</v>
      </c>
      <c r="I400" s="4">
        <v>0</v>
      </c>
      <c r="J400" s="4">
        <v>1</v>
      </c>
      <c r="K400" s="4">
        <v>0</v>
      </c>
      <c r="L400" s="4">
        <v>2</v>
      </c>
    </row>
    <row r="401" spans="1:12" x14ac:dyDescent="0.2">
      <c r="A401" s="4">
        <v>7.26</v>
      </c>
      <c r="B401" s="4">
        <v>13</v>
      </c>
      <c r="C401" s="4">
        <v>8</v>
      </c>
      <c r="D401" s="4">
        <v>2</v>
      </c>
      <c r="E401" s="4">
        <v>0</v>
      </c>
      <c r="F401" s="4">
        <v>0</v>
      </c>
      <c r="G401" s="4">
        <v>0</v>
      </c>
      <c r="H401" s="4">
        <v>0</v>
      </c>
      <c r="I401" s="4">
        <v>1</v>
      </c>
      <c r="J401" s="4">
        <v>0</v>
      </c>
      <c r="K401" s="4">
        <v>0</v>
      </c>
      <c r="L401" s="4">
        <v>4</v>
      </c>
    </row>
    <row r="402" spans="1:12" x14ac:dyDescent="0.2">
      <c r="A402" s="4">
        <v>7.36</v>
      </c>
      <c r="B402" s="4">
        <v>8</v>
      </c>
      <c r="C402" s="4">
        <v>36</v>
      </c>
      <c r="D402" s="4">
        <v>24</v>
      </c>
      <c r="E402" s="4">
        <v>0</v>
      </c>
      <c r="F402" s="4">
        <v>1</v>
      </c>
      <c r="G402" s="4">
        <v>3</v>
      </c>
      <c r="H402" s="4">
        <v>1</v>
      </c>
      <c r="I402" s="4">
        <v>0</v>
      </c>
      <c r="J402" s="4">
        <v>0</v>
      </c>
      <c r="K402" s="4">
        <v>0</v>
      </c>
      <c r="L402" s="4">
        <v>4</v>
      </c>
    </row>
    <row r="403" spans="1:12" x14ac:dyDescent="0.2">
      <c r="A403" s="4">
        <v>7.5</v>
      </c>
      <c r="B403" s="4">
        <v>12</v>
      </c>
      <c r="C403" s="4">
        <v>10</v>
      </c>
      <c r="D403" s="4">
        <v>0</v>
      </c>
      <c r="E403" s="4">
        <v>1</v>
      </c>
      <c r="F403" s="4">
        <v>1</v>
      </c>
      <c r="G403" s="4">
        <v>0</v>
      </c>
      <c r="H403" s="4">
        <v>0</v>
      </c>
      <c r="I403" s="4">
        <v>0</v>
      </c>
      <c r="J403" s="4">
        <v>1</v>
      </c>
      <c r="K403" s="4">
        <v>0</v>
      </c>
      <c r="L403" s="4">
        <v>2</v>
      </c>
    </row>
    <row r="404" spans="1:12" x14ac:dyDescent="0.2">
      <c r="A404" s="4">
        <v>7.5</v>
      </c>
      <c r="B404" s="4">
        <v>12</v>
      </c>
      <c r="C404" s="4">
        <v>11</v>
      </c>
      <c r="D404" s="4">
        <v>7</v>
      </c>
      <c r="E404" s="4"/>
      <c r="F404" s="4">
        <v>1</v>
      </c>
      <c r="G404" s="4">
        <v>1</v>
      </c>
      <c r="H404" s="4">
        <v>0</v>
      </c>
      <c r="I404" s="4">
        <v>0</v>
      </c>
      <c r="J404" s="4">
        <v>0</v>
      </c>
      <c r="K404" s="4">
        <v>0</v>
      </c>
      <c r="L404" s="4">
        <v>2</v>
      </c>
    </row>
    <row r="405" spans="1:12" x14ac:dyDescent="0.2">
      <c r="A405" s="4">
        <v>7.5</v>
      </c>
      <c r="B405" s="4">
        <v>14</v>
      </c>
      <c r="C405" s="4">
        <v>29</v>
      </c>
      <c r="D405" s="4">
        <v>24</v>
      </c>
      <c r="E405" s="4">
        <v>0</v>
      </c>
      <c r="F405" s="4">
        <v>1</v>
      </c>
      <c r="G405" s="4">
        <v>1</v>
      </c>
      <c r="H405" s="4">
        <v>1</v>
      </c>
      <c r="I405" s="4">
        <v>0</v>
      </c>
      <c r="J405" s="4">
        <v>0</v>
      </c>
      <c r="K405" s="4">
        <v>0</v>
      </c>
      <c r="L405" s="4">
        <v>2</v>
      </c>
    </row>
    <row r="406" spans="1:12" x14ac:dyDescent="0.2">
      <c r="A406" s="4">
        <v>7.5</v>
      </c>
      <c r="B406" s="4">
        <v>16</v>
      </c>
      <c r="C406" s="4">
        <v>11</v>
      </c>
      <c r="D406" s="4">
        <v>0</v>
      </c>
      <c r="E406" s="4">
        <v>0</v>
      </c>
      <c r="F406" s="4">
        <v>1</v>
      </c>
      <c r="G406" s="4">
        <v>0</v>
      </c>
      <c r="H406" s="4">
        <v>1</v>
      </c>
      <c r="I406" s="4">
        <v>0</v>
      </c>
      <c r="J406" s="4">
        <v>0</v>
      </c>
      <c r="K406" s="4">
        <v>0</v>
      </c>
      <c r="L406" s="4">
        <v>3</v>
      </c>
    </row>
    <row r="407" spans="1:12" x14ac:dyDescent="0.2">
      <c r="A407" s="4">
        <v>7.5</v>
      </c>
      <c r="B407" s="4">
        <v>16</v>
      </c>
      <c r="C407" s="4">
        <v>6</v>
      </c>
      <c r="D407" s="4">
        <v>2</v>
      </c>
      <c r="E407" s="4">
        <v>1</v>
      </c>
      <c r="F407" s="4">
        <v>1</v>
      </c>
      <c r="G407" s="4">
        <v>1</v>
      </c>
      <c r="H407" s="4">
        <v>0</v>
      </c>
      <c r="I407" s="4">
        <v>1</v>
      </c>
      <c r="J407" s="4">
        <v>0</v>
      </c>
      <c r="K407" s="4">
        <v>0</v>
      </c>
      <c r="L407" s="4">
        <v>0</v>
      </c>
    </row>
    <row r="408" spans="1:12" x14ac:dyDescent="0.2">
      <c r="A408" s="4">
        <v>7.5</v>
      </c>
      <c r="B408" s="4">
        <v>12</v>
      </c>
      <c r="C408" s="4">
        <v>18</v>
      </c>
      <c r="D408" s="4">
        <v>5</v>
      </c>
      <c r="E408" s="4">
        <v>0</v>
      </c>
      <c r="F408" s="4">
        <v>1</v>
      </c>
      <c r="G408" s="4">
        <v>2</v>
      </c>
      <c r="H408" s="4">
        <v>0</v>
      </c>
      <c r="I408" s="4">
        <v>0</v>
      </c>
      <c r="J408" s="4">
        <v>1</v>
      </c>
      <c r="K408" s="4">
        <v>0</v>
      </c>
      <c r="L408" s="4">
        <v>0</v>
      </c>
    </row>
    <row r="409" spans="1:12" x14ac:dyDescent="0.2">
      <c r="A409" s="4">
        <v>7.6</v>
      </c>
      <c r="B409" s="4">
        <v>12</v>
      </c>
      <c r="C409" s="4">
        <v>41</v>
      </c>
      <c r="D409" s="4">
        <v>11</v>
      </c>
      <c r="E409" s="4">
        <v>1</v>
      </c>
      <c r="F409" s="4">
        <v>0</v>
      </c>
      <c r="G409" s="4">
        <v>0</v>
      </c>
      <c r="H409" s="4">
        <v>1</v>
      </c>
      <c r="I409" s="4">
        <v>0</v>
      </c>
      <c r="J409" s="4">
        <v>0</v>
      </c>
      <c r="K409" s="4">
        <v>0</v>
      </c>
      <c r="L409" s="4">
        <v>5</v>
      </c>
    </row>
    <row r="410" spans="1:12" x14ac:dyDescent="0.2">
      <c r="A410" s="4">
        <v>7.63</v>
      </c>
      <c r="B410" s="4">
        <v>12</v>
      </c>
      <c r="C410" s="4">
        <v>8</v>
      </c>
      <c r="D410" s="4">
        <v>4</v>
      </c>
      <c r="E410" s="4">
        <v>1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2</v>
      </c>
    </row>
    <row r="411" spans="1:12" x14ac:dyDescent="0.2">
      <c r="A411" s="4">
        <v>7.78</v>
      </c>
      <c r="B411" s="4">
        <v>16</v>
      </c>
      <c r="C411" s="4">
        <v>11</v>
      </c>
      <c r="D411" s="4">
        <v>10</v>
      </c>
      <c r="E411" s="4">
        <v>0</v>
      </c>
      <c r="F411" s="4">
        <v>1</v>
      </c>
      <c r="G411" s="4">
        <v>1</v>
      </c>
      <c r="H411" s="4">
        <v>0</v>
      </c>
      <c r="I411" s="4">
        <v>0</v>
      </c>
      <c r="J411" s="4">
        <v>1</v>
      </c>
      <c r="K411" s="4">
        <v>0</v>
      </c>
      <c r="L411" s="4">
        <v>5</v>
      </c>
    </row>
    <row r="412" spans="1:12" x14ac:dyDescent="0.2">
      <c r="A412" s="4">
        <v>7.78</v>
      </c>
      <c r="B412" s="4">
        <v>14</v>
      </c>
      <c r="C412" s="4">
        <v>9</v>
      </c>
      <c r="D412" s="4">
        <v>3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1</v>
      </c>
    </row>
    <row r="413" spans="1:12" x14ac:dyDescent="0.2">
      <c r="A413" s="4">
        <v>7.81</v>
      </c>
      <c r="B413" s="4">
        <v>12</v>
      </c>
      <c r="C413" s="4">
        <v>3</v>
      </c>
      <c r="D413" s="4">
        <v>0</v>
      </c>
      <c r="E413" s="4">
        <v>1</v>
      </c>
      <c r="F413" s="4">
        <v>1</v>
      </c>
      <c r="G413" s="4">
        <v>0</v>
      </c>
      <c r="H413" s="4">
        <v>0</v>
      </c>
      <c r="I413" s="4">
        <v>0</v>
      </c>
      <c r="J413" s="4">
        <v>1</v>
      </c>
      <c r="K413" s="4">
        <v>0</v>
      </c>
      <c r="L413" s="4">
        <v>0</v>
      </c>
    </row>
    <row r="414" spans="1:12" x14ac:dyDescent="0.2">
      <c r="A414" s="4">
        <v>7.9</v>
      </c>
      <c r="B414" s="4">
        <v>12</v>
      </c>
      <c r="C414" s="4">
        <v>2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1</v>
      </c>
      <c r="J414" s="4">
        <v>0</v>
      </c>
      <c r="K414" s="4">
        <v>1</v>
      </c>
      <c r="L414" s="4">
        <v>4</v>
      </c>
    </row>
    <row r="415" spans="1:12" x14ac:dyDescent="0.2">
      <c r="A415" s="4">
        <v>8</v>
      </c>
      <c r="B415" s="4">
        <v>12</v>
      </c>
      <c r="C415" s="4">
        <v>14</v>
      </c>
      <c r="D415" s="4">
        <v>4</v>
      </c>
      <c r="E415" s="4">
        <v>1</v>
      </c>
      <c r="F415" s="4">
        <v>0</v>
      </c>
      <c r="G415" s="4">
        <v>1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</row>
    <row r="416" spans="1:12" x14ac:dyDescent="0.2">
      <c r="A416" s="4">
        <v>8</v>
      </c>
      <c r="B416" s="4">
        <v>13</v>
      </c>
      <c r="C416" s="4">
        <v>28</v>
      </c>
      <c r="D416" s="4">
        <v>5</v>
      </c>
      <c r="E416" s="4">
        <v>0</v>
      </c>
      <c r="F416" s="4">
        <v>1</v>
      </c>
      <c r="G416" s="4">
        <v>1</v>
      </c>
      <c r="H416" s="4">
        <v>1</v>
      </c>
      <c r="I416" s="4">
        <v>0</v>
      </c>
      <c r="J416" s="4">
        <v>0</v>
      </c>
      <c r="K416" s="4">
        <v>0</v>
      </c>
      <c r="L416" s="4">
        <v>5</v>
      </c>
    </row>
    <row r="417" spans="1:12" x14ac:dyDescent="0.2">
      <c r="A417" s="4">
        <v>8</v>
      </c>
      <c r="B417" s="4">
        <v>12</v>
      </c>
      <c r="C417" s="4">
        <v>26</v>
      </c>
      <c r="D417" s="4">
        <v>2</v>
      </c>
      <c r="E417" s="4">
        <v>0</v>
      </c>
      <c r="F417" s="4">
        <v>1</v>
      </c>
      <c r="G417" s="4">
        <v>1</v>
      </c>
      <c r="H417" s="4">
        <v>1</v>
      </c>
      <c r="I417" s="4">
        <v>0</v>
      </c>
      <c r="J417" s="4">
        <v>0</v>
      </c>
      <c r="K417" s="4">
        <v>0</v>
      </c>
      <c r="L417" s="4">
        <v>3</v>
      </c>
    </row>
    <row r="418" spans="1:12" x14ac:dyDescent="0.2">
      <c r="A418" s="4">
        <v>8</v>
      </c>
      <c r="B418" s="4">
        <v>12</v>
      </c>
      <c r="C418" s="4">
        <v>12</v>
      </c>
      <c r="D418" s="4">
        <v>3</v>
      </c>
      <c r="E418" s="4">
        <v>1</v>
      </c>
      <c r="F418" s="4">
        <v>0</v>
      </c>
      <c r="G418" s="4">
        <v>1</v>
      </c>
      <c r="H418" s="4">
        <v>0</v>
      </c>
      <c r="I418" s="4">
        <v>1</v>
      </c>
      <c r="J418" s="4">
        <v>0</v>
      </c>
      <c r="K418" s="4">
        <v>0</v>
      </c>
      <c r="L418" s="4">
        <v>5</v>
      </c>
    </row>
    <row r="419" spans="1:12" x14ac:dyDescent="0.2">
      <c r="A419" s="4">
        <v>8</v>
      </c>
      <c r="B419" s="4">
        <v>16</v>
      </c>
      <c r="C419" s="4">
        <v>23</v>
      </c>
      <c r="D419" s="4">
        <v>4</v>
      </c>
      <c r="E419" s="4">
        <v>0</v>
      </c>
      <c r="F419" s="4">
        <v>0</v>
      </c>
      <c r="G419" s="4">
        <v>0</v>
      </c>
      <c r="H419" s="4">
        <v>1</v>
      </c>
      <c r="I419" s="4">
        <v>0</v>
      </c>
      <c r="J419" s="4">
        <v>0</v>
      </c>
      <c r="K419" s="4">
        <v>0</v>
      </c>
      <c r="L419" s="4">
        <v>3</v>
      </c>
    </row>
    <row r="420" spans="1:12" x14ac:dyDescent="0.2">
      <c r="A420" s="4">
        <v>8</v>
      </c>
      <c r="B420" s="4">
        <v>12</v>
      </c>
      <c r="C420" s="4">
        <v>17</v>
      </c>
      <c r="D420" s="4">
        <v>6</v>
      </c>
      <c r="E420" s="4">
        <v>0</v>
      </c>
      <c r="F420" s="4">
        <v>1</v>
      </c>
      <c r="G420" s="4">
        <v>2</v>
      </c>
      <c r="H420" s="4">
        <v>0</v>
      </c>
      <c r="I420" s="4">
        <v>1</v>
      </c>
      <c r="J420" s="4">
        <v>0</v>
      </c>
      <c r="K420" s="4">
        <v>0</v>
      </c>
      <c r="L420" s="4">
        <v>5</v>
      </c>
    </row>
    <row r="421" spans="1:12" x14ac:dyDescent="0.2">
      <c r="A421" s="4">
        <v>8.02</v>
      </c>
      <c r="B421" s="4">
        <v>18</v>
      </c>
      <c r="C421" s="4">
        <v>23</v>
      </c>
      <c r="D421" s="4">
        <v>3</v>
      </c>
      <c r="E421" s="4">
        <v>1</v>
      </c>
      <c r="F421" s="4">
        <v>1</v>
      </c>
      <c r="G421" s="4">
        <v>1</v>
      </c>
      <c r="H421" s="4">
        <v>0</v>
      </c>
      <c r="I421" s="4">
        <v>1</v>
      </c>
      <c r="J421" s="4">
        <v>0</v>
      </c>
      <c r="K421" s="4">
        <v>0</v>
      </c>
      <c r="L421" s="4">
        <v>3</v>
      </c>
    </row>
    <row r="422" spans="1:12" x14ac:dyDescent="0.2">
      <c r="A422" s="4">
        <v>8.1</v>
      </c>
      <c r="B422" s="4">
        <v>12</v>
      </c>
      <c r="C422" s="4">
        <v>38</v>
      </c>
      <c r="D422" s="4">
        <v>3</v>
      </c>
      <c r="E422" s="4">
        <v>1</v>
      </c>
      <c r="F422" s="4">
        <v>1</v>
      </c>
      <c r="G422" s="4">
        <v>1</v>
      </c>
      <c r="H422" s="4">
        <v>1</v>
      </c>
      <c r="I422" s="4">
        <v>0</v>
      </c>
      <c r="J422" s="4">
        <v>0</v>
      </c>
      <c r="K422" s="4">
        <v>0</v>
      </c>
      <c r="L422" s="4">
        <v>4</v>
      </c>
    </row>
    <row r="423" spans="1:12" x14ac:dyDescent="0.2">
      <c r="A423" s="4">
        <v>8.1300000000000008</v>
      </c>
      <c r="B423" s="4">
        <v>13</v>
      </c>
      <c r="C423" s="4">
        <v>3</v>
      </c>
      <c r="D423" s="4">
        <v>0</v>
      </c>
      <c r="E423" s="4"/>
      <c r="F423" s="4">
        <v>0</v>
      </c>
      <c r="G423" s="4">
        <v>0</v>
      </c>
      <c r="H423" s="4">
        <v>0</v>
      </c>
      <c r="I423" s="4">
        <v>0</v>
      </c>
      <c r="J423" s="4">
        <v>1</v>
      </c>
      <c r="K423" s="4">
        <v>0</v>
      </c>
      <c r="L423" s="4">
        <v>4</v>
      </c>
    </row>
    <row r="424" spans="1:12" x14ac:dyDescent="0.2">
      <c r="A424" s="4">
        <v>8.18</v>
      </c>
      <c r="B424" s="4">
        <v>13</v>
      </c>
      <c r="C424" s="4">
        <v>21</v>
      </c>
      <c r="D424" s="4">
        <v>5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1</v>
      </c>
      <c r="K424" s="4">
        <v>0</v>
      </c>
      <c r="L424" s="4">
        <v>2</v>
      </c>
    </row>
    <row r="425" spans="1:12" x14ac:dyDescent="0.2">
      <c r="A425" s="4">
        <v>8.33</v>
      </c>
      <c r="B425" s="4">
        <v>15</v>
      </c>
      <c r="C425" s="4">
        <v>33</v>
      </c>
      <c r="D425" s="4">
        <v>26</v>
      </c>
      <c r="E425" s="4">
        <v>0</v>
      </c>
      <c r="F425" s="4">
        <v>1</v>
      </c>
      <c r="G425" s="4">
        <v>1</v>
      </c>
      <c r="H425" s="4">
        <v>0</v>
      </c>
      <c r="I425" s="4">
        <v>0</v>
      </c>
      <c r="J425" s="4">
        <v>0</v>
      </c>
      <c r="K425" s="4">
        <v>0</v>
      </c>
      <c r="L425" s="4"/>
    </row>
    <row r="426" spans="1:12" x14ac:dyDescent="0.2">
      <c r="A426" s="4">
        <v>8.33</v>
      </c>
      <c r="B426" s="4">
        <v>16</v>
      </c>
      <c r="C426" s="4">
        <v>6</v>
      </c>
      <c r="D426" s="4">
        <v>2</v>
      </c>
      <c r="E426" s="4">
        <v>0</v>
      </c>
      <c r="F426" s="4">
        <v>1</v>
      </c>
      <c r="G426" s="4">
        <v>0</v>
      </c>
      <c r="H426" s="4">
        <v>0</v>
      </c>
      <c r="I426" s="4">
        <v>0</v>
      </c>
      <c r="J426" s="4">
        <v>1</v>
      </c>
      <c r="K426" s="4">
        <v>0</v>
      </c>
      <c r="L426" s="4"/>
    </row>
    <row r="427" spans="1:12" x14ac:dyDescent="0.2">
      <c r="A427" s="4">
        <v>8.43</v>
      </c>
      <c r="B427" s="4">
        <v>16</v>
      </c>
      <c r="C427" s="4">
        <v>8</v>
      </c>
      <c r="D427" s="4">
        <v>6</v>
      </c>
      <c r="E427" s="4">
        <v>0</v>
      </c>
      <c r="F427" s="4">
        <v>1</v>
      </c>
      <c r="G427" s="4">
        <v>0</v>
      </c>
      <c r="H427" s="4">
        <v>0</v>
      </c>
      <c r="I427" s="4">
        <v>1</v>
      </c>
      <c r="J427" s="4">
        <v>0</v>
      </c>
      <c r="K427" s="4">
        <v>0</v>
      </c>
      <c r="L427" s="4"/>
    </row>
    <row r="428" spans="1:12" x14ac:dyDescent="0.2">
      <c r="A428" s="4">
        <v>8.43</v>
      </c>
      <c r="B428" s="4">
        <v>8</v>
      </c>
      <c r="C428" s="4">
        <v>27</v>
      </c>
      <c r="D428" s="4">
        <v>3</v>
      </c>
      <c r="E428" s="4">
        <v>0</v>
      </c>
      <c r="F428" s="4">
        <v>1</v>
      </c>
      <c r="G428" s="4">
        <v>3</v>
      </c>
      <c r="H428" s="4">
        <v>0</v>
      </c>
      <c r="I428" s="4">
        <v>1</v>
      </c>
      <c r="J428" s="4">
        <v>0</v>
      </c>
      <c r="K428" s="4">
        <v>0</v>
      </c>
      <c r="L428" s="4"/>
    </row>
    <row r="429" spans="1:12" x14ac:dyDescent="0.2">
      <c r="A429" s="4">
        <v>8.4499999999999993</v>
      </c>
      <c r="B429" s="4">
        <v>12</v>
      </c>
      <c r="C429" s="4">
        <v>19</v>
      </c>
      <c r="D429" s="4">
        <v>13</v>
      </c>
      <c r="E429" s="4">
        <v>0</v>
      </c>
      <c r="F429" s="4">
        <v>1</v>
      </c>
      <c r="G429" s="4">
        <v>4</v>
      </c>
      <c r="H429" s="4">
        <v>0</v>
      </c>
      <c r="I429" s="4">
        <v>0</v>
      </c>
      <c r="J429" s="4">
        <v>0</v>
      </c>
      <c r="K429" s="4">
        <v>0</v>
      </c>
      <c r="L429" s="4"/>
    </row>
    <row r="430" spans="1:12" x14ac:dyDescent="0.2">
      <c r="A430" s="4">
        <v>8.48</v>
      </c>
      <c r="B430" s="4">
        <v>12</v>
      </c>
      <c r="C430" s="4">
        <v>29</v>
      </c>
      <c r="D430" s="4">
        <v>13</v>
      </c>
      <c r="E430" s="4">
        <v>0</v>
      </c>
      <c r="F430" s="4">
        <v>1</v>
      </c>
      <c r="G430" s="4">
        <v>3</v>
      </c>
      <c r="H430" s="4">
        <v>0</v>
      </c>
      <c r="I430" s="4">
        <v>0</v>
      </c>
      <c r="J430" s="4">
        <v>1</v>
      </c>
      <c r="K430" s="4">
        <v>0</v>
      </c>
      <c r="L430" s="4"/>
    </row>
    <row r="431" spans="1:12" x14ac:dyDescent="0.2">
      <c r="A431" s="4">
        <v>8.5</v>
      </c>
      <c r="B431" s="4">
        <v>8</v>
      </c>
      <c r="C431" s="4">
        <v>38</v>
      </c>
      <c r="D431" s="4">
        <v>26</v>
      </c>
      <c r="E431" s="4">
        <v>0</v>
      </c>
      <c r="F431" s="4">
        <v>0</v>
      </c>
      <c r="G431" s="4">
        <v>0</v>
      </c>
      <c r="H431" s="4">
        <v>1</v>
      </c>
      <c r="I431" s="4">
        <v>0</v>
      </c>
      <c r="J431" s="4">
        <v>0</v>
      </c>
      <c r="K431" s="4">
        <v>0</v>
      </c>
      <c r="L431" s="4"/>
    </row>
    <row r="432" spans="1:12" x14ac:dyDescent="0.2">
      <c r="A432" s="4">
        <v>8.5299999999999994</v>
      </c>
      <c r="B432" s="4">
        <v>10</v>
      </c>
      <c r="C432" s="4">
        <v>14</v>
      </c>
      <c r="D432" s="4">
        <v>6</v>
      </c>
      <c r="E432" s="4">
        <v>0</v>
      </c>
      <c r="F432" s="4">
        <v>1</v>
      </c>
      <c r="G432" s="4">
        <v>0</v>
      </c>
      <c r="H432" s="4">
        <v>0</v>
      </c>
      <c r="I432" s="4">
        <v>1</v>
      </c>
      <c r="J432" s="4">
        <v>0</v>
      </c>
      <c r="K432" s="4">
        <v>0</v>
      </c>
      <c r="L432" s="4"/>
    </row>
    <row r="433" spans="1:12" x14ac:dyDescent="0.2">
      <c r="A433" s="4">
        <v>8.6</v>
      </c>
      <c r="B433" s="4">
        <v>16</v>
      </c>
      <c r="C433" s="4">
        <v>3</v>
      </c>
      <c r="D433" s="4">
        <v>2</v>
      </c>
      <c r="E433" s="4">
        <v>1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2</v>
      </c>
    </row>
    <row r="434" spans="1:12" x14ac:dyDescent="0.2">
      <c r="A434" s="4">
        <v>8.6300000000000008</v>
      </c>
      <c r="B434" s="4">
        <v>12</v>
      </c>
      <c r="C434" s="4">
        <v>23</v>
      </c>
      <c r="D434" s="4">
        <v>9</v>
      </c>
      <c r="E434" s="4">
        <v>0</v>
      </c>
      <c r="F434" s="4">
        <v>1</v>
      </c>
      <c r="G434" s="4">
        <v>1</v>
      </c>
      <c r="H434" s="4">
        <v>0</v>
      </c>
      <c r="I434" s="4">
        <v>1</v>
      </c>
      <c r="J434" s="4">
        <v>0</v>
      </c>
      <c r="K434" s="4">
        <v>0</v>
      </c>
      <c r="L434" s="4">
        <v>1</v>
      </c>
    </row>
    <row r="435" spans="1:12" x14ac:dyDescent="0.2">
      <c r="A435" s="4">
        <v>8.64</v>
      </c>
      <c r="B435" s="4">
        <v>12</v>
      </c>
      <c r="C435" s="4">
        <v>28</v>
      </c>
      <c r="D435" s="4">
        <v>8</v>
      </c>
      <c r="E435" s="4">
        <v>0</v>
      </c>
      <c r="F435" s="4">
        <v>1</v>
      </c>
      <c r="G435" s="4">
        <v>0</v>
      </c>
      <c r="H435" s="4">
        <v>1</v>
      </c>
      <c r="I435" s="4">
        <v>0</v>
      </c>
      <c r="J435" s="4">
        <v>0</v>
      </c>
      <c r="K435" s="4">
        <v>0</v>
      </c>
      <c r="L435" s="4">
        <v>4</v>
      </c>
    </row>
    <row r="436" spans="1:12" x14ac:dyDescent="0.2">
      <c r="A436" s="4">
        <v>8.65</v>
      </c>
      <c r="B436" s="4">
        <v>18</v>
      </c>
      <c r="C436" s="4">
        <v>13</v>
      </c>
      <c r="D436" s="4">
        <v>1</v>
      </c>
      <c r="E436" s="4">
        <v>1</v>
      </c>
      <c r="F436" s="4">
        <v>0</v>
      </c>
      <c r="G436" s="4">
        <v>0</v>
      </c>
      <c r="H436" s="4">
        <v>1</v>
      </c>
      <c r="I436" s="4">
        <v>0</v>
      </c>
      <c r="J436" s="4">
        <v>0</v>
      </c>
      <c r="K436" s="4">
        <v>0</v>
      </c>
      <c r="L436" s="4">
        <v>5</v>
      </c>
    </row>
    <row r="437" spans="1:12" x14ac:dyDescent="0.2">
      <c r="A437" s="4">
        <v>8.75</v>
      </c>
      <c r="B437" s="4">
        <v>16</v>
      </c>
      <c r="C437" s="4">
        <v>9</v>
      </c>
      <c r="D437" s="4">
        <v>8</v>
      </c>
      <c r="E437" s="4">
        <v>0</v>
      </c>
      <c r="F437" s="4">
        <v>1</v>
      </c>
      <c r="G437" s="4">
        <v>0</v>
      </c>
      <c r="H437" s="4">
        <v>0</v>
      </c>
      <c r="I437" s="4">
        <v>0</v>
      </c>
      <c r="J437" s="4">
        <v>1</v>
      </c>
      <c r="K437" s="4">
        <v>0</v>
      </c>
      <c r="L437" s="4">
        <v>1</v>
      </c>
    </row>
    <row r="438" spans="1:12" x14ac:dyDescent="0.2">
      <c r="A438" s="4">
        <v>8.75</v>
      </c>
      <c r="B438" s="4">
        <v>16</v>
      </c>
      <c r="C438" s="4">
        <v>3</v>
      </c>
      <c r="D438" s="4">
        <v>2</v>
      </c>
      <c r="E438" s="4">
        <v>0</v>
      </c>
      <c r="F438" s="4">
        <v>1</v>
      </c>
      <c r="G438" s="4">
        <v>1</v>
      </c>
      <c r="H438" s="4">
        <v>1</v>
      </c>
      <c r="I438" s="4">
        <v>0</v>
      </c>
      <c r="J438" s="4">
        <v>0</v>
      </c>
      <c r="K438" s="4">
        <v>0</v>
      </c>
      <c r="L438" s="4">
        <v>3</v>
      </c>
    </row>
    <row r="439" spans="1:12" x14ac:dyDescent="0.2">
      <c r="A439" s="4">
        <v>8.75</v>
      </c>
      <c r="B439" s="4">
        <v>16</v>
      </c>
      <c r="C439" s="4">
        <v>1</v>
      </c>
      <c r="D439" s="4">
        <v>2</v>
      </c>
      <c r="E439" s="4">
        <v>0</v>
      </c>
      <c r="F439" s="4">
        <v>0</v>
      </c>
      <c r="G439" s="4">
        <v>0</v>
      </c>
      <c r="H439" s="4">
        <v>1</v>
      </c>
      <c r="I439" s="4">
        <v>0</v>
      </c>
      <c r="J439" s="4">
        <v>0</v>
      </c>
      <c r="K439" s="4">
        <v>0</v>
      </c>
      <c r="L439" s="4">
        <v>3</v>
      </c>
    </row>
    <row r="440" spans="1:12" x14ac:dyDescent="0.2">
      <c r="A440" s="4">
        <v>8.75</v>
      </c>
      <c r="B440" s="4">
        <v>12</v>
      </c>
      <c r="C440" s="4">
        <v>47</v>
      </c>
      <c r="D440" s="4">
        <v>44</v>
      </c>
      <c r="E440" s="4">
        <v>0</v>
      </c>
      <c r="F440" s="4">
        <v>1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1</v>
      </c>
    </row>
    <row r="441" spans="1:12" x14ac:dyDescent="0.2">
      <c r="A441" s="4">
        <v>8.75</v>
      </c>
      <c r="B441" s="4">
        <v>12</v>
      </c>
      <c r="C441" s="4">
        <v>24</v>
      </c>
      <c r="D441" s="4">
        <v>1</v>
      </c>
      <c r="E441" s="4">
        <v>0</v>
      </c>
      <c r="F441" s="4">
        <v>0</v>
      </c>
      <c r="G441" s="4">
        <v>0</v>
      </c>
      <c r="H441" s="4">
        <v>1</v>
      </c>
      <c r="I441" s="4">
        <v>0</v>
      </c>
      <c r="J441" s="4">
        <v>0</v>
      </c>
      <c r="K441" s="4">
        <v>0</v>
      </c>
      <c r="L441" s="4">
        <v>3</v>
      </c>
    </row>
    <row r="442" spans="1:12" x14ac:dyDescent="0.2">
      <c r="A442" s="4">
        <v>8.75</v>
      </c>
      <c r="B442" s="4">
        <v>12</v>
      </c>
      <c r="C442" s="4">
        <v>4</v>
      </c>
      <c r="D442" s="4">
        <v>4</v>
      </c>
      <c r="E442" s="4">
        <v>0</v>
      </c>
      <c r="F442" s="4">
        <v>1</v>
      </c>
      <c r="G442" s="4">
        <v>0</v>
      </c>
      <c r="H442" s="4">
        <v>0</v>
      </c>
      <c r="I442" s="4">
        <v>1</v>
      </c>
      <c r="J442" s="4">
        <v>0</v>
      </c>
      <c r="K442" s="4">
        <v>0</v>
      </c>
      <c r="L442" s="4">
        <v>2</v>
      </c>
    </row>
    <row r="443" spans="1:12" x14ac:dyDescent="0.2">
      <c r="A443" s="4">
        <v>8.75</v>
      </c>
      <c r="B443" s="4">
        <v>14</v>
      </c>
      <c r="C443" s="4">
        <v>9</v>
      </c>
      <c r="D443" s="4">
        <v>3</v>
      </c>
      <c r="E443" s="4">
        <v>0</v>
      </c>
      <c r="F443" s="4">
        <v>1</v>
      </c>
      <c r="G443" s="4">
        <v>1</v>
      </c>
      <c r="H443" s="4">
        <v>0</v>
      </c>
      <c r="I443" s="4">
        <v>0</v>
      </c>
      <c r="J443" s="4">
        <v>0</v>
      </c>
      <c r="K443" s="4">
        <v>0</v>
      </c>
      <c r="L443" s="4">
        <v>1</v>
      </c>
    </row>
    <row r="444" spans="1:12" x14ac:dyDescent="0.2">
      <c r="A444" s="4">
        <v>8.77</v>
      </c>
      <c r="B444" s="4">
        <v>12</v>
      </c>
      <c r="C444" s="4">
        <v>15</v>
      </c>
      <c r="D444" s="4">
        <v>0</v>
      </c>
      <c r="E444" s="4">
        <v>0</v>
      </c>
      <c r="F444" s="4">
        <v>1</v>
      </c>
      <c r="G444" s="4">
        <v>2</v>
      </c>
      <c r="H444" s="4">
        <v>0</v>
      </c>
      <c r="I444" s="4">
        <v>0</v>
      </c>
      <c r="J444" s="4">
        <v>1</v>
      </c>
      <c r="K444" s="4">
        <v>0</v>
      </c>
      <c r="L444" s="4">
        <v>0</v>
      </c>
    </row>
    <row r="445" spans="1:12" x14ac:dyDescent="0.2">
      <c r="A445" s="4">
        <v>8.8000000000000007</v>
      </c>
      <c r="B445" s="4">
        <v>16</v>
      </c>
      <c r="C445" s="4">
        <v>9</v>
      </c>
      <c r="D445" s="4">
        <v>1</v>
      </c>
      <c r="E445" s="4">
        <v>0</v>
      </c>
      <c r="F445" s="4">
        <v>1</v>
      </c>
      <c r="G445" s="4">
        <v>0</v>
      </c>
      <c r="H445" s="4">
        <v>0</v>
      </c>
      <c r="I445" s="4">
        <v>1</v>
      </c>
      <c r="J445" s="4">
        <v>0</v>
      </c>
      <c r="K445" s="4">
        <v>0</v>
      </c>
      <c r="L445" s="4">
        <v>5</v>
      </c>
    </row>
    <row r="446" spans="1:12" x14ac:dyDescent="0.2">
      <c r="A446" s="4">
        <v>8.92</v>
      </c>
      <c r="B446" s="4">
        <v>18</v>
      </c>
      <c r="C446" s="4">
        <v>3</v>
      </c>
      <c r="D446" s="4">
        <v>3</v>
      </c>
      <c r="E446" s="4">
        <v>0</v>
      </c>
      <c r="F446" s="4">
        <v>1</v>
      </c>
      <c r="G446" s="4">
        <v>0</v>
      </c>
      <c r="H446" s="4">
        <v>0</v>
      </c>
      <c r="I446" s="4">
        <v>1</v>
      </c>
      <c r="J446" s="4">
        <v>0</v>
      </c>
      <c r="K446" s="4">
        <v>0</v>
      </c>
      <c r="L446" s="4">
        <v>2</v>
      </c>
    </row>
    <row r="447" spans="1:12" x14ac:dyDescent="0.2">
      <c r="A447" s="4">
        <v>9</v>
      </c>
      <c r="B447" s="4">
        <v>12</v>
      </c>
      <c r="C447" s="4">
        <v>11</v>
      </c>
      <c r="D447" s="4">
        <v>5</v>
      </c>
      <c r="E447" s="4">
        <v>1</v>
      </c>
      <c r="F447" s="4">
        <v>1</v>
      </c>
      <c r="G447" s="4">
        <v>0</v>
      </c>
      <c r="H447" s="4">
        <v>1</v>
      </c>
      <c r="I447" s="4">
        <v>0</v>
      </c>
      <c r="J447" s="4">
        <v>0</v>
      </c>
      <c r="K447" s="4">
        <v>0</v>
      </c>
      <c r="L447" s="4">
        <v>0</v>
      </c>
    </row>
    <row r="448" spans="1:12" x14ac:dyDescent="0.2">
      <c r="A448" s="4">
        <v>9</v>
      </c>
      <c r="B448" s="4">
        <v>12</v>
      </c>
      <c r="C448" s="4">
        <v>38</v>
      </c>
      <c r="D448" s="4">
        <v>1</v>
      </c>
      <c r="E448" s="4">
        <v>0</v>
      </c>
      <c r="F448" s="4">
        <v>1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3</v>
      </c>
    </row>
    <row r="449" spans="1:12" x14ac:dyDescent="0.2">
      <c r="A449" s="4">
        <v>9</v>
      </c>
      <c r="B449" s="4">
        <v>17</v>
      </c>
      <c r="C449" s="4">
        <v>7</v>
      </c>
      <c r="D449" s="4">
        <v>0</v>
      </c>
      <c r="E449" s="4">
        <v>1</v>
      </c>
      <c r="F449" s="4">
        <v>1</v>
      </c>
      <c r="G449" s="4">
        <v>2</v>
      </c>
      <c r="H449" s="4">
        <v>0</v>
      </c>
      <c r="I449" s="4">
        <v>0</v>
      </c>
      <c r="J449" s="4">
        <v>0</v>
      </c>
      <c r="K449" s="4">
        <v>0</v>
      </c>
      <c r="L449" s="4">
        <v>2</v>
      </c>
    </row>
    <row r="450" spans="1:12" x14ac:dyDescent="0.2">
      <c r="A450" s="4">
        <v>9.0500000000000007</v>
      </c>
      <c r="B450" s="4">
        <v>12</v>
      </c>
      <c r="C450" s="4">
        <v>10</v>
      </c>
      <c r="D450" s="4">
        <v>2</v>
      </c>
      <c r="E450" s="4">
        <v>0</v>
      </c>
      <c r="F450" s="4">
        <v>1</v>
      </c>
      <c r="G450" s="4">
        <v>3</v>
      </c>
      <c r="H450" s="4">
        <v>1</v>
      </c>
      <c r="I450" s="4">
        <v>0</v>
      </c>
      <c r="J450" s="4">
        <v>0</v>
      </c>
      <c r="K450" s="4">
        <v>1</v>
      </c>
      <c r="L450" s="4">
        <v>4</v>
      </c>
    </row>
    <row r="451" spans="1:12" x14ac:dyDescent="0.2">
      <c r="A451" s="4">
        <v>9.09</v>
      </c>
      <c r="B451" s="4">
        <v>15</v>
      </c>
      <c r="C451" s="4">
        <v>11</v>
      </c>
      <c r="D451" s="4">
        <v>12</v>
      </c>
      <c r="E451" s="4">
        <v>0</v>
      </c>
      <c r="F451" s="4">
        <v>1</v>
      </c>
      <c r="G451" s="4">
        <v>1</v>
      </c>
      <c r="H451" s="4">
        <v>0</v>
      </c>
      <c r="I451" s="4">
        <v>0</v>
      </c>
      <c r="J451" s="4">
        <v>1</v>
      </c>
      <c r="K451" s="4">
        <v>0</v>
      </c>
      <c r="L451" s="4">
        <v>2</v>
      </c>
    </row>
    <row r="452" spans="1:12" x14ac:dyDescent="0.2">
      <c r="A452" s="4">
        <v>9.1300000000000008</v>
      </c>
      <c r="B452" s="4">
        <v>12</v>
      </c>
      <c r="C452" s="4">
        <v>14</v>
      </c>
      <c r="D452" s="4">
        <v>12</v>
      </c>
      <c r="E452" s="4">
        <v>0</v>
      </c>
      <c r="F452" s="4">
        <v>1</v>
      </c>
      <c r="G452" s="4">
        <v>3</v>
      </c>
      <c r="H452" s="4">
        <v>0</v>
      </c>
      <c r="I452" s="4">
        <v>1</v>
      </c>
      <c r="J452" s="4">
        <v>0</v>
      </c>
      <c r="K452" s="4">
        <v>0</v>
      </c>
      <c r="L452" s="4">
        <v>3</v>
      </c>
    </row>
    <row r="453" spans="1:12" x14ac:dyDescent="0.2">
      <c r="A453" s="4">
        <v>9.3000000000000007</v>
      </c>
      <c r="B453" s="4">
        <v>15</v>
      </c>
      <c r="C453" s="4">
        <v>2</v>
      </c>
      <c r="D453" s="4">
        <v>2</v>
      </c>
      <c r="E453" s="4">
        <v>0</v>
      </c>
      <c r="F453" s="4">
        <v>1</v>
      </c>
      <c r="G453" s="4">
        <v>0</v>
      </c>
      <c r="H453" s="4">
        <v>0</v>
      </c>
      <c r="I453" s="4">
        <v>1</v>
      </c>
      <c r="J453" s="4">
        <v>0</v>
      </c>
      <c r="K453" s="4">
        <v>0</v>
      </c>
      <c r="L453" s="4">
        <v>0</v>
      </c>
    </row>
    <row r="454" spans="1:12" x14ac:dyDescent="0.2">
      <c r="A454" s="4">
        <v>9.33</v>
      </c>
      <c r="B454" s="4">
        <v>14</v>
      </c>
      <c r="C454" s="4">
        <v>12</v>
      </c>
      <c r="D454" s="4">
        <v>11</v>
      </c>
      <c r="E454" s="4">
        <v>0</v>
      </c>
      <c r="F454" s="4">
        <v>1</v>
      </c>
      <c r="G454" s="4">
        <v>3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</row>
    <row r="455" spans="1:12" x14ac:dyDescent="0.2">
      <c r="A455" s="4">
        <v>9.42</v>
      </c>
      <c r="B455" s="4">
        <v>14</v>
      </c>
      <c r="C455" s="4">
        <v>23</v>
      </c>
      <c r="D455" s="4">
        <v>0</v>
      </c>
      <c r="E455" s="4">
        <v>1</v>
      </c>
      <c r="F455" s="4">
        <v>1</v>
      </c>
      <c r="G455" s="4">
        <v>2</v>
      </c>
      <c r="H455" s="4">
        <v>0</v>
      </c>
      <c r="I455" s="4">
        <v>1</v>
      </c>
      <c r="J455" s="4">
        <v>0</v>
      </c>
      <c r="K455" s="4">
        <v>0</v>
      </c>
      <c r="L455" s="4">
        <v>5</v>
      </c>
    </row>
    <row r="456" spans="1:12" x14ac:dyDescent="0.2">
      <c r="A456" s="4">
        <v>9.56</v>
      </c>
      <c r="B456" s="4">
        <v>16</v>
      </c>
      <c r="C456" s="4">
        <v>3</v>
      </c>
      <c r="D456" s="4">
        <v>3</v>
      </c>
      <c r="E456" s="4">
        <v>0</v>
      </c>
      <c r="F456" s="4">
        <v>1</v>
      </c>
      <c r="G456" s="4">
        <v>1</v>
      </c>
      <c r="H456" s="4">
        <v>0</v>
      </c>
      <c r="I456" s="4">
        <v>0</v>
      </c>
      <c r="J456" s="4">
        <v>1</v>
      </c>
      <c r="K456" s="4">
        <v>0</v>
      </c>
      <c r="L456" s="4">
        <v>5</v>
      </c>
    </row>
    <row r="457" spans="1:12" x14ac:dyDescent="0.2">
      <c r="A457" s="4">
        <v>9.68</v>
      </c>
      <c r="B457" s="4">
        <v>13</v>
      </c>
      <c r="C457" s="4">
        <v>16</v>
      </c>
      <c r="D457" s="4">
        <v>16</v>
      </c>
      <c r="E457" s="4">
        <v>1</v>
      </c>
      <c r="F457" s="4">
        <v>0</v>
      </c>
      <c r="G457" s="4">
        <v>0</v>
      </c>
      <c r="H457" s="4">
        <v>0</v>
      </c>
      <c r="I457" s="4">
        <v>0</v>
      </c>
      <c r="J457" s="4">
        <v>1</v>
      </c>
      <c r="K457" s="4">
        <v>0</v>
      </c>
      <c r="L457" s="4">
        <v>4</v>
      </c>
    </row>
    <row r="458" spans="1:12" x14ac:dyDescent="0.2">
      <c r="A458" s="4">
        <v>9.8000000000000007</v>
      </c>
      <c r="B458" s="4">
        <v>17</v>
      </c>
      <c r="C458" s="4">
        <v>7</v>
      </c>
      <c r="D458" s="4">
        <v>0</v>
      </c>
      <c r="E458" s="4">
        <v>0</v>
      </c>
      <c r="F458" s="4">
        <v>1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4</v>
      </c>
    </row>
    <row r="459" spans="1:12" x14ac:dyDescent="0.2">
      <c r="A459" s="4">
        <v>9.85</v>
      </c>
      <c r="B459" s="4">
        <v>8</v>
      </c>
      <c r="C459" s="4">
        <v>40</v>
      </c>
      <c r="D459" s="4">
        <v>24</v>
      </c>
      <c r="E459" s="4">
        <v>0</v>
      </c>
      <c r="F459" s="4">
        <v>1</v>
      </c>
      <c r="G459" s="4">
        <v>2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</row>
    <row r="460" spans="1:12" x14ac:dyDescent="0.2">
      <c r="A460" s="4">
        <v>10</v>
      </c>
      <c r="B460" s="4">
        <v>12</v>
      </c>
      <c r="C460" s="4">
        <v>20</v>
      </c>
      <c r="D460" s="4">
        <v>5</v>
      </c>
      <c r="E460" s="4">
        <v>1</v>
      </c>
      <c r="F460" s="4">
        <v>1</v>
      </c>
      <c r="G460" s="4">
        <v>4</v>
      </c>
      <c r="H460" s="4">
        <v>0</v>
      </c>
      <c r="I460" s="4">
        <v>0</v>
      </c>
      <c r="J460" s="4">
        <v>1</v>
      </c>
      <c r="K460" s="4">
        <v>0</v>
      </c>
      <c r="L460" s="4">
        <v>5</v>
      </c>
    </row>
    <row r="461" spans="1:12" x14ac:dyDescent="0.2">
      <c r="A461" s="4">
        <v>10</v>
      </c>
      <c r="B461" s="4">
        <v>8</v>
      </c>
      <c r="C461" s="4">
        <v>13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/>
    </row>
    <row r="462" spans="1:12" x14ac:dyDescent="0.2">
      <c r="A462" s="4">
        <v>10</v>
      </c>
      <c r="B462" s="4">
        <v>12</v>
      </c>
      <c r="C462" s="4">
        <v>25</v>
      </c>
      <c r="D462" s="4">
        <v>3</v>
      </c>
      <c r="E462" s="4">
        <v>0</v>
      </c>
      <c r="F462" s="4">
        <v>1</v>
      </c>
      <c r="G462" s="4">
        <v>3</v>
      </c>
      <c r="H462" s="4">
        <v>0</v>
      </c>
      <c r="I462" s="4">
        <v>0</v>
      </c>
      <c r="J462" s="4">
        <v>0</v>
      </c>
      <c r="K462" s="4">
        <v>0</v>
      </c>
      <c r="L462" s="4"/>
    </row>
    <row r="463" spans="1:12" x14ac:dyDescent="0.2">
      <c r="A463" s="4">
        <v>10</v>
      </c>
      <c r="B463" s="4">
        <v>16</v>
      </c>
      <c r="C463" s="4">
        <v>9</v>
      </c>
      <c r="D463" s="4">
        <v>3</v>
      </c>
      <c r="E463" s="4">
        <v>0</v>
      </c>
      <c r="F463" s="4">
        <v>1</v>
      </c>
      <c r="G463" s="4">
        <v>2</v>
      </c>
      <c r="H463" s="4">
        <v>0</v>
      </c>
      <c r="I463" s="4">
        <v>1</v>
      </c>
      <c r="J463" s="4">
        <v>0</v>
      </c>
      <c r="K463" s="4">
        <v>0</v>
      </c>
      <c r="L463" s="4"/>
    </row>
    <row r="464" spans="1:12" x14ac:dyDescent="0.2">
      <c r="A464" s="4">
        <v>10</v>
      </c>
      <c r="B464" s="4">
        <v>14</v>
      </c>
      <c r="C464" s="4">
        <v>28</v>
      </c>
      <c r="D464" s="4">
        <v>11</v>
      </c>
      <c r="E464" s="4">
        <v>1</v>
      </c>
      <c r="F464" s="4">
        <v>1</v>
      </c>
      <c r="G464" s="4">
        <v>0</v>
      </c>
      <c r="H464" s="4">
        <v>0</v>
      </c>
      <c r="I464" s="4">
        <v>1</v>
      </c>
      <c r="J464" s="4">
        <v>0</v>
      </c>
      <c r="K464" s="4">
        <v>0</v>
      </c>
      <c r="L464" s="4"/>
    </row>
    <row r="465" spans="1:12" x14ac:dyDescent="0.2">
      <c r="A465" s="4">
        <v>10</v>
      </c>
      <c r="B465" s="4">
        <v>14</v>
      </c>
      <c r="C465" s="4">
        <v>18</v>
      </c>
      <c r="D465" s="4">
        <v>5</v>
      </c>
      <c r="E465" s="4">
        <v>0</v>
      </c>
      <c r="F465" s="4">
        <v>1</v>
      </c>
      <c r="G465" s="4">
        <v>2</v>
      </c>
      <c r="H465" s="4">
        <v>0</v>
      </c>
      <c r="I465" s="4">
        <v>1</v>
      </c>
      <c r="J465" s="4">
        <v>0</v>
      </c>
      <c r="K465" s="4">
        <v>0</v>
      </c>
      <c r="L465" s="4"/>
    </row>
    <row r="466" spans="1:12" x14ac:dyDescent="0.2">
      <c r="A466" s="4">
        <v>10</v>
      </c>
      <c r="B466" s="4">
        <v>16</v>
      </c>
      <c r="C466" s="4">
        <v>3</v>
      </c>
      <c r="D466" s="4">
        <v>2</v>
      </c>
      <c r="E466" s="4">
        <v>0</v>
      </c>
      <c r="F466" s="4">
        <v>1</v>
      </c>
      <c r="G466" s="4">
        <v>0</v>
      </c>
      <c r="H466" s="4">
        <v>0</v>
      </c>
      <c r="I466" s="4">
        <v>1</v>
      </c>
      <c r="J466" s="4">
        <v>0</v>
      </c>
      <c r="K466" s="4">
        <v>0</v>
      </c>
      <c r="L466" s="4"/>
    </row>
    <row r="467" spans="1:12" x14ac:dyDescent="0.2">
      <c r="A467" s="4">
        <v>10</v>
      </c>
      <c r="B467" s="4">
        <v>14</v>
      </c>
      <c r="C467" s="4">
        <v>43</v>
      </c>
      <c r="D467" s="4">
        <v>4</v>
      </c>
      <c r="E467" s="4"/>
      <c r="F467" s="4">
        <v>1</v>
      </c>
      <c r="G467" s="4">
        <v>0</v>
      </c>
      <c r="H467" s="4">
        <v>1</v>
      </c>
      <c r="I467" s="4">
        <v>0</v>
      </c>
      <c r="J467" s="4">
        <v>0</v>
      </c>
      <c r="K467" s="4">
        <v>0</v>
      </c>
      <c r="L467" s="4"/>
    </row>
    <row r="468" spans="1:12" x14ac:dyDescent="0.2">
      <c r="A468" s="4">
        <v>10</v>
      </c>
      <c r="B468" s="4">
        <v>17</v>
      </c>
      <c r="C468" s="4">
        <v>5</v>
      </c>
      <c r="D468" s="4">
        <v>3</v>
      </c>
      <c r="E468" s="4">
        <v>0</v>
      </c>
      <c r="F468" s="4">
        <v>1</v>
      </c>
      <c r="G468" s="4">
        <v>0</v>
      </c>
      <c r="H468" s="4">
        <v>1</v>
      </c>
      <c r="I468" s="4">
        <v>0</v>
      </c>
      <c r="J468" s="4">
        <v>0</v>
      </c>
      <c r="K468" s="4">
        <v>0</v>
      </c>
      <c r="L468" s="4"/>
    </row>
    <row r="469" spans="1:12" x14ac:dyDescent="0.2">
      <c r="A469" s="4">
        <v>10</v>
      </c>
      <c r="B469" s="4">
        <v>8</v>
      </c>
      <c r="C469" s="4">
        <v>9</v>
      </c>
      <c r="D469" s="4">
        <v>0</v>
      </c>
      <c r="E469" s="4">
        <v>0</v>
      </c>
      <c r="F469" s="4">
        <v>1</v>
      </c>
      <c r="G469" s="4">
        <v>0</v>
      </c>
      <c r="H469" s="4">
        <v>1</v>
      </c>
      <c r="I469" s="4">
        <v>0</v>
      </c>
      <c r="J469" s="4">
        <v>0</v>
      </c>
      <c r="K469" s="4">
        <v>1</v>
      </c>
      <c r="L469" s="4"/>
    </row>
    <row r="470" spans="1:12" x14ac:dyDescent="0.2">
      <c r="A470" s="4">
        <v>10</v>
      </c>
      <c r="B470" s="4">
        <v>12</v>
      </c>
      <c r="C470" s="4">
        <v>29</v>
      </c>
      <c r="D470" s="4">
        <v>0</v>
      </c>
      <c r="E470" s="4">
        <v>0</v>
      </c>
      <c r="F470" s="4">
        <v>1</v>
      </c>
      <c r="G470" s="4">
        <v>2</v>
      </c>
      <c r="H470" s="4">
        <v>0</v>
      </c>
      <c r="I470" s="4">
        <v>0</v>
      </c>
      <c r="J470" s="4">
        <v>0</v>
      </c>
      <c r="K470" s="4">
        <v>0</v>
      </c>
      <c r="L470" s="4"/>
    </row>
    <row r="471" spans="1:12" x14ac:dyDescent="0.2">
      <c r="A471" s="4">
        <v>10</v>
      </c>
      <c r="B471" s="4">
        <v>12</v>
      </c>
      <c r="C471" s="4">
        <v>31</v>
      </c>
      <c r="D471" s="4">
        <v>2</v>
      </c>
      <c r="E471" s="4">
        <v>0</v>
      </c>
      <c r="F471" s="4">
        <v>1</v>
      </c>
      <c r="G471" s="4">
        <v>0</v>
      </c>
      <c r="H471" s="4">
        <v>0</v>
      </c>
      <c r="I471" s="4">
        <v>1</v>
      </c>
      <c r="J471" s="4">
        <v>0</v>
      </c>
      <c r="K471" s="4">
        <v>0</v>
      </c>
      <c r="L471" s="4"/>
    </row>
    <row r="472" spans="1:12" x14ac:dyDescent="0.2">
      <c r="A472" s="4">
        <v>10</v>
      </c>
      <c r="B472" s="4">
        <v>12</v>
      </c>
      <c r="C472" s="4">
        <v>24</v>
      </c>
      <c r="D472" s="4">
        <v>24</v>
      </c>
      <c r="E472" s="4">
        <v>0</v>
      </c>
      <c r="F472" s="4">
        <v>1</v>
      </c>
      <c r="G472" s="4">
        <v>0</v>
      </c>
      <c r="H472" s="4">
        <v>1</v>
      </c>
      <c r="I472" s="4">
        <v>0</v>
      </c>
      <c r="J472" s="4">
        <v>0</v>
      </c>
      <c r="K472" s="4">
        <v>0</v>
      </c>
      <c r="L472" s="4"/>
    </row>
    <row r="473" spans="1:12" x14ac:dyDescent="0.2">
      <c r="A473" s="4">
        <v>10</v>
      </c>
      <c r="B473" s="4">
        <v>18</v>
      </c>
      <c r="C473" s="4">
        <v>9</v>
      </c>
      <c r="D473" s="4">
        <v>8</v>
      </c>
      <c r="E473" s="4">
        <v>0</v>
      </c>
      <c r="F473" s="4">
        <v>0</v>
      </c>
      <c r="G473" s="4">
        <v>0</v>
      </c>
      <c r="H473" s="4">
        <v>1</v>
      </c>
      <c r="I473" s="4">
        <v>0</v>
      </c>
      <c r="J473" s="4">
        <v>0</v>
      </c>
      <c r="K473" s="4">
        <v>0</v>
      </c>
      <c r="L473" s="4"/>
    </row>
    <row r="474" spans="1:12" x14ac:dyDescent="0.2">
      <c r="A474" s="4">
        <v>10</v>
      </c>
      <c r="B474" s="4">
        <v>12</v>
      </c>
      <c r="C474" s="4">
        <v>15</v>
      </c>
      <c r="D474" s="4">
        <v>0</v>
      </c>
      <c r="E474" s="4">
        <v>0</v>
      </c>
      <c r="F474" s="4">
        <v>0</v>
      </c>
      <c r="G474" s="4">
        <v>1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</row>
    <row r="475" spans="1:12" x14ac:dyDescent="0.2">
      <c r="A475" s="4">
        <v>10.38</v>
      </c>
      <c r="B475" s="4">
        <v>18</v>
      </c>
      <c r="C475" s="4">
        <v>16</v>
      </c>
      <c r="D475" s="4">
        <v>2</v>
      </c>
      <c r="E475" s="4">
        <v>0</v>
      </c>
      <c r="F475" s="4">
        <v>1</v>
      </c>
      <c r="G475" s="4">
        <v>1</v>
      </c>
      <c r="H475" s="4">
        <v>1</v>
      </c>
      <c r="I475" s="4">
        <v>0</v>
      </c>
      <c r="J475" s="4">
        <v>0</v>
      </c>
      <c r="K475" s="4">
        <v>0</v>
      </c>
      <c r="L475" s="4">
        <v>4</v>
      </c>
    </row>
    <row r="476" spans="1:12" x14ac:dyDescent="0.2">
      <c r="A476" s="4">
        <v>10.63</v>
      </c>
      <c r="B476" s="4">
        <v>13</v>
      </c>
      <c r="C476" s="4">
        <v>16</v>
      </c>
      <c r="D476" s="4">
        <v>10</v>
      </c>
      <c r="E476" s="4">
        <v>1</v>
      </c>
      <c r="F476" s="4">
        <v>0</v>
      </c>
      <c r="G476" s="4">
        <v>0</v>
      </c>
      <c r="H476" s="4">
        <v>0</v>
      </c>
      <c r="I476" s="4">
        <v>0</v>
      </c>
      <c r="J476" s="4">
        <v>1</v>
      </c>
      <c r="K476" s="4">
        <v>0</v>
      </c>
      <c r="L476" s="4">
        <v>5</v>
      </c>
    </row>
    <row r="477" spans="1:12" x14ac:dyDescent="0.2">
      <c r="A477" s="4">
        <v>10.63</v>
      </c>
      <c r="B477" s="4">
        <v>12</v>
      </c>
      <c r="C477" s="4">
        <v>36</v>
      </c>
      <c r="D477" s="4">
        <v>6</v>
      </c>
      <c r="E477" s="4">
        <v>1</v>
      </c>
      <c r="F477" s="4">
        <v>1</v>
      </c>
      <c r="G477" s="4">
        <v>0</v>
      </c>
      <c r="H477" s="4">
        <v>0</v>
      </c>
      <c r="I477" s="4">
        <v>0</v>
      </c>
      <c r="J477" s="4">
        <v>1</v>
      </c>
      <c r="K477" s="4">
        <v>0</v>
      </c>
      <c r="L477" s="4"/>
    </row>
    <row r="478" spans="1:12" x14ac:dyDescent="0.2">
      <c r="A478" s="4">
        <v>10.91</v>
      </c>
      <c r="B478" s="4">
        <v>12</v>
      </c>
      <c r="C478" s="4">
        <v>25</v>
      </c>
      <c r="D478" s="4">
        <v>23</v>
      </c>
      <c r="E478" s="4">
        <v>0</v>
      </c>
      <c r="F478" s="4">
        <v>0</v>
      </c>
      <c r="G478" s="4">
        <v>0</v>
      </c>
      <c r="H478" s="4">
        <v>0</v>
      </c>
      <c r="I478" s="4">
        <v>1</v>
      </c>
      <c r="J478" s="4">
        <v>0</v>
      </c>
      <c r="K478" s="4">
        <v>0</v>
      </c>
      <c r="L478" s="4"/>
    </row>
    <row r="479" spans="1:12" x14ac:dyDescent="0.2">
      <c r="A479" s="4">
        <v>10.92</v>
      </c>
      <c r="B479" s="4">
        <v>12</v>
      </c>
      <c r="C479" s="4">
        <v>34</v>
      </c>
      <c r="D479" s="4">
        <v>5</v>
      </c>
      <c r="E479" s="4">
        <v>0</v>
      </c>
      <c r="F479" s="4">
        <v>1</v>
      </c>
      <c r="G479" s="4">
        <v>0</v>
      </c>
      <c r="H479" s="4">
        <v>0</v>
      </c>
      <c r="I479" s="4">
        <v>1</v>
      </c>
      <c r="J479" s="4">
        <v>0</v>
      </c>
      <c r="K479" s="4">
        <v>0</v>
      </c>
      <c r="L479" s="4"/>
    </row>
    <row r="480" spans="1:12" x14ac:dyDescent="0.2">
      <c r="A480" s="4">
        <v>10.95</v>
      </c>
      <c r="B480" s="4">
        <v>16</v>
      </c>
      <c r="C480" s="4">
        <v>23</v>
      </c>
      <c r="D480" s="4">
        <v>20</v>
      </c>
      <c r="E480" s="4">
        <v>0</v>
      </c>
      <c r="F480" s="4">
        <v>1</v>
      </c>
      <c r="G480" s="4">
        <v>4</v>
      </c>
      <c r="H480" s="4">
        <v>0</v>
      </c>
      <c r="I480" s="4">
        <v>1</v>
      </c>
      <c r="J480" s="4">
        <v>0</v>
      </c>
      <c r="K480" s="4">
        <v>0</v>
      </c>
      <c r="L480" s="4"/>
    </row>
    <row r="481" spans="1:12" x14ac:dyDescent="0.2">
      <c r="A481" s="4">
        <v>11.1</v>
      </c>
      <c r="B481" s="4">
        <v>15</v>
      </c>
      <c r="C481" s="4">
        <v>1</v>
      </c>
      <c r="D481" s="4">
        <v>4</v>
      </c>
      <c r="E481" s="4">
        <v>1</v>
      </c>
      <c r="F481" s="4">
        <v>0</v>
      </c>
      <c r="G481" s="4">
        <v>2</v>
      </c>
      <c r="H481" s="4">
        <v>0</v>
      </c>
      <c r="I481" s="4">
        <v>1</v>
      </c>
      <c r="J481" s="4">
        <v>0</v>
      </c>
      <c r="K481" s="4">
        <v>0</v>
      </c>
      <c r="L481" s="4">
        <v>0</v>
      </c>
    </row>
    <row r="482" spans="1:12" x14ac:dyDescent="0.2">
      <c r="A482" s="4">
        <v>11.11</v>
      </c>
      <c r="B482" s="4">
        <v>12</v>
      </c>
      <c r="C482" s="4">
        <v>30</v>
      </c>
      <c r="D482" s="4">
        <v>8</v>
      </c>
      <c r="E482" s="4">
        <v>0</v>
      </c>
      <c r="F482" s="4">
        <v>1</v>
      </c>
      <c r="G482" s="4">
        <v>0</v>
      </c>
      <c r="H482" s="4">
        <v>1</v>
      </c>
      <c r="I482" s="4">
        <v>0</v>
      </c>
      <c r="J482" s="4">
        <v>0</v>
      </c>
      <c r="K482" s="4">
        <v>0</v>
      </c>
      <c r="L482" s="4">
        <v>4</v>
      </c>
    </row>
    <row r="483" spans="1:12" x14ac:dyDescent="0.2">
      <c r="A483" s="4">
        <v>11.25</v>
      </c>
      <c r="B483" s="4">
        <v>18</v>
      </c>
      <c r="C483" s="4">
        <v>15</v>
      </c>
      <c r="D483" s="4">
        <v>7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1</v>
      </c>
      <c r="K483" s="4">
        <v>0</v>
      </c>
      <c r="L483" s="4">
        <v>1</v>
      </c>
    </row>
    <row r="484" spans="1:12" x14ac:dyDescent="0.2">
      <c r="A484" s="4">
        <v>11.25</v>
      </c>
      <c r="B484" s="4">
        <v>17</v>
      </c>
      <c r="C484" s="4">
        <v>28</v>
      </c>
      <c r="D484" s="4">
        <v>25</v>
      </c>
      <c r="E484" s="4">
        <v>0</v>
      </c>
      <c r="F484" s="4">
        <v>1</v>
      </c>
      <c r="G484" s="4">
        <v>1</v>
      </c>
      <c r="H484" s="4">
        <v>0</v>
      </c>
      <c r="I484" s="4">
        <v>1</v>
      </c>
      <c r="J484" s="4">
        <v>0</v>
      </c>
      <c r="K484" s="4">
        <v>0</v>
      </c>
      <c r="L484" s="4"/>
    </row>
    <row r="485" spans="1:12" x14ac:dyDescent="0.2">
      <c r="A485" s="4">
        <v>11.55</v>
      </c>
      <c r="B485" s="4">
        <v>16</v>
      </c>
      <c r="C485" s="4">
        <v>20</v>
      </c>
      <c r="D485" s="4">
        <v>5</v>
      </c>
      <c r="E485" s="4">
        <v>1</v>
      </c>
      <c r="F485" s="4">
        <v>1</v>
      </c>
      <c r="G485" s="4">
        <v>3</v>
      </c>
      <c r="H485" s="4">
        <v>0</v>
      </c>
      <c r="I485" s="4">
        <v>1</v>
      </c>
      <c r="J485" s="4">
        <v>0</v>
      </c>
      <c r="K485" s="4">
        <v>1</v>
      </c>
      <c r="L485" s="4"/>
    </row>
    <row r="486" spans="1:12" x14ac:dyDescent="0.2">
      <c r="A486" s="4">
        <v>11.56</v>
      </c>
      <c r="B486" s="4">
        <v>16</v>
      </c>
      <c r="C486" s="4">
        <v>5</v>
      </c>
      <c r="D486" s="4">
        <v>1</v>
      </c>
      <c r="E486" s="4">
        <v>0</v>
      </c>
      <c r="F486" s="4">
        <v>1</v>
      </c>
      <c r="G486" s="4">
        <v>0</v>
      </c>
      <c r="H486" s="4">
        <v>0</v>
      </c>
      <c r="I486" s="4">
        <v>0</v>
      </c>
      <c r="J486" s="4">
        <v>1</v>
      </c>
      <c r="K486" s="4">
        <v>0</v>
      </c>
      <c r="L486" s="4"/>
    </row>
    <row r="487" spans="1:12" x14ac:dyDescent="0.2">
      <c r="A487" s="4">
        <v>11.71</v>
      </c>
      <c r="B487" s="4">
        <v>13</v>
      </c>
      <c r="C487" s="4">
        <v>40</v>
      </c>
      <c r="D487" s="4">
        <v>20</v>
      </c>
      <c r="E487" s="4">
        <v>1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/>
    </row>
    <row r="488" spans="1:12" x14ac:dyDescent="0.2">
      <c r="A488" s="4">
        <v>11.76</v>
      </c>
      <c r="B488" s="4">
        <v>14</v>
      </c>
      <c r="C488" s="4">
        <v>40</v>
      </c>
      <c r="D488" s="4">
        <v>39</v>
      </c>
      <c r="E488" s="4">
        <v>0</v>
      </c>
      <c r="F488" s="4">
        <v>1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/>
    </row>
    <row r="489" spans="1:12" x14ac:dyDescent="0.2">
      <c r="A489" s="4">
        <v>11.82</v>
      </c>
      <c r="B489" s="4">
        <v>16</v>
      </c>
      <c r="C489" s="4">
        <v>35</v>
      </c>
      <c r="D489" s="4">
        <v>13</v>
      </c>
      <c r="E489" s="4">
        <v>0</v>
      </c>
      <c r="F489" s="4">
        <v>1</v>
      </c>
      <c r="G489" s="4">
        <v>0</v>
      </c>
      <c r="H489" s="4">
        <v>0</v>
      </c>
      <c r="I489" s="4">
        <v>0</v>
      </c>
      <c r="J489" s="4">
        <v>1</v>
      </c>
      <c r="K489" s="4">
        <v>0</v>
      </c>
      <c r="L489" s="4"/>
    </row>
    <row r="490" spans="1:12" x14ac:dyDescent="0.2">
      <c r="A490" s="4">
        <v>11.9</v>
      </c>
      <c r="B490" s="4">
        <v>13</v>
      </c>
      <c r="C490" s="4">
        <v>24</v>
      </c>
      <c r="D490" s="4">
        <v>19</v>
      </c>
      <c r="E490" s="4">
        <v>0</v>
      </c>
      <c r="F490" s="4">
        <v>1</v>
      </c>
      <c r="G490" s="4">
        <v>2</v>
      </c>
      <c r="H490" s="4">
        <v>0</v>
      </c>
      <c r="I490" s="4">
        <v>0</v>
      </c>
      <c r="J490" s="4">
        <v>0</v>
      </c>
      <c r="K490" s="4">
        <v>0</v>
      </c>
      <c r="L490" s="4"/>
    </row>
    <row r="491" spans="1:12" x14ac:dyDescent="0.2">
      <c r="A491" s="4">
        <v>11.98</v>
      </c>
      <c r="B491" s="4">
        <v>18</v>
      </c>
      <c r="C491" s="4">
        <v>8</v>
      </c>
      <c r="D491" s="4">
        <v>10</v>
      </c>
      <c r="E491" s="4">
        <v>0</v>
      </c>
      <c r="F491" s="4">
        <v>1</v>
      </c>
      <c r="G491" s="4">
        <v>2</v>
      </c>
      <c r="H491" s="4">
        <v>0</v>
      </c>
      <c r="I491" s="4">
        <v>1</v>
      </c>
      <c r="J491" s="4">
        <v>0</v>
      </c>
      <c r="K491" s="4">
        <v>0</v>
      </c>
      <c r="L491" s="4">
        <v>3</v>
      </c>
    </row>
    <row r="492" spans="1:12" x14ac:dyDescent="0.2">
      <c r="A492" s="4">
        <v>12.22</v>
      </c>
      <c r="B492" s="4">
        <v>16</v>
      </c>
      <c r="C492" s="4">
        <v>10</v>
      </c>
      <c r="D492" s="4">
        <v>2</v>
      </c>
      <c r="E492" s="4">
        <v>0</v>
      </c>
      <c r="F492" s="4">
        <v>0</v>
      </c>
      <c r="G492" s="4">
        <v>0</v>
      </c>
      <c r="H492" s="4">
        <v>0</v>
      </c>
      <c r="I492" s="4">
        <v>1</v>
      </c>
      <c r="J492" s="4">
        <v>0</v>
      </c>
      <c r="K492" s="4">
        <v>0</v>
      </c>
      <c r="L492" s="4">
        <v>5</v>
      </c>
    </row>
    <row r="493" spans="1:12" x14ac:dyDescent="0.2">
      <c r="A493" s="4">
        <v>12.39</v>
      </c>
      <c r="B493" s="4">
        <v>14</v>
      </c>
      <c r="C493" s="4">
        <v>42</v>
      </c>
      <c r="D493" s="4">
        <v>5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1</v>
      </c>
    </row>
    <row r="494" spans="1:12" x14ac:dyDescent="0.2">
      <c r="A494" s="4">
        <v>12.5</v>
      </c>
      <c r="B494" s="4">
        <v>16</v>
      </c>
      <c r="C494" s="4">
        <v>31</v>
      </c>
      <c r="D494" s="4">
        <v>0</v>
      </c>
      <c r="E494" s="4">
        <v>0</v>
      </c>
      <c r="F494" s="4">
        <v>1</v>
      </c>
      <c r="G494" s="4">
        <v>0</v>
      </c>
      <c r="H494" s="4">
        <v>0</v>
      </c>
      <c r="I494" s="4">
        <v>0</v>
      </c>
      <c r="J494" s="4">
        <v>1</v>
      </c>
      <c r="K494" s="4">
        <v>0</v>
      </c>
      <c r="L494" s="4">
        <v>0</v>
      </c>
    </row>
    <row r="495" spans="1:12" x14ac:dyDescent="0.2">
      <c r="A495" s="4">
        <v>12.5</v>
      </c>
      <c r="B495" s="4">
        <v>15</v>
      </c>
      <c r="C495" s="4">
        <v>30</v>
      </c>
      <c r="D495" s="4">
        <v>0</v>
      </c>
      <c r="E495" s="4">
        <v>0</v>
      </c>
      <c r="F495" s="4">
        <v>1</v>
      </c>
      <c r="G495" s="4">
        <v>2</v>
      </c>
      <c r="H495" s="4">
        <v>0</v>
      </c>
      <c r="I495" s="4">
        <v>0</v>
      </c>
      <c r="J495" s="4">
        <v>1</v>
      </c>
      <c r="K495" s="4">
        <v>0</v>
      </c>
      <c r="L495" s="4">
        <v>2</v>
      </c>
    </row>
    <row r="496" spans="1:12" x14ac:dyDescent="0.2">
      <c r="A496" s="4">
        <v>12.5</v>
      </c>
      <c r="B496" s="4">
        <v>12</v>
      </c>
      <c r="C496" s="4">
        <v>8</v>
      </c>
      <c r="D496" s="4">
        <v>1</v>
      </c>
      <c r="E496" s="4">
        <v>0</v>
      </c>
      <c r="F496" s="4">
        <v>0</v>
      </c>
      <c r="G496" s="4">
        <v>0</v>
      </c>
      <c r="H496" s="4">
        <v>1</v>
      </c>
      <c r="I496" s="4">
        <v>0</v>
      </c>
      <c r="J496" s="4">
        <v>0</v>
      </c>
      <c r="K496" s="4">
        <v>0</v>
      </c>
      <c r="L496" s="4">
        <v>2</v>
      </c>
    </row>
    <row r="497" spans="1:12" x14ac:dyDescent="0.2">
      <c r="A497" s="4">
        <v>12.5</v>
      </c>
      <c r="B497" s="4">
        <v>18</v>
      </c>
      <c r="C497" s="4">
        <v>6</v>
      </c>
      <c r="D497" s="4">
        <v>2</v>
      </c>
      <c r="E497" s="4">
        <v>0</v>
      </c>
      <c r="F497" s="4">
        <v>0</v>
      </c>
      <c r="G497" s="4">
        <v>0</v>
      </c>
      <c r="H497" s="4">
        <v>0</v>
      </c>
      <c r="I497" s="4">
        <v>1</v>
      </c>
      <c r="J497" s="4">
        <v>0</v>
      </c>
      <c r="K497" s="4">
        <v>0</v>
      </c>
      <c r="L497" s="4">
        <v>5</v>
      </c>
    </row>
    <row r="498" spans="1:12" x14ac:dyDescent="0.2">
      <c r="A498" s="4">
        <v>12.5</v>
      </c>
      <c r="B498" s="4">
        <v>18</v>
      </c>
      <c r="C498" s="4">
        <v>16</v>
      </c>
      <c r="D498" s="4">
        <v>5</v>
      </c>
      <c r="E498" s="4">
        <v>0</v>
      </c>
      <c r="F498" s="4">
        <v>1</v>
      </c>
      <c r="G498" s="4">
        <v>1</v>
      </c>
      <c r="H498" s="4">
        <v>1</v>
      </c>
      <c r="I498" s="4">
        <v>0</v>
      </c>
      <c r="J498" s="4">
        <v>0</v>
      </c>
      <c r="K498" s="4">
        <v>0</v>
      </c>
      <c r="L498" s="4">
        <v>4</v>
      </c>
    </row>
    <row r="499" spans="1:12" x14ac:dyDescent="0.2">
      <c r="A499" s="4">
        <v>12.5</v>
      </c>
      <c r="B499" s="4">
        <v>17</v>
      </c>
      <c r="C499" s="4">
        <v>21</v>
      </c>
      <c r="D499" s="4">
        <v>18</v>
      </c>
      <c r="E499" s="4">
        <v>0</v>
      </c>
      <c r="F499" s="4">
        <v>1</v>
      </c>
      <c r="G499" s="4">
        <v>3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</row>
    <row r="500" spans="1:12" x14ac:dyDescent="0.2">
      <c r="A500" s="4">
        <v>12.5</v>
      </c>
      <c r="B500" s="4">
        <v>14</v>
      </c>
      <c r="C500" s="4">
        <v>40</v>
      </c>
      <c r="D500" s="4">
        <v>30</v>
      </c>
      <c r="E500" s="4">
        <v>0</v>
      </c>
      <c r="F500" s="4">
        <v>1</v>
      </c>
      <c r="G500" s="4">
        <v>0</v>
      </c>
      <c r="H500" s="4">
        <v>1</v>
      </c>
      <c r="I500" s="4">
        <v>0</v>
      </c>
      <c r="J500" s="4">
        <v>0</v>
      </c>
      <c r="K500" s="4">
        <v>0</v>
      </c>
      <c r="L500" s="4">
        <v>3</v>
      </c>
    </row>
    <row r="501" spans="1:12" x14ac:dyDescent="0.2">
      <c r="A501" s="4">
        <v>13</v>
      </c>
      <c r="B501" s="4">
        <v>14</v>
      </c>
      <c r="C501" s="4">
        <v>23</v>
      </c>
      <c r="D501" s="4">
        <v>5</v>
      </c>
      <c r="E501" s="4">
        <v>0</v>
      </c>
      <c r="F501" s="4">
        <v>1</v>
      </c>
      <c r="G501" s="4">
        <v>2</v>
      </c>
      <c r="H501" s="4">
        <v>0</v>
      </c>
      <c r="I501" s="4">
        <v>0</v>
      </c>
      <c r="J501" s="4">
        <v>1</v>
      </c>
      <c r="K501" s="4">
        <v>0</v>
      </c>
      <c r="L501" s="4">
        <v>1</v>
      </c>
    </row>
    <row r="502" spans="1:12" x14ac:dyDescent="0.2">
      <c r="A502" s="4">
        <v>13.08</v>
      </c>
      <c r="B502" s="4">
        <v>17</v>
      </c>
      <c r="C502" s="4">
        <v>17</v>
      </c>
      <c r="D502" s="4">
        <v>2</v>
      </c>
      <c r="E502" s="4">
        <v>0</v>
      </c>
      <c r="F502" s="4">
        <v>1</v>
      </c>
      <c r="G502" s="4">
        <v>3</v>
      </c>
      <c r="H502" s="4">
        <v>0</v>
      </c>
      <c r="I502" s="4">
        <v>0</v>
      </c>
      <c r="J502" s="4">
        <v>0</v>
      </c>
      <c r="K502" s="4">
        <v>0</v>
      </c>
      <c r="L502" s="4">
        <v>2</v>
      </c>
    </row>
    <row r="503" spans="1:12" x14ac:dyDescent="0.2">
      <c r="A503" s="4">
        <v>13.16</v>
      </c>
      <c r="B503" s="4">
        <v>12</v>
      </c>
      <c r="C503" s="4">
        <v>34</v>
      </c>
      <c r="D503" s="4">
        <v>22</v>
      </c>
      <c r="E503" s="4">
        <v>0</v>
      </c>
      <c r="F503" s="4">
        <v>1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4</v>
      </c>
    </row>
    <row r="504" spans="1:12" x14ac:dyDescent="0.2">
      <c r="A504" s="4">
        <v>13.33</v>
      </c>
      <c r="B504" s="4">
        <v>12</v>
      </c>
      <c r="C504" s="4">
        <v>14</v>
      </c>
      <c r="D504" s="4">
        <v>11</v>
      </c>
      <c r="E504" s="4">
        <v>0</v>
      </c>
      <c r="F504" s="4">
        <v>1</v>
      </c>
      <c r="G504" s="4">
        <v>2</v>
      </c>
      <c r="H504" s="4">
        <v>0</v>
      </c>
      <c r="I504" s="4">
        <v>0</v>
      </c>
      <c r="J504" s="4">
        <v>0</v>
      </c>
      <c r="K504" s="4">
        <v>0</v>
      </c>
      <c r="L504" s="4">
        <v>5</v>
      </c>
    </row>
    <row r="505" spans="1:12" x14ac:dyDescent="0.2">
      <c r="A505" s="4">
        <v>13.7</v>
      </c>
      <c r="B505" s="4">
        <v>15</v>
      </c>
      <c r="C505" s="4">
        <v>20</v>
      </c>
      <c r="D505" s="4">
        <v>13</v>
      </c>
      <c r="E505" s="4">
        <v>0</v>
      </c>
      <c r="F505" s="4">
        <v>1</v>
      </c>
      <c r="G505" s="4">
        <v>2</v>
      </c>
      <c r="H505" s="4">
        <v>0</v>
      </c>
      <c r="I505" s="4">
        <v>0</v>
      </c>
      <c r="J505" s="4">
        <v>1</v>
      </c>
      <c r="K505" s="4">
        <v>0</v>
      </c>
      <c r="L505" s="4">
        <v>1</v>
      </c>
    </row>
    <row r="506" spans="1:12" x14ac:dyDescent="0.2">
      <c r="A506" s="4">
        <v>13.95</v>
      </c>
      <c r="B506" s="4">
        <v>16</v>
      </c>
      <c r="C506" s="4">
        <v>41</v>
      </c>
      <c r="D506" s="4">
        <v>16</v>
      </c>
      <c r="E506" s="4">
        <v>0</v>
      </c>
      <c r="F506" s="4">
        <v>1</v>
      </c>
      <c r="G506" s="4">
        <v>0</v>
      </c>
      <c r="H506" s="4">
        <v>1</v>
      </c>
      <c r="I506" s="4">
        <v>0</v>
      </c>
      <c r="J506" s="4">
        <v>0</v>
      </c>
      <c r="K506" s="4">
        <v>0</v>
      </c>
      <c r="L506" s="4">
        <v>4</v>
      </c>
    </row>
    <row r="507" spans="1:12" x14ac:dyDescent="0.2">
      <c r="A507" s="4">
        <v>14.38</v>
      </c>
      <c r="B507" s="4">
        <v>17</v>
      </c>
      <c r="C507" s="4">
        <v>10</v>
      </c>
      <c r="D507" s="4">
        <v>9</v>
      </c>
      <c r="E507" s="4">
        <v>0</v>
      </c>
      <c r="F507" s="4">
        <v>1</v>
      </c>
      <c r="G507" s="4">
        <v>1</v>
      </c>
      <c r="H507" s="4">
        <v>0</v>
      </c>
      <c r="I507" s="4">
        <v>1</v>
      </c>
      <c r="J507" s="4">
        <v>0</v>
      </c>
      <c r="K507" s="4">
        <v>0</v>
      </c>
      <c r="L507" s="4">
        <v>0</v>
      </c>
    </row>
    <row r="508" spans="1:12" x14ac:dyDescent="0.2">
      <c r="A508" s="4">
        <v>14.58</v>
      </c>
      <c r="B508" s="4">
        <v>18</v>
      </c>
      <c r="C508" s="4">
        <v>13</v>
      </c>
      <c r="D508" s="4">
        <v>7</v>
      </c>
      <c r="E508" s="4">
        <v>1</v>
      </c>
      <c r="F508" s="4">
        <v>0</v>
      </c>
      <c r="G508" s="4">
        <v>0</v>
      </c>
      <c r="H508" s="4">
        <v>1</v>
      </c>
      <c r="I508" s="4">
        <v>0</v>
      </c>
      <c r="J508" s="4">
        <v>0</v>
      </c>
      <c r="K508" s="4">
        <v>0</v>
      </c>
      <c r="L508" s="4">
        <v>0</v>
      </c>
    </row>
    <row r="509" spans="1:12" x14ac:dyDescent="0.2">
      <c r="A509" s="4">
        <v>15</v>
      </c>
      <c r="B509" s="4">
        <v>14</v>
      </c>
      <c r="C509" s="4">
        <v>7</v>
      </c>
      <c r="D509" s="4">
        <v>7</v>
      </c>
      <c r="E509" s="4">
        <v>0</v>
      </c>
      <c r="F509" s="4">
        <v>1</v>
      </c>
      <c r="G509" s="4">
        <v>1</v>
      </c>
      <c r="H509" s="4">
        <v>0</v>
      </c>
      <c r="I509" s="4">
        <v>0</v>
      </c>
      <c r="J509" s="4">
        <v>0</v>
      </c>
      <c r="K509" s="4">
        <v>0</v>
      </c>
      <c r="L509" s="4">
        <v>3</v>
      </c>
    </row>
    <row r="510" spans="1:12" x14ac:dyDescent="0.2">
      <c r="A510" s="4">
        <v>15</v>
      </c>
      <c r="B510" s="4">
        <v>11</v>
      </c>
      <c r="C510" s="4">
        <v>35</v>
      </c>
      <c r="D510" s="4">
        <v>31</v>
      </c>
      <c r="E510" s="4"/>
      <c r="F510" s="4">
        <v>1</v>
      </c>
      <c r="G510" s="4">
        <v>0</v>
      </c>
      <c r="H510" s="4">
        <v>0</v>
      </c>
      <c r="I510" s="4">
        <v>1</v>
      </c>
      <c r="J510" s="4">
        <v>0</v>
      </c>
      <c r="K510" s="4">
        <v>0</v>
      </c>
      <c r="L510" s="4">
        <v>4</v>
      </c>
    </row>
    <row r="511" spans="1:12" x14ac:dyDescent="0.2">
      <c r="A511" s="4">
        <v>15</v>
      </c>
      <c r="B511" s="4">
        <v>16</v>
      </c>
      <c r="C511" s="4">
        <v>14</v>
      </c>
      <c r="D511" s="4">
        <v>2</v>
      </c>
      <c r="E511" s="4">
        <v>1</v>
      </c>
      <c r="F511" s="4">
        <v>1</v>
      </c>
      <c r="G511" s="4">
        <v>2</v>
      </c>
      <c r="H511" s="4">
        <v>0</v>
      </c>
      <c r="I511" s="4">
        <v>0</v>
      </c>
      <c r="J511" s="4">
        <v>1</v>
      </c>
      <c r="K511" s="4">
        <v>0</v>
      </c>
      <c r="L511" s="4"/>
    </row>
    <row r="512" spans="1:12" x14ac:dyDescent="0.2">
      <c r="A512" s="4">
        <v>15.38</v>
      </c>
      <c r="B512" s="4">
        <v>13</v>
      </c>
      <c r="C512" s="4">
        <v>25</v>
      </c>
      <c r="D512" s="4">
        <v>21</v>
      </c>
      <c r="E512" s="4">
        <v>0</v>
      </c>
      <c r="F512" s="4">
        <v>1</v>
      </c>
      <c r="G512" s="4">
        <v>2</v>
      </c>
      <c r="H512" s="4">
        <v>1</v>
      </c>
      <c r="I512" s="4">
        <v>0</v>
      </c>
      <c r="J512" s="4">
        <v>0</v>
      </c>
      <c r="K512" s="4">
        <v>0</v>
      </c>
      <c r="L512" s="4"/>
    </row>
    <row r="513" spans="1:12" x14ac:dyDescent="0.2">
      <c r="A513" s="4">
        <v>17.329999999999998</v>
      </c>
      <c r="B513" s="4">
        <v>16</v>
      </c>
      <c r="C513" s="4">
        <v>14</v>
      </c>
      <c r="D513" s="4">
        <v>0</v>
      </c>
      <c r="E513" s="4">
        <v>0</v>
      </c>
      <c r="F513" s="4">
        <v>1</v>
      </c>
      <c r="G513" s="4">
        <v>1</v>
      </c>
      <c r="H513" s="4">
        <v>0</v>
      </c>
      <c r="I513" s="4">
        <v>0</v>
      </c>
      <c r="J513" s="4">
        <v>1</v>
      </c>
      <c r="K513" s="4">
        <v>0</v>
      </c>
      <c r="L513" s="4"/>
    </row>
    <row r="514" spans="1:12" x14ac:dyDescent="0.2">
      <c r="A514" s="4">
        <v>17.5</v>
      </c>
      <c r="B514" s="4">
        <v>16</v>
      </c>
      <c r="C514" s="4">
        <v>23</v>
      </c>
      <c r="D514" s="4">
        <v>22</v>
      </c>
      <c r="E514" s="4">
        <v>0</v>
      </c>
      <c r="F514" s="4">
        <v>1</v>
      </c>
      <c r="G514" s="4">
        <v>3</v>
      </c>
      <c r="H514" s="4">
        <v>0</v>
      </c>
      <c r="I514" s="4">
        <v>0</v>
      </c>
      <c r="J514" s="4">
        <v>1</v>
      </c>
      <c r="K514" s="4">
        <v>0</v>
      </c>
      <c r="L514" s="4"/>
    </row>
    <row r="515" spans="1:12" x14ac:dyDescent="0.2">
      <c r="A515" s="4">
        <v>17.71</v>
      </c>
      <c r="B515" s="4">
        <v>16</v>
      </c>
      <c r="C515" s="4">
        <v>10</v>
      </c>
      <c r="D515" s="4">
        <v>3</v>
      </c>
      <c r="E515" s="4">
        <v>0</v>
      </c>
      <c r="F515" s="4">
        <v>1</v>
      </c>
      <c r="G515" s="4">
        <v>1</v>
      </c>
      <c r="H515" s="4">
        <v>0</v>
      </c>
      <c r="I515" s="4">
        <v>0</v>
      </c>
      <c r="J515" s="4">
        <v>1</v>
      </c>
      <c r="K515" s="4">
        <v>1</v>
      </c>
      <c r="L515" s="4"/>
    </row>
    <row r="516" spans="1:12" x14ac:dyDescent="0.2">
      <c r="A516" s="4">
        <v>18</v>
      </c>
      <c r="B516" s="4">
        <v>12</v>
      </c>
      <c r="C516" s="4">
        <v>31</v>
      </c>
      <c r="D516" s="4">
        <v>15</v>
      </c>
      <c r="E516" s="4">
        <v>0</v>
      </c>
      <c r="F516" s="4">
        <v>1</v>
      </c>
      <c r="G516" s="4">
        <v>1</v>
      </c>
      <c r="H516" s="4">
        <v>0</v>
      </c>
      <c r="I516" s="4">
        <v>0</v>
      </c>
      <c r="J516" s="4">
        <v>1</v>
      </c>
      <c r="K516" s="4">
        <v>0</v>
      </c>
      <c r="L516" s="4"/>
    </row>
    <row r="517" spans="1:12" x14ac:dyDescent="0.2">
      <c r="A517" s="4">
        <v>18</v>
      </c>
      <c r="B517" s="4">
        <v>18</v>
      </c>
      <c r="C517" s="4">
        <v>29</v>
      </c>
      <c r="D517" s="4">
        <v>25</v>
      </c>
      <c r="E517" s="4">
        <v>0</v>
      </c>
      <c r="F517" s="4">
        <v>1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5</v>
      </c>
    </row>
    <row r="518" spans="1:12" x14ac:dyDescent="0.2">
      <c r="A518" s="4">
        <v>18</v>
      </c>
      <c r="B518" s="4">
        <v>12</v>
      </c>
      <c r="C518" s="4">
        <v>24</v>
      </c>
      <c r="D518" s="4">
        <v>16</v>
      </c>
      <c r="E518" s="4">
        <v>0</v>
      </c>
      <c r="F518" s="4">
        <v>1</v>
      </c>
      <c r="G518" s="4">
        <v>3</v>
      </c>
      <c r="H518" s="4">
        <v>1</v>
      </c>
      <c r="I518" s="4">
        <v>0</v>
      </c>
      <c r="J518" s="4">
        <v>0</v>
      </c>
      <c r="K518" s="4">
        <v>0</v>
      </c>
      <c r="L518" s="4">
        <v>5</v>
      </c>
    </row>
    <row r="519" spans="1:12" x14ac:dyDescent="0.2">
      <c r="A519" s="4">
        <v>18</v>
      </c>
      <c r="B519" s="4">
        <v>16</v>
      </c>
      <c r="C519" s="4">
        <v>16</v>
      </c>
      <c r="D519" s="4">
        <v>7</v>
      </c>
      <c r="E519" s="4">
        <v>0</v>
      </c>
      <c r="F519" s="4">
        <v>1</v>
      </c>
      <c r="G519" s="4">
        <v>2</v>
      </c>
      <c r="H519" s="4">
        <v>0</v>
      </c>
      <c r="I519" s="4">
        <v>0</v>
      </c>
      <c r="J519" s="4">
        <v>0</v>
      </c>
      <c r="K519" s="4">
        <v>0</v>
      </c>
      <c r="L519" s="4">
        <v>3</v>
      </c>
    </row>
    <row r="520" spans="1:12" x14ac:dyDescent="0.2">
      <c r="A520" s="4">
        <v>18</v>
      </c>
      <c r="B520" s="4">
        <v>18</v>
      </c>
      <c r="C520" s="4">
        <v>13</v>
      </c>
      <c r="D520" s="4">
        <v>0</v>
      </c>
      <c r="E520" s="4">
        <v>1</v>
      </c>
      <c r="F520" s="4">
        <v>0</v>
      </c>
      <c r="G520" s="4">
        <v>0</v>
      </c>
      <c r="H520" s="4">
        <v>0</v>
      </c>
      <c r="I520" s="4">
        <v>1</v>
      </c>
      <c r="J520" s="4">
        <v>0</v>
      </c>
      <c r="K520" s="4">
        <v>0</v>
      </c>
      <c r="L520" s="4">
        <v>3</v>
      </c>
    </row>
    <row r="521" spans="1:12" x14ac:dyDescent="0.2">
      <c r="A521" s="4">
        <v>18.16</v>
      </c>
      <c r="B521" s="4">
        <v>16</v>
      </c>
      <c r="C521" s="4">
        <v>29</v>
      </c>
      <c r="D521" s="4">
        <v>7</v>
      </c>
      <c r="E521" s="4">
        <v>0</v>
      </c>
      <c r="F521" s="4">
        <v>1</v>
      </c>
      <c r="G521" s="4">
        <v>1</v>
      </c>
      <c r="H521" s="4">
        <v>0</v>
      </c>
      <c r="I521" s="4">
        <v>1</v>
      </c>
      <c r="J521" s="4">
        <v>0</v>
      </c>
      <c r="K521" s="4">
        <v>0</v>
      </c>
      <c r="L521" s="4">
        <v>4</v>
      </c>
    </row>
    <row r="522" spans="1:12" x14ac:dyDescent="0.2">
      <c r="A522" s="4">
        <v>18.16</v>
      </c>
      <c r="B522" s="4">
        <v>16</v>
      </c>
      <c r="C522" s="4">
        <v>35</v>
      </c>
      <c r="D522" s="4">
        <v>28</v>
      </c>
      <c r="E522" s="4">
        <v>0</v>
      </c>
      <c r="F522" s="4">
        <v>1</v>
      </c>
      <c r="G522" s="4">
        <v>1</v>
      </c>
      <c r="H522" s="4">
        <v>1</v>
      </c>
      <c r="I522" s="4">
        <v>0</v>
      </c>
      <c r="J522" s="4">
        <v>0</v>
      </c>
      <c r="K522" s="4">
        <v>0</v>
      </c>
      <c r="L522" s="4">
        <v>5</v>
      </c>
    </row>
    <row r="523" spans="1:12" x14ac:dyDescent="0.2">
      <c r="A523" s="4">
        <v>18.18</v>
      </c>
      <c r="B523" s="4">
        <v>17</v>
      </c>
      <c r="C523" s="4">
        <v>22</v>
      </c>
      <c r="D523" s="4">
        <v>21</v>
      </c>
      <c r="E523" s="4"/>
      <c r="F523" s="4">
        <v>1</v>
      </c>
      <c r="G523" s="4">
        <v>0</v>
      </c>
      <c r="H523" s="4">
        <v>0</v>
      </c>
      <c r="I523" s="4">
        <v>0</v>
      </c>
      <c r="J523" s="4">
        <v>1</v>
      </c>
      <c r="K523" s="4">
        <v>0</v>
      </c>
      <c r="L523" s="4">
        <v>4</v>
      </c>
    </row>
    <row r="524" spans="1:12" x14ac:dyDescent="0.2">
      <c r="A524" s="4">
        <v>18.89</v>
      </c>
      <c r="B524" s="4">
        <v>17</v>
      </c>
      <c r="C524" s="4">
        <v>26</v>
      </c>
      <c r="D524" s="4">
        <v>20</v>
      </c>
      <c r="E524" s="4">
        <v>0</v>
      </c>
      <c r="F524" s="4">
        <v>1</v>
      </c>
      <c r="G524" s="4">
        <v>2</v>
      </c>
      <c r="H524" s="4">
        <v>0</v>
      </c>
      <c r="I524" s="4">
        <v>0</v>
      </c>
      <c r="J524" s="4">
        <v>0</v>
      </c>
      <c r="K524" s="4">
        <v>0</v>
      </c>
      <c r="L524" s="4">
        <v>3</v>
      </c>
    </row>
    <row r="525" spans="1:12" x14ac:dyDescent="0.2">
      <c r="A525" s="4">
        <v>19.98</v>
      </c>
      <c r="B525" s="4">
        <v>14</v>
      </c>
      <c r="C525" s="4">
        <v>26</v>
      </c>
      <c r="D525" s="4">
        <v>23</v>
      </c>
      <c r="E525" s="4">
        <v>0</v>
      </c>
      <c r="F525" s="4">
        <v>1</v>
      </c>
      <c r="G525" s="4">
        <v>2</v>
      </c>
      <c r="H525" s="4">
        <v>0</v>
      </c>
      <c r="I525" s="4">
        <v>0</v>
      </c>
      <c r="J525" s="4">
        <v>0</v>
      </c>
      <c r="K525" s="4">
        <v>0</v>
      </c>
      <c r="L525" s="4">
        <v>3</v>
      </c>
    </row>
    <row r="526" spans="1:12" x14ac:dyDescent="0.2">
      <c r="A526" s="4">
        <v>20</v>
      </c>
      <c r="B526" s="4">
        <v>12</v>
      </c>
      <c r="C526" s="4">
        <v>22</v>
      </c>
      <c r="D526" s="4">
        <v>4</v>
      </c>
      <c r="E526" s="4">
        <v>0</v>
      </c>
      <c r="F526" s="4">
        <v>1</v>
      </c>
      <c r="G526" s="4">
        <v>1</v>
      </c>
      <c r="H526" s="4">
        <v>0</v>
      </c>
      <c r="I526" s="4">
        <v>1</v>
      </c>
      <c r="J526" s="4">
        <v>0</v>
      </c>
      <c r="K526" s="4">
        <v>0</v>
      </c>
      <c r="L526" s="4">
        <v>5</v>
      </c>
    </row>
    <row r="527" spans="1:12" x14ac:dyDescent="0.2">
      <c r="A527" s="4">
        <v>21.63</v>
      </c>
      <c r="B527" s="4">
        <v>18</v>
      </c>
      <c r="C527" s="4">
        <v>8</v>
      </c>
      <c r="D527" s="4">
        <v>8</v>
      </c>
      <c r="E527" s="4">
        <v>1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</row>
  </sheetData>
  <mergeCells count="2">
    <mergeCell ref="N17:O17"/>
    <mergeCell ref="Q3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27"/>
  <sheetViews>
    <sheetView showGridLines="0" topLeftCell="F1" zoomScale="125" workbookViewId="0">
      <pane ySplit="1" topLeftCell="A2" activePane="bottomLeft" state="frozen"/>
      <selection pane="bottomLeft" activeCell="Q3" sqref="Q3:S14"/>
    </sheetView>
  </sheetViews>
  <sheetFormatPr baseColWidth="10" defaultColWidth="8.83203125" defaultRowHeight="14" x14ac:dyDescent="0.2"/>
  <cols>
    <col min="1" max="11" width="8.83203125" style="5"/>
    <col min="12" max="14" width="8.83203125" style="3"/>
    <col min="15" max="15" width="26.33203125" style="3" bestFit="1" customWidth="1"/>
    <col min="16" max="16" width="12" style="3" bestFit="1" customWidth="1"/>
    <col min="17" max="19" width="10.1640625" style="3" bestFit="1" customWidth="1"/>
    <col min="20" max="26" width="9.33203125" style="3" bestFit="1" customWidth="1"/>
    <col min="27" max="16384" width="8.83203125" style="3"/>
  </cols>
  <sheetData>
    <row r="1" spans="1:15" x14ac:dyDescent="0.2">
      <c r="A1" s="4" t="s">
        <v>28</v>
      </c>
      <c r="B1" s="4" t="s">
        <v>0</v>
      </c>
      <c r="C1" s="4" t="s">
        <v>1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34</v>
      </c>
      <c r="J1" s="4" t="s">
        <v>35</v>
      </c>
      <c r="K1" s="4" t="s">
        <v>40</v>
      </c>
      <c r="L1" s="4" t="s">
        <v>59</v>
      </c>
    </row>
    <row r="2" spans="1:15" x14ac:dyDescent="0.2">
      <c r="A2" s="4">
        <v>0.53</v>
      </c>
      <c r="B2" s="4">
        <v>12</v>
      </c>
      <c r="C2" s="4">
        <v>3</v>
      </c>
      <c r="D2" s="4">
        <v>1</v>
      </c>
      <c r="E2" s="4">
        <v>1</v>
      </c>
      <c r="F2" s="4">
        <v>0</v>
      </c>
      <c r="G2" s="4">
        <v>0</v>
      </c>
      <c r="H2" s="4">
        <v>0</v>
      </c>
      <c r="I2" s="4">
        <v>0</v>
      </c>
      <c r="J2" s="4">
        <v>1</v>
      </c>
      <c r="K2" s="4">
        <v>0</v>
      </c>
      <c r="L2" s="4">
        <v>2</v>
      </c>
    </row>
    <row r="3" spans="1:15" x14ac:dyDescent="0.2">
      <c r="A3" s="4">
        <v>1.43</v>
      </c>
      <c r="B3" s="4">
        <v>12</v>
      </c>
      <c r="C3" s="4">
        <v>17</v>
      </c>
      <c r="D3" s="4">
        <v>0</v>
      </c>
      <c r="E3" s="4"/>
      <c r="F3" s="4">
        <v>1</v>
      </c>
      <c r="G3" s="4">
        <v>2</v>
      </c>
      <c r="H3" s="4">
        <v>0</v>
      </c>
      <c r="I3" s="4">
        <v>0</v>
      </c>
      <c r="J3" s="4">
        <v>0</v>
      </c>
      <c r="K3" s="4">
        <v>0</v>
      </c>
      <c r="L3" s="4">
        <v>4</v>
      </c>
      <c r="N3" s="4" t="s">
        <v>41</v>
      </c>
      <c r="O3" s="4" t="s">
        <v>42</v>
      </c>
    </row>
    <row r="4" spans="1:15" x14ac:dyDescent="0.2">
      <c r="A4" s="4">
        <v>1.5</v>
      </c>
      <c r="B4" s="4">
        <v>8</v>
      </c>
      <c r="C4" s="4">
        <v>31</v>
      </c>
      <c r="D4" s="4">
        <v>30</v>
      </c>
      <c r="E4" s="4"/>
      <c r="F4" s="4">
        <v>0</v>
      </c>
      <c r="G4" s="4">
        <v>0</v>
      </c>
      <c r="H4" s="4">
        <v>0</v>
      </c>
      <c r="I4" s="4">
        <v>1</v>
      </c>
      <c r="J4" s="4">
        <v>0</v>
      </c>
      <c r="K4" s="4">
        <v>0</v>
      </c>
      <c r="L4" s="4">
        <v>3</v>
      </c>
      <c r="N4" s="2" t="s">
        <v>28</v>
      </c>
      <c r="O4" s="2" t="s">
        <v>26</v>
      </c>
    </row>
    <row r="5" spans="1:15" x14ac:dyDescent="0.2">
      <c r="A5" s="4">
        <v>1.5</v>
      </c>
      <c r="B5" s="4">
        <v>12</v>
      </c>
      <c r="C5" s="4">
        <v>11</v>
      </c>
      <c r="D5" s="4">
        <v>1</v>
      </c>
      <c r="E5" s="4">
        <v>1</v>
      </c>
      <c r="F5" s="4">
        <v>1</v>
      </c>
      <c r="G5" s="4">
        <v>2</v>
      </c>
      <c r="H5" s="4">
        <v>1</v>
      </c>
      <c r="I5" s="4">
        <v>0</v>
      </c>
      <c r="J5" s="4">
        <v>0</v>
      </c>
      <c r="K5" s="4">
        <v>0</v>
      </c>
      <c r="L5" s="4">
        <v>2</v>
      </c>
      <c r="N5" s="2" t="s">
        <v>0</v>
      </c>
      <c r="O5" s="2" t="s">
        <v>27</v>
      </c>
    </row>
    <row r="6" spans="1:15" x14ac:dyDescent="0.2">
      <c r="A6" s="4">
        <v>1.63</v>
      </c>
      <c r="B6" s="4">
        <v>12</v>
      </c>
      <c r="C6" s="4">
        <v>18</v>
      </c>
      <c r="D6" s="4">
        <v>0</v>
      </c>
      <c r="E6" s="4"/>
      <c r="F6" s="4">
        <v>0</v>
      </c>
      <c r="G6" s="4">
        <v>2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N6" s="2" t="s">
        <v>1</v>
      </c>
      <c r="O6" s="2" t="s">
        <v>29</v>
      </c>
    </row>
    <row r="7" spans="1:15" x14ac:dyDescent="0.2">
      <c r="A7" s="4">
        <v>1.67</v>
      </c>
      <c r="B7" s="4">
        <v>10</v>
      </c>
      <c r="C7" s="4">
        <v>1</v>
      </c>
      <c r="D7" s="4">
        <v>0</v>
      </c>
      <c r="E7" s="4">
        <v>0</v>
      </c>
      <c r="F7" s="4">
        <v>0</v>
      </c>
      <c r="G7" s="4">
        <v>1</v>
      </c>
      <c r="H7" s="4">
        <v>0</v>
      </c>
      <c r="I7" s="4">
        <v>0</v>
      </c>
      <c r="J7" s="4">
        <v>1</v>
      </c>
      <c r="K7" s="4">
        <v>0</v>
      </c>
      <c r="L7" s="4">
        <v>3</v>
      </c>
      <c r="N7" s="2" t="s">
        <v>49</v>
      </c>
      <c r="O7" s="2" t="s">
        <v>30</v>
      </c>
    </row>
    <row r="8" spans="1:15" x14ac:dyDescent="0.2">
      <c r="A8" s="4">
        <v>1.75</v>
      </c>
      <c r="B8" s="4">
        <v>11</v>
      </c>
      <c r="C8" s="4">
        <v>2</v>
      </c>
      <c r="D8" s="4">
        <v>1</v>
      </c>
      <c r="E8" s="4">
        <v>0</v>
      </c>
      <c r="F8" s="4">
        <v>0</v>
      </c>
      <c r="G8" s="4">
        <v>2</v>
      </c>
      <c r="H8" s="4">
        <v>0</v>
      </c>
      <c r="I8" s="4">
        <v>0</v>
      </c>
      <c r="J8" s="4">
        <v>1</v>
      </c>
      <c r="K8" s="4">
        <v>0</v>
      </c>
      <c r="L8" s="4">
        <v>0</v>
      </c>
      <c r="N8" s="2" t="s">
        <v>50</v>
      </c>
      <c r="O8" s="2" t="s">
        <v>31</v>
      </c>
    </row>
    <row r="9" spans="1:15" x14ac:dyDescent="0.2">
      <c r="A9" s="4">
        <v>1.96</v>
      </c>
      <c r="B9" s="4">
        <v>11</v>
      </c>
      <c r="C9" s="4">
        <v>38</v>
      </c>
      <c r="D9" s="4">
        <v>3</v>
      </c>
      <c r="E9" s="4">
        <v>1</v>
      </c>
      <c r="F9" s="4">
        <v>0</v>
      </c>
      <c r="G9" s="4">
        <v>0</v>
      </c>
      <c r="H9" s="4">
        <v>0</v>
      </c>
      <c r="I9" s="4">
        <v>1</v>
      </c>
      <c r="J9" s="4">
        <v>0</v>
      </c>
      <c r="K9" s="4">
        <v>0</v>
      </c>
      <c r="L9" s="4">
        <v>2</v>
      </c>
      <c r="N9" s="2" t="s">
        <v>51</v>
      </c>
      <c r="O9" s="2" t="s">
        <v>32</v>
      </c>
    </row>
    <row r="10" spans="1:15" x14ac:dyDescent="0.2">
      <c r="A10" s="4">
        <v>2</v>
      </c>
      <c r="B10" s="4">
        <v>12</v>
      </c>
      <c r="C10" s="4">
        <v>3</v>
      </c>
      <c r="D10" s="4">
        <v>2</v>
      </c>
      <c r="E10" s="4">
        <v>1</v>
      </c>
      <c r="F10" s="4">
        <v>0</v>
      </c>
      <c r="G10" s="4">
        <v>4</v>
      </c>
      <c r="H10" s="4">
        <v>0</v>
      </c>
      <c r="I10" s="4">
        <v>0</v>
      </c>
      <c r="J10" s="4">
        <v>0</v>
      </c>
      <c r="K10" s="4">
        <v>0</v>
      </c>
      <c r="L10" s="4">
        <v>2</v>
      </c>
      <c r="N10" s="2" t="s">
        <v>52</v>
      </c>
      <c r="O10" s="2" t="s">
        <v>33</v>
      </c>
    </row>
    <row r="11" spans="1:15" x14ac:dyDescent="0.2">
      <c r="A11" s="4">
        <v>2</v>
      </c>
      <c r="B11" s="4">
        <v>10</v>
      </c>
      <c r="C11" s="4">
        <v>3</v>
      </c>
      <c r="D11" s="4">
        <v>0</v>
      </c>
      <c r="E11" s="4">
        <v>1</v>
      </c>
      <c r="F11" s="4">
        <v>0</v>
      </c>
      <c r="G11" s="4">
        <v>5</v>
      </c>
      <c r="H11" s="4">
        <v>0</v>
      </c>
      <c r="I11" s="4">
        <v>1</v>
      </c>
      <c r="J11" s="4">
        <v>0</v>
      </c>
      <c r="K11" s="4">
        <v>0</v>
      </c>
      <c r="L11" s="4">
        <v>0</v>
      </c>
      <c r="N11" s="2" t="s">
        <v>53</v>
      </c>
      <c r="O11" s="2" t="s">
        <v>37</v>
      </c>
    </row>
    <row r="12" spans="1:15" x14ac:dyDescent="0.2">
      <c r="A12" s="4">
        <v>2</v>
      </c>
      <c r="B12" s="4">
        <v>13</v>
      </c>
      <c r="C12" s="4">
        <v>2</v>
      </c>
      <c r="D12" s="4">
        <v>6</v>
      </c>
      <c r="E12" s="4">
        <v>1</v>
      </c>
      <c r="F12" s="4">
        <v>0</v>
      </c>
      <c r="G12" s="4">
        <v>0</v>
      </c>
      <c r="H12" s="4">
        <v>1</v>
      </c>
      <c r="I12" s="4">
        <v>0</v>
      </c>
      <c r="J12" s="4">
        <v>0</v>
      </c>
      <c r="K12" s="4">
        <v>0</v>
      </c>
      <c r="L12" s="4">
        <v>4</v>
      </c>
      <c r="N12" s="2" t="s">
        <v>34</v>
      </c>
      <c r="O12" s="2" t="s">
        <v>38</v>
      </c>
    </row>
    <row r="13" spans="1:15" x14ac:dyDescent="0.2">
      <c r="A13" s="4">
        <v>2</v>
      </c>
      <c r="B13" s="4">
        <v>9</v>
      </c>
      <c r="C13" s="4">
        <v>2</v>
      </c>
      <c r="D13" s="4">
        <v>0</v>
      </c>
      <c r="E13" s="4">
        <v>0</v>
      </c>
      <c r="F13" s="4">
        <v>0</v>
      </c>
      <c r="G13" s="4">
        <v>3</v>
      </c>
      <c r="H13" s="4">
        <v>1</v>
      </c>
      <c r="I13" s="4">
        <v>0</v>
      </c>
      <c r="J13" s="4">
        <v>0</v>
      </c>
      <c r="K13" s="4">
        <v>0</v>
      </c>
      <c r="L13" s="4">
        <v>4</v>
      </c>
      <c r="N13" s="2" t="s">
        <v>35</v>
      </c>
      <c r="O13" s="2" t="s">
        <v>36</v>
      </c>
    </row>
    <row r="14" spans="1:15" x14ac:dyDescent="0.2">
      <c r="A14" s="4">
        <v>2.14</v>
      </c>
      <c r="B14" s="4">
        <v>13</v>
      </c>
      <c r="C14" s="4">
        <v>34</v>
      </c>
      <c r="D14" s="4">
        <v>15</v>
      </c>
      <c r="E14" s="4">
        <v>1</v>
      </c>
      <c r="F14" s="4">
        <v>1</v>
      </c>
      <c r="G14" s="4">
        <v>0</v>
      </c>
      <c r="H14" s="4">
        <v>0</v>
      </c>
      <c r="I14" s="4">
        <v>1</v>
      </c>
      <c r="J14" s="4">
        <v>0</v>
      </c>
      <c r="K14" s="4">
        <v>0</v>
      </c>
      <c r="L14" s="4">
        <v>1</v>
      </c>
      <c r="N14" s="2" t="s">
        <v>40</v>
      </c>
      <c r="O14" s="2" t="s">
        <v>39</v>
      </c>
    </row>
    <row r="15" spans="1:15" x14ac:dyDescent="0.2">
      <c r="A15" s="4">
        <v>2.17</v>
      </c>
      <c r="B15" s="4">
        <v>13</v>
      </c>
      <c r="C15" s="4">
        <v>1</v>
      </c>
      <c r="D15" s="4">
        <v>4</v>
      </c>
      <c r="E15" s="4">
        <v>1</v>
      </c>
      <c r="F15" s="4">
        <v>0</v>
      </c>
      <c r="G15" s="4">
        <v>1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N15" s="2" t="s">
        <v>59</v>
      </c>
      <c r="O15" s="2" t="s">
        <v>60</v>
      </c>
    </row>
    <row r="16" spans="1:15" x14ac:dyDescent="0.2">
      <c r="A16" s="4">
        <v>2.23</v>
      </c>
      <c r="B16" s="4">
        <v>8</v>
      </c>
      <c r="C16" s="4">
        <v>28</v>
      </c>
      <c r="D16" s="4">
        <v>3</v>
      </c>
      <c r="E16" s="4">
        <v>0</v>
      </c>
      <c r="F16" s="4">
        <v>1</v>
      </c>
      <c r="G16" s="4">
        <v>4</v>
      </c>
      <c r="H16" s="4">
        <v>0</v>
      </c>
      <c r="I16" s="4">
        <v>1</v>
      </c>
      <c r="J16" s="4">
        <v>0</v>
      </c>
      <c r="K16" s="4">
        <v>0</v>
      </c>
      <c r="L16" s="4">
        <v>5</v>
      </c>
    </row>
    <row r="17" spans="1:27" x14ac:dyDescent="0.2">
      <c r="A17" s="4">
        <v>2.25</v>
      </c>
      <c r="B17" s="4">
        <v>12</v>
      </c>
      <c r="C17" s="4">
        <v>5</v>
      </c>
      <c r="D17" s="4">
        <v>0</v>
      </c>
      <c r="E17" s="4">
        <v>1</v>
      </c>
      <c r="F17" s="4">
        <v>0</v>
      </c>
      <c r="G17" s="4">
        <v>2</v>
      </c>
      <c r="H17" s="4">
        <v>0</v>
      </c>
      <c r="I17" s="4">
        <v>1</v>
      </c>
      <c r="J17" s="4">
        <v>0</v>
      </c>
      <c r="K17" s="4">
        <v>0</v>
      </c>
      <c r="L17" s="4"/>
      <c r="O17" s="2" t="s">
        <v>56</v>
      </c>
      <c r="P17" s="4">
        <f>COUNT(A2:A527)</f>
        <v>526</v>
      </c>
    </row>
    <row r="18" spans="1:27" x14ac:dyDescent="0.2">
      <c r="A18" s="4">
        <v>2.27</v>
      </c>
      <c r="B18" s="4">
        <v>10</v>
      </c>
      <c r="C18" s="4">
        <v>2</v>
      </c>
      <c r="D18" s="4">
        <v>0</v>
      </c>
      <c r="E18" s="4"/>
      <c r="F18" s="4">
        <v>0</v>
      </c>
      <c r="G18" s="4">
        <v>3</v>
      </c>
      <c r="H18" s="4">
        <v>0</v>
      </c>
      <c r="I18" s="4">
        <v>0</v>
      </c>
      <c r="J18" s="4">
        <v>1</v>
      </c>
      <c r="K18" s="4">
        <v>0</v>
      </c>
      <c r="L18" s="4">
        <v>2</v>
      </c>
    </row>
    <row r="19" spans="1:27" x14ac:dyDescent="0.2">
      <c r="A19" s="4">
        <v>2.2999999999999998</v>
      </c>
      <c r="B19" s="4">
        <v>10</v>
      </c>
      <c r="C19" s="4">
        <v>2</v>
      </c>
      <c r="D19" s="4">
        <v>0</v>
      </c>
      <c r="E19" s="4">
        <v>1</v>
      </c>
      <c r="F19" s="4">
        <v>0</v>
      </c>
      <c r="G19" s="4">
        <v>4</v>
      </c>
      <c r="H19" s="4">
        <v>1</v>
      </c>
      <c r="I19" s="4">
        <v>0</v>
      </c>
      <c r="J19" s="4">
        <v>0</v>
      </c>
      <c r="K19" s="4">
        <v>0</v>
      </c>
      <c r="L19" s="4">
        <v>4</v>
      </c>
      <c r="P19" s="4" t="s">
        <v>28</v>
      </c>
      <c r="Q19" s="4" t="s">
        <v>0</v>
      </c>
      <c r="R19" s="4" t="s">
        <v>1</v>
      </c>
      <c r="S19" s="4" t="s">
        <v>49</v>
      </c>
      <c r="T19" s="4" t="s">
        <v>50</v>
      </c>
      <c r="U19" s="4" t="s">
        <v>51</v>
      </c>
      <c r="V19" s="4" t="s">
        <v>52</v>
      </c>
      <c r="W19" s="4" t="s">
        <v>53</v>
      </c>
      <c r="X19" s="4" t="s">
        <v>34</v>
      </c>
      <c r="Y19" s="4" t="s">
        <v>35</v>
      </c>
      <c r="Z19" s="4" t="s">
        <v>40</v>
      </c>
      <c r="AA19" s="4" t="s">
        <v>61</v>
      </c>
    </row>
    <row r="20" spans="1:27" x14ac:dyDescent="0.2">
      <c r="A20" s="4">
        <v>2.31</v>
      </c>
      <c r="B20" s="4">
        <v>9</v>
      </c>
      <c r="C20" s="4">
        <v>4</v>
      </c>
      <c r="D20" s="4">
        <v>1</v>
      </c>
      <c r="E20" s="4">
        <v>1</v>
      </c>
      <c r="F20" s="4">
        <v>0</v>
      </c>
      <c r="G20" s="4">
        <v>5</v>
      </c>
      <c r="H20" s="4">
        <v>1</v>
      </c>
      <c r="I20" s="4">
        <v>0</v>
      </c>
      <c r="J20" s="4">
        <v>0</v>
      </c>
      <c r="K20" s="4">
        <v>0</v>
      </c>
      <c r="L20" s="4"/>
      <c r="O20" s="3" t="s">
        <v>43</v>
      </c>
      <c r="P20" s="6">
        <f t="shared" ref="P20:AA20" si="0">AVERAGE(A2:A527)</f>
        <v>5.8699239543726272</v>
      </c>
      <c r="Q20" s="6">
        <f t="shared" si="0"/>
        <v>12.563850687622789</v>
      </c>
      <c r="R20" s="6">
        <f t="shared" si="0"/>
        <v>16.941064638783271</v>
      </c>
      <c r="S20" s="6">
        <f t="shared" si="0"/>
        <v>5.1045627376425857</v>
      </c>
      <c r="T20" s="6">
        <f t="shared" si="0"/>
        <v>0.47722772277227721</v>
      </c>
      <c r="U20" s="6">
        <f t="shared" si="0"/>
        <v>0.60836501901140683</v>
      </c>
      <c r="V20" s="6">
        <f t="shared" si="0"/>
        <v>1.043726235741445</v>
      </c>
      <c r="W20" s="6">
        <f t="shared" si="0"/>
        <v>0.2509505703422053</v>
      </c>
      <c r="X20" s="6">
        <f t="shared" si="0"/>
        <v>0.35551330798479086</v>
      </c>
      <c r="Y20" s="6">
        <f t="shared" si="0"/>
        <v>0.16920152091254753</v>
      </c>
      <c r="Z20" s="6">
        <f t="shared" si="0"/>
        <v>4.5627376425855515E-2</v>
      </c>
      <c r="AA20" s="6">
        <f t="shared" si="0"/>
        <v>2.6388888888888888</v>
      </c>
    </row>
    <row r="21" spans="1:27" x14ac:dyDescent="0.2">
      <c r="A21" s="4">
        <v>2.38</v>
      </c>
      <c r="B21" s="4">
        <v>9</v>
      </c>
      <c r="C21" s="4">
        <v>5</v>
      </c>
      <c r="D21" s="4">
        <v>0</v>
      </c>
      <c r="E21" s="4">
        <v>0</v>
      </c>
      <c r="F21" s="4">
        <v>0</v>
      </c>
      <c r="G21" s="4">
        <v>5</v>
      </c>
      <c r="H21" s="4">
        <v>0</v>
      </c>
      <c r="I21" s="4">
        <v>1</v>
      </c>
      <c r="J21" s="4">
        <v>0</v>
      </c>
      <c r="K21" s="4">
        <v>0</v>
      </c>
      <c r="L21" s="4"/>
      <c r="O21" s="3" t="s">
        <v>44</v>
      </c>
      <c r="P21" s="6">
        <f t="shared" ref="P21:AA21" si="1">MEDIAN(A2:A527)</f>
        <v>4.66</v>
      </c>
      <c r="Q21" s="6">
        <f t="shared" si="1"/>
        <v>12</v>
      </c>
      <c r="R21" s="6">
        <f t="shared" si="1"/>
        <v>13</v>
      </c>
      <c r="S21" s="6">
        <f t="shared" si="1"/>
        <v>2</v>
      </c>
      <c r="T21" s="6">
        <f t="shared" si="1"/>
        <v>0</v>
      </c>
      <c r="U21" s="6">
        <f t="shared" si="1"/>
        <v>1</v>
      </c>
      <c r="V21" s="6">
        <f t="shared" si="1"/>
        <v>1</v>
      </c>
      <c r="W21" s="6">
        <f t="shared" si="1"/>
        <v>0</v>
      </c>
      <c r="X21" s="6">
        <f t="shared" si="1"/>
        <v>0</v>
      </c>
      <c r="Y21" s="6">
        <f t="shared" si="1"/>
        <v>0</v>
      </c>
      <c r="Z21" s="6">
        <f t="shared" si="1"/>
        <v>0</v>
      </c>
      <c r="AA21" s="6">
        <f t="shared" si="1"/>
        <v>3</v>
      </c>
    </row>
    <row r="22" spans="1:27" x14ac:dyDescent="0.2">
      <c r="A22" s="4">
        <v>2.5</v>
      </c>
      <c r="B22" s="4"/>
      <c r="C22" s="4">
        <v>2</v>
      </c>
      <c r="D22" s="4">
        <v>0</v>
      </c>
      <c r="E22" s="4">
        <v>0</v>
      </c>
      <c r="F22" s="4">
        <v>0</v>
      </c>
      <c r="G22" s="4">
        <v>2</v>
      </c>
      <c r="H22" s="4">
        <v>0</v>
      </c>
      <c r="I22" s="4">
        <v>0</v>
      </c>
      <c r="J22" s="4">
        <v>0</v>
      </c>
      <c r="K22" s="4">
        <v>0</v>
      </c>
      <c r="L22" s="4"/>
      <c r="O22" s="3" t="s">
        <v>45</v>
      </c>
      <c r="P22" s="6">
        <f t="shared" ref="P22:AA22" si="2">STDEV(A2:A527)</f>
        <v>3.5439821016849327</v>
      </c>
      <c r="Q22" s="6">
        <f t="shared" si="2"/>
        <v>2.7590847979980269</v>
      </c>
      <c r="R22" s="6">
        <f t="shared" si="2"/>
        <v>13.493220379054017</v>
      </c>
      <c r="S22" s="6">
        <f t="shared" si="2"/>
        <v>7.2244622867205122</v>
      </c>
      <c r="T22" s="6">
        <f t="shared" si="2"/>
        <v>0.49997642565830036</v>
      </c>
      <c r="U22" s="6">
        <f t="shared" si="2"/>
        <v>0.48858043918576194</v>
      </c>
      <c r="V22" s="6">
        <f t="shared" si="2"/>
        <v>1.2618914726393464</v>
      </c>
      <c r="W22" s="6">
        <f t="shared" si="2"/>
        <v>0.43397284250082457</v>
      </c>
      <c r="X22" s="6">
        <f t="shared" si="2"/>
        <v>0.47912422369081081</v>
      </c>
      <c r="Y22" s="6">
        <f t="shared" si="2"/>
        <v>0.37528672121658119</v>
      </c>
      <c r="Z22" s="6">
        <f t="shared" si="2"/>
        <v>0.20887427508422596</v>
      </c>
      <c r="AA22" s="6">
        <f t="shared" si="2"/>
        <v>1.72645910486974</v>
      </c>
    </row>
    <row r="23" spans="1:27" x14ac:dyDescent="0.2">
      <c r="A23" s="4">
        <v>2.5299999999999998</v>
      </c>
      <c r="B23" s="4">
        <v>12</v>
      </c>
      <c r="C23" s="4">
        <v>46</v>
      </c>
      <c r="D23" s="4">
        <v>0</v>
      </c>
      <c r="E23" s="4">
        <v>1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/>
      <c r="O23" s="3" t="s">
        <v>46</v>
      </c>
      <c r="P23" s="6">
        <f t="shared" ref="P23:AA23" si="3">MIN(A2:A527)</f>
        <v>0.53</v>
      </c>
      <c r="Q23" s="6">
        <f t="shared" si="3"/>
        <v>0</v>
      </c>
      <c r="R23" s="6">
        <f t="shared" si="3"/>
        <v>1</v>
      </c>
      <c r="S23" s="6">
        <f t="shared" si="3"/>
        <v>0</v>
      </c>
      <c r="T23" s="6">
        <f t="shared" si="3"/>
        <v>0</v>
      </c>
      <c r="U23" s="6">
        <f t="shared" si="3"/>
        <v>0</v>
      </c>
      <c r="V23" s="6">
        <f t="shared" si="3"/>
        <v>0</v>
      </c>
      <c r="W23" s="6">
        <f t="shared" si="3"/>
        <v>0</v>
      </c>
      <c r="X23" s="6">
        <f t="shared" si="3"/>
        <v>0</v>
      </c>
      <c r="Y23" s="6">
        <f t="shared" si="3"/>
        <v>0</v>
      </c>
      <c r="Z23" s="6">
        <f t="shared" si="3"/>
        <v>0</v>
      </c>
      <c r="AA23" s="6">
        <f t="shared" si="3"/>
        <v>0</v>
      </c>
    </row>
    <row r="24" spans="1:27" x14ac:dyDescent="0.2">
      <c r="A24" s="4">
        <v>2.54</v>
      </c>
      <c r="B24" s="4">
        <v>9</v>
      </c>
      <c r="C24" s="4">
        <v>2</v>
      </c>
      <c r="D24" s="4">
        <v>0</v>
      </c>
      <c r="E24" s="4">
        <v>1</v>
      </c>
      <c r="F24" s="4">
        <v>0</v>
      </c>
      <c r="G24" s="4">
        <v>1</v>
      </c>
      <c r="H24" s="4">
        <v>0</v>
      </c>
      <c r="I24" s="4">
        <v>1</v>
      </c>
      <c r="J24" s="4">
        <v>0</v>
      </c>
      <c r="K24" s="4">
        <v>0</v>
      </c>
      <c r="L24" s="4"/>
      <c r="O24" s="3" t="s">
        <v>47</v>
      </c>
      <c r="P24" s="6">
        <f t="shared" ref="P24:AA24" si="4">MAX(A2:A527)</f>
        <v>21.63</v>
      </c>
      <c r="Q24" s="6">
        <f t="shared" si="4"/>
        <v>18</v>
      </c>
      <c r="R24" s="6">
        <f t="shared" si="4"/>
        <v>50</v>
      </c>
      <c r="S24" s="6">
        <f t="shared" si="4"/>
        <v>44</v>
      </c>
      <c r="T24" s="6">
        <f t="shared" si="4"/>
        <v>1</v>
      </c>
      <c r="U24" s="6">
        <f t="shared" si="4"/>
        <v>1</v>
      </c>
      <c r="V24" s="6">
        <f t="shared" si="4"/>
        <v>6</v>
      </c>
      <c r="W24" s="6">
        <f t="shared" si="4"/>
        <v>1</v>
      </c>
      <c r="X24" s="6">
        <f t="shared" si="4"/>
        <v>1</v>
      </c>
      <c r="Y24" s="6">
        <f t="shared" si="4"/>
        <v>1</v>
      </c>
      <c r="Z24" s="6">
        <f t="shared" si="4"/>
        <v>1</v>
      </c>
      <c r="AA24" s="6">
        <f t="shared" si="4"/>
        <v>5</v>
      </c>
    </row>
    <row r="25" spans="1:27" x14ac:dyDescent="0.2">
      <c r="A25" s="4">
        <v>2.6</v>
      </c>
      <c r="B25" s="4">
        <v>9</v>
      </c>
      <c r="C25" s="4">
        <v>4</v>
      </c>
      <c r="D25" s="4">
        <v>0</v>
      </c>
      <c r="E25" s="4"/>
      <c r="F25" s="4">
        <v>0</v>
      </c>
      <c r="G25" s="4">
        <v>1</v>
      </c>
      <c r="H25" s="4">
        <v>0</v>
      </c>
      <c r="I25" s="4">
        <v>0</v>
      </c>
      <c r="J25" s="4">
        <v>1</v>
      </c>
      <c r="K25" s="4">
        <v>0</v>
      </c>
      <c r="L25" s="4">
        <v>4</v>
      </c>
    </row>
    <row r="26" spans="1:27" x14ac:dyDescent="0.2">
      <c r="A26" s="4">
        <v>2.65</v>
      </c>
      <c r="B26" s="4">
        <v>12</v>
      </c>
      <c r="C26" s="4">
        <v>42</v>
      </c>
      <c r="D26" s="4">
        <v>10</v>
      </c>
      <c r="E26" s="4">
        <v>1</v>
      </c>
      <c r="F26" s="4">
        <v>1</v>
      </c>
      <c r="G26" s="4">
        <v>0</v>
      </c>
      <c r="H26" s="4">
        <v>0</v>
      </c>
      <c r="I26" s="4">
        <v>0</v>
      </c>
      <c r="J26" s="4">
        <v>1</v>
      </c>
      <c r="K26" s="4">
        <v>0</v>
      </c>
      <c r="L26" s="4">
        <v>5</v>
      </c>
    </row>
    <row r="27" spans="1:27" x14ac:dyDescent="0.2">
      <c r="A27" s="4">
        <v>2.7</v>
      </c>
      <c r="B27" s="4">
        <v>9</v>
      </c>
      <c r="C27" s="4">
        <v>2</v>
      </c>
      <c r="D27" s="4">
        <v>0</v>
      </c>
      <c r="E27" s="4">
        <v>1</v>
      </c>
      <c r="F27" s="4">
        <v>0</v>
      </c>
      <c r="G27" s="4">
        <v>1</v>
      </c>
      <c r="H27" s="4">
        <v>1</v>
      </c>
      <c r="I27" s="4">
        <v>0</v>
      </c>
      <c r="J27" s="4">
        <v>0</v>
      </c>
      <c r="K27" s="4">
        <v>0</v>
      </c>
      <c r="L27" s="4">
        <v>1</v>
      </c>
      <c r="O27" s="3" t="s">
        <v>48</v>
      </c>
      <c r="P27" s="7">
        <f>(P20-P21)/P20</f>
        <v>0.20612259439431574</v>
      </c>
      <c r="Q27" s="7">
        <f t="shared" ref="Q27:AA27" si="5">(Q20-Q21)/Q20</f>
        <v>4.4878811571540229E-2</v>
      </c>
      <c r="R27" s="7">
        <f t="shared" si="5"/>
        <v>0.23263382336438113</v>
      </c>
      <c r="S27" s="7">
        <f t="shared" si="5"/>
        <v>0.60819366852886403</v>
      </c>
      <c r="T27" s="7">
        <f t="shared" si="5"/>
        <v>1</v>
      </c>
      <c r="U27" s="7">
        <f t="shared" si="5"/>
        <v>-0.64375000000000004</v>
      </c>
      <c r="V27" s="7">
        <f t="shared" si="5"/>
        <v>4.1894353369763292E-2</v>
      </c>
      <c r="W27" s="7">
        <f t="shared" si="5"/>
        <v>1</v>
      </c>
      <c r="X27" s="7">
        <f t="shared" si="5"/>
        <v>1</v>
      </c>
      <c r="Y27" s="7">
        <f t="shared" si="5"/>
        <v>1</v>
      </c>
      <c r="Z27" s="7">
        <f t="shared" si="5"/>
        <v>1</v>
      </c>
      <c r="AA27" s="7">
        <f t="shared" si="5"/>
        <v>-0.1368421052631579</v>
      </c>
    </row>
    <row r="28" spans="1:27" x14ac:dyDescent="0.2">
      <c r="A28" s="4">
        <v>2.75</v>
      </c>
      <c r="B28" s="4">
        <v>13</v>
      </c>
      <c r="C28" s="4">
        <v>1</v>
      </c>
      <c r="D28" s="4">
        <v>2</v>
      </c>
      <c r="E28" s="4">
        <v>1</v>
      </c>
      <c r="F28" s="4">
        <v>0</v>
      </c>
      <c r="G28" s="4">
        <v>1</v>
      </c>
      <c r="H28" s="4">
        <v>1</v>
      </c>
      <c r="I28" s="4">
        <v>0</v>
      </c>
      <c r="J28" s="4">
        <v>0</v>
      </c>
      <c r="K28" s="4">
        <v>0</v>
      </c>
      <c r="L28" s="4">
        <v>0</v>
      </c>
      <c r="O28" s="3" t="s">
        <v>54</v>
      </c>
      <c r="R28" s="6">
        <f>R20-(3*R22)</f>
        <v>-23.538596498378784</v>
      </c>
      <c r="S28" s="6">
        <f>S20-(3*S22)</f>
        <v>-16.568824122518951</v>
      </c>
    </row>
    <row r="29" spans="1:27" x14ac:dyDescent="0.2">
      <c r="A29" s="4">
        <v>2.83</v>
      </c>
      <c r="B29" s="4">
        <v>10</v>
      </c>
      <c r="C29" s="4">
        <v>1</v>
      </c>
      <c r="D29" s="4">
        <v>0</v>
      </c>
      <c r="E29" s="4"/>
      <c r="F29" s="4">
        <v>0</v>
      </c>
      <c r="G29" s="4">
        <v>4</v>
      </c>
      <c r="H29" s="4">
        <v>1</v>
      </c>
      <c r="I29" s="4">
        <v>0</v>
      </c>
      <c r="J29" s="4">
        <v>0</v>
      </c>
      <c r="K29" s="4">
        <v>0</v>
      </c>
      <c r="L29" s="4">
        <v>2</v>
      </c>
      <c r="O29" s="3" t="s">
        <v>55</v>
      </c>
      <c r="R29" s="6">
        <f>R20+(2*R22)</f>
        <v>43.927505396891306</v>
      </c>
      <c r="S29" s="6">
        <f>S20+(3*S22)</f>
        <v>26.77794959780412</v>
      </c>
    </row>
    <row r="30" spans="1:27" x14ac:dyDescent="0.2">
      <c r="A30" s="4">
        <v>2.87</v>
      </c>
      <c r="B30" s="4">
        <v>12</v>
      </c>
      <c r="C30" s="4">
        <v>45</v>
      </c>
      <c r="D30" s="4">
        <v>8</v>
      </c>
      <c r="E30" s="4">
        <v>1</v>
      </c>
      <c r="F30" s="4">
        <v>1</v>
      </c>
      <c r="G30" s="4">
        <v>0</v>
      </c>
      <c r="H30" s="4">
        <v>1</v>
      </c>
      <c r="I30" s="4">
        <v>0</v>
      </c>
      <c r="J30" s="4">
        <v>0</v>
      </c>
      <c r="K30" s="4">
        <v>0</v>
      </c>
      <c r="L30" s="4">
        <v>5</v>
      </c>
    </row>
    <row r="31" spans="1:27" x14ac:dyDescent="0.2">
      <c r="A31" s="4">
        <v>2.88</v>
      </c>
      <c r="B31" s="4">
        <v>10</v>
      </c>
      <c r="C31" s="4">
        <v>2</v>
      </c>
      <c r="D31" s="4">
        <v>0</v>
      </c>
      <c r="E31" s="4">
        <v>1</v>
      </c>
      <c r="F31" s="4">
        <v>0</v>
      </c>
      <c r="G31" s="4">
        <v>3</v>
      </c>
      <c r="H31" s="4">
        <v>0</v>
      </c>
      <c r="I31" s="4">
        <v>0</v>
      </c>
      <c r="J31" s="4">
        <v>0</v>
      </c>
      <c r="K31" s="4">
        <v>0</v>
      </c>
      <c r="L31" s="4"/>
      <c r="O31" s="3" t="s">
        <v>57</v>
      </c>
      <c r="P31" s="5">
        <f t="shared" ref="P31:AA31" si="6">COUNTBLANK(A2:A527)</f>
        <v>0</v>
      </c>
      <c r="Q31" s="5">
        <f t="shared" si="6"/>
        <v>17</v>
      </c>
      <c r="R31" s="5">
        <f t="shared" si="6"/>
        <v>0</v>
      </c>
      <c r="S31" s="5">
        <f t="shared" si="6"/>
        <v>0</v>
      </c>
      <c r="T31" s="5">
        <f t="shared" si="6"/>
        <v>21</v>
      </c>
      <c r="U31" s="5">
        <f t="shared" si="6"/>
        <v>0</v>
      </c>
      <c r="V31" s="5">
        <f t="shared" si="6"/>
        <v>0</v>
      </c>
      <c r="W31" s="5">
        <f t="shared" si="6"/>
        <v>0</v>
      </c>
      <c r="X31" s="5">
        <f t="shared" si="6"/>
        <v>0</v>
      </c>
      <c r="Y31" s="5">
        <f t="shared" si="6"/>
        <v>0</v>
      </c>
      <c r="Z31" s="5">
        <f t="shared" si="6"/>
        <v>0</v>
      </c>
      <c r="AA31" s="5">
        <f t="shared" si="6"/>
        <v>130</v>
      </c>
    </row>
    <row r="32" spans="1:27" x14ac:dyDescent="0.2">
      <c r="A32" s="4">
        <v>2.89</v>
      </c>
      <c r="B32" s="4">
        <v>10</v>
      </c>
      <c r="C32" s="4">
        <v>8</v>
      </c>
      <c r="D32" s="4">
        <v>0</v>
      </c>
      <c r="E32" s="4">
        <v>1</v>
      </c>
      <c r="F32" s="4">
        <v>0</v>
      </c>
      <c r="G32" s="4">
        <v>1</v>
      </c>
      <c r="H32" s="4">
        <v>0</v>
      </c>
      <c r="I32" s="4">
        <v>0</v>
      </c>
      <c r="J32" s="4">
        <v>0</v>
      </c>
      <c r="K32" s="4">
        <v>0</v>
      </c>
      <c r="L32" s="4">
        <v>2</v>
      </c>
      <c r="O32" s="3" t="s">
        <v>58</v>
      </c>
      <c r="P32" s="8">
        <f>P31/$P$17</f>
        <v>0</v>
      </c>
      <c r="Q32" s="8">
        <f t="shared" ref="Q32:AA32" si="7">Q31/$P$17</f>
        <v>3.2319391634980987E-2</v>
      </c>
      <c r="R32" s="8">
        <f t="shared" si="7"/>
        <v>0</v>
      </c>
      <c r="S32" s="8">
        <f t="shared" si="7"/>
        <v>0</v>
      </c>
      <c r="T32" s="8">
        <f t="shared" si="7"/>
        <v>3.9923954372623575E-2</v>
      </c>
      <c r="U32" s="8">
        <f t="shared" si="7"/>
        <v>0</v>
      </c>
      <c r="V32" s="8">
        <f t="shared" si="7"/>
        <v>0</v>
      </c>
      <c r="W32" s="8">
        <f t="shared" si="7"/>
        <v>0</v>
      </c>
      <c r="X32" s="8">
        <f t="shared" si="7"/>
        <v>0</v>
      </c>
      <c r="Y32" s="8">
        <f t="shared" si="7"/>
        <v>0</v>
      </c>
      <c r="Z32" s="8">
        <f t="shared" si="7"/>
        <v>0</v>
      </c>
      <c r="AA32" s="8">
        <f t="shared" si="7"/>
        <v>0.24714828897338403</v>
      </c>
    </row>
    <row r="33" spans="1:20" x14ac:dyDescent="0.2">
      <c r="A33" s="4">
        <v>2.89</v>
      </c>
      <c r="B33" s="4">
        <v>0</v>
      </c>
      <c r="C33" s="4">
        <v>42</v>
      </c>
      <c r="D33" s="4">
        <v>0</v>
      </c>
      <c r="E33" s="4">
        <v>1</v>
      </c>
      <c r="F33" s="4">
        <v>1</v>
      </c>
      <c r="G33" s="4">
        <v>2</v>
      </c>
      <c r="H33" s="4">
        <v>0</v>
      </c>
      <c r="I33" s="4">
        <v>0</v>
      </c>
      <c r="J33" s="4">
        <v>1</v>
      </c>
      <c r="K33" s="4">
        <v>0</v>
      </c>
      <c r="L33" s="4"/>
      <c r="O33" s="3" t="s">
        <v>62</v>
      </c>
      <c r="Q33" s="5">
        <f>MEDIAN(B2:B527)</f>
        <v>12</v>
      </c>
      <c r="T33" s="5">
        <f>MAX(E2:E527)+1</f>
        <v>2</v>
      </c>
    </row>
    <row r="34" spans="1:20" x14ac:dyDescent="0.2">
      <c r="A34" s="4">
        <v>2.9</v>
      </c>
      <c r="B34" s="4">
        <v>12</v>
      </c>
      <c r="C34" s="4">
        <v>15</v>
      </c>
      <c r="D34" s="4">
        <v>1</v>
      </c>
      <c r="E34" s="4">
        <v>1</v>
      </c>
      <c r="F34" s="4">
        <v>1</v>
      </c>
      <c r="G34" s="4">
        <v>2</v>
      </c>
      <c r="H34" s="4">
        <v>0</v>
      </c>
      <c r="I34" s="4">
        <v>0</v>
      </c>
      <c r="J34" s="4">
        <v>1</v>
      </c>
      <c r="K34" s="4">
        <v>0</v>
      </c>
      <c r="L34" s="4"/>
    </row>
    <row r="35" spans="1:20" x14ac:dyDescent="0.2">
      <c r="A35" s="4">
        <v>2.9</v>
      </c>
      <c r="B35" s="4">
        <v>10</v>
      </c>
      <c r="C35" s="4">
        <v>4</v>
      </c>
      <c r="D35" s="4">
        <v>0</v>
      </c>
      <c r="E35" s="4">
        <v>1</v>
      </c>
      <c r="F35" s="4">
        <v>0</v>
      </c>
      <c r="G35" s="4">
        <v>1</v>
      </c>
      <c r="H35" s="4">
        <v>0</v>
      </c>
      <c r="I35" s="4">
        <v>0</v>
      </c>
      <c r="J35" s="4">
        <v>0</v>
      </c>
      <c r="K35" s="4">
        <v>0</v>
      </c>
      <c r="L35" s="4"/>
    </row>
    <row r="36" spans="1:20" x14ac:dyDescent="0.2">
      <c r="A36" s="4">
        <v>2.9</v>
      </c>
      <c r="B36" s="4">
        <v>10</v>
      </c>
      <c r="C36" s="4">
        <v>23</v>
      </c>
      <c r="D36" s="4">
        <v>2</v>
      </c>
      <c r="E36" s="4">
        <v>1</v>
      </c>
      <c r="F36" s="4">
        <v>0</v>
      </c>
      <c r="G36" s="4">
        <v>2</v>
      </c>
      <c r="H36" s="4">
        <v>0</v>
      </c>
      <c r="I36" s="4">
        <v>1</v>
      </c>
      <c r="J36" s="4">
        <v>0</v>
      </c>
      <c r="K36" s="4">
        <v>0</v>
      </c>
      <c r="L36" s="4"/>
    </row>
    <row r="37" spans="1:20" x14ac:dyDescent="0.2">
      <c r="A37" s="4">
        <v>2.9</v>
      </c>
      <c r="B37" s="4">
        <v>11</v>
      </c>
      <c r="C37" s="4">
        <v>6</v>
      </c>
      <c r="D37" s="4">
        <v>0</v>
      </c>
      <c r="E37" s="4">
        <v>1</v>
      </c>
      <c r="F37" s="4">
        <v>0</v>
      </c>
      <c r="G37" s="4">
        <v>1</v>
      </c>
      <c r="H37" s="4">
        <v>0</v>
      </c>
      <c r="I37" s="4">
        <v>1</v>
      </c>
      <c r="J37" s="4">
        <v>0</v>
      </c>
      <c r="K37" s="4">
        <v>0</v>
      </c>
      <c r="L37" s="4"/>
    </row>
    <row r="38" spans="1:20" x14ac:dyDescent="0.2">
      <c r="A38" s="4">
        <v>2.9</v>
      </c>
      <c r="B38" s="4">
        <v>8</v>
      </c>
      <c r="C38" s="4">
        <v>49</v>
      </c>
      <c r="D38" s="4">
        <v>6</v>
      </c>
      <c r="E38" s="4">
        <v>1</v>
      </c>
      <c r="F38" s="4">
        <v>0</v>
      </c>
      <c r="G38" s="4">
        <v>1</v>
      </c>
      <c r="H38" s="4">
        <v>0</v>
      </c>
      <c r="I38" s="4">
        <v>0</v>
      </c>
      <c r="J38" s="4">
        <v>0</v>
      </c>
      <c r="K38" s="4">
        <v>0</v>
      </c>
      <c r="L38" s="4">
        <v>3</v>
      </c>
    </row>
    <row r="39" spans="1:20" x14ac:dyDescent="0.2">
      <c r="A39" s="4">
        <v>2.9</v>
      </c>
      <c r="B39" s="4">
        <v>6</v>
      </c>
      <c r="C39" s="4">
        <v>49</v>
      </c>
      <c r="D39" s="4">
        <v>7</v>
      </c>
      <c r="E39" s="4">
        <v>0</v>
      </c>
      <c r="F39" s="4">
        <v>1</v>
      </c>
      <c r="G39" s="4">
        <v>0</v>
      </c>
      <c r="H39" s="4">
        <v>0</v>
      </c>
      <c r="I39" s="4">
        <v>1</v>
      </c>
      <c r="J39" s="4">
        <v>0</v>
      </c>
      <c r="K39" s="4">
        <v>0</v>
      </c>
      <c r="L39" s="4">
        <v>1</v>
      </c>
    </row>
    <row r="40" spans="1:20" x14ac:dyDescent="0.2">
      <c r="A40" s="4">
        <v>2.9</v>
      </c>
      <c r="B40" s="4">
        <v>12</v>
      </c>
      <c r="C40" s="4">
        <v>17</v>
      </c>
      <c r="D40" s="4">
        <v>1</v>
      </c>
      <c r="E40" s="4">
        <v>1</v>
      </c>
      <c r="F40" s="4">
        <v>1</v>
      </c>
      <c r="G40" s="4">
        <v>2</v>
      </c>
      <c r="H40" s="4">
        <v>1</v>
      </c>
      <c r="I40" s="4">
        <v>0</v>
      </c>
      <c r="J40" s="4">
        <v>0</v>
      </c>
      <c r="K40" s="4">
        <v>0</v>
      </c>
      <c r="L40" s="4">
        <v>2</v>
      </c>
    </row>
    <row r="41" spans="1:20" x14ac:dyDescent="0.2">
      <c r="A41" s="4">
        <v>2.9</v>
      </c>
      <c r="B41" s="4">
        <v>11</v>
      </c>
      <c r="C41" s="4">
        <v>1</v>
      </c>
      <c r="D41" s="4">
        <v>2</v>
      </c>
      <c r="E41" s="4">
        <v>0</v>
      </c>
      <c r="F41" s="4">
        <v>0</v>
      </c>
      <c r="G41" s="4">
        <v>2</v>
      </c>
      <c r="H41" s="4">
        <v>0</v>
      </c>
      <c r="I41" s="4">
        <v>1</v>
      </c>
      <c r="J41" s="4">
        <v>0</v>
      </c>
      <c r="K41" s="4">
        <v>0</v>
      </c>
      <c r="L41" s="4">
        <v>4</v>
      </c>
    </row>
    <row r="42" spans="1:20" x14ac:dyDescent="0.2">
      <c r="A42" s="4">
        <v>2.9</v>
      </c>
      <c r="B42" s="4">
        <v>10</v>
      </c>
      <c r="C42" s="4">
        <v>18</v>
      </c>
      <c r="D42" s="4">
        <v>0</v>
      </c>
      <c r="E42" s="4">
        <v>1</v>
      </c>
      <c r="F42" s="4">
        <v>1</v>
      </c>
      <c r="G42" s="4">
        <v>2</v>
      </c>
      <c r="H42" s="4">
        <v>0</v>
      </c>
      <c r="I42" s="4">
        <v>1</v>
      </c>
      <c r="J42" s="4">
        <v>0</v>
      </c>
      <c r="K42" s="4">
        <v>0</v>
      </c>
      <c r="L42" s="4"/>
    </row>
    <row r="43" spans="1:20" x14ac:dyDescent="0.2">
      <c r="A43" s="4">
        <v>2.9</v>
      </c>
      <c r="B43" s="4">
        <v>11</v>
      </c>
      <c r="C43" s="4">
        <v>2</v>
      </c>
      <c r="D43" s="4">
        <v>0</v>
      </c>
      <c r="E43" s="4">
        <v>1</v>
      </c>
      <c r="F43" s="4">
        <v>0</v>
      </c>
      <c r="G43" s="4">
        <v>2</v>
      </c>
      <c r="H43" s="4">
        <v>0</v>
      </c>
      <c r="I43" s="4">
        <v>1</v>
      </c>
      <c r="J43" s="4">
        <v>0</v>
      </c>
      <c r="K43" s="4">
        <v>0</v>
      </c>
      <c r="L43" s="4"/>
    </row>
    <row r="44" spans="1:20" x14ac:dyDescent="0.2">
      <c r="A44" s="4">
        <v>2.9</v>
      </c>
      <c r="B44" s="4">
        <v>12</v>
      </c>
      <c r="C44" s="4">
        <v>37</v>
      </c>
      <c r="D44" s="4">
        <v>0</v>
      </c>
      <c r="E44" s="4">
        <v>1</v>
      </c>
      <c r="F44" s="4">
        <v>1</v>
      </c>
      <c r="G44" s="4">
        <v>0</v>
      </c>
      <c r="H44" s="4">
        <v>0</v>
      </c>
      <c r="I44" s="4">
        <v>1</v>
      </c>
      <c r="J44" s="4">
        <v>0</v>
      </c>
      <c r="K44" s="4">
        <v>0</v>
      </c>
      <c r="L44" s="4"/>
    </row>
    <row r="45" spans="1:20" x14ac:dyDescent="0.2">
      <c r="A45" s="4">
        <v>2.9</v>
      </c>
      <c r="B45" s="4">
        <v>11</v>
      </c>
      <c r="C45" s="4">
        <v>1</v>
      </c>
      <c r="D45" s="4">
        <v>0</v>
      </c>
      <c r="E45" s="4">
        <v>1</v>
      </c>
      <c r="F45" s="4">
        <v>0</v>
      </c>
      <c r="G45" s="4">
        <v>1</v>
      </c>
      <c r="H45" s="4">
        <v>1</v>
      </c>
      <c r="I45" s="4">
        <v>0</v>
      </c>
      <c r="J45" s="4">
        <v>0</v>
      </c>
      <c r="K45" s="4">
        <v>0</v>
      </c>
      <c r="L45" s="4"/>
    </row>
    <row r="46" spans="1:20" x14ac:dyDescent="0.2">
      <c r="A46" s="4">
        <v>2.9</v>
      </c>
      <c r="B46" s="4">
        <v>12</v>
      </c>
      <c r="C46" s="4">
        <v>39</v>
      </c>
      <c r="D46" s="4">
        <v>1</v>
      </c>
      <c r="E46" s="4">
        <v>1</v>
      </c>
      <c r="F46" s="4">
        <v>1</v>
      </c>
      <c r="G46" s="4">
        <v>0</v>
      </c>
      <c r="H46" s="4">
        <v>0</v>
      </c>
      <c r="I46" s="4">
        <v>1</v>
      </c>
      <c r="J46" s="4">
        <v>0</v>
      </c>
      <c r="K46" s="4">
        <v>0</v>
      </c>
      <c r="L46" s="4">
        <v>5</v>
      </c>
    </row>
    <row r="47" spans="1:20" x14ac:dyDescent="0.2">
      <c r="A47" s="4">
        <v>2.9</v>
      </c>
      <c r="B47" s="4">
        <v>12</v>
      </c>
      <c r="C47" s="4">
        <v>26</v>
      </c>
      <c r="D47" s="4">
        <v>1</v>
      </c>
      <c r="E47" s="4">
        <v>1</v>
      </c>
      <c r="F47" s="4">
        <v>0</v>
      </c>
      <c r="G47" s="4">
        <v>4</v>
      </c>
      <c r="H47" s="4">
        <v>0</v>
      </c>
      <c r="I47" s="4">
        <v>1</v>
      </c>
      <c r="J47" s="4">
        <v>0</v>
      </c>
      <c r="K47" s="4">
        <v>0</v>
      </c>
      <c r="L47" s="4">
        <v>4</v>
      </c>
    </row>
    <row r="48" spans="1:20" x14ac:dyDescent="0.2">
      <c r="A48" s="4">
        <v>2.9</v>
      </c>
      <c r="B48" s="4">
        <v>12</v>
      </c>
      <c r="C48" s="4">
        <v>2</v>
      </c>
      <c r="D48" s="4">
        <v>2</v>
      </c>
      <c r="E48" s="4">
        <v>1</v>
      </c>
      <c r="F48" s="4">
        <v>0</v>
      </c>
      <c r="G48" s="4">
        <v>0</v>
      </c>
      <c r="H48" s="4">
        <v>0</v>
      </c>
      <c r="I48" s="4">
        <v>0</v>
      </c>
      <c r="J48" s="4">
        <v>1</v>
      </c>
      <c r="K48" s="4">
        <v>0</v>
      </c>
      <c r="L48" s="4">
        <v>3</v>
      </c>
    </row>
    <row r="49" spans="1:12" x14ac:dyDescent="0.2">
      <c r="A49" s="4">
        <v>2.9</v>
      </c>
      <c r="B49" s="4">
        <v>5</v>
      </c>
      <c r="C49" s="4">
        <v>34</v>
      </c>
      <c r="D49" s="4">
        <v>0</v>
      </c>
      <c r="E49" s="4">
        <v>1</v>
      </c>
      <c r="F49" s="4">
        <v>1</v>
      </c>
      <c r="G49" s="4">
        <v>5</v>
      </c>
      <c r="H49" s="4">
        <v>0</v>
      </c>
      <c r="I49" s="4">
        <v>0</v>
      </c>
      <c r="J49" s="4">
        <v>1</v>
      </c>
      <c r="K49" s="4">
        <v>0</v>
      </c>
      <c r="L49" s="4">
        <v>5</v>
      </c>
    </row>
    <row r="50" spans="1:12" x14ac:dyDescent="0.2">
      <c r="A50" s="4">
        <v>2.91</v>
      </c>
      <c r="B50" s="4">
        <v>12</v>
      </c>
      <c r="C50" s="4">
        <v>20</v>
      </c>
      <c r="D50" s="4">
        <v>34</v>
      </c>
      <c r="E50" s="4">
        <v>1</v>
      </c>
      <c r="F50" s="4">
        <v>1</v>
      </c>
      <c r="G50" s="4">
        <v>2</v>
      </c>
      <c r="H50" s="4">
        <v>0</v>
      </c>
      <c r="I50" s="4">
        <v>0</v>
      </c>
      <c r="J50" s="4">
        <v>0</v>
      </c>
      <c r="K50" s="4">
        <v>0</v>
      </c>
      <c r="L50" s="4"/>
    </row>
    <row r="51" spans="1:12" x14ac:dyDescent="0.2">
      <c r="A51" s="4">
        <v>2.91</v>
      </c>
      <c r="B51" s="4">
        <v>11</v>
      </c>
      <c r="C51" s="4">
        <v>1</v>
      </c>
      <c r="D51" s="4">
        <v>0</v>
      </c>
      <c r="E51" s="4">
        <v>1</v>
      </c>
      <c r="F51" s="4">
        <v>0</v>
      </c>
      <c r="G51" s="4">
        <v>3</v>
      </c>
      <c r="H51" s="4">
        <v>1</v>
      </c>
      <c r="I51" s="4">
        <v>0</v>
      </c>
      <c r="J51" s="4">
        <v>0</v>
      </c>
      <c r="K51" s="4">
        <v>0</v>
      </c>
      <c r="L51" s="4"/>
    </row>
    <row r="52" spans="1:12" x14ac:dyDescent="0.2">
      <c r="A52" s="4">
        <v>2.91</v>
      </c>
      <c r="B52" s="4">
        <v>12</v>
      </c>
      <c r="C52" s="4">
        <v>4</v>
      </c>
      <c r="D52" s="4">
        <v>0</v>
      </c>
      <c r="E52" s="4">
        <v>0</v>
      </c>
      <c r="F52" s="4">
        <v>1</v>
      </c>
      <c r="G52" s="4">
        <v>0</v>
      </c>
      <c r="H52" s="4">
        <v>0</v>
      </c>
      <c r="I52" s="4">
        <v>1</v>
      </c>
      <c r="J52" s="4">
        <v>0</v>
      </c>
      <c r="K52" s="4">
        <v>0</v>
      </c>
      <c r="L52" s="4">
        <v>3</v>
      </c>
    </row>
    <row r="53" spans="1:12" x14ac:dyDescent="0.2">
      <c r="A53" s="4">
        <v>2.91</v>
      </c>
      <c r="B53" s="4">
        <v>11</v>
      </c>
      <c r="C53" s="4">
        <v>2</v>
      </c>
      <c r="D53" s="4">
        <v>2</v>
      </c>
      <c r="E53" s="4">
        <v>0</v>
      </c>
      <c r="F53" s="4">
        <v>0</v>
      </c>
      <c r="G53" s="4">
        <v>2</v>
      </c>
      <c r="H53" s="4">
        <v>1</v>
      </c>
      <c r="I53" s="4">
        <v>0</v>
      </c>
      <c r="J53" s="4">
        <v>0</v>
      </c>
      <c r="K53" s="4">
        <v>0</v>
      </c>
      <c r="L53" s="4">
        <v>2</v>
      </c>
    </row>
    <row r="54" spans="1:12" x14ac:dyDescent="0.2">
      <c r="A54" s="4">
        <v>2.92</v>
      </c>
      <c r="B54" s="4">
        <v>12</v>
      </c>
      <c r="C54" s="4">
        <v>4</v>
      </c>
      <c r="D54" s="4">
        <v>0</v>
      </c>
      <c r="E54" s="4">
        <v>1</v>
      </c>
      <c r="F54" s="4">
        <v>0</v>
      </c>
      <c r="G54" s="4">
        <v>1</v>
      </c>
      <c r="H54" s="4">
        <v>0</v>
      </c>
      <c r="I54" s="4">
        <v>1</v>
      </c>
      <c r="J54" s="4">
        <v>0</v>
      </c>
      <c r="K54" s="4">
        <v>0</v>
      </c>
      <c r="L54" s="4"/>
    </row>
    <row r="55" spans="1:12" x14ac:dyDescent="0.2">
      <c r="A55" s="4">
        <v>2.92</v>
      </c>
      <c r="B55" s="4">
        <v>14</v>
      </c>
      <c r="C55" s="4">
        <v>1</v>
      </c>
      <c r="D55" s="4">
        <v>3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/>
    </row>
    <row r="56" spans="1:12" x14ac:dyDescent="0.2">
      <c r="A56" s="4">
        <v>2.92</v>
      </c>
      <c r="B56" s="4">
        <v>11</v>
      </c>
      <c r="C56" s="4">
        <v>1</v>
      </c>
      <c r="D56" s="4">
        <v>0</v>
      </c>
      <c r="E56" s="4">
        <v>1</v>
      </c>
      <c r="F56" s="4">
        <v>0</v>
      </c>
      <c r="G56" s="4">
        <v>1</v>
      </c>
      <c r="H56" s="4">
        <v>1</v>
      </c>
      <c r="I56" s="4">
        <v>0</v>
      </c>
      <c r="J56" s="4">
        <v>0</v>
      </c>
      <c r="K56" s="4">
        <v>0</v>
      </c>
      <c r="L56" s="4">
        <v>2</v>
      </c>
    </row>
    <row r="57" spans="1:12" x14ac:dyDescent="0.2">
      <c r="A57" s="4">
        <v>2.92</v>
      </c>
      <c r="B57" s="4">
        <v>9</v>
      </c>
      <c r="C57" s="4">
        <v>49</v>
      </c>
      <c r="D57" s="4">
        <v>0</v>
      </c>
      <c r="E57" s="4">
        <v>1</v>
      </c>
      <c r="F57" s="4">
        <v>0</v>
      </c>
      <c r="G57" s="4">
        <v>0</v>
      </c>
      <c r="H57" s="4">
        <v>0</v>
      </c>
      <c r="I57" s="4">
        <v>1</v>
      </c>
      <c r="J57" s="4">
        <v>0</v>
      </c>
      <c r="K57" s="4">
        <v>0</v>
      </c>
      <c r="L57" s="4">
        <v>2</v>
      </c>
    </row>
    <row r="58" spans="1:12" x14ac:dyDescent="0.2">
      <c r="A58" s="4">
        <v>2.92</v>
      </c>
      <c r="B58" s="4">
        <v>3</v>
      </c>
      <c r="C58" s="4">
        <v>11</v>
      </c>
      <c r="D58" s="4">
        <v>30</v>
      </c>
      <c r="E58" s="4">
        <v>0</v>
      </c>
      <c r="F58" s="4">
        <v>0</v>
      </c>
      <c r="G58" s="4">
        <v>0</v>
      </c>
      <c r="H58" s="4">
        <v>0</v>
      </c>
      <c r="I58" s="4">
        <v>1</v>
      </c>
      <c r="J58" s="4">
        <v>0</v>
      </c>
      <c r="K58" s="4">
        <v>0</v>
      </c>
      <c r="L58" s="4">
        <v>3</v>
      </c>
    </row>
    <row r="59" spans="1:12" x14ac:dyDescent="0.2">
      <c r="A59" s="4">
        <v>2.93</v>
      </c>
      <c r="B59" s="4">
        <v>12</v>
      </c>
      <c r="C59" s="4">
        <v>36</v>
      </c>
      <c r="D59" s="4">
        <v>2</v>
      </c>
      <c r="E59" s="4">
        <v>1</v>
      </c>
      <c r="F59" s="4">
        <v>1</v>
      </c>
      <c r="G59" s="4">
        <v>1</v>
      </c>
      <c r="H59" s="4">
        <v>0</v>
      </c>
      <c r="I59" s="4">
        <v>0</v>
      </c>
      <c r="J59" s="4">
        <v>1</v>
      </c>
      <c r="K59" s="4">
        <v>0</v>
      </c>
      <c r="L59" s="4">
        <v>4</v>
      </c>
    </row>
    <row r="60" spans="1:12" x14ac:dyDescent="0.2">
      <c r="A60" s="4">
        <v>2.95</v>
      </c>
      <c r="B60" s="4">
        <v>8</v>
      </c>
      <c r="C60" s="4">
        <v>15</v>
      </c>
      <c r="D60" s="4">
        <v>2</v>
      </c>
      <c r="E60" s="4">
        <v>1</v>
      </c>
      <c r="F60" s="4">
        <v>1</v>
      </c>
      <c r="G60" s="4">
        <v>1</v>
      </c>
      <c r="H60" s="4">
        <v>0</v>
      </c>
      <c r="I60" s="4">
        <v>0</v>
      </c>
      <c r="J60" s="4">
        <v>0</v>
      </c>
      <c r="K60" s="4">
        <v>0</v>
      </c>
      <c r="L60" s="4">
        <v>5</v>
      </c>
    </row>
    <row r="61" spans="1:12" x14ac:dyDescent="0.2">
      <c r="A61" s="4">
        <v>2.95</v>
      </c>
      <c r="B61" s="4">
        <v>14</v>
      </c>
      <c r="C61" s="4">
        <v>41</v>
      </c>
      <c r="D61" s="4">
        <v>23</v>
      </c>
      <c r="E61" s="4">
        <v>0</v>
      </c>
      <c r="F61" s="4">
        <v>1</v>
      </c>
      <c r="G61" s="4">
        <v>0</v>
      </c>
      <c r="H61" s="4">
        <v>1</v>
      </c>
      <c r="I61" s="4">
        <v>0</v>
      </c>
      <c r="J61" s="4">
        <v>0</v>
      </c>
      <c r="K61" s="4">
        <v>0</v>
      </c>
      <c r="L61" s="4">
        <v>1</v>
      </c>
    </row>
    <row r="62" spans="1:12" x14ac:dyDescent="0.2">
      <c r="A62" s="4">
        <v>2.95</v>
      </c>
      <c r="B62" s="4">
        <v>12</v>
      </c>
      <c r="C62" s="4">
        <v>3</v>
      </c>
      <c r="D62" s="4">
        <v>1</v>
      </c>
      <c r="E62" s="4">
        <v>0</v>
      </c>
      <c r="F62" s="4">
        <v>0</v>
      </c>
      <c r="G62" s="4">
        <v>1</v>
      </c>
      <c r="H62" s="4">
        <v>1</v>
      </c>
      <c r="I62" s="4">
        <v>0</v>
      </c>
      <c r="J62" s="4">
        <v>0</v>
      </c>
      <c r="K62" s="4">
        <v>0</v>
      </c>
      <c r="L62" s="4">
        <v>0</v>
      </c>
    </row>
    <row r="63" spans="1:12" x14ac:dyDescent="0.2">
      <c r="A63" s="4">
        <v>3</v>
      </c>
      <c r="B63" s="4">
        <v>11</v>
      </c>
      <c r="C63" s="4">
        <v>2</v>
      </c>
      <c r="D63" s="4">
        <v>0</v>
      </c>
      <c r="E63" s="4">
        <v>0</v>
      </c>
      <c r="F63" s="4">
        <v>0</v>
      </c>
      <c r="G63" s="4">
        <v>2</v>
      </c>
      <c r="H63" s="4">
        <v>0</v>
      </c>
      <c r="I63" s="4">
        <v>0</v>
      </c>
      <c r="J63" s="4">
        <v>1</v>
      </c>
      <c r="K63" s="4">
        <v>0</v>
      </c>
      <c r="L63" s="4"/>
    </row>
    <row r="64" spans="1:12" x14ac:dyDescent="0.2">
      <c r="A64" s="4">
        <v>3</v>
      </c>
      <c r="B64" s="4">
        <v>14</v>
      </c>
      <c r="C64" s="4">
        <v>3</v>
      </c>
      <c r="D64" s="4">
        <v>3</v>
      </c>
      <c r="E64" s="4">
        <v>1</v>
      </c>
      <c r="F64" s="4">
        <v>1</v>
      </c>
      <c r="G64" s="4">
        <v>0</v>
      </c>
      <c r="H64" s="4">
        <v>0</v>
      </c>
      <c r="I64" s="4">
        <v>0</v>
      </c>
      <c r="J64" s="4">
        <v>1</v>
      </c>
      <c r="K64" s="4">
        <v>0</v>
      </c>
      <c r="L64" s="4"/>
    </row>
    <row r="65" spans="1:12" x14ac:dyDescent="0.2">
      <c r="A65" s="4">
        <v>3</v>
      </c>
      <c r="B65" s="4">
        <v>12</v>
      </c>
      <c r="C65" s="4">
        <v>1</v>
      </c>
      <c r="D65" s="4">
        <v>0</v>
      </c>
      <c r="E65" s="4">
        <v>1</v>
      </c>
      <c r="F65" s="4">
        <v>0</v>
      </c>
      <c r="G65" s="4">
        <v>2</v>
      </c>
      <c r="H65" s="4">
        <v>0</v>
      </c>
      <c r="I65" s="4">
        <v>0</v>
      </c>
      <c r="J65" s="4">
        <v>0</v>
      </c>
      <c r="K65" s="4">
        <v>0</v>
      </c>
      <c r="L65" s="4"/>
    </row>
    <row r="66" spans="1:12" x14ac:dyDescent="0.2">
      <c r="A66" s="4">
        <v>3</v>
      </c>
      <c r="B66" s="4">
        <v>8</v>
      </c>
      <c r="C66" s="4">
        <v>33</v>
      </c>
      <c r="D66" s="4">
        <v>12</v>
      </c>
      <c r="E66" s="4">
        <v>1</v>
      </c>
      <c r="F66" s="4">
        <v>1</v>
      </c>
      <c r="G66" s="4">
        <v>3</v>
      </c>
      <c r="H66" s="4">
        <v>0</v>
      </c>
      <c r="I66" s="4">
        <v>1</v>
      </c>
      <c r="J66" s="4">
        <v>0</v>
      </c>
      <c r="K66" s="4">
        <v>0</v>
      </c>
      <c r="L66" s="4"/>
    </row>
    <row r="67" spans="1:12" x14ac:dyDescent="0.2">
      <c r="A67" s="4">
        <v>3</v>
      </c>
      <c r="B67" s="4">
        <v>15</v>
      </c>
      <c r="C67" s="4">
        <v>1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1</v>
      </c>
      <c r="J67" s="4">
        <v>0</v>
      </c>
      <c r="K67" s="4">
        <v>0</v>
      </c>
      <c r="L67" s="4"/>
    </row>
    <row r="68" spans="1:12" x14ac:dyDescent="0.2">
      <c r="A68" s="4">
        <v>3</v>
      </c>
      <c r="B68" s="4">
        <v>12</v>
      </c>
      <c r="C68" s="4">
        <v>38</v>
      </c>
      <c r="D68" s="4">
        <v>0</v>
      </c>
      <c r="E68" s="4">
        <v>1</v>
      </c>
      <c r="F68" s="4">
        <v>1</v>
      </c>
      <c r="G68" s="4">
        <v>0</v>
      </c>
      <c r="H68" s="4">
        <v>1</v>
      </c>
      <c r="I68" s="4">
        <v>0</v>
      </c>
      <c r="J68" s="4">
        <v>0</v>
      </c>
      <c r="K68" s="4">
        <v>0</v>
      </c>
      <c r="L68" s="4">
        <v>4</v>
      </c>
    </row>
    <row r="69" spans="1:12" x14ac:dyDescent="0.2">
      <c r="A69" s="4">
        <v>3</v>
      </c>
      <c r="B69" s="4">
        <v>16</v>
      </c>
      <c r="C69" s="4">
        <v>19</v>
      </c>
      <c r="D69" s="4">
        <v>10</v>
      </c>
      <c r="E69" s="4">
        <v>1</v>
      </c>
      <c r="F69" s="4">
        <v>1</v>
      </c>
      <c r="G69" s="4">
        <v>0</v>
      </c>
      <c r="H69" s="4">
        <v>1</v>
      </c>
      <c r="I69" s="4">
        <v>0</v>
      </c>
      <c r="J69" s="4">
        <v>0</v>
      </c>
      <c r="K69" s="4">
        <v>0</v>
      </c>
      <c r="L69" s="4">
        <v>2</v>
      </c>
    </row>
    <row r="70" spans="1:12" x14ac:dyDescent="0.2">
      <c r="A70" s="4">
        <v>3</v>
      </c>
      <c r="B70" s="4">
        <v>14</v>
      </c>
      <c r="C70" s="4">
        <v>3</v>
      </c>
      <c r="D70" s="4">
        <v>2</v>
      </c>
      <c r="E70" s="4">
        <v>1</v>
      </c>
      <c r="F70" s="4">
        <v>0</v>
      </c>
      <c r="G70" s="4">
        <v>0</v>
      </c>
      <c r="H70" s="4">
        <v>1</v>
      </c>
      <c r="I70" s="4">
        <v>0</v>
      </c>
      <c r="J70" s="4">
        <v>0</v>
      </c>
      <c r="K70" s="4">
        <v>0</v>
      </c>
      <c r="L70" s="4">
        <v>5</v>
      </c>
    </row>
    <row r="71" spans="1:12" x14ac:dyDescent="0.2">
      <c r="A71" s="4">
        <v>3</v>
      </c>
      <c r="B71" s="4">
        <v>9</v>
      </c>
      <c r="C71" s="4">
        <v>3</v>
      </c>
      <c r="D71" s="4">
        <v>0</v>
      </c>
      <c r="E71" s="4">
        <v>1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5</v>
      </c>
    </row>
    <row r="72" spans="1:12" x14ac:dyDescent="0.2">
      <c r="A72" s="4">
        <v>3</v>
      </c>
      <c r="B72" s="4">
        <v>11</v>
      </c>
      <c r="C72" s="4">
        <v>2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/>
    </row>
    <row r="73" spans="1:12" x14ac:dyDescent="0.2">
      <c r="A73" s="4">
        <v>3</v>
      </c>
      <c r="B73" s="4">
        <v>12</v>
      </c>
      <c r="C73" s="4">
        <v>2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1</v>
      </c>
      <c r="L73" s="4">
        <v>5</v>
      </c>
    </row>
    <row r="74" spans="1:12" x14ac:dyDescent="0.2">
      <c r="A74" s="4">
        <v>3</v>
      </c>
      <c r="B74" s="4">
        <v>14</v>
      </c>
      <c r="C74" s="4">
        <v>17</v>
      </c>
      <c r="D74" s="4">
        <v>0</v>
      </c>
      <c r="E74" s="4">
        <v>1</v>
      </c>
      <c r="F74" s="4">
        <v>1</v>
      </c>
      <c r="G74" s="4">
        <v>4</v>
      </c>
      <c r="H74" s="4">
        <v>0</v>
      </c>
      <c r="I74" s="4">
        <v>1</v>
      </c>
      <c r="J74" s="4">
        <v>0</v>
      </c>
      <c r="K74" s="4">
        <v>0</v>
      </c>
      <c r="L74" s="4"/>
    </row>
    <row r="75" spans="1:12" x14ac:dyDescent="0.2">
      <c r="A75" s="4">
        <v>3</v>
      </c>
      <c r="B75" s="4">
        <v>10</v>
      </c>
      <c r="C75" s="4">
        <v>47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1</v>
      </c>
      <c r="J75" s="4">
        <v>0</v>
      </c>
      <c r="K75" s="4">
        <v>0</v>
      </c>
      <c r="L75" s="4">
        <v>5</v>
      </c>
    </row>
    <row r="76" spans="1:12" x14ac:dyDescent="0.2">
      <c r="A76" s="4">
        <v>3</v>
      </c>
      <c r="B76" s="4">
        <v>13</v>
      </c>
      <c r="C76" s="4">
        <v>3</v>
      </c>
      <c r="D76" s="4">
        <v>1</v>
      </c>
      <c r="E76" s="4">
        <v>0</v>
      </c>
      <c r="F76" s="4">
        <v>0</v>
      </c>
      <c r="G76" s="4">
        <v>0</v>
      </c>
      <c r="H76" s="4">
        <v>0</v>
      </c>
      <c r="I76" s="4">
        <v>1</v>
      </c>
      <c r="J76" s="4">
        <v>0</v>
      </c>
      <c r="K76" s="4">
        <v>0</v>
      </c>
      <c r="L76" s="4">
        <v>3</v>
      </c>
    </row>
    <row r="77" spans="1:12" x14ac:dyDescent="0.2">
      <c r="A77" s="4">
        <v>3</v>
      </c>
      <c r="B77" s="4">
        <v>12</v>
      </c>
      <c r="C77" s="4">
        <v>1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1</v>
      </c>
      <c r="J77" s="4">
        <v>0</v>
      </c>
      <c r="K77" s="4">
        <v>0</v>
      </c>
      <c r="L77" s="4"/>
    </row>
    <row r="78" spans="1:12" x14ac:dyDescent="0.2">
      <c r="A78" s="4">
        <v>3</v>
      </c>
      <c r="B78" s="4">
        <v>12</v>
      </c>
      <c r="C78" s="4">
        <v>11</v>
      </c>
      <c r="D78" s="4">
        <v>1</v>
      </c>
      <c r="E78" s="4">
        <v>1</v>
      </c>
      <c r="F78" s="4">
        <v>1</v>
      </c>
      <c r="G78" s="4">
        <v>2</v>
      </c>
      <c r="H78" s="4">
        <v>0</v>
      </c>
      <c r="I78" s="4">
        <v>0</v>
      </c>
      <c r="J78" s="4">
        <v>0</v>
      </c>
      <c r="K78" s="4">
        <v>0</v>
      </c>
      <c r="L78" s="4"/>
    </row>
    <row r="79" spans="1:12" x14ac:dyDescent="0.2">
      <c r="A79" s="4">
        <v>3</v>
      </c>
      <c r="B79" s="4">
        <v>12</v>
      </c>
      <c r="C79" s="4">
        <v>26</v>
      </c>
      <c r="D79" s="4">
        <v>9</v>
      </c>
      <c r="E79" s="4">
        <v>1</v>
      </c>
      <c r="F79" s="4">
        <v>1</v>
      </c>
      <c r="G79" s="4">
        <v>0</v>
      </c>
      <c r="H79" s="4">
        <v>0</v>
      </c>
      <c r="I79" s="4">
        <v>1</v>
      </c>
      <c r="J79" s="4">
        <v>0</v>
      </c>
      <c r="K79" s="4">
        <v>0</v>
      </c>
      <c r="L79" s="4"/>
    </row>
    <row r="80" spans="1:12" x14ac:dyDescent="0.2">
      <c r="A80" s="4">
        <v>3</v>
      </c>
      <c r="B80" s="4">
        <v>8</v>
      </c>
      <c r="C80" s="4">
        <v>33</v>
      </c>
      <c r="D80" s="4">
        <v>2</v>
      </c>
      <c r="E80" s="4">
        <v>0</v>
      </c>
      <c r="F80" s="4">
        <v>1</v>
      </c>
      <c r="G80" s="4">
        <v>0</v>
      </c>
      <c r="H80" s="4">
        <v>0</v>
      </c>
      <c r="I80" s="4">
        <v>1</v>
      </c>
      <c r="J80" s="4">
        <v>0</v>
      </c>
      <c r="K80" s="4">
        <v>0</v>
      </c>
      <c r="L80" s="4">
        <v>5</v>
      </c>
    </row>
    <row r="81" spans="1:12" x14ac:dyDescent="0.2">
      <c r="A81" s="4">
        <v>3</v>
      </c>
      <c r="B81" s="4">
        <v>4</v>
      </c>
      <c r="C81" s="4">
        <v>48</v>
      </c>
      <c r="D81" s="4">
        <v>0</v>
      </c>
      <c r="E81" s="4">
        <v>0</v>
      </c>
      <c r="F81" s="4">
        <v>1</v>
      </c>
      <c r="G81" s="4">
        <v>0</v>
      </c>
      <c r="H81" s="4">
        <v>0</v>
      </c>
      <c r="I81" s="4">
        <v>1</v>
      </c>
      <c r="J81" s="4">
        <v>0</v>
      </c>
      <c r="K81" s="4">
        <v>0</v>
      </c>
      <c r="L81" s="4">
        <v>5</v>
      </c>
    </row>
    <row r="82" spans="1:12" x14ac:dyDescent="0.2">
      <c r="A82" s="4">
        <v>3</v>
      </c>
      <c r="B82" s="4">
        <v>7</v>
      </c>
      <c r="C82" s="4">
        <v>26</v>
      </c>
      <c r="D82" s="4">
        <v>1</v>
      </c>
      <c r="E82" s="4">
        <v>1</v>
      </c>
      <c r="F82" s="4">
        <v>0</v>
      </c>
      <c r="G82" s="4">
        <v>3</v>
      </c>
      <c r="H82" s="4">
        <v>0</v>
      </c>
      <c r="I82" s="4">
        <v>1</v>
      </c>
      <c r="J82" s="4">
        <v>0</v>
      </c>
      <c r="K82" s="4">
        <v>0</v>
      </c>
      <c r="L82" s="4">
        <v>0</v>
      </c>
    </row>
    <row r="83" spans="1:12" x14ac:dyDescent="0.2">
      <c r="A83" s="4">
        <v>3</v>
      </c>
      <c r="B83" s="4">
        <v>10</v>
      </c>
      <c r="C83" s="4">
        <v>7</v>
      </c>
      <c r="D83" s="4">
        <v>0</v>
      </c>
      <c r="E83" s="4">
        <v>1</v>
      </c>
      <c r="F83" s="4">
        <v>1</v>
      </c>
      <c r="G83" s="4">
        <v>2</v>
      </c>
      <c r="H83" s="4">
        <v>1</v>
      </c>
      <c r="I83" s="4">
        <v>0</v>
      </c>
      <c r="J83" s="4">
        <v>0</v>
      </c>
      <c r="K83" s="4">
        <v>0</v>
      </c>
      <c r="L83" s="4">
        <v>4</v>
      </c>
    </row>
    <row r="84" spans="1:12" x14ac:dyDescent="0.2">
      <c r="A84" s="4">
        <v>3</v>
      </c>
      <c r="B84" s="4">
        <v>8</v>
      </c>
      <c r="C84" s="4">
        <v>33</v>
      </c>
      <c r="D84" s="4">
        <v>0</v>
      </c>
      <c r="E84" s="4">
        <v>0</v>
      </c>
      <c r="F84" s="4">
        <v>1</v>
      </c>
      <c r="G84" s="4">
        <v>1</v>
      </c>
      <c r="H84" s="4">
        <v>0</v>
      </c>
      <c r="I84" s="4">
        <v>1</v>
      </c>
      <c r="J84" s="4">
        <v>0</v>
      </c>
      <c r="K84" s="4">
        <v>0</v>
      </c>
      <c r="L84" s="4"/>
    </row>
    <row r="85" spans="1:12" x14ac:dyDescent="0.2">
      <c r="A85" s="4">
        <v>3</v>
      </c>
      <c r="B85" s="4">
        <v>9</v>
      </c>
      <c r="C85" s="4">
        <v>23</v>
      </c>
      <c r="D85" s="4">
        <v>20</v>
      </c>
      <c r="E85" s="4">
        <v>1</v>
      </c>
      <c r="F85" s="4">
        <v>1</v>
      </c>
      <c r="G85" s="4">
        <v>2</v>
      </c>
      <c r="H85" s="4">
        <v>0</v>
      </c>
      <c r="I85" s="4">
        <v>1</v>
      </c>
      <c r="J85" s="4">
        <v>0</v>
      </c>
      <c r="K85" s="4">
        <v>0</v>
      </c>
      <c r="L85" s="4">
        <v>0</v>
      </c>
    </row>
    <row r="86" spans="1:12" x14ac:dyDescent="0.2">
      <c r="A86" s="4">
        <v>3</v>
      </c>
      <c r="B86" s="4">
        <v>10</v>
      </c>
      <c r="C86" s="4">
        <v>2</v>
      </c>
      <c r="D86" s="4">
        <v>1</v>
      </c>
      <c r="E86" s="4">
        <v>1</v>
      </c>
      <c r="F86" s="4">
        <v>0</v>
      </c>
      <c r="G86" s="4">
        <v>1</v>
      </c>
      <c r="H86" s="4">
        <v>0</v>
      </c>
      <c r="I86" s="4">
        <v>1</v>
      </c>
      <c r="J86" s="4">
        <v>0</v>
      </c>
      <c r="K86" s="4">
        <v>0</v>
      </c>
      <c r="L86" s="4"/>
    </row>
    <row r="87" spans="1:12" x14ac:dyDescent="0.2">
      <c r="A87" s="4">
        <v>3</v>
      </c>
      <c r="B87" s="4">
        <v>11</v>
      </c>
      <c r="C87" s="4">
        <v>1</v>
      </c>
      <c r="D87" s="4">
        <v>1</v>
      </c>
      <c r="E87" s="4">
        <v>1</v>
      </c>
      <c r="F87" s="4">
        <v>0</v>
      </c>
      <c r="G87" s="4">
        <v>1</v>
      </c>
      <c r="H87" s="4">
        <v>0</v>
      </c>
      <c r="I87" s="4">
        <v>1</v>
      </c>
      <c r="J87" s="4">
        <v>0</v>
      </c>
      <c r="K87" s="4">
        <v>0</v>
      </c>
      <c r="L87" s="4"/>
    </row>
    <row r="88" spans="1:12" x14ac:dyDescent="0.2">
      <c r="A88" s="4">
        <v>3</v>
      </c>
      <c r="B88" s="4">
        <v>15</v>
      </c>
      <c r="C88" s="4">
        <v>9</v>
      </c>
      <c r="D88" s="4">
        <v>0</v>
      </c>
      <c r="E88" s="4">
        <v>0</v>
      </c>
      <c r="F88" s="4">
        <v>0</v>
      </c>
      <c r="G88" s="4">
        <v>0</v>
      </c>
      <c r="H88" s="4">
        <v>1</v>
      </c>
      <c r="I88" s="4">
        <v>0</v>
      </c>
      <c r="J88" s="4">
        <v>0</v>
      </c>
      <c r="K88" s="4">
        <v>0</v>
      </c>
      <c r="L88" s="4">
        <v>2</v>
      </c>
    </row>
    <row r="89" spans="1:12" x14ac:dyDescent="0.2">
      <c r="A89" s="4">
        <v>3</v>
      </c>
      <c r="B89" s="4">
        <v>13</v>
      </c>
      <c r="C89" s="4">
        <v>5</v>
      </c>
      <c r="D89" s="4">
        <v>0</v>
      </c>
      <c r="E89" s="4">
        <v>1</v>
      </c>
      <c r="F89" s="4">
        <v>0</v>
      </c>
      <c r="G89" s="4">
        <v>1</v>
      </c>
      <c r="H89" s="4">
        <v>0</v>
      </c>
      <c r="I89" s="4">
        <v>1</v>
      </c>
      <c r="J89" s="4">
        <v>0</v>
      </c>
      <c r="K89" s="4">
        <v>0</v>
      </c>
      <c r="L89" s="4">
        <v>2</v>
      </c>
    </row>
    <row r="90" spans="1:12" x14ac:dyDescent="0.2">
      <c r="A90" s="4">
        <v>3</v>
      </c>
      <c r="B90" s="4">
        <v>8</v>
      </c>
      <c r="C90" s="4">
        <v>45</v>
      </c>
      <c r="D90" s="4">
        <v>1</v>
      </c>
      <c r="E90" s="4">
        <v>1</v>
      </c>
      <c r="F90" s="4">
        <v>1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2</v>
      </c>
    </row>
    <row r="91" spans="1:12" x14ac:dyDescent="0.2">
      <c r="A91" s="4">
        <v>3</v>
      </c>
      <c r="B91" s="4">
        <v>14</v>
      </c>
      <c r="C91" s="4">
        <v>33</v>
      </c>
      <c r="D91" s="4">
        <v>3</v>
      </c>
      <c r="E91" s="4">
        <v>1</v>
      </c>
      <c r="F91" s="4">
        <v>1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/>
    </row>
    <row r="92" spans="1:12" x14ac:dyDescent="0.2">
      <c r="A92" s="4">
        <v>3</v>
      </c>
      <c r="B92" s="4">
        <v>15</v>
      </c>
      <c r="C92" s="4">
        <v>32</v>
      </c>
      <c r="D92" s="4">
        <v>0</v>
      </c>
      <c r="E92" s="4">
        <v>0</v>
      </c>
      <c r="F92" s="4">
        <v>1</v>
      </c>
      <c r="G92" s="4">
        <v>0</v>
      </c>
      <c r="H92" s="4">
        <v>0</v>
      </c>
      <c r="I92" s="4">
        <v>1</v>
      </c>
      <c r="J92" s="4">
        <v>0</v>
      </c>
      <c r="K92" s="4">
        <v>0</v>
      </c>
      <c r="L92" s="4"/>
    </row>
    <row r="93" spans="1:12" x14ac:dyDescent="0.2">
      <c r="A93" s="4">
        <v>3</v>
      </c>
      <c r="B93" s="4">
        <v>12</v>
      </c>
      <c r="C93" s="4">
        <v>11</v>
      </c>
      <c r="D93" s="4">
        <v>0</v>
      </c>
      <c r="E93" s="4">
        <v>1</v>
      </c>
      <c r="F93" s="4">
        <v>1</v>
      </c>
      <c r="G93" s="4">
        <v>2</v>
      </c>
      <c r="H93" s="4">
        <v>0</v>
      </c>
      <c r="I93" s="4">
        <v>1</v>
      </c>
      <c r="J93" s="4">
        <v>0</v>
      </c>
      <c r="K93" s="4">
        <v>0</v>
      </c>
      <c r="L93" s="4"/>
    </row>
    <row r="94" spans="1:12" x14ac:dyDescent="0.2">
      <c r="A94" s="4">
        <v>3</v>
      </c>
      <c r="B94" s="4">
        <v>4</v>
      </c>
      <c r="C94" s="4">
        <v>36</v>
      </c>
      <c r="D94" s="4">
        <v>0</v>
      </c>
      <c r="E94" s="4">
        <v>0</v>
      </c>
      <c r="F94" s="4">
        <v>1</v>
      </c>
      <c r="G94" s="4">
        <v>1</v>
      </c>
      <c r="H94" s="4">
        <v>0</v>
      </c>
      <c r="I94" s="4">
        <v>1</v>
      </c>
      <c r="J94" s="4">
        <v>0</v>
      </c>
      <c r="K94" s="4">
        <v>1</v>
      </c>
      <c r="L94" s="4"/>
    </row>
    <row r="95" spans="1:12" x14ac:dyDescent="0.2">
      <c r="A95" s="4">
        <v>3</v>
      </c>
      <c r="B95" s="4">
        <v>11</v>
      </c>
      <c r="C95" s="4">
        <v>3</v>
      </c>
      <c r="D95" s="4">
        <v>0</v>
      </c>
      <c r="E95" s="4">
        <v>1</v>
      </c>
      <c r="F95" s="4">
        <v>0</v>
      </c>
      <c r="G95" s="4">
        <v>2</v>
      </c>
      <c r="H95" s="4">
        <v>0</v>
      </c>
      <c r="I95" s="4">
        <v>0</v>
      </c>
      <c r="J95" s="4">
        <v>1</v>
      </c>
      <c r="K95" s="4">
        <v>0</v>
      </c>
      <c r="L95" s="4"/>
    </row>
    <row r="96" spans="1:12" x14ac:dyDescent="0.2">
      <c r="A96" s="4">
        <v>3</v>
      </c>
      <c r="B96" s="4">
        <v>12</v>
      </c>
      <c r="C96" s="4">
        <v>36</v>
      </c>
      <c r="D96" s="4">
        <v>1</v>
      </c>
      <c r="E96" s="4"/>
      <c r="F96" s="4">
        <v>0</v>
      </c>
      <c r="G96" s="4">
        <v>0</v>
      </c>
      <c r="H96" s="4">
        <v>0</v>
      </c>
      <c r="I96" s="4">
        <v>0</v>
      </c>
      <c r="J96" s="4">
        <v>1</v>
      </c>
      <c r="K96" s="4">
        <v>0</v>
      </c>
      <c r="L96" s="4">
        <v>5</v>
      </c>
    </row>
    <row r="97" spans="1:12" x14ac:dyDescent="0.2">
      <c r="A97" s="4">
        <v>3.05</v>
      </c>
      <c r="B97" s="4">
        <v>12</v>
      </c>
      <c r="C97" s="4">
        <v>10</v>
      </c>
      <c r="D97" s="4">
        <v>0</v>
      </c>
      <c r="E97" s="4">
        <v>1</v>
      </c>
      <c r="F97" s="4">
        <v>1</v>
      </c>
      <c r="G97" s="4">
        <v>2</v>
      </c>
      <c r="H97" s="4">
        <v>1</v>
      </c>
      <c r="I97" s="4">
        <v>0</v>
      </c>
      <c r="J97" s="4">
        <v>0</v>
      </c>
      <c r="K97" s="4">
        <v>0</v>
      </c>
      <c r="L97" s="4">
        <v>3</v>
      </c>
    </row>
    <row r="98" spans="1:12" x14ac:dyDescent="0.2">
      <c r="A98" s="4">
        <v>3.05</v>
      </c>
      <c r="B98" s="4">
        <v>12</v>
      </c>
      <c r="C98" s="4">
        <v>2</v>
      </c>
      <c r="D98" s="4">
        <v>0</v>
      </c>
      <c r="E98" s="4">
        <v>1</v>
      </c>
      <c r="F98" s="4">
        <v>0</v>
      </c>
      <c r="G98" s="4">
        <v>1</v>
      </c>
      <c r="H98" s="4">
        <v>1</v>
      </c>
      <c r="I98" s="4">
        <v>0</v>
      </c>
      <c r="J98" s="4">
        <v>0</v>
      </c>
      <c r="K98" s="4">
        <v>0</v>
      </c>
      <c r="L98" s="4">
        <v>2</v>
      </c>
    </row>
    <row r="99" spans="1:12" x14ac:dyDescent="0.2">
      <c r="A99" s="4">
        <v>3.05</v>
      </c>
      <c r="B99" s="4">
        <v>8</v>
      </c>
      <c r="C99" s="4">
        <v>50</v>
      </c>
      <c r="D99" s="4">
        <v>24</v>
      </c>
      <c r="E99" s="4">
        <v>1</v>
      </c>
      <c r="F99" s="4">
        <v>0</v>
      </c>
      <c r="G99" s="4">
        <v>0</v>
      </c>
      <c r="H99" s="4">
        <v>0</v>
      </c>
      <c r="I99" s="4">
        <v>1</v>
      </c>
      <c r="J99" s="4">
        <v>0</v>
      </c>
      <c r="K99" s="4">
        <v>0</v>
      </c>
      <c r="L99" s="4"/>
    </row>
    <row r="100" spans="1:12" x14ac:dyDescent="0.2">
      <c r="A100" s="4">
        <v>3.06</v>
      </c>
      <c r="B100" s="4">
        <v>12</v>
      </c>
      <c r="C100" s="4">
        <v>14</v>
      </c>
      <c r="D100" s="4">
        <v>10</v>
      </c>
      <c r="E100" s="4">
        <v>1</v>
      </c>
      <c r="F100" s="4">
        <v>0</v>
      </c>
      <c r="G100" s="4">
        <v>3</v>
      </c>
      <c r="H100" s="4">
        <v>0</v>
      </c>
      <c r="I100" s="4">
        <v>1</v>
      </c>
      <c r="J100" s="4">
        <v>0</v>
      </c>
      <c r="K100" s="4">
        <v>0</v>
      </c>
      <c r="L100" s="4">
        <v>1</v>
      </c>
    </row>
    <row r="101" spans="1:12" x14ac:dyDescent="0.2">
      <c r="A101" s="4">
        <v>3.08</v>
      </c>
      <c r="B101" s="4">
        <v>12</v>
      </c>
      <c r="C101" s="4">
        <v>3</v>
      </c>
      <c r="D101" s="4">
        <v>1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/>
    </row>
    <row r="102" spans="1:12" x14ac:dyDescent="0.2">
      <c r="A102" s="4">
        <v>3.1</v>
      </c>
      <c r="B102" s="4">
        <v>11</v>
      </c>
      <c r="C102" s="4">
        <v>2</v>
      </c>
      <c r="D102" s="4">
        <v>0</v>
      </c>
      <c r="E102" s="4">
        <v>1</v>
      </c>
      <c r="F102" s="4">
        <v>0</v>
      </c>
      <c r="G102" s="4">
        <v>2</v>
      </c>
      <c r="H102" s="4">
        <v>0</v>
      </c>
      <c r="I102" s="4">
        <v>0</v>
      </c>
      <c r="J102" s="4">
        <v>1</v>
      </c>
      <c r="K102" s="4">
        <v>0</v>
      </c>
      <c r="L102" s="4">
        <v>4</v>
      </c>
    </row>
    <row r="103" spans="1:12" x14ac:dyDescent="0.2">
      <c r="A103" s="4">
        <v>3.1</v>
      </c>
      <c r="B103" s="4">
        <v>12</v>
      </c>
      <c r="C103" s="4">
        <v>2</v>
      </c>
      <c r="D103" s="4">
        <v>1</v>
      </c>
      <c r="E103" s="4">
        <v>1</v>
      </c>
      <c r="F103" s="4">
        <v>0</v>
      </c>
      <c r="G103" s="4">
        <v>1</v>
      </c>
      <c r="H103" s="4">
        <v>0</v>
      </c>
      <c r="I103" s="4">
        <v>0</v>
      </c>
      <c r="J103" s="4">
        <v>0</v>
      </c>
      <c r="K103" s="4">
        <v>0</v>
      </c>
      <c r="L103" s="4">
        <v>2</v>
      </c>
    </row>
    <row r="104" spans="1:12" x14ac:dyDescent="0.2">
      <c r="A104" s="4">
        <v>3.1</v>
      </c>
      <c r="B104" s="4">
        <v>12</v>
      </c>
      <c r="C104" s="4">
        <v>2</v>
      </c>
      <c r="D104" s="4">
        <v>2</v>
      </c>
      <c r="E104" s="4">
        <v>1</v>
      </c>
      <c r="F104" s="4">
        <v>0</v>
      </c>
      <c r="G104" s="4">
        <v>1</v>
      </c>
      <c r="H104" s="4">
        <v>0</v>
      </c>
      <c r="I104" s="4">
        <v>1</v>
      </c>
      <c r="J104" s="4">
        <v>0</v>
      </c>
      <c r="K104" s="4">
        <v>0</v>
      </c>
      <c r="L104" s="4">
        <v>2</v>
      </c>
    </row>
    <row r="105" spans="1:12" x14ac:dyDescent="0.2">
      <c r="A105" s="4">
        <v>3.1</v>
      </c>
      <c r="B105" s="4">
        <v>6</v>
      </c>
      <c r="C105" s="4">
        <v>14</v>
      </c>
      <c r="D105" s="4">
        <v>0</v>
      </c>
      <c r="E105" s="4">
        <v>1</v>
      </c>
      <c r="F105" s="4">
        <v>0</v>
      </c>
      <c r="G105" s="4">
        <v>5</v>
      </c>
      <c r="H105" s="4">
        <v>0</v>
      </c>
      <c r="I105" s="4">
        <v>1</v>
      </c>
      <c r="J105" s="4">
        <v>0</v>
      </c>
      <c r="K105" s="4">
        <v>0</v>
      </c>
      <c r="L105" s="4">
        <v>2</v>
      </c>
    </row>
    <row r="106" spans="1:12" x14ac:dyDescent="0.2">
      <c r="A106" s="4">
        <v>3.13</v>
      </c>
      <c r="B106" s="4">
        <v>10</v>
      </c>
      <c r="C106" s="4">
        <v>1</v>
      </c>
      <c r="D106" s="4">
        <v>0</v>
      </c>
      <c r="E106" s="4">
        <v>1</v>
      </c>
      <c r="F106" s="4">
        <v>0</v>
      </c>
      <c r="G106" s="4">
        <v>1</v>
      </c>
      <c r="H106" s="4">
        <v>1</v>
      </c>
      <c r="I106" s="4">
        <v>0</v>
      </c>
      <c r="J106" s="4">
        <v>0</v>
      </c>
      <c r="K106" s="4">
        <v>0</v>
      </c>
      <c r="L106" s="4">
        <v>5</v>
      </c>
    </row>
    <row r="107" spans="1:12" x14ac:dyDescent="0.2">
      <c r="A107" s="4">
        <v>3.13</v>
      </c>
      <c r="B107" s="4">
        <v>12</v>
      </c>
      <c r="C107" s="4">
        <v>6</v>
      </c>
      <c r="D107" s="4">
        <v>5</v>
      </c>
      <c r="E107" s="4">
        <v>1</v>
      </c>
      <c r="F107" s="4">
        <v>1</v>
      </c>
      <c r="G107" s="4">
        <v>1</v>
      </c>
      <c r="H107" s="4">
        <v>0</v>
      </c>
      <c r="I107" s="4">
        <v>1</v>
      </c>
      <c r="J107" s="4">
        <v>0</v>
      </c>
      <c r="K107" s="4">
        <v>0</v>
      </c>
      <c r="L107" s="4">
        <v>1</v>
      </c>
    </row>
    <row r="108" spans="1:12" x14ac:dyDescent="0.2">
      <c r="A108" s="4">
        <v>3.13</v>
      </c>
      <c r="B108" s="4">
        <v>10</v>
      </c>
      <c r="C108" s="4">
        <v>1</v>
      </c>
      <c r="D108" s="4">
        <v>1</v>
      </c>
      <c r="E108" s="4">
        <v>0</v>
      </c>
      <c r="F108" s="4">
        <v>0</v>
      </c>
      <c r="G108" s="4">
        <v>2</v>
      </c>
      <c r="H108" s="4">
        <v>0</v>
      </c>
      <c r="I108" s="4">
        <v>0</v>
      </c>
      <c r="J108" s="4">
        <v>1</v>
      </c>
      <c r="K108" s="4">
        <v>0</v>
      </c>
      <c r="L108" s="4">
        <v>3</v>
      </c>
    </row>
    <row r="109" spans="1:12" x14ac:dyDescent="0.2">
      <c r="A109" s="4">
        <v>3.15</v>
      </c>
      <c r="B109" s="4">
        <v>12</v>
      </c>
      <c r="C109" s="4">
        <v>26</v>
      </c>
      <c r="D109" s="4">
        <v>1</v>
      </c>
      <c r="E109" s="4">
        <v>0</v>
      </c>
      <c r="F109" s="4">
        <v>1</v>
      </c>
      <c r="G109" s="4">
        <v>0</v>
      </c>
      <c r="H109" s="4">
        <v>1</v>
      </c>
      <c r="I109" s="4">
        <v>0</v>
      </c>
      <c r="J109" s="4">
        <v>0</v>
      </c>
      <c r="K109" s="4">
        <v>0</v>
      </c>
      <c r="L109" s="4">
        <v>5</v>
      </c>
    </row>
    <row r="110" spans="1:12" x14ac:dyDescent="0.2">
      <c r="A110" s="4">
        <v>3.15</v>
      </c>
      <c r="B110" s="4">
        <v>13</v>
      </c>
      <c r="C110" s="4">
        <v>1</v>
      </c>
      <c r="D110" s="4">
        <v>0</v>
      </c>
      <c r="E110" s="4">
        <v>1</v>
      </c>
      <c r="F110" s="4">
        <v>0</v>
      </c>
      <c r="G110" s="4">
        <v>4</v>
      </c>
      <c r="H110" s="4">
        <v>1</v>
      </c>
      <c r="I110" s="4">
        <v>0</v>
      </c>
      <c r="J110" s="4">
        <v>0</v>
      </c>
      <c r="K110" s="4">
        <v>0</v>
      </c>
      <c r="L110" s="4"/>
    </row>
    <row r="111" spans="1:12" x14ac:dyDescent="0.2">
      <c r="A111" s="4">
        <v>3.18</v>
      </c>
      <c r="B111" s="4">
        <v>12</v>
      </c>
      <c r="C111" s="4">
        <v>5</v>
      </c>
      <c r="D111" s="4">
        <v>0</v>
      </c>
      <c r="E111" s="4">
        <v>1</v>
      </c>
      <c r="F111" s="4">
        <v>1</v>
      </c>
      <c r="G111" s="4">
        <v>0</v>
      </c>
      <c r="H111" s="4">
        <v>1</v>
      </c>
      <c r="I111" s="4">
        <v>0</v>
      </c>
      <c r="J111" s="4">
        <v>0</v>
      </c>
      <c r="K111" s="4">
        <v>0</v>
      </c>
      <c r="L111" s="4"/>
    </row>
    <row r="112" spans="1:12" x14ac:dyDescent="0.2">
      <c r="A112" s="4">
        <v>3.2</v>
      </c>
      <c r="B112" s="4">
        <v>12</v>
      </c>
      <c r="C112" s="4">
        <v>29</v>
      </c>
      <c r="D112" s="4">
        <v>0</v>
      </c>
      <c r="E112" s="4">
        <v>1</v>
      </c>
      <c r="F112" s="4">
        <v>0</v>
      </c>
      <c r="G112" s="4">
        <v>1</v>
      </c>
      <c r="H112" s="4">
        <v>0</v>
      </c>
      <c r="I112" s="4">
        <v>1</v>
      </c>
      <c r="J112" s="4">
        <v>0</v>
      </c>
      <c r="K112" s="4">
        <v>0</v>
      </c>
      <c r="L112" s="4"/>
    </row>
    <row r="113" spans="1:12" x14ac:dyDescent="0.2">
      <c r="A113" s="4">
        <v>3.2</v>
      </c>
      <c r="B113" s="4">
        <v>15</v>
      </c>
      <c r="C113" s="4">
        <v>2</v>
      </c>
      <c r="D113" s="4">
        <v>2</v>
      </c>
      <c r="E113" s="4">
        <v>1</v>
      </c>
      <c r="F113" s="4">
        <v>0</v>
      </c>
      <c r="G113" s="4">
        <v>2</v>
      </c>
      <c r="H113" s="4">
        <v>0</v>
      </c>
      <c r="I113" s="4">
        <v>1</v>
      </c>
      <c r="J113" s="4">
        <v>0</v>
      </c>
      <c r="K113" s="4">
        <v>0</v>
      </c>
      <c r="L113" s="4">
        <v>1</v>
      </c>
    </row>
    <row r="114" spans="1:12" x14ac:dyDescent="0.2">
      <c r="A114" s="4">
        <v>3.2</v>
      </c>
      <c r="B114" s="4">
        <v>12</v>
      </c>
      <c r="C114" s="4">
        <v>15</v>
      </c>
      <c r="D114" s="4">
        <v>5</v>
      </c>
      <c r="E114" s="4">
        <v>1</v>
      </c>
      <c r="F114" s="4">
        <v>1</v>
      </c>
      <c r="G114" s="4">
        <v>1</v>
      </c>
      <c r="H114" s="4">
        <v>0</v>
      </c>
      <c r="I114" s="4">
        <v>1</v>
      </c>
      <c r="J114" s="4">
        <v>0</v>
      </c>
      <c r="K114" s="4">
        <v>0</v>
      </c>
      <c r="L114" s="4"/>
    </row>
    <row r="115" spans="1:12" x14ac:dyDescent="0.2">
      <c r="A115" s="4">
        <v>3.2</v>
      </c>
      <c r="B115" s="4">
        <v>11</v>
      </c>
      <c r="C115" s="4">
        <v>1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5</v>
      </c>
    </row>
    <row r="116" spans="1:12" x14ac:dyDescent="0.2">
      <c r="A116" s="4">
        <v>3.24</v>
      </c>
      <c r="B116" s="4">
        <v>12</v>
      </c>
      <c r="C116" s="4">
        <v>22</v>
      </c>
      <c r="D116" s="4">
        <v>2</v>
      </c>
      <c r="E116" s="4">
        <v>1</v>
      </c>
      <c r="F116" s="4">
        <v>1</v>
      </c>
      <c r="G116" s="4">
        <v>3</v>
      </c>
      <c r="H116" s="4">
        <v>0</v>
      </c>
      <c r="I116" s="4">
        <v>0</v>
      </c>
      <c r="J116" s="4">
        <v>1</v>
      </c>
      <c r="K116" s="4">
        <v>0</v>
      </c>
      <c r="L116" s="4">
        <v>2</v>
      </c>
    </row>
    <row r="117" spans="1:12" x14ac:dyDescent="0.2">
      <c r="A117" s="4">
        <v>3.24</v>
      </c>
      <c r="B117" s="4">
        <v>12</v>
      </c>
      <c r="C117" s="4">
        <v>16</v>
      </c>
      <c r="D117" s="4">
        <v>0</v>
      </c>
      <c r="E117" s="4">
        <v>1</v>
      </c>
      <c r="F117" s="4">
        <v>1</v>
      </c>
      <c r="G117" s="4">
        <v>2</v>
      </c>
      <c r="H117" s="4">
        <v>0</v>
      </c>
      <c r="I117" s="4">
        <v>1</v>
      </c>
      <c r="J117" s="4">
        <v>0</v>
      </c>
      <c r="K117" s="4">
        <v>0</v>
      </c>
      <c r="L117" s="4"/>
    </row>
    <row r="118" spans="1:12" x14ac:dyDescent="0.2">
      <c r="A118" s="4">
        <v>3.25</v>
      </c>
      <c r="B118" s="4">
        <v>8</v>
      </c>
      <c r="C118" s="4">
        <v>9</v>
      </c>
      <c r="D118" s="4">
        <v>1</v>
      </c>
      <c r="E118" s="4">
        <v>1</v>
      </c>
      <c r="F118" s="4">
        <v>1</v>
      </c>
      <c r="G118" s="4">
        <v>2</v>
      </c>
      <c r="H118" s="4">
        <v>0</v>
      </c>
      <c r="I118" s="4">
        <v>0</v>
      </c>
      <c r="J118" s="4">
        <v>1</v>
      </c>
      <c r="K118" s="4">
        <v>0</v>
      </c>
      <c r="L118" s="4">
        <v>1</v>
      </c>
    </row>
    <row r="119" spans="1:12" x14ac:dyDescent="0.2">
      <c r="A119" s="4">
        <v>3.25</v>
      </c>
      <c r="B119" s="4">
        <v>15</v>
      </c>
      <c r="C119" s="4">
        <v>3</v>
      </c>
      <c r="D119" s="4">
        <v>0</v>
      </c>
      <c r="E119" s="4">
        <v>0</v>
      </c>
      <c r="F119" s="4">
        <v>0</v>
      </c>
      <c r="G119" s="4">
        <v>1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</row>
    <row r="120" spans="1:12" x14ac:dyDescent="0.2">
      <c r="A120" s="4">
        <v>3.25</v>
      </c>
      <c r="B120" s="4">
        <v>12</v>
      </c>
      <c r="C120" s="4">
        <v>14</v>
      </c>
      <c r="D120" s="4">
        <v>0</v>
      </c>
      <c r="E120" s="4">
        <v>1</v>
      </c>
      <c r="F120" s="4">
        <v>1</v>
      </c>
      <c r="G120" s="4">
        <v>1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</row>
    <row r="121" spans="1:12" x14ac:dyDescent="0.2">
      <c r="A121" s="4">
        <v>3.25</v>
      </c>
      <c r="B121" s="4">
        <v>9</v>
      </c>
      <c r="C121" s="4">
        <v>29</v>
      </c>
      <c r="D121" s="4">
        <v>0</v>
      </c>
      <c r="E121" s="4">
        <v>0</v>
      </c>
      <c r="F121" s="4">
        <v>1</v>
      </c>
      <c r="G121" s="4">
        <v>1</v>
      </c>
      <c r="H121" s="4">
        <v>1</v>
      </c>
      <c r="I121" s="4">
        <v>0</v>
      </c>
      <c r="J121" s="4">
        <v>0</v>
      </c>
      <c r="K121" s="4">
        <v>0</v>
      </c>
      <c r="L121" s="4"/>
    </row>
    <row r="122" spans="1:12" x14ac:dyDescent="0.2">
      <c r="A122" s="4">
        <v>3.25</v>
      </c>
      <c r="B122" s="4">
        <v>12</v>
      </c>
      <c r="C122" s="4">
        <v>4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/>
    </row>
    <row r="123" spans="1:12" x14ac:dyDescent="0.2">
      <c r="A123" s="4">
        <v>3.25</v>
      </c>
      <c r="B123" s="4">
        <v>12</v>
      </c>
      <c r="C123" s="4">
        <v>14</v>
      </c>
      <c r="D123" s="4">
        <v>2</v>
      </c>
      <c r="E123" s="4">
        <v>1</v>
      </c>
      <c r="F123" s="4">
        <v>1</v>
      </c>
      <c r="G123" s="4">
        <v>2</v>
      </c>
      <c r="H123" s="4">
        <v>0</v>
      </c>
      <c r="I123" s="4">
        <v>1</v>
      </c>
      <c r="J123" s="4">
        <v>0</v>
      </c>
      <c r="K123" s="4">
        <v>0</v>
      </c>
      <c r="L123" s="4"/>
    </row>
    <row r="124" spans="1:12" x14ac:dyDescent="0.2">
      <c r="A124" s="4">
        <v>3.25</v>
      </c>
      <c r="B124" s="4">
        <v>12</v>
      </c>
      <c r="C124" s="4">
        <v>40</v>
      </c>
      <c r="D124" s="4">
        <v>2</v>
      </c>
      <c r="E124" s="4">
        <v>1</v>
      </c>
      <c r="F124" s="4">
        <v>0</v>
      </c>
      <c r="G124" s="4">
        <v>0</v>
      </c>
      <c r="H124" s="4">
        <v>1</v>
      </c>
      <c r="I124" s="4">
        <v>0</v>
      </c>
      <c r="J124" s="4">
        <v>0</v>
      </c>
      <c r="K124" s="4">
        <v>0</v>
      </c>
      <c r="L124" s="4"/>
    </row>
    <row r="125" spans="1:12" x14ac:dyDescent="0.2">
      <c r="A125" s="4">
        <v>3.25</v>
      </c>
      <c r="B125" s="4">
        <v>12</v>
      </c>
      <c r="C125" s="4">
        <v>42</v>
      </c>
      <c r="D125" s="4">
        <v>0</v>
      </c>
      <c r="E125" s="4">
        <v>1</v>
      </c>
      <c r="F125" s="4">
        <v>1</v>
      </c>
      <c r="G125" s="4">
        <v>0</v>
      </c>
      <c r="H125" s="4">
        <v>0</v>
      </c>
      <c r="I125" s="4">
        <v>0</v>
      </c>
      <c r="J125" s="4">
        <v>1</v>
      </c>
      <c r="K125" s="4">
        <v>0</v>
      </c>
      <c r="L125" s="4"/>
    </row>
    <row r="126" spans="1:12" x14ac:dyDescent="0.2">
      <c r="A126" s="4">
        <v>3.26</v>
      </c>
      <c r="B126" s="4">
        <v>12</v>
      </c>
      <c r="C126" s="4">
        <v>13</v>
      </c>
      <c r="D126" s="4">
        <v>3</v>
      </c>
      <c r="E126" s="4">
        <v>1</v>
      </c>
      <c r="F126" s="4">
        <v>1</v>
      </c>
      <c r="G126" s="4">
        <v>1</v>
      </c>
      <c r="H126" s="4">
        <v>0</v>
      </c>
      <c r="I126" s="4">
        <v>0</v>
      </c>
      <c r="J126" s="4">
        <v>0</v>
      </c>
      <c r="K126" s="4">
        <v>0</v>
      </c>
      <c r="L126" s="4"/>
    </row>
    <row r="127" spans="1:12" x14ac:dyDescent="0.2">
      <c r="A127" s="4">
        <v>3.26</v>
      </c>
      <c r="B127" s="4">
        <v>16</v>
      </c>
      <c r="C127" s="4">
        <v>15</v>
      </c>
      <c r="D127" s="4">
        <v>5</v>
      </c>
      <c r="E127" s="4">
        <v>1</v>
      </c>
      <c r="F127" s="4">
        <v>1</v>
      </c>
      <c r="G127" s="4">
        <v>2</v>
      </c>
      <c r="H127" s="4">
        <v>0</v>
      </c>
      <c r="I127" s="4">
        <v>1</v>
      </c>
      <c r="J127" s="4">
        <v>0</v>
      </c>
      <c r="K127" s="4">
        <v>0</v>
      </c>
      <c r="L127" s="4"/>
    </row>
    <row r="128" spans="1:12" x14ac:dyDescent="0.2">
      <c r="A128" s="4">
        <v>3.28</v>
      </c>
      <c r="B128" s="4">
        <v>12</v>
      </c>
      <c r="C128" s="4">
        <v>17</v>
      </c>
      <c r="D128" s="4">
        <v>2</v>
      </c>
      <c r="E128" s="4">
        <v>1</v>
      </c>
      <c r="F128" s="4">
        <v>0</v>
      </c>
      <c r="G128" s="4">
        <v>0</v>
      </c>
      <c r="H128" s="4">
        <v>0</v>
      </c>
      <c r="I128" s="4">
        <v>1</v>
      </c>
      <c r="J128" s="4">
        <v>0</v>
      </c>
      <c r="K128" s="4">
        <v>0</v>
      </c>
      <c r="L128" s="4"/>
    </row>
    <row r="129" spans="1:12" x14ac:dyDescent="0.2">
      <c r="A129" s="4">
        <v>3.29</v>
      </c>
      <c r="B129" s="4">
        <v>14</v>
      </c>
      <c r="C129" s="4">
        <v>30</v>
      </c>
      <c r="D129" s="4">
        <v>13</v>
      </c>
      <c r="E129" s="4">
        <v>0</v>
      </c>
      <c r="F129" s="4">
        <v>0</v>
      </c>
      <c r="G129" s="4">
        <v>0</v>
      </c>
      <c r="H129" s="4">
        <v>1</v>
      </c>
      <c r="I129" s="4">
        <v>0</v>
      </c>
      <c r="J129" s="4">
        <v>0</v>
      </c>
      <c r="K129" s="4">
        <v>0</v>
      </c>
      <c r="L129" s="4">
        <v>3</v>
      </c>
    </row>
    <row r="130" spans="1:12" x14ac:dyDescent="0.2">
      <c r="A130" s="4">
        <v>3.3</v>
      </c>
      <c r="B130" s="4">
        <v>12</v>
      </c>
      <c r="C130" s="4">
        <v>25</v>
      </c>
      <c r="D130" s="4">
        <v>8</v>
      </c>
      <c r="E130" s="4">
        <v>0</v>
      </c>
      <c r="F130" s="4">
        <v>1</v>
      </c>
      <c r="G130" s="4">
        <v>1</v>
      </c>
      <c r="H130" s="4">
        <v>1</v>
      </c>
      <c r="I130" s="4">
        <v>0</v>
      </c>
      <c r="J130" s="4">
        <v>0</v>
      </c>
      <c r="K130" s="4">
        <v>0</v>
      </c>
      <c r="L130" s="4">
        <v>5</v>
      </c>
    </row>
    <row r="131" spans="1:12" x14ac:dyDescent="0.2">
      <c r="A131" s="4">
        <v>3.3</v>
      </c>
      <c r="B131" s="4">
        <v>12</v>
      </c>
      <c r="C131" s="4">
        <v>21</v>
      </c>
      <c r="D131" s="4">
        <v>9</v>
      </c>
      <c r="E131" s="4">
        <v>1</v>
      </c>
      <c r="F131" s="4">
        <v>1</v>
      </c>
      <c r="G131" s="4">
        <v>2</v>
      </c>
      <c r="H131" s="4">
        <v>0</v>
      </c>
      <c r="I131" s="4">
        <v>1</v>
      </c>
      <c r="J131" s="4">
        <v>0</v>
      </c>
      <c r="K131" s="4">
        <v>0</v>
      </c>
      <c r="L131" s="4">
        <v>0</v>
      </c>
    </row>
    <row r="132" spans="1:12" x14ac:dyDescent="0.2">
      <c r="A132" s="4">
        <v>3.3</v>
      </c>
      <c r="B132" s="4">
        <v>13</v>
      </c>
      <c r="C132" s="4">
        <v>5</v>
      </c>
      <c r="D132" s="4">
        <v>0</v>
      </c>
      <c r="E132" s="4">
        <v>1</v>
      </c>
      <c r="F132" s="4">
        <v>0</v>
      </c>
      <c r="G132" s="4">
        <v>0</v>
      </c>
      <c r="H132" s="4">
        <v>1</v>
      </c>
      <c r="I132" s="4">
        <v>0</v>
      </c>
      <c r="J132" s="4">
        <v>0</v>
      </c>
      <c r="K132" s="4">
        <v>0</v>
      </c>
      <c r="L132" s="4">
        <v>1</v>
      </c>
    </row>
    <row r="133" spans="1:12" x14ac:dyDescent="0.2">
      <c r="A133" s="4">
        <v>3.33</v>
      </c>
      <c r="B133" s="4">
        <v>12</v>
      </c>
      <c r="C133" s="4">
        <v>45</v>
      </c>
      <c r="D133" s="4">
        <v>4</v>
      </c>
      <c r="E133" s="4">
        <v>1</v>
      </c>
      <c r="F133" s="4">
        <v>1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4</v>
      </c>
    </row>
    <row r="134" spans="1:12" x14ac:dyDescent="0.2">
      <c r="A134" s="4">
        <v>3.33</v>
      </c>
      <c r="B134" s="4">
        <v>12</v>
      </c>
      <c r="C134" s="4">
        <v>36</v>
      </c>
      <c r="D134" s="4">
        <v>8</v>
      </c>
      <c r="E134" s="4">
        <v>1</v>
      </c>
      <c r="F134" s="4">
        <v>1</v>
      </c>
      <c r="G134" s="4">
        <v>1</v>
      </c>
      <c r="H134" s="4">
        <v>0</v>
      </c>
      <c r="I134" s="4">
        <v>1</v>
      </c>
      <c r="J134" s="4">
        <v>0</v>
      </c>
      <c r="K134" s="4">
        <v>0</v>
      </c>
      <c r="L134" s="4">
        <v>0</v>
      </c>
    </row>
    <row r="135" spans="1:12" x14ac:dyDescent="0.2">
      <c r="A135" s="4">
        <v>3.35</v>
      </c>
      <c r="B135" s="4">
        <v>7</v>
      </c>
      <c r="C135" s="4">
        <v>35</v>
      </c>
      <c r="D135" s="4">
        <v>0</v>
      </c>
      <c r="E135" s="4">
        <v>1</v>
      </c>
      <c r="F135" s="4">
        <v>0</v>
      </c>
      <c r="G135" s="4">
        <v>1</v>
      </c>
      <c r="H135" s="4">
        <v>0</v>
      </c>
      <c r="I135" s="4">
        <v>1</v>
      </c>
      <c r="J135" s="4">
        <v>0</v>
      </c>
      <c r="K135" s="4">
        <v>0</v>
      </c>
      <c r="L135" s="4">
        <v>5</v>
      </c>
    </row>
    <row r="136" spans="1:12" x14ac:dyDescent="0.2">
      <c r="A136" s="4">
        <v>3.35</v>
      </c>
      <c r="B136" s="4">
        <v>14</v>
      </c>
      <c r="C136" s="4">
        <v>5</v>
      </c>
      <c r="D136" s="4">
        <v>4</v>
      </c>
      <c r="E136" s="4">
        <v>1</v>
      </c>
      <c r="F136" s="4">
        <v>1</v>
      </c>
      <c r="G136" s="4">
        <v>0</v>
      </c>
      <c r="H136" s="4">
        <v>1</v>
      </c>
      <c r="I136" s="4">
        <v>0</v>
      </c>
      <c r="J136" s="4">
        <v>0</v>
      </c>
      <c r="K136" s="4">
        <v>0</v>
      </c>
      <c r="L136" s="4">
        <v>5</v>
      </c>
    </row>
    <row r="137" spans="1:12" x14ac:dyDescent="0.2">
      <c r="A137" s="4">
        <v>3.35</v>
      </c>
      <c r="B137" s="4">
        <v>13</v>
      </c>
      <c r="C137" s="4">
        <v>22</v>
      </c>
      <c r="D137" s="4">
        <v>0</v>
      </c>
      <c r="E137" s="4">
        <v>1</v>
      </c>
      <c r="F137" s="4">
        <v>0</v>
      </c>
      <c r="G137" s="4">
        <v>2</v>
      </c>
      <c r="H137" s="4">
        <v>1</v>
      </c>
      <c r="I137" s="4">
        <v>0</v>
      </c>
      <c r="J137" s="4">
        <v>0</v>
      </c>
      <c r="K137" s="4">
        <v>0</v>
      </c>
      <c r="L137" s="4">
        <v>3</v>
      </c>
    </row>
    <row r="138" spans="1:12" x14ac:dyDescent="0.2">
      <c r="A138" s="4">
        <v>3.35</v>
      </c>
      <c r="B138" s="4">
        <v>12</v>
      </c>
      <c r="C138" s="4">
        <v>9</v>
      </c>
      <c r="D138" s="4">
        <v>1</v>
      </c>
      <c r="E138" s="4">
        <v>0</v>
      </c>
      <c r="F138" s="4">
        <v>1</v>
      </c>
      <c r="G138" s="4">
        <v>0</v>
      </c>
      <c r="H138" s="4">
        <v>1</v>
      </c>
      <c r="I138" s="4">
        <v>0</v>
      </c>
      <c r="J138" s="4">
        <v>0</v>
      </c>
      <c r="K138" s="4">
        <v>0</v>
      </c>
      <c r="L138" s="4">
        <v>4</v>
      </c>
    </row>
    <row r="139" spans="1:12" x14ac:dyDescent="0.2">
      <c r="A139" s="4">
        <v>3.35</v>
      </c>
      <c r="B139" s="4">
        <v>15</v>
      </c>
      <c r="C139" s="4">
        <v>3</v>
      </c>
      <c r="D139" s="4">
        <v>1</v>
      </c>
      <c r="E139" s="4">
        <v>1</v>
      </c>
      <c r="F139" s="4">
        <v>1</v>
      </c>
      <c r="G139" s="4">
        <v>2</v>
      </c>
      <c r="H139" s="4">
        <v>0</v>
      </c>
      <c r="I139" s="4">
        <v>1</v>
      </c>
      <c r="J139" s="4">
        <v>0</v>
      </c>
      <c r="K139" s="4">
        <v>0</v>
      </c>
      <c r="L139" s="4">
        <v>5</v>
      </c>
    </row>
    <row r="140" spans="1:12" x14ac:dyDescent="0.2">
      <c r="A140" s="4">
        <v>3.37</v>
      </c>
      <c r="B140" s="4">
        <v>11</v>
      </c>
      <c r="C140" s="4">
        <v>45</v>
      </c>
      <c r="D140" s="4">
        <v>12</v>
      </c>
      <c r="E140" s="4">
        <v>0</v>
      </c>
      <c r="F140" s="4">
        <v>1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2</v>
      </c>
    </row>
    <row r="141" spans="1:12" x14ac:dyDescent="0.2">
      <c r="A141" s="4">
        <v>3.4</v>
      </c>
      <c r="B141" s="4">
        <v>16</v>
      </c>
      <c r="C141" s="4">
        <v>1</v>
      </c>
      <c r="D141" s="4">
        <v>1</v>
      </c>
      <c r="E141" s="4">
        <v>1</v>
      </c>
      <c r="F141" s="4">
        <v>0</v>
      </c>
      <c r="G141" s="4">
        <v>1</v>
      </c>
      <c r="H141" s="4">
        <v>0</v>
      </c>
      <c r="I141" s="4">
        <v>0</v>
      </c>
      <c r="J141" s="4">
        <v>0</v>
      </c>
      <c r="K141" s="4">
        <v>0</v>
      </c>
      <c r="L141" s="4">
        <v>4</v>
      </c>
    </row>
    <row r="142" spans="1:12" x14ac:dyDescent="0.2">
      <c r="A142" s="4">
        <v>3.4</v>
      </c>
      <c r="B142" s="4">
        <v>12</v>
      </c>
      <c r="C142" s="4">
        <v>26</v>
      </c>
      <c r="D142" s="4">
        <v>15</v>
      </c>
      <c r="E142" s="4">
        <v>1</v>
      </c>
      <c r="F142" s="4">
        <v>1</v>
      </c>
      <c r="G142" s="4">
        <v>1</v>
      </c>
      <c r="H142" s="4">
        <v>1</v>
      </c>
      <c r="I142" s="4">
        <v>0</v>
      </c>
      <c r="J142" s="4">
        <v>0</v>
      </c>
      <c r="K142" s="4">
        <v>1</v>
      </c>
      <c r="L142" s="4">
        <v>3</v>
      </c>
    </row>
    <row r="143" spans="1:12" x14ac:dyDescent="0.2">
      <c r="A143" s="4">
        <v>3.45</v>
      </c>
      <c r="B143" s="4">
        <v>10</v>
      </c>
      <c r="C143" s="4">
        <v>11</v>
      </c>
      <c r="D143" s="4">
        <v>0</v>
      </c>
      <c r="E143" s="4">
        <v>1</v>
      </c>
      <c r="F143" s="4">
        <v>0</v>
      </c>
      <c r="G143" s="4">
        <v>2</v>
      </c>
      <c r="H143" s="4">
        <v>0</v>
      </c>
      <c r="I143" s="4">
        <v>1</v>
      </c>
      <c r="J143" s="4">
        <v>0</v>
      </c>
      <c r="K143" s="4">
        <v>0</v>
      </c>
      <c r="L143" s="4">
        <v>0</v>
      </c>
    </row>
    <row r="144" spans="1:12" x14ac:dyDescent="0.2">
      <c r="A144" s="4">
        <v>3.45</v>
      </c>
      <c r="B144" s="4">
        <v>12</v>
      </c>
      <c r="C144" s="4">
        <v>6</v>
      </c>
      <c r="D144" s="4">
        <v>5</v>
      </c>
      <c r="E144" s="4">
        <v>1</v>
      </c>
      <c r="F144" s="4">
        <v>1</v>
      </c>
      <c r="G144" s="4">
        <v>0</v>
      </c>
      <c r="H144" s="4">
        <v>0</v>
      </c>
      <c r="I144" s="4">
        <v>1</v>
      </c>
      <c r="J144" s="4">
        <v>0</v>
      </c>
      <c r="K144" s="4">
        <v>0</v>
      </c>
      <c r="L144" s="4">
        <v>5</v>
      </c>
    </row>
    <row r="145" spans="1:12" x14ac:dyDescent="0.2">
      <c r="A145" s="4">
        <v>3.5</v>
      </c>
      <c r="B145" s="4">
        <v>12</v>
      </c>
      <c r="C145" s="4">
        <v>6</v>
      </c>
      <c r="D145" s="4">
        <v>2</v>
      </c>
      <c r="E145" s="4">
        <v>1</v>
      </c>
      <c r="F145" s="4">
        <v>0</v>
      </c>
      <c r="G145" s="4">
        <v>1</v>
      </c>
      <c r="H145" s="4">
        <v>0</v>
      </c>
      <c r="I145" s="4">
        <v>0</v>
      </c>
      <c r="J145" s="4">
        <v>0</v>
      </c>
      <c r="K145" s="4">
        <v>0</v>
      </c>
      <c r="L145" s="4">
        <v>4</v>
      </c>
    </row>
    <row r="146" spans="1:12" x14ac:dyDescent="0.2">
      <c r="A146" s="4">
        <v>3.5</v>
      </c>
      <c r="B146" s="4">
        <v>13</v>
      </c>
      <c r="C146" s="4">
        <v>1</v>
      </c>
      <c r="D146" s="4">
        <v>0</v>
      </c>
      <c r="E146" s="4">
        <v>0</v>
      </c>
      <c r="F146" s="4">
        <v>0</v>
      </c>
      <c r="G146" s="4">
        <v>1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</row>
    <row r="147" spans="1:12" x14ac:dyDescent="0.2">
      <c r="A147" s="4">
        <v>3.5</v>
      </c>
      <c r="B147" s="4">
        <v>12</v>
      </c>
      <c r="C147" s="4">
        <v>3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3</v>
      </c>
    </row>
    <row r="148" spans="1:12" x14ac:dyDescent="0.2">
      <c r="A148" s="4">
        <v>3.5</v>
      </c>
      <c r="B148" s="4">
        <v>14</v>
      </c>
      <c r="C148" s="4">
        <v>5</v>
      </c>
      <c r="D148" s="4">
        <v>0</v>
      </c>
      <c r="E148" s="4">
        <v>1</v>
      </c>
      <c r="F148" s="4">
        <v>1</v>
      </c>
      <c r="G148" s="4">
        <v>0</v>
      </c>
      <c r="H148" s="4">
        <v>0</v>
      </c>
      <c r="I148" s="4">
        <v>1</v>
      </c>
      <c r="J148" s="4">
        <v>0</v>
      </c>
      <c r="K148" s="4">
        <v>0</v>
      </c>
      <c r="L148" s="4">
        <v>1</v>
      </c>
    </row>
    <row r="149" spans="1:12" x14ac:dyDescent="0.2">
      <c r="A149" s="4">
        <v>3.5</v>
      </c>
      <c r="B149" s="4">
        <v>12</v>
      </c>
      <c r="C149" s="4">
        <v>7</v>
      </c>
      <c r="D149" s="4">
        <v>6</v>
      </c>
      <c r="E149" s="4">
        <v>1</v>
      </c>
      <c r="F149" s="4">
        <v>1</v>
      </c>
      <c r="G149" s="4">
        <v>0</v>
      </c>
      <c r="H149" s="4">
        <v>1</v>
      </c>
      <c r="I149" s="4">
        <v>0</v>
      </c>
      <c r="J149" s="4">
        <v>0</v>
      </c>
      <c r="K149" s="4">
        <v>0</v>
      </c>
      <c r="L149" s="4">
        <v>4</v>
      </c>
    </row>
    <row r="150" spans="1:12" x14ac:dyDescent="0.2">
      <c r="A150" s="4">
        <v>3.5</v>
      </c>
      <c r="B150" s="4">
        <v>13</v>
      </c>
      <c r="C150" s="4">
        <v>1</v>
      </c>
      <c r="D150" s="4">
        <v>2</v>
      </c>
      <c r="E150" s="4">
        <v>0</v>
      </c>
      <c r="F150" s="4">
        <v>0</v>
      </c>
      <c r="G150" s="4">
        <v>3</v>
      </c>
      <c r="H150" s="4">
        <v>1</v>
      </c>
      <c r="I150" s="4">
        <v>0</v>
      </c>
      <c r="J150" s="4">
        <v>0</v>
      </c>
      <c r="K150" s="4">
        <v>0</v>
      </c>
      <c r="L150" s="4">
        <v>2</v>
      </c>
    </row>
    <row r="151" spans="1:12" x14ac:dyDescent="0.2">
      <c r="A151" s="4">
        <v>3.5</v>
      </c>
      <c r="B151" s="4">
        <v>8</v>
      </c>
      <c r="C151" s="4">
        <v>4</v>
      </c>
      <c r="D151" s="4">
        <v>0</v>
      </c>
      <c r="E151" s="4">
        <v>0</v>
      </c>
      <c r="F151" s="4">
        <v>0</v>
      </c>
      <c r="G151" s="4">
        <v>3</v>
      </c>
      <c r="H151" s="4">
        <v>0</v>
      </c>
      <c r="I151" s="4">
        <v>0</v>
      </c>
      <c r="J151" s="4">
        <v>0</v>
      </c>
      <c r="K151" s="4">
        <v>0</v>
      </c>
      <c r="L151" s="4">
        <v>3</v>
      </c>
    </row>
    <row r="152" spans="1:12" x14ac:dyDescent="0.2">
      <c r="A152" s="4">
        <v>3.5</v>
      </c>
      <c r="B152" s="4">
        <v>12</v>
      </c>
      <c r="C152" s="4">
        <v>20</v>
      </c>
      <c r="D152" s="4">
        <v>4</v>
      </c>
      <c r="E152" s="4">
        <v>1</v>
      </c>
      <c r="F152" s="4">
        <v>1</v>
      </c>
      <c r="G152" s="4">
        <v>2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</row>
    <row r="153" spans="1:12" x14ac:dyDescent="0.2">
      <c r="A153" s="4">
        <v>3.5</v>
      </c>
      <c r="B153" s="4">
        <v>18</v>
      </c>
      <c r="C153" s="4">
        <v>3</v>
      </c>
      <c r="D153" s="4">
        <v>1</v>
      </c>
      <c r="E153" s="4">
        <v>1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1</v>
      </c>
    </row>
    <row r="154" spans="1:12" x14ac:dyDescent="0.2">
      <c r="A154" s="4">
        <v>3.5</v>
      </c>
      <c r="B154" s="4">
        <v>12</v>
      </c>
      <c r="C154" s="4">
        <v>2</v>
      </c>
      <c r="D154" s="4">
        <v>0</v>
      </c>
      <c r="E154" s="4"/>
      <c r="F154" s="4">
        <v>0</v>
      </c>
      <c r="G154" s="4">
        <v>2</v>
      </c>
      <c r="H154" s="4">
        <v>0</v>
      </c>
      <c r="I154" s="4">
        <v>1</v>
      </c>
      <c r="J154" s="4">
        <v>0</v>
      </c>
      <c r="K154" s="4">
        <v>0</v>
      </c>
      <c r="L154" s="4">
        <v>4</v>
      </c>
    </row>
    <row r="155" spans="1:12" x14ac:dyDescent="0.2">
      <c r="A155" s="4">
        <v>3.5</v>
      </c>
      <c r="B155" s="4">
        <v>13</v>
      </c>
      <c r="C155" s="4">
        <v>2</v>
      </c>
      <c r="D155" s="4">
        <v>0</v>
      </c>
      <c r="E155" s="4">
        <v>1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3</v>
      </c>
    </row>
    <row r="156" spans="1:12" x14ac:dyDescent="0.2">
      <c r="A156" s="4">
        <v>3.5</v>
      </c>
      <c r="B156" s="4">
        <v>11</v>
      </c>
      <c r="C156" s="4">
        <v>23</v>
      </c>
      <c r="D156" s="4">
        <v>2</v>
      </c>
      <c r="E156" s="4">
        <v>1</v>
      </c>
      <c r="F156" s="4">
        <v>0</v>
      </c>
      <c r="G156" s="4">
        <v>2</v>
      </c>
      <c r="H156" s="4">
        <v>0</v>
      </c>
      <c r="I156" s="4">
        <v>1</v>
      </c>
      <c r="J156" s="4">
        <v>0</v>
      </c>
      <c r="K156" s="4">
        <v>0</v>
      </c>
      <c r="L156" s="4">
        <v>4</v>
      </c>
    </row>
    <row r="157" spans="1:12" x14ac:dyDescent="0.2">
      <c r="A157" s="4">
        <v>3.5</v>
      </c>
      <c r="B157" s="4">
        <v>14</v>
      </c>
      <c r="C157" s="4">
        <v>18</v>
      </c>
      <c r="D157" s="4">
        <v>2</v>
      </c>
      <c r="E157" s="4">
        <v>0</v>
      </c>
      <c r="F157" s="4">
        <v>1</v>
      </c>
      <c r="G157" s="4">
        <v>1</v>
      </c>
      <c r="H157" s="4">
        <v>1</v>
      </c>
      <c r="I157" s="4">
        <v>0</v>
      </c>
      <c r="J157" s="4">
        <v>0</v>
      </c>
      <c r="K157" s="4">
        <v>0</v>
      </c>
      <c r="L157" s="4">
        <v>4</v>
      </c>
    </row>
    <row r="158" spans="1:12" x14ac:dyDescent="0.2">
      <c r="A158" s="4">
        <v>3.5</v>
      </c>
      <c r="B158" s="4">
        <v>13</v>
      </c>
      <c r="C158" s="4">
        <v>29</v>
      </c>
      <c r="D158" s="4">
        <v>1</v>
      </c>
      <c r="E158" s="4">
        <v>1</v>
      </c>
      <c r="F158" s="4">
        <v>1</v>
      </c>
      <c r="G158" s="4">
        <v>0</v>
      </c>
      <c r="H158" s="4">
        <v>0</v>
      </c>
      <c r="I158" s="4">
        <v>1</v>
      </c>
      <c r="J158" s="4">
        <v>0</v>
      </c>
      <c r="K158" s="4">
        <v>0</v>
      </c>
      <c r="L158" s="4">
        <v>5</v>
      </c>
    </row>
    <row r="159" spans="1:12" x14ac:dyDescent="0.2">
      <c r="A159" s="4">
        <v>3.5</v>
      </c>
      <c r="B159" s="4">
        <v>12</v>
      </c>
      <c r="C159" s="4">
        <v>14</v>
      </c>
      <c r="D159" s="4">
        <v>0</v>
      </c>
      <c r="E159" s="4">
        <v>1</v>
      </c>
      <c r="F159" s="4">
        <v>0</v>
      </c>
      <c r="G159" s="4">
        <v>2</v>
      </c>
      <c r="H159" s="4">
        <v>0</v>
      </c>
      <c r="I159" s="4">
        <v>1</v>
      </c>
      <c r="J159" s="4">
        <v>0</v>
      </c>
      <c r="K159" s="4">
        <v>1</v>
      </c>
      <c r="L159" s="4">
        <v>5</v>
      </c>
    </row>
    <row r="160" spans="1:12" x14ac:dyDescent="0.2">
      <c r="A160" s="4">
        <v>3.5</v>
      </c>
      <c r="B160" s="4">
        <v>12</v>
      </c>
      <c r="C160" s="4">
        <v>26</v>
      </c>
      <c r="D160" s="4">
        <v>20</v>
      </c>
      <c r="E160" s="4">
        <v>1</v>
      </c>
      <c r="F160" s="4">
        <v>1</v>
      </c>
      <c r="G160" s="4">
        <v>0</v>
      </c>
      <c r="H160" s="4">
        <v>0</v>
      </c>
      <c r="I160" s="4">
        <v>1</v>
      </c>
      <c r="J160" s="4">
        <v>0</v>
      </c>
      <c r="K160" s="4">
        <v>0</v>
      </c>
      <c r="L160" s="4">
        <v>4</v>
      </c>
    </row>
    <row r="161" spans="1:12" x14ac:dyDescent="0.2">
      <c r="A161" s="4">
        <v>3.5</v>
      </c>
      <c r="B161" s="4">
        <v>12</v>
      </c>
      <c r="C161" s="4">
        <v>31</v>
      </c>
      <c r="D161" s="4">
        <v>3</v>
      </c>
      <c r="E161" s="4">
        <v>1</v>
      </c>
      <c r="F161" s="4">
        <v>0</v>
      </c>
      <c r="G161" s="4">
        <v>1</v>
      </c>
      <c r="H161" s="4">
        <v>0</v>
      </c>
      <c r="I161" s="4">
        <v>0</v>
      </c>
      <c r="J161" s="4">
        <v>1</v>
      </c>
      <c r="K161" s="4">
        <v>0</v>
      </c>
      <c r="L161" s="4">
        <v>5</v>
      </c>
    </row>
    <row r="162" spans="1:12" x14ac:dyDescent="0.2">
      <c r="A162" s="4">
        <v>3.5</v>
      </c>
      <c r="B162" s="4">
        <v>14</v>
      </c>
      <c r="C162" s="4">
        <v>5</v>
      </c>
      <c r="D162" s="4">
        <v>4</v>
      </c>
      <c r="E162" s="4">
        <v>1</v>
      </c>
      <c r="F162" s="4">
        <v>0</v>
      </c>
      <c r="G162" s="4">
        <v>2</v>
      </c>
      <c r="H162" s="4">
        <v>0</v>
      </c>
      <c r="I162" s="4">
        <v>0</v>
      </c>
      <c r="J162" s="4">
        <v>1</v>
      </c>
      <c r="K162" s="4">
        <v>0</v>
      </c>
      <c r="L162" s="4">
        <v>3</v>
      </c>
    </row>
    <row r="163" spans="1:12" x14ac:dyDescent="0.2">
      <c r="A163" s="4">
        <v>3.51</v>
      </c>
      <c r="B163" s="4">
        <v>4</v>
      </c>
      <c r="C163" s="4">
        <v>39</v>
      </c>
      <c r="D163" s="4">
        <v>15</v>
      </c>
      <c r="E163" s="4">
        <v>0</v>
      </c>
      <c r="F163" s="4">
        <v>1</v>
      </c>
      <c r="G163" s="4">
        <v>5</v>
      </c>
      <c r="H163" s="4">
        <v>0</v>
      </c>
      <c r="I163" s="4">
        <v>0</v>
      </c>
      <c r="J163" s="4">
        <v>1</v>
      </c>
      <c r="K163" s="4">
        <v>0</v>
      </c>
      <c r="L163" s="4"/>
    </row>
    <row r="164" spans="1:12" x14ac:dyDescent="0.2">
      <c r="A164" s="4">
        <v>3.51</v>
      </c>
      <c r="B164" s="4">
        <v>12</v>
      </c>
      <c r="C164" s="4">
        <v>7</v>
      </c>
      <c r="D164" s="4">
        <v>2</v>
      </c>
      <c r="E164" s="4">
        <v>1</v>
      </c>
      <c r="F164" s="4">
        <v>1</v>
      </c>
      <c r="G164" s="4">
        <v>0</v>
      </c>
      <c r="H164" s="4">
        <v>1</v>
      </c>
      <c r="I164" s="4">
        <v>0</v>
      </c>
      <c r="J164" s="4">
        <v>0</v>
      </c>
      <c r="K164" s="4">
        <v>0</v>
      </c>
      <c r="L164" s="4"/>
    </row>
    <row r="165" spans="1:12" x14ac:dyDescent="0.2">
      <c r="A165" s="4">
        <v>3.52</v>
      </c>
      <c r="B165" s="4">
        <v>12</v>
      </c>
      <c r="C165" s="4">
        <v>48</v>
      </c>
      <c r="D165" s="4">
        <v>1</v>
      </c>
      <c r="E165" s="4">
        <v>0</v>
      </c>
      <c r="F165" s="4">
        <v>1</v>
      </c>
      <c r="G165" s="4">
        <v>0</v>
      </c>
      <c r="H165" s="4">
        <v>0</v>
      </c>
      <c r="I165" s="4">
        <v>1</v>
      </c>
      <c r="J165" s="4">
        <v>0</v>
      </c>
      <c r="K165" s="4">
        <v>0</v>
      </c>
      <c r="L165" s="4"/>
    </row>
    <row r="166" spans="1:12" x14ac:dyDescent="0.2">
      <c r="A166" s="4">
        <v>3.54</v>
      </c>
      <c r="B166" s="4">
        <v>13</v>
      </c>
      <c r="C166" s="4">
        <v>6</v>
      </c>
      <c r="D166" s="4">
        <v>7</v>
      </c>
      <c r="E166" s="4">
        <v>1</v>
      </c>
      <c r="F166" s="4">
        <v>1</v>
      </c>
      <c r="G166" s="4">
        <v>0</v>
      </c>
      <c r="H166" s="4">
        <v>1</v>
      </c>
      <c r="I166" s="4">
        <v>0</v>
      </c>
      <c r="J166" s="4">
        <v>0</v>
      </c>
      <c r="K166" s="4">
        <v>0</v>
      </c>
      <c r="L166" s="4"/>
    </row>
    <row r="167" spans="1:12" x14ac:dyDescent="0.2">
      <c r="A167" s="4">
        <v>3.55</v>
      </c>
      <c r="B167" s="4">
        <v>12</v>
      </c>
      <c r="C167" s="4">
        <v>6</v>
      </c>
      <c r="D167" s="4">
        <v>0</v>
      </c>
      <c r="E167" s="4">
        <v>1</v>
      </c>
      <c r="F167" s="4">
        <v>1</v>
      </c>
      <c r="G167" s="4">
        <v>1</v>
      </c>
      <c r="H167" s="4">
        <v>0</v>
      </c>
      <c r="I167" s="4">
        <v>0</v>
      </c>
      <c r="J167" s="4">
        <v>0</v>
      </c>
      <c r="K167" s="4">
        <v>0</v>
      </c>
      <c r="L167" s="4"/>
    </row>
    <row r="168" spans="1:12" x14ac:dyDescent="0.2">
      <c r="A168" s="4">
        <v>3.55</v>
      </c>
      <c r="B168" s="4">
        <v>12</v>
      </c>
      <c r="C168" s="4">
        <v>21</v>
      </c>
      <c r="D168" s="4">
        <v>0</v>
      </c>
      <c r="E168" s="4">
        <v>1</v>
      </c>
      <c r="F168" s="4">
        <v>1</v>
      </c>
      <c r="G168" s="4">
        <v>1</v>
      </c>
      <c r="H168" s="4">
        <v>0</v>
      </c>
      <c r="I168" s="4">
        <v>1</v>
      </c>
      <c r="J168" s="4">
        <v>0</v>
      </c>
      <c r="K168" s="4">
        <v>0</v>
      </c>
      <c r="L168" s="4"/>
    </row>
    <row r="169" spans="1:12" x14ac:dyDescent="0.2">
      <c r="A169" s="4">
        <v>3.58</v>
      </c>
      <c r="B169" s="4">
        <v>12</v>
      </c>
      <c r="C169" s="4">
        <v>13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1</v>
      </c>
      <c r="J169" s="4">
        <v>0</v>
      </c>
      <c r="K169" s="4">
        <v>0</v>
      </c>
      <c r="L169" s="4">
        <v>0</v>
      </c>
    </row>
    <row r="170" spans="1:12" x14ac:dyDescent="0.2">
      <c r="A170" s="4">
        <v>3.6</v>
      </c>
      <c r="B170" s="4">
        <v>12</v>
      </c>
      <c r="C170" s="4">
        <v>26</v>
      </c>
      <c r="D170" s="4">
        <v>4</v>
      </c>
      <c r="E170" s="4">
        <v>1</v>
      </c>
      <c r="F170" s="4">
        <v>0</v>
      </c>
      <c r="G170" s="4">
        <v>2</v>
      </c>
      <c r="H170" s="4">
        <v>0</v>
      </c>
      <c r="I170" s="4">
        <v>0</v>
      </c>
      <c r="J170" s="4">
        <v>1</v>
      </c>
      <c r="K170" s="4">
        <v>0</v>
      </c>
      <c r="L170" s="4">
        <v>3</v>
      </c>
    </row>
    <row r="171" spans="1:12" x14ac:dyDescent="0.2">
      <c r="A171" s="4">
        <v>3.6</v>
      </c>
      <c r="B171" s="4">
        <v>12</v>
      </c>
      <c r="C171" s="4">
        <v>13</v>
      </c>
      <c r="D171" s="4">
        <v>0</v>
      </c>
      <c r="E171" s="4"/>
      <c r="F171" s="4">
        <v>1</v>
      </c>
      <c r="G171" s="4">
        <v>3</v>
      </c>
      <c r="H171" s="4">
        <v>0</v>
      </c>
      <c r="I171" s="4">
        <v>0</v>
      </c>
      <c r="J171" s="4">
        <v>1</v>
      </c>
      <c r="K171" s="4">
        <v>0</v>
      </c>
      <c r="L171" s="4">
        <v>2</v>
      </c>
    </row>
    <row r="172" spans="1:12" x14ac:dyDescent="0.2">
      <c r="A172" s="4">
        <v>3.6</v>
      </c>
      <c r="B172" s="4">
        <v>10</v>
      </c>
      <c r="C172" s="4">
        <v>34</v>
      </c>
      <c r="D172" s="4">
        <v>26</v>
      </c>
      <c r="E172" s="4">
        <v>1</v>
      </c>
      <c r="F172" s="4">
        <v>1</v>
      </c>
      <c r="G172" s="4">
        <v>0</v>
      </c>
      <c r="H172" s="4">
        <v>0</v>
      </c>
      <c r="I172" s="4">
        <v>1</v>
      </c>
      <c r="J172" s="4">
        <v>0</v>
      </c>
      <c r="K172" s="4">
        <v>0</v>
      </c>
      <c r="L172" s="4">
        <v>3</v>
      </c>
    </row>
    <row r="173" spans="1:12" x14ac:dyDescent="0.2">
      <c r="A173" s="4">
        <v>3.64</v>
      </c>
      <c r="B173" s="4">
        <v>12</v>
      </c>
      <c r="C173" s="4">
        <v>7</v>
      </c>
      <c r="D173" s="4">
        <v>2</v>
      </c>
      <c r="E173" s="4">
        <v>0</v>
      </c>
      <c r="F173" s="4">
        <v>0</v>
      </c>
      <c r="G173" s="4">
        <v>0</v>
      </c>
      <c r="H173" s="4">
        <v>0</v>
      </c>
      <c r="I173" s="4">
        <v>1</v>
      </c>
      <c r="J173" s="4">
        <v>0</v>
      </c>
      <c r="K173" s="4">
        <v>0</v>
      </c>
      <c r="L173" s="4">
        <v>0</v>
      </c>
    </row>
    <row r="174" spans="1:12" x14ac:dyDescent="0.2">
      <c r="A174" s="4">
        <v>3.65</v>
      </c>
      <c r="B174" s="4">
        <v>14</v>
      </c>
      <c r="C174" s="4">
        <v>9</v>
      </c>
      <c r="D174" s="4">
        <v>2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1</v>
      </c>
      <c r="K174" s="4">
        <v>0</v>
      </c>
      <c r="L174" s="4">
        <v>4</v>
      </c>
    </row>
    <row r="175" spans="1:12" x14ac:dyDescent="0.2">
      <c r="A175" s="4">
        <v>3.71</v>
      </c>
      <c r="B175" s="4">
        <v>10</v>
      </c>
      <c r="C175" s="4">
        <v>13</v>
      </c>
      <c r="D175" s="4">
        <v>0</v>
      </c>
      <c r="E175" s="4">
        <v>1</v>
      </c>
      <c r="F175" s="4">
        <v>0</v>
      </c>
      <c r="G175" s="4">
        <v>4</v>
      </c>
      <c r="H175" s="4">
        <v>0</v>
      </c>
      <c r="I175" s="4">
        <v>0</v>
      </c>
      <c r="J175" s="4">
        <v>0</v>
      </c>
      <c r="K175" s="4">
        <v>0</v>
      </c>
      <c r="L175" s="4">
        <v>5</v>
      </c>
    </row>
    <row r="176" spans="1:12" x14ac:dyDescent="0.2">
      <c r="A176" s="4">
        <v>3.71</v>
      </c>
      <c r="B176" s="4">
        <v>9</v>
      </c>
      <c r="C176" s="4">
        <v>14</v>
      </c>
      <c r="D176" s="4">
        <v>7</v>
      </c>
      <c r="E176" s="4">
        <v>0</v>
      </c>
      <c r="F176" s="4">
        <v>1</v>
      </c>
      <c r="G176" s="4">
        <v>2</v>
      </c>
      <c r="H176" s="4">
        <v>0</v>
      </c>
      <c r="I176" s="4">
        <v>1</v>
      </c>
      <c r="J176" s="4">
        <v>0</v>
      </c>
      <c r="K176" s="4">
        <v>0</v>
      </c>
      <c r="L176" s="4">
        <v>5</v>
      </c>
    </row>
    <row r="177" spans="1:12" x14ac:dyDescent="0.2">
      <c r="A177" s="4">
        <v>3.73</v>
      </c>
      <c r="B177" s="4">
        <v>9</v>
      </c>
      <c r="C177" s="4">
        <v>33</v>
      </c>
      <c r="D177" s="4">
        <v>2</v>
      </c>
      <c r="E177" s="4"/>
      <c r="F177" s="4">
        <v>0</v>
      </c>
      <c r="G177" s="4">
        <v>1</v>
      </c>
      <c r="H177" s="4">
        <v>1</v>
      </c>
      <c r="I177" s="4">
        <v>0</v>
      </c>
      <c r="J177" s="4">
        <v>0</v>
      </c>
      <c r="K177" s="4">
        <v>0</v>
      </c>
      <c r="L177" s="4">
        <v>1</v>
      </c>
    </row>
    <row r="178" spans="1:12" x14ac:dyDescent="0.2">
      <c r="A178" s="4">
        <v>3.75</v>
      </c>
      <c r="B178" s="4">
        <v>12</v>
      </c>
      <c r="C178" s="4">
        <v>7</v>
      </c>
      <c r="D178" s="4">
        <v>0</v>
      </c>
      <c r="E178" s="4">
        <v>1</v>
      </c>
      <c r="F178" s="4">
        <v>1</v>
      </c>
      <c r="G178" s="4">
        <v>0</v>
      </c>
      <c r="H178" s="4">
        <v>0</v>
      </c>
      <c r="I178" s="4">
        <v>0</v>
      </c>
      <c r="J178" s="4">
        <v>0</v>
      </c>
      <c r="K178" s="4">
        <v>1</v>
      </c>
      <c r="L178" s="4">
        <v>0</v>
      </c>
    </row>
    <row r="179" spans="1:12" x14ac:dyDescent="0.2">
      <c r="A179" s="4">
        <v>3.75</v>
      </c>
      <c r="B179" s="4">
        <v>12</v>
      </c>
      <c r="C179" s="4">
        <v>14</v>
      </c>
      <c r="D179" s="4">
        <v>0</v>
      </c>
      <c r="E179" s="4">
        <v>1</v>
      </c>
      <c r="F179" s="4">
        <v>1</v>
      </c>
      <c r="G179" s="4">
        <v>3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</row>
    <row r="180" spans="1:12" x14ac:dyDescent="0.2">
      <c r="A180" s="4">
        <v>3.75</v>
      </c>
      <c r="B180" s="4">
        <v>10</v>
      </c>
      <c r="C180" s="4">
        <v>15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4</v>
      </c>
    </row>
    <row r="181" spans="1:12" x14ac:dyDescent="0.2">
      <c r="A181" s="4">
        <v>3.75</v>
      </c>
      <c r="B181" s="4">
        <v>2</v>
      </c>
      <c r="C181" s="4">
        <v>39</v>
      </c>
      <c r="D181" s="4">
        <v>13</v>
      </c>
      <c r="E181" s="4">
        <v>0</v>
      </c>
      <c r="F181" s="4">
        <v>1</v>
      </c>
      <c r="G181" s="4">
        <v>0</v>
      </c>
      <c r="H181" s="4">
        <v>0</v>
      </c>
      <c r="I181" s="4">
        <v>1</v>
      </c>
      <c r="J181" s="4">
        <v>0</v>
      </c>
      <c r="K181" s="4">
        <v>0</v>
      </c>
      <c r="L181" s="4">
        <v>5</v>
      </c>
    </row>
    <row r="182" spans="1:12" x14ac:dyDescent="0.2">
      <c r="A182" s="4">
        <v>3.75</v>
      </c>
      <c r="B182" s="4">
        <v>12</v>
      </c>
      <c r="C182" s="4">
        <v>11</v>
      </c>
      <c r="D182" s="4">
        <v>0</v>
      </c>
      <c r="E182" s="4">
        <v>0</v>
      </c>
      <c r="F182" s="4">
        <v>0</v>
      </c>
      <c r="G182" s="4">
        <v>1</v>
      </c>
      <c r="H182" s="4">
        <v>0</v>
      </c>
      <c r="I182" s="4">
        <v>1</v>
      </c>
      <c r="J182" s="4">
        <v>0</v>
      </c>
      <c r="K182" s="4">
        <v>0</v>
      </c>
      <c r="L182" s="4">
        <v>0</v>
      </c>
    </row>
    <row r="183" spans="1:12" x14ac:dyDescent="0.2">
      <c r="A183" s="4">
        <v>3.75</v>
      </c>
      <c r="B183" s="4">
        <v>18</v>
      </c>
      <c r="C183" s="4">
        <v>1</v>
      </c>
      <c r="D183" s="4">
        <v>2</v>
      </c>
      <c r="E183" s="4">
        <v>0</v>
      </c>
      <c r="F183" s="4">
        <v>0</v>
      </c>
      <c r="G183" s="4">
        <v>1</v>
      </c>
      <c r="H183" s="4">
        <v>1</v>
      </c>
      <c r="I183" s="4">
        <v>0</v>
      </c>
      <c r="J183" s="4">
        <v>0</v>
      </c>
      <c r="K183" s="4">
        <v>0</v>
      </c>
      <c r="L183" s="4">
        <v>2</v>
      </c>
    </row>
    <row r="184" spans="1:12" x14ac:dyDescent="0.2">
      <c r="A184" s="4">
        <v>3.75</v>
      </c>
      <c r="B184" s="4">
        <v>12</v>
      </c>
      <c r="C184" s="4">
        <v>18</v>
      </c>
      <c r="D184" s="4">
        <v>0</v>
      </c>
      <c r="E184" s="4">
        <v>1</v>
      </c>
      <c r="F184" s="4">
        <v>1</v>
      </c>
      <c r="G184" s="4">
        <v>4</v>
      </c>
      <c r="H184" s="4">
        <v>1</v>
      </c>
      <c r="I184" s="4">
        <v>0</v>
      </c>
      <c r="J184" s="4">
        <v>0</v>
      </c>
      <c r="K184" s="4">
        <v>0</v>
      </c>
      <c r="L184" s="4"/>
    </row>
    <row r="185" spans="1:12" x14ac:dyDescent="0.2">
      <c r="A185" s="4">
        <v>3.75</v>
      </c>
      <c r="B185" s="4"/>
      <c r="C185" s="4">
        <v>5</v>
      </c>
      <c r="D185" s="4">
        <v>2</v>
      </c>
      <c r="E185" s="4">
        <v>1</v>
      </c>
      <c r="F185" s="4">
        <v>1</v>
      </c>
      <c r="G185" s="4">
        <v>1</v>
      </c>
      <c r="H185" s="4">
        <v>0</v>
      </c>
      <c r="I185" s="4">
        <v>1</v>
      </c>
      <c r="J185" s="4">
        <v>0</v>
      </c>
      <c r="K185" s="4">
        <v>0</v>
      </c>
      <c r="L185" s="4"/>
    </row>
    <row r="186" spans="1:12" x14ac:dyDescent="0.2">
      <c r="A186" s="4">
        <v>3.75</v>
      </c>
      <c r="B186" s="4"/>
      <c r="C186" s="4">
        <v>13</v>
      </c>
      <c r="D186" s="4">
        <v>0</v>
      </c>
      <c r="E186" s="4">
        <v>1</v>
      </c>
      <c r="F186" s="4">
        <v>1</v>
      </c>
      <c r="G186" s="4">
        <v>3</v>
      </c>
      <c r="H186" s="4">
        <v>1</v>
      </c>
      <c r="I186" s="4">
        <v>0</v>
      </c>
      <c r="J186" s="4">
        <v>0</v>
      </c>
      <c r="K186" s="4">
        <v>0</v>
      </c>
      <c r="L186" s="4"/>
    </row>
    <row r="187" spans="1:12" x14ac:dyDescent="0.2">
      <c r="A187" s="4">
        <v>3.75</v>
      </c>
      <c r="B187" s="4"/>
      <c r="C187" s="4">
        <v>8</v>
      </c>
      <c r="D187" s="4">
        <v>4</v>
      </c>
      <c r="E187" s="4">
        <v>1</v>
      </c>
      <c r="F187" s="4">
        <v>1</v>
      </c>
      <c r="G187" s="4">
        <v>0</v>
      </c>
      <c r="H187" s="4">
        <v>0</v>
      </c>
      <c r="I187" s="4">
        <v>1</v>
      </c>
      <c r="J187" s="4">
        <v>0</v>
      </c>
      <c r="K187" s="4">
        <v>0</v>
      </c>
      <c r="L187" s="4"/>
    </row>
    <row r="188" spans="1:12" x14ac:dyDescent="0.2">
      <c r="A188" s="4">
        <v>3.75</v>
      </c>
      <c r="B188" s="4">
        <v>12</v>
      </c>
      <c r="C188" s="4">
        <v>39</v>
      </c>
      <c r="D188" s="4">
        <v>2</v>
      </c>
      <c r="E188" s="4">
        <v>1</v>
      </c>
      <c r="F188" s="4">
        <v>1</v>
      </c>
      <c r="G188" s="4">
        <v>0</v>
      </c>
      <c r="H188" s="4">
        <v>1</v>
      </c>
      <c r="I188" s="4">
        <v>0</v>
      </c>
      <c r="J188" s="4">
        <v>0</v>
      </c>
      <c r="K188" s="4">
        <v>0</v>
      </c>
      <c r="L188" s="4"/>
    </row>
    <row r="189" spans="1:12" x14ac:dyDescent="0.2">
      <c r="A189" s="4">
        <v>3.76</v>
      </c>
      <c r="B189" s="4">
        <v>6</v>
      </c>
      <c r="C189" s="4">
        <v>6</v>
      </c>
      <c r="D189" s="4">
        <v>0</v>
      </c>
      <c r="E189" s="4">
        <v>0</v>
      </c>
      <c r="F189" s="4">
        <v>0</v>
      </c>
      <c r="G189" s="4">
        <v>4</v>
      </c>
      <c r="H189" s="4">
        <v>0</v>
      </c>
      <c r="I189" s="4">
        <v>1</v>
      </c>
      <c r="J189" s="4">
        <v>0</v>
      </c>
      <c r="K189" s="4">
        <v>0</v>
      </c>
      <c r="L189" s="4"/>
    </row>
    <row r="190" spans="1:12" x14ac:dyDescent="0.2">
      <c r="A190" s="4">
        <v>3.8</v>
      </c>
      <c r="B190" s="4">
        <v>15</v>
      </c>
      <c r="C190" s="4">
        <v>6</v>
      </c>
      <c r="D190" s="4">
        <v>1</v>
      </c>
      <c r="E190" s="4">
        <v>0</v>
      </c>
      <c r="F190" s="4">
        <v>1</v>
      </c>
      <c r="G190" s="4">
        <v>1</v>
      </c>
      <c r="H190" s="4">
        <v>0</v>
      </c>
      <c r="I190" s="4">
        <v>1</v>
      </c>
      <c r="J190" s="4">
        <v>0</v>
      </c>
      <c r="K190" s="4">
        <v>0</v>
      </c>
      <c r="L190" s="4"/>
    </row>
    <row r="191" spans="1:12" x14ac:dyDescent="0.2">
      <c r="A191" s="4">
        <v>3.81</v>
      </c>
      <c r="B191" s="4">
        <v>12</v>
      </c>
      <c r="C191" s="4">
        <v>8</v>
      </c>
      <c r="D191" s="4">
        <v>1</v>
      </c>
      <c r="E191" s="4">
        <v>1</v>
      </c>
      <c r="F191" s="4">
        <v>1</v>
      </c>
      <c r="G191" s="4">
        <v>2</v>
      </c>
      <c r="H191" s="4">
        <v>1</v>
      </c>
      <c r="I191" s="4">
        <v>0</v>
      </c>
      <c r="J191" s="4">
        <v>0</v>
      </c>
      <c r="K191" s="4">
        <v>0</v>
      </c>
      <c r="L191" s="4"/>
    </row>
    <row r="192" spans="1:12" x14ac:dyDescent="0.2">
      <c r="A192" s="4">
        <v>3.83</v>
      </c>
      <c r="B192" s="4">
        <v>12</v>
      </c>
      <c r="C192" s="4">
        <v>18</v>
      </c>
      <c r="D192" s="4">
        <v>2</v>
      </c>
      <c r="E192" s="4">
        <v>1</v>
      </c>
      <c r="F192" s="4">
        <v>0</v>
      </c>
      <c r="G192" s="4">
        <v>3</v>
      </c>
      <c r="H192" s="4">
        <v>0</v>
      </c>
      <c r="I192" s="4">
        <v>1</v>
      </c>
      <c r="J192" s="4">
        <v>0</v>
      </c>
      <c r="K192" s="4">
        <v>0</v>
      </c>
      <c r="L192" s="4">
        <v>3</v>
      </c>
    </row>
    <row r="193" spans="1:12" x14ac:dyDescent="0.2">
      <c r="A193" s="4">
        <v>3.85</v>
      </c>
      <c r="B193" s="4">
        <v>16</v>
      </c>
      <c r="C193" s="4">
        <v>5</v>
      </c>
      <c r="D193" s="4">
        <v>0</v>
      </c>
      <c r="E193" s="4">
        <v>0</v>
      </c>
      <c r="F193" s="4">
        <v>1</v>
      </c>
      <c r="G193" s="4">
        <v>0</v>
      </c>
      <c r="H193" s="4">
        <v>1</v>
      </c>
      <c r="I193" s="4">
        <v>0</v>
      </c>
      <c r="J193" s="4">
        <v>0</v>
      </c>
      <c r="K193" s="4">
        <v>0</v>
      </c>
      <c r="L193" s="4">
        <v>5</v>
      </c>
    </row>
    <row r="194" spans="1:12" x14ac:dyDescent="0.2">
      <c r="A194" s="4">
        <v>3.88</v>
      </c>
      <c r="B194" s="4">
        <v>12</v>
      </c>
      <c r="C194" s="4">
        <v>12</v>
      </c>
      <c r="D194" s="4">
        <v>3</v>
      </c>
      <c r="E194" s="4">
        <v>0</v>
      </c>
      <c r="F194" s="4">
        <v>1</v>
      </c>
      <c r="G194" s="4">
        <v>3</v>
      </c>
      <c r="H194" s="4">
        <v>0</v>
      </c>
      <c r="I194" s="4">
        <v>1</v>
      </c>
      <c r="J194" s="4">
        <v>0</v>
      </c>
      <c r="K194" s="4">
        <v>0</v>
      </c>
      <c r="L194" s="4">
        <v>5</v>
      </c>
    </row>
    <row r="195" spans="1:12" x14ac:dyDescent="0.2">
      <c r="A195" s="4">
        <v>3.91</v>
      </c>
      <c r="B195" s="4">
        <v>18</v>
      </c>
      <c r="C195" s="4">
        <v>17</v>
      </c>
      <c r="D195" s="4">
        <v>3</v>
      </c>
      <c r="E195" s="4">
        <v>0</v>
      </c>
      <c r="F195" s="4">
        <v>1</v>
      </c>
      <c r="G195" s="4">
        <v>2</v>
      </c>
      <c r="H195" s="4">
        <v>0</v>
      </c>
      <c r="I195" s="4">
        <v>1</v>
      </c>
      <c r="J195" s="4">
        <v>0</v>
      </c>
      <c r="K195" s="4">
        <v>0</v>
      </c>
      <c r="L195" s="4">
        <v>1</v>
      </c>
    </row>
    <row r="196" spans="1:12" x14ac:dyDescent="0.2">
      <c r="A196" s="4">
        <v>3.95</v>
      </c>
      <c r="B196" s="4">
        <v>6</v>
      </c>
      <c r="C196" s="4">
        <v>49</v>
      </c>
      <c r="D196" s="4">
        <v>6</v>
      </c>
      <c r="E196" s="4">
        <v>0</v>
      </c>
      <c r="F196" s="4">
        <v>1</v>
      </c>
      <c r="G196" s="4">
        <v>6</v>
      </c>
      <c r="H196" s="4">
        <v>0</v>
      </c>
      <c r="I196" s="4">
        <v>1</v>
      </c>
      <c r="J196" s="4">
        <v>0</v>
      </c>
      <c r="K196" s="4">
        <v>0</v>
      </c>
      <c r="L196" s="4">
        <v>2</v>
      </c>
    </row>
    <row r="197" spans="1:12" x14ac:dyDescent="0.2">
      <c r="A197" s="4">
        <v>4</v>
      </c>
      <c r="B197" s="4">
        <v>11</v>
      </c>
      <c r="C197" s="4">
        <v>45</v>
      </c>
      <c r="D197" s="4">
        <v>12</v>
      </c>
      <c r="E197" s="4">
        <v>1</v>
      </c>
      <c r="F197" s="4">
        <v>1</v>
      </c>
      <c r="G197" s="4">
        <v>0</v>
      </c>
      <c r="H197" s="4">
        <v>0</v>
      </c>
      <c r="I197" s="4">
        <v>0</v>
      </c>
      <c r="J197" s="4">
        <v>1</v>
      </c>
      <c r="K197" s="4">
        <v>0</v>
      </c>
      <c r="L197" s="4">
        <v>5</v>
      </c>
    </row>
    <row r="198" spans="1:12" x14ac:dyDescent="0.2">
      <c r="A198" s="4">
        <v>4</v>
      </c>
      <c r="B198" s="4">
        <v>12</v>
      </c>
      <c r="C198" s="4">
        <v>28</v>
      </c>
      <c r="D198" s="4">
        <v>0</v>
      </c>
      <c r="E198" s="4">
        <v>1</v>
      </c>
      <c r="F198" s="4">
        <v>1</v>
      </c>
      <c r="G198" s="4">
        <v>1</v>
      </c>
      <c r="H198" s="4">
        <v>0</v>
      </c>
      <c r="I198" s="4">
        <v>0</v>
      </c>
      <c r="J198" s="4">
        <v>0</v>
      </c>
      <c r="K198" s="4">
        <v>0</v>
      </c>
      <c r="L198" s="4">
        <v>2</v>
      </c>
    </row>
    <row r="199" spans="1:12" x14ac:dyDescent="0.2">
      <c r="A199" s="4">
        <v>4</v>
      </c>
      <c r="B199" s="4">
        <v>9</v>
      </c>
      <c r="C199" s="4">
        <v>19</v>
      </c>
      <c r="D199" s="4">
        <v>1</v>
      </c>
      <c r="E199" s="4">
        <v>1</v>
      </c>
      <c r="F199" s="4">
        <v>1</v>
      </c>
      <c r="G199" s="4">
        <v>1</v>
      </c>
      <c r="H199" s="4">
        <v>0</v>
      </c>
      <c r="I199" s="4">
        <v>0</v>
      </c>
      <c r="J199" s="4">
        <v>0</v>
      </c>
      <c r="K199" s="4">
        <v>0</v>
      </c>
      <c r="L199" s="4">
        <v>5</v>
      </c>
    </row>
    <row r="200" spans="1:12" x14ac:dyDescent="0.2">
      <c r="A200" s="4">
        <v>4</v>
      </c>
      <c r="B200" s="4">
        <v>12</v>
      </c>
      <c r="C200" s="4">
        <v>22</v>
      </c>
      <c r="D200" s="4">
        <v>11</v>
      </c>
      <c r="E200" s="4">
        <v>1</v>
      </c>
      <c r="F200" s="4">
        <v>1</v>
      </c>
      <c r="G200" s="4">
        <v>2</v>
      </c>
      <c r="H200" s="4">
        <v>1</v>
      </c>
      <c r="I200" s="4">
        <v>0</v>
      </c>
      <c r="J200" s="4">
        <v>0</v>
      </c>
      <c r="K200" s="4">
        <v>0</v>
      </c>
      <c r="L200" s="4">
        <v>5</v>
      </c>
    </row>
    <row r="201" spans="1:12" x14ac:dyDescent="0.2">
      <c r="A201" s="4">
        <v>4</v>
      </c>
      <c r="B201" s="4">
        <v>14</v>
      </c>
      <c r="C201" s="4">
        <v>22</v>
      </c>
      <c r="D201" s="4">
        <v>3</v>
      </c>
      <c r="E201" s="4">
        <v>1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1</v>
      </c>
      <c r="L201" s="4">
        <v>1</v>
      </c>
    </row>
    <row r="202" spans="1:12" x14ac:dyDescent="0.2">
      <c r="A202" s="4">
        <v>4</v>
      </c>
      <c r="B202" s="4">
        <v>12</v>
      </c>
      <c r="C202" s="4">
        <v>10</v>
      </c>
      <c r="D202" s="4">
        <v>1</v>
      </c>
      <c r="E202" s="4">
        <v>1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</row>
    <row r="203" spans="1:12" x14ac:dyDescent="0.2">
      <c r="A203" s="4">
        <v>4</v>
      </c>
      <c r="B203" s="4">
        <v>12</v>
      </c>
      <c r="C203" s="4">
        <v>9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1</v>
      </c>
      <c r="J203" s="4">
        <v>0</v>
      </c>
      <c r="K203" s="4">
        <v>0</v>
      </c>
      <c r="L203" s="4"/>
    </row>
    <row r="204" spans="1:12" x14ac:dyDescent="0.2">
      <c r="A204" s="4">
        <v>4</v>
      </c>
      <c r="B204" s="4">
        <v>12</v>
      </c>
      <c r="C204" s="4">
        <v>43</v>
      </c>
      <c r="D204" s="4">
        <v>6</v>
      </c>
      <c r="E204" s="4">
        <v>1</v>
      </c>
      <c r="F204" s="4">
        <v>1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/>
    </row>
    <row r="205" spans="1:12" x14ac:dyDescent="0.2">
      <c r="A205" s="4">
        <v>4</v>
      </c>
      <c r="B205" s="4">
        <v>10</v>
      </c>
      <c r="C205" s="4">
        <v>34</v>
      </c>
      <c r="D205" s="4">
        <v>12</v>
      </c>
      <c r="E205" s="4">
        <v>0</v>
      </c>
      <c r="F205" s="4">
        <v>1</v>
      </c>
      <c r="G205" s="4">
        <v>0</v>
      </c>
      <c r="H205" s="4">
        <v>1</v>
      </c>
      <c r="I205" s="4">
        <v>0</v>
      </c>
      <c r="J205" s="4">
        <v>0</v>
      </c>
      <c r="K205" s="4">
        <v>0</v>
      </c>
      <c r="L205" s="4"/>
    </row>
    <row r="206" spans="1:12" x14ac:dyDescent="0.2">
      <c r="A206" s="4">
        <v>4</v>
      </c>
      <c r="B206" s="4">
        <v>12</v>
      </c>
      <c r="C206" s="4">
        <v>8</v>
      </c>
      <c r="D206" s="4">
        <v>0</v>
      </c>
      <c r="E206" s="4">
        <v>1</v>
      </c>
      <c r="F206" s="4">
        <v>1</v>
      </c>
      <c r="G206" s="4">
        <v>2</v>
      </c>
      <c r="H206" s="4">
        <v>1</v>
      </c>
      <c r="I206" s="4">
        <v>0</v>
      </c>
      <c r="J206" s="4">
        <v>0</v>
      </c>
      <c r="K206" s="4">
        <v>0</v>
      </c>
      <c r="L206" s="4"/>
    </row>
    <row r="207" spans="1:12" x14ac:dyDescent="0.2">
      <c r="A207" s="4">
        <v>4</v>
      </c>
      <c r="B207" s="4">
        <v>12</v>
      </c>
      <c r="C207" s="4">
        <v>5</v>
      </c>
      <c r="D207" s="4">
        <v>2</v>
      </c>
      <c r="E207" s="4">
        <v>0</v>
      </c>
      <c r="F207" s="4">
        <v>1</v>
      </c>
      <c r="G207" s="4">
        <v>0</v>
      </c>
      <c r="H207" s="4">
        <v>0</v>
      </c>
      <c r="I207" s="4">
        <v>1</v>
      </c>
      <c r="J207" s="4">
        <v>0</v>
      </c>
      <c r="K207" s="4">
        <v>1</v>
      </c>
      <c r="L207" s="4"/>
    </row>
    <row r="208" spans="1:12" x14ac:dyDescent="0.2">
      <c r="A208" s="4">
        <v>4</v>
      </c>
      <c r="B208" s="4">
        <v>12</v>
      </c>
      <c r="C208" s="4">
        <v>22</v>
      </c>
      <c r="D208" s="4">
        <v>3</v>
      </c>
      <c r="E208" s="4">
        <v>0</v>
      </c>
      <c r="F208" s="4">
        <v>1</v>
      </c>
      <c r="G208" s="4">
        <v>3</v>
      </c>
      <c r="H208" s="4">
        <v>0</v>
      </c>
      <c r="I208" s="4">
        <v>1</v>
      </c>
      <c r="J208" s="4">
        <v>0</v>
      </c>
      <c r="K208" s="4">
        <v>0</v>
      </c>
      <c r="L208" s="4"/>
    </row>
    <row r="209" spans="1:12" x14ac:dyDescent="0.2">
      <c r="A209" s="4">
        <v>4</v>
      </c>
      <c r="B209" s="4">
        <v>10</v>
      </c>
      <c r="C209" s="4">
        <v>2</v>
      </c>
      <c r="D209" s="4">
        <v>0</v>
      </c>
      <c r="E209" s="4">
        <v>1</v>
      </c>
      <c r="F209" s="4">
        <v>0</v>
      </c>
      <c r="G209" s="4">
        <v>1</v>
      </c>
      <c r="H209" s="4">
        <v>0</v>
      </c>
      <c r="I209" s="4">
        <v>0</v>
      </c>
      <c r="J209" s="4">
        <v>1</v>
      </c>
      <c r="K209" s="4">
        <v>0</v>
      </c>
      <c r="L209" s="4">
        <v>0</v>
      </c>
    </row>
    <row r="210" spans="1:12" x14ac:dyDescent="0.2">
      <c r="A210" s="4">
        <v>4</v>
      </c>
      <c r="B210" s="4">
        <v>9</v>
      </c>
      <c r="C210" s="4">
        <v>22</v>
      </c>
      <c r="D210" s="4">
        <v>18</v>
      </c>
      <c r="E210" s="4">
        <v>0</v>
      </c>
      <c r="F210" s="4">
        <v>0</v>
      </c>
      <c r="G210" s="4">
        <v>0</v>
      </c>
      <c r="H210" s="4">
        <v>0</v>
      </c>
      <c r="I210" s="4">
        <v>1</v>
      </c>
      <c r="J210" s="4">
        <v>0</v>
      </c>
      <c r="K210" s="4">
        <v>0</v>
      </c>
      <c r="L210" s="4">
        <v>2</v>
      </c>
    </row>
    <row r="211" spans="1:12" x14ac:dyDescent="0.2">
      <c r="A211" s="4">
        <v>4</v>
      </c>
      <c r="B211" s="4">
        <v>13</v>
      </c>
      <c r="C211" s="4">
        <v>6</v>
      </c>
      <c r="D211" s="4">
        <v>0</v>
      </c>
      <c r="E211" s="4">
        <v>1</v>
      </c>
      <c r="F211" s="4">
        <v>0</v>
      </c>
      <c r="G211" s="4">
        <v>1</v>
      </c>
      <c r="H211" s="4">
        <v>1</v>
      </c>
      <c r="I211" s="4">
        <v>0</v>
      </c>
      <c r="J211" s="4">
        <v>0</v>
      </c>
      <c r="K211" s="4">
        <v>1</v>
      </c>
      <c r="L211" s="4"/>
    </row>
    <row r="212" spans="1:12" x14ac:dyDescent="0.2">
      <c r="A212" s="4">
        <v>4.05</v>
      </c>
      <c r="B212" s="4">
        <v>8</v>
      </c>
      <c r="C212" s="4">
        <v>44</v>
      </c>
      <c r="D212" s="4">
        <v>25</v>
      </c>
      <c r="E212" s="4">
        <v>0</v>
      </c>
      <c r="F212" s="4">
        <v>1</v>
      </c>
      <c r="G212" s="4">
        <v>0</v>
      </c>
      <c r="H212" s="4">
        <v>1</v>
      </c>
      <c r="I212" s="4">
        <v>0</v>
      </c>
      <c r="J212" s="4">
        <v>0</v>
      </c>
      <c r="K212" s="4">
        <v>0</v>
      </c>
      <c r="L212" s="4">
        <v>1</v>
      </c>
    </row>
    <row r="213" spans="1:12" x14ac:dyDescent="0.2">
      <c r="A213" s="4">
        <v>4.05</v>
      </c>
      <c r="B213" s="4">
        <v>9</v>
      </c>
      <c r="C213" s="4">
        <v>7</v>
      </c>
      <c r="D213" s="4">
        <v>4</v>
      </c>
      <c r="E213" s="4">
        <v>1</v>
      </c>
      <c r="F213" s="4">
        <v>1</v>
      </c>
      <c r="G213" s="4">
        <v>1</v>
      </c>
      <c r="H213" s="4">
        <v>0</v>
      </c>
      <c r="I213" s="4">
        <v>1</v>
      </c>
      <c r="J213" s="4">
        <v>0</v>
      </c>
      <c r="K213" s="4">
        <v>0</v>
      </c>
      <c r="L213" s="4">
        <v>3</v>
      </c>
    </row>
    <row r="214" spans="1:12" x14ac:dyDescent="0.2">
      <c r="A214" s="4">
        <v>4.08</v>
      </c>
      <c r="B214" s="4">
        <v>12</v>
      </c>
      <c r="C214" s="4">
        <v>43</v>
      </c>
      <c r="D214" s="4">
        <v>17</v>
      </c>
      <c r="E214" s="4"/>
      <c r="F214" s="4">
        <v>1</v>
      </c>
      <c r="G214" s="4">
        <v>0</v>
      </c>
      <c r="H214" s="4">
        <v>1</v>
      </c>
      <c r="I214" s="4">
        <v>0</v>
      </c>
      <c r="J214" s="4">
        <v>0</v>
      </c>
      <c r="K214" s="4">
        <v>0</v>
      </c>
      <c r="L214" s="4">
        <v>1</v>
      </c>
    </row>
    <row r="215" spans="1:12" x14ac:dyDescent="0.2">
      <c r="A215" s="4">
        <v>4.0999999999999996</v>
      </c>
      <c r="B215" s="4">
        <v>16</v>
      </c>
      <c r="C215" s="4">
        <v>5</v>
      </c>
      <c r="D215" s="4">
        <v>0</v>
      </c>
      <c r="E215" s="4">
        <v>1</v>
      </c>
      <c r="F215" s="4">
        <v>1</v>
      </c>
      <c r="G215" s="4">
        <v>0</v>
      </c>
      <c r="H215" s="4">
        <v>1</v>
      </c>
      <c r="I215" s="4">
        <v>0</v>
      </c>
      <c r="J215" s="4">
        <v>0</v>
      </c>
      <c r="K215" s="4">
        <v>0</v>
      </c>
      <c r="L215" s="4"/>
    </row>
    <row r="216" spans="1:12" x14ac:dyDescent="0.2">
      <c r="A216" s="4">
        <v>4.0999999999999996</v>
      </c>
      <c r="B216" s="4">
        <v>14</v>
      </c>
      <c r="C216" s="4">
        <v>6</v>
      </c>
      <c r="D216" s="4">
        <v>0</v>
      </c>
      <c r="E216" s="4">
        <v>1</v>
      </c>
      <c r="F216" s="4">
        <v>1</v>
      </c>
      <c r="G216" s="4">
        <v>0</v>
      </c>
      <c r="H216" s="4">
        <v>0</v>
      </c>
      <c r="I216" s="4">
        <v>1</v>
      </c>
      <c r="J216" s="4">
        <v>0</v>
      </c>
      <c r="K216" s="4">
        <v>0</v>
      </c>
      <c r="L216" s="4">
        <v>5</v>
      </c>
    </row>
    <row r="217" spans="1:12" x14ac:dyDescent="0.2">
      <c r="A217" s="4">
        <v>4.0999999999999996</v>
      </c>
      <c r="B217" s="4">
        <v>12</v>
      </c>
      <c r="C217" s="4">
        <v>3</v>
      </c>
      <c r="D217" s="4">
        <v>2</v>
      </c>
      <c r="E217" s="4">
        <v>1</v>
      </c>
      <c r="F217" s="4">
        <v>0</v>
      </c>
      <c r="G217" s="4">
        <v>0</v>
      </c>
      <c r="H217" s="4">
        <v>1</v>
      </c>
      <c r="I217" s="4">
        <v>0</v>
      </c>
      <c r="J217" s="4">
        <v>0</v>
      </c>
      <c r="K217" s="4">
        <v>0</v>
      </c>
      <c r="L217" s="4">
        <v>3</v>
      </c>
    </row>
    <row r="218" spans="1:12" x14ac:dyDescent="0.2">
      <c r="A218" s="4">
        <v>4.1100000000000003</v>
      </c>
      <c r="B218" s="4">
        <v>14</v>
      </c>
      <c r="C218" s="4">
        <v>5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1</v>
      </c>
      <c r="J218" s="4">
        <v>0</v>
      </c>
      <c r="K218" s="4">
        <v>0</v>
      </c>
      <c r="L218" s="4">
        <v>5</v>
      </c>
    </row>
    <row r="219" spans="1:12" x14ac:dyDescent="0.2">
      <c r="A219" s="4">
        <v>4.1399999999999997</v>
      </c>
      <c r="B219" s="4">
        <v>13</v>
      </c>
      <c r="C219" s="4">
        <v>29</v>
      </c>
      <c r="D219" s="4">
        <v>0</v>
      </c>
      <c r="E219" s="4">
        <v>1</v>
      </c>
      <c r="F219" s="4">
        <v>1</v>
      </c>
      <c r="G219" s="4">
        <v>0</v>
      </c>
      <c r="H219" s="4">
        <v>0</v>
      </c>
      <c r="I219" s="4">
        <v>1</v>
      </c>
      <c r="J219" s="4">
        <v>0</v>
      </c>
      <c r="K219" s="4">
        <v>0</v>
      </c>
      <c r="L219" s="4">
        <v>2</v>
      </c>
    </row>
    <row r="220" spans="1:12" x14ac:dyDescent="0.2">
      <c r="A220" s="4">
        <v>4.17</v>
      </c>
      <c r="B220" s="4">
        <v>0</v>
      </c>
      <c r="C220" s="4">
        <v>22</v>
      </c>
      <c r="D220" s="4">
        <v>10</v>
      </c>
      <c r="E220" s="4">
        <v>1</v>
      </c>
      <c r="F220" s="4">
        <v>0</v>
      </c>
      <c r="G220" s="4">
        <v>0</v>
      </c>
      <c r="H220" s="4">
        <v>0</v>
      </c>
      <c r="I220" s="4">
        <v>1</v>
      </c>
      <c r="J220" s="4">
        <v>0</v>
      </c>
      <c r="K220" s="4">
        <v>0</v>
      </c>
      <c r="L220" s="4">
        <v>1</v>
      </c>
    </row>
    <row r="221" spans="1:12" x14ac:dyDescent="0.2">
      <c r="A221" s="4">
        <v>4.2</v>
      </c>
      <c r="B221" s="4">
        <v>14</v>
      </c>
      <c r="C221" s="4">
        <v>33</v>
      </c>
      <c r="D221" s="4">
        <v>16</v>
      </c>
      <c r="E221" s="4">
        <v>1</v>
      </c>
      <c r="F221" s="4">
        <v>1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/>
    </row>
    <row r="222" spans="1:12" x14ac:dyDescent="0.2">
      <c r="A222" s="4">
        <v>4.2</v>
      </c>
      <c r="B222" s="4">
        <v>13</v>
      </c>
      <c r="C222" s="4">
        <v>11</v>
      </c>
      <c r="D222" s="4">
        <v>3</v>
      </c>
      <c r="E222" s="4">
        <v>1</v>
      </c>
      <c r="F222" s="4">
        <v>1</v>
      </c>
      <c r="G222" s="4">
        <v>2</v>
      </c>
      <c r="H222" s="4">
        <v>1</v>
      </c>
      <c r="I222" s="4">
        <v>0</v>
      </c>
      <c r="J222" s="4">
        <v>0</v>
      </c>
      <c r="K222" s="4">
        <v>0</v>
      </c>
      <c r="L222" s="4"/>
    </row>
    <row r="223" spans="1:12" x14ac:dyDescent="0.2">
      <c r="A223" s="4">
        <v>4.2</v>
      </c>
      <c r="B223" s="4">
        <v>16</v>
      </c>
      <c r="C223" s="4">
        <v>8</v>
      </c>
      <c r="D223" s="4">
        <v>0</v>
      </c>
      <c r="E223" s="4">
        <v>1</v>
      </c>
      <c r="F223" s="4">
        <v>1</v>
      </c>
      <c r="G223" s="4">
        <v>1</v>
      </c>
      <c r="H223" s="4">
        <v>1</v>
      </c>
      <c r="I223" s="4">
        <v>0</v>
      </c>
      <c r="J223" s="4">
        <v>0</v>
      </c>
      <c r="K223" s="4">
        <v>0</v>
      </c>
      <c r="L223" s="4">
        <v>4</v>
      </c>
    </row>
    <row r="224" spans="1:12" x14ac:dyDescent="0.2">
      <c r="A224" s="4">
        <v>4.24</v>
      </c>
      <c r="B224" s="4">
        <v>10</v>
      </c>
      <c r="C224" s="4">
        <v>14</v>
      </c>
      <c r="D224" s="4">
        <v>5</v>
      </c>
      <c r="E224" s="4"/>
      <c r="F224" s="4">
        <v>1</v>
      </c>
      <c r="G224" s="4">
        <v>1</v>
      </c>
      <c r="H224" s="4">
        <v>0</v>
      </c>
      <c r="I224" s="4">
        <v>1</v>
      </c>
      <c r="J224" s="4">
        <v>0</v>
      </c>
      <c r="K224" s="4">
        <v>0</v>
      </c>
      <c r="L224" s="4">
        <v>0</v>
      </c>
    </row>
    <row r="225" spans="1:12" x14ac:dyDescent="0.2">
      <c r="A225" s="4">
        <v>4.25</v>
      </c>
      <c r="B225" s="4">
        <v>14</v>
      </c>
      <c r="C225" s="4">
        <v>5</v>
      </c>
      <c r="D225" s="4">
        <v>2</v>
      </c>
      <c r="E225" s="4">
        <v>0</v>
      </c>
      <c r="F225" s="4">
        <v>1</v>
      </c>
      <c r="G225" s="4">
        <v>2</v>
      </c>
      <c r="H225" s="4">
        <v>0</v>
      </c>
      <c r="I225" s="4">
        <v>0</v>
      </c>
      <c r="J225" s="4">
        <v>0</v>
      </c>
      <c r="K225" s="4">
        <v>0</v>
      </c>
      <c r="L225" s="4">
        <v>1</v>
      </c>
    </row>
    <row r="226" spans="1:12" x14ac:dyDescent="0.2">
      <c r="A226" s="4">
        <v>4.2699999999999996</v>
      </c>
      <c r="B226" s="4">
        <v>16</v>
      </c>
      <c r="C226" s="4">
        <v>22</v>
      </c>
      <c r="D226" s="4">
        <v>4</v>
      </c>
      <c r="E226" s="4">
        <v>1</v>
      </c>
      <c r="F226" s="4">
        <v>1</v>
      </c>
      <c r="G226" s="4">
        <v>1</v>
      </c>
      <c r="H226" s="4">
        <v>0</v>
      </c>
      <c r="I226" s="4">
        <v>0</v>
      </c>
      <c r="J226" s="4">
        <v>1</v>
      </c>
      <c r="K226" s="4">
        <v>0</v>
      </c>
      <c r="L226" s="4">
        <v>4</v>
      </c>
    </row>
    <row r="227" spans="1:12" x14ac:dyDescent="0.2">
      <c r="A227" s="4">
        <v>4.28</v>
      </c>
      <c r="B227" s="4">
        <v>13</v>
      </c>
      <c r="C227" s="4">
        <v>1</v>
      </c>
      <c r="D227" s="4">
        <v>1</v>
      </c>
      <c r="E227" s="4">
        <v>1</v>
      </c>
      <c r="F227" s="4">
        <v>0</v>
      </c>
      <c r="G227" s="4">
        <v>2</v>
      </c>
      <c r="H227" s="4">
        <v>0</v>
      </c>
      <c r="I227" s="4">
        <v>0</v>
      </c>
      <c r="J227" s="4">
        <v>0</v>
      </c>
      <c r="K227" s="4">
        <v>0</v>
      </c>
      <c r="L227" s="4">
        <v>5</v>
      </c>
    </row>
    <row r="228" spans="1:12" x14ac:dyDescent="0.2">
      <c r="A228" s="4">
        <v>4.29</v>
      </c>
      <c r="B228" s="4">
        <v>12</v>
      </c>
      <c r="C228" s="4">
        <v>3</v>
      </c>
      <c r="D228" s="4">
        <v>0</v>
      </c>
      <c r="E228" s="4">
        <v>1</v>
      </c>
      <c r="F228" s="4">
        <v>0</v>
      </c>
      <c r="G228" s="4">
        <v>0</v>
      </c>
      <c r="H228" s="4">
        <v>0</v>
      </c>
      <c r="I228" s="4">
        <v>1</v>
      </c>
      <c r="J228" s="4">
        <v>0</v>
      </c>
      <c r="K228" s="4">
        <v>0</v>
      </c>
      <c r="L228" s="4">
        <v>1</v>
      </c>
    </row>
    <row r="229" spans="1:12" x14ac:dyDescent="0.2">
      <c r="A229" s="4">
        <v>4.29</v>
      </c>
      <c r="B229" s="4">
        <v>12</v>
      </c>
      <c r="C229" s="4">
        <v>47</v>
      </c>
      <c r="D229" s="4">
        <v>25</v>
      </c>
      <c r="E229" s="4">
        <v>1</v>
      </c>
      <c r="F229" s="4">
        <v>1</v>
      </c>
      <c r="G229" s="4">
        <v>2</v>
      </c>
      <c r="H229" s="4">
        <v>0</v>
      </c>
      <c r="I229" s="4">
        <v>1</v>
      </c>
      <c r="J229" s="4">
        <v>0</v>
      </c>
      <c r="K229" s="4">
        <v>0</v>
      </c>
      <c r="L229" s="4">
        <v>0</v>
      </c>
    </row>
    <row r="230" spans="1:12" x14ac:dyDescent="0.2">
      <c r="A230" s="4">
        <v>4.33</v>
      </c>
      <c r="B230" s="4">
        <v>18</v>
      </c>
      <c r="C230" s="4">
        <v>1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5</v>
      </c>
    </row>
    <row r="231" spans="1:12" x14ac:dyDescent="0.2">
      <c r="A231" s="4">
        <v>4.34</v>
      </c>
      <c r="B231" s="4">
        <v>16</v>
      </c>
      <c r="C231" s="4">
        <v>5</v>
      </c>
      <c r="D231" s="4">
        <v>2</v>
      </c>
      <c r="E231" s="4">
        <v>1</v>
      </c>
      <c r="F231" s="4">
        <v>0</v>
      </c>
      <c r="G231" s="4">
        <v>0</v>
      </c>
      <c r="H231" s="4">
        <v>0</v>
      </c>
      <c r="I231" s="4">
        <v>1</v>
      </c>
      <c r="J231" s="4">
        <v>0</v>
      </c>
      <c r="K231" s="4">
        <v>0</v>
      </c>
      <c r="L231" s="4">
        <v>1</v>
      </c>
    </row>
    <row r="232" spans="1:12" x14ac:dyDescent="0.2">
      <c r="A232" s="4">
        <v>4.38</v>
      </c>
      <c r="B232" s="4">
        <v>16</v>
      </c>
      <c r="C232" s="4">
        <v>7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2</v>
      </c>
    </row>
    <row r="233" spans="1:12" x14ac:dyDescent="0.2">
      <c r="A233" s="4">
        <v>4.38</v>
      </c>
      <c r="B233" s="4">
        <v>13</v>
      </c>
      <c r="C233" s="4">
        <v>7</v>
      </c>
      <c r="D233" s="4">
        <v>0</v>
      </c>
      <c r="E233" s="4">
        <v>0</v>
      </c>
      <c r="F233" s="4">
        <v>1</v>
      </c>
      <c r="G233" s="4">
        <v>1</v>
      </c>
      <c r="H233" s="4">
        <v>0</v>
      </c>
      <c r="I233" s="4">
        <v>0</v>
      </c>
      <c r="J233" s="4">
        <v>1</v>
      </c>
      <c r="K233" s="4">
        <v>0</v>
      </c>
      <c r="L233" s="4">
        <v>4</v>
      </c>
    </row>
    <row r="234" spans="1:12" x14ac:dyDescent="0.2">
      <c r="A234" s="4">
        <v>4.4400000000000004</v>
      </c>
      <c r="B234" s="4">
        <v>12</v>
      </c>
      <c r="C234" s="4">
        <v>3</v>
      </c>
      <c r="D234" s="4">
        <v>0</v>
      </c>
      <c r="E234" s="4">
        <v>0</v>
      </c>
      <c r="F234" s="4">
        <v>0</v>
      </c>
      <c r="G234" s="4">
        <v>0</v>
      </c>
      <c r="H234" s="4">
        <v>1</v>
      </c>
      <c r="I234" s="4">
        <v>0</v>
      </c>
      <c r="J234" s="4">
        <v>0</v>
      </c>
      <c r="K234" s="4">
        <v>0</v>
      </c>
      <c r="L234" s="4">
        <v>2</v>
      </c>
    </row>
    <row r="235" spans="1:12" x14ac:dyDescent="0.2">
      <c r="A235" s="4">
        <v>4.4400000000000004</v>
      </c>
      <c r="B235" s="4">
        <v>8</v>
      </c>
      <c r="C235" s="4">
        <v>29</v>
      </c>
      <c r="D235" s="4">
        <v>11</v>
      </c>
      <c r="E235" s="4">
        <v>0</v>
      </c>
      <c r="F235" s="4">
        <v>1</v>
      </c>
      <c r="G235" s="4">
        <v>3</v>
      </c>
      <c r="H235" s="4">
        <v>0</v>
      </c>
      <c r="I235" s="4">
        <v>1</v>
      </c>
      <c r="J235" s="4">
        <v>0</v>
      </c>
      <c r="K235" s="4">
        <v>0</v>
      </c>
      <c r="L235" s="4">
        <v>0</v>
      </c>
    </row>
    <row r="236" spans="1:12" x14ac:dyDescent="0.2">
      <c r="A236" s="4">
        <v>4.5</v>
      </c>
      <c r="B236" s="4">
        <v>14</v>
      </c>
      <c r="C236" s="4">
        <v>2</v>
      </c>
      <c r="D236" s="4">
        <v>5</v>
      </c>
      <c r="E236" s="4">
        <v>1</v>
      </c>
      <c r="F236" s="4">
        <v>0</v>
      </c>
      <c r="G236" s="4">
        <v>2</v>
      </c>
      <c r="H236" s="4">
        <v>0</v>
      </c>
      <c r="I236" s="4">
        <v>0</v>
      </c>
      <c r="J236" s="4">
        <v>1</v>
      </c>
      <c r="K236" s="4">
        <v>0</v>
      </c>
      <c r="L236" s="4">
        <v>1</v>
      </c>
    </row>
    <row r="237" spans="1:12" x14ac:dyDescent="0.2">
      <c r="A237" s="4">
        <v>4.5</v>
      </c>
      <c r="B237" s="4">
        <v>14</v>
      </c>
      <c r="C237" s="4">
        <v>16</v>
      </c>
      <c r="D237" s="4">
        <v>0</v>
      </c>
      <c r="E237" s="4">
        <v>1</v>
      </c>
      <c r="F237" s="4">
        <v>1</v>
      </c>
      <c r="G237" s="4">
        <v>1</v>
      </c>
      <c r="H237" s="4">
        <v>0</v>
      </c>
      <c r="I237" s="4">
        <v>0</v>
      </c>
      <c r="J237" s="4">
        <v>1</v>
      </c>
      <c r="K237" s="4">
        <v>0</v>
      </c>
      <c r="L237" s="4">
        <v>1</v>
      </c>
    </row>
    <row r="238" spans="1:12" x14ac:dyDescent="0.2">
      <c r="A238" s="4">
        <v>4.5</v>
      </c>
      <c r="B238" s="4">
        <v>9</v>
      </c>
      <c r="C238" s="4">
        <v>22</v>
      </c>
      <c r="D238" s="4">
        <v>5</v>
      </c>
      <c r="E238" s="4">
        <v>0</v>
      </c>
      <c r="F238" s="4">
        <v>1</v>
      </c>
      <c r="G238" s="4">
        <v>4</v>
      </c>
      <c r="H238" s="4">
        <v>0</v>
      </c>
      <c r="I238" s="4">
        <v>0</v>
      </c>
      <c r="J238" s="4">
        <v>0</v>
      </c>
      <c r="K238" s="4">
        <v>0</v>
      </c>
      <c r="L238" s="4">
        <v>2</v>
      </c>
    </row>
    <row r="239" spans="1:12" x14ac:dyDescent="0.2">
      <c r="A239" s="4">
        <v>4.5</v>
      </c>
      <c r="B239" s="4">
        <v>12</v>
      </c>
      <c r="C239" s="4">
        <v>35</v>
      </c>
      <c r="D239" s="4">
        <v>12</v>
      </c>
      <c r="E239" s="4">
        <v>1</v>
      </c>
      <c r="F239" s="4">
        <v>1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3</v>
      </c>
    </row>
    <row r="240" spans="1:12" x14ac:dyDescent="0.2">
      <c r="A240" s="4">
        <v>4.5</v>
      </c>
      <c r="B240" s="4">
        <v>12</v>
      </c>
      <c r="C240" s="4">
        <v>12</v>
      </c>
      <c r="D240" s="4">
        <v>0</v>
      </c>
      <c r="E240" s="4">
        <v>0</v>
      </c>
      <c r="F240" s="4">
        <v>1</v>
      </c>
      <c r="G240" s="4">
        <v>3</v>
      </c>
      <c r="H240" s="4">
        <v>0</v>
      </c>
      <c r="I240" s="4">
        <v>1</v>
      </c>
      <c r="J240" s="4">
        <v>0</v>
      </c>
      <c r="K240" s="4">
        <v>0</v>
      </c>
      <c r="L240" s="4">
        <v>4</v>
      </c>
    </row>
    <row r="241" spans="1:12" x14ac:dyDescent="0.2">
      <c r="A241" s="4">
        <v>4.5</v>
      </c>
      <c r="B241" s="4">
        <v>12</v>
      </c>
      <c r="C241" s="4">
        <v>31</v>
      </c>
      <c r="D241" s="4">
        <v>4</v>
      </c>
      <c r="E241" s="4">
        <v>1</v>
      </c>
      <c r="F241" s="4">
        <v>1</v>
      </c>
      <c r="G241" s="4">
        <v>3</v>
      </c>
      <c r="H241" s="4">
        <v>0</v>
      </c>
      <c r="I241" s="4">
        <v>1</v>
      </c>
      <c r="J241" s="4">
        <v>0</v>
      </c>
      <c r="K241" s="4">
        <v>0</v>
      </c>
      <c r="L241" s="4">
        <v>2</v>
      </c>
    </row>
    <row r="242" spans="1:12" x14ac:dyDescent="0.2">
      <c r="A242" s="4">
        <v>4.5</v>
      </c>
      <c r="B242" s="4">
        <v>12</v>
      </c>
      <c r="C242" s="4">
        <v>47</v>
      </c>
      <c r="D242" s="4">
        <v>4</v>
      </c>
      <c r="E242" s="4">
        <v>1</v>
      </c>
      <c r="F242" s="4">
        <v>1</v>
      </c>
      <c r="G242" s="4">
        <v>0</v>
      </c>
      <c r="H242" s="4">
        <v>1</v>
      </c>
      <c r="I242" s="4">
        <v>0</v>
      </c>
      <c r="J242" s="4">
        <v>0</v>
      </c>
      <c r="K242" s="4">
        <v>0</v>
      </c>
      <c r="L242" s="4">
        <v>2</v>
      </c>
    </row>
    <row r="243" spans="1:12" x14ac:dyDescent="0.2">
      <c r="A243" s="4">
        <v>4.5</v>
      </c>
      <c r="B243" s="4">
        <v>13</v>
      </c>
      <c r="C243" s="4">
        <v>23</v>
      </c>
      <c r="D243" s="4">
        <v>2</v>
      </c>
      <c r="E243" s="4">
        <v>1</v>
      </c>
      <c r="F243" s="4">
        <v>0</v>
      </c>
      <c r="G243" s="4">
        <v>0</v>
      </c>
      <c r="H243" s="4">
        <v>0</v>
      </c>
      <c r="I243" s="4">
        <v>1</v>
      </c>
      <c r="J243" s="4">
        <v>0</v>
      </c>
      <c r="K243" s="4">
        <v>0</v>
      </c>
      <c r="L243" s="4">
        <v>2</v>
      </c>
    </row>
    <row r="244" spans="1:12" x14ac:dyDescent="0.2">
      <c r="A244" s="4">
        <v>4.5</v>
      </c>
      <c r="B244" s="4">
        <v>12</v>
      </c>
      <c r="C244" s="4">
        <v>2</v>
      </c>
      <c r="D244" s="4">
        <v>1</v>
      </c>
      <c r="E244" s="4">
        <v>1</v>
      </c>
      <c r="F244" s="4">
        <v>0</v>
      </c>
      <c r="G244" s="4">
        <v>2</v>
      </c>
      <c r="H244" s="4">
        <v>0</v>
      </c>
      <c r="I244" s="4">
        <v>0</v>
      </c>
      <c r="J244" s="4">
        <v>0</v>
      </c>
      <c r="K244" s="4">
        <v>1</v>
      </c>
      <c r="L244" s="4">
        <v>1</v>
      </c>
    </row>
    <row r="245" spans="1:12" x14ac:dyDescent="0.2">
      <c r="A245" s="4">
        <v>4.5</v>
      </c>
      <c r="B245" s="4">
        <v>12</v>
      </c>
      <c r="C245" s="4">
        <v>13</v>
      </c>
      <c r="D245" s="4">
        <v>0</v>
      </c>
      <c r="E245" s="4">
        <v>0</v>
      </c>
      <c r="F245" s="4">
        <v>1</v>
      </c>
      <c r="G245" s="4">
        <v>0</v>
      </c>
      <c r="H245" s="4">
        <v>0</v>
      </c>
      <c r="I245" s="4">
        <v>1</v>
      </c>
      <c r="J245" s="4">
        <v>0</v>
      </c>
      <c r="K245" s="4">
        <v>0</v>
      </c>
      <c r="L245" s="4">
        <v>1</v>
      </c>
    </row>
    <row r="246" spans="1:12" x14ac:dyDescent="0.2">
      <c r="A246" s="4">
        <v>4.5</v>
      </c>
      <c r="B246" s="4">
        <v>14</v>
      </c>
      <c r="C246" s="4">
        <v>5</v>
      </c>
      <c r="D246" s="4">
        <v>0</v>
      </c>
      <c r="E246" s="4">
        <v>0</v>
      </c>
      <c r="F246" s="4">
        <v>1</v>
      </c>
      <c r="G246" s="4">
        <v>0</v>
      </c>
      <c r="H246" s="4">
        <v>1</v>
      </c>
      <c r="I246" s="4">
        <v>0</v>
      </c>
      <c r="J246" s="4">
        <v>0</v>
      </c>
      <c r="K246" s="4">
        <v>1</v>
      </c>
      <c r="L246" s="4">
        <v>4</v>
      </c>
    </row>
    <row r="247" spans="1:12" x14ac:dyDescent="0.2">
      <c r="A247" s="4">
        <v>4.5</v>
      </c>
      <c r="B247" s="4">
        <v>12</v>
      </c>
      <c r="C247" s="4">
        <v>35</v>
      </c>
      <c r="D247" s="4">
        <v>0</v>
      </c>
      <c r="E247" s="4">
        <v>1</v>
      </c>
      <c r="F247" s="4">
        <v>1</v>
      </c>
      <c r="G247" s="4">
        <v>1</v>
      </c>
      <c r="H247" s="4">
        <v>0</v>
      </c>
      <c r="I247" s="4">
        <v>1</v>
      </c>
      <c r="J247" s="4">
        <v>0</v>
      </c>
      <c r="K247" s="4">
        <v>0</v>
      </c>
      <c r="L247" s="4">
        <v>4</v>
      </c>
    </row>
    <row r="248" spans="1:12" x14ac:dyDescent="0.2">
      <c r="A248" s="4">
        <v>4.5</v>
      </c>
      <c r="B248" s="4">
        <v>11</v>
      </c>
      <c r="C248" s="4">
        <v>37</v>
      </c>
      <c r="D248" s="4">
        <v>10</v>
      </c>
      <c r="E248" s="4">
        <v>0</v>
      </c>
      <c r="F248" s="4">
        <v>1</v>
      </c>
      <c r="G248" s="4">
        <v>2</v>
      </c>
      <c r="H248" s="4">
        <v>0</v>
      </c>
      <c r="I248" s="4">
        <v>1</v>
      </c>
      <c r="J248" s="4">
        <v>0</v>
      </c>
      <c r="K248" s="4">
        <v>0</v>
      </c>
      <c r="L248" s="4"/>
    </row>
    <row r="249" spans="1:12" x14ac:dyDescent="0.2">
      <c r="A249" s="4">
        <v>4.5</v>
      </c>
      <c r="B249" s="4">
        <v>14</v>
      </c>
      <c r="C249" s="4">
        <v>10</v>
      </c>
      <c r="D249" s="4">
        <v>0</v>
      </c>
      <c r="E249" s="4">
        <v>0</v>
      </c>
      <c r="F249" s="4">
        <v>1</v>
      </c>
      <c r="G249" s="4">
        <v>0</v>
      </c>
      <c r="H249" s="4">
        <v>1</v>
      </c>
      <c r="I249" s="4">
        <v>0</v>
      </c>
      <c r="J249" s="4">
        <v>0</v>
      </c>
      <c r="K249" s="4">
        <v>0</v>
      </c>
      <c r="L249" s="4"/>
    </row>
    <row r="250" spans="1:12" x14ac:dyDescent="0.2">
      <c r="A250" s="4">
        <v>4.5</v>
      </c>
      <c r="B250" s="4">
        <v>16</v>
      </c>
      <c r="C250" s="4">
        <v>21</v>
      </c>
      <c r="D250" s="4">
        <v>10</v>
      </c>
      <c r="E250" s="4">
        <v>0</v>
      </c>
      <c r="F250" s="4">
        <v>1</v>
      </c>
      <c r="G250" s="4">
        <v>1</v>
      </c>
      <c r="H250" s="4">
        <v>0</v>
      </c>
      <c r="I250" s="4">
        <v>1</v>
      </c>
      <c r="J250" s="4">
        <v>0</v>
      </c>
      <c r="K250" s="4">
        <v>0</v>
      </c>
      <c r="L250" s="4"/>
    </row>
    <row r="251" spans="1:12" x14ac:dyDescent="0.2">
      <c r="A251" s="4">
        <v>4.5</v>
      </c>
      <c r="B251" s="4">
        <v>11</v>
      </c>
      <c r="C251" s="4">
        <v>3</v>
      </c>
      <c r="D251" s="4">
        <v>9</v>
      </c>
      <c r="E251" s="4">
        <v>0</v>
      </c>
      <c r="F251" s="4">
        <v>0</v>
      </c>
      <c r="G251" s="4">
        <v>0</v>
      </c>
      <c r="H251" s="4">
        <v>0</v>
      </c>
      <c r="I251" s="4">
        <v>1</v>
      </c>
      <c r="J251" s="4">
        <v>0</v>
      </c>
      <c r="K251" s="4">
        <v>1</v>
      </c>
      <c r="L251" s="4">
        <v>0</v>
      </c>
    </row>
    <row r="252" spans="1:12" x14ac:dyDescent="0.2">
      <c r="A252" s="4">
        <v>4.5</v>
      </c>
      <c r="B252" s="4">
        <v>12</v>
      </c>
      <c r="C252" s="4">
        <v>37</v>
      </c>
      <c r="D252" s="4">
        <v>14</v>
      </c>
      <c r="E252" s="4">
        <v>1</v>
      </c>
      <c r="F252" s="4">
        <v>1</v>
      </c>
      <c r="G252" s="4">
        <v>0</v>
      </c>
      <c r="H252" s="4">
        <v>0</v>
      </c>
      <c r="I252" s="4">
        <v>0</v>
      </c>
      <c r="J252" s="4">
        <v>1</v>
      </c>
      <c r="K252" s="4">
        <v>0</v>
      </c>
      <c r="L252" s="4">
        <v>5</v>
      </c>
    </row>
    <row r="253" spans="1:12" x14ac:dyDescent="0.2">
      <c r="A253" s="4">
        <v>4.5</v>
      </c>
      <c r="B253" s="4">
        <v>12</v>
      </c>
      <c r="C253" s="4">
        <v>3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1</v>
      </c>
      <c r="K253" s="4">
        <v>0</v>
      </c>
      <c r="L253" s="4">
        <v>5</v>
      </c>
    </row>
    <row r="254" spans="1:12" x14ac:dyDescent="0.2">
      <c r="A254" s="4">
        <v>4.5</v>
      </c>
      <c r="B254" s="4">
        <v>12</v>
      </c>
      <c r="C254" s="4">
        <v>13</v>
      </c>
      <c r="D254" s="4">
        <v>0</v>
      </c>
      <c r="E254" s="4">
        <v>0</v>
      </c>
      <c r="F254" s="4">
        <v>1</v>
      </c>
      <c r="G254" s="4">
        <v>0</v>
      </c>
      <c r="H254" s="4">
        <v>0</v>
      </c>
      <c r="I254" s="4">
        <v>0</v>
      </c>
      <c r="J254" s="4">
        <v>1</v>
      </c>
      <c r="K254" s="4">
        <v>0</v>
      </c>
      <c r="L254" s="4">
        <v>5</v>
      </c>
    </row>
    <row r="255" spans="1:12" x14ac:dyDescent="0.2">
      <c r="A255" s="4">
        <v>4.51</v>
      </c>
      <c r="B255" s="4">
        <v>12</v>
      </c>
      <c r="C255" s="4">
        <v>5</v>
      </c>
      <c r="D255" s="4">
        <v>2</v>
      </c>
      <c r="E255" s="4">
        <v>0</v>
      </c>
      <c r="F255" s="4">
        <v>0</v>
      </c>
      <c r="G255" s="4">
        <v>0</v>
      </c>
      <c r="H255" s="4">
        <v>1</v>
      </c>
      <c r="I255" s="4">
        <v>0</v>
      </c>
      <c r="J255" s="4">
        <v>0</v>
      </c>
      <c r="K255" s="4">
        <v>0</v>
      </c>
      <c r="L255" s="4">
        <v>5</v>
      </c>
    </row>
    <row r="256" spans="1:12" x14ac:dyDescent="0.2">
      <c r="A256" s="4">
        <v>4.55</v>
      </c>
      <c r="B256" s="4">
        <v>12</v>
      </c>
      <c r="C256" s="4">
        <v>11</v>
      </c>
      <c r="D256" s="4">
        <v>0</v>
      </c>
      <c r="E256" s="4"/>
      <c r="F256" s="4">
        <v>1</v>
      </c>
      <c r="G256" s="4">
        <v>0</v>
      </c>
      <c r="H256" s="4">
        <v>1</v>
      </c>
      <c r="I256" s="4">
        <v>0</v>
      </c>
      <c r="J256" s="4">
        <v>0</v>
      </c>
      <c r="K256" s="4">
        <v>0</v>
      </c>
      <c r="L256" s="4"/>
    </row>
    <row r="257" spans="1:12" x14ac:dyDescent="0.2">
      <c r="A257" s="4">
        <v>4.55</v>
      </c>
      <c r="B257" s="4">
        <v>16</v>
      </c>
      <c r="C257" s="4">
        <v>34</v>
      </c>
      <c r="D257" s="4">
        <v>2</v>
      </c>
      <c r="E257" s="4">
        <v>0</v>
      </c>
      <c r="F257" s="4">
        <v>1</v>
      </c>
      <c r="G257" s="4">
        <v>0</v>
      </c>
      <c r="H257" s="4">
        <v>0</v>
      </c>
      <c r="I257" s="4">
        <v>1</v>
      </c>
      <c r="J257" s="4">
        <v>0</v>
      </c>
      <c r="K257" s="4">
        <v>0</v>
      </c>
      <c r="L257" s="4"/>
    </row>
    <row r="258" spans="1:12" x14ac:dyDescent="0.2">
      <c r="A258" s="4">
        <v>4.57</v>
      </c>
      <c r="B258" s="4">
        <v>14</v>
      </c>
      <c r="C258" s="4">
        <v>37</v>
      </c>
      <c r="D258" s="4">
        <v>7</v>
      </c>
      <c r="E258" s="4">
        <v>1</v>
      </c>
      <c r="F258" s="4">
        <v>1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1</v>
      </c>
    </row>
    <row r="259" spans="1:12" x14ac:dyDescent="0.2">
      <c r="A259" s="4">
        <v>4.57</v>
      </c>
      <c r="B259" s="4">
        <v>14</v>
      </c>
      <c r="C259" s="4">
        <v>3</v>
      </c>
      <c r="D259" s="4">
        <v>0</v>
      </c>
      <c r="E259" s="4">
        <v>0</v>
      </c>
      <c r="F259" s="4">
        <v>1</v>
      </c>
      <c r="G259" s="4">
        <v>0</v>
      </c>
      <c r="H259" s="4">
        <v>0</v>
      </c>
      <c r="I259" s="4">
        <v>1</v>
      </c>
      <c r="J259" s="4">
        <v>0</v>
      </c>
      <c r="K259" s="4">
        <v>0</v>
      </c>
      <c r="L259" s="4">
        <v>3</v>
      </c>
    </row>
    <row r="260" spans="1:12" x14ac:dyDescent="0.2">
      <c r="A260" s="4">
        <v>4.5999999999999996</v>
      </c>
      <c r="B260" s="4">
        <v>14</v>
      </c>
      <c r="C260" s="4">
        <v>7</v>
      </c>
      <c r="D260" s="4">
        <v>0</v>
      </c>
      <c r="E260" s="4">
        <v>1</v>
      </c>
      <c r="F260" s="4">
        <v>1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1</v>
      </c>
    </row>
    <row r="261" spans="1:12" x14ac:dyDescent="0.2">
      <c r="A261" s="4">
        <v>4.63</v>
      </c>
      <c r="B261" s="4">
        <v>14</v>
      </c>
      <c r="C261" s="4">
        <v>4</v>
      </c>
      <c r="D261" s="4">
        <v>0</v>
      </c>
      <c r="E261" s="4">
        <v>1</v>
      </c>
      <c r="F261" s="4">
        <v>1</v>
      </c>
      <c r="G261" s="4">
        <v>2</v>
      </c>
      <c r="H261" s="4">
        <v>0</v>
      </c>
      <c r="I261" s="4">
        <v>1</v>
      </c>
      <c r="J261" s="4">
        <v>0</v>
      </c>
      <c r="K261" s="4">
        <v>0</v>
      </c>
      <c r="L261" s="4">
        <v>2</v>
      </c>
    </row>
    <row r="262" spans="1:12" x14ac:dyDescent="0.2">
      <c r="A262" s="4">
        <v>4.63</v>
      </c>
      <c r="B262" s="4">
        <v>12</v>
      </c>
      <c r="C262" s="4">
        <v>16</v>
      </c>
      <c r="D262" s="4">
        <v>1</v>
      </c>
      <c r="E262" s="4">
        <v>1</v>
      </c>
      <c r="F262" s="4">
        <v>0</v>
      </c>
      <c r="G262" s="4">
        <v>0</v>
      </c>
      <c r="H262" s="4">
        <v>0</v>
      </c>
      <c r="I262" s="4">
        <v>1</v>
      </c>
      <c r="J262" s="4">
        <v>0</v>
      </c>
      <c r="K262" s="4">
        <v>0</v>
      </c>
      <c r="L262" s="4">
        <v>2</v>
      </c>
    </row>
    <row r="263" spans="1:12" x14ac:dyDescent="0.2">
      <c r="A263" s="4">
        <v>4.6500000000000004</v>
      </c>
      <c r="B263" s="4">
        <v>16</v>
      </c>
      <c r="C263" s="4">
        <v>3</v>
      </c>
      <c r="D263" s="4">
        <v>1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5</v>
      </c>
    </row>
    <row r="264" spans="1:12" x14ac:dyDescent="0.2">
      <c r="A264" s="4">
        <v>4.6500000000000004</v>
      </c>
      <c r="B264" s="4">
        <v>12</v>
      </c>
      <c r="C264" s="4">
        <v>27</v>
      </c>
      <c r="D264" s="4">
        <v>2</v>
      </c>
      <c r="E264" s="4">
        <v>0</v>
      </c>
      <c r="F264" s="4">
        <v>1</v>
      </c>
      <c r="G264" s="4">
        <v>3</v>
      </c>
      <c r="H264" s="4">
        <v>0</v>
      </c>
      <c r="I264" s="4">
        <v>1</v>
      </c>
      <c r="J264" s="4">
        <v>0</v>
      </c>
      <c r="K264" s="4">
        <v>0</v>
      </c>
      <c r="L264" s="4">
        <v>5</v>
      </c>
    </row>
    <row r="265" spans="1:12" x14ac:dyDescent="0.2">
      <c r="A265" s="4">
        <v>4.67</v>
      </c>
      <c r="B265" s="4">
        <v>15</v>
      </c>
      <c r="C265" s="4">
        <v>13</v>
      </c>
      <c r="D265" s="4">
        <v>18</v>
      </c>
      <c r="E265" s="4">
        <v>0</v>
      </c>
      <c r="F265" s="4">
        <v>1</v>
      </c>
      <c r="G265" s="4">
        <v>3</v>
      </c>
      <c r="H265" s="4">
        <v>0</v>
      </c>
      <c r="I265" s="4">
        <v>0</v>
      </c>
      <c r="J265" s="4">
        <v>1</v>
      </c>
      <c r="K265" s="4">
        <v>1</v>
      </c>
      <c r="L265" s="4">
        <v>1</v>
      </c>
    </row>
    <row r="266" spans="1:12" x14ac:dyDescent="0.2">
      <c r="A266" s="4">
        <v>4.68</v>
      </c>
      <c r="B266" s="4">
        <v>12</v>
      </c>
      <c r="C266" s="4">
        <v>3</v>
      </c>
      <c r="D266" s="4">
        <v>0</v>
      </c>
      <c r="E266" s="4">
        <v>1</v>
      </c>
      <c r="F266" s="4">
        <v>0</v>
      </c>
      <c r="G266" s="4">
        <v>0</v>
      </c>
      <c r="H266" s="4">
        <v>0</v>
      </c>
      <c r="I266" s="4">
        <v>0</v>
      </c>
      <c r="J266" s="4">
        <v>1</v>
      </c>
      <c r="K266" s="4">
        <v>0</v>
      </c>
      <c r="L266" s="4">
        <v>1</v>
      </c>
    </row>
    <row r="267" spans="1:12" x14ac:dyDescent="0.2">
      <c r="A267" s="4">
        <v>4.68</v>
      </c>
      <c r="B267" s="4">
        <v>16</v>
      </c>
      <c r="C267" s="4">
        <v>3</v>
      </c>
      <c r="D267" s="4">
        <v>1</v>
      </c>
      <c r="E267" s="4">
        <v>1</v>
      </c>
      <c r="F267" s="4">
        <v>0</v>
      </c>
      <c r="G267" s="4">
        <v>0</v>
      </c>
      <c r="H267" s="4">
        <v>1</v>
      </c>
      <c r="I267" s="4">
        <v>0</v>
      </c>
      <c r="J267" s="4">
        <v>0</v>
      </c>
      <c r="K267" s="4">
        <v>0</v>
      </c>
      <c r="L267" s="4">
        <v>4</v>
      </c>
    </row>
    <row r="268" spans="1:12" x14ac:dyDescent="0.2">
      <c r="A268" s="4">
        <v>4.68</v>
      </c>
      <c r="B268" s="4">
        <v>16</v>
      </c>
      <c r="C268" s="4">
        <v>1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1</v>
      </c>
      <c r="J268" s="4">
        <v>0</v>
      </c>
      <c r="K268" s="4">
        <v>0</v>
      </c>
      <c r="L268" s="4">
        <v>3</v>
      </c>
    </row>
    <row r="269" spans="1:12" x14ac:dyDescent="0.2">
      <c r="A269" s="4">
        <v>4.6900000000000004</v>
      </c>
      <c r="B269" s="4">
        <v>10</v>
      </c>
      <c r="C269" s="4">
        <v>7</v>
      </c>
      <c r="D269" s="4">
        <v>7</v>
      </c>
      <c r="E269" s="4">
        <v>0</v>
      </c>
      <c r="F269" s="4">
        <v>0</v>
      </c>
      <c r="G269" s="4">
        <v>0</v>
      </c>
      <c r="H269" s="4">
        <v>1</v>
      </c>
      <c r="I269" s="4">
        <v>0</v>
      </c>
      <c r="J269" s="4">
        <v>0</v>
      </c>
      <c r="K269" s="4">
        <v>0</v>
      </c>
      <c r="L269" s="4">
        <v>0</v>
      </c>
    </row>
    <row r="270" spans="1:12" x14ac:dyDescent="0.2">
      <c r="A270" s="4">
        <v>4.72</v>
      </c>
      <c r="B270" s="4">
        <v>12</v>
      </c>
      <c r="C270" s="4">
        <v>15</v>
      </c>
      <c r="D270" s="4">
        <v>1</v>
      </c>
      <c r="E270" s="4">
        <v>1</v>
      </c>
      <c r="F270" s="4">
        <v>0</v>
      </c>
      <c r="G270" s="4">
        <v>0</v>
      </c>
      <c r="H270" s="4">
        <v>0</v>
      </c>
      <c r="I270" s="4">
        <v>1</v>
      </c>
      <c r="J270" s="4">
        <v>0</v>
      </c>
      <c r="K270" s="4">
        <v>0</v>
      </c>
      <c r="L270" s="4">
        <v>2</v>
      </c>
    </row>
    <row r="271" spans="1:12" x14ac:dyDescent="0.2">
      <c r="A271" s="4">
        <v>4.75</v>
      </c>
      <c r="B271" s="4">
        <v>12</v>
      </c>
      <c r="C271" s="4">
        <v>48</v>
      </c>
      <c r="D271" s="4">
        <v>2</v>
      </c>
      <c r="E271" s="4">
        <v>1</v>
      </c>
      <c r="F271" s="4">
        <v>1</v>
      </c>
      <c r="G271" s="4">
        <v>0</v>
      </c>
      <c r="H271" s="4">
        <v>1</v>
      </c>
      <c r="I271" s="4">
        <v>0</v>
      </c>
      <c r="J271" s="4">
        <v>0</v>
      </c>
      <c r="K271" s="4">
        <v>0</v>
      </c>
      <c r="L271" s="4">
        <v>0</v>
      </c>
    </row>
    <row r="272" spans="1:12" x14ac:dyDescent="0.2">
      <c r="A272" s="4">
        <v>4.75</v>
      </c>
      <c r="B272" s="4">
        <v>12</v>
      </c>
      <c r="C272" s="4">
        <v>19</v>
      </c>
      <c r="D272" s="4">
        <v>0</v>
      </c>
      <c r="E272" s="4">
        <v>0</v>
      </c>
      <c r="F272" s="4">
        <v>1</v>
      </c>
      <c r="G272" s="4">
        <v>3</v>
      </c>
      <c r="H272" s="4">
        <v>0</v>
      </c>
      <c r="I272" s="4">
        <v>1</v>
      </c>
      <c r="J272" s="4">
        <v>0</v>
      </c>
      <c r="K272" s="4">
        <v>0</v>
      </c>
      <c r="L272" s="4">
        <v>4</v>
      </c>
    </row>
    <row r="273" spans="1:12" x14ac:dyDescent="0.2">
      <c r="A273" s="4">
        <v>4.75</v>
      </c>
      <c r="B273" s="4">
        <v>13</v>
      </c>
      <c r="C273" s="4">
        <v>47</v>
      </c>
      <c r="D273" s="4">
        <v>1</v>
      </c>
      <c r="E273" s="4">
        <v>0</v>
      </c>
      <c r="F273" s="4">
        <v>1</v>
      </c>
      <c r="G273" s="4">
        <v>0</v>
      </c>
      <c r="H273" s="4">
        <v>0</v>
      </c>
      <c r="I273" s="4">
        <v>0</v>
      </c>
      <c r="J273" s="4">
        <v>1</v>
      </c>
      <c r="K273" s="4">
        <v>0</v>
      </c>
      <c r="L273" s="4">
        <v>4</v>
      </c>
    </row>
    <row r="274" spans="1:12" x14ac:dyDescent="0.2">
      <c r="A274" s="4">
        <v>4.79</v>
      </c>
      <c r="B274" s="4">
        <v>12</v>
      </c>
      <c r="C274" s="4">
        <v>41</v>
      </c>
      <c r="D274" s="4">
        <v>8</v>
      </c>
      <c r="E274" s="4">
        <v>0</v>
      </c>
      <c r="F274" s="4">
        <v>1</v>
      </c>
      <c r="G274" s="4">
        <v>0</v>
      </c>
      <c r="H274" s="4">
        <v>1</v>
      </c>
      <c r="I274" s="4">
        <v>0</v>
      </c>
      <c r="J274" s="4">
        <v>0</v>
      </c>
      <c r="K274" s="4">
        <v>0</v>
      </c>
      <c r="L274" s="4">
        <v>4</v>
      </c>
    </row>
    <row r="275" spans="1:12" x14ac:dyDescent="0.2">
      <c r="A275" s="4">
        <v>4.79</v>
      </c>
      <c r="B275" s="4">
        <v>12</v>
      </c>
      <c r="C275" s="4">
        <v>12</v>
      </c>
      <c r="D275" s="4">
        <v>3</v>
      </c>
      <c r="E275" s="4">
        <v>1</v>
      </c>
      <c r="F275" s="4">
        <v>1</v>
      </c>
      <c r="G275" s="4">
        <v>3</v>
      </c>
      <c r="H275" s="4">
        <v>1</v>
      </c>
      <c r="I275" s="4">
        <v>0</v>
      </c>
      <c r="J275" s="4">
        <v>0</v>
      </c>
      <c r="K275" s="4">
        <v>0</v>
      </c>
      <c r="L275" s="4">
        <v>1</v>
      </c>
    </row>
    <row r="276" spans="1:12" x14ac:dyDescent="0.2">
      <c r="A276" s="4">
        <v>4.8099999999999996</v>
      </c>
      <c r="B276" s="4">
        <v>12</v>
      </c>
      <c r="C276" s="4">
        <v>2</v>
      </c>
      <c r="D276" s="4">
        <v>0</v>
      </c>
      <c r="E276" s="4">
        <v>1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3</v>
      </c>
    </row>
    <row r="277" spans="1:12" x14ac:dyDescent="0.2">
      <c r="A277" s="4">
        <v>4.91</v>
      </c>
      <c r="B277" s="4">
        <v>12</v>
      </c>
      <c r="C277" s="4">
        <v>17</v>
      </c>
      <c r="D277" s="4">
        <v>8</v>
      </c>
      <c r="E277" s="4">
        <v>0</v>
      </c>
      <c r="F277" s="4">
        <v>1</v>
      </c>
      <c r="G277" s="4">
        <v>2</v>
      </c>
      <c r="H277" s="4">
        <v>0</v>
      </c>
      <c r="I277" s="4">
        <v>0</v>
      </c>
      <c r="J277" s="4">
        <v>0</v>
      </c>
      <c r="K277" s="4">
        <v>0</v>
      </c>
      <c r="L277" s="4">
        <v>5</v>
      </c>
    </row>
    <row r="278" spans="1:12" x14ac:dyDescent="0.2">
      <c r="A278" s="4">
        <v>4.95</v>
      </c>
      <c r="B278" s="4">
        <v>7</v>
      </c>
      <c r="C278" s="4">
        <v>25</v>
      </c>
      <c r="D278" s="4">
        <v>17</v>
      </c>
      <c r="E278" s="4">
        <v>0</v>
      </c>
      <c r="F278" s="4">
        <v>1</v>
      </c>
      <c r="G278" s="4">
        <v>5</v>
      </c>
      <c r="H278" s="4">
        <v>0</v>
      </c>
      <c r="I278" s="4">
        <v>0</v>
      </c>
      <c r="J278" s="4">
        <v>0</v>
      </c>
      <c r="K278" s="4">
        <v>1</v>
      </c>
      <c r="L278" s="4">
        <v>1</v>
      </c>
    </row>
    <row r="279" spans="1:12" x14ac:dyDescent="0.2">
      <c r="A279" s="4">
        <v>5</v>
      </c>
      <c r="B279" s="4">
        <v>12</v>
      </c>
      <c r="C279" s="4">
        <v>5</v>
      </c>
      <c r="D279" s="4">
        <v>3</v>
      </c>
      <c r="E279" s="4">
        <v>1</v>
      </c>
      <c r="F279" s="4">
        <v>0</v>
      </c>
      <c r="G279" s="4">
        <v>0</v>
      </c>
      <c r="H279" s="4">
        <v>0</v>
      </c>
      <c r="I279" s="4">
        <v>0</v>
      </c>
      <c r="J279" s="4">
        <v>1</v>
      </c>
      <c r="K279" s="4">
        <v>0</v>
      </c>
      <c r="L279" s="4">
        <v>1</v>
      </c>
    </row>
    <row r="280" spans="1:12" x14ac:dyDescent="0.2">
      <c r="A280" s="4">
        <v>5</v>
      </c>
      <c r="B280" s="4">
        <v>12</v>
      </c>
      <c r="C280" s="4">
        <v>7</v>
      </c>
      <c r="D280" s="4">
        <v>3</v>
      </c>
      <c r="E280" s="4">
        <v>1</v>
      </c>
      <c r="F280" s="4">
        <v>0</v>
      </c>
      <c r="G280" s="4">
        <v>0</v>
      </c>
      <c r="H280" s="4">
        <v>0</v>
      </c>
      <c r="I280" s="4">
        <v>0</v>
      </c>
      <c r="J280" s="4">
        <v>1</v>
      </c>
      <c r="K280" s="4">
        <v>0</v>
      </c>
      <c r="L280" s="4">
        <v>1</v>
      </c>
    </row>
    <row r="281" spans="1:12" x14ac:dyDescent="0.2">
      <c r="A281" s="4">
        <v>5</v>
      </c>
      <c r="B281" s="4">
        <v>12</v>
      </c>
      <c r="C281" s="4">
        <v>15</v>
      </c>
      <c r="D281" s="4">
        <v>5</v>
      </c>
      <c r="E281" s="4">
        <v>0</v>
      </c>
      <c r="F281" s="4">
        <v>1</v>
      </c>
      <c r="G281" s="4">
        <v>1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</row>
    <row r="282" spans="1:12" x14ac:dyDescent="0.2">
      <c r="A282" s="4">
        <v>5</v>
      </c>
      <c r="B282" s="4">
        <v>16</v>
      </c>
      <c r="C282" s="4">
        <v>2</v>
      </c>
      <c r="D282" s="4">
        <v>1</v>
      </c>
      <c r="E282" s="4">
        <v>1</v>
      </c>
      <c r="F282" s="4">
        <v>1</v>
      </c>
      <c r="G282" s="4">
        <v>0</v>
      </c>
      <c r="H282" s="4">
        <v>0</v>
      </c>
      <c r="I282" s="4">
        <v>1</v>
      </c>
      <c r="J282" s="4">
        <v>0</v>
      </c>
      <c r="K282" s="4">
        <v>0</v>
      </c>
      <c r="L282" s="4">
        <v>5</v>
      </c>
    </row>
    <row r="283" spans="1:12" x14ac:dyDescent="0.2">
      <c r="A283" s="4">
        <v>5</v>
      </c>
      <c r="B283" s="4">
        <v>11</v>
      </c>
      <c r="C283" s="4">
        <v>13</v>
      </c>
      <c r="D283" s="4">
        <v>1</v>
      </c>
      <c r="E283" s="4">
        <v>0</v>
      </c>
      <c r="F283" s="4">
        <v>1</v>
      </c>
      <c r="G283" s="4">
        <v>0</v>
      </c>
      <c r="H283" s="4">
        <v>0</v>
      </c>
      <c r="I283" s="4">
        <v>1</v>
      </c>
      <c r="J283" s="4">
        <v>0</v>
      </c>
      <c r="K283" s="4">
        <v>0</v>
      </c>
      <c r="L283" s="4">
        <v>1</v>
      </c>
    </row>
    <row r="284" spans="1:12" x14ac:dyDescent="0.2">
      <c r="A284" s="4">
        <v>5</v>
      </c>
      <c r="B284" s="4">
        <v>15</v>
      </c>
      <c r="C284" s="4">
        <v>15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1</v>
      </c>
      <c r="J284" s="4">
        <v>0</v>
      </c>
      <c r="K284" s="4">
        <v>0</v>
      </c>
      <c r="L284" s="4">
        <v>2</v>
      </c>
    </row>
    <row r="285" spans="1:12" x14ac:dyDescent="0.2">
      <c r="A285" s="4">
        <v>5</v>
      </c>
      <c r="B285" s="4">
        <v>14</v>
      </c>
      <c r="C285" s="4">
        <v>19</v>
      </c>
      <c r="D285" s="4">
        <v>5</v>
      </c>
      <c r="E285" s="4">
        <v>0</v>
      </c>
      <c r="F285" s="4">
        <v>1</v>
      </c>
      <c r="G285" s="4">
        <v>4</v>
      </c>
      <c r="H285" s="4">
        <v>0</v>
      </c>
      <c r="I285" s="4">
        <v>1</v>
      </c>
      <c r="J285" s="4">
        <v>0</v>
      </c>
      <c r="K285" s="4">
        <v>0</v>
      </c>
      <c r="L285" s="4">
        <v>0</v>
      </c>
    </row>
    <row r="286" spans="1:12" x14ac:dyDescent="0.2">
      <c r="A286" s="4">
        <v>5</v>
      </c>
      <c r="B286" s="4">
        <v>14</v>
      </c>
      <c r="C286" s="4">
        <v>5</v>
      </c>
      <c r="D286" s="4">
        <v>0</v>
      </c>
      <c r="E286" s="4">
        <v>0</v>
      </c>
      <c r="F286" s="4">
        <v>0</v>
      </c>
      <c r="G286" s="4">
        <v>0</v>
      </c>
      <c r="H286" s="4">
        <v>1</v>
      </c>
      <c r="I286" s="4">
        <v>0</v>
      </c>
      <c r="J286" s="4">
        <v>0</v>
      </c>
      <c r="K286" s="4">
        <v>0</v>
      </c>
      <c r="L286" s="4">
        <v>5</v>
      </c>
    </row>
    <row r="287" spans="1:12" x14ac:dyDescent="0.2">
      <c r="A287" s="4">
        <v>5</v>
      </c>
      <c r="B287" s="4">
        <v>12</v>
      </c>
      <c r="C287" s="4">
        <v>14</v>
      </c>
      <c r="D287" s="4">
        <v>11</v>
      </c>
      <c r="E287" s="4">
        <v>1</v>
      </c>
      <c r="F287" s="4">
        <v>0</v>
      </c>
      <c r="G287" s="4">
        <v>0</v>
      </c>
      <c r="H287" s="4">
        <v>1</v>
      </c>
      <c r="I287" s="4">
        <v>0</v>
      </c>
      <c r="J287" s="4">
        <v>0</v>
      </c>
      <c r="K287" s="4">
        <v>0</v>
      </c>
      <c r="L287" s="4">
        <v>4</v>
      </c>
    </row>
    <row r="288" spans="1:12" x14ac:dyDescent="0.2">
      <c r="A288" s="4">
        <v>5</v>
      </c>
      <c r="B288" s="4"/>
      <c r="C288" s="4">
        <v>45</v>
      </c>
      <c r="D288" s="4">
        <v>2</v>
      </c>
      <c r="E288" s="4">
        <v>0</v>
      </c>
      <c r="F288" s="4">
        <v>0</v>
      </c>
      <c r="G288" s="4">
        <v>0</v>
      </c>
      <c r="H288" s="4">
        <v>1</v>
      </c>
      <c r="I288" s="4">
        <v>0</v>
      </c>
      <c r="J288" s="4">
        <v>0</v>
      </c>
      <c r="K288" s="4">
        <v>0</v>
      </c>
      <c r="L288" s="4">
        <v>1</v>
      </c>
    </row>
    <row r="289" spans="1:12" x14ac:dyDescent="0.2">
      <c r="A289" s="4">
        <v>5</v>
      </c>
      <c r="B289" s="4"/>
      <c r="C289" s="4">
        <v>15</v>
      </c>
      <c r="D289" s="4">
        <v>5</v>
      </c>
      <c r="E289" s="4">
        <v>0</v>
      </c>
      <c r="F289" s="4">
        <v>1</v>
      </c>
      <c r="G289" s="4">
        <v>2</v>
      </c>
      <c r="H289" s="4">
        <v>0</v>
      </c>
      <c r="I289" s="4">
        <v>1</v>
      </c>
      <c r="J289" s="4">
        <v>0</v>
      </c>
      <c r="K289" s="4">
        <v>0</v>
      </c>
      <c r="L289" s="4">
        <v>3</v>
      </c>
    </row>
    <row r="290" spans="1:12" x14ac:dyDescent="0.2">
      <c r="A290" s="4">
        <v>5</v>
      </c>
      <c r="B290" s="4"/>
      <c r="C290" s="4">
        <v>24</v>
      </c>
      <c r="D290" s="4">
        <v>5</v>
      </c>
      <c r="E290" s="4">
        <v>0</v>
      </c>
      <c r="F290" s="4">
        <v>1</v>
      </c>
      <c r="G290" s="4">
        <v>0</v>
      </c>
      <c r="H290" s="4">
        <v>0</v>
      </c>
      <c r="I290" s="4">
        <v>1</v>
      </c>
      <c r="J290" s="4">
        <v>0</v>
      </c>
      <c r="K290" s="4">
        <v>0</v>
      </c>
      <c r="L290" s="4">
        <v>1</v>
      </c>
    </row>
    <row r="291" spans="1:12" x14ac:dyDescent="0.2">
      <c r="A291" s="4">
        <v>5</v>
      </c>
      <c r="B291" s="4"/>
      <c r="C291" s="4">
        <v>31</v>
      </c>
      <c r="D291" s="4">
        <v>9</v>
      </c>
      <c r="E291" s="4">
        <v>0</v>
      </c>
      <c r="F291" s="4">
        <v>1</v>
      </c>
      <c r="G291" s="4">
        <v>6</v>
      </c>
      <c r="H291" s="4">
        <v>0</v>
      </c>
      <c r="I291" s="4">
        <v>1</v>
      </c>
      <c r="J291" s="4">
        <v>0</v>
      </c>
      <c r="K291" s="4">
        <v>0</v>
      </c>
      <c r="L291" s="4">
        <v>3</v>
      </c>
    </row>
    <row r="292" spans="1:12" x14ac:dyDescent="0.2">
      <c r="A292" s="4">
        <v>5</v>
      </c>
      <c r="B292" s="4"/>
      <c r="C292" s="4">
        <v>18</v>
      </c>
      <c r="D292" s="4">
        <v>0</v>
      </c>
      <c r="E292" s="4">
        <v>1</v>
      </c>
      <c r="F292" s="4">
        <v>1</v>
      </c>
      <c r="G292" s="4">
        <v>3</v>
      </c>
      <c r="H292" s="4">
        <v>0</v>
      </c>
      <c r="I292" s="4">
        <v>0</v>
      </c>
      <c r="J292" s="4">
        <v>1</v>
      </c>
      <c r="K292" s="4">
        <v>0</v>
      </c>
      <c r="L292" s="4">
        <v>5</v>
      </c>
    </row>
    <row r="293" spans="1:12" x14ac:dyDescent="0.2">
      <c r="A293" s="4">
        <v>5.05</v>
      </c>
      <c r="B293" s="4"/>
      <c r="C293" s="4">
        <v>5</v>
      </c>
      <c r="D293" s="4">
        <v>0</v>
      </c>
      <c r="E293" s="4">
        <v>1</v>
      </c>
      <c r="F293" s="4">
        <v>0</v>
      </c>
      <c r="G293" s="4">
        <v>0</v>
      </c>
      <c r="H293" s="4">
        <v>1</v>
      </c>
      <c r="I293" s="4">
        <v>0</v>
      </c>
      <c r="J293" s="4">
        <v>0</v>
      </c>
      <c r="K293" s="4">
        <v>0</v>
      </c>
      <c r="L293" s="4"/>
    </row>
    <row r="294" spans="1:12" x14ac:dyDescent="0.2">
      <c r="A294" s="4">
        <v>5.05</v>
      </c>
      <c r="B294" s="4">
        <v>12</v>
      </c>
      <c r="C294" s="4">
        <v>19</v>
      </c>
      <c r="D294" s="4">
        <v>0</v>
      </c>
      <c r="E294" s="4">
        <v>1</v>
      </c>
      <c r="F294" s="4">
        <v>1</v>
      </c>
      <c r="G294" s="4">
        <v>3</v>
      </c>
      <c r="H294" s="4">
        <v>0</v>
      </c>
      <c r="I294" s="4">
        <v>1</v>
      </c>
      <c r="J294" s="4">
        <v>0</v>
      </c>
      <c r="K294" s="4">
        <v>0</v>
      </c>
      <c r="L294" s="4"/>
    </row>
    <row r="295" spans="1:12" x14ac:dyDescent="0.2">
      <c r="A295" s="4">
        <v>5.1100000000000003</v>
      </c>
      <c r="B295" s="4">
        <v>11</v>
      </c>
      <c r="C295" s="4">
        <v>3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1</v>
      </c>
      <c r="K295" s="4">
        <v>1</v>
      </c>
      <c r="L295" s="4"/>
    </row>
    <row r="296" spans="1:12" x14ac:dyDescent="0.2">
      <c r="A296" s="4">
        <v>5.13</v>
      </c>
      <c r="B296" s="4">
        <v>15</v>
      </c>
      <c r="C296" s="4">
        <v>6</v>
      </c>
      <c r="D296" s="4">
        <v>6</v>
      </c>
      <c r="E296" s="4"/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/>
    </row>
    <row r="297" spans="1:12" x14ac:dyDescent="0.2">
      <c r="A297" s="4">
        <v>5.15</v>
      </c>
      <c r="B297" s="4">
        <v>16</v>
      </c>
      <c r="C297" s="4">
        <v>39</v>
      </c>
      <c r="D297" s="4">
        <v>21</v>
      </c>
      <c r="E297" s="4">
        <v>1</v>
      </c>
      <c r="F297" s="4">
        <v>0</v>
      </c>
      <c r="G297" s="4">
        <v>0</v>
      </c>
      <c r="H297" s="4">
        <v>0</v>
      </c>
      <c r="I297" s="4">
        <v>0</v>
      </c>
      <c r="J297" s="4">
        <v>1</v>
      </c>
      <c r="K297" s="4">
        <v>0</v>
      </c>
      <c r="L297" s="4">
        <v>0</v>
      </c>
    </row>
    <row r="298" spans="1:12" x14ac:dyDescent="0.2">
      <c r="A298" s="4">
        <v>5.2</v>
      </c>
      <c r="B298" s="4">
        <v>6</v>
      </c>
      <c r="C298" s="4">
        <v>47</v>
      </c>
      <c r="D298" s="4">
        <v>13</v>
      </c>
      <c r="E298" s="4">
        <v>0</v>
      </c>
      <c r="F298" s="4">
        <v>1</v>
      </c>
      <c r="G298" s="4">
        <v>0</v>
      </c>
      <c r="H298" s="4">
        <v>0</v>
      </c>
      <c r="I298" s="4">
        <v>1</v>
      </c>
      <c r="J298" s="4">
        <v>0</v>
      </c>
      <c r="K298" s="4">
        <v>1</v>
      </c>
      <c r="L298" s="4">
        <v>2</v>
      </c>
    </row>
    <row r="299" spans="1:12" x14ac:dyDescent="0.2">
      <c r="A299" s="4">
        <v>5.25</v>
      </c>
      <c r="B299" s="4">
        <v>12</v>
      </c>
      <c r="C299" s="4">
        <v>19</v>
      </c>
      <c r="D299" s="4">
        <v>10</v>
      </c>
      <c r="E299" s="4">
        <v>1</v>
      </c>
      <c r="F299" s="4">
        <v>1</v>
      </c>
      <c r="G299" s="4">
        <v>2</v>
      </c>
      <c r="H299" s="4">
        <v>1</v>
      </c>
      <c r="I299" s="4">
        <v>0</v>
      </c>
      <c r="J299" s="4">
        <v>0</v>
      </c>
      <c r="K299" s="4">
        <v>0</v>
      </c>
      <c r="L299" s="4">
        <v>5</v>
      </c>
    </row>
    <row r="300" spans="1:12" x14ac:dyDescent="0.2">
      <c r="A300" s="4">
        <v>5.25</v>
      </c>
      <c r="B300" s="4">
        <v>16</v>
      </c>
      <c r="C300" s="4">
        <v>4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1</v>
      </c>
      <c r="J300" s="4">
        <v>0</v>
      </c>
      <c r="K300" s="4">
        <v>0</v>
      </c>
      <c r="L300" s="4">
        <v>4</v>
      </c>
    </row>
    <row r="301" spans="1:12" x14ac:dyDescent="0.2">
      <c r="A301" s="4">
        <v>5.25</v>
      </c>
      <c r="B301" s="4">
        <v>12</v>
      </c>
      <c r="C301" s="4">
        <v>4</v>
      </c>
      <c r="D301" s="4">
        <v>0</v>
      </c>
      <c r="E301" s="4">
        <v>0</v>
      </c>
      <c r="F301" s="4">
        <v>0</v>
      </c>
      <c r="G301" s="4">
        <v>0</v>
      </c>
      <c r="H301" s="4">
        <v>1</v>
      </c>
      <c r="I301" s="4">
        <v>0</v>
      </c>
      <c r="J301" s="4">
        <v>0</v>
      </c>
      <c r="K301" s="4">
        <v>0</v>
      </c>
      <c r="L301" s="4">
        <v>4</v>
      </c>
    </row>
    <row r="302" spans="1:12" x14ac:dyDescent="0.2">
      <c r="A302" s="4">
        <v>5.25</v>
      </c>
      <c r="B302" s="4">
        <v>11</v>
      </c>
      <c r="C302" s="4">
        <v>13</v>
      </c>
      <c r="D302" s="4">
        <v>11</v>
      </c>
      <c r="E302" s="4">
        <v>0</v>
      </c>
      <c r="F302" s="4">
        <v>1</v>
      </c>
      <c r="G302" s="4">
        <v>2</v>
      </c>
      <c r="H302" s="4">
        <v>0</v>
      </c>
      <c r="I302" s="4">
        <v>1</v>
      </c>
      <c r="J302" s="4">
        <v>0</v>
      </c>
      <c r="K302" s="4">
        <v>0</v>
      </c>
      <c r="L302" s="4">
        <v>1</v>
      </c>
    </row>
    <row r="303" spans="1:12" x14ac:dyDescent="0.2">
      <c r="A303" s="4">
        <v>5.25</v>
      </c>
      <c r="B303" s="4">
        <v>10</v>
      </c>
      <c r="C303" s="4">
        <v>44</v>
      </c>
      <c r="D303" s="4">
        <v>7</v>
      </c>
      <c r="E303" s="4">
        <v>0</v>
      </c>
      <c r="F303" s="4">
        <v>1</v>
      </c>
      <c r="G303" s="4">
        <v>1</v>
      </c>
      <c r="H303" s="4">
        <v>1</v>
      </c>
      <c r="I303" s="4">
        <v>0</v>
      </c>
      <c r="J303" s="4">
        <v>0</v>
      </c>
      <c r="K303" s="4">
        <v>0</v>
      </c>
      <c r="L303" s="4">
        <v>1</v>
      </c>
    </row>
    <row r="304" spans="1:12" x14ac:dyDescent="0.2">
      <c r="A304" s="4">
        <v>5.3</v>
      </c>
      <c r="B304" s="4">
        <v>12</v>
      </c>
      <c r="C304" s="4">
        <v>7</v>
      </c>
      <c r="D304" s="4">
        <v>2</v>
      </c>
      <c r="E304" s="4">
        <v>0</v>
      </c>
      <c r="F304" s="4">
        <v>1</v>
      </c>
      <c r="G304" s="4">
        <v>1</v>
      </c>
      <c r="H304" s="4">
        <v>0</v>
      </c>
      <c r="I304" s="4">
        <v>0</v>
      </c>
      <c r="J304" s="4">
        <v>1</v>
      </c>
      <c r="K304" s="4">
        <v>0</v>
      </c>
      <c r="L304" s="4">
        <v>0</v>
      </c>
    </row>
    <row r="305" spans="1:12" x14ac:dyDescent="0.2">
      <c r="A305" s="4">
        <v>5.4</v>
      </c>
      <c r="B305" s="4">
        <v>12</v>
      </c>
      <c r="C305" s="4">
        <v>6</v>
      </c>
      <c r="D305" s="4">
        <v>3</v>
      </c>
      <c r="E305" s="4">
        <v>0</v>
      </c>
      <c r="F305" s="4">
        <v>1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2</v>
      </c>
    </row>
    <row r="306" spans="1:12" x14ac:dyDescent="0.2">
      <c r="A306" s="4">
        <v>5.43</v>
      </c>
      <c r="B306" s="4">
        <v>14</v>
      </c>
      <c r="C306" s="4">
        <v>10</v>
      </c>
      <c r="D306" s="4">
        <v>3</v>
      </c>
      <c r="E306" s="4">
        <v>0</v>
      </c>
      <c r="F306" s="4">
        <v>1</v>
      </c>
      <c r="G306" s="4">
        <v>1</v>
      </c>
      <c r="H306" s="4">
        <v>0</v>
      </c>
      <c r="I306" s="4">
        <v>1</v>
      </c>
      <c r="J306" s="4">
        <v>0</v>
      </c>
      <c r="K306" s="4">
        <v>0</v>
      </c>
      <c r="L306" s="4"/>
    </row>
    <row r="307" spans="1:12" x14ac:dyDescent="0.2">
      <c r="A307" s="4">
        <v>5.48</v>
      </c>
      <c r="B307" s="4">
        <v>10</v>
      </c>
      <c r="C307" s="4">
        <v>36</v>
      </c>
      <c r="D307" s="4">
        <v>3</v>
      </c>
      <c r="E307" s="4">
        <v>1</v>
      </c>
      <c r="F307" s="4">
        <v>1</v>
      </c>
      <c r="G307" s="4">
        <v>0</v>
      </c>
      <c r="H307" s="4">
        <v>0</v>
      </c>
      <c r="I307" s="4">
        <v>1</v>
      </c>
      <c r="J307" s="4">
        <v>0</v>
      </c>
      <c r="K307" s="4">
        <v>0</v>
      </c>
      <c r="L307" s="4">
        <v>2</v>
      </c>
    </row>
    <row r="308" spans="1:12" x14ac:dyDescent="0.2">
      <c r="A308" s="4">
        <v>5.5</v>
      </c>
      <c r="B308" s="4">
        <v>12</v>
      </c>
      <c r="C308" s="4">
        <v>18</v>
      </c>
      <c r="D308" s="4">
        <v>3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1</v>
      </c>
      <c r="K308" s="4">
        <v>0</v>
      </c>
      <c r="L308" s="4">
        <v>2</v>
      </c>
    </row>
    <row r="309" spans="1:12" x14ac:dyDescent="0.2">
      <c r="A309" s="4">
        <v>5.5</v>
      </c>
      <c r="B309" s="4">
        <v>12</v>
      </c>
      <c r="C309" s="4">
        <v>9</v>
      </c>
      <c r="D309" s="4">
        <v>4</v>
      </c>
      <c r="E309" s="4">
        <v>0</v>
      </c>
      <c r="F309" s="4">
        <v>1</v>
      </c>
      <c r="G309" s="4">
        <v>1</v>
      </c>
      <c r="H309" s="4">
        <v>0</v>
      </c>
      <c r="I309" s="4">
        <v>1</v>
      </c>
      <c r="J309" s="4">
        <v>0</v>
      </c>
      <c r="K309" s="4">
        <v>0</v>
      </c>
      <c r="L309" s="4">
        <v>5</v>
      </c>
    </row>
    <row r="310" spans="1:12" x14ac:dyDescent="0.2">
      <c r="A310" s="4">
        <v>5.52</v>
      </c>
      <c r="B310" s="4">
        <v>13</v>
      </c>
      <c r="C310" s="4">
        <v>31</v>
      </c>
      <c r="D310" s="4">
        <v>3</v>
      </c>
      <c r="E310" s="4">
        <v>0</v>
      </c>
      <c r="F310" s="4">
        <v>0</v>
      </c>
      <c r="G310" s="4">
        <v>0</v>
      </c>
      <c r="H310" s="4">
        <v>0</v>
      </c>
      <c r="I310" s="4">
        <v>1</v>
      </c>
      <c r="J310" s="4">
        <v>0</v>
      </c>
      <c r="K310" s="4">
        <v>0</v>
      </c>
      <c r="L310" s="4">
        <v>0</v>
      </c>
    </row>
    <row r="311" spans="1:12" x14ac:dyDescent="0.2">
      <c r="A311" s="4">
        <v>5.58</v>
      </c>
      <c r="B311" s="4">
        <v>16</v>
      </c>
      <c r="C311" s="4">
        <v>1</v>
      </c>
      <c r="D311" s="4">
        <v>1</v>
      </c>
      <c r="E311" s="4">
        <v>0</v>
      </c>
      <c r="F311" s="4">
        <v>1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5</v>
      </c>
    </row>
    <row r="312" spans="1:12" x14ac:dyDescent="0.2">
      <c r="A312" s="4">
        <v>5.6</v>
      </c>
      <c r="B312" s="4">
        <v>15</v>
      </c>
      <c r="C312" s="4">
        <v>31</v>
      </c>
      <c r="D312" s="4">
        <v>15</v>
      </c>
      <c r="E312" s="4">
        <v>1</v>
      </c>
      <c r="F312" s="4">
        <v>0</v>
      </c>
      <c r="G312" s="4">
        <v>2</v>
      </c>
      <c r="H312" s="4">
        <v>1</v>
      </c>
      <c r="I312" s="4">
        <v>0</v>
      </c>
      <c r="J312" s="4">
        <v>0</v>
      </c>
      <c r="K312" s="4">
        <v>0</v>
      </c>
      <c r="L312" s="4">
        <v>3</v>
      </c>
    </row>
    <row r="313" spans="1:12" x14ac:dyDescent="0.2">
      <c r="A313" s="4">
        <v>5.6</v>
      </c>
      <c r="B313" s="4">
        <v>11</v>
      </c>
      <c r="C313" s="4">
        <v>11</v>
      </c>
      <c r="D313" s="4">
        <v>8</v>
      </c>
      <c r="E313" s="4">
        <v>0</v>
      </c>
      <c r="F313" s="4">
        <v>1</v>
      </c>
      <c r="G313" s="4">
        <v>2</v>
      </c>
      <c r="H313" s="4">
        <v>0</v>
      </c>
      <c r="I313" s="4">
        <v>1</v>
      </c>
      <c r="J313" s="4">
        <v>0</v>
      </c>
      <c r="K313" s="4">
        <v>0</v>
      </c>
      <c r="L313" s="4">
        <v>0</v>
      </c>
    </row>
    <row r="314" spans="1:12" x14ac:dyDescent="0.2">
      <c r="A314" s="4">
        <v>5.63</v>
      </c>
      <c r="B314" s="4">
        <v>16</v>
      </c>
      <c r="C314" s="4">
        <v>2</v>
      </c>
      <c r="D314" s="4">
        <v>2</v>
      </c>
      <c r="E314" s="4">
        <v>0</v>
      </c>
      <c r="F314" s="4">
        <v>1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</row>
    <row r="315" spans="1:12" x14ac:dyDescent="0.2">
      <c r="A315" s="4">
        <v>5.65</v>
      </c>
      <c r="B315" s="4">
        <v>12</v>
      </c>
      <c r="C315" s="4">
        <v>2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1</v>
      </c>
      <c r="K315" s="4">
        <v>1</v>
      </c>
      <c r="L315" s="4">
        <v>5</v>
      </c>
    </row>
    <row r="316" spans="1:12" x14ac:dyDescent="0.2">
      <c r="A316" s="4">
        <v>5.7</v>
      </c>
      <c r="B316" s="4">
        <v>16</v>
      </c>
      <c r="C316" s="4">
        <v>2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1</v>
      </c>
      <c r="J316" s="4">
        <v>0</v>
      </c>
      <c r="K316" s="4">
        <v>0</v>
      </c>
      <c r="L316" s="4">
        <v>5</v>
      </c>
    </row>
    <row r="317" spans="1:12" x14ac:dyDescent="0.2">
      <c r="A317" s="4">
        <v>5.71</v>
      </c>
      <c r="B317" s="4">
        <v>16</v>
      </c>
      <c r="C317" s="4">
        <v>10</v>
      </c>
      <c r="D317" s="4">
        <v>5</v>
      </c>
      <c r="E317" s="4">
        <v>0</v>
      </c>
      <c r="F317" s="4">
        <v>1</v>
      </c>
      <c r="G317" s="4">
        <v>1</v>
      </c>
      <c r="H317" s="4">
        <v>0</v>
      </c>
      <c r="I317" s="4">
        <v>0</v>
      </c>
      <c r="J317" s="4">
        <v>0</v>
      </c>
      <c r="K317" s="4">
        <v>0</v>
      </c>
      <c r="L317" s="4">
        <v>2</v>
      </c>
    </row>
    <row r="318" spans="1:12" x14ac:dyDescent="0.2">
      <c r="A318" s="4">
        <v>5.71</v>
      </c>
      <c r="B318" s="4">
        <v>16</v>
      </c>
      <c r="C318" s="4">
        <v>3</v>
      </c>
      <c r="D318" s="4">
        <v>0</v>
      </c>
      <c r="E318" s="4">
        <v>1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2</v>
      </c>
    </row>
    <row r="319" spans="1:12" x14ac:dyDescent="0.2">
      <c r="A319" s="4">
        <v>5.71</v>
      </c>
      <c r="B319" s="4">
        <v>13</v>
      </c>
      <c r="C319" s="4">
        <v>10</v>
      </c>
      <c r="D319" s="4">
        <v>2</v>
      </c>
      <c r="E319" s="4">
        <v>1</v>
      </c>
      <c r="F319" s="4">
        <v>1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/>
    </row>
    <row r="320" spans="1:12" x14ac:dyDescent="0.2">
      <c r="A320" s="4">
        <v>5.75</v>
      </c>
      <c r="B320" s="4">
        <v>14</v>
      </c>
      <c r="C320" s="4">
        <v>6</v>
      </c>
      <c r="D320" s="4">
        <v>5</v>
      </c>
      <c r="E320" s="4">
        <v>0</v>
      </c>
      <c r="F320" s="4">
        <v>1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4</v>
      </c>
    </row>
    <row r="321" spans="1:12" x14ac:dyDescent="0.2">
      <c r="A321" s="4">
        <v>5.77</v>
      </c>
      <c r="B321" s="4">
        <v>10</v>
      </c>
      <c r="C321" s="4">
        <v>44</v>
      </c>
      <c r="D321" s="4">
        <v>3</v>
      </c>
      <c r="E321" s="4">
        <v>0</v>
      </c>
      <c r="F321" s="4">
        <v>1</v>
      </c>
      <c r="G321" s="4">
        <v>0</v>
      </c>
      <c r="H321" s="4">
        <v>1</v>
      </c>
      <c r="I321" s="4">
        <v>0</v>
      </c>
      <c r="J321" s="4">
        <v>0</v>
      </c>
      <c r="K321" s="4">
        <v>0</v>
      </c>
      <c r="L321" s="4">
        <v>4</v>
      </c>
    </row>
    <row r="322" spans="1:12" x14ac:dyDescent="0.2">
      <c r="A322" s="4">
        <v>5.78</v>
      </c>
      <c r="B322" s="4">
        <v>16</v>
      </c>
      <c r="C322" s="4">
        <v>11</v>
      </c>
      <c r="D322" s="4">
        <v>4</v>
      </c>
      <c r="E322" s="4">
        <v>0</v>
      </c>
      <c r="F322" s="4">
        <v>1</v>
      </c>
      <c r="G322" s="4">
        <v>2</v>
      </c>
      <c r="H322" s="4">
        <v>1</v>
      </c>
      <c r="I322" s="4">
        <v>0</v>
      </c>
      <c r="J322" s="4">
        <v>0</v>
      </c>
      <c r="K322" s="4">
        <v>0</v>
      </c>
      <c r="L322" s="4"/>
    </row>
    <row r="323" spans="1:12" x14ac:dyDescent="0.2">
      <c r="A323" s="4">
        <v>5.8</v>
      </c>
      <c r="B323" s="4">
        <v>12</v>
      </c>
      <c r="C323" s="4">
        <v>19</v>
      </c>
      <c r="D323" s="4">
        <v>6</v>
      </c>
      <c r="E323" s="4">
        <v>1</v>
      </c>
      <c r="F323" s="4">
        <v>1</v>
      </c>
      <c r="G323" s="4">
        <v>2</v>
      </c>
      <c r="H323" s="4">
        <v>1</v>
      </c>
      <c r="I323" s="4">
        <v>0</v>
      </c>
      <c r="J323" s="4">
        <v>0</v>
      </c>
      <c r="K323" s="4">
        <v>0</v>
      </c>
      <c r="L323" s="4">
        <v>5</v>
      </c>
    </row>
    <row r="324" spans="1:12" x14ac:dyDescent="0.2">
      <c r="A324" s="4">
        <v>5.83</v>
      </c>
      <c r="B324" s="4">
        <v>8</v>
      </c>
      <c r="C324" s="4">
        <v>36</v>
      </c>
      <c r="D324" s="4">
        <v>15</v>
      </c>
      <c r="E324" s="4">
        <v>1</v>
      </c>
      <c r="F324" s="4">
        <v>1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1</v>
      </c>
    </row>
    <row r="325" spans="1:12" x14ac:dyDescent="0.2">
      <c r="A325" s="4">
        <v>5.84</v>
      </c>
      <c r="B325" s="4">
        <v>13</v>
      </c>
      <c r="C325" s="4">
        <v>5</v>
      </c>
      <c r="D325" s="4">
        <v>0</v>
      </c>
      <c r="E325" s="4">
        <v>1</v>
      </c>
      <c r="F325" s="4">
        <v>1</v>
      </c>
      <c r="G325" s="4">
        <v>1</v>
      </c>
      <c r="H325" s="4">
        <v>0</v>
      </c>
      <c r="I325" s="4">
        <v>1</v>
      </c>
      <c r="J325" s="4">
        <v>0</v>
      </c>
      <c r="K325" s="4">
        <v>0</v>
      </c>
      <c r="L325" s="4">
        <v>0</v>
      </c>
    </row>
    <row r="326" spans="1:12" x14ac:dyDescent="0.2">
      <c r="A326" s="4">
        <v>5.9</v>
      </c>
      <c r="B326" s="4">
        <v>12</v>
      </c>
      <c r="C326" s="4">
        <v>14</v>
      </c>
      <c r="D326" s="4">
        <v>7</v>
      </c>
      <c r="E326" s="4">
        <v>0</v>
      </c>
      <c r="F326" s="4">
        <v>1</v>
      </c>
      <c r="G326" s="4">
        <v>2</v>
      </c>
      <c r="H326" s="4">
        <v>0</v>
      </c>
      <c r="I326" s="4">
        <v>1</v>
      </c>
      <c r="J326" s="4">
        <v>0</v>
      </c>
      <c r="K326" s="4">
        <v>0</v>
      </c>
      <c r="L326" s="4">
        <v>2</v>
      </c>
    </row>
    <row r="327" spans="1:12" x14ac:dyDescent="0.2">
      <c r="A327" s="4">
        <v>5.9</v>
      </c>
      <c r="B327" s="4">
        <v>12</v>
      </c>
      <c r="C327" s="4">
        <v>9</v>
      </c>
      <c r="D327" s="4">
        <v>7</v>
      </c>
      <c r="E327" s="4">
        <v>1</v>
      </c>
      <c r="F327" s="4">
        <v>1</v>
      </c>
      <c r="G327" s="4">
        <v>1</v>
      </c>
      <c r="H327" s="4">
        <v>1</v>
      </c>
      <c r="I327" s="4">
        <v>0</v>
      </c>
      <c r="J327" s="4">
        <v>0</v>
      </c>
      <c r="K327" s="4">
        <v>0</v>
      </c>
      <c r="L327" s="4">
        <v>4</v>
      </c>
    </row>
    <row r="328" spans="1:12" x14ac:dyDescent="0.2">
      <c r="A328" s="4">
        <v>5.91</v>
      </c>
      <c r="B328" s="4">
        <v>12</v>
      </c>
      <c r="C328" s="4">
        <v>14</v>
      </c>
      <c r="D328" s="4">
        <v>6</v>
      </c>
      <c r="E328" s="4">
        <v>0</v>
      </c>
      <c r="F328" s="4">
        <v>1</v>
      </c>
      <c r="G328" s="4">
        <v>2</v>
      </c>
      <c r="H328" s="4">
        <v>0</v>
      </c>
      <c r="I328" s="4">
        <v>0</v>
      </c>
      <c r="J328" s="4">
        <v>0</v>
      </c>
      <c r="K328" s="4">
        <v>0</v>
      </c>
      <c r="L328" s="4"/>
    </row>
    <row r="329" spans="1:12" x14ac:dyDescent="0.2">
      <c r="A329" s="4">
        <v>5.95</v>
      </c>
      <c r="B329" s="4">
        <v>11</v>
      </c>
      <c r="C329" s="4">
        <v>15</v>
      </c>
      <c r="D329" s="4">
        <v>9</v>
      </c>
      <c r="E329" s="4">
        <v>0</v>
      </c>
      <c r="F329" s="4">
        <v>1</v>
      </c>
      <c r="G329" s="4">
        <v>1</v>
      </c>
      <c r="H329" s="4">
        <v>0</v>
      </c>
      <c r="I329" s="4">
        <v>1</v>
      </c>
      <c r="J329" s="4">
        <v>0</v>
      </c>
      <c r="K329" s="4">
        <v>1</v>
      </c>
      <c r="L329" s="4"/>
    </row>
    <row r="330" spans="1:12" x14ac:dyDescent="0.2">
      <c r="A330" s="4">
        <v>6</v>
      </c>
      <c r="B330" s="4">
        <v>8</v>
      </c>
      <c r="C330" s="4">
        <v>44</v>
      </c>
      <c r="D330" s="4">
        <v>28</v>
      </c>
      <c r="E330" s="4">
        <v>0</v>
      </c>
      <c r="F330" s="4">
        <v>1</v>
      </c>
      <c r="G330" s="4">
        <v>0</v>
      </c>
      <c r="H330" s="4">
        <v>0</v>
      </c>
      <c r="I330" s="4">
        <v>0</v>
      </c>
      <c r="J330" s="4">
        <v>1</v>
      </c>
      <c r="K330" s="4">
        <v>0</v>
      </c>
      <c r="L330" s="4"/>
    </row>
    <row r="331" spans="1:12" x14ac:dyDescent="0.2">
      <c r="A331" s="4">
        <v>6</v>
      </c>
      <c r="B331" s="4">
        <v>11</v>
      </c>
      <c r="C331" s="4">
        <v>37</v>
      </c>
      <c r="D331" s="4">
        <v>8</v>
      </c>
      <c r="E331" s="4">
        <v>1</v>
      </c>
      <c r="F331" s="4">
        <v>0</v>
      </c>
      <c r="G331" s="4">
        <v>0</v>
      </c>
      <c r="H331" s="4">
        <v>0</v>
      </c>
      <c r="I331" s="4">
        <v>0</v>
      </c>
      <c r="J331" s="4">
        <v>1</v>
      </c>
      <c r="K331" s="4">
        <v>0</v>
      </c>
      <c r="L331" s="4">
        <v>1</v>
      </c>
    </row>
    <row r="332" spans="1:12" x14ac:dyDescent="0.2">
      <c r="A332" s="4">
        <v>6</v>
      </c>
      <c r="B332" s="4">
        <v>12</v>
      </c>
      <c r="C332" s="4">
        <v>7</v>
      </c>
      <c r="D332" s="4">
        <v>7</v>
      </c>
      <c r="E332" s="4">
        <v>0</v>
      </c>
      <c r="F332" s="4">
        <v>1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</row>
    <row r="333" spans="1:12" x14ac:dyDescent="0.2">
      <c r="A333" s="4">
        <v>6</v>
      </c>
      <c r="B333" s="4">
        <v>13</v>
      </c>
      <c r="C333" s="4">
        <v>8</v>
      </c>
      <c r="D333" s="4">
        <v>0</v>
      </c>
      <c r="E333" s="4">
        <v>0</v>
      </c>
      <c r="F333" s="4">
        <v>1</v>
      </c>
      <c r="G333" s="4">
        <v>2</v>
      </c>
      <c r="H333" s="4">
        <v>1</v>
      </c>
      <c r="I333" s="4">
        <v>0</v>
      </c>
      <c r="J333" s="4">
        <v>0</v>
      </c>
      <c r="K333" s="4">
        <v>0</v>
      </c>
      <c r="L333" s="4">
        <v>1</v>
      </c>
    </row>
    <row r="334" spans="1:12" x14ac:dyDescent="0.2">
      <c r="A334" s="4">
        <v>6</v>
      </c>
      <c r="B334" s="4">
        <v>12</v>
      </c>
      <c r="C334" s="4">
        <v>22</v>
      </c>
      <c r="D334" s="4">
        <v>8</v>
      </c>
      <c r="E334" s="4">
        <v>0</v>
      </c>
      <c r="F334" s="4">
        <v>0</v>
      </c>
      <c r="G334" s="4">
        <v>2</v>
      </c>
      <c r="H334" s="4">
        <v>0</v>
      </c>
      <c r="I334" s="4">
        <v>0</v>
      </c>
      <c r="J334" s="4">
        <v>0</v>
      </c>
      <c r="K334" s="4">
        <v>0</v>
      </c>
      <c r="L334" s="4">
        <v>2</v>
      </c>
    </row>
    <row r="335" spans="1:12" x14ac:dyDescent="0.2">
      <c r="A335" s="4">
        <v>6</v>
      </c>
      <c r="B335" s="4">
        <v>16</v>
      </c>
      <c r="C335" s="4">
        <v>2</v>
      </c>
      <c r="D335" s="4">
        <v>2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5</v>
      </c>
    </row>
    <row r="336" spans="1:12" x14ac:dyDescent="0.2">
      <c r="A336" s="4">
        <v>6</v>
      </c>
      <c r="B336" s="4">
        <v>13</v>
      </c>
      <c r="C336" s="4">
        <v>21</v>
      </c>
      <c r="D336" s="4">
        <v>13</v>
      </c>
      <c r="E336" s="4">
        <v>0</v>
      </c>
      <c r="F336" s="4">
        <v>1</v>
      </c>
      <c r="G336" s="4">
        <v>4</v>
      </c>
      <c r="H336" s="4">
        <v>0</v>
      </c>
      <c r="I336" s="4">
        <v>1</v>
      </c>
      <c r="J336" s="4">
        <v>0</v>
      </c>
      <c r="K336" s="4">
        <v>0</v>
      </c>
      <c r="L336" s="4">
        <v>4</v>
      </c>
    </row>
    <row r="337" spans="1:12" x14ac:dyDescent="0.2">
      <c r="A337" s="4">
        <v>6</v>
      </c>
      <c r="B337" s="4">
        <v>14</v>
      </c>
      <c r="C337" s="4">
        <v>11</v>
      </c>
      <c r="D337" s="4">
        <v>3</v>
      </c>
      <c r="E337" s="4">
        <v>1</v>
      </c>
      <c r="F337" s="4">
        <v>1</v>
      </c>
      <c r="G337" s="4">
        <v>2</v>
      </c>
      <c r="H337" s="4">
        <v>0</v>
      </c>
      <c r="I337" s="4">
        <v>1</v>
      </c>
      <c r="J337" s="4">
        <v>0</v>
      </c>
      <c r="K337" s="4">
        <v>0</v>
      </c>
      <c r="L337" s="4">
        <v>1</v>
      </c>
    </row>
    <row r="338" spans="1:12" x14ac:dyDescent="0.2">
      <c r="A338" s="4">
        <v>6</v>
      </c>
      <c r="B338" s="4">
        <v>15</v>
      </c>
      <c r="C338" s="4">
        <v>19</v>
      </c>
      <c r="D338" s="4">
        <v>4</v>
      </c>
      <c r="E338" s="4">
        <v>1</v>
      </c>
      <c r="F338" s="4">
        <v>1</v>
      </c>
      <c r="G338" s="4">
        <v>2</v>
      </c>
      <c r="H338" s="4">
        <v>0</v>
      </c>
      <c r="I338" s="4">
        <v>1</v>
      </c>
      <c r="J338" s="4">
        <v>0</v>
      </c>
      <c r="K338" s="4">
        <v>0</v>
      </c>
      <c r="L338" s="4">
        <v>1</v>
      </c>
    </row>
    <row r="339" spans="1:12" x14ac:dyDescent="0.2">
      <c r="A339" s="4">
        <v>6</v>
      </c>
      <c r="B339" s="4">
        <v>14</v>
      </c>
      <c r="C339" s="4">
        <v>11</v>
      </c>
      <c r="D339" s="4">
        <v>0</v>
      </c>
      <c r="E339" s="4">
        <v>0</v>
      </c>
      <c r="F339" s="4">
        <v>1</v>
      </c>
      <c r="G339" s="4">
        <v>0</v>
      </c>
      <c r="H339" s="4">
        <v>1</v>
      </c>
      <c r="I339" s="4">
        <v>0</v>
      </c>
      <c r="J339" s="4">
        <v>0</v>
      </c>
      <c r="K339" s="4">
        <v>0</v>
      </c>
      <c r="L339" s="4">
        <v>1</v>
      </c>
    </row>
    <row r="340" spans="1:12" x14ac:dyDescent="0.2">
      <c r="A340" s="4">
        <v>6.08</v>
      </c>
      <c r="B340" s="4">
        <v>16</v>
      </c>
      <c r="C340" s="4">
        <v>9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1</v>
      </c>
      <c r="J340" s="4">
        <v>0</v>
      </c>
      <c r="K340" s="4">
        <v>0</v>
      </c>
      <c r="L340" s="4">
        <v>4</v>
      </c>
    </row>
    <row r="341" spans="1:12" x14ac:dyDescent="0.2">
      <c r="A341" s="4">
        <v>6.08</v>
      </c>
      <c r="B341" s="4">
        <v>16</v>
      </c>
      <c r="C341" s="4">
        <v>42</v>
      </c>
      <c r="D341" s="4">
        <v>10</v>
      </c>
      <c r="E341" s="4">
        <v>0</v>
      </c>
      <c r="F341" s="4">
        <v>0</v>
      </c>
      <c r="G341" s="4">
        <v>0</v>
      </c>
      <c r="H341" s="4">
        <v>1</v>
      </c>
      <c r="I341" s="4">
        <v>0</v>
      </c>
      <c r="J341" s="4">
        <v>0</v>
      </c>
      <c r="K341" s="4">
        <v>0</v>
      </c>
      <c r="L341" s="4">
        <v>1</v>
      </c>
    </row>
    <row r="342" spans="1:12" x14ac:dyDescent="0.2">
      <c r="A342" s="4">
        <v>6.11</v>
      </c>
      <c r="B342" s="4">
        <v>14</v>
      </c>
      <c r="C342" s="4">
        <v>15</v>
      </c>
      <c r="D342" s="4">
        <v>0</v>
      </c>
      <c r="E342" s="4">
        <v>0</v>
      </c>
      <c r="F342" s="4">
        <v>1</v>
      </c>
      <c r="G342" s="4">
        <v>2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</row>
    <row r="343" spans="1:12" x14ac:dyDescent="0.2">
      <c r="A343" s="4">
        <v>6.15</v>
      </c>
      <c r="B343" s="4">
        <v>12</v>
      </c>
      <c r="C343" s="4">
        <v>15</v>
      </c>
      <c r="D343" s="4">
        <v>6</v>
      </c>
      <c r="E343" s="4">
        <v>1</v>
      </c>
      <c r="F343" s="4">
        <v>1</v>
      </c>
      <c r="G343" s="4">
        <v>1</v>
      </c>
      <c r="H343" s="4">
        <v>0</v>
      </c>
      <c r="I343" s="4">
        <v>0</v>
      </c>
      <c r="J343" s="4">
        <v>1</v>
      </c>
      <c r="K343" s="4">
        <v>0</v>
      </c>
      <c r="L343" s="4">
        <v>5</v>
      </c>
    </row>
    <row r="344" spans="1:12" x14ac:dyDescent="0.2">
      <c r="A344" s="4">
        <v>6.15</v>
      </c>
      <c r="B344" s="4">
        <v>12</v>
      </c>
      <c r="C344" s="4">
        <v>35</v>
      </c>
      <c r="D344" s="4">
        <v>12</v>
      </c>
      <c r="E344" s="4">
        <v>1</v>
      </c>
      <c r="F344" s="4">
        <v>0</v>
      </c>
      <c r="G344" s="4">
        <v>0</v>
      </c>
      <c r="H344" s="4">
        <v>1</v>
      </c>
      <c r="I344" s="4">
        <v>0</v>
      </c>
      <c r="J344" s="4">
        <v>0</v>
      </c>
      <c r="K344" s="4">
        <v>0</v>
      </c>
      <c r="L344" s="4">
        <v>5</v>
      </c>
    </row>
    <row r="345" spans="1:12" x14ac:dyDescent="0.2">
      <c r="A345" s="4">
        <v>6.18</v>
      </c>
      <c r="B345" s="4">
        <v>14</v>
      </c>
      <c r="C345" s="4">
        <v>9</v>
      </c>
      <c r="D345" s="4">
        <v>3</v>
      </c>
      <c r="E345" s="4">
        <v>1</v>
      </c>
      <c r="F345" s="4">
        <v>1</v>
      </c>
      <c r="G345" s="4">
        <v>0</v>
      </c>
      <c r="H345" s="4">
        <v>1</v>
      </c>
      <c r="I345" s="4">
        <v>0</v>
      </c>
      <c r="J345" s="4">
        <v>0</v>
      </c>
      <c r="K345" s="4">
        <v>0</v>
      </c>
      <c r="L345" s="4">
        <v>3</v>
      </c>
    </row>
    <row r="346" spans="1:12" x14ac:dyDescent="0.2">
      <c r="A346" s="4">
        <v>6.22</v>
      </c>
      <c r="B346" s="4">
        <v>12</v>
      </c>
      <c r="C346" s="4">
        <v>19</v>
      </c>
      <c r="D346" s="4">
        <v>9</v>
      </c>
      <c r="E346" s="4">
        <v>1</v>
      </c>
      <c r="F346" s="4">
        <v>1</v>
      </c>
      <c r="G346" s="4">
        <v>1</v>
      </c>
      <c r="H346" s="4">
        <v>1</v>
      </c>
      <c r="I346" s="4">
        <v>0</v>
      </c>
      <c r="J346" s="4">
        <v>0</v>
      </c>
      <c r="K346" s="4">
        <v>0</v>
      </c>
      <c r="L346" s="4">
        <v>5</v>
      </c>
    </row>
    <row r="347" spans="1:12" x14ac:dyDescent="0.2">
      <c r="A347" s="4">
        <v>6.25</v>
      </c>
      <c r="B347" s="4">
        <v>16</v>
      </c>
      <c r="C347" s="4">
        <v>8</v>
      </c>
      <c r="D347" s="4">
        <v>2</v>
      </c>
      <c r="E347" s="4"/>
      <c r="F347" s="4">
        <v>0</v>
      </c>
      <c r="G347" s="4">
        <v>0</v>
      </c>
      <c r="H347" s="4">
        <v>0</v>
      </c>
      <c r="I347" s="4">
        <v>0</v>
      </c>
      <c r="J347" s="4">
        <v>1</v>
      </c>
      <c r="K347" s="4">
        <v>0</v>
      </c>
      <c r="L347" s="4">
        <v>5</v>
      </c>
    </row>
    <row r="348" spans="1:12" x14ac:dyDescent="0.2">
      <c r="A348" s="4">
        <v>6.25</v>
      </c>
      <c r="B348" s="4">
        <v>12</v>
      </c>
      <c r="C348" s="4">
        <v>11</v>
      </c>
      <c r="D348" s="4">
        <v>0</v>
      </c>
      <c r="E348" s="4">
        <v>1</v>
      </c>
      <c r="F348" s="4">
        <v>0</v>
      </c>
      <c r="G348" s="4">
        <v>0</v>
      </c>
      <c r="H348" s="4">
        <v>0</v>
      </c>
      <c r="I348" s="4">
        <v>0</v>
      </c>
      <c r="J348" s="4">
        <v>1</v>
      </c>
      <c r="K348" s="4">
        <v>0</v>
      </c>
      <c r="L348" s="4">
        <v>3</v>
      </c>
    </row>
    <row r="349" spans="1:12" x14ac:dyDescent="0.2">
      <c r="A349" s="4">
        <v>6.25</v>
      </c>
      <c r="B349" s="4">
        <v>10</v>
      </c>
      <c r="C349" s="4">
        <v>36</v>
      </c>
      <c r="D349" s="4">
        <v>8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4</v>
      </c>
    </row>
    <row r="350" spans="1:12" x14ac:dyDescent="0.2">
      <c r="A350" s="4">
        <v>6.25</v>
      </c>
      <c r="B350" s="4"/>
      <c r="C350" s="4">
        <v>7</v>
      </c>
      <c r="D350" s="4">
        <v>4</v>
      </c>
      <c r="E350" s="4">
        <v>1</v>
      </c>
      <c r="F350" s="4">
        <v>1</v>
      </c>
      <c r="G350" s="4">
        <v>3</v>
      </c>
      <c r="H350" s="4">
        <v>0</v>
      </c>
      <c r="I350" s="4">
        <v>0</v>
      </c>
      <c r="J350" s="4">
        <v>0</v>
      </c>
      <c r="K350" s="4">
        <v>0</v>
      </c>
      <c r="L350" s="4">
        <v>4</v>
      </c>
    </row>
    <row r="351" spans="1:12" x14ac:dyDescent="0.2">
      <c r="A351" s="4">
        <v>6.25</v>
      </c>
      <c r="B351" s="4"/>
      <c r="C351" s="4">
        <v>6</v>
      </c>
      <c r="D351" s="4">
        <v>5</v>
      </c>
      <c r="E351" s="4">
        <v>1</v>
      </c>
      <c r="F351" s="4">
        <v>1</v>
      </c>
      <c r="G351" s="4">
        <v>1</v>
      </c>
      <c r="H351" s="4">
        <v>1</v>
      </c>
      <c r="I351" s="4">
        <v>0</v>
      </c>
      <c r="J351" s="4">
        <v>0</v>
      </c>
      <c r="K351" s="4">
        <v>0</v>
      </c>
      <c r="L351" s="4">
        <v>1</v>
      </c>
    </row>
    <row r="352" spans="1:12" x14ac:dyDescent="0.2">
      <c r="A352" s="4">
        <v>6.25</v>
      </c>
      <c r="B352" s="4"/>
      <c r="C352" s="4">
        <v>9</v>
      </c>
      <c r="D352" s="4">
        <v>2</v>
      </c>
      <c r="E352" s="4">
        <v>0</v>
      </c>
      <c r="F352" s="4">
        <v>1</v>
      </c>
      <c r="G352" s="4">
        <v>1</v>
      </c>
      <c r="H352" s="4">
        <v>1</v>
      </c>
      <c r="I352" s="4">
        <v>0</v>
      </c>
      <c r="J352" s="4">
        <v>0</v>
      </c>
      <c r="K352" s="4">
        <v>0</v>
      </c>
      <c r="L352" s="4">
        <v>3</v>
      </c>
    </row>
    <row r="353" spans="1:12" x14ac:dyDescent="0.2">
      <c r="A353" s="4">
        <v>6.25</v>
      </c>
      <c r="B353" s="4"/>
      <c r="C353" s="4">
        <v>2</v>
      </c>
      <c r="D353" s="4">
        <v>1</v>
      </c>
      <c r="E353" s="4">
        <v>1</v>
      </c>
      <c r="F353" s="4">
        <v>0</v>
      </c>
      <c r="G353" s="4">
        <v>0</v>
      </c>
      <c r="H353" s="4">
        <v>1</v>
      </c>
      <c r="I353" s="4">
        <v>0</v>
      </c>
      <c r="J353" s="4">
        <v>0</v>
      </c>
      <c r="K353" s="4">
        <v>0</v>
      </c>
      <c r="L353" s="4">
        <v>3</v>
      </c>
    </row>
    <row r="354" spans="1:12" x14ac:dyDescent="0.2">
      <c r="A354" s="4">
        <v>6.25</v>
      </c>
      <c r="B354" s="4"/>
      <c r="C354" s="4">
        <v>13</v>
      </c>
      <c r="D354" s="4">
        <v>0</v>
      </c>
      <c r="E354" s="4">
        <v>1</v>
      </c>
      <c r="F354" s="4">
        <v>1</v>
      </c>
      <c r="G354" s="4">
        <v>0</v>
      </c>
      <c r="H354" s="4">
        <v>1</v>
      </c>
      <c r="I354" s="4">
        <v>0</v>
      </c>
      <c r="J354" s="4">
        <v>0</v>
      </c>
      <c r="K354" s="4">
        <v>0</v>
      </c>
      <c r="L354" s="4">
        <v>4</v>
      </c>
    </row>
    <row r="355" spans="1:12" x14ac:dyDescent="0.2">
      <c r="A355" s="4">
        <v>6.25</v>
      </c>
      <c r="B355" s="4">
        <v>16</v>
      </c>
      <c r="C355" s="4">
        <v>5</v>
      </c>
      <c r="D355" s="4">
        <v>0</v>
      </c>
      <c r="E355" s="4">
        <v>0</v>
      </c>
      <c r="F355" s="4">
        <v>1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</row>
    <row r="356" spans="1:12" x14ac:dyDescent="0.2">
      <c r="A356" s="4">
        <v>6.25</v>
      </c>
      <c r="B356" s="4">
        <v>15</v>
      </c>
      <c r="C356" s="4">
        <v>12</v>
      </c>
      <c r="D356" s="4">
        <v>4</v>
      </c>
      <c r="E356" s="4">
        <v>1</v>
      </c>
      <c r="F356" s="4">
        <v>1</v>
      </c>
      <c r="G356" s="4">
        <v>2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</row>
    <row r="357" spans="1:12" x14ac:dyDescent="0.2">
      <c r="A357" s="4">
        <v>6.25</v>
      </c>
      <c r="B357" s="4">
        <v>11</v>
      </c>
      <c r="C357" s="4">
        <v>35</v>
      </c>
      <c r="D357" s="4">
        <v>31</v>
      </c>
      <c r="E357" s="4">
        <v>0</v>
      </c>
      <c r="F357" s="4">
        <v>1</v>
      </c>
      <c r="G357" s="4">
        <v>0</v>
      </c>
      <c r="H357" s="4">
        <v>0</v>
      </c>
      <c r="I357" s="4">
        <v>1</v>
      </c>
      <c r="J357" s="4">
        <v>0</v>
      </c>
      <c r="K357" s="4">
        <v>0</v>
      </c>
      <c r="L357" s="4">
        <v>2</v>
      </c>
    </row>
    <row r="358" spans="1:12" x14ac:dyDescent="0.2">
      <c r="A358" s="4">
        <v>6.25</v>
      </c>
      <c r="B358" s="4">
        <v>12</v>
      </c>
      <c r="C358" s="4">
        <v>10</v>
      </c>
      <c r="D358" s="4">
        <v>0</v>
      </c>
      <c r="E358" s="4">
        <v>0</v>
      </c>
      <c r="F358" s="4">
        <v>1</v>
      </c>
      <c r="G358" s="4">
        <v>3</v>
      </c>
      <c r="H358" s="4">
        <v>0</v>
      </c>
      <c r="I358" s="4">
        <v>1</v>
      </c>
      <c r="J358" s="4">
        <v>0</v>
      </c>
      <c r="K358" s="4">
        <v>1</v>
      </c>
      <c r="L358" s="4">
        <v>3</v>
      </c>
    </row>
    <row r="359" spans="1:12" x14ac:dyDescent="0.2">
      <c r="A359" s="4">
        <v>6.25</v>
      </c>
      <c r="B359" s="4">
        <v>16</v>
      </c>
      <c r="C359" s="4">
        <v>11</v>
      </c>
      <c r="D359" s="4">
        <v>4</v>
      </c>
      <c r="E359" s="4">
        <v>0</v>
      </c>
      <c r="F359" s="4">
        <v>0</v>
      </c>
      <c r="G359" s="4">
        <v>0</v>
      </c>
      <c r="H359" s="4">
        <v>1</v>
      </c>
      <c r="I359" s="4">
        <v>0</v>
      </c>
      <c r="J359" s="4">
        <v>0</v>
      </c>
      <c r="K359" s="4">
        <v>0</v>
      </c>
      <c r="L359" s="4">
        <v>4</v>
      </c>
    </row>
    <row r="360" spans="1:12" x14ac:dyDescent="0.2">
      <c r="A360" s="4">
        <v>6.25</v>
      </c>
      <c r="B360" s="4">
        <v>17</v>
      </c>
      <c r="C360" s="4">
        <v>4</v>
      </c>
      <c r="D360" s="4">
        <v>0</v>
      </c>
      <c r="E360" s="4">
        <v>1</v>
      </c>
      <c r="F360" s="4">
        <v>0</v>
      </c>
      <c r="G360" s="4">
        <v>0</v>
      </c>
      <c r="H360" s="4">
        <v>0</v>
      </c>
      <c r="I360" s="4">
        <v>0</v>
      </c>
      <c r="J360" s="4">
        <v>1</v>
      </c>
      <c r="K360" s="4">
        <v>0</v>
      </c>
      <c r="L360" s="4">
        <v>3</v>
      </c>
    </row>
    <row r="361" spans="1:12" x14ac:dyDescent="0.2">
      <c r="A361" s="4">
        <v>6.25</v>
      </c>
      <c r="B361" s="4">
        <v>16</v>
      </c>
      <c r="C361" s="4">
        <v>24</v>
      </c>
      <c r="D361" s="4">
        <v>2</v>
      </c>
      <c r="E361" s="4">
        <v>1</v>
      </c>
      <c r="F361" s="4">
        <v>1</v>
      </c>
      <c r="G361" s="4">
        <v>2</v>
      </c>
      <c r="H361" s="4">
        <v>0</v>
      </c>
      <c r="I361" s="4">
        <v>0</v>
      </c>
      <c r="J361" s="4">
        <v>1</v>
      </c>
      <c r="K361" s="4">
        <v>0</v>
      </c>
      <c r="L361" s="4">
        <v>5</v>
      </c>
    </row>
    <row r="362" spans="1:12" x14ac:dyDescent="0.2">
      <c r="A362" s="4">
        <v>6.25</v>
      </c>
      <c r="B362" s="4">
        <v>7</v>
      </c>
      <c r="C362" s="4">
        <v>39</v>
      </c>
      <c r="D362" s="4">
        <v>21</v>
      </c>
      <c r="E362" s="4">
        <v>0</v>
      </c>
      <c r="F362" s="4">
        <v>1</v>
      </c>
      <c r="G362" s="4">
        <v>0</v>
      </c>
      <c r="H362" s="4">
        <v>0</v>
      </c>
      <c r="I362" s="4">
        <v>1</v>
      </c>
      <c r="J362" s="4">
        <v>0</v>
      </c>
      <c r="K362" s="4">
        <v>0</v>
      </c>
      <c r="L362" s="4">
        <v>3</v>
      </c>
    </row>
    <row r="363" spans="1:12" x14ac:dyDescent="0.2">
      <c r="A363" s="4">
        <v>6.25</v>
      </c>
      <c r="B363" s="4">
        <v>12</v>
      </c>
      <c r="C363" s="4">
        <v>21</v>
      </c>
      <c r="D363" s="4">
        <v>6</v>
      </c>
      <c r="E363" s="4">
        <v>0</v>
      </c>
      <c r="F363" s="4">
        <v>1</v>
      </c>
      <c r="G363" s="4">
        <v>3</v>
      </c>
      <c r="H363" s="4">
        <v>0</v>
      </c>
      <c r="I363" s="4">
        <v>1</v>
      </c>
      <c r="J363" s="4">
        <v>0</v>
      </c>
      <c r="K363" s="4">
        <v>0</v>
      </c>
      <c r="L363" s="4">
        <v>2</v>
      </c>
    </row>
    <row r="364" spans="1:12" x14ac:dyDescent="0.2">
      <c r="A364" s="4">
        <v>6.25</v>
      </c>
      <c r="B364" s="4">
        <v>16</v>
      </c>
      <c r="C364" s="4">
        <v>4</v>
      </c>
      <c r="D364" s="4">
        <v>3</v>
      </c>
      <c r="E364" s="4">
        <v>0</v>
      </c>
      <c r="F364" s="4">
        <v>1</v>
      </c>
      <c r="G364" s="4">
        <v>0</v>
      </c>
      <c r="H364" s="4">
        <v>0</v>
      </c>
      <c r="I364" s="4">
        <v>0</v>
      </c>
      <c r="J364" s="4">
        <v>1</v>
      </c>
      <c r="K364" s="4">
        <v>0</v>
      </c>
      <c r="L364" s="4">
        <v>2</v>
      </c>
    </row>
    <row r="365" spans="1:12" x14ac:dyDescent="0.2">
      <c r="A365" s="4">
        <v>6.26</v>
      </c>
      <c r="B365" s="4">
        <v>13</v>
      </c>
      <c r="C365" s="4">
        <v>37</v>
      </c>
      <c r="D365" s="4">
        <v>17</v>
      </c>
      <c r="E365" s="4">
        <v>1</v>
      </c>
      <c r="F365" s="4">
        <v>1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4</v>
      </c>
    </row>
    <row r="366" spans="1:12" x14ac:dyDescent="0.2">
      <c r="A366" s="4">
        <v>6.29</v>
      </c>
      <c r="B366" s="4">
        <v>17</v>
      </c>
      <c r="C366" s="4">
        <v>10</v>
      </c>
      <c r="D366" s="4">
        <v>3</v>
      </c>
      <c r="E366" s="4">
        <v>0</v>
      </c>
      <c r="F366" s="4">
        <v>1</v>
      </c>
      <c r="G366" s="4">
        <v>1</v>
      </c>
      <c r="H366" s="4">
        <v>0</v>
      </c>
      <c r="I366" s="4">
        <v>1</v>
      </c>
      <c r="J366" s="4">
        <v>0</v>
      </c>
      <c r="K366" s="4">
        <v>0</v>
      </c>
      <c r="L366" s="4">
        <v>1</v>
      </c>
    </row>
    <row r="367" spans="1:12" x14ac:dyDescent="0.2">
      <c r="A367" s="4">
        <v>6.33</v>
      </c>
      <c r="B367" s="4">
        <v>16</v>
      </c>
      <c r="C367" s="4">
        <v>9</v>
      </c>
      <c r="D367" s="4">
        <v>9</v>
      </c>
      <c r="E367" s="4">
        <v>1</v>
      </c>
      <c r="F367" s="4">
        <v>0</v>
      </c>
      <c r="G367" s="4">
        <v>0</v>
      </c>
      <c r="H367" s="4">
        <v>0</v>
      </c>
      <c r="I367" s="4">
        <v>0</v>
      </c>
      <c r="J367" s="4">
        <v>1</v>
      </c>
      <c r="K367" s="4">
        <v>0</v>
      </c>
      <c r="L367" s="4">
        <v>3</v>
      </c>
    </row>
    <row r="368" spans="1:12" x14ac:dyDescent="0.2">
      <c r="A368" s="4">
        <v>6.33</v>
      </c>
      <c r="B368" s="4">
        <v>12</v>
      </c>
      <c r="C368" s="4">
        <v>23</v>
      </c>
      <c r="D368" s="4">
        <v>8</v>
      </c>
      <c r="E368" s="4">
        <v>0</v>
      </c>
      <c r="F368" s="4">
        <v>1</v>
      </c>
      <c r="G368" s="4">
        <v>2</v>
      </c>
      <c r="H368" s="4">
        <v>0</v>
      </c>
      <c r="I368" s="4">
        <v>1</v>
      </c>
      <c r="J368" s="4">
        <v>0</v>
      </c>
      <c r="K368" s="4">
        <v>0</v>
      </c>
      <c r="L368" s="4">
        <v>4</v>
      </c>
    </row>
    <row r="369" spans="1:12" x14ac:dyDescent="0.2">
      <c r="A369" s="4">
        <v>6.35</v>
      </c>
      <c r="B369" s="4">
        <v>14</v>
      </c>
      <c r="C369" s="4">
        <v>10</v>
      </c>
      <c r="D369" s="4">
        <v>1</v>
      </c>
      <c r="E369" s="4">
        <v>1</v>
      </c>
      <c r="F369" s="4">
        <v>1</v>
      </c>
      <c r="G369" s="4">
        <v>2</v>
      </c>
      <c r="H369" s="4">
        <v>0</v>
      </c>
      <c r="I369" s="4">
        <v>1</v>
      </c>
      <c r="J369" s="4">
        <v>0</v>
      </c>
      <c r="K369" s="4">
        <v>0</v>
      </c>
      <c r="L369" s="4">
        <v>1</v>
      </c>
    </row>
    <row r="370" spans="1:12" x14ac:dyDescent="0.2">
      <c r="A370" s="4">
        <v>6.36</v>
      </c>
      <c r="B370" s="4">
        <v>14</v>
      </c>
      <c r="C370" s="4">
        <v>8</v>
      </c>
      <c r="D370" s="4">
        <v>1</v>
      </c>
      <c r="E370" s="4">
        <v>0</v>
      </c>
      <c r="F370" s="4">
        <v>1</v>
      </c>
      <c r="G370" s="4">
        <v>0</v>
      </c>
      <c r="H370" s="4">
        <v>0</v>
      </c>
      <c r="I370" s="4">
        <v>1</v>
      </c>
      <c r="J370" s="4">
        <v>0</v>
      </c>
      <c r="K370" s="4">
        <v>0</v>
      </c>
      <c r="L370" s="4">
        <v>3</v>
      </c>
    </row>
    <row r="371" spans="1:12" x14ac:dyDescent="0.2">
      <c r="A371" s="4">
        <v>6.36</v>
      </c>
      <c r="B371" s="4">
        <v>16</v>
      </c>
      <c r="C371" s="4">
        <v>25</v>
      </c>
      <c r="D371" s="4">
        <v>0</v>
      </c>
      <c r="E371" s="4">
        <v>0</v>
      </c>
      <c r="F371" s="4">
        <v>1</v>
      </c>
      <c r="G371" s="4">
        <v>1</v>
      </c>
      <c r="H371" s="4">
        <v>0</v>
      </c>
      <c r="I371" s="4">
        <v>1</v>
      </c>
      <c r="J371" s="4">
        <v>0</v>
      </c>
      <c r="K371" s="4">
        <v>0</v>
      </c>
      <c r="L371" s="4">
        <v>4</v>
      </c>
    </row>
    <row r="372" spans="1:12" x14ac:dyDescent="0.2">
      <c r="A372" s="4">
        <v>6.38</v>
      </c>
      <c r="B372" s="4">
        <v>13</v>
      </c>
      <c r="C372" s="4">
        <v>11</v>
      </c>
      <c r="D372" s="4">
        <v>4</v>
      </c>
      <c r="E372" s="4">
        <v>1</v>
      </c>
      <c r="F372" s="4">
        <v>0</v>
      </c>
      <c r="G372" s="4">
        <v>0</v>
      </c>
      <c r="H372" s="4">
        <v>0</v>
      </c>
      <c r="I372" s="4">
        <v>0</v>
      </c>
      <c r="J372" s="4">
        <v>1</v>
      </c>
      <c r="K372" s="4">
        <v>0</v>
      </c>
      <c r="L372" s="4">
        <v>5</v>
      </c>
    </row>
    <row r="373" spans="1:12" x14ac:dyDescent="0.2">
      <c r="A373" s="4">
        <v>6.43</v>
      </c>
      <c r="B373" s="4">
        <v>16</v>
      </c>
      <c r="C373" s="4">
        <v>17</v>
      </c>
      <c r="D373" s="4">
        <v>3</v>
      </c>
      <c r="E373" s="4">
        <v>1</v>
      </c>
      <c r="F373" s="4">
        <v>1</v>
      </c>
      <c r="G373" s="4">
        <v>2</v>
      </c>
      <c r="H373" s="4">
        <v>0</v>
      </c>
      <c r="I373" s="4">
        <v>1</v>
      </c>
      <c r="J373" s="4">
        <v>0</v>
      </c>
      <c r="K373" s="4">
        <v>0</v>
      </c>
      <c r="L373" s="4">
        <v>3</v>
      </c>
    </row>
    <row r="374" spans="1:12" x14ac:dyDescent="0.2">
      <c r="A374" s="4">
        <v>6.45</v>
      </c>
      <c r="B374" s="4">
        <v>12</v>
      </c>
      <c r="C374" s="4">
        <v>7</v>
      </c>
      <c r="D374" s="4">
        <v>6</v>
      </c>
      <c r="E374" s="4"/>
      <c r="F374" s="4">
        <v>1</v>
      </c>
      <c r="G374" s="4">
        <v>0</v>
      </c>
      <c r="H374" s="4">
        <v>0</v>
      </c>
      <c r="I374" s="4">
        <v>1</v>
      </c>
      <c r="J374" s="4">
        <v>0</v>
      </c>
      <c r="K374" s="4">
        <v>0</v>
      </c>
      <c r="L374" s="4">
        <v>2</v>
      </c>
    </row>
    <row r="375" spans="1:12" x14ac:dyDescent="0.2">
      <c r="A375" s="4">
        <v>6.46</v>
      </c>
      <c r="B375" s="4">
        <v>12</v>
      </c>
      <c r="C375" s="4">
        <v>27</v>
      </c>
      <c r="D375" s="4">
        <v>0</v>
      </c>
      <c r="E375" s="4">
        <v>0</v>
      </c>
      <c r="F375" s="4">
        <v>1</v>
      </c>
      <c r="G375" s="4">
        <v>3</v>
      </c>
      <c r="H375" s="4">
        <v>1</v>
      </c>
      <c r="I375" s="4">
        <v>0</v>
      </c>
      <c r="J375" s="4">
        <v>0</v>
      </c>
      <c r="K375" s="4">
        <v>0</v>
      </c>
      <c r="L375" s="4">
        <v>3</v>
      </c>
    </row>
    <row r="376" spans="1:12" x14ac:dyDescent="0.2">
      <c r="A376" s="4">
        <v>6.5</v>
      </c>
      <c r="B376" s="4">
        <v>12</v>
      </c>
      <c r="C376" s="4">
        <v>4</v>
      </c>
      <c r="D376" s="4">
        <v>1</v>
      </c>
      <c r="E376" s="4">
        <v>1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4</v>
      </c>
    </row>
    <row r="377" spans="1:12" x14ac:dyDescent="0.2">
      <c r="A377" s="4">
        <v>6.5</v>
      </c>
      <c r="B377" s="4">
        <v>12</v>
      </c>
      <c r="C377" s="4">
        <v>8</v>
      </c>
      <c r="D377" s="4">
        <v>5</v>
      </c>
      <c r="E377" s="4">
        <v>1</v>
      </c>
      <c r="F377" s="4">
        <v>1</v>
      </c>
      <c r="G377" s="4">
        <v>0</v>
      </c>
      <c r="H377" s="4">
        <v>0</v>
      </c>
      <c r="I377" s="4">
        <v>1</v>
      </c>
      <c r="J377" s="4">
        <v>0</v>
      </c>
      <c r="K377" s="4">
        <v>0</v>
      </c>
      <c r="L377" s="4">
        <v>3</v>
      </c>
    </row>
    <row r="378" spans="1:12" x14ac:dyDescent="0.2">
      <c r="A378" s="4">
        <v>6.5</v>
      </c>
      <c r="B378" s="4">
        <v>17</v>
      </c>
      <c r="C378" s="4">
        <v>3</v>
      </c>
      <c r="D378" s="4">
        <v>0</v>
      </c>
      <c r="E378" s="4">
        <v>0</v>
      </c>
      <c r="F378" s="4">
        <v>1</v>
      </c>
      <c r="G378" s="4">
        <v>0</v>
      </c>
      <c r="H378" s="4">
        <v>1</v>
      </c>
      <c r="I378" s="4">
        <v>0</v>
      </c>
      <c r="J378" s="4">
        <v>0</v>
      </c>
      <c r="K378" s="4">
        <v>0</v>
      </c>
      <c r="L378" s="4">
        <v>3</v>
      </c>
    </row>
    <row r="379" spans="1:12" x14ac:dyDescent="0.2">
      <c r="A379" s="4">
        <v>6.5</v>
      </c>
      <c r="B379" s="4">
        <v>12</v>
      </c>
      <c r="C379" s="4">
        <v>33</v>
      </c>
      <c r="D379" s="4">
        <v>2</v>
      </c>
      <c r="E379" s="4">
        <v>0</v>
      </c>
      <c r="F379" s="4">
        <v>1</v>
      </c>
      <c r="G379" s="4">
        <v>0</v>
      </c>
      <c r="H379" s="4">
        <v>1</v>
      </c>
      <c r="I379" s="4">
        <v>0</v>
      </c>
      <c r="J379" s="4">
        <v>0</v>
      </c>
      <c r="K379" s="4">
        <v>0</v>
      </c>
      <c r="L379" s="4">
        <v>3</v>
      </c>
    </row>
    <row r="380" spans="1:12" x14ac:dyDescent="0.2">
      <c r="A380" s="4">
        <v>6.5</v>
      </c>
      <c r="B380" s="4">
        <v>14</v>
      </c>
      <c r="C380" s="4">
        <v>41</v>
      </c>
      <c r="D380" s="4">
        <v>33</v>
      </c>
      <c r="E380" s="4">
        <v>0</v>
      </c>
      <c r="F380" s="4">
        <v>1</v>
      </c>
      <c r="G380" s="4">
        <v>0</v>
      </c>
      <c r="H380" s="4">
        <v>1</v>
      </c>
      <c r="I380" s="4">
        <v>0</v>
      </c>
      <c r="J380" s="4">
        <v>0</v>
      </c>
      <c r="K380" s="4">
        <v>0</v>
      </c>
      <c r="L380" s="4">
        <v>5</v>
      </c>
    </row>
    <row r="381" spans="1:12" x14ac:dyDescent="0.2">
      <c r="A381" s="4">
        <v>6.5</v>
      </c>
      <c r="B381" s="4">
        <v>10</v>
      </c>
      <c r="C381" s="4">
        <v>14</v>
      </c>
      <c r="D381" s="4">
        <v>11</v>
      </c>
      <c r="E381" s="4">
        <v>0</v>
      </c>
      <c r="F381" s="4">
        <v>1</v>
      </c>
      <c r="G381" s="4">
        <v>3</v>
      </c>
      <c r="H381" s="4">
        <v>0</v>
      </c>
      <c r="I381" s="4">
        <v>1</v>
      </c>
      <c r="J381" s="4">
        <v>0</v>
      </c>
      <c r="K381" s="4">
        <v>0</v>
      </c>
      <c r="L381" s="4">
        <v>3</v>
      </c>
    </row>
    <row r="382" spans="1:12" x14ac:dyDescent="0.2">
      <c r="A382" s="4">
        <v>6.5</v>
      </c>
      <c r="B382" s="4">
        <v>12</v>
      </c>
      <c r="C382" s="4">
        <v>20</v>
      </c>
      <c r="D382" s="4">
        <v>14</v>
      </c>
      <c r="E382" s="4">
        <v>0</v>
      </c>
      <c r="F382" s="4">
        <v>1</v>
      </c>
      <c r="G382" s="4">
        <v>3</v>
      </c>
      <c r="H382" s="4">
        <v>0</v>
      </c>
      <c r="I382" s="4">
        <v>0</v>
      </c>
      <c r="J382" s="4">
        <v>1</v>
      </c>
      <c r="K382" s="4">
        <v>0</v>
      </c>
      <c r="L382" s="4">
        <v>1</v>
      </c>
    </row>
    <row r="383" spans="1:12" x14ac:dyDescent="0.2">
      <c r="A383" s="4">
        <v>6.53</v>
      </c>
      <c r="B383" s="4">
        <v>16</v>
      </c>
      <c r="C383" s="4">
        <v>3</v>
      </c>
      <c r="D383" s="4">
        <v>2</v>
      </c>
      <c r="E383" s="4">
        <v>1</v>
      </c>
      <c r="F383" s="4">
        <v>0</v>
      </c>
      <c r="G383" s="4">
        <v>0</v>
      </c>
      <c r="H383" s="4">
        <v>1</v>
      </c>
      <c r="I383" s="4">
        <v>0</v>
      </c>
      <c r="J383" s="4">
        <v>0</v>
      </c>
      <c r="K383" s="4">
        <v>0</v>
      </c>
      <c r="L383" s="4">
        <v>1</v>
      </c>
    </row>
    <row r="384" spans="1:12" x14ac:dyDescent="0.2">
      <c r="A384" s="4">
        <v>6.63</v>
      </c>
      <c r="B384" s="4">
        <v>16</v>
      </c>
      <c r="C384" s="4">
        <v>3</v>
      </c>
      <c r="D384" s="4">
        <v>0</v>
      </c>
      <c r="E384" s="4">
        <v>0</v>
      </c>
      <c r="F384" s="4">
        <v>1</v>
      </c>
      <c r="G384" s="4">
        <v>0</v>
      </c>
      <c r="H384" s="4">
        <v>0</v>
      </c>
      <c r="I384" s="4">
        <v>1</v>
      </c>
      <c r="J384" s="4">
        <v>0</v>
      </c>
      <c r="K384" s="4">
        <v>0</v>
      </c>
      <c r="L384" s="4">
        <v>1</v>
      </c>
    </row>
    <row r="385" spans="1:12" x14ac:dyDescent="0.2">
      <c r="A385" s="4">
        <v>6.63</v>
      </c>
      <c r="B385" s="4">
        <v>12</v>
      </c>
      <c r="C385" s="4">
        <v>36</v>
      </c>
      <c r="D385" s="4">
        <v>0</v>
      </c>
      <c r="E385" s="4">
        <v>1</v>
      </c>
      <c r="F385" s="4">
        <v>0</v>
      </c>
      <c r="G385" s="4">
        <v>0</v>
      </c>
      <c r="H385" s="4">
        <v>0</v>
      </c>
      <c r="I385" s="4">
        <v>1</v>
      </c>
      <c r="J385" s="4">
        <v>0</v>
      </c>
      <c r="K385" s="4">
        <v>0</v>
      </c>
      <c r="L385" s="4">
        <v>4</v>
      </c>
    </row>
    <row r="386" spans="1:12" x14ac:dyDescent="0.2">
      <c r="A386" s="4">
        <v>6.63</v>
      </c>
      <c r="B386" s="4">
        <v>15</v>
      </c>
      <c r="C386" s="4">
        <v>21</v>
      </c>
      <c r="D386" s="4">
        <v>3</v>
      </c>
      <c r="E386" s="4">
        <v>1</v>
      </c>
      <c r="F386" s="4">
        <v>1</v>
      </c>
      <c r="G386" s="4">
        <v>2</v>
      </c>
      <c r="H386" s="4">
        <v>0</v>
      </c>
      <c r="I386" s="4">
        <v>0</v>
      </c>
      <c r="J386" s="4">
        <v>1</v>
      </c>
      <c r="K386" s="4">
        <v>0</v>
      </c>
      <c r="L386" s="4">
        <v>3</v>
      </c>
    </row>
    <row r="387" spans="1:12" x14ac:dyDescent="0.2">
      <c r="A387" s="4">
        <v>6.67</v>
      </c>
      <c r="B387" s="4">
        <v>12</v>
      </c>
      <c r="C387" s="4">
        <v>7</v>
      </c>
      <c r="D387" s="4">
        <v>5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2</v>
      </c>
    </row>
    <row r="388" spans="1:12" x14ac:dyDescent="0.2">
      <c r="A388" s="4">
        <v>6.67</v>
      </c>
      <c r="B388" s="4">
        <v>12</v>
      </c>
      <c r="C388" s="4">
        <v>35</v>
      </c>
      <c r="D388" s="4">
        <v>10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1</v>
      </c>
    </row>
    <row r="389" spans="1:12" x14ac:dyDescent="0.2">
      <c r="A389" s="4">
        <v>6.76</v>
      </c>
      <c r="B389" s="4">
        <v>12</v>
      </c>
      <c r="C389" s="4">
        <v>19</v>
      </c>
      <c r="D389" s="4">
        <v>3</v>
      </c>
      <c r="E389" s="4">
        <v>0</v>
      </c>
      <c r="F389" s="4">
        <v>1</v>
      </c>
      <c r="G389" s="4">
        <v>2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</row>
    <row r="390" spans="1:12" x14ac:dyDescent="0.2">
      <c r="A390" s="4">
        <v>6.8</v>
      </c>
      <c r="B390" s="4">
        <v>12</v>
      </c>
      <c r="C390" s="4">
        <v>14</v>
      </c>
      <c r="D390" s="4">
        <v>10</v>
      </c>
      <c r="E390" s="4">
        <v>0</v>
      </c>
      <c r="F390" s="4">
        <v>1</v>
      </c>
      <c r="G390" s="4">
        <v>2</v>
      </c>
      <c r="H390" s="4">
        <v>0</v>
      </c>
      <c r="I390" s="4">
        <v>1</v>
      </c>
      <c r="J390" s="4">
        <v>0</v>
      </c>
      <c r="K390" s="4">
        <v>0</v>
      </c>
      <c r="L390" s="4">
        <v>1</v>
      </c>
    </row>
    <row r="391" spans="1:12" x14ac:dyDescent="0.2">
      <c r="A391" s="4">
        <v>6.85</v>
      </c>
      <c r="B391" s="4">
        <v>15</v>
      </c>
      <c r="C391" s="4">
        <v>11</v>
      </c>
      <c r="D391" s="4">
        <v>3</v>
      </c>
      <c r="E391" s="4">
        <v>1</v>
      </c>
      <c r="F391" s="4">
        <v>1</v>
      </c>
      <c r="G391" s="4">
        <v>2</v>
      </c>
      <c r="H391" s="4">
        <v>0</v>
      </c>
      <c r="I391" s="4">
        <v>0</v>
      </c>
      <c r="J391" s="4">
        <v>0</v>
      </c>
      <c r="K391" s="4">
        <v>0</v>
      </c>
      <c r="L391" s="4">
        <v>1</v>
      </c>
    </row>
    <row r="392" spans="1:12" x14ac:dyDescent="0.2">
      <c r="A392" s="4">
        <v>6.88</v>
      </c>
      <c r="B392" s="4"/>
      <c r="C392" s="4">
        <v>11</v>
      </c>
      <c r="D392" s="4">
        <v>4</v>
      </c>
      <c r="E392" s="4">
        <v>1</v>
      </c>
      <c r="F392" s="4">
        <v>0</v>
      </c>
      <c r="G392" s="4">
        <v>0</v>
      </c>
      <c r="H392" s="4">
        <v>0</v>
      </c>
      <c r="I392" s="4">
        <v>0</v>
      </c>
      <c r="J392" s="4">
        <v>1</v>
      </c>
      <c r="K392" s="4">
        <v>0</v>
      </c>
      <c r="L392" s="4">
        <v>0</v>
      </c>
    </row>
    <row r="393" spans="1:12" x14ac:dyDescent="0.2">
      <c r="A393" s="4">
        <v>6.88</v>
      </c>
      <c r="B393" s="4"/>
      <c r="C393" s="4">
        <v>4</v>
      </c>
      <c r="D393" s="4">
        <v>4</v>
      </c>
      <c r="E393" s="4">
        <v>0</v>
      </c>
      <c r="F393" s="4">
        <v>0</v>
      </c>
      <c r="G393" s="4">
        <v>0</v>
      </c>
      <c r="H393" s="4">
        <v>1</v>
      </c>
      <c r="I393" s="4">
        <v>0</v>
      </c>
      <c r="J393" s="4">
        <v>0</v>
      </c>
      <c r="K393" s="4">
        <v>0</v>
      </c>
      <c r="L393" s="4">
        <v>2</v>
      </c>
    </row>
    <row r="394" spans="1:12" x14ac:dyDescent="0.2">
      <c r="A394" s="4">
        <v>6.88</v>
      </c>
      <c r="B394" s="4">
        <v>12</v>
      </c>
      <c r="C394" s="4">
        <v>31</v>
      </c>
      <c r="D394" s="4">
        <v>19</v>
      </c>
      <c r="E394" s="4">
        <v>0</v>
      </c>
      <c r="F394" s="4">
        <v>1</v>
      </c>
      <c r="G394" s="4">
        <v>3</v>
      </c>
      <c r="H394" s="4">
        <v>1</v>
      </c>
      <c r="I394" s="4">
        <v>0</v>
      </c>
      <c r="J394" s="4">
        <v>0</v>
      </c>
      <c r="K394" s="4">
        <v>0</v>
      </c>
      <c r="L394" s="4">
        <v>5</v>
      </c>
    </row>
    <row r="395" spans="1:12" x14ac:dyDescent="0.2">
      <c r="A395" s="4">
        <v>6.88</v>
      </c>
      <c r="B395" s="4">
        <v>13</v>
      </c>
      <c r="C395" s="4">
        <v>34</v>
      </c>
      <c r="D395" s="4">
        <v>21</v>
      </c>
      <c r="E395" s="4">
        <v>0</v>
      </c>
      <c r="F395" s="4">
        <v>1</v>
      </c>
      <c r="G395" s="4">
        <v>0</v>
      </c>
      <c r="H395" s="4">
        <v>0</v>
      </c>
      <c r="I395" s="4">
        <v>1</v>
      </c>
      <c r="J395" s="4">
        <v>0</v>
      </c>
      <c r="K395" s="4">
        <v>0</v>
      </c>
      <c r="L395" s="4">
        <v>3</v>
      </c>
    </row>
    <row r="396" spans="1:12" x14ac:dyDescent="0.2">
      <c r="A396" s="4">
        <v>7</v>
      </c>
      <c r="B396" s="4">
        <v>12</v>
      </c>
      <c r="C396" s="4">
        <v>6</v>
      </c>
      <c r="D396" s="4">
        <v>5</v>
      </c>
      <c r="E396" s="4">
        <v>0</v>
      </c>
      <c r="F396" s="4">
        <v>1</v>
      </c>
      <c r="G396" s="4">
        <v>1</v>
      </c>
      <c r="H396" s="4">
        <v>0</v>
      </c>
      <c r="I396" s="4">
        <v>1</v>
      </c>
      <c r="J396" s="4">
        <v>0</v>
      </c>
      <c r="K396" s="4">
        <v>1</v>
      </c>
      <c r="L396" s="4">
        <v>0</v>
      </c>
    </row>
    <row r="397" spans="1:12" x14ac:dyDescent="0.2">
      <c r="A397" s="4">
        <v>7</v>
      </c>
      <c r="B397" s="4">
        <v>16</v>
      </c>
      <c r="C397" s="4">
        <v>26</v>
      </c>
      <c r="D397" s="4">
        <v>3</v>
      </c>
      <c r="E397" s="4">
        <v>1</v>
      </c>
      <c r="F397" s="4">
        <v>1</v>
      </c>
      <c r="G397" s="4">
        <v>1</v>
      </c>
      <c r="H397" s="4">
        <v>0</v>
      </c>
      <c r="I397" s="4">
        <v>1</v>
      </c>
      <c r="J397" s="4">
        <v>0</v>
      </c>
      <c r="K397" s="4">
        <v>0</v>
      </c>
      <c r="L397" s="4">
        <v>2</v>
      </c>
    </row>
    <row r="398" spans="1:12" x14ac:dyDescent="0.2">
      <c r="A398" s="4">
        <v>7.14</v>
      </c>
      <c r="B398" s="4">
        <v>18</v>
      </c>
      <c r="C398" s="4">
        <v>13</v>
      </c>
      <c r="D398" s="4">
        <v>0</v>
      </c>
      <c r="E398" s="4">
        <v>0</v>
      </c>
      <c r="F398" s="4">
        <v>1</v>
      </c>
      <c r="G398" s="4">
        <v>2</v>
      </c>
      <c r="H398" s="4">
        <v>0</v>
      </c>
      <c r="I398" s="4">
        <v>0</v>
      </c>
      <c r="J398" s="4">
        <v>0</v>
      </c>
      <c r="K398" s="4">
        <v>0</v>
      </c>
      <c r="L398" s="4">
        <v>4</v>
      </c>
    </row>
    <row r="399" spans="1:12" x14ac:dyDescent="0.2">
      <c r="A399" s="4">
        <v>7.14</v>
      </c>
      <c r="B399" s="4">
        <v>12</v>
      </c>
      <c r="C399" s="4">
        <v>43</v>
      </c>
      <c r="D399" s="4">
        <v>5</v>
      </c>
      <c r="E399" s="4">
        <v>1</v>
      </c>
      <c r="F399" s="4">
        <v>0</v>
      </c>
      <c r="G399" s="4">
        <v>0</v>
      </c>
      <c r="H399" s="4">
        <v>1</v>
      </c>
      <c r="I399" s="4">
        <v>0</v>
      </c>
      <c r="J399" s="4">
        <v>0</v>
      </c>
      <c r="K399" s="4">
        <v>0</v>
      </c>
      <c r="L399" s="4">
        <v>3</v>
      </c>
    </row>
    <row r="400" spans="1:12" x14ac:dyDescent="0.2">
      <c r="A400" s="4">
        <v>7.25</v>
      </c>
      <c r="B400" s="4">
        <v>12</v>
      </c>
      <c r="C400" s="4">
        <v>14</v>
      </c>
      <c r="D400" s="4">
        <v>5</v>
      </c>
      <c r="E400" s="4">
        <v>0</v>
      </c>
      <c r="F400" s="4">
        <v>1</v>
      </c>
      <c r="G400" s="4">
        <v>3</v>
      </c>
      <c r="H400" s="4">
        <v>0</v>
      </c>
      <c r="I400" s="4">
        <v>0</v>
      </c>
      <c r="J400" s="4">
        <v>1</v>
      </c>
      <c r="K400" s="4">
        <v>0</v>
      </c>
      <c r="L400" s="4">
        <v>2</v>
      </c>
    </row>
    <row r="401" spans="1:12" x14ac:dyDescent="0.2">
      <c r="A401" s="4">
        <v>7.26</v>
      </c>
      <c r="B401" s="4">
        <v>13</v>
      </c>
      <c r="C401" s="4">
        <v>8</v>
      </c>
      <c r="D401" s="4">
        <v>2</v>
      </c>
      <c r="E401" s="4">
        <v>0</v>
      </c>
      <c r="F401" s="4">
        <v>0</v>
      </c>
      <c r="G401" s="4">
        <v>0</v>
      </c>
      <c r="H401" s="4">
        <v>0</v>
      </c>
      <c r="I401" s="4">
        <v>1</v>
      </c>
      <c r="J401" s="4">
        <v>0</v>
      </c>
      <c r="K401" s="4">
        <v>0</v>
      </c>
      <c r="L401" s="4">
        <v>4</v>
      </c>
    </row>
    <row r="402" spans="1:12" x14ac:dyDescent="0.2">
      <c r="A402" s="4">
        <v>7.36</v>
      </c>
      <c r="B402" s="4">
        <v>8</v>
      </c>
      <c r="C402" s="4">
        <v>36</v>
      </c>
      <c r="D402" s="4">
        <v>24</v>
      </c>
      <c r="E402" s="4">
        <v>0</v>
      </c>
      <c r="F402" s="4">
        <v>1</v>
      </c>
      <c r="G402" s="4">
        <v>3</v>
      </c>
      <c r="H402" s="4">
        <v>1</v>
      </c>
      <c r="I402" s="4">
        <v>0</v>
      </c>
      <c r="J402" s="4">
        <v>0</v>
      </c>
      <c r="K402" s="4">
        <v>0</v>
      </c>
      <c r="L402" s="4">
        <v>4</v>
      </c>
    </row>
    <row r="403" spans="1:12" x14ac:dyDescent="0.2">
      <c r="A403" s="4">
        <v>7.5</v>
      </c>
      <c r="B403" s="4">
        <v>12</v>
      </c>
      <c r="C403" s="4">
        <v>10</v>
      </c>
      <c r="D403" s="4">
        <v>0</v>
      </c>
      <c r="E403" s="4">
        <v>1</v>
      </c>
      <c r="F403" s="4">
        <v>1</v>
      </c>
      <c r="G403" s="4">
        <v>0</v>
      </c>
      <c r="H403" s="4">
        <v>0</v>
      </c>
      <c r="I403" s="4">
        <v>0</v>
      </c>
      <c r="J403" s="4">
        <v>1</v>
      </c>
      <c r="K403" s="4">
        <v>0</v>
      </c>
      <c r="L403" s="4">
        <v>2</v>
      </c>
    </row>
    <row r="404" spans="1:12" x14ac:dyDescent="0.2">
      <c r="A404" s="4">
        <v>7.5</v>
      </c>
      <c r="B404" s="4">
        <v>12</v>
      </c>
      <c r="C404" s="4">
        <v>11</v>
      </c>
      <c r="D404" s="4">
        <v>7</v>
      </c>
      <c r="E404" s="4"/>
      <c r="F404" s="4">
        <v>1</v>
      </c>
      <c r="G404" s="4">
        <v>1</v>
      </c>
      <c r="H404" s="4">
        <v>0</v>
      </c>
      <c r="I404" s="4">
        <v>0</v>
      </c>
      <c r="J404" s="4">
        <v>0</v>
      </c>
      <c r="K404" s="4">
        <v>0</v>
      </c>
      <c r="L404" s="4">
        <v>2</v>
      </c>
    </row>
    <row r="405" spans="1:12" x14ac:dyDescent="0.2">
      <c r="A405" s="4">
        <v>7.5</v>
      </c>
      <c r="B405" s="4">
        <v>14</v>
      </c>
      <c r="C405" s="4">
        <v>29</v>
      </c>
      <c r="D405" s="4">
        <v>24</v>
      </c>
      <c r="E405" s="4">
        <v>0</v>
      </c>
      <c r="F405" s="4">
        <v>1</v>
      </c>
      <c r="G405" s="4">
        <v>1</v>
      </c>
      <c r="H405" s="4">
        <v>1</v>
      </c>
      <c r="I405" s="4">
        <v>0</v>
      </c>
      <c r="J405" s="4">
        <v>0</v>
      </c>
      <c r="K405" s="4">
        <v>0</v>
      </c>
      <c r="L405" s="4">
        <v>2</v>
      </c>
    </row>
    <row r="406" spans="1:12" x14ac:dyDescent="0.2">
      <c r="A406" s="4">
        <v>7.5</v>
      </c>
      <c r="B406" s="4">
        <v>16</v>
      </c>
      <c r="C406" s="4">
        <v>11</v>
      </c>
      <c r="D406" s="4">
        <v>0</v>
      </c>
      <c r="E406" s="4">
        <v>0</v>
      </c>
      <c r="F406" s="4">
        <v>1</v>
      </c>
      <c r="G406" s="4">
        <v>0</v>
      </c>
      <c r="H406" s="4">
        <v>1</v>
      </c>
      <c r="I406" s="4">
        <v>0</v>
      </c>
      <c r="J406" s="4">
        <v>0</v>
      </c>
      <c r="K406" s="4">
        <v>0</v>
      </c>
      <c r="L406" s="4">
        <v>3</v>
      </c>
    </row>
    <row r="407" spans="1:12" x14ac:dyDescent="0.2">
      <c r="A407" s="4">
        <v>7.5</v>
      </c>
      <c r="B407" s="4">
        <v>16</v>
      </c>
      <c r="C407" s="4">
        <v>6</v>
      </c>
      <c r="D407" s="4">
        <v>2</v>
      </c>
      <c r="E407" s="4">
        <v>1</v>
      </c>
      <c r="F407" s="4">
        <v>1</v>
      </c>
      <c r="G407" s="4">
        <v>1</v>
      </c>
      <c r="H407" s="4">
        <v>0</v>
      </c>
      <c r="I407" s="4">
        <v>1</v>
      </c>
      <c r="J407" s="4">
        <v>0</v>
      </c>
      <c r="K407" s="4">
        <v>0</v>
      </c>
      <c r="L407" s="4">
        <v>0</v>
      </c>
    </row>
    <row r="408" spans="1:12" x14ac:dyDescent="0.2">
      <c r="A408" s="4">
        <v>7.5</v>
      </c>
      <c r="B408" s="4">
        <v>12</v>
      </c>
      <c r="C408" s="4">
        <v>18</v>
      </c>
      <c r="D408" s="4">
        <v>5</v>
      </c>
      <c r="E408" s="4">
        <v>0</v>
      </c>
      <c r="F408" s="4">
        <v>1</v>
      </c>
      <c r="G408" s="4">
        <v>2</v>
      </c>
      <c r="H408" s="4">
        <v>0</v>
      </c>
      <c r="I408" s="4">
        <v>0</v>
      </c>
      <c r="J408" s="4">
        <v>1</v>
      </c>
      <c r="K408" s="4">
        <v>0</v>
      </c>
      <c r="L408" s="4">
        <v>0</v>
      </c>
    </row>
    <row r="409" spans="1:12" x14ac:dyDescent="0.2">
      <c r="A409" s="4">
        <v>7.6</v>
      </c>
      <c r="B409" s="4">
        <v>12</v>
      </c>
      <c r="C409" s="4">
        <v>41</v>
      </c>
      <c r="D409" s="4">
        <v>11</v>
      </c>
      <c r="E409" s="4">
        <v>1</v>
      </c>
      <c r="F409" s="4">
        <v>0</v>
      </c>
      <c r="G409" s="4">
        <v>0</v>
      </c>
      <c r="H409" s="4">
        <v>1</v>
      </c>
      <c r="I409" s="4">
        <v>0</v>
      </c>
      <c r="J409" s="4">
        <v>0</v>
      </c>
      <c r="K409" s="4">
        <v>0</v>
      </c>
      <c r="L409" s="4">
        <v>5</v>
      </c>
    </row>
    <row r="410" spans="1:12" x14ac:dyDescent="0.2">
      <c r="A410" s="4">
        <v>7.63</v>
      </c>
      <c r="B410" s="4">
        <v>12</v>
      </c>
      <c r="C410" s="4">
        <v>8</v>
      </c>
      <c r="D410" s="4">
        <v>4</v>
      </c>
      <c r="E410" s="4">
        <v>1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2</v>
      </c>
    </row>
    <row r="411" spans="1:12" x14ac:dyDescent="0.2">
      <c r="A411" s="4">
        <v>7.78</v>
      </c>
      <c r="B411" s="4">
        <v>16</v>
      </c>
      <c r="C411" s="4">
        <v>11</v>
      </c>
      <c r="D411" s="4">
        <v>10</v>
      </c>
      <c r="E411" s="4">
        <v>0</v>
      </c>
      <c r="F411" s="4">
        <v>1</v>
      </c>
      <c r="G411" s="4">
        <v>1</v>
      </c>
      <c r="H411" s="4">
        <v>0</v>
      </c>
      <c r="I411" s="4">
        <v>0</v>
      </c>
      <c r="J411" s="4">
        <v>1</v>
      </c>
      <c r="K411" s="4">
        <v>0</v>
      </c>
      <c r="L411" s="4">
        <v>5</v>
      </c>
    </row>
    <row r="412" spans="1:12" x14ac:dyDescent="0.2">
      <c r="A412" s="4">
        <v>7.78</v>
      </c>
      <c r="B412" s="4">
        <v>14</v>
      </c>
      <c r="C412" s="4">
        <v>9</v>
      </c>
      <c r="D412" s="4">
        <v>3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1</v>
      </c>
    </row>
    <row r="413" spans="1:12" x14ac:dyDescent="0.2">
      <c r="A413" s="4">
        <v>7.81</v>
      </c>
      <c r="B413" s="4">
        <v>12</v>
      </c>
      <c r="C413" s="4">
        <v>3</v>
      </c>
      <c r="D413" s="4">
        <v>0</v>
      </c>
      <c r="E413" s="4">
        <v>1</v>
      </c>
      <c r="F413" s="4">
        <v>1</v>
      </c>
      <c r="G413" s="4">
        <v>0</v>
      </c>
      <c r="H413" s="4">
        <v>0</v>
      </c>
      <c r="I413" s="4">
        <v>0</v>
      </c>
      <c r="J413" s="4">
        <v>1</v>
      </c>
      <c r="K413" s="4">
        <v>0</v>
      </c>
      <c r="L413" s="4">
        <v>0</v>
      </c>
    </row>
    <row r="414" spans="1:12" x14ac:dyDescent="0.2">
      <c r="A414" s="4">
        <v>7.9</v>
      </c>
      <c r="B414" s="4">
        <v>12</v>
      </c>
      <c r="C414" s="4">
        <v>2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1</v>
      </c>
      <c r="J414" s="4">
        <v>0</v>
      </c>
      <c r="K414" s="4">
        <v>1</v>
      </c>
      <c r="L414" s="4">
        <v>4</v>
      </c>
    </row>
    <row r="415" spans="1:12" x14ac:dyDescent="0.2">
      <c r="A415" s="4">
        <v>8</v>
      </c>
      <c r="B415" s="4">
        <v>12</v>
      </c>
      <c r="C415" s="4">
        <v>14</v>
      </c>
      <c r="D415" s="4">
        <v>4</v>
      </c>
      <c r="E415" s="4">
        <v>1</v>
      </c>
      <c r="F415" s="4">
        <v>0</v>
      </c>
      <c r="G415" s="4">
        <v>1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</row>
    <row r="416" spans="1:12" x14ac:dyDescent="0.2">
      <c r="A416" s="4">
        <v>8</v>
      </c>
      <c r="B416" s="4">
        <v>13</v>
      </c>
      <c r="C416" s="4">
        <v>28</v>
      </c>
      <c r="D416" s="4">
        <v>5</v>
      </c>
      <c r="E416" s="4">
        <v>0</v>
      </c>
      <c r="F416" s="4">
        <v>1</v>
      </c>
      <c r="G416" s="4">
        <v>1</v>
      </c>
      <c r="H416" s="4">
        <v>1</v>
      </c>
      <c r="I416" s="4">
        <v>0</v>
      </c>
      <c r="J416" s="4">
        <v>0</v>
      </c>
      <c r="K416" s="4">
        <v>0</v>
      </c>
      <c r="L416" s="4">
        <v>5</v>
      </c>
    </row>
    <row r="417" spans="1:12" x14ac:dyDescent="0.2">
      <c r="A417" s="4">
        <v>8</v>
      </c>
      <c r="B417" s="4">
        <v>12</v>
      </c>
      <c r="C417" s="4">
        <v>26</v>
      </c>
      <c r="D417" s="4">
        <v>2</v>
      </c>
      <c r="E417" s="4">
        <v>0</v>
      </c>
      <c r="F417" s="4">
        <v>1</v>
      </c>
      <c r="G417" s="4">
        <v>1</v>
      </c>
      <c r="H417" s="4">
        <v>1</v>
      </c>
      <c r="I417" s="4">
        <v>0</v>
      </c>
      <c r="J417" s="4">
        <v>0</v>
      </c>
      <c r="K417" s="4">
        <v>0</v>
      </c>
      <c r="L417" s="4">
        <v>3</v>
      </c>
    </row>
    <row r="418" spans="1:12" x14ac:dyDescent="0.2">
      <c r="A418" s="4">
        <v>8</v>
      </c>
      <c r="B418" s="4">
        <v>12</v>
      </c>
      <c r="C418" s="4">
        <v>12</v>
      </c>
      <c r="D418" s="4">
        <v>3</v>
      </c>
      <c r="E418" s="4">
        <v>1</v>
      </c>
      <c r="F418" s="4">
        <v>0</v>
      </c>
      <c r="G418" s="4">
        <v>1</v>
      </c>
      <c r="H418" s="4">
        <v>0</v>
      </c>
      <c r="I418" s="4">
        <v>1</v>
      </c>
      <c r="J418" s="4">
        <v>0</v>
      </c>
      <c r="K418" s="4">
        <v>0</v>
      </c>
      <c r="L418" s="4">
        <v>5</v>
      </c>
    </row>
    <row r="419" spans="1:12" x14ac:dyDescent="0.2">
      <c r="A419" s="4">
        <v>8</v>
      </c>
      <c r="B419" s="4">
        <v>16</v>
      </c>
      <c r="C419" s="4">
        <v>23</v>
      </c>
      <c r="D419" s="4">
        <v>4</v>
      </c>
      <c r="E419" s="4">
        <v>0</v>
      </c>
      <c r="F419" s="4">
        <v>0</v>
      </c>
      <c r="G419" s="4">
        <v>0</v>
      </c>
      <c r="H419" s="4">
        <v>1</v>
      </c>
      <c r="I419" s="4">
        <v>0</v>
      </c>
      <c r="J419" s="4">
        <v>0</v>
      </c>
      <c r="K419" s="4">
        <v>0</v>
      </c>
      <c r="L419" s="4">
        <v>3</v>
      </c>
    </row>
    <row r="420" spans="1:12" x14ac:dyDescent="0.2">
      <c r="A420" s="4">
        <v>8</v>
      </c>
      <c r="B420" s="4">
        <v>12</v>
      </c>
      <c r="C420" s="4">
        <v>17</v>
      </c>
      <c r="D420" s="4">
        <v>6</v>
      </c>
      <c r="E420" s="4">
        <v>0</v>
      </c>
      <c r="F420" s="4">
        <v>1</v>
      </c>
      <c r="G420" s="4">
        <v>2</v>
      </c>
      <c r="H420" s="4">
        <v>0</v>
      </c>
      <c r="I420" s="4">
        <v>1</v>
      </c>
      <c r="J420" s="4">
        <v>0</v>
      </c>
      <c r="K420" s="4">
        <v>0</v>
      </c>
      <c r="L420" s="4">
        <v>5</v>
      </c>
    </row>
    <row r="421" spans="1:12" x14ac:dyDescent="0.2">
      <c r="A421" s="4">
        <v>8.02</v>
      </c>
      <c r="B421" s="4">
        <v>18</v>
      </c>
      <c r="C421" s="4">
        <v>23</v>
      </c>
      <c r="D421" s="4">
        <v>3</v>
      </c>
      <c r="E421" s="4">
        <v>1</v>
      </c>
      <c r="F421" s="4">
        <v>1</v>
      </c>
      <c r="G421" s="4">
        <v>1</v>
      </c>
      <c r="H421" s="4">
        <v>0</v>
      </c>
      <c r="I421" s="4">
        <v>1</v>
      </c>
      <c r="J421" s="4">
        <v>0</v>
      </c>
      <c r="K421" s="4">
        <v>0</v>
      </c>
      <c r="L421" s="4">
        <v>3</v>
      </c>
    </row>
    <row r="422" spans="1:12" x14ac:dyDescent="0.2">
      <c r="A422" s="4">
        <v>8.1</v>
      </c>
      <c r="B422" s="4">
        <v>12</v>
      </c>
      <c r="C422" s="4">
        <v>38</v>
      </c>
      <c r="D422" s="4">
        <v>3</v>
      </c>
      <c r="E422" s="4">
        <v>1</v>
      </c>
      <c r="F422" s="4">
        <v>1</v>
      </c>
      <c r="G422" s="4">
        <v>1</v>
      </c>
      <c r="H422" s="4">
        <v>1</v>
      </c>
      <c r="I422" s="4">
        <v>0</v>
      </c>
      <c r="J422" s="4">
        <v>0</v>
      </c>
      <c r="K422" s="4">
        <v>0</v>
      </c>
      <c r="L422" s="4">
        <v>4</v>
      </c>
    </row>
    <row r="423" spans="1:12" x14ac:dyDescent="0.2">
      <c r="A423" s="4">
        <v>8.1300000000000008</v>
      </c>
      <c r="B423" s="4">
        <v>13</v>
      </c>
      <c r="C423" s="4">
        <v>3</v>
      </c>
      <c r="D423" s="4">
        <v>0</v>
      </c>
      <c r="E423" s="4"/>
      <c r="F423" s="4">
        <v>0</v>
      </c>
      <c r="G423" s="4">
        <v>0</v>
      </c>
      <c r="H423" s="4">
        <v>0</v>
      </c>
      <c r="I423" s="4">
        <v>0</v>
      </c>
      <c r="J423" s="4">
        <v>1</v>
      </c>
      <c r="K423" s="4">
        <v>0</v>
      </c>
      <c r="L423" s="4">
        <v>4</v>
      </c>
    </row>
    <row r="424" spans="1:12" x14ac:dyDescent="0.2">
      <c r="A424" s="4">
        <v>8.18</v>
      </c>
      <c r="B424" s="4">
        <v>13</v>
      </c>
      <c r="C424" s="4">
        <v>21</v>
      </c>
      <c r="D424" s="4">
        <v>5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1</v>
      </c>
      <c r="K424" s="4">
        <v>0</v>
      </c>
      <c r="L424" s="4">
        <v>2</v>
      </c>
    </row>
    <row r="425" spans="1:12" x14ac:dyDescent="0.2">
      <c r="A425" s="4">
        <v>8.33</v>
      </c>
      <c r="B425" s="4">
        <v>15</v>
      </c>
      <c r="C425" s="4">
        <v>33</v>
      </c>
      <c r="D425" s="4">
        <v>26</v>
      </c>
      <c r="E425" s="4">
        <v>0</v>
      </c>
      <c r="F425" s="4">
        <v>1</v>
      </c>
      <c r="G425" s="4">
        <v>1</v>
      </c>
      <c r="H425" s="4">
        <v>0</v>
      </c>
      <c r="I425" s="4">
        <v>0</v>
      </c>
      <c r="J425" s="4">
        <v>0</v>
      </c>
      <c r="K425" s="4">
        <v>0</v>
      </c>
      <c r="L425" s="4"/>
    </row>
    <row r="426" spans="1:12" x14ac:dyDescent="0.2">
      <c r="A426" s="4">
        <v>8.33</v>
      </c>
      <c r="B426" s="4">
        <v>16</v>
      </c>
      <c r="C426" s="4">
        <v>6</v>
      </c>
      <c r="D426" s="4">
        <v>2</v>
      </c>
      <c r="E426" s="4">
        <v>0</v>
      </c>
      <c r="F426" s="4">
        <v>1</v>
      </c>
      <c r="G426" s="4">
        <v>0</v>
      </c>
      <c r="H426" s="4">
        <v>0</v>
      </c>
      <c r="I426" s="4">
        <v>0</v>
      </c>
      <c r="J426" s="4">
        <v>1</v>
      </c>
      <c r="K426" s="4">
        <v>0</v>
      </c>
      <c r="L426" s="4"/>
    </row>
    <row r="427" spans="1:12" x14ac:dyDescent="0.2">
      <c r="A427" s="4">
        <v>8.43</v>
      </c>
      <c r="B427" s="4">
        <v>16</v>
      </c>
      <c r="C427" s="4">
        <v>8</v>
      </c>
      <c r="D427" s="4">
        <v>6</v>
      </c>
      <c r="E427" s="4">
        <v>0</v>
      </c>
      <c r="F427" s="4">
        <v>1</v>
      </c>
      <c r="G427" s="4">
        <v>0</v>
      </c>
      <c r="H427" s="4">
        <v>0</v>
      </c>
      <c r="I427" s="4">
        <v>1</v>
      </c>
      <c r="J427" s="4">
        <v>0</v>
      </c>
      <c r="K427" s="4">
        <v>0</v>
      </c>
      <c r="L427" s="4"/>
    </row>
    <row r="428" spans="1:12" x14ac:dyDescent="0.2">
      <c r="A428" s="4">
        <v>8.43</v>
      </c>
      <c r="B428" s="4">
        <v>8</v>
      </c>
      <c r="C428" s="4">
        <v>27</v>
      </c>
      <c r="D428" s="4">
        <v>3</v>
      </c>
      <c r="E428" s="4">
        <v>0</v>
      </c>
      <c r="F428" s="4">
        <v>1</v>
      </c>
      <c r="G428" s="4">
        <v>3</v>
      </c>
      <c r="H428" s="4">
        <v>0</v>
      </c>
      <c r="I428" s="4">
        <v>1</v>
      </c>
      <c r="J428" s="4">
        <v>0</v>
      </c>
      <c r="K428" s="4">
        <v>0</v>
      </c>
      <c r="L428" s="4"/>
    </row>
    <row r="429" spans="1:12" x14ac:dyDescent="0.2">
      <c r="A429" s="4">
        <v>8.4499999999999993</v>
      </c>
      <c r="B429" s="4">
        <v>12</v>
      </c>
      <c r="C429" s="4">
        <v>19</v>
      </c>
      <c r="D429" s="4">
        <v>13</v>
      </c>
      <c r="E429" s="4">
        <v>0</v>
      </c>
      <c r="F429" s="4">
        <v>1</v>
      </c>
      <c r="G429" s="4">
        <v>4</v>
      </c>
      <c r="H429" s="4">
        <v>0</v>
      </c>
      <c r="I429" s="4">
        <v>0</v>
      </c>
      <c r="J429" s="4">
        <v>0</v>
      </c>
      <c r="K429" s="4">
        <v>0</v>
      </c>
      <c r="L429" s="4"/>
    </row>
    <row r="430" spans="1:12" x14ac:dyDescent="0.2">
      <c r="A430" s="4">
        <v>8.48</v>
      </c>
      <c r="B430" s="4">
        <v>12</v>
      </c>
      <c r="C430" s="4">
        <v>29</v>
      </c>
      <c r="D430" s="4">
        <v>13</v>
      </c>
      <c r="E430" s="4">
        <v>0</v>
      </c>
      <c r="F430" s="4">
        <v>1</v>
      </c>
      <c r="G430" s="4">
        <v>3</v>
      </c>
      <c r="H430" s="4">
        <v>0</v>
      </c>
      <c r="I430" s="4">
        <v>0</v>
      </c>
      <c r="J430" s="4">
        <v>1</v>
      </c>
      <c r="K430" s="4">
        <v>0</v>
      </c>
      <c r="L430" s="4"/>
    </row>
    <row r="431" spans="1:12" x14ac:dyDescent="0.2">
      <c r="A431" s="4">
        <v>8.5</v>
      </c>
      <c r="B431" s="4">
        <v>8</v>
      </c>
      <c r="C431" s="4">
        <v>38</v>
      </c>
      <c r="D431" s="4">
        <v>26</v>
      </c>
      <c r="E431" s="4">
        <v>0</v>
      </c>
      <c r="F431" s="4">
        <v>0</v>
      </c>
      <c r="G431" s="4">
        <v>0</v>
      </c>
      <c r="H431" s="4">
        <v>1</v>
      </c>
      <c r="I431" s="4">
        <v>0</v>
      </c>
      <c r="J431" s="4">
        <v>0</v>
      </c>
      <c r="K431" s="4">
        <v>0</v>
      </c>
      <c r="L431" s="4"/>
    </row>
    <row r="432" spans="1:12" x14ac:dyDescent="0.2">
      <c r="A432" s="4">
        <v>8.5299999999999994</v>
      </c>
      <c r="B432" s="4">
        <v>10</v>
      </c>
      <c r="C432" s="4">
        <v>14</v>
      </c>
      <c r="D432" s="4">
        <v>6</v>
      </c>
      <c r="E432" s="4">
        <v>0</v>
      </c>
      <c r="F432" s="4">
        <v>1</v>
      </c>
      <c r="G432" s="4">
        <v>0</v>
      </c>
      <c r="H432" s="4">
        <v>0</v>
      </c>
      <c r="I432" s="4">
        <v>1</v>
      </c>
      <c r="J432" s="4">
        <v>0</v>
      </c>
      <c r="K432" s="4">
        <v>0</v>
      </c>
      <c r="L432" s="4"/>
    </row>
    <row r="433" spans="1:12" x14ac:dyDescent="0.2">
      <c r="A433" s="4">
        <v>8.6</v>
      </c>
      <c r="B433" s="4">
        <v>16</v>
      </c>
      <c r="C433" s="4">
        <v>3</v>
      </c>
      <c r="D433" s="4">
        <v>2</v>
      </c>
      <c r="E433" s="4">
        <v>1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2</v>
      </c>
    </row>
    <row r="434" spans="1:12" x14ac:dyDescent="0.2">
      <c r="A434" s="4">
        <v>8.6300000000000008</v>
      </c>
      <c r="B434" s="4">
        <v>12</v>
      </c>
      <c r="C434" s="4">
        <v>23</v>
      </c>
      <c r="D434" s="4">
        <v>9</v>
      </c>
      <c r="E434" s="4">
        <v>0</v>
      </c>
      <c r="F434" s="4">
        <v>1</v>
      </c>
      <c r="G434" s="4">
        <v>1</v>
      </c>
      <c r="H434" s="4">
        <v>0</v>
      </c>
      <c r="I434" s="4">
        <v>1</v>
      </c>
      <c r="J434" s="4">
        <v>0</v>
      </c>
      <c r="K434" s="4">
        <v>0</v>
      </c>
      <c r="L434" s="4">
        <v>1</v>
      </c>
    </row>
    <row r="435" spans="1:12" x14ac:dyDescent="0.2">
      <c r="A435" s="4">
        <v>8.64</v>
      </c>
      <c r="B435" s="4">
        <v>12</v>
      </c>
      <c r="C435" s="4">
        <v>28</v>
      </c>
      <c r="D435" s="4">
        <v>8</v>
      </c>
      <c r="E435" s="4">
        <v>0</v>
      </c>
      <c r="F435" s="4">
        <v>1</v>
      </c>
      <c r="G435" s="4">
        <v>0</v>
      </c>
      <c r="H435" s="4">
        <v>1</v>
      </c>
      <c r="I435" s="4">
        <v>0</v>
      </c>
      <c r="J435" s="4">
        <v>0</v>
      </c>
      <c r="K435" s="4">
        <v>0</v>
      </c>
      <c r="L435" s="4">
        <v>4</v>
      </c>
    </row>
    <row r="436" spans="1:12" x14ac:dyDescent="0.2">
      <c r="A436" s="4">
        <v>8.65</v>
      </c>
      <c r="B436" s="4">
        <v>18</v>
      </c>
      <c r="C436" s="4">
        <v>13</v>
      </c>
      <c r="D436" s="4">
        <v>1</v>
      </c>
      <c r="E436" s="4">
        <v>1</v>
      </c>
      <c r="F436" s="4">
        <v>0</v>
      </c>
      <c r="G436" s="4">
        <v>0</v>
      </c>
      <c r="H436" s="4">
        <v>1</v>
      </c>
      <c r="I436" s="4">
        <v>0</v>
      </c>
      <c r="J436" s="4">
        <v>0</v>
      </c>
      <c r="K436" s="4">
        <v>0</v>
      </c>
      <c r="L436" s="4">
        <v>5</v>
      </c>
    </row>
    <row r="437" spans="1:12" x14ac:dyDescent="0.2">
      <c r="A437" s="4">
        <v>8.75</v>
      </c>
      <c r="B437" s="4">
        <v>16</v>
      </c>
      <c r="C437" s="4">
        <v>9</v>
      </c>
      <c r="D437" s="4">
        <v>8</v>
      </c>
      <c r="E437" s="4">
        <v>0</v>
      </c>
      <c r="F437" s="4">
        <v>1</v>
      </c>
      <c r="G437" s="4">
        <v>0</v>
      </c>
      <c r="H437" s="4">
        <v>0</v>
      </c>
      <c r="I437" s="4">
        <v>0</v>
      </c>
      <c r="J437" s="4">
        <v>1</v>
      </c>
      <c r="K437" s="4">
        <v>0</v>
      </c>
      <c r="L437" s="4">
        <v>1</v>
      </c>
    </row>
    <row r="438" spans="1:12" x14ac:dyDescent="0.2">
      <c r="A438" s="4">
        <v>8.75</v>
      </c>
      <c r="B438" s="4">
        <v>16</v>
      </c>
      <c r="C438" s="4">
        <v>3</v>
      </c>
      <c r="D438" s="4">
        <v>2</v>
      </c>
      <c r="E438" s="4">
        <v>0</v>
      </c>
      <c r="F438" s="4">
        <v>1</v>
      </c>
      <c r="G438" s="4">
        <v>1</v>
      </c>
      <c r="H438" s="4">
        <v>1</v>
      </c>
      <c r="I438" s="4">
        <v>0</v>
      </c>
      <c r="J438" s="4">
        <v>0</v>
      </c>
      <c r="K438" s="4">
        <v>0</v>
      </c>
      <c r="L438" s="4">
        <v>3</v>
      </c>
    </row>
    <row r="439" spans="1:12" x14ac:dyDescent="0.2">
      <c r="A439" s="4">
        <v>8.75</v>
      </c>
      <c r="B439" s="4">
        <v>16</v>
      </c>
      <c r="C439" s="4">
        <v>1</v>
      </c>
      <c r="D439" s="4">
        <v>2</v>
      </c>
      <c r="E439" s="4">
        <v>0</v>
      </c>
      <c r="F439" s="4">
        <v>0</v>
      </c>
      <c r="G439" s="4">
        <v>0</v>
      </c>
      <c r="H439" s="4">
        <v>1</v>
      </c>
      <c r="I439" s="4">
        <v>0</v>
      </c>
      <c r="J439" s="4">
        <v>0</v>
      </c>
      <c r="K439" s="4">
        <v>0</v>
      </c>
      <c r="L439" s="4">
        <v>3</v>
      </c>
    </row>
    <row r="440" spans="1:12" x14ac:dyDescent="0.2">
      <c r="A440" s="4">
        <v>8.75</v>
      </c>
      <c r="B440" s="4">
        <v>12</v>
      </c>
      <c r="C440" s="4">
        <v>47</v>
      </c>
      <c r="D440" s="4">
        <v>44</v>
      </c>
      <c r="E440" s="4">
        <v>0</v>
      </c>
      <c r="F440" s="4">
        <v>1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1</v>
      </c>
    </row>
    <row r="441" spans="1:12" x14ac:dyDescent="0.2">
      <c r="A441" s="4">
        <v>8.75</v>
      </c>
      <c r="B441" s="4">
        <v>12</v>
      </c>
      <c r="C441" s="4">
        <v>24</v>
      </c>
      <c r="D441" s="4">
        <v>1</v>
      </c>
      <c r="E441" s="4">
        <v>0</v>
      </c>
      <c r="F441" s="4">
        <v>0</v>
      </c>
      <c r="G441" s="4">
        <v>0</v>
      </c>
      <c r="H441" s="4">
        <v>1</v>
      </c>
      <c r="I441" s="4">
        <v>0</v>
      </c>
      <c r="J441" s="4">
        <v>0</v>
      </c>
      <c r="K441" s="4">
        <v>0</v>
      </c>
      <c r="L441" s="4">
        <v>3</v>
      </c>
    </row>
    <row r="442" spans="1:12" x14ac:dyDescent="0.2">
      <c r="A442" s="4">
        <v>8.75</v>
      </c>
      <c r="B442" s="4">
        <v>12</v>
      </c>
      <c r="C442" s="4">
        <v>4</v>
      </c>
      <c r="D442" s="4">
        <v>4</v>
      </c>
      <c r="E442" s="4">
        <v>0</v>
      </c>
      <c r="F442" s="4">
        <v>1</v>
      </c>
      <c r="G442" s="4">
        <v>0</v>
      </c>
      <c r="H442" s="4">
        <v>0</v>
      </c>
      <c r="I442" s="4">
        <v>1</v>
      </c>
      <c r="J442" s="4">
        <v>0</v>
      </c>
      <c r="K442" s="4">
        <v>0</v>
      </c>
      <c r="L442" s="4">
        <v>2</v>
      </c>
    </row>
    <row r="443" spans="1:12" x14ac:dyDescent="0.2">
      <c r="A443" s="4">
        <v>8.75</v>
      </c>
      <c r="B443" s="4">
        <v>14</v>
      </c>
      <c r="C443" s="4">
        <v>9</v>
      </c>
      <c r="D443" s="4">
        <v>3</v>
      </c>
      <c r="E443" s="4">
        <v>0</v>
      </c>
      <c r="F443" s="4">
        <v>1</v>
      </c>
      <c r="G443" s="4">
        <v>1</v>
      </c>
      <c r="H443" s="4">
        <v>0</v>
      </c>
      <c r="I443" s="4">
        <v>0</v>
      </c>
      <c r="J443" s="4">
        <v>0</v>
      </c>
      <c r="K443" s="4">
        <v>0</v>
      </c>
      <c r="L443" s="4">
        <v>1</v>
      </c>
    </row>
    <row r="444" spans="1:12" x14ac:dyDescent="0.2">
      <c r="A444" s="4">
        <v>8.77</v>
      </c>
      <c r="B444" s="4">
        <v>12</v>
      </c>
      <c r="C444" s="4">
        <v>15</v>
      </c>
      <c r="D444" s="4">
        <v>0</v>
      </c>
      <c r="E444" s="4">
        <v>0</v>
      </c>
      <c r="F444" s="4">
        <v>1</v>
      </c>
      <c r="G444" s="4">
        <v>2</v>
      </c>
      <c r="H444" s="4">
        <v>0</v>
      </c>
      <c r="I444" s="4">
        <v>0</v>
      </c>
      <c r="J444" s="4">
        <v>1</v>
      </c>
      <c r="K444" s="4">
        <v>0</v>
      </c>
      <c r="L444" s="4">
        <v>0</v>
      </c>
    </row>
    <row r="445" spans="1:12" x14ac:dyDescent="0.2">
      <c r="A445" s="4">
        <v>8.8000000000000007</v>
      </c>
      <c r="B445" s="4">
        <v>16</v>
      </c>
      <c r="C445" s="4">
        <v>9</v>
      </c>
      <c r="D445" s="4">
        <v>1</v>
      </c>
      <c r="E445" s="4">
        <v>0</v>
      </c>
      <c r="F445" s="4">
        <v>1</v>
      </c>
      <c r="G445" s="4">
        <v>0</v>
      </c>
      <c r="H445" s="4">
        <v>0</v>
      </c>
      <c r="I445" s="4">
        <v>1</v>
      </c>
      <c r="J445" s="4">
        <v>0</v>
      </c>
      <c r="K445" s="4">
        <v>0</v>
      </c>
      <c r="L445" s="4">
        <v>5</v>
      </c>
    </row>
    <row r="446" spans="1:12" x14ac:dyDescent="0.2">
      <c r="A446" s="4">
        <v>8.92</v>
      </c>
      <c r="B446" s="4">
        <v>18</v>
      </c>
      <c r="C446" s="4">
        <v>3</v>
      </c>
      <c r="D446" s="4">
        <v>3</v>
      </c>
      <c r="E446" s="4">
        <v>0</v>
      </c>
      <c r="F446" s="4">
        <v>1</v>
      </c>
      <c r="G446" s="4">
        <v>0</v>
      </c>
      <c r="H446" s="4">
        <v>0</v>
      </c>
      <c r="I446" s="4">
        <v>1</v>
      </c>
      <c r="J446" s="4">
        <v>0</v>
      </c>
      <c r="K446" s="4">
        <v>0</v>
      </c>
      <c r="L446" s="4">
        <v>2</v>
      </c>
    </row>
    <row r="447" spans="1:12" x14ac:dyDescent="0.2">
      <c r="A447" s="4">
        <v>9</v>
      </c>
      <c r="B447" s="4">
        <v>12</v>
      </c>
      <c r="C447" s="4">
        <v>11</v>
      </c>
      <c r="D447" s="4">
        <v>5</v>
      </c>
      <c r="E447" s="4">
        <v>1</v>
      </c>
      <c r="F447" s="4">
        <v>1</v>
      </c>
      <c r="G447" s="4">
        <v>0</v>
      </c>
      <c r="H447" s="4">
        <v>1</v>
      </c>
      <c r="I447" s="4">
        <v>0</v>
      </c>
      <c r="J447" s="4">
        <v>0</v>
      </c>
      <c r="K447" s="4">
        <v>0</v>
      </c>
      <c r="L447" s="4">
        <v>0</v>
      </c>
    </row>
    <row r="448" spans="1:12" x14ac:dyDescent="0.2">
      <c r="A448" s="4">
        <v>9</v>
      </c>
      <c r="B448" s="4">
        <v>12</v>
      </c>
      <c r="C448" s="4">
        <v>38</v>
      </c>
      <c r="D448" s="4">
        <v>1</v>
      </c>
      <c r="E448" s="4">
        <v>0</v>
      </c>
      <c r="F448" s="4">
        <v>1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3</v>
      </c>
    </row>
    <row r="449" spans="1:12" x14ac:dyDescent="0.2">
      <c r="A449" s="4">
        <v>9</v>
      </c>
      <c r="B449" s="4">
        <v>17</v>
      </c>
      <c r="C449" s="4">
        <v>7</v>
      </c>
      <c r="D449" s="4">
        <v>0</v>
      </c>
      <c r="E449" s="4">
        <v>1</v>
      </c>
      <c r="F449" s="4">
        <v>1</v>
      </c>
      <c r="G449" s="4">
        <v>2</v>
      </c>
      <c r="H449" s="4">
        <v>0</v>
      </c>
      <c r="I449" s="4">
        <v>0</v>
      </c>
      <c r="J449" s="4">
        <v>0</v>
      </c>
      <c r="K449" s="4">
        <v>0</v>
      </c>
      <c r="L449" s="4">
        <v>2</v>
      </c>
    </row>
    <row r="450" spans="1:12" x14ac:dyDescent="0.2">
      <c r="A450" s="4">
        <v>9.0500000000000007</v>
      </c>
      <c r="B450" s="4">
        <v>12</v>
      </c>
      <c r="C450" s="4">
        <v>10</v>
      </c>
      <c r="D450" s="4">
        <v>2</v>
      </c>
      <c r="E450" s="4">
        <v>0</v>
      </c>
      <c r="F450" s="4">
        <v>1</v>
      </c>
      <c r="G450" s="4">
        <v>3</v>
      </c>
      <c r="H450" s="4">
        <v>1</v>
      </c>
      <c r="I450" s="4">
        <v>0</v>
      </c>
      <c r="J450" s="4">
        <v>0</v>
      </c>
      <c r="K450" s="4">
        <v>1</v>
      </c>
      <c r="L450" s="4">
        <v>4</v>
      </c>
    </row>
    <row r="451" spans="1:12" x14ac:dyDescent="0.2">
      <c r="A451" s="4">
        <v>9.09</v>
      </c>
      <c r="B451" s="4">
        <v>15</v>
      </c>
      <c r="C451" s="4">
        <v>11</v>
      </c>
      <c r="D451" s="4">
        <v>12</v>
      </c>
      <c r="E451" s="4">
        <v>0</v>
      </c>
      <c r="F451" s="4">
        <v>1</v>
      </c>
      <c r="G451" s="4">
        <v>1</v>
      </c>
      <c r="H451" s="4">
        <v>0</v>
      </c>
      <c r="I451" s="4">
        <v>0</v>
      </c>
      <c r="J451" s="4">
        <v>1</v>
      </c>
      <c r="K451" s="4">
        <v>0</v>
      </c>
      <c r="L451" s="4">
        <v>2</v>
      </c>
    </row>
    <row r="452" spans="1:12" x14ac:dyDescent="0.2">
      <c r="A452" s="4">
        <v>9.1300000000000008</v>
      </c>
      <c r="B452" s="4">
        <v>12</v>
      </c>
      <c r="C452" s="4">
        <v>14</v>
      </c>
      <c r="D452" s="4">
        <v>12</v>
      </c>
      <c r="E452" s="4">
        <v>0</v>
      </c>
      <c r="F452" s="4">
        <v>1</v>
      </c>
      <c r="G452" s="4">
        <v>3</v>
      </c>
      <c r="H452" s="4">
        <v>0</v>
      </c>
      <c r="I452" s="4">
        <v>1</v>
      </c>
      <c r="J452" s="4">
        <v>0</v>
      </c>
      <c r="K452" s="4">
        <v>0</v>
      </c>
      <c r="L452" s="4">
        <v>3</v>
      </c>
    </row>
    <row r="453" spans="1:12" x14ac:dyDescent="0.2">
      <c r="A453" s="4">
        <v>9.3000000000000007</v>
      </c>
      <c r="B453" s="4">
        <v>15</v>
      </c>
      <c r="C453" s="4">
        <v>2</v>
      </c>
      <c r="D453" s="4">
        <v>2</v>
      </c>
      <c r="E453" s="4">
        <v>0</v>
      </c>
      <c r="F453" s="4">
        <v>1</v>
      </c>
      <c r="G453" s="4">
        <v>0</v>
      </c>
      <c r="H453" s="4">
        <v>0</v>
      </c>
      <c r="I453" s="4">
        <v>1</v>
      </c>
      <c r="J453" s="4">
        <v>0</v>
      </c>
      <c r="K453" s="4">
        <v>0</v>
      </c>
      <c r="L453" s="4">
        <v>0</v>
      </c>
    </row>
    <row r="454" spans="1:12" x14ac:dyDescent="0.2">
      <c r="A454" s="4">
        <v>9.33</v>
      </c>
      <c r="B454" s="4">
        <v>14</v>
      </c>
      <c r="C454" s="4">
        <v>12</v>
      </c>
      <c r="D454" s="4">
        <v>11</v>
      </c>
      <c r="E454" s="4">
        <v>0</v>
      </c>
      <c r="F454" s="4">
        <v>1</v>
      </c>
      <c r="G454" s="4">
        <v>3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</row>
    <row r="455" spans="1:12" x14ac:dyDescent="0.2">
      <c r="A455" s="4">
        <v>9.42</v>
      </c>
      <c r="B455" s="4">
        <v>14</v>
      </c>
      <c r="C455" s="4">
        <v>23</v>
      </c>
      <c r="D455" s="4">
        <v>0</v>
      </c>
      <c r="E455" s="4">
        <v>1</v>
      </c>
      <c r="F455" s="4">
        <v>1</v>
      </c>
      <c r="G455" s="4">
        <v>2</v>
      </c>
      <c r="H455" s="4">
        <v>0</v>
      </c>
      <c r="I455" s="4">
        <v>1</v>
      </c>
      <c r="J455" s="4">
        <v>0</v>
      </c>
      <c r="K455" s="4">
        <v>0</v>
      </c>
      <c r="L455" s="4">
        <v>5</v>
      </c>
    </row>
    <row r="456" spans="1:12" x14ac:dyDescent="0.2">
      <c r="A456" s="4">
        <v>9.56</v>
      </c>
      <c r="B456" s="4">
        <v>16</v>
      </c>
      <c r="C456" s="4">
        <v>3</v>
      </c>
      <c r="D456" s="4">
        <v>3</v>
      </c>
      <c r="E456" s="4">
        <v>0</v>
      </c>
      <c r="F456" s="4">
        <v>1</v>
      </c>
      <c r="G456" s="4">
        <v>1</v>
      </c>
      <c r="H456" s="4">
        <v>0</v>
      </c>
      <c r="I456" s="4">
        <v>0</v>
      </c>
      <c r="J456" s="4">
        <v>1</v>
      </c>
      <c r="K456" s="4">
        <v>0</v>
      </c>
      <c r="L456" s="4">
        <v>5</v>
      </c>
    </row>
    <row r="457" spans="1:12" x14ac:dyDescent="0.2">
      <c r="A457" s="4">
        <v>9.68</v>
      </c>
      <c r="B457" s="4">
        <v>13</v>
      </c>
      <c r="C457" s="4">
        <v>16</v>
      </c>
      <c r="D457" s="4">
        <v>16</v>
      </c>
      <c r="E457" s="4">
        <v>1</v>
      </c>
      <c r="F457" s="4">
        <v>0</v>
      </c>
      <c r="G457" s="4">
        <v>0</v>
      </c>
      <c r="H457" s="4">
        <v>0</v>
      </c>
      <c r="I457" s="4">
        <v>0</v>
      </c>
      <c r="J457" s="4">
        <v>1</v>
      </c>
      <c r="K457" s="4">
        <v>0</v>
      </c>
      <c r="L457" s="4">
        <v>4</v>
      </c>
    </row>
    <row r="458" spans="1:12" x14ac:dyDescent="0.2">
      <c r="A458" s="4">
        <v>9.8000000000000007</v>
      </c>
      <c r="B458" s="4">
        <v>17</v>
      </c>
      <c r="C458" s="4">
        <v>7</v>
      </c>
      <c r="D458" s="4">
        <v>0</v>
      </c>
      <c r="E458" s="4">
        <v>0</v>
      </c>
      <c r="F458" s="4">
        <v>1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4</v>
      </c>
    </row>
    <row r="459" spans="1:12" x14ac:dyDescent="0.2">
      <c r="A459" s="4">
        <v>9.85</v>
      </c>
      <c r="B459" s="4">
        <v>8</v>
      </c>
      <c r="C459" s="4">
        <v>40</v>
      </c>
      <c r="D459" s="4">
        <v>24</v>
      </c>
      <c r="E459" s="4">
        <v>0</v>
      </c>
      <c r="F459" s="4">
        <v>1</v>
      </c>
      <c r="G459" s="4">
        <v>2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</row>
    <row r="460" spans="1:12" x14ac:dyDescent="0.2">
      <c r="A460" s="4">
        <v>10</v>
      </c>
      <c r="B460" s="4">
        <v>12</v>
      </c>
      <c r="C460" s="4">
        <v>20</v>
      </c>
      <c r="D460" s="4">
        <v>5</v>
      </c>
      <c r="E460" s="4">
        <v>1</v>
      </c>
      <c r="F460" s="4">
        <v>1</v>
      </c>
      <c r="G460" s="4">
        <v>4</v>
      </c>
      <c r="H460" s="4">
        <v>0</v>
      </c>
      <c r="I460" s="4">
        <v>0</v>
      </c>
      <c r="J460" s="4">
        <v>1</v>
      </c>
      <c r="K460" s="4">
        <v>0</v>
      </c>
      <c r="L460" s="4">
        <v>5</v>
      </c>
    </row>
    <row r="461" spans="1:12" x14ac:dyDescent="0.2">
      <c r="A461" s="4">
        <v>10</v>
      </c>
      <c r="B461" s="4">
        <v>8</v>
      </c>
      <c r="C461" s="4">
        <v>13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/>
    </row>
    <row r="462" spans="1:12" x14ac:dyDescent="0.2">
      <c r="A462" s="4">
        <v>10</v>
      </c>
      <c r="B462" s="4">
        <v>12</v>
      </c>
      <c r="C462" s="4">
        <v>25</v>
      </c>
      <c r="D462" s="4">
        <v>3</v>
      </c>
      <c r="E462" s="4">
        <v>0</v>
      </c>
      <c r="F462" s="4">
        <v>1</v>
      </c>
      <c r="G462" s="4">
        <v>3</v>
      </c>
      <c r="H462" s="4">
        <v>0</v>
      </c>
      <c r="I462" s="4">
        <v>0</v>
      </c>
      <c r="J462" s="4">
        <v>0</v>
      </c>
      <c r="K462" s="4">
        <v>0</v>
      </c>
      <c r="L462" s="4"/>
    </row>
    <row r="463" spans="1:12" x14ac:dyDescent="0.2">
      <c r="A463" s="4">
        <v>10</v>
      </c>
      <c r="B463" s="4">
        <v>16</v>
      </c>
      <c r="C463" s="4">
        <v>9</v>
      </c>
      <c r="D463" s="4">
        <v>3</v>
      </c>
      <c r="E463" s="4">
        <v>0</v>
      </c>
      <c r="F463" s="4">
        <v>1</v>
      </c>
      <c r="G463" s="4">
        <v>2</v>
      </c>
      <c r="H463" s="4">
        <v>0</v>
      </c>
      <c r="I463" s="4">
        <v>1</v>
      </c>
      <c r="J463" s="4">
        <v>0</v>
      </c>
      <c r="K463" s="4">
        <v>0</v>
      </c>
      <c r="L463" s="4"/>
    </row>
    <row r="464" spans="1:12" x14ac:dyDescent="0.2">
      <c r="A464" s="4">
        <v>10</v>
      </c>
      <c r="B464" s="4">
        <v>14</v>
      </c>
      <c r="C464" s="4">
        <v>28</v>
      </c>
      <c r="D464" s="4">
        <v>11</v>
      </c>
      <c r="E464" s="4">
        <v>1</v>
      </c>
      <c r="F464" s="4">
        <v>1</v>
      </c>
      <c r="G464" s="4">
        <v>0</v>
      </c>
      <c r="H464" s="4">
        <v>0</v>
      </c>
      <c r="I464" s="4">
        <v>1</v>
      </c>
      <c r="J464" s="4">
        <v>0</v>
      </c>
      <c r="K464" s="4">
        <v>0</v>
      </c>
      <c r="L464" s="4"/>
    </row>
    <row r="465" spans="1:12" x14ac:dyDescent="0.2">
      <c r="A465" s="4">
        <v>10</v>
      </c>
      <c r="B465" s="4">
        <v>14</v>
      </c>
      <c r="C465" s="4">
        <v>18</v>
      </c>
      <c r="D465" s="4">
        <v>5</v>
      </c>
      <c r="E465" s="4">
        <v>0</v>
      </c>
      <c r="F465" s="4">
        <v>1</v>
      </c>
      <c r="G465" s="4">
        <v>2</v>
      </c>
      <c r="H465" s="4">
        <v>0</v>
      </c>
      <c r="I465" s="4">
        <v>1</v>
      </c>
      <c r="J465" s="4">
        <v>0</v>
      </c>
      <c r="K465" s="4">
        <v>0</v>
      </c>
      <c r="L465" s="4"/>
    </row>
    <row r="466" spans="1:12" x14ac:dyDescent="0.2">
      <c r="A466" s="4">
        <v>10</v>
      </c>
      <c r="B466" s="4">
        <v>16</v>
      </c>
      <c r="C466" s="4">
        <v>3</v>
      </c>
      <c r="D466" s="4">
        <v>2</v>
      </c>
      <c r="E466" s="4">
        <v>0</v>
      </c>
      <c r="F466" s="4">
        <v>1</v>
      </c>
      <c r="G466" s="4">
        <v>0</v>
      </c>
      <c r="H466" s="4">
        <v>0</v>
      </c>
      <c r="I466" s="4">
        <v>1</v>
      </c>
      <c r="J466" s="4">
        <v>0</v>
      </c>
      <c r="K466" s="4">
        <v>0</v>
      </c>
      <c r="L466" s="4"/>
    </row>
    <row r="467" spans="1:12" x14ac:dyDescent="0.2">
      <c r="A467" s="4">
        <v>10</v>
      </c>
      <c r="B467" s="4">
        <v>14</v>
      </c>
      <c r="C467" s="4">
        <v>43</v>
      </c>
      <c r="D467" s="4">
        <v>4</v>
      </c>
      <c r="E467" s="4"/>
      <c r="F467" s="4">
        <v>1</v>
      </c>
      <c r="G467" s="4">
        <v>0</v>
      </c>
      <c r="H467" s="4">
        <v>1</v>
      </c>
      <c r="I467" s="4">
        <v>0</v>
      </c>
      <c r="J467" s="4">
        <v>0</v>
      </c>
      <c r="K467" s="4">
        <v>0</v>
      </c>
      <c r="L467" s="4"/>
    </row>
    <row r="468" spans="1:12" x14ac:dyDescent="0.2">
      <c r="A468" s="4">
        <v>10</v>
      </c>
      <c r="B468" s="4">
        <v>17</v>
      </c>
      <c r="C468" s="4">
        <v>5</v>
      </c>
      <c r="D468" s="4">
        <v>3</v>
      </c>
      <c r="E468" s="4">
        <v>0</v>
      </c>
      <c r="F468" s="4">
        <v>1</v>
      </c>
      <c r="G468" s="4">
        <v>0</v>
      </c>
      <c r="H468" s="4">
        <v>1</v>
      </c>
      <c r="I468" s="4">
        <v>0</v>
      </c>
      <c r="J468" s="4">
        <v>0</v>
      </c>
      <c r="K468" s="4">
        <v>0</v>
      </c>
      <c r="L468" s="4"/>
    </row>
    <row r="469" spans="1:12" x14ac:dyDescent="0.2">
      <c r="A469" s="4">
        <v>10</v>
      </c>
      <c r="B469" s="4">
        <v>8</v>
      </c>
      <c r="C469" s="4">
        <v>9</v>
      </c>
      <c r="D469" s="4">
        <v>0</v>
      </c>
      <c r="E469" s="4">
        <v>0</v>
      </c>
      <c r="F469" s="4">
        <v>1</v>
      </c>
      <c r="G469" s="4">
        <v>0</v>
      </c>
      <c r="H469" s="4">
        <v>1</v>
      </c>
      <c r="I469" s="4">
        <v>0</v>
      </c>
      <c r="J469" s="4">
        <v>0</v>
      </c>
      <c r="K469" s="4">
        <v>1</v>
      </c>
      <c r="L469" s="4"/>
    </row>
    <row r="470" spans="1:12" x14ac:dyDescent="0.2">
      <c r="A470" s="4">
        <v>10</v>
      </c>
      <c r="B470" s="4">
        <v>12</v>
      </c>
      <c r="C470" s="4">
        <v>29</v>
      </c>
      <c r="D470" s="4">
        <v>0</v>
      </c>
      <c r="E470" s="4">
        <v>0</v>
      </c>
      <c r="F470" s="4">
        <v>1</v>
      </c>
      <c r="G470" s="4">
        <v>2</v>
      </c>
      <c r="H470" s="4">
        <v>0</v>
      </c>
      <c r="I470" s="4">
        <v>0</v>
      </c>
      <c r="J470" s="4">
        <v>0</v>
      </c>
      <c r="K470" s="4">
        <v>0</v>
      </c>
      <c r="L470" s="4"/>
    </row>
    <row r="471" spans="1:12" x14ac:dyDescent="0.2">
      <c r="A471" s="4">
        <v>10</v>
      </c>
      <c r="B471" s="4">
        <v>12</v>
      </c>
      <c r="C471" s="4">
        <v>31</v>
      </c>
      <c r="D471" s="4">
        <v>2</v>
      </c>
      <c r="E471" s="4">
        <v>0</v>
      </c>
      <c r="F471" s="4">
        <v>1</v>
      </c>
      <c r="G471" s="4">
        <v>0</v>
      </c>
      <c r="H471" s="4">
        <v>0</v>
      </c>
      <c r="I471" s="4">
        <v>1</v>
      </c>
      <c r="J471" s="4">
        <v>0</v>
      </c>
      <c r="K471" s="4">
        <v>0</v>
      </c>
      <c r="L471" s="4"/>
    </row>
    <row r="472" spans="1:12" x14ac:dyDescent="0.2">
      <c r="A472" s="4">
        <v>10</v>
      </c>
      <c r="B472" s="4">
        <v>12</v>
      </c>
      <c r="C472" s="4">
        <v>24</v>
      </c>
      <c r="D472" s="4">
        <v>24</v>
      </c>
      <c r="E472" s="4">
        <v>0</v>
      </c>
      <c r="F472" s="4">
        <v>1</v>
      </c>
      <c r="G472" s="4">
        <v>0</v>
      </c>
      <c r="H472" s="4">
        <v>1</v>
      </c>
      <c r="I472" s="4">
        <v>0</v>
      </c>
      <c r="J472" s="4">
        <v>0</v>
      </c>
      <c r="K472" s="4">
        <v>0</v>
      </c>
      <c r="L472" s="4"/>
    </row>
    <row r="473" spans="1:12" x14ac:dyDescent="0.2">
      <c r="A473" s="4">
        <v>10</v>
      </c>
      <c r="B473" s="4">
        <v>18</v>
      </c>
      <c r="C473" s="4">
        <v>9</v>
      </c>
      <c r="D473" s="4">
        <v>8</v>
      </c>
      <c r="E473" s="4">
        <v>0</v>
      </c>
      <c r="F473" s="4">
        <v>0</v>
      </c>
      <c r="G473" s="4">
        <v>0</v>
      </c>
      <c r="H473" s="4">
        <v>1</v>
      </c>
      <c r="I473" s="4">
        <v>0</v>
      </c>
      <c r="J473" s="4">
        <v>0</v>
      </c>
      <c r="K473" s="4">
        <v>0</v>
      </c>
      <c r="L473" s="4"/>
    </row>
    <row r="474" spans="1:12" x14ac:dyDescent="0.2">
      <c r="A474" s="4">
        <v>10</v>
      </c>
      <c r="B474" s="4">
        <v>12</v>
      </c>
      <c r="C474" s="4">
        <v>15</v>
      </c>
      <c r="D474" s="4">
        <v>0</v>
      </c>
      <c r="E474" s="4">
        <v>0</v>
      </c>
      <c r="F474" s="4">
        <v>0</v>
      </c>
      <c r="G474" s="4">
        <v>1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</row>
    <row r="475" spans="1:12" x14ac:dyDescent="0.2">
      <c r="A475" s="4">
        <v>10.38</v>
      </c>
      <c r="B475" s="4">
        <v>18</v>
      </c>
      <c r="C475" s="4">
        <v>16</v>
      </c>
      <c r="D475" s="4">
        <v>2</v>
      </c>
      <c r="E475" s="4">
        <v>0</v>
      </c>
      <c r="F475" s="4">
        <v>1</v>
      </c>
      <c r="G475" s="4">
        <v>1</v>
      </c>
      <c r="H475" s="4">
        <v>1</v>
      </c>
      <c r="I475" s="4">
        <v>0</v>
      </c>
      <c r="J475" s="4">
        <v>0</v>
      </c>
      <c r="K475" s="4">
        <v>0</v>
      </c>
      <c r="L475" s="4">
        <v>4</v>
      </c>
    </row>
    <row r="476" spans="1:12" x14ac:dyDescent="0.2">
      <c r="A476" s="4">
        <v>10.63</v>
      </c>
      <c r="B476" s="4">
        <v>13</v>
      </c>
      <c r="C476" s="4">
        <v>16</v>
      </c>
      <c r="D476" s="4">
        <v>10</v>
      </c>
      <c r="E476" s="4">
        <v>1</v>
      </c>
      <c r="F476" s="4">
        <v>0</v>
      </c>
      <c r="G476" s="4">
        <v>0</v>
      </c>
      <c r="H476" s="4">
        <v>0</v>
      </c>
      <c r="I476" s="4">
        <v>0</v>
      </c>
      <c r="J476" s="4">
        <v>1</v>
      </c>
      <c r="K476" s="4">
        <v>0</v>
      </c>
      <c r="L476" s="4">
        <v>5</v>
      </c>
    </row>
    <row r="477" spans="1:12" x14ac:dyDescent="0.2">
      <c r="A477" s="4">
        <v>10.63</v>
      </c>
      <c r="B477" s="4">
        <v>12</v>
      </c>
      <c r="C477" s="4">
        <v>36</v>
      </c>
      <c r="D477" s="4">
        <v>6</v>
      </c>
      <c r="E477" s="4">
        <v>1</v>
      </c>
      <c r="F477" s="4">
        <v>1</v>
      </c>
      <c r="G477" s="4">
        <v>0</v>
      </c>
      <c r="H477" s="4">
        <v>0</v>
      </c>
      <c r="I477" s="4">
        <v>0</v>
      </c>
      <c r="J477" s="4">
        <v>1</v>
      </c>
      <c r="K477" s="4">
        <v>0</v>
      </c>
      <c r="L477" s="4"/>
    </row>
    <row r="478" spans="1:12" x14ac:dyDescent="0.2">
      <c r="A478" s="4">
        <v>10.91</v>
      </c>
      <c r="B478" s="4">
        <v>12</v>
      </c>
      <c r="C478" s="4">
        <v>25</v>
      </c>
      <c r="D478" s="4">
        <v>23</v>
      </c>
      <c r="E478" s="4">
        <v>0</v>
      </c>
      <c r="F478" s="4">
        <v>0</v>
      </c>
      <c r="G478" s="4">
        <v>0</v>
      </c>
      <c r="H478" s="4">
        <v>0</v>
      </c>
      <c r="I478" s="4">
        <v>1</v>
      </c>
      <c r="J478" s="4">
        <v>0</v>
      </c>
      <c r="K478" s="4">
        <v>0</v>
      </c>
      <c r="L478" s="4"/>
    </row>
    <row r="479" spans="1:12" x14ac:dyDescent="0.2">
      <c r="A479" s="4">
        <v>10.92</v>
      </c>
      <c r="B479" s="4">
        <v>12</v>
      </c>
      <c r="C479" s="4">
        <v>34</v>
      </c>
      <c r="D479" s="4">
        <v>5</v>
      </c>
      <c r="E479" s="4">
        <v>0</v>
      </c>
      <c r="F479" s="4">
        <v>1</v>
      </c>
      <c r="G479" s="4">
        <v>0</v>
      </c>
      <c r="H479" s="4">
        <v>0</v>
      </c>
      <c r="I479" s="4">
        <v>1</v>
      </c>
      <c r="J479" s="4">
        <v>0</v>
      </c>
      <c r="K479" s="4">
        <v>0</v>
      </c>
      <c r="L479" s="4"/>
    </row>
    <row r="480" spans="1:12" x14ac:dyDescent="0.2">
      <c r="A480" s="4">
        <v>10.95</v>
      </c>
      <c r="B480" s="4">
        <v>16</v>
      </c>
      <c r="C480" s="4">
        <v>23</v>
      </c>
      <c r="D480" s="4">
        <v>20</v>
      </c>
      <c r="E480" s="4">
        <v>0</v>
      </c>
      <c r="F480" s="4">
        <v>1</v>
      </c>
      <c r="G480" s="4">
        <v>4</v>
      </c>
      <c r="H480" s="4">
        <v>0</v>
      </c>
      <c r="I480" s="4">
        <v>1</v>
      </c>
      <c r="J480" s="4">
        <v>0</v>
      </c>
      <c r="K480" s="4">
        <v>0</v>
      </c>
      <c r="L480" s="4"/>
    </row>
    <row r="481" spans="1:12" x14ac:dyDescent="0.2">
      <c r="A481" s="4">
        <v>11.1</v>
      </c>
      <c r="B481" s="4">
        <v>15</v>
      </c>
      <c r="C481" s="4">
        <v>1</v>
      </c>
      <c r="D481" s="4">
        <v>4</v>
      </c>
      <c r="E481" s="4">
        <v>1</v>
      </c>
      <c r="F481" s="4">
        <v>0</v>
      </c>
      <c r="G481" s="4">
        <v>2</v>
      </c>
      <c r="H481" s="4">
        <v>0</v>
      </c>
      <c r="I481" s="4">
        <v>1</v>
      </c>
      <c r="J481" s="4">
        <v>0</v>
      </c>
      <c r="K481" s="4">
        <v>0</v>
      </c>
      <c r="L481" s="4">
        <v>0</v>
      </c>
    </row>
    <row r="482" spans="1:12" x14ac:dyDescent="0.2">
      <c r="A482" s="4">
        <v>11.11</v>
      </c>
      <c r="B482" s="4">
        <v>12</v>
      </c>
      <c r="C482" s="4">
        <v>30</v>
      </c>
      <c r="D482" s="4">
        <v>8</v>
      </c>
      <c r="E482" s="4">
        <v>0</v>
      </c>
      <c r="F482" s="4">
        <v>1</v>
      </c>
      <c r="G482" s="4">
        <v>0</v>
      </c>
      <c r="H482" s="4">
        <v>1</v>
      </c>
      <c r="I482" s="4">
        <v>0</v>
      </c>
      <c r="J482" s="4">
        <v>0</v>
      </c>
      <c r="K482" s="4">
        <v>0</v>
      </c>
      <c r="L482" s="4">
        <v>4</v>
      </c>
    </row>
    <row r="483" spans="1:12" x14ac:dyDescent="0.2">
      <c r="A483" s="4">
        <v>11.25</v>
      </c>
      <c r="B483" s="4">
        <v>18</v>
      </c>
      <c r="C483" s="4">
        <v>15</v>
      </c>
      <c r="D483" s="4">
        <v>7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1</v>
      </c>
      <c r="K483" s="4">
        <v>0</v>
      </c>
      <c r="L483" s="4">
        <v>1</v>
      </c>
    </row>
    <row r="484" spans="1:12" x14ac:dyDescent="0.2">
      <c r="A484" s="4">
        <v>11.25</v>
      </c>
      <c r="B484" s="4">
        <v>17</v>
      </c>
      <c r="C484" s="4">
        <v>28</v>
      </c>
      <c r="D484" s="4">
        <v>25</v>
      </c>
      <c r="E484" s="4">
        <v>0</v>
      </c>
      <c r="F484" s="4">
        <v>1</v>
      </c>
      <c r="G484" s="4">
        <v>1</v>
      </c>
      <c r="H484" s="4">
        <v>0</v>
      </c>
      <c r="I484" s="4">
        <v>1</v>
      </c>
      <c r="J484" s="4">
        <v>0</v>
      </c>
      <c r="K484" s="4">
        <v>0</v>
      </c>
      <c r="L484" s="4"/>
    </row>
    <row r="485" spans="1:12" x14ac:dyDescent="0.2">
      <c r="A485" s="4">
        <v>11.55</v>
      </c>
      <c r="B485" s="4">
        <v>16</v>
      </c>
      <c r="C485" s="4">
        <v>20</v>
      </c>
      <c r="D485" s="4">
        <v>5</v>
      </c>
      <c r="E485" s="4">
        <v>1</v>
      </c>
      <c r="F485" s="4">
        <v>1</v>
      </c>
      <c r="G485" s="4">
        <v>3</v>
      </c>
      <c r="H485" s="4">
        <v>0</v>
      </c>
      <c r="I485" s="4">
        <v>1</v>
      </c>
      <c r="J485" s="4">
        <v>0</v>
      </c>
      <c r="K485" s="4">
        <v>1</v>
      </c>
      <c r="L485" s="4"/>
    </row>
    <row r="486" spans="1:12" x14ac:dyDescent="0.2">
      <c r="A486" s="4">
        <v>11.56</v>
      </c>
      <c r="B486" s="4">
        <v>16</v>
      </c>
      <c r="C486" s="4">
        <v>5</v>
      </c>
      <c r="D486" s="4">
        <v>1</v>
      </c>
      <c r="E486" s="4">
        <v>0</v>
      </c>
      <c r="F486" s="4">
        <v>1</v>
      </c>
      <c r="G486" s="4">
        <v>0</v>
      </c>
      <c r="H486" s="4">
        <v>0</v>
      </c>
      <c r="I486" s="4">
        <v>0</v>
      </c>
      <c r="J486" s="4">
        <v>1</v>
      </c>
      <c r="K486" s="4">
        <v>0</v>
      </c>
      <c r="L486" s="4"/>
    </row>
    <row r="487" spans="1:12" x14ac:dyDescent="0.2">
      <c r="A487" s="4">
        <v>11.71</v>
      </c>
      <c r="B487" s="4">
        <v>13</v>
      </c>
      <c r="C487" s="4">
        <v>40</v>
      </c>
      <c r="D487" s="4">
        <v>20</v>
      </c>
      <c r="E487" s="4">
        <v>1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/>
    </row>
    <row r="488" spans="1:12" x14ac:dyDescent="0.2">
      <c r="A488" s="4">
        <v>11.76</v>
      </c>
      <c r="B488" s="4">
        <v>14</v>
      </c>
      <c r="C488" s="4">
        <v>40</v>
      </c>
      <c r="D488" s="4">
        <v>39</v>
      </c>
      <c r="E488" s="4">
        <v>0</v>
      </c>
      <c r="F488" s="4">
        <v>1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/>
    </row>
    <row r="489" spans="1:12" x14ac:dyDescent="0.2">
      <c r="A489" s="4">
        <v>11.82</v>
      </c>
      <c r="B489" s="4">
        <v>16</v>
      </c>
      <c r="C489" s="4">
        <v>35</v>
      </c>
      <c r="D489" s="4">
        <v>13</v>
      </c>
      <c r="E489" s="4">
        <v>0</v>
      </c>
      <c r="F489" s="4">
        <v>1</v>
      </c>
      <c r="G489" s="4">
        <v>0</v>
      </c>
      <c r="H489" s="4">
        <v>0</v>
      </c>
      <c r="I489" s="4">
        <v>0</v>
      </c>
      <c r="J489" s="4">
        <v>1</v>
      </c>
      <c r="K489" s="4">
        <v>0</v>
      </c>
      <c r="L489" s="4"/>
    </row>
    <row r="490" spans="1:12" x14ac:dyDescent="0.2">
      <c r="A490" s="4">
        <v>11.9</v>
      </c>
      <c r="B490" s="4">
        <v>13</v>
      </c>
      <c r="C490" s="4">
        <v>24</v>
      </c>
      <c r="D490" s="4">
        <v>19</v>
      </c>
      <c r="E490" s="4">
        <v>0</v>
      </c>
      <c r="F490" s="4">
        <v>1</v>
      </c>
      <c r="G490" s="4">
        <v>2</v>
      </c>
      <c r="H490" s="4">
        <v>0</v>
      </c>
      <c r="I490" s="4">
        <v>0</v>
      </c>
      <c r="J490" s="4">
        <v>0</v>
      </c>
      <c r="K490" s="4">
        <v>0</v>
      </c>
      <c r="L490" s="4"/>
    </row>
    <row r="491" spans="1:12" x14ac:dyDescent="0.2">
      <c r="A491" s="4">
        <v>11.98</v>
      </c>
      <c r="B491" s="4">
        <v>18</v>
      </c>
      <c r="C491" s="4">
        <v>8</v>
      </c>
      <c r="D491" s="4">
        <v>10</v>
      </c>
      <c r="E491" s="4">
        <v>0</v>
      </c>
      <c r="F491" s="4">
        <v>1</v>
      </c>
      <c r="G491" s="4">
        <v>2</v>
      </c>
      <c r="H491" s="4">
        <v>0</v>
      </c>
      <c r="I491" s="4">
        <v>1</v>
      </c>
      <c r="J491" s="4">
        <v>0</v>
      </c>
      <c r="K491" s="4">
        <v>0</v>
      </c>
      <c r="L491" s="4">
        <v>3</v>
      </c>
    </row>
    <row r="492" spans="1:12" x14ac:dyDescent="0.2">
      <c r="A492" s="4">
        <v>12.22</v>
      </c>
      <c r="B492" s="4">
        <v>16</v>
      </c>
      <c r="C492" s="4">
        <v>10</v>
      </c>
      <c r="D492" s="4">
        <v>2</v>
      </c>
      <c r="E492" s="4">
        <v>0</v>
      </c>
      <c r="F492" s="4">
        <v>0</v>
      </c>
      <c r="G492" s="4">
        <v>0</v>
      </c>
      <c r="H492" s="4">
        <v>0</v>
      </c>
      <c r="I492" s="4">
        <v>1</v>
      </c>
      <c r="J492" s="4">
        <v>0</v>
      </c>
      <c r="K492" s="4">
        <v>0</v>
      </c>
      <c r="L492" s="4">
        <v>5</v>
      </c>
    </row>
    <row r="493" spans="1:12" x14ac:dyDescent="0.2">
      <c r="A493" s="4">
        <v>12.39</v>
      </c>
      <c r="B493" s="4">
        <v>14</v>
      </c>
      <c r="C493" s="4">
        <v>42</v>
      </c>
      <c r="D493" s="4">
        <v>5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1</v>
      </c>
    </row>
    <row r="494" spans="1:12" x14ac:dyDescent="0.2">
      <c r="A494" s="4">
        <v>12.5</v>
      </c>
      <c r="B494" s="4">
        <v>16</v>
      </c>
      <c r="C494" s="4">
        <v>31</v>
      </c>
      <c r="D494" s="4">
        <v>0</v>
      </c>
      <c r="E494" s="4">
        <v>0</v>
      </c>
      <c r="F494" s="4">
        <v>1</v>
      </c>
      <c r="G494" s="4">
        <v>0</v>
      </c>
      <c r="H494" s="4">
        <v>0</v>
      </c>
      <c r="I494" s="4">
        <v>0</v>
      </c>
      <c r="J494" s="4">
        <v>1</v>
      </c>
      <c r="K494" s="4">
        <v>0</v>
      </c>
      <c r="L494" s="4">
        <v>0</v>
      </c>
    </row>
    <row r="495" spans="1:12" x14ac:dyDescent="0.2">
      <c r="A495" s="4">
        <v>12.5</v>
      </c>
      <c r="B495" s="4">
        <v>15</v>
      </c>
      <c r="C495" s="4">
        <v>30</v>
      </c>
      <c r="D495" s="4">
        <v>0</v>
      </c>
      <c r="E495" s="4">
        <v>0</v>
      </c>
      <c r="F495" s="4">
        <v>1</v>
      </c>
      <c r="G495" s="4">
        <v>2</v>
      </c>
      <c r="H495" s="4">
        <v>0</v>
      </c>
      <c r="I495" s="4">
        <v>0</v>
      </c>
      <c r="J495" s="4">
        <v>1</v>
      </c>
      <c r="K495" s="4">
        <v>0</v>
      </c>
      <c r="L495" s="4">
        <v>2</v>
      </c>
    </row>
    <row r="496" spans="1:12" x14ac:dyDescent="0.2">
      <c r="A496" s="4">
        <v>12.5</v>
      </c>
      <c r="B496" s="4">
        <v>12</v>
      </c>
      <c r="C496" s="4">
        <v>8</v>
      </c>
      <c r="D496" s="4">
        <v>1</v>
      </c>
      <c r="E496" s="4">
        <v>0</v>
      </c>
      <c r="F496" s="4">
        <v>0</v>
      </c>
      <c r="G496" s="4">
        <v>0</v>
      </c>
      <c r="H496" s="4">
        <v>1</v>
      </c>
      <c r="I496" s="4">
        <v>0</v>
      </c>
      <c r="J496" s="4">
        <v>0</v>
      </c>
      <c r="K496" s="4">
        <v>0</v>
      </c>
      <c r="L496" s="4">
        <v>2</v>
      </c>
    </row>
    <row r="497" spans="1:12" x14ac:dyDescent="0.2">
      <c r="A497" s="4">
        <v>12.5</v>
      </c>
      <c r="B497" s="4">
        <v>18</v>
      </c>
      <c r="C497" s="4">
        <v>6</v>
      </c>
      <c r="D497" s="4">
        <v>2</v>
      </c>
      <c r="E497" s="4">
        <v>0</v>
      </c>
      <c r="F497" s="4">
        <v>0</v>
      </c>
      <c r="G497" s="4">
        <v>0</v>
      </c>
      <c r="H497" s="4">
        <v>0</v>
      </c>
      <c r="I497" s="4">
        <v>1</v>
      </c>
      <c r="J497" s="4">
        <v>0</v>
      </c>
      <c r="K497" s="4">
        <v>0</v>
      </c>
      <c r="L497" s="4">
        <v>5</v>
      </c>
    </row>
    <row r="498" spans="1:12" x14ac:dyDescent="0.2">
      <c r="A498" s="4">
        <v>12.5</v>
      </c>
      <c r="B498" s="4">
        <v>18</v>
      </c>
      <c r="C498" s="4">
        <v>16</v>
      </c>
      <c r="D498" s="4">
        <v>5</v>
      </c>
      <c r="E498" s="4">
        <v>0</v>
      </c>
      <c r="F498" s="4">
        <v>1</v>
      </c>
      <c r="G498" s="4">
        <v>1</v>
      </c>
      <c r="H498" s="4">
        <v>1</v>
      </c>
      <c r="I498" s="4">
        <v>0</v>
      </c>
      <c r="J498" s="4">
        <v>0</v>
      </c>
      <c r="K498" s="4">
        <v>0</v>
      </c>
      <c r="L498" s="4">
        <v>4</v>
      </c>
    </row>
    <row r="499" spans="1:12" x14ac:dyDescent="0.2">
      <c r="A499" s="4">
        <v>12.5</v>
      </c>
      <c r="B499" s="4">
        <v>17</v>
      </c>
      <c r="C499" s="4">
        <v>21</v>
      </c>
      <c r="D499" s="4">
        <v>18</v>
      </c>
      <c r="E499" s="4">
        <v>0</v>
      </c>
      <c r="F499" s="4">
        <v>1</v>
      </c>
      <c r="G499" s="4">
        <v>3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</row>
    <row r="500" spans="1:12" x14ac:dyDescent="0.2">
      <c r="A500" s="4">
        <v>12.5</v>
      </c>
      <c r="B500" s="4">
        <v>14</v>
      </c>
      <c r="C500" s="4">
        <v>40</v>
      </c>
      <c r="D500" s="4">
        <v>30</v>
      </c>
      <c r="E500" s="4">
        <v>0</v>
      </c>
      <c r="F500" s="4">
        <v>1</v>
      </c>
      <c r="G500" s="4">
        <v>0</v>
      </c>
      <c r="H500" s="4">
        <v>1</v>
      </c>
      <c r="I500" s="4">
        <v>0</v>
      </c>
      <c r="J500" s="4">
        <v>0</v>
      </c>
      <c r="K500" s="4">
        <v>0</v>
      </c>
      <c r="L500" s="4">
        <v>3</v>
      </c>
    </row>
    <row r="501" spans="1:12" x14ac:dyDescent="0.2">
      <c r="A501" s="4">
        <v>13</v>
      </c>
      <c r="B501" s="4">
        <v>14</v>
      </c>
      <c r="C501" s="4">
        <v>23</v>
      </c>
      <c r="D501" s="4">
        <v>5</v>
      </c>
      <c r="E501" s="4">
        <v>0</v>
      </c>
      <c r="F501" s="4">
        <v>1</v>
      </c>
      <c r="G501" s="4">
        <v>2</v>
      </c>
      <c r="H501" s="4">
        <v>0</v>
      </c>
      <c r="I501" s="4">
        <v>0</v>
      </c>
      <c r="J501" s="4">
        <v>1</v>
      </c>
      <c r="K501" s="4">
        <v>0</v>
      </c>
      <c r="L501" s="4">
        <v>1</v>
      </c>
    </row>
    <row r="502" spans="1:12" x14ac:dyDescent="0.2">
      <c r="A502" s="4">
        <v>13.08</v>
      </c>
      <c r="B502" s="4">
        <v>17</v>
      </c>
      <c r="C502" s="4">
        <v>17</v>
      </c>
      <c r="D502" s="4">
        <v>2</v>
      </c>
      <c r="E502" s="4">
        <v>0</v>
      </c>
      <c r="F502" s="4">
        <v>1</v>
      </c>
      <c r="G502" s="4">
        <v>3</v>
      </c>
      <c r="H502" s="4">
        <v>0</v>
      </c>
      <c r="I502" s="4">
        <v>0</v>
      </c>
      <c r="J502" s="4">
        <v>0</v>
      </c>
      <c r="K502" s="4">
        <v>0</v>
      </c>
      <c r="L502" s="4">
        <v>2</v>
      </c>
    </row>
    <row r="503" spans="1:12" x14ac:dyDescent="0.2">
      <c r="A503" s="4">
        <v>13.16</v>
      </c>
      <c r="B503" s="4">
        <v>12</v>
      </c>
      <c r="C503" s="4">
        <v>34</v>
      </c>
      <c r="D503" s="4">
        <v>22</v>
      </c>
      <c r="E503" s="4">
        <v>0</v>
      </c>
      <c r="F503" s="4">
        <v>1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4</v>
      </c>
    </row>
    <row r="504" spans="1:12" x14ac:dyDescent="0.2">
      <c r="A504" s="4">
        <v>13.33</v>
      </c>
      <c r="B504" s="4">
        <v>12</v>
      </c>
      <c r="C504" s="4">
        <v>14</v>
      </c>
      <c r="D504" s="4">
        <v>11</v>
      </c>
      <c r="E504" s="4">
        <v>0</v>
      </c>
      <c r="F504" s="4">
        <v>1</v>
      </c>
      <c r="G504" s="4">
        <v>2</v>
      </c>
      <c r="H504" s="4">
        <v>0</v>
      </c>
      <c r="I504" s="4">
        <v>0</v>
      </c>
      <c r="J504" s="4">
        <v>0</v>
      </c>
      <c r="K504" s="4">
        <v>0</v>
      </c>
      <c r="L504" s="4">
        <v>5</v>
      </c>
    </row>
    <row r="505" spans="1:12" x14ac:dyDescent="0.2">
      <c r="A505" s="4">
        <v>13.7</v>
      </c>
      <c r="B505" s="4">
        <v>15</v>
      </c>
      <c r="C505" s="4">
        <v>20</v>
      </c>
      <c r="D505" s="4">
        <v>13</v>
      </c>
      <c r="E505" s="4">
        <v>0</v>
      </c>
      <c r="F505" s="4">
        <v>1</v>
      </c>
      <c r="G505" s="4">
        <v>2</v>
      </c>
      <c r="H505" s="4">
        <v>0</v>
      </c>
      <c r="I505" s="4">
        <v>0</v>
      </c>
      <c r="J505" s="4">
        <v>1</v>
      </c>
      <c r="K505" s="4">
        <v>0</v>
      </c>
      <c r="L505" s="4">
        <v>1</v>
      </c>
    </row>
    <row r="506" spans="1:12" x14ac:dyDescent="0.2">
      <c r="A506" s="4">
        <v>13.95</v>
      </c>
      <c r="B506" s="4">
        <v>16</v>
      </c>
      <c r="C506" s="4">
        <v>41</v>
      </c>
      <c r="D506" s="4">
        <v>16</v>
      </c>
      <c r="E506" s="4">
        <v>0</v>
      </c>
      <c r="F506" s="4">
        <v>1</v>
      </c>
      <c r="G506" s="4">
        <v>0</v>
      </c>
      <c r="H506" s="4">
        <v>1</v>
      </c>
      <c r="I506" s="4">
        <v>0</v>
      </c>
      <c r="J506" s="4">
        <v>0</v>
      </c>
      <c r="K506" s="4">
        <v>0</v>
      </c>
      <c r="L506" s="4">
        <v>4</v>
      </c>
    </row>
    <row r="507" spans="1:12" x14ac:dyDescent="0.2">
      <c r="A507" s="4">
        <v>14.38</v>
      </c>
      <c r="B507" s="4">
        <v>17</v>
      </c>
      <c r="C507" s="4">
        <v>10</v>
      </c>
      <c r="D507" s="4">
        <v>9</v>
      </c>
      <c r="E507" s="4">
        <v>0</v>
      </c>
      <c r="F507" s="4">
        <v>1</v>
      </c>
      <c r="G507" s="4">
        <v>1</v>
      </c>
      <c r="H507" s="4">
        <v>0</v>
      </c>
      <c r="I507" s="4">
        <v>1</v>
      </c>
      <c r="J507" s="4">
        <v>0</v>
      </c>
      <c r="K507" s="4">
        <v>0</v>
      </c>
      <c r="L507" s="4">
        <v>0</v>
      </c>
    </row>
    <row r="508" spans="1:12" x14ac:dyDescent="0.2">
      <c r="A508" s="4">
        <v>14.58</v>
      </c>
      <c r="B508" s="4">
        <v>18</v>
      </c>
      <c r="C508" s="4">
        <v>13</v>
      </c>
      <c r="D508" s="4">
        <v>7</v>
      </c>
      <c r="E508" s="4">
        <v>1</v>
      </c>
      <c r="F508" s="4">
        <v>0</v>
      </c>
      <c r="G508" s="4">
        <v>0</v>
      </c>
      <c r="H508" s="4">
        <v>1</v>
      </c>
      <c r="I508" s="4">
        <v>0</v>
      </c>
      <c r="J508" s="4">
        <v>0</v>
      </c>
      <c r="K508" s="4">
        <v>0</v>
      </c>
      <c r="L508" s="4">
        <v>0</v>
      </c>
    </row>
    <row r="509" spans="1:12" x14ac:dyDescent="0.2">
      <c r="A509" s="4">
        <v>15</v>
      </c>
      <c r="B509" s="4">
        <v>14</v>
      </c>
      <c r="C509" s="4">
        <v>7</v>
      </c>
      <c r="D509" s="4">
        <v>7</v>
      </c>
      <c r="E509" s="4">
        <v>0</v>
      </c>
      <c r="F509" s="4">
        <v>1</v>
      </c>
      <c r="G509" s="4">
        <v>1</v>
      </c>
      <c r="H509" s="4">
        <v>0</v>
      </c>
      <c r="I509" s="4">
        <v>0</v>
      </c>
      <c r="J509" s="4">
        <v>0</v>
      </c>
      <c r="K509" s="4">
        <v>0</v>
      </c>
      <c r="L509" s="4">
        <v>3</v>
      </c>
    </row>
    <row r="510" spans="1:12" x14ac:dyDescent="0.2">
      <c r="A510" s="4">
        <v>15</v>
      </c>
      <c r="B510" s="4">
        <v>11</v>
      </c>
      <c r="C510" s="4">
        <v>35</v>
      </c>
      <c r="D510" s="4">
        <v>31</v>
      </c>
      <c r="E510" s="4"/>
      <c r="F510" s="4">
        <v>1</v>
      </c>
      <c r="G510" s="4">
        <v>0</v>
      </c>
      <c r="H510" s="4">
        <v>0</v>
      </c>
      <c r="I510" s="4">
        <v>1</v>
      </c>
      <c r="J510" s="4">
        <v>0</v>
      </c>
      <c r="K510" s="4">
        <v>0</v>
      </c>
      <c r="L510" s="4">
        <v>4</v>
      </c>
    </row>
    <row r="511" spans="1:12" x14ac:dyDescent="0.2">
      <c r="A511" s="4">
        <v>15</v>
      </c>
      <c r="B511" s="4">
        <v>16</v>
      </c>
      <c r="C511" s="4">
        <v>14</v>
      </c>
      <c r="D511" s="4">
        <v>2</v>
      </c>
      <c r="E511" s="4">
        <v>1</v>
      </c>
      <c r="F511" s="4">
        <v>1</v>
      </c>
      <c r="G511" s="4">
        <v>2</v>
      </c>
      <c r="H511" s="4">
        <v>0</v>
      </c>
      <c r="I511" s="4">
        <v>0</v>
      </c>
      <c r="J511" s="4">
        <v>1</v>
      </c>
      <c r="K511" s="4">
        <v>0</v>
      </c>
      <c r="L511" s="4"/>
    </row>
    <row r="512" spans="1:12" x14ac:dyDescent="0.2">
      <c r="A512" s="4">
        <v>15.38</v>
      </c>
      <c r="B512" s="4">
        <v>13</v>
      </c>
      <c r="C512" s="4">
        <v>25</v>
      </c>
      <c r="D512" s="4">
        <v>21</v>
      </c>
      <c r="E512" s="4">
        <v>0</v>
      </c>
      <c r="F512" s="4">
        <v>1</v>
      </c>
      <c r="G512" s="4">
        <v>2</v>
      </c>
      <c r="H512" s="4">
        <v>1</v>
      </c>
      <c r="I512" s="4">
        <v>0</v>
      </c>
      <c r="J512" s="4">
        <v>0</v>
      </c>
      <c r="K512" s="4">
        <v>0</v>
      </c>
      <c r="L512" s="4"/>
    </row>
    <row r="513" spans="1:12" x14ac:dyDescent="0.2">
      <c r="A513" s="4">
        <v>17.329999999999998</v>
      </c>
      <c r="B513" s="4">
        <v>16</v>
      </c>
      <c r="C513" s="4">
        <v>14</v>
      </c>
      <c r="D513" s="4">
        <v>0</v>
      </c>
      <c r="E513" s="4">
        <v>0</v>
      </c>
      <c r="F513" s="4">
        <v>1</v>
      </c>
      <c r="G513" s="4">
        <v>1</v>
      </c>
      <c r="H513" s="4">
        <v>0</v>
      </c>
      <c r="I513" s="4">
        <v>0</v>
      </c>
      <c r="J513" s="4">
        <v>1</v>
      </c>
      <c r="K513" s="4">
        <v>0</v>
      </c>
      <c r="L513" s="4"/>
    </row>
    <row r="514" spans="1:12" x14ac:dyDescent="0.2">
      <c r="A514" s="4">
        <v>17.5</v>
      </c>
      <c r="B514" s="4">
        <v>16</v>
      </c>
      <c r="C514" s="4">
        <v>23</v>
      </c>
      <c r="D514" s="4">
        <v>22</v>
      </c>
      <c r="E514" s="4">
        <v>0</v>
      </c>
      <c r="F514" s="4">
        <v>1</v>
      </c>
      <c r="G514" s="4">
        <v>3</v>
      </c>
      <c r="H514" s="4">
        <v>0</v>
      </c>
      <c r="I514" s="4">
        <v>0</v>
      </c>
      <c r="J514" s="4">
        <v>1</v>
      </c>
      <c r="K514" s="4">
        <v>0</v>
      </c>
      <c r="L514" s="4"/>
    </row>
    <row r="515" spans="1:12" x14ac:dyDescent="0.2">
      <c r="A515" s="4">
        <v>17.71</v>
      </c>
      <c r="B515" s="4">
        <v>16</v>
      </c>
      <c r="C515" s="4">
        <v>10</v>
      </c>
      <c r="D515" s="4">
        <v>3</v>
      </c>
      <c r="E515" s="4">
        <v>0</v>
      </c>
      <c r="F515" s="4">
        <v>1</v>
      </c>
      <c r="G515" s="4">
        <v>1</v>
      </c>
      <c r="H515" s="4">
        <v>0</v>
      </c>
      <c r="I515" s="4">
        <v>0</v>
      </c>
      <c r="J515" s="4">
        <v>1</v>
      </c>
      <c r="K515" s="4">
        <v>1</v>
      </c>
      <c r="L515" s="4"/>
    </row>
    <row r="516" spans="1:12" x14ac:dyDescent="0.2">
      <c r="A516" s="4">
        <v>18</v>
      </c>
      <c r="B516" s="4">
        <v>12</v>
      </c>
      <c r="C516" s="4">
        <v>31</v>
      </c>
      <c r="D516" s="4">
        <v>15</v>
      </c>
      <c r="E516" s="4">
        <v>0</v>
      </c>
      <c r="F516" s="4">
        <v>1</v>
      </c>
      <c r="G516" s="4">
        <v>1</v>
      </c>
      <c r="H516" s="4">
        <v>0</v>
      </c>
      <c r="I516" s="4">
        <v>0</v>
      </c>
      <c r="J516" s="4">
        <v>1</v>
      </c>
      <c r="K516" s="4">
        <v>0</v>
      </c>
      <c r="L516" s="4"/>
    </row>
    <row r="517" spans="1:12" x14ac:dyDescent="0.2">
      <c r="A517" s="4">
        <v>18</v>
      </c>
      <c r="B517" s="4">
        <v>18</v>
      </c>
      <c r="C517" s="4">
        <v>29</v>
      </c>
      <c r="D517" s="4">
        <v>25</v>
      </c>
      <c r="E517" s="4">
        <v>0</v>
      </c>
      <c r="F517" s="4">
        <v>1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5</v>
      </c>
    </row>
    <row r="518" spans="1:12" x14ac:dyDescent="0.2">
      <c r="A518" s="4">
        <v>18</v>
      </c>
      <c r="B518" s="4">
        <v>12</v>
      </c>
      <c r="C518" s="4">
        <v>24</v>
      </c>
      <c r="D518" s="4">
        <v>16</v>
      </c>
      <c r="E518" s="4">
        <v>0</v>
      </c>
      <c r="F518" s="4">
        <v>1</v>
      </c>
      <c r="G518" s="4">
        <v>3</v>
      </c>
      <c r="H518" s="4">
        <v>1</v>
      </c>
      <c r="I518" s="4">
        <v>0</v>
      </c>
      <c r="J518" s="4">
        <v>0</v>
      </c>
      <c r="K518" s="4">
        <v>0</v>
      </c>
      <c r="L518" s="4">
        <v>5</v>
      </c>
    </row>
    <row r="519" spans="1:12" x14ac:dyDescent="0.2">
      <c r="A519" s="4">
        <v>18</v>
      </c>
      <c r="B519" s="4">
        <v>16</v>
      </c>
      <c r="C519" s="4">
        <v>16</v>
      </c>
      <c r="D519" s="4">
        <v>7</v>
      </c>
      <c r="E519" s="4">
        <v>0</v>
      </c>
      <c r="F519" s="4">
        <v>1</v>
      </c>
      <c r="G519" s="4">
        <v>2</v>
      </c>
      <c r="H519" s="4">
        <v>0</v>
      </c>
      <c r="I519" s="4">
        <v>0</v>
      </c>
      <c r="J519" s="4">
        <v>0</v>
      </c>
      <c r="K519" s="4">
        <v>0</v>
      </c>
      <c r="L519" s="4">
        <v>3</v>
      </c>
    </row>
    <row r="520" spans="1:12" x14ac:dyDescent="0.2">
      <c r="A520" s="4">
        <v>18</v>
      </c>
      <c r="B520" s="4">
        <v>18</v>
      </c>
      <c r="C520" s="4">
        <v>13</v>
      </c>
      <c r="D520" s="4">
        <v>0</v>
      </c>
      <c r="E520" s="4">
        <v>1</v>
      </c>
      <c r="F520" s="4">
        <v>0</v>
      </c>
      <c r="G520" s="4">
        <v>0</v>
      </c>
      <c r="H520" s="4">
        <v>0</v>
      </c>
      <c r="I520" s="4">
        <v>1</v>
      </c>
      <c r="J520" s="4">
        <v>0</v>
      </c>
      <c r="K520" s="4">
        <v>0</v>
      </c>
      <c r="L520" s="4">
        <v>3</v>
      </c>
    </row>
    <row r="521" spans="1:12" x14ac:dyDescent="0.2">
      <c r="A521" s="4">
        <v>18.16</v>
      </c>
      <c r="B521" s="4">
        <v>16</v>
      </c>
      <c r="C521" s="4">
        <v>29</v>
      </c>
      <c r="D521" s="4">
        <v>7</v>
      </c>
      <c r="E521" s="4">
        <v>0</v>
      </c>
      <c r="F521" s="4">
        <v>1</v>
      </c>
      <c r="G521" s="4">
        <v>1</v>
      </c>
      <c r="H521" s="4">
        <v>0</v>
      </c>
      <c r="I521" s="4">
        <v>1</v>
      </c>
      <c r="J521" s="4">
        <v>0</v>
      </c>
      <c r="K521" s="4">
        <v>0</v>
      </c>
      <c r="L521" s="4">
        <v>4</v>
      </c>
    </row>
    <row r="522" spans="1:12" x14ac:dyDescent="0.2">
      <c r="A522" s="4">
        <v>18.16</v>
      </c>
      <c r="B522" s="4">
        <v>16</v>
      </c>
      <c r="C522" s="4">
        <v>35</v>
      </c>
      <c r="D522" s="4">
        <v>28</v>
      </c>
      <c r="E522" s="4">
        <v>0</v>
      </c>
      <c r="F522" s="4">
        <v>1</v>
      </c>
      <c r="G522" s="4">
        <v>1</v>
      </c>
      <c r="H522" s="4">
        <v>1</v>
      </c>
      <c r="I522" s="4">
        <v>0</v>
      </c>
      <c r="J522" s="4">
        <v>0</v>
      </c>
      <c r="K522" s="4">
        <v>0</v>
      </c>
      <c r="L522" s="4">
        <v>5</v>
      </c>
    </row>
    <row r="523" spans="1:12" x14ac:dyDescent="0.2">
      <c r="A523" s="4">
        <v>18.18</v>
      </c>
      <c r="B523" s="4">
        <v>17</v>
      </c>
      <c r="C523" s="4">
        <v>22</v>
      </c>
      <c r="D523" s="4">
        <v>21</v>
      </c>
      <c r="E523" s="4"/>
      <c r="F523" s="4">
        <v>1</v>
      </c>
      <c r="G523" s="4">
        <v>0</v>
      </c>
      <c r="H523" s="4">
        <v>0</v>
      </c>
      <c r="I523" s="4">
        <v>0</v>
      </c>
      <c r="J523" s="4">
        <v>1</v>
      </c>
      <c r="K523" s="4">
        <v>0</v>
      </c>
      <c r="L523" s="4">
        <v>4</v>
      </c>
    </row>
    <row r="524" spans="1:12" x14ac:dyDescent="0.2">
      <c r="A524" s="4">
        <v>18.89</v>
      </c>
      <c r="B524" s="4">
        <v>17</v>
      </c>
      <c r="C524" s="4">
        <v>26</v>
      </c>
      <c r="D524" s="4">
        <v>20</v>
      </c>
      <c r="E524" s="4">
        <v>0</v>
      </c>
      <c r="F524" s="4">
        <v>1</v>
      </c>
      <c r="G524" s="4">
        <v>2</v>
      </c>
      <c r="H524" s="4">
        <v>0</v>
      </c>
      <c r="I524" s="4">
        <v>0</v>
      </c>
      <c r="J524" s="4">
        <v>0</v>
      </c>
      <c r="K524" s="4">
        <v>0</v>
      </c>
      <c r="L524" s="4">
        <v>3</v>
      </c>
    </row>
    <row r="525" spans="1:12" x14ac:dyDescent="0.2">
      <c r="A525" s="4">
        <v>19.98</v>
      </c>
      <c r="B525" s="4">
        <v>14</v>
      </c>
      <c r="C525" s="4">
        <v>26</v>
      </c>
      <c r="D525" s="4">
        <v>23</v>
      </c>
      <c r="E525" s="4">
        <v>0</v>
      </c>
      <c r="F525" s="4">
        <v>1</v>
      </c>
      <c r="G525" s="4">
        <v>2</v>
      </c>
      <c r="H525" s="4">
        <v>0</v>
      </c>
      <c r="I525" s="4">
        <v>0</v>
      </c>
      <c r="J525" s="4">
        <v>0</v>
      </c>
      <c r="K525" s="4">
        <v>0</v>
      </c>
      <c r="L525" s="4">
        <v>3</v>
      </c>
    </row>
    <row r="526" spans="1:12" x14ac:dyDescent="0.2">
      <c r="A526" s="4">
        <v>20</v>
      </c>
      <c r="B526" s="4">
        <v>12</v>
      </c>
      <c r="C526" s="4">
        <v>22</v>
      </c>
      <c r="D526" s="4">
        <v>4</v>
      </c>
      <c r="E526" s="4">
        <v>0</v>
      </c>
      <c r="F526" s="4">
        <v>1</v>
      </c>
      <c r="G526" s="4">
        <v>1</v>
      </c>
      <c r="H526" s="4">
        <v>0</v>
      </c>
      <c r="I526" s="4">
        <v>1</v>
      </c>
      <c r="J526" s="4">
        <v>0</v>
      </c>
      <c r="K526" s="4">
        <v>0</v>
      </c>
      <c r="L526" s="4">
        <v>5</v>
      </c>
    </row>
    <row r="527" spans="1:12" x14ac:dyDescent="0.2">
      <c r="A527" s="4">
        <v>21.63</v>
      </c>
      <c r="B527" s="4">
        <v>18</v>
      </c>
      <c r="C527" s="4">
        <v>8</v>
      </c>
      <c r="D527" s="4">
        <v>8</v>
      </c>
      <c r="E527" s="4">
        <v>1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</row>
  </sheetData>
  <autoFilter ref="A1:K527" xr:uid="{00000000-0001-0000-0000-000000000000}">
    <sortState xmlns:xlrd2="http://schemas.microsoft.com/office/spreadsheetml/2017/richdata2" ref="A2:K527">
      <sortCondition ref="A1:A527"/>
    </sortState>
  </autoFilter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1A1A-8B99-0E48-B330-DFD81969079F}">
  <dimension ref="A1:Z527"/>
  <sheetViews>
    <sheetView showGridLines="0" workbookViewId="0">
      <selection activeCell="K1" sqref="A1:K1048576"/>
    </sheetView>
  </sheetViews>
  <sheetFormatPr baseColWidth="10" defaultColWidth="8.83203125" defaultRowHeight="14" x14ac:dyDescent="0.2"/>
  <cols>
    <col min="1" max="11" width="8.83203125" style="5"/>
    <col min="12" max="13" width="8.83203125" style="3"/>
    <col min="14" max="14" width="26.33203125" style="3" bestFit="1" customWidth="1"/>
    <col min="15" max="15" width="12" style="3" bestFit="1" customWidth="1"/>
    <col min="16" max="18" width="10.1640625" style="3" bestFit="1" customWidth="1"/>
    <col min="19" max="25" width="9.33203125" style="3" bestFit="1" customWidth="1"/>
    <col min="26" max="16384" width="8.83203125" style="3"/>
  </cols>
  <sheetData>
    <row r="1" spans="1:14" x14ac:dyDescent="0.2">
      <c r="A1" s="4" t="s">
        <v>28</v>
      </c>
      <c r="B1" s="4" t="s">
        <v>0</v>
      </c>
      <c r="C1" s="4" t="s">
        <v>1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34</v>
      </c>
      <c r="J1" s="4" t="s">
        <v>35</v>
      </c>
      <c r="K1" s="4" t="s">
        <v>40</v>
      </c>
    </row>
    <row r="2" spans="1:14" x14ac:dyDescent="0.2">
      <c r="A2" s="4">
        <v>8.75</v>
      </c>
      <c r="B2" s="4">
        <v>12</v>
      </c>
      <c r="C2" s="9">
        <v>43.93</v>
      </c>
      <c r="D2" s="9">
        <v>26.78</v>
      </c>
      <c r="E2" s="4">
        <v>0</v>
      </c>
      <c r="F2" s="4">
        <v>1</v>
      </c>
      <c r="G2" s="4">
        <v>0</v>
      </c>
      <c r="H2" s="4">
        <v>0</v>
      </c>
      <c r="I2" s="4">
        <v>0</v>
      </c>
      <c r="J2" s="4">
        <v>0</v>
      </c>
      <c r="K2" s="4">
        <v>0</v>
      </c>
    </row>
    <row r="3" spans="1:14" x14ac:dyDescent="0.2">
      <c r="A3" s="4">
        <v>11.76</v>
      </c>
      <c r="B3" s="4">
        <v>14</v>
      </c>
      <c r="C3" s="4">
        <v>40</v>
      </c>
      <c r="D3" s="9">
        <v>26.78</v>
      </c>
      <c r="E3" s="4">
        <v>0</v>
      </c>
      <c r="F3" s="4">
        <v>1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M3" s="4" t="s">
        <v>41</v>
      </c>
      <c r="N3" s="4" t="s">
        <v>42</v>
      </c>
    </row>
    <row r="4" spans="1:14" x14ac:dyDescent="0.2">
      <c r="A4" s="4">
        <v>2.91</v>
      </c>
      <c r="B4" s="4">
        <v>12</v>
      </c>
      <c r="C4" s="4">
        <v>20</v>
      </c>
      <c r="D4" s="9">
        <v>26.78</v>
      </c>
      <c r="E4" s="4">
        <v>1</v>
      </c>
      <c r="F4" s="4">
        <v>1</v>
      </c>
      <c r="G4" s="4">
        <v>2</v>
      </c>
      <c r="H4" s="4">
        <v>0</v>
      </c>
      <c r="I4" s="4">
        <v>0</v>
      </c>
      <c r="J4" s="4">
        <v>0</v>
      </c>
      <c r="K4" s="4">
        <v>0</v>
      </c>
      <c r="M4" s="2" t="s">
        <v>28</v>
      </c>
      <c r="N4" s="2" t="s">
        <v>26</v>
      </c>
    </row>
    <row r="5" spans="1:14" x14ac:dyDescent="0.2">
      <c r="A5" s="4">
        <v>6.5</v>
      </c>
      <c r="B5" s="4">
        <v>14</v>
      </c>
      <c r="C5" s="4">
        <v>41</v>
      </c>
      <c r="D5" s="9">
        <v>26.78</v>
      </c>
      <c r="E5" s="4">
        <v>0</v>
      </c>
      <c r="F5" s="4">
        <v>1</v>
      </c>
      <c r="G5" s="4">
        <v>0</v>
      </c>
      <c r="H5" s="4">
        <v>1</v>
      </c>
      <c r="I5" s="4">
        <v>0</v>
      </c>
      <c r="J5" s="4">
        <v>0</v>
      </c>
      <c r="K5" s="4">
        <v>0</v>
      </c>
      <c r="M5" s="2" t="s">
        <v>0</v>
      </c>
      <c r="N5" s="2" t="s">
        <v>27</v>
      </c>
    </row>
    <row r="6" spans="1:14" x14ac:dyDescent="0.2">
      <c r="A6" s="4">
        <v>6.25</v>
      </c>
      <c r="B6" s="4">
        <v>11</v>
      </c>
      <c r="C6" s="4">
        <v>35</v>
      </c>
      <c r="D6" s="9">
        <v>26.78</v>
      </c>
      <c r="E6" s="4">
        <v>0</v>
      </c>
      <c r="F6" s="4">
        <v>1</v>
      </c>
      <c r="G6" s="4">
        <v>0</v>
      </c>
      <c r="H6" s="4">
        <v>0</v>
      </c>
      <c r="I6" s="4">
        <v>1</v>
      </c>
      <c r="J6" s="4">
        <v>0</v>
      </c>
      <c r="K6" s="4">
        <v>0</v>
      </c>
      <c r="M6" s="2" t="s">
        <v>1</v>
      </c>
      <c r="N6" s="2" t="s">
        <v>29</v>
      </c>
    </row>
    <row r="7" spans="1:14" x14ac:dyDescent="0.2">
      <c r="A7" s="4">
        <v>15</v>
      </c>
      <c r="B7" s="4">
        <v>11</v>
      </c>
      <c r="C7" s="4">
        <v>35</v>
      </c>
      <c r="D7" s="9">
        <v>26.78</v>
      </c>
      <c r="E7" s="10">
        <v>2</v>
      </c>
      <c r="F7" s="4">
        <v>1</v>
      </c>
      <c r="G7" s="4">
        <v>0</v>
      </c>
      <c r="H7" s="4">
        <v>0</v>
      </c>
      <c r="I7" s="4">
        <v>1</v>
      </c>
      <c r="J7" s="4">
        <v>0</v>
      </c>
      <c r="K7" s="4">
        <v>0</v>
      </c>
      <c r="M7" s="2" t="s">
        <v>49</v>
      </c>
      <c r="N7" s="2" t="s">
        <v>30</v>
      </c>
    </row>
    <row r="8" spans="1:14" x14ac:dyDescent="0.2">
      <c r="A8" s="4">
        <v>12.5</v>
      </c>
      <c r="B8" s="4">
        <v>14</v>
      </c>
      <c r="C8" s="4">
        <v>40</v>
      </c>
      <c r="D8" s="9">
        <v>26.78</v>
      </c>
      <c r="E8" s="4">
        <v>0</v>
      </c>
      <c r="F8" s="4">
        <v>1</v>
      </c>
      <c r="G8" s="4">
        <v>0</v>
      </c>
      <c r="H8" s="4">
        <v>1</v>
      </c>
      <c r="I8" s="4">
        <v>0</v>
      </c>
      <c r="J8" s="4">
        <v>0</v>
      </c>
      <c r="K8" s="4">
        <v>0</v>
      </c>
      <c r="M8" s="2" t="s">
        <v>50</v>
      </c>
      <c r="N8" s="2" t="s">
        <v>31</v>
      </c>
    </row>
    <row r="9" spans="1:14" x14ac:dyDescent="0.2">
      <c r="A9" s="4">
        <v>1.5</v>
      </c>
      <c r="B9" s="4">
        <v>8</v>
      </c>
      <c r="C9" s="4">
        <v>31</v>
      </c>
      <c r="D9" s="9">
        <v>26.78</v>
      </c>
      <c r="E9" s="10">
        <v>2</v>
      </c>
      <c r="F9" s="4">
        <v>0</v>
      </c>
      <c r="G9" s="4">
        <v>0</v>
      </c>
      <c r="H9" s="4">
        <v>0</v>
      </c>
      <c r="I9" s="4">
        <v>1</v>
      </c>
      <c r="J9" s="4">
        <v>0</v>
      </c>
      <c r="K9" s="4">
        <v>0</v>
      </c>
      <c r="M9" s="2" t="s">
        <v>51</v>
      </c>
      <c r="N9" s="2" t="s">
        <v>32</v>
      </c>
    </row>
    <row r="10" spans="1:14" x14ac:dyDescent="0.2">
      <c r="A10" s="4">
        <v>2.92</v>
      </c>
      <c r="B10" s="4">
        <v>3</v>
      </c>
      <c r="C10" s="4">
        <v>11</v>
      </c>
      <c r="D10" s="9">
        <v>26.78</v>
      </c>
      <c r="E10" s="4">
        <v>0</v>
      </c>
      <c r="F10" s="4">
        <v>0</v>
      </c>
      <c r="G10" s="4">
        <v>0</v>
      </c>
      <c r="H10" s="4">
        <v>0</v>
      </c>
      <c r="I10" s="4">
        <v>1</v>
      </c>
      <c r="J10" s="4">
        <v>0</v>
      </c>
      <c r="K10" s="4">
        <v>0</v>
      </c>
      <c r="M10" s="2" t="s">
        <v>52</v>
      </c>
      <c r="N10" s="2" t="s">
        <v>33</v>
      </c>
    </row>
    <row r="11" spans="1:14" x14ac:dyDescent="0.2">
      <c r="A11" s="4">
        <v>6</v>
      </c>
      <c r="B11" s="4">
        <v>8</v>
      </c>
      <c r="C11" s="9">
        <v>43.93</v>
      </c>
      <c r="D11" s="9">
        <v>26.78</v>
      </c>
      <c r="E11" s="4">
        <v>0</v>
      </c>
      <c r="F11" s="4">
        <v>1</v>
      </c>
      <c r="G11" s="4">
        <v>0</v>
      </c>
      <c r="H11" s="4">
        <v>0</v>
      </c>
      <c r="I11" s="4">
        <v>0</v>
      </c>
      <c r="J11" s="4">
        <v>1</v>
      </c>
      <c r="K11" s="4">
        <v>0</v>
      </c>
      <c r="M11" s="2" t="s">
        <v>53</v>
      </c>
      <c r="N11" s="2" t="s">
        <v>37</v>
      </c>
    </row>
    <row r="12" spans="1:14" x14ac:dyDescent="0.2">
      <c r="A12" s="4">
        <v>18.16</v>
      </c>
      <c r="B12" s="4">
        <v>16</v>
      </c>
      <c r="C12" s="4">
        <v>35</v>
      </c>
      <c r="D12" s="9">
        <v>26.78</v>
      </c>
      <c r="E12" s="4">
        <v>0</v>
      </c>
      <c r="F12" s="4">
        <v>1</v>
      </c>
      <c r="G12" s="4">
        <v>1</v>
      </c>
      <c r="H12" s="4">
        <v>1</v>
      </c>
      <c r="I12" s="4">
        <v>0</v>
      </c>
      <c r="J12" s="4">
        <v>0</v>
      </c>
      <c r="K12" s="4">
        <v>0</v>
      </c>
      <c r="M12" s="2" t="s">
        <v>34</v>
      </c>
      <c r="N12" s="2" t="s">
        <v>38</v>
      </c>
    </row>
    <row r="13" spans="1:14" x14ac:dyDescent="0.2">
      <c r="A13" s="4">
        <v>8.5</v>
      </c>
      <c r="B13" s="4">
        <v>8</v>
      </c>
      <c r="C13" s="4">
        <v>38</v>
      </c>
      <c r="D13" s="4">
        <v>26</v>
      </c>
      <c r="E13" s="4">
        <v>0</v>
      </c>
      <c r="F13" s="4">
        <v>0</v>
      </c>
      <c r="G13" s="4">
        <v>0</v>
      </c>
      <c r="H13" s="4">
        <v>1</v>
      </c>
      <c r="I13" s="4">
        <v>0</v>
      </c>
      <c r="J13" s="4">
        <v>0</v>
      </c>
      <c r="K13" s="4">
        <v>0</v>
      </c>
      <c r="M13" s="2" t="s">
        <v>35</v>
      </c>
      <c r="N13" s="2" t="s">
        <v>36</v>
      </c>
    </row>
    <row r="14" spans="1:14" x14ac:dyDescent="0.2">
      <c r="A14" s="4">
        <v>3.6</v>
      </c>
      <c r="B14" s="4">
        <v>10</v>
      </c>
      <c r="C14" s="4">
        <v>34</v>
      </c>
      <c r="D14" s="4">
        <v>26</v>
      </c>
      <c r="E14" s="4">
        <v>1</v>
      </c>
      <c r="F14" s="4">
        <v>1</v>
      </c>
      <c r="G14" s="4">
        <v>0</v>
      </c>
      <c r="H14" s="4">
        <v>0</v>
      </c>
      <c r="I14" s="4">
        <v>1</v>
      </c>
      <c r="J14" s="4">
        <v>0</v>
      </c>
      <c r="K14" s="4">
        <v>0</v>
      </c>
      <c r="M14" s="2" t="s">
        <v>40</v>
      </c>
      <c r="N14" s="2" t="s">
        <v>39</v>
      </c>
    </row>
    <row r="15" spans="1:14" x14ac:dyDescent="0.2">
      <c r="A15" s="4">
        <v>8.33</v>
      </c>
      <c r="B15" s="4">
        <v>15</v>
      </c>
      <c r="C15" s="4">
        <v>33</v>
      </c>
      <c r="D15" s="4">
        <v>26</v>
      </c>
      <c r="E15" s="4">
        <v>0</v>
      </c>
      <c r="F15" s="4">
        <v>1</v>
      </c>
      <c r="G15" s="4">
        <v>1</v>
      </c>
      <c r="H15" s="4">
        <v>0</v>
      </c>
      <c r="I15" s="4">
        <v>0</v>
      </c>
      <c r="J15" s="4">
        <v>0</v>
      </c>
      <c r="K15" s="4">
        <v>0</v>
      </c>
      <c r="M15" s="2" t="s">
        <v>59</v>
      </c>
      <c r="N15" s="2" t="s">
        <v>60</v>
      </c>
    </row>
    <row r="16" spans="1:14" x14ac:dyDescent="0.2">
      <c r="A16" s="4">
        <v>4.29</v>
      </c>
      <c r="B16" s="4">
        <v>12</v>
      </c>
      <c r="C16" s="9">
        <v>43.93</v>
      </c>
      <c r="D16" s="4">
        <v>25</v>
      </c>
      <c r="E16" s="4">
        <v>1</v>
      </c>
      <c r="F16" s="4">
        <v>1</v>
      </c>
      <c r="G16" s="4">
        <v>2</v>
      </c>
      <c r="H16" s="4">
        <v>0</v>
      </c>
      <c r="I16" s="4">
        <v>1</v>
      </c>
      <c r="J16" s="4">
        <v>0</v>
      </c>
      <c r="K16" s="4">
        <v>0</v>
      </c>
    </row>
    <row r="17" spans="1:26" x14ac:dyDescent="0.2">
      <c r="A17" s="4">
        <v>4.05</v>
      </c>
      <c r="B17" s="4">
        <v>8</v>
      </c>
      <c r="C17" s="9">
        <v>43.93</v>
      </c>
      <c r="D17" s="4">
        <v>25</v>
      </c>
      <c r="E17" s="4">
        <v>0</v>
      </c>
      <c r="F17" s="4">
        <v>1</v>
      </c>
      <c r="G17" s="4">
        <v>0</v>
      </c>
      <c r="H17" s="4">
        <v>1</v>
      </c>
      <c r="I17" s="4">
        <v>0</v>
      </c>
      <c r="J17" s="4">
        <v>0</v>
      </c>
      <c r="K17" s="4">
        <v>0</v>
      </c>
      <c r="N17" s="2" t="s">
        <v>56</v>
      </c>
      <c r="O17" s="4">
        <v>526</v>
      </c>
    </row>
    <row r="18" spans="1:26" x14ac:dyDescent="0.2">
      <c r="A18" s="4">
        <v>18</v>
      </c>
      <c r="B18" s="4">
        <v>18</v>
      </c>
      <c r="C18" s="4">
        <v>29</v>
      </c>
      <c r="D18" s="4">
        <v>25</v>
      </c>
      <c r="E18" s="4">
        <v>0</v>
      </c>
      <c r="F18" s="4">
        <v>1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</row>
    <row r="19" spans="1:26" x14ac:dyDescent="0.2">
      <c r="A19" s="4">
        <v>11.25</v>
      </c>
      <c r="B19" s="4">
        <v>17</v>
      </c>
      <c r="C19" s="4">
        <v>28</v>
      </c>
      <c r="D19" s="4">
        <v>25</v>
      </c>
      <c r="E19" s="4">
        <v>0</v>
      </c>
      <c r="F19" s="4">
        <v>1</v>
      </c>
      <c r="G19" s="4">
        <v>1</v>
      </c>
      <c r="H19" s="4">
        <v>0</v>
      </c>
      <c r="I19" s="4">
        <v>1</v>
      </c>
      <c r="J19" s="4">
        <v>0</v>
      </c>
      <c r="K19" s="4">
        <v>0</v>
      </c>
      <c r="O19" s="4" t="s">
        <v>28</v>
      </c>
      <c r="P19" s="4" t="s">
        <v>0</v>
      </c>
      <c r="Q19" s="4" t="s">
        <v>1</v>
      </c>
      <c r="R19" s="4" t="s">
        <v>49</v>
      </c>
      <c r="S19" s="4" t="s">
        <v>50</v>
      </c>
      <c r="T19" s="4" t="s">
        <v>51</v>
      </c>
      <c r="U19" s="4" t="s">
        <v>52</v>
      </c>
      <c r="V19" s="4" t="s">
        <v>53</v>
      </c>
      <c r="W19" s="4" t="s">
        <v>34</v>
      </c>
      <c r="X19" s="4" t="s">
        <v>35</v>
      </c>
      <c r="Y19" s="4" t="s">
        <v>40</v>
      </c>
      <c r="Z19" s="4" t="s">
        <v>61</v>
      </c>
    </row>
    <row r="20" spans="1:26" x14ac:dyDescent="0.2">
      <c r="A20" s="4">
        <v>3.05</v>
      </c>
      <c r="B20" s="4">
        <v>8</v>
      </c>
      <c r="C20" s="9">
        <v>43.93</v>
      </c>
      <c r="D20" s="4">
        <v>24</v>
      </c>
      <c r="E20" s="4">
        <v>1</v>
      </c>
      <c r="F20" s="4">
        <v>0</v>
      </c>
      <c r="G20" s="4">
        <v>0</v>
      </c>
      <c r="H20" s="4">
        <v>0</v>
      </c>
      <c r="I20" s="4">
        <v>1</v>
      </c>
      <c r="J20" s="4">
        <v>0</v>
      </c>
      <c r="K20" s="4">
        <v>0</v>
      </c>
      <c r="N20" s="3" t="s">
        <v>43</v>
      </c>
      <c r="O20" s="6">
        <v>5.8699239543726272</v>
      </c>
      <c r="P20" s="6">
        <v>12.563850687622789</v>
      </c>
      <c r="Q20" s="6">
        <v>16.941064638783271</v>
      </c>
      <c r="R20" s="6">
        <v>5.1045627376425857</v>
      </c>
      <c r="S20" s="6">
        <v>0.47722772277227721</v>
      </c>
      <c r="T20" s="6">
        <v>0.60836501901140683</v>
      </c>
      <c r="U20" s="6">
        <v>1.043726235741445</v>
      </c>
      <c r="V20" s="6">
        <v>0.2509505703422053</v>
      </c>
      <c r="W20" s="6">
        <v>0.35551330798479086</v>
      </c>
      <c r="X20" s="6">
        <v>0.16920152091254753</v>
      </c>
      <c r="Y20" s="6">
        <v>4.5627376425855515E-2</v>
      </c>
      <c r="Z20" s="6">
        <v>2.6388888888888888</v>
      </c>
    </row>
    <row r="21" spans="1:26" x14ac:dyDescent="0.2">
      <c r="A21" s="4">
        <v>9.85</v>
      </c>
      <c r="B21" s="4">
        <v>8</v>
      </c>
      <c r="C21" s="4">
        <v>40</v>
      </c>
      <c r="D21" s="4">
        <v>24</v>
      </c>
      <c r="E21" s="4">
        <v>0</v>
      </c>
      <c r="F21" s="4">
        <v>1</v>
      </c>
      <c r="G21" s="4">
        <v>2</v>
      </c>
      <c r="H21" s="4">
        <v>0</v>
      </c>
      <c r="I21" s="4">
        <v>0</v>
      </c>
      <c r="J21" s="4">
        <v>0</v>
      </c>
      <c r="K21" s="4">
        <v>0</v>
      </c>
      <c r="N21" s="3" t="s">
        <v>44</v>
      </c>
      <c r="O21" s="6">
        <v>4.66</v>
      </c>
      <c r="P21" s="6">
        <v>12</v>
      </c>
      <c r="Q21" s="6">
        <v>13</v>
      </c>
      <c r="R21" s="6">
        <v>2</v>
      </c>
      <c r="S21" s="6">
        <v>0</v>
      </c>
      <c r="T21" s="6">
        <v>1</v>
      </c>
      <c r="U21" s="6">
        <v>1</v>
      </c>
      <c r="V21" s="6">
        <v>0</v>
      </c>
      <c r="W21" s="6">
        <v>0</v>
      </c>
      <c r="X21" s="6">
        <v>0</v>
      </c>
      <c r="Y21" s="6">
        <v>0</v>
      </c>
      <c r="Z21" s="6">
        <v>3</v>
      </c>
    </row>
    <row r="22" spans="1:26" x14ac:dyDescent="0.2">
      <c r="A22" s="4">
        <v>7.36</v>
      </c>
      <c r="B22" s="4">
        <v>8</v>
      </c>
      <c r="C22" s="4">
        <v>36</v>
      </c>
      <c r="D22" s="4">
        <v>24</v>
      </c>
      <c r="E22" s="4">
        <v>0</v>
      </c>
      <c r="F22" s="4">
        <v>1</v>
      </c>
      <c r="G22" s="4">
        <v>3</v>
      </c>
      <c r="H22" s="4">
        <v>1</v>
      </c>
      <c r="I22" s="4">
        <v>0</v>
      </c>
      <c r="J22" s="4">
        <v>0</v>
      </c>
      <c r="K22" s="4">
        <v>0</v>
      </c>
      <c r="N22" s="3" t="s">
        <v>45</v>
      </c>
      <c r="O22" s="6">
        <v>3.5439821016849327</v>
      </c>
      <c r="P22" s="6">
        <v>2.7590847979980269</v>
      </c>
      <c r="Q22" s="6">
        <v>13.493220379054017</v>
      </c>
      <c r="R22" s="6">
        <v>7.2244622867205122</v>
      </c>
      <c r="S22" s="6">
        <v>0.49997642565830036</v>
      </c>
      <c r="T22" s="6">
        <v>0.48858043918576194</v>
      </c>
      <c r="U22" s="6">
        <v>1.2618914726393464</v>
      </c>
      <c r="V22" s="6">
        <v>0.43397284250082457</v>
      </c>
      <c r="W22" s="6">
        <v>0.47912422369081081</v>
      </c>
      <c r="X22" s="6">
        <v>0.37528672121658119</v>
      </c>
      <c r="Y22" s="6">
        <v>0.20887427508422596</v>
      </c>
      <c r="Z22" s="6">
        <v>1.72645910486974</v>
      </c>
    </row>
    <row r="23" spans="1:26" x14ac:dyDescent="0.2">
      <c r="A23" s="4">
        <v>7.5</v>
      </c>
      <c r="B23" s="4">
        <v>14</v>
      </c>
      <c r="C23" s="4">
        <v>29</v>
      </c>
      <c r="D23" s="4">
        <v>24</v>
      </c>
      <c r="E23" s="4">
        <v>0</v>
      </c>
      <c r="F23" s="4">
        <v>1</v>
      </c>
      <c r="G23" s="4">
        <v>1</v>
      </c>
      <c r="H23" s="4">
        <v>1</v>
      </c>
      <c r="I23" s="4">
        <v>0</v>
      </c>
      <c r="J23" s="4">
        <v>0</v>
      </c>
      <c r="K23" s="4">
        <v>0</v>
      </c>
      <c r="N23" s="3" t="s">
        <v>46</v>
      </c>
      <c r="O23" s="6">
        <v>0.53</v>
      </c>
      <c r="P23" s="6">
        <v>0</v>
      </c>
      <c r="Q23" s="6">
        <v>1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</row>
    <row r="24" spans="1:26" x14ac:dyDescent="0.2">
      <c r="A24" s="4">
        <v>10</v>
      </c>
      <c r="B24" s="4">
        <v>12</v>
      </c>
      <c r="C24" s="4">
        <v>24</v>
      </c>
      <c r="D24" s="4">
        <v>24</v>
      </c>
      <c r="E24" s="4">
        <v>0</v>
      </c>
      <c r="F24" s="4">
        <v>1</v>
      </c>
      <c r="G24" s="4">
        <v>0</v>
      </c>
      <c r="H24" s="4">
        <v>1</v>
      </c>
      <c r="I24" s="4">
        <v>0</v>
      </c>
      <c r="J24" s="4">
        <v>0</v>
      </c>
      <c r="K24" s="4">
        <v>0</v>
      </c>
      <c r="N24" s="3" t="s">
        <v>47</v>
      </c>
      <c r="O24" s="6">
        <v>21.63</v>
      </c>
      <c r="P24" s="6">
        <v>18</v>
      </c>
      <c r="Q24" s="6">
        <v>50</v>
      </c>
      <c r="R24" s="6">
        <v>44</v>
      </c>
      <c r="S24" s="6">
        <v>1</v>
      </c>
      <c r="T24" s="6">
        <v>1</v>
      </c>
      <c r="U24" s="6">
        <v>6</v>
      </c>
      <c r="V24" s="6">
        <v>1</v>
      </c>
      <c r="W24" s="6">
        <v>1</v>
      </c>
      <c r="X24" s="6">
        <v>1</v>
      </c>
      <c r="Y24" s="6">
        <v>1</v>
      </c>
      <c r="Z24" s="6">
        <v>5</v>
      </c>
    </row>
    <row r="25" spans="1:26" x14ac:dyDescent="0.2">
      <c r="A25" s="4">
        <v>2.95</v>
      </c>
      <c r="B25" s="4">
        <v>14</v>
      </c>
      <c r="C25" s="4">
        <v>41</v>
      </c>
      <c r="D25" s="4">
        <v>23</v>
      </c>
      <c r="E25" s="4">
        <v>0</v>
      </c>
      <c r="F25" s="4">
        <v>1</v>
      </c>
      <c r="G25" s="4">
        <v>0</v>
      </c>
      <c r="H25" s="4">
        <v>1</v>
      </c>
      <c r="I25" s="4">
        <v>0</v>
      </c>
      <c r="J25" s="4">
        <v>0</v>
      </c>
      <c r="K25" s="4">
        <v>0</v>
      </c>
    </row>
    <row r="26" spans="1:26" x14ac:dyDescent="0.2">
      <c r="A26" s="4">
        <v>19.98</v>
      </c>
      <c r="B26" s="4">
        <v>14</v>
      </c>
      <c r="C26" s="4">
        <v>26</v>
      </c>
      <c r="D26" s="4">
        <v>23</v>
      </c>
      <c r="E26" s="4">
        <v>0</v>
      </c>
      <c r="F26" s="4">
        <v>1</v>
      </c>
      <c r="G26" s="4">
        <v>2</v>
      </c>
      <c r="H26" s="4">
        <v>0</v>
      </c>
      <c r="I26" s="4">
        <v>0</v>
      </c>
      <c r="J26" s="4">
        <v>0</v>
      </c>
      <c r="K26" s="4">
        <v>0</v>
      </c>
    </row>
    <row r="27" spans="1:26" x14ac:dyDescent="0.2">
      <c r="A27" s="4">
        <v>10.91</v>
      </c>
      <c r="B27" s="4">
        <v>12</v>
      </c>
      <c r="C27" s="4">
        <v>25</v>
      </c>
      <c r="D27" s="4">
        <v>23</v>
      </c>
      <c r="E27" s="4">
        <v>0</v>
      </c>
      <c r="F27" s="4">
        <v>0</v>
      </c>
      <c r="G27" s="4">
        <v>0</v>
      </c>
      <c r="H27" s="4">
        <v>0</v>
      </c>
      <c r="I27" s="4">
        <v>1</v>
      </c>
      <c r="J27" s="4">
        <v>0</v>
      </c>
      <c r="K27" s="4">
        <v>0</v>
      </c>
      <c r="N27" s="3" t="s">
        <v>48</v>
      </c>
      <c r="O27" s="7">
        <v>0.20612259439431574</v>
      </c>
      <c r="P27" s="7">
        <v>4.4878811571540229E-2</v>
      </c>
      <c r="Q27" s="7">
        <v>0.23263382336438113</v>
      </c>
      <c r="R27" s="7">
        <v>0.60819366852886403</v>
      </c>
      <c r="S27" s="7">
        <v>1</v>
      </c>
      <c r="T27" s="7">
        <v>-0.64375000000000004</v>
      </c>
      <c r="U27" s="7">
        <v>4.1894353369763292E-2</v>
      </c>
      <c r="V27" s="7">
        <v>1</v>
      </c>
      <c r="W27" s="7">
        <v>1</v>
      </c>
      <c r="X27" s="7">
        <v>1</v>
      </c>
      <c r="Y27" s="7">
        <v>1</v>
      </c>
      <c r="Z27" s="7">
        <v>-0.1368421052631579</v>
      </c>
    </row>
    <row r="28" spans="1:26" x14ac:dyDescent="0.2">
      <c r="A28" s="4">
        <v>13.16</v>
      </c>
      <c r="B28" s="4">
        <v>12</v>
      </c>
      <c r="C28" s="4">
        <v>34</v>
      </c>
      <c r="D28" s="4">
        <v>22</v>
      </c>
      <c r="E28" s="4">
        <v>0</v>
      </c>
      <c r="F28" s="4">
        <v>1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N28" s="13" t="s">
        <v>54</v>
      </c>
      <c r="O28" s="13"/>
      <c r="P28" s="13"/>
      <c r="Q28" s="14">
        <v>-23.538596498378784</v>
      </c>
      <c r="R28" s="14">
        <v>-16.568824122518951</v>
      </c>
      <c r="S28" s="13"/>
      <c r="T28" s="13"/>
      <c r="U28" s="13"/>
      <c r="V28" s="13"/>
      <c r="W28" s="13"/>
      <c r="X28" s="13"/>
      <c r="Y28" s="13"/>
      <c r="Z28" s="13"/>
    </row>
    <row r="29" spans="1:26" x14ac:dyDescent="0.2">
      <c r="A29" s="4">
        <v>17.5</v>
      </c>
      <c r="B29" s="4">
        <v>16</v>
      </c>
      <c r="C29" s="4">
        <v>23</v>
      </c>
      <c r="D29" s="4">
        <v>22</v>
      </c>
      <c r="E29" s="4">
        <v>0</v>
      </c>
      <c r="F29" s="4">
        <v>1</v>
      </c>
      <c r="G29" s="4">
        <v>3</v>
      </c>
      <c r="H29" s="4">
        <v>0</v>
      </c>
      <c r="I29" s="4">
        <v>0</v>
      </c>
      <c r="J29" s="4">
        <v>1</v>
      </c>
      <c r="K29" s="4">
        <v>0</v>
      </c>
      <c r="N29" s="13" t="s">
        <v>55</v>
      </c>
      <c r="O29" s="13"/>
      <c r="P29" s="13"/>
      <c r="Q29" s="14">
        <v>43.927505396891306</v>
      </c>
      <c r="R29" s="14">
        <v>26.77794959780412</v>
      </c>
      <c r="S29" s="13"/>
      <c r="T29" s="13"/>
      <c r="U29" s="13"/>
      <c r="V29" s="13"/>
      <c r="W29" s="13"/>
      <c r="X29" s="13"/>
      <c r="Y29" s="13"/>
      <c r="Z29" s="13"/>
    </row>
    <row r="30" spans="1:26" x14ac:dyDescent="0.2">
      <c r="A30" s="4">
        <v>5.15</v>
      </c>
      <c r="B30" s="4">
        <v>16</v>
      </c>
      <c r="C30" s="4">
        <v>39</v>
      </c>
      <c r="D30" s="4">
        <v>21</v>
      </c>
      <c r="E30" s="4">
        <v>1</v>
      </c>
      <c r="F30" s="4">
        <v>0</v>
      </c>
      <c r="G30" s="4">
        <v>0</v>
      </c>
      <c r="H30" s="4">
        <v>0</v>
      </c>
      <c r="I30" s="4">
        <v>0</v>
      </c>
      <c r="J30" s="4">
        <v>1</v>
      </c>
      <c r="K30" s="4">
        <v>0</v>
      </c>
    </row>
    <row r="31" spans="1:26" x14ac:dyDescent="0.2">
      <c r="A31" s="4">
        <v>6.25</v>
      </c>
      <c r="B31" s="4">
        <v>7</v>
      </c>
      <c r="C31" s="4">
        <v>39</v>
      </c>
      <c r="D31" s="4">
        <v>21</v>
      </c>
      <c r="E31" s="4">
        <v>0</v>
      </c>
      <c r="F31" s="4">
        <v>1</v>
      </c>
      <c r="G31" s="4">
        <v>0</v>
      </c>
      <c r="H31" s="4">
        <v>0</v>
      </c>
      <c r="I31" s="4">
        <v>1</v>
      </c>
      <c r="J31" s="4">
        <v>0</v>
      </c>
      <c r="K31" s="4">
        <v>0</v>
      </c>
      <c r="N31" s="3" t="s">
        <v>57</v>
      </c>
      <c r="O31" s="5">
        <v>0</v>
      </c>
      <c r="P31" s="5">
        <v>17</v>
      </c>
      <c r="Q31" s="5">
        <v>0</v>
      </c>
      <c r="R31" s="5">
        <v>0</v>
      </c>
      <c r="S31" s="5">
        <v>21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130</v>
      </c>
    </row>
    <row r="32" spans="1:26" x14ac:dyDescent="0.2">
      <c r="A32" s="4">
        <v>6.88</v>
      </c>
      <c r="B32" s="4">
        <v>13</v>
      </c>
      <c r="C32" s="4">
        <v>34</v>
      </c>
      <c r="D32" s="4">
        <v>21</v>
      </c>
      <c r="E32" s="4">
        <v>0</v>
      </c>
      <c r="F32" s="4">
        <v>1</v>
      </c>
      <c r="G32" s="4">
        <v>0</v>
      </c>
      <c r="H32" s="4">
        <v>0</v>
      </c>
      <c r="I32" s="4">
        <v>1</v>
      </c>
      <c r="J32" s="4">
        <v>0</v>
      </c>
      <c r="K32" s="4">
        <v>0</v>
      </c>
      <c r="N32" s="3" t="s">
        <v>58</v>
      </c>
      <c r="O32" s="8">
        <v>0</v>
      </c>
      <c r="P32" s="8">
        <v>3.2319391634980987E-2</v>
      </c>
      <c r="Q32" s="8">
        <v>0</v>
      </c>
      <c r="R32" s="8">
        <v>0</v>
      </c>
      <c r="S32" s="8">
        <v>3.9923954372623575E-2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0.24714828897338403</v>
      </c>
    </row>
    <row r="33" spans="1:26" x14ac:dyDescent="0.2">
      <c r="A33" s="4">
        <v>15.38</v>
      </c>
      <c r="B33" s="4">
        <v>13</v>
      </c>
      <c r="C33" s="4">
        <v>25</v>
      </c>
      <c r="D33" s="4">
        <v>21</v>
      </c>
      <c r="E33" s="4">
        <v>0</v>
      </c>
      <c r="F33" s="4">
        <v>1</v>
      </c>
      <c r="G33" s="4">
        <v>2</v>
      </c>
      <c r="H33" s="4">
        <v>1</v>
      </c>
      <c r="I33" s="4">
        <v>0</v>
      </c>
      <c r="J33" s="4">
        <v>0</v>
      </c>
      <c r="K33" s="4">
        <v>0</v>
      </c>
      <c r="N33" s="11" t="s">
        <v>62</v>
      </c>
      <c r="O33" s="11"/>
      <c r="P33" s="12">
        <v>12</v>
      </c>
      <c r="Q33" s="11"/>
      <c r="R33" s="11"/>
      <c r="S33" s="12">
        <v>2</v>
      </c>
      <c r="T33" s="11"/>
      <c r="U33" s="11"/>
      <c r="V33" s="11"/>
      <c r="W33" s="11"/>
      <c r="X33" s="11"/>
      <c r="Y33" s="11"/>
      <c r="Z33" s="11"/>
    </row>
    <row r="34" spans="1:26" x14ac:dyDescent="0.2">
      <c r="A34" s="4">
        <v>18.18</v>
      </c>
      <c r="B34" s="4">
        <v>17</v>
      </c>
      <c r="C34" s="4">
        <v>22</v>
      </c>
      <c r="D34" s="4">
        <v>21</v>
      </c>
      <c r="E34" s="10">
        <v>2</v>
      </c>
      <c r="F34" s="4">
        <v>1</v>
      </c>
      <c r="G34" s="4">
        <v>0</v>
      </c>
      <c r="H34" s="4">
        <v>0</v>
      </c>
      <c r="I34" s="4">
        <v>0</v>
      </c>
      <c r="J34" s="4">
        <v>1</v>
      </c>
      <c r="K34" s="4">
        <v>0</v>
      </c>
    </row>
    <row r="35" spans="1:26" x14ac:dyDescent="0.2">
      <c r="A35" s="4">
        <v>11.71</v>
      </c>
      <c r="B35" s="4">
        <v>13</v>
      </c>
      <c r="C35" s="4">
        <v>40</v>
      </c>
      <c r="D35" s="4">
        <v>20</v>
      </c>
      <c r="E35" s="4">
        <v>1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</row>
    <row r="36" spans="1:26" x14ac:dyDescent="0.2">
      <c r="A36" s="4">
        <v>18.89</v>
      </c>
      <c r="B36" s="4">
        <v>17</v>
      </c>
      <c r="C36" s="4">
        <v>26</v>
      </c>
      <c r="D36" s="4">
        <v>20</v>
      </c>
      <c r="E36" s="4">
        <v>0</v>
      </c>
      <c r="F36" s="4">
        <v>1</v>
      </c>
      <c r="G36" s="4">
        <v>2</v>
      </c>
      <c r="H36" s="4">
        <v>0</v>
      </c>
      <c r="I36" s="4">
        <v>0</v>
      </c>
      <c r="J36" s="4">
        <v>0</v>
      </c>
      <c r="K36" s="4">
        <v>0</v>
      </c>
    </row>
    <row r="37" spans="1:26" x14ac:dyDescent="0.2">
      <c r="A37" s="4">
        <v>3.5</v>
      </c>
      <c r="B37" s="4">
        <v>12</v>
      </c>
      <c r="C37" s="4">
        <v>26</v>
      </c>
      <c r="D37" s="4">
        <v>20</v>
      </c>
      <c r="E37" s="4">
        <v>1</v>
      </c>
      <c r="F37" s="4">
        <v>1</v>
      </c>
      <c r="G37" s="4">
        <v>0</v>
      </c>
      <c r="H37" s="4">
        <v>0</v>
      </c>
      <c r="I37" s="4">
        <v>1</v>
      </c>
      <c r="J37" s="4">
        <v>0</v>
      </c>
      <c r="K37" s="4">
        <v>0</v>
      </c>
    </row>
    <row r="38" spans="1:26" x14ac:dyDescent="0.2">
      <c r="A38" s="4">
        <v>3</v>
      </c>
      <c r="B38" s="4">
        <v>9</v>
      </c>
      <c r="C38" s="4">
        <v>23</v>
      </c>
      <c r="D38" s="4">
        <v>20</v>
      </c>
      <c r="E38" s="4">
        <v>1</v>
      </c>
      <c r="F38" s="4">
        <v>1</v>
      </c>
      <c r="G38" s="4">
        <v>2</v>
      </c>
      <c r="H38" s="4">
        <v>0</v>
      </c>
      <c r="I38" s="4">
        <v>1</v>
      </c>
      <c r="J38" s="4">
        <v>0</v>
      </c>
      <c r="K38" s="4">
        <v>0</v>
      </c>
    </row>
    <row r="39" spans="1:26" x14ac:dyDescent="0.2">
      <c r="A39" s="4">
        <v>10.95</v>
      </c>
      <c r="B39" s="4">
        <v>16</v>
      </c>
      <c r="C39" s="4">
        <v>23</v>
      </c>
      <c r="D39" s="4">
        <v>20</v>
      </c>
      <c r="E39" s="4">
        <v>0</v>
      </c>
      <c r="F39" s="4">
        <v>1</v>
      </c>
      <c r="G39" s="4">
        <v>4</v>
      </c>
      <c r="H39" s="4">
        <v>0</v>
      </c>
      <c r="I39" s="4">
        <v>1</v>
      </c>
      <c r="J39" s="4">
        <v>0</v>
      </c>
      <c r="K39" s="4">
        <v>0</v>
      </c>
    </row>
    <row r="40" spans="1:26" x14ac:dyDescent="0.2">
      <c r="A40" s="4">
        <v>6.88</v>
      </c>
      <c r="B40" s="4">
        <v>12</v>
      </c>
      <c r="C40" s="4">
        <v>31</v>
      </c>
      <c r="D40" s="4">
        <v>19</v>
      </c>
      <c r="E40" s="4">
        <v>0</v>
      </c>
      <c r="F40" s="4">
        <v>1</v>
      </c>
      <c r="G40" s="4">
        <v>3</v>
      </c>
      <c r="H40" s="4">
        <v>1</v>
      </c>
      <c r="I40" s="4">
        <v>0</v>
      </c>
      <c r="J40" s="4">
        <v>0</v>
      </c>
      <c r="K40" s="4">
        <v>0</v>
      </c>
    </row>
    <row r="41" spans="1:26" x14ac:dyDescent="0.2">
      <c r="A41" s="4">
        <v>11.9</v>
      </c>
      <c r="B41" s="4">
        <v>13</v>
      </c>
      <c r="C41" s="4">
        <v>24</v>
      </c>
      <c r="D41" s="4">
        <v>19</v>
      </c>
      <c r="E41" s="4">
        <v>0</v>
      </c>
      <c r="F41" s="4">
        <v>1</v>
      </c>
      <c r="G41" s="4">
        <v>2</v>
      </c>
      <c r="H41" s="4">
        <v>0</v>
      </c>
      <c r="I41" s="4">
        <v>0</v>
      </c>
      <c r="J41" s="4">
        <v>0</v>
      </c>
      <c r="K41" s="4">
        <v>0</v>
      </c>
    </row>
    <row r="42" spans="1:26" x14ac:dyDescent="0.2">
      <c r="A42" s="4">
        <v>4</v>
      </c>
      <c r="B42" s="4">
        <v>9</v>
      </c>
      <c r="C42" s="4">
        <v>22</v>
      </c>
      <c r="D42" s="4">
        <v>18</v>
      </c>
      <c r="E42" s="4">
        <v>0</v>
      </c>
      <c r="F42" s="4">
        <v>0</v>
      </c>
      <c r="G42" s="4">
        <v>0</v>
      </c>
      <c r="H42" s="4">
        <v>0</v>
      </c>
      <c r="I42" s="4">
        <v>1</v>
      </c>
      <c r="J42" s="4">
        <v>0</v>
      </c>
      <c r="K42" s="4">
        <v>0</v>
      </c>
    </row>
    <row r="43" spans="1:26" x14ac:dyDescent="0.2">
      <c r="A43" s="4">
        <v>12.5</v>
      </c>
      <c r="B43" s="4">
        <v>17</v>
      </c>
      <c r="C43" s="4">
        <v>21</v>
      </c>
      <c r="D43" s="4">
        <v>18</v>
      </c>
      <c r="E43" s="4">
        <v>0</v>
      </c>
      <c r="F43" s="4">
        <v>1</v>
      </c>
      <c r="G43" s="4">
        <v>3</v>
      </c>
      <c r="H43" s="4">
        <v>0</v>
      </c>
      <c r="I43" s="4">
        <v>0</v>
      </c>
      <c r="J43" s="4">
        <v>0</v>
      </c>
      <c r="K43" s="4">
        <v>0</v>
      </c>
    </row>
    <row r="44" spans="1:26" x14ac:dyDescent="0.2">
      <c r="A44" s="4">
        <v>4.67</v>
      </c>
      <c r="B44" s="4">
        <v>15</v>
      </c>
      <c r="C44" s="4">
        <v>13</v>
      </c>
      <c r="D44" s="4">
        <v>18</v>
      </c>
      <c r="E44" s="4">
        <v>0</v>
      </c>
      <c r="F44" s="4">
        <v>1</v>
      </c>
      <c r="G44" s="4">
        <v>3</v>
      </c>
      <c r="H44" s="4">
        <v>0</v>
      </c>
      <c r="I44" s="4">
        <v>0</v>
      </c>
      <c r="J44" s="4">
        <v>1</v>
      </c>
      <c r="K44" s="4">
        <v>1</v>
      </c>
    </row>
    <row r="45" spans="1:26" x14ac:dyDescent="0.2">
      <c r="A45" s="4">
        <v>4.08</v>
      </c>
      <c r="B45" s="4">
        <v>12</v>
      </c>
      <c r="C45" s="4">
        <v>43</v>
      </c>
      <c r="D45" s="4">
        <v>17</v>
      </c>
      <c r="E45" s="10">
        <v>2</v>
      </c>
      <c r="F45" s="4">
        <v>1</v>
      </c>
      <c r="G45" s="4">
        <v>0</v>
      </c>
      <c r="H45" s="4">
        <v>1</v>
      </c>
      <c r="I45" s="4">
        <v>0</v>
      </c>
      <c r="J45" s="4">
        <v>0</v>
      </c>
      <c r="K45" s="4">
        <v>0</v>
      </c>
    </row>
    <row r="46" spans="1:26" x14ac:dyDescent="0.2">
      <c r="A46" s="4">
        <v>6.26</v>
      </c>
      <c r="B46" s="4">
        <v>13</v>
      </c>
      <c r="C46" s="4">
        <v>37</v>
      </c>
      <c r="D46" s="4">
        <v>17</v>
      </c>
      <c r="E46" s="4">
        <v>1</v>
      </c>
      <c r="F46" s="4">
        <v>1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</row>
    <row r="47" spans="1:26" x14ac:dyDescent="0.2">
      <c r="A47" s="4">
        <v>4.95</v>
      </c>
      <c r="B47" s="4">
        <v>7</v>
      </c>
      <c r="C47" s="4">
        <v>25</v>
      </c>
      <c r="D47" s="4">
        <v>17</v>
      </c>
      <c r="E47" s="4">
        <v>0</v>
      </c>
      <c r="F47" s="4">
        <v>1</v>
      </c>
      <c r="G47" s="4">
        <v>5</v>
      </c>
      <c r="H47" s="4">
        <v>0</v>
      </c>
      <c r="I47" s="4">
        <v>0</v>
      </c>
      <c r="J47" s="4">
        <v>0</v>
      </c>
      <c r="K47" s="4">
        <v>1</v>
      </c>
    </row>
    <row r="48" spans="1:26" x14ac:dyDescent="0.2">
      <c r="A48" s="4">
        <v>13.95</v>
      </c>
      <c r="B48" s="4">
        <v>16</v>
      </c>
      <c r="C48" s="4">
        <v>41</v>
      </c>
      <c r="D48" s="4">
        <v>16</v>
      </c>
      <c r="E48" s="4">
        <v>0</v>
      </c>
      <c r="F48" s="4">
        <v>1</v>
      </c>
      <c r="G48" s="4">
        <v>0</v>
      </c>
      <c r="H48" s="4">
        <v>1</v>
      </c>
      <c r="I48" s="4">
        <v>0</v>
      </c>
      <c r="J48" s="4">
        <v>0</v>
      </c>
      <c r="K48" s="4">
        <v>0</v>
      </c>
    </row>
    <row r="49" spans="1:11" x14ac:dyDescent="0.2">
      <c r="A49" s="4">
        <v>4.2</v>
      </c>
      <c r="B49" s="4">
        <v>14</v>
      </c>
      <c r="C49" s="4">
        <v>33</v>
      </c>
      <c r="D49" s="4">
        <v>16</v>
      </c>
      <c r="E49" s="4">
        <v>1</v>
      </c>
      <c r="F49" s="4">
        <v>1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</row>
    <row r="50" spans="1:11" x14ac:dyDescent="0.2">
      <c r="A50" s="4">
        <v>18</v>
      </c>
      <c r="B50" s="4">
        <v>12</v>
      </c>
      <c r="C50" s="4">
        <v>24</v>
      </c>
      <c r="D50" s="4">
        <v>16</v>
      </c>
      <c r="E50" s="4">
        <v>0</v>
      </c>
      <c r="F50" s="4">
        <v>1</v>
      </c>
      <c r="G50" s="4">
        <v>3</v>
      </c>
      <c r="H50" s="4">
        <v>1</v>
      </c>
      <c r="I50" s="4">
        <v>0</v>
      </c>
      <c r="J50" s="4">
        <v>0</v>
      </c>
      <c r="K50" s="4">
        <v>0</v>
      </c>
    </row>
    <row r="51" spans="1:11" x14ac:dyDescent="0.2">
      <c r="A51" s="4">
        <v>9.68</v>
      </c>
      <c r="B51" s="4">
        <v>13</v>
      </c>
      <c r="C51" s="4">
        <v>16</v>
      </c>
      <c r="D51" s="4">
        <v>16</v>
      </c>
      <c r="E51" s="4">
        <v>1</v>
      </c>
      <c r="F51" s="4">
        <v>0</v>
      </c>
      <c r="G51" s="4">
        <v>0</v>
      </c>
      <c r="H51" s="4">
        <v>0</v>
      </c>
      <c r="I51" s="4">
        <v>0</v>
      </c>
      <c r="J51" s="4">
        <v>1</v>
      </c>
      <c r="K51" s="4">
        <v>0</v>
      </c>
    </row>
    <row r="52" spans="1:11" x14ac:dyDescent="0.2">
      <c r="A52" s="4">
        <v>3.51</v>
      </c>
      <c r="B52" s="4">
        <v>4</v>
      </c>
      <c r="C52" s="4">
        <v>39</v>
      </c>
      <c r="D52" s="4">
        <v>15</v>
      </c>
      <c r="E52" s="4">
        <v>0</v>
      </c>
      <c r="F52" s="4">
        <v>1</v>
      </c>
      <c r="G52" s="4">
        <v>5</v>
      </c>
      <c r="H52" s="4">
        <v>0</v>
      </c>
      <c r="I52" s="4">
        <v>0</v>
      </c>
      <c r="J52" s="4">
        <v>1</v>
      </c>
      <c r="K52" s="4">
        <v>0</v>
      </c>
    </row>
    <row r="53" spans="1:11" x14ac:dyDescent="0.2">
      <c r="A53" s="4">
        <v>5.83</v>
      </c>
      <c r="B53" s="4">
        <v>8</v>
      </c>
      <c r="C53" s="4">
        <v>36</v>
      </c>
      <c r="D53" s="4">
        <v>15</v>
      </c>
      <c r="E53" s="4">
        <v>1</v>
      </c>
      <c r="F53" s="4">
        <v>1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</row>
    <row r="54" spans="1:11" x14ac:dyDescent="0.2">
      <c r="A54" s="4">
        <v>2.14</v>
      </c>
      <c r="B54" s="4">
        <v>13</v>
      </c>
      <c r="C54" s="4">
        <v>34</v>
      </c>
      <c r="D54" s="4">
        <v>15</v>
      </c>
      <c r="E54" s="4">
        <v>1</v>
      </c>
      <c r="F54" s="4">
        <v>1</v>
      </c>
      <c r="G54" s="4">
        <v>0</v>
      </c>
      <c r="H54" s="4">
        <v>0</v>
      </c>
      <c r="I54" s="4">
        <v>1</v>
      </c>
      <c r="J54" s="4">
        <v>0</v>
      </c>
      <c r="K54" s="4">
        <v>0</v>
      </c>
    </row>
    <row r="55" spans="1:11" x14ac:dyDescent="0.2">
      <c r="A55" s="4">
        <v>5.6</v>
      </c>
      <c r="B55" s="4">
        <v>15</v>
      </c>
      <c r="C55" s="4">
        <v>31</v>
      </c>
      <c r="D55" s="4">
        <v>15</v>
      </c>
      <c r="E55" s="4">
        <v>1</v>
      </c>
      <c r="F55" s="4">
        <v>0</v>
      </c>
      <c r="G55" s="4">
        <v>2</v>
      </c>
      <c r="H55" s="4">
        <v>1</v>
      </c>
      <c r="I55" s="4">
        <v>0</v>
      </c>
      <c r="J55" s="4">
        <v>0</v>
      </c>
      <c r="K55" s="4">
        <v>0</v>
      </c>
    </row>
    <row r="56" spans="1:11" x14ac:dyDescent="0.2">
      <c r="A56" s="4">
        <v>18</v>
      </c>
      <c r="B56" s="4">
        <v>12</v>
      </c>
      <c r="C56" s="4">
        <v>31</v>
      </c>
      <c r="D56" s="4">
        <v>15</v>
      </c>
      <c r="E56" s="4">
        <v>0</v>
      </c>
      <c r="F56" s="4">
        <v>1</v>
      </c>
      <c r="G56" s="4">
        <v>1</v>
      </c>
      <c r="H56" s="4">
        <v>0</v>
      </c>
      <c r="I56" s="4">
        <v>0</v>
      </c>
      <c r="J56" s="4">
        <v>1</v>
      </c>
      <c r="K56" s="4">
        <v>0</v>
      </c>
    </row>
    <row r="57" spans="1:11" x14ac:dyDescent="0.2">
      <c r="A57" s="4">
        <v>3.4</v>
      </c>
      <c r="B57" s="4">
        <v>12</v>
      </c>
      <c r="C57" s="4">
        <v>26</v>
      </c>
      <c r="D57" s="4">
        <v>15</v>
      </c>
      <c r="E57" s="4">
        <v>1</v>
      </c>
      <c r="F57" s="4">
        <v>1</v>
      </c>
      <c r="G57" s="4">
        <v>1</v>
      </c>
      <c r="H57" s="4">
        <v>1</v>
      </c>
      <c r="I57" s="4">
        <v>0</v>
      </c>
      <c r="J57" s="4">
        <v>0</v>
      </c>
      <c r="K57" s="4">
        <v>1</v>
      </c>
    </row>
    <row r="58" spans="1:11" x14ac:dyDescent="0.2">
      <c r="A58" s="4">
        <v>4.5</v>
      </c>
      <c r="B58" s="4">
        <v>12</v>
      </c>
      <c r="C58" s="4">
        <v>37</v>
      </c>
      <c r="D58" s="4">
        <v>14</v>
      </c>
      <c r="E58" s="4">
        <v>1</v>
      </c>
      <c r="F58" s="4">
        <v>1</v>
      </c>
      <c r="G58" s="4">
        <v>0</v>
      </c>
      <c r="H58" s="4">
        <v>0</v>
      </c>
      <c r="I58" s="4">
        <v>0</v>
      </c>
      <c r="J58" s="4">
        <v>1</v>
      </c>
      <c r="K58" s="4">
        <v>0</v>
      </c>
    </row>
    <row r="59" spans="1:11" x14ac:dyDescent="0.2">
      <c r="A59" s="4">
        <v>6.5</v>
      </c>
      <c r="B59" s="4">
        <v>12</v>
      </c>
      <c r="C59" s="4">
        <v>20</v>
      </c>
      <c r="D59" s="4">
        <v>14</v>
      </c>
      <c r="E59" s="4">
        <v>0</v>
      </c>
      <c r="F59" s="4">
        <v>1</v>
      </c>
      <c r="G59" s="4">
        <v>3</v>
      </c>
      <c r="H59" s="4">
        <v>0</v>
      </c>
      <c r="I59" s="4">
        <v>0</v>
      </c>
      <c r="J59" s="4">
        <v>1</v>
      </c>
      <c r="K59" s="4">
        <v>0</v>
      </c>
    </row>
    <row r="60" spans="1:11" x14ac:dyDescent="0.2">
      <c r="A60" s="4">
        <v>5.2</v>
      </c>
      <c r="B60" s="4">
        <v>6</v>
      </c>
      <c r="C60" s="9">
        <v>43.93</v>
      </c>
      <c r="D60" s="4">
        <v>13</v>
      </c>
      <c r="E60" s="4">
        <v>0</v>
      </c>
      <c r="F60" s="4">
        <v>1</v>
      </c>
      <c r="G60" s="4">
        <v>0</v>
      </c>
      <c r="H60" s="4">
        <v>0</v>
      </c>
      <c r="I60" s="4">
        <v>1</v>
      </c>
      <c r="J60" s="4">
        <v>0</v>
      </c>
      <c r="K60" s="4">
        <v>1</v>
      </c>
    </row>
    <row r="61" spans="1:11" x14ac:dyDescent="0.2">
      <c r="A61" s="4">
        <v>3.75</v>
      </c>
      <c r="B61" s="4">
        <v>2</v>
      </c>
      <c r="C61" s="4">
        <v>39</v>
      </c>
      <c r="D61" s="4">
        <v>13</v>
      </c>
      <c r="E61" s="4">
        <v>0</v>
      </c>
      <c r="F61" s="4">
        <v>1</v>
      </c>
      <c r="G61" s="4">
        <v>0</v>
      </c>
      <c r="H61" s="4">
        <v>0</v>
      </c>
      <c r="I61" s="4">
        <v>1</v>
      </c>
      <c r="J61" s="4">
        <v>0</v>
      </c>
      <c r="K61" s="4">
        <v>0</v>
      </c>
    </row>
    <row r="62" spans="1:11" x14ac:dyDescent="0.2">
      <c r="A62" s="4">
        <v>11.82</v>
      </c>
      <c r="B62" s="4">
        <v>16</v>
      </c>
      <c r="C62" s="4">
        <v>35</v>
      </c>
      <c r="D62" s="4">
        <v>13</v>
      </c>
      <c r="E62" s="4">
        <v>0</v>
      </c>
      <c r="F62" s="4">
        <v>1</v>
      </c>
      <c r="G62" s="4">
        <v>0</v>
      </c>
      <c r="H62" s="4">
        <v>0</v>
      </c>
      <c r="I62" s="4">
        <v>0</v>
      </c>
      <c r="J62" s="4">
        <v>1</v>
      </c>
      <c r="K62" s="4">
        <v>0</v>
      </c>
    </row>
    <row r="63" spans="1:11" x14ac:dyDescent="0.2">
      <c r="A63" s="4">
        <v>3.29</v>
      </c>
      <c r="B63" s="4">
        <v>14</v>
      </c>
      <c r="C63" s="4">
        <v>30</v>
      </c>
      <c r="D63" s="4">
        <v>13</v>
      </c>
      <c r="E63" s="4">
        <v>0</v>
      </c>
      <c r="F63" s="4">
        <v>0</v>
      </c>
      <c r="G63" s="4">
        <v>0</v>
      </c>
      <c r="H63" s="4">
        <v>1</v>
      </c>
      <c r="I63" s="4">
        <v>0</v>
      </c>
      <c r="J63" s="4">
        <v>0</v>
      </c>
      <c r="K63" s="4">
        <v>0</v>
      </c>
    </row>
    <row r="64" spans="1:11" x14ac:dyDescent="0.2">
      <c r="A64" s="4">
        <v>8.48</v>
      </c>
      <c r="B64" s="4">
        <v>12</v>
      </c>
      <c r="C64" s="4">
        <v>29</v>
      </c>
      <c r="D64" s="4">
        <v>13</v>
      </c>
      <c r="E64" s="4">
        <v>0</v>
      </c>
      <c r="F64" s="4">
        <v>1</v>
      </c>
      <c r="G64" s="4">
        <v>3</v>
      </c>
      <c r="H64" s="4">
        <v>0</v>
      </c>
      <c r="I64" s="4">
        <v>0</v>
      </c>
      <c r="J64" s="4">
        <v>1</v>
      </c>
      <c r="K64" s="4">
        <v>0</v>
      </c>
    </row>
    <row r="65" spans="1:11" x14ac:dyDescent="0.2">
      <c r="A65" s="4">
        <v>6</v>
      </c>
      <c r="B65" s="4">
        <v>13</v>
      </c>
      <c r="C65" s="4">
        <v>21</v>
      </c>
      <c r="D65" s="4">
        <v>13</v>
      </c>
      <c r="E65" s="4">
        <v>0</v>
      </c>
      <c r="F65" s="4">
        <v>1</v>
      </c>
      <c r="G65" s="4">
        <v>4</v>
      </c>
      <c r="H65" s="4">
        <v>0</v>
      </c>
      <c r="I65" s="4">
        <v>1</v>
      </c>
      <c r="J65" s="4">
        <v>0</v>
      </c>
      <c r="K65" s="4">
        <v>0</v>
      </c>
    </row>
    <row r="66" spans="1:11" x14ac:dyDescent="0.2">
      <c r="A66" s="4">
        <v>13.7</v>
      </c>
      <c r="B66" s="4">
        <v>15</v>
      </c>
      <c r="C66" s="4">
        <v>20</v>
      </c>
      <c r="D66" s="4">
        <v>13</v>
      </c>
      <c r="E66" s="4">
        <v>0</v>
      </c>
      <c r="F66" s="4">
        <v>1</v>
      </c>
      <c r="G66" s="4">
        <v>2</v>
      </c>
      <c r="H66" s="4">
        <v>0</v>
      </c>
      <c r="I66" s="4">
        <v>0</v>
      </c>
      <c r="J66" s="4">
        <v>1</v>
      </c>
      <c r="K66" s="4">
        <v>0</v>
      </c>
    </row>
    <row r="67" spans="1:11" x14ac:dyDescent="0.2">
      <c r="A67" s="4">
        <v>8.4499999999999993</v>
      </c>
      <c r="B67" s="4">
        <v>12</v>
      </c>
      <c r="C67" s="4">
        <v>19</v>
      </c>
      <c r="D67" s="4">
        <v>13</v>
      </c>
      <c r="E67" s="4">
        <v>0</v>
      </c>
      <c r="F67" s="4">
        <v>1</v>
      </c>
      <c r="G67" s="4">
        <v>4</v>
      </c>
      <c r="H67" s="4">
        <v>0</v>
      </c>
      <c r="I67" s="4">
        <v>0</v>
      </c>
      <c r="J67" s="4">
        <v>0</v>
      </c>
      <c r="K67" s="4">
        <v>0</v>
      </c>
    </row>
    <row r="68" spans="1:11" x14ac:dyDescent="0.2">
      <c r="A68" s="4">
        <v>3.37</v>
      </c>
      <c r="B68" s="4">
        <v>11</v>
      </c>
      <c r="C68" s="9">
        <v>43.93</v>
      </c>
      <c r="D68" s="4">
        <v>12</v>
      </c>
      <c r="E68" s="4">
        <v>0</v>
      </c>
      <c r="F68" s="4">
        <v>1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</row>
    <row r="69" spans="1:11" x14ac:dyDescent="0.2">
      <c r="A69" s="4">
        <v>4</v>
      </c>
      <c r="B69" s="4">
        <v>11</v>
      </c>
      <c r="C69" s="9">
        <v>43.93</v>
      </c>
      <c r="D69" s="4">
        <v>12</v>
      </c>
      <c r="E69" s="4">
        <v>1</v>
      </c>
      <c r="F69" s="4">
        <v>1</v>
      </c>
      <c r="G69" s="4">
        <v>0</v>
      </c>
      <c r="H69" s="4">
        <v>0</v>
      </c>
      <c r="I69" s="4">
        <v>0</v>
      </c>
      <c r="J69" s="4">
        <v>1</v>
      </c>
      <c r="K69" s="4">
        <v>0</v>
      </c>
    </row>
    <row r="70" spans="1:11" x14ac:dyDescent="0.2">
      <c r="A70" s="4">
        <v>4.5</v>
      </c>
      <c r="B70" s="4">
        <v>12</v>
      </c>
      <c r="C70" s="4">
        <v>35</v>
      </c>
      <c r="D70" s="4">
        <v>12</v>
      </c>
      <c r="E70" s="4">
        <v>1</v>
      </c>
      <c r="F70" s="4">
        <v>1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</row>
    <row r="71" spans="1:11" x14ac:dyDescent="0.2">
      <c r="A71" s="4">
        <v>6.15</v>
      </c>
      <c r="B71" s="4">
        <v>12</v>
      </c>
      <c r="C71" s="4">
        <v>35</v>
      </c>
      <c r="D71" s="4">
        <v>12</v>
      </c>
      <c r="E71" s="4">
        <v>1</v>
      </c>
      <c r="F71" s="4">
        <v>0</v>
      </c>
      <c r="G71" s="4">
        <v>0</v>
      </c>
      <c r="H71" s="4">
        <v>1</v>
      </c>
      <c r="I71" s="4">
        <v>0</v>
      </c>
      <c r="J71" s="4">
        <v>0</v>
      </c>
      <c r="K71" s="4">
        <v>0</v>
      </c>
    </row>
    <row r="72" spans="1:11" x14ac:dyDescent="0.2">
      <c r="A72" s="4">
        <v>4</v>
      </c>
      <c r="B72" s="4">
        <v>10</v>
      </c>
      <c r="C72" s="4">
        <v>34</v>
      </c>
      <c r="D72" s="4">
        <v>12</v>
      </c>
      <c r="E72" s="4">
        <v>0</v>
      </c>
      <c r="F72" s="4">
        <v>1</v>
      </c>
      <c r="G72" s="4">
        <v>0</v>
      </c>
      <c r="H72" s="4">
        <v>1</v>
      </c>
      <c r="I72" s="4">
        <v>0</v>
      </c>
      <c r="J72" s="4">
        <v>0</v>
      </c>
      <c r="K72" s="4">
        <v>0</v>
      </c>
    </row>
    <row r="73" spans="1:11" x14ac:dyDescent="0.2">
      <c r="A73" s="4">
        <v>3</v>
      </c>
      <c r="B73" s="4">
        <v>8</v>
      </c>
      <c r="C73" s="4">
        <v>33</v>
      </c>
      <c r="D73" s="4">
        <v>12</v>
      </c>
      <c r="E73" s="4">
        <v>1</v>
      </c>
      <c r="F73" s="4">
        <v>1</v>
      </c>
      <c r="G73" s="4">
        <v>3</v>
      </c>
      <c r="H73" s="4">
        <v>0</v>
      </c>
      <c r="I73" s="4">
        <v>1</v>
      </c>
      <c r="J73" s="4">
        <v>0</v>
      </c>
      <c r="K73" s="4">
        <v>0</v>
      </c>
    </row>
    <row r="74" spans="1:11" x14ac:dyDescent="0.2">
      <c r="A74" s="4">
        <v>9.1300000000000008</v>
      </c>
      <c r="B74" s="4">
        <v>12</v>
      </c>
      <c r="C74" s="4">
        <v>14</v>
      </c>
      <c r="D74" s="4">
        <v>12</v>
      </c>
      <c r="E74" s="4">
        <v>0</v>
      </c>
      <c r="F74" s="4">
        <v>1</v>
      </c>
      <c r="G74" s="4">
        <v>3</v>
      </c>
      <c r="H74" s="4">
        <v>0</v>
      </c>
      <c r="I74" s="4">
        <v>1</v>
      </c>
      <c r="J74" s="4">
        <v>0</v>
      </c>
      <c r="K74" s="4">
        <v>0</v>
      </c>
    </row>
    <row r="75" spans="1:11" x14ac:dyDescent="0.2">
      <c r="A75" s="4">
        <v>9.09</v>
      </c>
      <c r="B75" s="4">
        <v>15</v>
      </c>
      <c r="C75" s="4">
        <v>11</v>
      </c>
      <c r="D75" s="4">
        <v>12</v>
      </c>
      <c r="E75" s="4">
        <v>0</v>
      </c>
      <c r="F75" s="4">
        <v>1</v>
      </c>
      <c r="G75" s="4">
        <v>1</v>
      </c>
      <c r="H75" s="4">
        <v>0</v>
      </c>
      <c r="I75" s="4">
        <v>0</v>
      </c>
      <c r="J75" s="4">
        <v>1</v>
      </c>
      <c r="K75" s="4">
        <v>0</v>
      </c>
    </row>
    <row r="76" spans="1:11" x14ac:dyDescent="0.2">
      <c r="A76" s="4">
        <v>7.6</v>
      </c>
      <c r="B76" s="4">
        <v>12</v>
      </c>
      <c r="C76" s="4">
        <v>41</v>
      </c>
      <c r="D76" s="4">
        <v>11</v>
      </c>
      <c r="E76" s="4">
        <v>1</v>
      </c>
      <c r="F76" s="4">
        <v>0</v>
      </c>
      <c r="G76" s="4">
        <v>0</v>
      </c>
      <c r="H76" s="4">
        <v>1</v>
      </c>
      <c r="I76" s="4">
        <v>0</v>
      </c>
      <c r="J76" s="4">
        <v>0</v>
      </c>
      <c r="K76" s="4">
        <v>0</v>
      </c>
    </row>
    <row r="77" spans="1:11" x14ac:dyDescent="0.2">
      <c r="A77" s="4">
        <v>4.4400000000000004</v>
      </c>
      <c r="B77" s="4">
        <v>8</v>
      </c>
      <c r="C77" s="4">
        <v>29</v>
      </c>
      <c r="D77" s="4">
        <v>11</v>
      </c>
      <c r="E77" s="4">
        <v>0</v>
      </c>
      <c r="F77" s="4">
        <v>1</v>
      </c>
      <c r="G77" s="4">
        <v>3</v>
      </c>
      <c r="H77" s="4">
        <v>0</v>
      </c>
      <c r="I77" s="4">
        <v>1</v>
      </c>
      <c r="J77" s="4">
        <v>0</v>
      </c>
      <c r="K77" s="4">
        <v>0</v>
      </c>
    </row>
    <row r="78" spans="1:11" x14ac:dyDescent="0.2">
      <c r="A78" s="4">
        <v>10</v>
      </c>
      <c r="B78" s="4">
        <v>14</v>
      </c>
      <c r="C78" s="4">
        <v>28</v>
      </c>
      <c r="D78" s="4">
        <v>11</v>
      </c>
      <c r="E78" s="4">
        <v>1</v>
      </c>
      <c r="F78" s="4">
        <v>1</v>
      </c>
      <c r="G78" s="4">
        <v>0</v>
      </c>
      <c r="H78" s="4">
        <v>0</v>
      </c>
      <c r="I78" s="4">
        <v>1</v>
      </c>
      <c r="J78" s="4">
        <v>0</v>
      </c>
      <c r="K78" s="4">
        <v>0</v>
      </c>
    </row>
    <row r="79" spans="1:11" x14ac:dyDescent="0.2">
      <c r="A79" s="4">
        <v>4</v>
      </c>
      <c r="B79" s="4">
        <v>12</v>
      </c>
      <c r="C79" s="4">
        <v>22</v>
      </c>
      <c r="D79" s="4">
        <v>11</v>
      </c>
      <c r="E79" s="4">
        <v>1</v>
      </c>
      <c r="F79" s="4">
        <v>1</v>
      </c>
      <c r="G79" s="4">
        <v>2</v>
      </c>
      <c r="H79" s="4">
        <v>1</v>
      </c>
      <c r="I79" s="4">
        <v>0</v>
      </c>
      <c r="J79" s="4">
        <v>0</v>
      </c>
      <c r="K79" s="4">
        <v>0</v>
      </c>
    </row>
    <row r="80" spans="1:11" x14ac:dyDescent="0.2">
      <c r="A80" s="4">
        <v>6.5</v>
      </c>
      <c r="B80" s="4">
        <v>10</v>
      </c>
      <c r="C80" s="4">
        <v>14</v>
      </c>
      <c r="D80" s="4">
        <v>11</v>
      </c>
      <c r="E80" s="4">
        <v>0</v>
      </c>
      <c r="F80" s="4">
        <v>1</v>
      </c>
      <c r="G80" s="4">
        <v>3</v>
      </c>
      <c r="H80" s="4">
        <v>0</v>
      </c>
      <c r="I80" s="4">
        <v>1</v>
      </c>
      <c r="J80" s="4">
        <v>0</v>
      </c>
      <c r="K80" s="4">
        <v>0</v>
      </c>
    </row>
    <row r="81" spans="1:11" x14ac:dyDescent="0.2">
      <c r="A81" s="4">
        <v>5</v>
      </c>
      <c r="B81" s="4">
        <v>12</v>
      </c>
      <c r="C81" s="4">
        <v>14</v>
      </c>
      <c r="D81" s="4">
        <v>11</v>
      </c>
      <c r="E81" s="4">
        <v>1</v>
      </c>
      <c r="F81" s="4">
        <v>0</v>
      </c>
      <c r="G81" s="4">
        <v>0</v>
      </c>
      <c r="H81" s="4">
        <v>1</v>
      </c>
      <c r="I81" s="4">
        <v>0</v>
      </c>
      <c r="J81" s="4">
        <v>0</v>
      </c>
      <c r="K81" s="4">
        <v>0</v>
      </c>
    </row>
    <row r="82" spans="1:11" x14ac:dyDescent="0.2">
      <c r="A82" s="4">
        <v>13.33</v>
      </c>
      <c r="B82" s="4">
        <v>12</v>
      </c>
      <c r="C82" s="4">
        <v>14</v>
      </c>
      <c r="D82" s="4">
        <v>11</v>
      </c>
      <c r="E82" s="4">
        <v>0</v>
      </c>
      <c r="F82" s="4">
        <v>1</v>
      </c>
      <c r="G82" s="4">
        <v>2</v>
      </c>
      <c r="H82" s="4">
        <v>0</v>
      </c>
      <c r="I82" s="4">
        <v>0</v>
      </c>
      <c r="J82" s="4">
        <v>0</v>
      </c>
      <c r="K82" s="4">
        <v>0</v>
      </c>
    </row>
    <row r="83" spans="1:11" x14ac:dyDescent="0.2">
      <c r="A83" s="4">
        <v>5.25</v>
      </c>
      <c r="B83" s="4">
        <v>11</v>
      </c>
      <c r="C83" s="4">
        <v>13</v>
      </c>
      <c r="D83" s="4">
        <v>11</v>
      </c>
      <c r="E83" s="4">
        <v>0</v>
      </c>
      <c r="F83" s="4">
        <v>1</v>
      </c>
      <c r="G83" s="4">
        <v>2</v>
      </c>
      <c r="H83" s="4">
        <v>0</v>
      </c>
      <c r="I83" s="4">
        <v>1</v>
      </c>
      <c r="J83" s="4">
        <v>0</v>
      </c>
      <c r="K83" s="4">
        <v>0</v>
      </c>
    </row>
    <row r="84" spans="1:11" x14ac:dyDescent="0.2">
      <c r="A84" s="4">
        <v>9.33</v>
      </c>
      <c r="B84" s="4">
        <v>14</v>
      </c>
      <c r="C84" s="4">
        <v>12</v>
      </c>
      <c r="D84" s="4">
        <v>11</v>
      </c>
      <c r="E84" s="4">
        <v>0</v>
      </c>
      <c r="F84" s="4">
        <v>1</v>
      </c>
      <c r="G84" s="4">
        <v>3</v>
      </c>
      <c r="H84" s="4">
        <v>0</v>
      </c>
      <c r="I84" s="4">
        <v>0</v>
      </c>
      <c r="J84" s="4">
        <v>0</v>
      </c>
      <c r="K84" s="4">
        <v>0</v>
      </c>
    </row>
    <row r="85" spans="1:11" x14ac:dyDescent="0.2">
      <c r="A85" s="4">
        <v>6.08</v>
      </c>
      <c r="B85" s="4">
        <v>16</v>
      </c>
      <c r="C85" s="4">
        <v>42</v>
      </c>
      <c r="D85" s="4">
        <v>10</v>
      </c>
      <c r="E85" s="4">
        <v>0</v>
      </c>
      <c r="F85" s="4">
        <v>0</v>
      </c>
      <c r="G85" s="4">
        <v>0</v>
      </c>
      <c r="H85" s="4">
        <v>1</v>
      </c>
      <c r="I85" s="4">
        <v>0</v>
      </c>
      <c r="J85" s="4">
        <v>0</v>
      </c>
      <c r="K85" s="4">
        <v>0</v>
      </c>
    </row>
    <row r="86" spans="1:11" x14ac:dyDescent="0.2">
      <c r="A86" s="4">
        <v>2.65</v>
      </c>
      <c r="B86" s="4">
        <v>12</v>
      </c>
      <c r="C86" s="4">
        <v>42</v>
      </c>
      <c r="D86" s="4">
        <v>10</v>
      </c>
      <c r="E86" s="4">
        <v>1</v>
      </c>
      <c r="F86" s="4">
        <v>1</v>
      </c>
      <c r="G86" s="4">
        <v>0</v>
      </c>
      <c r="H86" s="4">
        <v>0</v>
      </c>
      <c r="I86" s="4">
        <v>0</v>
      </c>
      <c r="J86" s="4">
        <v>1</v>
      </c>
      <c r="K86" s="4">
        <v>0</v>
      </c>
    </row>
    <row r="87" spans="1:11" x14ac:dyDescent="0.2">
      <c r="A87" s="4">
        <v>4.5</v>
      </c>
      <c r="B87" s="4">
        <v>11</v>
      </c>
      <c r="C87" s="4">
        <v>37</v>
      </c>
      <c r="D87" s="4">
        <v>10</v>
      </c>
      <c r="E87" s="4">
        <v>0</v>
      </c>
      <c r="F87" s="4">
        <v>1</v>
      </c>
      <c r="G87" s="4">
        <v>2</v>
      </c>
      <c r="H87" s="4">
        <v>0</v>
      </c>
      <c r="I87" s="4">
        <v>1</v>
      </c>
      <c r="J87" s="4">
        <v>0</v>
      </c>
      <c r="K87" s="4">
        <v>0</v>
      </c>
    </row>
    <row r="88" spans="1:11" x14ac:dyDescent="0.2">
      <c r="A88" s="4">
        <v>6.67</v>
      </c>
      <c r="B88" s="4">
        <v>12</v>
      </c>
      <c r="C88" s="4">
        <v>35</v>
      </c>
      <c r="D88" s="4">
        <v>10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</row>
    <row r="89" spans="1:11" x14ac:dyDescent="0.2">
      <c r="A89" s="4">
        <v>4.17</v>
      </c>
      <c r="B89" s="4">
        <v>0</v>
      </c>
      <c r="C89" s="4">
        <v>22</v>
      </c>
      <c r="D89" s="4">
        <v>10</v>
      </c>
      <c r="E89" s="4">
        <v>1</v>
      </c>
      <c r="F89" s="4">
        <v>0</v>
      </c>
      <c r="G89" s="4">
        <v>0</v>
      </c>
      <c r="H89" s="4">
        <v>0</v>
      </c>
      <c r="I89" s="4">
        <v>1</v>
      </c>
      <c r="J89" s="4">
        <v>0</v>
      </c>
      <c r="K89" s="4">
        <v>0</v>
      </c>
    </row>
    <row r="90" spans="1:11" x14ac:dyDescent="0.2">
      <c r="A90" s="4">
        <v>4.5</v>
      </c>
      <c r="B90" s="4">
        <v>16</v>
      </c>
      <c r="C90" s="4">
        <v>21</v>
      </c>
      <c r="D90" s="4">
        <v>10</v>
      </c>
      <c r="E90" s="4">
        <v>0</v>
      </c>
      <c r="F90" s="4">
        <v>1</v>
      </c>
      <c r="G90" s="4">
        <v>1</v>
      </c>
      <c r="H90" s="4">
        <v>0</v>
      </c>
      <c r="I90" s="4">
        <v>1</v>
      </c>
      <c r="J90" s="4">
        <v>0</v>
      </c>
      <c r="K90" s="4">
        <v>0</v>
      </c>
    </row>
    <row r="91" spans="1:11" x14ac:dyDescent="0.2">
      <c r="A91" s="4">
        <v>3</v>
      </c>
      <c r="B91" s="4">
        <v>16</v>
      </c>
      <c r="C91" s="4">
        <v>19</v>
      </c>
      <c r="D91" s="4">
        <v>10</v>
      </c>
      <c r="E91" s="4">
        <v>1</v>
      </c>
      <c r="F91" s="4">
        <v>1</v>
      </c>
      <c r="G91" s="4">
        <v>0</v>
      </c>
      <c r="H91" s="4">
        <v>1</v>
      </c>
      <c r="I91" s="4">
        <v>0</v>
      </c>
      <c r="J91" s="4">
        <v>0</v>
      </c>
      <c r="K91" s="4">
        <v>0</v>
      </c>
    </row>
    <row r="92" spans="1:11" x14ac:dyDescent="0.2">
      <c r="A92" s="4">
        <v>5.25</v>
      </c>
      <c r="B92" s="4">
        <v>12</v>
      </c>
      <c r="C92" s="4">
        <v>19</v>
      </c>
      <c r="D92" s="4">
        <v>10</v>
      </c>
      <c r="E92" s="4">
        <v>1</v>
      </c>
      <c r="F92" s="4">
        <v>1</v>
      </c>
      <c r="G92" s="4">
        <v>2</v>
      </c>
      <c r="H92" s="4">
        <v>1</v>
      </c>
      <c r="I92" s="4">
        <v>0</v>
      </c>
      <c r="J92" s="4">
        <v>0</v>
      </c>
      <c r="K92" s="4">
        <v>0</v>
      </c>
    </row>
    <row r="93" spans="1:11" x14ac:dyDescent="0.2">
      <c r="A93" s="4">
        <v>10.63</v>
      </c>
      <c r="B93" s="4">
        <v>13</v>
      </c>
      <c r="C93" s="4">
        <v>16</v>
      </c>
      <c r="D93" s="4">
        <v>10</v>
      </c>
      <c r="E93" s="4">
        <v>1</v>
      </c>
      <c r="F93" s="4">
        <v>0</v>
      </c>
      <c r="G93" s="4">
        <v>0</v>
      </c>
      <c r="H93" s="4">
        <v>0</v>
      </c>
      <c r="I93" s="4">
        <v>0</v>
      </c>
      <c r="J93" s="4">
        <v>1</v>
      </c>
      <c r="K93" s="4">
        <v>0</v>
      </c>
    </row>
    <row r="94" spans="1:11" x14ac:dyDescent="0.2">
      <c r="A94" s="4">
        <v>3.06</v>
      </c>
      <c r="B94" s="4">
        <v>12</v>
      </c>
      <c r="C94" s="4">
        <v>14</v>
      </c>
      <c r="D94" s="4">
        <v>10</v>
      </c>
      <c r="E94" s="4">
        <v>1</v>
      </c>
      <c r="F94" s="4">
        <v>0</v>
      </c>
      <c r="G94" s="4">
        <v>3</v>
      </c>
      <c r="H94" s="4">
        <v>0</v>
      </c>
      <c r="I94" s="4">
        <v>1</v>
      </c>
      <c r="J94" s="4">
        <v>0</v>
      </c>
      <c r="K94" s="4">
        <v>0</v>
      </c>
    </row>
    <row r="95" spans="1:11" x14ac:dyDescent="0.2">
      <c r="A95" s="4">
        <v>6.8</v>
      </c>
      <c r="B95" s="4">
        <v>12</v>
      </c>
      <c r="C95" s="4">
        <v>14</v>
      </c>
      <c r="D95" s="4">
        <v>10</v>
      </c>
      <c r="E95" s="4">
        <v>0</v>
      </c>
      <c r="F95" s="4">
        <v>1</v>
      </c>
      <c r="G95" s="4">
        <v>2</v>
      </c>
      <c r="H95" s="4">
        <v>0</v>
      </c>
      <c r="I95" s="4">
        <v>1</v>
      </c>
      <c r="J95" s="4">
        <v>0</v>
      </c>
      <c r="K95" s="4">
        <v>0</v>
      </c>
    </row>
    <row r="96" spans="1:11" x14ac:dyDescent="0.2">
      <c r="A96" s="4">
        <v>7.78</v>
      </c>
      <c r="B96" s="4">
        <v>16</v>
      </c>
      <c r="C96" s="4">
        <v>11</v>
      </c>
      <c r="D96" s="4">
        <v>10</v>
      </c>
      <c r="E96" s="4">
        <v>0</v>
      </c>
      <c r="F96" s="4">
        <v>1</v>
      </c>
      <c r="G96" s="4">
        <v>1</v>
      </c>
      <c r="H96" s="4">
        <v>0</v>
      </c>
      <c r="I96" s="4">
        <v>0</v>
      </c>
      <c r="J96" s="4">
        <v>1</v>
      </c>
      <c r="K96" s="4">
        <v>0</v>
      </c>
    </row>
    <row r="97" spans="1:11" x14ac:dyDescent="0.2">
      <c r="A97" s="4">
        <v>11.98</v>
      </c>
      <c r="B97" s="4">
        <v>18</v>
      </c>
      <c r="C97" s="4">
        <v>8</v>
      </c>
      <c r="D97" s="4">
        <v>10</v>
      </c>
      <c r="E97" s="4">
        <v>0</v>
      </c>
      <c r="F97" s="4">
        <v>1</v>
      </c>
      <c r="G97" s="4">
        <v>2</v>
      </c>
      <c r="H97" s="4">
        <v>0</v>
      </c>
      <c r="I97" s="4">
        <v>1</v>
      </c>
      <c r="J97" s="4">
        <v>0</v>
      </c>
      <c r="K97" s="4">
        <v>0</v>
      </c>
    </row>
    <row r="98" spans="1:11" x14ac:dyDescent="0.2">
      <c r="A98" s="4">
        <v>5</v>
      </c>
      <c r="B98" s="10">
        <v>12</v>
      </c>
      <c r="C98" s="4">
        <v>31</v>
      </c>
      <c r="D98" s="4">
        <v>9</v>
      </c>
      <c r="E98" s="4">
        <v>0</v>
      </c>
      <c r="F98" s="4">
        <v>1</v>
      </c>
      <c r="G98" s="4">
        <v>6</v>
      </c>
      <c r="H98" s="4">
        <v>0</v>
      </c>
      <c r="I98" s="4">
        <v>1</v>
      </c>
      <c r="J98" s="4">
        <v>0</v>
      </c>
      <c r="K98" s="4">
        <v>0</v>
      </c>
    </row>
    <row r="99" spans="1:11" x14ac:dyDescent="0.2">
      <c r="A99" s="4">
        <v>3</v>
      </c>
      <c r="B99" s="4">
        <v>12</v>
      </c>
      <c r="C99" s="4">
        <v>26</v>
      </c>
      <c r="D99" s="4">
        <v>9</v>
      </c>
      <c r="E99" s="4">
        <v>1</v>
      </c>
      <c r="F99" s="4">
        <v>1</v>
      </c>
      <c r="G99" s="4">
        <v>0</v>
      </c>
      <c r="H99" s="4">
        <v>0</v>
      </c>
      <c r="I99" s="4">
        <v>1</v>
      </c>
      <c r="J99" s="4">
        <v>0</v>
      </c>
      <c r="K99" s="4">
        <v>0</v>
      </c>
    </row>
    <row r="100" spans="1:11" x14ac:dyDescent="0.2">
      <c r="A100" s="4">
        <v>8.6300000000000008</v>
      </c>
      <c r="B100" s="4">
        <v>12</v>
      </c>
      <c r="C100" s="4">
        <v>23</v>
      </c>
      <c r="D100" s="4">
        <v>9</v>
      </c>
      <c r="E100" s="4">
        <v>0</v>
      </c>
      <c r="F100" s="4">
        <v>1</v>
      </c>
      <c r="G100" s="4">
        <v>1</v>
      </c>
      <c r="H100" s="4">
        <v>0</v>
      </c>
      <c r="I100" s="4">
        <v>1</v>
      </c>
      <c r="J100" s="4">
        <v>0</v>
      </c>
      <c r="K100" s="4">
        <v>0</v>
      </c>
    </row>
    <row r="101" spans="1:11" x14ac:dyDescent="0.2">
      <c r="A101" s="4">
        <v>3.3</v>
      </c>
      <c r="B101" s="4">
        <v>12</v>
      </c>
      <c r="C101" s="4">
        <v>21</v>
      </c>
      <c r="D101" s="4">
        <v>9</v>
      </c>
      <c r="E101" s="4">
        <v>1</v>
      </c>
      <c r="F101" s="4">
        <v>1</v>
      </c>
      <c r="G101" s="4">
        <v>2</v>
      </c>
      <c r="H101" s="4">
        <v>0</v>
      </c>
      <c r="I101" s="4">
        <v>1</v>
      </c>
      <c r="J101" s="4">
        <v>0</v>
      </c>
      <c r="K101" s="4">
        <v>0</v>
      </c>
    </row>
    <row r="102" spans="1:11" x14ac:dyDescent="0.2">
      <c r="A102" s="4">
        <v>6.22</v>
      </c>
      <c r="B102" s="4">
        <v>12</v>
      </c>
      <c r="C102" s="4">
        <v>19</v>
      </c>
      <c r="D102" s="4">
        <v>9</v>
      </c>
      <c r="E102" s="4">
        <v>1</v>
      </c>
      <c r="F102" s="4">
        <v>1</v>
      </c>
      <c r="G102" s="4">
        <v>1</v>
      </c>
      <c r="H102" s="4">
        <v>1</v>
      </c>
      <c r="I102" s="4">
        <v>0</v>
      </c>
      <c r="J102" s="4">
        <v>0</v>
      </c>
      <c r="K102" s="4">
        <v>0</v>
      </c>
    </row>
    <row r="103" spans="1:11" x14ac:dyDescent="0.2">
      <c r="A103" s="4">
        <v>5.95</v>
      </c>
      <c r="B103" s="4">
        <v>11</v>
      </c>
      <c r="C103" s="4">
        <v>15</v>
      </c>
      <c r="D103" s="4">
        <v>9</v>
      </c>
      <c r="E103" s="4">
        <v>0</v>
      </c>
      <c r="F103" s="4">
        <v>1</v>
      </c>
      <c r="G103" s="4">
        <v>1</v>
      </c>
      <c r="H103" s="4">
        <v>0</v>
      </c>
      <c r="I103" s="4">
        <v>1</v>
      </c>
      <c r="J103" s="4">
        <v>0</v>
      </c>
      <c r="K103" s="4">
        <v>1</v>
      </c>
    </row>
    <row r="104" spans="1:11" x14ac:dyDescent="0.2">
      <c r="A104" s="4">
        <v>14.38</v>
      </c>
      <c r="B104" s="4">
        <v>17</v>
      </c>
      <c r="C104" s="4">
        <v>10</v>
      </c>
      <c r="D104" s="4">
        <v>9</v>
      </c>
      <c r="E104" s="4">
        <v>0</v>
      </c>
      <c r="F104" s="4">
        <v>1</v>
      </c>
      <c r="G104" s="4">
        <v>1</v>
      </c>
      <c r="H104" s="4">
        <v>0</v>
      </c>
      <c r="I104" s="4">
        <v>1</v>
      </c>
      <c r="J104" s="4">
        <v>0</v>
      </c>
      <c r="K104" s="4">
        <v>0</v>
      </c>
    </row>
    <row r="105" spans="1:11" x14ac:dyDescent="0.2">
      <c r="A105" s="4">
        <v>6.33</v>
      </c>
      <c r="B105" s="4">
        <v>16</v>
      </c>
      <c r="C105" s="4">
        <v>9</v>
      </c>
      <c r="D105" s="4">
        <v>9</v>
      </c>
      <c r="E105" s="4">
        <v>1</v>
      </c>
      <c r="F105" s="4">
        <v>0</v>
      </c>
      <c r="G105" s="4">
        <v>0</v>
      </c>
      <c r="H105" s="4">
        <v>0</v>
      </c>
      <c r="I105" s="4">
        <v>0</v>
      </c>
      <c r="J105" s="4">
        <v>1</v>
      </c>
      <c r="K105" s="4">
        <v>0</v>
      </c>
    </row>
    <row r="106" spans="1:11" x14ac:dyDescent="0.2">
      <c r="A106" s="4">
        <v>4.5</v>
      </c>
      <c r="B106" s="4">
        <v>11</v>
      </c>
      <c r="C106" s="4">
        <v>3</v>
      </c>
      <c r="D106" s="4">
        <v>9</v>
      </c>
      <c r="E106" s="4">
        <v>0</v>
      </c>
      <c r="F106" s="4">
        <v>0</v>
      </c>
      <c r="G106" s="4">
        <v>0</v>
      </c>
      <c r="H106" s="4">
        <v>0</v>
      </c>
      <c r="I106" s="4">
        <v>1</v>
      </c>
      <c r="J106" s="4">
        <v>0</v>
      </c>
      <c r="K106" s="4">
        <v>1</v>
      </c>
    </row>
    <row r="107" spans="1:11" x14ac:dyDescent="0.2">
      <c r="A107" s="4">
        <v>2.87</v>
      </c>
      <c r="B107" s="4">
        <v>12</v>
      </c>
      <c r="C107" s="9">
        <v>43.93</v>
      </c>
      <c r="D107" s="4">
        <v>8</v>
      </c>
      <c r="E107" s="4">
        <v>1</v>
      </c>
      <c r="F107" s="4">
        <v>1</v>
      </c>
      <c r="G107" s="4">
        <v>0</v>
      </c>
      <c r="H107" s="4">
        <v>1</v>
      </c>
      <c r="I107" s="4">
        <v>0</v>
      </c>
      <c r="J107" s="4">
        <v>0</v>
      </c>
      <c r="K107" s="4">
        <v>0</v>
      </c>
    </row>
    <row r="108" spans="1:11" x14ac:dyDescent="0.2">
      <c r="A108" s="4">
        <v>4.79</v>
      </c>
      <c r="B108" s="4">
        <v>12</v>
      </c>
      <c r="C108" s="4">
        <v>41</v>
      </c>
      <c r="D108" s="4">
        <v>8</v>
      </c>
      <c r="E108" s="4">
        <v>0</v>
      </c>
      <c r="F108" s="4">
        <v>1</v>
      </c>
      <c r="G108" s="4">
        <v>0</v>
      </c>
      <c r="H108" s="4">
        <v>1</v>
      </c>
      <c r="I108" s="4">
        <v>0</v>
      </c>
      <c r="J108" s="4">
        <v>0</v>
      </c>
      <c r="K108" s="4">
        <v>0</v>
      </c>
    </row>
    <row r="109" spans="1:11" x14ac:dyDescent="0.2">
      <c r="A109" s="4">
        <v>6</v>
      </c>
      <c r="B109" s="4">
        <v>11</v>
      </c>
      <c r="C109" s="4">
        <v>37</v>
      </c>
      <c r="D109" s="4">
        <v>8</v>
      </c>
      <c r="E109" s="4">
        <v>1</v>
      </c>
      <c r="F109" s="4">
        <v>0</v>
      </c>
      <c r="G109" s="4">
        <v>0</v>
      </c>
      <c r="H109" s="4">
        <v>0</v>
      </c>
      <c r="I109" s="4">
        <v>0</v>
      </c>
      <c r="J109" s="4">
        <v>1</v>
      </c>
      <c r="K109" s="4">
        <v>0</v>
      </c>
    </row>
    <row r="110" spans="1:11" x14ac:dyDescent="0.2">
      <c r="A110" s="4">
        <v>3.33</v>
      </c>
      <c r="B110" s="4">
        <v>12</v>
      </c>
      <c r="C110" s="4">
        <v>36</v>
      </c>
      <c r="D110" s="4">
        <v>8</v>
      </c>
      <c r="E110" s="4">
        <v>1</v>
      </c>
      <c r="F110" s="4">
        <v>1</v>
      </c>
      <c r="G110" s="4">
        <v>1</v>
      </c>
      <c r="H110" s="4">
        <v>0</v>
      </c>
      <c r="I110" s="4">
        <v>1</v>
      </c>
      <c r="J110" s="4">
        <v>0</v>
      </c>
      <c r="K110" s="4">
        <v>0</v>
      </c>
    </row>
    <row r="111" spans="1:11" x14ac:dyDescent="0.2">
      <c r="A111" s="4">
        <v>6.25</v>
      </c>
      <c r="B111" s="4">
        <v>10</v>
      </c>
      <c r="C111" s="4">
        <v>36</v>
      </c>
      <c r="D111" s="4">
        <v>8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</row>
    <row r="112" spans="1:11" x14ac:dyDescent="0.2">
      <c r="A112" s="4">
        <v>11.11</v>
      </c>
      <c r="B112" s="4">
        <v>12</v>
      </c>
      <c r="C112" s="4">
        <v>30</v>
      </c>
      <c r="D112" s="4">
        <v>8</v>
      </c>
      <c r="E112" s="4">
        <v>0</v>
      </c>
      <c r="F112" s="4">
        <v>1</v>
      </c>
      <c r="G112" s="4">
        <v>0</v>
      </c>
      <c r="H112" s="4">
        <v>1</v>
      </c>
      <c r="I112" s="4">
        <v>0</v>
      </c>
      <c r="J112" s="4">
        <v>0</v>
      </c>
      <c r="K112" s="4">
        <v>0</v>
      </c>
    </row>
    <row r="113" spans="1:11" x14ac:dyDescent="0.2">
      <c r="A113" s="4">
        <v>8.64</v>
      </c>
      <c r="B113" s="4">
        <v>12</v>
      </c>
      <c r="C113" s="4">
        <v>28</v>
      </c>
      <c r="D113" s="4">
        <v>8</v>
      </c>
      <c r="E113" s="4">
        <v>0</v>
      </c>
      <c r="F113" s="4">
        <v>1</v>
      </c>
      <c r="G113" s="4">
        <v>0</v>
      </c>
      <c r="H113" s="4">
        <v>1</v>
      </c>
      <c r="I113" s="4">
        <v>0</v>
      </c>
      <c r="J113" s="4">
        <v>0</v>
      </c>
      <c r="K113" s="4">
        <v>0</v>
      </c>
    </row>
    <row r="114" spans="1:11" x14ac:dyDescent="0.2">
      <c r="A114" s="4">
        <v>3.3</v>
      </c>
      <c r="B114" s="4">
        <v>12</v>
      </c>
      <c r="C114" s="4">
        <v>25</v>
      </c>
      <c r="D114" s="4">
        <v>8</v>
      </c>
      <c r="E114" s="4">
        <v>0</v>
      </c>
      <c r="F114" s="4">
        <v>1</v>
      </c>
      <c r="G114" s="4">
        <v>1</v>
      </c>
      <c r="H114" s="4">
        <v>1</v>
      </c>
      <c r="I114" s="4">
        <v>0</v>
      </c>
      <c r="J114" s="4">
        <v>0</v>
      </c>
      <c r="K114" s="4">
        <v>0</v>
      </c>
    </row>
    <row r="115" spans="1:11" x14ac:dyDescent="0.2">
      <c r="A115" s="4">
        <v>6.33</v>
      </c>
      <c r="B115" s="4">
        <v>12</v>
      </c>
      <c r="C115" s="4">
        <v>23</v>
      </c>
      <c r="D115" s="4">
        <v>8</v>
      </c>
      <c r="E115" s="4">
        <v>0</v>
      </c>
      <c r="F115" s="4">
        <v>1</v>
      </c>
      <c r="G115" s="4">
        <v>2</v>
      </c>
      <c r="H115" s="4">
        <v>0</v>
      </c>
      <c r="I115" s="4">
        <v>1</v>
      </c>
      <c r="J115" s="4">
        <v>0</v>
      </c>
      <c r="K115" s="4">
        <v>0</v>
      </c>
    </row>
    <row r="116" spans="1:11" x14ac:dyDescent="0.2">
      <c r="A116" s="4">
        <v>6</v>
      </c>
      <c r="B116" s="4">
        <v>12</v>
      </c>
      <c r="C116" s="4">
        <v>22</v>
      </c>
      <c r="D116" s="4">
        <v>8</v>
      </c>
      <c r="E116" s="4">
        <v>0</v>
      </c>
      <c r="F116" s="4">
        <v>0</v>
      </c>
      <c r="G116" s="4">
        <v>2</v>
      </c>
      <c r="H116" s="4">
        <v>0</v>
      </c>
      <c r="I116" s="4">
        <v>0</v>
      </c>
      <c r="J116" s="4">
        <v>0</v>
      </c>
      <c r="K116" s="4">
        <v>0</v>
      </c>
    </row>
    <row r="117" spans="1:11" x14ac:dyDescent="0.2">
      <c r="A117" s="4">
        <v>4.91</v>
      </c>
      <c r="B117" s="4">
        <v>12</v>
      </c>
      <c r="C117" s="4">
        <v>17</v>
      </c>
      <c r="D117" s="4">
        <v>8</v>
      </c>
      <c r="E117" s="4">
        <v>0</v>
      </c>
      <c r="F117" s="4">
        <v>1</v>
      </c>
      <c r="G117" s="4">
        <v>2</v>
      </c>
      <c r="H117" s="4">
        <v>0</v>
      </c>
      <c r="I117" s="4">
        <v>0</v>
      </c>
      <c r="J117" s="4">
        <v>0</v>
      </c>
      <c r="K117" s="4">
        <v>0</v>
      </c>
    </row>
    <row r="118" spans="1:11" x14ac:dyDescent="0.2">
      <c r="A118" s="4">
        <v>5.6</v>
      </c>
      <c r="B118" s="4">
        <v>11</v>
      </c>
      <c r="C118" s="4">
        <v>11</v>
      </c>
      <c r="D118" s="4">
        <v>8</v>
      </c>
      <c r="E118" s="4">
        <v>0</v>
      </c>
      <c r="F118" s="4">
        <v>1</v>
      </c>
      <c r="G118" s="4">
        <v>2</v>
      </c>
      <c r="H118" s="4">
        <v>0</v>
      </c>
      <c r="I118" s="4">
        <v>1</v>
      </c>
      <c r="J118" s="4">
        <v>0</v>
      </c>
      <c r="K118" s="4">
        <v>0</v>
      </c>
    </row>
    <row r="119" spans="1:11" x14ac:dyDescent="0.2">
      <c r="A119" s="4">
        <v>8.75</v>
      </c>
      <c r="B119" s="4">
        <v>16</v>
      </c>
      <c r="C119" s="4">
        <v>9</v>
      </c>
      <c r="D119" s="4">
        <v>8</v>
      </c>
      <c r="E119" s="4">
        <v>0</v>
      </c>
      <c r="F119" s="4">
        <v>1</v>
      </c>
      <c r="G119" s="4">
        <v>0</v>
      </c>
      <c r="H119" s="4">
        <v>0</v>
      </c>
      <c r="I119" s="4">
        <v>0</v>
      </c>
      <c r="J119" s="4">
        <v>1</v>
      </c>
      <c r="K119" s="4">
        <v>0</v>
      </c>
    </row>
    <row r="120" spans="1:11" x14ac:dyDescent="0.2">
      <c r="A120" s="4">
        <v>10</v>
      </c>
      <c r="B120" s="4">
        <v>18</v>
      </c>
      <c r="C120" s="4">
        <v>9</v>
      </c>
      <c r="D120" s="4">
        <v>8</v>
      </c>
      <c r="E120" s="4">
        <v>0</v>
      </c>
      <c r="F120" s="4">
        <v>0</v>
      </c>
      <c r="G120" s="4">
        <v>0</v>
      </c>
      <c r="H120" s="4">
        <v>1</v>
      </c>
      <c r="I120" s="4">
        <v>0</v>
      </c>
      <c r="J120" s="4">
        <v>0</v>
      </c>
      <c r="K120" s="4">
        <v>0</v>
      </c>
    </row>
    <row r="121" spans="1:11" x14ac:dyDescent="0.2">
      <c r="A121" s="4">
        <v>21.63</v>
      </c>
      <c r="B121" s="4">
        <v>18</v>
      </c>
      <c r="C121" s="4">
        <v>8</v>
      </c>
      <c r="D121" s="4">
        <v>8</v>
      </c>
      <c r="E121" s="4">
        <v>1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</row>
    <row r="122" spans="1:11" x14ac:dyDescent="0.2">
      <c r="A122" s="4">
        <v>2.9</v>
      </c>
      <c r="B122" s="4">
        <v>6</v>
      </c>
      <c r="C122" s="9">
        <v>43.93</v>
      </c>
      <c r="D122" s="4">
        <v>7</v>
      </c>
      <c r="E122" s="4">
        <v>0</v>
      </c>
      <c r="F122" s="4">
        <v>1</v>
      </c>
      <c r="G122" s="4">
        <v>0</v>
      </c>
      <c r="H122" s="4">
        <v>0</v>
      </c>
      <c r="I122" s="4">
        <v>1</v>
      </c>
      <c r="J122" s="4">
        <v>0</v>
      </c>
      <c r="K122" s="4">
        <v>0</v>
      </c>
    </row>
    <row r="123" spans="1:11" x14ac:dyDescent="0.2">
      <c r="A123" s="4">
        <v>5.25</v>
      </c>
      <c r="B123" s="4">
        <v>10</v>
      </c>
      <c r="C123" s="9">
        <v>43.93</v>
      </c>
      <c r="D123" s="4">
        <v>7</v>
      </c>
      <c r="E123" s="4">
        <v>0</v>
      </c>
      <c r="F123" s="4">
        <v>1</v>
      </c>
      <c r="G123" s="4">
        <v>1</v>
      </c>
      <c r="H123" s="4">
        <v>1</v>
      </c>
      <c r="I123" s="4">
        <v>0</v>
      </c>
      <c r="J123" s="4">
        <v>0</v>
      </c>
      <c r="K123" s="4">
        <v>0</v>
      </c>
    </row>
    <row r="124" spans="1:11" x14ac:dyDescent="0.2">
      <c r="A124" s="4">
        <v>4.57</v>
      </c>
      <c r="B124" s="4">
        <v>14</v>
      </c>
      <c r="C124" s="4">
        <v>37</v>
      </c>
      <c r="D124" s="4">
        <v>7</v>
      </c>
      <c r="E124" s="4">
        <v>1</v>
      </c>
      <c r="F124" s="4">
        <v>1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</row>
    <row r="125" spans="1:11" x14ac:dyDescent="0.2">
      <c r="A125" s="4">
        <v>18.16</v>
      </c>
      <c r="B125" s="4">
        <v>16</v>
      </c>
      <c r="C125" s="4">
        <v>29</v>
      </c>
      <c r="D125" s="4">
        <v>7</v>
      </c>
      <c r="E125" s="4">
        <v>0</v>
      </c>
      <c r="F125" s="4">
        <v>1</v>
      </c>
      <c r="G125" s="4">
        <v>1</v>
      </c>
      <c r="H125" s="4">
        <v>0</v>
      </c>
      <c r="I125" s="4">
        <v>1</v>
      </c>
      <c r="J125" s="4">
        <v>0</v>
      </c>
      <c r="K125" s="4">
        <v>0</v>
      </c>
    </row>
    <row r="126" spans="1:11" x14ac:dyDescent="0.2">
      <c r="A126" s="4">
        <v>18</v>
      </c>
      <c r="B126" s="4">
        <v>16</v>
      </c>
      <c r="C126" s="4">
        <v>16</v>
      </c>
      <c r="D126" s="4">
        <v>7</v>
      </c>
      <c r="E126" s="4">
        <v>0</v>
      </c>
      <c r="F126" s="4">
        <v>1</v>
      </c>
      <c r="G126" s="4">
        <v>2</v>
      </c>
      <c r="H126" s="4">
        <v>0</v>
      </c>
      <c r="I126" s="4">
        <v>0</v>
      </c>
      <c r="J126" s="4">
        <v>0</v>
      </c>
      <c r="K126" s="4">
        <v>0</v>
      </c>
    </row>
    <row r="127" spans="1:11" x14ac:dyDescent="0.2">
      <c r="A127" s="4">
        <v>11.25</v>
      </c>
      <c r="B127" s="4">
        <v>18</v>
      </c>
      <c r="C127" s="4">
        <v>15</v>
      </c>
      <c r="D127" s="4">
        <v>7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1</v>
      </c>
      <c r="K127" s="4">
        <v>0</v>
      </c>
    </row>
    <row r="128" spans="1:11" x14ac:dyDescent="0.2">
      <c r="A128" s="4">
        <v>5.9</v>
      </c>
      <c r="B128" s="4">
        <v>12</v>
      </c>
      <c r="C128" s="4">
        <v>14</v>
      </c>
      <c r="D128" s="4">
        <v>7</v>
      </c>
      <c r="E128" s="4">
        <v>0</v>
      </c>
      <c r="F128" s="4">
        <v>1</v>
      </c>
      <c r="G128" s="4">
        <v>2</v>
      </c>
      <c r="H128" s="4">
        <v>0</v>
      </c>
      <c r="I128" s="4">
        <v>1</v>
      </c>
      <c r="J128" s="4">
        <v>0</v>
      </c>
      <c r="K128" s="4">
        <v>0</v>
      </c>
    </row>
    <row r="129" spans="1:11" x14ac:dyDescent="0.2">
      <c r="A129" s="4">
        <v>3.71</v>
      </c>
      <c r="B129" s="4">
        <v>9</v>
      </c>
      <c r="C129" s="4">
        <v>14</v>
      </c>
      <c r="D129" s="4">
        <v>7</v>
      </c>
      <c r="E129" s="4">
        <v>0</v>
      </c>
      <c r="F129" s="4">
        <v>1</v>
      </c>
      <c r="G129" s="4">
        <v>2</v>
      </c>
      <c r="H129" s="4">
        <v>0</v>
      </c>
      <c r="I129" s="4">
        <v>1</v>
      </c>
      <c r="J129" s="4">
        <v>0</v>
      </c>
      <c r="K129" s="4">
        <v>0</v>
      </c>
    </row>
    <row r="130" spans="1:11" x14ac:dyDescent="0.2">
      <c r="A130" s="4">
        <v>14.58</v>
      </c>
      <c r="B130" s="4">
        <v>18</v>
      </c>
      <c r="C130" s="4">
        <v>13</v>
      </c>
      <c r="D130" s="4">
        <v>7</v>
      </c>
      <c r="E130" s="4">
        <v>1</v>
      </c>
      <c r="F130" s="4">
        <v>0</v>
      </c>
      <c r="G130" s="4">
        <v>0</v>
      </c>
      <c r="H130" s="4">
        <v>1</v>
      </c>
      <c r="I130" s="4">
        <v>0</v>
      </c>
      <c r="J130" s="4">
        <v>0</v>
      </c>
      <c r="K130" s="4">
        <v>0</v>
      </c>
    </row>
    <row r="131" spans="1:11" x14ac:dyDescent="0.2">
      <c r="A131" s="4">
        <v>7.5</v>
      </c>
      <c r="B131" s="4">
        <v>12</v>
      </c>
      <c r="C131" s="4">
        <v>11</v>
      </c>
      <c r="D131" s="4">
        <v>7</v>
      </c>
      <c r="E131" s="10">
        <v>2</v>
      </c>
      <c r="F131" s="4">
        <v>1</v>
      </c>
      <c r="G131" s="4">
        <v>1</v>
      </c>
      <c r="H131" s="4">
        <v>0</v>
      </c>
      <c r="I131" s="4">
        <v>0</v>
      </c>
      <c r="J131" s="4">
        <v>0</v>
      </c>
      <c r="K131" s="4">
        <v>0</v>
      </c>
    </row>
    <row r="132" spans="1:11" x14ac:dyDescent="0.2">
      <c r="A132" s="4">
        <v>5.9</v>
      </c>
      <c r="B132" s="4">
        <v>12</v>
      </c>
      <c r="C132" s="4">
        <v>9</v>
      </c>
      <c r="D132" s="4">
        <v>7</v>
      </c>
      <c r="E132" s="4">
        <v>1</v>
      </c>
      <c r="F132" s="4">
        <v>1</v>
      </c>
      <c r="G132" s="4">
        <v>1</v>
      </c>
      <c r="H132" s="4">
        <v>1</v>
      </c>
      <c r="I132" s="4">
        <v>0</v>
      </c>
      <c r="J132" s="4">
        <v>0</v>
      </c>
      <c r="K132" s="4">
        <v>0</v>
      </c>
    </row>
    <row r="133" spans="1:11" x14ac:dyDescent="0.2">
      <c r="A133" s="4">
        <v>4.6900000000000004</v>
      </c>
      <c r="B133" s="4">
        <v>10</v>
      </c>
      <c r="C133" s="4">
        <v>7</v>
      </c>
      <c r="D133" s="4">
        <v>7</v>
      </c>
      <c r="E133" s="4">
        <v>0</v>
      </c>
      <c r="F133" s="4">
        <v>0</v>
      </c>
      <c r="G133" s="4">
        <v>0</v>
      </c>
      <c r="H133" s="4">
        <v>1</v>
      </c>
      <c r="I133" s="4">
        <v>0</v>
      </c>
      <c r="J133" s="4">
        <v>0</v>
      </c>
      <c r="K133" s="4">
        <v>0</v>
      </c>
    </row>
    <row r="134" spans="1:11" x14ac:dyDescent="0.2">
      <c r="A134" s="4">
        <v>6</v>
      </c>
      <c r="B134" s="4">
        <v>12</v>
      </c>
      <c r="C134" s="4">
        <v>7</v>
      </c>
      <c r="D134" s="4">
        <v>7</v>
      </c>
      <c r="E134" s="4">
        <v>0</v>
      </c>
      <c r="F134" s="4">
        <v>1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</row>
    <row r="135" spans="1:11" x14ac:dyDescent="0.2">
      <c r="A135" s="4">
        <v>15</v>
      </c>
      <c r="B135" s="4">
        <v>14</v>
      </c>
      <c r="C135" s="4">
        <v>7</v>
      </c>
      <c r="D135" s="4">
        <v>7</v>
      </c>
      <c r="E135" s="4">
        <v>0</v>
      </c>
      <c r="F135" s="4">
        <v>1</v>
      </c>
      <c r="G135" s="4">
        <v>1</v>
      </c>
      <c r="H135" s="4">
        <v>0</v>
      </c>
      <c r="I135" s="4">
        <v>0</v>
      </c>
      <c r="J135" s="4">
        <v>0</v>
      </c>
      <c r="K135" s="4">
        <v>0</v>
      </c>
    </row>
    <row r="136" spans="1:11" x14ac:dyDescent="0.2">
      <c r="A136" s="4">
        <v>3.54</v>
      </c>
      <c r="B136" s="4">
        <v>13</v>
      </c>
      <c r="C136" s="4">
        <v>6</v>
      </c>
      <c r="D136" s="4">
        <v>7</v>
      </c>
      <c r="E136" s="4">
        <v>1</v>
      </c>
      <c r="F136" s="4">
        <v>1</v>
      </c>
      <c r="G136" s="4">
        <v>0</v>
      </c>
      <c r="H136" s="4">
        <v>1</v>
      </c>
      <c r="I136" s="4">
        <v>0</v>
      </c>
      <c r="J136" s="4">
        <v>0</v>
      </c>
      <c r="K136" s="4">
        <v>0</v>
      </c>
    </row>
    <row r="137" spans="1:11" x14ac:dyDescent="0.2">
      <c r="A137" s="4">
        <v>3.95</v>
      </c>
      <c r="B137" s="4">
        <v>6</v>
      </c>
      <c r="C137" s="9">
        <v>43.93</v>
      </c>
      <c r="D137" s="4">
        <v>6</v>
      </c>
      <c r="E137" s="4">
        <v>0</v>
      </c>
      <c r="F137" s="4">
        <v>1</v>
      </c>
      <c r="G137" s="4">
        <v>6</v>
      </c>
      <c r="H137" s="4">
        <v>0</v>
      </c>
      <c r="I137" s="4">
        <v>1</v>
      </c>
      <c r="J137" s="4">
        <v>0</v>
      </c>
      <c r="K137" s="4">
        <v>0</v>
      </c>
    </row>
    <row r="138" spans="1:11" x14ac:dyDescent="0.2">
      <c r="A138" s="4">
        <v>2.9</v>
      </c>
      <c r="B138" s="4">
        <v>8</v>
      </c>
      <c r="C138" s="9">
        <v>43.93</v>
      </c>
      <c r="D138" s="4">
        <v>6</v>
      </c>
      <c r="E138" s="4">
        <v>1</v>
      </c>
      <c r="F138" s="4">
        <v>0</v>
      </c>
      <c r="G138" s="4">
        <v>1</v>
      </c>
      <c r="H138" s="4">
        <v>0</v>
      </c>
      <c r="I138" s="4">
        <v>0</v>
      </c>
      <c r="J138" s="4">
        <v>0</v>
      </c>
      <c r="K138" s="4">
        <v>0</v>
      </c>
    </row>
    <row r="139" spans="1:11" x14ac:dyDescent="0.2">
      <c r="A139" s="4">
        <v>4</v>
      </c>
      <c r="B139" s="4">
        <v>12</v>
      </c>
      <c r="C139" s="4">
        <v>43</v>
      </c>
      <c r="D139" s="4">
        <v>6</v>
      </c>
      <c r="E139" s="4">
        <v>1</v>
      </c>
      <c r="F139" s="4">
        <v>1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</row>
    <row r="140" spans="1:11" x14ac:dyDescent="0.2">
      <c r="A140" s="4">
        <v>10.63</v>
      </c>
      <c r="B140" s="4">
        <v>12</v>
      </c>
      <c r="C140" s="4">
        <v>36</v>
      </c>
      <c r="D140" s="4">
        <v>6</v>
      </c>
      <c r="E140" s="4">
        <v>1</v>
      </c>
      <c r="F140" s="4">
        <v>1</v>
      </c>
      <c r="G140" s="4">
        <v>0</v>
      </c>
      <c r="H140" s="4">
        <v>0</v>
      </c>
      <c r="I140" s="4">
        <v>0</v>
      </c>
      <c r="J140" s="4">
        <v>1</v>
      </c>
      <c r="K140" s="4">
        <v>0</v>
      </c>
    </row>
    <row r="141" spans="1:11" x14ac:dyDescent="0.2">
      <c r="A141" s="4">
        <v>6.25</v>
      </c>
      <c r="B141" s="4">
        <v>12</v>
      </c>
      <c r="C141" s="4">
        <v>21</v>
      </c>
      <c r="D141" s="4">
        <v>6</v>
      </c>
      <c r="E141" s="4">
        <v>0</v>
      </c>
      <c r="F141" s="4">
        <v>1</v>
      </c>
      <c r="G141" s="4">
        <v>3</v>
      </c>
      <c r="H141" s="4">
        <v>0</v>
      </c>
      <c r="I141" s="4">
        <v>1</v>
      </c>
      <c r="J141" s="4">
        <v>0</v>
      </c>
      <c r="K141" s="4">
        <v>0</v>
      </c>
    </row>
    <row r="142" spans="1:11" x14ac:dyDescent="0.2">
      <c r="A142" s="4">
        <v>5.8</v>
      </c>
      <c r="B142" s="4">
        <v>12</v>
      </c>
      <c r="C142" s="4">
        <v>19</v>
      </c>
      <c r="D142" s="4">
        <v>6</v>
      </c>
      <c r="E142" s="4">
        <v>1</v>
      </c>
      <c r="F142" s="4">
        <v>1</v>
      </c>
      <c r="G142" s="4">
        <v>2</v>
      </c>
      <c r="H142" s="4">
        <v>1</v>
      </c>
      <c r="I142" s="4">
        <v>0</v>
      </c>
      <c r="J142" s="4">
        <v>0</v>
      </c>
      <c r="K142" s="4">
        <v>0</v>
      </c>
    </row>
    <row r="143" spans="1:11" x14ac:dyDescent="0.2">
      <c r="A143" s="4">
        <v>8</v>
      </c>
      <c r="B143" s="4">
        <v>12</v>
      </c>
      <c r="C143" s="4">
        <v>17</v>
      </c>
      <c r="D143" s="4">
        <v>6</v>
      </c>
      <c r="E143" s="4">
        <v>0</v>
      </c>
      <c r="F143" s="4">
        <v>1</v>
      </c>
      <c r="G143" s="4">
        <v>2</v>
      </c>
      <c r="H143" s="4">
        <v>0</v>
      </c>
      <c r="I143" s="4">
        <v>1</v>
      </c>
      <c r="J143" s="4">
        <v>0</v>
      </c>
      <c r="K143" s="4">
        <v>0</v>
      </c>
    </row>
    <row r="144" spans="1:11" x14ac:dyDescent="0.2">
      <c r="A144" s="4">
        <v>6.15</v>
      </c>
      <c r="B144" s="4">
        <v>12</v>
      </c>
      <c r="C144" s="4">
        <v>15</v>
      </c>
      <c r="D144" s="4">
        <v>6</v>
      </c>
      <c r="E144" s="4">
        <v>1</v>
      </c>
      <c r="F144" s="4">
        <v>1</v>
      </c>
      <c r="G144" s="4">
        <v>1</v>
      </c>
      <c r="H144" s="4">
        <v>0</v>
      </c>
      <c r="I144" s="4">
        <v>0</v>
      </c>
      <c r="J144" s="4">
        <v>1</v>
      </c>
      <c r="K144" s="4">
        <v>0</v>
      </c>
    </row>
    <row r="145" spans="1:11" x14ac:dyDescent="0.2">
      <c r="A145" s="4">
        <v>5.91</v>
      </c>
      <c r="B145" s="4">
        <v>12</v>
      </c>
      <c r="C145" s="4">
        <v>14</v>
      </c>
      <c r="D145" s="4">
        <v>6</v>
      </c>
      <c r="E145" s="4">
        <v>0</v>
      </c>
      <c r="F145" s="4">
        <v>1</v>
      </c>
      <c r="G145" s="4">
        <v>2</v>
      </c>
      <c r="H145" s="4">
        <v>0</v>
      </c>
      <c r="I145" s="4">
        <v>0</v>
      </c>
      <c r="J145" s="4">
        <v>0</v>
      </c>
      <c r="K145" s="4">
        <v>0</v>
      </c>
    </row>
    <row r="146" spans="1:11" x14ac:dyDescent="0.2">
      <c r="A146" s="4">
        <v>8.5299999999999994</v>
      </c>
      <c r="B146" s="4">
        <v>10</v>
      </c>
      <c r="C146" s="4">
        <v>14</v>
      </c>
      <c r="D146" s="4">
        <v>6</v>
      </c>
      <c r="E146" s="4">
        <v>0</v>
      </c>
      <c r="F146" s="4">
        <v>1</v>
      </c>
      <c r="G146" s="4">
        <v>0</v>
      </c>
      <c r="H146" s="4">
        <v>0</v>
      </c>
      <c r="I146" s="4">
        <v>1</v>
      </c>
      <c r="J146" s="4">
        <v>0</v>
      </c>
      <c r="K146" s="4">
        <v>0</v>
      </c>
    </row>
    <row r="147" spans="1:11" x14ac:dyDescent="0.2">
      <c r="A147" s="4">
        <v>8.43</v>
      </c>
      <c r="B147" s="4">
        <v>16</v>
      </c>
      <c r="C147" s="4">
        <v>8</v>
      </c>
      <c r="D147" s="4">
        <v>6</v>
      </c>
      <c r="E147" s="4">
        <v>0</v>
      </c>
      <c r="F147" s="4">
        <v>1</v>
      </c>
      <c r="G147" s="4">
        <v>0</v>
      </c>
      <c r="H147" s="4">
        <v>0</v>
      </c>
      <c r="I147" s="4">
        <v>1</v>
      </c>
      <c r="J147" s="4">
        <v>0</v>
      </c>
      <c r="K147" s="4">
        <v>0</v>
      </c>
    </row>
    <row r="148" spans="1:11" x14ac:dyDescent="0.2">
      <c r="A148" s="4">
        <v>6.45</v>
      </c>
      <c r="B148" s="4">
        <v>12</v>
      </c>
      <c r="C148" s="4">
        <v>7</v>
      </c>
      <c r="D148" s="4">
        <v>6</v>
      </c>
      <c r="E148" s="10">
        <v>2</v>
      </c>
      <c r="F148" s="4">
        <v>1</v>
      </c>
      <c r="G148" s="4">
        <v>0</v>
      </c>
      <c r="H148" s="4">
        <v>0</v>
      </c>
      <c r="I148" s="4">
        <v>1</v>
      </c>
      <c r="J148" s="4">
        <v>0</v>
      </c>
      <c r="K148" s="4">
        <v>0</v>
      </c>
    </row>
    <row r="149" spans="1:11" x14ac:dyDescent="0.2">
      <c r="A149" s="4">
        <v>3.5</v>
      </c>
      <c r="B149" s="4">
        <v>12</v>
      </c>
      <c r="C149" s="4">
        <v>7</v>
      </c>
      <c r="D149" s="4">
        <v>6</v>
      </c>
      <c r="E149" s="4">
        <v>1</v>
      </c>
      <c r="F149" s="4">
        <v>1</v>
      </c>
      <c r="G149" s="4">
        <v>0</v>
      </c>
      <c r="H149" s="4">
        <v>1</v>
      </c>
      <c r="I149" s="4">
        <v>0</v>
      </c>
      <c r="J149" s="4">
        <v>0</v>
      </c>
      <c r="K149" s="4">
        <v>0</v>
      </c>
    </row>
    <row r="150" spans="1:11" x14ac:dyDescent="0.2">
      <c r="A150" s="4">
        <v>5.13</v>
      </c>
      <c r="B150" s="4">
        <v>15</v>
      </c>
      <c r="C150" s="4">
        <v>6</v>
      </c>
      <c r="D150" s="4">
        <v>6</v>
      </c>
      <c r="E150" s="10">
        <v>2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</row>
    <row r="151" spans="1:11" x14ac:dyDescent="0.2">
      <c r="A151" s="4">
        <v>2</v>
      </c>
      <c r="B151" s="4">
        <v>13</v>
      </c>
      <c r="C151" s="4">
        <v>2</v>
      </c>
      <c r="D151" s="4">
        <v>6</v>
      </c>
      <c r="E151" s="4">
        <v>1</v>
      </c>
      <c r="F151" s="4">
        <v>0</v>
      </c>
      <c r="G151" s="4">
        <v>0</v>
      </c>
      <c r="H151" s="4">
        <v>1</v>
      </c>
      <c r="I151" s="4">
        <v>0</v>
      </c>
      <c r="J151" s="4">
        <v>0</v>
      </c>
      <c r="K151" s="4">
        <v>0</v>
      </c>
    </row>
    <row r="152" spans="1:11" x14ac:dyDescent="0.2">
      <c r="A152" s="4">
        <v>7.14</v>
      </c>
      <c r="B152" s="4">
        <v>12</v>
      </c>
      <c r="C152" s="4">
        <v>43</v>
      </c>
      <c r="D152" s="4">
        <v>5</v>
      </c>
      <c r="E152" s="4">
        <v>1</v>
      </c>
      <c r="F152" s="4">
        <v>0</v>
      </c>
      <c r="G152" s="4">
        <v>0</v>
      </c>
      <c r="H152" s="4">
        <v>1</v>
      </c>
      <c r="I152" s="4">
        <v>0</v>
      </c>
      <c r="J152" s="4">
        <v>0</v>
      </c>
      <c r="K152" s="4">
        <v>0</v>
      </c>
    </row>
    <row r="153" spans="1:11" x14ac:dyDescent="0.2">
      <c r="A153" s="4">
        <v>12.39</v>
      </c>
      <c r="B153" s="4">
        <v>14</v>
      </c>
      <c r="C153" s="4">
        <v>42</v>
      </c>
      <c r="D153" s="4">
        <v>5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</row>
    <row r="154" spans="1:11" x14ac:dyDescent="0.2">
      <c r="A154" s="4">
        <v>10.92</v>
      </c>
      <c r="B154" s="4">
        <v>12</v>
      </c>
      <c r="C154" s="4">
        <v>34</v>
      </c>
      <c r="D154" s="4">
        <v>5</v>
      </c>
      <c r="E154" s="4">
        <v>0</v>
      </c>
      <c r="F154" s="4">
        <v>1</v>
      </c>
      <c r="G154" s="4">
        <v>0</v>
      </c>
      <c r="H154" s="4">
        <v>0</v>
      </c>
      <c r="I154" s="4">
        <v>1</v>
      </c>
      <c r="J154" s="4">
        <v>0</v>
      </c>
      <c r="K154" s="4">
        <v>0</v>
      </c>
    </row>
    <row r="155" spans="1:11" x14ac:dyDescent="0.2">
      <c r="A155" s="4">
        <v>8</v>
      </c>
      <c r="B155" s="4">
        <v>13</v>
      </c>
      <c r="C155" s="4">
        <v>28</v>
      </c>
      <c r="D155" s="4">
        <v>5</v>
      </c>
      <c r="E155" s="4">
        <v>0</v>
      </c>
      <c r="F155" s="4">
        <v>1</v>
      </c>
      <c r="G155" s="4">
        <v>1</v>
      </c>
      <c r="H155" s="4">
        <v>1</v>
      </c>
      <c r="I155" s="4">
        <v>0</v>
      </c>
      <c r="J155" s="4">
        <v>0</v>
      </c>
      <c r="K155" s="4">
        <v>0</v>
      </c>
    </row>
    <row r="156" spans="1:11" x14ac:dyDescent="0.2">
      <c r="A156" s="4">
        <v>5</v>
      </c>
      <c r="B156" s="10">
        <v>12</v>
      </c>
      <c r="C156" s="4">
        <v>24</v>
      </c>
      <c r="D156" s="4">
        <v>5</v>
      </c>
      <c r="E156" s="4">
        <v>0</v>
      </c>
      <c r="F156" s="4">
        <v>1</v>
      </c>
      <c r="G156" s="4">
        <v>0</v>
      </c>
      <c r="H156" s="4">
        <v>0</v>
      </c>
      <c r="I156" s="4">
        <v>1</v>
      </c>
      <c r="J156" s="4">
        <v>0</v>
      </c>
      <c r="K156" s="4">
        <v>0</v>
      </c>
    </row>
    <row r="157" spans="1:11" x14ac:dyDescent="0.2">
      <c r="A157" s="4">
        <v>13</v>
      </c>
      <c r="B157" s="4">
        <v>14</v>
      </c>
      <c r="C157" s="4">
        <v>23</v>
      </c>
      <c r="D157" s="4">
        <v>5</v>
      </c>
      <c r="E157" s="4">
        <v>0</v>
      </c>
      <c r="F157" s="4">
        <v>1</v>
      </c>
      <c r="G157" s="4">
        <v>2</v>
      </c>
      <c r="H157" s="4">
        <v>0</v>
      </c>
      <c r="I157" s="4">
        <v>0</v>
      </c>
      <c r="J157" s="4">
        <v>1</v>
      </c>
      <c r="K157" s="4">
        <v>0</v>
      </c>
    </row>
    <row r="158" spans="1:11" x14ac:dyDescent="0.2">
      <c r="A158" s="4">
        <v>4.5</v>
      </c>
      <c r="B158" s="4">
        <v>9</v>
      </c>
      <c r="C158" s="4">
        <v>22</v>
      </c>
      <c r="D158" s="4">
        <v>5</v>
      </c>
      <c r="E158" s="4">
        <v>0</v>
      </c>
      <c r="F158" s="4">
        <v>1</v>
      </c>
      <c r="G158" s="4">
        <v>4</v>
      </c>
      <c r="H158" s="4">
        <v>0</v>
      </c>
      <c r="I158" s="4">
        <v>0</v>
      </c>
      <c r="J158" s="4">
        <v>0</v>
      </c>
      <c r="K158" s="4">
        <v>0</v>
      </c>
    </row>
    <row r="159" spans="1:11" x14ac:dyDescent="0.2">
      <c r="A159" s="4">
        <v>8.18</v>
      </c>
      <c r="B159" s="4">
        <v>13</v>
      </c>
      <c r="C159" s="4">
        <v>21</v>
      </c>
      <c r="D159" s="4">
        <v>5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1</v>
      </c>
      <c r="K159" s="4">
        <v>0</v>
      </c>
    </row>
    <row r="160" spans="1:11" x14ac:dyDescent="0.2">
      <c r="A160" s="4">
        <v>10</v>
      </c>
      <c r="B160" s="4">
        <v>12</v>
      </c>
      <c r="C160" s="4">
        <v>20</v>
      </c>
      <c r="D160" s="4">
        <v>5</v>
      </c>
      <c r="E160" s="4">
        <v>1</v>
      </c>
      <c r="F160" s="4">
        <v>1</v>
      </c>
      <c r="G160" s="4">
        <v>4</v>
      </c>
      <c r="H160" s="4">
        <v>0</v>
      </c>
      <c r="I160" s="4">
        <v>0</v>
      </c>
      <c r="J160" s="4">
        <v>1</v>
      </c>
      <c r="K160" s="4">
        <v>0</v>
      </c>
    </row>
    <row r="161" spans="1:11" x14ac:dyDescent="0.2">
      <c r="A161" s="4">
        <v>11.55</v>
      </c>
      <c r="B161" s="4">
        <v>16</v>
      </c>
      <c r="C161" s="4">
        <v>20</v>
      </c>
      <c r="D161" s="4">
        <v>5</v>
      </c>
      <c r="E161" s="4">
        <v>1</v>
      </c>
      <c r="F161" s="4">
        <v>1</v>
      </c>
      <c r="G161" s="4">
        <v>3</v>
      </c>
      <c r="H161" s="4">
        <v>0</v>
      </c>
      <c r="I161" s="4">
        <v>1</v>
      </c>
      <c r="J161" s="4">
        <v>0</v>
      </c>
      <c r="K161" s="4">
        <v>1</v>
      </c>
    </row>
    <row r="162" spans="1:11" x14ac:dyDescent="0.2">
      <c r="A162" s="4">
        <v>5</v>
      </c>
      <c r="B162" s="4">
        <v>14</v>
      </c>
      <c r="C162" s="4">
        <v>19</v>
      </c>
      <c r="D162" s="4">
        <v>5</v>
      </c>
      <c r="E162" s="4">
        <v>0</v>
      </c>
      <c r="F162" s="4">
        <v>1</v>
      </c>
      <c r="G162" s="4">
        <v>4</v>
      </c>
      <c r="H162" s="4">
        <v>0</v>
      </c>
      <c r="I162" s="4">
        <v>1</v>
      </c>
      <c r="J162" s="4">
        <v>0</v>
      </c>
      <c r="K162" s="4">
        <v>0</v>
      </c>
    </row>
    <row r="163" spans="1:11" x14ac:dyDescent="0.2">
      <c r="A163" s="4">
        <v>7.5</v>
      </c>
      <c r="B163" s="4">
        <v>12</v>
      </c>
      <c r="C163" s="4">
        <v>18</v>
      </c>
      <c r="D163" s="4">
        <v>5</v>
      </c>
      <c r="E163" s="4">
        <v>0</v>
      </c>
      <c r="F163" s="4">
        <v>1</v>
      </c>
      <c r="G163" s="4">
        <v>2</v>
      </c>
      <c r="H163" s="4">
        <v>0</v>
      </c>
      <c r="I163" s="4">
        <v>0</v>
      </c>
      <c r="J163" s="4">
        <v>1</v>
      </c>
      <c r="K163" s="4">
        <v>0</v>
      </c>
    </row>
    <row r="164" spans="1:11" x14ac:dyDescent="0.2">
      <c r="A164" s="4">
        <v>10</v>
      </c>
      <c r="B164" s="4">
        <v>14</v>
      </c>
      <c r="C164" s="4">
        <v>18</v>
      </c>
      <c r="D164" s="4">
        <v>5</v>
      </c>
      <c r="E164" s="4">
        <v>0</v>
      </c>
      <c r="F164" s="4">
        <v>1</v>
      </c>
      <c r="G164" s="4">
        <v>2</v>
      </c>
      <c r="H164" s="4">
        <v>0</v>
      </c>
      <c r="I164" s="4">
        <v>1</v>
      </c>
      <c r="J164" s="4">
        <v>0</v>
      </c>
      <c r="K164" s="4">
        <v>0</v>
      </c>
    </row>
    <row r="165" spans="1:11" x14ac:dyDescent="0.2">
      <c r="A165" s="4">
        <v>12.5</v>
      </c>
      <c r="B165" s="4">
        <v>18</v>
      </c>
      <c r="C165" s="4">
        <v>16</v>
      </c>
      <c r="D165" s="4">
        <v>5</v>
      </c>
      <c r="E165" s="4">
        <v>0</v>
      </c>
      <c r="F165" s="4">
        <v>1</v>
      </c>
      <c r="G165" s="4">
        <v>1</v>
      </c>
      <c r="H165" s="4">
        <v>1</v>
      </c>
      <c r="I165" s="4">
        <v>0</v>
      </c>
      <c r="J165" s="4">
        <v>0</v>
      </c>
      <c r="K165" s="4">
        <v>0</v>
      </c>
    </row>
    <row r="166" spans="1:11" x14ac:dyDescent="0.2">
      <c r="A166" s="4">
        <v>5</v>
      </c>
      <c r="B166" s="4">
        <v>12</v>
      </c>
      <c r="C166" s="4">
        <v>15</v>
      </c>
      <c r="D166" s="4">
        <v>5</v>
      </c>
      <c r="E166" s="4">
        <v>0</v>
      </c>
      <c r="F166" s="4">
        <v>1</v>
      </c>
      <c r="G166" s="4">
        <v>1</v>
      </c>
      <c r="H166" s="4">
        <v>0</v>
      </c>
      <c r="I166" s="4">
        <v>0</v>
      </c>
      <c r="J166" s="4">
        <v>0</v>
      </c>
      <c r="K166" s="4">
        <v>0</v>
      </c>
    </row>
    <row r="167" spans="1:11" x14ac:dyDescent="0.2">
      <c r="A167" s="4">
        <v>5</v>
      </c>
      <c r="B167" s="10">
        <v>12</v>
      </c>
      <c r="C167" s="4">
        <v>15</v>
      </c>
      <c r="D167" s="4">
        <v>5</v>
      </c>
      <c r="E167" s="4">
        <v>0</v>
      </c>
      <c r="F167" s="4">
        <v>1</v>
      </c>
      <c r="G167" s="4">
        <v>2</v>
      </c>
      <c r="H167" s="4">
        <v>0</v>
      </c>
      <c r="I167" s="4">
        <v>1</v>
      </c>
      <c r="J167" s="4">
        <v>0</v>
      </c>
      <c r="K167" s="4">
        <v>0</v>
      </c>
    </row>
    <row r="168" spans="1:11" x14ac:dyDescent="0.2">
      <c r="A168" s="4">
        <v>3.2</v>
      </c>
      <c r="B168" s="4">
        <v>12</v>
      </c>
      <c r="C168" s="4">
        <v>15</v>
      </c>
      <c r="D168" s="4">
        <v>5</v>
      </c>
      <c r="E168" s="4">
        <v>1</v>
      </c>
      <c r="F168" s="4">
        <v>1</v>
      </c>
      <c r="G168" s="4">
        <v>1</v>
      </c>
      <c r="H168" s="4">
        <v>0</v>
      </c>
      <c r="I168" s="4">
        <v>1</v>
      </c>
      <c r="J168" s="4">
        <v>0</v>
      </c>
      <c r="K168" s="4">
        <v>0</v>
      </c>
    </row>
    <row r="169" spans="1:11" x14ac:dyDescent="0.2">
      <c r="A169" s="4">
        <v>3.26</v>
      </c>
      <c r="B169" s="4">
        <v>16</v>
      </c>
      <c r="C169" s="4">
        <v>15</v>
      </c>
      <c r="D169" s="4">
        <v>5</v>
      </c>
      <c r="E169" s="4">
        <v>1</v>
      </c>
      <c r="F169" s="4">
        <v>1</v>
      </c>
      <c r="G169" s="4">
        <v>2</v>
      </c>
      <c r="H169" s="4">
        <v>0</v>
      </c>
      <c r="I169" s="4">
        <v>1</v>
      </c>
      <c r="J169" s="4">
        <v>0</v>
      </c>
      <c r="K169" s="4">
        <v>0</v>
      </c>
    </row>
    <row r="170" spans="1:11" x14ac:dyDescent="0.2">
      <c r="A170" s="4">
        <v>4.24</v>
      </c>
      <c r="B170" s="4">
        <v>10</v>
      </c>
      <c r="C170" s="4">
        <v>14</v>
      </c>
      <c r="D170" s="4">
        <v>5</v>
      </c>
      <c r="E170" s="10">
        <v>2</v>
      </c>
      <c r="F170" s="4">
        <v>1</v>
      </c>
      <c r="G170" s="4">
        <v>1</v>
      </c>
      <c r="H170" s="4">
        <v>0</v>
      </c>
      <c r="I170" s="4">
        <v>1</v>
      </c>
      <c r="J170" s="4">
        <v>0</v>
      </c>
      <c r="K170" s="4">
        <v>0</v>
      </c>
    </row>
    <row r="171" spans="1:11" x14ac:dyDescent="0.2">
      <c r="A171" s="4">
        <v>7.25</v>
      </c>
      <c r="B171" s="4">
        <v>12</v>
      </c>
      <c r="C171" s="4">
        <v>14</v>
      </c>
      <c r="D171" s="4">
        <v>5</v>
      </c>
      <c r="E171" s="4">
        <v>0</v>
      </c>
      <c r="F171" s="4">
        <v>1</v>
      </c>
      <c r="G171" s="4">
        <v>3</v>
      </c>
      <c r="H171" s="4">
        <v>0</v>
      </c>
      <c r="I171" s="4">
        <v>0</v>
      </c>
      <c r="J171" s="4">
        <v>1</v>
      </c>
      <c r="K171" s="4">
        <v>0</v>
      </c>
    </row>
    <row r="172" spans="1:11" x14ac:dyDescent="0.2">
      <c r="A172" s="4">
        <v>9</v>
      </c>
      <c r="B172" s="4">
        <v>12</v>
      </c>
      <c r="C172" s="4">
        <v>11</v>
      </c>
      <c r="D172" s="4">
        <v>5</v>
      </c>
      <c r="E172" s="4">
        <v>1</v>
      </c>
      <c r="F172" s="4">
        <v>1</v>
      </c>
      <c r="G172" s="4">
        <v>0</v>
      </c>
      <c r="H172" s="4">
        <v>1</v>
      </c>
      <c r="I172" s="4">
        <v>0</v>
      </c>
      <c r="J172" s="4">
        <v>0</v>
      </c>
      <c r="K172" s="4">
        <v>0</v>
      </c>
    </row>
    <row r="173" spans="1:11" x14ac:dyDescent="0.2">
      <c r="A173" s="4">
        <v>5.71</v>
      </c>
      <c r="B173" s="4">
        <v>16</v>
      </c>
      <c r="C173" s="4">
        <v>10</v>
      </c>
      <c r="D173" s="4">
        <v>5</v>
      </c>
      <c r="E173" s="4">
        <v>0</v>
      </c>
      <c r="F173" s="4">
        <v>1</v>
      </c>
      <c r="G173" s="4">
        <v>1</v>
      </c>
      <c r="H173" s="4">
        <v>0</v>
      </c>
      <c r="I173" s="4">
        <v>0</v>
      </c>
      <c r="J173" s="4">
        <v>0</v>
      </c>
      <c r="K173" s="4">
        <v>0</v>
      </c>
    </row>
    <row r="174" spans="1:11" x14ac:dyDescent="0.2">
      <c r="A174" s="4">
        <v>6.5</v>
      </c>
      <c r="B174" s="4">
        <v>12</v>
      </c>
      <c r="C174" s="4">
        <v>8</v>
      </c>
      <c r="D174" s="4">
        <v>5</v>
      </c>
      <c r="E174" s="4">
        <v>1</v>
      </c>
      <c r="F174" s="4">
        <v>1</v>
      </c>
      <c r="G174" s="4">
        <v>0</v>
      </c>
      <c r="H174" s="4">
        <v>0</v>
      </c>
      <c r="I174" s="4">
        <v>1</v>
      </c>
      <c r="J174" s="4">
        <v>0</v>
      </c>
      <c r="K174" s="4">
        <v>0</v>
      </c>
    </row>
    <row r="175" spans="1:11" x14ac:dyDescent="0.2">
      <c r="A175" s="4">
        <v>6.67</v>
      </c>
      <c r="B175" s="4">
        <v>12</v>
      </c>
      <c r="C175" s="4">
        <v>7</v>
      </c>
      <c r="D175" s="4">
        <v>5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</row>
    <row r="176" spans="1:11" x14ac:dyDescent="0.2">
      <c r="A176" s="4">
        <v>7</v>
      </c>
      <c r="B176" s="4">
        <v>12</v>
      </c>
      <c r="C176" s="4">
        <v>6</v>
      </c>
      <c r="D176" s="4">
        <v>5</v>
      </c>
      <c r="E176" s="4">
        <v>0</v>
      </c>
      <c r="F176" s="4">
        <v>1</v>
      </c>
      <c r="G176" s="4">
        <v>1</v>
      </c>
      <c r="H176" s="4">
        <v>0</v>
      </c>
      <c r="I176" s="4">
        <v>1</v>
      </c>
      <c r="J176" s="4">
        <v>0</v>
      </c>
      <c r="K176" s="4">
        <v>1</v>
      </c>
    </row>
    <row r="177" spans="1:11" x14ac:dyDescent="0.2">
      <c r="A177" s="4">
        <v>3.13</v>
      </c>
      <c r="B177" s="4">
        <v>12</v>
      </c>
      <c r="C177" s="4">
        <v>6</v>
      </c>
      <c r="D177" s="4">
        <v>5</v>
      </c>
      <c r="E177" s="4">
        <v>1</v>
      </c>
      <c r="F177" s="4">
        <v>1</v>
      </c>
      <c r="G177" s="4">
        <v>1</v>
      </c>
      <c r="H177" s="4">
        <v>0</v>
      </c>
      <c r="I177" s="4">
        <v>1</v>
      </c>
      <c r="J177" s="4">
        <v>0</v>
      </c>
      <c r="K177" s="4">
        <v>0</v>
      </c>
    </row>
    <row r="178" spans="1:11" x14ac:dyDescent="0.2">
      <c r="A178" s="4">
        <v>6.25</v>
      </c>
      <c r="B178" s="10">
        <v>12</v>
      </c>
      <c r="C178" s="4">
        <v>6</v>
      </c>
      <c r="D178" s="4">
        <v>5</v>
      </c>
      <c r="E178" s="4">
        <v>1</v>
      </c>
      <c r="F178" s="4">
        <v>1</v>
      </c>
      <c r="G178" s="4">
        <v>1</v>
      </c>
      <c r="H178" s="4">
        <v>1</v>
      </c>
      <c r="I178" s="4">
        <v>0</v>
      </c>
      <c r="J178" s="4">
        <v>0</v>
      </c>
      <c r="K178" s="4">
        <v>0</v>
      </c>
    </row>
    <row r="179" spans="1:11" x14ac:dyDescent="0.2">
      <c r="A179" s="4">
        <v>5.75</v>
      </c>
      <c r="B179" s="4">
        <v>14</v>
      </c>
      <c r="C179" s="4">
        <v>6</v>
      </c>
      <c r="D179" s="4">
        <v>5</v>
      </c>
      <c r="E179" s="4">
        <v>0</v>
      </c>
      <c r="F179" s="4">
        <v>1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</row>
    <row r="180" spans="1:11" x14ac:dyDescent="0.2">
      <c r="A180" s="4">
        <v>3.45</v>
      </c>
      <c r="B180" s="4">
        <v>12</v>
      </c>
      <c r="C180" s="4">
        <v>6</v>
      </c>
      <c r="D180" s="4">
        <v>5</v>
      </c>
      <c r="E180" s="4">
        <v>1</v>
      </c>
      <c r="F180" s="4">
        <v>1</v>
      </c>
      <c r="G180" s="4">
        <v>0</v>
      </c>
      <c r="H180" s="4">
        <v>0</v>
      </c>
      <c r="I180" s="4">
        <v>1</v>
      </c>
      <c r="J180" s="4">
        <v>0</v>
      </c>
      <c r="K180" s="4">
        <v>0</v>
      </c>
    </row>
    <row r="181" spans="1:11" x14ac:dyDescent="0.2">
      <c r="A181" s="4">
        <v>4.5</v>
      </c>
      <c r="B181" s="4">
        <v>14</v>
      </c>
      <c r="C181" s="4">
        <v>2</v>
      </c>
      <c r="D181" s="4">
        <v>5</v>
      </c>
      <c r="E181" s="4">
        <v>1</v>
      </c>
      <c r="F181" s="4">
        <v>0</v>
      </c>
      <c r="G181" s="4">
        <v>2</v>
      </c>
      <c r="H181" s="4">
        <v>0</v>
      </c>
      <c r="I181" s="4">
        <v>0</v>
      </c>
      <c r="J181" s="4">
        <v>1</v>
      </c>
      <c r="K181" s="4">
        <v>0</v>
      </c>
    </row>
    <row r="182" spans="1:11" x14ac:dyDescent="0.2">
      <c r="A182" s="4">
        <v>4.5</v>
      </c>
      <c r="B182" s="4">
        <v>12</v>
      </c>
      <c r="C182" s="9">
        <v>43.93</v>
      </c>
      <c r="D182" s="4">
        <v>4</v>
      </c>
      <c r="E182" s="4">
        <v>1</v>
      </c>
      <c r="F182" s="4">
        <v>1</v>
      </c>
      <c r="G182" s="4">
        <v>0</v>
      </c>
      <c r="H182" s="4">
        <v>1</v>
      </c>
      <c r="I182" s="4">
        <v>0</v>
      </c>
      <c r="J182" s="4">
        <v>0</v>
      </c>
      <c r="K182" s="4">
        <v>0</v>
      </c>
    </row>
    <row r="183" spans="1:11" x14ac:dyDescent="0.2">
      <c r="A183" s="4">
        <v>3.33</v>
      </c>
      <c r="B183" s="4">
        <v>12</v>
      </c>
      <c r="C183" s="9">
        <v>43.93</v>
      </c>
      <c r="D183" s="4">
        <v>4</v>
      </c>
      <c r="E183" s="4">
        <v>1</v>
      </c>
      <c r="F183" s="4">
        <v>1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</row>
    <row r="184" spans="1:11" x14ac:dyDescent="0.2">
      <c r="A184" s="4">
        <v>10</v>
      </c>
      <c r="B184" s="4">
        <v>14</v>
      </c>
      <c r="C184" s="4">
        <v>43</v>
      </c>
      <c r="D184" s="4">
        <v>4</v>
      </c>
      <c r="E184" s="10">
        <v>2</v>
      </c>
      <c r="F184" s="4">
        <v>1</v>
      </c>
      <c r="G184" s="4">
        <v>0</v>
      </c>
      <c r="H184" s="4">
        <v>1</v>
      </c>
      <c r="I184" s="4">
        <v>0</v>
      </c>
      <c r="J184" s="4">
        <v>0</v>
      </c>
      <c r="K184" s="4">
        <v>0</v>
      </c>
    </row>
    <row r="185" spans="1:11" x14ac:dyDescent="0.2">
      <c r="A185" s="4">
        <v>4.5</v>
      </c>
      <c r="B185" s="4">
        <v>12</v>
      </c>
      <c r="C185" s="4">
        <v>31</v>
      </c>
      <c r="D185" s="4">
        <v>4</v>
      </c>
      <c r="E185" s="4">
        <v>1</v>
      </c>
      <c r="F185" s="4">
        <v>1</v>
      </c>
      <c r="G185" s="4">
        <v>3</v>
      </c>
      <c r="H185" s="4">
        <v>0</v>
      </c>
      <c r="I185" s="4">
        <v>1</v>
      </c>
      <c r="J185" s="4">
        <v>0</v>
      </c>
      <c r="K185" s="4">
        <v>0</v>
      </c>
    </row>
    <row r="186" spans="1:11" x14ac:dyDescent="0.2">
      <c r="A186" s="4">
        <v>3.6</v>
      </c>
      <c r="B186" s="4">
        <v>12</v>
      </c>
      <c r="C186" s="4">
        <v>26</v>
      </c>
      <c r="D186" s="4">
        <v>4</v>
      </c>
      <c r="E186" s="4">
        <v>1</v>
      </c>
      <c r="F186" s="4">
        <v>0</v>
      </c>
      <c r="G186" s="4">
        <v>2</v>
      </c>
      <c r="H186" s="4">
        <v>0</v>
      </c>
      <c r="I186" s="4">
        <v>0</v>
      </c>
      <c r="J186" s="4">
        <v>1</v>
      </c>
      <c r="K186" s="4">
        <v>0</v>
      </c>
    </row>
    <row r="187" spans="1:11" x14ac:dyDescent="0.2">
      <c r="A187" s="4">
        <v>8</v>
      </c>
      <c r="B187" s="4">
        <v>16</v>
      </c>
      <c r="C187" s="4">
        <v>23</v>
      </c>
      <c r="D187" s="4">
        <v>4</v>
      </c>
      <c r="E187" s="4">
        <v>0</v>
      </c>
      <c r="F187" s="4">
        <v>0</v>
      </c>
      <c r="G187" s="4">
        <v>0</v>
      </c>
      <c r="H187" s="4">
        <v>1</v>
      </c>
      <c r="I187" s="4">
        <v>0</v>
      </c>
      <c r="J187" s="4">
        <v>0</v>
      </c>
      <c r="K187" s="4">
        <v>0</v>
      </c>
    </row>
    <row r="188" spans="1:11" x14ac:dyDescent="0.2">
      <c r="A188" s="4">
        <v>4.2699999999999996</v>
      </c>
      <c r="B188" s="4">
        <v>16</v>
      </c>
      <c r="C188" s="4">
        <v>22</v>
      </c>
      <c r="D188" s="4">
        <v>4</v>
      </c>
      <c r="E188" s="4">
        <v>1</v>
      </c>
      <c r="F188" s="4">
        <v>1</v>
      </c>
      <c r="G188" s="4">
        <v>1</v>
      </c>
      <c r="H188" s="4">
        <v>0</v>
      </c>
      <c r="I188" s="4">
        <v>0</v>
      </c>
      <c r="J188" s="4">
        <v>1</v>
      </c>
      <c r="K188" s="4">
        <v>0</v>
      </c>
    </row>
    <row r="189" spans="1:11" x14ac:dyDescent="0.2">
      <c r="A189" s="4">
        <v>20</v>
      </c>
      <c r="B189" s="4">
        <v>12</v>
      </c>
      <c r="C189" s="4">
        <v>22</v>
      </c>
      <c r="D189" s="4">
        <v>4</v>
      </c>
      <c r="E189" s="4">
        <v>0</v>
      </c>
      <c r="F189" s="4">
        <v>1</v>
      </c>
      <c r="G189" s="4">
        <v>1</v>
      </c>
      <c r="H189" s="4">
        <v>0</v>
      </c>
      <c r="I189" s="4">
        <v>1</v>
      </c>
      <c r="J189" s="4">
        <v>0</v>
      </c>
      <c r="K189" s="4">
        <v>0</v>
      </c>
    </row>
    <row r="190" spans="1:11" x14ac:dyDescent="0.2">
      <c r="A190" s="4">
        <v>3.5</v>
      </c>
      <c r="B190" s="4">
        <v>12</v>
      </c>
      <c r="C190" s="4">
        <v>20</v>
      </c>
      <c r="D190" s="4">
        <v>4</v>
      </c>
      <c r="E190" s="4">
        <v>1</v>
      </c>
      <c r="F190" s="4">
        <v>1</v>
      </c>
      <c r="G190" s="4">
        <v>2</v>
      </c>
      <c r="H190" s="4">
        <v>0</v>
      </c>
      <c r="I190" s="4">
        <v>0</v>
      </c>
      <c r="J190" s="4">
        <v>0</v>
      </c>
      <c r="K190" s="4">
        <v>0</v>
      </c>
    </row>
    <row r="191" spans="1:11" x14ac:dyDescent="0.2">
      <c r="A191" s="4">
        <v>6</v>
      </c>
      <c r="B191" s="4">
        <v>15</v>
      </c>
      <c r="C191" s="4">
        <v>19</v>
      </c>
      <c r="D191" s="4">
        <v>4</v>
      </c>
      <c r="E191" s="4">
        <v>1</v>
      </c>
      <c r="F191" s="4">
        <v>1</v>
      </c>
      <c r="G191" s="4">
        <v>2</v>
      </c>
      <c r="H191" s="4">
        <v>0</v>
      </c>
      <c r="I191" s="4">
        <v>1</v>
      </c>
      <c r="J191" s="4">
        <v>0</v>
      </c>
      <c r="K191" s="4">
        <v>0</v>
      </c>
    </row>
    <row r="192" spans="1:11" x14ac:dyDescent="0.2">
      <c r="A192" s="4">
        <v>8</v>
      </c>
      <c r="B192" s="4">
        <v>12</v>
      </c>
      <c r="C192" s="4">
        <v>14</v>
      </c>
      <c r="D192" s="4">
        <v>4</v>
      </c>
      <c r="E192" s="4">
        <v>1</v>
      </c>
      <c r="F192" s="4">
        <v>0</v>
      </c>
      <c r="G192" s="4">
        <v>1</v>
      </c>
      <c r="H192" s="4">
        <v>0</v>
      </c>
      <c r="I192" s="4">
        <v>0</v>
      </c>
      <c r="J192" s="4">
        <v>0</v>
      </c>
      <c r="K192" s="4">
        <v>0</v>
      </c>
    </row>
    <row r="193" spans="1:11" x14ac:dyDescent="0.2">
      <c r="A193" s="4">
        <v>6.25</v>
      </c>
      <c r="B193" s="4">
        <v>15</v>
      </c>
      <c r="C193" s="4">
        <v>12</v>
      </c>
      <c r="D193" s="4">
        <v>4</v>
      </c>
      <c r="E193" s="4">
        <v>1</v>
      </c>
      <c r="F193" s="4">
        <v>1</v>
      </c>
      <c r="G193" s="4">
        <v>2</v>
      </c>
      <c r="H193" s="4">
        <v>0</v>
      </c>
      <c r="I193" s="4">
        <v>0</v>
      </c>
      <c r="J193" s="4">
        <v>0</v>
      </c>
      <c r="K193" s="4">
        <v>0</v>
      </c>
    </row>
    <row r="194" spans="1:11" x14ac:dyDescent="0.2">
      <c r="A194" s="4">
        <v>6.88</v>
      </c>
      <c r="B194" s="10">
        <v>12</v>
      </c>
      <c r="C194" s="4">
        <v>11</v>
      </c>
      <c r="D194" s="4">
        <v>4</v>
      </c>
      <c r="E194" s="4">
        <v>1</v>
      </c>
      <c r="F194" s="4">
        <v>0</v>
      </c>
      <c r="G194" s="4">
        <v>0</v>
      </c>
      <c r="H194" s="4">
        <v>0</v>
      </c>
      <c r="I194" s="4">
        <v>0</v>
      </c>
      <c r="J194" s="4">
        <v>1</v>
      </c>
      <c r="K194" s="4">
        <v>0</v>
      </c>
    </row>
    <row r="195" spans="1:11" x14ac:dyDescent="0.2">
      <c r="A195" s="4">
        <v>6.25</v>
      </c>
      <c r="B195" s="4">
        <v>16</v>
      </c>
      <c r="C195" s="4">
        <v>11</v>
      </c>
      <c r="D195" s="4">
        <v>4</v>
      </c>
      <c r="E195" s="4">
        <v>0</v>
      </c>
      <c r="F195" s="4">
        <v>0</v>
      </c>
      <c r="G195" s="4">
        <v>0</v>
      </c>
      <c r="H195" s="4">
        <v>1</v>
      </c>
      <c r="I195" s="4">
        <v>0</v>
      </c>
      <c r="J195" s="4">
        <v>0</v>
      </c>
      <c r="K195" s="4">
        <v>0</v>
      </c>
    </row>
    <row r="196" spans="1:11" x14ac:dyDescent="0.2">
      <c r="A196" s="4">
        <v>6.38</v>
      </c>
      <c r="B196" s="4">
        <v>13</v>
      </c>
      <c r="C196" s="4">
        <v>11</v>
      </c>
      <c r="D196" s="4">
        <v>4</v>
      </c>
      <c r="E196" s="4">
        <v>1</v>
      </c>
      <c r="F196" s="4">
        <v>0</v>
      </c>
      <c r="G196" s="4">
        <v>0</v>
      </c>
      <c r="H196" s="4">
        <v>0</v>
      </c>
      <c r="I196" s="4">
        <v>0</v>
      </c>
      <c r="J196" s="4">
        <v>1</v>
      </c>
      <c r="K196" s="4">
        <v>0</v>
      </c>
    </row>
    <row r="197" spans="1:11" x14ac:dyDescent="0.2">
      <c r="A197" s="4">
        <v>5.78</v>
      </c>
      <c r="B197" s="4">
        <v>16</v>
      </c>
      <c r="C197" s="4">
        <v>11</v>
      </c>
      <c r="D197" s="4">
        <v>4</v>
      </c>
      <c r="E197" s="4">
        <v>0</v>
      </c>
      <c r="F197" s="4">
        <v>1</v>
      </c>
      <c r="G197" s="4">
        <v>2</v>
      </c>
      <c r="H197" s="4">
        <v>1</v>
      </c>
      <c r="I197" s="4">
        <v>0</v>
      </c>
      <c r="J197" s="4">
        <v>0</v>
      </c>
      <c r="K197" s="4">
        <v>0</v>
      </c>
    </row>
    <row r="198" spans="1:11" x14ac:dyDescent="0.2">
      <c r="A198" s="4">
        <v>5.5</v>
      </c>
      <c r="B198" s="4">
        <v>12</v>
      </c>
      <c r="C198" s="4">
        <v>9</v>
      </c>
      <c r="D198" s="4">
        <v>4</v>
      </c>
      <c r="E198" s="4">
        <v>0</v>
      </c>
      <c r="F198" s="4">
        <v>1</v>
      </c>
      <c r="G198" s="4">
        <v>1</v>
      </c>
      <c r="H198" s="4">
        <v>0</v>
      </c>
      <c r="I198" s="4">
        <v>1</v>
      </c>
      <c r="J198" s="4">
        <v>0</v>
      </c>
      <c r="K198" s="4">
        <v>0</v>
      </c>
    </row>
    <row r="199" spans="1:11" x14ac:dyDescent="0.2">
      <c r="A199" s="4">
        <v>7.63</v>
      </c>
      <c r="B199" s="4">
        <v>12</v>
      </c>
      <c r="C199" s="4">
        <v>8</v>
      </c>
      <c r="D199" s="4">
        <v>4</v>
      </c>
      <c r="E199" s="4">
        <v>1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</row>
    <row r="200" spans="1:11" x14ac:dyDescent="0.2">
      <c r="A200" s="4">
        <v>3.75</v>
      </c>
      <c r="B200" s="10">
        <v>12</v>
      </c>
      <c r="C200" s="4">
        <v>8</v>
      </c>
      <c r="D200" s="4">
        <v>4</v>
      </c>
      <c r="E200" s="4">
        <v>1</v>
      </c>
      <c r="F200" s="4">
        <v>1</v>
      </c>
      <c r="G200" s="4">
        <v>0</v>
      </c>
      <c r="H200" s="4">
        <v>0</v>
      </c>
      <c r="I200" s="4">
        <v>1</v>
      </c>
      <c r="J200" s="4">
        <v>0</v>
      </c>
      <c r="K200" s="4">
        <v>0</v>
      </c>
    </row>
    <row r="201" spans="1:11" x14ac:dyDescent="0.2">
      <c r="A201" s="4">
        <v>4.05</v>
      </c>
      <c r="B201" s="4">
        <v>9</v>
      </c>
      <c r="C201" s="4">
        <v>7</v>
      </c>
      <c r="D201" s="4">
        <v>4</v>
      </c>
      <c r="E201" s="4">
        <v>1</v>
      </c>
      <c r="F201" s="4">
        <v>1</v>
      </c>
      <c r="G201" s="4">
        <v>1</v>
      </c>
      <c r="H201" s="4">
        <v>0</v>
      </c>
      <c r="I201" s="4">
        <v>1</v>
      </c>
      <c r="J201" s="4">
        <v>0</v>
      </c>
      <c r="K201" s="4">
        <v>0</v>
      </c>
    </row>
    <row r="202" spans="1:11" x14ac:dyDescent="0.2">
      <c r="A202" s="4">
        <v>6.25</v>
      </c>
      <c r="B202" s="10">
        <v>12</v>
      </c>
      <c r="C202" s="4">
        <v>7</v>
      </c>
      <c r="D202" s="4">
        <v>4</v>
      </c>
      <c r="E202" s="4">
        <v>1</v>
      </c>
      <c r="F202" s="4">
        <v>1</v>
      </c>
      <c r="G202" s="4">
        <v>3</v>
      </c>
      <c r="H202" s="4">
        <v>0</v>
      </c>
      <c r="I202" s="4">
        <v>0</v>
      </c>
      <c r="J202" s="4">
        <v>0</v>
      </c>
      <c r="K202" s="4">
        <v>0</v>
      </c>
    </row>
    <row r="203" spans="1:11" x14ac:dyDescent="0.2">
      <c r="A203" s="4">
        <v>3.5</v>
      </c>
      <c r="B203" s="4">
        <v>14</v>
      </c>
      <c r="C203" s="4">
        <v>5</v>
      </c>
      <c r="D203" s="4">
        <v>4</v>
      </c>
      <c r="E203" s="4">
        <v>1</v>
      </c>
      <c r="F203" s="4">
        <v>0</v>
      </c>
      <c r="G203" s="4">
        <v>2</v>
      </c>
      <c r="H203" s="4">
        <v>0</v>
      </c>
      <c r="I203" s="4">
        <v>0</v>
      </c>
      <c r="J203" s="4">
        <v>1</v>
      </c>
      <c r="K203" s="4">
        <v>0</v>
      </c>
    </row>
    <row r="204" spans="1:11" x14ac:dyDescent="0.2">
      <c r="A204" s="4">
        <v>3.35</v>
      </c>
      <c r="B204" s="4">
        <v>14</v>
      </c>
      <c r="C204" s="4">
        <v>5</v>
      </c>
      <c r="D204" s="4">
        <v>4</v>
      </c>
      <c r="E204" s="4">
        <v>1</v>
      </c>
      <c r="F204" s="4">
        <v>1</v>
      </c>
      <c r="G204" s="4">
        <v>0</v>
      </c>
      <c r="H204" s="4">
        <v>1</v>
      </c>
      <c r="I204" s="4">
        <v>0</v>
      </c>
      <c r="J204" s="4">
        <v>0</v>
      </c>
      <c r="K204" s="4">
        <v>0</v>
      </c>
    </row>
    <row r="205" spans="1:11" x14ac:dyDescent="0.2">
      <c r="A205" s="4">
        <v>6.88</v>
      </c>
      <c r="B205" s="10">
        <v>12</v>
      </c>
      <c r="C205" s="4">
        <v>4</v>
      </c>
      <c r="D205" s="4">
        <v>4</v>
      </c>
      <c r="E205" s="4">
        <v>0</v>
      </c>
      <c r="F205" s="4">
        <v>0</v>
      </c>
      <c r="G205" s="4">
        <v>0</v>
      </c>
      <c r="H205" s="4">
        <v>1</v>
      </c>
      <c r="I205" s="4">
        <v>0</v>
      </c>
      <c r="J205" s="4">
        <v>0</v>
      </c>
      <c r="K205" s="4">
        <v>0</v>
      </c>
    </row>
    <row r="206" spans="1:11" x14ac:dyDescent="0.2">
      <c r="A206" s="4">
        <v>8.75</v>
      </c>
      <c r="B206" s="4">
        <v>12</v>
      </c>
      <c r="C206" s="4">
        <v>4</v>
      </c>
      <c r="D206" s="4">
        <v>4</v>
      </c>
      <c r="E206" s="4">
        <v>0</v>
      </c>
      <c r="F206" s="4">
        <v>1</v>
      </c>
      <c r="G206" s="4">
        <v>0</v>
      </c>
      <c r="H206" s="4">
        <v>0</v>
      </c>
      <c r="I206" s="4">
        <v>1</v>
      </c>
      <c r="J206" s="4">
        <v>0</v>
      </c>
      <c r="K206" s="4">
        <v>0</v>
      </c>
    </row>
    <row r="207" spans="1:11" x14ac:dyDescent="0.2">
      <c r="A207" s="4">
        <v>2.17</v>
      </c>
      <c r="B207" s="4">
        <v>13</v>
      </c>
      <c r="C207" s="4">
        <v>1</v>
      </c>
      <c r="D207" s="4">
        <v>4</v>
      </c>
      <c r="E207" s="4">
        <v>1</v>
      </c>
      <c r="F207" s="4">
        <v>0</v>
      </c>
      <c r="G207" s="4">
        <v>1</v>
      </c>
      <c r="H207" s="4">
        <v>1</v>
      </c>
      <c r="I207" s="4">
        <v>0</v>
      </c>
      <c r="J207" s="4">
        <v>0</v>
      </c>
      <c r="K207" s="4">
        <v>0</v>
      </c>
    </row>
    <row r="208" spans="1:11" x14ac:dyDescent="0.2">
      <c r="A208" s="4">
        <v>11.1</v>
      </c>
      <c r="B208" s="4">
        <v>15</v>
      </c>
      <c r="C208" s="4">
        <v>1</v>
      </c>
      <c r="D208" s="4">
        <v>4</v>
      </c>
      <c r="E208" s="4">
        <v>1</v>
      </c>
      <c r="F208" s="4">
        <v>0</v>
      </c>
      <c r="G208" s="4">
        <v>2</v>
      </c>
      <c r="H208" s="4">
        <v>0</v>
      </c>
      <c r="I208" s="4">
        <v>1</v>
      </c>
      <c r="J208" s="4">
        <v>0</v>
      </c>
      <c r="K208" s="4">
        <v>0</v>
      </c>
    </row>
    <row r="209" spans="1:11" x14ac:dyDescent="0.2">
      <c r="A209" s="4">
        <v>5.77</v>
      </c>
      <c r="B209" s="4">
        <v>10</v>
      </c>
      <c r="C209" s="9">
        <v>43.93</v>
      </c>
      <c r="D209" s="4">
        <v>3</v>
      </c>
      <c r="E209" s="4">
        <v>0</v>
      </c>
      <c r="F209" s="4">
        <v>1</v>
      </c>
      <c r="G209" s="4">
        <v>0</v>
      </c>
      <c r="H209" s="4">
        <v>1</v>
      </c>
      <c r="I209" s="4">
        <v>0</v>
      </c>
      <c r="J209" s="4">
        <v>0</v>
      </c>
      <c r="K209" s="4">
        <v>0</v>
      </c>
    </row>
    <row r="210" spans="1:11" x14ac:dyDescent="0.2">
      <c r="A210" s="4">
        <v>1.96</v>
      </c>
      <c r="B210" s="4">
        <v>11</v>
      </c>
      <c r="C210" s="4">
        <v>38</v>
      </c>
      <c r="D210" s="4">
        <v>3</v>
      </c>
      <c r="E210" s="4">
        <v>1</v>
      </c>
      <c r="F210" s="4">
        <v>0</v>
      </c>
      <c r="G210" s="4">
        <v>0</v>
      </c>
      <c r="H210" s="4">
        <v>0</v>
      </c>
      <c r="I210" s="4">
        <v>1</v>
      </c>
      <c r="J210" s="4">
        <v>0</v>
      </c>
      <c r="K210" s="4">
        <v>0</v>
      </c>
    </row>
    <row r="211" spans="1:11" x14ac:dyDescent="0.2">
      <c r="A211" s="4">
        <v>8.1</v>
      </c>
      <c r="B211" s="4">
        <v>12</v>
      </c>
      <c r="C211" s="4">
        <v>38</v>
      </c>
      <c r="D211" s="4">
        <v>3</v>
      </c>
      <c r="E211" s="4">
        <v>1</v>
      </c>
      <c r="F211" s="4">
        <v>1</v>
      </c>
      <c r="G211" s="4">
        <v>1</v>
      </c>
      <c r="H211" s="4">
        <v>1</v>
      </c>
      <c r="I211" s="4">
        <v>0</v>
      </c>
      <c r="J211" s="4">
        <v>0</v>
      </c>
      <c r="K211" s="4">
        <v>0</v>
      </c>
    </row>
    <row r="212" spans="1:11" x14ac:dyDescent="0.2">
      <c r="A212" s="4">
        <v>5.48</v>
      </c>
      <c r="B212" s="4">
        <v>10</v>
      </c>
      <c r="C212" s="4">
        <v>36</v>
      </c>
      <c r="D212" s="4">
        <v>3</v>
      </c>
      <c r="E212" s="4">
        <v>1</v>
      </c>
      <c r="F212" s="4">
        <v>1</v>
      </c>
      <c r="G212" s="4">
        <v>0</v>
      </c>
      <c r="H212" s="4">
        <v>0</v>
      </c>
      <c r="I212" s="4">
        <v>1</v>
      </c>
      <c r="J212" s="4">
        <v>0</v>
      </c>
      <c r="K212" s="4">
        <v>0</v>
      </c>
    </row>
    <row r="213" spans="1:11" x14ac:dyDescent="0.2">
      <c r="A213" s="4">
        <v>3</v>
      </c>
      <c r="B213" s="4">
        <v>14</v>
      </c>
      <c r="C213" s="4">
        <v>33</v>
      </c>
      <c r="D213" s="4">
        <v>3</v>
      </c>
      <c r="E213" s="4">
        <v>1</v>
      </c>
      <c r="F213" s="4">
        <v>1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</row>
    <row r="214" spans="1:11" x14ac:dyDescent="0.2">
      <c r="A214" s="4">
        <v>5.52</v>
      </c>
      <c r="B214" s="4">
        <v>13</v>
      </c>
      <c r="C214" s="4">
        <v>31</v>
      </c>
      <c r="D214" s="4">
        <v>3</v>
      </c>
      <c r="E214" s="4">
        <v>0</v>
      </c>
      <c r="F214" s="4">
        <v>0</v>
      </c>
      <c r="G214" s="4">
        <v>0</v>
      </c>
      <c r="H214" s="4">
        <v>0</v>
      </c>
      <c r="I214" s="4">
        <v>1</v>
      </c>
      <c r="J214" s="4">
        <v>0</v>
      </c>
      <c r="K214" s="4">
        <v>0</v>
      </c>
    </row>
    <row r="215" spans="1:11" x14ac:dyDescent="0.2">
      <c r="A215" s="4">
        <v>3.5</v>
      </c>
      <c r="B215" s="4">
        <v>12</v>
      </c>
      <c r="C215" s="4">
        <v>31</v>
      </c>
      <c r="D215" s="4">
        <v>3</v>
      </c>
      <c r="E215" s="4">
        <v>1</v>
      </c>
      <c r="F215" s="4">
        <v>0</v>
      </c>
      <c r="G215" s="4">
        <v>1</v>
      </c>
      <c r="H215" s="4">
        <v>0</v>
      </c>
      <c r="I215" s="4">
        <v>0</v>
      </c>
      <c r="J215" s="4">
        <v>1</v>
      </c>
      <c r="K215" s="4">
        <v>0</v>
      </c>
    </row>
    <row r="216" spans="1:11" x14ac:dyDescent="0.2">
      <c r="A216" s="4">
        <v>2.23</v>
      </c>
      <c r="B216" s="4">
        <v>8</v>
      </c>
      <c r="C216" s="4">
        <v>28</v>
      </c>
      <c r="D216" s="4">
        <v>3</v>
      </c>
      <c r="E216" s="4">
        <v>0</v>
      </c>
      <c r="F216" s="4">
        <v>1</v>
      </c>
      <c r="G216" s="4">
        <v>4</v>
      </c>
      <c r="H216" s="4">
        <v>0</v>
      </c>
      <c r="I216" s="4">
        <v>1</v>
      </c>
      <c r="J216" s="4">
        <v>0</v>
      </c>
      <c r="K216" s="4">
        <v>0</v>
      </c>
    </row>
    <row r="217" spans="1:11" x14ac:dyDescent="0.2">
      <c r="A217" s="4">
        <v>8.43</v>
      </c>
      <c r="B217" s="4">
        <v>8</v>
      </c>
      <c r="C217" s="4">
        <v>27</v>
      </c>
      <c r="D217" s="4">
        <v>3</v>
      </c>
      <c r="E217" s="4">
        <v>0</v>
      </c>
      <c r="F217" s="4">
        <v>1</v>
      </c>
      <c r="G217" s="4">
        <v>3</v>
      </c>
      <c r="H217" s="4">
        <v>0</v>
      </c>
      <c r="I217" s="4">
        <v>1</v>
      </c>
      <c r="J217" s="4">
        <v>0</v>
      </c>
      <c r="K217" s="4">
        <v>0</v>
      </c>
    </row>
    <row r="218" spans="1:11" x14ac:dyDescent="0.2">
      <c r="A218" s="4">
        <v>7</v>
      </c>
      <c r="B218" s="4">
        <v>16</v>
      </c>
      <c r="C218" s="4">
        <v>26</v>
      </c>
      <c r="D218" s="4">
        <v>3</v>
      </c>
      <c r="E218" s="4">
        <v>1</v>
      </c>
      <c r="F218" s="4">
        <v>1</v>
      </c>
      <c r="G218" s="4">
        <v>1</v>
      </c>
      <c r="H218" s="4">
        <v>0</v>
      </c>
      <c r="I218" s="4">
        <v>1</v>
      </c>
      <c r="J218" s="4">
        <v>0</v>
      </c>
      <c r="K218" s="4">
        <v>0</v>
      </c>
    </row>
    <row r="219" spans="1:11" x14ac:dyDescent="0.2">
      <c r="A219" s="4">
        <v>10</v>
      </c>
      <c r="B219" s="4">
        <v>12</v>
      </c>
      <c r="C219" s="4">
        <v>25</v>
      </c>
      <c r="D219" s="4">
        <v>3</v>
      </c>
      <c r="E219" s="4">
        <v>0</v>
      </c>
      <c r="F219" s="4">
        <v>1</v>
      </c>
      <c r="G219" s="4">
        <v>3</v>
      </c>
      <c r="H219" s="4">
        <v>0</v>
      </c>
      <c r="I219" s="4">
        <v>0</v>
      </c>
      <c r="J219" s="4">
        <v>0</v>
      </c>
      <c r="K219" s="4">
        <v>0</v>
      </c>
    </row>
    <row r="220" spans="1:11" x14ac:dyDescent="0.2">
      <c r="A220" s="4">
        <v>8.02</v>
      </c>
      <c r="B220" s="4">
        <v>18</v>
      </c>
      <c r="C220" s="4">
        <v>23</v>
      </c>
      <c r="D220" s="4">
        <v>3</v>
      </c>
      <c r="E220" s="4">
        <v>1</v>
      </c>
      <c r="F220" s="4">
        <v>1</v>
      </c>
      <c r="G220" s="4">
        <v>1</v>
      </c>
      <c r="H220" s="4">
        <v>0</v>
      </c>
      <c r="I220" s="4">
        <v>1</v>
      </c>
      <c r="J220" s="4">
        <v>0</v>
      </c>
      <c r="K220" s="4">
        <v>0</v>
      </c>
    </row>
    <row r="221" spans="1:11" x14ac:dyDescent="0.2">
      <c r="A221" s="4">
        <v>4</v>
      </c>
      <c r="B221" s="4">
        <v>14</v>
      </c>
      <c r="C221" s="4">
        <v>22</v>
      </c>
      <c r="D221" s="4">
        <v>3</v>
      </c>
      <c r="E221" s="4">
        <v>1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1</v>
      </c>
    </row>
    <row r="222" spans="1:11" x14ac:dyDescent="0.2">
      <c r="A222" s="4">
        <v>4</v>
      </c>
      <c r="B222" s="4">
        <v>12</v>
      </c>
      <c r="C222" s="4">
        <v>22</v>
      </c>
      <c r="D222" s="4">
        <v>3</v>
      </c>
      <c r="E222" s="4">
        <v>0</v>
      </c>
      <c r="F222" s="4">
        <v>1</v>
      </c>
      <c r="G222" s="4">
        <v>3</v>
      </c>
      <c r="H222" s="4">
        <v>0</v>
      </c>
      <c r="I222" s="4">
        <v>1</v>
      </c>
      <c r="J222" s="4">
        <v>0</v>
      </c>
      <c r="K222" s="4">
        <v>0</v>
      </c>
    </row>
    <row r="223" spans="1:11" x14ac:dyDescent="0.2">
      <c r="A223" s="4">
        <v>6.63</v>
      </c>
      <c r="B223" s="4">
        <v>15</v>
      </c>
      <c r="C223" s="4">
        <v>21</v>
      </c>
      <c r="D223" s="4">
        <v>3</v>
      </c>
      <c r="E223" s="4">
        <v>1</v>
      </c>
      <c r="F223" s="4">
        <v>1</v>
      </c>
      <c r="G223" s="4">
        <v>2</v>
      </c>
      <c r="H223" s="4">
        <v>0</v>
      </c>
      <c r="I223" s="4">
        <v>0</v>
      </c>
      <c r="J223" s="4">
        <v>1</v>
      </c>
      <c r="K223" s="4">
        <v>0</v>
      </c>
    </row>
    <row r="224" spans="1:11" x14ac:dyDescent="0.2">
      <c r="A224" s="4">
        <v>6.76</v>
      </c>
      <c r="B224" s="4">
        <v>12</v>
      </c>
      <c r="C224" s="4">
        <v>19</v>
      </c>
      <c r="D224" s="4">
        <v>3</v>
      </c>
      <c r="E224" s="4">
        <v>0</v>
      </c>
      <c r="F224" s="4">
        <v>1</v>
      </c>
      <c r="G224" s="4">
        <v>2</v>
      </c>
      <c r="H224" s="4">
        <v>0</v>
      </c>
      <c r="I224" s="4">
        <v>0</v>
      </c>
      <c r="J224" s="4">
        <v>0</v>
      </c>
      <c r="K224" s="4">
        <v>0</v>
      </c>
    </row>
    <row r="225" spans="1:11" x14ac:dyDescent="0.2">
      <c r="A225" s="4">
        <v>5.5</v>
      </c>
      <c r="B225" s="4">
        <v>12</v>
      </c>
      <c r="C225" s="4">
        <v>18</v>
      </c>
      <c r="D225" s="4">
        <v>3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1</v>
      </c>
      <c r="K225" s="4">
        <v>0</v>
      </c>
    </row>
    <row r="226" spans="1:11" x14ac:dyDescent="0.2">
      <c r="A226" s="4">
        <v>3.91</v>
      </c>
      <c r="B226" s="4">
        <v>18</v>
      </c>
      <c r="C226" s="4">
        <v>17</v>
      </c>
      <c r="D226" s="4">
        <v>3</v>
      </c>
      <c r="E226" s="4">
        <v>0</v>
      </c>
      <c r="F226" s="4">
        <v>1</v>
      </c>
      <c r="G226" s="4">
        <v>2</v>
      </c>
      <c r="H226" s="4">
        <v>0</v>
      </c>
      <c r="I226" s="4">
        <v>1</v>
      </c>
      <c r="J226" s="4">
        <v>0</v>
      </c>
      <c r="K226" s="4">
        <v>0</v>
      </c>
    </row>
    <row r="227" spans="1:11" x14ac:dyDescent="0.2">
      <c r="A227" s="4">
        <v>6.43</v>
      </c>
      <c r="B227" s="4">
        <v>16</v>
      </c>
      <c r="C227" s="4">
        <v>17</v>
      </c>
      <c r="D227" s="4">
        <v>3</v>
      </c>
      <c r="E227" s="4">
        <v>1</v>
      </c>
      <c r="F227" s="4">
        <v>1</v>
      </c>
      <c r="G227" s="4">
        <v>2</v>
      </c>
      <c r="H227" s="4">
        <v>0</v>
      </c>
      <c r="I227" s="4">
        <v>1</v>
      </c>
      <c r="J227" s="4">
        <v>0</v>
      </c>
      <c r="K227" s="4">
        <v>0</v>
      </c>
    </row>
    <row r="228" spans="1:11" x14ac:dyDescent="0.2">
      <c r="A228" s="4">
        <v>3.26</v>
      </c>
      <c r="B228" s="4">
        <v>12</v>
      </c>
      <c r="C228" s="4">
        <v>13</v>
      </c>
      <c r="D228" s="4">
        <v>3</v>
      </c>
      <c r="E228" s="4">
        <v>1</v>
      </c>
      <c r="F228" s="4">
        <v>1</v>
      </c>
      <c r="G228" s="4">
        <v>1</v>
      </c>
      <c r="H228" s="4">
        <v>0</v>
      </c>
      <c r="I228" s="4">
        <v>0</v>
      </c>
      <c r="J228" s="4">
        <v>0</v>
      </c>
      <c r="K228" s="4">
        <v>0</v>
      </c>
    </row>
    <row r="229" spans="1:11" x14ac:dyDescent="0.2">
      <c r="A229" s="4">
        <v>4.79</v>
      </c>
      <c r="B229" s="4">
        <v>12</v>
      </c>
      <c r="C229" s="4">
        <v>12</v>
      </c>
      <c r="D229" s="4">
        <v>3</v>
      </c>
      <c r="E229" s="4">
        <v>1</v>
      </c>
      <c r="F229" s="4">
        <v>1</v>
      </c>
      <c r="G229" s="4">
        <v>3</v>
      </c>
      <c r="H229" s="4">
        <v>1</v>
      </c>
      <c r="I229" s="4">
        <v>0</v>
      </c>
      <c r="J229" s="4">
        <v>0</v>
      </c>
      <c r="K229" s="4">
        <v>0</v>
      </c>
    </row>
    <row r="230" spans="1:11" x14ac:dyDescent="0.2">
      <c r="A230" s="4">
        <v>3.88</v>
      </c>
      <c r="B230" s="4">
        <v>12</v>
      </c>
      <c r="C230" s="4">
        <v>12</v>
      </c>
      <c r="D230" s="4">
        <v>3</v>
      </c>
      <c r="E230" s="4">
        <v>0</v>
      </c>
      <c r="F230" s="4">
        <v>1</v>
      </c>
      <c r="G230" s="4">
        <v>3</v>
      </c>
      <c r="H230" s="4">
        <v>0</v>
      </c>
      <c r="I230" s="4">
        <v>1</v>
      </c>
      <c r="J230" s="4">
        <v>0</v>
      </c>
      <c r="K230" s="4">
        <v>0</v>
      </c>
    </row>
    <row r="231" spans="1:11" x14ac:dyDescent="0.2">
      <c r="A231" s="4">
        <v>8</v>
      </c>
      <c r="B231" s="4">
        <v>12</v>
      </c>
      <c r="C231" s="4">
        <v>12</v>
      </c>
      <c r="D231" s="4">
        <v>3</v>
      </c>
      <c r="E231" s="4">
        <v>1</v>
      </c>
      <c r="F231" s="4">
        <v>0</v>
      </c>
      <c r="G231" s="4">
        <v>1</v>
      </c>
      <c r="H231" s="4">
        <v>0</v>
      </c>
      <c r="I231" s="4">
        <v>1</v>
      </c>
      <c r="J231" s="4">
        <v>0</v>
      </c>
      <c r="K231" s="4">
        <v>0</v>
      </c>
    </row>
    <row r="232" spans="1:11" x14ac:dyDescent="0.2">
      <c r="A232" s="4">
        <v>6</v>
      </c>
      <c r="B232" s="4">
        <v>14</v>
      </c>
      <c r="C232" s="4">
        <v>11</v>
      </c>
      <c r="D232" s="4">
        <v>3</v>
      </c>
      <c r="E232" s="4">
        <v>1</v>
      </c>
      <c r="F232" s="4">
        <v>1</v>
      </c>
      <c r="G232" s="4">
        <v>2</v>
      </c>
      <c r="H232" s="4">
        <v>0</v>
      </c>
      <c r="I232" s="4">
        <v>1</v>
      </c>
      <c r="J232" s="4">
        <v>0</v>
      </c>
      <c r="K232" s="4">
        <v>0</v>
      </c>
    </row>
    <row r="233" spans="1:11" x14ac:dyDescent="0.2">
      <c r="A233" s="4">
        <v>6.85</v>
      </c>
      <c r="B233" s="4">
        <v>15</v>
      </c>
      <c r="C233" s="4">
        <v>11</v>
      </c>
      <c r="D233" s="4">
        <v>3</v>
      </c>
      <c r="E233" s="4">
        <v>1</v>
      </c>
      <c r="F233" s="4">
        <v>1</v>
      </c>
      <c r="G233" s="4">
        <v>2</v>
      </c>
      <c r="H233" s="4">
        <v>0</v>
      </c>
      <c r="I233" s="4">
        <v>0</v>
      </c>
      <c r="J233" s="4">
        <v>0</v>
      </c>
      <c r="K233" s="4">
        <v>0</v>
      </c>
    </row>
    <row r="234" spans="1:11" x14ac:dyDescent="0.2">
      <c r="A234" s="4">
        <v>4.2</v>
      </c>
      <c r="B234" s="4">
        <v>13</v>
      </c>
      <c r="C234" s="4">
        <v>11</v>
      </c>
      <c r="D234" s="4">
        <v>3</v>
      </c>
      <c r="E234" s="4">
        <v>1</v>
      </c>
      <c r="F234" s="4">
        <v>1</v>
      </c>
      <c r="G234" s="4">
        <v>2</v>
      </c>
      <c r="H234" s="4">
        <v>1</v>
      </c>
      <c r="I234" s="4">
        <v>0</v>
      </c>
      <c r="J234" s="4">
        <v>0</v>
      </c>
      <c r="K234" s="4">
        <v>0</v>
      </c>
    </row>
    <row r="235" spans="1:11" x14ac:dyDescent="0.2">
      <c r="A235" s="4">
        <v>6.29</v>
      </c>
      <c r="B235" s="4">
        <v>17</v>
      </c>
      <c r="C235" s="4">
        <v>10</v>
      </c>
      <c r="D235" s="4">
        <v>3</v>
      </c>
      <c r="E235" s="4">
        <v>0</v>
      </c>
      <c r="F235" s="4">
        <v>1</v>
      </c>
      <c r="G235" s="4">
        <v>1</v>
      </c>
      <c r="H235" s="4">
        <v>0</v>
      </c>
      <c r="I235" s="4">
        <v>1</v>
      </c>
      <c r="J235" s="4">
        <v>0</v>
      </c>
      <c r="K235" s="4">
        <v>0</v>
      </c>
    </row>
    <row r="236" spans="1:11" x14ac:dyDescent="0.2">
      <c r="A236" s="4">
        <v>5.43</v>
      </c>
      <c r="B236" s="4">
        <v>14</v>
      </c>
      <c r="C236" s="4">
        <v>10</v>
      </c>
      <c r="D236" s="4">
        <v>3</v>
      </c>
      <c r="E236" s="4">
        <v>0</v>
      </c>
      <c r="F236" s="4">
        <v>1</v>
      </c>
      <c r="G236" s="4">
        <v>1</v>
      </c>
      <c r="H236" s="4">
        <v>0</v>
      </c>
      <c r="I236" s="4">
        <v>1</v>
      </c>
      <c r="J236" s="4">
        <v>0</v>
      </c>
      <c r="K236" s="4">
        <v>0</v>
      </c>
    </row>
    <row r="237" spans="1:11" x14ac:dyDescent="0.2">
      <c r="A237" s="4">
        <v>17.71</v>
      </c>
      <c r="B237" s="4">
        <v>16</v>
      </c>
      <c r="C237" s="4">
        <v>10</v>
      </c>
      <c r="D237" s="4">
        <v>3</v>
      </c>
      <c r="E237" s="4">
        <v>0</v>
      </c>
      <c r="F237" s="4">
        <v>1</v>
      </c>
      <c r="G237" s="4">
        <v>1</v>
      </c>
      <c r="H237" s="4">
        <v>0</v>
      </c>
      <c r="I237" s="4">
        <v>0</v>
      </c>
      <c r="J237" s="4">
        <v>1</v>
      </c>
      <c r="K237" s="4">
        <v>1</v>
      </c>
    </row>
    <row r="238" spans="1:11" x14ac:dyDescent="0.2">
      <c r="A238" s="4">
        <v>7.78</v>
      </c>
      <c r="B238" s="4">
        <v>14</v>
      </c>
      <c r="C238" s="4">
        <v>9</v>
      </c>
      <c r="D238" s="4">
        <v>3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</row>
    <row r="239" spans="1:11" x14ac:dyDescent="0.2">
      <c r="A239" s="4">
        <v>8.75</v>
      </c>
      <c r="B239" s="4">
        <v>14</v>
      </c>
      <c r="C239" s="4">
        <v>9</v>
      </c>
      <c r="D239" s="4">
        <v>3</v>
      </c>
      <c r="E239" s="4">
        <v>0</v>
      </c>
      <c r="F239" s="4">
        <v>1</v>
      </c>
      <c r="G239" s="4">
        <v>1</v>
      </c>
      <c r="H239" s="4">
        <v>0</v>
      </c>
      <c r="I239" s="4">
        <v>0</v>
      </c>
      <c r="J239" s="4">
        <v>0</v>
      </c>
      <c r="K239" s="4">
        <v>0</v>
      </c>
    </row>
    <row r="240" spans="1:11" x14ac:dyDescent="0.2">
      <c r="A240" s="4">
        <v>6.18</v>
      </c>
      <c r="B240" s="4">
        <v>14</v>
      </c>
      <c r="C240" s="4">
        <v>9</v>
      </c>
      <c r="D240" s="4">
        <v>3</v>
      </c>
      <c r="E240" s="4">
        <v>1</v>
      </c>
      <c r="F240" s="4">
        <v>1</v>
      </c>
      <c r="G240" s="4">
        <v>0</v>
      </c>
      <c r="H240" s="4">
        <v>1</v>
      </c>
      <c r="I240" s="4">
        <v>0</v>
      </c>
      <c r="J240" s="4">
        <v>0</v>
      </c>
      <c r="K240" s="4">
        <v>0</v>
      </c>
    </row>
    <row r="241" spans="1:11" x14ac:dyDescent="0.2">
      <c r="A241" s="4">
        <v>10</v>
      </c>
      <c r="B241" s="4">
        <v>16</v>
      </c>
      <c r="C241" s="4">
        <v>9</v>
      </c>
      <c r="D241" s="4">
        <v>3</v>
      </c>
      <c r="E241" s="4">
        <v>0</v>
      </c>
      <c r="F241" s="4">
        <v>1</v>
      </c>
      <c r="G241" s="4">
        <v>2</v>
      </c>
      <c r="H241" s="4">
        <v>0</v>
      </c>
      <c r="I241" s="4">
        <v>1</v>
      </c>
      <c r="J241" s="4">
        <v>0</v>
      </c>
      <c r="K241" s="4">
        <v>0</v>
      </c>
    </row>
    <row r="242" spans="1:11" x14ac:dyDescent="0.2">
      <c r="A242" s="4">
        <v>5</v>
      </c>
      <c r="B242" s="4">
        <v>12</v>
      </c>
      <c r="C242" s="4">
        <v>7</v>
      </c>
      <c r="D242" s="4">
        <v>3</v>
      </c>
      <c r="E242" s="4">
        <v>1</v>
      </c>
      <c r="F242" s="4">
        <v>0</v>
      </c>
      <c r="G242" s="4">
        <v>0</v>
      </c>
      <c r="H242" s="4">
        <v>0</v>
      </c>
      <c r="I242" s="4">
        <v>0</v>
      </c>
      <c r="J242" s="4">
        <v>1</v>
      </c>
      <c r="K242" s="4">
        <v>0</v>
      </c>
    </row>
    <row r="243" spans="1:11" x14ac:dyDescent="0.2">
      <c r="A243" s="4">
        <v>5.4</v>
      </c>
      <c r="B243" s="4">
        <v>12</v>
      </c>
      <c r="C243" s="4">
        <v>6</v>
      </c>
      <c r="D243" s="4">
        <v>3</v>
      </c>
      <c r="E243" s="4">
        <v>0</v>
      </c>
      <c r="F243" s="4">
        <v>1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</row>
    <row r="244" spans="1:11" x14ac:dyDescent="0.2">
      <c r="A244" s="4">
        <v>5</v>
      </c>
      <c r="B244" s="4">
        <v>12</v>
      </c>
      <c r="C244" s="4">
        <v>5</v>
      </c>
      <c r="D244" s="4">
        <v>3</v>
      </c>
      <c r="E244" s="4">
        <v>1</v>
      </c>
      <c r="F244" s="4">
        <v>0</v>
      </c>
      <c r="G244" s="4">
        <v>0</v>
      </c>
      <c r="H244" s="4">
        <v>0</v>
      </c>
      <c r="I244" s="4">
        <v>0</v>
      </c>
      <c r="J244" s="4">
        <v>1</v>
      </c>
      <c r="K244" s="4">
        <v>0</v>
      </c>
    </row>
    <row r="245" spans="1:11" x14ac:dyDescent="0.2">
      <c r="A245" s="4">
        <v>10</v>
      </c>
      <c r="B245" s="4">
        <v>17</v>
      </c>
      <c r="C245" s="4">
        <v>5</v>
      </c>
      <c r="D245" s="4">
        <v>3</v>
      </c>
      <c r="E245" s="4">
        <v>0</v>
      </c>
      <c r="F245" s="4">
        <v>1</v>
      </c>
      <c r="G245" s="4">
        <v>0</v>
      </c>
      <c r="H245" s="4">
        <v>1</v>
      </c>
      <c r="I245" s="4">
        <v>0</v>
      </c>
      <c r="J245" s="4">
        <v>0</v>
      </c>
      <c r="K245" s="4">
        <v>0</v>
      </c>
    </row>
    <row r="246" spans="1:11" x14ac:dyDescent="0.2">
      <c r="A246" s="4">
        <v>6.25</v>
      </c>
      <c r="B246" s="4">
        <v>16</v>
      </c>
      <c r="C246" s="4">
        <v>4</v>
      </c>
      <c r="D246" s="4">
        <v>3</v>
      </c>
      <c r="E246" s="4">
        <v>0</v>
      </c>
      <c r="F246" s="4">
        <v>1</v>
      </c>
      <c r="G246" s="4">
        <v>0</v>
      </c>
      <c r="H246" s="4">
        <v>0</v>
      </c>
      <c r="I246" s="4">
        <v>0</v>
      </c>
      <c r="J246" s="4">
        <v>1</v>
      </c>
      <c r="K246" s="4">
        <v>0</v>
      </c>
    </row>
    <row r="247" spans="1:11" x14ac:dyDescent="0.2">
      <c r="A247" s="4">
        <v>8.92</v>
      </c>
      <c r="B247" s="4">
        <v>18</v>
      </c>
      <c r="C247" s="4">
        <v>3</v>
      </c>
      <c r="D247" s="4">
        <v>3</v>
      </c>
      <c r="E247" s="4">
        <v>0</v>
      </c>
      <c r="F247" s="4">
        <v>1</v>
      </c>
      <c r="G247" s="4">
        <v>0</v>
      </c>
      <c r="H247" s="4">
        <v>0</v>
      </c>
      <c r="I247" s="4">
        <v>1</v>
      </c>
      <c r="J247" s="4">
        <v>0</v>
      </c>
      <c r="K247" s="4">
        <v>0</v>
      </c>
    </row>
    <row r="248" spans="1:11" x14ac:dyDescent="0.2">
      <c r="A248" s="4">
        <v>9.56</v>
      </c>
      <c r="B248" s="4">
        <v>16</v>
      </c>
      <c r="C248" s="4">
        <v>3</v>
      </c>
      <c r="D248" s="4">
        <v>3</v>
      </c>
      <c r="E248" s="4">
        <v>0</v>
      </c>
      <c r="F248" s="4">
        <v>1</v>
      </c>
      <c r="G248" s="4">
        <v>1</v>
      </c>
      <c r="H248" s="4">
        <v>0</v>
      </c>
      <c r="I248" s="4">
        <v>0</v>
      </c>
      <c r="J248" s="4">
        <v>1</v>
      </c>
      <c r="K248" s="4">
        <v>0</v>
      </c>
    </row>
    <row r="249" spans="1:11" x14ac:dyDescent="0.2">
      <c r="A249" s="4">
        <v>3</v>
      </c>
      <c r="B249" s="4">
        <v>14</v>
      </c>
      <c r="C249" s="4">
        <v>3</v>
      </c>
      <c r="D249" s="4">
        <v>3</v>
      </c>
      <c r="E249" s="4">
        <v>1</v>
      </c>
      <c r="F249" s="4">
        <v>1</v>
      </c>
      <c r="G249" s="4">
        <v>0</v>
      </c>
      <c r="H249" s="4">
        <v>0</v>
      </c>
      <c r="I249" s="4">
        <v>0</v>
      </c>
      <c r="J249" s="4">
        <v>1</v>
      </c>
      <c r="K249" s="4">
        <v>0</v>
      </c>
    </row>
    <row r="250" spans="1:11" x14ac:dyDescent="0.2">
      <c r="A250" s="4">
        <v>2.92</v>
      </c>
      <c r="B250" s="4">
        <v>14</v>
      </c>
      <c r="C250" s="4">
        <v>1</v>
      </c>
      <c r="D250" s="4">
        <v>3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</row>
    <row r="251" spans="1:11" x14ac:dyDescent="0.2">
      <c r="A251" s="4">
        <v>4.75</v>
      </c>
      <c r="B251" s="4">
        <v>12</v>
      </c>
      <c r="C251" s="9">
        <v>43.93</v>
      </c>
      <c r="D251" s="4">
        <v>2</v>
      </c>
      <c r="E251" s="4">
        <v>1</v>
      </c>
      <c r="F251" s="4">
        <v>1</v>
      </c>
      <c r="G251" s="4">
        <v>0</v>
      </c>
      <c r="H251" s="4">
        <v>1</v>
      </c>
      <c r="I251" s="4">
        <v>0</v>
      </c>
      <c r="J251" s="4">
        <v>0</v>
      </c>
      <c r="K251" s="4">
        <v>0</v>
      </c>
    </row>
    <row r="252" spans="1:11" x14ac:dyDescent="0.2">
      <c r="A252" s="4">
        <v>5</v>
      </c>
      <c r="B252" s="10">
        <v>12</v>
      </c>
      <c r="C252" s="9">
        <v>43.93</v>
      </c>
      <c r="D252" s="4">
        <v>2</v>
      </c>
      <c r="E252" s="4">
        <v>0</v>
      </c>
      <c r="F252" s="4">
        <v>0</v>
      </c>
      <c r="G252" s="4">
        <v>0</v>
      </c>
      <c r="H252" s="4">
        <v>1</v>
      </c>
      <c r="I252" s="4">
        <v>0</v>
      </c>
      <c r="J252" s="4">
        <v>0</v>
      </c>
      <c r="K252" s="4">
        <v>0</v>
      </c>
    </row>
    <row r="253" spans="1:11" x14ac:dyDescent="0.2">
      <c r="A253" s="4">
        <v>3.25</v>
      </c>
      <c r="B253" s="4">
        <v>12</v>
      </c>
      <c r="C253" s="4">
        <v>40</v>
      </c>
      <c r="D253" s="4">
        <v>2</v>
      </c>
      <c r="E253" s="4">
        <v>1</v>
      </c>
      <c r="F253" s="4">
        <v>0</v>
      </c>
      <c r="G253" s="4">
        <v>0</v>
      </c>
      <c r="H253" s="4">
        <v>1</v>
      </c>
      <c r="I253" s="4">
        <v>0</v>
      </c>
      <c r="J253" s="4">
        <v>0</v>
      </c>
      <c r="K253" s="4">
        <v>0</v>
      </c>
    </row>
    <row r="254" spans="1:11" x14ac:dyDescent="0.2">
      <c r="A254" s="4">
        <v>3.75</v>
      </c>
      <c r="B254" s="4">
        <v>12</v>
      </c>
      <c r="C254" s="4">
        <v>39</v>
      </c>
      <c r="D254" s="4">
        <v>2</v>
      </c>
      <c r="E254" s="4">
        <v>1</v>
      </c>
      <c r="F254" s="4">
        <v>1</v>
      </c>
      <c r="G254" s="4">
        <v>0</v>
      </c>
      <c r="H254" s="4">
        <v>1</v>
      </c>
      <c r="I254" s="4">
        <v>0</v>
      </c>
      <c r="J254" s="4">
        <v>0</v>
      </c>
      <c r="K254" s="4">
        <v>0</v>
      </c>
    </row>
    <row r="255" spans="1:11" x14ac:dyDescent="0.2">
      <c r="A255" s="4">
        <v>2.93</v>
      </c>
      <c r="B255" s="4">
        <v>12</v>
      </c>
      <c r="C255" s="4">
        <v>36</v>
      </c>
      <c r="D255" s="4">
        <v>2</v>
      </c>
      <c r="E255" s="4">
        <v>1</v>
      </c>
      <c r="F255" s="4">
        <v>1</v>
      </c>
      <c r="G255" s="4">
        <v>1</v>
      </c>
      <c r="H255" s="4">
        <v>0</v>
      </c>
      <c r="I255" s="4">
        <v>0</v>
      </c>
      <c r="J255" s="4">
        <v>1</v>
      </c>
      <c r="K255" s="4">
        <v>0</v>
      </c>
    </row>
    <row r="256" spans="1:11" x14ac:dyDescent="0.2">
      <c r="A256" s="4">
        <v>4.55</v>
      </c>
      <c r="B256" s="4">
        <v>16</v>
      </c>
      <c r="C256" s="4">
        <v>34</v>
      </c>
      <c r="D256" s="4">
        <v>2</v>
      </c>
      <c r="E256" s="4">
        <v>0</v>
      </c>
      <c r="F256" s="4">
        <v>1</v>
      </c>
      <c r="G256" s="4">
        <v>0</v>
      </c>
      <c r="H256" s="4">
        <v>0</v>
      </c>
      <c r="I256" s="4">
        <v>1</v>
      </c>
      <c r="J256" s="4">
        <v>0</v>
      </c>
      <c r="K256" s="4">
        <v>0</v>
      </c>
    </row>
    <row r="257" spans="1:11" x14ac:dyDescent="0.2">
      <c r="A257" s="4">
        <v>3.73</v>
      </c>
      <c r="B257" s="4">
        <v>9</v>
      </c>
      <c r="C257" s="4">
        <v>33</v>
      </c>
      <c r="D257" s="4">
        <v>2</v>
      </c>
      <c r="E257" s="10">
        <v>2</v>
      </c>
      <c r="F257" s="4">
        <v>0</v>
      </c>
      <c r="G257" s="4">
        <v>1</v>
      </c>
      <c r="H257" s="4">
        <v>1</v>
      </c>
      <c r="I257" s="4">
        <v>0</v>
      </c>
      <c r="J257" s="4">
        <v>0</v>
      </c>
      <c r="K257" s="4">
        <v>0</v>
      </c>
    </row>
    <row r="258" spans="1:11" x14ac:dyDescent="0.2">
      <c r="A258" s="4">
        <v>6.5</v>
      </c>
      <c r="B258" s="4">
        <v>12</v>
      </c>
      <c r="C258" s="4">
        <v>33</v>
      </c>
      <c r="D258" s="4">
        <v>2</v>
      </c>
      <c r="E258" s="4">
        <v>0</v>
      </c>
      <c r="F258" s="4">
        <v>1</v>
      </c>
      <c r="G258" s="4">
        <v>0</v>
      </c>
      <c r="H258" s="4">
        <v>1</v>
      </c>
      <c r="I258" s="4">
        <v>0</v>
      </c>
      <c r="J258" s="4">
        <v>0</v>
      </c>
      <c r="K258" s="4">
        <v>0</v>
      </c>
    </row>
    <row r="259" spans="1:11" x14ac:dyDescent="0.2">
      <c r="A259" s="4">
        <v>3</v>
      </c>
      <c r="B259" s="4">
        <v>8</v>
      </c>
      <c r="C259" s="4">
        <v>33</v>
      </c>
      <c r="D259" s="4">
        <v>2</v>
      </c>
      <c r="E259" s="4">
        <v>0</v>
      </c>
      <c r="F259" s="4">
        <v>1</v>
      </c>
      <c r="G259" s="4">
        <v>0</v>
      </c>
      <c r="H259" s="4">
        <v>0</v>
      </c>
      <c r="I259" s="4">
        <v>1</v>
      </c>
      <c r="J259" s="4">
        <v>0</v>
      </c>
      <c r="K259" s="4">
        <v>0</v>
      </c>
    </row>
    <row r="260" spans="1:11" x14ac:dyDescent="0.2">
      <c r="A260" s="4">
        <v>10</v>
      </c>
      <c r="B260" s="4">
        <v>12</v>
      </c>
      <c r="C260" s="4">
        <v>31</v>
      </c>
      <c r="D260" s="4">
        <v>2</v>
      </c>
      <c r="E260" s="4">
        <v>0</v>
      </c>
      <c r="F260" s="4">
        <v>1</v>
      </c>
      <c r="G260" s="4">
        <v>0</v>
      </c>
      <c r="H260" s="4">
        <v>0</v>
      </c>
      <c r="I260" s="4">
        <v>1</v>
      </c>
      <c r="J260" s="4">
        <v>0</v>
      </c>
      <c r="K260" s="4">
        <v>0</v>
      </c>
    </row>
    <row r="261" spans="1:11" x14ac:dyDescent="0.2">
      <c r="A261" s="4">
        <v>4.6500000000000004</v>
      </c>
      <c r="B261" s="4">
        <v>12</v>
      </c>
      <c r="C261" s="4">
        <v>27</v>
      </c>
      <c r="D261" s="4">
        <v>2</v>
      </c>
      <c r="E261" s="4">
        <v>0</v>
      </c>
      <c r="F261" s="4">
        <v>1</v>
      </c>
      <c r="G261" s="4">
        <v>3</v>
      </c>
      <c r="H261" s="4">
        <v>0</v>
      </c>
      <c r="I261" s="4">
        <v>1</v>
      </c>
      <c r="J261" s="4">
        <v>0</v>
      </c>
      <c r="K261" s="4">
        <v>0</v>
      </c>
    </row>
    <row r="262" spans="1:11" x14ac:dyDescent="0.2">
      <c r="A262" s="4">
        <v>8</v>
      </c>
      <c r="B262" s="4">
        <v>12</v>
      </c>
      <c r="C262" s="4">
        <v>26</v>
      </c>
      <c r="D262" s="4">
        <v>2</v>
      </c>
      <c r="E262" s="4">
        <v>0</v>
      </c>
      <c r="F262" s="4">
        <v>1</v>
      </c>
      <c r="G262" s="4">
        <v>1</v>
      </c>
      <c r="H262" s="4">
        <v>1</v>
      </c>
      <c r="I262" s="4">
        <v>0</v>
      </c>
      <c r="J262" s="4">
        <v>0</v>
      </c>
      <c r="K262" s="4">
        <v>0</v>
      </c>
    </row>
    <row r="263" spans="1:11" x14ac:dyDescent="0.2">
      <c r="A263" s="4">
        <v>6.25</v>
      </c>
      <c r="B263" s="4">
        <v>16</v>
      </c>
      <c r="C263" s="4">
        <v>24</v>
      </c>
      <c r="D263" s="4">
        <v>2</v>
      </c>
      <c r="E263" s="4">
        <v>1</v>
      </c>
      <c r="F263" s="4">
        <v>1</v>
      </c>
      <c r="G263" s="4">
        <v>2</v>
      </c>
      <c r="H263" s="4">
        <v>0</v>
      </c>
      <c r="I263" s="4">
        <v>0</v>
      </c>
      <c r="J263" s="4">
        <v>1</v>
      </c>
      <c r="K263" s="4">
        <v>0</v>
      </c>
    </row>
    <row r="264" spans="1:11" x14ac:dyDescent="0.2">
      <c r="A264" s="4">
        <v>4.5</v>
      </c>
      <c r="B264" s="4">
        <v>13</v>
      </c>
      <c r="C264" s="4">
        <v>23</v>
      </c>
      <c r="D264" s="4">
        <v>2</v>
      </c>
      <c r="E264" s="4">
        <v>1</v>
      </c>
      <c r="F264" s="4">
        <v>0</v>
      </c>
      <c r="G264" s="4">
        <v>0</v>
      </c>
      <c r="H264" s="4">
        <v>0</v>
      </c>
      <c r="I264" s="4">
        <v>1</v>
      </c>
      <c r="J264" s="4">
        <v>0</v>
      </c>
      <c r="K264" s="4">
        <v>0</v>
      </c>
    </row>
    <row r="265" spans="1:11" x14ac:dyDescent="0.2">
      <c r="A265" s="4">
        <v>3.5</v>
      </c>
      <c r="B265" s="4">
        <v>11</v>
      </c>
      <c r="C265" s="4">
        <v>23</v>
      </c>
      <c r="D265" s="4">
        <v>2</v>
      </c>
      <c r="E265" s="4">
        <v>1</v>
      </c>
      <c r="F265" s="4">
        <v>0</v>
      </c>
      <c r="G265" s="4">
        <v>2</v>
      </c>
      <c r="H265" s="4">
        <v>0</v>
      </c>
      <c r="I265" s="4">
        <v>1</v>
      </c>
      <c r="J265" s="4">
        <v>0</v>
      </c>
      <c r="K265" s="4">
        <v>0</v>
      </c>
    </row>
    <row r="266" spans="1:11" x14ac:dyDescent="0.2">
      <c r="A266" s="4">
        <v>2.9</v>
      </c>
      <c r="B266" s="4">
        <v>10</v>
      </c>
      <c r="C266" s="4">
        <v>23</v>
      </c>
      <c r="D266" s="4">
        <v>2</v>
      </c>
      <c r="E266" s="4">
        <v>1</v>
      </c>
      <c r="F266" s="4">
        <v>0</v>
      </c>
      <c r="G266" s="4">
        <v>2</v>
      </c>
      <c r="H266" s="4">
        <v>0</v>
      </c>
      <c r="I266" s="4">
        <v>1</v>
      </c>
      <c r="J266" s="4">
        <v>0</v>
      </c>
      <c r="K266" s="4">
        <v>0</v>
      </c>
    </row>
    <row r="267" spans="1:11" x14ac:dyDescent="0.2">
      <c r="A267" s="4">
        <v>3.24</v>
      </c>
      <c r="B267" s="4">
        <v>12</v>
      </c>
      <c r="C267" s="4">
        <v>22</v>
      </c>
      <c r="D267" s="4">
        <v>2</v>
      </c>
      <c r="E267" s="4">
        <v>1</v>
      </c>
      <c r="F267" s="4">
        <v>1</v>
      </c>
      <c r="G267" s="4">
        <v>3</v>
      </c>
      <c r="H267" s="4">
        <v>0</v>
      </c>
      <c r="I267" s="4">
        <v>0</v>
      </c>
      <c r="J267" s="4">
        <v>1</v>
      </c>
      <c r="K267" s="4">
        <v>0</v>
      </c>
    </row>
    <row r="268" spans="1:11" x14ac:dyDescent="0.2">
      <c r="A268" s="4">
        <v>3.83</v>
      </c>
      <c r="B268" s="4">
        <v>12</v>
      </c>
      <c r="C268" s="4">
        <v>18</v>
      </c>
      <c r="D268" s="4">
        <v>2</v>
      </c>
      <c r="E268" s="4">
        <v>1</v>
      </c>
      <c r="F268" s="4">
        <v>0</v>
      </c>
      <c r="G268" s="4">
        <v>3</v>
      </c>
      <c r="H268" s="4">
        <v>0</v>
      </c>
      <c r="I268" s="4">
        <v>1</v>
      </c>
      <c r="J268" s="4">
        <v>0</v>
      </c>
      <c r="K268" s="4">
        <v>0</v>
      </c>
    </row>
    <row r="269" spans="1:11" x14ac:dyDescent="0.2">
      <c r="A269" s="4">
        <v>3.5</v>
      </c>
      <c r="B269" s="4">
        <v>14</v>
      </c>
      <c r="C269" s="4">
        <v>18</v>
      </c>
      <c r="D269" s="4">
        <v>2</v>
      </c>
      <c r="E269" s="4">
        <v>0</v>
      </c>
      <c r="F269" s="4">
        <v>1</v>
      </c>
      <c r="G269" s="4">
        <v>1</v>
      </c>
      <c r="H269" s="4">
        <v>1</v>
      </c>
      <c r="I269" s="4">
        <v>0</v>
      </c>
      <c r="J269" s="4">
        <v>0</v>
      </c>
      <c r="K269" s="4">
        <v>0</v>
      </c>
    </row>
    <row r="270" spans="1:11" x14ac:dyDescent="0.2">
      <c r="A270" s="4">
        <v>13.08</v>
      </c>
      <c r="B270" s="4">
        <v>17</v>
      </c>
      <c r="C270" s="4">
        <v>17</v>
      </c>
      <c r="D270" s="4">
        <v>2</v>
      </c>
      <c r="E270" s="4">
        <v>0</v>
      </c>
      <c r="F270" s="4">
        <v>1</v>
      </c>
      <c r="G270" s="4">
        <v>3</v>
      </c>
      <c r="H270" s="4">
        <v>0</v>
      </c>
      <c r="I270" s="4">
        <v>0</v>
      </c>
      <c r="J270" s="4">
        <v>0</v>
      </c>
      <c r="K270" s="4">
        <v>0</v>
      </c>
    </row>
    <row r="271" spans="1:11" x14ac:dyDescent="0.2">
      <c r="A271" s="4">
        <v>3.28</v>
      </c>
      <c r="B271" s="4">
        <v>12</v>
      </c>
      <c r="C271" s="4">
        <v>17</v>
      </c>
      <c r="D271" s="4">
        <v>2</v>
      </c>
      <c r="E271" s="4">
        <v>1</v>
      </c>
      <c r="F271" s="4">
        <v>0</v>
      </c>
      <c r="G271" s="4">
        <v>0</v>
      </c>
      <c r="H271" s="4">
        <v>0</v>
      </c>
      <c r="I271" s="4">
        <v>1</v>
      </c>
      <c r="J271" s="4">
        <v>0</v>
      </c>
      <c r="K271" s="4">
        <v>0</v>
      </c>
    </row>
    <row r="272" spans="1:11" x14ac:dyDescent="0.2">
      <c r="A272" s="4">
        <v>10.38</v>
      </c>
      <c r="B272" s="4">
        <v>18</v>
      </c>
      <c r="C272" s="4">
        <v>16</v>
      </c>
      <c r="D272" s="4">
        <v>2</v>
      </c>
      <c r="E272" s="4">
        <v>0</v>
      </c>
      <c r="F272" s="4">
        <v>1</v>
      </c>
      <c r="G272" s="4">
        <v>1</v>
      </c>
      <c r="H272" s="4">
        <v>1</v>
      </c>
      <c r="I272" s="4">
        <v>0</v>
      </c>
      <c r="J272" s="4">
        <v>0</v>
      </c>
      <c r="K272" s="4">
        <v>0</v>
      </c>
    </row>
    <row r="273" spans="1:11" x14ac:dyDescent="0.2">
      <c r="A273" s="4">
        <v>2.95</v>
      </c>
      <c r="B273" s="4">
        <v>8</v>
      </c>
      <c r="C273" s="4">
        <v>15</v>
      </c>
      <c r="D273" s="4">
        <v>2</v>
      </c>
      <c r="E273" s="4">
        <v>1</v>
      </c>
      <c r="F273" s="4">
        <v>1</v>
      </c>
      <c r="G273" s="4">
        <v>1</v>
      </c>
      <c r="H273" s="4">
        <v>0</v>
      </c>
      <c r="I273" s="4">
        <v>0</v>
      </c>
      <c r="J273" s="4">
        <v>0</v>
      </c>
      <c r="K273" s="4">
        <v>0</v>
      </c>
    </row>
    <row r="274" spans="1:11" x14ac:dyDescent="0.2">
      <c r="A274" s="4">
        <v>3.25</v>
      </c>
      <c r="B274" s="4">
        <v>12</v>
      </c>
      <c r="C274" s="4">
        <v>14</v>
      </c>
      <c r="D274" s="4">
        <v>2</v>
      </c>
      <c r="E274" s="4">
        <v>1</v>
      </c>
      <c r="F274" s="4">
        <v>1</v>
      </c>
      <c r="G274" s="4">
        <v>2</v>
      </c>
      <c r="H274" s="4">
        <v>0</v>
      </c>
      <c r="I274" s="4">
        <v>1</v>
      </c>
      <c r="J274" s="4">
        <v>0</v>
      </c>
      <c r="K274" s="4">
        <v>0</v>
      </c>
    </row>
    <row r="275" spans="1:11" x14ac:dyDescent="0.2">
      <c r="A275" s="4">
        <v>15</v>
      </c>
      <c r="B275" s="4">
        <v>16</v>
      </c>
      <c r="C275" s="4">
        <v>14</v>
      </c>
      <c r="D275" s="4">
        <v>2</v>
      </c>
      <c r="E275" s="4">
        <v>1</v>
      </c>
      <c r="F275" s="4">
        <v>1</v>
      </c>
      <c r="G275" s="4">
        <v>2</v>
      </c>
      <c r="H275" s="4">
        <v>0</v>
      </c>
      <c r="I275" s="4">
        <v>0</v>
      </c>
      <c r="J275" s="4">
        <v>1</v>
      </c>
      <c r="K275" s="4">
        <v>0</v>
      </c>
    </row>
    <row r="276" spans="1:11" x14ac:dyDescent="0.2">
      <c r="A276" s="4">
        <v>9.0500000000000007</v>
      </c>
      <c r="B276" s="4">
        <v>12</v>
      </c>
      <c r="C276" s="4">
        <v>10</v>
      </c>
      <c r="D276" s="4">
        <v>2</v>
      </c>
      <c r="E276" s="4">
        <v>0</v>
      </c>
      <c r="F276" s="4">
        <v>1</v>
      </c>
      <c r="G276" s="4">
        <v>3</v>
      </c>
      <c r="H276" s="4">
        <v>1</v>
      </c>
      <c r="I276" s="4">
        <v>0</v>
      </c>
      <c r="J276" s="4">
        <v>0</v>
      </c>
      <c r="K276" s="4">
        <v>1</v>
      </c>
    </row>
    <row r="277" spans="1:11" x14ac:dyDescent="0.2">
      <c r="A277" s="4">
        <v>12.22</v>
      </c>
      <c r="B277" s="4">
        <v>16</v>
      </c>
      <c r="C277" s="4">
        <v>10</v>
      </c>
      <c r="D277" s="4">
        <v>2</v>
      </c>
      <c r="E277" s="4">
        <v>0</v>
      </c>
      <c r="F277" s="4">
        <v>0</v>
      </c>
      <c r="G277" s="4">
        <v>0</v>
      </c>
      <c r="H277" s="4">
        <v>0</v>
      </c>
      <c r="I277" s="4">
        <v>1</v>
      </c>
      <c r="J277" s="4">
        <v>0</v>
      </c>
      <c r="K277" s="4">
        <v>0</v>
      </c>
    </row>
    <row r="278" spans="1:11" x14ac:dyDescent="0.2">
      <c r="A278" s="4">
        <v>5.71</v>
      </c>
      <c r="B278" s="4">
        <v>13</v>
      </c>
      <c r="C278" s="4">
        <v>10</v>
      </c>
      <c r="D278" s="4">
        <v>2</v>
      </c>
      <c r="E278" s="4">
        <v>1</v>
      </c>
      <c r="F278" s="4">
        <v>1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</row>
    <row r="279" spans="1:11" x14ac:dyDescent="0.2">
      <c r="A279" s="4">
        <v>6.25</v>
      </c>
      <c r="B279" s="10">
        <v>12</v>
      </c>
      <c r="C279" s="4">
        <v>9</v>
      </c>
      <c r="D279" s="4">
        <v>2</v>
      </c>
      <c r="E279" s="4">
        <v>0</v>
      </c>
      <c r="F279" s="4">
        <v>1</v>
      </c>
      <c r="G279" s="4">
        <v>1</v>
      </c>
      <c r="H279" s="4">
        <v>1</v>
      </c>
      <c r="I279" s="4">
        <v>0</v>
      </c>
      <c r="J279" s="4">
        <v>0</v>
      </c>
      <c r="K279" s="4">
        <v>0</v>
      </c>
    </row>
    <row r="280" spans="1:11" x14ac:dyDescent="0.2">
      <c r="A280" s="4">
        <v>3.65</v>
      </c>
      <c r="B280" s="4">
        <v>14</v>
      </c>
      <c r="C280" s="4">
        <v>9</v>
      </c>
      <c r="D280" s="4">
        <v>2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1</v>
      </c>
      <c r="K280" s="4">
        <v>0</v>
      </c>
    </row>
    <row r="281" spans="1:11" x14ac:dyDescent="0.2">
      <c r="A281" s="4">
        <v>7.26</v>
      </c>
      <c r="B281" s="4">
        <v>13</v>
      </c>
      <c r="C281" s="4">
        <v>8</v>
      </c>
      <c r="D281" s="4">
        <v>2</v>
      </c>
      <c r="E281" s="4">
        <v>0</v>
      </c>
      <c r="F281" s="4">
        <v>0</v>
      </c>
      <c r="G281" s="4">
        <v>0</v>
      </c>
      <c r="H281" s="4">
        <v>0</v>
      </c>
      <c r="I281" s="4">
        <v>1</v>
      </c>
      <c r="J281" s="4">
        <v>0</v>
      </c>
      <c r="K281" s="4">
        <v>0</v>
      </c>
    </row>
    <row r="282" spans="1:11" x14ac:dyDescent="0.2">
      <c r="A282" s="4">
        <v>6.25</v>
      </c>
      <c r="B282" s="4">
        <v>16</v>
      </c>
      <c r="C282" s="4">
        <v>8</v>
      </c>
      <c r="D282" s="4">
        <v>2</v>
      </c>
      <c r="E282" s="10">
        <v>2</v>
      </c>
      <c r="F282" s="4">
        <v>0</v>
      </c>
      <c r="G282" s="4">
        <v>0</v>
      </c>
      <c r="H282" s="4">
        <v>0</v>
      </c>
      <c r="I282" s="4">
        <v>0</v>
      </c>
      <c r="J282" s="4">
        <v>1</v>
      </c>
      <c r="K282" s="4">
        <v>0</v>
      </c>
    </row>
    <row r="283" spans="1:11" x14ac:dyDescent="0.2">
      <c r="A283" s="4">
        <v>3.64</v>
      </c>
      <c r="B283" s="4">
        <v>12</v>
      </c>
      <c r="C283" s="4">
        <v>7</v>
      </c>
      <c r="D283" s="4">
        <v>2</v>
      </c>
      <c r="E283" s="4">
        <v>0</v>
      </c>
      <c r="F283" s="4">
        <v>0</v>
      </c>
      <c r="G283" s="4">
        <v>0</v>
      </c>
      <c r="H283" s="4">
        <v>0</v>
      </c>
      <c r="I283" s="4">
        <v>1</v>
      </c>
      <c r="J283" s="4">
        <v>0</v>
      </c>
      <c r="K283" s="4">
        <v>0</v>
      </c>
    </row>
    <row r="284" spans="1:11" x14ac:dyDescent="0.2">
      <c r="A284" s="4">
        <v>5.3</v>
      </c>
      <c r="B284" s="4">
        <v>12</v>
      </c>
      <c r="C284" s="4">
        <v>7</v>
      </c>
      <c r="D284" s="4">
        <v>2</v>
      </c>
      <c r="E284" s="4">
        <v>0</v>
      </c>
      <c r="F284" s="4">
        <v>1</v>
      </c>
      <c r="G284" s="4">
        <v>1</v>
      </c>
      <c r="H284" s="4">
        <v>0</v>
      </c>
      <c r="I284" s="4">
        <v>0</v>
      </c>
      <c r="J284" s="4">
        <v>1</v>
      </c>
      <c r="K284" s="4">
        <v>0</v>
      </c>
    </row>
    <row r="285" spans="1:11" x14ac:dyDescent="0.2">
      <c r="A285" s="4">
        <v>3.51</v>
      </c>
      <c r="B285" s="4">
        <v>12</v>
      </c>
      <c r="C285" s="4">
        <v>7</v>
      </c>
      <c r="D285" s="4">
        <v>2</v>
      </c>
      <c r="E285" s="4">
        <v>1</v>
      </c>
      <c r="F285" s="4">
        <v>1</v>
      </c>
      <c r="G285" s="4">
        <v>0</v>
      </c>
      <c r="H285" s="4">
        <v>1</v>
      </c>
      <c r="I285" s="4">
        <v>0</v>
      </c>
      <c r="J285" s="4">
        <v>0</v>
      </c>
      <c r="K285" s="4">
        <v>0</v>
      </c>
    </row>
    <row r="286" spans="1:11" x14ac:dyDescent="0.2">
      <c r="A286" s="4">
        <v>7.5</v>
      </c>
      <c r="B286" s="4">
        <v>16</v>
      </c>
      <c r="C286" s="4">
        <v>6</v>
      </c>
      <c r="D286" s="4">
        <v>2</v>
      </c>
      <c r="E286" s="4">
        <v>1</v>
      </c>
      <c r="F286" s="4">
        <v>1</v>
      </c>
      <c r="G286" s="4">
        <v>1</v>
      </c>
      <c r="H286" s="4">
        <v>0</v>
      </c>
      <c r="I286" s="4">
        <v>1</v>
      </c>
      <c r="J286" s="4">
        <v>0</v>
      </c>
      <c r="K286" s="4">
        <v>0</v>
      </c>
    </row>
    <row r="287" spans="1:11" x14ac:dyDescent="0.2">
      <c r="A287" s="4">
        <v>3.5</v>
      </c>
      <c r="B287" s="4">
        <v>12</v>
      </c>
      <c r="C287" s="4">
        <v>6</v>
      </c>
      <c r="D287" s="4">
        <v>2</v>
      </c>
      <c r="E287" s="4">
        <v>1</v>
      </c>
      <c r="F287" s="4">
        <v>0</v>
      </c>
      <c r="G287" s="4">
        <v>1</v>
      </c>
      <c r="H287" s="4">
        <v>0</v>
      </c>
      <c r="I287" s="4">
        <v>0</v>
      </c>
      <c r="J287" s="4">
        <v>0</v>
      </c>
      <c r="K287" s="4">
        <v>0</v>
      </c>
    </row>
    <row r="288" spans="1:11" x14ac:dyDescent="0.2">
      <c r="A288" s="4">
        <v>12.5</v>
      </c>
      <c r="B288" s="4">
        <v>18</v>
      </c>
      <c r="C288" s="4">
        <v>6</v>
      </c>
      <c r="D288" s="4">
        <v>2</v>
      </c>
      <c r="E288" s="4">
        <v>0</v>
      </c>
      <c r="F288" s="4">
        <v>0</v>
      </c>
      <c r="G288" s="4">
        <v>0</v>
      </c>
      <c r="H288" s="4">
        <v>0</v>
      </c>
      <c r="I288" s="4">
        <v>1</v>
      </c>
      <c r="J288" s="4">
        <v>0</v>
      </c>
      <c r="K288" s="4">
        <v>0</v>
      </c>
    </row>
    <row r="289" spans="1:11" x14ac:dyDescent="0.2">
      <c r="A289" s="4">
        <v>8.33</v>
      </c>
      <c r="B289" s="4">
        <v>16</v>
      </c>
      <c r="C289" s="4">
        <v>6</v>
      </c>
      <c r="D289" s="4">
        <v>2</v>
      </c>
      <c r="E289" s="4">
        <v>0</v>
      </c>
      <c r="F289" s="4">
        <v>1</v>
      </c>
      <c r="G289" s="4">
        <v>0</v>
      </c>
      <c r="H289" s="4">
        <v>0</v>
      </c>
      <c r="I289" s="4">
        <v>0</v>
      </c>
      <c r="J289" s="4">
        <v>1</v>
      </c>
      <c r="K289" s="4">
        <v>0</v>
      </c>
    </row>
    <row r="290" spans="1:11" x14ac:dyDescent="0.2">
      <c r="A290" s="4">
        <v>4.25</v>
      </c>
      <c r="B290" s="4">
        <v>14</v>
      </c>
      <c r="C290" s="4">
        <v>5</v>
      </c>
      <c r="D290" s="4">
        <v>2</v>
      </c>
      <c r="E290" s="4">
        <v>0</v>
      </c>
      <c r="F290" s="4">
        <v>1</v>
      </c>
      <c r="G290" s="4">
        <v>2</v>
      </c>
      <c r="H290" s="4">
        <v>0</v>
      </c>
      <c r="I290" s="4">
        <v>0</v>
      </c>
      <c r="J290" s="4">
        <v>0</v>
      </c>
      <c r="K290" s="4">
        <v>0</v>
      </c>
    </row>
    <row r="291" spans="1:11" x14ac:dyDescent="0.2">
      <c r="A291" s="4">
        <v>4.34</v>
      </c>
      <c r="B291" s="4">
        <v>16</v>
      </c>
      <c r="C291" s="4">
        <v>5</v>
      </c>
      <c r="D291" s="4">
        <v>2</v>
      </c>
      <c r="E291" s="4">
        <v>1</v>
      </c>
      <c r="F291" s="4">
        <v>0</v>
      </c>
      <c r="G291" s="4">
        <v>0</v>
      </c>
      <c r="H291" s="4">
        <v>0</v>
      </c>
      <c r="I291" s="4">
        <v>1</v>
      </c>
      <c r="J291" s="4">
        <v>0</v>
      </c>
      <c r="K291" s="4">
        <v>0</v>
      </c>
    </row>
    <row r="292" spans="1:11" x14ac:dyDescent="0.2">
      <c r="A292" s="4">
        <v>4.51</v>
      </c>
      <c r="B292" s="4">
        <v>12</v>
      </c>
      <c r="C292" s="4">
        <v>5</v>
      </c>
      <c r="D292" s="4">
        <v>2</v>
      </c>
      <c r="E292" s="4">
        <v>0</v>
      </c>
      <c r="F292" s="4">
        <v>0</v>
      </c>
      <c r="G292" s="4">
        <v>0</v>
      </c>
      <c r="H292" s="4">
        <v>1</v>
      </c>
      <c r="I292" s="4">
        <v>0</v>
      </c>
      <c r="J292" s="4">
        <v>0</v>
      </c>
      <c r="K292" s="4">
        <v>0</v>
      </c>
    </row>
    <row r="293" spans="1:11" x14ac:dyDescent="0.2">
      <c r="A293" s="4">
        <v>3.75</v>
      </c>
      <c r="B293" s="10">
        <v>12</v>
      </c>
      <c r="C293" s="4">
        <v>5</v>
      </c>
      <c r="D293" s="4">
        <v>2</v>
      </c>
      <c r="E293" s="4">
        <v>1</v>
      </c>
      <c r="F293" s="4">
        <v>1</v>
      </c>
      <c r="G293" s="4">
        <v>1</v>
      </c>
      <c r="H293" s="4">
        <v>0</v>
      </c>
      <c r="I293" s="4">
        <v>1</v>
      </c>
      <c r="J293" s="4">
        <v>0</v>
      </c>
      <c r="K293" s="4">
        <v>0</v>
      </c>
    </row>
    <row r="294" spans="1:11" x14ac:dyDescent="0.2">
      <c r="A294" s="4">
        <v>4</v>
      </c>
      <c r="B294" s="4">
        <v>12</v>
      </c>
      <c r="C294" s="4">
        <v>5</v>
      </c>
      <c r="D294" s="4">
        <v>2</v>
      </c>
      <c r="E294" s="4">
        <v>0</v>
      </c>
      <c r="F294" s="4">
        <v>1</v>
      </c>
      <c r="G294" s="4">
        <v>0</v>
      </c>
      <c r="H294" s="4">
        <v>0</v>
      </c>
      <c r="I294" s="4">
        <v>1</v>
      </c>
      <c r="J294" s="4">
        <v>0</v>
      </c>
      <c r="K294" s="4">
        <v>1</v>
      </c>
    </row>
    <row r="295" spans="1:11" x14ac:dyDescent="0.2">
      <c r="A295" s="4">
        <v>6.53</v>
      </c>
      <c r="B295" s="4">
        <v>16</v>
      </c>
      <c r="C295" s="4">
        <v>3</v>
      </c>
      <c r="D295" s="4">
        <v>2</v>
      </c>
      <c r="E295" s="4">
        <v>1</v>
      </c>
      <c r="F295" s="4">
        <v>0</v>
      </c>
      <c r="G295" s="4">
        <v>0</v>
      </c>
      <c r="H295" s="4">
        <v>1</v>
      </c>
      <c r="I295" s="4">
        <v>0</v>
      </c>
      <c r="J295" s="4">
        <v>0</v>
      </c>
      <c r="K295" s="4">
        <v>0</v>
      </c>
    </row>
    <row r="296" spans="1:11" x14ac:dyDescent="0.2">
      <c r="A296" s="4">
        <v>2</v>
      </c>
      <c r="B296" s="4">
        <v>12</v>
      </c>
      <c r="C296" s="4">
        <v>3</v>
      </c>
      <c r="D296" s="4">
        <v>2</v>
      </c>
      <c r="E296" s="4">
        <v>1</v>
      </c>
      <c r="F296" s="4">
        <v>0</v>
      </c>
      <c r="G296" s="4">
        <v>4</v>
      </c>
      <c r="H296" s="4">
        <v>0</v>
      </c>
      <c r="I296" s="4">
        <v>0</v>
      </c>
      <c r="J296" s="4">
        <v>0</v>
      </c>
      <c r="K296" s="4">
        <v>0</v>
      </c>
    </row>
    <row r="297" spans="1:11" x14ac:dyDescent="0.2">
      <c r="A297" s="4">
        <v>8.6</v>
      </c>
      <c r="B297" s="4">
        <v>16</v>
      </c>
      <c r="C297" s="4">
        <v>3</v>
      </c>
      <c r="D297" s="4">
        <v>2</v>
      </c>
      <c r="E297" s="4">
        <v>1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</row>
    <row r="298" spans="1:11" x14ac:dyDescent="0.2">
      <c r="A298" s="4">
        <v>4.0999999999999996</v>
      </c>
      <c r="B298" s="4">
        <v>12</v>
      </c>
      <c r="C298" s="4">
        <v>3</v>
      </c>
      <c r="D298" s="4">
        <v>2</v>
      </c>
      <c r="E298" s="4">
        <v>1</v>
      </c>
      <c r="F298" s="4">
        <v>0</v>
      </c>
      <c r="G298" s="4">
        <v>0</v>
      </c>
      <c r="H298" s="4">
        <v>1</v>
      </c>
      <c r="I298" s="4">
        <v>0</v>
      </c>
      <c r="J298" s="4">
        <v>0</v>
      </c>
      <c r="K298" s="4">
        <v>0</v>
      </c>
    </row>
    <row r="299" spans="1:11" x14ac:dyDescent="0.2">
      <c r="A299" s="4">
        <v>8.75</v>
      </c>
      <c r="B299" s="4">
        <v>16</v>
      </c>
      <c r="C299" s="4">
        <v>3</v>
      </c>
      <c r="D299" s="4">
        <v>2</v>
      </c>
      <c r="E299" s="4">
        <v>0</v>
      </c>
      <c r="F299" s="4">
        <v>1</v>
      </c>
      <c r="G299" s="4">
        <v>1</v>
      </c>
      <c r="H299" s="4">
        <v>1</v>
      </c>
      <c r="I299" s="4">
        <v>0</v>
      </c>
      <c r="J299" s="4">
        <v>0</v>
      </c>
      <c r="K299" s="4">
        <v>0</v>
      </c>
    </row>
    <row r="300" spans="1:11" x14ac:dyDescent="0.2">
      <c r="A300" s="4">
        <v>3</v>
      </c>
      <c r="B300" s="4">
        <v>14</v>
      </c>
      <c r="C300" s="4">
        <v>3</v>
      </c>
      <c r="D300" s="4">
        <v>2</v>
      </c>
      <c r="E300" s="4">
        <v>1</v>
      </c>
      <c r="F300" s="4">
        <v>0</v>
      </c>
      <c r="G300" s="4">
        <v>0</v>
      </c>
      <c r="H300" s="4">
        <v>1</v>
      </c>
      <c r="I300" s="4">
        <v>0</v>
      </c>
      <c r="J300" s="4">
        <v>0</v>
      </c>
      <c r="K300" s="4">
        <v>0</v>
      </c>
    </row>
    <row r="301" spans="1:11" x14ac:dyDescent="0.2">
      <c r="A301" s="4">
        <v>10</v>
      </c>
      <c r="B301" s="4">
        <v>16</v>
      </c>
      <c r="C301" s="4">
        <v>3</v>
      </c>
      <c r="D301" s="4">
        <v>2</v>
      </c>
      <c r="E301" s="4">
        <v>0</v>
      </c>
      <c r="F301" s="4">
        <v>1</v>
      </c>
      <c r="G301" s="4">
        <v>0</v>
      </c>
      <c r="H301" s="4">
        <v>0</v>
      </c>
      <c r="I301" s="4">
        <v>1</v>
      </c>
      <c r="J301" s="4">
        <v>0</v>
      </c>
      <c r="K301" s="4">
        <v>0</v>
      </c>
    </row>
    <row r="302" spans="1:11" x14ac:dyDescent="0.2">
      <c r="A302" s="4">
        <v>5.63</v>
      </c>
      <c r="B302" s="4">
        <v>16</v>
      </c>
      <c r="C302" s="4">
        <v>2</v>
      </c>
      <c r="D302" s="4">
        <v>2</v>
      </c>
      <c r="E302" s="4">
        <v>0</v>
      </c>
      <c r="F302" s="4">
        <v>1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</row>
    <row r="303" spans="1:11" x14ac:dyDescent="0.2">
      <c r="A303" s="4">
        <v>9.3000000000000007</v>
      </c>
      <c r="B303" s="4">
        <v>15</v>
      </c>
      <c r="C303" s="4">
        <v>2</v>
      </c>
      <c r="D303" s="4">
        <v>2</v>
      </c>
      <c r="E303" s="4">
        <v>0</v>
      </c>
      <c r="F303" s="4">
        <v>1</v>
      </c>
      <c r="G303" s="4">
        <v>0</v>
      </c>
      <c r="H303" s="4">
        <v>0</v>
      </c>
      <c r="I303" s="4">
        <v>1</v>
      </c>
      <c r="J303" s="4">
        <v>0</v>
      </c>
      <c r="K303" s="4">
        <v>0</v>
      </c>
    </row>
    <row r="304" spans="1:11" x14ac:dyDescent="0.2">
      <c r="A304" s="4">
        <v>3.2</v>
      </c>
      <c r="B304" s="4">
        <v>15</v>
      </c>
      <c r="C304" s="4">
        <v>2</v>
      </c>
      <c r="D304" s="4">
        <v>2</v>
      </c>
      <c r="E304" s="4">
        <v>1</v>
      </c>
      <c r="F304" s="4">
        <v>0</v>
      </c>
      <c r="G304" s="4">
        <v>2</v>
      </c>
      <c r="H304" s="4">
        <v>0</v>
      </c>
      <c r="I304" s="4">
        <v>1</v>
      </c>
      <c r="J304" s="4">
        <v>0</v>
      </c>
      <c r="K304" s="4">
        <v>0</v>
      </c>
    </row>
    <row r="305" spans="1:11" x14ac:dyDescent="0.2">
      <c r="A305" s="4">
        <v>2.91</v>
      </c>
      <c r="B305" s="4">
        <v>11</v>
      </c>
      <c r="C305" s="4">
        <v>2</v>
      </c>
      <c r="D305" s="4">
        <v>2</v>
      </c>
      <c r="E305" s="4">
        <v>0</v>
      </c>
      <c r="F305" s="4">
        <v>0</v>
      </c>
      <c r="G305" s="4">
        <v>2</v>
      </c>
      <c r="H305" s="4">
        <v>1</v>
      </c>
      <c r="I305" s="4">
        <v>0</v>
      </c>
      <c r="J305" s="4">
        <v>0</v>
      </c>
      <c r="K305" s="4">
        <v>0</v>
      </c>
    </row>
    <row r="306" spans="1:11" x14ac:dyDescent="0.2">
      <c r="A306" s="4">
        <v>3.1</v>
      </c>
      <c r="B306" s="4">
        <v>12</v>
      </c>
      <c r="C306" s="4">
        <v>2</v>
      </c>
      <c r="D306" s="4">
        <v>2</v>
      </c>
      <c r="E306" s="4">
        <v>1</v>
      </c>
      <c r="F306" s="4">
        <v>0</v>
      </c>
      <c r="G306" s="4">
        <v>1</v>
      </c>
      <c r="H306" s="4">
        <v>0</v>
      </c>
      <c r="I306" s="4">
        <v>1</v>
      </c>
      <c r="J306" s="4">
        <v>0</v>
      </c>
      <c r="K306" s="4">
        <v>0</v>
      </c>
    </row>
    <row r="307" spans="1:11" x14ac:dyDescent="0.2">
      <c r="A307" s="4">
        <v>2.9</v>
      </c>
      <c r="B307" s="4">
        <v>12</v>
      </c>
      <c r="C307" s="4">
        <v>2</v>
      </c>
      <c r="D307" s="4">
        <v>2</v>
      </c>
      <c r="E307" s="4">
        <v>1</v>
      </c>
      <c r="F307" s="4">
        <v>0</v>
      </c>
      <c r="G307" s="4">
        <v>0</v>
      </c>
      <c r="H307" s="4">
        <v>0</v>
      </c>
      <c r="I307" s="4">
        <v>0</v>
      </c>
      <c r="J307" s="4">
        <v>1</v>
      </c>
      <c r="K307" s="4">
        <v>0</v>
      </c>
    </row>
    <row r="308" spans="1:11" x14ac:dyDescent="0.2">
      <c r="A308" s="4">
        <v>6</v>
      </c>
      <c r="B308" s="4">
        <v>16</v>
      </c>
      <c r="C308" s="4">
        <v>2</v>
      </c>
      <c r="D308" s="4">
        <v>2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</row>
    <row r="309" spans="1:11" x14ac:dyDescent="0.2">
      <c r="A309" s="4">
        <v>2.75</v>
      </c>
      <c r="B309" s="4">
        <v>13</v>
      </c>
      <c r="C309" s="4">
        <v>1</v>
      </c>
      <c r="D309" s="4">
        <v>2</v>
      </c>
      <c r="E309" s="4">
        <v>1</v>
      </c>
      <c r="F309" s="4">
        <v>0</v>
      </c>
      <c r="G309" s="4">
        <v>1</v>
      </c>
      <c r="H309" s="4">
        <v>1</v>
      </c>
      <c r="I309" s="4">
        <v>0</v>
      </c>
      <c r="J309" s="4">
        <v>0</v>
      </c>
      <c r="K309" s="4">
        <v>0</v>
      </c>
    </row>
    <row r="310" spans="1:11" x14ac:dyDescent="0.2">
      <c r="A310" s="4">
        <v>3.5</v>
      </c>
      <c r="B310" s="4">
        <v>13</v>
      </c>
      <c r="C310" s="4">
        <v>1</v>
      </c>
      <c r="D310" s="4">
        <v>2</v>
      </c>
      <c r="E310" s="4">
        <v>0</v>
      </c>
      <c r="F310" s="4">
        <v>0</v>
      </c>
      <c r="G310" s="4">
        <v>3</v>
      </c>
      <c r="H310" s="4">
        <v>1</v>
      </c>
      <c r="I310" s="4">
        <v>0</v>
      </c>
      <c r="J310" s="4">
        <v>0</v>
      </c>
      <c r="K310" s="4">
        <v>0</v>
      </c>
    </row>
    <row r="311" spans="1:11" x14ac:dyDescent="0.2">
      <c r="A311" s="4">
        <v>3.75</v>
      </c>
      <c r="B311" s="4">
        <v>18</v>
      </c>
      <c r="C311" s="4">
        <v>1</v>
      </c>
      <c r="D311" s="4">
        <v>2</v>
      </c>
      <c r="E311" s="4">
        <v>0</v>
      </c>
      <c r="F311" s="4">
        <v>0</v>
      </c>
      <c r="G311" s="4">
        <v>1</v>
      </c>
      <c r="H311" s="4">
        <v>1</v>
      </c>
      <c r="I311" s="4">
        <v>0</v>
      </c>
      <c r="J311" s="4">
        <v>0</v>
      </c>
      <c r="K311" s="4">
        <v>0</v>
      </c>
    </row>
    <row r="312" spans="1:11" x14ac:dyDescent="0.2">
      <c r="A312" s="4">
        <v>8.75</v>
      </c>
      <c r="B312" s="4">
        <v>16</v>
      </c>
      <c r="C312" s="4">
        <v>1</v>
      </c>
      <c r="D312" s="4">
        <v>2</v>
      </c>
      <c r="E312" s="4">
        <v>0</v>
      </c>
      <c r="F312" s="4">
        <v>0</v>
      </c>
      <c r="G312" s="4">
        <v>0</v>
      </c>
      <c r="H312" s="4">
        <v>1</v>
      </c>
      <c r="I312" s="4">
        <v>0</v>
      </c>
      <c r="J312" s="4">
        <v>0</v>
      </c>
      <c r="K312" s="4">
        <v>0</v>
      </c>
    </row>
    <row r="313" spans="1:11" x14ac:dyDescent="0.2">
      <c r="A313" s="4">
        <v>2.9</v>
      </c>
      <c r="B313" s="4">
        <v>11</v>
      </c>
      <c r="C313" s="4">
        <v>1</v>
      </c>
      <c r="D313" s="4">
        <v>2</v>
      </c>
      <c r="E313" s="4">
        <v>0</v>
      </c>
      <c r="F313" s="4">
        <v>0</v>
      </c>
      <c r="G313" s="4">
        <v>2</v>
      </c>
      <c r="H313" s="4">
        <v>0</v>
      </c>
      <c r="I313" s="4">
        <v>1</v>
      </c>
      <c r="J313" s="4">
        <v>0</v>
      </c>
      <c r="K313" s="4">
        <v>0</v>
      </c>
    </row>
    <row r="314" spans="1:11" x14ac:dyDescent="0.2">
      <c r="A314" s="4">
        <v>3.52</v>
      </c>
      <c r="B314" s="4">
        <v>12</v>
      </c>
      <c r="C314" s="9">
        <v>43.93</v>
      </c>
      <c r="D314" s="4">
        <v>1</v>
      </c>
      <c r="E314" s="4">
        <v>0</v>
      </c>
      <c r="F314" s="4">
        <v>1</v>
      </c>
      <c r="G314" s="4">
        <v>0</v>
      </c>
      <c r="H314" s="4">
        <v>0</v>
      </c>
      <c r="I314" s="4">
        <v>1</v>
      </c>
      <c r="J314" s="4">
        <v>0</v>
      </c>
      <c r="K314" s="4">
        <v>0</v>
      </c>
    </row>
    <row r="315" spans="1:11" x14ac:dyDescent="0.2">
      <c r="A315" s="4">
        <v>4.75</v>
      </c>
      <c r="B315" s="4">
        <v>13</v>
      </c>
      <c r="C315" s="9">
        <v>43.93</v>
      </c>
      <c r="D315" s="4">
        <v>1</v>
      </c>
      <c r="E315" s="4">
        <v>0</v>
      </c>
      <c r="F315" s="4">
        <v>1</v>
      </c>
      <c r="G315" s="4">
        <v>0</v>
      </c>
      <c r="H315" s="4">
        <v>0</v>
      </c>
      <c r="I315" s="4">
        <v>0</v>
      </c>
      <c r="J315" s="4">
        <v>1</v>
      </c>
      <c r="K315" s="4">
        <v>0</v>
      </c>
    </row>
    <row r="316" spans="1:11" x14ac:dyDescent="0.2">
      <c r="A316" s="4">
        <v>3</v>
      </c>
      <c r="B316" s="4">
        <v>8</v>
      </c>
      <c r="C316" s="9">
        <v>43.93</v>
      </c>
      <c r="D316" s="4">
        <v>1</v>
      </c>
      <c r="E316" s="4">
        <v>1</v>
      </c>
      <c r="F316" s="4">
        <v>1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</row>
    <row r="317" spans="1:11" x14ac:dyDescent="0.2">
      <c r="A317" s="4">
        <v>2.9</v>
      </c>
      <c r="B317" s="4">
        <v>12</v>
      </c>
      <c r="C317" s="4">
        <v>39</v>
      </c>
      <c r="D317" s="4">
        <v>1</v>
      </c>
      <c r="E317" s="4">
        <v>1</v>
      </c>
      <c r="F317" s="4">
        <v>1</v>
      </c>
      <c r="G317" s="4">
        <v>0</v>
      </c>
      <c r="H317" s="4">
        <v>0</v>
      </c>
      <c r="I317" s="4">
        <v>1</v>
      </c>
      <c r="J317" s="4">
        <v>0</v>
      </c>
      <c r="K317" s="4">
        <v>0</v>
      </c>
    </row>
    <row r="318" spans="1:11" x14ac:dyDescent="0.2">
      <c r="A318" s="4">
        <v>9</v>
      </c>
      <c r="B318" s="4">
        <v>12</v>
      </c>
      <c r="C318" s="4">
        <v>38</v>
      </c>
      <c r="D318" s="4">
        <v>1</v>
      </c>
      <c r="E318" s="4">
        <v>0</v>
      </c>
      <c r="F318" s="4">
        <v>1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</row>
    <row r="319" spans="1:11" x14ac:dyDescent="0.2">
      <c r="A319" s="4">
        <v>3</v>
      </c>
      <c r="B319" s="4">
        <v>12</v>
      </c>
      <c r="C319" s="4">
        <v>36</v>
      </c>
      <c r="D319" s="4">
        <v>1</v>
      </c>
      <c r="E319" s="10">
        <v>2</v>
      </c>
      <c r="F319" s="4">
        <v>0</v>
      </c>
      <c r="G319" s="4">
        <v>0</v>
      </c>
      <c r="H319" s="4">
        <v>0</v>
      </c>
      <c r="I319" s="4">
        <v>0</v>
      </c>
      <c r="J319" s="4">
        <v>1</v>
      </c>
      <c r="K319" s="4">
        <v>0</v>
      </c>
    </row>
    <row r="320" spans="1:11" x14ac:dyDescent="0.2">
      <c r="A320" s="4">
        <v>3.5</v>
      </c>
      <c r="B320" s="4">
        <v>13</v>
      </c>
      <c r="C320" s="4">
        <v>29</v>
      </c>
      <c r="D320" s="4">
        <v>1</v>
      </c>
      <c r="E320" s="4">
        <v>1</v>
      </c>
      <c r="F320" s="4">
        <v>1</v>
      </c>
      <c r="G320" s="4">
        <v>0</v>
      </c>
      <c r="H320" s="4">
        <v>0</v>
      </c>
      <c r="I320" s="4">
        <v>1</v>
      </c>
      <c r="J320" s="4">
        <v>0</v>
      </c>
      <c r="K320" s="4">
        <v>0</v>
      </c>
    </row>
    <row r="321" spans="1:11" x14ac:dyDescent="0.2">
      <c r="A321" s="4">
        <v>3</v>
      </c>
      <c r="B321" s="4">
        <v>7</v>
      </c>
      <c r="C321" s="4">
        <v>26</v>
      </c>
      <c r="D321" s="4">
        <v>1</v>
      </c>
      <c r="E321" s="4">
        <v>1</v>
      </c>
      <c r="F321" s="4">
        <v>0</v>
      </c>
      <c r="G321" s="4">
        <v>3</v>
      </c>
      <c r="H321" s="4">
        <v>0</v>
      </c>
      <c r="I321" s="4">
        <v>1</v>
      </c>
      <c r="J321" s="4">
        <v>0</v>
      </c>
      <c r="K321" s="4">
        <v>0</v>
      </c>
    </row>
    <row r="322" spans="1:11" x14ac:dyDescent="0.2">
      <c r="A322" s="4">
        <v>2.9</v>
      </c>
      <c r="B322" s="4">
        <v>12</v>
      </c>
      <c r="C322" s="4">
        <v>26</v>
      </c>
      <c r="D322" s="4">
        <v>1</v>
      </c>
      <c r="E322" s="4">
        <v>1</v>
      </c>
      <c r="F322" s="4">
        <v>0</v>
      </c>
      <c r="G322" s="4">
        <v>4</v>
      </c>
      <c r="H322" s="4">
        <v>0</v>
      </c>
      <c r="I322" s="4">
        <v>1</v>
      </c>
      <c r="J322" s="4">
        <v>0</v>
      </c>
      <c r="K322" s="4">
        <v>0</v>
      </c>
    </row>
    <row r="323" spans="1:11" x14ac:dyDescent="0.2">
      <c r="A323" s="4">
        <v>3.15</v>
      </c>
      <c r="B323" s="4">
        <v>12</v>
      </c>
      <c r="C323" s="4">
        <v>26</v>
      </c>
      <c r="D323" s="4">
        <v>1</v>
      </c>
      <c r="E323" s="4">
        <v>0</v>
      </c>
      <c r="F323" s="4">
        <v>1</v>
      </c>
      <c r="G323" s="4">
        <v>0</v>
      </c>
      <c r="H323" s="4">
        <v>1</v>
      </c>
      <c r="I323" s="4">
        <v>0</v>
      </c>
      <c r="J323" s="4">
        <v>0</v>
      </c>
      <c r="K323" s="4">
        <v>0</v>
      </c>
    </row>
    <row r="324" spans="1:11" x14ac:dyDescent="0.2">
      <c r="A324" s="4">
        <v>8.75</v>
      </c>
      <c r="B324" s="4">
        <v>12</v>
      </c>
      <c r="C324" s="4">
        <v>24</v>
      </c>
      <c r="D324" s="4">
        <v>1</v>
      </c>
      <c r="E324" s="4">
        <v>0</v>
      </c>
      <c r="F324" s="4">
        <v>0</v>
      </c>
      <c r="G324" s="4">
        <v>0</v>
      </c>
      <c r="H324" s="4">
        <v>1</v>
      </c>
      <c r="I324" s="4">
        <v>0</v>
      </c>
      <c r="J324" s="4">
        <v>0</v>
      </c>
      <c r="K324" s="4">
        <v>0</v>
      </c>
    </row>
    <row r="325" spans="1:11" x14ac:dyDescent="0.2">
      <c r="A325" s="4">
        <v>4</v>
      </c>
      <c r="B325" s="4">
        <v>9</v>
      </c>
      <c r="C325" s="4">
        <v>19</v>
      </c>
      <c r="D325" s="4">
        <v>1</v>
      </c>
      <c r="E325" s="4">
        <v>1</v>
      </c>
      <c r="F325" s="4">
        <v>1</v>
      </c>
      <c r="G325" s="4">
        <v>1</v>
      </c>
      <c r="H325" s="4">
        <v>0</v>
      </c>
      <c r="I325" s="4">
        <v>0</v>
      </c>
      <c r="J325" s="4">
        <v>0</v>
      </c>
      <c r="K325" s="4">
        <v>0</v>
      </c>
    </row>
    <row r="326" spans="1:11" x14ac:dyDescent="0.2">
      <c r="A326" s="4">
        <v>2.9</v>
      </c>
      <c r="B326" s="4">
        <v>12</v>
      </c>
      <c r="C326" s="4">
        <v>17</v>
      </c>
      <c r="D326" s="4">
        <v>1</v>
      </c>
      <c r="E326" s="4">
        <v>1</v>
      </c>
      <c r="F326" s="4">
        <v>1</v>
      </c>
      <c r="G326" s="4">
        <v>2</v>
      </c>
      <c r="H326" s="4">
        <v>1</v>
      </c>
      <c r="I326" s="4">
        <v>0</v>
      </c>
      <c r="J326" s="4">
        <v>0</v>
      </c>
      <c r="K326" s="4">
        <v>0</v>
      </c>
    </row>
    <row r="327" spans="1:11" x14ac:dyDescent="0.2">
      <c r="A327" s="4">
        <v>4.63</v>
      </c>
      <c r="B327" s="4">
        <v>12</v>
      </c>
      <c r="C327" s="4">
        <v>16</v>
      </c>
      <c r="D327" s="4">
        <v>1</v>
      </c>
      <c r="E327" s="4">
        <v>1</v>
      </c>
      <c r="F327" s="4">
        <v>0</v>
      </c>
      <c r="G327" s="4">
        <v>0</v>
      </c>
      <c r="H327" s="4">
        <v>0</v>
      </c>
      <c r="I327" s="4">
        <v>1</v>
      </c>
      <c r="J327" s="4">
        <v>0</v>
      </c>
      <c r="K327" s="4">
        <v>0</v>
      </c>
    </row>
    <row r="328" spans="1:11" x14ac:dyDescent="0.2">
      <c r="A328" s="4">
        <v>4.72</v>
      </c>
      <c r="B328" s="4">
        <v>12</v>
      </c>
      <c r="C328" s="4">
        <v>15</v>
      </c>
      <c r="D328" s="4">
        <v>1</v>
      </c>
      <c r="E328" s="4">
        <v>1</v>
      </c>
      <c r="F328" s="4">
        <v>0</v>
      </c>
      <c r="G328" s="4">
        <v>0</v>
      </c>
      <c r="H328" s="4">
        <v>0</v>
      </c>
      <c r="I328" s="4">
        <v>1</v>
      </c>
      <c r="J328" s="4">
        <v>0</v>
      </c>
      <c r="K328" s="4">
        <v>0</v>
      </c>
    </row>
    <row r="329" spans="1:11" x14ac:dyDescent="0.2">
      <c r="A329" s="4">
        <v>2.9</v>
      </c>
      <c r="B329" s="4">
        <v>12</v>
      </c>
      <c r="C329" s="4">
        <v>15</v>
      </c>
      <c r="D329" s="4">
        <v>1</v>
      </c>
      <c r="E329" s="4">
        <v>1</v>
      </c>
      <c r="F329" s="4">
        <v>1</v>
      </c>
      <c r="G329" s="4">
        <v>2</v>
      </c>
      <c r="H329" s="4">
        <v>0</v>
      </c>
      <c r="I329" s="4">
        <v>0</v>
      </c>
      <c r="J329" s="4">
        <v>1</v>
      </c>
      <c r="K329" s="4">
        <v>0</v>
      </c>
    </row>
    <row r="330" spans="1:11" x14ac:dyDescent="0.2">
      <c r="A330" s="4">
        <v>5</v>
      </c>
      <c r="B330" s="4">
        <v>11</v>
      </c>
      <c r="C330" s="4">
        <v>13</v>
      </c>
      <c r="D330" s="4">
        <v>1</v>
      </c>
      <c r="E330" s="4">
        <v>0</v>
      </c>
      <c r="F330" s="4">
        <v>1</v>
      </c>
      <c r="G330" s="4">
        <v>0</v>
      </c>
      <c r="H330" s="4">
        <v>0</v>
      </c>
      <c r="I330" s="4">
        <v>1</v>
      </c>
      <c r="J330" s="4">
        <v>0</v>
      </c>
      <c r="K330" s="4">
        <v>0</v>
      </c>
    </row>
    <row r="331" spans="1:11" x14ac:dyDescent="0.2">
      <c r="A331" s="4">
        <v>8.65</v>
      </c>
      <c r="B331" s="4">
        <v>18</v>
      </c>
      <c r="C331" s="4">
        <v>13</v>
      </c>
      <c r="D331" s="4">
        <v>1</v>
      </c>
      <c r="E331" s="4">
        <v>1</v>
      </c>
      <c r="F331" s="4">
        <v>0</v>
      </c>
      <c r="G331" s="4">
        <v>0</v>
      </c>
      <c r="H331" s="4">
        <v>1</v>
      </c>
      <c r="I331" s="4">
        <v>0</v>
      </c>
      <c r="J331" s="4">
        <v>0</v>
      </c>
      <c r="K331" s="4">
        <v>0</v>
      </c>
    </row>
    <row r="332" spans="1:11" x14ac:dyDescent="0.2">
      <c r="A332" s="4">
        <v>1.5</v>
      </c>
      <c r="B332" s="4">
        <v>12</v>
      </c>
      <c r="C332" s="4">
        <v>11</v>
      </c>
      <c r="D332" s="4">
        <v>1</v>
      </c>
      <c r="E332" s="4">
        <v>1</v>
      </c>
      <c r="F332" s="4">
        <v>1</v>
      </c>
      <c r="G332" s="4">
        <v>2</v>
      </c>
      <c r="H332" s="4">
        <v>1</v>
      </c>
      <c r="I332" s="4">
        <v>0</v>
      </c>
      <c r="J332" s="4">
        <v>0</v>
      </c>
      <c r="K332" s="4">
        <v>0</v>
      </c>
    </row>
    <row r="333" spans="1:11" x14ac:dyDescent="0.2">
      <c r="A333" s="4">
        <v>3</v>
      </c>
      <c r="B333" s="4">
        <v>12</v>
      </c>
      <c r="C333" s="4">
        <v>11</v>
      </c>
      <c r="D333" s="4">
        <v>1</v>
      </c>
      <c r="E333" s="4">
        <v>1</v>
      </c>
      <c r="F333" s="4">
        <v>1</v>
      </c>
      <c r="G333" s="4">
        <v>2</v>
      </c>
      <c r="H333" s="4">
        <v>0</v>
      </c>
      <c r="I333" s="4">
        <v>0</v>
      </c>
      <c r="J333" s="4">
        <v>0</v>
      </c>
      <c r="K333" s="4">
        <v>0</v>
      </c>
    </row>
    <row r="334" spans="1:11" x14ac:dyDescent="0.2">
      <c r="A334" s="4">
        <v>4</v>
      </c>
      <c r="B334" s="4">
        <v>12</v>
      </c>
      <c r="C334" s="4">
        <v>10</v>
      </c>
      <c r="D334" s="4">
        <v>1</v>
      </c>
      <c r="E334" s="4">
        <v>1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</row>
    <row r="335" spans="1:11" x14ac:dyDescent="0.2">
      <c r="A335" s="4">
        <v>6.35</v>
      </c>
      <c r="B335" s="4">
        <v>14</v>
      </c>
      <c r="C335" s="4">
        <v>10</v>
      </c>
      <c r="D335" s="4">
        <v>1</v>
      </c>
      <c r="E335" s="4">
        <v>1</v>
      </c>
      <c r="F335" s="4">
        <v>1</v>
      </c>
      <c r="G335" s="4">
        <v>2</v>
      </c>
      <c r="H335" s="4">
        <v>0</v>
      </c>
      <c r="I335" s="4">
        <v>1</v>
      </c>
      <c r="J335" s="4">
        <v>0</v>
      </c>
      <c r="K335" s="4">
        <v>0</v>
      </c>
    </row>
    <row r="336" spans="1:11" x14ac:dyDescent="0.2">
      <c r="A336" s="4">
        <v>3.25</v>
      </c>
      <c r="B336" s="4">
        <v>8</v>
      </c>
      <c r="C336" s="4">
        <v>9</v>
      </c>
      <c r="D336" s="4">
        <v>1</v>
      </c>
      <c r="E336" s="4">
        <v>1</v>
      </c>
      <c r="F336" s="4">
        <v>1</v>
      </c>
      <c r="G336" s="4">
        <v>2</v>
      </c>
      <c r="H336" s="4">
        <v>0</v>
      </c>
      <c r="I336" s="4">
        <v>0</v>
      </c>
      <c r="J336" s="4">
        <v>1</v>
      </c>
      <c r="K336" s="4">
        <v>0</v>
      </c>
    </row>
    <row r="337" spans="1:11" x14ac:dyDescent="0.2">
      <c r="A337" s="4">
        <v>3.35</v>
      </c>
      <c r="B337" s="4">
        <v>12</v>
      </c>
      <c r="C337" s="4">
        <v>9</v>
      </c>
      <c r="D337" s="4">
        <v>1</v>
      </c>
      <c r="E337" s="4">
        <v>0</v>
      </c>
      <c r="F337" s="4">
        <v>1</v>
      </c>
      <c r="G337" s="4">
        <v>0</v>
      </c>
      <c r="H337" s="4">
        <v>1</v>
      </c>
      <c r="I337" s="4">
        <v>0</v>
      </c>
      <c r="J337" s="4">
        <v>0</v>
      </c>
      <c r="K337" s="4">
        <v>0</v>
      </c>
    </row>
    <row r="338" spans="1:11" x14ac:dyDescent="0.2">
      <c r="A338" s="4">
        <v>8.8000000000000007</v>
      </c>
      <c r="B338" s="4">
        <v>16</v>
      </c>
      <c r="C338" s="4">
        <v>9</v>
      </c>
      <c r="D338" s="4">
        <v>1</v>
      </c>
      <c r="E338" s="4">
        <v>0</v>
      </c>
      <c r="F338" s="4">
        <v>1</v>
      </c>
      <c r="G338" s="4">
        <v>0</v>
      </c>
      <c r="H338" s="4">
        <v>0</v>
      </c>
      <c r="I338" s="4">
        <v>1</v>
      </c>
      <c r="J338" s="4">
        <v>0</v>
      </c>
      <c r="K338" s="4">
        <v>0</v>
      </c>
    </row>
    <row r="339" spans="1:11" x14ac:dyDescent="0.2">
      <c r="A339" s="4">
        <v>12.5</v>
      </c>
      <c r="B339" s="4">
        <v>12</v>
      </c>
      <c r="C339" s="4">
        <v>8</v>
      </c>
      <c r="D339" s="4">
        <v>1</v>
      </c>
      <c r="E339" s="4">
        <v>0</v>
      </c>
      <c r="F339" s="4">
        <v>0</v>
      </c>
      <c r="G339" s="4">
        <v>0</v>
      </c>
      <c r="H339" s="4">
        <v>1</v>
      </c>
      <c r="I339" s="4">
        <v>0</v>
      </c>
      <c r="J339" s="4">
        <v>0</v>
      </c>
      <c r="K339" s="4">
        <v>0</v>
      </c>
    </row>
    <row r="340" spans="1:11" x14ac:dyDescent="0.2">
      <c r="A340" s="4">
        <v>6.36</v>
      </c>
      <c r="B340" s="4">
        <v>14</v>
      </c>
      <c r="C340" s="4">
        <v>8</v>
      </c>
      <c r="D340" s="4">
        <v>1</v>
      </c>
      <c r="E340" s="4">
        <v>0</v>
      </c>
      <c r="F340" s="4">
        <v>1</v>
      </c>
      <c r="G340" s="4">
        <v>0</v>
      </c>
      <c r="H340" s="4">
        <v>0</v>
      </c>
      <c r="I340" s="4">
        <v>1</v>
      </c>
      <c r="J340" s="4">
        <v>0</v>
      </c>
      <c r="K340" s="4">
        <v>0</v>
      </c>
    </row>
    <row r="341" spans="1:11" x14ac:dyDescent="0.2">
      <c r="A341" s="4">
        <v>3.81</v>
      </c>
      <c r="B341" s="4">
        <v>12</v>
      </c>
      <c r="C341" s="4">
        <v>8</v>
      </c>
      <c r="D341" s="4">
        <v>1</v>
      </c>
      <c r="E341" s="4">
        <v>1</v>
      </c>
      <c r="F341" s="4">
        <v>1</v>
      </c>
      <c r="G341" s="4">
        <v>2</v>
      </c>
      <c r="H341" s="4">
        <v>1</v>
      </c>
      <c r="I341" s="4">
        <v>0</v>
      </c>
      <c r="J341" s="4">
        <v>0</v>
      </c>
      <c r="K341" s="4">
        <v>0</v>
      </c>
    </row>
    <row r="342" spans="1:11" x14ac:dyDescent="0.2">
      <c r="A342" s="4">
        <v>3.8</v>
      </c>
      <c r="B342" s="4">
        <v>15</v>
      </c>
      <c r="C342" s="4">
        <v>6</v>
      </c>
      <c r="D342" s="4">
        <v>1</v>
      </c>
      <c r="E342" s="4">
        <v>0</v>
      </c>
      <c r="F342" s="4">
        <v>1</v>
      </c>
      <c r="G342" s="4">
        <v>1</v>
      </c>
      <c r="H342" s="4">
        <v>0</v>
      </c>
      <c r="I342" s="4">
        <v>1</v>
      </c>
      <c r="J342" s="4">
        <v>0</v>
      </c>
      <c r="K342" s="4">
        <v>0</v>
      </c>
    </row>
    <row r="343" spans="1:11" x14ac:dyDescent="0.2">
      <c r="A343" s="4">
        <v>11.56</v>
      </c>
      <c r="B343" s="4">
        <v>16</v>
      </c>
      <c r="C343" s="4">
        <v>5</v>
      </c>
      <c r="D343" s="4">
        <v>1</v>
      </c>
      <c r="E343" s="4">
        <v>0</v>
      </c>
      <c r="F343" s="4">
        <v>1</v>
      </c>
      <c r="G343" s="4">
        <v>0</v>
      </c>
      <c r="H343" s="4">
        <v>0</v>
      </c>
      <c r="I343" s="4">
        <v>0</v>
      </c>
      <c r="J343" s="4">
        <v>1</v>
      </c>
      <c r="K343" s="4">
        <v>0</v>
      </c>
    </row>
    <row r="344" spans="1:11" x14ac:dyDescent="0.2">
      <c r="A344" s="4">
        <v>6.5</v>
      </c>
      <c r="B344" s="4">
        <v>12</v>
      </c>
      <c r="C344" s="4">
        <v>4</v>
      </c>
      <c r="D344" s="4">
        <v>1</v>
      </c>
      <c r="E344" s="4">
        <v>1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</row>
    <row r="345" spans="1:11" x14ac:dyDescent="0.2">
      <c r="A345" s="4">
        <v>2.31</v>
      </c>
      <c r="B345" s="4">
        <v>9</v>
      </c>
      <c r="C345" s="4">
        <v>4</v>
      </c>
      <c r="D345" s="4">
        <v>1</v>
      </c>
      <c r="E345" s="4">
        <v>1</v>
      </c>
      <c r="F345" s="4">
        <v>0</v>
      </c>
      <c r="G345" s="4">
        <v>5</v>
      </c>
      <c r="H345" s="4">
        <v>1</v>
      </c>
      <c r="I345" s="4">
        <v>0</v>
      </c>
      <c r="J345" s="4">
        <v>0</v>
      </c>
      <c r="K345" s="4">
        <v>0</v>
      </c>
    </row>
    <row r="346" spans="1:11" x14ac:dyDescent="0.2">
      <c r="A346" s="4">
        <v>2.95</v>
      </c>
      <c r="B346" s="4">
        <v>12</v>
      </c>
      <c r="C346" s="4">
        <v>3</v>
      </c>
      <c r="D346" s="4">
        <v>1</v>
      </c>
      <c r="E346" s="4">
        <v>0</v>
      </c>
      <c r="F346" s="4">
        <v>0</v>
      </c>
      <c r="G346" s="4">
        <v>1</v>
      </c>
      <c r="H346" s="4">
        <v>1</v>
      </c>
      <c r="I346" s="4">
        <v>0</v>
      </c>
      <c r="J346" s="4">
        <v>0</v>
      </c>
      <c r="K346" s="4">
        <v>0</v>
      </c>
    </row>
    <row r="347" spans="1:11" x14ac:dyDescent="0.2">
      <c r="A347" s="4">
        <v>3.5</v>
      </c>
      <c r="B347" s="4">
        <v>18</v>
      </c>
      <c r="C347" s="4">
        <v>3</v>
      </c>
      <c r="D347" s="4">
        <v>1</v>
      </c>
      <c r="E347" s="4">
        <v>1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</row>
    <row r="348" spans="1:11" x14ac:dyDescent="0.2">
      <c r="A348" s="4">
        <v>0.53</v>
      </c>
      <c r="B348" s="4">
        <v>12</v>
      </c>
      <c r="C348" s="4">
        <v>3</v>
      </c>
      <c r="D348" s="4">
        <v>1</v>
      </c>
      <c r="E348" s="4">
        <v>1</v>
      </c>
      <c r="F348" s="4">
        <v>0</v>
      </c>
      <c r="G348" s="4">
        <v>0</v>
      </c>
      <c r="H348" s="4">
        <v>0</v>
      </c>
      <c r="I348" s="4">
        <v>0</v>
      </c>
      <c r="J348" s="4">
        <v>1</v>
      </c>
      <c r="K348" s="4">
        <v>0</v>
      </c>
    </row>
    <row r="349" spans="1:11" x14ac:dyDescent="0.2">
      <c r="A349" s="4">
        <v>3</v>
      </c>
      <c r="B349" s="4">
        <v>13</v>
      </c>
      <c r="C349" s="4">
        <v>3</v>
      </c>
      <c r="D349" s="4">
        <v>1</v>
      </c>
      <c r="E349" s="4">
        <v>0</v>
      </c>
      <c r="F349" s="4">
        <v>0</v>
      </c>
      <c r="G349" s="4">
        <v>0</v>
      </c>
      <c r="H349" s="4">
        <v>0</v>
      </c>
      <c r="I349" s="4">
        <v>1</v>
      </c>
      <c r="J349" s="4">
        <v>0</v>
      </c>
      <c r="K349" s="4">
        <v>0</v>
      </c>
    </row>
    <row r="350" spans="1:11" x14ac:dyDescent="0.2">
      <c r="A350" s="4">
        <v>4.68</v>
      </c>
      <c r="B350" s="4">
        <v>16</v>
      </c>
      <c r="C350" s="4">
        <v>3</v>
      </c>
      <c r="D350" s="4">
        <v>1</v>
      </c>
      <c r="E350" s="4">
        <v>1</v>
      </c>
      <c r="F350" s="4">
        <v>0</v>
      </c>
      <c r="G350" s="4">
        <v>0</v>
      </c>
      <c r="H350" s="4">
        <v>1</v>
      </c>
      <c r="I350" s="4">
        <v>0</v>
      </c>
      <c r="J350" s="4">
        <v>0</v>
      </c>
      <c r="K350" s="4">
        <v>0</v>
      </c>
    </row>
    <row r="351" spans="1:11" x14ac:dyDescent="0.2">
      <c r="A351" s="4">
        <v>3.35</v>
      </c>
      <c r="B351" s="4">
        <v>15</v>
      </c>
      <c r="C351" s="4">
        <v>3</v>
      </c>
      <c r="D351" s="4">
        <v>1</v>
      </c>
      <c r="E351" s="4">
        <v>1</v>
      </c>
      <c r="F351" s="4">
        <v>1</v>
      </c>
      <c r="G351" s="4">
        <v>2</v>
      </c>
      <c r="H351" s="4">
        <v>0</v>
      </c>
      <c r="I351" s="4">
        <v>1</v>
      </c>
      <c r="J351" s="4">
        <v>0</v>
      </c>
      <c r="K351" s="4">
        <v>0</v>
      </c>
    </row>
    <row r="352" spans="1:11" x14ac:dyDescent="0.2">
      <c r="A352" s="4">
        <v>4.6500000000000004</v>
      </c>
      <c r="B352" s="4">
        <v>16</v>
      </c>
      <c r="C352" s="4">
        <v>3</v>
      </c>
      <c r="D352" s="4">
        <v>1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</row>
    <row r="353" spans="1:11" x14ac:dyDescent="0.2">
      <c r="A353" s="4">
        <v>3.08</v>
      </c>
      <c r="B353" s="4">
        <v>12</v>
      </c>
      <c r="C353" s="4">
        <v>3</v>
      </c>
      <c r="D353" s="4">
        <v>1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</row>
    <row r="354" spans="1:11" x14ac:dyDescent="0.2">
      <c r="A354" s="4">
        <v>1.75</v>
      </c>
      <c r="B354" s="4">
        <v>11</v>
      </c>
      <c r="C354" s="4">
        <v>2</v>
      </c>
      <c r="D354" s="4">
        <v>1</v>
      </c>
      <c r="E354" s="4">
        <v>0</v>
      </c>
      <c r="F354" s="4">
        <v>0</v>
      </c>
      <c r="G354" s="4">
        <v>2</v>
      </c>
      <c r="H354" s="4">
        <v>0</v>
      </c>
      <c r="I354" s="4">
        <v>0</v>
      </c>
      <c r="J354" s="4">
        <v>1</v>
      </c>
      <c r="K354" s="4">
        <v>0</v>
      </c>
    </row>
    <row r="355" spans="1:11" x14ac:dyDescent="0.2">
      <c r="A355" s="4">
        <v>4.5</v>
      </c>
      <c r="B355" s="4">
        <v>12</v>
      </c>
      <c r="C355" s="4">
        <v>2</v>
      </c>
      <c r="D355" s="4">
        <v>1</v>
      </c>
      <c r="E355" s="4">
        <v>1</v>
      </c>
      <c r="F355" s="4">
        <v>0</v>
      </c>
      <c r="G355" s="4">
        <v>2</v>
      </c>
      <c r="H355" s="4">
        <v>0</v>
      </c>
      <c r="I355" s="4">
        <v>0</v>
      </c>
      <c r="J355" s="4">
        <v>0</v>
      </c>
      <c r="K355" s="4">
        <v>1</v>
      </c>
    </row>
    <row r="356" spans="1:11" x14ac:dyDescent="0.2">
      <c r="A356" s="4">
        <v>3.1</v>
      </c>
      <c r="B356" s="4">
        <v>12</v>
      </c>
      <c r="C356" s="4">
        <v>2</v>
      </c>
      <c r="D356" s="4">
        <v>1</v>
      </c>
      <c r="E356" s="4">
        <v>1</v>
      </c>
      <c r="F356" s="4">
        <v>0</v>
      </c>
      <c r="G356" s="4">
        <v>1</v>
      </c>
      <c r="H356" s="4">
        <v>0</v>
      </c>
      <c r="I356" s="4">
        <v>0</v>
      </c>
      <c r="J356" s="4">
        <v>0</v>
      </c>
      <c r="K356" s="4">
        <v>0</v>
      </c>
    </row>
    <row r="357" spans="1:11" x14ac:dyDescent="0.2">
      <c r="A357" s="4">
        <v>6.25</v>
      </c>
      <c r="B357" s="10">
        <v>12</v>
      </c>
      <c r="C357" s="4">
        <v>2</v>
      </c>
      <c r="D357" s="4">
        <v>1</v>
      </c>
      <c r="E357" s="4">
        <v>1</v>
      </c>
      <c r="F357" s="4">
        <v>0</v>
      </c>
      <c r="G357" s="4">
        <v>0</v>
      </c>
      <c r="H357" s="4">
        <v>1</v>
      </c>
      <c r="I357" s="4">
        <v>0</v>
      </c>
      <c r="J357" s="4">
        <v>0</v>
      </c>
      <c r="K357" s="4">
        <v>0</v>
      </c>
    </row>
    <row r="358" spans="1:11" x14ac:dyDescent="0.2">
      <c r="A358" s="4">
        <v>5</v>
      </c>
      <c r="B358" s="4">
        <v>16</v>
      </c>
      <c r="C358" s="4">
        <v>2</v>
      </c>
      <c r="D358" s="4">
        <v>1</v>
      </c>
      <c r="E358" s="4">
        <v>1</v>
      </c>
      <c r="F358" s="4">
        <v>1</v>
      </c>
      <c r="G358" s="4">
        <v>0</v>
      </c>
      <c r="H358" s="4">
        <v>0</v>
      </c>
      <c r="I358" s="4">
        <v>1</v>
      </c>
      <c r="J358" s="4">
        <v>0</v>
      </c>
      <c r="K358" s="4">
        <v>0</v>
      </c>
    </row>
    <row r="359" spans="1:11" x14ac:dyDescent="0.2">
      <c r="A359" s="4">
        <v>3</v>
      </c>
      <c r="B359" s="4">
        <v>10</v>
      </c>
      <c r="C359" s="4">
        <v>2</v>
      </c>
      <c r="D359" s="4">
        <v>1</v>
      </c>
      <c r="E359" s="4">
        <v>1</v>
      </c>
      <c r="F359" s="4">
        <v>0</v>
      </c>
      <c r="G359" s="4">
        <v>1</v>
      </c>
      <c r="H359" s="4">
        <v>0</v>
      </c>
      <c r="I359" s="4">
        <v>1</v>
      </c>
      <c r="J359" s="4">
        <v>0</v>
      </c>
      <c r="K359" s="4">
        <v>0</v>
      </c>
    </row>
    <row r="360" spans="1:11" x14ac:dyDescent="0.2">
      <c r="A360" s="4">
        <v>3.13</v>
      </c>
      <c r="B360" s="4">
        <v>10</v>
      </c>
      <c r="C360" s="4">
        <v>1</v>
      </c>
      <c r="D360" s="4">
        <v>1</v>
      </c>
      <c r="E360" s="4">
        <v>0</v>
      </c>
      <c r="F360" s="4">
        <v>0</v>
      </c>
      <c r="G360" s="4">
        <v>2</v>
      </c>
      <c r="H360" s="4">
        <v>0</v>
      </c>
      <c r="I360" s="4">
        <v>0</v>
      </c>
      <c r="J360" s="4">
        <v>1</v>
      </c>
      <c r="K360" s="4">
        <v>0</v>
      </c>
    </row>
    <row r="361" spans="1:11" x14ac:dyDescent="0.2">
      <c r="A361" s="4">
        <v>3.4</v>
      </c>
      <c r="B361" s="4">
        <v>16</v>
      </c>
      <c r="C361" s="4">
        <v>1</v>
      </c>
      <c r="D361" s="4">
        <v>1</v>
      </c>
      <c r="E361" s="4">
        <v>1</v>
      </c>
      <c r="F361" s="4">
        <v>0</v>
      </c>
      <c r="G361" s="4">
        <v>1</v>
      </c>
      <c r="H361" s="4">
        <v>0</v>
      </c>
      <c r="I361" s="4">
        <v>0</v>
      </c>
      <c r="J361" s="4">
        <v>0</v>
      </c>
      <c r="K361" s="4">
        <v>0</v>
      </c>
    </row>
    <row r="362" spans="1:11" x14ac:dyDescent="0.2">
      <c r="A362" s="4">
        <v>4.28</v>
      </c>
      <c r="B362" s="4">
        <v>13</v>
      </c>
      <c r="C362" s="4">
        <v>1</v>
      </c>
      <c r="D362" s="4">
        <v>1</v>
      </c>
      <c r="E362" s="4">
        <v>1</v>
      </c>
      <c r="F362" s="4">
        <v>0</v>
      </c>
      <c r="G362" s="4">
        <v>2</v>
      </c>
      <c r="H362" s="4">
        <v>0</v>
      </c>
      <c r="I362" s="4">
        <v>0</v>
      </c>
      <c r="J362" s="4">
        <v>0</v>
      </c>
      <c r="K362" s="4">
        <v>0</v>
      </c>
    </row>
    <row r="363" spans="1:11" x14ac:dyDescent="0.2">
      <c r="A363" s="4">
        <v>5.58</v>
      </c>
      <c r="B363" s="4">
        <v>16</v>
      </c>
      <c r="C363" s="4">
        <v>1</v>
      </c>
      <c r="D363" s="4">
        <v>1</v>
      </c>
      <c r="E363" s="4">
        <v>0</v>
      </c>
      <c r="F363" s="4">
        <v>1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</row>
    <row r="364" spans="1:11" x14ac:dyDescent="0.2">
      <c r="A364" s="4">
        <v>3</v>
      </c>
      <c r="B364" s="4">
        <v>11</v>
      </c>
      <c r="C364" s="4">
        <v>1</v>
      </c>
      <c r="D364" s="4">
        <v>1</v>
      </c>
      <c r="E364" s="4">
        <v>1</v>
      </c>
      <c r="F364" s="4">
        <v>0</v>
      </c>
      <c r="G364" s="4">
        <v>1</v>
      </c>
      <c r="H364" s="4">
        <v>0</v>
      </c>
      <c r="I364" s="4">
        <v>1</v>
      </c>
      <c r="J364" s="4">
        <v>0</v>
      </c>
      <c r="K364" s="4">
        <v>0</v>
      </c>
    </row>
    <row r="365" spans="1:11" x14ac:dyDescent="0.2">
      <c r="A365" s="4">
        <v>2.92</v>
      </c>
      <c r="B365" s="4">
        <v>9</v>
      </c>
      <c r="C365" s="9">
        <v>43.93</v>
      </c>
      <c r="D365" s="4">
        <v>0</v>
      </c>
      <c r="E365" s="4">
        <v>1</v>
      </c>
      <c r="F365" s="4">
        <v>0</v>
      </c>
      <c r="G365" s="4">
        <v>0</v>
      </c>
      <c r="H365" s="4">
        <v>0</v>
      </c>
      <c r="I365" s="4">
        <v>1</v>
      </c>
      <c r="J365" s="4">
        <v>0</v>
      </c>
      <c r="K365" s="4">
        <v>0</v>
      </c>
    </row>
    <row r="366" spans="1:11" x14ac:dyDescent="0.2">
      <c r="A366" s="4">
        <v>3</v>
      </c>
      <c r="B366" s="4">
        <v>4</v>
      </c>
      <c r="C366" s="9">
        <v>43.93</v>
      </c>
      <c r="D366" s="4">
        <v>0</v>
      </c>
      <c r="E366" s="4">
        <v>0</v>
      </c>
      <c r="F366" s="4">
        <v>1</v>
      </c>
      <c r="G366" s="4">
        <v>0</v>
      </c>
      <c r="H366" s="4">
        <v>0</v>
      </c>
      <c r="I366" s="4">
        <v>1</v>
      </c>
      <c r="J366" s="4">
        <v>0</v>
      </c>
      <c r="K366" s="4">
        <v>0</v>
      </c>
    </row>
    <row r="367" spans="1:11" x14ac:dyDescent="0.2">
      <c r="A367" s="4">
        <v>3</v>
      </c>
      <c r="B367" s="4">
        <v>10</v>
      </c>
      <c r="C367" s="9">
        <v>43.93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1</v>
      </c>
      <c r="J367" s="4">
        <v>0</v>
      </c>
      <c r="K367" s="4">
        <v>0</v>
      </c>
    </row>
    <row r="368" spans="1:11" x14ac:dyDescent="0.2">
      <c r="A368" s="4">
        <v>2.5299999999999998</v>
      </c>
      <c r="B368" s="4">
        <v>12</v>
      </c>
      <c r="C368" s="9">
        <v>43.93</v>
      </c>
      <c r="D368" s="4">
        <v>0</v>
      </c>
      <c r="E368" s="4">
        <v>1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</row>
    <row r="369" spans="1:11" x14ac:dyDescent="0.2">
      <c r="A369" s="4">
        <v>2.89</v>
      </c>
      <c r="B369" s="4">
        <v>0</v>
      </c>
      <c r="C369" s="4">
        <v>42</v>
      </c>
      <c r="D369" s="4">
        <v>0</v>
      </c>
      <c r="E369" s="4">
        <v>1</v>
      </c>
      <c r="F369" s="4">
        <v>1</v>
      </c>
      <c r="G369" s="4">
        <v>2</v>
      </c>
      <c r="H369" s="4">
        <v>0</v>
      </c>
      <c r="I369" s="4">
        <v>0</v>
      </c>
      <c r="J369" s="4">
        <v>1</v>
      </c>
      <c r="K369" s="4">
        <v>0</v>
      </c>
    </row>
    <row r="370" spans="1:11" x14ac:dyDescent="0.2">
      <c r="A370" s="4">
        <v>3.25</v>
      </c>
      <c r="B370" s="4">
        <v>12</v>
      </c>
      <c r="C370" s="4">
        <v>42</v>
      </c>
      <c r="D370" s="4">
        <v>0</v>
      </c>
      <c r="E370" s="4">
        <v>1</v>
      </c>
      <c r="F370" s="4">
        <v>1</v>
      </c>
      <c r="G370" s="4">
        <v>0</v>
      </c>
      <c r="H370" s="4">
        <v>0</v>
      </c>
      <c r="I370" s="4">
        <v>0</v>
      </c>
      <c r="J370" s="4">
        <v>1</v>
      </c>
      <c r="K370" s="4">
        <v>0</v>
      </c>
    </row>
    <row r="371" spans="1:11" x14ac:dyDescent="0.2">
      <c r="A371" s="4">
        <v>3</v>
      </c>
      <c r="B371" s="4">
        <v>12</v>
      </c>
      <c r="C371" s="4">
        <v>38</v>
      </c>
      <c r="D371" s="4">
        <v>0</v>
      </c>
      <c r="E371" s="4">
        <v>1</v>
      </c>
      <c r="F371" s="4">
        <v>1</v>
      </c>
      <c r="G371" s="4">
        <v>0</v>
      </c>
      <c r="H371" s="4">
        <v>1</v>
      </c>
      <c r="I371" s="4">
        <v>0</v>
      </c>
      <c r="J371" s="4">
        <v>0</v>
      </c>
      <c r="K371" s="4">
        <v>0</v>
      </c>
    </row>
    <row r="372" spans="1:11" x14ac:dyDescent="0.2">
      <c r="A372" s="4">
        <v>2.9</v>
      </c>
      <c r="B372" s="4">
        <v>12</v>
      </c>
      <c r="C372" s="4">
        <v>37</v>
      </c>
      <c r="D372" s="4">
        <v>0</v>
      </c>
      <c r="E372" s="4">
        <v>1</v>
      </c>
      <c r="F372" s="4">
        <v>1</v>
      </c>
      <c r="G372" s="4">
        <v>0</v>
      </c>
      <c r="H372" s="4">
        <v>0</v>
      </c>
      <c r="I372" s="4">
        <v>1</v>
      </c>
      <c r="J372" s="4">
        <v>0</v>
      </c>
      <c r="K372" s="4">
        <v>0</v>
      </c>
    </row>
    <row r="373" spans="1:11" x14ac:dyDescent="0.2">
      <c r="A373" s="4">
        <v>6.63</v>
      </c>
      <c r="B373" s="4">
        <v>12</v>
      </c>
      <c r="C373" s="4">
        <v>36</v>
      </c>
      <c r="D373" s="4">
        <v>0</v>
      </c>
      <c r="E373" s="4">
        <v>1</v>
      </c>
      <c r="F373" s="4">
        <v>0</v>
      </c>
      <c r="G373" s="4">
        <v>0</v>
      </c>
      <c r="H373" s="4">
        <v>0</v>
      </c>
      <c r="I373" s="4">
        <v>1</v>
      </c>
      <c r="J373" s="4">
        <v>0</v>
      </c>
      <c r="K373" s="4">
        <v>0</v>
      </c>
    </row>
    <row r="374" spans="1:11" x14ac:dyDescent="0.2">
      <c r="A374" s="4">
        <v>3</v>
      </c>
      <c r="B374" s="4">
        <v>4</v>
      </c>
      <c r="C374" s="4">
        <v>36</v>
      </c>
      <c r="D374" s="4">
        <v>0</v>
      </c>
      <c r="E374" s="4">
        <v>0</v>
      </c>
      <c r="F374" s="4">
        <v>1</v>
      </c>
      <c r="G374" s="4">
        <v>1</v>
      </c>
      <c r="H374" s="4">
        <v>0</v>
      </c>
      <c r="I374" s="4">
        <v>1</v>
      </c>
      <c r="J374" s="4">
        <v>0</v>
      </c>
      <c r="K374" s="4">
        <v>1</v>
      </c>
    </row>
    <row r="375" spans="1:11" x14ac:dyDescent="0.2">
      <c r="A375" s="4">
        <v>4.5</v>
      </c>
      <c r="B375" s="4">
        <v>12</v>
      </c>
      <c r="C375" s="4">
        <v>35</v>
      </c>
      <c r="D375" s="4">
        <v>0</v>
      </c>
      <c r="E375" s="4">
        <v>1</v>
      </c>
      <c r="F375" s="4">
        <v>1</v>
      </c>
      <c r="G375" s="4">
        <v>1</v>
      </c>
      <c r="H375" s="4">
        <v>0</v>
      </c>
      <c r="I375" s="4">
        <v>1</v>
      </c>
      <c r="J375" s="4">
        <v>0</v>
      </c>
      <c r="K375" s="4">
        <v>0</v>
      </c>
    </row>
    <row r="376" spans="1:11" x14ac:dyDescent="0.2">
      <c r="A376" s="4">
        <v>3.35</v>
      </c>
      <c r="B376" s="4">
        <v>7</v>
      </c>
      <c r="C376" s="4">
        <v>35</v>
      </c>
      <c r="D376" s="4">
        <v>0</v>
      </c>
      <c r="E376" s="4">
        <v>1</v>
      </c>
      <c r="F376" s="4">
        <v>0</v>
      </c>
      <c r="G376" s="4">
        <v>1</v>
      </c>
      <c r="H376" s="4">
        <v>0</v>
      </c>
      <c r="I376" s="4">
        <v>1</v>
      </c>
      <c r="J376" s="4">
        <v>0</v>
      </c>
      <c r="K376" s="4">
        <v>0</v>
      </c>
    </row>
    <row r="377" spans="1:11" x14ac:dyDescent="0.2">
      <c r="A377" s="4">
        <v>2.9</v>
      </c>
      <c r="B377" s="4">
        <v>5</v>
      </c>
      <c r="C377" s="4">
        <v>34</v>
      </c>
      <c r="D377" s="4">
        <v>0</v>
      </c>
      <c r="E377" s="4">
        <v>1</v>
      </c>
      <c r="F377" s="4">
        <v>1</v>
      </c>
      <c r="G377" s="4">
        <v>5</v>
      </c>
      <c r="H377" s="4">
        <v>0</v>
      </c>
      <c r="I377" s="4">
        <v>0</v>
      </c>
      <c r="J377" s="4">
        <v>1</v>
      </c>
      <c r="K377" s="4">
        <v>0</v>
      </c>
    </row>
    <row r="378" spans="1:11" x14ac:dyDescent="0.2">
      <c r="A378" s="4">
        <v>3</v>
      </c>
      <c r="B378" s="4">
        <v>8</v>
      </c>
      <c r="C378" s="4">
        <v>33</v>
      </c>
      <c r="D378" s="4">
        <v>0</v>
      </c>
      <c r="E378" s="4">
        <v>0</v>
      </c>
      <c r="F378" s="4">
        <v>1</v>
      </c>
      <c r="G378" s="4">
        <v>1</v>
      </c>
      <c r="H378" s="4">
        <v>0</v>
      </c>
      <c r="I378" s="4">
        <v>1</v>
      </c>
      <c r="J378" s="4">
        <v>0</v>
      </c>
      <c r="K378" s="4">
        <v>0</v>
      </c>
    </row>
    <row r="379" spans="1:11" x14ac:dyDescent="0.2">
      <c r="A379" s="4">
        <v>3</v>
      </c>
      <c r="B379" s="4">
        <v>15</v>
      </c>
      <c r="C379" s="4">
        <v>32</v>
      </c>
      <c r="D379" s="4">
        <v>0</v>
      </c>
      <c r="E379" s="4">
        <v>0</v>
      </c>
      <c r="F379" s="4">
        <v>1</v>
      </c>
      <c r="G379" s="4">
        <v>0</v>
      </c>
      <c r="H379" s="4">
        <v>0</v>
      </c>
      <c r="I379" s="4">
        <v>1</v>
      </c>
      <c r="J379" s="4">
        <v>0</v>
      </c>
      <c r="K379" s="4">
        <v>0</v>
      </c>
    </row>
    <row r="380" spans="1:11" x14ac:dyDescent="0.2">
      <c r="A380" s="4">
        <v>12.5</v>
      </c>
      <c r="B380" s="4">
        <v>16</v>
      </c>
      <c r="C380" s="4">
        <v>31</v>
      </c>
      <c r="D380" s="4">
        <v>0</v>
      </c>
      <c r="E380" s="4">
        <v>0</v>
      </c>
      <c r="F380" s="4">
        <v>1</v>
      </c>
      <c r="G380" s="4">
        <v>0</v>
      </c>
      <c r="H380" s="4">
        <v>0</v>
      </c>
      <c r="I380" s="4">
        <v>0</v>
      </c>
      <c r="J380" s="4">
        <v>1</v>
      </c>
      <c r="K380" s="4">
        <v>0</v>
      </c>
    </row>
    <row r="381" spans="1:11" x14ac:dyDescent="0.2">
      <c r="A381" s="4">
        <v>12.5</v>
      </c>
      <c r="B381" s="4">
        <v>15</v>
      </c>
      <c r="C381" s="4">
        <v>30</v>
      </c>
      <c r="D381" s="4">
        <v>0</v>
      </c>
      <c r="E381" s="4">
        <v>0</v>
      </c>
      <c r="F381" s="4">
        <v>1</v>
      </c>
      <c r="G381" s="4">
        <v>2</v>
      </c>
      <c r="H381" s="4">
        <v>0</v>
      </c>
      <c r="I381" s="4">
        <v>0</v>
      </c>
      <c r="J381" s="4">
        <v>1</v>
      </c>
      <c r="K381" s="4">
        <v>0</v>
      </c>
    </row>
    <row r="382" spans="1:11" x14ac:dyDescent="0.2">
      <c r="A382" s="4">
        <v>4.1399999999999997</v>
      </c>
      <c r="B382" s="4">
        <v>13</v>
      </c>
      <c r="C382" s="4">
        <v>29</v>
      </c>
      <c r="D382" s="4">
        <v>0</v>
      </c>
      <c r="E382" s="4">
        <v>1</v>
      </c>
      <c r="F382" s="4">
        <v>1</v>
      </c>
      <c r="G382" s="4">
        <v>0</v>
      </c>
      <c r="H382" s="4">
        <v>0</v>
      </c>
      <c r="I382" s="4">
        <v>1</v>
      </c>
      <c r="J382" s="4">
        <v>0</v>
      </c>
      <c r="K382" s="4">
        <v>0</v>
      </c>
    </row>
    <row r="383" spans="1:11" x14ac:dyDescent="0.2">
      <c r="A383" s="4">
        <v>3.2</v>
      </c>
      <c r="B383" s="4">
        <v>12</v>
      </c>
      <c r="C383" s="4">
        <v>29</v>
      </c>
      <c r="D383" s="4">
        <v>0</v>
      </c>
      <c r="E383" s="4">
        <v>1</v>
      </c>
      <c r="F383" s="4">
        <v>0</v>
      </c>
      <c r="G383" s="4">
        <v>1</v>
      </c>
      <c r="H383" s="4">
        <v>0</v>
      </c>
      <c r="I383" s="4">
        <v>1</v>
      </c>
      <c r="J383" s="4">
        <v>0</v>
      </c>
      <c r="K383" s="4">
        <v>0</v>
      </c>
    </row>
    <row r="384" spans="1:11" x14ac:dyDescent="0.2">
      <c r="A384" s="4">
        <v>3.25</v>
      </c>
      <c r="B384" s="4">
        <v>9</v>
      </c>
      <c r="C384" s="4">
        <v>29</v>
      </c>
      <c r="D384" s="4">
        <v>0</v>
      </c>
      <c r="E384" s="4">
        <v>0</v>
      </c>
      <c r="F384" s="4">
        <v>1</v>
      </c>
      <c r="G384" s="4">
        <v>1</v>
      </c>
      <c r="H384" s="4">
        <v>1</v>
      </c>
      <c r="I384" s="4">
        <v>0</v>
      </c>
      <c r="J384" s="4">
        <v>0</v>
      </c>
      <c r="K384" s="4">
        <v>0</v>
      </c>
    </row>
    <row r="385" spans="1:11" x14ac:dyDescent="0.2">
      <c r="A385" s="4">
        <v>10</v>
      </c>
      <c r="B385" s="4">
        <v>12</v>
      </c>
      <c r="C385" s="4">
        <v>29</v>
      </c>
      <c r="D385" s="4">
        <v>0</v>
      </c>
      <c r="E385" s="4">
        <v>0</v>
      </c>
      <c r="F385" s="4">
        <v>1</v>
      </c>
      <c r="G385" s="4">
        <v>2</v>
      </c>
      <c r="H385" s="4">
        <v>0</v>
      </c>
      <c r="I385" s="4">
        <v>0</v>
      </c>
      <c r="J385" s="4">
        <v>0</v>
      </c>
      <c r="K385" s="4">
        <v>0</v>
      </c>
    </row>
    <row r="386" spans="1:11" x14ac:dyDescent="0.2">
      <c r="A386" s="4">
        <v>4</v>
      </c>
      <c r="B386" s="4">
        <v>12</v>
      </c>
      <c r="C386" s="4">
        <v>28</v>
      </c>
      <c r="D386" s="4">
        <v>0</v>
      </c>
      <c r="E386" s="4">
        <v>1</v>
      </c>
      <c r="F386" s="4">
        <v>1</v>
      </c>
      <c r="G386" s="4">
        <v>1</v>
      </c>
      <c r="H386" s="4">
        <v>0</v>
      </c>
      <c r="I386" s="4">
        <v>0</v>
      </c>
      <c r="J386" s="4">
        <v>0</v>
      </c>
      <c r="K386" s="4">
        <v>0</v>
      </c>
    </row>
    <row r="387" spans="1:11" x14ac:dyDescent="0.2">
      <c r="A387" s="4">
        <v>6.46</v>
      </c>
      <c r="B387" s="4">
        <v>12</v>
      </c>
      <c r="C387" s="4">
        <v>27</v>
      </c>
      <c r="D387" s="4">
        <v>0</v>
      </c>
      <c r="E387" s="4">
        <v>0</v>
      </c>
      <c r="F387" s="4">
        <v>1</v>
      </c>
      <c r="G387" s="4">
        <v>3</v>
      </c>
      <c r="H387" s="4">
        <v>1</v>
      </c>
      <c r="I387" s="4">
        <v>0</v>
      </c>
      <c r="J387" s="4">
        <v>0</v>
      </c>
      <c r="K387" s="4">
        <v>0</v>
      </c>
    </row>
    <row r="388" spans="1:11" x14ac:dyDescent="0.2">
      <c r="A388" s="4">
        <v>6.36</v>
      </c>
      <c r="B388" s="4">
        <v>16</v>
      </c>
      <c r="C388" s="4">
        <v>25</v>
      </c>
      <c r="D388" s="4">
        <v>0</v>
      </c>
      <c r="E388" s="4">
        <v>0</v>
      </c>
      <c r="F388" s="4">
        <v>1</v>
      </c>
      <c r="G388" s="4">
        <v>1</v>
      </c>
      <c r="H388" s="4">
        <v>0</v>
      </c>
      <c r="I388" s="4">
        <v>1</v>
      </c>
      <c r="J388" s="4">
        <v>0</v>
      </c>
      <c r="K388" s="4">
        <v>0</v>
      </c>
    </row>
    <row r="389" spans="1:11" x14ac:dyDescent="0.2">
      <c r="A389" s="4">
        <v>9.42</v>
      </c>
      <c r="B389" s="4">
        <v>14</v>
      </c>
      <c r="C389" s="4">
        <v>23</v>
      </c>
      <c r="D389" s="4">
        <v>0</v>
      </c>
      <c r="E389" s="4">
        <v>1</v>
      </c>
      <c r="F389" s="4">
        <v>1</v>
      </c>
      <c r="G389" s="4">
        <v>2</v>
      </c>
      <c r="H389" s="4">
        <v>0</v>
      </c>
      <c r="I389" s="4">
        <v>1</v>
      </c>
      <c r="J389" s="4">
        <v>0</v>
      </c>
      <c r="K389" s="4">
        <v>0</v>
      </c>
    </row>
    <row r="390" spans="1:11" x14ac:dyDescent="0.2">
      <c r="A390" s="4">
        <v>3.35</v>
      </c>
      <c r="B390" s="4">
        <v>13</v>
      </c>
      <c r="C390" s="4">
        <v>22</v>
      </c>
      <c r="D390" s="4">
        <v>0</v>
      </c>
      <c r="E390" s="4">
        <v>1</v>
      </c>
      <c r="F390" s="4">
        <v>0</v>
      </c>
      <c r="G390" s="4">
        <v>2</v>
      </c>
      <c r="H390" s="4">
        <v>1</v>
      </c>
      <c r="I390" s="4">
        <v>0</v>
      </c>
      <c r="J390" s="4">
        <v>0</v>
      </c>
      <c r="K390" s="4">
        <v>0</v>
      </c>
    </row>
    <row r="391" spans="1:11" x14ac:dyDescent="0.2">
      <c r="A391" s="4">
        <v>3.55</v>
      </c>
      <c r="B391" s="4">
        <v>12</v>
      </c>
      <c r="C391" s="4">
        <v>21</v>
      </c>
      <c r="D391" s="4">
        <v>0</v>
      </c>
      <c r="E391" s="4">
        <v>1</v>
      </c>
      <c r="F391" s="4">
        <v>1</v>
      </c>
      <c r="G391" s="4">
        <v>1</v>
      </c>
      <c r="H391" s="4">
        <v>0</v>
      </c>
      <c r="I391" s="4">
        <v>1</v>
      </c>
      <c r="J391" s="4">
        <v>0</v>
      </c>
      <c r="K391" s="4">
        <v>0</v>
      </c>
    </row>
    <row r="392" spans="1:11" x14ac:dyDescent="0.2">
      <c r="A392" s="4">
        <v>4.75</v>
      </c>
      <c r="B392" s="4">
        <v>12</v>
      </c>
      <c r="C392" s="4">
        <v>19</v>
      </c>
      <c r="D392" s="4">
        <v>0</v>
      </c>
      <c r="E392" s="4">
        <v>0</v>
      </c>
      <c r="F392" s="4">
        <v>1</v>
      </c>
      <c r="G392" s="4">
        <v>3</v>
      </c>
      <c r="H392" s="4">
        <v>0</v>
      </c>
      <c r="I392" s="4">
        <v>1</v>
      </c>
      <c r="J392" s="4">
        <v>0</v>
      </c>
      <c r="K392" s="4">
        <v>0</v>
      </c>
    </row>
    <row r="393" spans="1:11" x14ac:dyDescent="0.2">
      <c r="A393" s="4">
        <v>5.05</v>
      </c>
      <c r="B393" s="4">
        <v>12</v>
      </c>
      <c r="C393" s="4">
        <v>19</v>
      </c>
      <c r="D393" s="4">
        <v>0</v>
      </c>
      <c r="E393" s="4">
        <v>1</v>
      </c>
      <c r="F393" s="4">
        <v>1</v>
      </c>
      <c r="G393" s="4">
        <v>3</v>
      </c>
      <c r="H393" s="4">
        <v>0</v>
      </c>
      <c r="I393" s="4">
        <v>1</v>
      </c>
      <c r="J393" s="4">
        <v>0</v>
      </c>
      <c r="K393" s="4">
        <v>0</v>
      </c>
    </row>
    <row r="394" spans="1:11" x14ac:dyDescent="0.2">
      <c r="A394" s="4">
        <v>1.63</v>
      </c>
      <c r="B394" s="4">
        <v>12</v>
      </c>
      <c r="C394" s="4">
        <v>18</v>
      </c>
      <c r="D394" s="4">
        <v>0</v>
      </c>
      <c r="E394" s="10">
        <v>2</v>
      </c>
      <c r="F394" s="4">
        <v>0</v>
      </c>
      <c r="G394" s="4">
        <v>2</v>
      </c>
      <c r="H394" s="4">
        <v>0</v>
      </c>
      <c r="I394" s="4">
        <v>0</v>
      </c>
      <c r="J394" s="4">
        <v>0</v>
      </c>
      <c r="K394" s="4">
        <v>0</v>
      </c>
    </row>
    <row r="395" spans="1:11" x14ac:dyDescent="0.2">
      <c r="A395" s="4">
        <v>5</v>
      </c>
      <c r="B395" s="10">
        <v>12</v>
      </c>
      <c r="C395" s="4">
        <v>18</v>
      </c>
      <c r="D395" s="4">
        <v>0</v>
      </c>
      <c r="E395" s="4">
        <v>1</v>
      </c>
      <c r="F395" s="4">
        <v>1</v>
      </c>
      <c r="G395" s="4">
        <v>3</v>
      </c>
      <c r="H395" s="4">
        <v>0</v>
      </c>
      <c r="I395" s="4">
        <v>0</v>
      </c>
      <c r="J395" s="4">
        <v>1</v>
      </c>
      <c r="K395" s="4">
        <v>0</v>
      </c>
    </row>
    <row r="396" spans="1:11" x14ac:dyDescent="0.2">
      <c r="A396" s="4">
        <v>2.9</v>
      </c>
      <c r="B396" s="4">
        <v>10</v>
      </c>
      <c r="C396" s="4">
        <v>18</v>
      </c>
      <c r="D396" s="4">
        <v>0</v>
      </c>
      <c r="E396" s="4">
        <v>1</v>
      </c>
      <c r="F396" s="4">
        <v>1</v>
      </c>
      <c r="G396" s="4">
        <v>2</v>
      </c>
      <c r="H396" s="4">
        <v>0</v>
      </c>
      <c r="I396" s="4">
        <v>1</v>
      </c>
      <c r="J396" s="4">
        <v>0</v>
      </c>
      <c r="K396" s="4">
        <v>0</v>
      </c>
    </row>
    <row r="397" spans="1:11" x14ac:dyDescent="0.2">
      <c r="A397" s="4">
        <v>3.75</v>
      </c>
      <c r="B397" s="4">
        <v>12</v>
      </c>
      <c r="C397" s="4">
        <v>18</v>
      </c>
      <c r="D397" s="4">
        <v>0</v>
      </c>
      <c r="E397" s="4">
        <v>1</v>
      </c>
      <c r="F397" s="4">
        <v>1</v>
      </c>
      <c r="G397" s="4">
        <v>4</v>
      </c>
      <c r="H397" s="4">
        <v>1</v>
      </c>
      <c r="I397" s="4">
        <v>0</v>
      </c>
      <c r="J397" s="4">
        <v>0</v>
      </c>
      <c r="K397" s="4">
        <v>0</v>
      </c>
    </row>
    <row r="398" spans="1:11" x14ac:dyDescent="0.2">
      <c r="A398" s="4">
        <v>1.43</v>
      </c>
      <c r="B398" s="4">
        <v>12</v>
      </c>
      <c r="C398" s="4">
        <v>17</v>
      </c>
      <c r="D398" s="4">
        <v>0</v>
      </c>
      <c r="E398" s="10">
        <v>2</v>
      </c>
      <c r="F398" s="4">
        <v>1</v>
      </c>
      <c r="G398" s="4">
        <v>2</v>
      </c>
      <c r="H398" s="4">
        <v>0</v>
      </c>
      <c r="I398" s="4">
        <v>0</v>
      </c>
      <c r="J398" s="4">
        <v>0</v>
      </c>
      <c r="K398" s="4">
        <v>0</v>
      </c>
    </row>
    <row r="399" spans="1:11" x14ac:dyDescent="0.2">
      <c r="A399" s="4">
        <v>3</v>
      </c>
      <c r="B399" s="4">
        <v>14</v>
      </c>
      <c r="C399" s="4">
        <v>17</v>
      </c>
      <c r="D399" s="4">
        <v>0</v>
      </c>
      <c r="E399" s="4">
        <v>1</v>
      </c>
      <c r="F399" s="4">
        <v>1</v>
      </c>
      <c r="G399" s="4">
        <v>4</v>
      </c>
      <c r="H399" s="4">
        <v>0</v>
      </c>
      <c r="I399" s="4">
        <v>1</v>
      </c>
      <c r="J399" s="4">
        <v>0</v>
      </c>
      <c r="K399" s="4">
        <v>0</v>
      </c>
    </row>
    <row r="400" spans="1:11" x14ac:dyDescent="0.2">
      <c r="A400" s="4">
        <v>4.5</v>
      </c>
      <c r="B400" s="4">
        <v>14</v>
      </c>
      <c r="C400" s="4">
        <v>16</v>
      </c>
      <c r="D400" s="4">
        <v>0</v>
      </c>
      <c r="E400" s="4">
        <v>1</v>
      </c>
      <c r="F400" s="4">
        <v>1</v>
      </c>
      <c r="G400" s="4">
        <v>1</v>
      </c>
      <c r="H400" s="4">
        <v>0</v>
      </c>
      <c r="I400" s="4">
        <v>0</v>
      </c>
      <c r="J400" s="4">
        <v>1</v>
      </c>
      <c r="K400" s="4">
        <v>0</v>
      </c>
    </row>
    <row r="401" spans="1:11" x14ac:dyDescent="0.2">
      <c r="A401" s="4">
        <v>3.24</v>
      </c>
      <c r="B401" s="4">
        <v>12</v>
      </c>
      <c r="C401" s="4">
        <v>16</v>
      </c>
      <c r="D401" s="4">
        <v>0</v>
      </c>
      <c r="E401" s="4">
        <v>1</v>
      </c>
      <c r="F401" s="4">
        <v>1</v>
      </c>
      <c r="G401" s="4">
        <v>2</v>
      </c>
      <c r="H401" s="4">
        <v>0</v>
      </c>
      <c r="I401" s="4">
        <v>1</v>
      </c>
      <c r="J401" s="4">
        <v>0</v>
      </c>
      <c r="K401" s="4">
        <v>0</v>
      </c>
    </row>
    <row r="402" spans="1:11" x14ac:dyDescent="0.2">
      <c r="A402" s="4">
        <v>6.11</v>
      </c>
      <c r="B402" s="4">
        <v>14</v>
      </c>
      <c r="C402" s="4">
        <v>15</v>
      </c>
      <c r="D402" s="4">
        <v>0</v>
      </c>
      <c r="E402" s="4">
        <v>0</v>
      </c>
      <c r="F402" s="4">
        <v>1</v>
      </c>
      <c r="G402" s="4">
        <v>2</v>
      </c>
      <c r="H402" s="4">
        <v>0</v>
      </c>
      <c r="I402" s="4">
        <v>0</v>
      </c>
      <c r="J402" s="4">
        <v>0</v>
      </c>
      <c r="K402" s="4">
        <v>0</v>
      </c>
    </row>
    <row r="403" spans="1:11" x14ac:dyDescent="0.2">
      <c r="A403" s="4">
        <v>8.77</v>
      </c>
      <c r="B403" s="4">
        <v>12</v>
      </c>
      <c r="C403" s="4">
        <v>15</v>
      </c>
      <c r="D403" s="4">
        <v>0</v>
      </c>
      <c r="E403" s="4">
        <v>0</v>
      </c>
      <c r="F403" s="4">
        <v>1</v>
      </c>
      <c r="G403" s="4">
        <v>2</v>
      </c>
      <c r="H403" s="4">
        <v>0</v>
      </c>
      <c r="I403" s="4">
        <v>0</v>
      </c>
      <c r="J403" s="4">
        <v>1</v>
      </c>
      <c r="K403" s="4">
        <v>0</v>
      </c>
    </row>
    <row r="404" spans="1:11" x14ac:dyDescent="0.2">
      <c r="A404" s="4">
        <v>10</v>
      </c>
      <c r="B404" s="4">
        <v>12</v>
      </c>
      <c r="C404" s="4">
        <v>15</v>
      </c>
      <c r="D404" s="4">
        <v>0</v>
      </c>
      <c r="E404" s="4">
        <v>0</v>
      </c>
      <c r="F404" s="4">
        <v>0</v>
      </c>
      <c r="G404" s="4">
        <v>1</v>
      </c>
      <c r="H404" s="4">
        <v>0</v>
      </c>
      <c r="I404" s="4">
        <v>0</v>
      </c>
      <c r="J404" s="4">
        <v>0</v>
      </c>
      <c r="K404" s="4">
        <v>0</v>
      </c>
    </row>
    <row r="405" spans="1:11" x14ac:dyDescent="0.2">
      <c r="A405" s="4">
        <v>5</v>
      </c>
      <c r="B405" s="4">
        <v>15</v>
      </c>
      <c r="C405" s="4">
        <v>15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1</v>
      </c>
      <c r="J405" s="4">
        <v>0</v>
      </c>
      <c r="K405" s="4">
        <v>0</v>
      </c>
    </row>
    <row r="406" spans="1:11" x14ac:dyDescent="0.2">
      <c r="A406" s="4">
        <v>3.75</v>
      </c>
      <c r="B406" s="4">
        <v>10</v>
      </c>
      <c r="C406" s="4">
        <v>15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</row>
    <row r="407" spans="1:11" x14ac:dyDescent="0.2">
      <c r="A407" s="4">
        <v>3.25</v>
      </c>
      <c r="B407" s="4">
        <v>12</v>
      </c>
      <c r="C407" s="4">
        <v>14</v>
      </c>
      <c r="D407" s="4">
        <v>0</v>
      </c>
      <c r="E407" s="4">
        <v>1</v>
      </c>
      <c r="F407" s="4">
        <v>1</v>
      </c>
      <c r="G407" s="4">
        <v>1</v>
      </c>
      <c r="H407" s="4">
        <v>0</v>
      </c>
      <c r="I407" s="4">
        <v>0</v>
      </c>
      <c r="J407" s="4">
        <v>0</v>
      </c>
      <c r="K407" s="4">
        <v>0</v>
      </c>
    </row>
    <row r="408" spans="1:11" x14ac:dyDescent="0.2">
      <c r="A408" s="4">
        <v>3.75</v>
      </c>
      <c r="B408" s="4">
        <v>12</v>
      </c>
      <c r="C408" s="4">
        <v>14</v>
      </c>
      <c r="D408" s="4">
        <v>0</v>
      </c>
      <c r="E408" s="4">
        <v>1</v>
      </c>
      <c r="F408" s="4">
        <v>1</v>
      </c>
      <c r="G408" s="4">
        <v>3</v>
      </c>
      <c r="H408" s="4">
        <v>0</v>
      </c>
      <c r="I408" s="4">
        <v>0</v>
      </c>
      <c r="J408" s="4">
        <v>0</v>
      </c>
      <c r="K408" s="4">
        <v>0</v>
      </c>
    </row>
    <row r="409" spans="1:11" x14ac:dyDescent="0.2">
      <c r="A409" s="4">
        <v>3.1</v>
      </c>
      <c r="B409" s="4">
        <v>6</v>
      </c>
      <c r="C409" s="4">
        <v>14</v>
      </c>
      <c r="D409" s="4">
        <v>0</v>
      </c>
      <c r="E409" s="4">
        <v>1</v>
      </c>
      <c r="F409" s="4">
        <v>0</v>
      </c>
      <c r="G409" s="4">
        <v>5</v>
      </c>
      <c r="H409" s="4">
        <v>0</v>
      </c>
      <c r="I409" s="4">
        <v>1</v>
      </c>
      <c r="J409" s="4">
        <v>0</v>
      </c>
      <c r="K409" s="4">
        <v>0</v>
      </c>
    </row>
    <row r="410" spans="1:11" x14ac:dyDescent="0.2">
      <c r="A410" s="4">
        <v>3.5</v>
      </c>
      <c r="B410" s="4">
        <v>12</v>
      </c>
      <c r="C410" s="4">
        <v>14</v>
      </c>
      <c r="D410" s="4">
        <v>0</v>
      </c>
      <c r="E410" s="4">
        <v>1</v>
      </c>
      <c r="F410" s="4">
        <v>0</v>
      </c>
      <c r="G410" s="4">
        <v>2</v>
      </c>
      <c r="H410" s="4">
        <v>0</v>
      </c>
      <c r="I410" s="4">
        <v>1</v>
      </c>
      <c r="J410" s="4">
        <v>0</v>
      </c>
      <c r="K410" s="4">
        <v>1</v>
      </c>
    </row>
    <row r="411" spans="1:11" x14ac:dyDescent="0.2">
      <c r="A411" s="4">
        <v>17.329999999999998</v>
      </c>
      <c r="B411" s="4">
        <v>16</v>
      </c>
      <c r="C411" s="4">
        <v>14</v>
      </c>
      <c r="D411" s="4">
        <v>0</v>
      </c>
      <c r="E411" s="4">
        <v>0</v>
      </c>
      <c r="F411" s="4">
        <v>1</v>
      </c>
      <c r="G411" s="4">
        <v>1</v>
      </c>
      <c r="H411" s="4">
        <v>0</v>
      </c>
      <c r="I411" s="4">
        <v>0</v>
      </c>
      <c r="J411" s="4">
        <v>1</v>
      </c>
      <c r="K411" s="4">
        <v>0</v>
      </c>
    </row>
    <row r="412" spans="1:11" x14ac:dyDescent="0.2">
      <c r="A412" s="4">
        <v>3.58</v>
      </c>
      <c r="B412" s="4">
        <v>12</v>
      </c>
      <c r="C412" s="4">
        <v>13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</v>
      </c>
      <c r="J412" s="4">
        <v>0</v>
      </c>
      <c r="K412" s="4">
        <v>0</v>
      </c>
    </row>
    <row r="413" spans="1:11" x14ac:dyDescent="0.2">
      <c r="A413" s="4">
        <v>4.5</v>
      </c>
      <c r="B413" s="4">
        <v>12</v>
      </c>
      <c r="C413" s="4">
        <v>13</v>
      </c>
      <c r="D413" s="4">
        <v>0</v>
      </c>
      <c r="E413" s="4">
        <v>0</v>
      </c>
      <c r="F413" s="4">
        <v>1</v>
      </c>
      <c r="G413" s="4">
        <v>0</v>
      </c>
      <c r="H413" s="4">
        <v>0</v>
      </c>
      <c r="I413" s="4">
        <v>1</v>
      </c>
      <c r="J413" s="4">
        <v>0</v>
      </c>
      <c r="K413" s="4">
        <v>0</v>
      </c>
    </row>
    <row r="414" spans="1:11" x14ac:dyDescent="0.2">
      <c r="A414" s="4">
        <v>3.6</v>
      </c>
      <c r="B414" s="4">
        <v>12</v>
      </c>
      <c r="C414" s="4">
        <v>13</v>
      </c>
      <c r="D414" s="4">
        <v>0</v>
      </c>
      <c r="E414" s="10">
        <v>2</v>
      </c>
      <c r="F414" s="4">
        <v>1</v>
      </c>
      <c r="G414" s="4">
        <v>3</v>
      </c>
      <c r="H414" s="4">
        <v>0</v>
      </c>
      <c r="I414" s="4">
        <v>0</v>
      </c>
      <c r="J414" s="4">
        <v>1</v>
      </c>
      <c r="K414" s="4">
        <v>0</v>
      </c>
    </row>
    <row r="415" spans="1:11" x14ac:dyDescent="0.2">
      <c r="A415" s="4">
        <v>18</v>
      </c>
      <c r="B415" s="4">
        <v>18</v>
      </c>
      <c r="C415" s="4">
        <v>13</v>
      </c>
      <c r="D415" s="4">
        <v>0</v>
      </c>
      <c r="E415" s="4">
        <v>1</v>
      </c>
      <c r="F415" s="4">
        <v>0</v>
      </c>
      <c r="G415" s="4">
        <v>0</v>
      </c>
      <c r="H415" s="4">
        <v>0</v>
      </c>
      <c r="I415" s="4">
        <v>1</v>
      </c>
      <c r="J415" s="4">
        <v>0</v>
      </c>
      <c r="K415" s="4">
        <v>0</v>
      </c>
    </row>
    <row r="416" spans="1:11" x14ac:dyDescent="0.2">
      <c r="A416" s="4">
        <v>6.25</v>
      </c>
      <c r="B416" s="10">
        <v>12</v>
      </c>
      <c r="C416" s="4">
        <v>13</v>
      </c>
      <c r="D416" s="4">
        <v>0</v>
      </c>
      <c r="E416" s="4">
        <v>1</v>
      </c>
      <c r="F416" s="4">
        <v>1</v>
      </c>
      <c r="G416" s="4">
        <v>0</v>
      </c>
      <c r="H416" s="4">
        <v>1</v>
      </c>
      <c r="I416" s="4">
        <v>0</v>
      </c>
      <c r="J416" s="4">
        <v>0</v>
      </c>
      <c r="K416" s="4">
        <v>0</v>
      </c>
    </row>
    <row r="417" spans="1:11" x14ac:dyDescent="0.2">
      <c r="A417" s="4">
        <v>7.14</v>
      </c>
      <c r="B417" s="4">
        <v>18</v>
      </c>
      <c r="C417" s="4">
        <v>13</v>
      </c>
      <c r="D417" s="4">
        <v>0</v>
      </c>
      <c r="E417" s="4">
        <v>0</v>
      </c>
      <c r="F417" s="4">
        <v>1</v>
      </c>
      <c r="G417" s="4">
        <v>2</v>
      </c>
      <c r="H417" s="4">
        <v>0</v>
      </c>
      <c r="I417" s="4">
        <v>0</v>
      </c>
      <c r="J417" s="4">
        <v>0</v>
      </c>
      <c r="K417" s="4">
        <v>0</v>
      </c>
    </row>
    <row r="418" spans="1:11" x14ac:dyDescent="0.2">
      <c r="A418" s="4">
        <v>3.71</v>
      </c>
      <c r="B418" s="4">
        <v>10</v>
      </c>
      <c r="C418" s="4">
        <v>13</v>
      </c>
      <c r="D418" s="4">
        <v>0</v>
      </c>
      <c r="E418" s="4">
        <v>1</v>
      </c>
      <c r="F418" s="4">
        <v>0</v>
      </c>
      <c r="G418" s="4">
        <v>4</v>
      </c>
      <c r="H418" s="4">
        <v>0</v>
      </c>
      <c r="I418" s="4">
        <v>0</v>
      </c>
      <c r="J418" s="4">
        <v>0</v>
      </c>
      <c r="K418" s="4">
        <v>0</v>
      </c>
    </row>
    <row r="419" spans="1:11" x14ac:dyDescent="0.2">
      <c r="A419" s="4">
        <v>4.5</v>
      </c>
      <c r="B419" s="4">
        <v>12</v>
      </c>
      <c r="C419" s="4">
        <v>13</v>
      </c>
      <c r="D419" s="4">
        <v>0</v>
      </c>
      <c r="E419" s="4">
        <v>0</v>
      </c>
      <c r="F419" s="4">
        <v>1</v>
      </c>
      <c r="G419" s="4">
        <v>0</v>
      </c>
      <c r="H419" s="4">
        <v>0</v>
      </c>
      <c r="I419" s="4">
        <v>0</v>
      </c>
      <c r="J419" s="4">
        <v>1</v>
      </c>
      <c r="K419" s="4">
        <v>0</v>
      </c>
    </row>
    <row r="420" spans="1:11" x14ac:dyDescent="0.2">
      <c r="A420" s="4">
        <v>3.75</v>
      </c>
      <c r="B420" s="10">
        <v>12</v>
      </c>
      <c r="C420" s="4">
        <v>13</v>
      </c>
      <c r="D420" s="4">
        <v>0</v>
      </c>
      <c r="E420" s="4">
        <v>1</v>
      </c>
      <c r="F420" s="4">
        <v>1</v>
      </c>
      <c r="G420" s="4">
        <v>3</v>
      </c>
      <c r="H420" s="4">
        <v>1</v>
      </c>
      <c r="I420" s="4">
        <v>0</v>
      </c>
      <c r="J420" s="4">
        <v>0</v>
      </c>
      <c r="K420" s="4">
        <v>0</v>
      </c>
    </row>
    <row r="421" spans="1:11" x14ac:dyDescent="0.2">
      <c r="A421" s="4">
        <v>10</v>
      </c>
      <c r="B421" s="4">
        <v>8</v>
      </c>
      <c r="C421" s="4">
        <v>13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</row>
    <row r="422" spans="1:11" x14ac:dyDescent="0.2">
      <c r="A422" s="4">
        <v>4.5</v>
      </c>
      <c r="B422" s="4">
        <v>12</v>
      </c>
      <c r="C422" s="4">
        <v>12</v>
      </c>
      <c r="D422" s="4">
        <v>0</v>
      </c>
      <c r="E422" s="4">
        <v>0</v>
      </c>
      <c r="F422" s="4">
        <v>1</v>
      </c>
      <c r="G422" s="4">
        <v>3</v>
      </c>
      <c r="H422" s="4">
        <v>0</v>
      </c>
      <c r="I422" s="4">
        <v>1</v>
      </c>
      <c r="J422" s="4">
        <v>0</v>
      </c>
      <c r="K422" s="4">
        <v>0</v>
      </c>
    </row>
    <row r="423" spans="1:11" x14ac:dyDescent="0.2">
      <c r="A423" s="4">
        <v>3.45</v>
      </c>
      <c r="B423" s="4">
        <v>10</v>
      </c>
      <c r="C423" s="4">
        <v>11</v>
      </c>
      <c r="D423" s="4">
        <v>0</v>
      </c>
      <c r="E423" s="4">
        <v>1</v>
      </c>
      <c r="F423" s="4">
        <v>0</v>
      </c>
      <c r="G423" s="4">
        <v>2</v>
      </c>
      <c r="H423" s="4">
        <v>0</v>
      </c>
      <c r="I423" s="4">
        <v>1</v>
      </c>
      <c r="J423" s="4">
        <v>0</v>
      </c>
      <c r="K423" s="4">
        <v>0</v>
      </c>
    </row>
    <row r="424" spans="1:11" x14ac:dyDescent="0.2">
      <c r="A424" s="4">
        <v>3.75</v>
      </c>
      <c r="B424" s="4">
        <v>12</v>
      </c>
      <c r="C424" s="4">
        <v>11</v>
      </c>
      <c r="D424" s="4">
        <v>0</v>
      </c>
      <c r="E424" s="4">
        <v>0</v>
      </c>
      <c r="F424" s="4">
        <v>0</v>
      </c>
      <c r="G424" s="4">
        <v>1</v>
      </c>
      <c r="H424" s="4">
        <v>0</v>
      </c>
      <c r="I424" s="4">
        <v>1</v>
      </c>
      <c r="J424" s="4">
        <v>0</v>
      </c>
      <c r="K424" s="4">
        <v>0</v>
      </c>
    </row>
    <row r="425" spans="1:11" x14ac:dyDescent="0.2">
      <c r="A425" s="4">
        <v>6</v>
      </c>
      <c r="B425" s="4">
        <v>14</v>
      </c>
      <c r="C425" s="4">
        <v>11</v>
      </c>
      <c r="D425" s="4">
        <v>0</v>
      </c>
      <c r="E425" s="4">
        <v>0</v>
      </c>
      <c r="F425" s="4">
        <v>1</v>
      </c>
      <c r="G425" s="4">
        <v>0</v>
      </c>
      <c r="H425" s="4">
        <v>1</v>
      </c>
      <c r="I425" s="4">
        <v>0</v>
      </c>
      <c r="J425" s="4">
        <v>0</v>
      </c>
      <c r="K425" s="4">
        <v>0</v>
      </c>
    </row>
    <row r="426" spans="1:11" x14ac:dyDescent="0.2">
      <c r="A426" s="4">
        <v>6.25</v>
      </c>
      <c r="B426" s="4">
        <v>12</v>
      </c>
      <c r="C426" s="4">
        <v>11</v>
      </c>
      <c r="D426" s="4">
        <v>0</v>
      </c>
      <c r="E426" s="4">
        <v>1</v>
      </c>
      <c r="F426" s="4">
        <v>0</v>
      </c>
      <c r="G426" s="4">
        <v>0</v>
      </c>
      <c r="H426" s="4">
        <v>0</v>
      </c>
      <c r="I426" s="4">
        <v>0</v>
      </c>
      <c r="J426" s="4">
        <v>1</v>
      </c>
      <c r="K426" s="4">
        <v>0</v>
      </c>
    </row>
    <row r="427" spans="1:11" x14ac:dyDescent="0.2">
      <c r="A427" s="4">
        <v>7.5</v>
      </c>
      <c r="B427" s="4">
        <v>16</v>
      </c>
      <c r="C427" s="4">
        <v>11</v>
      </c>
      <c r="D427" s="4">
        <v>0</v>
      </c>
      <c r="E427" s="4">
        <v>0</v>
      </c>
      <c r="F427" s="4">
        <v>1</v>
      </c>
      <c r="G427" s="4">
        <v>0</v>
      </c>
      <c r="H427" s="4">
        <v>1</v>
      </c>
      <c r="I427" s="4">
        <v>0</v>
      </c>
      <c r="J427" s="4">
        <v>0</v>
      </c>
      <c r="K427" s="4">
        <v>0</v>
      </c>
    </row>
    <row r="428" spans="1:11" x14ac:dyDescent="0.2">
      <c r="A428" s="4">
        <v>3</v>
      </c>
      <c r="B428" s="4">
        <v>12</v>
      </c>
      <c r="C428" s="4">
        <v>11</v>
      </c>
      <c r="D428" s="4">
        <v>0</v>
      </c>
      <c r="E428" s="4">
        <v>1</v>
      </c>
      <c r="F428" s="4">
        <v>1</v>
      </c>
      <c r="G428" s="4">
        <v>2</v>
      </c>
      <c r="H428" s="4">
        <v>0</v>
      </c>
      <c r="I428" s="4">
        <v>1</v>
      </c>
      <c r="J428" s="4">
        <v>0</v>
      </c>
      <c r="K428" s="4">
        <v>0</v>
      </c>
    </row>
    <row r="429" spans="1:11" x14ac:dyDescent="0.2">
      <c r="A429" s="4">
        <v>4.55</v>
      </c>
      <c r="B429" s="4">
        <v>12</v>
      </c>
      <c r="C429" s="4">
        <v>11</v>
      </c>
      <c r="D429" s="4">
        <v>0</v>
      </c>
      <c r="E429" s="10">
        <v>2</v>
      </c>
      <c r="F429" s="4">
        <v>1</v>
      </c>
      <c r="G429" s="4">
        <v>0</v>
      </c>
      <c r="H429" s="4">
        <v>1</v>
      </c>
      <c r="I429" s="4">
        <v>0</v>
      </c>
      <c r="J429" s="4">
        <v>0</v>
      </c>
      <c r="K429" s="4">
        <v>0</v>
      </c>
    </row>
    <row r="430" spans="1:11" x14ac:dyDescent="0.2">
      <c r="A430" s="4">
        <v>7.5</v>
      </c>
      <c r="B430" s="4">
        <v>12</v>
      </c>
      <c r="C430" s="4">
        <v>10</v>
      </c>
      <c r="D430" s="4">
        <v>0</v>
      </c>
      <c r="E430" s="4">
        <v>1</v>
      </c>
      <c r="F430" s="4">
        <v>1</v>
      </c>
      <c r="G430" s="4">
        <v>0</v>
      </c>
      <c r="H430" s="4">
        <v>0</v>
      </c>
      <c r="I430" s="4">
        <v>0</v>
      </c>
      <c r="J430" s="4">
        <v>1</v>
      </c>
      <c r="K430" s="4">
        <v>0</v>
      </c>
    </row>
    <row r="431" spans="1:11" x14ac:dyDescent="0.2">
      <c r="A431" s="4">
        <v>3.05</v>
      </c>
      <c r="B431" s="4">
        <v>12</v>
      </c>
      <c r="C431" s="4">
        <v>10</v>
      </c>
      <c r="D431" s="4">
        <v>0</v>
      </c>
      <c r="E431" s="4">
        <v>1</v>
      </c>
      <c r="F431" s="4">
        <v>1</v>
      </c>
      <c r="G431" s="4">
        <v>2</v>
      </c>
      <c r="H431" s="4">
        <v>1</v>
      </c>
      <c r="I431" s="4">
        <v>0</v>
      </c>
      <c r="J431" s="4">
        <v>0</v>
      </c>
      <c r="K431" s="4">
        <v>0</v>
      </c>
    </row>
    <row r="432" spans="1:11" x14ac:dyDescent="0.2">
      <c r="A432" s="4">
        <v>6.25</v>
      </c>
      <c r="B432" s="4">
        <v>12</v>
      </c>
      <c r="C432" s="4">
        <v>10</v>
      </c>
      <c r="D432" s="4">
        <v>0</v>
      </c>
      <c r="E432" s="4">
        <v>0</v>
      </c>
      <c r="F432" s="4">
        <v>1</v>
      </c>
      <c r="G432" s="4">
        <v>3</v>
      </c>
      <c r="H432" s="4">
        <v>0</v>
      </c>
      <c r="I432" s="4">
        <v>1</v>
      </c>
      <c r="J432" s="4">
        <v>0</v>
      </c>
      <c r="K432" s="4">
        <v>1</v>
      </c>
    </row>
    <row r="433" spans="1:11" x14ac:dyDescent="0.2">
      <c r="A433" s="4">
        <v>4.5</v>
      </c>
      <c r="B433" s="4">
        <v>14</v>
      </c>
      <c r="C433" s="4">
        <v>10</v>
      </c>
      <c r="D433" s="4">
        <v>0</v>
      </c>
      <c r="E433" s="4">
        <v>0</v>
      </c>
      <c r="F433" s="4">
        <v>1</v>
      </c>
      <c r="G433" s="4">
        <v>0</v>
      </c>
      <c r="H433" s="4">
        <v>1</v>
      </c>
      <c r="I433" s="4">
        <v>0</v>
      </c>
      <c r="J433" s="4">
        <v>0</v>
      </c>
      <c r="K433" s="4">
        <v>0</v>
      </c>
    </row>
    <row r="434" spans="1:11" x14ac:dyDescent="0.2">
      <c r="A434" s="4">
        <v>3</v>
      </c>
      <c r="B434" s="4">
        <v>15</v>
      </c>
      <c r="C434" s="4">
        <v>9</v>
      </c>
      <c r="D434" s="4">
        <v>0</v>
      </c>
      <c r="E434" s="4">
        <v>0</v>
      </c>
      <c r="F434" s="4">
        <v>0</v>
      </c>
      <c r="G434" s="4">
        <v>0</v>
      </c>
      <c r="H434" s="4">
        <v>1</v>
      </c>
      <c r="I434" s="4">
        <v>0</v>
      </c>
      <c r="J434" s="4">
        <v>0</v>
      </c>
      <c r="K434" s="4">
        <v>0</v>
      </c>
    </row>
    <row r="435" spans="1:11" x14ac:dyDescent="0.2">
      <c r="A435" s="4">
        <v>6.08</v>
      </c>
      <c r="B435" s="4">
        <v>16</v>
      </c>
      <c r="C435" s="4">
        <v>9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1</v>
      </c>
      <c r="J435" s="4">
        <v>0</v>
      </c>
      <c r="K435" s="4">
        <v>0</v>
      </c>
    </row>
    <row r="436" spans="1:11" x14ac:dyDescent="0.2">
      <c r="A436" s="4">
        <v>4</v>
      </c>
      <c r="B436" s="4">
        <v>12</v>
      </c>
      <c r="C436" s="4">
        <v>9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1</v>
      </c>
      <c r="J436" s="4">
        <v>0</v>
      </c>
      <c r="K436" s="4">
        <v>0</v>
      </c>
    </row>
    <row r="437" spans="1:11" x14ac:dyDescent="0.2">
      <c r="A437" s="4">
        <v>10</v>
      </c>
      <c r="B437" s="4">
        <v>8</v>
      </c>
      <c r="C437" s="4">
        <v>9</v>
      </c>
      <c r="D437" s="4">
        <v>0</v>
      </c>
      <c r="E437" s="4">
        <v>0</v>
      </c>
      <c r="F437" s="4">
        <v>1</v>
      </c>
      <c r="G437" s="4">
        <v>0</v>
      </c>
      <c r="H437" s="4">
        <v>1</v>
      </c>
      <c r="I437" s="4">
        <v>0</v>
      </c>
      <c r="J437" s="4">
        <v>0</v>
      </c>
      <c r="K437" s="4">
        <v>1</v>
      </c>
    </row>
    <row r="438" spans="1:11" x14ac:dyDescent="0.2">
      <c r="A438" s="4">
        <v>6</v>
      </c>
      <c r="B438" s="4">
        <v>13</v>
      </c>
      <c r="C438" s="4">
        <v>8</v>
      </c>
      <c r="D438" s="4">
        <v>0</v>
      </c>
      <c r="E438" s="4">
        <v>0</v>
      </c>
      <c r="F438" s="4">
        <v>1</v>
      </c>
      <c r="G438" s="4">
        <v>2</v>
      </c>
      <c r="H438" s="4">
        <v>1</v>
      </c>
      <c r="I438" s="4">
        <v>0</v>
      </c>
      <c r="J438" s="4">
        <v>0</v>
      </c>
      <c r="K438" s="4">
        <v>0</v>
      </c>
    </row>
    <row r="439" spans="1:11" x14ac:dyDescent="0.2">
      <c r="A439" s="4">
        <v>2.89</v>
      </c>
      <c r="B439" s="4">
        <v>10</v>
      </c>
      <c r="C439" s="4">
        <v>8</v>
      </c>
      <c r="D439" s="4">
        <v>0</v>
      </c>
      <c r="E439" s="4">
        <v>1</v>
      </c>
      <c r="F439" s="4">
        <v>0</v>
      </c>
      <c r="G439" s="4">
        <v>1</v>
      </c>
      <c r="H439" s="4">
        <v>0</v>
      </c>
      <c r="I439" s="4">
        <v>0</v>
      </c>
      <c r="J439" s="4">
        <v>0</v>
      </c>
      <c r="K439" s="4">
        <v>0</v>
      </c>
    </row>
    <row r="440" spans="1:11" x14ac:dyDescent="0.2">
      <c r="A440" s="4">
        <v>4.2</v>
      </c>
      <c r="B440" s="4">
        <v>16</v>
      </c>
      <c r="C440" s="4">
        <v>8</v>
      </c>
      <c r="D440" s="4">
        <v>0</v>
      </c>
      <c r="E440" s="4">
        <v>1</v>
      </c>
      <c r="F440" s="4">
        <v>1</v>
      </c>
      <c r="G440" s="4">
        <v>1</v>
      </c>
      <c r="H440" s="4">
        <v>1</v>
      </c>
      <c r="I440" s="4">
        <v>0</v>
      </c>
      <c r="J440" s="4">
        <v>0</v>
      </c>
      <c r="K440" s="4">
        <v>0</v>
      </c>
    </row>
    <row r="441" spans="1:11" x14ac:dyDescent="0.2">
      <c r="A441" s="4">
        <v>4</v>
      </c>
      <c r="B441" s="4">
        <v>12</v>
      </c>
      <c r="C441" s="4">
        <v>8</v>
      </c>
      <c r="D441" s="4">
        <v>0</v>
      </c>
      <c r="E441" s="4">
        <v>1</v>
      </c>
      <c r="F441" s="4">
        <v>1</v>
      </c>
      <c r="G441" s="4">
        <v>2</v>
      </c>
      <c r="H441" s="4">
        <v>1</v>
      </c>
      <c r="I441" s="4">
        <v>0</v>
      </c>
      <c r="J441" s="4">
        <v>0</v>
      </c>
      <c r="K441" s="4">
        <v>0</v>
      </c>
    </row>
    <row r="442" spans="1:11" x14ac:dyDescent="0.2">
      <c r="A442" s="4">
        <v>3.75</v>
      </c>
      <c r="B442" s="4">
        <v>12</v>
      </c>
      <c r="C442" s="4">
        <v>7</v>
      </c>
      <c r="D442" s="4">
        <v>0</v>
      </c>
      <c r="E442" s="4">
        <v>1</v>
      </c>
      <c r="F442" s="4">
        <v>1</v>
      </c>
      <c r="G442" s="4">
        <v>0</v>
      </c>
      <c r="H442" s="4">
        <v>0</v>
      </c>
      <c r="I442" s="4">
        <v>0</v>
      </c>
      <c r="J442" s="4">
        <v>0</v>
      </c>
      <c r="K442" s="4">
        <v>1</v>
      </c>
    </row>
    <row r="443" spans="1:11" x14ac:dyDescent="0.2">
      <c r="A443" s="4">
        <v>4.5999999999999996</v>
      </c>
      <c r="B443" s="4">
        <v>14</v>
      </c>
      <c r="C443" s="4">
        <v>7</v>
      </c>
      <c r="D443" s="4">
        <v>0</v>
      </c>
      <c r="E443" s="4">
        <v>1</v>
      </c>
      <c r="F443" s="4">
        <v>1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</row>
    <row r="444" spans="1:11" x14ac:dyDescent="0.2">
      <c r="A444" s="4">
        <v>4.38</v>
      </c>
      <c r="B444" s="4">
        <v>16</v>
      </c>
      <c r="C444" s="4">
        <v>7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</row>
    <row r="445" spans="1:11" x14ac:dyDescent="0.2">
      <c r="A445" s="4">
        <v>9</v>
      </c>
      <c r="B445" s="4">
        <v>17</v>
      </c>
      <c r="C445" s="4">
        <v>7</v>
      </c>
      <c r="D445" s="4">
        <v>0</v>
      </c>
      <c r="E445" s="4">
        <v>1</v>
      </c>
      <c r="F445" s="4">
        <v>1</v>
      </c>
      <c r="G445" s="4">
        <v>2</v>
      </c>
      <c r="H445" s="4">
        <v>0</v>
      </c>
      <c r="I445" s="4">
        <v>0</v>
      </c>
      <c r="J445" s="4">
        <v>0</v>
      </c>
      <c r="K445" s="4">
        <v>0</v>
      </c>
    </row>
    <row r="446" spans="1:11" x14ac:dyDescent="0.2">
      <c r="A446" s="4">
        <v>3</v>
      </c>
      <c r="B446" s="4">
        <v>10</v>
      </c>
      <c r="C446" s="4">
        <v>7</v>
      </c>
      <c r="D446" s="4">
        <v>0</v>
      </c>
      <c r="E446" s="4">
        <v>1</v>
      </c>
      <c r="F446" s="4">
        <v>1</v>
      </c>
      <c r="G446" s="4">
        <v>2</v>
      </c>
      <c r="H446" s="4">
        <v>1</v>
      </c>
      <c r="I446" s="4">
        <v>0</v>
      </c>
      <c r="J446" s="4">
        <v>0</v>
      </c>
      <c r="K446" s="4">
        <v>0</v>
      </c>
    </row>
    <row r="447" spans="1:11" x14ac:dyDescent="0.2">
      <c r="A447" s="4">
        <v>4.38</v>
      </c>
      <c r="B447" s="4">
        <v>13</v>
      </c>
      <c r="C447" s="4">
        <v>7</v>
      </c>
      <c r="D447" s="4">
        <v>0</v>
      </c>
      <c r="E447" s="4">
        <v>0</v>
      </c>
      <c r="F447" s="4">
        <v>1</v>
      </c>
      <c r="G447" s="4">
        <v>1</v>
      </c>
      <c r="H447" s="4">
        <v>0</v>
      </c>
      <c r="I447" s="4">
        <v>0</v>
      </c>
      <c r="J447" s="4">
        <v>1</v>
      </c>
      <c r="K447" s="4">
        <v>0</v>
      </c>
    </row>
    <row r="448" spans="1:11" x14ac:dyDescent="0.2">
      <c r="A448" s="4">
        <v>9.8000000000000007</v>
      </c>
      <c r="B448" s="4">
        <v>17</v>
      </c>
      <c r="C448" s="4">
        <v>7</v>
      </c>
      <c r="D448" s="4">
        <v>0</v>
      </c>
      <c r="E448" s="4">
        <v>0</v>
      </c>
      <c r="F448" s="4">
        <v>1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</row>
    <row r="449" spans="1:11" x14ac:dyDescent="0.2">
      <c r="A449" s="4">
        <v>4.0999999999999996</v>
      </c>
      <c r="B449" s="4">
        <v>14</v>
      </c>
      <c r="C449" s="4">
        <v>6</v>
      </c>
      <c r="D449" s="4">
        <v>0</v>
      </c>
      <c r="E449" s="4">
        <v>1</v>
      </c>
      <c r="F449" s="4">
        <v>1</v>
      </c>
      <c r="G449" s="4">
        <v>0</v>
      </c>
      <c r="H449" s="4">
        <v>0</v>
      </c>
      <c r="I449" s="4">
        <v>1</v>
      </c>
      <c r="J449" s="4">
        <v>0</v>
      </c>
      <c r="K449" s="4">
        <v>0</v>
      </c>
    </row>
    <row r="450" spans="1:11" x14ac:dyDescent="0.2">
      <c r="A450" s="4">
        <v>2.9</v>
      </c>
      <c r="B450" s="4">
        <v>11</v>
      </c>
      <c r="C450" s="4">
        <v>6</v>
      </c>
      <c r="D450" s="4">
        <v>0</v>
      </c>
      <c r="E450" s="4">
        <v>1</v>
      </c>
      <c r="F450" s="4">
        <v>0</v>
      </c>
      <c r="G450" s="4">
        <v>1</v>
      </c>
      <c r="H450" s="4">
        <v>0</v>
      </c>
      <c r="I450" s="4">
        <v>1</v>
      </c>
      <c r="J450" s="4">
        <v>0</v>
      </c>
      <c r="K450" s="4">
        <v>0</v>
      </c>
    </row>
    <row r="451" spans="1:11" x14ac:dyDescent="0.2">
      <c r="A451" s="4">
        <v>3.55</v>
      </c>
      <c r="B451" s="4">
        <v>12</v>
      </c>
      <c r="C451" s="4">
        <v>6</v>
      </c>
      <c r="D451" s="4">
        <v>0</v>
      </c>
      <c r="E451" s="4">
        <v>1</v>
      </c>
      <c r="F451" s="4">
        <v>1</v>
      </c>
      <c r="G451" s="4">
        <v>1</v>
      </c>
      <c r="H451" s="4">
        <v>0</v>
      </c>
      <c r="I451" s="4">
        <v>0</v>
      </c>
      <c r="J451" s="4">
        <v>0</v>
      </c>
      <c r="K451" s="4">
        <v>0</v>
      </c>
    </row>
    <row r="452" spans="1:11" x14ac:dyDescent="0.2">
      <c r="A452" s="4">
        <v>3.76</v>
      </c>
      <c r="B452" s="4">
        <v>6</v>
      </c>
      <c r="C452" s="4">
        <v>6</v>
      </c>
      <c r="D452" s="4">
        <v>0</v>
      </c>
      <c r="E452" s="4">
        <v>0</v>
      </c>
      <c r="F452" s="4">
        <v>0</v>
      </c>
      <c r="G452" s="4">
        <v>4</v>
      </c>
      <c r="H452" s="4">
        <v>0</v>
      </c>
      <c r="I452" s="4">
        <v>1</v>
      </c>
      <c r="J452" s="4">
        <v>0</v>
      </c>
      <c r="K452" s="4">
        <v>0</v>
      </c>
    </row>
    <row r="453" spans="1:11" x14ac:dyDescent="0.2">
      <c r="A453" s="4">
        <v>4</v>
      </c>
      <c r="B453" s="4">
        <v>13</v>
      </c>
      <c r="C453" s="4">
        <v>6</v>
      </c>
      <c r="D453" s="4">
        <v>0</v>
      </c>
      <c r="E453" s="4">
        <v>1</v>
      </c>
      <c r="F453" s="4">
        <v>0</v>
      </c>
      <c r="G453" s="4">
        <v>1</v>
      </c>
      <c r="H453" s="4">
        <v>1</v>
      </c>
      <c r="I453" s="4">
        <v>0</v>
      </c>
      <c r="J453" s="4">
        <v>0</v>
      </c>
      <c r="K453" s="4">
        <v>1</v>
      </c>
    </row>
    <row r="454" spans="1:11" x14ac:dyDescent="0.2">
      <c r="A454" s="4">
        <v>5.84</v>
      </c>
      <c r="B454" s="4">
        <v>13</v>
      </c>
      <c r="C454" s="4">
        <v>5</v>
      </c>
      <c r="D454" s="4">
        <v>0</v>
      </c>
      <c r="E454" s="4">
        <v>1</v>
      </c>
      <c r="F454" s="4">
        <v>1</v>
      </c>
      <c r="G454" s="4">
        <v>1</v>
      </c>
      <c r="H454" s="4">
        <v>0</v>
      </c>
      <c r="I454" s="4">
        <v>1</v>
      </c>
      <c r="J454" s="4">
        <v>0</v>
      </c>
      <c r="K454" s="4">
        <v>0</v>
      </c>
    </row>
    <row r="455" spans="1:11" x14ac:dyDescent="0.2">
      <c r="A455" s="4">
        <v>6.25</v>
      </c>
      <c r="B455" s="4">
        <v>16</v>
      </c>
      <c r="C455" s="4">
        <v>5</v>
      </c>
      <c r="D455" s="4">
        <v>0</v>
      </c>
      <c r="E455" s="4">
        <v>0</v>
      </c>
      <c r="F455" s="4">
        <v>1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</row>
    <row r="456" spans="1:11" x14ac:dyDescent="0.2">
      <c r="A456" s="4">
        <v>3.3</v>
      </c>
      <c r="B456" s="4">
        <v>13</v>
      </c>
      <c r="C456" s="4">
        <v>5</v>
      </c>
      <c r="D456" s="4">
        <v>0</v>
      </c>
      <c r="E456" s="4">
        <v>1</v>
      </c>
      <c r="F456" s="4">
        <v>0</v>
      </c>
      <c r="G456" s="4">
        <v>0</v>
      </c>
      <c r="H456" s="4">
        <v>1</v>
      </c>
      <c r="I456" s="4">
        <v>0</v>
      </c>
      <c r="J456" s="4">
        <v>0</v>
      </c>
      <c r="K456" s="4">
        <v>0</v>
      </c>
    </row>
    <row r="457" spans="1:11" x14ac:dyDescent="0.2">
      <c r="A457" s="4">
        <v>3.5</v>
      </c>
      <c r="B457" s="4">
        <v>14</v>
      </c>
      <c r="C457" s="4">
        <v>5</v>
      </c>
      <c r="D457" s="4">
        <v>0</v>
      </c>
      <c r="E457" s="4">
        <v>1</v>
      </c>
      <c r="F457" s="4">
        <v>1</v>
      </c>
      <c r="G457" s="4">
        <v>0</v>
      </c>
      <c r="H457" s="4">
        <v>0</v>
      </c>
      <c r="I457" s="4">
        <v>1</v>
      </c>
      <c r="J457" s="4">
        <v>0</v>
      </c>
      <c r="K457" s="4">
        <v>0</v>
      </c>
    </row>
    <row r="458" spans="1:11" x14ac:dyDescent="0.2">
      <c r="A458" s="4">
        <v>3</v>
      </c>
      <c r="B458" s="4">
        <v>13</v>
      </c>
      <c r="C458" s="4">
        <v>5</v>
      </c>
      <c r="D458" s="4">
        <v>0</v>
      </c>
      <c r="E458" s="4">
        <v>1</v>
      </c>
      <c r="F458" s="4">
        <v>0</v>
      </c>
      <c r="G458" s="4">
        <v>1</v>
      </c>
      <c r="H458" s="4">
        <v>0</v>
      </c>
      <c r="I458" s="4">
        <v>1</v>
      </c>
      <c r="J458" s="4">
        <v>0</v>
      </c>
      <c r="K458" s="4">
        <v>0</v>
      </c>
    </row>
    <row r="459" spans="1:11" x14ac:dyDescent="0.2">
      <c r="A459" s="4">
        <v>4.5</v>
      </c>
      <c r="B459" s="4">
        <v>14</v>
      </c>
      <c r="C459" s="4">
        <v>5</v>
      </c>
      <c r="D459" s="4">
        <v>0</v>
      </c>
      <c r="E459" s="4">
        <v>0</v>
      </c>
      <c r="F459" s="4">
        <v>1</v>
      </c>
      <c r="G459" s="4">
        <v>0</v>
      </c>
      <c r="H459" s="4">
        <v>1</v>
      </c>
      <c r="I459" s="4">
        <v>0</v>
      </c>
      <c r="J459" s="4">
        <v>0</v>
      </c>
      <c r="K459" s="4">
        <v>1</v>
      </c>
    </row>
    <row r="460" spans="1:11" x14ac:dyDescent="0.2">
      <c r="A460" s="4">
        <v>3.85</v>
      </c>
      <c r="B460" s="4">
        <v>16</v>
      </c>
      <c r="C460" s="4">
        <v>5</v>
      </c>
      <c r="D460" s="4">
        <v>0</v>
      </c>
      <c r="E460" s="4">
        <v>0</v>
      </c>
      <c r="F460" s="4">
        <v>1</v>
      </c>
      <c r="G460" s="4">
        <v>0</v>
      </c>
      <c r="H460" s="4">
        <v>1</v>
      </c>
      <c r="I460" s="4">
        <v>0</v>
      </c>
      <c r="J460" s="4">
        <v>0</v>
      </c>
      <c r="K460" s="4">
        <v>0</v>
      </c>
    </row>
    <row r="461" spans="1:11" x14ac:dyDescent="0.2">
      <c r="A461" s="4">
        <v>4.1100000000000003</v>
      </c>
      <c r="B461" s="4">
        <v>14</v>
      </c>
      <c r="C461" s="4">
        <v>5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1</v>
      </c>
      <c r="J461" s="4">
        <v>0</v>
      </c>
      <c r="K461" s="4">
        <v>0</v>
      </c>
    </row>
    <row r="462" spans="1:11" x14ac:dyDescent="0.2">
      <c r="A462" s="4">
        <v>5</v>
      </c>
      <c r="B462" s="4">
        <v>14</v>
      </c>
      <c r="C462" s="4">
        <v>5</v>
      </c>
      <c r="D462" s="4">
        <v>0</v>
      </c>
      <c r="E462" s="4">
        <v>0</v>
      </c>
      <c r="F462" s="4">
        <v>0</v>
      </c>
      <c r="G462" s="4">
        <v>0</v>
      </c>
      <c r="H462" s="4">
        <v>1</v>
      </c>
      <c r="I462" s="4">
        <v>0</v>
      </c>
      <c r="J462" s="4">
        <v>0</v>
      </c>
      <c r="K462" s="4">
        <v>0</v>
      </c>
    </row>
    <row r="463" spans="1:11" x14ac:dyDescent="0.2">
      <c r="A463" s="4">
        <v>2.25</v>
      </c>
      <c r="B463" s="4">
        <v>12</v>
      </c>
      <c r="C463" s="4">
        <v>5</v>
      </c>
      <c r="D463" s="4">
        <v>0</v>
      </c>
      <c r="E463" s="4">
        <v>1</v>
      </c>
      <c r="F463" s="4">
        <v>0</v>
      </c>
      <c r="G463" s="4">
        <v>2</v>
      </c>
      <c r="H463" s="4">
        <v>0</v>
      </c>
      <c r="I463" s="4">
        <v>1</v>
      </c>
      <c r="J463" s="4">
        <v>0</v>
      </c>
      <c r="K463" s="4">
        <v>0</v>
      </c>
    </row>
    <row r="464" spans="1:11" x14ac:dyDescent="0.2">
      <c r="A464" s="4">
        <v>2.38</v>
      </c>
      <c r="B464" s="4">
        <v>9</v>
      </c>
      <c r="C464" s="4">
        <v>5</v>
      </c>
      <c r="D464" s="4">
        <v>0</v>
      </c>
      <c r="E464" s="4">
        <v>0</v>
      </c>
      <c r="F464" s="4">
        <v>0</v>
      </c>
      <c r="G464" s="4">
        <v>5</v>
      </c>
      <c r="H464" s="4">
        <v>0</v>
      </c>
      <c r="I464" s="4">
        <v>1</v>
      </c>
      <c r="J464" s="4">
        <v>0</v>
      </c>
      <c r="K464" s="4">
        <v>0</v>
      </c>
    </row>
    <row r="465" spans="1:11" x14ac:dyDescent="0.2">
      <c r="A465" s="4">
        <v>3.18</v>
      </c>
      <c r="B465" s="4">
        <v>12</v>
      </c>
      <c r="C465" s="4">
        <v>5</v>
      </c>
      <c r="D465" s="4">
        <v>0</v>
      </c>
      <c r="E465" s="4">
        <v>1</v>
      </c>
      <c r="F465" s="4">
        <v>1</v>
      </c>
      <c r="G465" s="4">
        <v>0</v>
      </c>
      <c r="H465" s="4">
        <v>1</v>
      </c>
      <c r="I465" s="4">
        <v>0</v>
      </c>
      <c r="J465" s="4">
        <v>0</v>
      </c>
      <c r="K465" s="4">
        <v>0</v>
      </c>
    </row>
    <row r="466" spans="1:11" x14ac:dyDescent="0.2">
      <c r="A466" s="4">
        <v>4.0999999999999996</v>
      </c>
      <c r="B466" s="4">
        <v>16</v>
      </c>
      <c r="C466" s="4">
        <v>5</v>
      </c>
      <c r="D466" s="4">
        <v>0</v>
      </c>
      <c r="E466" s="4">
        <v>1</v>
      </c>
      <c r="F466" s="4">
        <v>1</v>
      </c>
      <c r="G466" s="4">
        <v>0</v>
      </c>
      <c r="H466" s="4">
        <v>1</v>
      </c>
      <c r="I466" s="4">
        <v>0</v>
      </c>
      <c r="J466" s="4">
        <v>0</v>
      </c>
      <c r="K466" s="4">
        <v>0</v>
      </c>
    </row>
    <row r="467" spans="1:11" x14ac:dyDescent="0.2">
      <c r="A467" s="4">
        <v>5.05</v>
      </c>
      <c r="B467" s="10">
        <v>12</v>
      </c>
      <c r="C467" s="4">
        <v>5</v>
      </c>
      <c r="D467" s="4">
        <v>0</v>
      </c>
      <c r="E467" s="4">
        <v>1</v>
      </c>
      <c r="F467" s="4">
        <v>0</v>
      </c>
      <c r="G467" s="4">
        <v>0</v>
      </c>
      <c r="H467" s="4">
        <v>1</v>
      </c>
      <c r="I467" s="4">
        <v>0</v>
      </c>
      <c r="J467" s="4">
        <v>0</v>
      </c>
      <c r="K467" s="4">
        <v>0</v>
      </c>
    </row>
    <row r="468" spans="1:11" x14ac:dyDescent="0.2">
      <c r="A468" s="4">
        <v>4.63</v>
      </c>
      <c r="B468" s="4">
        <v>14</v>
      </c>
      <c r="C468" s="4">
        <v>4</v>
      </c>
      <c r="D468" s="4">
        <v>0</v>
      </c>
      <c r="E468" s="4">
        <v>1</v>
      </c>
      <c r="F468" s="4">
        <v>1</v>
      </c>
      <c r="G468" s="4">
        <v>2</v>
      </c>
      <c r="H468" s="4">
        <v>0</v>
      </c>
      <c r="I468" s="4">
        <v>1</v>
      </c>
      <c r="J468" s="4">
        <v>0</v>
      </c>
      <c r="K468" s="4">
        <v>0</v>
      </c>
    </row>
    <row r="469" spans="1:11" x14ac:dyDescent="0.2">
      <c r="A469" s="4">
        <v>2.91</v>
      </c>
      <c r="B469" s="4">
        <v>12</v>
      </c>
      <c r="C469" s="4">
        <v>4</v>
      </c>
      <c r="D469" s="4">
        <v>0</v>
      </c>
      <c r="E469" s="4">
        <v>0</v>
      </c>
      <c r="F469" s="4">
        <v>1</v>
      </c>
      <c r="G469" s="4">
        <v>0</v>
      </c>
      <c r="H469" s="4">
        <v>0</v>
      </c>
      <c r="I469" s="4">
        <v>1</v>
      </c>
      <c r="J469" s="4">
        <v>0</v>
      </c>
      <c r="K469" s="4">
        <v>0</v>
      </c>
    </row>
    <row r="470" spans="1:11" x14ac:dyDescent="0.2">
      <c r="A470" s="4">
        <v>3.5</v>
      </c>
      <c r="B470" s="4">
        <v>8</v>
      </c>
      <c r="C470" s="4">
        <v>4</v>
      </c>
      <c r="D470" s="4">
        <v>0</v>
      </c>
      <c r="E470" s="4">
        <v>0</v>
      </c>
      <c r="F470" s="4">
        <v>0</v>
      </c>
      <c r="G470" s="4">
        <v>3</v>
      </c>
      <c r="H470" s="4">
        <v>0</v>
      </c>
      <c r="I470" s="4">
        <v>0</v>
      </c>
      <c r="J470" s="4">
        <v>0</v>
      </c>
      <c r="K470" s="4">
        <v>0</v>
      </c>
    </row>
    <row r="471" spans="1:11" x14ac:dyDescent="0.2">
      <c r="A471" s="4">
        <v>6.25</v>
      </c>
      <c r="B471" s="4">
        <v>17</v>
      </c>
      <c r="C471" s="4">
        <v>4</v>
      </c>
      <c r="D471" s="4">
        <v>0</v>
      </c>
      <c r="E471" s="4">
        <v>1</v>
      </c>
      <c r="F471" s="4">
        <v>0</v>
      </c>
      <c r="G471" s="4">
        <v>0</v>
      </c>
      <c r="H471" s="4">
        <v>0</v>
      </c>
      <c r="I471" s="4">
        <v>0</v>
      </c>
      <c r="J471" s="4">
        <v>1</v>
      </c>
      <c r="K471" s="4">
        <v>0</v>
      </c>
    </row>
    <row r="472" spans="1:11" x14ac:dyDescent="0.2">
      <c r="A472" s="4">
        <v>2.6</v>
      </c>
      <c r="B472" s="4">
        <v>9</v>
      </c>
      <c r="C472" s="4">
        <v>4</v>
      </c>
      <c r="D472" s="4">
        <v>0</v>
      </c>
      <c r="E472" s="10">
        <v>2</v>
      </c>
      <c r="F472" s="4">
        <v>0</v>
      </c>
      <c r="G472" s="4">
        <v>1</v>
      </c>
      <c r="H472" s="4">
        <v>0</v>
      </c>
      <c r="I472" s="4">
        <v>0</v>
      </c>
      <c r="J472" s="4">
        <v>1</v>
      </c>
      <c r="K472" s="4">
        <v>0</v>
      </c>
    </row>
    <row r="473" spans="1:11" x14ac:dyDescent="0.2">
      <c r="A473" s="4">
        <v>5.25</v>
      </c>
      <c r="B473" s="4">
        <v>16</v>
      </c>
      <c r="C473" s="4">
        <v>4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1</v>
      </c>
      <c r="J473" s="4">
        <v>0</v>
      </c>
      <c r="K473" s="4">
        <v>0</v>
      </c>
    </row>
    <row r="474" spans="1:11" x14ac:dyDescent="0.2">
      <c r="A474" s="4">
        <v>5.25</v>
      </c>
      <c r="B474" s="4">
        <v>12</v>
      </c>
      <c r="C474" s="4">
        <v>4</v>
      </c>
      <c r="D474" s="4">
        <v>0</v>
      </c>
      <c r="E474" s="4">
        <v>0</v>
      </c>
      <c r="F474" s="4">
        <v>0</v>
      </c>
      <c r="G474" s="4">
        <v>0</v>
      </c>
      <c r="H474" s="4">
        <v>1</v>
      </c>
      <c r="I474" s="4">
        <v>0</v>
      </c>
      <c r="J474" s="4">
        <v>0</v>
      </c>
      <c r="K474" s="4">
        <v>0</v>
      </c>
    </row>
    <row r="475" spans="1:11" x14ac:dyDescent="0.2">
      <c r="A475" s="4">
        <v>2.9</v>
      </c>
      <c r="B475" s="4">
        <v>10</v>
      </c>
      <c r="C475" s="4">
        <v>4</v>
      </c>
      <c r="D475" s="4">
        <v>0</v>
      </c>
      <c r="E475" s="4">
        <v>1</v>
      </c>
      <c r="F475" s="4">
        <v>0</v>
      </c>
      <c r="G475" s="4">
        <v>1</v>
      </c>
      <c r="H475" s="4">
        <v>0</v>
      </c>
      <c r="I475" s="4">
        <v>0</v>
      </c>
      <c r="J475" s="4">
        <v>0</v>
      </c>
      <c r="K475" s="4">
        <v>0</v>
      </c>
    </row>
    <row r="476" spans="1:11" x14ac:dyDescent="0.2">
      <c r="A476" s="4">
        <v>2.92</v>
      </c>
      <c r="B476" s="4">
        <v>12</v>
      </c>
      <c r="C476" s="4">
        <v>4</v>
      </c>
      <c r="D476" s="4">
        <v>0</v>
      </c>
      <c r="E476" s="4">
        <v>1</v>
      </c>
      <c r="F476" s="4">
        <v>0</v>
      </c>
      <c r="G476" s="4">
        <v>1</v>
      </c>
      <c r="H476" s="4">
        <v>0</v>
      </c>
      <c r="I476" s="4">
        <v>1</v>
      </c>
      <c r="J476" s="4">
        <v>0</v>
      </c>
      <c r="K476" s="4">
        <v>0</v>
      </c>
    </row>
    <row r="477" spans="1:11" x14ac:dyDescent="0.2">
      <c r="A477" s="4">
        <v>3.25</v>
      </c>
      <c r="B477" s="4">
        <v>12</v>
      </c>
      <c r="C477" s="4">
        <v>4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</row>
    <row r="478" spans="1:11" x14ac:dyDescent="0.2">
      <c r="A478" s="4">
        <v>2</v>
      </c>
      <c r="B478" s="4">
        <v>10</v>
      </c>
      <c r="C478" s="4">
        <v>3</v>
      </c>
      <c r="D478" s="4">
        <v>0</v>
      </c>
      <c r="E478" s="4">
        <v>1</v>
      </c>
      <c r="F478" s="4">
        <v>0</v>
      </c>
      <c r="G478" s="4">
        <v>5</v>
      </c>
      <c r="H478" s="4">
        <v>0</v>
      </c>
      <c r="I478" s="4">
        <v>1</v>
      </c>
      <c r="J478" s="4">
        <v>0</v>
      </c>
      <c r="K478" s="4">
        <v>0</v>
      </c>
    </row>
    <row r="479" spans="1:11" x14ac:dyDescent="0.2">
      <c r="A479" s="4">
        <v>3.25</v>
      </c>
      <c r="B479" s="4">
        <v>15</v>
      </c>
      <c r="C479" s="4">
        <v>3</v>
      </c>
      <c r="D479" s="4">
        <v>0</v>
      </c>
      <c r="E479" s="4">
        <v>0</v>
      </c>
      <c r="F479" s="4">
        <v>0</v>
      </c>
      <c r="G479" s="4">
        <v>1</v>
      </c>
      <c r="H479" s="4">
        <v>0</v>
      </c>
      <c r="I479" s="4">
        <v>0</v>
      </c>
      <c r="J479" s="4">
        <v>0</v>
      </c>
      <c r="K479" s="4">
        <v>0</v>
      </c>
    </row>
    <row r="480" spans="1:11" x14ac:dyDescent="0.2">
      <c r="A480" s="4">
        <v>7.81</v>
      </c>
      <c r="B480" s="4">
        <v>12</v>
      </c>
      <c r="C480" s="4">
        <v>3</v>
      </c>
      <c r="D480" s="4">
        <v>0</v>
      </c>
      <c r="E480" s="4">
        <v>1</v>
      </c>
      <c r="F480" s="4">
        <v>1</v>
      </c>
      <c r="G480" s="4">
        <v>0</v>
      </c>
      <c r="H480" s="4">
        <v>0</v>
      </c>
      <c r="I480" s="4">
        <v>0</v>
      </c>
      <c r="J480" s="4">
        <v>1</v>
      </c>
      <c r="K480" s="4">
        <v>0</v>
      </c>
    </row>
    <row r="481" spans="1:11" x14ac:dyDescent="0.2">
      <c r="A481" s="4">
        <v>4.29</v>
      </c>
      <c r="B481" s="4">
        <v>12</v>
      </c>
      <c r="C481" s="4">
        <v>3</v>
      </c>
      <c r="D481" s="4">
        <v>0</v>
      </c>
      <c r="E481" s="4">
        <v>1</v>
      </c>
      <c r="F481" s="4">
        <v>0</v>
      </c>
      <c r="G481" s="4">
        <v>0</v>
      </c>
      <c r="H481" s="4">
        <v>0</v>
      </c>
      <c r="I481" s="4">
        <v>1</v>
      </c>
      <c r="J481" s="4">
        <v>0</v>
      </c>
      <c r="K481" s="4">
        <v>0</v>
      </c>
    </row>
    <row r="482" spans="1:11" x14ac:dyDescent="0.2">
      <c r="A482" s="4">
        <v>4.68</v>
      </c>
      <c r="B482" s="4">
        <v>12</v>
      </c>
      <c r="C482" s="4">
        <v>3</v>
      </c>
      <c r="D482" s="4">
        <v>0</v>
      </c>
      <c r="E482" s="4">
        <v>1</v>
      </c>
      <c r="F482" s="4">
        <v>0</v>
      </c>
      <c r="G482" s="4">
        <v>0</v>
      </c>
      <c r="H482" s="4">
        <v>0</v>
      </c>
      <c r="I482" s="4">
        <v>0</v>
      </c>
      <c r="J482" s="4">
        <v>1</v>
      </c>
      <c r="K482" s="4">
        <v>0</v>
      </c>
    </row>
    <row r="483" spans="1:11" x14ac:dyDescent="0.2">
      <c r="A483" s="4">
        <v>6.63</v>
      </c>
      <c r="B483" s="4">
        <v>16</v>
      </c>
      <c r="C483" s="4">
        <v>3</v>
      </c>
      <c r="D483" s="4">
        <v>0</v>
      </c>
      <c r="E483" s="4">
        <v>0</v>
      </c>
      <c r="F483" s="4">
        <v>1</v>
      </c>
      <c r="G483" s="4">
        <v>0</v>
      </c>
      <c r="H483" s="4">
        <v>0</v>
      </c>
      <c r="I483" s="4">
        <v>1</v>
      </c>
      <c r="J483" s="4">
        <v>0</v>
      </c>
      <c r="K483" s="4">
        <v>0</v>
      </c>
    </row>
    <row r="484" spans="1:11" x14ac:dyDescent="0.2">
      <c r="A484" s="4">
        <v>4.4400000000000004</v>
      </c>
      <c r="B484" s="4">
        <v>12</v>
      </c>
      <c r="C484" s="4">
        <v>3</v>
      </c>
      <c r="D484" s="4">
        <v>0</v>
      </c>
      <c r="E484" s="4">
        <v>0</v>
      </c>
      <c r="F484" s="4">
        <v>0</v>
      </c>
      <c r="G484" s="4">
        <v>0</v>
      </c>
      <c r="H484" s="4">
        <v>1</v>
      </c>
      <c r="I484" s="4">
        <v>0</v>
      </c>
      <c r="J484" s="4">
        <v>0</v>
      </c>
      <c r="K484" s="4">
        <v>0</v>
      </c>
    </row>
    <row r="485" spans="1:11" x14ac:dyDescent="0.2">
      <c r="A485" s="4">
        <v>5.71</v>
      </c>
      <c r="B485" s="4">
        <v>16</v>
      </c>
      <c r="C485" s="4">
        <v>3</v>
      </c>
      <c r="D485" s="4">
        <v>0</v>
      </c>
      <c r="E485" s="4">
        <v>1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</row>
    <row r="486" spans="1:11" x14ac:dyDescent="0.2">
      <c r="A486" s="4">
        <v>3.5</v>
      </c>
      <c r="B486" s="4">
        <v>12</v>
      </c>
      <c r="C486" s="4">
        <v>3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</row>
    <row r="487" spans="1:11" x14ac:dyDescent="0.2">
      <c r="A487" s="4">
        <v>4.57</v>
      </c>
      <c r="B487" s="4">
        <v>14</v>
      </c>
      <c r="C487" s="4">
        <v>3</v>
      </c>
      <c r="D487" s="4">
        <v>0</v>
      </c>
      <c r="E487" s="4">
        <v>0</v>
      </c>
      <c r="F487" s="4">
        <v>1</v>
      </c>
      <c r="G487" s="4">
        <v>0</v>
      </c>
      <c r="H487" s="4">
        <v>0</v>
      </c>
      <c r="I487" s="4">
        <v>1</v>
      </c>
      <c r="J487" s="4">
        <v>0</v>
      </c>
      <c r="K487" s="4">
        <v>0</v>
      </c>
    </row>
    <row r="488" spans="1:11" x14ac:dyDescent="0.2">
      <c r="A488" s="4">
        <v>6.5</v>
      </c>
      <c r="B488" s="4">
        <v>17</v>
      </c>
      <c r="C488" s="4">
        <v>3</v>
      </c>
      <c r="D488" s="4">
        <v>0</v>
      </c>
      <c r="E488" s="4">
        <v>0</v>
      </c>
      <c r="F488" s="4">
        <v>1</v>
      </c>
      <c r="G488" s="4">
        <v>0</v>
      </c>
      <c r="H488" s="4">
        <v>1</v>
      </c>
      <c r="I488" s="4">
        <v>0</v>
      </c>
      <c r="J488" s="4">
        <v>0</v>
      </c>
      <c r="K488" s="4">
        <v>0</v>
      </c>
    </row>
    <row r="489" spans="1:11" x14ac:dyDescent="0.2">
      <c r="A489" s="4">
        <v>8.1300000000000008</v>
      </c>
      <c r="B489" s="4">
        <v>13</v>
      </c>
      <c r="C489" s="4">
        <v>3</v>
      </c>
      <c r="D489" s="4">
        <v>0</v>
      </c>
      <c r="E489" s="10">
        <v>2</v>
      </c>
      <c r="F489" s="4">
        <v>0</v>
      </c>
      <c r="G489" s="4">
        <v>0</v>
      </c>
      <c r="H489" s="4">
        <v>0</v>
      </c>
      <c r="I489" s="4">
        <v>0</v>
      </c>
      <c r="J489" s="4">
        <v>1</v>
      </c>
      <c r="K489" s="4">
        <v>0</v>
      </c>
    </row>
    <row r="490" spans="1:11" x14ac:dyDescent="0.2">
      <c r="A490" s="4">
        <v>3</v>
      </c>
      <c r="B490" s="4">
        <v>9</v>
      </c>
      <c r="C490" s="4">
        <v>3</v>
      </c>
      <c r="D490" s="4">
        <v>0</v>
      </c>
      <c r="E490" s="4">
        <v>1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</row>
    <row r="491" spans="1:11" x14ac:dyDescent="0.2">
      <c r="A491" s="4">
        <v>4.5</v>
      </c>
      <c r="B491" s="4">
        <v>12</v>
      </c>
      <c r="C491" s="4">
        <v>3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1</v>
      </c>
      <c r="K491" s="4">
        <v>0</v>
      </c>
    </row>
    <row r="492" spans="1:11" x14ac:dyDescent="0.2">
      <c r="A492" s="4">
        <v>3</v>
      </c>
      <c r="B492" s="4">
        <v>11</v>
      </c>
      <c r="C492" s="4">
        <v>3</v>
      </c>
      <c r="D492" s="4">
        <v>0</v>
      </c>
      <c r="E492" s="4">
        <v>1</v>
      </c>
      <c r="F492" s="4">
        <v>0</v>
      </c>
      <c r="G492" s="4">
        <v>2</v>
      </c>
      <c r="H492" s="4">
        <v>0</v>
      </c>
      <c r="I492" s="4">
        <v>0</v>
      </c>
      <c r="J492" s="4">
        <v>1</v>
      </c>
      <c r="K492" s="4">
        <v>0</v>
      </c>
    </row>
    <row r="493" spans="1:11" x14ac:dyDescent="0.2">
      <c r="A493" s="4">
        <v>5.1100000000000003</v>
      </c>
      <c r="B493" s="4">
        <v>11</v>
      </c>
      <c r="C493" s="4">
        <v>3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1</v>
      </c>
      <c r="K493" s="4">
        <v>1</v>
      </c>
    </row>
    <row r="494" spans="1:11" x14ac:dyDescent="0.2">
      <c r="A494" s="4">
        <v>4</v>
      </c>
      <c r="B494" s="4">
        <v>10</v>
      </c>
      <c r="C494" s="4">
        <v>2</v>
      </c>
      <c r="D494" s="4">
        <v>0</v>
      </c>
      <c r="E494" s="4">
        <v>1</v>
      </c>
      <c r="F494" s="4">
        <v>0</v>
      </c>
      <c r="G494" s="4">
        <v>1</v>
      </c>
      <c r="H494" s="4">
        <v>0</v>
      </c>
      <c r="I494" s="4">
        <v>0</v>
      </c>
      <c r="J494" s="4">
        <v>1</v>
      </c>
      <c r="K494" s="4">
        <v>0</v>
      </c>
    </row>
    <row r="495" spans="1:11" x14ac:dyDescent="0.2">
      <c r="A495" s="4">
        <v>2.7</v>
      </c>
      <c r="B495" s="4">
        <v>9</v>
      </c>
      <c r="C495" s="4">
        <v>2</v>
      </c>
      <c r="D495" s="4">
        <v>0</v>
      </c>
      <c r="E495" s="4">
        <v>1</v>
      </c>
      <c r="F495" s="4">
        <v>0</v>
      </c>
      <c r="G495" s="4">
        <v>1</v>
      </c>
      <c r="H495" s="4">
        <v>1</v>
      </c>
      <c r="I495" s="4">
        <v>0</v>
      </c>
      <c r="J495" s="4">
        <v>0</v>
      </c>
      <c r="K495" s="4">
        <v>0</v>
      </c>
    </row>
    <row r="496" spans="1:11" x14ac:dyDescent="0.2">
      <c r="A496" s="4">
        <v>2.27</v>
      </c>
      <c r="B496" s="4">
        <v>10</v>
      </c>
      <c r="C496" s="4">
        <v>2</v>
      </c>
      <c r="D496" s="4">
        <v>0</v>
      </c>
      <c r="E496" s="10">
        <v>2</v>
      </c>
      <c r="F496" s="4">
        <v>0</v>
      </c>
      <c r="G496" s="4">
        <v>3</v>
      </c>
      <c r="H496" s="4">
        <v>0</v>
      </c>
      <c r="I496" s="4">
        <v>0</v>
      </c>
      <c r="J496" s="4">
        <v>1</v>
      </c>
      <c r="K496" s="4">
        <v>0</v>
      </c>
    </row>
    <row r="497" spans="1:11" x14ac:dyDescent="0.2">
      <c r="A497" s="4">
        <v>3.05</v>
      </c>
      <c r="B497" s="4">
        <v>12</v>
      </c>
      <c r="C497" s="4">
        <v>2</v>
      </c>
      <c r="D497" s="4">
        <v>0</v>
      </c>
      <c r="E497" s="4">
        <v>1</v>
      </c>
      <c r="F497" s="4">
        <v>0</v>
      </c>
      <c r="G497" s="4">
        <v>1</v>
      </c>
      <c r="H497" s="4">
        <v>1</v>
      </c>
      <c r="I497" s="4">
        <v>0</v>
      </c>
      <c r="J497" s="4">
        <v>0</v>
      </c>
      <c r="K497" s="4">
        <v>0</v>
      </c>
    </row>
    <row r="498" spans="1:11" x14ac:dyDescent="0.2">
      <c r="A498" s="4">
        <v>3.5</v>
      </c>
      <c r="B498" s="4">
        <v>13</v>
      </c>
      <c r="C498" s="4">
        <v>2</v>
      </c>
      <c r="D498" s="4">
        <v>0</v>
      </c>
      <c r="E498" s="4">
        <v>1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</row>
    <row r="499" spans="1:11" x14ac:dyDescent="0.2">
      <c r="A499" s="4">
        <v>4.8099999999999996</v>
      </c>
      <c r="B499" s="4">
        <v>12</v>
      </c>
      <c r="C499" s="4">
        <v>2</v>
      </c>
      <c r="D499" s="4">
        <v>0</v>
      </c>
      <c r="E499" s="4">
        <v>1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</row>
    <row r="500" spans="1:11" x14ac:dyDescent="0.2">
      <c r="A500" s="4">
        <v>2</v>
      </c>
      <c r="B500" s="4">
        <v>9</v>
      </c>
      <c r="C500" s="4">
        <v>2</v>
      </c>
      <c r="D500" s="4">
        <v>0</v>
      </c>
      <c r="E500" s="4">
        <v>0</v>
      </c>
      <c r="F500" s="4">
        <v>0</v>
      </c>
      <c r="G500" s="4">
        <v>3</v>
      </c>
      <c r="H500" s="4">
        <v>1</v>
      </c>
      <c r="I500" s="4">
        <v>0</v>
      </c>
      <c r="J500" s="4">
        <v>0</v>
      </c>
      <c r="K500" s="4">
        <v>0</v>
      </c>
    </row>
    <row r="501" spans="1:11" x14ac:dyDescent="0.2">
      <c r="A501" s="4">
        <v>2.2999999999999998</v>
      </c>
      <c r="B501" s="4">
        <v>10</v>
      </c>
      <c r="C501" s="4">
        <v>2</v>
      </c>
      <c r="D501" s="4">
        <v>0</v>
      </c>
      <c r="E501" s="4">
        <v>1</v>
      </c>
      <c r="F501" s="4">
        <v>0</v>
      </c>
      <c r="G501" s="4">
        <v>4</v>
      </c>
      <c r="H501" s="4">
        <v>1</v>
      </c>
      <c r="I501" s="4">
        <v>0</v>
      </c>
      <c r="J501" s="4">
        <v>0</v>
      </c>
      <c r="K501" s="4">
        <v>0</v>
      </c>
    </row>
    <row r="502" spans="1:11" x14ac:dyDescent="0.2">
      <c r="A502" s="4">
        <v>3.1</v>
      </c>
      <c r="B502" s="4">
        <v>11</v>
      </c>
      <c r="C502" s="4">
        <v>2</v>
      </c>
      <c r="D502" s="4">
        <v>0</v>
      </c>
      <c r="E502" s="4">
        <v>1</v>
      </c>
      <c r="F502" s="4">
        <v>0</v>
      </c>
      <c r="G502" s="4">
        <v>2</v>
      </c>
      <c r="H502" s="4">
        <v>0</v>
      </c>
      <c r="I502" s="4">
        <v>0</v>
      </c>
      <c r="J502" s="4">
        <v>1</v>
      </c>
      <c r="K502" s="4">
        <v>0</v>
      </c>
    </row>
    <row r="503" spans="1:11" x14ac:dyDescent="0.2">
      <c r="A503" s="4">
        <v>3.5</v>
      </c>
      <c r="B503" s="4">
        <v>12</v>
      </c>
      <c r="C503" s="4">
        <v>2</v>
      </c>
      <c r="D503" s="4">
        <v>0</v>
      </c>
      <c r="E503" s="10">
        <v>2</v>
      </c>
      <c r="F503" s="4">
        <v>0</v>
      </c>
      <c r="G503" s="4">
        <v>2</v>
      </c>
      <c r="H503" s="4">
        <v>0</v>
      </c>
      <c r="I503" s="4">
        <v>1</v>
      </c>
      <c r="J503" s="4">
        <v>0</v>
      </c>
      <c r="K503" s="4">
        <v>0</v>
      </c>
    </row>
    <row r="504" spans="1:11" x14ac:dyDescent="0.2">
      <c r="A504" s="4">
        <v>7.9</v>
      </c>
      <c r="B504" s="4">
        <v>12</v>
      </c>
      <c r="C504" s="4">
        <v>2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1</v>
      </c>
      <c r="J504" s="4">
        <v>0</v>
      </c>
      <c r="K504" s="4">
        <v>1</v>
      </c>
    </row>
    <row r="505" spans="1:11" x14ac:dyDescent="0.2">
      <c r="A505" s="4">
        <v>3</v>
      </c>
      <c r="B505" s="4">
        <v>12</v>
      </c>
      <c r="C505" s="4">
        <v>2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1</v>
      </c>
    </row>
    <row r="506" spans="1:11" x14ac:dyDescent="0.2">
      <c r="A506" s="4">
        <v>5.65</v>
      </c>
      <c r="B506" s="4">
        <v>12</v>
      </c>
      <c r="C506" s="4">
        <v>2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1</v>
      </c>
      <c r="K506" s="4">
        <v>1</v>
      </c>
    </row>
    <row r="507" spans="1:11" x14ac:dyDescent="0.2">
      <c r="A507" s="4">
        <v>5.7</v>
      </c>
      <c r="B507" s="4">
        <v>16</v>
      </c>
      <c r="C507" s="4">
        <v>2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1</v>
      </c>
      <c r="J507" s="4">
        <v>0</v>
      </c>
      <c r="K507" s="4">
        <v>0</v>
      </c>
    </row>
    <row r="508" spans="1:11" x14ac:dyDescent="0.2">
      <c r="A508" s="4">
        <v>2.5</v>
      </c>
      <c r="B508" s="10">
        <v>12</v>
      </c>
      <c r="C508" s="4">
        <v>2</v>
      </c>
      <c r="D508" s="4">
        <v>0</v>
      </c>
      <c r="E508" s="4">
        <v>0</v>
      </c>
      <c r="F508" s="4">
        <v>0</v>
      </c>
      <c r="G508" s="4">
        <v>2</v>
      </c>
      <c r="H508" s="4">
        <v>0</v>
      </c>
      <c r="I508" s="4">
        <v>0</v>
      </c>
      <c r="J508" s="4">
        <v>0</v>
      </c>
      <c r="K508" s="4">
        <v>0</v>
      </c>
    </row>
    <row r="509" spans="1:11" x14ac:dyDescent="0.2">
      <c r="A509" s="4">
        <v>2.54</v>
      </c>
      <c r="B509" s="4">
        <v>9</v>
      </c>
      <c r="C509" s="4">
        <v>2</v>
      </c>
      <c r="D509" s="4">
        <v>0</v>
      </c>
      <c r="E509" s="4">
        <v>1</v>
      </c>
      <c r="F509" s="4">
        <v>0</v>
      </c>
      <c r="G509" s="4">
        <v>1</v>
      </c>
      <c r="H509" s="4">
        <v>0</v>
      </c>
      <c r="I509" s="4">
        <v>1</v>
      </c>
      <c r="J509" s="4">
        <v>0</v>
      </c>
      <c r="K509" s="4">
        <v>0</v>
      </c>
    </row>
    <row r="510" spans="1:11" x14ac:dyDescent="0.2">
      <c r="A510" s="4">
        <v>2.88</v>
      </c>
      <c r="B510" s="4">
        <v>10</v>
      </c>
      <c r="C510" s="4">
        <v>2</v>
      </c>
      <c r="D510" s="4">
        <v>0</v>
      </c>
      <c r="E510" s="4">
        <v>1</v>
      </c>
      <c r="F510" s="4">
        <v>0</v>
      </c>
      <c r="G510" s="4">
        <v>3</v>
      </c>
      <c r="H510" s="4">
        <v>0</v>
      </c>
      <c r="I510" s="4">
        <v>0</v>
      </c>
      <c r="J510" s="4">
        <v>0</v>
      </c>
      <c r="K510" s="4">
        <v>0</v>
      </c>
    </row>
    <row r="511" spans="1:11" x14ac:dyDescent="0.2">
      <c r="A511" s="4">
        <v>2.9</v>
      </c>
      <c r="B511" s="4">
        <v>11</v>
      </c>
      <c r="C511" s="4">
        <v>2</v>
      </c>
      <c r="D511" s="4">
        <v>0</v>
      </c>
      <c r="E511" s="4">
        <v>1</v>
      </c>
      <c r="F511" s="4">
        <v>0</v>
      </c>
      <c r="G511" s="4">
        <v>2</v>
      </c>
      <c r="H511" s="4">
        <v>0</v>
      </c>
      <c r="I511" s="4">
        <v>1</v>
      </c>
      <c r="J511" s="4">
        <v>0</v>
      </c>
      <c r="K511" s="4">
        <v>0</v>
      </c>
    </row>
    <row r="512" spans="1:11" x14ac:dyDescent="0.2">
      <c r="A512" s="4">
        <v>3</v>
      </c>
      <c r="B512" s="4">
        <v>11</v>
      </c>
      <c r="C512" s="4">
        <v>2</v>
      </c>
      <c r="D512" s="4">
        <v>0</v>
      </c>
      <c r="E512" s="4">
        <v>0</v>
      </c>
      <c r="F512" s="4">
        <v>0</v>
      </c>
      <c r="G512" s="4">
        <v>2</v>
      </c>
      <c r="H512" s="4">
        <v>0</v>
      </c>
      <c r="I512" s="4">
        <v>0</v>
      </c>
      <c r="J512" s="4">
        <v>1</v>
      </c>
      <c r="K512" s="4">
        <v>0</v>
      </c>
    </row>
    <row r="513" spans="1:11" x14ac:dyDescent="0.2">
      <c r="A513" s="4">
        <v>3</v>
      </c>
      <c r="B513" s="4">
        <v>11</v>
      </c>
      <c r="C513" s="4">
        <v>2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</row>
    <row r="514" spans="1:11" x14ac:dyDescent="0.2">
      <c r="A514" s="4">
        <v>3.5</v>
      </c>
      <c r="B514" s="4">
        <v>13</v>
      </c>
      <c r="C514" s="4">
        <v>1</v>
      </c>
      <c r="D514" s="4">
        <v>0</v>
      </c>
      <c r="E514" s="4">
        <v>0</v>
      </c>
      <c r="F514" s="4">
        <v>0</v>
      </c>
      <c r="G514" s="4">
        <v>1</v>
      </c>
      <c r="H514" s="4">
        <v>0</v>
      </c>
      <c r="I514" s="4">
        <v>0</v>
      </c>
      <c r="J514" s="4">
        <v>0</v>
      </c>
      <c r="K514" s="4">
        <v>0</v>
      </c>
    </row>
    <row r="515" spans="1:11" x14ac:dyDescent="0.2">
      <c r="A515" s="4">
        <v>2.83</v>
      </c>
      <c r="B515" s="4">
        <v>10</v>
      </c>
      <c r="C515" s="4">
        <v>1</v>
      </c>
      <c r="D515" s="4">
        <v>0</v>
      </c>
      <c r="E515" s="10">
        <v>2</v>
      </c>
      <c r="F515" s="4">
        <v>0</v>
      </c>
      <c r="G515" s="4">
        <v>4</v>
      </c>
      <c r="H515" s="4">
        <v>1</v>
      </c>
      <c r="I515" s="4">
        <v>0</v>
      </c>
      <c r="J515" s="4">
        <v>0</v>
      </c>
      <c r="K515" s="4">
        <v>0</v>
      </c>
    </row>
    <row r="516" spans="1:11" x14ac:dyDescent="0.2">
      <c r="A516" s="4">
        <v>2.92</v>
      </c>
      <c r="B516" s="4">
        <v>11</v>
      </c>
      <c r="C516" s="4">
        <v>1</v>
      </c>
      <c r="D516" s="4">
        <v>0</v>
      </c>
      <c r="E516" s="4">
        <v>1</v>
      </c>
      <c r="F516" s="4">
        <v>0</v>
      </c>
      <c r="G516" s="4">
        <v>1</v>
      </c>
      <c r="H516" s="4">
        <v>1</v>
      </c>
      <c r="I516" s="4">
        <v>0</v>
      </c>
      <c r="J516" s="4">
        <v>0</v>
      </c>
      <c r="K516" s="4">
        <v>0</v>
      </c>
    </row>
    <row r="517" spans="1:11" x14ac:dyDescent="0.2">
      <c r="A517" s="4">
        <v>1.67</v>
      </c>
      <c r="B517" s="4">
        <v>10</v>
      </c>
      <c r="C517" s="4">
        <v>1</v>
      </c>
      <c r="D517" s="4">
        <v>0</v>
      </c>
      <c r="E517" s="4">
        <v>0</v>
      </c>
      <c r="F517" s="4">
        <v>0</v>
      </c>
      <c r="G517" s="4">
        <v>1</v>
      </c>
      <c r="H517" s="4">
        <v>0</v>
      </c>
      <c r="I517" s="4">
        <v>0</v>
      </c>
      <c r="J517" s="4">
        <v>1</v>
      </c>
      <c r="K517" s="4">
        <v>0</v>
      </c>
    </row>
    <row r="518" spans="1:11" x14ac:dyDescent="0.2">
      <c r="A518" s="4">
        <v>4.68</v>
      </c>
      <c r="B518" s="4">
        <v>16</v>
      </c>
      <c r="C518" s="4">
        <v>1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1</v>
      </c>
      <c r="J518" s="4">
        <v>0</v>
      </c>
      <c r="K518" s="4">
        <v>0</v>
      </c>
    </row>
    <row r="519" spans="1:11" x14ac:dyDescent="0.2">
      <c r="A519" s="4">
        <v>3.13</v>
      </c>
      <c r="B519" s="4">
        <v>10</v>
      </c>
      <c r="C519" s="4">
        <v>1</v>
      </c>
      <c r="D519" s="4">
        <v>0</v>
      </c>
      <c r="E519" s="4">
        <v>1</v>
      </c>
      <c r="F519" s="4">
        <v>0</v>
      </c>
      <c r="G519" s="4">
        <v>1</v>
      </c>
      <c r="H519" s="4">
        <v>1</v>
      </c>
      <c r="I519" s="4">
        <v>0</v>
      </c>
      <c r="J519" s="4">
        <v>0</v>
      </c>
      <c r="K519" s="4">
        <v>0</v>
      </c>
    </row>
    <row r="520" spans="1:11" x14ac:dyDescent="0.2">
      <c r="A520" s="4">
        <v>3.2</v>
      </c>
      <c r="B520" s="4">
        <v>11</v>
      </c>
      <c r="C520" s="4">
        <v>1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</row>
    <row r="521" spans="1:11" x14ac:dyDescent="0.2">
      <c r="A521" s="4">
        <v>4.33</v>
      </c>
      <c r="B521" s="4">
        <v>18</v>
      </c>
      <c r="C521" s="4">
        <v>1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</row>
    <row r="522" spans="1:11" x14ac:dyDescent="0.2">
      <c r="A522" s="4">
        <v>2.9</v>
      </c>
      <c r="B522" s="4">
        <v>11</v>
      </c>
      <c r="C522" s="4">
        <v>1</v>
      </c>
      <c r="D522" s="4">
        <v>0</v>
      </c>
      <c r="E522" s="4">
        <v>1</v>
      </c>
      <c r="F522" s="4">
        <v>0</v>
      </c>
      <c r="G522" s="4">
        <v>1</v>
      </c>
      <c r="H522" s="4">
        <v>1</v>
      </c>
      <c r="I522" s="4">
        <v>0</v>
      </c>
      <c r="J522" s="4">
        <v>0</v>
      </c>
      <c r="K522" s="4">
        <v>0</v>
      </c>
    </row>
    <row r="523" spans="1:11" x14ac:dyDescent="0.2">
      <c r="A523" s="4">
        <v>2.91</v>
      </c>
      <c r="B523" s="4">
        <v>11</v>
      </c>
      <c r="C523" s="4">
        <v>1</v>
      </c>
      <c r="D523" s="4">
        <v>0</v>
      </c>
      <c r="E523" s="4">
        <v>1</v>
      </c>
      <c r="F523" s="4">
        <v>0</v>
      </c>
      <c r="G523" s="4">
        <v>3</v>
      </c>
      <c r="H523" s="4">
        <v>1</v>
      </c>
      <c r="I523" s="4">
        <v>0</v>
      </c>
      <c r="J523" s="4">
        <v>0</v>
      </c>
      <c r="K523" s="4">
        <v>0</v>
      </c>
    </row>
    <row r="524" spans="1:11" x14ac:dyDescent="0.2">
      <c r="A524" s="4">
        <v>3</v>
      </c>
      <c r="B524" s="4">
        <v>12</v>
      </c>
      <c r="C524" s="4">
        <v>1</v>
      </c>
      <c r="D524" s="4">
        <v>0</v>
      </c>
      <c r="E524" s="4">
        <v>1</v>
      </c>
      <c r="F524" s="4">
        <v>0</v>
      </c>
      <c r="G524" s="4">
        <v>2</v>
      </c>
      <c r="H524" s="4">
        <v>0</v>
      </c>
      <c r="I524" s="4">
        <v>0</v>
      </c>
      <c r="J524" s="4">
        <v>0</v>
      </c>
      <c r="K524" s="4">
        <v>0</v>
      </c>
    </row>
    <row r="525" spans="1:11" x14ac:dyDescent="0.2">
      <c r="A525" s="4">
        <v>3</v>
      </c>
      <c r="B525" s="4">
        <v>15</v>
      </c>
      <c r="C525" s="4">
        <v>1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1</v>
      </c>
      <c r="J525" s="4">
        <v>0</v>
      </c>
      <c r="K525" s="4">
        <v>0</v>
      </c>
    </row>
    <row r="526" spans="1:11" x14ac:dyDescent="0.2">
      <c r="A526" s="4">
        <v>3</v>
      </c>
      <c r="B526" s="4">
        <v>12</v>
      </c>
      <c r="C526" s="4">
        <v>1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1</v>
      </c>
      <c r="J526" s="4">
        <v>0</v>
      </c>
      <c r="K526" s="4">
        <v>0</v>
      </c>
    </row>
    <row r="527" spans="1:11" x14ac:dyDescent="0.2">
      <c r="A527" s="4">
        <v>3.15</v>
      </c>
      <c r="B527" s="4">
        <v>13</v>
      </c>
      <c r="C527" s="4">
        <v>1</v>
      </c>
      <c r="D527" s="4">
        <v>0</v>
      </c>
      <c r="E527" s="4">
        <v>1</v>
      </c>
      <c r="F527" s="4">
        <v>0</v>
      </c>
      <c r="G527" s="4">
        <v>4</v>
      </c>
      <c r="H527" s="4">
        <v>1</v>
      </c>
      <c r="I527" s="4">
        <v>0</v>
      </c>
      <c r="J527" s="4">
        <v>0</v>
      </c>
      <c r="K527" s="4">
        <v>0</v>
      </c>
    </row>
  </sheetData>
  <autoFilter ref="A1:K528" xr:uid="{EDA41A1A-8B99-0E48-B330-DFD81969079F}">
    <sortState xmlns:xlrd2="http://schemas.microsoft.com/office/spreadsheetml/2017/richdata2" ref="A2:K528">
      <sortCondition descending="1" ref="D1:D52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69063-691B-0C41-B8D6-F28ACFAA45A8}">
  <dimension ref="A1:S527"/>
  <sheetViews>
    <sheetView showGridLines="0" workbookViewId="0">
      <selection sqref="A1:XFD1048576"/>
    </sheetView>
  </sheetViews>
  <sheetFormatPr baseColWidth="10" defaultRowHeight="14" x14ac:dyDescent="0.2"/>
  <cols>
    <col min="1" max="11" width="10.83203125" style="5"/>
    <col min="12" max="12" width="12.5" bestFit="1" customWidth="1"/>
    <col min="14" max="14" width="12.5" bestFit="1" customWidth="1"/>
  </cols>
  <sheetData>
    <row r="1" spans="1:19" x14ac:dyDescent="0.2">
      <c r="A1" s="4" t="s">
        <v>28</v>
      </c>
      <c r="B1" s="4" t="s">
        <v>0</v>
      </c>
      <c r="C1" s="4" t="s">
        <v>1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34</v>
      </c>
      <c r="J1" s="4" t="s">
        <v>35</v>
      </c>
      <c r="K1" s="4" t="s">
        <v>40</v>
      </c>
      <c r="L1" s="15" t="s">
        <v>81</v>
      </c>
    </row>
    <row r="2" spans="1:19" x14ac:dyDescent="0.2">
      <c r="A2" s="4">
        <v>8.75</v>
      </c>
      <c r="B2" s="4">
        <v>12</v>
      </c>
      <c r="C2" s="9">
        <v>43.93</v>
      </c>
      <c r="D2" s="9">
        <v>26.78</v>
      </c>
      <c r="E2" s="4">
        <v>0</v>
      </c>
      <c r="F2" s="4">
        <v>1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2" t="s">
        <v>79</v>
      </c>
    </row>
    <row r="3" spans="1:19" x14ac:dyDescent="0.2">
      <c r="A3" s="4">
        <v>11.76</v>
      </c>
      <c r="B3" s="4">
        <v>14</v>
      </c>
      <c r="C3" s="4">
        <v>40</v>
      </c>
      <c r="D3" s="9">
        <v>26.78</v>
      </c>
      <c r="E3" s="4">
        <v>0</v>
      </c>
      <c r="F3" s="4">
        <v>1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2" t="s">
        <v>79</v>
      </c>
      <c r="Q3" s="37" t="s">
        <v>63</v>
      </c>
      <c r="R3" s="37"/>
      <c r="S3" s="37"/>
    </row>
    <row r="4" spans="1:19" x14ac:dyDescent="0.2">
      <c r="A4" s="4">
        <v>2.91</v>
      </c>
      <c r="B4" s="4">
        <v>12</v>
      </c>
      <c r="C4" s="4">
        <v>20</v>
      </c>
      <c r="D4" s="9">
        <v>26.78</v>
      </c>
      <c r="E4" s="4">
        <v>1</v>
      </c>
      <c r="F4" s="4">
        <v>1</v>
      </c>
      <c r="G4" s="4">
        <v>2</v>
      </c>
      <c r="H4" s="4">
        <v>0</v>
      </c>
      <c r="I4" s="4">
        <v>0</v>
      </c>
      <c r="J4" s="4">
        <v>0</v>
      </c>
      <c r="K4" s="4">
        <v>0</v>
      </c>
      <c r="L4" s="2" t="s">
        <v>79</v>
      </c>
      <c r="N4" s="1"/>
      <c r="Q4" s="17" t="s">
        <v>64</v>
      </c>
      <c r="R4" s="3"/>
      <c r="S4" s="3"/>
    </row>
    <row r="5" spans="1:19" x14ac:dyDescent="0.2">
      <c r="A5" s="4">
        <v>6.5</v>
      </c>
      <c r="B5" s="4">
        <v>14</v>
      </c>
      <c r="C5" s="4">
        <v>41</v>
      </c>
      <c r="D5" s="9">
        <v>26.78</v>
      </c>
      <c r="E5" s="4">
        <v>0</v>
      </c>
      <c r="F5" s="4">
        <v>1</v>
      </c>
      <c r="G5" s="4">
        <v>0</v>
      </c>
      <c r="H5" s="4">
        <v>1</v>
      </c>
      <c r="I5" s="4">
        <v>0</v>
      </c>
      <c r="J5" s="4">
        <v>0</v>
      </c>
      <c r="K5" s="4">
        <v>0</v>
      </c>
      <c r="L5" s="2" t="s">
        <v>79</v>
      </c>
      <c r="N5" s="2" t="s">
        <v>79</v>
      </c>
      <c r="O5" s="16">
        <f>COUNTIF($L$2:$L$527,N5)/526</f>
        <v>0.74904942965779464</v>
      </c>
      <c r="Q5" s="3"/>
      <c r="R5" s="3" t="s">
        <v>65</v>
      </c>
      <c r="S5" s="3"/>
    </row>
    <row r="6" spans="1:19" x14ac:dyDescent="0.2">
      <c r="A6" s="4">
        <v>6.25</v>
      </c>
      <c r="B6" s="4">
        <v>11</v>
      </c>
      <c r="C6" s="4">
        <v>35</v>
      </c>
      <c r="D6" s="9">
        <v>26.78</v>
      </c>
      <c r="E6" s="4">
        <v>0</v>
      </c>
      <c r="F6" s="4">
        <v>1</v>
      </c>
      <c r="G6" s="4">
        <v>0</v>
      </c>
      <c r="H6" s="4">
        <v>0</v>
      </c>
      <c r="I6" s="4">
        <v>1</v>
      </c>
      <c r="J6" s="4">
        <v>0</v>
      </c>
      <c r="K6" s="4">
        <v>0</v>
      </c>
      <c r="L6" s="2" t="s">
        <v>79</v>
      </c>
      <c r="N6" s="2" t="s">
        <v>80</v>
      </c>
      <c r="O6" s="16">
        <f>COUNTIF(L2:$L$527,N6)/526</f>
        <v>0.2509505703422053</v>
      </c>
      <c r="Q6" s="3"/>
      <c r="R6" s="3" t="s">
        <v>66</v>
      </c>
      <c r="S6" s="3"/>
    </row>
    <row r="7" spans="1:19" x14ac:dyDescent="0.2">
      <c r="A7" s="4">
        <v>15</v>
      </c>
      <c r="B7" s="4">
        <v>11</v>
      </c>
      <c r="C7" s="4">
        <v>35</v>
      </c>
      <c r="D7" s="9">
        <v>26.78</v>
      </c>
      <c r="E7" s="10">
        <v>2</v>
      </c>
      <c r="F7" s="4">
        <v>1</v>
      </c>
      <c r="G7" s="4">
        <v>0</v>
      </c>
      <c r="H7" s="4">
        <v>0</v>
      </c>
      <c r="I7" s="4">
        <v>1</v>
      </c>
      <c r="J7" s="4">
        <v>0</v>
      </c>
      <c r="K7" s="4">
        <v>0</v>
      </c>
      <c r="L7" s="2" t="s">
        <v>79</v>
      </c>
      <c r="Q7" s="18" t="s">
        <v>67</v>
      </c>
      <c r="R7" s="18"/>
      <c r="S7" s="17"/>
    </row>
    <row r="8" spans="1:19" x14ac:dyDescent="0.2">
      <c r="A8" s="4">
        <v>6</v>
      </c>
      <c r="B8" s="4">
        <v>8</v>
      </c>
      <c r="C8" s="9">
        <v>43.93</v>
      </c>
      <c r="D8" s="9">
        <v>26.78</v>
      </c>
      <c r="E8" s="4">
        <v>0</v>
      </c>
      <c r="F8" s="4">
        <v>1</v>
      </c>
      <c r="G8" s="4">
        <v>0</v>
      </c>
      <c r="H8" s="4">
        <v>0</v>
      </c>
      <c r="I8" s="4">
        <v>0</v>
      </c>
      <c r="J8" s="4">
        <v>1</v>
      </c>
      <c r="K8" s="4">
        <v>0</v>
      </c>
      <c r="L8" s="2" t="s">
        <v>79</v>
      </c>
      <c r="Q8" s="17"/>
      <c r="R8" s="17" t="s">
        <v>68</v>
      </c>
      <c r="S8" s="17"/>
    </row>
    <row r="9" spans="1:19" x14ac:dyDescent="0.2">
      <c r="A9" s="4">
        <v>18.16</v>
      </c>
      <c r="B9" s="4">
        <v>16</v>
      </c>
      <c r="C9" s="4">
        <v>35</v>
      </c>
      <c r="D9" s="9">
        <v>26.78</v>
      </c>
      <c r="E9" s="4">
        <v>0</v>
      </c>
      <c r="F9" s="4">
        <v>1</v>
      </c>
      <c r="G9" s="4">
        <v>1</v>
      </c>
      <c r="H9" s="4">
        <v>1</v>
      </c>
      <c r="I9" s="4">
        <v>0</v>
      </c>
      <c r="J9" s="4">
        <v>0</v>
      </c>
      <c r="K9" s="4">
        <v>0</v>
      </c>
      <c r="L9" s="2" t="s">
        <v>79</v>
      </c>
      <c r="Q9" s="17"/>
      <c r="R9" s="17" t="s">
        <v>69</v>
      </c>
      <c r="S9" s="17"/>
    </row>
    <row r="10" spans="1:19" x14ac:dyDescent="0.2">
      <c r="A10" s="4">
        <v>8.5</v>
      </c>
      <c r="B10" s="4">
        <v>8</v>
      </c>
      <c r="C10" s="4">
        <v>38</v>
      </c>
      <c r="D10" s="4">
        <v>26</v>
      </c>
      <c r="E10" s="4">
        <v>0</v>
      </c>
      <c r="F10" s="4">
        <v>0</v>
      </c>
      <c r="G10" s="4">
        <v>0</v>
      </c>
      <c r="H10" s="4">
        <v>1</v>
      </c>
      <c r="I10" s="4">
        <v>0</v>
      </c>
      <c r="J10" s="4">
        <v>0</v>
      </c>
      <c r="K10" s="4">
        <v>0</v>
      </c>
      <c r="L10" s="2" t="s">
        <v>79</v>
      </c>
      <c r="Q10" s="3" t="s">
        <v>70</v>
      </c>
      <c r="R10" s="3"/>
      <c r="S10" s="3"/>
    </row>
    <row r="11" spans="1:19" x14ac:dyDescent="0.2">
      <c r="A11" s="4">
        <v>3.6</v>
      </c>
      <c r="B11" s="4">
        <v>10</v>
      </c>
      <c r="C11" s="4">
        <v>34</v>
      </c>
      <c r="D11" s="4">
        <v>26</v>
      </c>
      <c r="E11" s="4">
        <v>1</v>
      </c>
      <c r="F11" s="4">
        <v>1</v>
      </c>
      <c r="G11" s="4">
        <v>0</v>
      </c>
      <c r="H11" s="4">
        <v>0</v>
      </c>
      <c r="I11" s="4">
        <v>1</v>
      </c>
      <c r="J11" s="4">
        <v>0</v>
      </c>
      <c r="K11" s="4">
        <v>0</v>
      </c>
      <c r="L11" s="2" t="s">
        <v>79</v>
      </c>
      <c r="Q11" s="3" t="s">
        <v>71</v>
      </c>
      <c r="R11" s="3"/>
      <c r="S11" s="3"/>
    </row>
    <row r="12" spans="1:19" x14ac:dyDescent="0.2">
      <c r="A12" s="4">
        <v>8.33</v>
      </c>
      <c r="B12" s="4">
        <v>15</v>
      </c>
      <c r="C12" s="4">
        <v>33</v>
      </c>
      <c r="D12" s="4">
        <v>26</v>
      </c>
      <c r="E12" s="4">
        <v>0</v>
      </c>
      <c r="F12" s="4">
        <v>1</v>
      </c>
      <c r="G12" s="4">
        <v>1</v>
      </c>
      <c r="H12" s="4">
        <v>0</v>
      </c>
      <c r="I12" s="4">
        <v>0</v>
      </c>
      <c r="J12" s="4">
        <v>0</v>
      </c>
      <c r="K12" s="4">
        <v>0</v>
      </c>
      <c r="L12" s="2" t="s">
        <v>79</v>
      </c>
      <c r="Q12" s="3" t="s">
        <v>72</v>
      </c>
      <c r="R12" s="3"/>
      <c r="S12" s="3"/>
    </row>
    <row r="13" spans="1:19" x14ac:dyDescent="0.2">
      <c r="A13" s="4">
        <v>4.29</v>
      </c>
      <c r="B13" s="4">
        <v>12</v>
      </c>
      <c r="C13" s="9">
        <v>43.93</v>
      </c>
      <c r="D13" s="4">
        <v>25</v>
      </c>
      <c r="E13" s="4">
        <v>1</v>
      </c>
      <c r="F13" s="4">
        <v>1</v>
      </c>
      <c r="G13" s="4">
        <v>2</v>
      </c>
      <c r="H13" s="4">
        <v>0</v>
      </c>
      <c r="I13" s="4">
        <v>1</v>
      </c>
      <c r="J13" s="4">
        <v>0</v>
      </c>
      <c r="K13" s="4">
        <v>0</v>
      </c>
      <c r="L13" s="2" t="s">
        <v>79</v>
      </c>
      <c r="Q13" s="3" t="s">
        <v>73</v>
      </c>
      <c r="R13" s="3"/>
      <c r="S13" s="3"/>
    </row>
    <row r="14" spans="1:19" x14ac:dyDescent="0.2">
      <c r="A14" s="4">
        <v>4.05</v>
      </c>
      <c r="B14" s="4">
        <v>8</v>
      </c>
      <c r="C14" s="9">
        <v>43.93</v>
      </c>
      <c r="D14" s="4">
        <v>25</v>
      </c>
      <c r="E14" s="4">
        <v>0</v>
      </c>
      <c r="F14" s="4">
        <v>1</v>
      </c>
      <c r="G14" s="4">
        <v>0</v>
      </c>
      <c r="H14" s="4">
        <v>1</v>
      </c>
      <c r="I14" s="4">
        <v>0</v>
      </c>
      <c r="J14" s="4">
        <v>0</v>
      </c>
      <c r="K14" s="4">
        <v>0</v>
      </c>
      <c r="L14" s="2" t="s">
        <v>79</v>
      </c>
      <c r="Q14" s="3" t="s">
        <v>74</v>
      </c>
      <c r="R14" s="3"/>
      <c r="S14" s="3"/>
    </row>
    <row r="15" spans="1:19" x14ac:dyDescent="0.2">
      <c r="A15" s="4">
        <v>18</v>
      </c>
      <c r="B15" s="4">
        <v>18</v>
      </c>
      <c r="C15" s="4">
        <v>29</v>
      </c>
      <c r="D15" s="4">
        <v>25</v>
      </c>
      <c r="E15" s="4">
        <v>0</v>
      </c>
      <c r="F15" s="4">
        <v>1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2" t="s">
        <v>79</v>
      </c>
    </row>
    <row r="16" spans="1:19" x14ac:dyDescent="0.2">
      <c r="A16" s="4">
        <v>11.25</v>
      </c>
      <c r="B16" s="4">
        <v>17</v>
      </c>
      <c r="C16" s="4">
        <v>28</v>
      </c>
      <c r="D16" s="4">
        <v>25</v>
      </c>
      <c r="E16" s="4">
        <v>0</v>
      </c>
      <c r="F16" s="4">
        <v>1</v>
      </c>
      <c r="G16" s="4">
        <v>1</v>
      </c>
      <c r="H16" s="4">
        <v>0</v>
      </c>
      <c r="I16" s="4">
        <v>1</v>
      </c>
      <c r="J16" s="4">
        <v>0</v>
      </c>
      <c r="K16" s="4">
        <v>0</v>
      </c>
      <c r="L16" s="2" t="s">
        <v>79</v>
      </c>
    </row>
    <row r="17" spans="1:12" x14ac:dyDescent="0.2">
      <c r="A17" s="4">
        <v>3.05</v>
      </c>
      <c r="B17" s="4">
        <v>8</v>
      </c>
      <c r="C17" s="9">
        <v>43.93</v>
      </c>
      <c r="D17" s="4">
        <v>24</v>
      </c>
      <c r="E17" s="4">
        <v>1</v>
      </c>
      <c r="F17" s="4">
        <v>0</v>
      </c>
      <c r="G17" s="4">
        <v>0</v>
      </c>
      <c r="H17" s="4">
        <v>0</v>
      </c>
      <c r="I17" s="4">
        <v>1</v>
      </c>
      <c r="J17" s="4">
        <v>0</v>
      </c>
      <c r="K17" s="4">
        <v>0</v>
      </c>
      <c r="L17" s="2" t="s">
        <v>79</v>
      </c>
    </row>
    <row r="18" spans="1:12" x14ac:dyDescent="0.2">
      <c r="A18" s="4">
        <v>9.85</v>
      </c>
      <c r="B18" s="4">
        <v>8</v>
      </c>
      <c r="C18" s="4">
        <v>40</v>
      </c>
      <c r="D18" s="4">
        <v>24</v>
      </c>
      <c r="E18" s="4">
        <v>0</v>
      </c>
      <c r="F18" s="4">
        <v>1</v>
      </c>
      <c r="G18" s="4">
        <v>2</v>
      </c>
      <c r="H18" s="4">
        <v>0</v>
      </c>
      <c r="I18" s="4">
        <v>0</v>
      </c>
      <c r="J18" s="4">
        <v>0</v>
      </c>
      <c r="K18" s="4">
        <v>0</v>
      </c>
      <c r="L18" s="2" t="s">
        <v>79</v>
      </c>
    </row>
    <row r="19" spans="1:12" x14ac:dyDescent="0.2">
      <c r="A19" s="4">
        <v>7.36</v>
      </c>
      <c r="B19" s="4">
        <v>8</v>
      </c>
      <c r="C19" s="4">
        <v>36</v>
      </c>
      <c r="D19" s="4">
        <v>24</v>
      </c>
      <c r="E19" s="4">
        <v>0</v>
      </c>
      <c r="F19" s="4">
        <v>1</v>
      </c>
      <c r="G19" s="4">
        <v>3</v>
      </c>
      <c r="H19" s="4">
        <v>1</v>
      </c>
      <c r="I19" s="4">
        <v>0</v>
      </c>
      <c r="J19" s="4">
        <v>0</v>
      </c>
      <c r="K19" s="4">
        <v>0</v>
      </c>
      <c r="L19" s="2" t="s">
        <v>79</v>
      </c>
    </row>
    <row r="20" spans="1:12" x14ac:dyDescent="0.2">
      <c r="A20" s="4">
        <v>7.5</v>
      </c>
      <c r="B20" s="4">
        <v>14</v>
      </c>
      <c r="C20" s="4">
        <v>29</v>
      </c>
      <c r="D20" s="4">
        <v>24</v>
      </c>
      <c r="E20" s="4">
        <v>0</v>
      </c>
      <c r="F20" s="4">
        <v>1</v>
      </c>
      <c r="G20" s="4">
        <v>1</v>
      </c>
      <c r="H20" s="4">
        <v>1</v>
      </c>
      <c r="I20" s="4">
        <v>0</v>
      </c>
      <c r="J20" s="4">
        <v>0</v>
      </c>
      <c r="K20" s="4">
        <v>0</v>
      </c>
      <c r="L20" s="2" t="s">
        <v>79</v>
      </c>
    </row>
    <row r="21" spans="1:12" x14ac:dyDescent="0.2">
      <c r="A21" s="4">
        <v>2.95</v>
      </c>
      <c r="B21" s="4">
        <v>14</v>
      </c>
      <c r="C21" s="4">
        <v>41</v>
      </c>
      <c r="D21" s="4">
        <v>23</v>
      </c>
      <c r="E21" s="4">
        <v>0</v>
      </c>
      <c r="F21" s="4">
        <v>1</v>
      </c>
      <c r="G21" s="4">
        <v>0</v>
      </c>
      <c r="H21" s="4">
        <v>1</v>
      </c>
      <c r="I21" s="4">
        <v>0</v>
      </c>
      <c r="J21" s="4">
        <v>0</v>
      </c>
      <c r="K21" s="4">
        <v>0</v>
      </c>
      <c r="L21" s="2" t="s">
        <v>79</v>
      </c>
    </row>
    <row r="22" spans="1:12" x14ac:dyDescent="0.2">
      <c r="A22" s="4">
        <v>19.98</v>
      </c>
      <c r="B22" s="4">
        <v>14</v>
      </c>
      <c r="C22" s="4">
        <v>26</v>
      </c>
      <c r="D22" s="4">
        <v>23</v>
      </c>
      <c r="E22" s="4">
        <v>0</v>
      </c>
      <c r="F22" s="4">
        <v>1</v>
      </c>
      <c r="G22" s="4">
        <v>2</v>
      </c>
      <c r="H22" s="4">
        <v>0</v>
      </c>
      <c r="I22" s="4">
        <v>0</v>
      </c>
      <c r="J22" s="4">
        <v>0</v>
      </c>
      <c r="K22" s="4">
        <v>0</v>
      </c>
      <c r="L22" s="2" t="s">
        <v>79</v>
      </c>
    </row>
    <row r="23" spans="1:12" x14ac:dyDescent="0.2">
      <c r="A23" s="4">
        <v>13.16</v>
      </c>
      <c r="B23" s="4">
        <v>12</v>
      </c>
      <c r="C23" s="4">
        <v>34</v>
      </c>
      <c r="D23" s="4">
        <v>22</v>
      </c>
      <c r="E23" s="4">
        <v>0</v>
      </c>
      <c r="F23" s="4">
        <v>1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2" t="s">
        <v>79</v>
      </c>
    </row>
    <row r="24" spans="1:12" x14ac:dyDescent="0.2">
      <c r="A24" s="4">
        <v>17.5</v>
      </c>
      <c r="B24" s="4">
        <v>16</v>
      </c>
      <c r="C24" s="4">
        <v>23</v>
      </c>
      <c r="D24" s="4">
        <v>22</v>
      </c>
      <c r="E24" s="4">
        <v>0</v>
      </c>
      <c r="F24" s="4">
        <v>1</v>
      </c>
      <c r="G24" s="4">
        <v>3</v>
      </c>
      <c r="H24" s="4">
        <v>0</v>
      </c>
      <c r="I24" s="4">
        <v>0</v>
      </c>
      <c r="J24" s="4">
        <v>1</v>
      </c>
      <c r="K24" s="4">
        <v>0</v>
      </c>
      <c r="L24" s="2" t="s">
        <v>79</v>
      </c>
    </row>
    <row r="25" spans="1:12" x14ac:dyDescent="0.2">
      <c r="A25" s="4">
        <v>5.15</v>
      </c>
      <c r="B25" s="4">
        <v>16</v>
      </c>
      <c r="C25" s="4">
        <v>39</v>
      </c>
      <c r="D25" s="4">
        <v>21</v>
      </c>
      <c r="E25" s="4">
        <v>1</v>
      </c>
      <c r="F25" s="4">
        <v>0</v>
      </c>
      <c r="G25" s="4">
        <v>0</v>
      </c>
      <c r="H25" s="4">
        <v>0</v>
      </c>
      <c r="I25" s="4">
        <v>0</v>
      </c>
      <c r="J25" s="4">
        <v>1</v>
      </c>
      <c r="K25" s="4">
        <v>0</v>
      </c>
      <c r="L25" s="2" t="s">
        <v>79</v>
      </c>
    </row>
    <row r="26" spans="1:12" x14ac:dyDescent="0.2">
      <c r="A26" s="4">
        <v>6.88</v>
      </c>
      <c r="B26" s="4">
        <v>13</v>
      </c>
      <c r="C26" s="4">
        <v>34</v>
      </c>
      <c r="D26" s="4">
        <v>21</v>
      </c>
      <c r="E26" s="4">
        <v>0</v>
      </c>
      <c r="F26" s="4">
        <v>1</v>
      </c>
      <c r="G26" s="4">
        <v>0</v>
      </c>
      <c r="H26" s="4">
        <v>0</v>
      </c>
      <c r="I26" s="4">
        <v>1</v>
      </c>
      <c r="J26" s="4">
        <v>0</v>
      </c>
      <c r="K26" s="4">
        <v>0</v>
      </c>
      <c r="L26" s="2" t="s">
        <v>79</v>
      </c>
    </row>
    <row r="27" spans="1:12" x14ac:dyDescent="0.2">
      <c r="A27" s="4">
        <v>18.18</v>
      </c>
      <c r="B27" s="4">
        <v>17</v>
      </c>
      <c r="C27" s="4">
        <v>22</v>
      </c>
      <c r="D27" s="4">
        <v>21</v>
      </c>
      <c r="E27" s="10">
        <v>2</v>
      </c>
      <c r="F27" s="4">
        <v>1</v>
      </c>
      <c r="G27" s="4">
        <v>0</v>
      </c>
      <c r="H27" s="4">
        <v>0</v>
      </c>
      <c r="I27" s="4">
        <v>0</v>
      </c>
      <c r="J27" s="4">
        <v>1</v>
      </c>
      <c r="K27" s="4">
        <v>0</v>
      </c>
      <c r="L27" s="2" t="s">
        <v>79</v>
      </c>
    </row>
    <row r="28" spans="1:12" x14ac:dyDescent="0.2">
      <c r="A28" s="4">
        <v>11.71</v>
      </c>
      <c r="B28" s="4">
        <v>13</v>
      </c>
      <c r="C28" s="4">
        <v>40</v>
      </c>
      <c r="D28" s="4">
        <v>20</v>
      </c>
      <c r="E28" s="4">
        <v>1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2" t="s">
        <v>79</v>
      </c>
    </row>
    <row r="29" spans="1:12" x14ac:dyDescent="0.2">
      <c r="A29" s="4">
        <v>3.5</v>
      </c>
      <c r="B29" s="4">
        <v>12</v>
      </c>
      <c r="C29" s="4">
        <v>26</v>
      </c>
      <c r="D29" s="4">
        <v>20</v>
      </c>
      <c r="E29" s="4">
        <v>1</v>
      </c>
      <c r="F29" s="4">
        <v>1</v>
      </c>
      <c r="G29" s="4">
        <v>0</v>
      </c>
      <c r="H29" s="4">
        <v>0</v>
      </c>
      <c r="I29" s="4">
        <v>1</v>
      </c>
      <c r="J29" s="4">
        <v>0</v>
      </c>
      <c r="K29" s="4">
        <v>0</v>
      </c>
      <c r="L29" s="2" t="s">
        <v>79</v>
      </c>
    </row>
    <row r="30" spans="1:12" x14ac:dyDescent="0.2">
      <c r="A30" s="4">
        <v>10.95</v>
      </c>
      <c r="B30" s="4">
        <v>16</v>
      </c>
      <c r="C30" s="4">
        <v>23</v>
      </c>
      <c r="D30" s="4">
        <v>20</v>
      </c>
      <c r="E30" s="4">
        <v>0</v>
      </c>
      <c r="F30" s="4">
        <v>1</v>
      </c>
      <c r="G30" s="4">
        <v>4</v>
      </c>
      <c r="H30" s="4">
        <v>0</v>
      </c>
      <c r="I30" s="4">
        <v>1</v>
      </c>
      <c r="J30" s="4">
        <v>0</v>
      </c>
      <c r="K30" s="4">
        <v>0</v>
      </c>
      <c r="L30" s="2" t="s">
        <v>79</v>
      </c>
    </row>
    <row r="31" spans="1:12" x14ac:dyDescent="0.2">
      <c r="A31" s="4">
        <v>6.88</v>
      </c>
      <c r="B31" s="4">
        <v>12</v>
      </c>
      <c r="C31" s="4">
        <v>31</v>
      </c>
      <c r="D31" s="4">
        <v>19</v>
      </c>
      <c r="E31" s="4">
        <v>0</v>
      </c>
      <c r="F31" s="4">
        <v>1</v>
      </c>
      <c r="G31" s="4">
        <v>3</v>
      </c>
      <c r="H31" s="4">
        <v>1</v>
      </c>
      <c r="I31" s="4">
        <v>0</v>
      </c>
      <c r="J31" s="4">
        <v>0</v>
      </c>
      <c r="K31" s="4">
        <v>0</v>
      </c>
      <c r="L31" s="2" t="s">
        <v>79</v>
      </c>
    </row>
    <row r="32" spans="1:12" x14ac:dyDescent="0.2">
      <c r="A32" s="4">
        <v>4.67</v>
      </c>
      <c r="B32" s="4">
        <v>15</v>
      </c>
      <c r="C32" s="4">
        <v>13</v>
      </c>
      <c r="D32" s="4">
        <v>18</v>
      </c>
      <c r="E32" s="4">
        <v>0</v>
      </c>
      <c r="F32" s="4">
        <v>1</v>
      </c>
      <c r="G32" s="4">
        <v>3</v>
      </c>
      <c r="H32" s="4">
        <v>0</v>
      </c>
      <c r="I32" s="4">
        <v>0</v>
      </c>
      <c r="J32" s="4">
        <v>1</v>
      </c>
      <c r="K32" s="4">
        <v>1</v>
      </c>
      <c r="L32" s="2" t="s">
        <v>79</v>
      </c>
    </row>
    <row r="33" spans="1:12" x14ac:dyDescent="0.2">
      <c r="A33" s="4">
        <v>4.08</v>
      </c>
      <c r="B33" s="4">
        <v>12</v>
      </c>
      <c r="C33" s="4">
        <v>43</v>
      </c>
      <c r="D33" s="4">
        <v>17</v>
      </c>
      <c r="E33" s="10">
        <v>2</v>
      </c>
      <c r="F33" s="4">
        <v>1</v>
      </c>
      <c r="G33" s="4">
        <v>0</v>
      </c>
      <c r="H33" s="4">
        <v>1</v>
      </c>
      <c r="I33" s="4">
        <v>0</v>
      </c>
      <c r="J33" s="4">
        <v>0</v>
      </c>
      <c r="K33" s="4">
        <v>0</v>
      </c>
      <c r="L33" s="2" t="s">
        <v>79</v>
      </c>
    </row>
    <row r="34" spans="1:12" x14ac:dyDescent="0.2">
      <c r="A34" s="4">
        <v>6.26</v>
      </c>
      <c r="B34" s="4">
        <v>13</v>
      </c>
      <c r="C34" s="4">
        <v>37</v>
      </c>
      <c r="D34" s="4">
        <v>17</v>
      </c>
      <c r="E34" s="4">
        <v>1</v>
      </c>
      <c r="F34" s="4">
        <v>1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2" t="s">
        <v>79</v>
      </c>
    </row>
    <row r="35" spans="1:12" x14ac:dyDescent="0.2">
      <c r="A35" s="4">
        <v>4.95</v>
      </c>
      <c r="B35" s="4">
        <v>7</v>
      </c>
      <c r="C35" s="4">
        <v>25</v>
      </c>
      <c r="D35" s="4">
        <v>17</v>
      </c>
      <c r="E35" s="4">
        <v>0</v>
      </c>
      <c r="F35" s="4">
        <v>1</v>
      </c>
      <c r="G35" s="4">
        <v>5</v>
      </c>
      <c r="H35" s="4">
        <v>0</v>
      </c>
      <c r="I35" s="4">
        <v>0</v>
      </c>
      <c r="J35" s="4">
        <v>0</v>
      </c>
      <c r="K35" s="4">
        <v>1</v>
      </c>
      <c r="L35" s="2" t="s">
        <v>79</v>
      </c>
    </row>
    <row r="36" spans="1:12" x14ac:dyDescent="0.2">
      <c r="A36" s="4">
        <v>13.95</v>
      </c>
      <c r="B36" s="4">
        <v>16</v>
      </c>
      <c r="C36" s="4">
        <v>41</v>
      </c>
      <c r="D36" s="4">
        <v>16</v>
      </c>
      <c r="E36" s="4">
        <v>0</v>
      </c>
      <c r="F36" s="4">
        <v>1</v>
      </c>
      <c r="G36" s="4">
        <v>0</v>
      </c>
      <c r="H36" s="4">
        <v>1</v>
      </c>
      <c r="I36" s="4">
        <v>0</v>
      </c>
      <c r="J36" s="4">
        <v>0</v>
      </c>
      <c r="K36" s="4">
        <v>0</v>
      </c>
      <c r="L36" s="2" t="s">
        <v>79</v>
      </c>
    </row>
    <row r="37" spans="1:12" x14ac:dyDescent="0.2">
      <c r="A37" s="4">
        <v>4.2</v>
      </c>
      <c r="B37" s="4">
        <v>14</v>
      </c>
      <c r="C37" s="4">
        <v>33</v>
      </c>
      <c r="D37" s="4">
        <v>16</v>
      </c>
      <c r="E37" s="4">
        <v>1</v>
      </c>
      <c r="F37" s="4">
        <v>1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2" t="s">
        <v>79</v>
      </c>
    </row>
    <row r="38" spans="1:12" x14ac:dyDescent="0.2">
      <c r="A38" s="4">
        <v>18</v>
      </c>
      <c r="B38" s="4">
        <v>12</v>
      </c>
      <c r="C38" s="4">
        <v>24</v>
      </c>
      <c r="D38" s="4">
        <v>16</v>
      </c>
      <c r="E38" s="4">
        <v>0</v>
      </c>
      <c r="F38" s="4">
        <v>1</v>
      </c>
      <c r="G38" s="4">
        <v>3</v>
      </c>
      <c r="H38" s="4">
        <v>1</v>
      </c>
      <c r="I38" s="4">
        <v>0</v>
      </c>
      <c r="J38" s="4">
        <v>0</v>
      </c>
      <c r="K38" s="4">
        <v>0</v>
      </c>
      <c r="L38" s="2" t="s">
        <v>79</v>
      </c>
    </row>
    <row r="39" spans="1:12" x14ac:dyDescent="0.2">
      <c r="A39" s="4">
        <v>3.51</v>
      </c>
      <c r="B39" s="4">
        <v>4</v>
      </c>
      <c r="C39" s="4">
        <v>39</v>
      </c>
      <c r="D39" s="4">
        <v>15</v>
      </c>
      <c r="E39" s="4">
        <v>0</v>
      </c>
      <c r="F39" s="4">
        <v>1</v>
      </c>
      <c r="G39" s="4">
        <v>5</v>
      </c>
      <c r="H39" s="4">
        <v>0</v>
      </c>
      <c r="I39" s="4">
        <v>0</v>
      </c>
      <c r="J39" s="4">
        <v>1</v>
      </c>
      <c r="K39" s="4">
        <v>0</v>
      </c>
      <c r="L39" s="2" t="s">
        <v>79</v>
      </c>
    </row>
    <row r="40" spans="1:12" x14ac:dyDescent="0.2">
      <c r="A40" s="4">
        <v>5.83</v>
      </c>
      <c r="B40" s="4">
        <v>8</v>
      </c>
      <c r="C40" s="4">
        <v>36</v>
      </c>
      <c r="D40" s="4">
        <v>15</v>
      </c>
      <c r="E40" s="4">
        <v>1</v>
      </c>
      <c r="F40" s="4">
        <v>1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2" t="s">
        <v>79</v>
      </c>
    </row>
    <row r="41" spans="1:12" x14ac:dyDescent="0.2">
      <c r="A41" s="4">
        <v>2.14</v>
      </c>
      <c r="B41" s="4">
        <v>13</v>
      </c>
      <c r="C41" s="4">
        <v>34</v>
      </c>
      <c r="D41" s="4">
        <v>15</v>
      </c>
      <c r="E41" s="4">
        <v>1</v>
      </c>
      <c r="F41" s="4">
        <v>1</v>
      </c>
      <c r="G41" s="4">
        <v>0</v>
      </c>
      <c r="H41" s="4">
        <v>0</v>
      </c>
      <c r="I41" s="4">
        <v>1</v>
      </c>
      <c r="J41" s="4">
        <v>0</v>
      </c>
      <c r="K41" s="4">
        <v>0</v>
      </c>
      <c r="L41" s="2" t="s">
        <v>79</v>
      </c>
    </row>
    <row r="42" spans="1:12" x14ac:dyDescent="0.2">
      <c r="A42" s="4">
        <v>18</v>
      </c>
      <c r="B42" s="4">
        <v>12</v>
      </c>
      <c r="C42" s="4">
        <v>31</v>
      </c>
      <c r="D42" s="4">
        <v>15</v>
      </c>
      <c r="E42" s="4">
        <v>0</v>
      </c>
      <c r="F42" s="4">
        <v>1</v>
      </c>
      <c r="G42" s="4">
        <v>1</v>
      </c>
      <c r="H42" s="4">
        <v>0</v>
      </c>
      <c r="I42" s="4">
        <v>0</v>
      </c>
      <c r="J42" s="4">
        <v>1</v>
      </c>
      <c r="K42" s="4">
        <v>0</v>
      </c>
      <c r="L42" s="2" t="s">
        <v>79</v>
      </c>
    </row>
    <row r="43" spans="1:12" x14ac:dyDescent="0.2">
      <c r="A43" s="4">
        <v>4.5</v>
      </c>
      <c r="B43" s="4">
        <v>12</v>
      </c>
      <c r="C43" s="4">
        <v>37</v>
      </c>
      <c r="D43" s="4">
        <v>14</v>
      </c>
      <c r="E43" s="4">
        <v>1</v>
      </c>
      <c r="F43" s="4">
        <v>1</v>
      </c>
      <c r="G43" s="4">
        <v>0</v>
      </c>
      <c r="H43" s="4">
        <v>0</v>
      </c>
      <c r="I43" s="4">
        <v>0</v>
      </c>
      <c r="J43" s="4">
        <v>1</v>
      </c>
      <c r="K43" s="4">
        <v>0</v>
      </c>
      <c r="L43" s="2" t="s">
        <v>79</v>
      </c>
    </row>
    <row r="44" spans="1:12" x14ac:dyDescent="0.2">
      <c r="A44" s="4">
        <v>6.5</v>
      </c>
      <c r="B44" s="4">
        <v>12</v>
      </c>
      <c r="C44" s="4">
        <v>20</v>
      </c>
      <c r="D44" s="4">
        <v>14</v>
      </c>
      <c r="E44" s="4">
        <v>0</v>
      </c>
      <c r="F44" s="4">
        <v>1</v>
      </c>
      <c r="G44" s="4">
        <v>3</v>
      </c>
      <c r="H44" s="4">
        <v>0</v>
      </c>
      <c r="I44" s="4">
        <v>0</v>
      </c>
      <c r="J44" s="4">
        <v>1</v>
      </c>
      <c r="K44" s="4">
        <v>0</v>
      </c>
      <c r="L44" s="2" t="s">
        <v>79</v>
      </c>
    </row>
    <row r="45" spans="1:12" x14ac:dyDescent="0.2">
      <c r="A45" s="4">
        <v>11.82</v>
      </c>
      <c r="B45" s="4">
        <v>16</v>
      </c>
      <c r="C45" s="4">
        <v>35</v>
      </c>
      <c r="D45" s="4">
        <v>13</v>
      </c>
      <c r="E45" s="4">
        <v>0</v>
      </c>
      <c r="F45" s="4">
        <v>1</v>
      </c>
      <c r="G45" s="4">
        <v>0</v>
      </c>
      <c r="H45" s="4">
        <v>0</v>
      </c>
      <c r="I45" s="4">
        <v>0</v>
      </c>
      <c r="J45" s="4">
        <v>1</v>
      </c>
      <c r="K45" s="4">
        <v>0</v>
      </c>
      <c r="L45" s="2" t="s">
        <v>79</v>
      </c>
    </row>
    <row r="46" spans="1:12" x14ac:dyDescent="0.2">
      <c r="A46" s="4">
        <v>3.29</v>
      </c>
      <c r="B46" s="4">
        <v>14</v>
      </c>
      <c r="C46" s="4">
        <v>30</v>
      </c>
      <c r="D46" s="4">
        <v>13</v>
      </c>
      <c r="E46" s="4">
        <v>0</v>
      </c>
      <c r="F46" s="4">
        <v>0</v>
      </c>
      <c r="G46" s="4">
        <v>0</v>
      </c>
      <c r="H46" s="4">
        <v>1</v>
      </c>
      <c r="I46" s="4">
        <v>0</v>
      </c>
      <c r="J46" s="4">
        <v>0</v>
      </c>
      <c r="K46" s="4">
        <v>0</v>
      </c>
      <c r="L46" s="2" t="s">
        <v>79</v>
      </c>
    </row>
    <row r="47" spans="1:12" x14ac:dyDescent="0.2">
      <c r="A47" s="4">
        <v>8.48</v>
      </c>
      <c r="B47" s="4">
        <v>12</v>
      </c>
      <c r="C47" s="4">
        <v>29</v>
      </c>
      <c r="D47" s="4">
        <v>13</v>
      </c>
      <c r="E47" s="4">
        <v>0</v>
      </c>
      <c r="F47" s="4">
        <v>1</v>
      </c>
      <c r="G47" s="4">
        <v>3</v>
      </c>
      <c r="H47" s="4">
        <v>0</v>
      </c>
      <c r="I47" s="4">
        <v>0</v>
      </c>
      <c r="J47" s="4">
        <v>1</v>
      </c>
      <c r="K47" s="4">
        <v>0</v>
      </c>
      <c r="L47" s="2" t="s">
        <v>79</v>
      </c>
    </row>
    <row r="48" spans="1:12" x14ac:dyDescent="0.2">
      <c r="A48" s="4">
        <v>6</v>
      </c>
      <c r="B48" s="4">
        <v>13</v>
      </c>
      <c r="C48" s="4">
        <v>21</v>
      </c>
      <c r="D48" s="4">
        <v>13</v>
      </c>
      <c r="E48" s="4">
        <v>0</v>
      </c>
      <c r="F48" s="4">
        <v>1</v>
      </c>
      <c r="G48" s="4">
        <v>4</v>
      </c>
      <c r="H48" s="4">
        <v>0</v>
      </c>
      <c r="I48" s="4">
        <v>1</v>
      </c>
      <c r="J48" s="4">
        <v>0</v>
      </c>
      <c r="K48" s="4">
        <v>0</v>
      </c>
      <c r="L48" s="2" t="s">
        <v>79</v>
      </c>
    </row>
    <row r="49" spans="1:12" x14ac:dyDescent="0.2">
      <c r="A49" s="4">
        <v>13.7</v>
      </c>
      <c r="B49" s="4">
        <v>15</v>
      </c>
      <c r="C49" s="4">
        <v>20</v>
      </c>
      <c r="D49" s="4">
        <v>13</v>
      </c>
      <c r="E49" s="4">
        <v>0</v>
      </c>
      <c r="F49" s="4">
        <v>1</v>
      </c>
      <c r="G49" s="4">
        <v>2</v>
      </c>
      <c r="H49" s="4">
        <v>0</v>
      </c>
      <c r="I49" s="4">
        <v>0</v>
      </c>
      <c r="J49" s="4">
        <v>1</v>
      </c>
      <c r="K49" s="4">
        <v>0</v>
      </c>
      <c r="L49" s="2" t="s">
        <v>79</v>
      </c>
    </row>
    <row r="50" spans="1:12" x14ac:dyDescent="0.2">
      <c r="A50" s="4">
        <v>4</v>
      </c>
      <c r="B50" s="4">
        <v>11</v>
      </c>
      <c r="C50" s="9">
        <v>43.93</v>
      </c>
      <c r="D50" s="4">
        <v>12</v>
      </c>
      <c r="E50" s="4">
        <v>1</v>
      </c>
      <c r="F50" s="4">
        <v>1</v>
      </c>
      <c r="G50" s="4">
        <v>0</v>
      </c>
      <c r="H50" s="4">
        <v>0</v>
      </c>
      <c r="I50" s="4">
        <v>0</v>
      </c>
      <c r="J50" s="4">
        <v>1</v>
      </c>
      <c r="K50" s="4">
        <v>0</v>
      </c>
      <c r="L50" s="2" t="s">
        <v>79</v>
      </c>
    </row>
    <row r="51" spans="1:12" x14ac:dyDescent="0.2">
      <c r="A51" s="4">
        <v>4.5</v>
      </c>
      <c r="B51" s="4">
        <v>12</v>
      </c>
      <c r="C51" s="4">
        <v>35</v>
      </c>
      <c r="D51" s="4">
        <v>12</v>
      </c>
      <c r="E51" s="4">
        <v>1</v>
      </c>
      <c r="F51" s="4">
        <v>1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2" t="s">
        <v>79</v>
      </c>
    </row>
    <row r="52" spans="1:12" x14ac:dyDescent="0.2">
      <c r="A52" s="4">
        <v>6.15</v>
      </c>
      <c r="B52" s="4">
        <v>12</v>
      </c>
      <c r="C52" s="4">
        <v>35</v>
      </c>
      <c r="D52" s="4">
        <v>12</v>
      </c>
      <c r="E52" s="4">
        <v>1</v>
      </c>
      <c r="F52" s="4">
        <v>0</v>
      </c>
      <c r="G52" s="4">
        <v>0</v>
      </c>
      <c r="H52" s="4">
        <v>1</v>
      </c>
      <c r="I52" s="4">
        <v>0</v>
      </c>
      <c r="J52" s="4">
        <v>0</v>
      </c>
      <c r="K52" s="4">
        <v>0</v>
      </c>
      <c r="L52" s="2" t="s">
        <v>79</v>
      </c>
    </row>
    <row r="53" spans="1:12" x14ac:dyDescent="0.2">
      <c r="A53" s="4">
        <v>3</v>
      </c>
      <c r="B53" s="4">
        <v>8</v>
      </c>
      <c r="C53" s="4">
        <v>33</v>
      </c>
      <c r="D53" s="4">
        <v>12</v>
      </c>
      <c r="E53" s="4">
        <v>1</v>
      </c>
      <c r="F53" s="4">
        <v>1</v>
      </c>
      <c r="G53" s="4">
        <v>3</v>
      </c>
      <c r="H53" s="4">
        <v>0</v>
      </c>
      <c r="I53" s="4">
        <v>1</v>
      </c>
      <c r="J53" s="4">
        <v>0</v>
      </c>
      <c r="K53" s="4">
        <v>0</v>
      </c>
      <c r="L53" s="2" t="s">
        <v>79</v>
      </c>
    </row>
    <row r="54" spans="1:12" x14ac:dyDescent="0.2">
      <c r="A54" s="4">
        <v>9.1300000000000008</v>
      </c>
      <c r="B54" s="4">
        <v>12</v>
      </c>
      <c r="C54" s="4">
        <v>14</v>
      </c>
      <c r="D54" s="4">
        <v>12</v>
      </c>
      <c r="E54" s="4">
        <v>0</v>
      </c>
      <c r="F54" s="4">
        <v>1</v>
      </c>
      <c r="G54" s="4">
        <v>3</v>
      </c>
      <c r="H54" s="4">
        <v>0</v>
      </c>
      <c r="I54" s="4">
        <v>1</v>
      </c>
      <c r="J54" s="4">
        <v>0</v>
      </c>
      <c r="K54" s="4">
        <v>0</v>
      </c>
      <c r="L54" s="2" t="s">
        <v>79</v>
      </c>
    </row>
    <row r="55" spans="1:12" x14ac:dyDescent="0.2">
      <c r="A55" s="4">
        <v>9.09</v>
      </c>
      <c r="B55" s="4">
        <v>15</v>
      </c>
      <c r="C55" s="4">
        <v>11</v>
      </c>
      <c r="D55" s="4">
        <v>12</v>
      </c>
      <c r="E55" s="4">
        <v>0</v>
      </c>
      <c r="F55" s="4">
        <v>1</v>
      </c>
      <c r="G55" s="4">
        <v>1</v>
      </c>
      <c r="H55" s="4">
        <v>0</v>
      </c>
      <c r="I55" s="4">
        <v>0</v>
      </c>
      <c r="J55" s="4">
        <v>1</v>
      </c>
      <c r="K55" s="4">
        <v>0</v>
      </c>
      <c r="L55" s="2" t="s">
        <v>79</v>
      </c>
    </row>
    <row r="56" spans="1:12" x14ac:dyDescent="0.2">
      <c r="A56" s="4">
        <v>4.4400000000000004</v>
      </c>
      <c r="B56" s="4">
        <v>8</v>
      </c>
      <c r="C56" s="4">
        <v>29</v>
      </c>
      <c r="D56" s="4">
        <v>11</v>
      </c>
      <c r="E56" s="4">
        <v>0</v>
      </c>
      <c r="F56" s="4">
        <v>1</v>
      </c>
      <c r="G56" s="4">
        <v>3</v>
      </c>
      <c r="H56" s="4">
        <v>0</v>
      </c>
      <c r="I56" s="4">
        <v>1</v>
      </c>
      <c r="J56" s="4">
        <v>0</v>
      </c>
      <c r="K56" s="4">
        <v>0</v>
      </c>
      <c r="L56" s="2" t="s">
        <v>79</v>
      </c>
    </row>
    <row r="57" spans="1:12" x14ac:dyDescent="0.2">
      <c r="A57" s="4">
        <v>6.5</v>
      </c>
      <c r="B57" s="4">
        <v>10</v>
      </c>
      <c r="C57" s="4">
        <v>14</v>
      </c>
      <c r="D57" s="4">
        <v>11</v>
      </c>
      <c r="E57" s="4">
        <v>0</v>
      </c>
      <c r="F57" s="4">
        <v>1</v>
      </c>
      <c r="G57" s="4">
        <v>3</v>
      </c>
      <c r="H57" s="4">
        <v>0</v>
      </c>
      <c r="I57" s="4">
        <v>1</v>
      </c>
      <c r="J57" s="4">
        <v>0</v>
      </c>
      <c r="K57" s="4">
        <v>0</v>
      </c>
      <c r="L57" s="2" t="s">
        <v>79</v>
      </c>
    </row>
    <row r="58" spans="1:12" x14ac:dyDescent="0.2">
      <c r="A58" s="4">
        <v>5</v>
      </c>
      <c r="B58" s="4">
        <v>12</v>
      </c>
      <c r="C58" s="4">
        <v>14</v>
      </c>
      <c r="D58" s="4">
        <v>11</v>
      </c>
      <c r="E58" s="4">
        <v>1</v>
      </c>
      <c r="F58" s="4">
        <v>0</v>
      </c>
      <c r="G58" s="4">
        <v>0</v>
      </c>
      <c r="H58" s="4">
        <v>1</v>
      </c>
      <c r="I58" s="4">
        <v>0</v>
      </c>
      <c r="J58" s="4">
        <v>0</v>
      </c>
      <c r="K58" s="4">
        <v>0</v>
      </c>
      <c r="L58" s="2" t="s">
        <v>79</v>
      </c>
    </row>
    <row r="59" spans="1:12" x14ac:dyDescent="0.2">
      <c r="A59" s="4">
        <v>13.33</v>
      </c>
      <c r="B59" s="4">
        <v>12</v>
      </c>
      <c r="C59" s="4">
        <v>14</v>
      </c>
      <c r="D59" s="4">
        <v>11</v>
      </c>
      <c r="E59" s="4">
        <v>0</v>
      </c>
      <c r="F59" s="4">
        <v>1</v>
      </c>
      <c r="G59" s="4">
        <v>2</v>
      </c>
      <c r="H59" s="4">
        <v>0</v>
      </c>
      <c r="I59" s="4">
        <v>0</v>
      </c>
      <c r="J59" s="4">
        <v>0</v>
      </c>
      <c r="K59" s="4">
        <v>0</v>
      </c>
      <c r="L59" s="2" t="s">
        <v>79</v>
      </c>
    </row>
    <row r="60" spans="1:12" x14ac:dyDescent="0.2">
      <c r="A60" s="4">
        <v>5.25</v>
      </c>
      <c r="B60" s="4">
        <v>11</v>
      </c>
      <c r="C60" s="4">
        <v>13</v>
      </c>
      <c r="D60" s="4">
        <v>11</v>
      </c>
      <c r="E60" s="4">
        <v>0</v>
      </c>
      <c r="F60" s="4">
        <v>1</v>
      </c>
      <c r="G60" s="4">
        <v>2</v>
      </c>
      <c r="H60" s="4">
        <v>0</v>
      </c>
      <c r="I60" s="4">
        <v>1</v>
      </c>
      <c r="J60" s="4">
        <v>0</v>
      </c>
      <c r="K60" s="4">
        <v>0</v>
      </c>
      <c r="L60" s="2" t="s">
        <v>79</v>
      </c>
    </row>
    <row r="61" spans="1:12" x14ac:dyDescent="0.2">
      <c r="A61" s="4">
        <v>2.65</v>
      </c>
      <c r="B61" s="4">
        <v>12</v>
      </c>
      <c r="C61" s="4">
        <v>42</v>
      </c>
      <c r="D61" s="4">
        <v>10</v>
      </c>
      <c r="E61" s="4">
        <v>1</v>
      </c>
      <c r="F61" s="4">
        <v>1</v>
      </c>
      <c r="G61" s="4">
        <v>0</v>
      </c>
      <c r="H61" s="4">
        <v>0</v>
      </c>
      <c r="I61" s="4">
        <v>0</v>
      </c>
      <c r="J61" s="4">
        <v>1</v>
      </c>
      <c r="K61" s="4">
        <v>0</v>
      </c>
      <c r="L61" s="2" t="s">
        <v>79</v>
      </c>
    </row>
    <row r="62" spans="1:12" x14ac:dyDescent="0.2">
      <c r="A62" s="4">
        <v>4.5</v>
      </c>
      <c r="B62" s="4">
        <v>11</v>
      </c>
      <c r="C62" s="4">
        <v>37</v>
      </c>
      <c r="D62" s="4">
        <v>10</v>
      </c>
      <c r="E62" s="4">
        <v>0</v>
      </c>
      <c r="F62" s="4">
        <v>1</v>
      </c>
      <c r="G62" s="4">
        <v>2</v>
      </c>
      <c r="H62" s="4">
        <v>0</v>
      </c>
      <c r="I62" s="4">
        <v>1</v>
      </c>
      <c r="J62" s="4">
        <v>0</v>
      </c>
      <c r="K62" s="4">
        <v>0</v>
      </c>
      <c r="L62" s="2" t="s">
        <v>79</v>
      </c>
    </row>
    <row r="63" spans="1:12" x14ac:dyDescent="0.2">
      <c r="A63" s="4">
        <v>4.17</v>
      </c>
      <c r="B63" s="4">
        <v>0</v>
      </c>
      <c r="C63" s="4">
        <v>22</v>
      </c>
      <c r="D63" s="4">
        <v>10</v>
      </c>
      <c r="E63" s="4">
        <v>1</v>
      </c>
      <c r="F63" s="4">
        <v>0</v>
      </c>
      <c r="G63" s="4">
        <v>0</v>
      </c>
      <c r="H63" s="4">
        <v>0</v>
      </c>
      <c r="I63" s="4">
        <v>1</v>
      </c>
      <c r="J63" s="4">
        <v>0</v>
      </c>
      <c r="K63" s="4">
        <v>0</v>
      </c>
      <c r="L63" s="2" t="s">
        <v>79</v>
      </c>
    </row>
    <row r="64" spans="1:12" x14ac:dyDescent="0.2">
      <c r="A64" s="4">
        <v>3</v>
      </c>
      <c r="B64" s="4">
        <v>16</v>
      </c>
      <c r="C64" s="4">
        <v>19</v>
      </c>
      <c r="D64" s="4">
        <v>10</v>
      </c>
      <c r="E64" s="4">
        <v>1</v>
      </c>
      <c r="F64" s="4">
        <v>1</v>
      </c>
      <c r="G64" s="4">
        <v>0</v>
      </c>
      <c r="H64" s="4">
        <v>1</v>
      </c>
      <c r="I64" s="4">
        <v>0</v>
      </c>
      <c r="J64" s="4">
        <v>0</v>
      </c>
      <c r="K64" s="4">
        <v>0</v>
      </c>
      <c r="L64" s="2" t="s">
        <v>79</v>
      </c>
    </row>
    <row r="65" spans="1:12" x14ac:dyDescent="0.2">
      <c r="A65" s="4">
        <v>5.25</v>
      </c>
      <c r="B65" s="4">
        <v>12</v>
      </c>
      <c r="C65" s="4">
        <v>19</v>
      </c>
      <c r="D65" s="4">
        <v>10</v>
      </c>
      <c r="E65" s="4">
        <v>1</v>
      </c>
      <c r="F65" s="4">
        <v>1</v>
      </c>
      <c r="G65" s="4">
        <v>2</v>
      </c>
      <c r="H65" s="4">
        <v>1</v>
      </c>
      <c r="I65" s="4">
        <v>0</v>
      </c>
      <c r="J65" s="4">
        <v>0</v>
      </c>
      <c r="K65" s="4">
        <v>0</v>
      </c>
      <c r="L65" s="2" t="s">
        <v>79</v>
      </c>
    </row>
    <row r="66" spans="1:12" x14ac:dyDescent="0.2">
      <c r="A66" s="4">
        <v>10.63</v>
      </c>
      <c r="B66" s="4">
        <v>13</v>
      </c>
      <c r="C66" s="4">
        <v>16</v>
      </c>
      <c r="D66" s="4">
        <v>10</v>
      </c>
      <c r="E66" s="4">
        <v>1</v>
      </c>
      <c r="F66" s="4">
        <v>0</v>
      </c>
      <c r="G66" s="4">
        <v>0</v>
      </c>
      <c r="H66" s="4">
        <v>0</v>
      </c>
      <c r="I66" s="4">
        <v>0</v>
      </c>
      <c r="J66" s="4">
        <v>1</v>
      </c>
      <c r="K66" s="4">
        <v>0</v>
      </c>
      <c r="L66" s="2" t="s">
        <v>79</v>
      </c>
    </row>
    <row r="67" spans="1:12" x14ac:dyDescent="0.2">
      <c r="A67" s="4">
        <v>3.06</v>
      </c>
      <c r="B67" s="4">
        <v>12</v>
      </c>
      <c r="C67" s="4">
        <v>14</v>
      </c>
      <c r="D67" s="4">
        <v>10</v>
      </c>
      <c r="E67" s="4">
        <v>1</v>
      </c>
      <c r="F67" s="4">
        <v>0</v>
      </c>
      <c r="G67" s="4">
        <v>3</v>
      </c>
      <c r="H67" s="4">
        <v>0</v>
      </c>
      <c r="I67" s="4">
        <v>1</v>
      </c>
      <c r="J67" s="4">
        <v>0</v>
      </c>
      <c r="K67" s="4">
        <v>0</v>
      </c>
      <c r="L67" s="2" t="s">
        <v>79</v>
      </c>
    </row>
    <row r="68" spans="1:12" x14ac:dyDescent="0.2">
      <c r="A68" s="4">
        <v>7.78</v>
      </c>
      <c r="B68" s="4">
        <v>16</v>
      </c>
      <c r="C68" s="4">
        <v>11</v>
      </c>
      <c r="D68" s="4">
        <v>10</v>
      </c>
      <c r="E68" s="4">
        <v>0</v>
      </c>
      <c r="F68" s="4">
        <v>1</v>
      </c>
      <c r="G68" s="4">
        <v>1</v>
      </c>
      <c r="H68" s="4">
        <v>0</v>
      </c>
      <c r="I68" s="4">
        <v>0</v>
      </c>
      <c r="J68" s="4">
        <v>1</v>
      </c>
      <c r="K68" s="4">
        <v>0</v>
      </c>
      <c r="L68" s="2" t="s">
        <v>79</v>
      </c>
    </row>
    <row r="69" spans="1:12" x14ac:dyDescent="0.2">
      <c r="A69" s="4">
        <v>11.98</v>
      </c>
      <c r="B69" s="4">
        <v>18</v>
      </c>
      <c r="C69" s="4">
        <v>8</v>
      </c>
      <c r="D69" s="4">
        <v>10</v>
      </c>
      <c r="E69" s="4">
        <v>0</v>
      </c>
      <c r="F69" s="4">
        <v>1</v>
      </c>
      <c r="G69" s="4">
        <v>2</v>
      </c>
      <c r="H69" s="4">
        <v>0</v>
      </c>
      <c r="I69" s="4">
        <v>1</v>
      </c>
      <c r="J69" s="4">
        <v>0</v>
      </c>
      <c r="K69" s="4">
        <v>0</v>
      </c>
      <c r="L69" s="2" t="s">
        <v>79</v>
      </c>
    </row>
    <row r="70" spans="1:12" x14ac:dyDescent="0.2">
      <c r="A70" s="4">
        <v>5</v>
      </c>
      <c r="B70" s="10">
        <v>12</v>
      </c>
      <c r="C70" s="4">
        <v>31</v>
      </c>
      <c r="D70" s="4">
        <v>9</v>
      </c>
      <c r="E70" s="4">
        <v>0</v>
      </c>
      <c r="F70" s="4">
        <v>1</v>
      </c>
      <c r="G70" s="4">
        <v>6</v>
      </c>
      <c r="H70" s="4">
        <v>0</v>
      </c>
      <c r="I70" s="4">
        <v>1</v>
      </c>
      <c r="J70" s="4">
        <v>0</v>
      </c>
      <c r="K70" s="4">
        <v>0</v>
      </c>
      <c r="L70" s="2" t="s">
        <v>79</v>
      </c>
    </row>
    <row r="71" spans="1:12" x14ac:dyDescent="0.2">
      <c r="A71" s="4">
        <v>8.6300000000000008</v>
      </c>
      <c r="B71" s="4">
        <v>12</v>
      </c>
      <c r="C71" s="4">
        <v>23</v>
      </c>
      <c r="D71" s="4">
        <v>9</v>
      </c>
      <c r="E71" s="4">
        <v>0</v>
      </c>
      <c r="F71" s="4">
        <v>1</v>
      </c>
      <c r="G71" s="4">
        <v>1</v>
      </c>
      <c r="H71" s="4">
        <v>0</v>
      </c>
      <c r="I71" s="4">
        <v>1</v>
      </c>
      <c r="J71" s="4">
        <v>0</v>
      </c>
      <c r="K71" s="4">
        <v>0</v>
      </c>
      <c r="L71" s="2" t="s">
        <v>79</v>
      </c>
    </row>
    <row r="72" spans="1:12" x14ac:dyDescent="0.2">
      <c r="A72" s="4">
        <v>3.3</v>
      </c>
      <c r="B72" s="4">
        <v>12</v>
      </c>
      <c r="C72" s="4">
        <v>21</v>
      </c>
      <c r="D72" s="4">
        <v>9</v>
      </c>
      <c r="E72" s="4">
        <v>1</v>
      </c>
      <c r="F72" s="4">
        <v>1</v>
      </c>
      <c r="G72" s="4">
        <v>2</v>
      </c>
      <c r="H72" s="4">
        <v>0</v>
      </c>
      <c r="I72" s="4">
        <v>1</v>
      </c>
      <c r="J72" s="4">
        <v>0</v>
      </c>
      <c r="K72" s="4">
        <v>0</v>
      </c>
      <c r="L72" s="2" t="s">
        <v>79</v>
      </c>
    </row>
    <row r="73" spans="1:12" x14ac:dyDescent="0.2">
      <c r="A73" s="4">
        <v>6.33</v>
      </c>
      <c r="B73" s="4">
        <v>16</v>
      </c>
      <c r="C73" s="4">
        <v>9</v>
      </c>
      <c r="D73" s="4">
        <v>9</v>
      </c>
      <c r="E73" s="4">
        <v>1</v>
      </c>
      <c r="F73" s="4">
        <v>0</v>
      </c>
      <c r="G73" s="4">
        <v>0</v>
      </c>
      <c r="H73" s="4">
        <v>0</v>
      </c>
      <c r="I73" s="4">
        <v>0</v>
      </c>
      <c r="J73" s="4">
        <v>1</v>
      </c>
      <c r="K73" s="4">
        <v>0</v>
      </c>
      <c r="L73" s="2" t="s">
        <v>79</v>
      </c>
    </row>
    <row r="74" spans="1:12" x14ac:dyDescent="0.2">
      <c r="A74" s="4">
        <v>2.87</v>
      </c>
      <c r="B74" s="4">
        <v>12</v>
      </c>
      <c r="C74" s="9">
        <v>43.93</v>
      </c>
      <c r="D74" s="4">
        <v>8</v>
      </c>
      <c r="E74" s="4">
        <v>1</v>
      </c>
      <c r="F74" s="4">
        <v>1</v>
      </c>
      <c r="G74" s="4">
        <v>0</v>
      </c>
      <c r="H74" s="4">
        <v>1</v>
      </c>
      <c r="I74" s="4">
        <v>0</v>
      </c>
      <c r="J74" s="4">
        <v>0</v>
      </c>
      <c r="K74" s="4">
        <v>0</v>
      </c>
      <c r="L74" s="2" t="s">
        <v>79</v>
      </c>
    </row>
    <row r="75" spans="1:12" x14ac:dyDescent="0.2">
      <c r="A75" s="4">
        <v>4.79</v>
      </c>
      <c r="B75" s="4">
        <v>12</v>
      </c>
      <c r="C75" s="4">
        <v>41</v>
      </c>
      <c r="D75" s="4">
        <v>8</v>
      </c>
      <c r="E75" s="4">
        <v>0</v>
      </c>
      <c r="F75" s="4">
        <v>1</v>
      </c>
      <c r="G75" s="4">
        <v>0</v>
      </c>
      <c r="H75" s="4">
        <v>1</v>
      </c>
      <c r="I75" s="4">
        <v>0</v>
      </c>
      <c r="J75" s="4">
        <v>0</v>
      </c>
      <c r="K75" s="4">
        <v>0</v>
      </c>
      <c r="L75" s="2" t="s">
        <v>79</v>
      </c>
    </row>
    <row r="76" spans="1:12" x14ac:dyDescent="0.2">
      <c r="A76" s="4">
        <v>3.33</v>
      </c>
      <c r="B76" s="4">
        <v>12</v>
      </c>
      <c r="C76" s="4">
        <v>36</v>
      </c>
      <c r="D76" s="4">
        <v>8</v>
      </c>
      <c r="E76" s="4">
        <v>1</v>
      </c>
      <c r="F76" s="4">
        <v>1</v>
      </c>
      <c r="G76" s="4">
        <v>1</v>
      </c>
      <c r="H76" s="4">
        <v>0</v>
      </c>
      <c r="I76" s="4">
        <v>1</v>
      </c>
      <c r="J76" s="4">
        <v>0</v>
      </c>
      <c r="K76" s="4">
        <v>0</v>
      </c>
      <c r="L76" s="2" t="s">
        <v>79</v>
      </c>
    </row>
    <row r="77" spans="1:12" x14ac:dyDescent="0.2">
      <c r="A77" s="4">
        <v>6.25</v>
      </c>
      <c r="B77" s="4">
        <v>10</v>
      </c>
      <c r="C77" s="4">
        <v>36</v>
      </c>
      <c r="D77" s="4">
        <v>8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2" t="s">
        <v>79</v>
      </c>
    </row>
    <row r="78" spans="1:12" x14ac:dyDescent="0.2">
      <c r="A78" s="4">
        <v>11.11</v>
      </c>
      <c r="B78" s="4">
        <v>12</v>
      </c>
      <c r="C78" s="4">
        <v>30</v>
      </c>
      <c r="D78" s="4">
        <v>8</v>
      </c>
      <c r="E78" s="4">
        <v>0</v>
      </c>
      <c r="F78" s="4">
        <v>1</v>
      </c>
      <c r="G78" s="4">
        <v>0</v>
      </c>
      <c r="H78" s="4">
        <v>1</v>
      </c>
      <c r="I78" s="4">
        <v>0</v>
      </c>
      <c r="J78" s="4">
        <v>0</v>
      </c>
      <c r="K78" s="4">
        <v>0</v>
      </c>
      <c r="L78" s="2" t="s">
        <v>79</v>
      </c>
    </row>
    <row r="79" spans="1:12" x14ac:dyDescent="0.2">
      <c r="A79" s="4">
        <v>8.64</v>
      </c>
      <c r="B79" s="4">
        <v>12</v>
      </c>
      <c r="C79" s="4">
        <v>28</v>
      </c>
      <c r="D79" s="4">
        <v>8</v>
      </c>
      <c r="E79" s="4">
        <v>0</v>
      </c>
      <c r="F79" s="4">
        <v>1</v>
      </c>
      <c r="G79" s="4">
        <v>0</v>
      </c>
      <c r="H79" s="4">
        <v>1</v>
      </c>
      <c r="I79" s="4">
        <v>0</v>
      </c>
      <c r="J79" s="4">
        <v>0</v>
      </c>
      <c r="K79" s="4">
        <v>0</v>
      </c>
      <c r="L79" s="2" t="s">
        <v>79</v>
      </c>
    </row>
    <row r="80" spans="1:12" x14ac:dyDescent="0.2">
      <c r="A80" s="4">
        <v>3.3</v>
      </c>
      <c r="B80" s="4">
        <v>12</v>
      </c>
      <c r="C80" s="4">
        <v>25</v>
      </c>
      <c r="D80" s="4">
        <v>8</v>
      </c>
      <c r="E80" s="4">
        <v>0</v>
      </c>
      <c r="F80" s="4">
        <v>1</v>
      </c>
      <c r="G80" s="4">
        <v>1</v>
      </c>
      <c r="H80" s="4">
        <v>1</v>
      </c>
      <c r="I80" s="4">
        <v>0</v>
      </c>
      <c r="J80" s="4">
        <v>0</v>
      </c>
      <c r="K80" s="4">
        <v>0</v>
      </c>
      <c r="L80" s="2" t="s">
        <v>79</v>
      </c>
    </row>
    <row r="81" spans="1:12" x14ac:dyDescent="0.2">
      <c r="A81" s="4">
        <v>6.33</v>
      </c>
      <c r="B81" s="4">
        <v>12</v>
      </c>
      <c r="C81" s="4">
        <v>23</v>
      </c>
      <c r="D81" s="4">
        <v>8</v>
      </c>
      <c r="E81" s="4">
        <v>0</v>
      </c>
      <c r="F81" s="4">
        <v>1</v>
      </c>
      <c r="G81" s="4">
        <v>2</v>
      </c>
      <c r="H81" s="4">
        <v>0</v>
      </c>
      <c r="I81" s="4">
        <v>1</v>
      </c>
      <c r="J81" s="4">
        <v>0</v>
      </c>
      <c r="K81" s="4">
        <v>0</v>
      </c>
      <c r="L81" s="2" t="s">
        <v>79</v>
      </c>
    </row>
    <row r="82" spans="1:12" x14ac:dyDescent="0.2">
      <c r="A82" s="4">
        <v>4.91</v>
      </c>
      <c r="B82" s="4">
        <v>12</v>
      </c>
      <c r="C82" s="4">
        <v>17</v>
      </c>
      <c r="D82" s="4">
        <v>8</v>
      </c>
      <c r="E82" s="4">
        <v>0</v>
      </c>
      <c r="F82" s="4">
        <v>1</v>
      </c>
      <c r="G82" s="4">
        <v>2</v>
      </c>
      <c r="H82" s="4">
        <v>0</v>
      </c>
      <c r="I82" s="4">
        <v>0</v>
      </c>
      <c r="J82" s="4">
        <v>0</v>
      </c>
      <c r="K82" s="4">
        <v>0</v>
      </c>
      <c r="L82" s="2" t="s">
        <v>79</v>
      </c>
    </row>
    <row r="83" spans="1:12" x14ac:dyDescent="0.2">
      <c r="A83" s="4">
        <v>8.75</v>
      </c>
      <c r="B83" s="4">
        <v>16</v>
      </c>
      <c r="C83" s="4">
        <v>9</v>
      </c>
      <c r="D83" s="4">
        <v>8</v>
      </c>
      <c r="E83" s="4">
        <v>0</v>
      </c>
      <c r="F83" s="4">
        <v>1</v>
      </c>
      <c r="G83" s="4">
        <v>0</v>
      </c>
      <c r="H83" s="4">
        <v>0</v>
      </c>
      <c r="I83" s="4">
        <v>0</v>
      </c>
      <c r="J83" s="4">
        <v>1</v>
      </c>
      <c r="K83" s="4">
        <v>0</v>
      </c>
      <c r="L83" s="2" t="s">
        <v>79</v>
      </c>
    </row>
    <row r="84" spans="1:12" x14ac:dyDescent="0.2">
      <c r="A84" s="4">
        <v>10</v>
      </c>
      <c r="B84" s="4">
        <v>18</v>
      </c>
      <c r="C84" s="4">
        <v>9</v>
      </c>
      <c r="D84" s="4">
        <v>8</v>
      </c>
      <c r="E84" s="4">
        <v>0</v>
      </c>
      <c r="F84" s="4">
        <v>0</v>
      </c>
      <c r="G84" s="4">
        <v>0</v>
      </c>
      <c r="H84" s="4">
        <v>1</v>
      </c>
      <c r="I84" s="4">
        <v>0</v>
      </c>
      <c r="J84" s="4">
        <v>0</v>
      </c>
      <c r="K84" s="4">
        <v>0</v>
      </c>
      <c r="L84" s="2" t="s">
        <v>79</v>
      </c>
    </row>
    <row r="85" spans="1:12" x14ac:dyDescent="0.2">
      <c r="A85" s="4">
        <v>21.63</v>
      </c>
      <c r="B85" s="4">
        <v>18</v>
      </c>
      <c r="C85" s="4">
        <v>8</v>
      </c>
      <c r="D85" s="4">
        <v>8</v>
      </c>
      <c r="E85" s="4">
        <v>1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2" t="s">
        <v>79</v>
      </c>
    </row>
    <row r="86" spans="1:12" x14ac:dyDescent="0.2">
      <c r="A86" s="4">
        <v>4.57</v>
      </c>
      <c r="B86" s="4">
        <v>14</v>
      </c>
      <c r="C86" s="4">
        <v>37</v>
      </c>
      <c r="D86" s="4">
        <v>7</v>
      </c>
      <c r="E86" s="4">
        <v>1</v>
      </c>
      <c r="F86" s="4">
        <v>1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2" t="s">
        <v>79</v>
      </c>
    </row>
    <row r="87" spans="1:12" x14ac:dyDescent="0.2">
      <c r="A87" s="4">
        <v>18.16</v>
      </c>
      <c r="B87" s="4">
        <v>16</v>
      </c>
      <c r="C87" s="4">
        <v>29</v>
      </c>
      <c r="D87" s="4">
        <v>7</v>
      </c>
      <c r="E87" s="4">
        <v>0</v>
      </c>
      <c r="F87" s="4">
        <v>1</v>
      </c>
      <c r="G87" s="4">
        <v>1</v>
      </c>
      <c r="H87" s="4">
        <v>0</v>
      </c>
      <c r="I87" s="4">
        <v>1</v>
      </c>
      <c r="J87" s="4">
        <v>0</v>
      </c>
      <c r="K87" s="4">
        <v>0</v>
      </c>
      <c r="L87" s="2" t="s">
        <v>79</v>
      </c>
    </row>
    <row r="88" spans="1:12" x14ac:dyDescent="0.2">
      <c r="A88" s="4">
        <v>11.25</v>
      </c>
      <c r="B88" s="4">
        <v>18</v>
      </c>
      <c r="C88" s="4">
        <v>15</v>
      </c>
      <c r="D88" s="4">
        <v>7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</v>
      </c>
      <c r="K88" s="4">
        <v>0</v>
      </c>
      <c r="L88" s="2" t="s">
        <v>79</v>
      </c>
    </row>
    <row r="89" spans="1:12" x14ac:dyDescent="0.2">
      <c r="A89" s="4">
        <v>5.9</v>
      </c>
      <c r="B89" s="4">
        <v>12</v>
      </c>
      <c r="C89" s="4">
        <v>14</v>
      </c>
      <c r="D89" s="4">
        <v>7</v>
      </c>
      <c r="E89" s="4">
        <v>0</v>
      </c>
      <c r="F89" s="4">
        <v>1</v>
      </c>
      <c r="G89" s="4">
        <v>2</v>
      </c>
      <c r="H89" s="4">
        <v>0</v>
      </c>
      <c r="I89" s="4">
        <v>1</v>
      </c>
      <c r="J89" s="4">
        <v>0</v>
      </c>
      <c r="K89" s="4">
        <v>0</v>
      </c>
      <c r="L89" s="2" t="s">
        <v>79</v>
      </c>
    </row>
    <row r="90" spans="1:12" x14ac:dyDescent="0.2">
      <c r="A90" s="4">
        <v>3.71</v>
      </c>
      <c r="B90" s="4">
        <v>9</v>
      </c>
      <c r="C90" s="4">
        <v>14</v>
      </c>
      <c r="D90" s="4">
        <v>7</v>
      </c>
      <c r="E90" s="4">
        <v>0</v>
      </c>
      <c r="F90" s="4">
        <v>1</v>
      </c>
      <c r="G90" s="4">
        <v>2</v>
      </c>
      <c r="H90" s="4">
        <v>0</v>
      </c>
      <c r="I90" s="4">
        <v>1</v>
      </c>
      <c r="J90" s="4">
        <v>0</v>
      </c>
      <c r="K90" s="4">
        <v>0</v>
      </c>
      <c r="L90" s="2" t="s">
        <v>79</v>
      </c>
    </row>
    <row r="91" spans="1:12" x14ac:dyDescent="0.2">
      <c r="A91" s="4">
        <v>7.5</v>
      </c>
      <c r="B91" s="4">
        <v>12</v>
      </c>
      <c r="C91" s="4">
        <v>11</v>
      </c>
      <c r="D91" s="4">
        <v>7</v>
      </c>
      <c r="E91" s="10">
        <v>2</v>
      </c>
      <c r="F91" s="4">
        <v>1</v>
      </c>
      <c r="G91" s="4">
        <v>1</v>
      </c>
      <c r="H91" s="4">
        <v>0</v>
      </c>
      <c r="I91" s="4">
        <v>0</v>
      </c>
      <c r="J91" s="4">
        <v>0</v>
      </c>
      <c r="K91" s="4">
        <v>0</v>
      </c>
      <c r="L91" s="2" t="s">
        <v>79</v>
      </c>
    </row>
    <row r="92" spans="1:12" x14ac:dyDescent="0.2">
      <c r="A92" s="4">
        <v>5.9</v>
      </c>
      <c r="B92" s="4">
        <v>12</v>
      </c>
      <c r="C92" s="4">
        <v>9</v>
      </c>
      <c r="D92" s="4">
        <v>7</v>
      </c>
      <c r="E92" s="4">
        <v>1</v>
      </c>
      <c r="F92" s="4">
        <v>1</v>
      </c>
      <c r="G92" s="4">
        <v>1</v>
      </c>
      <c r="H92" s="4">
        <v>1</v>
      </c>
      <c r="I92" s="4">
        <v>0</v>
      </c>
      <c r="J92" s="4">
        <v>0</v>
      </c>
      <c r="K92" s="4">
        <v>0</v>
      </c>
      <c r="L92" s="2" t="s">
        <v>79</v>
      </c>
    </row>
    <row r="93" spans="1:12" x14ac:dyDescent="0.2">
      <c r="A93" s="4">
        <v>4.6900000000000004</v>
      </c>
      <c r="B93" s="4">
        <v>10</v>
      </c>
      <c r="C93" s="4">
        <v>7</v>
      </c>
      <c r="D93" s="4">
        <v>7</v>
      </c>
      <c r="E93" s="4">
        <v>0</v>
      </c>
      <c r="F93" s="4">
        <v>0</v>
      </c>
      <c r="G93" s="4">
        <v>0</v>
      </c>
      <c r="H93" s="4">
        <v>1</v>
      </c>
      <c r="I93" s="4">
        <v>0</v>
      </c>
      <c r="J93" s="4">
        <v>0</v>
      </c>
      <c r="K93" s="4">
        <v>0</v>
      </c>
      <c r="L93" s="2" t="s">
        <v>79</v>
      </c>
    </row>
    <row r="94" spans="1:12" x14ac:dyDescent="0.2">
      <c r="A94" s="4">
        <v>6</v>
      </c>
      <c r="B94" s="4">
        <v>12</v>
      </c>
      <c r="C94" s="4">
        <v>7</v>
      </c>
      <c r="D94" s="4">
        <v>7</v>
      </c>
      <c r="E94" s="4">
        <v>0</v>
      </c>
      <c r="F94" s="4">
        <v>1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2" t="s">
        <v>79</v>
      </c>
    </row>
    <row r="95" spans="1:12" x14ac:dyDescent="0.2">
      <c r="A95" s="4">
        <v>15</v>
      </c>
      <c r="B95" s="4">
        <v>14</v>
      </c>
      <c r="C95" s="4">
        <v>7</v>
      </c>
      <c r="D95" s="4">
        <v>7</v>
      </c>
      <c r="E95" s="4">
        <v>0</v>
      </c>
      <c r="F95" s="4">
        <v>1</v>
      </c>
      <c r="G95" s="4">
        <v>1</v>
      </c>
      <c r="H95" s="4">
        <v>0</v>
      </c>
      <c r="I95" s="4">
        <v>0</v>
      </c>
      <c r="J95" s="4">
        <v>0</v>
      </c>
      <c r="K95" s="4">
        <v>0</v>
      </c>
      <c r="L95" s="2" t="s">
        <v>79</v>
      </c>
    </row>
    <row r="96" spans="1:12" x14ac:dyDescent="0.2">
      <c r="A96" s="4">
        <v>3.54</v>
      </c>
      <c r="B96" s="4">
        <v>13</v>
      </c>
      <c r="C96" s="4">
        <v>6</v>
      </c>
      <c r="D96" s="4">
        <v>7</v>
      </c>
      <c r="E96" s="4">
        <v>1</v>
      </c>
      <c r="F96" s="4">
        <v>1</v>
      </c>
      <c r="G96" s="4">
        <v>0</v>
      </c>
      <c r="H96" s="4">
        <v>1</v>
      </c>
      <c r="I96" s="4">
        <v>0</v>
      </c>
      <c r="J96" s="4">
        <v>0</v>
      </c>
      <c r="K96" s="4">
        <v>0</v>
      </c>
      <c r="L96" s="2" t="s">
        <v>79</v>
      </c>
    </row>
    <row r="97" spans="1:12" x14ac:dyDescent="0.2">
      <c r="A97" s="4">
        <v>2.9</v>
      </c>
      <c r="B97" s="4">
        <v>8</v>
      </c>
      <c r="C97" s="9">
        <v>43.93</v>
      </c>
      <c r="D97" s="4">
        <v>6</v>
      </c>
      <c r="E97" s="4">
        <v>1</v>
      </c>
      <c r="F97" s="4">
        <v>0</v>
      </c>
      <c r="G97" s="4">
        <v>1</v>
      </c>
      <c r="H97" s="4">
        <v>0</v>
      </c>
      <c r="I97" s="4">
        <v>0</v>
      </c>
      <c r="J97" s="4">
        <v>0</v>
      </c>
      <c r="K97" s="4">
        <v>0</v>
      </c>
      <c r="L97" s="2" t="s">
        <v>79</v>
      </c>
    </row>
    <row r="98" spans="1:12" x14ac:dyDescent="0.2">
      <c r="A98" s="4">
        <v>4</v>
      </c>
      <c r="B98" s="4">
        <v>12</v>
      </c>
      <c r="C98" s="4">
        <v>43</v>
      </c>
      <c r="D98" s="4">
        <v>6</v>
      </c>
      <c r="E98" s="4">
        <v>1</v>
      </c>
      <c r="F98" s="4">
        <v>1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2" t="s">
        <v>79</v>
      </c>
    </row>
    <row r="99" spans="1:12" x14ac:dyDescent="0.2">
      <c r="A99" s="4">
        <v>6.25</v>
      </c>
      <c r="B99" s="4">
        <v>12</v>
      </c>
      <c r="C99" s="4">
        <v>21</v>
      </c>
      <c r="D99" s="4">
        <v>6</v>
      </c>
      <c r="E99" s="4">
        <v>0</v>
      </c>
      <c r="F99" s="4">
        <v>1</v>
      </c>
      <c r="G99" s="4">
        <v>3</v>
      </c>
      <c r="H99" s="4">
        <v>0</v>
      </c>
      <c r="I99" s="4">
        <v>1</v>
      </c>
      <c r="J99" s="4">
        <v>0</v>
      </c>
      <c r="K99" s="4">
        <v>0</v>
      </c>
      <c r="L99" s="2" t="s">
        <v>79</v>
      </c>
    </row>
    <row r="100" spans="1:12" x14ac:dyDescent="0.2">
      <c r="A100" s="4">
        <v>5.8</v>
      </c>
      <c r="B100" s="4">
        <v>12</v>
      </c>
      <c r="C100" s="4">
        <v>19</v>
      </c>
      <c r="D100" s="4">
        <v>6</v>
      </c>
      <c r="E100" s="4">
        <v>1</v>
      </c>
      <c r="F100" s="4">
        <v>1</v>
      </c>
      <c r="G100" s="4">
        <v>2</v>
      </c>
      <c r="H100" s="4">
        <v>1</v>
      </c>
      <c r="I100" s="4">
        <v>0</v>
      </c>
      <c r="J100" s="4">
        <v>0</v>
      </c>
      <c r="K100" s="4">
        <v>0</v>
      </c>
      <c r="L100" s="2" t="s">
        <v>79</v>
      </c>
    </row>
    <row r="101" spans="1:12" x14ac:dyDescent="0.2">
      <c r="A101" s="4">
        <v>8</v>
      </c>
      <c r="B101" s="4">
        <v>12</v>
      </c>
      <c r="C101" s="4">
        <v>17</v>
      </c>
      <c r="D101" s="4">
        <v>6</v>
      </c>
      <c r="E101" s="4">
        <v>0</v>
      </c>
      <c r="F101" s="4">
        <v>1</v>
      </c>
      <c r="G101" s="4">
        <v>2</v>
      </c>
      <c r="H101" s="4">
        <v>0</v>
      </c>
      <c r="I101" s="4">
        <v>1</v>
      </c>
      <c r="J101" s="4">
        <v>0</v>
      </c>
      <c r="K101" s="4">
        <v>0</v>
      </c>
      <c r="L101" s="2" t="s">
        <v>79</v>
      </c>
    </row>
    <row r="102" spans="1:12" x14ac:dyDescent="0.2">
      <c r="A102" s="4">
        <v>6.15</v>
      </c>
      <c r="B102" s="4">
        <v>12</v>
      </c>
      <c r="C102" s="4">
        <v>15</v>
      </c>
      <c r="D102" s="4">
        <v>6</v>
      </c>
      <c r="E102" s="4">
        <v>1</v>
      </c>
      <c r="F102" s="4">
        <v>1</v>
      </c>
      <c r="G102" s="4">
        <v>1</v>
      </c>
      <c r="H102" s="4">
        <v>0</v>
      </c>
      <c r="I102" s="4">
        <v>0</v>
      </c>
      <c r="J102" s="4">
        <v>1</v>
      </c>
      <c r="K102" s="4">
        <v>0</v>
      </c>
      <c r="L102" s="2" t="s">
        <v>79</v>
      </c>
    </row>
    <row r="103" spans="1:12" x14ac:dyDescent="0.2">
      <c r="A103" s="4">
        <v>5.91</v>
      </c>
      <c r="B103" s="4">
        <v>12</v>
      </c>
      <c r="C103" s="4">
        <v>14</v>
      </c>
      <c r="D103" s="4">
        <v>6</v>
      </c>
      <c r="E103" s="4">
        <v>0</v>
      </c>
      <c r="F103" s="4">
        <v>1</v>
      </c>
      <c r="G103" s="4">
        <v>2</v>
      </c>
      <c r="H103" s="4">
        <v>0</v>
      </c>
      <c r="I103" s="4">
        <v>0</v>
      </c>
      <c r="J103" s="4">
        <v>0</v>
      </c>
      <c r="K103" s="4">
        <v>0</v>
      </c>
      <c r="L103" s="2" t="s">
        <v>79</v>
      </c>
    </row>
    <row r="104" spans="1:12" x14ac:dyDescent="0.2">
      <c r="A104" s="4">
        <v>8.5299999999999994</v>
      </c>
      <c r="B104" s="4">
        <v>10</v>
      </c>
      <c r="C104" s="4">
        <v>14</v>
      </c>
      <c r="D104" s="4">
        <v>6</v>
      </c>
      <c r="E104" s="4">
        <v>0</v>
      </c>
      <c r="F104" s="4">
        <v>1</v>
      </c>
      <c r="G104" s="4">
        <v>0</v>
      </c>
      <c r="H104" s="4">
        <v>0</v>
      </c>
      <c r="I104" s="4">
        <v>1</v>
      </c>
      <c r="J104" s="4">
        <v>0</v>
      </c>
      <c r="K104" s="4">
        <v>0</v>
      </c>
      <c r="L104" s="2" t="s">
        <v>79</v>
      </c>
    </row>
    <row r="105" spans="1:12" x14ac:dyDescent="0.2">
      <c r="A105" s="4">
        <v>8.43</v>
      </c>
      <c r="B105" s="4">
        <v>16</v>
      </c>
      <c r="C105" s="4">
        <v>8</v>
      </c>
      <c r="D105" s="4">
        <v>6</v>
      </c>
      <c r="E105" s="4">
        <v>0</v>
      </c>
      <c r="F105" s="4">
        <v>1</v>
      </c>
      <c r="G105" s="4">
        <v>0</v>
      </c>
      <c r="H105" s="4">
        <v>0</v>
      </c>
      <c r="I105" s="4">
        <v>1</v>
      </c>
      <c r="J105" s="4">
        <v>0</v>
      </c>
      <c r="K105" s="4">
        <v>0</v>
      </c>
      <c r="L105" s="2" t="s">
        <v>79</v>
      </c>
    </row>
    <row r="106" spans="1:12" x14ac:dyDescent="0.2">
      <c r="A106" s="4">
        <v>6.45</v>
      </c>
      <c r="B106" s="4">
        <v>12</v>
      </c>
      <c r="C106" s="4">
        <v>7</v>
      </c>
      <c r="D106" s="4">
        <v>6</v>
      </c>
      <c r="E106" s="10">
        <v>2</v>
      </c>
      <c r="F106" s="4">
        <v>1</v>
      </c>
      <c r="G106" s="4">
        <v>0</v>
      </c>
      <c r="H106" s="4">
        <v>0</v>
      </c>
      <c r="I106" s="4">
        <v>1</v>
      </c>
      <c r="J106" s="4">
        <v>0</v>
      </c>
      <c r="K106" s="4">
        <v>0</v>
      </c>
      <c r="L106" s="2" t="s">
        <v>79</v>
      </c>
    </row>
    <row r="107" spans="1:12" x14ac:dyDescent="0.2">
      <c r="A107" s="4">
        <v>3.5</v>
      </c>
      <c r="B107" s="4">
        <v>12</v>
      </c>
      <c r="C107" s="4">
        <v>7</v>
      </c>
      <c r="D107" s="4">
        <v>6</v>
      </c>
      <c r="E107" s="4">
        <v>1</v>
      </c>
      <c r="F107" s="4">
        <v>1</v>
      </c>
      <c r="G107" s="4">
        <v>0</v>
      </c>
      <c r="H107" s="4">
        <v>1</v>
      </c>
      <c r="I107" s="4">
        <v>0</v>
      </c>
      <c r="J107" s="4">
        <v>0</v>
      </c>
      <c r="K107" s="4">
        <v>0</v>
      </c>
      <c r="L107" s="2" t="s">
        <v>79</v>
      </c>
    </row>
    <row r="108" spans="1:12" x14ac:dyDescent="0.2">
      <c r="A108" s="4">
        <v>5.13</v>
      </c>
      <c r="B108" s="4">
        <v>15</v>
      </c>
      <c r="C108" s="4">
        <v>6</v>
      </c>
      <c r="D108" s="4">
        <v>6</v>
      </c>
      <c r="E108" s="10">
        <v>2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2" t="s">
        <v>79</v>
      </c>
    </row>
    <row r="109" spans="1:12" x14ac:dyDescent="0.2">
      <c r="A109" s="4">
        <v>7.14</v>
      </c>
      <c r="B109" s="4">
        <v>12</v>
      </c>
      <c r="C109" s="4">
        <v>43</v>
      </c>
      <c r="D109" s="4">
        <v>5</v>
      </c>
      <c r="E109" s="4">
        <v>1</v>
      </c>
      <c r="F109" s="4">
        <v>0</v>
      </c>
      <c r="G109" s="4">
        <v>0</v>
      </c>
      <c r="H109" s="4">
        <v>1</v>
      </c>
      <c r="I109" s="4">
        <v>0</v>
      </c>
      <c r="J109" s="4">
        <v>0</v>
      </c>
      <c r="K109" s="4">
        <v>0</v>
      </c>
      <c r="L109" s="2" t="s">
        <v>79</v>
      </c>
    </row>
    <row r="110" spans="1:12" x14ac:dyDescent="0.2">
      <c r="A110" s="4">
        <v>12.39</v>
      </c>
      <c r="B110" s="4">
        <v>14</v>
      </c>
      <c r="C110" s="4">
        <v>42</v>
      </c>
      <c r="D110" s="4">
        <v>5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2" t="s">
        <v>79</v>
      </c>
    </row>
    <row r="111" spans="1:12" x14ac:dyDescent="0.2">
      <c r="A111" s="4">
        <v>8</v>
      </c>
      <c r="B111" s="4">
        <v>13</v>
      </c>
      <c r="C111" s="4">
        <v>28</v>
      </c>
      <c r="D111" s="4">
        <v>5</v>
      </c>
      <c r="E111" s="4">
        <v>0</v>
      </c>
      <c r="F111" s="4">
        <v>1</v>
      </c>
      <c r="G111" s="4">
        <v>1</v>
      </c>
      <c r="H111" s="4">
        <v>1</v>
      </c>
      <c r="I111" s="4">
        <v>0</v>
      </c>
      <c r="J111" s="4">
        <v>0</v>
      </c>
      <c r="K111" s="4">
        <v>0</v>
      </c>
      <c r="L111" s="2" t="s">
        <v>79</v>
      </c>
    </row>
    <row r="112" spans="1:12" x14ac:dyDescent="0.2">
      <c r="A112" s="4">
        <v>5</v>
      </c>
      <c r="B112" s="10">
        <v>12</v>
      </c>
      <c r="C112" s="4">
        <v>24</v>
      </c>
      <c r="D112" s="4">
        <v>5</v>
      </c>
      <c r="E112" s="4">
        <v>0</v>
      </c>
      <c r="F112" s="4">
        <v>1</v>
      </c>
      <c r="G112" s="4">
        <v>0</v>
      </c>
      <c r="H112" s="4">
        <v>0</v>
      </c>
      <c r="I112" s="4">
        <v>1</v>
      </c>
      <c r="J112" s="4">
        <v>0</v>
      </c>
      <c r="K112" s="4">
        <v>0</v>
      </c>
      <c r="L112" s="2" t="s">
        <v>79</v>
      </c>
    </row>
    <row r="113" spans="1:12" x14ac:dyDescent="0.2">
      <c r="A113" s="4">
        <v>13</v>
      </c>
      <c r="B113" s="4">
        <v>14</v>
      </c>
      <c r="C113" s="4">
        <v>23</v>
      </c>
      <c r="D113" s="4">
        <v>5</v>
      </c>
      <c r="E113" s="4">
        <v>0</v>
      </c>
      <c r="F113" s="4">
        <v>1</v>
      </c>
      <c r="G113" s="4">
        <v>2</v>
      </c>
      <c r="H113" s="4">
        <v>0</v>
      </c>
      <c r="I113" s="4">
        <v>0</v>
      </c>
      <c r="J113" s="4">
        <v>1</v>
      </c>
      <c r="K113" s="4">
        <v>0</v>
      </c>
      <c r="L113" s="2" t="s">
        <v>79</v>
      </c>
    </row>
    <row r="114" spans="1:12" x14ac:dyDescent="0.2">
      <c r="A114" s="4">
        <v>4.5</v>
      </c>
      <c r="B114" s="4">
        <v>9</v>
      </c>
      <c r="C114" s="4">
        <v>22</v>
      </c>
      <c r="D114" s="4">
        <v>5</v>
      </c>
      <c r="E114" s="4">
        <v>0</v>
      </c>
      <c r="F114" s="4">
        <v>1</v>
      </c>
      <c r="G114" s="4">
        <v>4</v>
      </c>
      <c r="H114" s="4">
        <v>0</v>
      </c>
      <c r="I114" s="4">
        <v>0</v>
      </c>
      <c r="J114" s="4">
        <v>0</v>
      </c>
      <c r="K114" s="4">
        <v>0</v>
      </c>
      <c r="L114" s="2" t="s">
        <v>79</v>
      </c>
    </row>
    <row r="115" spans="1:12" x14ac:dyDescent="0.2">
      <c r="A115" s="4">
        <v>8.18</v>
      </c>
      <c r="B115" s="4">
        <v>13</v>
      </c>
      <c r="C115" s="4">
        <v>21</v>
      </c>
      <c r="D115" s="4">
        <v>5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</v>
      </c>
      <c r="K115" s="4">
        <v>0</v>
      </c>
      <c r="L115" s="2" t="s">
        <v>79</v>
      </c>
    </row>
    <row r="116" spans="1:12" x14ac:dyDescent="0.2">
      <c r="A116" s="4">
        <v>11.55</v>
      </c>
      <c r="B116" s="4">
        <v>16</v>
      </c>
      <c r="C116" s="4">
        <v>20</v>
      </c>
      <c r="D116" s="4">
        <v>5</v>
      </c>
      <c r="E116" s="4">
        <v>1</v>
      </c>
      <c r="F116" s="4">
        <v>1</v>
      </c>
      <c r="G116" s="4">
        <v>3</v>
      </c>
      <c r="H116" s="4">
        <v>0</v>
      </c>
      <c r="I116" s="4">
        <v>1</v>
      </c>
      <c r="J116" s="4">
        <v>0</v>
      </c>
      <c r="K116" s="4">
        <v>1</v>
      </c>
      <c r="L116" s="2" t="s">
        <v>79</v>
      </c>
    </row>
    <row r="117" spans="1:12" x14ac:dyDescent="0.2">
      <c r="A117" s="4">
        <v>5</v>
      </c>
      <c r="B117" s="4">
        <v>14</v>
      </c>
      <c r="C117" s="4">
        <v>19</v>
      </c>
      <c r="D117" s="4">
        <v>5</v>
      </c>
      <c r="E117" s="4">
        <v>0</v>
      </c>
      <c r="F117" s="4">
        <v>1</v>
      </c>
      <c r="G117" s="4">
        <v>4</v>
      </c>
      <c r="H117" s="4">
        <v>0</v>
      </c>
      <c r="I117" s="4">
        <v>1</v>
      </c>
      <c r="J117" s="4">
        <v>0</v>
      </c>
      <c r="K117" s="4">
        <v>0</v>
      </c>
      <c r="L117" s="2" t="s">
        <v>79</v>
      </c>
    </row>
    <row r="118" spans="1:12" x14ac:dyDescent="0.2">
      <c r="A118" s="4">
        <v>10</v>
      </c>
      <c r="B118" s="4">
        <v>14</v>
      </c>
      <c r="C118" s="4">
        <v>18</v>
      </c>
      <c r="D118" s="4">
        <v>5</v>
      </c>
      <c r="E118" s="4">
        <v>0</v>
      </c>
      <c r="F118" s="4">
        <v>1</v>
      </c>
      <c r="G118" s="4">
        <v>2</v>
      </c>
      <c r="H118" s="4">
        <v>0</v>
      </c>
      <c r="I118" s="4">
        <v>1</v>
      </c>
      <c r="J118" s="4">
        <v>0</v>
      </c>
      <c r="K118" s="4">
        <v>0</v>
      </c>
      <c r="L118" s="2" t="s">
        <v>79</v>
      </c>
    </row>
    <row r="119" spans="1:12" x14ac:dyDescent="0.2">
      <c r="A119" s="4">
        <v>12.5</v>
      </c>
      <c r="B119" s="4">
        <v>18</v>
      </c>
      <c r="C119" s="4">
        <v>16</v>
      </c>
      <c r="D119" s="4">
        <v>5</v>
      </c>
      <c r="E119" s="4">
        <v>0</v>
      </c>
      <c r="F119" s="4">
        <v>1</v>
      </c>
      <c r="G119" s="4">
        <v>1</v>
      </c>
      <c r="H119" s="4">
        <v>1</v>
      </c>
      <c r="I119" s="4">
        <v>0</v>
      </c>
      <c r="J119" s="4">
        <v>0</v>
      </c>
      <c r="K119" s="4">
        <v>0</v>
      </c>
      <c r="L119" s="2" t="s">
        <v>79</v>
      </c>
    </row>
    <row r="120" spans="1:12" x14ac:dyDescent="0.2">
      <c r="A120" s="4">
        <v>5</v>
      </c>
      <c r="B120" s="4">
        <v>12</v>
      </c>
      <c r="C120" s="4">
        <v>15</v>
      </c>
      <c r="D120" s="4">
        <v>5</v>
      </c>
      <c r="E120" s="4">
        <v>0</v>
      </c>
      <c r="F120" s="4">
        <v>1</v>
      </c>
      <c r="G120" s="4">
        <v>1</v>
      </c>
      <c r="H120" s="4">
        <v>0</v>
      </c>
      <c r="I120" s="4">
        <v>0</v>
      </c>
      <c r="J120" s="4">
        <v>0</v>
      </c>
      <c r="K120" s="4">
        <v>0</v>
      </c>
      <c r="L120" s="2" t="s">
        <v>79</v>
      </c>
    </row>
    <row r="121" spans="1:12" x14ac:dyDescent="0.2">
      <c r="A121" s="4">
        <v>5</v>
      </c>
      <c r="B121" s="10">
        <v>12</v>
      </c>
      <c r="C121" s="4">
        <v>15</v>
      </c>
      <c r="D121" s="4">
        <v>5</v>
      </c>
      <c r="E121" s="4">
        <v>0</v>
      </c>
      <c r="F121" s="4">
        <v>1</v>
      </c>
      <c r="G121" s="4">
        <v>2</v>
      </c>
      <c r="H121" s="4">
        <v>0</v>
      </c>
      <c r="I121" s="4">
        <v>1</v>
      </c>
      <c r="J121" s="4">
        <v>0</v>
      </c>
      <c r="K121" s="4">
        <v>0</v>
      </c>
      <c r="L121" s="2" t="s">
        <v>79</v>
      </c>
    </row>
    <row r="122" spans="1:12" x14ac:dyDescent="0.2">
      <c r="A122" s="4">
        <v>3.2</v>
      </c>
      <c r="B122" s="4">
        <v>12</v>
      </c>
      <c r="C122" s="4">
        <v>15</v>
      </c>
      <c r="D122" s="4">
        <v>5</v>
      </c>
      <c r="E122" s="4">
        <v>1</v>
      </c>
      <c r="F122" s="4">
        <v>1</v>
      </c>
      <c r="G122" s="4">
        <v>1</v>
      </c>
      <c r="H122" s="4">
        <v>0</v>
      </c>
      <c r="I122" s="4">
        <v>1</v>
      </c>
      <c r="J122" s="4">
        <v>0</v>
      </c>
      <c r="K122" s="4">
        <v>0</v>
      </c>
      <c r="L122" s="2" t="s">
        <v>79</v>
      </c>
    </row>
    <row r="123" spans="1:12" x14ac:dyDescent="0.2">
      <c r="A123" s="4">
        <v>3.26</v>
      </c>
      <c r="B123" s="4">
        <v>16</v>
      </c>
      <c r="C123" s="4">
        <v>15</v>
      </c>
      <c r="D123" s="4">
        <v>5</v>
      </c>
      <c r="E123" s="4">
        <v>1</v>
      </c>
      <c r="F123" s="4">
        <v>1</v>
      </c>
      <c r="G123" s="4">
        <v>2</v>
      </c>
      <c r="H123" s="4">
        <v>0</v>
      </c>
      <c r="I123" s="4">
        <v>1</v>
      </c>
      <c r="J123" s="4">
        <v>0</v>
      </c>
      <c r="K123" s="4">
        <v>0</v>
      </c>
      <c r="L123" s="2" t="s">
        <v>79</v>
      </c>
    </row>
    <row r="124" spans="1:12" x14ac:dyDescent="0.2">
      <c r="A124" s="4">
        <v>4.24</v>
      </c>
      <c r="B124" s="4">
        <v>10</v>
      </c>
      <c r="C124" s="4">
        <v>14</v>
      </c>
      <c r="D124" s="4">
        <v>5</v>
      </c>
      <c r="E124" s="10">
        <v>2</v>
      </c>
      <c r="F124" s="4">
        <v>1</v>
      </c>
      <c r="G124" s="4">
        <v>1</v>
      </c>
      <c r="H124" s="4">
        <v>0</v>
      </c>
      <c r="I124" s="4">
        <v>1</v>
      </c>
      <c r="J124" s="4">
        <v>0</v>
      </c>
      <c r="K124" s="4">
        <v>0</v>
      </c>
      <c r="L124" s="2" t="s">
        <v>79</v>
      </c>
    </row>
    <row r="125" spans="1:12" x14ac:dyDescent="0.2">
      <c r="A125" s="4">
        <v>9</v>
      </c>
      <c r="B125" s="4">
        <v>12</v>
      </c>
      <c r="C125" s="4">
        <v>11</v>
      </c>
      <c r="D125" s="4">
        <v>5</v>
      </c>
      <c r="E125" s="4">
        <v>1</v>
      </c>
      <c r="F125" s="4">
        <v>1</v>
      </c>
      <c r="G125" s="4">
        <v>0</v>
      </c>
      <c r="H125" s="4">
        <v>1</v>
      </c>
      <c r="I125" s="4">
        <v>0</v>
      </c>
      <c r="J125" s="4">
        <v>0</v>
      </c>
      <c r="K125" s="4">
        <v>0</v>
      </c>
      <c r="L125" s="2" t="s">
        <v>79</v>
      </c>
    </row>
    <row r="126" spans="1:12" x14ac:dyDescent="0.2">
      <c r="A126" s="4">
        <v>5.71</v>
      </c>
      <c r="B126" s="4">
        <v>16</v>
      </c>
      <c r="C126" s="4">
        <v>10</v>
      </c>
      <c r="D126" s="4">
        <v>5</v>
      </c>
      <c r="E126" s="4">
        <v>0</v>
      </c>
      <c r="F126" s="4">
        <v>1</v>
      </c>
      <c r="G126" s="4">
        <v>1</v>
      </c>
      <c r="H126" s="4">
        <v>0</v>
      </c>
      <c r="I126" s="4">
        <v>0</v>
      </c>
      <c r="J126" s="4">
        <v>0</v>
      </c>
      <c r="K126" s="4">
        <v>0</v>
      </c>
      <c r="L126" s="2" t="s">
        <v>79</v>
      </c>
    </row>
    <row r="127" spans="1:12" x14ac:dyDescent="0.2">
      <c r="A127" s="4">
        <v>6.5</v>
      </c>
      <c r="B127" s="4">
        <v>12</v>
      </c>
      <c r="C127" s="4">
        <v>8</v>
      </c>
      <c r="D127" s="4">
        <v>5</v>
      </c>
      <c r="E127" s="4">
        <v>1</v>
      </c>
      <c r="F127" s="4">
        <v>1</v>
      </c>
      <c r="G127" s="4">
        <v>0</v>
      </c>
      <c r="H127" s="4">
        <v>0</v>
      </c>
      <c r="I127" s="4">
        <v>1</v>
      </c>
      <c r="J127" s="4">
        <v>0</v>
      </c>
      <c r="K127" s="4">
        <v>0</v>
      </c>
      <c r="L127" s="2" t="s">
        <v>79</v>
      </c>
    </row>
    <row r="128" spans="1:12" x14ac:dyDescent="0.2">
      <c r="A128" s="4">
        <v>6.67</v>
      </c>
      <c r="B128" s="4">
        <v>12</v>
      </c>
      <c r="C128" s="4">
        <v>7</v>
      </c>
      <c r="D128" s="4">
        <v>5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2" t="s">
        <v>79</v>
      </c>
    </row>
    <row r="129" spans="1:12" x14ac:dyDescent="0.2">
      <c r="A129" s="4">
        <v>7</v>
      </c>
      <c r="B129" s="4">
        <v>12</v>
      </c>
      <c r="C129" s="4">
        <v>6</v>
      </c>
      <c r="D129" s="4">
        <v>5</v>
      </c>
      <c r="E129" s="4">
        <v>0</v>
      </c>
      <c r="F129" s="4">
        <v>1</v>
      </c>
      <c r="G129" s="4">
        <v>1</v>
      </c>
      <c r="H129" s="4">
        <v>0</v>
      </c>
      <c r="I129" s="4">
        <v>1</v>
      </c>
      <c r="J129" s="4">
        <v>0</v>
      </c>
      <c r="K129" s="4">
        <v>1</v>
      </c>
      <c r="L129" s="2" t="s">
        <v>79</v>
      </c>
    </row>
    <row r="130" spans="1:12" x14ac:dyDescent="0.2">
      <c r="A130" s="4">
        <v>3.13</v>
      </c>
      <c r="B130" s="4">
        <v>12</v>
      </c>
      <c r="C130" s="4">
        <v>6</v>
      </c>
      <c r="D130" s="4">
        <v>5</v>
      </c>
      <c r="E130" s="4">
        <v>1</v>
      </c>
      <c r="F130" s="4">
        <v>1</v>
      </c>
      <c r="G130" s="4">
        <v>1</v>
      </c>
      <c r="H130" s="4">
        <v>0</v>
      </c>
      <c r="I130" s="4">
        <v>1</v>
      </c>
      <c r="J130" s="4">
        <v>0</v>
      </c>
      <c r="K130" s="4">
        <v>0</v>
      </c>
      <c r="L130" s="2" t="s">
        <v>79</v>
      </c>
    </row>
    <row r="131" spans="1:12" x14ac:dyDescent="0.2">
      <c r="A131" s="4">
        <v>6.25</v>
      </c>
      <c r="B131" s="10">
        <v>12</v>
      </c>
      <c r="C131" s="4">
        <v>6</v>
      </c>
      <c r="D131" s="4">
        <v>5</v>
      </c>
      <c r="E131" s="4">
        <v>1</v>
      </c>
      <c r="F131" s="4">
        <v>1</v>
      </c>
      <c r="G131" s="4">
        <v>1</v>
      </c>
      <c r="H131" s="4">
        <v>1</v>
      </c>
      <c r="I131" s="4">
        <v>0</v>
      </c>
      <c r="J131" s="4">
        <v>0</v>
      </c>
      <c r="K131" s="4">
        <v>0</v>
      </c>
      <c r="L131" s="2" t="s">
        <v>79</v>
      </c>
    </row>
    <row r="132" spans="1:12" x14ac:dyDescent="0.2">
      <c r="A132" s="4">
        <v>5.75</v>
      </c>
      <c r="B132" s="4">
        <v>14</v>
      </c>
      <c r="C132" s="4">
        <v>6</v>
      </c>
      <c r="D132" s="4">
        <v>5</v>
      </c>
      <c r="E132" s="4">
        <v>0</v>
      </c>
      <c r="F132" s="4">
        <v>1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2" t="s">
        <v>79</v>
      </c>
    </row>
    <row r="133" spans="1:12" x14ac:dyDescent="0.2">
      <c r="A133" s="4">
        <v>4.5</v>
      </c>
      <c r="B133" s="4">
        <v>14</v>
      </c>
      <c r="C133" s="4">
        <v>2</v>
      </c>
      <c r="D133" s="4">
        <v>5</v>
      </c>
      <c r="E133" s="4">
        <v>1</v>
      </c>
      <c r="F133" s="4">
        <v>0</v>
      </c>
      <c r="G133" s="4">
        <v>2</v>
      </c>
      <c r="H133" s="4">
        <v>0</v>
      </c>
      <c r="I133" s="4">
        <v>0</v>
      </c>
      <c r="J133" s="4">
        <v>1</v>
      </c>
      <c r="K133" s="4">
        <v>0</v>
      </c>
      <c r="L133" s="2" t="s">
        <v>79</v>
      </c>
    </row>
    <row r="134" spans="1:12" x14ac:dyDescent="0.2">
      <c r="A134" s="4">
        <v>4.5</v>
      </c>
      <c r="B134" s="4">
        <v>12</v>
      </c>
      <c r="C134" s="9">
        <v>43.93</v>
      </c>
      <c r="D134" s="4">
        <v>4</v>
      </c>
      <c r="E134" s="4">
        <v>1</v>
      </c>
      <c r="F134" s="4">
        <v>1</v>
      </c>
      <c r="G134" s="4">
        <v>0</v>
      </c>
      <c r="H134" s="4">
        <v>1</v>
      </c>
      <c r="I134" s="4">
        <v>0</v>
      </c>
      <c r="J134" s="4">
        <v>0</v>
      </c>
      <c r="K134" s="4">
        <v>0</v>
      </c>
      <c r="L134" s="2" t="s">
        <v>79</v>
      </c>
    </row>
    <row r="135" spans="1:12" x14ac:dyDescent="0.2">
      <c r="A135" s="4">
        <v>3.33</v>
      </c>
      <c r="B135" s="4">
        <v>12</v>
      </c>
      <c r="C135" s="9">
        <v>43.93</v>
      </c>
      <c r="D135" s="4">
        <v>4</v>
      </c>
      <c r="E135" s="4">
        <v>1</v>
      </c>
      <c r="F135" s="4">
        <v>1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2" t="s">
        <v>79</v>
      </c>
    </row>
    <row r="136" spans="1:12" x14ac:dyDescent="0.2">
      <c r="A136" s="4">
        <v>10</v>
      </c>
      <c r="B136" s="4">
        <v>14</v>
      </c>
      <c r="C136" s="4">
        <v>43</v>
      </c>
      <c r="D136" s="4">
        <v>4</v>
      </c>
      <c r="E136" s="10">
        <v>2</v>
      </c>
      <c r="F136" s="4">
        <v>1</v>
      </c>
      <c r="G136" s="4">
        <v>0</v>
      </c>
      <c r="H136" s="4">
        <v>1</v>
      </c>
      <c r="I136" s="4">
        <v>0</v>
      </c>
      <c r="J136" s="4">
        <v>0</v>
      </c>
      <c r="K136" s="4">
        <v>0</v>
      </c>
      <c r="L136" s="2" t="s">
        <v>79</v>
      </c>
    </row>
    <row r="137" spans="1:12" x14ac:dyDescent="0.2">
      <c r="A137" s="4">
        <v>4.5</v>
      </c>
      <c r="B137" s="4">
        <v>12</v>
      </c>
      <c r="C137" s="4">
        <v>31</v>
      </c>
      <c r="D137" s="4">
        <v>4</v>
      </c>
      <c r="E137" s="4">
        <v>1</v>
      </c>
      <c r="F137" s="4">
        <v>1</v>
      </c>
      <c r="G137" s="4">
        <v>3</v>
      </c>
      <c r="H137" s="4">
        <v>0</v>
      </c>
      <c r="I137" s="4">
        <v>1</v>
      </c>
      <c r="J137" s="4">
        <v>0</v>
      </c>
      <c r="K137" s="4">
        <v>0</v>
      </c>
      <c r="L137" s="2" t="s">
        <v>79</v>
      </c>
    </row>
    <row r="138" spans="1:12" x14ac:dyDescent="0.2">
      <c r="A138" s="4">
        <v>4.2699999999999996</v>
      </c>
      <c r="B138" s="4">
        <v>16</v>
      </c>
      <c r="C138" s="4">
        <v>22</v>
      </c>
      <c r="D138" s="4">
        <v>4</v>
      </c>
      <c r="E138" s="4">
        <v>1</v>
      </c>
      <c r="F138" s="4">
        <v>1</v>
      </c>
      <c r="G138" s="4">
        <v>1</v>
      </c>
      <c r="H138" s="4">
        <v>0</v>
      </c>
      <c r="I138" s="4">
        <v>0</v>
      </c>
      <c r="J138" s="4">
        <v>1</v>
      </c>
      <c r="K138" s="4">
        <v>0</v>
      </c>
      <c r="L138" s="2" t="s">
        <v>79</v>
      </c>
    </row>
    <row r="139" spans="1:12" x14ac:dyDescent="0.2">
      <c r="A139" s="4">
        <v>20</v>
      </c>
      <c r="B139" s="4">
        <v>12</v>
      </c>
      <c r="C139" s="4">
        <v>22</v>
      </c>
      <c r="D139" s="4">
        <v>4</v>
      </c>
      <c r="E139" s="4">
        <v>0</v>
      </c>
      <c r="F139" s="4">
        <v>1</v>
      </c>
      <c r="G139" s="4">
        <v>1</v>
      </c>
      <c r="H139" s="4">
        <v>0</v>
      </c>
      <c r="I139" s="4">
        <v>1</v>
      </c>
      <c r="J139" s="4">
        <v>0</v>
      </c>
      <c r="K139" s="4">
        <v>0</v>
      </c>
      <c r="L139" s="2" t="s">
        <v>79</v>
      </c>
    </row>
    <row r="140" spans="1:12" x14ac:dyDescent="0.2">
      <c r="A140" s="4">
        <v>3.5</v>
      </c>
      <c r="B140" s="4">
        <v>12</v>
      </c>
      <c r="C140" s="4">
        <v>20</v>
      </c>
      <c r="D140" s="4">
        <v>4</v>
      </c>
      <c r="E140" s="4">
        <v>1</v>
      </c>
      <c r="F140" s="4">
        <v>1</v>
      </c>
      <c r="G140" s="4">
        <v>2</v>
      </c>
      <c r="H140" s="4">
        <v>0</v>
      </c>
      <c r="I140" s="4">
        <v>0</v>
      </c>
      <c r="J140" s="4">
        <v>0</v>
      </c>
      <c r="K140" s="4">
        <v>0</v>
      </c>
      <c r="L140" s="2" t="s">
        <v>79</v>
      </c>
    </row>
    <row r="141" spans="1:12" x14ac:dyDescent="0.2">
      <c r="A141" s="4">
        <v>6</v>
      </c>
      <c r="B141" s="4">
        <v>15</v>
      </c>
      <c r="C141" s="4">
        <v>19</v>
      </c>
      <c r="D141" s="4">
        <v>4</v>
      </c>
      <c r="E141" s="4">
        <v>1</v>
      </c>
      <c r="F141" s="4">
        <v>1</v>
      </c>
      <c r="G141" s="4">
        <v>2</v>
      </c>
      <c r="H141" s="4">
        <v>0</v>
      </c>
      <c r="I141" s="4">
        <v>1</v>
      </c>
      <c r="J141" s="4">
        <v>0</v>
      </c>
      <c r="K141" s="4">
        <v>0</v>
      </c>
      <c r="L141" s="2" t="s">
        <v>79</v>
      </c>
    </row>
    <row r="142" spans="1:12" x14ac:dyDescent="0.2">
      <c r="A142" s="4">
        <v>8</v>
      </c>
      <c r="B142" s="4">
        <v>12</v>
      </c>
      <c r="C142" s="4">
        <v>14</v>
      </c>
      <c r="D142" s="4">
        <v>4</v>
      </c>
      <c r="E142" s="4">
        <v>1</v>
      </c>
      <c r="F142" s="4">
        <v>0</v>
      </c>
      <c r="G142" s="4">
        <v>1</v>
      </c>
      <c r="H142" s="4">
        <v>0</v>
      </c>
      <c r="I142" s="4">
        <v>0</v>
      </c>
      <c r="J142" s="4">
        <v>0</v>
      </c>
      <c r="K142" s="4">
        <v>0</v>
      </c>
      <c r="L142" s="2" t="s">
        <v>79</v>
      </c>
    </row>
    <row r="143" spans="1:12" x14ac:dyDescent="0.2">
      <c r="A143" s="4">
        <v>6.25</v>
      </c>
      <c r="B143" s="4">
        <v>15</v>
      </c>
      <c r="C143" s="4">
        <v>12</v>
      </c>
      <c r="D143" s="4">
        <v>4</v>
      </c>
      <c r="E143" s="4">
        <v>1</v>
      </c>
      <c r="F143" s="4">
        <v>1</v>
      </c>
      <c r="G143" s="4">
        <v>2</v>
      </c>
      <c r="H143" s="4">
        <v>0</v>
      </c>
      <c r="I143" s="4">
        <v>0</v>
      </c>
      <c r="J143" s="4">
        <v>0</v>
      </c>
      <c r="K143" s="4">
        <v>0</v>
      </c>
      <c r="L143" s="2" t="s">
        <v>79</v>
      </c>
    </row>
    <row r="144" spans="1:12" x14ac:dyDescent="0.2">
      <c r="A144" s="4">
        <v>6.88</v>
      </c>
      <c r="B144" s="10">
        <v>12</v>
      </c>
      <c r="C144" s="4">
        <v>11</v>
      </c>
      <c r="D144" s="4">
        <v>4</v>
      </c>
      <c r="E144" s="4">
        <v>1</v>
      </c>
      <c r="F144" s="4">
        <v>0</v>
      </c>
      <c r="G144" s="4">
        <v>0</v>
      </c>
      <c r="H144" s="4">
        <v>0</v>
      </c>
      <c r="I144" s="4">
        <v>0</v>
      </c>
      <c r="J144" s="4">
        <v>1</v>
      </c>
      <c r="K144" s="4">
        <v>0</v>
      </c>
      <c r="L144" s="2" t="s">
        <v>79</v>
      </c>
    </row>
    <row r="145" spans="1:12" x14ac:dyDescent="0.2">
      <c r="A145" s="4">
        <v>6.25</v>
      </c>
      <c r="B145" s="4">
        <v>16</v>
      </c>
      <c r="C145" s="4">
        <v>11</v>
      </c>
      <c r="D145" s="4">
        <v>4</v>
      </c>
      <c r="E145" s="4">
        <v>0</v>
      </c>
      <c r="F145" s="4">
        <v>0</v>
      </c>
      <c r="G145" s="4">
        <v>0</v>
      </c>
      <c r="H145" s="4">
        <v>1</v>
      </c>
      <c r="I145" s="4">
        <v>0</v>
      </c>
      <c r="J145" s="4">
        <v>0</v>
      </c>
      <c r="K145" s="4">
        <v>0</v>
      </c>
      <c r="L145" s="2" t="s">
        <v>79</v>
      </c>
    </row>
    <row r="146" spans="1:12" x14ac:dyDescent="0.2">
      <c r="A146" s="4">
        <v>6.38</v>
      </c>
      <c r="B146" s="4">
        <v>13</v>
      </c>
      <c r="C146" s="4">
        <v>11</v>
      </c>
      <c r="D146" s="4">
        <v>4</v>
      </c>
      <c r="E146" s="4">
        <v>1</v>
      </c>
      <c r="F146" s="4">
        <v>0</v>
      </c>
      <c r="G146" s="4">
        <v>0</v>
      </c>
      <c r="H146" s="4">
        <v>0</v>
      </c>
      <c r="I146" s="4">
        <v>0</v>
      </c>
      <c r="J146" s="4">
        <v>1</v>
      </c>
      <c r="K146" s="4">
        <v>0</v>
      </c>
      <c r="L146" s="2" t="s">
        <v>79</v>
      </c>
    </row>
    <row r="147" spans="1:12" x14ac:dyDescent="0.2">
      <c r="A147" s="4">
        <v>5.78</v>
      </c>
      <c r="B147" s="4">
        <v>16</v>
      </c>
      <c r="C147" s="4">
        <v>11</v>
      </c>
      <c r="D147" s="4">
        <v>4</v>
      </c>
      <c r="E147" s="4">
        <v>0</v>
      </c>
      <c r="F147" s="4">
        <v>1</v>
      </c>
      <c r="G147" s="4">
        <v>2</v>
      </c>
      <c r="H147" s="4">
        <v>1</v>
      </c>
      <c r="I147" s="4">
        <v>0</v>
      </c>
      <c r="J147" s="4">
        <v>0</v>
      </c>
      <c r="K147" s="4">
        <v>0</v>
      </c>
      <c r="L147" s="2" t="s">
        <v>79</v>
      </c>
    </row>
    <row r="148" spans="1:12" x14ac:dyDescent="0.2">
      <c r="A148" s="4">
        <v>7.63</v>
      </c>
      <c r="B148" s="4">
        <v>12</v>
      </c>
      <c r="C148" s="4">
        <v>8</v>
      </c>
      <c r="D148" s="4">
        <v>4</v>
      </c>
      <c r="E148" s="4">
        <v>1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2" t="s">
        <v>79</v>
      </c>
    </row>
    <row r="149" spans="1:12" x14ac:dyDescent="0.2">
      <c r="A149" s="4">
        <v>3.75</v>
      </c>
      <c r="B149" s="10">
        <v>12</v>
      </c>
      <c r="C149" s="4">
        <v>8</v>
      </c>
      <c r="D149" s="4">
        <v>4</v>
      </c>
      <c r="E149" s="4">
        <v>1</v>
      </c>
      <c r="F149" s="4">
        <v>1</v>
      </c>
      <c r="G149" s="4">
        <v>0</v>
      </c>
      <c r="H149" s="4">
        <v>0</v>
      </c>
      <c r="I149" s="4">
        <v>1</v>
      </c>
      <c r="J149" s="4">
        <v>0</v>
      </c>
      <c r="K149" s="4">
        <v>0</v>
      </c>
      <c r="L149" s="2" t="s">
        <v>79</v>
      </c>
    </row>
    <row r="150" spans="1:12" x14ac:dyDescent="0.2">
      <c r="A150" s="4">
        <v>6.25</v>
      </c>
      <c r="B150" s="10">
        <v>12</v>
      </c>
      <c r="C150" s="4">
        <v>7</v>
      </c>
      <c r="D150" s="4">
        <v>4</v>
      </c>
      <c r="E150" s="4">
        <v>1</v>
      </c>
      <c r="F150" s="4">
        <v>1</v>
      </c>
      <c r="G150" s="4">
        <v>3</v>
      </c>
      <c r="H150" s="4">
        <v>0</v>
      </c>
      <c r="I150" s="4">
        <v>0</v>
      </c>
      <c r="J150" s="4">
        <v>0</v>
      </c>
      <c r="K150" s="4">
        <v>0</v>
      </c>
      <c r="L150" s="2" t="s">
        <v>79</v>
      </c>
    </row>
    <row r="151" spans="1:12" x14ac:dyDescent="0.2">
      <c r="A151" s="4">
        <v>3.5</v>
      </c>
      <c r="B151" s="4">
        <v>14</v>
      </c>
      <c r="C151" s="4">
        <v>5</v>
      </c>
      <c r="D151" s="4">
        <v>4</v>
      </c>
      <c r="E151" s="4">
        <v>1</v>
      </c>
      <c r="F151" s="4">
        <v>0</v>
      </c>
      <c r="G151" s="4">
        <v>2</v>
      </c>
      <c r="H151" s="4">
        <v>0</v>
      </c>
      <c r="I151" s="4">
        <v>0</v>
      </c>
      <c r="J151" s="4">
        <v>1</v>
      </c>
      <c r="K151" s="4">
        <v>0</v>
      </c>
      <c r="L151" s="2" t="s">
        <v>79</v>
      </c>
    </row>
    <row r="152" spans="1:12" x14ac:dyDescent="0.2">
      <c r="A152" s="4">
        <v>3.35</v>
      </c>
      <c r="B152" s="4">
        <v>14</v>
      </c>
      <c r="C152" s="4">
        <v>5</v>
      </c>
      <c r="D152" s="4">
        <v>4</v>
      </c>
      <c r="E152" s="4">
        <v>1</v>
      </c>
      <c r="F152" s="4">
        <v>1</v>
      </c>
      <c r="G152" s="4">
        <v>0</v>
      </c>
      <c r="H152" s="4">
        <v>1</v>
      </c>
      <c r="I152" s="4">
        <v>0</v>
      </c>
      <c r="J152" s="4">
        <v>0</v>
      </c>
      <c r="K152" s="4">
        <v>0</v>
      </c>
      <c r="L152" s="2" t="s">
        <v>79</v>
      </c>
    </row>
    <row r="153" spans="1:12" x14ac:dyDescent="0.2">
      <c r="A153" s="4">
        <v>6.88</v>
      </c>
      <c r="B153" s="10">
        <v>12</v>
      </c>
      <c r="C153" s="4">
        <v>4</v>
      </c>
      <c r="D153" s="4">
        <v>4</v>
      </c>
      <c r="E153" s="4">
        <v>0</v>
      </c>
      <c r="F153" s="4">
        <v>0</v>
      </c>
      <c r="G153" s="4">
        <v>0</v>
      </c>
      <c r="H153" s="4">
        <v>1</v>
      </c>
      <c r="I153" s="4">
        <v>0</v>
      </c>
      <c r="J153" s="4">
        <v>0</v>
      </c>
      <c r="K153" s="4">
        <v>0</v>
      </c>
      <c r="L153" s="2" t="s">
        <v>79</v>
      </c>
    </row>
    <row r="154" spans="1:12" x14ac:dyDescent="0.2">
      <c r="A154" s="4">
        <v>5.77</v>
      </c>
      <c r="B154" s="4">
        <v>10</v>
      </c>
      <c r="C154" s="9">
        <v>43.93</v>
      </c>
      <c r="D154" s="4">
        <v>3</v>
      </c>
      <c r="E154" s="4">
        <v>0</v>
      </c>
      <c r="F154" s="4">
        <v>1</v>
      </c>
      <c r="G154" s="4">
        <v>0</v>
      </c>
      <c r="H154" s="4">
        <v>1</v>
      </c>
      <c r="I154" s="4">
        <v>0</v>
      </c>
      <c r="J154" s="4">
        <v>0</v>
      </c>
      <c r="K154" s="4">
        <v>0</v>
      </c>
      <c r="L154" s="2" t="s">
        <v>79</v>
      </c>
    </row>
    <row r="155" spans="1:12" x14ac:dyDescent="0.2">
      <c r="A155" s="4">
        <v>8.1</v>
      </c>
      <c r="B155" s="4">
        <v>12</v>
      </c>
      <c r="C155" s="4">
        <v>38</v>
      </c>
      <c r="D155" s="4">
        <v>3</v>
      </c>
      <c r="E155" s="4">
        <v>1</v>
      </c>
      <c r="F155" s="4">
        <v>1</v>
      </c>
      <c r="G155" s="4">
        <v>1</v>
      </c>
      <c r="H155" s="4">
        <v>1</v>
      </c>
      <c r="I155" s="4">
        <v>0</v>
      </c>
      <c r="J155" s="4">
        <v>0</v>
      </c>
      <c r="K155" s="4">
        <v>0</v>
      </c>
      <c r="L155" s="2" t="s">
        <v>79</v>
      </c>
    </row>
    <row r="156" spans="1:12" x14ac:dyDescent="0.2">
      <c r="A156" s="4">
        <v>5.48</v>
      </c>
      <c r="B156" s="4">
        <v>10</v>
      </c>
      <c r="C156" s="4">
        <v>36</v>
      </c>
      <c r="D156" s="4">
        <v>3</v>
      </c>
      <c r="E156" s="4">
        <v>1</v>
      </c>
      <c r="F156" s="4">
        <v>1</v>
      </c>
      <c r="G156" s="4">
        <v>0</v>
      </c>
      <c r="H156" s="4">
        <v>0</v>
      </c>
      <c r="I156" s="4">
        <v>1</v>
      </c>
      <c r="J156" s="4">
        <v>0</v>
      </c>
      <c r="K156" s="4">
        <v>0</v>
      </c>
      <c r="L156" s="2" t="s">
        <v>79</v>
      </c>
    </row>
    <row r="157" spans="1:12" x14ac:dyDescent="0.2">
      <c r="A157" s="4">
        <v>3</v>
      </c>
      <c r="B157" s="4">
        <v>14</v>
      </c>
      <c r="C157" s="4">
        <v>33</v>
      </c>
      <c r="D157" s="4">
        <v>3</v>
      </c>
      <c r="E157" s="4">
        <v>1</v>
      </c>
      <c r="F157" s="4">
        <v>1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2" t="s">
        <v>79</v>
      </c>
    </row>
    <row r="158" spans="1:12" x14ac:dyDescent="0.2">
      <c r="A158" s="4">
        <v>5.52</v>
      </c>
      <c r="B158" s="4">
        <v>13</v>
      </c>
      <c r="C158" s="4">
        <v>31</v>
      </c>
      <c r="D158" s="4">
        <v>3</v>
      </c>
      <c r="E158" s="4">
        <v>0</v>
      </c>
      <c r="F158" s="4">
        <v>0</v>
      </c>
      <c r="G158" s="4">
        <v>0</v>
      </c>
      <c r="H158" s="4">
        <v>0</v>
      </c>
      <c r="I158" s="4">
        <v>1</v>
      </c>
      <c r="J158" s="4">
        <v>0</v>
      </c>
      <c r="K158" s="4">
        <v>0</v>
      </c>
      <c r="L158" s="2" t="s">
        <v>79</v>
      </c>
    </row>
    <row r="159" spans="1:12" x14ac:dyDescent="0.2">
      <c r="A159" s="4">
        <v>3.5</v>
      </c>
      <c r="B159" s="4">
        <v>12</v>
      </c>
      <c r="C159" s="4">
        <v>31</v>
      </c>
      <c r="D159" s="4">
        <v>3</v>
      </c>
      <c r="E159" s="4">
        <v>1</v>
      </c>
      <c r="F159" s="4">
        <v>0</v>
      </c>
      <c r="G159" s="4">
        <v>1</v>
      </c>
      <c r="H159" s="4">
        <v>0</v>
      </c>
      <c r="I159" s="4">
        <v>0</v>
      </c>
      <c r="J159" s="4">
        <v>1</v>
      </c>
      <c r="K159" s="4">
        <v>0</v>
      </c>
      <c r="L159" s="2" t="s">
        <v>79</v>
      </c>
    </row>
    <row r="160" spans="1:12" x14ac:dyDescent="0.2">
      <c r="A160" s="4">
        <v>2.23</v>
      </c>
      <c r="B160" s="4">
        <v>8</v>
      </c>
      <c r="C160" s="4">
        <v>28</v>
      </c>
      <c r="D160" s="4">
        <v>3</v>
      </c>
      <c r="E160" s="4">
        <v>0</v>
      </c>
      <c r="F160" s="4">
        <v>1</v>
      </c>
      <c r="G160" s="4">
        <v>4</v>
      </c>
      <c r="H160" s="4">
        <v>0</v>
      </c>
      <c r="I160" s="4">
        <v>1</v>
      </c>
      <c r="J160" s="4">
        <v>0</v>
      </c>
      <c r="K160" s="4">
        <v>0</v>
      </c>
      <c r="L160" s="2" t="s">
        <v>79</v>
      </c>
    </row>
    <row r="161" spans="1:12" x14ac:dyDescent="0.2">
      <c r="A161" s="4">
        <v>8.43</v>
      </c>
      <c r="B161" s="4">
        <v>8</v>
      </c>
      <c r="C161" s="4">
        <v>27</v>
      </c>
      <c r="D161" s="4">
        <v>3</v>
      </c>
      <c r="E161" s="4">
        <v>0</v>
      </c>
      <c r="F161" s="4">
        <v>1</v>
      </c>
      <c r="G161" s="4">
        <v>3</v>
      </c>
      <c r="H161" s="4">
        <v>0</v>
      </c>
      <c r="I161" s="4">
        <v>1</v>
      </c>
      <c r="J161" s="4">
        <v>0</v>
      </c>
      <c r="K161" s="4">
        <v>0</v>
      </c>
      <c r="L161" s="2" t="s">
        <v>79</v>
      </c>
    </row>
    <row r="162" spans="1:12" x14ac:dyDescent="0.2">
      <c r="A162" s="4">
        <v>10</v>
      </c>
      <c r="B162" s="4">
        <v>12</v>
      </c>
      <c r="C162" s="4">
        <v>25</v>
      </c>
      <c r="D162" s="4">
        <v>3</v>
      </c>
      <c r="E162" s="4">
        <v>0</v>
      </c>
      <c r="F162" s="4">
        <v>1</v>
      </c>
      <c r="G162" s="4">
        <v>3</v>
      </c>
      <c r="H162" s="4">
        <v>0</v>
      </c>
      <c r="I162" s="4">
        <v>0</v>
      </c>
      <c r="J162" s="4">
        <v>0</v>
      </c>
      <c r="K162" s="4">
        <v>0</v>
      </c>
      <c r="L162" s="2" t="s">
        <v>79</v>
      </c>
    </row>
    <row r="163" spans="1:12" x14ac:dyDescent="0.2">
      <c r="A163" s="4">
        <v>8.02</v>
      </c>
      <c r="B163" s="4">
        <v>18</v>
      </c>
      <c r="C163" s="4">
        <v>23</v>
      </c>
      <c r="D163" s="4">
        <v>3</v>
      </c>
      <c r="E163" s="4">
        <v>1</v>
      </c>
      <c r="F163" s="4">
        <v>1</v>
      </c>
      <c r="G163" s="4">
        <v>1</v>
      </c>
      <c r="H163" s="4">
        <v>0</v>
      </c>
      <c r="I163" s="4">
        <v>1</v>
      </c>
      <c r="J163" s="4">
        <v>0</v>
      </c>
      <c r="K163" s="4">
        <v>0</v>
      </c>
      <c r="L163" s="2" t="s">
        <v>79</v>
      </c>
    </row>
    <row r="164" spans="1:12" x14ac:dyDescent="0.2">
      <c r="A164" s="4">
        <v>4</v>
      </c>
      <c r="B164" s="4">
        <v>14</v>
      </c>
      <c r="C164" s="4">
        <v>22</v>
      </c>
      <c r="D164" s="4">
        <v>3</v>
      </c>
      <c r="E164" s="4">
        <v>1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1</v>
      </c>
      <c r="L164" s="2" t="s">
        <v>79</v>
      </c>
    </row>
    <row r="165" spans="1:12" x14ac:dyDescent="0.2">
      <c r="A165" s="4">
        <v>6.63</v>
      </c>
      <c r="B165" s="4">
        <v>15</v>
      </c>
      <c r="C165" s="4">
        <v>21</v>
      </c>
      <c r="D165" s="4">
        <v>3</v>
      </c>
      <c r="E165" s="4">
        <v>1</v>
      </c>
      <c r="F165" s="4">
        <v>1</v>
      </c>
      <c r="G165" s="4">
        <v>2</v>
      </c>
      <c r="H165" s="4">
        <v>0</v>
      </c>
      <c r="I165" s="4">
        <v>0</v>
      </c>
      <c r="J165" s="4">
        <v>1</v>
      </c>
      <c r="K165" s="4">
        <v>0</v>
      </c>
      <c r="L165" s="2" t="s">
        <v>79</v>
      </c>
    </row>
    <row r="166" spans="1:12" x14ac:dyDescent="0.2">
      <c r="A166" s="4">
        <v>6.76</v>
      </c>
      <c r="B166" s="4">
        <v>12</v>
      </c>
      <c r="C166" s="4">
        <v>19</v>
      </c>
      <c r="D166" s="4">
        <v>3</v>
      </c>
      <c r="E166" s="4">
        <v>0</v>
      </c>
      <c r="F166" s="4">
        <v>1</v>
      </c>
      <c r="G166" s="4">
        <v>2</v>
      </c>
      <c r="H166" s="4">
        <v>0</v>
      </c>
      <c r="I166" s="4">
        <v>0</v>
      </c>
      <c r="J166" s="4">
        <v>0</v>
      </c>
      <c r="K166" s="4">
        <v>0</v>
      </c>
      <c r="L166" s="2" t="s">
        <v>79</v>
      </c>
    </row>
    <row r="167" spans="1:12" x14ac:dyDescent="0.2">
      <c r="A167" s="4">
        <v>3.26</v>
      </c>
      <c r="B167" s="4">
        <v>12</v>
      </c>
      <c r="C167" s="4">
        <v>13</v>
      </c>
      <c r="D167" s="4">
        <v>3</v>
      </c>
      <c r="E167" s="4">
        <v>1</v>
      </c>
      <c r="F167" s="4">
        <v>1</v>
      </c>
      <c r="G167" s="4">
        <v>1</v>
      </c>
      <c r="H167" s="4">
        <v>0</v>
      </c>
      <c r="I167" s="4">
        <v>0</v>
      </c>
      <c r="J167" s="4">
        <v>0</v>
      </c>
      <c r="K167" s="4">
        <v>0</v>
      </c>
      <c r="L167" s="2" t="s">
        <v>79</v>
      </c>
    </row>
    <row r="168" spans="1:12" x14ac:dyDescent="0.2">
      <c r="A168" s="4">
        <v>4.79</v>
      </c>
      <c r="B168" s="4">
        <v>12</v>
      </c>
      <c r="C168" s="4">
        <v>12</v>
      </c>
      <c r="D168" s="4">
        <v>3</v>
      </c>
      <c r="E168" s="4">
        <v>1</v>
      </c>
      <c r="F168" s="4">
        <v>1</v>
      </c>
      <c r="G168" s="4">
        <v>3</v>
      </c>
      <c r="H168" s="4">
        <v>1</v>
      </c>
      <c r="I168" s="4">
        <v>0</v>
      </c>
      <c r="J168" s="4">
        <v>0</v>
      </c>
      <c r="K168" s="4">
        <v>0</v>
      </c>
      <c r="L168" s="2" t="s">
        <v>79</v>
      </c>
    </row>
    <row r="169" spans="1:12" x14ac:dyDescent="0.2">
      <c r="A169" s="4">
        <v>3.88</v>
      </c>
      <c r="B169" s="4">
        <v>12</v>
      </c>
      <c r="C169" s="4">
        <v>12</v>
      </c>
      <c r="D169" s="4">
        <v>3</v>
      </c>
      <c r="E169" s="4">
        <v>0</v>
      </c>
      <c r="F169" s="4">
        <v>1</v>
      </c>
      <c r="G169" s="4">
        <v>3</v>
      </c>
      <c r="H169" s="4">
        <v>0</v>
      </c>
      <c r="I169" s="4">
        <v>1</v>
      </c>
      <c r="J169" s="4">
        <v>0</v>
      </c>
      <c r="K169" s="4">
        <v>0</v>
      </c>
      <c r="L169" s="2" t="s">
        <v>79</v>
      </c>
    </row>
    <row r="170" spans="1:12" x14ac:dyDescent="0.2">
      <c r="A170" s="4">
        <v>6</v>
      </c>
      <c r="B170" s="4">
        <v>14</v>
      </c>
      <c r="C170" s="4">
        <v>11</v>
      </c>
      <c r="D170" s="4">
        <v>3</v>
      </c>
      <c r="E170" s="4">
        <v>1</v>
      </c>
      <c r="F170" s="4">
        <v>1</v>
      </c>
      <c r="G170" s="4">
        <v>2</v>
      </c>
      <c r="H170" s="4">
        <v>0</v>
      </c>
      <c r="I170" s="4">
        <v>1</v>
      </c>
      <c r="J170" s="4">
        <v>0</v>
      </c>
      <c r="K170" s="4">
        <v>0</v>
      </c>
      <c r="L170" s="2" t="s">
        <v>79</v>
      </c>
    </row>
    <row r="171" spans="1:12" x14ac:dyDescent="0.2">
      <c r="A171" s="4">
        <v>4.2</v>
      </c>
      <c r="B171" s="4">
        <v>13</v>
      </c>
      <c r="C171" s="4">
        <v>11</v>
      </c>
      <c r="D171" s="4">
        <v>3</v>
      </c>
      <c r="E171" s="4">
        <v>1</v>
      </c>
      <c r="F171" s="4">
        <v>1</v>
      </c>
      <c r="G171" s="4">
        <v>2</v>
      </c>
      <c r="H171" s="4">
        <v>1</v>
      </c>
      <c r="I171" s="4">
        <v>0</v>
      </c>
      <c r="J171" s="4">
        <v>0</v>
      </c>
      <c r="K171" s="4">
        <v>0</v>
      </c>
      <c r="L171" s="2" t="s">
        <v>79</v>
      </c>
    </row>
    <row r="172" spans="1:12" x14ac:dyDescent="0.2">
      <c r="A172" s="4">
        <v>6.29</v>
      </c>
      <c r="B172" s="4">
        <v>17</v>
      </c>
      <c r="C172" s="4">
        <v>10</v>
      </c>
      <c r="D172" s="4">
        <v>3</v>
      </c>
      <c r="E172" s="4">
        <v>0</v>
      </c>
      <c r="F172" s="4">
        <v>1</v>
      </c>
      <c r="G172" s="4">
        <v>1</v>
      </c>
      <c r="H172" s="4">
        <v>0</v>
      </c>
      <c r="I172" s="4">
        <v>1</v>
      </c>
      <c r="J172" s="4">
        <v>0</v>
      </c>
      <c r="K172" s="4">
        <v>0</v>
      </c>
      <c r="L172" s="2" t="s">
        <v>79</v>
      </c>
    </row>
    <row r="173" spans="1:12" x14ac:dyDescent="0.2">
      <c r="A173" s="4">
        <v>5.43</v>
      </c>
      <c r="B173" s="4">
        <v>14</v>
      </c>
      <c r="C173" s="4">
        <v>10</v>
      </c>
      <c r="D173" s="4">
        <v>3</v>
      </c>
      <c r="E173" s="4">
        <v>0</v>
      </c>
      <c r="F173" s="4">
        <v>1</v>
      </c>
      <c r="G173" s="4">
        <v>1</v>
      </c>
      <c r="H173" s="4">
        <v>0</v>
      </c>
      <c r="I173" s="4">
        <v>1</v>
      </c>
      <c r="J173" s="4">
        <v>0</v>
      </c>
      <c r="K173" s="4">
        <v>0</v>
      </c>
      <c r="L173" s="2" t="s">
        <v>79</v>
      </c>
    </row>
    <row r="174" spans="1:12" x14ac:dyDescent="0.2">
      <c r="A174" s="4">
        <v>17.71</v>
      </c>
      <c r="B174" s="4">
        <v>16</v>
      </c>
      <c r="C174" s="4">
        <v>10</v>
      </c>
      <c r="D174" s="4">
        <v>3</v>
      </c>
      <c r="E174" s="4">
        <v>0</v>
      </c>
      <c r="F174" s="4">
        <v>1</v>
      </c>
      <c r="G174" s="4">
        <v>1</v>
      </c>
      <c r="H174" s="4">
        <v>0</v>
      </c>
      <c r="I174" s="4">
        <v>0</v>
      </c>
      <c r="J174" s="4">
        <v>1</v>
      </c>
      <c r="K174" s="4">
        <v>1</v>
      </c>
      <c r="L174" s="2" t="s">
        <v>79</v>
      </c>
    </row>
    <row r="175" spans="1:12" x14ac:dyDescent="0.2">
      <c r="A175" s="4">
        <v>7.78</v>
      </c>
      <c r="B175" s="4">
        <v>14</v>
      </c>
      <c r="C175" s="4">
        <v>9</v>
      </c>
      <c r="D175" s="4">
        <v>3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2" t="s">
        <v>79</v>
      </c>
    </row>
    <row r="176" spans="1:12" x14ac:dyDescent="0.2">
      <c r="A176" s="4">
        <v>10</v>
      </c>
      <c r="B176" s="4">
        <v>16</v>
      </c>
      <c r="C176" s="4">
        <v>9</v>
      </c>
      <c r="D176" s="4">
        <v>3</v>
      </c>
      <c r="E176" s="4">
        <v>0</v>
      </c>
      <c r="F176" s="4">
        <v>1</v>
      </c>
      <c r="G176" s="4">
        <v>2</v>
      </c>
      <c r="H176" s="4">
        <v>0</v>
      </c>
      <c r="I176" s="4">
        <v>1</v>
      </c>
      <c r="J176" s="4">
        <v>0</v>
      </c>
      <c r="K176" s="4">
        <v>0</v>
      </c>
      <c r="L176" s="2" t="s">
        <v>79</v>
      </c>
    </row>
    <row r="177" spans="1:12" x14ac:dyDescent="0.2">
      <c r="A177" s="4">
        <v>5</v>
      </c>
      <c r="B177" s="4">
        <v>12</v>
      </c>
      <c r="C177" s="4">
        <v>7</v>
      </c>
      <c r="D177" s="4">
        <v>3</v>
      </c>
      <c r="E177" s="4">
        <v>1</v>
      </c>
      <c r="F177" s="4">
        <v>0</v>
      </c>
      <c r="G177" s="4">
        <v>0</v>
      </c>
      <c r="H177" s="4">
        <v>0</v>
      </c>
      <c r="I177" s="4">
        <v>0</v>
      </c>
      <c r="J177" s="4">
        <v>1</v>
      </c>
      <c r="K177" s="4">
        <v>0</v>
      </c>
      <c r="L177" s="2" t="s">
        <v>79</v>
      </c>
    </row>
    <row r="178" spans="1:12" x14ac:dyDescent="0.2">
      <c r="A178" s="4">
        <v>5.4</v>
      </c>
      <c r="B178" s="4">
        <v>12</v>
      </c>
      <c r="C178" s="4">
        <v>6</v>
      </c>
      <c r="D178" s="4">
        <v>3</v>
      </c>
      <c r="E178" s="4">
        <v>0</v>
      </c>
      <c r="F178" s="4">
        <v>1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2" t="s">
        <v>79</v>
      </c>
    </row>
    <row r="179" spans="1:12" x14ac:dyDescent="0.2">
      <c r="A179" s="4">
        <v>5</v>
      </c>
      <c r="B179" s="4">
        <v>12</v>
      </c>
      <c r="C179" s="4">
        <v>5</v>
      </c>
      <c r="D179" s="4">
        <v>3</v>
      </c>
      <c r="E179" s="4">
        <v>1</v>
      </c>
      <c r="F179" s="4">
        <v>0</v>
      </c>
      <c r="G179" s="4">
        <v>0</v>
      </c>
      <c r="H179" s="4">
        <v>0</v>
      </c>
      <c r="I179" s="4">
        <v>0</v>
      </c>
      <c r="J179" s="4">
        <v>1</v>
      </c>
      <c r="K179" s="4">
        <v>0</v>
      </c>
      <c r="L179" s="2" t="s">
        <v>79</v>
      </c>
    </row>
    <row r="180" spans="1:12" x14ac:dyDescent="0.2">
      <c r="A180" s="4">
        <v>10</v>
      </c>
      <c r="B180" s="4">
        <v>17</v>
      </c>
      <c r="C180" s="4">
        <v>5</v>
      </c>
      <c r="D180" s="4">
        <v>3</v>
      </c>
      <c r="E180" s="4">
        <v>0</v>
      </c>
      <c r="F180" s="4">
        <v>1</v>
      </c>
      <c r="G180" s="4">
        <v>0</v>
      </c>
      <c r="H180" s="4">
        <v>1</v>
      </c>
      <c r="I180" s="4">
        <v>0</v>
      </c>
      <c r="J180" s="4">
        <v>0</v>
      </c>
      <c r="K180" s="4">
        <v>0</v>
      </c>
      <c r="L180" s="2" t="s">
        <v>79</v>
      </c>
    </row>
    <row r="181" spans="1:12" x14ac:dyDescent="0.2">
      <c r="A181" s="4">
        <v>6.25</v>
      </c>
      <c r="B181" s="4">
        <v>16</v>
      </c>
      <c r="C181" s="4">
        <v>4</v>
      </c>
      <c r="D181" s="4">
        <v>3</v>
      </c>
      <c r="E181" s="4">
        <v>0</v>
      </c>
      <c r="F181" s="4">
        <v>1</v>
      </c>
      <c r="G181" s="4">
        <v>0</v>
      </c>
      <c r="H181" s="4">
        <v>0</v>
      </c>
      <c r="I181" s="4">
        <v>0</v>
      </c>
      <c r="J181" s="4">
        <v>1</v>
      </c>
      <c r="K181" s="4">
        <v>0</v>
      </c>
      <c r="L181" s="2" t="s">
        <v>79</v>
      </c>
    </row>
    <row r="182" spans="1:12" x14ac:dyDescent="0.2">
      <c r="A182" s="4">
        <v>8.92</v>
      </c>
      <c r="B182" s="4">
        <v>18</v>
      </c>
      <c r="C182" s="4">
        <v>3</v>
      </c>
      <c r="D182" s="4">
        <v>3</v>
      </c>
      <c r="E182" s="4">
        <v>0</v>
      </c>
      <c r="F182" s="4">
        <v>1</v>
      </c>
      <c r="G182" s="4">
        <v>0</v>
      </c>
      <c r="H182" s="4">
        <v>0</v>
      </c>
      <c r="I182" s="4">
        <v>1</v>
      </c>
      <c r="J182" s="4">
        <v>0</v>
      </c>
      <c r="K182" s="4">
        <v>0</v>
      </c>
      <c r="L182" s="2" t="s">
        <v>79</v>
      </c>
    </row>
    <row r="183" spans="1:12" x14ac:dyDescent="0.2">
      <c r="A183" s="4">
        <v>9.56</v>
      </c>
      <c r="B183" s="4">
        <v>16</v>
      </c>
      <c r="C183" s="4">
        <v>3</v>
      </c>
      <c r="D183" s="4">
        <v>3</v>
      </c>
      <c r="E183" s="4">
        <v>0</v>
      </c>
      <c r="F183" s="4">
        <v>1</v>
      </c>
      <c r="G183" s="4">
        <v>1</v>
      </c>
      <c r="H183" s="4">
        <v>0</v>
      </c>
      <c r="I183" s="4">
        <v>0</v>
      </c>
      <c r="J183" s="4">
        <v>1</v>
      </c>
      <c r="K183" s="4">
        <v>0</v>
      </c>
      <c r="L183" s="2" t="s">
        <v>79</v>
      </c>
    </row>
    <row r="184" spans="1:12" x14ac:dyDescent="0.2">
      <c r="A184" s="4">
        <v>3</v>
      </c>
      <c r="B184" s="4">
        <v>14</v>
      </c>
      <c r="C184" s="4">
        <v>3</v>
      </c>
      <c r="D184" s="4">
        <v>3</v>
      </c>
      <c r="E184" s="4">
        <v>1</v>
      </c>
      <c r="F184" s="4">
        <v>1</v>
      </c>
      <c r="G184" s="4">
        <v>0</v>
      </c>
      <c r="H184" s="4">
        <v>0</v>
      </c>
      <c r="I184" s="4">
        <v>0</v>
      </c>
      <c r="J184" s="4">
        <v>1</v>
      </c>
      <c r="K184" s="4">
        <v>0</v>
      </c>
      <c r="L184" s="2" t="s">
        <v>79</v>
      </c>
    </row>
    <row r="185" spans="1:12" x14ac:dyDescent="0.2">
      <c r="A185" s="4">
        <v>2.92</v>
      </c>
      <c r="B185" s="4">
        <v>14</v>
      </c>
      <c r="C185" s="4">
        <v>1</v>
      </c>
      <c r="D185" s="4">
        <v>3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2" t="s">
        <v>79</v>
      </c>
    </row>
    <row r="186" spans="1:12" x14ac:dyDescent="0.2">
      <c r="A186" s="4">
        <v>4.75</v>
      </c>
      <c r="B186" s="4">
        <v>12</v>
      </c>
      <c r="C186" s="9">
        <v>43.93</v>
      </c>
      <c r="D186" s="4">
        <v>2</v>
      </c>
      <c r="E186" s="4">
        <v>1</v>
      </c>
      <c r="F186" s="4">
        <v>1</v>
      </c>
      <c r="G186" s="4">
        <v>0</v>
      </c>
      <c r="H186" s="4">
        <v>1</v>
      </c>
      <c r="I186" s="4">
        <v>0</v>
      </c>
      <c r="J186" s="4">
        <v>0</v>
      </c>
      <c r="K186" s="4">
        <v>0</v>
      </c>
      <c r="L186" s="2" t="s">
        <v>79</v>
      </c>
    </row>
    <row r="187" spans="1:12" x14ac:dyDescent="0.2">
      <c r="A187" s="4">
        <v>5</v>
      </c>
      <c r="B187" s="10">
        <v>12</v>
      </c>
      <c r="C187" s="9">
        <v>43.93</v>
      </c>
      <c r="D187" s="4">
        <v>2</v>
      </c>
      <c r="E187" s="4">
        <v>0</v>
      </c>
      <c r="F187" s="4">
        <v>0</v>
      </c>
      <c r="G187" s="4">
        <v>0</v>
      </c>
      <c r="H187" s="4">
        <v>1</v>
      </c>
      <c r="I187" s="4">
        <v>0</v>
      </c>
      <c r="J187" s="4">
        <v>0</v>
      </c>
      <c r="K187" s="4">
        <v>0</v>
      </c>
      <c r="L187" s="2" t="s">
        <v>79</v>
      </c>
    </row>
    <row r="188" spans="1:12" x14ac:dyDescent="0.2">
      <c r="A188" s="4">
        <v>3.25</v>
      </c>
      <c r="B188" s="4">
        <v>12</v>
      </c>
      <c r="C188" s="4">
        <v>40</v>
      </c>
      <c r="D188" s="4">
        <v>2</v>
      </c>
      <c r="E188" s="4">
        <v>1</v>
      </c>
      <c r="F188" s="4">
        <v>0</v>
      </c>
      <c r="G188" s="4">
        <v>0</v>
      </c>
      <c r="H188" s="4">
        <v>1</v>
      </c>
      <c r="I188" s="4">
        <v>0</v>
      </c>
      <c r="J188" s="4">
        <v>0</v>
      </c>
      <c r="K188" s="4">
        <v>0</v>
      </c>
      <c r="L188" s="2" t="s">
        <v>79</v>
      </c>
    </row>
    <row r="189" spans="1:12" x14ac:dyDescent="0.2">
      <c r="A189" s="4">
        <v>4.55</v>
      </c>
      <c r="B189" s="4">
        <v>16</v>
      </c>
      <c r="C189" s="4">
        <v>34</v>
      </c>
      <c r="D189" s="4">
        <v>2</v>
      </c>
      <c r="E189" s="4">
        <v>0</v>
      </c>
      <c r="F189" s="4">
        <v>1</v>
      </c>
      <c r="G189" s="4">
        <v>0</v>
      </c>
      <c r="H189" s="4">
        <v>0</v>
      </c>
      <c r="I189" s="4">
        <v>1</v>
      </c>
      <c r="J189" s="4">
        <v>0</v>
      </c>
      <c r="K189" s="4">
        <v>0</v>
      </c>
      <c r="L189" s="2" t="s">
        <v>79</v>
      </c>
    </row>
    <row r="190" spans="1:12" x14ac:dyDescent="0.2">
      <c r="A190" s="4">
        <v>3.73</v>
      </c>
      <c r="B190" s="4">
        <v>9</v>
      </c>
      <c r="C190" s="4">
        <v>33</v>
      </c>
      <c r="D190" s="4">
        <v>2</v>
      </c>
      <c r="E190" s="10">
        <v>2</v>
      </c>
      <c r="F190" s="4">
        <v>0</v>
      </c>
      <c r="G190" s="4">
        <v>1</v>
      </c>
      <c r="H190" s="4">
        <v>1</v>
      </c>
      <c r="I190" s="4">
        <v>0</v>
      </c>
      <c r="J190" s="4">
        <v>0</v>
      </c>
      <c r="K190" s="4">
        <v>0</v>
      </c>
      <c r="L190" s="2" t="s">
        <v>79</v>
      </c>
    </row>
    <row r="191" spans="1:12" x14ac:dyDescent="0.2">
      <c r="A191" s="4">
        <v>6.5</v>
      </c>
      <c r="B191" s="4">
        <v>12</v>
      </c>
      <c r="C191" s="4">
        <v>33</v>
      </c>
      <c r="D191" s="4">
        <v>2</v>
      </c>
      <c r="E191" s="4">
        <v>0</v>
      </c>
      <c r="F191" s="4">
        <v>1</v>
      </c>
      <c r="G191" s="4">
        <v>0</v>
      </c>
      <c r="H191" s="4">
        <v>1</v>
      </c>
      <c r="I191" s="4">
        <v>0</v>
      </c>
      <c r="J191" s="4">
        <v>0</v>
      </c>
      <c r="K191" s="4">
        <v>0</v>
      </c>
      <c r="L191" s="2" t="s">
        <v>79</v>
      </c>
    </row>
    <row r="192" spans="1:12" x14ac:dyDescent="0.2">
      <c r="A192" s="4">
        <v>4.6500000000000004</v>
      </c>
      <c r="B192" s="4">
        <v>12</v>
      </c>
      <c r="C192" s="4">
        <v>27</v>
      </c>
      <c r="D192" s="4">
        <v>2</v>
      </c>
      <c r="E192" s="4">
        <v>0</v>
      </c>
      <c r="F192" s="4">
        <v>1</v>
      </c>
      <c r="G192" s="4">
        <v>3</v>
      </c>
      <c r="H192" s="4">
        <v>0</v>
      </c>
      <c r="I192" s="4">
        <v>1</v>
      </c>
      <c r="J192" s="4">
        <v>0</v>
      </c>
      <c r="K192" s="4">
        <v>0</v>
      </c>
      <c r="L192" s="2" t="s">
        <v>79</v>
      </c>
    </row>
    <row r="193" spans="1:12" x14ac:dyDescent="0.2">
      <c r="A193" s="4">
        <v>8</v>
      </c>
      <c r="B193" s="4">
        <v>12</v>
      </c>
      <c r="C193" s="4">
        <v>26</v>
      </c>
      <c r="D193" s="4">
        <v>2</v>
      </c>
      <c r="E193" s="4">
        <v>0</v>
      </c>
      <c r="F193" s="4">
        <v>1</v>
      </c>
      <c r="G193" s="4">
        <v>1</v>
      </c>
      <c r="H193" s="4">
        <v>1</v>
      </c>
      <c r="I193" s="4">
        <v>0</v>
      </c>
      <c r="J193" s="4">
        <v>0</v>
      </c>
      <c r="K193" s="4">
        <v>0</v>
      </c>
      <c r="L193" s="2" t="s">
        <v>79</v>
      </c>
    </row>
    <row r="194" spans="1:12" x14ac:dyDescent="0.2">
      <c r="A194" s="4">
        <v>4.5</v>
      </c>
      <c r="B194" s="4">
        <v>13</v>
      </c>
      <c r="C194" s="4">
        <v>23</v>
      </c>
      <c r="D194" s="4">
        <v>2</v>
      </c>
      <c r="E194" s="4">
        <v>1</v>
      </c>
      <c r="F194" s="4">
        <v>0</v>
      </c>
      <c r="G194" s="4">
        <v>0</v>
      </c>
      <c r="H194" s="4">
        <v>0</v>
      </c>
      <c r="I194" s="4">
        <v>1</v>
      </c>
      <c r="J194" s="4">
        <v>0</v>
      </c>
      <c r="K194" s="4">
        <v>0</v>
      </c>
      <c r="L194" s="2" t="s">
        <v>79</v>
      </c>
    </row>
    <row r="195" spans="1:12" x14ac:dyDescent="0.2">
      <c r="A195" s="4">
        <v>3.5</v>
      </c>
      <c r="B195" s="4">
        <v>11</v>
      </c>
      <c r="C195" s="4">
        <v>23</v>
      </c>
      <c r="D195" s="4">
        <v>2</v>
      </c>
      <c r="E195" s="4">
        <v>1</v>
      </c>
      <c r="F195" s="4">
        <v>0</v>
      </c>
      <c r="G195" s="4">
        <v>2</v>
      </c>
      <c r="H195" s="4">
        <v>0</v>
      </c>
      <c r="I195" s="4">
        <v>1</v>
      </c>
      <c r="J195" s="4">
        <v>0</v>
      </c>
      <c r="K195" s="4">
        <v>0</v>
      </c>
      <c r="L195" s="2" t="s">
        <v>79</v>
      </c>
    </row>
    <row r="196" spans="1:12" x14ac:dyDescent="0.2">
      <c r="A196" s="4">
        <v>2.9</v>
      </c>
      <c r="B196" s="4">
        <v>10</v>
      </c>
      <c r="C196" s="4">
        <v>23</v>
      </c>
      <c r="D196" s="4">
        <v>2</v>
      </c>
      <c r="E196" s="4">
        <v>1</v>
      </c>
      <c r="F196" s="4">
        <v>0</v>
      </c>
      <c r="G196" s="4">
        <v>2</v>
      </c>
      <c r="H196" s="4">
        <v>0</v>
      </c>
      <c r="I196" s="4">
        <v>1</v>
      </c>
      <c r="J196" s="4">
        <v>0</v>
      </c>
      <c r="K196" s="4">
        <v>0</v>
      </c>
      <c r="L196" s="2" t="s">
        <v>79</v>
      </c>
    </row>
    <row r="197" spans="1:12" x14ac:dyDescent="0.2">
      <c r="A197" s="4">
        <v>3.24</v>
      </c>
      <c r="B197" s="4">
        <v>12</v>
      </c>
      <c r="C197" s="4">
        <v>22</v>
      </c>
      <c r="D197" s="4">
        <v>2</v>
      </c>
      <c r="E197" s="4">
        <v>1</v>
      </c>
      <c r="F197" s="4">
        <v>1</v>
      </c>
      <c r="G197" s="4">
        <v>3</v>
      </c>
      <c r="H197" s="4">
        <v>0</v>
      </c>
      <c r="I197" s="4">
        <v>0</v>
      </c>
      <c r="J197" s="4">
        <v>1</v>
      </c>
      <c r="K197" s="4">
        <v>0</v>
      </c>
      <c r="L197" s="2" t="s">
        <v>79</v>
      </c>
    </row>
    <row r="198" spans="1:12" x14ac:dyDescent="0.2">
      <c r="A198" s="4">
        <v>3.83</v>
      </c>
      <c r="B198" s="4">
        <v>12</v>
      </c>
      <c r="C198" s="4">
        <v>18</v>
      </c>
      <c r="D198" s="4">
        <v>2</v>
      </c>
      <c r="E198" s="4">
        <v>1</v>
      </c>
      <c r="F198" s="4">
        <v>0</v>
      </c>
      <c r="G198" s="4">
        <v>3</v>
      </c>
      <c r="H198" s="4">
        <v>0</v>
      </c>
      <c r="I198" s="4">
        <v>1</v>
      </c>
      <c r="J198" s="4">
        <v>0</v>
      </c>
      <c r="K198" s="4">
        <v>0</v>
      </c>
      <c r="L198" s="2" t="s">
        <v>79</v>
      </c>
    </row>
    <row r="199" spans="1:12" x14ac:dyDescent="0.2">
      <c r="A199" s="4">
        <v>3.5</v>
      </c>
      <c r="B199" s="4">
        <v>14</v>
      </c>
      <c r="C199" s="4">
        <v>18</v>
      </c>
      <c r="D199" s="4">
        <v>2</v>
      </c>
      <c r="E199" s="4">
        <v>0</v>
      </c>
      <c r="F199" s="4">
        <v>1</v>
      </c>
      <c r="G199" s="4">
        <v>1</v>
      </c>
      <c r="H199" s="4">
        <v>1</v>
      </c>
      <c r="I199" s="4">
        <v>0</v>
      </c>
      <c r="J199" s="4">
        <v>0</v>
      </c>
      <c r="K199" s="4">
        <v>0</v>
      </c>
      <c r="L199" s="2" t="s">
        <v>79</v>
      </c>
    </row>
    <row r="200" spans="1:12" x14ac:dyDescent="0.2">
      <c r="A200" s="4">
        <v>13.08</v>
      </c>
      <c r="B200" s="4">
        <v>17</v>
      </c>
      <c r="C200" s="4">
        <v>17</v>
      </c>
      <c r="D200" s="4">
        <v>2</v>
      </c>
      <c r="E200" s="4">
        <v>0</v>
      </c>
      <c r="F200" s="4">
        <v>1</v>
      </c>
      <c r="G200" s="4">
        <v>3</v>
      </c>
      <c r="H200" s="4">
        <v>0</v>
      </c>
      <c r="I200" s="4">
        <v>0</v>
      </c>
      <c r="J200" s="4">
        <v>0</v>
      </c>
      <c r="K200" s="4">
        <v>0</v>
      </c>
      <c r="L200" s="2" t="s">
        <v>79</v>
      </c>
    </row>
    <row r="201" spans="1:12" x14ac:dyDescent="0.2">
      <c r="A201" s="4">
        <v>10.38</v>
      </c>
      <c r="B201" s="4">
        <v>18</v>
      </c>
      <c r="C201" s="4">
        <v>16</v>
      </c>
      <c r="D201" s="4">
        <v>2</v>
      </c>
      <c r="E201" s="4">
        <v>0</v>
      </c>
      <c r="F201" s="4">
        <v>1</v>
      </c>
      <c r="G201" s="4">
        <v>1</v>
      </c>
      <c r="H201" s="4">
        <v>1</v>
      </c>
      <c r="I201" s="4">
        <v>0</v>
      </c>
      <c r="J201" s="4">
        <v>0</v>
      </c>
      <c r="K201" s="4">
        <v>0</v>
      </c>
      <c r="L201" s="2" t="s">
        <v>79</v>
      </c>
    </row>
    <row r="202" spans="1:12" x14ac:dyDescent="0.2">
      <c r="A202" s="4">
        <v>2.95</v>
      </c>
      <c r="B202" s="4">
        <v>8</v>
      </c>
      <c r="C202" s="4">
        <v>15</v>
      </c>
      <c r="D202" s="4">
        <v>2</v>
      </c>
      <c r="E202" s="4">
        <v>1</v>
      </c>
      <c r="F202" s="4">
        <v>1</v>
      </c>
      <c r="G202" s="4">
        <v>1</v>
      </c>
      <c r="H202" s="4">
        <v>0</v>
      </c>
      <c r="I202" s="4">
        <v>0</v>
      </c>
      <c r="J202" s="4">
        <v>0</v>
      </c>
      <c r="K202" s="4">
        <v>0</v>
      </c>
      <c r="L202" s="2" t="s">
        <v>79</v>
      </c>
    </row>
    <row r="203" spans="1:12" x14ac:dyDescent="0.2">
      <c r="A203" s="4">
        <v>3.25</v>
      </c>
      <c r="B203" s="4">
        <v>12</v>
      </c>
      <c r="C203" s="4">
        <v>14</v>
      </c>
      <c r="D203" s="4">
        <v>2</v>
      </c>
      <c r="E203" s="4">
        <v>1</v>
      </c>
      <c r="F203" s="4">
        <v>1</v>
      </c>
      <c r="G203" s="4">
        <v>2</v>
      </c>
      <c r="H203" s="4">
        <v>0</v>
      </c>
      <c r="I203" s="4">
        <v>1</v>
      </c>
      <c r="J203" s="4">
        <v>0</v>
      </c>
      <c r="K203" s="4">
        <v>0</v>
      </c>
      <c r="L203" s="2" t="s">
        <v>79</v>
      </c>
    </row>
    <row r="204" spans="1:12" x14ac:dyDescent="0.2">
      <c r="A204" s="4">
        <v>15</v>
      </c>
      <c r="B204" s="4">
        <v>16</v>
      </c>
      <c r="C204" s="4">
        <v>14</v>
      </c>
      <c r="D204" s="4">
        <v>2</v>
      </c>
      <c r="E204" s="4">
        <v>1</v>
      </c>
      <c r="F204" s="4">
        <v>1</v>
      </c>
      <c r="G204" s="4">
        <v>2</v>
      </c>
      <c r="H204" s="4">
        <v>0</v>
      </c>
      <c r="I204" s="4">
        <v>0</v>
      </c>
      <c r="J204" s="4">
        <v>1</v>
      </c>
      <c r="K204" s="4">
        <v>0</v>
      </c>
      <c r="L204" s="2" t="s">
        <v>79</v>
      </c>
    </row>
    <row r="205" spans="1:12" x14ac:dyDescent="0.2">
      <c r="A205" s="4">
        <v>6.25</v>
      </c>
      <c r="B205" s="10">
        <v>12</v>
      </c>
      <c r="C205" s="4">
        <v>9</v>
      </c>
      <c r="D205" s="4">
        <v>2</v>
      </c>
      <c r="E205" s="4">
        <v>0</v>
      </c>
      <c r="F205" s="4">
        <v>1</v>
      </c>
      <c r="G205" s="4">
        <v>1</v>
      </c>
      <c r="H205" s="4">
        <v>1</v>
      </c>
      <c r="I205" s="4">
        <v>0</v>
      </c>
      <c r="J205" s="4">
        <v>0</v>
      </c>
      <c r="K205" s="4">
        <v>0</v>
      </c>
      <c r="L205" s="2" t="s">
        <v>79</v>
      </c>
    </row>
    <row r="206" spans="1:12" x14ac:dyDescent="0.2">
      <c r="A206" s="4">
        <v>7.26</v>
      </c>
      <c r="B206" s="4">
        <v>13</v>
      </c>
      <c r="C206" s="4">
        <v>8</v>
      </c>
      <c r="D206" s="4">
        <v>2</v>
      </c>
      <c r="E206" s="4">
        <v>0</v>
      </c>
      <c r="F206" s="4">
        <v>0</v>
      </c>
      <c r="G206" s="4">
        <v>0</v>
      </c>
      <c r="H206" s="4">
        <v>0</v>
      </c>
      <c r="I206" s="4">
        <v>1</v>
      </c>
      <c r="J206" s="4">
        <v>0</v>
      </c>
      <c r="K206" s="4">
        <v>0</v>
      </c>
      <c r="L206" s="2" t="s">
        <v>79</v>
      </c>
    </row>
    <row r="207" spans="1:12" x14ac:dyDescent="0.2">
      <c r="A207" s="4">
        <v>6.25</v>
      </c>
      <c r="B207" s="4">
        <v>16</v>
      </c>
      <c r="C207" s="4">
        <v>8</v>
      </c>
      <c r="D207" s="4">
        <v>2</v>
      </c>
      <c r="E207" s="10">
        <v>2</v>
      </c>
      <c r="F207" s="4">
        <v>0</v>
      </c>
      <c r="G207" s="4">
        <v>0</v>
      </c>
      <c r="H207" s="4">
        <v>0</v>
      </c>
      <c r="I207" s="4">
        <v>0</v>
      </c>
      <c r="J207" s="4">
        <v>1</v>
      </c>
      <c r="K207" s="4">
        <v>0</v>
      </c>
      <c r="L207" s="2" t="s">
        <v>79</v>
      </c>
    </row>
    <row r="208" spans="1:12" x14ac:dyDescent="0.2">
      <c r="A208" s="4">
        <v>5.3</v>
      </c>
      <c r="B208" s="4">
        <v>12</v>
      </c>
      <c r="C208" s="4">
        <v>7</v>
      </c>
      <c r="D208" s="4">
        <v>2</v>
      </c>
      <c r="E208" s="4">
        <v>0</v>
      </c>
      <c r="F208" s="4">
        <v>1</v>
      </c>
      <c r="G208" s="4">
        <v>1</v>
      </c>
      <c r="H208" s="4">
        <v>0</v>
      </c>
      <c r="I208" s="4">
        <v>0</v>
      </c>
      <c r="J208" s="4">
        <v>1</v>
      </c>
      <c r="K208" s="4">
        <v>0</v>
      </c>
      <c r="L208" s="2" t="s">
        <v>79</v>
      </c>
    </row>
    <row r="209" spans="1:12" x14ac:dyDescent="0.2">
      <c r="A209" s="4">
        <v>3.51</v>
      </c>
      <c r="B209" s="4">
        <v>12</v>
      </c>
      <c r="C209" s="4">
        <v>7</v>
      </c>
      <c r="D209" s="4">
        <v>2</v>
      </c>
      <c r="E209" s="4">
        <v>1</v>
      </c>
      <c r="F209" s="4">
        <v>1</v>
      </c>
      <c r="G209" s="4">
        <v>0</v>
      </c>
      <c r="H209" s="4">
        <v>1</v>
      </c>
      <c r="I209" s="4">
        <v>0</v>
      </c>
      <c r="J209" s="4">
        <v>0</v>
      </c>
      <c r="K209" s="4">
        <v>0</v>
      </c>
      <c r="L209" s="2" t="s">
        <v>79</v>
      </c>
    </row>
    <row r="210" spans="1:12" x14ac:dyDescent="0.2">
      <c r="A210" s="4">
        <v>7.5</v>
      </c>
      <c r="B210" s="4">
        <v>16</v>
      </c>
      <c r="C210" s="4">
        <v>6</v>
      </c>
      <c r="D210" s="4">
        <v>2</v>
      </c>
      <c r="E210" s="4">
        <v>1</v>
      </c>
      <c r="F210" s="4">
        <v>1</v>
      </c>
      <c r="G210" s="4">
        <v>1</v>
      </c>
      <c r="H210" s="4">
        <v>0</v>
      </c>
      <c r="I210" s="4">
        <v>1</v>
      </c>
      <c r="J210" s="4">
        <v>0</v>
      </c>
      <c r="K210" s="4">
        <v>0</v>
      </c>
      <c r="L210" s="2" t="s">
        <v>79</v>
      </c>
    </row>
    <row r="211" spans="1:12" x14ac:dyDescent="0.2">
      <c r="A211" s="4">
        <v>3.5</v>
      </c>
      <c r="B211" s="4">
        <v>12</v>
      </c>
      <c r="C211" s="4">
        <v>6</v>
      </c>
      <c r="D211" s="4">
        <v>2</v>
      </c>
      <c r="E211" s="4">
        <v>1</v>
      </c>
      <c r="F211" s="4">
        <v>0</v>
      </c>
      <c r="G211" s="4">
        <v>1</v>
      </c>
      <c r="H211" s="4">
        <v>0</v>
      </c>
      <c r="I211" s="4">
        <v>0</v>
      </c>
      <c r="J211" s="4">
        <v>0</v>
      </c>
      <c r="K211" s="4">
        <v>0</v>
      </c>
      <c r="L211" s="2" t="s">
        <v>79</v>
      </c>
    </row>
    <row r="212" spans="1:12" x14ac:dyDescent="0.2">
      <c r="A212" s="4">
        <v>12.5</v>
      </c>
      <c r="B212" s="4">
        <v>18</v>
      </c>
      <c r="C212" s="4">
        <v>6</v>
      </c>
      <c r="D212" s="4">
        <v>2</v>
      </c>
      <c r="E212" s="4">
        <v>0</v>
      </c>
      <c r="F212" s="4">
        <v>0</v>
      </c>
      <c r="G212" s="4">
        <v>0</v>
      </c>
      <c r="H212" s="4">
        <v>0</v>
      </c>
      <c r="I212" s="4">
        <v>1</v>
      </c>
      <c r="J212" s="4">
        <v>0</v>
      </c>
      <c r="K212" s="4">
        <v>0</v>
      </c>
      <c r="L212" s="2" t="s">
        <v>79</v>
      </c>
    </row>
    <row r="213" spans="1:12" x14ac:dyDescent="0.2">
      <c r="A213" s="4">
        <v>8.33</v>
      </c>
      <c r="B213" s="4">
        <v>16</v>
      </c>
      <c r="C213" s="4">
        <v>6</v>
      </c>
      <c r="D213" s="4">
        <v>2</v>
      </c>
      <c r="E213" s="4">
        <v>0</v>
      </c>
      <c r="F213" s="4">
        <v>1</v>
      </c>
      <c r="G213" s="4">
        <v>0</v>
      </c>
      <c r="H213" s="4">
        <v>0</v>
      </c>
      <c r="I213" s="4">
        <v>0</v>
      </c>
      <c r="J213" s="4">
        <v>1</v>
      </c>
      <c r="K213" s="4">
        <v>0</v>
      </c>
      <c r="L213" s="2" t="s">
        <v>79</v>
      </c>
    </row>
    <row r="214" spans="1:12" x14ac:dyDescent="0.2">
      <c r="A214" s="4">
        <v>4.25</v>
      </c>
      <c r="B214" s="4">
        <v>14</v>
      </c>
      <c r="C214" s="4">
        <v>5</v>
      </c>
      <c r="D214" s="4">
        <v>2</v>
      </c>
      <c r="E214" s="4">
        <v>0</v>
      </c>
      <c r="F214" s="4">
        <v>1</v>
      </c>
      <c r="G214" s="4">
        <v>2</v>
      </c>
      <c r="H214" s="4">
        <v>0</v>
      </c>
      <c r="I214" s="4">
        <v>0</v>
      </c>
      <c r="J214" s="4">
        <v>0</v>
      </c>
      <c r="K214" s="4">
        <v>0</v>
      </c>
      <c r="L214" s="2" t="s">
        <v>79</v>
      </c>
    </row>
    <row r="215" spans="1:12" x14ac:dyDescent="0.2">
      <c r="A215" s="4">
        <v>4.34</v>
      </c>
      <c r="B215" s="4">
        <v>16</v>
      </c>
      <c r="C215" s="4">
        <v>5</v>
      </c>
      <c r="D215" s="4">
        <v>2</v>
      </c>
      <c r="E215" s="4">
        <v>1</v>
      </c>
      <c r="F215" s="4">
        <v>0</v>
      </c>
      <c r="G215" s="4">
        <v>0</v>
      </c>
      <c r="H215" s="4">
        <v>0</v>
      </c>
      <c r="I215" s="4">
        <v>1</v>
      </c>
      <c r="J215" s="4">
        <v>0</v>
      </c>
      <c r="K215" s="4">
        <v>0</v>
      </c>
      <c r="L215" s="2" t="s">
        <v>79</v>
      </c>
    </row>
    <row r="216" spans="1:12" x14ac:dyDescent="0.2">
      <c r="A216" s="4">
        <v>4.51</v>
      </c>
      <c r="B216" s="4">
        <v>12</v>
      </c>
      <c r="C216" s="4">
        <v>5</v>
      </c>
      <c r="D216" s="4">
        <v>2</v>
      </c>
      <c r="E216" s="4">
        <v>0</v>
      </c>
      <c r="F216" s="4">
        <v>0</v>
      </c>
      <c r="G216" s="4">
        <v>0</v>
      </c>
      <c r="H216" s="4">
        <v>1</v>
      </c>
      <c r="I216" s="4">
        <v>0</v>
      </c>
      <c r="J216" s="4">
        <v>0</v>
      </c>
      <c r="K216" s="4">
        <v>0</v>
      </c>
      <c r="L216" s="2" t="s">
        <v>79</v>
      </c>
    </row>
    <row r="217" spans="1:12" x14ac:dyDescent="0.2">
      <c r="A217" s="4">
        <v>3.75</v>
      </c>
      <c r="B217" s="10">
        <v>12</v>
      </c>
      <c r="C217" s="4">
        <v>5</v>
      </c>
      <c r="D217" s="4">
        <v>2</v>
      </c>
      <c r="E217" s="4">
        <v>1</v>
      </c>
      <c r="F217" s="4">
        <v>1</v>
      </c>
      <c r="G217" s="4">
        <v>1</v>
      </c>
      <c r="H217" s="4">
        <v>0</v>
      </c>
      <c r="I217" s="4">
        <v>1</v>
      </c>
      <c r="J217" s="4">
        <v>0</v>
      </c>
      <c r="K217" s="4">
        <v>0</v>
      </c>
      <c r="L217" s="2" t="s">
        <v>79</v>
      </c>
    </row>
    <row r="218" spans="1:12" x14ac:dyDescent="0.2">
      <c r="A218" s="4">
        <v>6.53</v>
      </c>
      <c r="B218" s="4">
        <v>16</v>
      </c>
      <c r="C218" s="4">
        <v>3</v>
      </c>
      <c r="D218" s="4">
        <v>2</v>
      </c>
      <c r="E218" s="4">
        <v>1</v>
      </c>
      <c r="F218" s="4">
        <v>0</v>
      </c>
      <c r="G218" s="4">
        <v>0</v>
      </c>
      <c r="H218" s="4">
        <v>1</v>
      </c>
      <c r="I218" s="4">
        <v>0</v>
      </c>
      <c r="J218" s="4">
        <v>0</v>
      </c>
      <c r="K218" s="4">
        <v>0</v>
      </c>
      <c r="L218" s="2" t="s">
        <v>79</v>
      </c>
    </row>
    <row r="219" spans="1:12" x14ac:dyDescent="0.2">
      <c r="A219" s="4">
        <v>8.6</v>
      </c>
      <c r="B219" s="4">
        <v>16</v>
      </c>
      <c r="C219" s="4">
        <v>3</v>
      </c>
      <c r="D219" s="4">
        <v>2</v>
      </c>
      <c r="E219" s="4">
        <v>1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2" t="s">
        <v>79</v>
      </c>
    </row>
    <row r="220" spans="1:12" x14ac:dyDescent="0.2">
      <c r="A220" s="4">
        <v>8.75</v>
      </c>
      <c r="B220" s="4">
        <v>16</v>
      </c>
      <c r="C220" s="4">
        <v>3</v>
      </c>
      <c r="D220" s="4">
        <v>2</v>
      </c>
      <c r="E220" s="4">
        <v>0</v>
      </c>
      <c r="F220" s="4">
        <v>1</v>
      </c>
      <c r="G220" s="4">
        <v>1</v>
      </c>
      <c r="H220" s="4">
        <v>1</v>
      </c>
      <c r="I220" s="4">
        <v>0</v>
      </c>
      <c r="J220" s="4">
        <v>0</v>
      </c>
      <c r="K220" s="4">
        <v>0</v>
      </c>
      <c r="L220" s="2" t="s">
        <v>79</v>
      </c>
    </row>
    <row r="221" spans="1:12" x14ac:dyDescent="0.2">
      <c r="A221" s="4">
        <v>10</v>
      </c>
      <c r="B221" s="4">
        <v>16</v>
      </c>
      <c r="C221" s="4">
        <v>3</v>
      </c>
      <c r="D221" s="4">
        <v>2</v>
      </c>
      <c r="E221" s="4">
        <v>0</v>
      </c>
      <c r="F221" s="4">
        <v>1</v>
      </c>
      <c r="G221" s="4">
        <v>0</v>
      </c>
      <c r="H221" s="4">
        <v>0</v>
      </c>
      <c r="I221" s="4">
        <v>1</v>
      </c>
      <c r="J221" s="4">
        <v>0</v>
      </c>
      <c r="K221" s="4">
        <v>0</v>
      </c>
      <c r="L221" s="2" t="s">
        <v>79</v>
      </c>
    </row>
    <row r="222" spans="1:12" x14ac:dyDescent="0.2">
      <c r="A222" s="4">
        <v>5.63</v>
      </c>
      <c r="B222" s="4">
        <v>16</v>
      </c>
      <c r="C222" s="4">
        <v>2</v>
      </c>
      <c r="D222" s="4">
        <v>2</v>
      </c>
      <c r="E222" s="4">
        <v>0</v>
      </c>
      <c r="F222" s="4">
        <v>1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2" t="s">
        <v>79</v>
      </c>
    </row>
    <row r="223" spans="1:12" x14ac:dyDescent="0.2">
      <c r="A223" s="4">
        <v>3.2</v>
      </c>
      <c r="B223" s="4">
        <v>15</v>
      </c>
      <c r="C223" s="4">
        <v>2</v>
      </c>
      <c r="D223" s="4">
        <v>2</v>
      </c>
      <c r="E223" s="4">
        <v>1</v>
      </c>
      <c r="F223" s="4">
        <v>0</v>
      </c>
      <c r="G223" s="4">
        <v>2</v>
      </c>
      <c r="H223" s="4">
        <v>0</v>
      </c>
      <c r="I223" s="4">
        <v>1</v>
      </c>
      <c r="J223" s="4">
        <v>0</v>
      </c>
      <c r="K223" s="4">
        <v>0</v>
      </c>
      <c r="L223" s="2" t="s">
        <v>79</v>
      </c>
    </row>
    <row r="224" spans="1:12" x14ac:dyDescent="0.2">
      <c r="A224" s="4">
        <v>2.9</v>
      </c>
      <c r="B224" s="4">
        <v>12</v>
      </c>
      <c r="C224" s="4">
        <v>2</v>
      </c>
      <c r="D224" s="4">
        <v>2</v>
      </c>
      <c r="E224" s="4">
        <v>1</v>
      </c>
      <c r="F224" s="4">
        <v>0</v>
      </c>
      <c r="G224" s="4">
        <v>0</v>
      </c>
      <c r="H224" s="4">
        <v>0</v>
      </c>
      <c r="I224" s="4">
        <v>0</v>
      </c>
      <c r="J224" s="4">
        <v>1</v>
      </c>
      <c r="K224" s="4">
        <v>0</v>
      </c>
      <c r="L224" s="2" t="s">
        <v>79</v>
      </c>
    </row>
    <row r="225" spans="1:12" x14ac:dyDescent="0.2">
      <c r="A225" s="4">
        <v>6</v>
      </c>
      <c r="B225" s="4">
        <v>16</v>
      </c>
      <c r="C225" s="4">
        <v>2</v>
      </c>
      <c r="D225" s="4">
        <v>2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2" t="s">
        <v>79</v>
      </c>
    </row>
    <row r="226" spans="1:12" x14ac:dyDescent="0.2">
      <c r="A226" s="4">
        <v>3.5</v>
      </c>
      <c r="B226" s="4">
        <v>13</v>
      </c>
      <c r="C226" s="4">
        <v>1</v>
      </c>
      <c r="D226" s="4">
        <v>2</v>
      </c>
      <c r="E226" s="4">
        <v>0</v>
      </c>
      <c r="F226" s="4">
        <v>0</v>
      </c>
      <c r="G226" s="4">
        <v>3</v>
      </c>
      <c r="H226" s="4">
        <v>1</v>
      </c>
      <c r="I226" s="4">
        <v>0</v>
      </c>
      <c r="J226" s="4">
        <v>0</v>
      </c>
      <c r="K226" s="4">
        <v>0</v>
      </c>
      <c r="L226" s="2" t="s">
        <v>79</v>
      </c>
    </row>
    <row r="227" spans="1:12" x14ac:dyDescent="0.2">
      <c r="A227" s="4">
        <v>3.75</v>
      </c>
      <c r="B227" s="4">
        <v>18</v>
      </c>
      <c r="C227" s="4">
        <v>1</v>
      </c>
      <c r="D227" s="4">
        <v>2</v>
      </c>
      <c r="E227" s="4">
        <v>0</v>
      </c>
      <c r="F227" s="4">
        <v>0</v>
      </c>
      <c r="G227" s="4">
        <v>1</v>
      </c>
      <c r="H227" s="4">
        <v>1</v>
      </c>
      <c r="I227" s="4">
        <v>0</v>
      </c>
      <c r="J227" s="4">
        <v>0</v>
      </c>
      <c r="K227" s="4">
        <v>0</v>
      </c>
      <c r="L227" s="2" t="s">
        <v>79</v>
      </c>
    </row>
    <row r="228" spans="1:12" x14ac:dyDescent="0.2">
      <c r="A228" s="4">
        <v>8.75</v>
      </c>
      <c r="B228" s="4">
        <v>16</v>
      </c>
      <c r="C228" s="4">
        <v>1</v>
      </c>
      <c r="D228" s="4">
        <v>2</v>
      </c>
      <c r="E228" s="4">
        <v>0</v>
      </c>
      <c r="F228" s="4">
        <v>0</v>
      </c>
      <c r="G228" s="4">
        <v>0</v>
      </c>
      <c r="H228" s="4">
        <v>1</v>
      </c>
      <c r="I228" s="4">
        <v>0</v>
      </c>
      <c r="J228" s="4">
        <v>0</v>
      </c>
      <c r="K228" s="4">
        <v>0</v>
      </c>
      <c r="L228" s="2" t="s">
        <v>79</v>
      </c>
    </row>
    <row r="229" spans="1:12" x14ac:dyDescent="0.2">
      <c r="A229" s="4">
        <v>2.9</v>
      </c>
      <c r="B229" s="4">
        <v>11</v>
      </c>
      <c r="C229" s="4">
        <v>1</v>
      </c>
      <c r="D229" s="4">
        <v>2</v>
      </c>
      <c r="E229" s="4">
        <v>0</v>
      </c>
      <c r="F229" s="4">
        <v>0</v>
      </c>
      <c r="G229" s="4">
        <v>2</v>
      </c>
      <c r="H229" s="4">
        <v>0</v>
      </c>
      <c r="I229" s="4">
        <v>1</v>
      </c>
      <c r="J229" s="4">
        <v>0</v>
      </c>
      <c r="K229" s="4">
        <v>0</v>
      </c>
      <c r="L229" s="2" t="s">
        <v>79</v>
      </c>
    </row>
    <row r="230" spans="1:12" x14ac:dyDescent="0.2">
      <c r="A230" s="4">
        <v>3.52</v>
      </c>
      <c r="B230" s="4">
        <v>12</v>
      </c>
      <c r="C230" s="9">
        <v>43.93</v>
      </c>
      <c r="D230" s="4">
        <v>1</v>
      </c>
      <c r="E230" s="4">
        <v>0</v>
      </c>
      <c r="F230" s="4">
        <v>1</v>
      </c>
      <c r="G230" s="4">
        <v>0</v>
      </c>
      <c r="H230" s="4">
        <v>0</v>
      </c>
      <c r="I230" s="4">
        <v>1</v>
      </c>
      <c r="J230" s="4">
        <v>0</v>
      </c>
      <c r="K230" s="4">
        <v>0</v>
      </c>
      <c r="L230" s="2" t="s">
        <v>79</v>
      </c>
    </row>
    <row r="231" spans="1:12" x14ac:dyDescent="0.2">
      <c r="A231" s="4">
        <v>3</v>
      </c>
      <c r="B231" s="4">
        <v>8</v>
      </c>
      <c r="C231" s="9">
        <v>43.93</v>
      </c>
      <c r="D231" s="4">
        <v>1</v>
      </c>
      <c r="E231" s="4">
        <v>1</v>
      </c>
      <c r="F231" s="4">
        <v>1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2" t="s">
        <v>79</v>
      </c>
    </row>
    <row r="232" spans="1:12" x14ac:dyDescent="0.2">
      <c r="A232" s="4">
        <v>2.9</v>
      </c>
      <c r="B232" s="4">
        <v>12</v>
      </c>
      <c r="C232" s="4">
        <v>39</v>
      </c>
      <c r="D232" s="4">
        <v>1</v>
      </c>
      <c r="E232" s="4">
        <v>1</v>
      </c>
      <c r="F232" s="4">
        <v>1</v>
      </c>
      <c r="G232" s="4">
        <v>0</v>
      </c>
      <c r="H232" s="4">
        <v>0</v>
      </c>
      <c r="I232" s="4">
        <v>1</v>
      </c>
      <c r="J232" s="4">
        <v>0</v>
      </c>
      <c r="K232" s="4">
        <v>0</v>
      </c>
      <c r="L232" s="2" t="s">
        <v>79</v>
      </c>
    </row>
    <row r="233" spans="1:12" x14ac:dyDescent="0.2">
      <c r="A233" s="4">
        <v>9</v>
      </c>
      <c r="B233" s="4">
        <v>12</v>
      </c>
      <c r="C233" s="4">
        <v>38</v>
      </c>
      <c r="D233" s="4">
        <v>1</v>
      </c>
      <c r="E233" s="4">
        <v>0</v>
      </c>
      <c r="F233" s="4">
        <v>1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2" t="s">
        <v>79</v>
      </c>
    </row>
    <row r="234" spans="1:12" x14ac:dyDescent="0.2">
      <c r="A234" s="4">
        <v>3</v>
      </c>
      <c r="B234" s="4">
        <v>12</v>
      </c>
      <c r="C234" s="4">
        <v>36</v>
      </c>
      <c r="D234" s="4">
        <v>1</v>
      </c>
      <c r="E234" s="10">
        <v>2</v>
      </c>
      <c r="F234" s="4">
        <v>0</v>
      </c>
      <c r="G234" s="4">
        <v>0</v>
      </c>
      <c r="H234" s="4">
        <v>0</v>
      </c>
      <c r="I234" s="4">
        <v>0</v>
      </c>
      <c r="J234" s="4">
        <v>1</v>
      </c>
      <c r="K234" s="4">
        <v>0</v>
      </c>
      <c r="L234" s="2" t="s">
        <v>79</v>
      </c>
    </row>
    <row r="235" spans="1:12" x14ac:dyDescent="0.2">
      <c r="A235" s="4">
        <v>3.5</v>
      </c>
      <c r="B235" s="4">
        <v>13</v>
      </c>
      <c r="C235" s="4">
        <v>29</v>
      </c>
      <c r="D235" s="4">
        <v>1</v>
      </c>
      <c r="E235" s="4">
        <v>1</v>
      </c>
      <c r="F235" s="4">
        <v>1</v>
      </c>
      <c r="G235" s="4">
        <v>0</v>
      </c>
      <c r="H235" s="4">
        <v>0</v>
      </c>
      <c r="I235" s="4">
        <v>1</v>
      </c>
      <c r="J235" s="4">
        <v>0</v>
      </c>
      <c r="K235" s="4">
        <v>0</v>
      </c>
      <c r="L235" s="2" t="s">
        <v>79</v>
      </c>
    </row>
    <row r="236" spans="1:12" x14ac:dyDescent="0.2">
      <c r="A236" s="4">
        <v>3</v>
      </c>
      <c r="B236" s="4">
        <v>7</v>
      </c>
      <c r="C236" s="4">
        <v>26</v>
      </c>
      <c r="D236" s="4">
        <v>1</v>
      </c>
      <c r="E236" s="4">
        <v>1</v>
      </c>
      <c r="F236" s="4">
        <v>0</v>
      </c>
      <c r="G236" s="4">
        <v>3</v>
      </c>
      <c r="H236" s="4">
        <v>0</v>
      </c>
      <c r="I236" s="4">
        <v>1</v>
      </c>
      <c r="J236" s="4">
        <v>0</v>
      </c>
      <c r="K236" s="4">
        <v>0</v>
      </c>
      <c r="L236" s="2" t="s">
        <v>79</v>
      </c>
    </row>
    <row r="237" spans="1:12" x14ac:dyDescent="0.2">
      <c r="A237" s="4">
        <v>4</v>
      </c>
      <c r="B237" s="4">
        <v>9</v>
      </c>
      <c r="C237" s="4">
        <v>19</v>
      </c>
      <c r="D237" s="4">
        <v>1</v>
      </c>
      <c r="E237" s="4">
        <v>1</v>
      </c>
      <c r="F237" s="4">
        <v>1</v>
      </c>
      <c r="G237" s="4">
        <v>1</v>
      </c>
      <c r="H237" s="4">
        <v>0</v>
      </c>
      <c r="I237" s="4">
        <v>0</v>
      </c>
      <c r="J237" s="4">
        <v>0</v>
      </c>
      <c r="K237" s="4">
        <v>0</v>
      </c>
      <c r="L237" s="2" t="s">
        <v>79</v>
      </c>
    </row>
    <row r="238" spans="1:12" x14ac:dyDescent="0.2">
      <c r="A238" s="4">
        <v>2.9</v>
      </c>
      <c r="B238" s="4">
        <v>12</v>
      </c>
      <c r="C238" s="4">
        <v>17</v>
      </c>
      <c r="D238" s="4">
        <v>1</v>
      </c>
      <c r="E238" s="4">
        <v>1</v>
      </c>
      <c r="F238" s="4">
        <v>1</v>
      </c>
      <c r="G238" s="4">
        <v>2</v>
      </c>
      <c r="H238" s="4">
        <v>1</v>
      </c>
      <c r="I238" s="4">
        <v>0</v>
      </c>
      <c r="J238" s="4">
        <v>0</v>
      </c>
      <c r="K238" s="4">
        <v>0</v>
      </c>
      <c r="L238" s="2" t="s">
        <v>79</v>
      </c>
    </row>
    <row r="239" spans="1:12" x14ac:dyDescent="0.2">
      <c r="A239" s="4">
        <v>4.63</v>
      </c>
      <c r="B239" s="4">
        <v>12</v>
      </c>
      <c r="C239" s="4">
        <v>16</v>
      </c>
      <c r="D239" s="4">
        <v>1</v>
      </c>
      <c r="E239" s="4">
        <v>1</v>
      </c>
      <c r="F239" s="4">
        <v>0</v>
      </c>
      <c r="G239" s="4">
        <v>0</v>
      </c>
      <c r="H239" s="4">
        <v>0</v>
      </c>
      <c r="I239" s="4">
        <v>1</v>
      </c>
      <c r="J239" s="4">
        <v>0</v>
      </c>
      <c r="K239" s="4">
        <v>0</v>
      </c>
      <c r="L239" s="2" t="s">
        <v>79</v>
      </c>
    </row>
    <row r="240" spans="1:12" x14ac:dyDescent="0.2">
      <c r="A240" s="4">
        <v>4.72</v>
      </c>
      <c r="B240" s="4">
        <v>12</v>
      </c>
      <c r="C240" s="4">
        <v>15</v>
      </c>
      <c r="D240" s="4">
        <v>1</v>
      </c>
      <c r="E240" s="4">
        <v>1</v>
      </c>
      <c r="F240" s="4">
        <v>0</v>
      </c>
      <c r="G240" s="4">
        <v>0</v>
      </c>
      <c r="H240" s="4">
        <v>0</v>
      </c>
      <c r="I240" s="4">
        <v>1</v>
      </c>
      <c r="J240" s="4">
        <v>0</v>
      </c>
      <c r="K240" s="4">
        <v>0</v>
      </c>
      <c r="L240" s="2" t="s">
        <v>79</v>
      </c>
    </row>
    <row r="241" spans="1:12" x14ac:dyDescent="0.2">
      <c r="A241" s="4">
        <v>2.9</v>
      </c>
      <c r="B241" s="4">
        <v>12</v>
      </c>
      <c r="C241" s="4">
        <v>15</v>
      </c>
      <c r="D241" s="4">
        <v>1</v>
      </c>
      <c r="E241" s="4">
        <v>1</v>
      </c>
      <c r="F241" s="4">
        <v>1</v>
      </c>
      <c r="G241" s="4">
        <v>2</v>
      </c>
      <c r="H241" s="4">
        <v>0</v>
      </c>
      <c r="I241" s="4">
        <v>0</v>
      </c>
      <c r="J241" s="4">
        <v>1</v>
      </c>
      <c r="K241" s="4">
        <v>0</v>
      </c>
      <c r="L241" s="2" t="s">
        <v>79</v>
      </c>
    </row>
    <row r="242" spans="1:12" x14ac:dyDescent="0.2">
      <c r="A242" s="4">
        <v>5</v>
      </c>
      <c r="B242" s="4">
        <v>11</v>
      </c>
      <c r="C242" s="4">
        <v>13</v>
      </c>
      <c r="D242" s="4">
        <v>1</v>
      </c>
      <c r="E242" s="4">
        <v>0</v>
      </c>
      <c r="F242" s="4">
        <v>1</v>
      </c>
      <c r="G242" s="4">
        <v>0</v>
      </c>
      <c r="H242" s="4">
        <v>0</v>
      </c>
      <c r="I242" s="4">
        <v>1</v>
      </c>
      <c r="J242" s="4">
        <v>0</v>
      </c>
      <c r="K242" s="4">
        <v>0</v>
      </c>
      <c r="L242" s="2" t="s">
        <v>79</v>
      </c>
    </row>
    <row r="243" spans="1:12" x14ac:dyDescent="0.2">
      <c r="A243" s="4">
        <v>8.65</v>
      </c>
      <c r="B243" s="4">
        <v>18</v>
      </c>
      <c r="C243" s="4">
        <v>13</v>
      </c>
      <c r="D243" s="4">
        <v>1</v>
      </c>
      <c r="E243" s="4">
        <v>1</v>
      </c>
      <c r="F243" s="4">
        <v>0</v>
      </c>
      <c r="G243" s="4">
        <v>0</v>
      </c>
      <c r="H243" s="4">
        <v>1</v>
      </c>
      <c r="I243" s="4">
        <v>0</v>
      </c>
      <c r="J243" s="4">
        <v>0</v>
      </c>
      <c r="K243" s="4">
        <v>0</v>
      </c>
      <c r="L243" s="2" t="s">
        <v>79</v>
      </c>
    </row>
    <row r="244" spans="1:12" x14ac:dyDescent="0.2">
      <c r="A244" s="4">
        <v>1.5</v>
      </c>
      <c r="B244" s="4">
        <v>12</v>
      </c>
      <c r="C244" s="4">
        <v>11</v>
      </c>
      <c r="D244" s="4">
        <v>1</v>
      </c>
      <c r="E244" s="4">
        <v>1</v>
      </c>
      <c r="F244" s="4">
        <v>1</v>
      </c>
      <c r="G244" s="4">
        <v>2</v>
      </c>
      <c r="H244" s="4">
        <v>1</v>
      </c>
      <c r="I244" s="4">
        <v>0</v>
      </c>
      <c r="J244" s="4">
        <v>0</v>
      </c>
      <c r="K244" s="4">
        <v>0</v>
      </c>
      <c r="L244" s="2" t="s">
        <v>79</v>
      </c>
    </row>
    <row r="245" spans="1:12" x14ac:dyDescent="0.2">
      <c r="A245" s="4">
        <v>6.35</v>
      </c>
      <c r="B245" s="4">
        <v>14</v>
      </c>
      <c r="C245" s="4">
        <v>10</v>
      </c>
      <c r="D245" s="4">
        <v>1</v>
      </c>
      <c r="E245" s="4">
        <v>1</v>
      </c>
      <c r="F245" s="4">
        <v>1</v>
      </c>
      <c r="G245" s="4">
        <v>2</v>
      </c>
      <c r="H245" s="4">
        <v>0</v>
      </c>
      <c r="I245" s="4">
        <v>1</v>
      </c>
      <c r="J245" s="4">
        <v>0</v>
      </c>
      <c r="K245" s="4">
        <v>0</v>
      </c>
      <c r="L245" s="2" t="s">
        <v>79</v>
      </c>
    </row>
    <row r="246" spans="1:12" x14ac:dyDescent="0.2">
      <c r="A246" s="4">
        <v>3.25</v>
      </c>
      <c r="B246" s="4">
        <v>8</v>
      </c>
      <c r="C246" s="4">
        <v>9</v>
      </c>
      <c r="D246" s="4">
        <v>1</v>
      </c>
      <c r="E246" s="4">
        <v>1</v>
      </c>
      <c r="F246" s="4">
        <v>1</v>
      </c>
      <c r="G246" s="4">
        <v>2</v>
      </c>
      <c r="H246" s="4">
        <v>0</v>
      </c>
      <c r="I246" s="4">
        <v>0</v>
      </c>
      <c r="J246" s="4">
        <v>1</v>
      </c>
      <c r="K246" s="4">
        <v>0</v>
      </c>
      <c r="L246" s="2" t="s">
        <v>79</v>
      </c>
    </row>
    <row r="247" spans="1:12" x14ac:dyDescent="0.2">
      <c r="A247" s="4">
        <v>3.35</v>
      </c>
      <c r="B247" s="4">
        <v>12</v>
      </c>
      <c r="C247" s="4">
        <v>9</v>
      </c>
      <c r="D247" s="4">
        <v>1</v>
      </c>
      <c r="E247" s="4">
        <v>0</v>
      </c>
      <c r="F247" s="4">
        <v>1</v>
      </c>
      <c r="G247" s="4">
        <v>0</v>
      </c>
      <c r="H247" s="4">
        <v>1</v>
      </c>
      <c r="I247" s="4">
        <v>0</v>
      </c>
      <c r="J247" s="4">
        <v>0</v>
      </c>
      <c r="K247" s="4">
        <v>0</v>
      </c>
      <c r="L247" s="2" t="s">
        <v>79</v>
      </c>
    </row>
    <row r="248" spans="1:12" x14ac:dyDescent="0.2">
      <c r="A248" s="4">
        <v>8.8000000000000007</v>
      </c>
      <c r="B248" s="4">
        <v>16</v>
      </c>
      <c r="C248" s="4">
        <v>9</v>
      </c>
      <c r="D248" s="4">
        <v>1</v>
      </c>
      <c r="E248" s="4">
        <v>0</v>
      </c>
      <c r="F248" s="4">
        <v>1</v>
      </c>
      <c r="G248" s="4">
        <v>0</v>
      </c>
      <c r="H248" s="4">
        <v>0</v>
      </c>
      <c r="I248" s="4">
        <v>1</v>
      </c>
      <c r="J248" s="4">
        <v>0</v>
      </c>
      <c r="K248" s="4">
        <v>0</v>
      </c>
      <c r="L248" s="2" t="s">
        <v>79</v>
      </c>
    </row>
    <row r="249" spans="1:12" x14ac:dyDescent="0.2">
      <c r="A249" s="4">
        <v>12.5</v>
      </c>
      <c r="B249" s="4">
        <v>12</v>
      </c>
      <c r="C249" s="4">
        <v>8</v>
      </c>
      <c r="D249" s="4">
        <v>1</v>
      </c>
      <c r="E249" s="4">
        <v>0</v>
      </c>
      <c r="F249" s="4">
        <v>0</v>
      </c>
      <c r="G249" s="4">
        <v>0</v>
      </c>
      <c r="H249" s="4">
        <v>1</v>
      </c>
      <c r="I249" s="4">
        <v>0</v>
      </c>
      <c r="J249" s="4">
        <v>0</v>
      </c>
      <c r="K249" s="4">
        <v>0</v>
      </c>
      <c r="L249" s="2" t="s">
        <v>79</v>
      </c>
    </row>
    <row r="250" spans="1:12" x14ac:dyDescent="0.2">
      <c r="A250" s="4">
        <v>6.36</v>
      </c>
      <c r="B250" s="4">
        <v>14</v>
      </c>
      <c r="C250" s="4">
        <v>8</v>
      </c>
      <c r="D250" s="4">
        <v>1</v>
      </c>
      <c r="E250" s="4">
        <v>0</v>
      </c>
      <c r="F250" s="4">
        <v>1</v>
      </c>
      <c r="G250" s="4">
        <v>0</v>
      </c>
      <c r="H250" s="4">
        <v>0</v>
      </c>
      <c r="I250" s="4">
        <v>1</v>
      </c>
      <c r="J250" s="4">
        <v>0</v>
      </c>
      <c r="K250" s="4">
        <v>0</v>
      </c>
      <c r="L250" s="2" t="s">
        <v>79</v>
      </c>
    </row>
    <row r="251" spans="1:12" x14ac:dyDescent="0.2">
      <c r="A251" s="4">
        <v>6.5</v>
      </c>
      <c r="B251" s="4">
        <v>12</v>
      </c>
      <c r="C251" s="4">
        <v>4</v>
      </c>
      <c r="D251" s="4">
        <v>1</v>
      </c>
      <c r="E251" s="4">
        <v>1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2" t="s">
        <v>79</v>
      </c>
    </row>
    <row r="252" spans="1:12" x14ac:dyDescent="0.2">
      <c r="A252" s="4">
        <v>2.31</v>
      </c>
      <c r="B252" s="4">
        <v>9</v>
      </c>
      <c r="C252" s="4">
        <v>4</v>
      </c>
      <c r="D252" s="4">
        <v>1</v>
      </c>
      <c r="E252" s="4">
        <v>1</v>
      </c>
      <c r="F252" s="4">
        <v>0</v>
      </c>
      <c r="G252" s="4">
        <v>5</v>
      </c>
      <c r="H252" s="4">
        <v>1</v>
      </c>
      <c r="I252" s="4">
        <v>0</v>
      </c>
      <c r="J252" s="4">
        <v>0</v>
      </c>
      <c r="K252" s="4">
        <v>0</v>
      </c>
      <c r="L252" s="2" t="s">
        <v>79</v>
      </c>
    </row>
    <row r="253" spans="1:12" x14ac:dyDescent="0.2">
      <c r="A253" s="4">
        <v>3.5</v>
      </c>
      <c r="B253" s="4">
        <v>18</v>
      </c>
      <c r="C253" s="4">
        <v>3</v>
      </c>
      <c r="D253" s="4">
        <v>1</v>
      </c>
      <c r="E253" s="4">
        <v>1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2" t="s">
        <v>79</v>
      </c>
    </row>
    <row r="254" spans="1:12" x14ac:dyDescent="0.2">
      <c r="A254" s="4">
        <v>0.53</v>
      </c>
      <c r="B254" s="4">
        <v>12</v>
      </c>
      <c r="C254" s="4">
        <v>3</v>
      </c>
      <c r="D254" s="4">
        <v>1</v>
      </c>
      <c r="E254" s="4">
        <v>1</v>
      </c>
      <c r="F254" s="4">
        <v>0</v>
      </c>
      <c r="G254" s="4">
        <v>0</v>
      </c>
      <c r="H254" s="4">
        <v>0</v>
      </c>
      <c r="I254" s="4">
        <v>0</v>
      </c>
      <c r="J254" s="4">
        <v>1</v>
      </c>
      <c r="K254" s="4">
        <v>0</v>
      </c>
      <c r="L254" s="2" t="s">
        <v>79</v>
      </c>
    </row>
    <row r="255" spans="1:12" x14ac:dyDescent="0.2">
      <c r="A255" s="4">
        <v>3</v>
      </c>
      <c r="B255" s="4">
        <v>13</v>
      </c>
      <c r="C255" s="4">
        <v>3</v>
      </c>
      <c r="D255" s="4">
        <v>1</v>
      </c>
      <c r="E255" s="4">
        <v>0</v>
      </c>
      <c r="F255" s="4">
        <v>0</v>
      </c>
      <c r="G255" s="4">
        <v>0</v>
      </c>
      <c r="H255" s="4">
        <v>0</v>
      </c>
      <c r="I255" s="4">
        <v>1</v>
      </c>
      <c r="J255" s="4">
        <v>0</v>
      </c>
      <c r="K255" s="4">
        <v>0</v>
      </c>
      <c r="L255" s="2" t="s">
        <v>79</v>
      </c>
    </row>
    <row r="256" spans="1:12" x14ac:dyDescent="0.2">
      <c r="A256" s="4">
        <v>4.68</v>
      </c>
      <c r="B256" s="4">
        <v>16</v>
      </c>
      <c r="C256" s="4">
        <v>3</v>
      </c>
      <c r="D256" s="4">
        <v>1</v>
      </c>
      <c r="E256" s="4">
        <v>1</v>
      </c>
      <c r="F256" s="4">
        <v>0</v>
      </c>
      <c r="G256" s="4">
        <v>0</v>
      </c>
      <c r="H256" s="4">
        <v>1</v>
      </c>
      <c r="I256" s="4">
        <v>0</v>
      </c>
      <c r="J256" s="4">
        <v>0</v>
      </c>
      <c r="K256" s="4">
        <v>0</v>
      </c>
      <c r="L256" s="2" t="s">
        <v>79</v>
      </c>
    </row>
    <row r="257" spans="1:12" x14ac:dyDescent="0.2">
      <c r="A257" s="4">
        <v>4.5</v>
      </c>
      <c r="B257" s="4">
        <v>12</v>
      </c>
      <c r="C257" s="4">
        <v>2</v>
      </c>
      <c r="D257" s="4">
        <v>1</v>
      </c>
      <c r="E257" s="4">
        <v>1</v>
      </c>
      <c r="F257" s="4">
        <v>0</v>
      </c>
      <c r="G257" s="4">
        <v>2</v>
      </c>
      <c r="H257" s="4">
        <v>0</v>
      </c>
      <c r="I257" s="4">
        <v>0</v>
      </c>
      <c r="J257" s="4">
        <v>0</v>
      </c>
      <c r="K257" s="4">
        <v>1</v>
      </c>
      <c r="L257" s="2" t="s">
        <v>79</v>
      </c>
    </row>
    <row r="258" spans="1:12" x14ac:dyDescent="0.2">
      <c r="A258" s="4">
        <v>3.1</v>
      </c>
      <c r="B258" s="4">
        <v>12</v>
      </c>
      <c r="C258" s="4">
        <v>2</v>
      </c>
      <c r="D258" s="4">
        <v>1</v>
      </c>
      <c r="E258" s="4">
        <v>1</v>
      </c>
      <c r="F258" s="4">
        <v>0</v>
      </c>
      <c r="G258" s="4">
        <v>1</v>
      </c>
      <c r="H258" s="4">
        <v>0</v>
      </c>
      <c r="I258" s="4">
        <v>0</v>
      </c>
      <c r="J258" s="4">
        <v>0</v>
      </c>
      <c r="K258" s="4">
        <v>0</v>
      </c>
      <c r="L258" s="2" t="s">
        <v>79</v>
      </c>
    </row>
    <row r="259" spans="1:12" x14ac:dyDescent="0.2">
      <c r="A259" s="4">
        <v>5</v>
      </c>
      <c r="B259" s="4">
        <v>16</v>
      </c>
      <c r="C259" s="4">
        <v>2</v>
      </c>
      <c r="D259" s="4">
        <v>1</v>
      </c>
      <c r="E259" s="4">
        <v>1</v>
      </c>
      <c r="F259" s="4">
        <v>1</v>
      </c>
      <c r="G259" s="4">
        <v>0</v>
      </c>
      <c r="H259" s="4">
        <v>0</v>
      </c>
      <c r="I259" s="4">
        <v>1</v>
      </c>
      <c r="J259" s="4">
        <v>0</v>
      </c>
      <c r="K259" s="4">
        <v>0</v>
      </c>
      <c r="L259" s="2" t="s">
        <v>79</v>
      </c>
    </row>
    <row r="260" spans="1:12" x14ac:dyDescent="0.2">
      <c r="A260" s="4">
        <v>3</v>
      </c>
      <c r="B260" s="4">
        <v>10</v>
      </c>
      <c r="C260" s="4">
        <v>2</v>
      </c>
      <c r="D260" s="4">
        <v>1</v>
      </c>
      <c r="E260" s="4">
        <v>1</v>
      </c>
      <c r="F260" s="4">
        <v>0</v>
      </c>
      <c r="G260" s="4">
        <v>1</v>
      </c>
      <c r="H260" s="4">
        <v>0</v>
      </c>
      <c r="I260" s="4">
        <v>1</v>
      </c>
      <c r="J260" s="4">
        <v>0</v>
      </c>
      <c r="K260" s="4">
        <v>0</v>
      </c>
      <c r="L260" s="2" t="s">
        <v>79</v>
      </c>
    </row>
    <row r="261" spans="1:12" x14ac:dyDescent="0.2">
      <c r="A261" s="4">
        <v>3.13</v>
      </c>
      <c r="B261" s="4">
        <v>10</v>
      </c>
      <c r="C261" s="4">
        <v>1</v>
      </c>
      <c r="D261" s="4">
        <v>1</v>
      </c>
      <c r="E261" s="4">
        <v>0</v>
      </c>
      <c r="F261" s="4">
        <v>0</v>
      </c>
      <c r="G261" s="4">
        <v>2</v>
      </c>
      <c r="H261" s="4">
        <v>0</v>
      </c>
      <c r="I261" s="4">
        <v>0</v>
      </c>
      <c r="J261" s="4">
        <v>1</v>
      </c>
      <c r="K261" s="4">
        <v>0</v>
      </c>
      <c r="L261" s="2" t="s">
        <v>79</v>
      </c>
    </row>
    <row r="262" spans="1:12" x14ac:dyDescent="0.2">
      <c r="A262" s="4">
        <v>3.4</v>
      </c>
      <c r="B262" s="4">
        <v>16</v>
      </c>
      <c r="C262" s="4">
        <v>1</v>
      </c>
      <c r="D262" s="4">
        <v>1</v>
      </c>
      <c r="E262" s="4">
        <v>1</v>
      </c>
      <c r="F262" s="4">
        <v>0</v>
      </c>
      <c r="G262" s="4">
        <v>1</v>
      </c>
      <c r="H262" s="4">
        <v>0</v>
      </c>
      <c r="I262" s="4">
        <v>0</v>
      </c>
      <c r="J262" s="4">
        <v>0</v>
      </c>
      <c r="K262" s="4">
        <v>0</v>
      </c>
      <c r="L262" s="2" t="s">
        <v>79</v>
      </c>
    </row>
    <row r="263" spans="1:12" x14ac:dyDescent="0.2">
      <c r="A263" s="4">
        <v>4.28</v>
      </c>
      <c r="B263" s="4">
        <v>13</v>
      </c>
      <c r="C263" s="4">
        <v>1</v>
      </c>
      <c r="D263" s="4">
        <v>1</v>
      </c>
      <c r="E263" s="4">
        <v>1</v>
      </c>
      <c r="F263" s="4">
        <v>0</v>
      </c>
      <c r="G263" s="4">
        <v>2</v>
      </c>
      <c r="H263" s="4">
        <v>0</v>
      </c>
      <c r="I263" s="4">
        <v>0</v>
      </c>
      <c r="J263" s="4">
        <v>0</v>
      </c>
      <c r="K263" s="4">
        <v>0</v>
      </c>
      <c r="L263" s="2" t="s">
        <v>79</v>
      </c>
    </row>
    <row r="264" spans="1:12" x14ac:dyDescent="0.2">
      <c r="A264" s="4">
        <v>3</v>
      </c>
      <c r="B264" s="4">
        <v>11</v>
      </c>
      <c r="C264" s="4">
        <v>1</v>
      </c>
      <c r="D264" s="4">
        <v>1</v>
      </c>
      <c r="E264" s="4">
        <v>1</v>
      </c>
      <c r="F264" s="4">
        <v>0</v>
      </c>
      <c r="G264" s="4">
        <v>1</v>
      </c>
      <c r="H264" s="4">
        <v>0</v>
      </c>
      <c r="I264" s="4">
        <v>1</v>
      </c>
      <c r="J264" s="4">
        <v>0</v>
      </c>
      <c r="K264" s="4">
        <v>0</v>
      </c>
      <c r="L264" s="2" t="s">
        <v>79</v>
      </c>
    </row>
    <row r="265" spans="1:12" x14ac:dyDescent="0.2">
      <c r="A265" s="4">
        <v>3</v>
      </c>
      <c r="B265" s="4">
        <v>4</v>
      </c>
      <c r="C265" s="9">
        <v>43.93</v>
      </c>
      <c r="D265" s="4">
        <v>0</v>
      </c>
      <c r="E265" s="4">
        <v>0</v>
      </c>
      <c r="F265" s="4">
        <v>1</v>
      </c>
      <c r="G265" s="4">
        <v>0</v>
      </c>
      <c r="H265" s="4">
        <v>0</v>
      </c>
      <c r="I265" s="4">
        <v>1</v>
      </c>
      <c r="J265" s="4">
        <v>0</v>
      </c>
      <c r="K265" s="4">
        <v>0</v>
      </c>
      <c r="L265" s="2" t="s">
        <v>79</v>
      </c>
    </row>
    <row r="266" spans="1:12" x14ac:dyDescent="0.2">
      <c r="A266" s="4">
        <v>3</v>
      </c>
      <c r="B266" s="4">
        <v>10</v>
      </c>
      <c r="C266" s="9">
        <v>43.93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1</v>
      </c>
      <c r="J266" s="4">
        <v>0</v>
      </c>
      <c r="K266" s="4">
        <v>0</v>
      </c>
      <c r="L266" s="2" t="s">
        <v>79</v>
      </c>
    </row>
    <row r="267" spans="1:12" x14ac:dyDescent="0.2">
      <c r="A267" s="4">
        <v>2.5299999999999998</v>
      </c>
      <c r="B267" s="4">
        <v>12</v>
      </c>
      <c r="C267" s="9">
        <v>43.93</v>
      </c>
      <c r="D267" s="4">
        <v>0</v>
      </c>
      <c r="E267" s="4">
        <v>1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2" t="s">
        <v>79</v>
      </c>
    </row>
    <row r="268" spans="1:12" x14ac:dyDescent="0.2">
      <c r="A268" s="4">
        <v>2.89</v>
      </c>
      <c r="B268" s="4">
        <v>0</v>
      </c>
      <c r="C268" s="4">
        <v>42</v>
      </c>
      <c r="D268" s="4">
        <v>0</v>
      </c>
      <c r="E268" s="4">
        <v>1</v>
      </c>
      <c r="F268" s="4">
        <v>1</v>
      </c>
      <c r="G268" s="4">
        <v>2</v>
      </c>
      <c r="H268" s="4">
        <v>0</v>
      </c>
      <c r="I268" s="4">
        <v>0</v>
      </c>
      <c r="J268" s="4">
        <v>1</v>
      </c>
      <c r="K268" s="4">
        <v>0</v>
      </c>
      <c r="L268" s="2" t="s">
        <v>79</v>
      </c>
    </row>
    <row r="269" spans="1:12" x14ac:dyDescent="0.2">
      <c r="A269" s="4">
        <v>3.25</v>
      </c>
      <c r="B269" s="4">
        <v>12</v>
      </c>
      <c r="C269" s="4">
        <v>42</v>
      </c>
      <c r="D269" s="4">
        <v>0</v>
      </c>
      <c r="E269" s="4">
        <v>1</v>
      </c>
      <c r="F269" s="4">
        <v>1</v>
      </c>
      <c r="G269" s="4">
        <v>0</v>
      </c>
      <c r="H269" s="4">
        <v>0</v>
      </c>
      <c r="I269" s="4">
        <v>0</v>
      </c>
      <c r="J269" s="4">
        <v>1</v>
      </c>
      <c r="K269" s="4">
        <v>0</v>
      </c>
      <c r="L269" s="2" t="s">
        <v>79</v>
      </c>
    </row>
    <row r="270" spans="1:12" x14ac:dyDescent="0.2">
      <c r="A270" s="4">
        <v>3</v>
      </c>
      <c r="B270" s="4">
        <v>12</v>
      </c>
      <c r="C270" s="4">
        <v>38</v>
      </c>
      <c r="D270" s="4">
        <v>0</v>
      </c>
      <c r="E270" s="4">
        <v>1</v>
      </c>
      <c r="F270" s="4">
        <v>1</v>
      </c>
      <c r="G270" s="4">
        <v>0</v>
      </c>
      <c r="H270" s="4">
        <v>1</v>
      </c>
      <c r="I270" s="4">
        <v>0</v>
      </c>
      <c r="J270" s="4">
        <v>0</v>
      </c>
      <c r="K270" s="4">
        <v>0</v>
      </c>
      <c r="L270" s="2" t="s">
        <v>79</v>
      </c>
    </row>
    <row r="271" spans="1:12" x14ac:dyDescent="0.2">
      <c r="A271" s="4">
        <v>2.9</v>
      </c>
      <c r="B271" s="4">
        <v>12</v>
      </c>
      <c r="C271" s="4">
        <v>37</v>
      </c>
      <c r="D271" s="4">
        <v>0</v>
      </c>
      <c r="E271" s="4">
        <v>1</v>
      </c>
      <c r="F271" s="4">
        <v>1</v>
      </c>
      <c r="G271" s="4">
        <v>0</v>
      </c>
      <c r="H271" s="4">
        <v>0</v>
      </c>
      <c r="I271" s="4">
        <v>1</v>
      </c>
      <c r="J271" s="4">
        <v>0</v>
      </c>
      <c r="K271" s="4">
        <v>0</v>
      </c>
      <c r="L271" s="2" t="s">
        <v>79</v>
      </c>
    </row>
    <row r="272" spans="1:12" x14ac:dyDescent="0.2">
      <c r="A272" s="4">
        <v>6.63</v>
      </c>
      <c r="B272" s="4">
        <v>12</v>
      </c>
      <c r="C272" s="4">
        <v>36</v>
      </c>
      <c r="D272" s="4">
        <v>0</v>
      </c>
      <c r="E272" s="4">
        <v>1</v>
      </c>
      <c r="F272" s="4">
        <v>0</v>
      </c>
      <c r="G272" s="4">
        <v>0</v>
      </c>
      <c r="H272" s="4">
        <v>0</v>
      </c>
      <c r="I272" s="4">
        <v>1</v>
      </c>
      <c r="J272" s="4">
        <v>0</v>
      </c>
      <c r="K272" s="4">
        <v>0</v>
      </c>
      <c r="L272" s="2" t="s">
        <v>79</v>
      </c>
    </row>
    <row r="273" spans="1:12" x14ac:dyDescent="0.2">
      <c r="A273" s="4">
        <v>3</v>
      </c>
      <c r="B273" s="4">
        <v>4</v>
      </c>
      <c r="C273" s="4">
        <v>36</v>
      </c>
      <c r="D273" s="4">
        <v>0</v>
      </c>
      <c r="E273" s="4">
        <v>0</v>
      </c>
      <c r="F273" s="4">
        <v>1</v>
      </c>
      <c r="G273" s="4">
        <v>1</v>
      </c>
      <c r="H273" s="4">
        <v>0</v>
      </c>
      <c r="I273" s="4">
        <v>1</v>
      </c>
      <c r="J273" s="4">
        <v>0</v>
      </c>
      <c r="K273" s="4">
        <v>1</v>
      </c>
      <c r="L273" s="2" t="s">
        <v>79</v>
      </c>
    </row>
    <row r="274" spans="1:12" x14ac:dyDescent="0.2">
      <c r="A274" s="4">
        <v>3.35</v>
      </c>
      <c r="B274" s="4">
        <v>7</v>
      </c>
      <c r="C274" s="4">
        <v>35</v>
      </c>
      <c r="D274" s="4">
        <v>0</v>
      </c>
      <c r="E274" s="4">
        <v>1</v>
      </c>
      <c r="F274" s="4">
        <v>0</v>
      </c>
      <c r="G274" s="4">
        <v>1</v>
      </c>
      <c r="H274" s="4">
        <v>0</v>
      </c>
      <c r="I274" s="4">
        <v>1</v>
      </c>
      <c r="J274" s="4">
        <v>0</v>
      </c>
      <c r="K274" s="4">
        <v>0</v>
      </c>
      <c r="L274" s="2" t="s">
        <v>79</v>
      </c>
    </row>
    <row r="275" spans="1:12" x14ac:dyDescent="0.2">
      <c r="A275" s="4">
        <v>2.9</v>
      </c>
      <c r="B275" s="4">
        <v>5</v>
      </c>
      <c r="C275" s="4">
        <v>34</v>
      </c>
      <c r="D275" s="4">
        <v>0</v>
      </c>
      <c r="E275" s="4">
        <v>1</v>
      </c>
      <c r="F275" s="4">
        <v>1</v>
      </c>
      <c r="G275" s="4">
        <v>5</v>
      </c>
      <c r="H275" s="4">
        <v>0</v>
      </c>
      <c r="I275" s="4">
        <v>0</v>
      </c>
      <c r="J275" s="4">
        <v>1</v>
      </c>
      <c r="K275" s="4">
        <v>0</v>
      </c>
      <c r="L275" s="2" t="s">
        <v>79</v>
      </c>
    </row>
    <row r="276" spans="1:12" x14ac:dyDescent="0.2">
      <c r="A276" s="4">
        <v>3</v>
      </c>
      <c r="B276" s="4">
        <v>8</v>
      </c>
      <c r="C276" s="4">
        <v>33</v>
      </c>
      <c r="D276" s="4">
        <v>0</v>
      </c>
      <c r="E276" s="4">
        <v>0</v>
      </c>
      <c r="F276" s="4">
        <v>1</v>
      </c>
      <c r="G276" s="4">
        <v>1</v>
      </c>
      <c r="H276" s="4">
        <v>0</v>
      </c>
      <c r="I276" s="4">
        <v>1</v>
      </c>
      <c r="J276" s="4">
        <v>0</v>
      </c>
      <c r="K276" s="4">
        <v>0</v>
      </c>
      <c r="L276" s="2" t="s">
        <v>79</v>
      </c>
    </row>
    <row r="277" spans="1:12" x14ac:dyDescent="0.2">
      <c r="A277" s="4">
        <v>3</v>
      </c>
      <c r="B277" s="4">
        <v>15</v>
      </c>
      <c r="C277" s="4">
        <v>32</v>
      </c>
      <c r="D277" s="4">
        <v>0</v>
      </c>
      <c r="E277" s="4">
        <v>0</v>
      </c>
      <c r="F277" s="4">
        <v>1</v>
      </c>
      <c r="G277" s="4">
        <v>0</v>
      </c>
      <c r="H277" s="4">
        <v>0</v>
      </c>
      <c r="I277" s="4">
        <v>1</v>
      </c>
      <c r="J277" s="4">
        <v>0</v>
      </c>
      <c r="K277" s="4">
        <v>0</v>
      </c>
      <c r="L277" s="2" t="s">
        <v>79</v>
      </c>
    </row>
    <row r="278" spans="1:12" x14ac:dyDescent="0.2">
      <c r="A278" s="4">
        <v>12.5</v>
      </c>
      <c r="B278" s="4">
        <v>16</v>
      </c>
      <c r="C278" s="4">
        <v>31</v>
      </c>
      <c r="D278" s="4">
        <v>0</v>
      </c>
      <c r="E278" s="4">
        <v>0</v>
      </c>
      <c r="F278" s="4">
        <v>1</v>
      </c>
      <c r="G278" s="4">
        <v>0</v>
      </c>
      <c r="H278" s="4">
        <v>0</v>
      </c>
      <c r="I278" s="4">
        <v>0</v>
      </c>
      <c r="J278" s="4">
        <v>1</v>
      </c>
      <c r="K278" s="4">
        <v>0</v>
      </c>
      <c r="L278" s="2" t="s">
        <v>79</v>
      </c>
    </row>
    <row r="279" spans="1:12" x14ac:dyDescent="0.2">
      <c r="A279" s="4">
        <v>12.5</v>
      </c>
      <c r="B279" s="4">
        <v>15</v>
      </c>
      <c r="C279" s="4">
        <v>30</v>
      </c>
      <c r="D279" s="4">
        <v>0</v>
      </c>
      <c r="E279" s="4">
        <v>0</v>
      </c>
      <c r="F279" s="4">
        <v>1</v>
      </c>
      <c r="G279" s="4">
        <v>2</v>
      </c>
      <c r="H279" s="4">
        <v>0</v>
      </c>
      <c r="I279" s="4">
        <v>0</v>
      </c>
      <c r="J279" s="4">
        <v>1</v>
      </c>
      <c r="K279" s="4">
        <v>0</v>
      </c>
      <c r="L279" s="2" t="s">
        <v>79</v>
      </c>
    </row>
    <row r="280" spans="1:12" x14ac:dyDescent="0.2">
      <c r="A280" s="4">
        <v>4.1399999999999997</v>
      </c>
      <c r="B280" s="4">
        <v>13</v>
      </c>
      <c r="C280" s="4">
        <v>29</v>
      </c>
      <c r="D280" s="4">
        <v>0</v>
      </c>
      <c r="E280" s="4">
        <v>1</v>
      </c>
      <c r="F280" s="4">
        <v>1</v>
      </c>
      <c r="G280" s="4">
        <v>0</v>
      </c>
      <c r="H280" s="4">
        <v>0</v>
      </c>
      <c r="I280" s="4">
        <v>1</v>
      </c>
      <c r="J280" s="4">
        <v>0</v>
      </c>
      <c r="K280" s="4">
        <v>0</v>
      </c>
      <c r="L280" s="2" t="s">
        <v>79</v>
      </c>
    </row>
    <row r="281" spans="1:12" x14ac:dyDescent="0.2">
      <c r="A281" s="4">
        <v>3.2</v>
      </c>
      <c r="B281" s="4">
        <v>12</v>
      </c>
      <c r="C281" s="4">
        <v>29</v>
      </c>
      <c r="D281" s="4">
        <v>0</v>
      </c>
      <c r="E281" s="4">
        <v>1</v>
      </c>
      <c r="F281" s="4">
        <v>0</v>
      </c>
      <c r="G281" s="4">
        <v>1</v>
      </c>
      <c r="H281" s="4">
        <v>0</v>
      </c>
      <c r="I281" s="4">
        <v>1</v>
      </c>
      <c r="J281" s="4">
        <v>0</v>
      </c>
      <c r="K281" s="4">
        <v>0</v>
      </c>
      <c r="L281" s="2" t="s">
        <v>79</v>
      </c>
    </row>
    <row r="282" spans="1:12" x14ac:dyDescent="0.2">
      <c r="A282" s="4">
        <v>3.25</v>
      </c>
      <c r="B282" s="4">
        <v>9</v>
      </c>
      <c r="C282" s="4">
        <v>29</v>
      </c>
      <c r="D282" s="4">
        <v>0</v>
      </c>
      <c r="E282" s="4">
        <v>0</v>
      </c>
      <c r="F282" s="4">
        <v>1</v>
      </c>
      <c r="G282" s="4">
        <v>1</v>
      </c>
      <c r="H282" s="4">
        <v>1</v>
      </c>
      <c r="I282" s="4">
        <v>0</v>
      </c>
      <c r="J282" s="4">
        <v>0</v>
      </c>
      <c r="K282" s="4">
        <v>0</v>
      </c>
      <c r="L282" s="2" t="s">
        <v>79</v>
      </c>
    </row>
    <row r="283" spans="1:12" x14ac:dyDescent="0.2">
      <c r="A283" s="4">
        <v>10</v>
      </c>
      <c r="B283" s="4">
        <v>12</v>
      </c>
      <c r="C283" s="4">
        <v>29</v>
      </c>
      <c r="D283" s="4">
        <v>0</v>
      </c>
      <c r="E283" s="4">
        <v>0</v>
      </c>
      <c r="F283" s="4">
        <v>1</v>
      </c>
      <c r="G283" s="4">
        <v>2</v>
      </c>
      <c r="H283" s="4">
        <v>0</v>
      </c>
      <c r="I283" s="4">
        <v>0</v>
      </c>
      <c r="J283" s="4">
        <v>0</v>
      </c>
      <c r="K283" s="4">
        <v>0</v>
      </c>
      <c r="L283" s="2" t="s">
        <v>79</v>
      </c>
    </row>
    <row r="284" spans="1:12" x14ac:dyDescent="0.2">
      <c r="A284" s="4">
        <v>4</v>
      </c>
      <c r="B284" s="4">
        <v>12</v>
      </c>
      <c r="C284" s="4">
        <v>28</v>
      </c>
      <c r="D284" s="4">
        <v>0</v>
      </c>
      <c r="E284" s="4">
        <v>1</v>
      </c>
      <c r="F284" s="4">
        <v>1</v>
      </c>
      <c r="G284" s="4">
        <v>1</v>
      </c>
      <c r="H284" s="4">
        <v>0</v>
      </c>
      <c r="I284" s="4">
        <v>0</v>
      </c>
      <c r="J284" s="4">
        <v>0</v>
      </c>
      <c r="K284" s="4">
        <v>0</v>
      </c>
      <c r="L284" s="2" t="s">
        <v>79</v>
      </c>
    </row>
    <row r="285" spans="1:12" x14ac:dyDescent="0.2">
      <c r="A285" s="4">
        <v>6.46</v>
      </c>
      <c r="B285" s="4">
        <v>12</v>
      </c>
      <c r="C285" s="4">
        <v>27</v>
      </c>
      <c r="D285" s="4">
        <v>0</v>
      </c>
      <c r="E285" s="4">
        <v>0</v>
      </c>
      <c r="F285" s="4">
        <v>1</v>
      </c>
      <c r="G285" s="4">
        <v>3</v>
      </c>
      <c r="H285" s="4">
        <v>1</v>
      </c>
      <c r="I285" s="4">
        <v>0</v>
      </c>
      <c r="J285" s="4">
        <v>0</v>
      </c>
      <c r="K285" s="4">
        <v>0</v>
      </c>
      <c r="L285" s="2" t="s">
        <v>79</v>
      </c>
    </row>
    <row r="286" spans="1:12" x14ac:dyDescent="0.2">
      <c r="A286" s="4">
        <v>6.36</v>
      </c>
      <c r="B286" s="4">
        <v>16</v>
      </c>
      <c r="C286" s="4">
        <v>25</v>
      </c>
      <c r="D286" s="4">
        <v>0</v>
      </c>
      <c r="E286" s="4">
        <v>0</v>
      </c>
      <c r="F286" s="4">
        <v>1</v>
      </c>
      <c r="G286" s="4">
        <v>1</v>
      </c>
      <c r="H286" s="4">
        <v>0</v>
      </c>
      <c r="I286" s="4">
        <v>1</v>
      </c>
      <c r="J286" s="4">
        <v>0</v>
      </c>
      <c r="K286" s="4">
        <v>0</v>
      </c>
      <c r="L286" s="2" t="s">
        <v>79</v>
      </c>
    </row>
    <row r="287" spans="1:12" x14ac:dyDescent="0.2">
      <c r="A287" s="4">
        <v>9.42</v>
      </c>
      <c r="B287" s="4">
        <v>14</v>
      </c>
      <c r="C287" s="4">
        <v>23</v>
      </c>
      <c r="D287" s="4">
        <v>0</v>
      </c>
      <c r="E287" s="4">
        <v>1</v>
      </c>
      <c r="F287" s="4">
        <v>1</v>
      </c>
      <c r="G287" s="4">
        <v>2</v>
      </c>
      <c r="H287" s="4">
        <v>0</v>
      </c>
      <c r="I287" s="4">
        <v>1</v>
      </c>
      <c r="J287" s="4">
        <v>0</v>
      </c>
      <c r="K287" s="4">
        <v>0</v>
      </c>
      <c r="L287" s="2" t="s">
        <v>79</v>
      </c>
    </row>
    <row r="288" spans="1:12" x14ac:dyDescent="0.2">
      <c r="A288" s="4">
        <v>3.35</v>
      </c>
      <c r="B288" s="4">
        <v>13</v>
      </c>
      <c r="C288" s="4">
        <v>22</v>
      </c>
      <c r="D288" s="4">
        <v>0</v>
      </c>
      <c r="E288" s="4">
        <v>1</v>
      </c>
      <c r="F288" s="4">
        <v>0</v>
      </c>
      <c r="G288" s="4">
        <v>2</v>
      </c>
      <c r="H288" s="4">
        <v>1</v>
      </c>
      <c r="I288" s="4">
        <v>0</v>
      </c>
      <c r="J288" s="4">
        <v>0</v>
      </c>
      <c r="K288" s="4">
        <v>0</v>
      </c>
      <c r="L288" s="2" t="s">
        <v>79</v>
      </c>
    </row>
    <row r="289" spans="1:12" x14ac:dyDescent="0.2">
      <c r="A289" s="4">
        <v>4.75</v>
      </c>
      <c r="B289" s="4">
        <v>12</v>
      </c>
      <c r="C289" s="4">
        <v>19</v>
      </c>
      <c r="D289" s="4">
        <v>0</v>
      </c>
      <c r="E289" s="4">
        <v>0</v>
      </c>
      <c r="F289" s="4">
        <v>1</v>
      </c>
      <c r="G289" s="4">
        <v>3</v>
      </c>
      <c r="H289" s="4">
        <v>0</v>
      </c>
      <c r="I289" s="4">
        <v>1</v>
      </c>
      <c r="J289" s="4">
        <v>0</v>
      </c>
      <c r="K289" s="4">
        <v>0</v>
      </c>
      <c r="L289" s="2" t="s">
        <v>79</v>
      </c>
    </row>
    <row r="290" spans="1:12" x14ac:dyDescent="0.2">
      <c r="A290" s="4">
        <v>2.9</v>
      </c>
      <c r="B290" s="4">
        <v>10</v>
      </c>
      <c r="C290" s="4">
        <v>18</v>
      </c>
      <c r="D290" s="4">
        <v>0</v>
      </c>
      <c r="E290" s="4">
        <v>1</v>
      </c>
      <c r="F290" s="4">
        <v>1</v>
      </c>
      <c r="G290" s="4">
        <v>2</v>
      </c>
      <c r="H290" s="4">
        <v>0</v>
      </c>
      <c r="I290" s="4">
        <v>1</v>
      </c>
      <c r="J290" s="4">
        <v>0</v>
      </c>
      <c r="K290" s="4">
        <v>0</v>
      </c>
      <c r="L290" s="2" t="s">
        <v>79</v>
      </c>
    </row>
    <row r="291" spans="1:12" x14ac:dyDescent="0.2">
      <c r="A291" s="4">
        <v>3.75</v>
      </c>
      <c r="B291" s="4">
        <v>12</v>
      </c>
      <c r="C291" s="4">
        <v>18</v>
      </c>
      <c r="D291" s="4">
        <v>0</v>
      </c>
      <c r="E291" s="4">
        <v>1</v>
      </c>
      <c r="F291" s="4">
        <v>1</v>
      </c>
      <c r="G291" s="4">
        <v>4</v>
      </c>
      <c r="H291" s="4">
        <v>1</v>
      </c>
      <c r="I291" s="4">
        <v>0</v>
      </c>
      <c r="J291" s="4">
        <v>0</v>
      </c>
      <c r="K291" s="4">
        <v>0</v>
      </c>
      <c r="L291" s="2" t="s">
        <v>79</v>
      </c>
    </row>
    <row r="292" spans="1:12" x14ac:dyDescent="0.2">
      <c r="A292" s="4">
        <v>1.43</v>
      </c>
      <c r="B292" s="4">
        <v>12</v>
      </c>
      <c r="C292" s="4">
        <v>17</v>
      </c>
      <c r="D292" s="4">
        <v>0</v>
      </c>
      <c r="E292" s="10">
        <v>2</v>
      </c>
      <c r="F292" s="4">
        <v>1</v>
      </c>
      <c r="G292" s="4">
        <v>2</v>
      </c>
      <c r="H292" s="4">
        <v>0</v>
      </c>
      <c r="I292" s="4">
        <v>0</v>
      </c>
      <c r="J292" s="4">
        <v>0</v>
      </c>
      <c r="K292" s="4">
        <v>0</v>
      </c>
      <c r="L292" s="2" t="s">
        <v>79</v>
      </c>
    </row>
    <row r="293" spans="1:12" x14ac:dyDescent="0.2">
      <c r="A293" s="4">
        <v>3</v>
      </c>
      <c r="B293" s="4">
        <v>14</v>
      </c>
      <c r="C293" s="4">
        <v>17</v>
      </c>
      <c r="D293" s="4">
        <v>0</v>
      </c>
      <c r="E293" s="4">
        <v>1</v>
      </c>
      <c r="F293" s="4">
        <v>1</v>
      </c>
      <c r="G293" s="4">
        <v>4</v>
      </c>
      <c r="H293" s="4">
        <v>0</v>
      </c>
      <c r="I293" s="4">
        <v>1</v>
      </c>
      <c r="J293" s="4">
        <v>0</v>
      </c>
      <c r="K293" s="4">
        <v>0</v>
      </c>
      <c r="L293" s="2" t="s">
        <v>79</v>
      </c>
    </row>
    <row r="294" spans="1:12" x14ac:dyDescent="0.2">
      <c r="A294" s="4">
        <v>4.5</v>
      </c>
      <c r="B294" s="4">
        <v>14</v>
      </c>
      <c r="C294" s="4">
        <v>16</v>
      </c>
      <c r="D294" s="4">
        <v>0</v>
      </c>
      <c r="E294" s="4">
        <v>1</v>
      </c>
      <c r="F294" s="4">
        <v>1</v>
      </c>
      <c r="G294" s="4">
        <v>1</v>
      </c>
      <c r="H294" s="4">
        <v>0</v>
      </c>
      <c r="I294" s="4">
        <v>0</v>
      </c>
      <c r="J294" s="4">
        <v>1</v>
      </c>
      <c r="K294" s="4">
        <v>0</v>
      </c>
      <c r="L294" s="2" t="s">
        <v>79</v>
      </c>
    </row>
    <row r="295" spans="1:12" x14ac:dyDescent="0.2">
      <c r="A295" s="4">
        <v>3.24</v>
      </c>
      <c r="B295" s="4">
        <v>12</v>
      </c>
      <c r="C295" s="4">
        <v>16</v>
      </c>
      <c r="D295" s="4">
        <v>0</v>
      </c>
      <c r="E295" s="4">
        <v>1</v>
      </c>
      <c r="F295" s="4">
        <v>1</v>
      </c>
      <c r="G295" s="4">
        <v>2</v>
      </c>
      <c r="H295" s="4">
        <v>0</v>
      </c>
      <c r="I295" s="4">
        <v>1</v>
      </c>
      <c r="J295" s="4">
        <v>0</v>
      </c>
      <c r="K295" s="4">
        <v>0</v>
      </c>
      <c r="L295" s="2" t="s">
        <v>79</v>
      </c>
    </row>
    <row r="296" spans="1:12" x14ac:dyDescent="0.2">
      <c r="A296" s="4">
        <v>6.11</v>
      </c>
      <c r="B296" s="4">
        <v>14</v>
      </c>
      <c r="C296" s="4">
        <v>15</v>
      </c>
      <c r="D296" s="4">
        <v>0</v>
      </c>
      <c r="E296" s="4">
        <v>0</v>
      </c>
      <c r="F296" s="4">
        <v>1</v>
      </c>
      <c r="G296" s="4">
        <v>2</v>
      </c>
      <c r="H296" s="4">
        <v>0</v>
      </c>
      <c r="I296" s="4">
        <v>0</v>
      </c>
      <c r="J296" s="4">
        <v>0</v>
      </c>
      <c r="K296" s="4">
        <v>0</v>
      </c>
      <c r="L296" s="2" t="s">
        <v>79</v>
      </c>
    </row>
    <row r="297" spans="1:12" x14ac:dyDescent="0.2">
      <c r="A297" s="4">
        <v>8.77</v>
      </c>
      <c r="B297" s="4">
        <v>12</v>
      </c>
      <c r="C297" s="4">
        <v>15</v>
      </c>
      <c r="D297" s="4">
        <v>0</v>
      </c>
      <c r="E297" s="4">
        <v>0</v>
      </c>
      <c r="F297" s="4">
        <v>1</v>
      </c>
      <c r="G297" s="4">
        <v>2</v>
      </c>
      <c r="H297" s="4">
        <v>0</v>
      </c>
      <c r="I297" s="4">
        <v>0</v>
      </c>
      <c r="J297" s="4">
        <v>1</v>
      </c>
      <c r="K297" s="4">
        <v>0</v>
      </c>
      <c r="L297" s="2" t="s">
        <v>79</v>
      </c>
    </row>
    <row r="298" spans="1:12" x14ac:dyDescent="0.2">
      <c r="A298" s="4">
        <v>10</v>
      </c>
      <c r="B298" s="4">
        <v>12</v>
      </c>
      <c r="C298" s="4">
        <v>15</v>
      </c>
      <c r="D298" s="4">
        <v>0</v>
      </c>
      <c r="E298" s="4">
        <v>0</v>
      </c>
      <c r="F298" s="4">
        <v>0</v>
      </c>
      <c r="G298" s="4">
        <v>1</v>
      </c>
      <c r="H298" s="4">
        <v>0</v>
      </c>
      <c r="I298" s="4">
        <v>0</v>
      </c>
      <c r="J298" s="4">
        <v>0</v>
      </c>
      <c r="K298" s="4">
        <v>0</v>
      </c>
      <c r="L298" s="2" t="s">
        <v>79</v>
      </c>
    </row>
    <row r="299" spans="1:12" x14ac:dyDescent="0.2">
      <c r="A299" s="4">
        <v>5</v>
      </c>
      <c r="B299" s="4">
        <v>15</v>
      </c>
      <c r="C299" s="4">
        <v>15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1</v>
      </c>
      <c r="J299" s="4">
        <v>0</v>
      </c>
      <c r="K299" s="4">
        <v>0</v>
      </c>
      <c r="L299" s="2" t="s">
        <v>79</v>
      </c>
    </row>
    <row r="300" spans="1:12" x14ac:dyDescent="0.2">
      <c r="A300" s="4">
        <v>3.75</v>
      </c>
      <c r="B300" s="4">
        <v>10</v>
      </c>
      <c r="C300" s="4">
        <v>15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2" t="s">
        <v>79</v>
      </c>
    </row>
    <row r="301" spans="1:12" x14ac:dyDescent="0.2">
      <c r="A301" s="4">
        <v>3.25</v>
      </c>
      <c r="B301" s="4">
        <v>12</v>
      </c>
      <c r="C301" s="4">
        <v>14</v>
      </c>
      <c r="D301" s="4">
        <v>0</v>
      </c>
      <c r="E301" s="4">
        <v>1</v>
      </c>
      <c r="F301" s="4">
        <v>1</v>
      </c>
      <c r="G301" s="4">
        <v>1</v>
      </c>
      <c r="H301" s="4">
        <v>0</v>
      </c>
      <c r="I301" s="4">
        <v>0</v>
      </c>
      <c r="J301" s="4">
        <v>0</v>
      </c>
      <c r="K301" s="4">
        <v>0</v>
      </c>
      <c r="L301" s="2" t="s">
        <v>79</v>
      </c>
    </row>
    <row r="302" spans="1:12" x14ac:dyDescent="0.2">
      <c r="A302" s="4">
        <v>3.75</v>
      </c>
      <c r="B302" s="4">
        <v>12</v>
      </c>
      <c r="C302" s="4">
        <v>14</v>
      </c>
      <c r="D302" s="4">
        <v>0</v>
      </c>
      <c r="E302" s="4">
        <v>1</v>
      </c>
      <c r="F302" s="4">
        <v>1</v>
      </c>
      <c r="G302" s="4">
        <v>3</v>
      </c>
      <c r="H302" s="4">
        <v>0</v>
      </c>
      <c r="I302" s="4">
        <v>0</v>
      </c>
      <c r="J302" s="4">
        <v>0</v>
      </c>
      <c r="K302" s="4">
        <v>0</v>
      </c>
      <c r="L302" s="2" t="s">
        <v>79</v>
      </c>
    </row>
    <row r="303" spans="1:12" x14ac:dyDescent="0.2">
      <c r="A303" s="4">
        <v>3.1</v>
      </c>
      <c r="B303" s="4">
        <v>6</v>
      </c>
      <c r="C303" s="4">
        <v>14</v>
      </c>
      <c r="D303" s="4">
        <v>0</v>
      </c>
      <c r="E303" s="4">
        <v>1</v>
      </c>
      <c r="F303" s="4">
        <v>0</v>
      </c>
      <c r="G303" s="4">
        <v>5</v>
      </c>
      <c r="H303" s="4">
        <v>0</v>
      </c>
      <c r="I303" s="4">
        <v>1</v>
      </c>
      <c r="J303" s="4">
        <v>0</v>
      </c>
      <c r="K303" s="4">
        <v>0</v>
      </c>
      <c r="L303" s="2" t="s">
        <v>79</v>
      </c>
    </row>
    <row r="304" spans="1:12" x14ac:dyDescent="0.2">
      <c r="A304" s="4">
        <v>3.5</v>
      </c>
      <c r="B304" s="4">
        <v>12</v>
      </c>
      <c r="C304" s="4">
        <v>14</v>
      </c>
      <c r="D304" s="4">
        <v>0</v>
      </c>
      <c r="E304" s="4">
        <v>1</v>
      </c>
      <c r="F304" s="4">
        <v>0</v>
      </c>
      <c r="G304" s="4">
        <v>2</v>
      </c>
      <c r="H304" s="4">
        <v>0</v>
      </c>
      <c r="I304" s="4">
        <v>1</v>
      </c>
      <c r="J304" s="4">
        <v>0</v>
      </c>
      <c r="K304" s="4">
        <v>1</v>
      </c>
      <c r="L304" s="2" t="s">
        <v>79</v>
      </c>
    </row>
    <row r="305" spans="1:12" x14ac:dyDescent="0.2">
      <c r="A305" s="4">
        <v>17.329999999999998</v>
      </c>
      <c r="B305" s="4">
        <v>16</v>
      </c>
      <c r="C305" s="4">
        <v>14</v>
      </c>
      <c r="D305" s="4">
        <v>0</v>
      </c>
      <c r="E305" s="4">
        <v>0</v>
      </c>
      <c r="F305" s="4">
        <v>1</v>
      </c>
      <c r="G305" s="4">
        <v>1</v>
      </c>
      <c r="H305" s="4">
        <v>0</v>
      </c>
      <c r="I305" s="4">
        <v>0</v>
      </c>
      <c r="J305" s="4">
        <v>1</v>
      </c>
      <c r="K305" s="4">
        <v>0</v>
      </c>
      <c r="L305" s="2" t="s">
        <v>79</v>
      </c>
    </row>
    <row r="306" spans="1:12" x14ac:dyDescent="0.2">
      <c r="A306" s="4">
        <v>3.58</v>
      </c>
      <c r="B306" s="4">
        <v>12</v>
      </c>
      <c r="C306" s="4">
        <v>13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1</v>
      </c>
      <c r="J306" s="4">
        <v>0</v>
      </c>
      <c r="K306" s="4">
        <v>0</v>
      </c>
      <c r="L306" s="2" t="s">
        <v>79</v>
      </c>
    </row>
    <row r="307" spans="1:12" x14ac:dyDescent="0.2">
      <c r="A307" s="4">
        <v>4.5</v>
      </c>
      <c r="B307" s="4">
        <v>12</v>
      </c>
      <c r="C307" s="4">
        <v>13</v>
      </c>
      <c r="D307" s="4">
        <v>0</v>
      </c>
      <c r="E307" s="4">
        <v>0</v>
      </c>
      <c r="F307" s="4">
        <v>1</v>
      </c>
      <c r="G307" s="4">
        <v>0</v>
      </c>
      <c r="H307" s="4">
        <v>0</v>
      </c>
      <c r="I307" s="4">
        <v>1</v>
      </c>
      <c r="J307" s="4">
        <v>0</v>
      </c>
      <c r="K307" s="4">
        <v>0</v>
      </c>
      <c r="L307" s="2" t="s">
        <v>79</v>
      </c>
    </row>
    <row r="308" spans="1:12" x14ac:dyDescent="0.2">
      <c r="A308" s="4">
        <v>3.6</v>
      </c>
      <c r="B308" s="4">
        <v>12</v>
      </c>
      <c r="C308" s="4">
        <v>13</v>
      </c>
      <c r="D308" s="4">
        <v>0</v>
      </c>
      <c r="E308" s="10">
        <v>2</v>
      </c>
      <c r="F308" s="4">
        <v>1</v>
      </c>
      <c r="G308" s="4">
        <v>3</v>
      </c>
      <c r="H308" s="4">
        <v>0</v>
      </c>
      <c r="I308" s="4">
        <v>0</v>
      </c>
      <c r="J308" s="4">
        <v>1</v>
      </c>
      <c r="K308" s="4">
        <v>0</v>
      </c>
      <c r="L308" s="2" t="s">
        <v>79</v>
      </c>
    </row>
    <row r="309" spans="1:12" x14ac:dyDescent="0.2">
      <c r="A309" s="4">
        <v>18</v>
      </c>
      <c r="B309" s="4">
        <v>18</v>
      </c>
      <c r="C309" s="4">
        <v>13</v>
      </c>
      <c r="D309" s="4">
        <v>0</v>
      </c>
      <c r="E309" s="4">
        <v>1</v>
      </c>
      <c r="F309" s="4">
        <v>0</v>
      </c>
      <c r="G309" s="4">
        <v>0</v>
      </c>
      <c r="H309" s="4">
        <v>0</v>
      </c>
      <c r="I309" s="4">
        <v>1</v>
      </c>
      <c r="J309" s="4">
        <v>0</v>
      </c>
      <c r="K309" s="4">
        <v>0</v>
      </c>
      <c r="L309" s="2" t="s">
        <v>79</v>
      </c>
    </row>
    <row r="310" spans="1:12" x14ac:dyDescent="0.2">
      <c r="A310" s="4">
        <v>6.25</v>
      </c>
      <c r="B310" s="10">
        <v>12</v>
      </c>
      <c r="C310" s="4">
        <v>13</v>
      </c>
      <c r="D310" s="4">
        <v>0</v>
      </c>
      <c r="E310" s="4">
        <v>1</v>
      </c>
      <c r="F310" s="4">
        <v>1</v>
      </c>
      <c r="G310" s="4">
        <v>0</v>
      </c>
      <c r="H310" s="4">
        <v>1</v>
      </c>
      <c r="I310" s="4">
        <v>0</v>
      </c>
      <c r="J310" s="4">
        <v>0</v>
      </c>
      <c r="K310" s="4">
        <v>0</v>
      </c>
      <c r="L310" s="2" t="s">
        <v>79</v>
      </c>
    </row>
    <row r="311" spans="1:12" x14ac:dyDescent="0.2">
      <c r="A311" s="4">
        <v>7.14</v>
      </c>
      <c r="B311" s="4">
        <v>18</v>
      </c>
      <c r="C311" s="4">
        <v>13</v>
      </c>
      <c r="D311" s="4">
        <v>0</v>
      </c>
      <c r="E311" s="4">
        <v>0</v>
      </c>
      <c r="F311" s="4">
        <v>1</v>
      </c>
      <c r="G311" s="4">
        <v>2</v>
      </c>
      <c r="H311" s="4">
        <v>0</v>
      </c>
      <c r="I311" s="4">
        <v>0</v>
      </c>
      <c r="J311" s="4">
        <v>0</v>
      </c>
      <c r="K311" s="4">
        <v>0</v>
      </c>
      <c r="L311" s="2" t="s">
        <v>79</v>
      </c>
    </row>
    <row r="312" spans="1:12" x14ac:dyDescent="0.2">
      <c r="A312" s="4">
        <v>3.75</v>
      </c>
      <c r="B312" s="10">
        <v>12</v>
      </c>
      <c r="C312" s="4">
        <v>13</v>
      </c>
      <c r="D312" s="4">
        <v>0</v>
      </c>
      <c r="E312" s="4">
        <v>1</v>
      </c>
      <c r="F312" s="4">
        <v>1</v>
      </c>
      <c r="G312" s="4">
        <v>3</v>
      </c>
      <c r="H312" s="4">
        <v>1</v>
      </c>
      <c r="I312" s="4">
        <v>0</v>
      </c>
      <c r="J312" s="4">
        <v>0</v>
      </c>
      <c r="K312" s="4">
        <v>0</v>
      </c>
      <c r="L312" s="2" t="s">
        <v>79</v>
      </c>
    </row>
    <row r="313" spans="1:12" x14ac:dyDescent="0.2">
      <c r="A313" s="4">
        <v>10</v>
      </c>
      <c r="B313" s="4">
        <v>8</v>
      </c>
      <c r="C313" s="4">
        <v>13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2" t="s">
        <v>79</v>
      </c>
    </row>
    <row r="314" spans="1:12" x14ac:dyDescent="0.2">
      <c r="A314" s="4">
        <v>4.5</v>
      </c>
      <c r="B314" s="4">
        <v>12</v>
      </c>
      <c r="C314" s="4">
        <v>12</v>
      </c>
      <c r="D314" s="4">
        <v>0</v>
      </c>
      <c r="E314" s="4">
        <v>0</v>
      </c>
      <c r="F314" s="4">
        <v>1</v>
      </c>
      <c r="G314" s="4">
        <v>3</v>
      </c>
      <c r="H314" s="4">
        <v>0</v>
      </c>
      <c r="I314" s="4">
        <v>1</v>
      </c>
      <c r="J314" s="4">
        <v>0</v>
      </c>
      <c r="K314" s="4">
        <v>0</v>
      </c>
      <c r="L314" s="2" t="s">
        <v>79</v>
      </c>
    </row>
    <row r="315" spans="1:12" x14ac:dyDescent="0.2">
      <c r="A315" s="4">
        <v>3.45</v>
      </c>
      <c r="B315" s="4">
        <v>10</v>
      </c>
      <c r="C315" s="4">
        <v>11</v>
      </c>
      <c r="D315" s="4">
        <v>0</v>
      </c>
      <c r="E315" s="4">
        <v>1</v>
      </c>
      <c r="F315" s="4">
        <v>0</v>
      </c>
      <c r="G315" s="4">
        <v>2</v>
      </c>
      <c r="H315" s="4">
        <v>0</v>
      </c>
      <c r="I315" s="4">
        <v>1</v>
      </c>
      <c r="J315" s="4">
        <v>0</v>
      </c>
      <c r="K315" s="4">
        <v>0</v>
      </c>
      <c r="L315" s="2" t="s">
        <v>79</v>
      </c>
    </row>
    <row r="316" spans="1:12" x14ac:dyDescent="0.2">
      <c r="A316" s="4">
        <v>3.75</v>
      </c>
      <c r="B316" s="4">
        <v>12</v>
      </c>
      <c r="C316" s="4">
        <v>11</v>
      </c>
      <c r="D316" s="4">
        <v>0</v>
      </c>
      <c r="E316" s="4">
        <v>0</v>
      </c>
      <c r="F316" s="4">
        <v>0</v>
      </c>
      <c r="G316" s="4">
        <v>1</v>
      </c>
      <c r="H316" s="4">
        <v>0</v>
      </c>
      <c r="I316" s="4">
        <v>1</v>
      </c>
      <c r="J316" s="4">
        <v>0</v>
      </c>
      <c r="K316" s="4">
        <v>0</v>
      </c>
      <c r="L316" s="2" t="s">
        <v>79</v>
      </c>
    </row>
    <row r="317" spans="1:12" x14ac:dyDescent="0.2">
      <c r="A317" s="4">
        <v>6</v>
      </c>
      <c r="B317" s="4">
        <v>14</v>
      </c>
      <c r="C317" s="4">
        <v>11</v>
      </c>
      <c r="D317" s="4">
        <v>0</v>
      </c>
      <c r="E317" s="4">
        <v>0</v>
      </c>
      <c r="F317" s="4">
        <v>1</v>
      </c>
      <c r="G317" s="4">
        <v>0</v>
      </c>
      <c r="H317" s="4">
        <v>1</v>
      </c>
      <c r="I317" s="4">
        <v>0</v>
      </c>
      <c r="J317" s="4">
        <v>0</v>
      </c>
      <c r="K317" s="4">
        <v>0</v>
      </c>
      <c r="L317" s="2" t="s">
        <v>79</v>
      </c>
    </row>
    <row r="318" spans="1:12" x14ac:dyDescent="0.2">
      <c r="A318" s="4">
        <v>6.25</v>
      </c>
      <c r="B318" s="4">
        <v>12</v>
      </c>
      <c r="C318" s="4">
        <v>11</v>
      </c>
      <c r="D318" s="4">
        <v>0</v>
      </c>
      <c r="E318" s="4">
        <v>1</v>
      </c>
      <c r="F318" s="4">
        <v>0</v>
      </c>
      <c r="G318" s="4">
        <v>0</v>
      </c>
      <c r="H318" s="4">
        <v>0</v>
      </c>
      <c r="I318" s="4">
        <v>0</v>
      </c>
      <c r="J318" s="4">
        <v>1</v>
      </c>
      <c r="K318" s="4">
        <v>0</v>
      </c>
      <c r="L318" s="2" t="s">
        <v>79</v>
      </c>
    </row>
    <row r="319" spans="1:12" x14ac:dyDescent="0.2">
      <c r="A319" s="4">
        <v>7.5</v>
      </c>
      <c r="B319" s="4">
        <v>16</v>
      </c>
      <c r="C319" s="4">
        <v>11</v>
      </c>
      <c r="D319" s="4">
        <v>0</v>
      </c>
      <c r="E319" s="4">
        <v>0</v>
      </c>
      <c r="F319" s="4">
        <v>1</v>
      </c>
      <c r="G319" s="4">
        <v>0</v>
      </c>
      <c r="H319" s="4">
        <v>1</v>
      </c>
      <c r="I319" s="4">
        <v>0</v>
      </c>
      <c r="J319" s="4">
        <v>0</v>
      </c>
      <c r="K319" s="4">
        <v>0</v>
      </c>
      <c r="L319" s="2" t="s">
        <v>79</v>
      </c>
    </row>
    <row r="320" spans="1:12" x14ac:dyDescent="0.2">
      <c r="A320" s="4">
        <v>3</v>
      </c>
      <c r="B320" s="4">
        <v>12</v>
      </c>
      <c r="C320" s="4">
        <v>11</v>
      </c>
      <c r="D320" s="4">
        <v>0</v>
      </c>
      <c r="E320" s="4">
        <v>1</v>
      </c>
      <c r="F320" s="4">
        <v>1</v>
      </c>
      <c r="G320" s="4">
        <v>2</v>
      </c>
      <c r="H320" s="4">
        <v>0</v>
      </c>
      <c r="I320" s="4">
        <v>1</v>
      </c>
      <c r="J320" s="4">
        <v>0</v>
      </c>
      <c r="K320" s="4">
        <v>0</v>
      </c>
      <c r="L320" s="2" t="s">
        <v>79</v>
      </c>
    </row>
    <row r="321" spans="1:12" x14ac:dyDescent="0.2">
      <c r="A321" s="4">
        <v>4.55</v>
      </c>
      <c r="B321" s="4">
        <v>12</v>
      </c>
      <c r="C321" s="4">
        <v>11</v>
      </c>
      <c r="D321" s="4">
        <v>0</v>
      </c>
      <c r="E321" s="10">
        <v>2</v>
      </c>
      <c r="F321" s="4">
        <v>1</v>
      </c>
      <c r="G321" s="4">
        <v>0</v>
      </c>
      <c r="H321" s="4">
        <v>1</v>
      </c>
      <c r="I321" s="4">
        <v>0</v>
      </c>
      <c r="J321" s="4">
        <v>0</v>
      </c>
      <c r="K321" s="4">
        <v>0</v>
      </c>
      <c r="L321" s="2" t="s">
        <v>79</v>
      </c>
    </row>
    <row r="322" spans="1:12" x14ac:dyDescent="0.2">
      <c r="A322" s="4">
        <v>7.5</v>
      </c>
      <c r="B322" s="4">
        <v>12</v>
      </c>
      <c r="C322" s="4">
        <v>10</v>
      </c>
      <c r="D322" s="4">
        <v>0</v>
      </c>
      <c r="E322" s="4">
        <v>1</v>
      </c>
      <c r="F322" s="4">
        <v>1</v>
      </c>
      <c r="G322" s="4">
        <v>0</v>
      </c>
      <c r="H322" s="4">
        <v>0</v>
      </c>
      <c r="I322" s="4">
        <v>0</v>
      </c>
      <c r="J322" s="4">
        <v>1</v>
      </c>
      <c r="K322" s="4">
        <v>0</v>
      </c>
      <c r="L322" s="2" t="s">
        <v>79</v>
      </c>
    </row>
    <row r="323" spans="1:12" x14ac:dyDescent="0.2">
      <c r="A323" s="4">
        <v>3.05</v>
      </c>
      <c r="B323" s="4">
        <v>12</v>
      </c>
      <c r="C323" s="4">
        <v>10</v>
      </c>
      <c r="D323" s="4">
        <v>0</v>
      </c>
      <c r="E323" s="4">
        <v>1</v>
      </c>
      <c r="F323" s="4">
        <v>1</v>
      </c>
      <c r="G323" s="4">
        <v>2</v>
      </c>
      <c r="H323" s="4">
        <v>1</v>
      </c>
      <c r="I323" s="4">
        <v>0</v>
      </c>
      <c r="J323" s="4">
        <v>0</v>
      </c>
      <c r="K323" s="4">
        <v>0</v>
      </c>
      <c r="L323" s="2" t="s">
        <v>79</v>
      </c>
    </row>
    <row r="324" spans="1:12" x14ac:dyDescent="0.2">
      <c r="A324" s="4">
        <v>6.25</v>
      </c>
      <c r="B324" s="4">
        <v>12</v>
      </c>
      <c r="C324" s="4">
        <v>10</v>
      </c>
      <c r="D324" s="4">
        <v>0</v>
      </c>
      <c r="E324" s="4">
        <v>0</v>
      </c>
      <c r="F324" s="4">
        <v>1</v>
      </c>
      <c r="G324" s="4">
        <v>3</v>
      </c>
      <c r="H324" s="4">
        <v>0</v>
      </c>
      <c r="I324" s="4">
        <v>1</v>
      </c>
      <c r="J324" s="4">
        <v>0</v>
      </c>
      <c r="K324" s="4">
        <v>1</v>
      </c>
      <c r="L324" s="2" t="s">
        <v>79</v>
      </c>
    </row>
    <row r="325" spans="1:12" x14ac:dyDescent="0.2">
      <c r="A325" s="4">
        <v>4.5</v>
      </c>
      <c r="B325" s="4">
        <v>14</v>
      </c>
      <c r="C325" s="4">
        <v>10</v>
      </c>
      <c r="D325" s="4">
        <v>0</v>
      </c>
      <c r="E325" s="4">
        <v>0</v>
      </c>
      <c r="F325" s="4">
        <v>1</v>
      </c>
      <c r="G325" s="4">
        <v>0</v>
      </c>
      <c r="H325" s="4">
        <v>1</v>
      </c>
      <c r="I325" s="4">
        <v>0</v>
      </c>
      <c r="J325" s="4">
        <v>0</v>
      </c>
      <c r="K325" s="4">
        <v>0</v>
      </c>
      <c r="L325" s="2" t="s">
        <v>79</v>
      </c>
    </row>
    <row r="326" spans="1:12" x14ac:dyDescent="0.2">
      <c r="A326" s="4">
        <v>3</v>
      </c>
      <c r="B326" s="4">
        <v>15</v>
      </c>
      <c r="C326" s="4">
        <v>9</v>
      </c>
      <c r="D326" s="4">
        <v>0</v>
      </c>
      <c r="E326" s="4">
        <v>0</v>
      </c>
      <c r="F326" s="4">
        <v>0</v>
      </c>
      <c r="G326" s="4">
        <v>0</v>
      </c>
      <c r="H326" s="4">
        <v>1</v>
      </c>
      <c r="I326" s="4">
        <v>0</v>
      </c>
      <c r="J326" s="4">
        <v>0</v>
      </c>
      <c r="K326" s="4">
        <v>0</v>
      </c>
      <c r="L326" s="2" t="s">
        <v>79</v>
      </c>
    </row>
    <row r="327" spans="1:12" x14ac:dyDescent="0.2">
      <c r="A327" s="4">
        <v>10</v>
      </c>
      <c r="B327" s="4">
        <v>8</v>
      </c>
      <c r="C327" s="4">
        <v>9</v>
      </c>
      <c r="D327" s="4">
        <v>0</v>
      </c>
      <c r="E327" s="4">
        <v>0</v>
      </c>
      <c r="F327" s="4">
        <v>1</v>
      </c>
      <c r="G327" s="4">
        <v>0</v>
      </c>
      <c r="H327" s="4">
        <v>1</v>
      </c>
      <c r="I327" s="4">
        <v>0</v>
      </c>
      <c r="J327" s="4">
        <v>0</v>
      </c>
      <c r="K327" s="4">
        <v>1</v>
      </c>
      <c r="L327" s="2" t="s">
        <v>79</v>
      </c>
    </row>
    <row r="328" spans="1:12" x14ac:dyDescent="0.2">
      <c r="A328" s="4">
        <v>6</v>
      </c>
      <c r="B328" s="4">
        <v>13</v>
      </c>
      <c r="C328" s="4">
        <v>8</v>
      </c>
      <c r="D328" s="4">
        <v>0</v>
      </c>
      <c r="E328" s="4">
        <v>0</v>
      </c>
      <c r="F328" s="4">
        <v>1</v>
      </c>
      <c r="G328" s="4">
        <v>2</v>
      </c>
      <c r="H328" s="4">
        <v>1</v>
      </c>
      <c r="I328" s="4">
        <v>0</v>
      </c>
      <c r="J328" s="4">
        <v>0</v>
      </c>
      <c r="K328" s="4">
        <v>0</v>
      </c>
      <c r="L328" s="2" t="s">
        <v>79</v>
      </c>
    </row>
    <row r="329" spans="1:12" x14ac:dyDescent="0.2">
      <c r="A329" s="4">
        <v>2.89</v>
      </c>
      <c r="B329" s="4">
        <v>10</v>
      </c>
      <c r="C329" s="4">
        <v>8</v>
      </c>
      <c r="D329" s="4">
        <v>0</v>
      </c>
      <c r="E329" s="4">
        <v>1</v>
      </c>
      <c r="F329" s="4">
        <v>0</v>
      </c>
      <c r="G329" s="4">
        <v>1</v>
      </c>
      <c r="H329" s="4">
        <v>0</v>
      </c>
      <c r="I329" s="4">
        <v>0</v>
      </c>
      <c r="J329" s="4">
        <v>0</v>
      </c>
      <c r="K329" s="4">
        <v>0</v>
      </c>
      <c r="L329" s="2" t="s">
        <v>79</v>
      </c>
    </row>
    <row r="330" spans="1:12" x14ac:dyDescent="0.2">
      <c r="A330" s="4">
        <v>4.2</v>
      </c>
      <c r="B330" s="4">
        <v>16</v>
      </c>
      <c r="C330" s="4">
        <v>8</v>
      </c>
      <c r="D330" s="4">
        <v>0</v>
      </c>
      <c r="E330" s="4">
        <v>1</v>
      </c>
      <c r="F330" s="4">
        <v>1</v>
      </c>
      <c r="G330" s="4">
        <v>1</v>
      </c>
      <c r="H330" s="4">
        <v>1</v>
      </c>
      <c r="I330" s="4">
        <v>0</v>
      </c>
      <c r="J330" s="4">
        <v>0</v>
      </c>
      <c r="K330" s="4">
        <v>0</v>
      </c>
      <c r="L330" s="2" t="s">
        <v>79</v>
      </c>
    </row>
    <row r="331" spans="1:12" x14ac:dyDescent="0.2">
      <c r="A331" s="4">
        <v>4.5999999999999996</v>
      </c>
      <c r="B331" s="4">
        <v>14</v>
      </c>
      <c r="C331" s="4">
        <v>7</v>
      </c>
      <c r="D331" s="4">
        <v>0</v>
      </c>
      <c r="E331" s="4">
        <v>1</v>
      </c>
      <c r="F331" s="4">
        <v>1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2" t="s">
        <v>79</v>
      </c>
    </row>
    <row r="332" spans="1:12" x14ac:dyDescent="0.2">
      <c r="A332" s="4">
        <v>4.38</v>
      </c>
      <c r="B332" s="4">
        <v>16</v>
      </c>
      <c r="C332" s="4">
        <v>7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2" t="s">
        <v>79</v>
      </c>
    </row>
    <row r="333" spans="1:12" x14ac:dyDescent="0.2">
      <c r="A333" s="4">
        <v>9</v>
      </c>
      <c r="B333" s="4">
        <v>17</v>
      </c>
      <c r="C333" s="4">
        <v>7</v>
      </c>
      <c r="D333" s="4">
        <v>0</v>
      </c>
      <c r="E333" s="4">
        <v>1</v>
      </c>
      <c r="F333" s="4">
        <v>1</v>
      </c>
      <c r="G333" s="4">
        <v>2</v>
      </c>
      <c r="H333" s="4">
        <v>0</v>
      </c>
      <c r="I333" s="4">
        <v>0</v>
      </c>
      <c r="J333" s="4">
        <v>0</v>
      </c>
      <c r="K333" s="4">
        <v>0</v>
      </c>
      <c r="L333" s="2" t="s">
        <v>79</v>
      </c>
    </row>
    <row r="334" spans="1:12" x14ac:dyDescent="0.2">
      <c r="A334" s="4">
        <v>3</v>
      </c>
      <c r="B334" s="4">
        <v>10</v>
      </c>
      <c r="C334" s="4">
        <v>7</v>
      </c>
      <c r="D334" s="4">
        <v>0</v>
      </c>
      <c r="E334" s="4">
        <v>1</v>
      </c>
      <c r="F334" s="4">
        <v>1</v>
      </c>
      <c r="G334" s="4">
        <v>2</v>
      </c>
      <c r="H334" s="4">
        <v>1</v>
      </c>
      <c r="I334" s="4">
        <v>0</v>
      </c>
      <c r="J334" s="4">
        <v>0</v>
      </c>
      <c r="K334" s="4">
        <v>0</v>
      </c>
      <c r="L334" s="2" t="s">
        <v>79</v>
      </c>
    </row>
    <row r="335" spans="1:12" x14ac:dyDescent="0.2">
      <c r="A335" s="4">
        <v>4.38</v>
      </c>
      <c r="B335" s="4">
        <v>13</v>
      </c>
      <c r="C335" s="4">
        <v>7</v>
      </c>
      <c r="D335" s="4">
        <v>0</v>
      </c>
      <c r="E335" s="4">
        <v>0</v>
      </c>
      <c r="F335" s="4">
        <v>1</v>
      </c>
      <c r="G335" s="4">
        <v>1</v>
      </c>
      <c r="H335" s="4">
        <v>0</v>
      </c>
      <c r="I335" s="4">
        <v>0</v>
      </c>
      <c r="J335" s="4">
        <v>1</v>
      </c>
      <c r="K335" s="4">
        <v>0</v>
      </c>
      <c r="L335" s="2" t="s">
        <v>79</v>
      </c>
    </row>
    <row r="336" spans="1:12" x14ac:dyDescent="0.2">
      <c r="A336" s="4">
        <v>4.0999999999999996</v>
      </c>
      <c r="B336" s="4">
        <v>14</v>
      </c>
      <c r="C336" s="4">
        <v>6</v>
      </c>
      <c r="D336" s="4">
        <v>0</v>
      </c>
      <c r="E336" s="4">
        <v>1</v>
      </c>
      <c r="F336" s="4">
        <v>1</v>
      </c>
      <c r="G336" s="4">
        <v>0</v>
      </c>
      <c r="H336" s="4">
        <v>0</v>
      </c>
      <c r="I336" s="4">
        <v>1</v>
      </c>
      <c r="J336" s="4">
        <v>0</v>
      </c>
      <c r="K336" s="4">
        <v>0</v>
      </c>
      <c r="L336" s="2" t="s">
        <v>79</v>
      </c>
    </row>
    <row r="337" spans="1:12" x14ac:dyDescent="0.2">
      <c r="A337" s="4">
        <v>2.9</v>
      </c>
      <c r="B337" s="4">
        <v>11</v>
      </c>
      <c r="C337" s="4">
        <v>6</v>
      </c>
      <c r="D337" s="4">
        <v>0</v>
      </c>
      <c r="E337" s="4">
        <v>1</v>
      </c>
      <c r="F337" s="4">
        <v>0</v>
      </c>
      <c r="G337" s="4">
        <v>1</v>
      </c>
      <c r="H337" s="4">
        <v>0</v>
      </c>
      <c r="I337" s="4">
        <v>1</v>
      </c>
      <c r="J337" s="4">
        <v>0</v>
      </c>
      <c r="K337" s="4">
        <v>0</v>
      </c>
      <c r="L337" s="2" t="s">
        <v>79</v>
      </c>
    </row>
    <row r="338" spans="1:12" x14ac:dyDescent="0.2">
      <c r="A338" s="4">
        <v>3.76</v>
      </c>
      <c r="B338" s="4">
        <v>6</v>
      </c>
      <c r="C338" s="4">
        <v>6</v>
      </c>
      <c r="D338" s="4">
        <v>0</v>
      </c>
      <c r="E338" s="4">
        <v>0</v>
      </c>
      <c r="F338" s="4">
        <v>0</v>
      </c>
      <c r="G338" s="4">
        <v>4</v>
      </c>
      <c r="H338" s="4">
        <v>0</v>
      </c>
      <c r="I338" s="4">
        <v>1</v>
      </c>
      <c r="J338" s="4">
        <v>0</v>
      </c>
      <c r="K338" s="4">
        <v>0</v>
      </c>
      <c r="L338" s="2" t="s">
        <v>79</v>
      </c>
    </row>
    <row r="339" spans="1:12" x14ac:dyDescent="0.2">
      <c r="A339" s="4">
        <v>4</v>
      </c>
      <c r="B339" s="4">
        <v>13</v>
      </c>
      <c r="C339" s="4">
        <v>6</v>
      </c>
      <c r="D339" s="4">
        <v>0</v>
      </c>
      <c r="E339" s="4">
        <v>1</v>
      </c>
      <c r="F339" s="4">
        <v>0</v>
      </c>
      <c r="G339" s="4">
        <v>1</v>
      </c>
      <c r="H339" s="4">
        <v>1</v>
      </c>
      <c r="I339" s="4">
        <v>0</v>
      </c>
      <c r="J339" s="4">
        <v>0</v>
      </c>
      <c r="K339" s="4">
        <v>1</v>
      </c>
      <c r="L339" s="2" t="s">
        <v>79</v>
      </c>
    </row>
    <row r="340" spans="1:12" x14ac:dyDescent="0.2">
      <c r="A340" s="4">
        <v>5.84</v>
      </c>
      <c r="B340" s="4">
        <v>13</v>
      </c>
      <c r="C340" s="4">
        <v>5</v>
      </c>
      <c r="D340" s="4">
        <v>0</v>
      </c>
      <c r="E340" s="4">
        <v>1</v>
      </c>
      <c r="F340" s="4">
        <v>1</v>
      </c>
      <c r="G340" s="4">
        <v>1</v>
      </c>
      <c r="H340" s="4">
        <v>0</v>
      </c>
      <c r="I340" s="4">
        <v>1</v>
      </c>
      <c r="J340" s="4">
        <v>0</v>
      </c>
      <c r="K340" s="4">
        <v>0</v>
      </c>
      <c r="L340" s="2" t="s">
        <v>79</v>
      </c>
    </row>
    <row r="341" spans="1:12" x14ac:dyDescent="0.2">
      <c r="A341" s="4">
        <v>3.3</v>
      </c>
      <c r="B341" s="4">
        <v>13</v>
      </c>
      <c r="C341" s="4">
        <v>5</v>
      </c>
      <c r="D341" s="4">
        <v>0</v>
      </c>
      <c r="E341" s="4">
        <v>1</v>
      </c>
      <c r="F341" s="4">
        <v>0</v>
      </c>
      <c r="G341" s="4">
        <v>0</v>
      </c>
      <c r="H341" s="4">
        <v>1</v>
      </c>
      <c r="I341" s="4">
        <v>0</v>
      </c>
      <c r="J341" s="4">
        <v>0</v>
      </c>
      <c r="K341" s="4">
        <v>0</v>
      </c>
      <c r="L341" s="2" t="s">
        <v>79</v>
      </c>
    </row>
    <row r="342" spans="1:12" x14ac:dyDescent="0.2">
      <c r="A342" s="4">
        <v>3.5</v>
      </c>
      <c r="B342" s="4">
        <v>14</v>
      </c>
      <c r="C342" s="4">
        <v>5</v>
      </c>
      <c r="D342" s="4">
        <v>0</v>
      </c>
      <c r="E342" s="4">
        <v>1</v>
      </c>
      <c r="F342" s="4">
        <v>1</v>
      </c>
      <c r="G342" s="4">
        <v>0</v>
      </c>
      <c r="H342" s="4">
        <v>0</v>
      </c>
      <c r="I342" s="4">
        <v>1</v>
      </c>
      <c r="J342" s="4">
        <v>0</v>
      </c>
      <c r="K342" s="4">
        <v>0</v>
      </c>
      <c r="L342" s="2" t="s">
        <v>79</v>
      </c>
    </row>
    <row r="343" spans="1:12" x14ac:dyDescent="0.2">
      <c r="A343" s="4">
        <v>3</v>
      </c>
      <c r="B343" s="4">
        <v>13</v>
      </c>
      <c r="C343" s="4">
        <v>5</v>
      </c>
      <c r="D343" s="4">
        <v>0</v>
      </c>
      <c r="E343" s="4">
        <v>1</v>
      </c>
      <c r="F343" s="4">
        <v>0</v>
      </c>
      <c r="G343" s="4">
        <v>1</v>
      </c>
      <c r="H343" s="4">
        <v>0</v>
      </c>
      <c r="I343" s="4">
        <v>1</v>
      </c>
      <c r="J343" s="4">
        <v>0</v>
      </c>
      <c r="K343" s="4">
        <v>0</v>
      </c>
      <c r="L343" s="2" t="s">
        <v>79</v>
      </c>
    </row>
    <row r="344" spans="1:12" x14ac:dyDescent="0.2">
      <c r="A344" s="4">
        <v>4.5</v>
      </c>
      <c r="B344" s="4">
        <v>14</v>
      </c>
      <c r="C344" s="4">
        <v>5</v>
      </c>
      <c r="D344" s="4">
        <v>0</v>
      </c>
      <c r="E344" s="4">
        <v>0</v>
      </c>
      <c r="F344" s="4">
        <v>1</v>
      </c>
      <c r="G344" s="4">
        <v>0</v>
      </c>
      <c r="H344" s="4">
        <v>1</v>
      </c>
      <c r="I344" s="4">
        <v>0</v>
      </c>
      <c r="J344" s="4">
        <v>0</v>
      </c>
      <c r="K344" s="4">
        <v>1</v>
      </c>
      <c r="L344" s="2" t="s">
        <v>79</v>
      </c>
    </row>
    <row r="345" spans="1:12" x14ac:dyDescent="0.2">
      <c r="A345" s="4">
        <v>3.85</v>
      </c>
      <c r="B345" s="4">
        <v>16</v>
      </c>
      <c r="C345" s="4">
        <v>5</v>
      </c>
      <c r="D345" s="4">
        <v>0</v>
      </c>
      <c r="E345" s="4">
        <v>0</v>
      </c>
      <c r="F345" s="4">
        <v>1</v>
      </c>
      <c r="G345" s="4">
        <v>0</v>
      </c>
      <c r="H345" s="4">
        <v>1</v>
      </c>
      <c r="I345" s="4">
        <v>0</v>
      </c>
      <c r="J345" s="4">
        <v>0</v>
      </c>
      <c r="K345" s="4">
        <v>0</v>
      </c>
      <c r="L345" s="2" t="s">
        <v>79</v>
      </c>
    </row>
    <row r="346" spans="1:12" x14ac:dyDescent="0.2">
      <c r="A346" s="4">
        <v>4.1100000000000003</v>
      </c>
      <c r="B346" s="4">
        <v>14</v>
      </c>
      <c r="C346" s="4">
        <v>5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1</v>
      </c>
      <c r="J346" s="4">
        <v>0</v>
      </c>
      <c r="K346" s="4">
        <v>0</v>
      </c>
      <c r="L346" s="2" t="s">
        <v>79</v>
      </c>
    </row>
    <row r="347" spans="1:12" x14ac:dyDescent="0.2">
      <c r="A347" s="4">
        <v>5</v>
      </c>
      <c r="B347" s="4">
        <v>14</v>
      </c>
      <c r="C347" s="4">
        <v>5</v>
      </c>
      <c r="D347" s="4">
        <v>0</v>
      </c>
      <c r="E347" s="4">
        <v>0</v>
      </c>
      <c r="F347" s="4">
        <v>0</v>
      </c>
      <c r="G347" s="4">
        <v>0</v>
      </c>
      <c r="H347" s="4">
        <v>1</v>
      </c>
      <c r="I347" s="4">
        <v>0</v>
      </c>
      <c r="J347" s="4">
        <v>0</v>
      </c>
      <c r="K347" s="4">
        <v>0</v>
      </c>
      <c r="L347" s="2" t="s">
        <v>79</v>
      </c>
    </row>
    <row r="348" spans="1:12" x14ac:dyDescent="0.2">
      <c r="A348" s="4">
        <v>2.25</v>
      </c>
      <c r="B348" s="4">
        <v>12</v>
      </c>
      <c r="C348" s="4">
        <v>5</v>
      </c>
      <c r="D348" s="4">
        <v>0</v>
      </c>
      <c r="E348" s="4">
        <v>1</v>
      </c>
      <c r="F348" s="4">
        <v>0</v>
      </c>
      <c r="G348" s="4">
        <v>2</v>
      </c>
      <c r="H348" s="4">
        <v>0</v>
      </c>
      <c r="I348" s="4">
        <v>1</v>
      </c>
      <c r="J348" s="4">
        <v>0</v>
      </c>
      <c r="K348" s="4">
        <v>0</v>
      </c>
      <c r="L348" s="2" t="s">
        <v>79</v>
      </c>
    </row>
    <row r="349" spans="1:12" x14ac:dyDescent="0.2">
      <c r="A349" s="4">
        <v>3.18</v>
      </c>
      <c r="B349" s="4">
        <v>12</v>
      </c>
      <c r="C349" s="4">
        <v>5</v>
      </c>
      <c r="D349" s="4">
        <v>0</v>
      </c>
      <c r="E349" s="4">
        <v>1</v>
      </c>
      <c r="F349" s="4">
        <v>1</v>
      </c>
      <c r="G349" s="4">
        <v>0</v>
      </c>
      <c r="H349" s="4">
        <v>1</v>
      </c>
      <c r="I349" s="4">
        <v>0</v>
      </c>
      <c r="J349" s="4">
        <v>0</v>
      </c>
      <c r="K349" s="4">
        <v>0</v>
      </c>
      <c r="L349" s="2" t="s">
        <v>79</v>
      </c>
    </row>
    <row r="350" spans="1:12" x14ac:dyDescent="0.2">
      <c r="A350" s="4">
        <v>5.05</v>
      </c>
      <c r="B350" s="10">
        <v>12</v>
      </c>
      <c r="C350" s="4">
        <v>5</v>
      </c>
      <c r="D350" s="4">
        <v>0</v>
      </c>
      <c r="E350" s="4">
        <v>1</v>
      </c>
      <c r="F350" s="4">
        <v>0</v>
      </c>
      <c r="G350" s="4">
        <v>0</v>
      </c>
      <c r="H350" s="4">
        <v>1</v>
      </c>
      <c r="I350" s="4">
        <v>0</v>
      </c>
      <c r="J350" s="4">
        <v>0</v>
      </c>
      <c r="K350" s="4">
        <v>0</v>
      </c>
      <c r="L350" s="2" t="s">
        <v>79</v>
      </c>
    </row>
    <row r="351" spans="1:12" x14ac:dyDescent="0.2">
      <c r="A351" s="4">
        <v>4.63</v>
      </c>
      <c r="B351" s="4">
        <v>14</v>
      </c>
      <c r="C351" s="4">
        <v>4</v>
      </c>
      <c r="D351" s="4">
        <v>0</v>
      </c>
      <c r="E351" s="4">
        <v>1</v>
      </c>
      <c r="F351" s="4">
        <v>1</v>
      </c>
      <c r="G351" s="4">
        <v>2</v>
      </c>
      <c r="H351" s="4">
        <v>0</v>
      </c>
      <c r="I351" s="4">
        <v>1</v>
      </c>
      <c r="J351" s="4">
        <v>0</v>
      </c>
      <c r="K351" s="4">
        <v>0</v>
      </c>
      <c r="L351" s="2" t="s">
        <v>79</v>
      </c>
    </row>
    <row r="352" spans="1:12" x14ac:dyDescent="0.2">
      <c r="A352" s="4">
        <v>2.91</v>
      </c>
      <c r="B352" s="4">
        <v>12</v>
      </c>
      <c r="C352" s="4">
        <v>4</v>
      </c>
      <c r="D352" s="4">
        <v>0</v>
      </c>
      <c r="E352" s="4">
        <v>0</v>
      </c>
      <c r="F352" s="4">
        <v>1</v>
      </c>
      <c r="G352" s="4">
        <v>0</v>
      </c>
      <c r="H352" s="4">
        <v>0</v>
      </c>
      <c r="I352" s="4">
        <v>1</v>
      </c>
      <c r="J352" s="4">
        <v>0</v>
      </c>
      <c r="K352" s="4">
        <v>0</v>
      </c>
      <c r="L352" s="2" t="s">
        <v>79</v>
      </c>
    </row>
    <row r="353" spans="1:12" x14ac:dyDescent="0.2">
      <c r="A353" s="4">
        <v>6.25</v>
      </c>
      <c r="B353" s="4">
        <v>17</v>
      </c>
      <c r="C353" s="4">
        <v>4</v>
      </c>
      <c r="D353" s="4">
        <v>0</v>
      </c>
      <c r="E353" s="4">
        <v>1</v>
      </c>
      <c r="F353" s="4">
        <v>0</v>
      </c>
      <c r="G353" s="4">
        <v>0</v>
      </c>
      <c r="H353" s="4">
        <v>0</v>
      </c>
      <c r="I353" s="4">
        <v>0</v>
      </c>
      <c r="J353" s="4">
        <v>1</v>
      </c>
      <c r="K353" s="4">
        <v>0</v>
      </c>
      <c r="L353" s="2" t="s">
        <v>79</v>
      </c>
    </row>
    <row r="354" spans="1:12" x14ac:dyDescent="0.2">
      <c r="A354" s="4">
        <v>5.25</v>
      </c>
      <c r="B354" s="4">
        <v>16</v>
      </c>
      <c r="C354" s="4">
        <v>4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1</v>
      </c>
      <c r="J354" s="4">
        <v>0</v>
      </c>
      <c r="K354" s="4">
        <v>0</v>
      </c>
      <c r="L354" s="2" t="s">
        <v>79</v>
      </c>
    </row>
    <row r="355" spans="1:12" x14ac:dyDescent="0.2">
      <c r="A355" s="4">
        <v>5.25</v>
      </c>
      <c r="B355" s="4">
        <v>12</v>
      </c>
      <c r="C355" s="4">
        <v>4</v>
      </c>
      <c r="D355" s="4">
        <v>0</v>
      </c>
      <c r="E355" s="4">
        <v>0</v>
      </c>
      <c r="F355" s="4">
        <v>0</v>
      </c>
      <c r="G355" s="4">
        <v>0</v>
      </c>
      <c r="H355" s="4">
        <v>1</v>
      </c>
      <c r="I355" s="4">
        <v>0</v>
      </c>
      <c r="J355" s="4">
        <v>0</v>
      </c>
      <c r="K355" s="4">
        <v>0</v>
      </c>
      <c r="L355" s="2" t="s">
        <v>79</v>
      </c>
    </row>
    <row r="356" spans="1:12" x14ac:dyDescent="0.2">
      <c r="A356" s="4">
        <v>2.9</v>
      </c>
      <c r="B356" s="4">
        <v>10</v>
      </c>
      <c r="C356" s="4">
        <v>4</v>
      </c>
      <c r="D356" s="4">
        <v>0</v>
      </c>
      <c r="E356" s="4">
        <v>1</v>
      </c>
      <c r="F356" s="4">
        <v>0</v>
      </c>
      <c r="G356" s="4">
        <v>1</v>
      </c>
      <c r="H356" s="4">
        <v>0</v>
      </c>
      <c r="I356" s="4">
        <v>0</v>
      </c>
      <c r="J356" s="4">
        <v>0</v>
      </c>
      <c r="K356" s="4">
        <v>0</v>
      </c>
      <c r="L356" s="2" t="s">
        <v>79</v>
      </c>
    </row>
    <row r="357" spans="1:12" x14ac:dyDescent="0.2">
      <c r="A357" s="4">
        <v>2.92</v>
      </c>
      <c r="B357" s="4">
        <v>12</v>
      </c>
      <c r="C357" s="4">
        <v>4</v>
      </c>
      <c r="D357" s="4">
        <v>0</v>
      </c>
      <c r="E357" s="4">
        <v>1</v>
      </c>
      <c r="F357" s="4">
        <v>0</v>
      </c>
      <c r="G357" s="4">
        <v>1</v>
      </c>
      <c r="H357" s="4">
        <v>0</v>
      </c>
      <c r="I357" s="4">
        <v>1</v>
      </c>
      <c r="J357" s="4">
        <v>0</v>
      </c>
      <c r="K357" s="4">
        <v>0</v>
      </c>
      <c r="L357" s="2" t="s">
        <v>79</v>
      </c>
    </row>
    <row r="358" spans="1:12" x14ac:dyDescent="0.2">
      <c r="A358" s="4">
        <v>3.25</v>
      </c>
      <c r="B358" s="4">
        <v>12</v>
      </c>
      <c r="C358" s="4">
        <v>4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2" t="s">
        <v>79</v>
      </c>
    </row>
    <row r="359" spans="1:12" x14ac:dyDescent="0.2">
      <c r="A359" s="4">
        <v>3.25</v>
      </c>
      <c r="B359" s="4">
        <v>15</v>
      </c>
      <c r="C359" s="4">
        <v>3</v>
      </c>
      <c r="D359" s="4">
        <v>0</v>
      </c>
      <c r="E359" s="4">
        <v>0</v>
      </c>
      <c r="F359" s="4">
        <v>0</v>
      </c>
      <c r="G359" s="4">
        <v>1</v>
      </c>
      <c r="H359" s="4">
        <v>0</v>
      </c>
      <c r="I359" s="4">
        <v>0</v>
      </c>
      <c r="J359" s="4">
        <v>0</v>
      </c>
      <c r="K359" s="4">
        <v>0</v>
      </c>
      <c r="L359" s="2" t="s">
        <v>79</v>
      </c>
    </row>
    <row r="360" spans="1:12" x14ac:dyDescent="0.2">
      <c r="A360" s="4">
        <v>4.29</v>
      </c>
      <c r="B360" s="4">
        <v>12</v>
      </c>
      <c r="C360" s="4">
        <v>3</v>
      </c>
      <c r="D360" s="4">
        <v>0</v>
      </c>
      <c r="E360" s="4">
        <v>1</v>
      </c>
      <c r="F360" s="4">
        <v>0</v>
      </c>
      <c r="G360" s="4">
        <v>0</v>
      </c>
      <c r="H360" s="4">
        <v>0</v>
      </c>
      <c r="I360" s="4">
        <v>1</v>
      </c>
      <c r="J360" s="4">
        <v>0</v>
      </c>
      <c r="K360" s="4">
        <v>0</v>
      </c>
      <c r="L360" s="2" t="s">
        <v>79</v>
      </c>
    </row>
    <row r="361" spans="1:12" x14ac:dyDescent="0.2">
      <c r="A361" s="4">
        <v>4.68</v>
      </c>
      <c r="B361" s="4">
        <v>12</v>
      </c>
      <c r="C361" s="4">
        <v>3</v>
      </c>
      <c r="D361" s="4">
        <v>0</v>
      </c>
      <c r="E361" s="4">
        <v>1</v>
      </c>
      <c r="F361" s="4">
        <v>0</v>
      </c>
      <c r="G361" s="4">
        <v>0</v>
      </c>
      <c r="H361" s="4">
        <v>0</v>
      </c>
      <c r="I361" s="4">
        <v>0</v>
      </c>
      <c r="J361" s="4">
        <v>1</v>
      </c>
      <c r="K361" s="4">
        <v>0</v>
      </c>
      <c r="L361" s="2" t="s">
        <v>79</v>
      </c>
    </row>
    <row r="362" spans="1:12" x14ac:dyDescent="0.2">
      <c r="A362" s="4">
        <v>6.63</v>
      </c>
      <c r="B362" s="4">
        <v>16</v>
      </c>
      <c r="C362" s="4">
        <v>3</v>
      </c>
      <c r="D362" s="4">
        <v>0</v>
      </c>
      <c r="E362" s="4">
        <v>0</v>
      </c>
      <c r="F362" s="4">
        <v>1</v>
      </c>
      <c r="G362" s="4">
        <v>0</v>
      </c>
      <c r="H362" s="4">
        <v>0</v>
      </c>
      <c r="I362" s="4">
        <v>1</v>
      </c>
      <c r="J362" s="4">
        <v>0</v>
      </c>
      <c r="K362" s="4">
        <v>0</v>
      </c>
      <c r="L362" s="2" t="s">
        <v>79</v>
      </c>
    </row>
    <row r="363" spans="1:12" x14ac:dyDescent="0.2">
      <c r="A363" s="4">
        <v>4.4400000000000004</v>
      </c>
      <c r="B363" s="4">
        <v>12</v>
      </c>
      <c r="C363" s="4">
        <v>3</v>
      </c>
      <c r="D363" s="4">
        <v>0</v>
      </c>
      <c r="E363" s="4">
        <v>0</v>
      </c>
      <c r="F363" s="4">
        <v>0</v>
      </c>
      <c r="G363" s="4">
        <v>0</v>
      </c>
      <c r="H363" s="4">
        <v>1</v>
      </c>
      <c r="I363" s="4">
        <v>0</v>
      </c>
      <c r="J363" s="4">
        <v>0</v>
      </c>
      <c r="K363" s="4">
        <v>0</v>
      </c>
      <c r="L363" s="2" t="s">
        <v>79</v>
      </c>
    </row>
    <row r="364" spans="1:12" x14ac:dyDescent="0.2">
      <c r="A364" s="4">
        <v>5.71</v>
      </c>
      <c r="B364" s="4">
        <v>16</v>
      </c>
      <c r="C364" s="4">
        <v>3</v>
      </c>
      <c r="D364" s="4">
        <v>0</v>
      </c>
      <c r="E364" s="4">
        <v>1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2" t="s">
        <v>79</v>
      </c>
    </row>
    <row r="365" spans="1:12" x14ac:dyDescent="0.2">
      <c r="A365" s="4">
        <v>4.57</v>
      </c>
      <c r="B365" s="4">
        <v>14</v>
      </c>
      <c r="C365" s="4">
        <v>3</v>
      </c>
      <c r="D365" s="4">
        <v>0</v>
      </c>
      <c r="E365" s="4">
        <v>0</v>
      </c>
      <c r="F365" s="4">
        <v>1</v>
      </c>
      <c r="G365" s="4">
        <v>0</v>
      </c>
      <c r="H365" s="4">
        <v>0</v>
      </c>
      <c r="I365" s="4">
        <v>1</v>
      </c>
      <c r="J365" s="4">
        <v>0</v>
      </c>
      <c r="K365" s="4">
        <v>0</v>
      </c>
      <c r="L365" s="2" t="s">
        <v>79</v>
      </c>
    </row>
    <row r="366" spans="1:12" x14ac:dyDescent="0.2">
      <c r="A366" s="4">
        <v>6.5</v>
      </c>
      <c r="B366" s="4">
        <v>17</v>
      </c>
      <c r="C366" s="4">
        <v>3</v>
      </c>
      <c r="D366" s="4">
        <v>0</v>
      </c>
      <c r="E366" s="4">
        <v>0</v>
      </c>
      <c r="F366" s="4">
        <v>1</v>
      </c>
      <c r="G366" s="4">
        <v>0</v>
      </c>
      <c r="H366" s="4">
        <v>1</v>
      </c>
      <c r="I366" s="4">
        <v>0</v>
      </c>
      <c r="J366" s="4">
        <v>0</v>
      </c>
      <c r="K366" s="4">
        <v>0</v>
      </c>
      <c r="L366" s="2" t="s">
        <v>79</v>
      </c>
    </row>
    <row r="367" spans="1:12" x14ac:dyDescent="0.2">
      <c r="A367" s="4">
        <v>8.1300000000000008</v>
      </c>
      <c r="B367" s="4">
        <v>13</v>
      </c>
      <c r="C367" s="4">
        <v>3</v>
      </c>
      <c r="D367" s="4">
        <v>0</v>
      </c>
      <c r="E367" s="10">
        <v>2</v>
      </c>
      <c r="F367" s="4">
        <v>0</v>
      </c>
      <c r="G367" s="4">
        <v>0</v>
      </c>
      <c r="H367" s="4">
        <v>0</v>
      </c>
      <c r="I367" s="4">
        <v>0</v>
      </c>
      <c r="J367" s="4">
        <v>1</v>
      </c>
      <c r="K367" s="4">
        <v>0</v>
      </c>
      <c r="L367" s="2" t="s">
        <v>79</v>
      </c>
    </row>
    <row r="368" spans="1:12" x14ac:dyDescent="0.2">
      <c r="A368" s="4">
        <v>3</v>
      </c>
      <c r="B368" s="4">
        <v>9</v>
      </c>
      <c r="C368" s="4">
        <v>3</v>
      </c>
      <c r="D368" s="4">
        <v>0</v>
      </c>
      <c r="E368" s="4">
        <v>1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2" t="s">
        <v>79</v>
      </c>
    </row>
    <row r="369" spans="1:12" x14ac:dyDescent="0.2">
      <c r="A369" s="4">
        <v>4</v>
      </c>
      <c r="B369" s="4">
        <v>10</v>
      </c>
      <c r="C369" s="4">
        <v>2</v>
      </c>
      <c r="D369" s="4">
        <v>0</v>
      </c>
      <c r="E369" s="4">
        <v>1</v>
      </c>
      <c r="F369" s="4">
        <v>0</v>
      </c>
      <c r="G369" s="4">
        <v>1</v>
      </c>
      <c r="H369" s="4">
        <v>0</v>
      </c>
      <c r="I369" s="4">
        <v>0</v>
      </c>
      <c r="J369" s="4">
        <v>1</v>
      </c>
      <c r="K369" s="4">
        <v>0</v>
      </c>
      <c r="L369" s="2" t="s">
        <v>79</v>
      </c>
    </row>
    <row r="370" spans="1:12" x14ac:dyDescent="0.2">
      <c r="A370" s="4">
        <v>2.7</v>
      </c>
      <c r="B370" s="4">
        <v>9</v>
      </c>
      <c r="C370" s="4">
        <v>2</v>
      </c>
      <c r="D370" s="4">
        <v>0</v>
      </c>
      <c r="E370" s="4">
        <v>1</v>
      </c>
      <c r="F370" s="4">
        <v>0</v>
      </c>
      <c r="G370" s="4">
        <v>1</v>
      </c>
      <c r="H370" s="4">
        <v>1</v>
      </c>
      <c r="I370" s="4">
        <v>0</v>
      </c>
      <c r="J370" s="4">
        <v>0</v>
      </c>
      <c r="K370" s="4">
        <v>0</v>
      </c>
      <c r="L370" s="2" t="s">
        <v>79</v>
      </c>
    </row>
    <row r="371" spans="1:12" x14ac:dyDescent="0.2">
      <c r="A371" s="4">
        <v>2.27</v>
      </c>
      <c r="B371" s="4">
        <v>10</v>
      </c>
      <c r="C371" s="4">
        <v>2</v>
      </c>
      <c r="D371" s="4">
        <v>0</v>
      </c>
      <c r="E371" s="10">
        <v>2</v>
      </c>
      <c r="F371" s="4">
        <v>0</v>
      </c>
      <c r="G371" s="4">
        <v>3</v>
      </c>
      <c r="H371" s="4">
        <v>0</v>
      </c>
      <c r="I371" s="4">
        <v>0</v>
      </c>
      <c r="J371" s="4">
        <v>1</v>
      </c>
      <c r="K371" s="4">
        <v>0</v>
      </c>
      <c r="L371" s="2" t="s">
        <v>79</v>
      </c>
    </row>
    <row r="372" spans="1:12" x14ac:dyDescent="0.2">
      <c r="A372" s="4">
        <v>3.05</v>
      </c>
      <c r="B372" s="4">
        <v>12</v>
      </c>
      <c r="C372" s="4">
        <v>2</v>
      </c>
      <c r="D372" s="4">
        <v>0</v>
      </c>
      <c r="E372" s="4">
        <v>1</v>
      </c>
      <c r="F372" s="4">
        <v>0</v>
      </c>
      <c r="G372" s="4">
        <v>1</v>
      </c>
      <c r="H372" s="4">
        <v>1</v>
      </c>
      <c r="I372" s="4">
        <v>0</v>
      </c>
      <c r="J372" s="4">
        <v>0</v>
      </c>
      <c r="K372" s="4">
        <v>0</v>
      </c>
      <c r="L372" s="2" t="s">
        <v>79</v>
      </c>
    </row>
    <row r="373" spans="1:12" x14ac:dyDescent="0.2">
      <c r="A373" s="4">
        <v>3.5</v>
      </c>
      <c r="B373" s="4">
        <v>13</v>
      </c>
      <c r="C373" s="4">
        <v>2</v>
      </c>
      <c r="D373" s="4">
        <v>0</v>
      </c>
      <c r="E373" s="4">
        <v>1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2" t="s">
        <v>79</v>
      </c>
    </row>
    <row r="374" spans="1:12" x14ac:dyDescent="0.2">
      <c r="A374" s="4">
        <v>4.8099999999999996</v>
      </c>
      <c r="B374" s="4">
        <v>12</v>
      </c>
      <c r="C374" s="4">
        <v>2</v>
      </c>
      <c r="D374" s="4">
        <v>0</v>
      </c>
      <c r="E374" s="4">
        <v>1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2" t="s">
        <v>79</v>
      </c>
    </row>
    <row r="375" spans="1:12" x14ac:dyDescent="0.2">
      <c r="A375" s="4">
        <v>2.2999999999999998</v>
      </c>
      <c r="B375" s="4">
        <v>10</v>
      </c>
      <c r="C375" s="4">
        <v>2</v>
      </c>
      <c r="D375" s="4">
        <v>0</v>
      </c>
      <c r="E375" s="4">
        <v>1</v>
      </c>
      <c r="F375" s="4">
        <v>0</v>
      </c>
      <c r="G375" s="4">
        <v>4</v>
      </c>
      <c r="H375" s="4">
        <v>1</v>
      </c>
      <c r="I375" s="4">
        <v>0</v>
      </c>
      <c r="J375" s="4">
        <v>0</v>
      </c>
      <c r="K375" s="4">
        <v>0</v>
      </c>
      <c r="L375" s="2" t="s">
        <v>79</v>
      </c>
    </row>
    <row r="376" spans="1:12" x14ac:dyDescent="0.2">
      <c r="A376" s="4">
        <v>3.5</v>
      </c>
      <c r="B376" s="4">
        <v>12</v>
      </c>
      <c r="C376" s="4">
        <v>2</v>
      </c>
      <c r="D376" s="4">
        <v>0</v>
      </c>
      <c r="E376" s="10">
        <v>2</v>
      </c>
      <c r="F376" s="4">
        <v>0</v>
      </c>
      <c r="G376" s="4">
        <v>2</v>
      </c>
      <c r="H376" s="4">
        <v>0</v>
      </c>
      <c r="I376" s="4">
        <v>1</v>
      </c>
      <c r="J376" s="4">
        <v>0</v>
      </c>
      <c r="K376" s="4">
        <v>0</v>
      </c>
      <c r="L376" s="2" t="s">
        <v>79</v>
      </c>
    </row>
    <row r="377" spans="1:12" x14ac:dyDescent="0.2">
      <c r="A377" s="4">
        <v>7.9</v>
      </c>
      <c r="B377" s="4">
        <v>12</v>
      </c>
      <c r="C377" s="4">
        <v>2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1</v>
      </c>
      <c r="J377" s="4">
        <v>0</v>
      </c>
      <c r="K377" s="4">
        <v>1</v>
      </c>
      <c r="L377" s="2" t="s">
        <v>79</v>
      </c>
    </row>
    <row r="378" spans="1:12" x14ac:dyDescent="0.2">
      <c r="A378" s="4">
        <v>3</v>
      </c>
      <c r="B378" s="4">
        <v>12</v>
      </c>
      <c r="C378" s="4">
        <v>2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1</v>
      </c>
      <c r="L378" s="2" t="s">
        <v>79</v>
      </c>
    </row>
    <row r="379" spans="1:12" x14ac:dyDescent="0.2">
      <c r="A379" s="4">
        <v>5.7</v>
      </c>
      <c r="B379" s="4">
        <v>16</v>
      </c>
      <c r="C379" s="4">
        <v>2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1</v>
      </c>
      <c r="J379" s="4">
        <v>0</v>
      </c>
      <c r="K379" s="4">
        <v>0</v>
      </c>
      <c r="L379" s="2" t="s">
        <v>79</v>
      </c>
    </row>
    <row r="380" spans="1:12" x14ac:dyDescent="0.2">
      <c r="A380" s="4">
        <v>2.5</v>
      </c>
      <c r="B380" s="10">
        <v>12</v>
      </c>
      <c r="C380" s="4">
        <v>2</v>
      </c>
      <c r="D380" s="4">
        <v>0</v>
      </c>
      <c r="E380" s="4">
        <v>0</v>
      </c>
      <c r="F380" s="4">
        <v>0</v>
      </c>
      <c r="G380" s="4">
        <v>2</v>
      </c>
      <c r="H380" s="4">
        <v>0</v>
      </c>
      <c r="I380" s="4">
        <v>0</v>
      </c>
      <c r="J380" s="4">
        <v>0</v>
      </c>
      <c r="K380" s="4">
        <v>0</v>
      </c>
      <c r="L380" s="2" t="s">
        <v>79</v>
      </c>
    </row>
    <row r="381" spans="1:12" x14ac:dyDescent="0.2">
      <c r="A381" s="4">
        <v>2.88</v>
      </c>
      <c r="B381" s="4">
        <v>10</v>
      </c>
      <c r="C381" s="4">
        <v>2</v>
      </c>
      <c r="D381" s="4">
        <v>0</v>
      </c>
      <c r="E381" s="4">
        <v>1</v>
      </c>
      <c r="F381" s="4">
        <v>0</v>
      </c>
      <c r="G381" s="4">
        <v>3</v>
      </c>
      <c r="H381" s="4">
        <v>0</v>
      </c>
      <c r="I381" s="4">
        <v>0</v>
      </c>
      <c r="J381" s="4">
        <v>0</v>
      </c>
      <c r="K381" s="4">
        <v>0</v>
      </c>
      <c r="L381" s="2" t="s">
        <v>79</v>
      </c>
    </row>
    <row r="382" spans="1:12" x14ac:dyDescent="0.2">
      <c r="A382" s="4">
        <v>3</v>
      </c>
      <c r="B382" s="4">
        <v>11</v>
      </c>
      <c r="C382" s="4">
        <v>2</v>
      </c>
      <c r="D382" s="4">
        <v>0</v>
      </c>
      <c r="E382" s="4">
        <v>0</v>
      </c>
      <c r="F382" s="4">
        <v>0</v>
      </c>
      <c r="G382" s="4">
        <v>2</v>
      </c>
      <c r="H382" s="4">
        <v>0</v>
      </c>
      <c r="I382" s="4">
        <v>0</v>
      </c>
      <c r="J382" s="4">
        <v>1</v>
      </c>
      <c r="K382" s="4">
        <v>0</v>
      </c>
      <c r="L382" s="2" t="s">
        <v>79</v>
      </c>
    </row>
    <row r="383" spans="1:12" x14ac:dyDescent="0.2">
      <c r="A383" s="4">
        <v>3</v>
      </c>
      <c r="B383" s="4">
        <v>11</v>
      </c>
      <c r="C383" s="4">
        <v>2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2" t="s">
        <v>79</v>
      </c>
    </row>
    <row r="384" spans="1:12" x14ac:dyDescent="0.2">
      <c r="A384" s="4">
        <v>3.5</v>
      </c>
      <c r="B384" s="4">
        <v>13</v>
      </c>
      <c r="C384" s="4">
        <v>1</v>
      </c>
      <c r="D384" s="4">
        <v>0</v>
      </c>
      <c r="E384" s="4">
        <v>0</v>
      </c>
      <c r="F384" s="4">
        <v>0</v>
      </c>
      <c r="G384" s="4">
        <v>1</v>
      </c>
      <c r="H384" s="4">
        <v>0</v>
      </c>
      <c r="I384" s="4">
        <v>0</v>
      </c>
      <c r="J384" s="4">
        <v>0</v>
      </c>
      <c r="K384" s="4">
        <v>0</v>
      </c>
      <c r="L384" s="2" t="s">
        <v>79</v>
      </c>
    </row>
    <row r="385" spans="1:12" x14ac:dyDescent="0.2">
      <c r="A385" s="4">
        <v>2.83</v>
      </c>
      <c r="B385" s="4">
        <v>10</v>
      </c>
      <c r="C385" s="4">
        <v>1</v>
      </c>
      <c r="D385" s="4">
        <v>0</v>
      </c>
      <c r="E385" s="10">
        <v>2</v>
      </c>
      <c r="F385" s="4">
        <v>0</v>
      </c>
      <c r="G385" s="4">
        <v>4</v>
      </c>
      <c r="H385" s="4">
        <v>1</v>
      </c>
      <c r="I385" s="4">
        <v>0</v>
      </c>
      <c r="J385" s="4">
        <v>0</v>
      </c>
      <c r="K385" s="4">
        <v>0</v>
      </c>
      <c r="L385" s="2" t="s">
        <v>79</v>
      </c>
    </row>
    <row r="386" spans="1:12" x14ac:dyDescent="0.2">
      <c r="A386" s="4">
        <v>1.67</v>
      </c>
      <c r="B386" s="4">
        <v>10</v>
      </c>
      <c r="C386" s="4">
        <v>1</v>
      </c>
      <c r="D386" s="4">
        <v>0</v>
      </c>
      <c r="E386" s="4">
        <v>0</v>
      </c>
      <c r="F386" s="4">
        <v>0</v>
      </c>
      <c r="G386" s="4">
        <v>1</v>
      </c>
      <c r="H386" s="4">
        <v>0</v>
      </c>
      <c r="I386" s="4">
        <v>0</v>
      </c>
      <c r="J386" s="4">
        <v>1</v>
      </c>
      <c r="K386" s="4">
        <v>0</v>
      </c>
      <c r="L386" s="2" t="s">
        <v>79</v>
      </c>
    </row>
    <row r="387" spans="1:12" x14ac:dyDescent="0.2">
      <c r="A387" s="4">
        <v>4.68</v>
      </c>
      <c r="B387" s="4">
        <v>16</v>
      </c>
      <c r="C387" s="4">
        <v>1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1</v>
      </c>
      <c r="J387" s="4">
        <v>0</v>
      </c>
      <c r="K387" s="4">
        <v>0</v>
      </c>
      <c r="L387" s="2" t="s">
        <v>79</v>
      </c>
    </row>
    <row r="388" spans="1:12" x14ac:dyDescent="0.2">
      <c r="A388" s="4">
        <v>3.13</v>
      </c>
      <c r="B388" s="4">
        <v>10</v>
      </c>
      <c r="C388" s="4">
        <v>1</v>
      </c>
      <c r="D388" s="4">
        <v>0</v>
      </c>
      <c r="E388" s="4">
        <v>1</v>
      </c>
      <c r="F388" s="4">
        <v>0</v>
      </c>
      <c r="G388" s="4">
        <v>1</v>
      </c>
      <c r="H388" s="4">
        <v>1</v>
      </c>
      <c r="I388" s="4">
        <v>0</v>
      </c>
      <c r="J388" s="4">
        <v>0</v>
      </c>
      <c r="K388" s="4">
        <v>0</v>
      </c>
      <c r="L388" s="2" t="s">
        <v>79</v>
      </c>
    </row>
    <row r="389" spans="1:12" x14ac:dyDescent="0.2">
      <c r="A389" s="4">
        <v>3.2</v>
      </c>
      <c r="B389" s="4">
        <v>11</v>
      </c>
      <c r="C389" s="4">
        <v>1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2" t="s">
        <v>79</v>
      </c>
    </row>
    <row r="390" spans="1:12" x14ac:dyDescent="0.2">
      <c r="A390" s="4">
        <v>4.33</v>
      </c>
      <c r="B390" s="4">
        <v>18</v>
      </c>
      <c r="C390" s="4">
        <v>1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2" t="s">
        <v>79</v>
      </c>
    </row>
    <row r="391" spans="1:12" x14ac:dyDescent="0.2">
      <c r="A391" s="4">
        <v>2.9</v>
      </c>
      <c r="B391" s="4">
        <v>11</v>
      </c>
      <c r="C391" s="4">
        <v>1</v>
      </c>
      <c r="D391" s="4">
        <v>0</v>
      </c>
      <c r="E391" s="4">
        <v>1</v>
      </c>
      <c r="F391" s="4">
        <v>0</v>
      </c>
      <c r="G391" s="4">
        <v>1</v>
      </c>
      <c r="H391" s="4">
        <v>1</v>
      </c>
      <c r="I391" s="4">
        <v>0</v>
      </c>
      <c r="J391" s="4">
        <v>0</v>
      </c>
      <c r="K391" s="4">
        <v>0</v>
      </c>
      <c r="L391" s="2" t="s">
        <v>79</v>
      </c>
    </row>
    <row r="392" spans="1:12" x14ac:dyDescent="0.2">
      <c r="A392" s="4">
        <v>2.91</v>
      </c>
      <c r="B392" s="4">
        <v>11</v>
      </c>
      <c r="C392" s="4">
        <v>1</v>
      </c>
      <c r="D392" s="4">
        <v>0</v>
      </c>
      <c r="E392" s="4">
        <v>1</v>
      </c>
      <c r="F392" s="4">
        <v>0</v>
      </c>
      <c r="G392" s="4">
        <v>3</v>
      </c>
      <c r="H392" s="4">
        <v>1</v>
      </c>
      <c r="I392" s="4">
        <v>0</v>
      </c>
      <c r="J392" s="4">
        <v>0</v>
      </c>
      <c r="K392" s="4">
        <v>0</v>
      </c>
      <c r="L392" s="2" t="s">
        <v>79</v>
      </c>
    </row>
    <row r="393" spans="1:12" x14ac:dyDescent="0.2">
      <c r="A393" s="4">
        <v>3</v>
      </c>
      <c r="B393" s="4">
        <v>15</v>
      </c>
      <c r="C393" s="4">
        <v>1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1</v>
      </c>
      <c r="J393" s="4">
        <v>0</v>
      </c>
      <c r="K393" s="4">
        <v>0</v>
      </c>
      <c r="L393" s="2" t="s">
        <v>79</v>
      </c>
    </row>
    <row r="394" spans="1:12" x14ac:dyDescent="0.2">
      <c r="A394" s="4">
        <v>3</v>
      </c>
      <c r="B394" s="4">
        <v>12</v>
      </c>
      <c r="C394" s="4">
        <v>1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1</v>
      </c>
      <c r="J394" s="4">
        <v>0</v>
      </c>
      <c r="K394" s="4">
        <v>0</v>
      </c>
      <c r="L394" s="2" t="s">
        <v>79</v>
      </c>
    </row>
    <row r="395" spans="1:12" x14ac:dyDescent="0.2">
      <c r="A395" s="4">
        <v>3.15</v>
      </c>
      <c r="B395" s="4">
        <v>13</v>
      </c>
      <c r="C395" s="4">
        <v>1</v>
      </c>
      <c r="D395" s="4">
        <v>0</v>
      </c>
      <c r="E395" s="4">
        <v>1</v>
      </c>
      <c r="F395" s="4">
        <v>0</v>
      </c>
      <c r="G395" s="4">
        <v>4</v>
      </c>
      <c r="H395" s="4">
        <v>1</v>
      </c>
      <c r="I395" s="4">
        <v>0</v>
      </c>
      <c r="J395" s="4">
        <v>0</v>
      </c>
      <c r="K395" s="4">
        <v>0</v>
      </c>
      <c r="L395" s="2" t="s">
        <v>79</v>
      </c>
    </row>
    <row r="396" spans="1:12" x14ac:dyDescent="0.2">
      <c r="A396" s="4">
        <v>12.5</v>
      </c>
      <c r="B396" s="4">
        <v>14</v>
      </c>
      <c r="C396" s="4">
        <v>40</v>
      </c>
      <c r="D396" s="9">
        <v>26.78</v>
      </c>
      <c r="E396" s="4">
        <v>0</v>
      </c>
      <c r="F396" s="4">
        <v>1</v>
      </c>
      <c r="G396" s="4">
        <v>0</v>
      </c>
      <c r="H396" s="4">
        <v>1</v>
      </c>
      <c r="I396" s="4">
        <v>0</v>
      </c>
      <c r="J396" s="4">
        <v>0</v>
      </c>
      <c r="K396" s="4">
        <v>0</v>
      </c>
      <c r="L396" s="2" t="s">
        <v>80</v>
      </c>
    </row>
    <row r="397" spans="1:12" x14ac:dyDescent="0.2">
      <c r="A397" s="4">
        <v>1.5</v>
      </c>
      <c r="B397" s="4">
        <v>8</v>
      </c>
      <c r="C397" s="4">
        <v>31</v>
      </c>
      <c r="D397" s="9">
        <v>26.78</v>
      </c>
      <c r="E397" s="10">
        <v>2</v>
      </c>
      <c r="F397" s="4">
        <v>0</v>
      </c>
      <c r="G397" s="4">
        <v>0</v>
      </c>
      <c r="H397" s="4">
        <v>0</v>
      </c>
      <c r="I397" s="4">
        <v>1</v>
      </c>
      <c r="J397" s="4">
        <v>0</v>
      </c>
      <c r="K397" s="4">
        <v>0</v>
      </c>
      <c r="L397" s="2" t="s">
        <v>80</v>
      </c>
    </row>
    <row r="398" spans="1:12" x14ac:dyDescent="0.2">
      <c r="A398" s="4">
        <v>2.92</v>
      </c>
      <c r="B398" s="4">
        <v>3</v>
      </c>
      <c r="C398" s="4">
        <v>11</v>
      </c>
      <c r="D398" s="9">
        <v>26.78</v>
      </c>
      <c r="E398" s="4">
        <v>0</v>
      </c>
      <c r="F398" s="4">
        <v>0</v>
      </c>
      <c r="G398" s="4">
        <v>0</v>
      </c>
      <c r="H398" s="4">
        <v>0</v>
      </c>
      <c r="I398" s="4">
        <v>1</v>
      </c>
      <c r="J398" s="4">
        <v>0</v>
      </c>
      <c r="K398" s="4">
        <v>0</v>
      </c>
      <c r="L398" s="2" t="s">
        <v>80</v>
      </c>
    </row>
    <row r="399" spans="1:12" x14ac:dyDescent="0.2">
      <c r="A399" s="4">
        <v>10</v>
      </c>
      <c r="B399" s="4">
        <v>12</v>
      </c>
      <c r="C399" s="4">
        <v>24</v>
      </c>
      <c r="D399" s="4">
        <v>24</v>
      </c>
      <c r="E399" s="4">
        <v>0</v>
      </c>
      <c r="F399" s="4">
        <v>1</v>
      </c>
      <c r="G399" s="4">
        <v>0</v>
      </c>
      <c r="H399" s="4">
        <v>1</v>
      </c>
      <c r="I399" s="4">
        <v>0</v>
      </c>
      <c r="J399" s="4">
        <v>0</v>
      </c>
      <c r="K399" s="4">
        <v>0</v>
      </c>
      <c r="L399" s="2" t="s">
        <v>80</v>
      </c>
    </row>
    <row r="400" spans="1:12" x14ac:dyDescent="0.2">
      <c r="A400" s="4">
        <v>10.91</v>
      </c>
      <c r="B400" s="4">
        <v>12</v>
      </c>
      <c r="C400" s="4">
        <v>25</v>
      </c>
      <c r="D400" s="4">
        <v>23</v>
      </c>
      <c r="E400" s="4">
        <v>0</v>
      </c>
      <c r="F400" s="4">
        <v>0</v>
      </c>
      <c r="G400" s="4">
        <v>0</v>
      </c>
      <c r="H400" s="4">
        <v>0</v>
      </c>
      <c r="I400" s="4">
        <v>1</v>
      </c>
      <c r="J400" s="4">
        <v>0</v>
      </c>
      <c r="K400" s="4">
        <v>0</v>
      </c>
      <c r="L400" s="2" t="s">
        <v>80</v>
      </c>
    </row>
    <row r="401" spans="1:12" x14ac:dyDescent="0.2">
      <c r="A401" s="4">
        <v>6.25</v>
      </c>
      <c r="B401" s="4">
        <v>7</v>
      </c>
      <c r="C401" s="4">
        <v>39</v>
      </c>
      <c r="D401" s="4">
        <v>21</v>
      </c>
      <c r="E401" s="4">
        <v>0</v>
      </c>
      <c r="F401" s="4">
        <v>1</v>
      </c>
      <c r="G401" s="4">
        <v>0</v>
      </c>
      <c r="H401" s="4">
        <v>0</v>
      </c>
      <c r="I401" s="4">
        <v>1</v>
      </c>
      <c r="J401" s="4">
        <v>0</v>
      </c>
      <c r="K401" s="4">
        <v>0</v>
      </c>
      <c r="L401" s="2" t="s">
        <v>80</v>
      </c>
    </row>
    <row r="402" spans="1:12" x14ac:dyDescent="0.2">
      <c r="A402" s="4">
        <v>15.38</v>
      </c>
      <c r="B402" s="4">
        <v>13</v>
      </c>
      <c r="C402" s="4">
        <v>25</v>
      </c>
      <c r="D402" s="4">
        <v>21</v>
      </c>
      <c r="E402" s="4">
        <v>0</v>
      </c>
      <c r="F402" s="4">
        <v>1</v>
      </c>
      <c r="G402" s="4">
        <v>2</v>
      </c>
      <c r="H402" s="4">
        <v>1</v>
      </c>
      <c r="I402" s="4">
        <v>0</v>
      </c>
      <c r="J402" s="4">
        <v>0</v>
      </c>
      <c r="K402" s="4">
        <v>0</v>
      </c>
      <c r="L402" s="2" t="s">
        <v>80</v>
      </c>
    </row>
    <row r="403" spans="1:12" x14ac:dyDescent="0.2">
      <c r="A403" s="4">
        <v>18.89</v>
      </c>
      <c r="B403" s="4">
        <v>17</v>
      </c>
      <c r="C403" s="4">
        <v>26</v>
      </c>
      <c r="D403" s="4">
        <v>20</v>
      </c>
      <c r="E403" s="4">
        <v>0</v>
      </c>
      <c r="F403" s="4">
        <v>1</v>
      </c>
      <c r="G403" s="4">
        <v>2</v>
      </c>
      <c r="H403" s="4">
        <v>0</v>
      </c>
      <c r="I403" s="4">
        <v>0</v>
      </c>
      <c r="J403" s="4">
        <v>0</v>
      </c>
      <c r="K403" s="4">
        <v>0</v>
      </c>
      <c r="L403" s="2" t="s">
        <v>80</v>
      </c>
    </row>
    <row r="404" spans="1:12" x14ac:dyDescent="0.2">
      <c r="A404" s="4">
        <v>3</v>
      </c>
      <c r="B404" s="4">
        <v>9</v>
      </c>
      <c r="C404" s="4">
        <v>23</v>
      </c>
      <c r="D404" s="4">
        <v>20</v>
      </c>
      <c r="E404" s="4">
        <v>1</v>
      </c>
      <c r="F404" s="4">
        <v>1</v>
      </c>
      <c r="G404" s="4">
        <v>2</v>
      </c>
      <c r="H404" s="4">
        <v>0</v>
      </c>
      <c r="I404" s="4">
        <v>1</v>
      </c>
      <c r="J404" s="4">
        <v>0</v>
      </c>
      <c r="K404" s="4">
        <v>0</v>
      </c>
      <c r="L404" s="2" t="s">
        <v>80</v>
      </c>
    </row>
    <row r="405" spans="1:12" x14ac:dyDescent="0.2">
      <c r="A405" s="4">
        <v>11.9</v>
      </c>
      <c r="B405" s="4">
        <v>13</v>
      </c>
      <c r="C405" s="4">
        <v>24</v>
      </c>
      <c r="D405" s="4">
        <v>19</v>
      </c>
      <c r="E405" s="4">
        <v>0</v>
      </c>
      <c r="F405" s="4">
        <v>1</v>
      </c>
      <c r="G405" s="4">
        <v>2</v>
      </c>
      <c r="H405" s="4">
        <v>0</v>
      </c>
      <c r="I405" s="4">
        <v>0</v>
      </c>
      <c r="J405" s="4">
        <v>0</v>
      </c>
      <c r="K405" s="4">
        <v>0</v>
      </c>
      <c r="L405" s="2" t="s">
        <v>80</v>
      </c>
    </row>
    <row r="406" spans="1:12" x14ac:dyDescent="0.2">
      <c r="A406" s="4">
        <v>4</v>
      </c>
      <c r="B406" s="4">
        <v>9</v>
      </c>
      <c r="C406" s="4">
        <v>22</v>
      </c>
      <c r="D406" s="4">
        <v>18</v>
      </c>
      <c r="E406" s="4">
        <v>0</v>
      </c>
      <c r="F406" s="4">
        <v>0</v>
      </c>
      <c r="G406" s="4">
        <v>0</v>
      </c>
      <c r="H406" s="4">
        <v>0</v>
      </c>
      <c r="I406" s="4">
        <v>1</v>
      </c>
      <c r="J406" s="4">
        <v>0</v>
      </c>
      <c r="K406" s="4">
        <v>0</v>
      </c>
      <c r="L406" s="2" t="s">
        <v>80</v>
      </c>
    </row>
    <row r="407" spans="1:12" x14ac:dyDescent="0.2">
      <c r="A407" s="4">
        <v>12.5</v>
      </c>
      <c r="B407" s="4">
        <v>17</v>
      </c>
      <c r="C407" s="4">
        <v>21</v>
      </c>
      <c r="D407" s="4">
        <v>18</v>
      </c>
      <c r="E407" s="4">
        <v>0</v>
      </c>
      <c r="F407" s="4">
        <v>1</v>
      </c>
      <c r="G407" s="4">
        <v>3</v>
      </c>
      <c r="H407" s="4">
        <v>0</v>
      </c>
      <c r="I407" s="4">
        <v>0</v>
      </c>
      <c r="J407" s="4">
        <v>0</v>
      </c>
      <c r="K407" s="4">
        <v>0</v>
      </c>
      <c r="L407" s="2" t="s">
        <v>80</v>
      </c>
    </row>
    <row r="408" spans="1:12" x14ac:dyDescent="0.2">
      <c r="A408" s="4">
        <v>9.68</v>
      </c>
      <c r="B408" s="4">
        <v>13</v>
      </c>
      <c r="C408" s="4">
        <v>16</v>
      </c>
      <c r="D408" s="4">
        <v>16</v>
      </c>
      <c r="E408" s="4">
        <v>1</v>
      </c>
      <c r="F408" s="4">
        <v>0</v>
      </c>
      <c r="G408" s="4">
        <v>0</v>
      </c>
      <c r="H408" s="4">
        <v>0</v>
      </c>
      <c r="I408" s="4">
        <v>0</v>
      </c>
      <c r="J408" s="4">
        <v>1</v>
      </c>
      <c r="K408" s="4">
        <v>0</v>
      </c>
      <c r="L408" s="2" t="s">
        <v>80</v>
      </c>
    </row>
    <row r="409" spans="1:12" x14ac:dyDescent="0.2">
      <c r="A409" s="4">
        <v>5.6</v>
      </c>
      <c r="B409" s="4">
        <v>15</v>
      </c>
      <c r="C409" s="4">
        <v>31</v>
      </c>
      <c r="D409" s="4">
        <v>15</v>
      </c>
      <c r="E409" s="4">
        <v>1</v>
      </c>
      <c r="F409" s="4">
        <v>0</v>
      </c>
      <c r="G409" s="4">
        <v>2</v>
      </c>
      <c r="H409" s="4">
        <v>1</v>
      </c>
      <c r="I409" s="4">
        <v>0</v>
      </c>
      <c r="J409" s="4">
        <v>0</v>
      </c>
      <c r="K409" s="4">
        <v>0</v>
      </c>
      <c r="L409" s="2" t="s">
        <v>80</v>
      </c>
    </row>
    <row r="410" spans="1:12" x14ac:dyDescent="0.2">
      <c r="A410" s="4">
        <v>3.4</v>
      </c>
      <c r="B410" s="4">
        <v>12</v>
      </c>
      <c r="C410" s="4">
        <v>26</v>
      </c>
      <c r="D410" s="4">
        <v>15</v>
      </c>
      <c r="E410" s="4">
        <v>1</v>
      </c>
      <c r="F410" s="4">
        <v>1</v>
      </c>
      <c r="G410" s="4">
        <v>1</v>
      </c>
      <c r="H410" s="4">
        <v>1</v>
      </c>
      <c r="I410" s="4">
        <v>0</v>
      </c>
      <c r="J410" s="4">
        <v>0</v>
      </c>
      <c r="K410" s="4">
        <v>1</v>
      </c>
      <c r="L410" s="2" t="s">
        <v>80</v>
      </c>
    </row>
    <row r="411" spans="1:12" x14ac:dyDescent="0.2">
      <c r="A411" s="4">
        <v>5.2</v>
      </c>
      <c r="B411" s="4">
        <v>6</v>
      </c>
      <c r="C411" s="9">
        <v>43.93</v>
      </c>
      <c r="D411" s="4">
        <v>13</v>
      </c>
      <c r="E411" s="4">
        <v>0</v>
      </c>
      <c r="F411" s="4">
        <v>1</v>
      </c>
      <c r="G411" s="4">
        <v>0</v>
      </c>
      <c r="H411" s="4">
        <v>0</v>
      </c>
      <c r="I411" s="4">
        <v>1</v>
      </c>
      <c r="J411" s="4">
        <v>0</v>
      </c>
      <c r="K411" s="4">
        <v>1</v>
      </c>
      <c r="L411" s="2" t="s">
        <v>80</v>
      </c>
    </row>
    <row r="412" spans="1:12" x14ac:dyDescent="0.2">
      <c r="A412" s="4">
        <v>3.75</v>
      </c>
      <c r="B412" s="4">
        <v>2</v>
      </c>
      <c r="C412" s="4">
        <v>39</v>
      </c>
      <c r="D412" s="4">
        <v>13</v>
      </c>
      <c r="E412" s="4">
        <v>0</v>
      </c>
      <c r="F412" s="4">
        <v>1</v>
      </c>
      <c r="G412" s="4">
        <v>0</v>
      </c>
      <c r="H412" s="4">
        <v>0</v>
      </c>
      <c r="I412" s="4">
        <v>1</v>
      </c>
      <c r="J412" s="4">
        <v>0</v>
      </c>
      <c r="K412" s="4">
        <v>0</v>
      </c>
      <c r="L412" s="2" t="s">
        <v>80</v>
      </c>
    </row>
    <row r="413" spans="1:12" x14ac:dyDescent="0.2">
      <c r="A413" s="4">
        <v>8.4499999999999993</v>
      </c>
      <c r="B413" s="4">
        <v>12</v>
      </c>
      <c r="C413" s="4">
        <v>19</v>
      </c>
      <c r="D413" s="4">
        <v>13</v>
      </c>
      <c r="E413" s="4">
        <v>0</v>
      </c>
      <c r="F413" s="4">
        <v>1</v>
      </c>
      <c r="G413" s="4">
        <v>4</v>
      </c>
      <c r="H413" s="4">
        <v>0</v>
      </c>
      <c r="I413" s="4">
        <v>0</v>
      </c>
      <c r="J413" s="4">
        <v>0</v>
      </c>
      <c r="K413" s="4">
        <v>0</v>
      </c>
      <c r="L413" s="2" t="s">
        <v>80</v>
      </c>
    </row>
    <row r="414" spans="1:12" x14ac:dyDescent="0.2">
      <c r="A414" s="4">
        <v>3.37</v>
      </c>
      <c r="B414" s="4">
        <v>11</v>
      </c>
      <c r="C414" s="9">
        <v>43.93</v>
      </c>
      <c r="D414" s="4">
        <v>12</v>
      </c>
      <c r="E414" s="4">
        <v>0</v>
      </c>
      <c r="F414" s="4">
        <v>1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2" t="s">
        <v>80</v>
      </c>
    </row>
    <row r="415" spans="1:12" x14ac:dyDescent="0.2">
      <c r="A415" s="4">
        <v>4</v>
      </c>
      <c r="B415" s="4">
        <v>10</v>
      </c>
      <c r="C415" s="4">
        <v>34</v>
      </c>
      <c r="D415" s="4">
        <v>12</v>
      </c>
      <c r="E415" s="4">
        <v>0</v>
      </c>
      <c r="F415" s="4">
        <v>1</v>
      </c>
      <c r="G415" s="4">
        <v>0</v>
      </c>
      <c r="H415" s="4">
        <v>1</v>
      </c>
      <c r="I415" s="4">
        <v>0</v>
      </c>
      <c r="J415" s="4">
        <v>0</v>
      </c>
      <c r="K415" s="4">
        <v>0</v>
      </c>
      <c r="L415" s="2" t="s">
        <v>80</v>
      </c>
    </row>
    <row r="416" spans="1:12" x14ac:dyDescent="0.2">
      <c r="A416" s="4">
        <v>7.6</v>
      </c>
      <c r="B416" s="4">
        <v>12</v>
      </c>
      <c r="C416" s="4">
        <v>41</v>
      </c>
      <c r="D416" s="4">
        <v>11</v>
      </c>
      <c r="E416" s="4">
        <v>1</v>
      </c>
      <c r="F416" s="4">
        <v>0</v>
      </c>
      <c r="G416" s="4">
        <v>0</v>
      </c>
      <c r="H416" s="4">
        <v>1</v>
      </c>
      <c r="I416" s="4">
        <v>0</v>
      </c>
      <c r="J416" s="4">
        <v>0</v>
      </c>
      <c r="K416" s="4">
        <v>0</v>
      </c>
      <c r="L416" s="2" t="s">
        <v>80</v>
      </c>
    </row>
    <row r="417" spans="1:12" x14ac:dyDescent="0.2">
      <c r="A417" s="4">
        <v>10</v>
      </c>
      <c r="B417" s="4">
        <v>14</v>
      </c>
      <c r="C417" s="4">
        <v>28</v>
      </c>
      <c r="D417" s="4">
        <v>11</v>
      </c>
      <c r="E417" s="4">
        <v>1</v>
      </c>
      <c r="F417" s="4">
        <v>1</v>
      </c>
      <c r="G417" s="4">
        <v>0</v>
      </c>
      <c r="H417" s="4">
        <v>0</v>
      </c>
      <c r="I417" s="4">
        <v>1</v>
      </c>
      <c r="J417" s="4">
        <v>0</v>
      </c>
      <c r="K417" s="4">
        <v>0</v>
      </c>
      <c r="L417" s="2" t="s">
        <v>80</v>
      </c>
    </row>
    <row r="418" spans="1:12" x14ac:dyDescent="0.2">
      <c r="A418" s="4">
        <v>4</v>
      </c>
      <c r="B418" s="4">
        <v>12</v>
      </c>
      <c r="C418" s="4">
        <v>22</v>
      </c>
      <c r="D418" s="4">
        <v>11</v>
      </c>
      <c r="E418" s="4">
        <v>1</v>
      </c>
      <c r="F418" s="4">
        <v>1</v>
      </c>
      <c r="G418" s="4">
        <v>2</v>
      </c>
      <c r="H418" s="4">
        <v>1</v>
      </c>
      <c r="I418" s="4">
        <v>0</v>
      </c>
      <c r="J418" s="4">
        <v>0</v>
      </c>
      <c r="K418" s="4">
        <v>0</v>
      </c>
      <c r="L418" s="2" t="s">
        <v>80</v>
      </c>
    </row>
    <row r="419" spans="1:12" x14ac:dyDescent="0.2">
      <c r="A419" s="4">
        <v>9.33</v>
      </c>
      <c r="B419" s="4">
        <v>14</v>
      </c>
      <c r="C419" s="4">
        <v>12</v>
      </c>
      <c r="D419" s="4">
        <v>11</v>
      </c>
      <c r="E419" s="4">
        <v>0</v>
      </c>
      <c r="F419" s="4">
        <v>1</v>
      </c>
      <c r="G419" s="4">
        <v>3</v>
      </c>
      <c r="H419" s="4">
        <v>0</v>
      </c>
      <c r="I419" s="4">
        <v>0</v>
      </c>
      <c r="J419" s="4">
        <v>0</v>
      </c>
      <c r="K419" s="4">
        <v>0</v>
      </c>
      <c r="L419" s="2" t="s">
        <v>80</v>
      </c>
    </row>
    <row r="420" spans="1:12" x14ac:dyDescent="0.2">
      <c r="A420" s="4">
        <v>6.08</v>
      </c>
      <c r="B420" s="4">
        <v>16</v>
      </c>
      <c r="C420" s="4">
        <v>42</v>
      </c>
      <c r="D420" s="4">
        <v>10</v>
      </c>
      <c r="E420" s="4">
        <v>0</v>
      </c>
      <c r="F420" s="4">
        <v>0</v>
      </c>
      <c r="G420" s="4">
        <v>0</v>
      </c>
      <c r="H420" s="4">
        <v>1</v>
      </c>
      <c r="I420" s="4">
        <v>0</v>
      </c>
      <c r="J420" s="4">
        <v>0</v>
      </c>
      <c r="K420" s="4">
        <v>0</v>
      </c>
      <c r="L420" s="2" t="s">
        <v>80</v>
      </c>
    </row>
    <row r="421" spans="1:12" x14ac:dyDescent="0.2">
      <c r="A421" s="4">
        <v>6.67</v>
      </c>
      <c r="B421" s="4">
        <v>12</v>
      </c>
      <c r="C421" s="4">
        <v>35</v>
      </c>
      <c r="D421" s="4">
        <v>10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2" t="s">
        <v>80</v>
      </c>
    </row>
    <row r="422" spans="1:12" x14ac:dyDescent="0.2">
      <c r="A422" s="4">
        <v>4.5</v>
      </c>
      <c r="B422" s="4">
        <v>16</v>
      </c>
      <c r="C422" s="4">
        <v>21</v>
      </c>
      <c r="D422" s="4">
        <v>10</v>
      </c>
      <c r="E422" s="4">
        <v>0</v>
      </c>
      <c r="F422" s="4">
        <v>1</v>
      </c>
      <c r="G422" s="4">
        <v>1</v>
      </c>
      <c r="H422" s="4">
        <v>0</v>
      </c>
      <c r="I422" s="4">
        <v>1</v>
      </c>
      <c r="J422" s="4">
        <v>0</v>
      </c>
      <c r="K422" s="4">
        <v>0</v>
      </c>
      <c r="L422" s="2" t="s">
        <v>80</v>
      </c>
    </row>
    <row r="423" spans="1:12" x14ac:dyDescent="0.2">
      <c r="A423" s="4">
        <v>6.8</v>
      </c>
      <c r="B423" s="4">
        <v>12</v>
      </c>
      <c r="C423" s="4">
        <v>14</v>
      </c>
      <c r="D423" s="4">
        <v>10</v>
      </c>
      <c r="E423" s="4">
        <v>0</v>
      </c>
      <c r="F423" s="4">
        <v>1</v>
      </c>
      <c r="G423" s="4">
        <v>2</v>
      </c>
      <c r="H423" s="4">
        <v>0</v>
      </c>
      <c r="I423" s="4">
        <v>1</v>
      </c>
      <c r="J423" s="4">
        <v>0</v>
      </c>
      <c r="K423" s="4">
        <v>0</v>
      </c>
      <c r="L423" s="2" t="s">
        <v>80</v>
      </c>
    </row>
    <row r="424" spans="1:12" x14ac:dyDescent="0.2">
      <c r="A424" s="4">
        <v>3</v>
      </c>
      <c r="B424" s="4">
        <v>12</v>
      </c>
      <c r="C424" s="4">
        <v>26</v>
      </c>
      <c r="D424" s="4">
        <v>9</v>
      </c>
      <c r="E424" s="4">
        <v>1</v>
      </c>
      <c r="F424" s="4">
        <v>1</v>
      </c>
      <c r="G424" s="4">
        <v>0</v>
      </c>
      <c r="H424" s="4">
        <v>0</v>
      </c>
      <c r="I424" s="4">
        <v>1</v>
      </c>
      <c r="J424" s="4">
        <v>0</v>
      </c>
      <c r="K424" s="4">
        <v>0</v>
      </c>
      <c r="L424" s="2" t="s">
        <v>80</v>
      </c>
    </row>
    <row r="425" spans="1:12" x14ac:dyDescent="0.2">
      <c r="A425" s="4">
        <v>6.22</v>
      </c>
      <c r="B425" s="4">
        <v>12</v>
      </c>
      <c r="C425" s="4">
        <v>19</v>
      </c>
      <c r="D425" s="4">
        <v>9</v>
      </c>
      <c r="E425" s="4">
        <v>1</v>
      </c>
      <c r="F425" s="4">
        <v>1</v>
      </c>
      <c r="G425" s="4">
        <v>1</v>
      </c>
      <c r="H425" s="4">
        <v>1</v>
      </c>
      <c r="I425" s="4">
        <v>0</v>
      </c>
      <c r="J425" s="4">
        <v>0</v>
      </c>
      <c r="K425" s="4">
        <v>0</v>
      </c>
      <c r="L425" s="2" t="s">
        <v>80</v>
      </c>
    </row>
    <row r="426" spans="1:12" x14ac:dyDescent="0.2">
      <c r="A426" s="4">
        <v>5.95</v>
      </c>
      <c r="B426" s="4">
        <v>11</v>
      </c>
      <c r="C426" s="4">
        <v>15</v>
      </c>
      <c r="D426" s="4">
        <v>9</v>
      </c>
      <c r="E426" s="4">
        <v>0</v>
      </c>
      <c r="F426" s="4">
        <v>1</v>
      </c>
      <c r="G426" s="4">
        <v>1</v>
      </c>
      <c r="H426" s="4">
        <v>0</v>
      </c>
      <c r="I426" s="4">
        <v>1</v>
      </c>
      <c r="J426" s="4">
        <v>0</v>
      </c>
      <c r="K426" s="4">
        <v>1</v>
      </c>
      <c r="L426" s="2" t="s">
        <v>80</v>
      </c>
    </row>
    <row r="427" spans="1:12" x14ac:dyDescent="0.2">
      <c r="A427" s="4">
        <v>14.38</v>
      </c>
      <c r="B427" s="4">
        <v>17</v>
      </c>
      <c r="C427" s="4">
        <v>10</v>
      </c>
      <c r="D427" s="4">
        <v>9</v>
      </c>
      <c r="E427" s="4">
        <v>0</v>
      </c>
      <c r="F427" s="4">
        <v>1</v>
      </c>
      <c r="G427" s="4">
        <v>1</v>
      </c>
      <c r="H427" s="4">
        <v>0</v>
      </c>
      <c r="I427" s="4">
        <v>1</v>
      </c>
      <c r="J427" s="4">
        <v>0</v>
      </c>
      <c r="K427" s="4">
        <v>0</v>
      </c>
      <c r="L427" s="2" t="s">
        <v>80</v>
      </c>
    </row>
    <row r="428" spans="1:12" x14ac:dyDescent="0.2">
      <c r="A428" s="4">
        <v>4.5</v>
      </c>
      <c r="B428" s="4">
        <v>11</v>
      </c>
      <c r="C428" s="4">
        <v>3</v>
      </c>
      <c r="D428" s="4">
        <v>9</v>
      </c>
      <c r="E428" s="4">
        <v>0</v>
      </c>
      <c r="F428" s="4">
        <v>0</v>
      </c>
      <c r="G428" s="4">
        <v>0</v>
      </c>
      <c r="H428" s="4">
        <v>0</v>
      </c>
      <c r="I428" s="4">
        <v>1</v>
      </c>
      <c r="J428" s="4">
        <v>0</v>
      </c>
      <c r="K428" s="4">
        <v>1</v>
      </c>
      <c r="L428" s="2" t="s">
        <v>80</v>
      </c>
    </row>
    <row r="429" spans="1:12" x14ac:dyDescent="0.2">
      <c r="A429" s="4">
        <v>6</v>
      </c>
      <c r="B429" s="4">
        <v>11</v>
      </c>
      <c r="C429" s="4">
        <v>37</v>
      </c>
      <c r="D429" s="4">
        <v>8</v>
      </c>
      <c r="E429" s="4">
        <v>1</v>
      </c>
      <c r="F429" s="4">
        <v>0</v>
      </c>
      <c r="G429" s="4">
        <v>0</v>
      </c>
      <c r="H429" s="4">
        <v>0</v>
      </c>
      <c r="I429" s="4">
        <v>0</v>
      </c>
      <c r="J429" s="4">
        <v>1</v>
      </c>
      <c r="K429" s="4">
        <v>0</v>
      </c>
      <c r="L429" s="2" t="s">
        <v>80</v>
      </c>
    </row>
    <row r="430" spans="1:12" x14ac:dyDescent="0.2">
      <c r="A430" s="4">
        <v>6</v>
      </c>
      <c r="B430" s="4">
        <v>12</v>
      </c>
      <c r="C430" s="4">
        <v>22</v>
      </c>
      <c r="D430" s="4">
        <v>8</v>
      </c>
      <c r="E430" s="4">
        <v>0</v>
      </c>
      <c r="F430" s="4">
        <v>0</v>
      </c>
      <c r="G430" s="4">
        <v>2</v>
      </c>
      <c r="H430" s="4">
        <v>0</v>
      </c>
      <c r="I430" s="4">
        <v>0</v>
      </c>
      <c r="J430" s="4">
        <v>0</v>
      </c>
      <c r="K430" s="4">
        <v>0</v>
      </c>
      <c r="L430" s="2" t="s">
        <v>80</v>
      </c>
    </row>
    <row r="431" spans="1:12" x14ac:dyDescent="0.2">
      <c r="A431" s="4">
        <v>5.6</v>
      </c>
      <c r="B431" s="4">
        <v>11</v>
      </c>
      <c r="C431" s="4">
        <v>11</v>
      </c>
      <c r="D431" s="4">
        <v>8</v>
      </c>
      <c r="E431" s="4">
        <v>0</v>
      </c>
      <c r="F431" s="4">
        <v>1</v>
      </c>
      <c r="G431" s="4">
        <v>2</v>
      </c>
      <c r="H431" s="4">
        <v>0</v>
      </c>
      <c r="I431" s="4">
        <v>1</v>
      </c>
      <c r="J431" s="4">
        <v>0</v>
      </c>
      <c r="K431" s="4">
        <v>0</v>
      </c>
      <c r="L431" s="2" t="s">
        <v>80</v>
      </c>
    </row>
    <row r="432" spans="1:12" x14ac:dyDescent="0.2">
      <c r="A432" s="4">
        <v>2.9</v>
      </c>
      <c r="B432" s="4">
        <v>6</v>
      </c>
      <c r="C432" s="9">
        <v>43.93</v>
      </c>
      <c r="D432" s="4">
        <v>7</v>
      </c>
      <c r="E432" s="4">
        <v>0</v>
      </c>
      <c r="F432" s="4">
        <v>1</v>
      </c>
      <c r="G432" s="4">
        <v>0</v>
      </c>
      <c r="H432" s="4">
        <v>0</v>
      </c>
      <c r="I432" s="4">
        <v>1</v>
      </c>
      <c r="J432" s="4">
        <v>0</v>
      </c>
      <c r="K432" s="4">
        <v>0</v>
      </c>
      <c r="L432" s="2" t="s">
        <v>80</v>
      </c>
    </row>
    <row r="433" spans="1:12" x14ac:dyDescent="0.2">
      <c r="A433" s="4">
        <v>5.25</v>
      </c>
      <c r="B433" s="4">
        <v>10</v>
      </c>
      <c r="C433" s="9">
        <v>43.93</v>
      </c>
      <c r="D433" s="4">
        <v>7</v>
      </c>
      <c r="E433" s="4">
        <v>0</v>
      </c>
      <c r="F433" s="4">
        <v>1</v>
      </c>
      <c r="G433" s="4">
        <v>1</v>
      </c>
      <c r="H433" s="4">
        <v>1</v>
      </c>
      <c r="I433" s="4">
        <v>0</v>
      </c>
      <c r="J433" s="4">
        <v>0</v>
      </c>
      <c r="K433" s="4">
        <v>0</v>
      </c>
      <c r="L433" s="2" t="s">
        <v>80</v>
      </c>
    </row>
    <row r="434" spans="1:12" x14ac:dyDescent="0.2">
      <c r="A434" s="4">
        <v>18</v>
      </c>
      <c r="B434" s="4">
        <v>16</v>
      </c>
      <c r="C434" s="4">
        <v>16</v>
      </c>
      <c r="D434" s="4">
        <v>7</v>
      </c>
      <c r="E434" s="4">
        <v>0</v>
      </c>
      <c r="F434" s="4">
        <v>1</v>
      </c>
      <c r="G434" s="4">
        <v>2</v>
      </c>
      <c r="H434" s="4">
        <v>0</v>
      </c>
      <c r="I434" s="4">
        <v>0</v>
      </c>
      <c r="J434" s="4">
        <v>0</v>
      </c>
      <c r="K434" s="4">
        <v>0</v>
      </c>
      <c r="L434" s="2" t="s">
        <v>80</v>
      </c>
    </row>
    <row r="435" spans="1:12" x14ac:dyDescent="0.2">
      <c r="A435" s="4">
        <v>14.58</v>
      </c>
      <c r="B435" s="4">
        <v>18</v>
      </c>
      <c r="C435" s="4">
        <v>13</v>
      </c>
      <c r="D435" s="4">
        <v>7</v>
      </c>
      <c r="E435" s="4">
        <v>1</v>
      </c>
      <c r="F435" s="4">
        <v>0</v>
      </c>
      <c r="G435" s="4">
        <v>0</v>
      </c>
      <c r="H435" s="4">
        <v>1</v>
      </c>
      <c r="I435" s="4">
        <v>0</v>
      </c>
      <c r="J435" s="4">
        <v>0</v>
      </c>
      <c r="K435" s="4">
        <v>0</v>
      </c>
      <c r="L435" s="2" t="s">
        <v>80</v>
      </c>
    </row>
    <row r="436" spans="1:12" x14ac:dyDescent="0.2">
      <c r="A436" s="4">
        <v>3.95</v>
      </c>
      <c r="B436" s="4">
        <v>6</v>
      </c>
      <c r="C436" s="9">
        <v>43.93</v>
      </c>
      <c r="D436" s="4">
        <v>6</v>
      </c>
      <c r="E436" s="4">
        <v>0</v>
      </c>
      <c r="F436" s="4">
        <v>1</v>
      </c>
      <c r="G436" s="4">
        <v>6</v>
      </c>
      <c r="H436" s="4">
        <v>0</v>
      </c>
      <c r="I436" s="4">
        <v>1</v>
      </c>
      <c r="J436" s="4">
        <v>0</v>
      </c>
      <c r="K436" s="4">
        <v>0</v>
      </c>
      <c r="L436" s="2" t="s">
        <v>80</v>
      </c>
    </row>
    <row r="437" spans="1:12" x14ac:dyDescent="0.2">
      <c r="A437" s="4">
        <v>10.63</v>
      </c>
      <c r="B437" s="4">
        <v>12</v>
      </c>
      <c r="C437" s="4">
        <v>36</v>
      </c>
      <c r="D437" s="4">
        <v>6</v>
      </c>
      <c r="E437" s="4">
        <v>1</v>
      </c>
      <c r="F437" s="4">
        <v>1</v>
      </c>
      <c r="G437" s="4">
        <v>0</v>
      </c>
      <c r="H437" s="4">
        <v>0</v>
      </c>
      <c r="I437" s="4">
        <v>0</v>
      </c>
      <c r="J437" s="4">
        <v>1</v>
      </c>
      <c r="K437" s="4">
        <v>0</v>
      </c>
      <c r="L437" s="2" t="s">
        <v>80</v>
      </c>
    </row>
    <row r="438" spans="1:12" x14ac:dyDescent="0.2">
      <c r="A438" s="4">
        <v>2</v>
      </c>
      <c r="B438" s="4">
        <v>13</v>
      </c>
      <c r="C438" s="4">
        <v>2</v>
      </c>
      <c r="D438" s="4">
        <v>6</v>
      </c>
      <c r="E438" s="4">
        <v>1</v>
      </c>
      <c r="F438" s="4">
        <v>0</v>
      </c>
      <c r="G438" s="4">
        <v>0</v>
      </c>
      <c r="H438" s="4">
        <v>1</v>
      </c>
      <c r="I438" s="4">
        <v>0</v>
      </c>
      <c r="J438" s="4">
        <v>0</v>
      </c>
      <c r="K438" s="4">
        <v>0</v>
      </c>
      <c r="L438" s="2" t="s">
        <v>80</v>
      </c>
    </row>
    <row r="439" spans="1:12" x14ac:dyDescent="0.2">
      <c r="A439" s="4">
        <v>10.92</v>
      </c>
      <c r="B439" s="4">
        <v>12</v>
      </c>
      <c r="C439" s="4">
        <v>34</v>
      </c>
      <c r="D439" s="4">
        <v>5</v>
      </c>
      <c r="E439" s="4">
        <v>0</v>
      </c>
      <c r="F439" s="4">
        <v>1</v>
      </c>
      <c r="G439" s="4">
        <v>0</v>
      </c>
      <c r="H439" s="4">
        <v>0</v>
      </c>
      <c r="I439" s="4">
        <v>1</v>
      </c>
      <c r="J439" s="4">
        <v>0</v>
      </c>
      <c r="K439" s="4">
        <v>0</v>
      </c>
      <c r="L439" s="2" t="s">
        <v>80</v>
      </c>
    </row>
    <row r="440" spans="1:12" x14ac:dyDescent="0.2">
      <c r="A440" s="4">
        <v>10</v>
      </c>
      <c r="B440" s="4">
        <v>12</v>
      </c>
      <c r="C440" s="4">
        <v>20</v>
      </c>
      <c r="D440" s="4">
        <v>5</v>
      </c>
      <c r="E440" s="4">
        <v>1</v>
      </c>
      <c r="F440" s="4">
        <v>1</v>
      </c>
      <c r="G440" s="4">
        <v>4</v>
      </c>
      <c r="H440" s="4">
        <v>0</v>
      </c>
      <c r="I440" s="4">
        <v>0</v>
      </c>
      <c r="J440" s="4">
        <v>1</v>
      </c>
      <c r="K440" s="4">
        <v>0</v>
      </c>
      <c r="L440" s="2" t="s">
        <v>80</v>
      </c>
    </row>
    <row r="441" spans="1:12" x14ac:dyDescent="0.2">
      <c r="A441" s="4">
        <v>7.5</v>
      </c>
      <c r="B441" s="4">
        <v>12</v>
      </c>
      <c r="C441" s="4">
        <v>18</v>
      </c>
      <c r="D441" s="4">
        <v>5</v>
      </c>
      <c r="E441" s="4">
        <v>0</v>
      </c>
      <c r="F441" s="4">
        <v>1</v>
      </c>
      <c r="G441" s="4">
        <v>2</v>
      </c>
      <c r="H441" s="4">
        <v>0</v>
      </c>
      <c r="I441" s="4">
        <v>0</v>
      </c>
      <c r="J441" s="4">
        <v>1</v>
      </c>
      <c r="K441" s="4">
        <v>0</v>
      </c>
      <c r="L441" s="2" t="s">
        <v>80</v>
      </c>
    </row>
    <row r="442" spans="1:12" x14ac:dyDescent="0.2">
      <c r="A442" s="4">
        <v>7.25</v>
      </c>
      <c r="B442" s="4">
        <v>12</v>
      </c>
      <c r="C442" s="4">
        <v>14</v>
      </c>
      <c r="D442" s="4">
        <v>5</v>
      </c>
      <c r="E442" s="4">
        <v>0</v>
      </c>
      <c r="F442" s="4">
        <v>1</v>
      </c>
      <c r="G442" s="4">
        <v>3</v>
      </c>
      <c r="H442" s="4">
        <v>0</v>
      </c>
      <c r="I442" s="4">
        <v>0</v>
      </c>
      <c r="J442" s="4">
        <v>1</v>
      </c>
      <c r="K442" s="4">
        <v>0</v>
      </c>
      <c r="L442" s="2" t="s">
        <v>80</v>
      </c>
    </row>
    <row r="443" spans="1:12" x14ac:dyDescent="0.2">
      <c r="A443" s="4">
        <v>3.45</v>
      </c>
      <c r="B443" s="4">
        <v>12</v>
      </c>
      <c r="C443" s="4">
        <v>6</v>
      </c>
      <c r="D443" s="4">
        <v>5</v>
      </c>
      <c r="E443" s="4">
        <v>1</v>
      </c>
      <c r="F443" s="4">
        <v>1</v>
      </c>
      <c r="G443" s="4">
        <v>0</v>
      </c>
      <c r="H443" s="4">
        <v>0</v>
      </c>
      <c r="I443" s="4">
        <v>1</v>
      </c>
      <c r="J443" s="4">
        <v>0</v>
      </c>
      <c r="K443" s="4">
        <v>0</v>
      </c>
      <c r="L443" s="2" t="s">
        <v>80</v>
      </c>
    </row>
    <row r="444" spans="1:12" x14ac:dyDescent="0.2">
      <c r="A444" s="4">
        <v>3.6</v>
      </c>
      <c r="B444" s="4">
        <v>12</v>
      </c>
      <c r="C444" s="4">
        <v>26</v>
      </c>
      <c r="D444" s="4">
        <v>4</v>
      </c>
      <c r="E444" s="4">
        <v>1</v>
      </c>
      <c r="F444" s="4">
        <v>0</v>
      </c>
      <c r="G444" s="4">
        <v>2</v>
      </c>
      <c r="H444" s="4">
        <v>0</v>
      </c>
      <c r="I444" s="4">
        <v>0</v>
      </c>
      <c r="J444" s="4">
        <v>1</v>
      </c>
      <c r="K444" s="4">
        <v>0</v>
      </c>
      <c r="L444" s="2" t="s">
        <v>80</v>
      </c>
    </row>
    <row r="445" spans="1:12" x14ac:dyDescent="0.2">
      <c r="A445" s="4">
        <v>8</v>
      </c>
      <c r="B445" s="4">
        <v>16</v>
      </c>
      <c r="C445" s="4">
        <v>23</v>
      </c>
      <c r="D445" s="4">
        <v>4</v>
      </c>
      <c r="E445" s="4">
        <v>0</v>
      </c>
      <c r="F445" s="4">
        <v>0</v>
      </c>
      <c r="G445" s="4">
        <v>0</v>
      </c>
      <c r="H445" s="4">
        <v>1</v>
      </c>
      <c r="I445" s="4">
        <v>0</v>
      </c>
      <c r="J445" s="4">
        <v>0</v>
      </c>
      <c r="K445" s="4">
        <v>0</v>
      </c>
      <c r="L445" s="2" t="s">
        <v>80</v>
      </c>
    </row>
    <row r="446" spans="1:12" x14ac:dyDescent="0.2">
      <c r="A446" s="4">
        <v>5.5</v>
      </c>
      <c r="B446" s="4">
        <v>12</v>
      </c>
      <c r="C446" s="4">
        <v>9</v>
      </c>
      <c r="D446" s="4">
        <v>4</v>
      </c>
      <c r="E446" s="4">
        <v>0</v>
      </c>
      <c r="F446" s="4">
        <v>1</v>
      </c>
      <c r="G446" s="4">
        <v>1</v>
      </c>
      <c r="H446" s="4">
        <v>0</v>
      </c>
      <c r="I446" s="4">
        <v>1</v>
      </c>
      <c r="J446" s="4">
        <v>0</v>
      </c>
      <c r="K446" s="4">
        <v>0</v>
      </c>
      <c r="L446" s="2" t="s">
        <v>80</v>
      </c>
    </row>
    <row r="447" spans="1:12" x14ac:dyDescent="0.2">
      <c r="A447" s="4">
        <v>4.05</v>
      </c>
      <c r="B447" s="4">
        <v>9</v>
      </c>
      <c r="C447" s="4">
        <v>7</v>
      </c>
      <c r="D447" s="4">
        <v>4</v>
      </c>
      <c r="E447" s="4">
        <v>1</v>
      </c>
      <c r="F447" s="4">
        <v>1</v>
      </c>
      <c r="G447" s="4">
        <v>1</v>
      </c>
      <c r="H447" s="4">
        <v>0</v>
      </c>
      <c r="I447" s="4">
        <v>1</v>
      </c>
      <c r="J447" s="4">
        <v>0</v>
      </c>
      <c r="K447" s="4">
        <v>0</v>
      </c>
      <c r="L447" s="2" t="s">
        <v>80</v>
      </c>
    </row>
    <row r="448" spans="1:12" x14ac:dyDescent="0.2">
      <c r="A448" s="4">
        <v>8.75</v>
      </c>
      <c r="B448" s="4">
        <v>12</v>
      </c>
      <c r="C448" s="4">
        <v>4</v>
      </c>
      <c r="D448" s="4">
        <v>4</v>
      </c>
      <c r="E448" s="4">
        <v>0</v>
      </c>
      <c r="F448" s="4">
        <v>1</v>
      </c>
      <c r="G448" s="4">
        <v>0</v>
      </c>
      <c r="H448" s="4">
        <v>0</v>
      </c>
      <c r="I448" s="4">
        <v>1</v>
      </c>
      <c r="J448" s="4">
        <v>0</v>
      </c>
      <c r="K448" s="4">
        <v>0</v>
      </c>
      <c r="L448" s="2" t="s">
        <v>80</v>
      </c>
    </row>
    <row r="449" spans="1:12" x14ac:dyDescent="0.2">
      <c r="A449" s="4">
        <v>2.17</v>
      </c>
      <c r="B449" s="4">
        <v>13</v>
      </c>
      <c r="C449" s="4">
        <v>1</v>
      </c>
      <c r="D449" s="4">
        <v>4</v>
      </c>
      <c r="E449" s="4">
        <v>1</v>
      </c>
      <c r="F449" s="4">
        <v>0</v>
      </c>
      <c r="G449" s="4">
        <v>1</v>
      </c>
      <c r="H449" s="4">
        <v>1</v>
      </c>
      <c r="I449" s="4">
        <v>0</v>
      </c>
      <c r="J449" s="4">
        <v>0</v>
      </c>
      <c r="K449" s="4">
        <v>0</v>
      </c>
      <c r="L449" s="2" t="s">
        <v>80</v>
      </c>
    </row>
    <row r="450" spans="1:12" x14ac:dyDescent="0.2">
      <c r="A450" s="4">
        <v>11.1</v>
      </c>
      <c r="B450" s="4">
        <v>15</v>
      </c>
      <c r="C450" s="4">
        <v>1</v>
      </c>
      <c r="D450" s="4">
        <v>4</v>
      </c>
      <c r="E450" s="4">
        <v>1</v>
      </c>
      <c r="F450" s="4">
        <v>0</v>
      </c>
      <c r="G450" s="4">
        <v>2</v>
      </c>
      <c r="H450" s="4">
        <v>0</v>
      </c>
      <c r="I450" s="4">
        <v>1</v>
      </c>
      <c r="J450" s="4">
        <v>0</v>
      </c>
      <c r="K450" s="4">
        <v>0</v>
      </c>
      <c r="L450" s="2" t="s">
        <v>80</v>
      </c>
    </row>
    <row r="451" spans="1:12" x14ac:dyDescent="0.2">
      <c r="A451" s="4">
        <v>1.96</v>
      </c>
      <c r="B451" s="4">
        <v>11</v>
      </c>
      <c r="C451" s="4">
        <v>38</v>
      </c>
      <c r="D451" s="4">
        <v>3</v>
      </c>
      <c r="E451" s="4">
        <v>1</v>
      </c>
      <c r="F451" s="4">
        <v>0</v>
      </c>
      <c r="G451" s="4">
        <v>0</v>
      </c>
      <c r="H451" s="4">
        <v>0</v>
      </c>
      <c r="I451" s="4">
        <v>1</v>
      </c>
      <c r="J451" s="4">
        <v>0</v>
      </c>
      <c r="K451" s="4">
        <v>0</v>
      </c>
      <c r="L451" s="2" t="s">
        <v>80</v>
      </c>
    </row>
    <row r="452" spans="1:12" x14ac:dyDescent="0.2">
      <c r="A452" s="4">
        <v>7</v>
      </c>
      <c r="B452" s="4">
        <v>16</v>
      </c>
      <c r="C452" s="4">
        <v>26</v>
      </c>
      <c r="D452" s="4">
        <v>3</v>
      </c>
      <c r="E452" s="4">
        <v>1</v>
      </c>
      <c r="F452" s="4">
        <v>1</v>
      </c>
      <c r="G452" s="4">
        <v>1</v>
      </c>
      <c r="H452" s="4">
        <v>0</v>
      </c>
      <c r="I452" s="4">
        <v>1</v>
      </c>
      <c r="J452" s="4">
        <v>0</v>
      </c>
      <c r="K452" s="4">
        <v>0</v>
      </c>
      <c r="L452" s="2" t="s">
        <v>80</v>
      </c>
    </row>
    <row r="453" spans="1:12" x14ac:dyDescent="0.2">
      <c r="A453" s="4">
        <v>4</v>
      </c>
      <c r="B453" s="4">
        <v>12</v>
      </c>
      <c r="C453" s="4">
        <v>22</v>
      </c>
      <c r="D453" s="4">
        <v>3</v>
      </c>
      <c r="E453" s="4">
        <v>0</v>
      </c>
      <c r="F453" s="4">
        <v>1</v>
      </c>
      <c r="G453" s="4">
        <v>3</v>
      </c>
      <c r="H453" s="4">
        <v>0</v>
      </c>
      <c r="I453" s="4">
        <v>1</v>
      </c>
      <c r="J453" s="4">
        <v>0</v>
      </c>
      <c r="K453" s="4">
        <v>0</v>
      </c>
      <c r="L453" s="2" t="s">
        <v>80</v>
      </c>
    </row>
    <row r="454" spans="1:12" x14ac:dyDescent="0.2">
      <c r="A454" s="4">
        <v>5.5</v>
      </c>
      <c r="B454" s="4">
        <v>12</v>
      </c>
      <c r="C454" s="4">
        <v>18</v>
      </c>
      <c r="D454" s="4">
        <v>3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1</v>
      </c>
      <c r="K454" s="4">
        <v>0</v>
      </c>
      <c r="L454" s="2" t="s">
        <v>80</v>
      </c>
    </row>
    <row r="455" spans="1:12" x14ac:dyDescent="0.2">
      <c r="A455" s="4">
        <v>3.91</v>
      </c>
      <c r="B455" s="4">
        <v>18</v>
      </c>
      <c r="C455" s="4">
        <v>17</v>
      </c>
      <c r="D455" s="4">
        <v>3</v>
      </c>
      <c r="E455" s="4">
        <v>0</v>
      </c>
      <c r="F455" s="4">
        <v>1</v>
      </c>
      <c r="G455" s="4">
        <v>2</v>
      </c>
      <c r="H455" s="4">
        <v>0</v>
      </c>
      <c r="I455" s="4">
        <v>1</v>
      </c>
      <c r="J455" s="4">
        <v>0</v>
      </c>
      <c r="K455" s="4">
        <v>0</v>
      </c>
      <c r="L455" s="2" t="s">
        <v>80</v>
      </c>
    </row>
    <row r="456" spans="1:12" x14ac:dyDescent="0.2">
      <c r="A456" s="4">
        <v>6.43</v>
      </c>
      <c r="B456" s="4">
        <v>16</v>
      </c>
      <c r="C456" s="4">
        <v>17</v>
      </c>
      <c r="D456" s="4">
        <v>3</v>
      </c>
      <c r="E456" s="4">
        <v>1</v>
      </c>
      <c r="F456" s="4">
        <v>1</v>
      </c>
      <c r="G456" s="4">
        <v>2</v>
      </c>
      <c r="H456" s="4">
        <v>0</v>
      </c>
      <c r="I456" s="4">
        <v>1</v>
      </c>
      <c r="J456" s="4">
        <v>0</v>
      </c>
      <c r="K456" s="4">
        <v>0</v>
      </c>
      <c r="L456" s="2" t="s">
        <v>80</v>
      </c>
    </row>
    <row r="457" spans="1:12" x14ac:dyDescent="0.2">
      <c r="A457" s="4">
        <v>8</v>
      </c>
      <c r="B457" s="4">
        <v>12</v>
      </c>
      <c r="C457" s="4">
        <v>12</v>
      </c>
      <c r="D457" s="4">
        <v>3</v>
      </c>
      <c r="E457" s="4">
        <v>1</v>
      </c>
      <c r="F457" s="4">
        <v>0</v>
      </c>
      <c r="G457" s="4">
        <v>1</v>
      </c>
      <c r="H457" s="4">
        <v>0</v>
      </c>
      <c r="I457" s="4">
        <v>1</v>
      </c>
      <c r="J457" s="4">
        <v>0</v>
      </c>
      <c r="K457" s="4">
        <v>0</v>
      </c>
      <c r="L457" s="2" t="s">
        <v>80</v>
      </c>
    </row>
    <row r="458" spans="1:12" x14ac:dyDescent="0.2">
      <c r="A458" s="4">
        <v>6.85</v>
      </c>
      <c r="B458" s="4">
        <v>15</v>
      </c>
      <c r="C458" s="4">
        <v>11</v>
      </c>
      <c r="D458" s="4">
        <v>3</v>
      </c>
      <c r="E458" s="4">
        <v>1</v>
      </c>
      <c r="F458" s="4">
        <v>1</v>
      </c>
      <c r="G458" s="4">
        <v>2</v>
      </c>
      <c r="H458" s="4">
        <v>0</v>
      </c>
      <c r="I458" s="4">
        <v>0</v>
      </c>
      <c r="J458" s="4">
        <v>0</v>
      </c>
      <c r="K458" s="4">
        <v>0</v>
      </c>
      <c r="L458" s="2" t="s">
        <v>80</v>
      </c>
    </row>
    <row r="459" spans="1:12" x14ac:dyDescent="0.2">
      <c r="A459" s="4">
        <v>8.75</v>
      </c>
      <c r="B459" s="4">
        <v>14</v>
      </c>
      <c r="C459" s="4">
        <v>9</v>
      </c>
      <c r="D459" s="4">
        <v>3</v>
      </c>
      <c r="E459" s="4">
        <v>0</v>
      </c>
      <c r="F459" s="4">
        <v>1</v>
      </c>
      <c r="G459" s="4">
        <v>1</v>
      </c>
      <c r="H459" s="4">
        <v>0</v>
      </c>
      <c r="I459" s="4">
        <v>0</v>
      </c>
      <c r="J459" s="4">
        <v>0</v>
      </c>
      <c r="K459" s="4">
        <v>0</v>
      </c>
      <c r="L459" s="2" t="s">
        <v>80</v>
      </c>
    </row>
    <row r="460" spans="1:12" x14ac:dyDescent="0.2">
      <c r="A460" s="4">
        <v>6.18</v>
      </c>
      <c r="B460" s="4">
        <v>14</v>
      </c>
      <c r="C460" s="4">
        <v>9</v>
      </c>
      <c r="D460" s="4">
        <v>3</v>
      </c>
      <c r="E460" s="4">
        <v>1</v>
      </c>
      <c r="F460" s="4">
        <v>1</v>
      </c>
      <c r="G460" s="4">
        <v>0</v>
      </c>
      <c r="H460" s="4">
        <v>1</v>
      </c>
      <c r="I460" s="4">
        <v>0</v>
      </c>
      <c r="J460" s="4">
        <v>0</v>
      </c>
      <c r="K460" s="4">
        <v>0</v>
      </c>
      <c r="L460" s="2" t="s">
        <v>80</v>
      </c>
    </row>
    <row r="461" spans="1:12" x14ac:dyDescent="0.2">
      <c r="A461" s="4">
        <v>3.75</v>
      </c>
      <c r="B461" s="4">
        <v>12</v>
      </c>
      <c r="C461" s="4">
        <v>39</v>
      </c>
      <c r="D461" s="4">
        <v>2</v>
      </c>
      <c r="E461" s="4">
        <v>1</v>
      </c>
      <c r="F461" s="4">
        <v>1</v>
      </c>
      <c r="G461" s="4">
        <v>0</v>
      </c>
      <c r="H461" s="4">
        <v>1</v>
      </c>
      <c r="I461" s="4">
        <v>0</v>
      </c>
      <c r="J461" s="4">
        <v>0</v>
      </c>
      <c r="K461" s="4">
        <v>0</v>
      </c>
      <c r="L461" s="2" t="s">
        <v>80</v>
      </c>
    </row>
    <row r="462" spans="1:12" x14ac:dyDescent="0.2">
      <c r="A462" s="4">
        <v>2.93</v>
      </c>
      <c r="B462" s="4">
        <v>12</v>
      </c>
      <c r="C462" s="4">
        <v>36</v>
      </c>
      <c r="D462" s="4">
        <v>2</v>
      </c>
      <c r="E462" s="4">
        <v>1</v>
      </c>
      <c r="F462" s="4">
        <v>1</v>
      </c>
      <c r="G462" s="4">
        <v>1</v>
      </c>
      <c r="H462" s="4">
        <v>0</v>
      </c>
      <c r="I462" s="4">
        <v>0</v>
      </c>
      <c r="J462" s="4">
        <v>1</v>
      </c>
      <c r="K462" s="4">
        <v>0</v>
      </c>
      <c r="L462" s="2" t="s">
        <v>80</v>
      </c>
    </row>
    <row r="463" spans="1:12" x14ac:dyDescent="0.2">
      <c r="A463" s="4">
        <v>3</v>
      </c>
      <c r="B463" s="4">
        <v>8</v>
      </c>
      <c r="C463" s="4">
        <v>33</v>
      </c>
      <c r="D463" s="4">
        <v>2</v>
      </c>
      <c r="E463" s="4">
        <v>0</v>
      </c>
      <c r="F463" s="4">
        <v>1</v>
      </c>
      <c r="G463" s="4">
        <v>0</v>
      </c>
      <c r="H463" s="4">
        <v>0</v>
      </c>
      <c r="I463" s="4">
        <v>1</v>
      </c>
      <c r="J463" s="4">
        <v>0</v>
      </c>
      <c r="K463" s="4">
        <v>0</v>
      </c>
      <c r="L463" s="2" t="s">
        <v>80</v>
      </c>
    </row>
    <row r="464" spans="1:12" x14ac:dyDescent="0.2">
      <c r="A464" s="4">
        <v>10</v>
      </c>
      <c r="B464" s="4">
        <v>12</v>
      </c>
      <c r="C464" s="4">
        <v>31</v>
      </c>
      <c r="D464" s="4">
        <v>2</v>
      </c>
      <c r="E464" s="4">
        <v>0</v>
      </c>
      <c r="F464" s="4">
        <v>1</v>
      </c>
      <c r="G464" s="4">
        <v>0</v>
      </c>
      <c r="H464" s="4">
        <v>0</v>
      </c>
      <c r="I464" s="4">
        <v>1</v>
      </c>
      <c r="J464" s="4">
        <v>0</v>
      </c>
      <c r="K464" s="4">
        <v>0</v>
      </c>
      <c r="L464" s="2" t="s">
        <v>80</v>
      </c>
    </row>
    <row r="465" spans="1:12" x14ac:dyDescent="0.2">
      <c r="A465" s="4">
        <v>6.25</v>
      </c>
      <c r="B465" s="4">
        <v>16</v>
      </c>
      <c r="C465" s="4">
        <v>24</v>
      </c>
      <c r="D465" s="4">
        <v>2</v>
      </c>
      <c r="E465" s="4">
        <v>1</v>
      </c>
      <c r="F465" s="4">
        <v>1</v>
      </c>
      <c r="G465" s="4">
        <v>2</v>
      </c>
      <c r="H465" s="4">
        <v>0</v>
      </c>
      <c r="I465" s="4">
        <v>0</v>
      </c>
      <c r="J465" s="4">
        <v>1</v>
      </c>
      <c r="K465" s="4">
        <v>0</v>
      </c>
      <c r="L465" s="2" t="s">
        <v>80</v>
      </c>
    </row>
    <row r="466" spans="1:12" x14ac:dyDescent="0.2">
      <c r="A466" s="4">
        <v>3.28</v>
      </c>
      <c r="B466" s="4">
        <v>12</v>
      </c>
      <c r="C466" s="4">
        <v>17</v>
      </c>
      <c r="D466" s="4">
        <v>2</v>
      </c>
      <c r="E466" s="4">
        <v>1</v>
      </c>
      <c r="F466" s="4">
        <v>0</v>
      </c>
      <c r="G466" s="4">
        <v>0</v>
      </c>
      <c r="H466" s="4">
        <v>0</v>
      </c>
      <c r="I466" s="4">
        <v>1</v>
      </c>
      <c r="J466" s="4">
        <v>0</v>
      </c>
      <c r="K466" s="4">
        <v>0</v>
      </c>
      <c r="L466" s="2" t="s">
        <v>80</v>
      </c>
    </row>
    <row r="467" spans="1:12" x14ac:dyDescent="0.2">
      <c r="A467" s="4">
        <v>9.0500000000000007</v>
      </c>
      <c r="B467" s="4">
        <v>12</v>
      </c>
      <c r="C467" s="4">
        <v>10</v>
      </c>
      <c r="D467" s="4">
        <v>2</v>
      </c>
      <c r="E467" s="4">
        <v>0</v>
      </c>
      <c r="F467" s="4">
        <v>1</v>
      </c>
      <c r="G467" s="4">
        <v>3</v>
      </c>
      <c r="H467" s="4">
        <v>1</v>
      </c>
      <c r="I467" s="4">
        <v>0</v>
      </c>
      <c r="J467" s="4">
        <v>0</v>
      </c>
      <c r="K467" s="4">
        <v>1</v>
      </c>
      <c r="L467" s="2" t="s">
        <v>80</v>
      </c>
    </row>
    <row r="468" spans="1:12" x14ac:dyDescent="0.2">
      <c r="A468" s="4">
        <v>12.22</v>
      </c>
      <c r="B468" s="4">
        <v>16</v>
      </c>
      <c r="C468" s="4">
        <v>10</v>
      </c>
      <c r="D468" s="4">
        <v>2</v>
      </c>
      <c r="E468" s="4">
        <v>0</v>
      </c>
      <c r="F468" s="4">
        <v>0</v>
      </c>
      <c r="G468" s="4">
        <v>0</v>
      </c>
      <c r="H468" s="4">
        <v>0</v>
      </c>
      <c r="I468" s="4">
        <v>1</v>
      </c>
      <c r="J468" s="4">
        <v>0</v>
      </c>
      <c r="K468" s="4">
        <v>0</v>
      </c>
      <c r="L468" s="2" t="s">
        <v>80</v>
      </c>
    </row>
    <row r="469" spans="1:12" x14ac:dyDescent="0.2">
      <c r="A469" s="4">
        <v>5.71</v>
      </c>
      <c r="B469" s="4">
        <v>13</v>
      </c>
      <c r="C469" s="4">
        <v>10</v>
      </c>
      <c r="D469" s="4">
        <v>2</v>
      </c>
      <c r="E469" s="4">
        <v>1</v>
      </c>
      <c r="F469" s="4">
        <v>1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2" t="s">
        <v>80</v>
      </c>
    </row>
    <row r="470" spans="1:12" x14ac:dyDescent="0.2">
      <c r="A470" s="4">
        <v>3.65</v>
      </c>
      <c r="B470" s="4">
        <v>14</v>
      </c>
      <c r="C470" s="4">
        <v>9</v>
      </c>
      <c r="D470" s="4">
        <v>2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1</v>
      </c>
      <c r="K470" s="4">
        <v>0</v>
      </c>
      <c r="L470" s="2" t="s">
        <v>80</v>
      </c>
    </row>
    <row r="471" spans="1:12" x14ac:dyDescent="0.2">
      <c r="A471" s="4">
        <v>3.64</v>
      </c>
      <c r="B471" s="4">
        <v>12</v>
      </c>
      <c r="C471" s="4">
        <v>7</v>
      </c>
      <c r="D471" s="4">
        <v>2</v>
      </c>
      <c r="E471" s="4">
        <v>0</v>
      </c>
      <c r="F471" s="4">
        <v>0</v>
      </c>
      <c r="G471" s="4">
        <v>0</v>
      </c>
      <c r="H471" s="4">
        <v>0</v>
      </c>
      <c r="I471" s="4">
        <v>1</v>
      </c>
      <c r="J471" s="4">
        <v>0</v>
      </c>
      <c r="K471" s="4">
        <v>0</v>
      </c>
      <c r="L471" s="2" t="s">
        <v>80</v>
      </c>
    </row>
    <row r="472" spans="1:12" x14ac:dyDescent="0.2">
      <c r="A472" s="4">
        <v>4</v>
      </c>
      <c r="B472" s="4">
        <v>12</v>
      </c>
      <c r="C472" s="4">
        <v>5</v>
      </c>
      <c r="D472" s="4">
        <v>2</v>
      </c>
      <c r="E472" s="4">
        <v>0</v>
      </c>
      <c r="F472" s="4">
        <v>1</v>
      </c>
      <c r="G472" s="4">
        <v>0</v>
      </c>
      <c r="H472" s="4">
        <v>0</v>
      </c>
      <c r="I472" s="4">
        <v>1</v>
      </c>
      <c r="J472" s="4">
        <v>0</v>
      </c>
      <c r="K472" s="4">
        <v>1</v>
      </c>
      <c r="L472" s="2" t="s">
        <v>80</v>
      </c>
    </row>
    <row r="473" spans="1:12" x14ac:dyDescent="0.2">
      <c r="A473" s="4">
        <v>2</v>
      </c>
      <c r="B473" s="4">
        <v>12</v>
      </c>
      <c r="C473" s="4">
        <v>3</v>
      </c>
      <c r="D473" s="4">
        <v>2</v>
      </c>
      <c r="E473" s="4">
        <v>1</v>
      </c>
      <c r="F473" s="4">
        <v>0</v>
      </c>
      <c r="G473" s="4">
        <v>4</v>
      </c>
      <c r="H473" s="4">
        <v>0</v>
      </c>
      <c r="I473" s="4">
        <v>0</v>
      </c>
      <c r="J473" s="4">
        <v>0</v>
      </c>
      <c r="K473" s="4">
        <v>0</v>
      </c>
      <c r="L473" s="2" t="s">
        <v>80</v>
      </c>
    </row>
    <row r="474" spans="1:12" x14ac:dyDescent="0.2">
      <c r="A474" s="4">
        <v>4.0999999999999996</v>
      </c>
      <c r="B474" s="4">
        <v>12</v>
      </c>
      <c r="C474" s="4">
        <v>3</v>
      </c>
      <c r="D474" s="4">
        <v>2</v>
      </c>
      <c r="E474" s="4">
        <v>1</v>
      </c>
      <c r="F474" s="4">
        <v>0</v>
      </c>
      <c r="G474" s="4">
        <v>0</v>
      </c>
      <c r="H474" s="4">
        <v>1</v>
      </c>
      <c r="I474" s="4">
        <v>0</v>
      </c>
      <c r="J474" s="4">
        <v>0</v>
      </c>
      <c r="K474" s="4">
        <v>0</v>
      </c>
      <c r="L474" s="2" t="s">
        <v>80</v>
      </c>
    </row>
    <row r="475" spans="1:12" x14ac:dyDescent="0.2">
      <c r="A475" s="4">
        <v>3</v>
      </c>
      <c r="B475" s="4">
        <v>14</v>
      </c>
      <c r="C475" s="4">
        <v>3</v>
      </c>
      <c r="D475" s="4">
        <v>2</v>
      </c>
      <c r="E475" s="4">
        <v>1</v>
      </c>
      <c r="F475" s="4">
        <v>0</v>
      </c>
      <c r="G475" s="4">
        <v>0</v>
      </c>
      <c r="H475" s="4">
        <v>1</v>
      </c>
      <c r="I475" s="4">
        <v>0</v>
      </c>
      <c r="J475" s="4">
        <v>0</v>
      </c>
      <c r="K475" s="4">
        <v>0</v>
      </c>
      <c r="L475" s="2" t="s">
        <v>80</v>
      </c>
    </row>
    <row r="476" spans="1:12" x14ac:dyDescent="0.2">
      <c r="A476" s="4">
        <v>9.3000000000000007</v>
      </c>
      <c r="B476" s="4">
        <v>15</v>
      </c>
      <c r="C476" s="4">
        <v>2</v>
      </c>
      <c r="D476" s="4">
        <v>2</v>
      </c>
      <c r="E476" s="4">
        <v>0</v>
      </c>
      <c r="F476" s="4">
        <v>1</v>
      </c>
      <c r="G476" s="4">
        <v>0</v>
      </c>
      <c r="H476" s="4">
        <v>0</v>
      </c>
      <c r="I476" s="4">
        <v>1</v>
      </c>
      <c r="J476" s="4">
        <v>0</v>
      </c>
      <c r="K476" s="4">
        <v>0</v>
      </c>
      <c r="L476" s="2" t="s">
        <v>80</v>
      </c>
    </row>
    <row r="477" spans="1:12" x14ac:dyDescent="0.2">
      <c r="A477" s="4">
        <v>2.91</v>
      </c>
      <c r="B477" s="4">
        <v>11</v>
      </c>
      <c r="C477" s="4">
        <v>2</v>
      </c>
      <c r="D477" s="4">
        <v>2</v>
      </c>
      <c r="E477" s="4">
        <v>0</v>
      </c>
      <c r="F477" s="4">
        <v>0</v>
      </c>
      <c r="G477" s="4">
        <v>2</v>
      </c>
      <c r="H477" s="4">
        <v>1</v>
      </c>
      <c r="I477" s="4">
        <v>0</v>
      </c>
      <c r="J477" s="4">
        <v>0</v>
      </c>
      <c r="K477" s="4">
        <v>0</v>
      </c>
      <c r="L477" s="2" t="s">
        <v>80</v>
      </c>
    </row>
    <row r="478" spans="1:12" x14ac:dyDescent="0.2">
      <c r="A478" s="4">
        <v>3.1</v>
      </c>
      <c r="B478" s="4">
        <v>12</v>
      </c>
      <c r="C478" s="4">
        <v>2</v>
      </c>
      <c r="D478" s="4">
        <v>2</v>
      </c>
      <c r="E478" s="4">
        <v>1</v>
      </c>
      <c r="F478" s="4">
        <v>0</v>
      </c>
      <c r="G478" s="4">
        <v>1</v>
      </c>
      <c r="H478" s="4">
        <v>0</v>
      </c>
      <c r="I478" s="4">
        <v>1</v>
      </c>
      <c r="J478" s="4">
        <v>0</v>
      </c>
      <c r="K478" s="4">
        <v>0</v>
      </c>
      <c r="L478" s="2" t="s">
        <v>80</v>
      </c>
    </row>
    <row r="479" spans="1:12" x14ac:dyDescent="0.2">
      <c r="A479" s="4">
        <v>2.75</v>
      </c>
      <c r="B479" s="4">
        <v>13</v>
      </c>
      <c r="C479" s="4">
        <v>1</v>
      </c>
      <c r="D479" s="4">
        <v>2</v>
      </c>
      <c r="E479" s="4">
        <v>1</v>
      </c>
      <c r="F479" s="4">
        <v>0</v>
      </c>
      <c r="G479" s="4">
        <v>1</v>
      </c>
      <c r="H479" s="4">
        <v>1</v>
      </c>
      <c r="I479" s="4">
        <v>0</v>
      </c>
      <c r="J479" s="4">
        <v>0</v>
      </c>
      <c r="K479" s="4">
        <v>0</v>
      </c>
      <c r="L479" s="2" t="s">
        <v>80</v>
      </c>
    </row>
    <row r="480" spans="1:12" x14ac:dyDescent="0.2">
      <c r="A480" s="4">
        <v>4.75</v>
      </c>
      <c r="B480" s="4">
        <v>13</v>
      </c>
      <c r="C480" s="9">
        <v>43.93</v>
      </c>
      <c r="D480" s="4">
        <v>1</v>
      </c>
      <c r="E480" s="4">
        <v>0</v>
      </c>
      <c r="F480" s="4">
        <v>1</v>
      </c>
      <c r="G480" s="4">
        <v>0</v>
      </c>
      <c r="H480" s="4">
        <v>0</v>
      </c>
      <c r="I480" s="4">
        <v>0</v>
      </c>
      <c r="J480" s="4">
        <v>1</v>
      </c>
      <c r="K480" s="4">
        <v>0</v>
      </c>
      <c r="L480" s="2" t="s">
        <v>80</v>
      </c>
    </row>
    <row r="481" spans="1:12" x14ac:dyDescent="0.2">
      <c r="A481" s="4">
        <v>2.9</v>
      </c>
      <c r="B481" s="4">
        <v>12</v>
      </c>
      <c r="C481" s="4">
        <v>26</v>
      </c>
      <c r="D481" s="4">
        <v>1</v>
      </c>
      <c r="E481" s="4">
        <v>1</v>
      </c>
      <c r="F481" s="4">
        <v>0</v>
      </c>
      <c r="G481" s="4">
        <v>4</v>
      </c>
      <c r="H481" s="4">
        <v>0</v>
      </c>
      <c r="I481" s="4">
        <v>1</v>
      </c>
      <c r="J481" s="4">
        <v>0</v>
      </c>
      <c r="K481" s="4">
        <v>0</v>
      </c>
      <c r="L481" s="2" t="s">
        <v>80</v>
      </c>
    </row>
    <row r="482" spans="1:12" x14ac:dyDescent="0.2">
      <c r="A482" s="4">
        <v>3.15</v>
      </c>
      <c r="B482" s="4">
        <v>12</v>
      </c>
      <c r="C482" s="4">
        <v>26</v>
      </c>
      <c r="D482" s="4">
        <v>1</v>
      </c>
      <c r="E482" s="4">
        <v>0</v>
      </c>
      <c r="F482" s="4">
        <v>1</v>
      </c>
      <c r="G482" s="4">
        <v>0</v>
      </c>
      <c r="H482" s="4">
        <v>1</v>
      </c>
      <c r="I482" s="4">
        <v>0</v>
      </c>
      <c r="J482" s="4">
        <v>0</v>
      </c>
      <c r="K482" s="4">
        <v>0</v>
      </c>
      <c r="L482" s="2" t="s">
        <v>80</v>
      </c>
    </row>
    <row r="483" spans="1:12" x14ac:dyDescent="0.2">
      <c r="A483" s="4">
        <v>8.75</v>
      </c>
      <c r="B483" s="4">
        <v>12</v>
      </c>
      <c r="C483" s="4">
        <v>24</v>
      </c>
      <c r="D483" s="4">
        <v>1</v>
      </c>
      <c r="E483" s="4">
        <v>0</v>
      </c>
      <c r="F483" s="4">
        <v>0</v>
      </c>
      <c r="G483" s="4">
        <v>0</v>
      </c>
      <c r="H483" s="4">
        <v>1</v>
      </c>
      <c r="I483" s="4">
        <v>0</v>
      </c>
      <c r="J483" s="4">
        <v>0</v>
      </c>
      <c r="K483" s="4">
        <v>0</v>
      </c>
      <c r="L483" s="2" t="s">
        <v>80</v>
      </c>
    </row>
    <row r="484" spans="1:12" x14ac:dyDescent="0.2">
      <c r="A484" s="4">
        <v>3</v>
      </c>
      <c r="B484" s="4">
        <v>12</v>
      </c>
      <c r="C484" s="4">
        <v>11</v>
      </c>
      <c r="D484" s="4">
        <v>1</v>
      </c>
      <c r="E484" s="4">
        <v>1</v>
      </c>
      <c r="F484" s="4">
        <v>1</v>
      </c>
      <c r="G484" s="4">
        <v>2</v>
      </c>
      <c r="H484" s="4">
        <v>0</v>
      </c>
      <c r="I484" s="4">
        <v>0</v>
      </c>
      <c r="J484" s="4">
        <v>0</v>
      </c>
      <c r="K484" s="4">
        <v>0</v>
      </c>
      <c r="L484" s="2" t="s">
        <v>80</v>
      </c>
    </row>
    <row r="485" spans="1:12" x14ac:dyDescent="0.2">
      <c r="A485" s="4">
        <v>4</v>
      </c>
      <c r="B485" s="4">
        <v>12</v>
      </c>
      <c r="C485" s="4">
        <v>10</v>
      </c>
      <c r="D485" s="4">
        <v>1</v>
      </c>
      <c r="E485" s="4">
        <v>1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2" t="s">
        <v>80</v>
      </c>
    </row>
    <row r="486" spans="1:12" x14ac:dyDescent="0.2">
      <c r="A486" s="4">
        <v>3.81</v>
      </c>
      <c r="B486" s="4">
        <v>12</v>
      </c>
      <c r="C486" s="4">
        <v>8</v>
      </c>
      <c r="D486" s="4">
        <v>1</v>
      </c>
      <c r="E486" s="4">
        <v>1</v>
      </c>
      <c r="F486" s="4">
        <v>1</v>
      </c>
      <c r="G486" s="4">
        <v>2</v>
      </c>
      <c r="H486" s="4">
        <v>1</v>
      </c>
      <c r="I486" s="4">
        <v>0</v>
      </c>
      <c r="J486" s="4">
        <v>0</v>
      </c>
      <c r="K486" s="4">
        <v>0</v>
      </c>
      <c r="L486" s="2" t="s">
        <v>80</v>
      </c>
    </row>
    <row r="487" spans="1:12" x14ac:dyDescent="0.2">
      <c r="A487" s="4">
        <v>3.8</v>
      </c>
      <c r="B487" s="4">
        <v>15</v>
      </c>
      <c r="C487" s="4">
        <v>6</v>
      </c>
      <c r="D487" s="4">
        <v>1</v>
      </c>
      <c r="E487" s="4">
        <v>0</v>
      </c>
      <c r="F487" s="4">
        <v>1</v>
      </c>
      <c r="G487" s="4">
        <v>1</v>
      </c>
      <c r="H487" s="4">
        <v>0</v>
      </c>
      <c r="I487" s="4">
        <v>1</v>
      </c>
      <c r="J487" s="4">
        <v>0</v>
      </c>
      <c r="K487" s="4">
        <v>0</v>
      </c>
      <c r="L487" s="2" t="s">
        <v>80</v>
      </c>
    </row>
    <row r="488" spans="1:12" x14ac:dyDescent="0.2">
      <c r="A488" s="4">
        <v>11.56</v>
      </c>
      <c r="B488" s="4">
        <v>16</v>
      </c>
      <c r="C488" s="4">
        <v>5</v>
      </c>
      <c r="D488" s="4">
        <v>1</v>
      </c>
      <c r="E488" s="4">
        <v>0</v>
      </c>
      <c r="F488" s="4">
        <v>1</v>
      </c>
      <c r="G488" s="4">
        <v>0</v>
      </c>
      <c r="H488" s="4">
        <v>0</v>
      </c>
      <c r="I488" s="4">
        <v>0</v>
      </c>
      <c r="J488" s="4">
        <v>1</v>
      </c>
      <c r="K488" s="4">
        <v>0</v>
      </c>
      <c r="L488" s="2" t="s">
        <v>80</v>
      </c>
    </row>
    <row r="489" spans="1:12" x14ac:dyDescent="0.2">
      <c r="A489" s="4">
        <v>2.95</v>
      </c>
      <c r="B489" s="4">
        <v>12</v>
      </c>
      <c r="C489" s="4">
        <v>3</v>
      </c>
      <c r="D489" s="4">
        <v>1</v>
      </c>
      <c r="E489" s="4">
        <v>0</v>
      </c>
      <c r="F489" s="4">
        <v>0</v>
      </c>
      <c r="G489" s="4">
        <v>1</v>
      </c>
      <c r="H489" s="4">
        <v>1</v>
      </c>
      <c r="I489" s="4">
        <v>0</v>
      </c>
      <c r="J489" s="4">
        <v>0</v>
      </c>
      <c r="K489" s="4">
        <v>0</v>
      </c>
      <c r="L489" s="2" t="s">
        <v>80</v>
      </c>
    </row>
    <row r="490" spans="1:12" x14ac:dyDescent="0.2">
      <c r="A490" s="4">
        <v>3.35</v>
      </c>
      <c r="B490" s="4">
        <v>15</v>
      </c>
      <c r="C490" s="4">
        <v>3</v>
      </c>
      <c r="D490" s="4">
        <v>1</v>
      </c>
      <c r="E490" s="4">
        <v>1</v>
      </c>
      <c r="F490" s="4">
        <v>1</v>
      </c>
      <c r="G490" s="4">
        <v>2</v>
      </c>
      <c r="H490" s="4">
        <v>0</v>
      </c>
      <c r="I490" s="4">
        <v>1</v>
      </c>
      <c r="J490" s="4">
        <v>0</v>
      </c>
      <c r="K490" s="4">
        <v>0</v>
      </c>
      <c r="L490" s="2" t="s">
        <v>80</v>
      </c>
    </row>
    <row r="491" spans="1:12" x14ac:dyDescent="0.2">
      <c r="A491" s="4">
        <v>4.6500000000000004</v>
      </c>
      <c r="B491" s="4">
        <v>16</v>
      </c>
      <c r="C491" s="4">
        <v>3</v>
      </c>
      <c r="D491" s="4">
        <v>1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2" t="s">
        <v>80</v>
      </c>
    </row>
    <row r="492" spans="1:12" x14ac:dyDescent="0.2">
      <c r="A492" s="4">
        <v>3.08</v>
      </c>
      <c r="B492" s="4">
        <v>12</v>
      </c>
      <c r="C492" s="4">
        <v>3</v>
      </c>
      <c r="D492" s="4">
        <v>1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2" t="s">
        <v>80</v>
      </c>
    </row>
    <row r="493" spans="1:12" x14ac:dyDescent="0.2">
      <c r="A493" s="4">
        <v>1.75</v>
      </c>
      <c r="B493" s="4">
        <v>11</v>
      </c>
      <c r="C493" s="4">
        <v>2</v>
      </c>
      <c r="D493" s="4">
        <v>1</v>
      </c>
      <c r="E493" s="4">
        <v>0</v>
      </c>
      <c r="F493" s="4">
        <v>0</v>
      </c>
      <c r="G493" s="4">
        <v>2</v>
      </c>
      <c r="H493" s="4">
        <v>0</v>
      </c>
      <c r="I493" s="4">
        <v>0</v>
      </c>
      <c r="J493" s="4">
        <v>1</v>
      </c>
      <c r="K493" s="4">
        <v>0</v>
      </c>
      <c r="L493" s="2" t="s">
        <v>80</v>
      </c>
    </row>
    <row r="494" spans="1:12" x14ac:dyDescent="0.2">
      <c r="A494" s="4">
        <v>6.25</v>
      </c>
      <c r="B494" s="10">
        <v>12</v>
      </c>
      <c r="C494" s="4">
        <v>2</v>
      </c>
      <c r="D494" s="4">
        <v>1</v>
      </c>
      <c r="E494" s="4">
        <v>1</v>
      </c>
      <c r="F494" s="4">
        <v>0</v>
      </c>
      <c r="G494" s="4">
        <v>0</v>
      </c>
      <c r="H494" s="4">
        <v>1</v>
      </c>
      <c r="I494" s="4">
        <v>0</v>
      </c>
      <c r="J494" s="4">
        <v>0</v>
      </c>
      <c r="K494" s="4">
        <v>0</v>
      </c>
      <c r="L494" s="2" t="s">
        <v>80</v>
      </c>
    </row>
    <row r="495" spans="1:12" x14ac:dyDescent="0.2">
      <c r="A495" s="4">
        <v>5.58</v>
      </c>
      <c r="B495" s="4">
        <v>16</v>
      </c>
      <c r="C495" s="4">
        <v>1</v>
      </c>
      <c r="D495" s="4">
        <v>1</v>
      </c>
      <c r="E495" s="4">
        <v>0</v>
      </c>
      <c r="F495" s="4">
        <v>1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2" t="s">
        <v>80</v>
      </c>
    </row>
    <row r="496" spans="1:12" x14ac:dyDescent="0.2">
      <c r="A496" s="4">
        <v>2.92</v>
      </c>
      <c r="B496" s="4">
        <v>9</v>
      </c>
      <c r="C496" s="9">
        <v>43.93</v>
      </c>
      <c r="D496" s="4">
        <v>0</v>
      </c>
      <c r="E496" s="4">
        <v>1</v>
      </c>
      <c r="F496" s="4">
        <v>0</v>
      </c>
      <c r="G496" s="4">
        <v>0</v>
      </c>
      <c r="H496" s="4">
        <v>0</v>
      </c>
      <c r="I496" s="4">
        <v>1</v>
      </c>
      <c r="J496" s="4">
        <v>0</v>
      </c>
      <c r="K496" s="4">
        <v>0</v>
      </c>
      <c r="L496" s="2" t="s">
        <v>80</v>
      </c>
    </row>
    <row r="497" spans="1:12" x14ac:dyDescent="0.2">
      <c r="A497" s="4">
        <v>4.5</v>
      </c>
      <c r="B497" s="4">
        <v>12</v>
      </c>
      <c r="C497" s="4">
        <v>35</v>
      </c>
      <c r="D497" s="4">
        <v>0</v>
      </c>
      <c r="E497" s="4">
        <v>1</v>
      </c>
      <c r="F497" s="4">
        <v>1</v>
      </c>
      <c r="G497" s="4">
        <v>1</v>
      </c>
      <c r="H497" s="4">
        <v>0</v>
      </c>
      <c r="I497" s="4">
        <v>1</v>
      </c>
      <c r="J497" s="4">
        <v>0</v>
      </c>
      <c r="K497" s="4">
        <v>0</v>
      </c>
      <c r="L497" s="2" t="s">
        <v>80</v>
      </c>
    </row>
    <row r="498" spans="1:12" x14ac:dyDescent="0.2">
      <c r="A498" s="4">
        <v>3.55</v>
      </c>
      <c r="B498" s="4">
        <v>12</v>
      </c>
      <c r="C498" s="4">
        <v>21</v>
      </c>
      <c r="D498" s="4">
        <v>0</v>
      </c>
      <c r="E498" s="4">
        <v>1</v>
      </c>
      <c r="F498" s="4">
        <v>1</v>
      </c>
      <c r="G498" s="4">
        <v>1</v>
      </c>
      <c r="H498" s="4">
        <v>0</v>
      </c>
      <c r="I498" s="4">
        <v>1</v>
      </c>
      <c r="J498" s="4">
        <v>0</v>
      </c>
      <c r="K498" s="4">
        <v>0</v>
      </c>
      <c r="L498" s="2" t="s">
        <v>80</v>
      </c>
    </row>
    <row r="499" spans="1:12" x14ac:dyDescent="0.2">
      <c r="A499" s="4">
        <v>5.05</v>
      </c>
      <c r="B499" s="4">
        <v>12</v>
      </c>
      <c r="C499" s="4">
        <v>19</v>
      </c>
      <c r="D499" s="4">
        <v>0</v>
      </c>
      <c r="E499" s="4">
        <v>1</v>
      </c>
      <c r="F499" s="4">
        <v>1</v>
      </c>
      <c r="G499" s="4">
        <v>3</v>
      </c>
      <c r="H499" s="4">
        <v>0</v>
      </c>
      <c r="I499" s="4">
        <v>1</v>
      </c>
      <c r="J499" s="4">
        <v>0</v>
      </c>
      <c r="K499" s="4">
        <v>0</v>
      </c>
      <c r="L499" s="2" t="s">
        <v>80</v>
      </c>
    </row>
    <row r="500" spans="1:12" x14ac:dyDescent="0.2">
      <c r="A500" s="4">
        <v>1.63</v>
      </c>
      <c r="B500" s="4">
        <v>12</v>
      </c>
      <c r="C500" s="4">
        <v>18</v>
      </c>
      <c r="D500" s="4">
        <v>0</v>
      </c>
      <c r="E500" s="10">
        <v>2</v>
      </c>
      <c r="F500" s="4">
        <v>0</v>
      </c>
      <c r="G500" s="4">
        <v>2</v>
      </c>
      <c r="H500" s="4">
        <v>0</v>
      </c>
      <c r="I500" s="4">
        <v>0</v>
      </c>
      <c r="J500" s="4">
        <v>0</v>
      </c>
      <c r="K500" s="4">
        <v>0</v>
      </c>
      <c r="L500" s="2" t="s">
        <v>80</v>
      </c>
    </row>
    <row r="501" spans="1:12" x14ac:dyDescent="0.2">
      <c r="A501" s="4">
        <v>5</v>
      </c>
      <c r="B501" s="10">
        <v>12</v>
      </c>
      <c r="C501" s="4">
        <v>18</v>
      </c>
      <c r="D501" s="4">
        <v>0</v>
      </c>
      <c r="E501" s="4">
        <v>1</v>
      </c>
      <c r="F501" s="4">
        <v>1</v>
      </c>
      <c r="G501" s="4">
        <v>3</v>
      </c>
      <c r="H501" s="4">
        <v>0</v>
      </c>
      <c r="I501" s="4">
        <v>0</v>
      </c>
      <c r="J501" s="4">
        <v>1</v>
      </c>
      <c r="K501" s="4">
        <v>0</v>
      </c>
      <c r="L501" s="2" t="s">
        <v>80</v>
      </c>
    </row>
    <row r="502" spans="1:12" x14ac:dyDescent="0.2">
      <c r="A502" s="4">
        <v>3.71</v>
      </c>
      <c r="B502" s="4">
        <v>10</v>
      </c>
      <c r="C502" s="4">
        <v>13</v>
      </c>
      <c r="D502" s="4">
        <v>0</v>
      </c>
      <c r="E502" s="4">
        <v>1</v>
      </c>
      <c r="F502" s="4">
        <v>0</v>
      </c>
      <c r="G502" s="4">
        <v>4</v>
      </c>
      <c r="H502" s="4">
        <v>0</v>
      </c>
      <c r="I502" s="4">
        <v>0</v>
      </c>
      <c r="J502" s="4">
        <v>0</v>
      </c>
      <c r="K502" s="4">
        <v>0</v>
      </c>
      <c r="L502" s="2" t="s">
        <v>80</v>
      </c>
    </row>
    <row r="503" spans="1:12" x14ac:dyDescent="0.2">
      <c r="A503" s="4">
        <v>4.5</v>
      </c>
      <c r="B503" s="4">
        <v>12</v>
      </c>
      <c r="C503" s="4">
        <v>13</v>
      </c>
      <c r="D503" s="4">
        <v>0</v>
      </c>
      <c r="E503" s="4">
        <v>0</v>
      </c>
      <c r="F503" s="4">
        <v>1</v>
      </c>
      <c r="G503" s="4">
        <v>0</v>
      </c>
      <c r="H503" s="4">
        <v>0</v>
      </c>
      <c r="I503" s="4">
        <v>0</v>
      </c>
      <c r="J503" s="4">
        <v>1</v>
      </c>
      <c r="K503" s="4">
        <v>0</v>
      </c>
      <c r="L503" s="2" t="s">
        <v>80</v>
      </c>
    </row>
    <row r="504" spans="1:12" x14ac:dyDescent="0.2">
      <c r="A504" s="4">
        <v>6.08</v>
      </c>
      <c r="B504" s="4">
        <v>16</v>
      </c>
      <c r="C504" s="4">
        <v>9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1</v>
      </c>
      <c r="J504" s="4">
        <v>0</v>
      </c>
      <c r="K504" s="4">
        <v>0</v>
      </c>
      <c r="L504" s="2" t="s">
        <v>80</v>
      </c>
    </row>
    <row r="505" spans="1:12" x14ac:dyDescent="0.2">
      <c r="A505" s="4">
        <v>4</v>
      </c>
      <c r="B505" s="4">
        <v>12</v>
      </c>
      <c r="C505" s="4">
        <v>9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1</v>
      </c>
      <c r="J505" s="4">
        <v>0</v>
      </c>
      <c r="K505" s="4">
        <v>0</v>
      </c>
      <c r="L505" s="2" t="s">
        <v>80</v>
      </c>
    </row>
    <row r="506" spans="1:12" x14ac:dyDescent="0.2">
      <c r="A506" s="4">
        <v>4</v>
      </c>
      <c r="B506" s="4">
        <v>12</v>
      </c>
      <c r="C506" s="4">
        <v>8</v>
      </c>
      <c r="D506" s="4">
        <v>0</v>
      </c>
      <c r="E506" s="4">
        <v>1</v>
      </c>
      <c r="F506" s="4">
        <v>1</v>
      </c>
      <c r="G506" s="4">
        <v>2</v>
      </c>
      <c r="H506" s="4">
        <v>1</v>
      </c>
      <c r="I506" s="4">
        <v>0</v>
      </c>
      <c r="J506" s="4">
        <v>0</v>
      </c>
      <c r="K506" s="4">
        <v>0</v>
      </c>
      <c r="L506" s="2" t="s">
        <v>80</v>
      </c>
    </row>
    <row r="507" spans="1:12" x14ac:dyDescent="0.2">
      <c r="A507" s="4">
        <v>3.75</v>
      </c>
      <c r="B507" s="4">
        <v>12</v>
      </c>
      <c r="C507" s="4">
        <v>7</v>
      </c>
      <c r="D507" s="4">
        <v>0</v>
      </c>
      <c r="E507" s="4">
        <v>1</v>
      </c>
      <c r="F507" s="4">
        <v>1</v>
      </c>
      <c r="G507" s="4">
        <v>0</v>
      </c>
      <c r="H507" s="4">
        <v>0</v>
      </c>
      <c r="I507" s="4">
        <v>0</v>
      </c>
      <c r="J507" s="4">
        <v>0</v>
      </c>
      <c r="K507" s="4">
        <v>1</v>
      </c>
      <c r="L507" s="2" t="s">
        <v>80</v>
      </c>
    </row>
    <row r="508" spans="1:12" x14ac:dyDescent="0.2">
      <c r="A508" s="4">
        <v>9.8000000000000007</v>
      </c>
      <c r="B508" s="4">
        <v>17</v>
      </c>
      <c r="C508" s="4">
        <v>7</v>
      </c>
      <c r="D508" s="4">
        <v>0</v>
      </c>
      <c r="E508" s="4">
        <v>0</v>
      </c>
      <c r="F508" s="4">
        <v>1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2" t="s">
        <v>80</v>
      </c>
    </row>
    <row r="509" spans="1:12" x14ac:dyDescent="0.2">
      <c r="A509" s="4">
        <v>3.55</v>
      </c>
      <c r="B509" s="4">
        <v>12</v>
      </c>
      <c r="C509" s="4">
        <v>6</v>
      </c>
      <c r="D509" s="4">
        <v>0</v>
      </c>
      <c r="E509" s="4">
        <v>1</v>
      </c>
      <c r="F509" s="4">
        <v>1</v>
      </c>
      <c r="G509" s="4">
        <v>1</v>
      </c>
      <c r="H509" s="4">
        <v>0</v>
      </c>
      <c r="I509" s="4">
        <v>0</v>
      </c>
      <c r="J509" s="4">
        <v>0</v>
      </c>
      <c r="K509" s="4">
        <v>0</v>
      </c>
      <c r="L509" s="2" t="s">
        <v>80</v>
      </c>
    </row>
    <row r="510" spans="1:12" x14ac:dyDescent="0.2">
      <c r="A510" s="4">
        <v>6.25</v>
      </c>
      <c r="B510" s="4">
        <v>16</v>
      </c>
      <c r="C510" s="4">
        <v>5</v>
      </c>
      <c r="D510" s="4">
        <v>0</v>
      </c>
      <c r="E510" s="4">
        <v>0</v>
      </c>
      <c r="F510" s="4">
        <v>1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2" t="s">
        <v>80</v>
      </c>
    </row>
    <row r="511" spans="1:12" x14ac:dyDescent="0.2">
      <c r="A511" s="4">
        <v>2.38</v>
      </c>
      <c r="B511" s="4">
        <v>9</v>
      </c>
      <c r="C511" s="4">
        <v>5</v>
      </c>
      <c r="D511" s="4">
        <v>0</v>
      </c>
      <c r="E511" s="4">
        <v>0</v>
      </c>
      <c r="F511" s="4">
        <v>0</v>
      </c>
      <c r="G511" s="4">
        <v>5</v>
      </c>
      <c r="H511" s="4">
        <v>0</v>
      </c>
      <c r="I511" s="4">
        <v>1</v>
      </c>
      <c r="J511" s="4">
        <v>0</v>
      </c>
      <c r="K511" s="4">
        <v>0</v>
      </c>
      <c r="L511" s="2" t="s">
        <v>80</v>
      </c>
    </row>
    <row r="512" spans="1:12" x14ac:dyDescent="0.2">
      <c r="A512" s="4">
        <v>4.0999999999999996</v>
      </c>
      <c r="B512" s="4">
        <v>16</v>
      </c>
      <c r="C512" s="4">
        <v>5</v>
      </c>
      <c r="D512" s="4">
        <v>0</v>
      </c>
      <c r="E512" s="4">
        <v>1</v>
      </c>
      <c r="F512" s="4">
        <v>1</v>
      </c>
      <c r="G512" s="4">
        <v>0</v>
      </c>
      <c r="H512" s="4">
        <v>1</v>
      </c>
      <c r="I512" s="4">
        <v>0</v>
      </c>
      <c r="J512" s="4">
        <v>0</v>
      </c>
      <c r="K512" s="4">
        <v>0</v>
      </c>
      <c r="L512" s="2" t="s">
        <v>80</v>
      </c>
    </row>
    <row r="513" spans="1:12" x14ac:dyDescent="0.2">
      <c r="A513" s="4">
        <v>3.5</v>
      </c>
      <c r="B513" s="4">
        <v>8</v>
      </c>
      <c r="C513" s="4">
        <v>4</v>
      </c>
      <c r="D513" s="4">
        <v>0</v>
      </c>
      <c r="E513" s="4">
        <v>0</v>
      </c>
      <c r="F513" s="4">
        <v>0</v>
      </c>
      <c r="G513" s="4">
        <v>3</v>
      </c>
      <c r="H513" s="4">
        <v>0</v>
      </c>
      <c r="I513" s="4">
        <v>0</v>
      </c>
      <c r="J513" s="4">
        <v>0</v>
      </c>
      <c r="K513" s="4">
        <v>0</v>
      </c>
      <c r="L513" s="2" t="s">
        <v>80</v>
      </c>
    </row>
    <row r="514" spans="1:12" x14ac:dyDescent="0.2">
      <c r="A514" s="4">
        <v>2.6</v>
      </c>
      <c r="B514" s="4">
        <v>9</v>
      </c>
      <c r="C514" s="4">
        <v>4</v>
      </c>
      <c r="D514" s="4">
        <v>0</v>
      </c>
      <c r="E514" s="10">
        <v>2</v>
      </c>
      <c r="F514" s="4">
        <v>0</v>
      </c>
      <c r="G514" s="4">
        <v>1</v>
      </c>
      <c r="H514" s="4">
        <v>0</v>
      </c>
      <c r="I514" s="4">
        <v>0</v>
      </c>
      <c r="J514" s="4">
        <v>1</v>
      </c>
      <c r="K514" s="4">
        <v>0</v>
      </c>
      <c r="L514" s="2" t="s">
        <v>80</v>
      </c>
    </row>
    <row r="515" spans="1:12" x14ac:dyDescent="0.2">
      <c r="A515" s="4">
        <v>2</v>
      </c>
      <c r="B515" s="4">
        <v>10</v>
      </c>
      <c r="C515" s="4">
        <v>3</v>
      </c>
      <c r="D515" s="4">
        <v>0</v>
      </c>
      <c r="E515" s="4">
        <v>1</v>
      </c>
      <c r="F515" s="4">
        <v>0</v>
      </c>
      <c r="G515" s="4">
        <v>5</v>
      </c>
      <c r="H515" s="4">
        <v>0</v>
      </c>
      <c r="I515" s="4">
        <v>1</v>
      </c>
      <c r="J515" s="4">
        <v>0</v>
      </c>
      <c r="K515" s="4">
        <v>0</v>
      </c>
      <c r="L515" s="2" t="s">
        <v>80</v>
      </c>
    </row>
    <row r="516" spans="1:12" x14ac:dyDescent="0.2">
      <c r="A516" s="4">
        <v>7.81</v>
      </c>
      <c r="B516" s="4">
        <v>12</v>
      </c>
      <c r="C516" s="4">
        <v>3</v>
      </c>
      <c r="D516" s="4">
        <v>0</v>
      </c>
      <c r="E516" s="4">
        <v>1</v>
      </c>
      <c r="F516" s="4">
        <v>1</v>
      </c>
      <c r="G516" s="4">
        <v>0</v>
      </c>
      <c r="H516" s="4">
        <v>0</v>
      </c>
      <c r="I516" s="4">
        <v>0</v>
      </c>
      <c r="J516" s="4">
        <v>1</v>
      </c>
      <c r="K516" s="4">
        <v>0</v>
      </c>
      <c r="L516" s="2" t="s">
        <v>80</v>
      </c>
    </row>
    <row r="517" spans="1:12" x14ac:dyDescent="0.2">
      <c r="A517" s="4">
        <v>3.5</v>
      </c>
      <c r="B517" s="4">
        <v>12</v>
      </c>
      <c r="C517" s="4">
        <v>3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2" t="s">
        <v>80</v>
      </c>
    </row>
    <row r="518" spans="1:12" x14ac:dyDescent="0.2">
      <c r="A518" s="4">
        <v>4.5</v>
      </c>
      <c r="B518" s="4">
        <v>12</v>
      </c>
      <c r="C518" s="4">
        <v>3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1</v>
      </c>
      <c r="K518" s="4">
        <v>0</v>
      </c>
      <c r="L518" s="2" t="s">
        <v>80</v>
      </c>
    </row>
    <row r="519" spans="1:12" x14ac:dyDescent="0.2">
      <c r="A519" s="4">
        <v>3</v>
      </c>
      <c r="B519" s="4">
        <v>11</v>
      </c>
      <c r="C519" s="4">
        <v>3</v>
      </c>
      <c r="D519" s="4">
        <v>0</v>
      </c>
      <c r="E519" s="4">
        <v>1</v>
      </c>
      <c r="F519" s="4">
        <v>0</v>
      </c>
      <c r="G519" s="4">
        <v>2</v>
      </c>
      <c r="H519" s="4">
        <v>0</v>
      </c>
      <c r="I519" s="4">
        <v>0</v>
      </c>
      <c r="J519" s="4">
        <v>1</v>
      </c>
      <c r="K519" s="4">
        <v>0</v>
      </c>
      <c r="L519" s="2" t="s">
        <v>80</v>
      </c>
    </row>
    <row r="520" spans="1:12" x14ac:dyDescent="0.2">
      <c r="A520" s="4">
        <v>5.1100000000000003</v>
      </c>
      <c r="B520" s="4">
        <v>11</v>
      </c>
      <c r="C520" s="4">
        <v>3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1</v>
      </c>
      <c r="K520" s="4">
        <v>1</v>
      </c>
      <c r="L520" s="2" t="s">
        <v>80</v>
      </c>
    </row>
    <row r="521" spans="1:12" x14ac:dyDescent="0.2">
      <c r="A521" s="4">
        <v>2</v>
      </c>
      <c r="B521" s="4">
        <v>9</v>
      </c>
      <c r="C521" s="4">
        <v>2</v>
      </c>
      <c r="D521" s="4">
        <v>0</v>
      </c>
      <c r="E521" s="4">
        <v>0</v>
      </c>
      <c r="F521" s="4">
        <v>0</v>
      </c>
      <c r="G521" s="4">
        <v>3</v>
      </c>
      <c r="H521" s="4">
        <v>1</v>
      </c>
      <c r="I521" s="4">
        <v>0</v>
      </c>
      <c r="J521" s="4">
        <v>0</v>
      </c>
      <c r="K521" s="4">
        <v>0</v>
      </c>
      <c r="L521" s="2" t="s">
        <v>80</v>
      </c>
    </row>
    <row r="522" spans="1:12" x14ac:dyDescent="0.2">
      <c r="A522" s="4">
        <v>3.1</v>
      </c>
      <c r="B522" s="4">
        <v>11</v>
      </c>
      <c r="C522" s="4">
        <v>2</v>
      </c>
      <c r="D522" s="4">
        <v>0</v>
      </c>
      <c r="E522" s="4">
        <v>1</v>
      </c>
      <c r="F522" s="4">
        <v>0</v>
      </c>
      <c r="G522" s="4">
        <v>2</v>
      </c>
      <c r="H522" s="4">
        <v>0</v>
      </c>
      <c r="I522" s="4">
        <v>0</v>
      </c>
      <c r="J522" s="4">
        <v>1</v>
      </c>
      <c r="K522" s="4">
        <v>0</v>
      </c>
      <c r="L522" s="2" t="s">
        <v>80</v>
      </c>
    </row>
    <row r="523" spans="1:12" x14ac:dyDescent="0.2">
      <c r="A523" s="4">
        <v>5.65</v>
      </c>
      <c r="B523" s="4">
        <v>12</v>
      </c>
      <c r="C523" s="4">
        <v>2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1</v>
      </c>
      <c r="K523" s="4">
        <v>1</v>
      </c>
      <c r="L523" s="2" t="s">
        <v>80</v>
      </c>
    </row>
    <row r="524" spans="1:12" x14ac:dyDescent="0.2">
      <c r="A524" s="4">
        <v>2.54</v>
      </c>
      <c r="B524" s="4">
        <v>9</v>
      </c>
      <c r="C524" s="4">
        <v>2</v>
      </c>
      <c r="D524" s="4">
        <v>0</v>
      </c>
      <c r="E524" s="4">
        <v>1</v>
      </c>
      <c r="F524" s="4">
        <v>0</v>
      </c>
      <c r="G524" s="4">
        <v>1</v>
      </c>
      <c r="H524" s="4">
        <v>0</v>
      </c>
      <c r="I524" s="4">
        <v>1</v>
      </c>
      <c r="J524" s="4">
        <v>0</v>
      </c>
      <c r="K524" s="4">
        <v>0</v>
      </c>
      <c r="L524" s="2" t="s">
        <v>80</v>
      </c>
    </row>
    <row r="525" spans="1:12" x14ac:dyDescent="0.2">
      <c r="A525" s="4">
        <v>2.9</v>
      </c>
      <c r="B525" s="4">
        <v>11</v>
      </c>
      <c r="C525" s="4">
        <v>2</v>
      </c>
      <c r="D525" s="4">
        <v>0</v>
      </c>
      <c r="E525" s="4">
        <v>1</v>
      </c>
      <c r="F525" s="4">
        <v>0</v>
      </c>
      <c r="G525" s="4">
        <v>2</v>
      </c>
      <c r="H525" s="4">
        <v>0</v>
      </c>
      <c r="I525" s="4">
        <v>1</v>
      </c>
      <c r="J525" s="4">
        <v>0</v>
      </c>
      <c r="K525" s="4">
        <v>0</v>
      </c>
      <c r="L525" s="2" t="s">
        <v>80</v>
      </c>
    </row>
    <row r="526" spans="1:12" x14ac:dyDescent="0.2">
      <c r="A526" s="4">
        <v>2.92</v>
      </c>
      <c r="B526" s="4">
        <v>11</v>
      </c>
      <c r="C526" s="4">
        <v>1</v>
      </c>
      <c r="D526" s="4">
        <v>0</v>
      </c>
      <c r="E526" s="4">
        <v>1</v>
      </c>
      <c r="F526" s="4">
        <v>0</v>
      </c>
      <c r="G526" s="4">
        <v>1</v>
      </c>
      <c r="H526" s="4">
        <v>1</v>
      </c>
      <c r="I526" s="4">
        <v>0</v>
      </c>
      <c r="J526" s="4">
        <v>0</v>
      </c>
      <c r="K526" s="4">
        <v>0</v>
      </c>
      <c r="L526" s="2" t="s">
        <v>80</v>
      </c>
    </row>
    <row r="527" spans="1:12" x14ac:dyDescent="0.2">
      <c r="A527" s="4">
        <v>3</v>
      </c>
      <c r="B527" s="4">
        <v>12</v>
      </c>
      <c r="C527" s="4">
        <v>1</v>
      </c>
      <c r="D527" s="4">
        <v>0</v>
      </c>
      <c r="E527" s="4">
        <v>1</v>
      </c>
      <c r="F527" s="4">
        <v>0</v>
      </c>
      <c r="G527" s="4">
        <v>2</v>
      </c>
      <c r="H527" s="4">
        <v>0</v>
      </c>
      <c r="I527" s="4">
        <v>0</v>
      </c>
      <c r="J527" s="4">
        <v>0</v>
      </c>
      <c r="K527" s="4">
        <v>0</v>
      </c>
      <c r="L527" s="2" t="s">
        <v>80</v>
      </c>
    </row>
  </sheetData>
  <autoFilter ref="A1:L527" xr:uid="{39D69063-691B-0C41-B8D6-F28ACFAA45A8}">
    <sortState xmlns:xlrd2="http://schemas.microsoft.com/office/spreadsheetml/2017/richdata2" ref="A2:L527">
      <sortCondition ref="L1:L527"/>
    </sortState>
  </autoFilter>
  <mergeCells count="1">
    <mergeCell ref="Q3:S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0658B-910F-4248-93EC-05269B2E4393}">
  <dimension ref="A1:X527"/>
  <sheetViews>
    <sheetView showGridLines="0" workbookViewId="0">
      <selection sqref="A1:XFD1048576"/>
    </sheetView>
  </sheetViews>
  <sheetFormatPr baseColWidth="10" defaultRowHeight="14" x14ac:dyDescent="0.2"/>
  <cols>
    <col min="1" max="11" width="10.83203125" style="5"/>
    <col min="12" max="12" width="12.5" bestFit="1" customWidth="1"/>
    <col min="14" max="14" width="12.5" bestFit="1" customWidth="1"/>
  </cols>
  <sheetData>
    <row r="1" spans="1:16" x14ac:dyDescent="0.2">
      <c r="A1" s="4" t="s">
        <v>28</v>
      </c>
      <c r="B1" s="4" t="s">
        <v>0</v>
      </c>
      <c r="C1" s="4" t="s">
        <v>1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34</v>
      </c>
      <c r="J1" s="4" t="s">
        <v>35</v>
      </c>
      <c r="K1" s="4" t="s">
        <v>40</v>
      </c>
      <c r="L1" s="15" t="s">
        <v>81</v>
      </c>
    </row>
    <row r="2" spans="1:16" x14ac:dyDescent="0.2">
      <c r="A2" s="4">
        <v>8.75</v>
      </c>
      <c r="B2" s="4">
        <v>12</v>
      </c>
      <c r="C2" s="9">
        <v>43.93</v>
      </c>
      <c r="D2" s="9">
        <v>26.78</v>
      </c>
      <c r="E2" s="4">
        <v>0</v>
      </c>
      <c r="F2" s="4">
        <v>1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2" t="s">
        <v>79</v>
      </c>
    </row>
    <row r="3" spans="1:16" x14ac:dyDescent="0.2">
      <c r="A3" s="4">
        <v>11.76</v>
      </c>
      <c r="B3" s="4">
        <v>14</v>
      </c>
      <c r="C3" s="4">
        <v>40</v>
      </c>
      <c r="D3" s="9">
        <v>26.78</v>
      </c>
      <c r="E3" s="4">
        <v>0</v>
      </c>
      <c r="F3" s="4">
        <v>1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2" t="s">
        <v>79</v>
      </c>
      <c r="N3" s="37" t="s">
        <v>63</v>
      </c>
      <c r="O3" s="37"/>
      <c r="P3" s="37"/>
    </row>
    <row r="4" spans="1:16" x14ac:dyDescent="0.2">
      <c r="A4" s="4">
        <v>2.91</v>
      </c>
      <c r="B4" s="4">
        <v>12</v>
      </c>
      <c r="C4" s="4">
        <v>20</v>
      </c>
      <c r="D4" s="9">
        <v>26.78</v>
      </c>
      <c r="E4" s="4">
        <v>1</v>
      </c>
      <c r="F4" s="4">
        <v>1</v>
      </c>
      <c r="G4" s="4">
        <v>2</v>
      </c>
      <c r="H4" s="4">
        <v>0</v>
      </c>
      <c r="I4" s="4">
        <v>0</v>
      </c>
      <c r="J4" s="4">
        <v>0</v>
      </c>
      <c r="K4" s="4">
        <v>0</v>
      </c>
      <c r="L4" s="2" t="s">
        <v>79</v>
      </c>
      <c r="N4" s="17" t="s">
        <v>64</v>
      </c>
      <c r="O4" s="3"/>
      <c r="P4" s="3"/>
    </row>
    <row r="5" spans="1:16" x14ac:dyDescent="0.2">
      <c r="A5" s="4">
        <v>6.5</v>
      </c>
      <c r="B5" s="4">
        <v>14</v>
      </c>
      <c r="C5" s="4">
        <v>41</v>
      </c>
      <c r="D5" s="9">
        <v>26.78</v>
      </c>
      <c r="E5" s="4">
        <v>0</v>
      </c>
      <c r="F5" s="4">
        <v>1</v>
      </c>
      <c r="G5" s="4">
        <v>0</v>
      </c>
      <c r="H5" s="4">
        <v>1</v>
      </c>
      <c r="I5" s="4">
        <v>0</v>
      </c>
      <c r="J5" s="4">
        <v>0</v>
      </c>
      <c r="K5" s="4">
        <v>0</v>
      </c>
      <c r="L5" s="2" t="s">
        <v>79</v>
      </c>
      <c r="N5" s="3"/>
      <c r="O5" s="3" t="s">
        <v>65</v>
      </c>
      <c r="P5" s="3"/>
    </row>
    <row r="6" spans="1:16" x14ac:dyDescent="0.2">
      <c r="A6" s="4">
        <v>6.25</v>
      </c>
      <c r="B6" s="4">
        <v>11</v>
      </c>
      <c r="C6" s="4">
        <v>35</v>
      </c>
      <c r="D6" s="9">
        <v>26.78</v>
      </c>
      <c r="E6" s="4">
        <v>0</v>
      </c>
      <c r="F6" s="4">
        <v>1</v>
      </c>
      <c r="G6" s="4">
        <v>0</v>
      </c>
      <c r="H6" s="4">
        <v>0</v>
      </c>
      <c r="I6" s="4">
        <v>1</v>
      </c>
      <c r="J6" s="4">
        <v>0</v>
      </c>
      <c r="K6" s="4">
        <v>0</v>
      </c>
      <c r="L6" s="2" t="s">
        <v>79</v>
      </c>
      <c r="N6" s="3"/>
      <c r="O6" s="3" t="s">
        <v>66</v>
      </c>
      <c r="P6" s="3"/>
    </row>
    <row r="7" spans="1:16" x14ac:dyDescent="0.2">
      <c r="A7" s="4">
        <v>15</v>
      </c>
      <c r="B7" s="4">
        <v>11</v>
      </c>
      <c r="C7" s="4">
        <v>35</v>
      </c>
      <c r="D7" s="9">
        <v>26.78</v>
      </c>
      <c r="E7" s="10">
        <v>2</v>
      </c>
      <c r="F7" s="4">
        <v>1</v>
      </c>
      <c r="G7" s="4">
        <v>0</v>
      </c>
      <c r="H7" s="4">
        <v>0</v>
      </c>
      <c r="I7" s="4">
        <v>1</v>
      </c>
      <c r="J7" s="4">
        <v>0</v>
      </c>
      <c r="K7" s="4">
        <v>0</v>
      </c>
      <c r="L7" s="2" t="s">
        <v>79</v>
      </c>
      <c r="N7" s="17" t="s">
        <v>67</v>
      </c>
      <c r="O7" s="18"/>
      <c r="P7" s="17"/>
    </row>
    <row r="8" spans="1:16" x14ac:dyDescent="0.2">
      <c r="A8" s="4">
        <v>6</v>
      </c>
      <c r="B8" s="4">
        <v>8</v>
      </c>
      <c r="C8" s="9">
        <v>43.93</v>
      </c>
      <c r="D8" s="9">
        <v>26.78</v>
      </c>
      <c r="E8" s="4">
        <v>0</v>
      </c>
      <c r="F8" s="4">
        <v>1</v>
      </c>
      <c r="G8" s="4">
        <v>0</v>
      </c>
      <c r="H8" s="4">
        <v>0</v>
      </c>
      <c r="I8" s="4">
        <v>0</v>
      </c>
      <c r="J8" s="4">
        <v>1</v>
      </c>
      <c r="K8" s="4">
        <v>0</v>
      </c>
      <c r="L8" s="2" t="s">
        <v>79</v>
      </c>
      <c r="N8" s="17"/>
      <c r="O8" s="17" t="s">
        <v>68</v>
      </c>
      <c r="P8" s="17"/>
    </row>
    <row r="9" spans="1:16" x14ac:dyDescent="0.2">
      <c r="A9" s="4">
        <v>18.16</v>
      </c>
      <c r="B9" s="4">
        <v>16</v>
      </c>
      <c r="C9" s="4">
        <v>35</v>
      </c>
      <c r="D9" s="9">
        <v>26.78</v>
      </c>
      <c r="E9" s="4">
        <v>0</v>
      </c>
      <c r="F9" s="4">
        <v>1</v>
      </c>
      <c r="G9" s="4">
        <v>1</v>
      </c>
      <c r="H9" s="4">
        <v>1</v>
      </c>
      <c r="I9" s="4">
        <v>0</v>
      </c>
      <c r="J9" s="4">
        <v>0</v>
      </c>
      <c r="K9" s="4">
        <v>0</v>
      </c>
      <c r="L9" s="2" t="s">
        <v>79</v>
      </c>
      <c r="N9" s="17"/>
      <c r="O9" s="17" t="s">
        <v>69</v>
      </c>
      <c r="P9" s="17"/>
    </row>
    <row r="10" spans="1:16" x14ac:dyDescent="0.2">
      <c r="A10" s="4">
        <v>8.5</v>
      </c>
      <c r="B10" s="4">
        <v>8</v>
      </c>
      <c r="C10" s="4">
        <v>38</v>
      </c>
      <c r="D10" s="4">
        <v>26</v>
      </c>
      <c r="E10" s="4">
        <v>0</v>
      </c>
      <c r="F10" s="4">
        <v>0</v>
      </c>
      <c r="G10" s="4">
        <v>0</v>
      </c>
      <c r="H10" s="4">
        <v>1</v>
      </c>
      <c r="I10" s="4">
        <v>0</v>
      </c>
      <c r="J10" s="4">
        <v>0</v>
      </c>
      <c r="K10" s="4">
        <v>0</v>
      </c>
      <c r="L10" s="2" t="s">
        <v>79</v>
      </c>
      <c r="N10" s="18" t="s">
        <v>70</v>
      </c>
      <c r="O10" s="3"/>
      <c r="P10" s="3"/>
    </row>
    <row r="11" spans="1:16" x14ac:dyDescent="0.2">
      <c r="A11" s="4">
        <v>3.6</v>
      </c>
      <c r="B11" s="4">
        <v>10</v>
      </c>
      <c r="C11" s="4">
        <v>34</v>
      </c>
      <c r="D11" s="4">
        <v>26</v>
      </c>
      <c r="E11" s="4">
        <v>1</v>
      </c>
      <c r="F11" s="4">
        <v>1</v>
      </c>
      <c r="G11" s="4">
        <v>0</v>
      </c>
      <c r="H11" s="4">
        <v>0</v>
      </c>
      <c r="I11" s="4">
        <v>1</v>
      </c>
      <c r="J11" s="4">
        <v>0</v>
      </c>
      <c r="K11" s="4">
        <v>0</v>
      </c>
      <c r="L11" s="2" t="s">
        <v>79</v>
      </c>
      <c r="N11" s="3" t="s">
        <v>71</v>
      </c>
      <c r="O11" s="3"/>
      <c r="P11" s="3"/>
    </row>
    <row r="12" spans="1:16" x14ac:dyDescent="0.2">
      <c r="A12" s="4">
        <v>8.33</v>
      </c>
      <c r="B12" s="4">
        <v>15</v>
      </c>
      <c r="C12" s="4">
        <v>33</v>
      </c>
      <c r="D12" s="4">
        <v>26</v>
      </c>
      <c r="E12" s="4">
        <v>0</v>
      </c>
      <c r="F12" s="4">
        <v>1</v>
      </c>
      <c r="G12" s="4">
        <v>1</v>
      </c>
      <c r="H12" s="4">
        <v>0</v>
      </c>
      <c r="I12" s="4">
        <v>0</v>
      </c>
      <c r="J12" s="4">
        <v>0</v>
      </c>
      <c r="K12" s="4">
        <v>0</v>
      </c>
      <c r="L12" s="2" t="s">
        <v>79</v>
      </c>
      <c r="N12" s="3" t="s">
        <v>72</v>
      </c>
      <c r="O12" s="3"/>
      <c r="P12" s="3"/>
    </row>
    <row r="13" spans="1:16" x14ac:dyDescent="0.2">
      <c r="A13" s="4">
        <v>4.29</v>
      </c>
      <c r="B13" s="4">
        <v>12</v>
      </c>
      <c r="C13" s="9">
        <v>43.93</v>
      </c>
      <c r="D13" s="4">
        <v>25</v>
      </c>
      <c r="E13" s="4">
        <v>1</v>
      </c>
      <c r="F13" s="4">
        <v>1</v>
      </c>
      <c r="G13" s="4">
        <v>2</v>
      </c>
      <c r="H13" s="4">
        <v>0</v>
      </c>
      <c r="I13" s="4">
        <v>1</v>
      </c>
      <c r="J13" s="4">
        <v>0</v>
      </c>
      <c r="K13" s="4">
        <v>0</v>
      </c>
      <c r="L13" s="2" t="s">
        <v>79</v>
      </c>
      <c r="N13" s="3" t="s">
        <v>73</v>
      </c>
      <c r="O13" s="3"/>
      <c r="P13" s="3"/>
    </row>
    <row r="14" spans="1:16" x14ac:dyDescent="0.2">
      <c r="A14" s="4">
        <v>4.05</v>
      </c>
      <c r="B14" s="4">
        <v>8</v>
      </c>
      <c r="C14" s="9">
        <v>43.93</v>
      </c>
      <c r="D14" s="4">
        <v>25</v>
      </c>
      <c r="E14" s="4">
        <v>0</v>
      </c>
      <c r="F14" s="4">
        <v>1</v>
      </c>
      <c r="G14" s="4">
        <v>0</v>
      </c>
      <c r="H14" s="4">
        <v>1</v>
      </c>
      <c r="I14" s="4">
        <v>0</v>
      </c>
      <c r="J14" s="4">
        <v>0</v>
      </c>
      <c r="K14" s="4">
        <v>0</v>
      </c>
      <c r="L14" s="2" t="s">
        <v>79</v>
      </c>
      <c r="N14" s="3" t="s">
        <v>74</v>
      </c>
      <c r="O14" s="3"/>
      <c r="P14" s="3"/>
    </row>
    <row r="15" spans="1:16" x14ac:dyDescent="0.2">
      <c r="A15" s="4">
        <v>18</v>
      </c>
      <c r="B15" s="4">
        <v>18</v>
      </c>
      <c r="C15" s="4">
        <v>29</v>
      </c>
      <c r="D15" s="4">
        <v>25</v>
      </c>
      <c r="E15" s="4">
        <v>0</v>
      </c>
      <c r="F15" s="4">
        <v>1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2" t="s">
        <v>79</v>
      </c>
    </row>
    <row r="16" spans="1:16" x14ac:dyDescent="0.2">
      <c r="A16" s="4">
        <v>11.25</v>
      </c>
      <c r="B16" s="4">
        <v>17</v>
      </c>
      <c r="C16" s="4">
        <v>28</v>
      </c>
      <c r="D16" s="4">
        <v>25</v>
      </c>
      <c r="E16" s="4">
        <v>0</v>
      </c>
      <c r="F16" s="4">
        <v>1</v>
      </c>
      <c r="G16" s="4">
        <v>1</v>
      </c>
      <c r="H16" s="4">
        <v>0</v>
      </c>
      <c r="I16" s="4">
        <v>1</v>
      </c>
      <c r="J16" s="4">
        <v>0</v>
      </c>
      <c r="K16" s="4">
        <v>0</v>
      </c>
      <c r="L16" s="2" t="s">
        <v>79</v>
      </c>
    </row>
    <row r="17" spans="1:24" x14ac:dyDescent="0.2">
      <c r="A17" s="4">
        <v>3.05</v>
      </c>
      <c r="B17" s="4">
        <v>8</v>
      </c>
      <c r="C17" s="9">
        <v>43.93</v>
      </c>
      <c r="D17" s="4">
        <v>24</v>
      </c>
      <c r="E17" s="4">
        <v>1</v>
      </c>
      <c r="F17" s="4">
        <v>0</v>
      </c>
      <c r="G17" s="4">
        <v>0</v>
      </c>
      <c r="H17" s="4">
        <v>0</v>
      </c>
      <c r="I17" s="4">
        <v>1</v>
      </c>
      <c r="J17" s="4">
        <v>0</v>
      </c>
      <c r="K17" s="4">
        <v>0</v>
      </c>
      <c r="L17" s="2" t="s">
        <v>79</v>
      </c>
    </row>
    <row r="18" spans="1:24" x14ac:dyDescent="0.2">
      <c r="A18" s="4">
        <v>9.85</v>
      </c>
      <c r="B18" s="4">
        <v>8</v>
      </c>
      <c r="C18" s="4">
        <v>40</v>
      </c>
      <c r="D18" s="4">
        <v>24</v>
      </c>
      <c r="E18" s="4">
        <v>0</v>
      </c>
      <c r="F18" s="4">
        <v>1</v>
      </c>
      <c r="G18" s="4">
        <v>2</v>
      </c>
      <c r="H18" s="4">
        <v>0</v>
      </c>
      <c r="I18" s="4">
        <v>0</v>
      </c>
      <c r="J18" s="4">
        <v>0</v>
      </c>
      <c r="K18" s="4">
        <v>0</v>
      </c>
      <c r="L18" s="2" t="s">
        <v>79</v>
      </c>
    </row>
    <row r="19" spans="1:24" x14ac:dyDescent="0.2">
      <c r="A19" s="4">
        <v>7.36</v>
      </c>
      <c r="B19" s="4">
        <v>8</v>
      </c>
      <c r="C19" s="4">
        <v>36</v>
      </c>
      <c r="D19" s="4">
        <v>24</v>
      </c>
      <c r="E19" s="4">
        <v>0</v>
      </c>
      <c r="F19" s="4">
        <v>1</v>
      </c>
      <c r="G19" s="4">
        <v>3</v>
      </c>
      <c r="H19" s="4">
        <v>1</v>
      </c>
      <c r="I19" s="4">
        <v>0</v>
      </c>
      <c r="J19" s="4">
        <v>0</v>
      </c>
      <c r="K19" s="4">
        <v>0</v>
      </c>
      <c r="L19" s="2" t="s">
        <v>79</v>
      </c>
      <c r="N19" s="20"/>
      <c r="O19" s="20" t="s">
        <v>0</v>
      </c>
      <c r="P19" s="20" t="s">
        <v>1</v>
      </c>
      <c r="Q19" s="20" t="s">
        <v>49</v>
      </c>
      <c r="R19" s="20" t="s">
        <v>50</v>
      </c>
      <c r="S19" s="20" t="s">
        <v>51</v>
      </c>
      <c r="T19" s="20" t="s">
        <v>52</v>
      </c>
      <c r="U19" s="20" t="s">
        <v>53</v>
      </c>
      <c r="V19" s="20" t="s">
        <v>34</v>
      </c>
      <c r="W19" s="20" t="s">
        <v>35</v>
      </c>
      <c r="X19" s="20" t="s">
        <v>40</v>
      </c>
    </row>
    <row r="20" spans="1:24" x14ac:dyDescent="0.2">
      <c r="A20" s="4">
        <v>7.5</v>
      </c>
      <c r="B20" s="4">
        <v>14</v>
      </c>
      <c r="C20" s="4">
        <v>29</v>
      </c>
      <c r="D20" s="4">
        <v>24</v>
      </c>
      <c r="E20" s="4">
        <v>0</v>
      </c>
      <c r="F20" s="4">
        <v>1</v>
      </c>
      <c r="G20" s="4">
        <v>1</v>
      </c>
      <c r="H20" s="4">
        <v>1</v>
      </c>
      <c r="I20" s="4">
        <v>0</v>
      </c>
      <c r="J20" s="4">
        <v>0</v>
      </c>
      <c r="K20" s="4">
        <v>0</v>
      </c>
      <c r="L20" s="2" t="s">
        <v>79</v>
      </c>
      <c r="N20" s="21" t="s">
        <v>0</v>
      </c>
      <c r="O20" s="21">
        <v>1</v>
      </c>
      <c r="P20" s="21"/>
      <c r="Q20" s="21"/>
      <c r="R20" s="21"/>
      <c r="S20" s="21"/>
      <c r="T20" s="21"/>
      <c r="U20" s="21"/>
      <c r="V20" s="21"/>
      <c r="W20" s="21"/>
      <c r="X20" s="21"/>
    </row>
    <row r="21" spans="1:24" x14ac:dyDescent="0.2">
      <c r="A21" s="4">
        <v>2.95</v>
      </c>
      <c r="B21" s="4">
        <v>14</v>
      </c>
      <c r="C21" s="4">
        <v>41</v>
      </c>
      <c r="D21" s="4">
        <v>23</v>
      </c>
      <c r="E21" s="4">
        <v>0</v>
      </c>
      <c r="F21" s="4">
        <v>1</v>
      </c>
      <c r="G21" s="4">
        <v>0</v>
      </c>
      <c r="H21" s="4">
        <v>1</v>
      </c>
      <c r="I21" s="4">
        <v>0</v>
      </c>
      <c r="J21" s="4">
        <v>0</v>
      </c>
      <c r="K21" s="4">
        <v>0</v>
      </c>
      <c r="L21" s="2" t="s">
        <v>79</v>
      </c>
      <c r="N21" s="21" t="s">
        <v>1</v>
      </c>
      <c r="O21" s="21">
        <v>-0.27353162081397575</v>
      </c>
      <c r="P21" s="21">
        <v>1</v>
      </c>
      <c r="Q21" s="21"/>
      <c r="R21" s="21"/>
      <c r="S21" s="21"/>
      <c r="T21" s="21"/>
      <c r="U21" s="21"/>
      <c r="V21" s="21"/>
      <c r="W21" s="21"/>
      <c r="X21" s="21"/>
    </row>
    <row r="22" spans="1:24" x14ac:dyDescent="0.2">
      <c r="A22" s="4">
        <v>19.98</v>
      </c>
      <c r="B22" s="4">
        <v>14</v>
      </c>
      <c r="C22" s="4">
        <v>26</v>
      </c>
      <c r="D22" s="4">
        <v>23</v>
      </c>
      <c r="E22" s="4">
        <v>0</v>
      </c>
      <c r="F22" s="4">
        <v>1</v>
      </c>
      <c r="G22" s="4">
        <v>2</v>
      </c>
      <c r="H22" s="4">
        <v>0</v>
      </c>
      <c r="I22" s="4">
        <v>0</v>
      </c>
      <c r="J22" s="4">
        <v>0</v>
      </c>
      <c r="K22" s="4">
        <v>0</v>
      </c>
      <c r="L22" s="2" t="s">
        <v>79</v>
      </c>
      <c r="N22" s="21" t="s">
        <v>49</v>
      </c>
      <c r="O22" s="21">
        <v>-1.8371928832527605E-2</v>
      </c>
      <c r="P22" s="21">
        <v>0.50631749352515509</v>
      </c>
      <c r="Q22" s="21">
        <v>1</v>
      </c>
      <c r="R22" s="21"/>
      <c r="S22" s="21"/>
      <c r="T22" s="21"/>
      <c r="U22" s="21"/>
      <c r="V22" s="21"/>
      <c r="W22" s="21"/>
      <c r="X22" s="21"/>
    </row>
    <row r="23" spans="1:24" x14ac:dyDescent="0.2">
      <c r="A23" s="4">
        <v>13.16</v>
      </c>
      <c r="B23" s="4">
        <v>12</v>
      </c>
      <c r="C23" s="4">
        <v>34</v>
      </c>
      <c r="D23" s="4">
        <v>22</v>
      </c>
      <c r="E23" s="4">
        <v>0</v>
      </c>
      <c r="F23" s="4">
        <v>1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2" t="s">
        <v>79</v>
      </c>
      <c r="N23" s="21" t="s">
        <v>50</v>
      </c>
      <c r="O23" s="21">
        <v>-0.13440629664519968</v>
      </c>
      <c r="P23" s="21">
        <v>-1.3215198452677362E-2</v>
      </c>
      <c r="Q23" s="21">
        <v>-0.12892013120386889</v>
      </c>
      <c r="R23" s="21">
        <v>1</v>
      </c>
      <c r="S23" s="21"/>
      <c r="T23" s="21"/>
      <c r="U23" s="21"/>
      <c r="V23" s="21"/>
      <c r="W23" s="21"/>
      <c r="X23" s="21"/>
    </row>
    <row r="24" spans="1:24" x14ac:dyDescent="0.2">
      <c r="A24" s="4">
        <v>17.5</v>
      </c>
      <c r="B24" s="4">
        <v>16</v>
      </c>
      <c r="C24" s="4">
        <v>23</v>
      </c>
      <c r="D24" s="4">
        <v>22</v>
      </c>
      <c r="E24" s="4">
        <v>0</v>
      </c>
      <c r="F24" s="4">
        <v>1</v>
      </c>
      <c r="G24" s="4">
        <v>3</v>
      </c>
      <c r="H24" s="4">
        <v>0</v>
      </c>
      <c r="I24" s="4">
        <v>0</v>
      </c>
      <c r="J24" s="4">
        <v>1</v>
      </c>
      <c r="K24" s="4">
        <v>0</v>
      </c>
      <c r="L24" s="2" t="s">
        <v>79</v>
      </c>
      <c r="N24" s="21" t="s">
        <v>51</v>
      </c>
      <c r="O24" s="21">
        <v>4.6836723210251924E-2</v>
      </c>
      <c r="P24" s="21">
        <v>0.34350114119210173</v>
      </c>
      <c r="Q24" s="21">
        <v>0.27854972875118034</v>
      </c>
      <c r="R24" s="21">
        <v>-0.15933363758026522</v>
      </c>
      <c r="S24" s="21">
        <v>1</v>
      </c>
      <c r="T24" s="21"/>
      <c r="U24" s="21"/>
      <c r="V24" s="21"/>
      <c r="W24" s="21"/>
      <c r="X24" s="21"/>
    </row>
    <row r="25" spans="1:24" x14ac:dyDescent="0.2">
      <c r="A25" s="4">
        <v>5.15</v>
      </c>
      <c r="B25" s="4">
        <v>16</v>
      </c>
      <c r="C25" s="4">
        <v>39</v>
      </c>
      <c r="D25" s="4">
        <v>21</v>
      </c>
      <c r="E25" s="4">
        <v>1</v>
      </c>
      <c r="F25" s="4">
        <v>0</v>
      </c>
      <c r="G25" s="4">
        <v>0</v>
      </c>
      <c r="H25" s="4">
        <v>0</v>
      </c>
      <c r="I25" s="4">
        <v>0</v>
      </c>
      <c r="J25" s="4">
        <v>1</v>
      </c>
      <c r="K25" s="4">
        <v>0</v>
      </c>
      <c r="L25" s="2" t="s">
        <v>79</v>
      </c>
      <c r="N25" s="21" t="s">
        <v>52</v>
      </c>
      <c r="O25" s="21">
        <v>-0.25399431359497937</v>
      </c>
      <c r="P25" s="21">
        <v>-2.945233757696428E-2</v>
      </c>
      <c r="Q25" s="21">
        <v>5.7248196874722657E-3</v>
      </c>
      <c r="R25" s="21">
        <v>-1.1225276845062609E-2</v>
      </c>
      <c r="S25" s="21">
        <v>0.18969899360071682</v>
      </c>
      <c r="T25" s="21">
        <v>1</v>
      </c>
      <c r="U25" s="21"/>
      <c r="V25" s="21"/>
      <c r="W25" s="21"/>
      <c r="X25" s="21"/>
    </row>
    <row r="26" spans="1:24" x14ac:dyDescent="0.2">
      <c r="A26" s="4">
        <v>6.88</v>
      </c>
      <c r="B26" s="4">
        <v>13</v>
      </c>
      <c r="C26" s="4">
        <v>34</v>
      </c>
      <c r="D26" s="4">
        <v>21</v>
      </c>
      <c r="E26" s="4">
        <v>0</v>
      </c>
      <c r="F26" s="4">
        <v>1</v>
      </c>
      <c r="G26" s="4">
        <v>0</v>
      </c>
      <c r="H26" s="4">
        <v>0</v>
      </c>
      <c r="I26" s="4">
        <v>1</v>
      </c>
      <c r="J26" s="4">
        <v>0</v>
      </c>
      <c r="K26" s="4">
        <v>0</v>
      </c>
      <c r="L26" s="2" t="s">
        <v>79</v>
      </c>
      <c r="N26" s="21" t="s">
        <v>53</v>
      </c>
      <c r="O26" s="21">
        <v>2.9647209337712765E-2</v>
      </c>
      <c r="P26" s="21">
        <v>1.0782347475846601E-2</v>
      </c>
      <c r="Q26" s="21">
        <v>-5.6782344174769548E-3</v>
      </c>
      <c r="R26" s="21">
        <v>-8.8245003048935799E-3</v>
      </c>
      <c r="S26" s="21">
        <v>8.2063613996357018E-3</v>
      </c>
      <c r="T26" s="21">
        <v>-8.1203296419194895E-2</v>
      </c>
      <c r="U26" s="21">
        <v>1</v>
      </c>
      <c r="V26" s="21"/>
      <c r="W26" s="21"/>
      <c r="X26" s="21"/>
    </row>
    <row r="27" spans="1:24" x14ac:dyDescent="0.2">
      <c r="A27" s="4">
        <v>18.18</v>
      </c>
      <c r="B27" s="4">
        <v>17</v>
      </c>
      <c r="C27" s="4">
        <v>22</v>
      </c>
      <c r="D27" s="4">
        <v>21</v>
      </c>
      <c r="E27" s="10">
        <v>2</v>
      </c>
      <c r="F27" s="4">
        <v>1</v>
      </c>
      <c r="G27" s="4">
        <v>0</v>
      </c>
      <c r="H27" s="4">
        <v>0</v>
      </c>
      <c r="I27" s="4">
        <v>0</v>
      </c>
      <c r="J27" s="4">
        <v>1</v>
      </c>
      <c r="K27" s="4">
        <v>0</v>
      </c>
      <c r="L27" s="2" t="s">
        <v>79</v>
      </c>
      <c r="N27" s="21" t="s">
        <v>34</v>
      </c>
      <c r="O27" s="21">
        <v>-6.8849990345266038E-2</v>
      </c>
      <c r="P27" s="21">
        <v>1.466025935781071E-2</v>
      </c>
      <c r="Q27" s="21">
        <v>-6.1711955193703719E-2</v>
      </c>
      <c r="R27" s="21">
        <v>-4.8158904901965303E-2</v>
      </c>
      <c r="S27" s="21">
        <v>7.4411767343100135E-2</v>
      </c>
      <c r="T27" s="21">
        <v>0.12267785006713695</v>
      </c>
      <c r="U27" s="21">
        <v>-0.42627167736865579</v>
      </c>
      <c r="V27" s="21">
        <v>1</v>
      </c>
      <c r="W27" s="21"/>
      <c r="X27" s="21"/>
    </row>
    <row r="28" spans="1:24" x14ac:dyDescent="0.2">
      <c r="A28" s="4">
        <v>11.71</v>
      </c>
      <c r="B28" s="4">
        <v>13</v>
      </c>
      <c r="C28" s="4">
        <v>40</v>
      </c>
      <c r="D28" s="4">
        <v>20</v>
      </c>
      <c r="E28" s="4">
        <v>1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2" t="s">
        <v>79</v>
      </c>
      <c r="N28" s="21" t="s">
        <v>35</v>
      </c>
      <c r="O28" s="21">
        <v>4.4461884333921613E-2</v>
      </c>
      <c r="P28" s="21">
        <v>-5.6117737200640245E-3</v>
      </c>
      <c r="Q28" s="21">
        <v>4.1489531310306124E-2</v>
      </c>
      <c r="R28" s="21">
        <v>8.740252215028968E-2</v>
      </c>
      <c r="S28" s="21">
        <v>-5.2789273086500691E-3</v>
      </c>
      <c r="T28" s="21">
        <v>1.5459909297268124E-2</v>
      </c>
      <c r="U28" s="21">
        <v>-0.26336734316558436</v>
      </c>
      <c r="V28" s="21">
        <v>-0.32568266798662521</v>
      </c>
      <c r="W28" s="21">
        <v>1</v>
      </c>
      <c r="X28" s="21"/>
    </row>
    <row r="29" spans="1:24" x14ac:dyDescent="0.2">
      <c r="A29" s="4">
        <v>3.5</v>
      </c>
      <c r="B29" s="4">
        <v>12</v>
      </c>
      <c r="C29" s="4">
        <v>26</v>
      </c>
      <c r="D29" s="4">
        <v>20</v>
      </c>
      <c r="E29" s="4">
        <v>1</v>
      </c>
      <c r="F29" s="4">
        <v>1</v>
      </c>
      <c r="G29" s="4">
        <v>0</v>
      </c>
      <c r="H29" s="4">
        <v>0</v>
      </c>
      <c r="I29" s="4">
        <v>1</v>
      </c>
      <c r="J29" s="4">
        <v>0</v>
      </c>
      <c r="K29" s="4">
        <v>0</v>
      </c>
      <c r="L29" s="2" t="s">
        <v>79</v>
      </c>
      <c r="N29" s="21" t="s">
        <v>40</v>
      </c>
      <c r="O29" s="21">
        <v>-5.280542990415258E-2</v>
      </c>
      <c r="P29" s="21">
        <v>-7.251203673566449E-2</v>
      </c>
      <c r="Q29" s="21">
        <v>-4.062414303243566E-2</v>
      </c>
      <c r="R29" s="21">
        <v>-7.5211368925836353E-2</v>
      </c>
      <c r="S29" s="21">
        <v>-1.1066868404458228E-2</v>
      </c>
      <c r="T29" s="21">
        <v>6.9533552084182201E-2</v>
      </c>
      <c r="U29" s="21">
        <v>-2.5673465890806033E-2</v>
      </c>
      <c r="V29" s="21">
        <v>2.2940372655345875E-2</v>
      </c>
      <c r="W29" s="21">
        <v>-1.8208628917763453E-2</v>
      </c>
      <c r="X29" s="21">
        <v>1</v>
      </c>
    </row>
    <row r="30" spans="1:24" x14ac:dyDescent="0.2">
      <c r="A30" s="4">
        <v>10.95</v>
      </c>
      <c r="B30" s="4">
        <v>16</v>
      </c>
      <c r="C30" s="4">
        <v>23</v>
      </c>
      <c r="D30" s="4">
        <v>20</v>
      </c>
      <c r="E30" s="4">
        <v>0</v>
      </c>
      <c r="F30" s="4">
        <v>1</v>
      </c>
      <c r="G30" s="4">
        <v>4</v>
      </c>
      <c r="H30" s="4">
        <v>0</v>
      </c>
      <c r="I30" s="4">
        <v>1</v>
      </c>
      <c r="J30" s="4">
        <v>0</v>
      </c>
      <c r="K30" s="4">
        <v>0</v>
      </c>
      <c r="L30" s="2" t="s">
        <v>79</v>
      </c>
    </row>
    <row r="31" spans="1:24" x14ac:dyDescent="0.2">
      <c r="A31" s="4">
        <v>6.88</v>
      </c>
      <c r="B31" s="4">
        <v>12</v>
      </c>
      <c r="C31" s="4">
        <v>31</v>
      </c>
      <c r="D31" s="4">
        <v>19</v>
      </c>
      <c r="E31" s="4">
        <v>0</v>
      </c>
      <c r="F31" s="4">
        <v>1</v>
      </c>
      <c r="G31" s="4">
        <v>3</v>
      </c>
      <c r="H31" s="4">
        <v>1</v>
      </c>
      <c r="I31" s="4">
        <v>0</v>
      </c>
      <c r="J31" s="4">
        <v>0</v>
      </c>
      <c r="K31" s="4">
        <v>0</v>
      </c>
      <c r="L31" s="2" t="s">
        <v>79</v>
      </c>
    </row>
    <row r="32" spans="1:24" x14ac:dyDescent="0.2">
      <c r="A32" s="4">
        <v>4.67</v>
      </c>
      <c r="B32" s="4">
        <v>15</v>
      </c>
      <c r="C32" s="4">
        <v>13</v>
      </c>
      <c r="D32" s="4">
        <v>18</v>
      </c>
      <c r="E32" s="4">
        <v>0</v>
      </c>
      <c r="F32" s="4">
        <v>1</v>
      </c>
      <c r="G32" s="4">
        <v>3</v>
      </c>
      <c r="H32" s="4">
        <v>0</v>
      </c>
      <c r="I32" s="4">
        <v>0</v>
      </c>
      <c r="J32" s="4">
        <v>1</v>
      </c>
      <c r="K32" s="4">
        <v>1</v>
      </c>
      <c r="L32" s="2" t="s">
        <v>79</v>
      </c>
    </row>
    <row r="33" spans="1:12" x14ac:dyDescent="0.2">
      <c r="A33" s="4">
        <v>4.08</v>
      </c>
      <c r="B33" s="4">
        <v>12</v>
      </c>
      <c r="C33" s="4">
        <v>43</v>
      </c>
      <c r="D33" s="4">
        <v>17</v>
      </c>
      <c r="E33" s="10">
        <v>2</v>
      </c>
      <c r="F33" s="4">
        <v>1</v>
      </c>
      <c r="G33" s="4">
        <v>0</v>
      </c>
      <c r="H33" s="4">
        <v>1</v>
      </c>
      <c r="I33" s="4">
        <v>0</v>
      </c>
      <c r="J33" s="4">
        <v>0</v>
      </c>
      <c r="K33" s="4">
        <v>0</v>
      </c>
      <c r="L33" s="2" t="s">
        <v>79</v>
      </c>
    </row>
    <row r="34" spans="1:12" x14ac:dyDescent="0.2">
      <c r="A34" s="4">
        <v>6.26</v>
      </c>
      <c r="B34" s="4">
        <v>13</v>
      </c>
      <c r="C34" s="4">
        <v>37</v>
      </c>
      <c r="D34" s="4">
        <v>17</v>
      </c>
      <c r="E34" s="4">
        <v>1</v>
      </c>
      <c r="F34" s="4">
        <v>1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2" t="s">
        <v>79</v>
      </c>
    </row>
    <row r="35" spans="1:12" x14ac:dyDescent="0.2">
      <c r="A35" s="4">
        <v>4.95</v>
      </c>
      <c r="B35" s="4">
        <v>7</v>
      </c>
      <c r="C35" s="4">
        <v>25</v>
      </c>
      <c r="D35" s="4">
        <v>17</v>
      </c>
      <c r="E35" s="4">
        <v>0</v>
      </c>
      <c r="F35" s="4">
        <v>1</v>
      </c>
      <c r="G35" s="4">
        <v>5</v>
      </c>
      <c r="H35" s="4">
        <v>0</v>
      </c>
      <c r="I35" s="4">
        <v>0</v>
      </c>
      <c r="J35" s="4">
        <v>0</v>
      </c>
      <c r="K35" s="4">
        <v>1</v>
      </c>
      <c r="L35" s="2" t="s">
        <v>79</v>
      </c>
    </row>
    <row r="36" spans="1:12" x14ac:dyDescent="0.2">
      <c r="A36" s="4">
        <v>13.95</v>
      </c>
      <c r="B36" s="4">
        <v>16</v>
      </c>
      <c r="C36" s="4">
        <v>41</v>
      </c>
      <c r="D36" s="4">
        <v>16</v>
      </c>
      <c r="E36" s="4">
        <v>0</v>
      </c>
      <c r="F36" s="4">
        <v>1</v>
      </c>
      <c r="G36" s="4">
        <v>0</v>
      </c>
      <c r="H36" s="4">
        <v>1</v>
      </c>
      <c r="I36" s="4">
        <v>0</v>
      </c>
      <c r="J36" s="4">
        <v>0</v>
      </c>
      <c r="K36" s="4">
        <v>0</v>
      </c>
      <c r="L36" s="2" t="s">
        <v>79</v>
      </c>
    </row>
    <row r="37" spans="1:12" x14ac:dyDescent="0.2">
      <c r="A37" s="4">
        <v>4.2</v>
      </c>
      <c r="B37" s="4">
        <v>14</v>
      </c>
      <c r="C37" s="4">
        <v>33</v>
      </c>
      <c r="D37" s="4">
        <v>16</v>
      </c>
      <c r="E37" s="4">
        <v>1</v>
      </c>
      <c r="F37" s="4">
        <v>1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2" t="s">
        <v>79</v>
      </c>
    </row>
    <row r="38" spans="1:12" x14ac:dyDescent="0.2">
      <c r="A38" s="4">
        <v>18</v>
      </c>
      <c r="B38" s="4">
        <v>12</v>
      </c>
      <c r="C38" s="4">
        <v>24</v>
      </c>
      <c r="D38" s="4">
        <v>16</v>
      </c>
      <c r="E38" s="4">
        <v>0</v>
      </c>
      <c r="F38" s="4">
        <v>1</v>
      </c>
      <c r="G38" s="4">
        <v>3</v>
      </c>
      <c r="H38" s="4">
        <v>1</v>
      </c>
      <c r="I38" s="4">
        <v>0</v>
      </c>
      <c r="J38" s="4">
        <v>0</v>
      </c>
      <c r="K38" s="4">
        <v>0</v>
      </c>
      <c r="L38" s="2" t="s">
        <v>79</v>
      </c>
    </row>
    <row r="39" spans="1:12" x14ac:dyDescent="0.2">
      <c r="A39" s="4">
        <v>3.51</v>
      </c>
      <c r="B39" s="4">
        <v>4</v>
      </c>
      <c r="C39" s="4">
        <v>39</v>
      </c>
      <c r="D39" s="4">
        <v>15</v>
      </c>
      <c r="E39" s="4">
        <v>0</v>
      </c>
      <c r="F39" s="4">
        <v>1</v>
      </c>
      <c r="G39" s="4">
        <v>5</v>
      </c>
      <c r="H39" s="4">
        <v>0</v>
      </c>
      <c r="I39" s="4">
        <v>0</v>
      </c>
      <c r="J39" s="4">
        <v>1</v>
      </c>
      <c r="K39" s="4">
        <v>0</v>
      </c>
      <c r="L39" s="2" t="s">
        <v>79</v>
      </c>
    </row>
    <row r="40" spans="1:12" x14ac:dyDescent="0.2">
      <c r="A40" s="4">
        <v>5.83</v>
      </c>
      <c r="B40" s="4">
        <v>8</v>
      </c>
      <c r="C40" s="4">
        <v>36</v>
      </c>
      <c r="D40" s="4">
        <v>15</v>
      </c>
      <c r="E40" s="4">
        <v>1</v>
      </c>
      <c r="F40" s="4">
        <v>1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2" t="s">
        <v>79</v>
      </c>
    </row>
    <row r="41" spans="1:12" x14ac:dyDescent="0.2">
      <c r="A41" s="4">
        <v>2.14</v>
      </c>
      <c r="B41" s="4">
        <v>13</v>
      </c>
      <c r="C41" s="4">
        <v>34</v>
      </c>
      <c r="D41" s="4">
        <v>15</v>
      </c>
      <c r="E41" s="4">
        <v>1</v>
      </c>
      <c r="F41" s="4">
        <v>1</v>
      </c>
      <c r="G41" s="4">
        <v>0</v>
      </c>
      <c r="H41" s="4">
        <v>0</v>
      </c>
      <c r="I41" s="4">
        <v>1</v>
      </c>
      <c r="J41" s="4">
        <v>0</v>
      </c>
      <c r="K41" s="4">
        <v>0</v>
      </c>
      <c r="L41" s="2" t="s">
        <v>79</v>
      </c>
    </row>
    <row r="42" spans="1:12" x14ac:dyDescent="0.2">
      <c r="A42" s="4">
        <v>18</v>
      </c>
      <c r="B42" s="4">
        <v>12</v>
      </c>
      <c r="C42" s="4">
        <v>31</v>
      </c>
      <c r="D42" s="4">
        <v>15</v>
      </c>
      <c r="E42" s="4">
        <v>0</v>
      </c>
      <c r="F42" s="4">
        <v>1</v>
      </c>
      <c r="G42" s="4">
        <v>1</v>
      </c>
      <c r="H42" s="4">
        <v>0</v>
      </c>
      <c r="I42" s="4">
        <v>0</v>
      </c>
      <c r="J42" s="4">
        <v>1</v>
      </c>
      <c r="K42" s="4">
        <v>0</v>
      </c>
      <c r="L42" s="2" t="s">
        <v>79</v>
      </c>
    </row>
    <row r="43" spans="1:12" x14ac:dyDescent="0.2">
      <c r="A43" s="4">
        <v>4.5</v>
      </c>
      <c r="B43" s="4">
        <v>12</v>
      </c>
      <c r="C43" s="4">
        <v>37</v>
      </c>
      <c r="D43" s="4">
        <v>14</v>
      </c>
      <c r="E43" s="4">
        <v>1</v>
      </c>
      <c r="F43" s="4">
        <v>1</v>
      </c>
      <c r="G43" s="4">
        <v>0</v>
      </c>
      <c r="H43" s="4">
        <v>0</v>
      </c>
      <c r="I43" s="4">
        <v>0</v>
      </c>
      <c r="J43" s="4">
        <v>1</v>
      </c>
      <c r="K43" s="4">
        <v>0</v>
      </c>
      <c r="L43" s="2" t="s">
        <v>79</v>
      </c>
    </row>
    <row r="44" spans="1:12" x14ac:dyDescent="0.2">
      <c r="A44" s="4">
        <v>6.5</v>
      </c>
      <c r="B44" s="4">
        <v>12</v>
      </c>
      <c r="C44" s="4">
        <v>20</v>
      </c>
      <c r="D44" s="4">
        <v>14</v>
      </c>
      <c r="E44" s="4">
        <v>0</v>
      </c>
      <c r="F44" s="4">
        <v>1</v>
      </c>
      <c r="G44" s="4">
        <v>3</v>
      </c>
      <c r="H44" s="4">
        <v>0</v>
      </c>
      <c r="I44" s="4">
        <v>0</v>
      </c>
      <c r="J44" s="4">
        <v>1</v>
      </c>
      <c r="K44" s="4">
        <v>0</v>
      </c>
      <c r="L44" s="2" t="s">
        <v>79</v>
      </c>
    </row>
    <row r="45" spans="1:12" x14ac:dyDescent="0.2">
      <c r="A45" s="4">
        <v>11.82</v>
      </c>
      <c r="B45" s="4">
        <v>16</v>
      </c>
      <c r="C45" s="4">
        <v>35</v>
      </c>
      <c r="D45" s="4">
        <v>13</v>
      </c>
      <c r="E45" s="4">
        <v>0</v>
      </c>
      <c r="F45" s="4">
        <v>1</v>
      </c>
      <c r="G45" s="4">
        <v>0</v>
      </c>
      <c r="H45" s="4">
        <v>0</v>
      </c>
      <c r="I45" s="4">
        <v>0</v>
      </c>
      <c r="J45" s="4">
        <v>1</v>
      </c>
      <c r="K45" s="4">
        <v>0</v>
      </c>
      <c r="L45" s="2" t="s">
        <v>79</v>
      </c>
    </row>
    <row r="46" spans="1:12" x14ac:dyDescent="0.2">
      <c r="A46" s="4">
        <v>3.29</v>
      </c>
      <c r="B46" s="4">
        <v>14</v>
      </c>
      <c r="C46" s="4">
        <v>30</v>
      </c>
      <c r="D46" s="4">
        <v>13</v>
      </c>
      <c r="E46" s="4">
        <v>0</v>
      </c>
      <c r="F46" s="4">
        <v>0</v>
      </c>
      <c r="G46" s="4">
        <v>0</v>
      </c>
      <c r="H46" s="4">
        <v>1</v>
      </c>
      <c r="I46" s="4">
        <v>0</v>
      </c>
      <c r="J46" s="4">
        <v>0</v>
      </c>
      <c r="K46" s="4">
        <v>0</v>
      </c>
      <c r="L46" s="2" t="s">
        <v>79</v>
      </c>
    </row>
    <row r="47" spans="1:12" x14ac:dyDescent="0.2">
      <c r="A47" s="4">
        <v>8.48</v>
      </c>
      <c r="B47" s="4">
        <v>12</v>
      </c>
      <c r="C47" s="4">
        <v>29</v>
      </c>
      <c r="D47" s="4">
        <v>13</v>
      </c>
      <c r="E47" s="4">
        <v>0</v>
      </c>
      <c r="F47" s="4">
        <v>1</v>
      </c>
      <c r="G47" s="4">
        <v>3</v>
      </c>
      <c r="H47" s="4">
        <v>0</v>
      </c>
      <c r="I47" s="4">
        <v>0</v>
      </c>
      <c r="J47" s="4">
        <v>1</v>
      </c>
      <c r="K47" s="4">
        <v>0</v>
      </c>
      <c r="L47" s="2" t="s">
        <v>79</v>
      </c>
    </row>
    <row r="48" spans="1:12" x14ac:dyDescent="0.2">
      <c r="A48" s="4">
        <v>6</v>
      </c>
      <c r="B48" s="4">
        <v>13</v>
      </c>
      <c r="C48" s="4">
        <v>21</v>
      </c>
      <c r="D48" s="4">
        <v>13</v>
      </c>
      <c r="E48" s="4">
        <v>0</v>
      </c>
      <c r="F48" s="4">
        <v>1</v>
      </c>
      <c r="G48" s="4">
        <v>4</v>
      </c>
      <c r="H48" s="4">
        <v>0</v>
      </c>
      <c r="I48" s="4">
        <v>1</v>
      </c>
      <c r="J48" s="4">
        <v>0</v>
      </c>
      <c r="K48" s="4">
        <v>0</v>
      </c>
      <c r="L48" s="2" t="s">
        <v>79</v>
      </c>
    </row>
    <row r="49" spans="1:12" x14ac:dyDescent="0.2">
      <c r="A49" s="4">
        <v>13.7</v>
      </c>
      <c r="B49" s="4">
        <v>15</v>
      </c>
      <c r="C49" s="4">
        <v>20</v>
      </c>
      <c r="D49" s="4">
        <v>13</v>
      </c>
      <c r="E49" s="4">
        <v>0</v>
      </c>
      <c r="F49" s="4">
        <v>1</v>
      </c>
      <c r="G49" s="4">
        <v>2</v>
      </c>
      <c r="H49" s="4">
        <v>0</v>
      </c>
      <c r="I49" s="4">
        <v>0</v>
      </c>
      <c r="J49" s="4">
        <v>1</v>
      </c>
      <c r="K49" s="4">
        <v>0</v>
      </c>
      <c r="L49" s="2" t="s">
        <v>79</v>
      </c>
    </row>
    <row r="50" spans="1:12" x14ac:dyDescent="0.2">
      <c r="A50" s="4">
        <v>4</v>
      </c>
      <c r="B50" s="4">
        <v>11</v>
      </c>
      <c r="C50" s="9">
        <v>43.93</v>
      </c>
      <c r="D50" s="4">
        <v>12</v>
      </c>
      <c r="E50" s="4">
        <v>1</v>
      </c>
      <c r="F50" s="4">
        <v>1</v>
      </c>
      <c r="G50" s="4">
        <v>0</v>
      </c>
      <c r="H50" s="4">
        <v>0</v>
      </c>
      <c r="I50" s="4">
        <v>0</v>
      </c>
      <c r="J50" s="4">
        <v>1</v>
      </c>
      <c r="K50" s="4">
        <v>0</v>
      </c>
      <c r="L50" s="2" t="s">
        <v>79</v>
      </c>
    </row>
    <row r="51" spans="1:12" x14ac:dyDescent="0.2">
      <c r="A51" s="4">
        <v>4.5</v>
      </c>
      <c r="B51" s="4">
        <v>12</v>
      </c>
      <c r="C51" s="4">
        <v>35</v>
      </c>
      <c r="D51" s="4">
        <v>12</v>
      </c>
      <c r="E51" s="4">
        <v>1</v>
      </c>
      <c r="F51" s="4">
        <v>1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2" t="s">
        <v>79</v>
      </c>
    </row>
    <row r="52" spans="1:12" x14ac:dyDescent="0.2">
      <c r="A52" s="4">
        <v>6.15</v>
      </c>
      <c r="B52" s="4">
        <v>12</v>
      </c>
      <c r="C52" s="4">
        <v>35</v>
      </c>
      <c r="D52" s="4">
        <v>12</v>
      </c>
      <c r="E52" s="4">
        <v>1</v>
      </c>
      <c r="F52" s="4">
        <v>0</v>
      </c>
      <c r="G52" s="4">
        <v>0</v>
      </c>
      <c r="H52" s="4">
        <v>1</v>
      </c>
      <c r="I52" s="4">
        <v>0</v>
      </c>
      <c r="J52" s="4">
        <v>0</v>
      </c>
      <c r="K52" s="4">
        <v>0</v>
      </c>
      <c r="L52" s="2" t="s">
        <v>79</v>
      </c>
    </row>
    <row r="53" spans="1:12" x14ac:dyDescent="0.2">
      <c r="A53" s="4">
        <v>3</v>
      </c>
      <c r="B53" s="4">
        <v>8</v>
      </c>
      <c r="C53" s="4">
        <v>33</v>
      </c>
      <c r="D53" s="4">
        <v>12</v>
      </c>
      <c r="E53" s="4">
        <v>1</v>
      </c>
      <c r="F53" s="4">
        <v>1</v>
      </c>
      <c r="G53" s="4">
        <v>3</v>
      </c>
      <c r="H53" s="4">
        <v>0</v>
      </c>
      <c r="I53" s="4">
        <v>1</v>
      </c>
      <c r="J53" s="4">
        <v>0</v>
      </c>
      <c r="K53" s="4">
        <v>0</v>
      </c>
      <c r="L53" s="2" t="s">
        <v>79</v>
      </c>
    </row>
    <row r="54" spans="1:12" x14ac:dyDescent="0.2">
      <c r="A54" s="4">
        <v>9.1300000000000008</v>
      </c>
      <c r="B54" s="4">
        <v>12</v>
      </c>
      <c r="C54" s="4">
        <v>14</v>
      </c>
      <c r="D54" s="4">
        <v>12</v>
      </c>
      <c r="E54" s="4">
        <v>0</v>
      </c>
      <c r="F54" s="4">
        <v>1</v>
      </c>
      <c r="G54" s="4">
        <v>3</v>
      </c>
      <c r="H54" s="4">
        <v>0</v>
      </c>
      <c r="I54" s="4">
        <v>1</v>
      </c>
      <c r="J54" s="4">
        <v>0</v>
      </c>
      <c r="K54" s="4">
        <v>0</v>
      </c>
      <c r="L54" s="2" t="s">
        <v>79</v>
      </c>
    </row>
    <row r="55" spans="1:12" x14ac:dyDescent="0.2">
      <c r="A55" s="4">
        <v>9.09</v>
      </c>
      <c r="B55" s="4">
        <v>15</v>
      </c>
      <c r="C55" s="4">
        <v>11</v>
      </c>
      <c r="D55" s="4">
        <v>12</v>
      </c>
      <c r="E55" s="4">
        <v>0</v>
      </c>
      <c r="F55" s="4">
        <v>1</v>
      </c>
      <c r="G55" s="4">
        <v>1</v>
      </c>
      <c r="H55" s="4">
        <v>0</v>
      </c>
      <c r="I55" s="4">
        <v>0</v>
      </c>
      <c r="J55" s="4">
        <v>1</v>
      </c>
      <c r="K55" s="4">
        <v>0</v>
      </c>
      <c r="L55" s="2" t="s">
        <v>79</v>
      </c>
    </row>
    <row r="56" spans="1:12" x14ac:dyDescent="0.2">
      <c r="A56" s="4">
        <v>4.4400000000000004</v>
      </c>
      <c r="B56" s="4">
        <v>8</v>
      </c>
      <c r="C56" s="4">
        <v>29</v>
      </c>
      <c r="D56" s="4">
        <v>11</v>
      </c>
      <c r="E56" s="4">
        <v>0</v>
      </c>
      <c r="F56" s="4">
        <v>1</v>
      </c>
      <c r="G56" s="4">
        <v>3</v>
      </c>
      <c r="H56" s="4">
        <v>0</v>
      </c>
      <c r="I56" s="4">
        <v>1</v>
      </c>
      <c r="J56" s="4">
        <v>0</v>
      </c>
      <c r="K56" s="4">
        <v>0</v>
      </c>
      <c r="L56" s="2" t="s">
        <v>79</v>
      </c>
    </row>
    <row r="57" spans="1:12" x14ac:dyDescent="0.2">
      <c r="A57" s="4">
        <v>6.5</v>
      </c>
      <c r="B57" s="4">
        <v>10</v>
      </c>
      <c r="C57" s="4">
        <v>14</v>
      </c>
      <c r="D57" s="4">
        <v>11</v>
      </c>
      <c r="E57" s="4">
        <v>0</v>
      </c>
      <c r="F57" s="4">
        <v>1</v>
      </c>
      <c r="G57" s="4">
        <v>3</v>
      </c>
      <c r="H57" s="4">
        <v>0</v>
      </c>
      <c r="I57" s="4">
        <v>1</v>
      </c>
      <c r="J57" s="4">
        <v>0</v>
      </c>
      <c r="K57" s="4">
        <v>0</v>
      </c>
      <c r="L57" s="2" t="s">
        <v>79</v>
      </c>
    </row>
    <row r="58" spans="1:12" x14ac:dyDescent="0.2">
      <c r="A58" s="4">
        <v>5</v>
      </c>
      <c r="B58" s="4">
        <v>12</v>
      </c>
      <c r="C58" s="4">
        <v>14</v>
      </c>
      <c r="D58" s="4">
        <v>11</v>
      </c>
      <c r="E58" s="4">
        <v>1</v>
      </c>
      <c r="F58" s="4">
        <v>0</v>
      </c>
      <c r="G58" s="4">
        <v>0</v>
      </c>
      <c r="H58" s="4">
        <v>1</v>
      </c>
      <c r="I58" s="4">
        <v>0</v>
      </c>
      <c r="J58" s="4">
        <v>0</v>
      </c>
      <c r="K58" s="4">
        <v>0</v>
      </c>
      <c r="L58" s="2" t="s">
        <v>79</v>
      </c>
    </row>
    <row r="59" spans="1:12" x14ac:dyDescent="0.2">
      <c r="A59" s="4">
        <v>13.33</v>
      </c>
      <c r="B59" s="4">
        <v>12</v>
      </c>
      <c r="C59" s="4">
        <v>14</v>
      </c>
      <c r="D59" s="4">
        <v>11</v>
      </c>
      <c r="E59" s="4">
        <v>0</v>
      </c>
      <c r="F59" s="4">
        <v>1</v>
      </c>
      <c r="G59" s="4">
        <v>2</v>
      </c>
      <c r="H59" s="4">
        <v>0</v>
      </c>
      <c r="I59" s="4">
        <v>0</v>
      </c>
      <c r="J59" s="4">
        <v>0</v>
      </c>
      <c r="K59" s="4">
        <v>0</v>
      </c>
      <c r="L59" s="2" t="s">
        <v>79</v>
      </c>
    </row>
    <row r="60" spans="1:12" x14ac:dyDescent="0.2">
      <c r="A60" s="4">
        <v>5.25</v>
      </c>
      <c r="B60" s="4">
        <v>11</v>
      </c>
      <c r="C60" s="4">
        <v>13</v>
      </c>
      <c r="D60" s="4">
        <v>11</v>
      </c>
      <c r="E60" s="4">
        <v>0</v>
      </c>
      <c r="F60" s="4">
        <v>1</v>
      </c>
      <c r="G60" s="4">
        <v>2</v>
      </c>
      <c r="H60" s="4">
        <v>0</v>
      </c>
      <c r="I60" s="4">
        <v>1</v>
      </c>
      <c r="J60" s="4">
        <v>0</v>
      </c>
      <c r="K60" s="4">
        <v>0</v>
      </c>
      <c r="L60" s="2" t="s">
        <v>79</v>
      </c>
    </row>
    <row r="61" spans="1:12" x14ac:dyDescent="0.2">
      <c r="A61" s="4">
        <v>2.65</v>
      </c>
      <c r="B61" s="4">
        <v>12</v>
      </c>
      <c r="C61" s="4">
        <v>42</v>
      </c>
      <c r="D61" s="4">
        <v>10</v>
      </c>
      <c r="E61" s="4">
        <v>1</v>
      </c>
      <c r="F61" s="4">
        <v>1</v>
      </c>
      <c r="G61" s="4">
        <v>0</v>
      </c>
      <c r="H61" s="4">
        <v>0</v>
      </c>
      <c r="I61" s="4">
        <v>0</v>
      </c>
      <c r="J61" s="4">
        <v>1</v>
      </c>
      <c r="K61" s="4">
        <v>0</v>
      </c>
      <c r="L61" s="2" t="s">
        <v>79</v>
      </c>
    </row>
    <row r="62" spans="1:12" x14ac:dyDescent="0.2">
      <c r="A62" s="4">
        <v>4.5</v>
      </c>
      <c r="B62" s="4">
        <v>11</v>
      </c>
      <c r="C62" s="4">
        <v>37</v>
      </c>
      <c r="D62" s="4">
        <v>10</v>
      </c>
      <c r="E62" s="4">
        <v>0</v>
      </c>
      <c r="F62" s="4">
        <v>1</v>
      </c>
      <c r="G62" s="4">
        <v>2</v>
      </c>
      <c r="H62" s="4">
        <v>0</v>
      </c>
      <c r="I62" s="4">
        <v>1</v>
      </c>
      <c r="J62" s="4">
        <v>0</v>
      </c>
      <c r="K62" s="4">
        <v>0</v>
      </c>
      <c r="L62" s="2" t="s">
        <v>79</v>
      </c>
    </row>
    <row r="63" spans="1:12" x14ac:dyDescent="0.2">
      <c r="A63" s="4">
        <v>4.17</v>
      </c>
      <c r="B63" s="4">
        <v>0</v>
      </c>
      <c r="C63" s="4">
        <v>22</v>
      </c>
      <c r="D63" s="4">
        <v>10</v>
      </c>
      <c r="E63" s="4">
        <v>1</v>
      </c>
      <c r="F63" s="4">
        <v>0</v>
      </c>
      <c r="G63" s="4">
        <v>0</v>
      </c>
      <c r="H63" s="4">
        <v>0</v>
      </c>
      <c r="I63" s="4">
        <v>1</v>
      </c>
      <c r="J63" s="4">
        <v>0</v>
      </c>
      <c r="K63" s="4">
        <v>0</v>
      </c>
      <c r="L63" s="2" t="s">
        <v>79</v>
      </c>
    </row>
    <row r="64" spans="1:12" x14ac:dyDescent="0.2">
      <c r="A64" s="4">
        <v>3</v>
      </c>
      <c r="B64" s="4">
        <v>16</v>
      </c>
      <c r="C64" s="4">
        <v>19</v>
      </c>
      <c r="D64" s="4">
        <v>10</v>
      </c>
      <c r="E64" s="4">
        <v>1</v>
      </c>
      <c r="F64" s="4">
        <v>1</v>
      </c>
      <c r="G64" s="4">
        <v>0</v>
      </c>
      <c r="H64" s="4">
        <v>1</v>
      </c>
      <c r="I64" s="4">
        <v>0</v>
      </c>
      <c r="J64" s="4">
        <v>0</v>
      </c>
      <c r="K64" s="4">
        <v>0</v>
      </c>
      <c r="L64" s="2" t="s">
        <v>79</v>
      </c>
    </row>
    <row r="65" spans="1:12" x14ac:dyDescent="0.2">
      <c r="A65" s="4">
        <v>5.25</v>
      </c>
      <c r="B65" s="4">
        <v>12</v>
      </c>
      <c r="C65" s="4">
        <v>19</v>
      </c>
      <c r="D65" s="4">
        <v>10</v>
      </c>
      <c r="E65" s="4">
        <v>1</v>
      </c>
      <c r="F65" s="4">
        <v>1</v>
      </c>
      <c r="G65" s="4">
        <v>2</v>
      </c>
      <c r="H65" s="4">
        <v>1</v>
      </c>
      <c r="I65" s="4">
        <v>0</v>
      </c>
      <c r="J65" s="4">
        <v>0</v>
      </c>
      <c r="K65" s="4">
        <v>0</v>
      </c>
      <c r="L65" s="2" t="s">
        <v>79</v>
      </c>
    </row>
    <row r="66" spans="1:12" x14ac:dyDescent="0.2">
      <c r="A66" s="4">
        <v>10.63</v>
      </c>
      <c r="B66" s="4">
        <v>13</v>
      </c>
      <c r="C66" s="4">
        <v>16</v>
      </c>
      <c r="D66" s="4">
        <v>10</v>
      </c>
      <c r="E66" s="4">
        <v>1</v>
      </c>
      <c r="F66" s="4">
        <v>0</v>
      </c>
      <c r="G66" s="4">
        <v>0</v>
      </c>
      <c r="H66" s="4">
        <v>0</v>
      </c>
      <c r="I66" s="4">
        <v>0</v>
      </c>
      <c r="J66" s="4">
        <v>1</v>
      </c>
      <c r="K66" s="4">
        <v>0</v>
      </c>
      <c r="L66" s="2" t="s">
        <v>79</v>
      </c>
    </row>
    <row r="67" spans="1:12" x14ac:dyDescent="0.2">
      <c r="A67" s="4">
        <v>3.06</v>
      </c>
      <c r="B67" s="4">
        <v>12</v>
      </c>
      <c r="C67" s="4">
        <v>14</v>
      </c>
      <c r="D67" s="4">
        <v>10</v>
      </c>
      <c r="E67" s="4">
        <v>1</v>
      </c>
      <c r="F67" s="4">
        <v>0</v>
      </c>
      <c r="G67" s="4">
        <v>3</v>
      </c>
      <c r="H67" s="4">
        <v>0</v>
      </c>
      <c r="I67" s="4">
        <v>1</v>
      </c>
      <c r="J67" s="4">
        <v>0</v>
      </c>
      <c r="K67" s="4">
        <v>0</v>
      </c>
      <c r="L67" s="2" t="s">
        <v>79</v>
      </c>
    </row>
    <row r="68" spans="1:12" x14ac:dyDescent="0.2">
      <c r="A68" s="4">
        <v>7.78</v>
      </c>
      <c r="B68" s="4">
        <v>16</v>
      </c>
      <c r="C68" s="4">
        <v>11</v>
      </c>
      <c r="D68" s="4">
        <v>10</v>
      </c>
      <c r="E68" s="4">
        <v>0</v>
      </c>
      <c r="F68" s="4">
        <v>1</v>
      </c>
      <c r="G68" s="4">
        <v>1</v>
      </c>
      <c r="H68" s="4">
        <v>0</v>
      </c>
      <c r="I68" s="4">
        <v>0</v>
      </c>
      <c r="J68" s="4">
        <v>1</v>
      </c>
      <c r="K68" s="4">
        <v>0</v>
      </c>
      <c r="L68" s="2" t="s">
        <v>79</v>
      </c>
    </row>
    <row r="69" spans="1:12" x14ac:dyDescent="0.2">
      <c r="A69" s="4">
        <v>11.98</v>
      </c>
      <c r="B69" s="4">
        <v>18</v>
      </c>
      <c r="C69" s="4">
        <v>8</v>
      </c>
      <c r="D69" s="4">
        <v>10</v>
      </c>
      <c r="E69" s="4">
        <v>0</v>
      </c>
      <c r="F69" s="4">
        <v>1</v>
      </c>
      <c r="G69" s="4">
        <v>2</v>
      </c>
      <c r="H69" s="4">
        <v>0</v>
      </c>
      <c r="I69" s="4">
        <v>1</v>
      </c>
      <c r="J69" s="4">
        <v>0</v>
      </c>
      <c r="K69" s="4">
        <v>0</v>
      </c>
      <c r="L69" s="2" t="s">
        <v>79</v>
      </c>
    </row>
    <row r="70" spans="1:12" x14ac:dyDescent="0.2">
      <c r="A70" s="4">
        <v>5</v>
      </c>
      <c r="B70" s="10">
        <v>12</v>
      </c>
      <c r="C70" s="4">
        <v>31</v>
      </c>
      <c r="D70" s="4">
        <v>9</v>
      </c>
      <c r="E70" s="4">
        <v>0</v>
      </c>
      <c r="F70" s="4">
        <v>1</v>
      </c>
      <c r="G70" s="4">
        <v>6</v>
      </c>
      <c r="H70" s="4">
        <v>0</v>
      </c>
      <c r="I70" s="4">
        <v>1</v>
      </c>
      <c r="J70" s="4">
        <v>0</v>
      </c>
      <c r="K70" s="4">
        <v>0</v>
      </c>
      <c r="L70" s="2" t="s">
        <v>79</v>
      </c>
    </row>
    <row r="71" spans="1:12" x14ac:dyDescent="0.2">
      <c r="A71" s="4">
        <v>8.6300000000000008</v>
      </c>
      <c r="B71" s="4">
        <v>12</v>
      </c>
      <c r="C71" s="4">
        <v>23</v>
      </c>
      <c r="D71" s="4">
        <v>9</v>
      </c>
      <c r="E71" s="4">
        <v>0</v>
      </c>
      <c r="F71" s="4">
        <v>1</v>
      </c>
      <c r="G71" s="4">
        <v>1</v>
      </c>
      <c r="H71" s="4">
        <v>0</v>
      </c>
      <c r="I71" s="4">
        <v>1</v>
      </c>
      <c r="J71" s="4">
        <v>0</v>
      </c>
      <c r="K71" s="4">
        <v>0</v>
      </c>
      <c r="L71" s="2" t="s">
        <v>79</v>
      </c>
    </row>
    <row r="72" spans="1:12" x14ac:dyDescent="0.2">
      <c r="A72" s="4">
        <v>3.3</v>
      </c>
      <c r="B72" s="4">
        <v>12</v>
      </c>
      <c r="C72" s="4">
        <v>21</v>
      </c>
      <c r="D72" s="4">
        <v>9</v>
      </c>
      <c r="E72" s="4">
        <v>1</v>
      </c>
      <c r="F72" s="4">
        <v>1</v>
      </c>
      <c r="G72" s="4">
        <v>2</v>
      </c>
      <c r="H72" s="4">
        <v>0</v>
      </c>
      <c r="I72" s="4">
        <v>1</v>
      </c>
      <c r="J72" s="4">
        <v>0</v>
      </c>
      <c r="K72" s="4">
        <v>0</v>
      </c>
      <c r="L72" s="2" t="s">
        <v>79</v>
      </c>
    </row>
    <row r="73" spans="1:12" x14ac:dyDescent="0.2">
      <c r="A73" s="4">
        <v>6.33</v>
      </c>
      <c r="B73" s="4">
        <v>16</v>
      </c>
      <c r="C73" s="4">
        <v>9</v>
      </c>
      <c r="D73" s="4">
        <v>9</v>
      </c>
      <c r="E73" s="4">
        <v>1</v>
      </c>
      <c r="F73" s="4">
        <v>0</v>
      </c>
      <c r="G73" s="4">
        <v>0</v>
      </c>
      <c r="H73" s="4">
        <v>0</v>
      </c>
      <c r="I73" s="4">
        <v>0</v>
      </c>
      <c r="J73" s="4">
        <v>1</v>
      </c>
      <c r="K73" s="4">
        <v>0</v>
      </c>
      <c r="L73" s="2" t="s">
        <v>79</v>
      </c>
    </row>
    <row r="74" spans="1:12" x14ac:dyDescent="0.2">
      <c r="A74" s="4">
        <v>2.87</v>
      </c>
      <c r="B74" s="4">
        <v>12</v>
      </c>
      <c r="C74" s="9">
        <v>43.93</v>
      </c>
      <c r="D74" s="4">
        <v>8</v>
      </c>
      <c r="E74" s="4">
        <v>1</v>
      </c>
      <c r="F74" s="4">
        <v>1</v>
      </c>
      <c r="G74" s="4">
        <v>0</v>
      </c>
      <c r="H74" s="4">
        <v>1</v>
      </c>
      <c r="I74" s="4">
        <v>0</v>
      </c>
      <c r="J74" s="4">
        <v>0</v>
      </c>
      <c r="K74" s="4">
        <v>0</v>
      </c>
      <c r="L74" s="2" t="s">
        <v>79</v>
      </c>
    </row>
    <row r="75" spans="1:12" x14ac:dyDescent="0.2">
      <c r="A75" s="4">
        <v>4.79</v>
      </c>
      <c r="B75" s="4">
        <v>12</v>
      </c>
      <c r="C75" s="4">
        <v>41</v>
      </c>
      <c r="D75" s="4">
        <v>8</v>
      </c>
      <c r="E75" s="4">
        <v>0</v>
      </c>
      <c r="F75" s="4">
        <v>1</v>
      </c>
      <c r="G75" s="4">
        <v>0</v>
      </c>
      <c r="H75" s="4">
        <v>1</v>
      </c>
      <c r="I75" s="4">
        <v>0</v>
      </c>
      <c r="J75" s="4">
        <v>0</v>
      </c>
      <c r="K75" s="4">
        <v>0</v>
      </c>
      <c r="L75" s="2" t="s">
        <v>79</v>
      </c>
    </row>
    <row r="76" spans="1:12" x14ac:dyDescent="0.2">
      <c r="A76" s="4">
        <v>3.33</v>
      </c>
      <c r="B76" s="4">
        <v>12</v>
      </c>
      <c r="C76" s="4">
        <v>36</v>
      </c>
      <c r="D76" s="4">
        <v>8</v>
      </c>
      <c r="E76" s="4">
        <v>1</v>
      </c>
      <c r="F76" s="4">
        <v>1</v>
      </c>
      <c r="G76" s="4">
        <v>1</v>
      </c>
      <c r="H76" s="4">
        <v>0</v>
      </c>
      <c r="I76" s="4">
        <v>1</v>
      </c>
      <c r="J76" s="4">
        <v>0</v>
      </c>
      <c r="K76" s="4">
        <v>0</v>
      </c>
      <c r="L76" s="2" t="s">
        <v>79</v>
      </c>
    </row>
    <row r="77" spans="1:12" x14ac:dyDescent="0.2">
      <c r="A77" s="4">
        <v>6.25</v>
      </c>
      <c r="B77" s="4">
        <v>10</v>
      </c>
      <c r="C77" s="4">
        <v>36</v>
      </c>
      <c r="D77" s="4">
        <v>8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2" t="s">
        <v>79</v>
      </c>
    </row>
    <row r="78" spans="1:12" x14ac:dyDescent="0.2">
      <c r="A78" s="4">
        <v>11.11</v>
      </c>
      <c r="B78" s="4">
        <v>12</v>
      </c>
      <c r="C78" s="4">
        <v>30</v>
      </c>
      <c r="D78" s="4">
        <v>8</v>
      </c>
      <c r="E78" s="4">
        <v>0</v>
      </c>
      <c r="F78" s="4">
        <v>1</v>
      </c>
      <c r="G78" s="4">
        <v>0</v>
      </c>
      <c r="H78" s="4">
        <v>1</v>
      </c>
      <c r="I78" s="4">
        <v>0</v>
      </c>
      <c r="J78" s="4">
        <v>0</v>
      </c>
      <c r="K78" s="4">
        <v>0</v>
      </c>
      <c r="L78" s="2" t="s">
        <v>79</v>
      </c>
    </row>
    <row r="79" spans="1:12" x14ac:dyDescent="0.2">
      <c r="A79" s="4">
        <v>8.64</v>
      </c>
      <c r="B79" s="4">
        <v>12</v>
      </c>
      <c r="C79" s="4">
        <v>28</v>
      </c>
      <c r="D79" s="4">
        <v>8</v>
      </c>
      <c r="E79" s="4">
        <v>0</v>
      </c>
      <c r="F79" s="4">
        <v>1</v>
      </c>
      <c r="G79" s="4">
        <v>0</v>
      </c>
      <c r="H79" s="4">
        <v>1</v>
      </c>
      <c r="I79" s="4">
        <v>0</v>
      </c>
      <c r="J79" s="4">
        <v>0</v>
      </c>
      <c r="K79" s="4">
        <v>0</v>
      </c>
      <c r="L79" s="2" t="s">
        <v>79</v>
      </c>
    </row>
    <row r="80" spans="1:12" x14ac:dyDescent="0.2">
      <c r="A80" s="4">
        <v>3.3</v>
      </c>
      <c r="B80" s="4">
        <v>12</v>
      </c>
      <c r="C80" s="4">
        <v>25</v>
      </c>
      <c r="D80" s="4">
        <v>8</v>
      </c>
      <c r="E80" s="4">
        <v>0</v>
      </c>
      <c r="F80" s="4">
        <v>1</v>
      </c>
      <c r="G80" s="4">
        <v>1</v>
      </c>
      <c r="H80" s="4">
        <v>1</v>
      </c>
      <c r="I80" s="4">
        <v>0</v>
      </c>
      <c r="J80" s="4">
        <v>0</v>
      </c>
      <c r="K80" s="4">
        <v>0</v>
      </c>
      <c r="L80" s="2" t="s">
        <v>79</v>
      </c>
    </row>
    <row r="81" spans="1:12" x14ac:dyDescent="0.2">
      <c r="A81" s="4">
        <v>6.33</v>
      </c>
      <c r="B81" s="4">
        <v>12</v>
      </c>
      <c r="C81" s="4">
        <v>23</v>
      </c>
      <c r="D81" s="4">
        <v>8</v>
      </c>
      <c r="E81" s="4">
        <v>0</v>
      </c>
      <c r="F81" s="4">
        <v>1</v>
      </c>
      <c r="G81" s="4">
        <v>2</v>
      </c>
      <c r="H81" s="4">
        <v>0</v>
      </c>
      <c r="I81" s="4">
        <v>1</v>
      </c>
      <c r="J81" s="4">
        <v>0</v>
      </c>
      <c r="K81" s="4">
        <v>0</v>
      </c>
      <c r="L81" s="2" t="s">
        <v>79</v>
      </c>
    </row>
    <row r="82" spans="1:12" x14ac:dyDescent="0.2">
      <c r="A82" s="4">
        <v>4.91</v>
      </c>
      <c r="B82" s="4">
        <v>12</v>
      </c>
      <c r="C82" s="4">
        <v>17</v>
      </c>
      <c r="D82" s="4">
        <v>8</v>
      </c>
      <c r="E82" s="4">
        <v>0</v>
      </c>
      <c r="F82" s="4">
        <v>1</v>
      </c>
      <c r="G82" s="4">
        <v>2</v>
      </c>
      <c r="H82" s="4">
        <v>0</v>
      </c>
      <c r="I82" s="4">
        <v>0</v>
      </c>
      <c r="J82" s="4">
        <v>0</v>
      </c>
      <c r="K82" s="4">
        <v>0</v>
      </c>
      <c r="L82" s="2" t="s">
        <v>79</v>
      </c>
    </row>
    <row r="83" spans="1:12" x14ac:dyDescent="0.2">
      <c r="A83" s="4">
        <v>8.75</v>
      </c>
      <c r="B83" s="4">
        <v>16</v>
      </c>
      <c r="C83" s="4">
        <v>9</v>
      </c>
      <c r="D83" s="4">
        <v>8</v>
      </c>
      <c r="E83" s="4">
        <v>0</v>
      </c>
      <c r="F83" s="4">
        <v>1</v>
      </c>
      <c r="G83" s="4">
        <v>0</v>
      </c>
      <c r="H83" s="4">
        <v>0</v>
      </c>
      <c r="I83" s="4">
        <v>0</v>
      </c>
      <c r="J83" s="4">
        <v>1</v>
      </c>
      <c r="K83" s="4">
        <v>0</v>
      </c>
      <c r="L83" s="2" t="s">
        <v>79</v>
      </c>
    </row>
    <row r="84" spans="1:12" x14ac:dyDescent="0.2">
      <c r="A84" s="4">
        <v>10</v>
      </c>
      <c r="B84" s="4">
        <v>18</v>
      </c>
      <c r="C84" s="4">
        <v>9</v>
      </c>
      <c r="D84" s="4">
        <v>8</v>
      </c>
      <c r="E84" s="4">
        <v>0</v>
      </c>
      <c r="F84" s="4">
        <v>0</v>
      </c>
      <c r="G84" s="4">
        <v>0</v>
      </c>
      <c r="H84" s="4">
        <v>1</v>
      </c>
      <c r="I84" s="4">
        <v>0</v>
      </c>
      <c r="J84" s="4">
        <v>0</v>
      </c>
      <c r="K84" s="4">
        <v>0</v>
      </c>
      <c r="L84" s="2" t="s">
        <v>79</v>
      </c>
    </row>
    <row r="85" spans="1:12" x14ac:dyDescent="0.2">
      <c r="A85" s="4">
        <v>21.63</v>
      </c>
      <c r="B85" s="4">
        <v>18</v>
      </c>
      <c r="C85" s="4">
        <v>8</v>
      </c>
      <c r="D85" s="4">
        <v>8</v>
      </c>
      <c r="E85" s="4">
        <v>1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2" t="s">
        <v>79</v>
      </c>
    </row>
    <row r="86" spans="1:12" x14ac:dyDescent="0.2">
      <c r="A86" s="4">
        <v>4.57</v>
      </c>
      <c r="B86" s="4">
        <v>14</v>
      </c>
      <c r="C86" s="4">
        <v>37</v>
      </c>
      <c r="D86" s="4">
        <v>7</v>
      </c>
      <c r="E86" s="4">
        <v>1</v>
      </c>
      <c r="F86" s="4">
        <v>1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2" t="s">
        <v>79</v>
      </c>
    </row>
    <row r="87" spans="1:12" x14ac:dyDescent="0.2">
      <c r="A87" s="4">
        <v>18.16</v>
      </c>
      <c r="B87" s="4">
        <v>16</v>
      </c>
      <c r="C87" s="4">
        <v>29</v>
      </c>
      <c r="D87" s="4">
        <v>7</v>
      </c>
      <c r="E87" s="4">
        <v>0</v>
      </c>
      <c r="F87" s="4">
        <v>1</v>
      </c>
      <c r="G87" s="4">
        <v>1</v>
      </c>
      <c r="H87" s="4">
        <v>0</v>
      </c>
      <c r="I87" s="4">
        <v>1</v>
      </c>
      <c r="J87" s="4">
        <v>0</v>
      </c>
      <c r="K87" s="4">
        <v>0</v>
      </c>
      <c r="L87" s="2" t="s">
        <v>79</v>
      </c>
    </row>
    <row r="88" spans="1:12" x14ac:dyDescent="0.2">
      <c r="A88" s="4">
        <v>11.25</v>
      </c>
      <c r="B88" s="4">
        <v>18</v>
      </c>
      <c r="C88" s="4">
        <v>15</v>
      </c>
      <c r="D88" s="4">
        <v>7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</v>
      </c>
      <c r="K88" s="4">
        <v>0</v>
      </c>
      <c r="L88" s="2" t="s">
        <v>79</v>
      </c>
    </row>
    <row r="89" spans="1:12" x14ac:dyDescent="0.2">
      <c r="A89" s="4">
        <v>5.9</v>
      </c>
      <c r="B89" s="4">
        <v>12</v>
      </c>
      <c r="C89" s="4">
        <v>14</v>
      </c>
      <c r="D89" s="4">
        <v>7</v>
      </c>
      <c r="E89" s="4">
        <v>0</v>
      </c>
      <c r="F89" s="4">
        <v>1</v>
      </c>
      <c r="G89" s="4">
        <v>2</v>
      </c>
      <c r="H89" s="4">
        <v>0</v>
      </c>
      <c r="I89" s="4">
        <v>1</v>
      </c>
      <c r="J89" s="4">
        <v>0</v>
      </c>
      <c r="K89" s="4">
        <v>0</v>
      </c>
      <c r="L89" s="2" t="s">
        <v>79</v>
      </c>
    </row>
    <row r="90" spans="1:12" x14ac:dyDescent="0.2">
      <c r="A90" s="4">
        <v>3.71</v>
      </c>
      <c r="B90" s="4">
        <v>9</v>
      </c>
      <c r="C90" s="4">
        <v>14</v>
      </c>
      <c r="D90" s="4">
        <v>7</v>
      </c>
      <c r="E90" s="4">
        <v>0</v>
      </c>
      <c r="F90" s="4">
        <v>1</v>
      </c>
      <c r="G90" s="4">
        <v>2</v>
      </c>
      <c r="H90" s="4">
        <v>0</v>
      </c>
      <c r="I90" s="4">
        <v>1</v>
      </c>
      <c r="J90" s="4">
        <v>0</v>
      </c>
      <c r="K90" s="4">
        <v>0</v>
      </c>
      <c r="L90" s="2" t="s">
        <v>79</v>
      </c>
    </row>
    <row r="91" spans="1:12" x14ac:dyDescent="0.2">
      <c r="A91" s="4">
        <v>7.5</v>
      </c>
      <c r="B91" s="4">
        <v>12</v>
      </c>
      <c r="C91" s="4">
        <v>11</v>
      </c>
      <c r="D91" s="4">
        <v>7</v>
      </c>
      <c r="E91" s="10">
        <v>2</v>
      </c>
      <c r="F91" s="4">
        <v>1</v>
      </c>
      <c r="G91" s="4">
        <v>1</v>
      </c>
      <c r="H91" s="4">
        <v>0</v>
      </c>
      <c r="I91" s="4">
        <v>0</v>
      </c>
      <c r="J91" s="4">
        <v>0</v>
      </c>
      <c r="K91" s="4">
        <v>0</v>
      </c>
      <c r="L91" s="2" t="s">
        <v>79</v>
      </c>
    </row>
    <row r="92" spans="1:12" x14ac:dyDescent="0.2">
      <c r="A92" s="4">
        <v>5.9</v>
      </c>
      <c r="B92" s="4">
        <v>12</v>
      </c>
      <c r="C92" s="4">
        <v>9</v>
      </c>
      <c r="D92" s="4">
        <v>7</v>
      </c>
      <c r="E92" s="4">
        <v>1</v>
      </c>
      <c r="F92" s="4">
        <v>1</v>
      </c>
      <c r="G92" s="4">
        <v>1</v>
      </c>
      <c r="H92" s="4">
        <v>1</v>
      </c>
      <c r="I92" s="4">
        <v>0</v>
      </c>
      <c r="J92" s="4">
        <v>0</v>
      </c>
      <c r="K92" s="4">
        <v>0</v>
      </c>
      <c r="L92" s="2" t="s">
        <v>79</v>
      </c>
    </row>
    <row r="93" spans="1:12" x14ac:dyDescent="0.2">
      <c r="A93" s="4">
        <v>4.6900000000000004</v>
      </c>
      <c r="B93" s="4">
        <v>10</v>
      </c>
      <c r="C93" s="4">
        <v>7</v>
      </c>
      <c r="D93" s="4">
        <v>7</v>
      </c>
      <c r="E93" s="4">
        <v>0</v>
      </c>
      <c r="F93" s="4">
        <v>0</v>
      </c>
      <c r="G93" s="4">
        <v>0</v>
      </c>
      <c r="H93" s="4">
        <v>1</v>
      </c>
      <c r="I93" s="4">
        <v>0</v>
      </c>
      <c r="J93" s="4">
        <v>0</v>
      </c>
      <c r="K93" s="4">
        <v>0</v>
      </c>
      <c r="L93" s="2" t="s">
        <v>79</v>
      </c>
    </row>
    <row r="94" spans="1:12" x14ac:dyDescent="0.2">
      <c r="A94" s="4">
        <v>6</v>
      </c>
      <c r="B94" s="4">
        <v>12</v>
      </c>
      <c r="C94" s="4">
        <v>7</v>
      </c>
      <c r="D94" s="4">
        <v>7</v>
      </c>
      <c r="E94" s="4">
        <v>0</v>
      </c>
      <c r="F94" s="4">
        <v>1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2" t="s">
        <v>79</v>
      </c>
    </row>
    <row r="95" spans="1:12" x14ac:dyDescent="0.2">
      <c r="A95" s="4">
        <v>15</v>
      </c>
      <c r="B95" s="4">
        <v>14</v>
      </c>
      <c r="C95" s="4">
        <v>7</v>
      </c>
      <c r="D95" s="4">
        <v>7</v>
      </c>
      <c r="E95" s="4">
        <v>0</v>
      </c>
      <c r="F95" s="4">
        <v>1</v>
      </c>
      <c r="G95" s="4">
        <v>1</v>
      </c>
      <c r="H95" s="4">
        <v>0</v>
      </c>
      <c r="I95" s="4">
        <v>0</v>
      </c>
      <c r="J95" s="4">
        <v>0</v>
      </c>
      <c r="K95" s="4">
        <v>0</v>
      </c>
      <c r="L95" s="2" t="s">
        <v>79</v>
      </c>
    </row>
    <row r="96" spans="1:12" x14ac:dyDescent="0.2">
      <c r="A96" s="4">
        <v>3.54</v>
      </c>
      <c r="B96" s="4">
        <v>13</v>
      </c>
      <c r="C96" s="4">
        <v>6</v>
      </c>
      <c r="D96" s="4">
        <v>7</v>
      </c>
      <c r="E96" s="4">
        <v>1</v>
      </c>
      <c r="F96" s="4">
        <v>1</v>
      </c>
      <c r="G96" s="4">
        <v>0</v>
      </c>
      <c r="H96" s="4">
        <v>1</v>
      </c>
      <c r="I96" s="4">
        <v>0</v>
      </c>
      <c r="J96" s="4">
        <v>0</v>
      </c>
      <c r="K96" s="4">
        <v>0</v>
      </c>
      <c r="L96" s="2" t="s">
        <v>79</v>
      </c>
    </row>
    <row r="97" spans="1:12" x14ac:dyDescent="0.2">
      <c r="A97" s="4">
        <v>2.9</v>
      </c>
      <c r="B97" s="4">
        <v>8</v>
      </c>
      <c r="C97" s="9">
        <v>43.93</v>
      </c>
      <c r="D97" s="4">
        <v>6</v>
      </c>
      <c r="E97" s="4">
        <v>1</v>
      </c>
      <c r="F97" s="4">
        <v>0</v>
      </c>
      <c r="G97" s="4">
        <v>1</v>
      </c>
      <c r="H97" s="4">
        <v>0</v>
      </c>
      <c r="I97" s="4">
        <v>0</v>
      </c>
      <c r="J97" s="4">
        <v>0</v>
      </c>
      <c r="K97" s="4">
        <v>0</v>
      </c>
      <c r="L97" s="2" t="s">
        <v>79</v>
      </c>
    </row>
    <row r="98" spans="1:12" x14ac:dyDescent="0.2">
      <c r="A98" s="4">
        <v>4</v>
      </c>
      <c r="B98" s="4">
        <v>12</v>
      </c>
      <c r="C98" s="4">
        <v>43</v>
      </c>
      <c r="D98" s="4">
        <v>6</v>
      </c>
      <c r="E98" s="4">
        <v>1</v>
      </c>
      <c r="F98" s="4">
        <v>1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2" t="s">
        <v>79</v>
      </c>
    </row>
    <row r="99" spans="1:12" x14ac:dyDescent="0.2">
      <c r="A99" s="4">
        <v>6.25</v>
      </c>
      <c r="B99" s="4">
        <v>12</v>
      </c>
      <c r="C99" s="4">
        <v>21</v>
      </c>
      <c r="D99" s="4">
        <v>6</v>
      </c>
      <c r="E99" s="4">
        <v>0</v>
      </c>
      <c r="F99" s="4">
        <v>1</v>
      </c>
      <c r="G99" s="4">
        <v>3</v>
      </c>
      <c r="H99" s="4">
        <v>0</v>
      </c>
      <c r="I99" s="4">
        <v>1</v>
      </c>
      <c r="J99" s="4">
        <v>0</v>
      </c>
      <c r="K99" s="4">
        <v>0</v>
      </c>
      <c r="L99" s="2" t="s">
        <v>79</v>
      </c>
    </row>
    <row r="100" spans="1:12" x14ac:dyDescent="0.2">
      <c r="A100" s="4">
        <v>5.8</v>
      </c>
      <c r="B100" s="4">
        <v>12</v>
      </c>
      <c r="C100" s="4">
        <v>19</v>
      </c>
      <c r="D100" s="4">
        <v>6</v>
      </c>
      <c r="E100" s="4">
        <v>1</v>
      </c>
      <c r="F100" s="4">
        <v>1</v>
      </c>
      <c r="G100" s="4">
        <v>2</v>
      </c>
      <c r="H100" s="4">
        <v>1</v>
      </c>
      <c r="I100" s="4">
        <v>0</v>
      </c>
      <c r="J100" s="4">
        <v>0</v>
      </c>
      <c r="K100" s="4">
        <v>0</v>
      </c>
      <c r="L100" s="2" t="s">
        <v>79</v>
      </c>
    </row>
    <row r="101" spans="1:12" x14ac:dyDescent="0.2">
      <c r="A101" s="4">
        <v>8</v>
      </c>
      <c r="B101" s="4">
        <v>12</v>
      </c>
      <c r="C101" s="4">
        <v>17</v>
      </c>
      <c r="D101" s="4">
        <v>6</v>
      </c>
      <c r="E101" s="4">
        <v>0</v>
      </c>
      <c r="F101" s="4">
        <v>1</v>
      </c>
      <c r="G101" s="4">
        <v>2</v>
      </c>
      <c r="H101" s="4">
        <v>0</v>
      </c>
      <c r="I101" s="4">
        <v>1</v>
      </c>
      <c r="J101" s="4">
        <v>0</v>
      </c>
      <c r="K101" s="4">
        <v>0</v>
      </c>
      <c r="L101" s="2" t="s">
        <v>79</v>
      </c>
    </row>
    <row r="102" spans="1:12" x14ac:dyDescent="0.2">
      <c r="A102" s="4">
        <v>6.15</v>
      </c>
      <c r="B102" s="4">
        <v>12</v>
      </c>
      <c r="C102" s="4">
        <v>15</v>
      </c>
      <c r="D102" s="4">
        <v>6</v>
      </c>
      <c r="E102" s="4">
        <v>1</v>
      </c>
      <c r="F102" s="4">
        <v>1</v>
      </c>
      <c r="G102" s="4">
        <v>1</v>
      </c>
      <c r="H102" s="4">
        <v>0</v>
      </c>
      <c r="I102" s="4">
        <v>0</v>
      </c>
      <c r="J102" s="4">
        <v>1</v>
      </c>
      <c r="K102" s="4">
        <v>0</v>
      </c>
      <c r="L102" s="2" t="s">
        <v>79</v>
      </c>
    </row>
    <row r="103" spans="1:12" x14ac:dyDescent="0.2">
      <c r="A103" s="4">
        <v>5.91</v>
      </c>
      <c r="B103" s="4">
        <v>12</v>
      </c>
      <c r="C103" s="4">
        <v>14</v>
      </c>
      <c r="D103" s="4">
        <v>6</v>
      </c>
      <c r="E103" s="4">
        <v>0</v>
      </c>
      <c r="F103" s="4">
        <v>1</v>
      </c>
      <c r="G103" s="4">
        <v>2</v>
      </c>
      <c r="H103" s="4">
        <v>0</v>
      </c>
      <c r="I103" s="4">
        <v>0</v>
      </c>
      <c r="J103" s="4">
        <v>0</v>
      </c>
      <c r="K103" s="4">
        <v>0</v>
      </c>
      <c r="L103" s="2" t="s">
        <v>79</v>
      </c>
    </row>
    <row r="104" spans="1:12" x14ac:dyDescent="0.2">
      <c r="A104" s="4">
        <v>8.5299999999999994</v>
      </c>
      <c r="B104" s="4">
        <v>10</v>
      </c>
      <c r="C104" s="4">
        <v>14</v>
      </c>
      <c r="D104" s="4">
        <v>6</v>
      </c>
      <c r="E104" s="4">
        <v>0</v>
      </c>
      <c r="F104" s="4">
        <v>1</v>
      </c>
      <c r="G104" s="4">
        <v>0</v>
      </c>
      <c r="H104" s="4">
        <v>0</v>
      </c>
      <c r="I104" s="4">
        <v>1</v>
      </c>
      <c r="J104" s="4">
        <v>0</v>
      </c>
      <c r="K104" s="4">
        <v>0</v>
      </c>
      <c r="L104" s="2" t="s">
        <v>79</v>
      </c>
    </row>
    <row r="105" spans="1:12" x14ac:dyDescent="0.2">
      <c r="A105" s="4">
        <v>8.43</v>
      </c>
      <c r="B105" s="4">
        <v>16</v>
      </c>
      <c r="C105" s="4">
        <v>8</v>
      </c>
      <c r="D105" s="4">
        <v>6</v>
      </c>
      <c r="E105" s="4">
        <v>0</v>
      </c>
      <c r="F105" s="4">
        <v>1</v>
      </c>
      <c r="G105" s="4">
        <v>0</v>
      </c>
      <c r="H105" s="4">
        <v>0</v>
      </c>
      <c r="I105" s="4">
        <v>1</v>
      </c>
      <c r="J105" s="4">
        <v>0</v>
      </c>
      <c r="K105" s="4">
        <v>0</v>
      </c>
      <c r="L105" s="2" t="s">
        <v>79</v>
      </c>
    </row>
    <row r="106" spans="1:12" x14ac:dyDescent="0.2">
      <c r="A106" s="4">
        <v>6.45</v>
      </c>
      <c r="B106" s="4">
        <v>12</v>
      </c>
      <c r="C106" s="4">
        <v>7</v>
      </c>
      <c r="D106" s="4">
        <v>6</v>
      </c>
      <c r="E106" s="10">
        <v>2</v>
      </c>
      <c r="F106" s="4">
        <v>1</v>
      </c>
      <c r="G106" s="4">
        <v>0</v>
      </c>
      <c r="H106" s="4">
        <v>0</v>
      </c>
      <c r="I106" s="4">
        <v>1</v>
      </c>
      <c r="J106" s="4">
        <v>0</v>
      </c>
      <c r="K106" s="4">
        <v>0</v>
      </c>
      <c r="L106" s="2" t="s">
        <v>79</v>
      </c>
    </row>
    <row r="107" spans="1:12" x14ac:dyDescent="0.2">
      <c r="A107" s="4">
        <v>3.5</v>
      </c>
      <c r="B107" s="4">
        <v>12</v>
      </c>
      <c r="C107" s="4">
        <v>7</v>
      </c>
      <c r="D107" s="4">
        <v>6</v>
      </c>
      <c r="E107" s="4">
        <v>1</v>
      </c>
      <c r="F107" s="4">
        <v>1</v>
      </c>
      <c r="G107" s="4">
        <v>0</v>
      </c>
      <c r="H107" s="4">
        <v>1</v>
      </c>
      <c r="I107" s="4">
        <v>0</v>
      </c>
      <c r="J107" s="4">
        <v>0</v>
      </c>
      <c r="K107" s="4">
        <v>0</v>
      </c>
      <c r="L107" s="2" t="s">
        <v>79</v>
      </c>
    </row>
    <row r="108" spans="1:12" x14ac:dyDescent="0.2">
      <c r="A108" s="4">
        <v>5.13</v>
      </c>
      <c r="B108" s="4">
        <v>15</v>
      </c>
      <c r="C108" s="4">
        <v>6</v>
      </c>
      <c r="D108" s="4">
        <v>6</v>
      </c>
      <c r="E108" s="10">
        <v>2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2" t="s">
        <v>79</v>
      </c>
    </row>
    <row r="109" spans="1:12" x14ac:dyDescent="0.2">
      <c r="A109" s="4">
        <v>7.14</v>
      </c>
      <c r="B109" s="4">
        <v>12</v>
      </c>
      <c r="C109" s="4">
        <v>43</v>
      </c>
      <c r="D109" s="4">
        <v>5</v>
      </c>
      <c r="E109" s="4">
        <v>1</v>
      </c>
      <c r="F109" s="4">
        <v>0</v>
      </c>
      <c r="G109" s="4">
        <v>0</v>
      </c>
      <c r="H109" s="4">
        <v>1</v>
      </c>
      <c r="I109" s="4">
        <v>0</v>
      </c>
      <c r="J109" s="4">
        <v>0</v>
      </c>
      <c r="K109" s="4">
        <v>0</v>
      </c>
      <c r="L109" s="2" t="s">
        <v>79</v>
      </c>
    </row>
    <row r="110" spans="1:12" x14ac:dyDescent="0.2">
      <c r="A110" s="4">
        <v>12.39</v>
      </c>
      <c r="B110" s="4">
        <v>14</v>
      </c>
      <c r="C110" s="4">
        <v>42</v>
      </c>
      <c r="D110" s="4">
        <v>5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2" t="s">
        <v>79</v>
      </c>
    </row>
    <row r="111" spans="1:12" x14ac:dyDescent="0.2">
      <c r="A111" s="4">
        <v>8</v>
      </c>
      <c r="B111" s="4">
        <v>13</v>
      </c>
      <c r="C111" s="4">
        <v>28</v>
      </c>
      <c r="D111" s="4">
        <v>5</v>
      </c>
      <c r="E111" s="4">
        <v>0</v>
      </c>
      <c r="F111" s="4">
        <v>1</v>
      </c>
      <c r="G111" s="4">
        <v>1</v>
      </c>
      <c r="H111" s="4">
        <v>1</v>
      </c>
      <c r="I111" s="4">
        <v>0</v>
      </c>
      <c r="J111" s="4">
        <v>0</v>
      </c>
      <c r="K111" s="4">
        <v>0</v>
      </c>
      <c r="L111" s="2" t="s">
        <v>79</v>
      </c>
    </row>
    <row r="112" spans="1:12" x14ac:dyDescent="0.2">
      <c r="A112" s="4">
        <v>5</v>
      </c>
      <c r="B112" s="10">
        <v>12</v>
      </c>
      <c r="C112" s="4">
        <v>24</v>
      </c>
      <c r="D112" s="4">
        <v>5</v>
      </c>
      <c r="E112" s="4">
        <v>0</v>
      </c>
      <c r="F112" s="4">
        <v>1</v>
      </c>
      <c r="G112" s="4">
        <v>0</v>
      </c>
      <c r="H112" s="4">
        <v>0</v>
      </c>
      <c r="I112" s="4">
        <v>1</v>
      </c>
      <c r="J112" s="4">
        <v>0</v>
      </c>
      <c r="K112" s="4">
        <v>0</v>
      </c>
      <c r="L112" s="2" t="s">
        <v>79</v>
      </c>
    </row>
    <row r="113" spans="1:12" x14ac:dyDescent="0.2">
      <c r="A113" s="4">
        <v>13</v>
      </c>
      <c r="B113" s="4">
        <v>14</v>
      </c>
      <c r="C113" s="4">
        <v>23</v>
      </c>
      <c r="D113" s="4">
        <v>5</v>
      </c>
      <c r="E113" s="4">
        <v>0</v>
      </c>
      <c r="F113" s="4">
        <v>1</v>
      </c>
      <c r="G113" s="4">
        <v>2</v>
      </c>
      <c r="H113" s="4">
        <v>0</v>
      </c>
      <c r="I113" s="4">
        <v>0</v>
      </c>
      <c r="J113" s="4">
        <v>1</v>
      </c>
      <c r="K113" s="4">
        <v>0</v>
      </c>
      <c r="L113" s="2" t="s">
        <v>79</v>
      </c>
    </row>
    <row r="114" spans="1:12" x14ac:dyDescent="0.2">
      <c r="A114" s="4">
        <v>4.5</v>
      </c>
      <c r="B114" s="4">
        <v>9</v>
      </c>
      <c r="C114" s="4">
        <v>22</v>
      </c>
      <c r="D114" s="4">
        <v>5</v>
      </c>
      <c r="E114" s="4">
        <v>0</v>
      </c>
      <c r="F114" s="4">
        <v>1</v>
      </c>
      <c r="G114" s="4">
        <v>4</v>
      </c>
      <c r="H114" s="4">
        <v>0</v>
      </c>
      <c r="I114" s="4">
        <v>0</v>
      </c>
      <c r="J114" s="4">
        <v>0</v>
      </c>
      <c r="K114" s="4">
        <v>0</v>
      </c>
      <c r="L114" s="2" t="s">
        <v>79</v>
      </c>
    </row>
    <row r="115" spans="1:12" x14ac:dyDescent="0.2">
      <c r="A115" s="4">
        <v>8.18</v>
      </c>
      <c r="B115" s="4">
        <v>13</v>
      </c>
      <c r="C115" s="4">
        <v>21</v>
      </c>
      <c r="D115" s="4">
        <v>5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</v>
      </c>
      <c r="K115" s="4">
        <v>0</v>
      </c>
      <c r="L115" s="2" t="s">
        <v>79</v>
      </c>
    </row>
    <row r="116" spans="1:12" x14ac:dyDescent="0.2">
      <c r="A116" s="4">
        <v>11.55</v>
      </c>
      <c r="B116" s="4">
        <v>16</v>
      </c>
      <c r="C116" s="4">
        <v>20</v>
      </c>
      <c r="D116" s="4">
        <v>5</v>
      </c>
      <c r="E116" s="4">
        <v>1</v>
      </c>
      <c r="F116" s="4">
        <v>1</v>
      </c>
      <c r="G116" s="4">
        <v>3</v>
      </c>
      <c r="H116" s="4">
        <v>0</v>
      </c>
      <c r="I116" s="4">
        <v>1</v>
      </c>
      <c r="J116" s="4">
        <v>0</v>
      </c>
      <c r="K116" s="4">
        <v>1</v>
      </c>
      <c r="L116" s="2" t="s">
        <v>79</v>
      </c>
    </row>
    <row r="117" spans="1:12" x14ac:dyDescent="0.2">
      <c r="A117" s="4">
        <v>5</v>
      </c>
      <c r="B117" s="4">
        <v>14</v>
      </c>
      <c r="C117" s="4">
        <v>19</v>
      </c>
      <c r="D117" s="4">
        <v>5</v>
      </c>
      <c r="E117" s="4">
        <v>0</v>
      </c>
      <c r="F117" s="4">
        <v>1</v>
      </c>
      <c r="G117" s="4">
        <v>4</v>
      </c>
      <c r="H117" s="4">
        <v>0</v>
      </c>
      <c r="I117" s="4">
        <v>1</v>
      </c>
      <c r="J117" s="4">
        <v>0</v>
      </c>
      <c r="K117" s="4">
        <v>0</v>
      </c>
      <c r="L117" s="2" t="s">
        <v>79</v>
      </c>
    </row>
    <row r="118" spans="1:12" x14ac:dyDescent="0.2">
      <c r="A118" s="4">
        <v>10</v>
      </c>
      <c r="B118" s="4">
        <v>14</v>
      </c>
      <c r="C118" s="4">
        <v>18</v>
      </c>
      <c r="D118" s="4">
        <v>5</v>
      </c>
      <c r="E118" s="4">
        <v>0</v>
      </c>
      <c r="F118" s="4">
        <v>1</v>
      </c>
      <c r="G118" s="4">
        <v>2</v>
      </c>
      <c r="H118" s="4">
        <v>0</v>
      </c>
      <c r="I118" s="4">
        <v>1</v>
      </c>
      <c r="J118" s="4">
        <v>0</v>
      </c>
      <c r="K118" s="4">
        <v>0</v>
      </c>
      <c r="L118" s="2" t="s">
        <v>79</v>
      </c>
    </row>
    <row r="119" spans="1:12" x14ac:dyDescent="0.2">
      <c r="A119" s="4">
        <v>12.5</v>
      </c>
      <c r="B119" s="4">
        <v>18</v>
      </c>
      <c r="C119" s="4">
        <v>16</v>
      </c>
      <c r="D119" s="4">
        <v>5</v>
      </c>
      <c r="E119" s="4">
        <v>0</v>
      </c>
      <c r="F119" s="4">
        <v>1</v>
      </c>
      <c r="G119" s="4">
        <v>1</v>
      </c>
      <c r="H119" s="4">
        <v>1</v>
      </c>
      <c r="I119" s="4">
        <v>0</v>
      </c>
      <c r="J119" s="4">
        <v>0</v>
      </c>
      <c r="K119" s="4">
        <v>0</v>
      </c>
      <c r="L119" s="2" t="s">
        <v>79</v>
      </c>
    </row>
    <row r="120" spans="1:12" x14ac:dyDescent="0.2">
      <c r="A120" s="4">
        <v>5</v>
      </c>
      <c r="B120" s="4">
        <v>12</v>
      </c>
      <c r="C120" s="4">
        <v>15</v>
      </c>
      <c r="D120" s="4">
        <v>5</v>
      </c>
      <c r="E120" s="4">
        <v>0</v>
      </c>
      <c r="F120" s="4">
        <v>1</v>
      </c>
      <c r="G120" s="4">
        <v>1</v>
      </c>
      <c r="H120" s="4">
        <v>0</v>
      </c>
      <c r="I120" s="4">
        <v>0</v>
      </c>
      <c r="J120" s="4">
        <v>0</v>
      </c>
      <c r="K120" s="4">
        <v>0</v>
      </c>
      <c r="L120" s="2" t="s">
        <v>79</v>
      </c>
    </row>
    <row r="121" spans="1:12" x14ac:dyDescent="0.2">
      <c r="A121" s="4">
        <v>5</v>
      </c>
      <c r="B121" s="10">
        <v>12</v>
      </c>
      <c r="C121" s="4">
        <v>15</v>
      </c>
      <c r="D121" s="4">
        <v>5</v>
      </c>
      <c r="E121" s="4">
        <v>0</v>
      </c>
      <c r="F121" s="4">
        <v>1</v>
      </c>
      <c r="G121" s="4">
        <v>2</v>
      </c>
      <c r="H121" s="4">
        <v>0</v>
      </c>
      <c r="I121" s="4">
        <v>1</v>
      </c>
      <c r="J121" s="4">
        <v>0</v>
      </c>
      <c r="K121" s="4">
        <v>0</v>
      </c>
      <c r="L121" s="2" t="s">
        <v>79</v>
      </c>
    </row>
    <row r="122" spans="1:12" x14ac:dyDescent="0.2">
      <c r="A122" s="4">
        <v>3.2</v>
      </c>
      <c r="B122" s="4">
        <v>12</v>
      </c>
      <c r="C122" s="4">
        <v>15</v>
      </c>
      <c r="D122" s="4">
        <v>5</v>
      </c>
      <c r="E122" s="4">
        <v>1</v>
      </c>
      <c r="F122" s="4">
        <v>1</v>
      </c>
      <c r="G122" s="4">
        <v>1</v>
      </c>
      <c r="H122" s="4">
        <v>0</v>
      </c>
      <c r="I122" s="4">
        <v>1</v>
      </c>
      <c r="J122" s="4">
        <v>0</v>
      </c>
      <c r="K122" s="4">
        <v>0</v>
      </c>
      <c r="L122" s="2" t="s">
        <v>79</v>
      </c>
    </row>
    <row r="123" spans="1:12" x14ac:dyDescent="0.2">
      <c r="A123" s="4">
        <v>3.26</v>
      </c>
      <c r="B123" s="4">
        <v>16</v>
      </c>
      <c r="C123" s="4">
        <v>15</v>
      </c>
      <c r="D123" s="4">
        <v>5</v>
      </c>
      <c r="E123" s="4">
        <v>1</v>
      </c>
      <c r="F123" s="4">
        <v>1</v>
      </c>
      <c r="G123" s="4">
        <v>2</v>
      </c>
      <c r="H123" s="4">
        <v>0</v>
      </c>
      <c r="I123" s="4">
        <v>1</v>
      </c>
      <c r="J123" s="4">
        <v>0</v>
      </c>
      <c r="K123" s="4">
        <v>0</v>
      </c>
      <c r="L123" s="2" t="s">
        <v>79</v>
      </c>
    </row>
    <row r="124" spans="1:12" x14ac:dyDescent="0.2">
      <c r="A124" s="4">
        <v>4.24</v>
      </c>
      <c r="B124" s="4">
        <v>10</v>
      </c>
      <c r="C124" s="4">
        <v>14</v>
      </c>
      <c r="D124" s="4">
        <v>5</v>
      </c>
      <c r="E124" s="10">
        <v>2</v>
      </c>
      <c r="F124" s="4">
        <v>1</v>
      </c>
      <c r="G124" s="4">
        <v>1</v>
      </c>
      <c r="H124" s="4">
        <v>0</v>
      </c>
      <c r="I124" s="4">
        <v>1</v>
      </c>
      <c r="J124" s="4">
        <v>0</v>
      </c>
      <c r="K124" s="4">
        <v>0</v>
      </c>
      <c r="L124" s="2" t="s">
        <v>79</v>
      </c>
    </row>
    <row r="125" spans="1:12" x14ac:dyDescent="0.2">
      <c r="A125" s="4">
        <v>9</v>
      </c>
      <c r="B125" s="4">
        <v>12</v>
      </c>
      <c r="C125" s="4">
        <v>11</v>
      </c>
      <c r="D125" s="4">
        <v>5</v>
      </c>
      <c r="E125" s="4">
        <v>1</v>
      </c>
      <c r="F125" s="4">
        <v>1</v>
      </c>
      <c r="G125" s="4">
        <v>0</v>
      </c>
      <c r="H125" s="4">
        <v>1</v>
      </c>
      <c r="I125" s="4">
        <v>0</v>
      </c>
      <c r="J125" s="4">
        <v>0</v>
      </c>
      <c r="K125" s="4">
        <v>0</v>
      </c>
      <c r="L125" s="2" t="s">
        <v>79</v>
      </c>
    </row>
    <row r="126" spans="1:12" x14ac:dyDescent="0.2">
      <c r="A126" s="4">
        <v>5.71</v>
      </c>
      <c r="B126" s="4">
        <v>16</v>
      </c>
      <c r="C126" s="4">
        <v>10</v>
      </c>
      <c r="D126" s="4">
        <v>5</v>
      </c>
      <c r="E126" s="4">
        <v>0</v>
      </c>
      <c r="F126" s="4">
        <v>1</v>
      </c>
      <c r="G126" s="4">
        <v>1</v>
      </c>
      <c r="H126" s="4">
        <v>0</v>
      </c>
      <c r="I126" s="4">
        <v>0</v>
      </c>
      <c r="J126" s="4">
        <v>0</v>
      </c>
      <c r="K126" s="4">
        <v>0</v>
      </c>
      <c r="L126" s="2" t="s">
        <v>79</v>
      </c>
    </row>
    <row r="127" spans="1:12" x14ac:dyDescent="0.2">
      <c r="A127" s="4">
        <v>6.5</v>
      </c>
      <c r="B127" s="4">
        <v>12</v>
      </c>
      <c r="C127" s="4">
        <v>8</v>
      </c>
      <c r="D127" s="4">
        <v>5</v>
      </c>
      <c r="E127" s="4">
        <v>1</v>
      </c>
      <c r="F127" s="4">
        <v>1</v>
      </c>
      <c r="G127" s="4">
        <v>0</v>
      </c>
      <c r="H127" s="4">
        <v>0</v>
      </c>
      <c r="I127" s="4">
        <v>1</v>
      </c>
      <c r="J127" s="4">
        <v>0</v>
      </c>
      <c r="K127" s="4">
        <v>0</v>
      </c>
      <c r="L127" s="2" t="s">
        <v>79</v>
      </c>
    </row>
    <row r="128" spans="1:12" x14ac:dyDescent="0.2">
      <c r="A128" s="4">
        <v>6.67</v>
      </c>
      <c r="B128" s="4">
        <v>12</v>
      </c>
      <c r="C128" s="4">
        <v>7</v>
      </c>
      <c r="D128" s="4">
        <v>5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2" t="s">
        <v>79</v>
      </c>
    </row>
    <row r="129" spans="1:12" x14ac:dyDescent="0.2">
      <c r="A129" s="4">
        <v>7</v>
      </c>
      <c r="B129" s="4">
        <v>12</v>
      </c>
      <c r="C129" s="4">
        <v>6</v>
      </c>
      <c r="D129" s="4">
        <v>5</v>
      </c>
      <c r="E129" s="4">
        <v>0</v>
      </c>
      <c r="F129" s="4">
        <v>1</v>
      </c>
      <c r="G129" s="4">
        <v>1</v>
      </c>
      <c r="H129" s="4">
        <v>0</v>
      </c>
      <c r="I129" s="4">
        <v>1</v>
      </c>
      <c r="J129" s="4">
        <v>0</v>
      </c>
      <c r="K129" s="4">
        <v>1</v>
      </c>
      <c r="L129" s="2" t="s">
        <v>79</v>
      </c>
    </row>
    <row r="130" spans="1:12" x14ac:dyDescent="0.2">
      <c r="A130" s="4">
        <v>3.13</v>
      </c>
      <c r="B130" s="4">
        <v>12</v>
      </c>
      <c r="C130" s="4">
        <v>6</v>
      </c>
      <c r="D130" s="4">
        <v>5</v>
      </c>
      <c r="E130" s="4">
        <v>1</v>
      </c>
      <c r="F130" s="4">
        <v>1</v>
      </c>
      <c r="G130" s="4">
        <v>1</v>
      </c>
      <c r="H130" s="4">
        <v>0</v>
      </c>
      <c r="I130" s="4">
        <v>1</v>
      </c>
      <c r="J130" s="4">
        <v>0</v>
      </c>
      <c r="K130" s="4">
        <v>0</v>
      </c>
      <c r="L130" s="2" t="s">
        <v>79</v>
      </c>
    </row>
    <row r="131" spans="1:12" x14ac:dyDescent="0.2">
      <c r="A131" s="4">
        <v>6.25</v>
      </c>
      <c r="B131" s="10">
        <v>12</v>
      </c>
      <c r="C131" s="4">
        <v>6</v>
      </c>
      <c r="D131" s="4">
        <v>5</v>
      </c>
      <c r="E131" s="4">
        <v>1</v>
      </c>
      <c r="F131" s="4">
        <v>1</v>
      </c>
      <c r="G131" s="4">
        <v>1</v>
      </c>
      <c r="H131" s="4">
        <v>1</v>
      </c>
      <c r="I131" s="4">
        <v>0</v>
      </c>
      <c r="J131" s="4">
        <v>0</v>
      </c>
      <c r="K131" s="4">
        <v>0</v>
      </c>
      <c r="L131" s="2" t="s">
        <v>79</v>
      </c>
    </row>
    <row r="132" spans="1:12" x14ac:dyDescent="0.2">
      <c r="A132" s="4">
        <v>5.75</v>
      </c>
      <c r="B132" s="4">
        <v>14</v>
      </c>
      <c r="C132" s="4">
        <v>6</v>
      </c>
      <c r="D132" s="4">
        <v>5</v>
      </c>
      <c r="E132" s="4">
        <v>0</v>
      </c>
      <c r="F132" s="4">
        <v>1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2" t="s">
        <v>79</v>
      </c>
    </row>
    <row r="133" spans="1:12" x14ac:dyDescent="0.2">
      <c r="A133" s="4">
        <v>4.5</v>
      </c>
      <c r="B133" s="4">
        <v>14</v>
      </c>
      <c r="C133" s="4">
        <v>2</v>
      </c>
      <c r="D133" s="4">
        <v>5</v>
      </c>
      <c r="E133" s="4">
        <v>1</v>
      </c>
      <c r="F133" s="4">
        <v>0</v>
      </c>
      <c r="G133" s="4">
        <v>2</v>
      </c>
      <c r="H133" s="4">
        <v>0</v>
      </c>
      <c r="I133" s="4">
        <v>0</v>
      </c>
      <c r="J133" s="4">
        <v>1</v>
      </c>
      <c r="K133" s="4">
        <v>0</v>
      </c>
      <c r="L133" s="2" t="s">
        <v>79</v>
      </c>
    </row>
    <row r="134" spans="1:12" x14ac:dyDescent="0.2">
      <c r="A134" s="4">
        <v>4.5</v>
      </c>
      <c r="B134" s="4">
        <v>12</v>
      </c>
      <c r="C134" s="9">
        <v>43.93</v>
      </c>
      <c r="D134" s="4">
        <v>4</v>
      </c>
      <c r="E134" s="4">
        <v>1</v>
      </c>
      <c r="F134" s="4">
        <v>1</v>
      </c>
      <c r="G134" s="4">
        <v>0</v>
      </c>
      <c r="H134" s="4">
        <v>1</v>
      </c>
      <c r="I134" s="4">
        <v>0</v>
      </c>
      <c r="J134" s="4">
        <v>0</v>
      </c>
      <c r="K134" s="4">
        <v>0</v>
      </c>
      <c r="L134" s="2" t="s">
        <v>79</v>
      </c>
    </row>
    <row r="135" spans="1:12" x14ac:dyDescent="0.2">
      <c r="A135" s="4">
        <v>3.33</v>
      </c>
      <c r="B135" s="4">
        <v>12</v>
      </c>
      <c r="C135" s="9">
        <v>43.93</v>
      </c>
      <c r="D135" s="4">
        <v>4</v>
      </c>
      <c r="E135" s="4">
        <v>1</v>
      </c>
      <c r="F135" s="4">
        <v>1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2" t="s">
        <v>79</v>
      </c>
    </row>
    <row r="136" spans="1:12" x14ac:dyDescent="0.2">
      <c r="A136" s="4">
        <v>10</v>
      </c>
      <c r="B136" s="4">
        <v>14</v>
      </c>
      <c r="C136" s="4">
        <v>43</v>
      </c>
      <c r="D136" s="4">
        <v>4</v>
      </c>
      <c r="E136" s="10">
        <v>2</v>
      </c>
      <c r="F136" s="4">
        <v>1</v>
      </c>
      <c r="G136" s="4">
        <v>0</v>
      </c>
      <c r="H136" s="4">
        <v>1</v>
      </c>
      <c r="I136" s="4">
        <v>0</v>
      </c>
      <c r="J136" s="4">
        <v>0</v>
      </c>
      <c r="K136" s="4">
        <v>0</v>
      </c>
      <c r="L136" s="2" t="s">
        <v>79</v>
      </c>
    </row>
    <row r="137" spans="1:12" x14ac:dyDescent="0.2">
      <c r="A137" s="4">
        <v>4.5</v>
      </c>
      <c r="B137" s="4">
        <v>12</v>
      </c>
      <c r="C137" s="4">
        <v>31</v>
      </c>
      <c r="D137" s="4">
        <v>4</v>
      </c>
      <c r="E137" s="4">
        <v>1</v>
      </c>
      <c r="F137" s="4">
        <v>1</v>
      </c>
      <c r="G137" s="4">
        <v>3</v>
      </c>
      <c r="H137" s="4">
        <v>0</v>
      </c>
      <c r="I137" s="4">
        <v>1</v>
      </c>
      <c r="J137" s="4">
        <v>0</v>
      </c>
      <c r="K137" s="4">
        <v>0</v>
      </c>
      <c r="L137" s="2" t="s">
        <v>79</v>
      </c>
    </row>
    <row r="138" spans="1:12" x14ac:dyDescent="0.2">
      <c r="A138" s="4">
        <v>4.2699999999999996</v>
      </c>
      <c r="B138" s="4">
        <v>16</v>
      </c>
      <c r="C138" s="4">
        <v>22</v>
      </c>
      <c r="D138" s="4">
        <v>4</v>
      </c>
      <c r="E138" s="4">
        <v>1</v>
      </c>
      <c r="F138" s="4">
        <v>1</v>
      </c>
      <c r="G138" s="4">
        <v>1</v>
      </c>
      <c r="H138" s="4">
        <v>0</v>
      </c>
      <c r="I138" s="4">
        <v>0</v>
      </c>
      <c r="J138" s="4">
        <v>1</v>
      </c>
      <c r="K138" s="4">
        <v>0</v>
      </c>
      <c r="L138" s="2" t="s">
        <v>79</v>
      </c>
    </row>
    <row r="139" spans="1:12" x14ac:dyDescent="0.2">
      <c r="A139" s="4">
        <v>20</v>
      </c>
      <c r="B139" s="4">
        <v>12</v>
      </c>
      <c r="C139" s="4">
        <v>22</v>
      </c>
      <c r="D139" s="4">
        <v>4</v>
      </c>
      <c r="E139" s="4">
        <v>0</v>
      </c>
      <c r="F139" s="4">
        <v>1</v>
      </c>
      <c r="G139" s="4">
        <v>1</v>
      </c>
      <c r="H139" s="4">
        <v>0</v>
      </c>
      <c r="I139" s="4">
        <v>1</v>
      </c>
      <c r="J139" s="4">
        <v>0</v>
      </c>
      <c r="K139" s="4">
        <v>0</v>
      </c>
      <c r="L139" s="2" t="s">
        <v>79</v>
      </c>
    </row>
    <row r="140" spans="1:12" x14ac:dyDescent="0.2">
      <c r="A140" s="4">
        <v>3.5</v>
      </c>
      <c r="B140" s="4">
        <v>12</v>
      </c>
      <c r="C140" s="4">
        <v>20</v>
      </c>
      <c r="D140" s="4">
        <v>4</v>
      </c>
      <c r="E140" s="4">
        <v>1</v>
      </c>
      <c r="F140" s="4">
        <v>1</v>
      </c>
      <c r="G140" s="4">
        <v>2</v>
      </c>
      <c r="H140" s="4">
        <v>0</v>
      </c>
      <c r="I140" s="4">
        <v>0</v>
      </c>
      <c r="J140" s="4">
        <v>0</v>
      </c>
      <c r="K140" s="4">
        <v>0</v>
      </c>
      <c r="L140" s="2" t="s">
        <v>79</v>
      </c>
    </row>
    <row r="141" spans="1:12" x14ac:dyDescent="0.2">
      <c r="A141" s="4">
        <v>6</v>
      </c>
      <c r="B141" s="4">
        <v>15</v>
      </c>
      <c r="C141" s="4">
        <v>19</v>
      </c>
      <c r="D141" s="4">
        <v>4</v>
      </c>
      <c r="E141" s="4">
        <v>1</v>
      </c>
      <c r="F141" s="4">
        <v>1</v>
      </c>
      <c r="G141" s="4">
        <v>2</v>
      </c>
      <c r="H141" s="4">
        <v>0</v>
      </c>
      <c r="I141" s="4">
        <v>1</v>
      </c>
      <c r="J141" s="4">
        <v>0</v>
      </c>
      <c r="K141" s="4">
        <v>0</v>
      </c>
      <c r="L141" s="2" t="s">
        <v>79</v>
      </c>
    </row>
    <row r="142" spans="1:12" x14ac:dyDescent="0.2">
      <c r="A142" s="4">
        <v>8</v>
      </c>
      <c r="B142" s="4">
        <v>12</v>
      </c>
      <c r="C142" s="4">
        <v>14</v>
      </c>
      <c r="D142" s="4">
        <v>4</v>
      </c>
      <c r="E142" s="4">
        <v>1</v>
      </c>
      <c r="F142" s="4">
        <v>0</v>
      </c>
      <c r="G142" s="4">
        <v>1</v>
      </c>
      <c r="H142" s="4">
        <v>0</v>
      </c>
      <c r="I142" s="4">
        <v>0</v>
      </c>
      <c r="J142" s="4">
        <v>0</v>
      </c>
      <c r="K142" s="4">
        <v>0</v>
      </c>
      <c r="L142" s="2" t="s">
        <v>79</v>
      </c>
    </row>
    <row r="143" spans="1:12" x14ac:dyDescent="0.2">
      <c r="A143" s="4">
        <v>6.25</v>
      </c>
      <c r="B143" s="4">
        <v>15</v>
      </c>
      <c r="C143" s="4">
        <v>12</v>
      </c>
      <c r="D143" s="4">
        <v>4</v>
      </c>
      <c r="E143" s="4">
        <v>1</v>
      </c>
      <c r="F143" s="4">
        <v>1</v>
      </c>
      <c r="G143" s="4">
        <v>2</v>
      </c>
      <c r="H143" s="4">
        <v>0</v>
      </c>
      <c r="I143" s="4">
        <v>0</v>
      </c>
      <c r="J143" s="4">
        <v>0</v>
      </c>
      <c r="K143" s="4">
        <v>0</v>
      </c>
      <c r="L143" s="2" t="s">
        <v>79</v>
      </c>
    </row>
    <row r="144" spans="1:12" x14ac:dyDescent="0.2">
      <c r="A144" s="4">
        <v>6.88</v>
      </c>
      <c r="B144" s="10">
        <v>12</v>
      </c>
      <c r="C144" s="4">
        <v>11</v>
      </c>
      <c r="D144" s="4">
        <v>4</v>
      </c>
      <c r="E144" s="4">
        <v>1</v>
      </c>
      <c r="F144" s="4">
        <v>0</v>
      </c>
      <c r="G144" s="4">
        <v>0</v>
      </c>
      <c r="H144" s="4">
        <v>0</v>
      </c>
      <c r="I144" s="4">
        <v>0</v>
      </c>
      <c r="J144" s="4">
        <v>1</v>
      </c>
      <c r="K144" s="4">
        <v>0</v>
      </c>
      <c r="L144" s="2" t="s">
        <v>79</v>
      </c>
    </row>
    <row r="145" spans="1:12" x14ac:dyDescent="0.2">
      <c r="A145" s="4">
        <v>6.25</v>
      </c>
      <c r="B145" s="4">
        <v>16</v>
      </c>
      <c r="C145" s="4">
        <v>11</v>
      </c>
      <c r="D145" s="4">
        <v>4</v>
      </c>
      <c r="E145" s="4">
        <v>0</v>
      </c>
      <c r="F145" s="4">
        <v>0</v>
      </c>
      <c r="G145" s="4">
        <v>0</v>
      </c>
      <c r="H145" s="4">
        <v>1</v>
      </c>
      <c r="I145" s="4">
        <v>0</v>
      </c>
      <c r="J145" s="4">
        <v>0</v>
      </c>
      <c r="K145" s="4">
        <v>0</v>
      </c>
      <c r="L145" s="2" t="s">
        <v>79</v>
      </c>
    </row>
    <row r="146" spans="1:12" x14ac:dyDescent="0.2">
      <c r="A146" s="4">
        <v>6.38</v>
      </c>
      <c r="B146" s="4">
        <v>13</v>
      </c>
      <c r="C146" s="4">
        <v>11</v>
      </c>
      <c r="D146" s="4">
        <v>4</v>
      </c>
      <c r="E146" s="4">
        <v>1</v>
      </c>
      <c r="F146" s="4">
        <v>0</v>
      </c>
      <c r="G146" s="4">
        <v>0</v>
      </c>
      <c r="H146" s="4">
        <v>0</v>
      </c>
      <c r="I146" s="4">
        <v>0</v>
      </c>
      <c r="J146" s="4">
        <v>1</v>
      </c>
      <c r="K146" s="4">
        <v>0</v>
      </c>
      <c r="L146" s="2" t="s">
        <v>79</v>
      </c>
    </row>
    <row r="147" spans="1:12" x14ac:dyDescent="0.2">
      <c r="A147" s="4">
        <v>5.78</v>
      </c>
      <c r="B147" s="4">
        <v>16</v>
      </c>
      <c r="C147" s="4">
        <v>11</v>
      </c>
      <c r="D147" s="4">
        <v>4</v>
      </c>
      <c r="E147" s="4">
        <v>0</v>
      </c>
      <c r="F147" s="4">
        <v>1</v>
      </c>
      <c r="G147" s="4">
        <v>2</v>
      </c>
      <c r="H147" s="4">
        <v>1</v>
      </c>
      <c r="I147" s="4">
        <v>0</v>
      </c>
      <c r="J147" s="4">
        <v>0</v>
      </c>
      <c r="K147" s="4">
        <v>0</v>
      </c>
      <c r="L147" s="2" t="s">
        <v>79</v>
      </c>
    </row>
    <row r="148" spans="1:12" x14ac:dyDescent="0.2">
      <c r="A148" s="4">
        <v>7.63</v>
      </c>
      <c r="B148" s="4">
        <v>12</v>
      </c>
      <c r="C148" s="4">
        <v>8</v>
      </c>
      <c r="D148" s="4">
        <v>4</v>
      </c>
      <c r="E148" s="4">
        <v>1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2" t="s">
        <v>79</v>
      </c>
    </row>
    <row r="149" spans="1:12" x14ac:dyDescent="0.2">
      <c r="A149" s="4">
        <v>3.75</v>
      </c>
      <c r="B149" s="10">
        <v>12</v>
      </c>
      <c r="C149" s="4">
        <v>8</v>
      </c>
      <c r="D149" s="4">
        <v>4</v>
      </c>
      <c r="E149" s="4">
        <v>1</v>
      </c>
      <c r="F149" s="4">
        <v>1</v>
      </c>
      <c r="G149" s="4">
        <v>0</v>
      </c>
      <c r="H149" s="4">
        <v>0</v>
      </c>
      <c r="I149" s="4">
        <v>1</v>
      </c>
      <c r="J149" s="4">
        <v>0</v>
      </c>
      <c r="K149" s="4">
        <v>0</v>
      </c>
      <c r="L149" s="2" t="s">
        <v>79</v>
      </c>
    </row>
    <row r="150" spans="1:12" x14ac:dyDescent="0.2">
      <c r="A150" s="4">
        <v>6.25</v>
      </c>
      <c r="B150" s="10">
        <v>12</v>
      </c>
      <c r="C150" s="4">
        <v>7</v>
      </c>
      <c r="D150" s="4">
        <v>4</v>
      </c>
      <c r="E150" s="4">
        <v>1</v>
      </c>
      <c r="F150" s="4">
        <v>1</v>
      </c>
      <c r="G150" s="4">
        <v>3</v>
      </c>
      <c r="H150" s="4">
        <v>0</v>
      </c>
      <c r="I150" s="4">
        <v>0</v>
      </c>
      <c r="J150" s="4">
        <v>0</v>
      </c>
      <c r="K150" s="4">
        <v>0</v>
      </c>
      <c r="L150" s="2" t="s">
        <v>79</v>
      </c>
    </row>
    <row r="151" spans="1:12" x14ac:dyDescent="0.2">
      <c r="A151" s="4">
        <v>3.5</v>
      </c>
      <c r="B151" s="4">
        <v>14</v>
      </c>
      <c r="C151" s="4">
        <v>5</v>
      </c>
      <c r="D151" s="4">
        <v>4</v>
      </c>
      <c r="E151" s="4">
        <v>1</v>
      </c>
      <c r="F151" s="4">
        <v>0</v>
      </c>
      <c r="G151" s="4">
        <v>2</v>
      </c>
      <c r="H151" s="4">
        <v>0</v>
      </c>
      <c r="I151" s="4">
        <v>0</v>
      </c>
      <c r="J151" s="4">
        <v>1</v>
      </c>
      <c r="K151" s="4">
        <v>0</v>
      </c>
      <c r="L151" s="2" t="s">
        <v>79</v>
      </c>
    </row>
    <row r="152" spans="1:12" x14ac:dyDescent="0.2">
      <c r="A152" s="4">
        <v>3.35</v>
      </c>
      <c r="B152" s="4">
        <v>14</v>
      </c>
      <c r="C152" s="4">
        <v>5</v>
      </c>
      <c r="D152" s="4">
        <v>4</v>
      </c>
      <c r="E152" s="4">
        <v>1</v>
      </c>
      <c r="F152" s="4">
        <v>1</v>
      </c>
      <c r="G152" s="4">
        <v>0</v>
      </c>
      <c r="H152" s="4">
        <v>1</v>
      </c>
      <c r="I152" s="4">
        <v>0</v>
      </c>
      <c r="J152" s="4">
        <v>0</v>
      </c>
      <c r="K152" s="4">
        <v>0</v>
      </c>
      <c r="L152" s="2" t="s">
        <v>79</v>
      </c>
    </row>
    <row r="153" spans="1:12" x14ac:dyDescent="0.2">
      <c r="A153" s="4">
        <v>6.88</v>
      </c>
      <c r="B153" s="10">
        <v>12</v>
      </c>
      <c r="C153" s="4">
        <v>4</v>
      </c>
      <c r="D153" s="4">
        <v>4</v>
      </c>
      <c r="E153" s="4">
        <v>0</v>
      </c>
      <c r="F153" s="4">
        <v>0</v>
      </c>
      <c r="G153" s="4">
        <v>0</v>
      </c>
      <c r="H153" s="4">
        <v>1</v>
      </c>
      <c r="I153" s="4">
        <v>0</v>
      </c>
      <c r="J153" s="4">
        <v>0</v>
      </c>
      <c r="K153" s="4">
        <v>0</v>
      </c>
      <c r="L153" s="2" t="s">
        <v>79</v>
      </c>
    </row>
    <row r="154" spans="1:12" x14ac:dyDescent="0.2">
      <c r="A154" s="4">
        <v>5.77</v>
      </c>
      <c r="B154" s="4">
        <v>10</v>
      </c>
      <c r="C154" s="9">
        <v>43.93</v>
      </c>
      <c r="D154" s="4">
        <v>3</v>
      </c>
      <c r="E154" s="4">
        <v>0</v>
      </c>
      <c r="F154" s="4">
        <v>1</v>
      </c>
      <c r="G154" s="4">
        <v>0</v>
      </c>
      <c r="H154" s="4">
        <v>1</v>
      </c>
      <c r="I154" s="4">
        <v>0</v>
      </c>
      <c r="J154" s="4">
        <v>0</v>
      </c>
      <c r="K154" s="4">
        <v>0</v>
      </c>
      <c r="L154" s="2" t="s">
        <v>79</v>
      </c>
    </row>
    <row r="155" spans="1:12" x14ac:dyDescent="0.2">
      <c r="A155" s="4">
        <v>8.1</v>
      </c>
      <c r="B155" s="4">
        <v>12</v>
      </c>
      <c r="C155" s="4">
        <v>38</v>
      </c>
      <c r="D155" s="4">
        <v>3</v>
      </c>
      <c r="E155" s="4">
        <v>1</v>
      </c>
      <c r="F155" s="4">
        <v>1</v>
      </c>
      <c r="G155" s="4">
        <v>1</v>
      </c>
      <c r="H155" s="4">
        <v>1</v>
      </c>
      <c r="I155" s="4">
        <v>0</v>
      </c>
      <c r="J155" s="4">
        <v>0</v>
      </c>
      <c r="K155" s="4">
        <v>0</v>
      </c>
      <c r="L155" s="2" t="s">
        <v>79</v>
      </c>
    </row>
    <row r="156" spans="1:12" x14ac:dyDescent="0.2">
      <c r="A156" s="4">
        <v>5.48</v>
      </c>
      <c r="B156" s="4">
        <v>10</v>
      </c>
      <c r="C156" s="4">
        <v>36</v>
      </c>
      <c r="D156" s="4">
        <v>3</v>
      </c>
      <c r="E156" s="4">
        <v>1</v>
      </c>
      <c r="F156" s="4">
        <v>1</v>
      </c>
      <c r="G156" s="4">
        <v>0</v>
      </c>
      <c r="H156" s="4">
        <v>0</v>
      </c>
      <c r="I156" s="4">
        <v>1</v>
      </c>
      <c r="J156" s="4">
        <v>0</v>
      </c>
      <c r="K156" s="4">
        <v>0</v>
      </c>
      <c r="L156" s="2" t="s">
        <v>79</v>
      </c>
    </row>
    <row r="157" spans="1:12" x14ac:dyDescent="0.2">
      <c r="A157" s="4">
        <v>3</v>
      </c>
      <c r="B157" s="4">
        <v>14</v>
      </c>
      <c r="C157" s="4">
        <v>33</v>
      </c>
      <c r="D157" s="4">
        <v>3</v>
      </c>
      <c r="E157" s="4">
        <v>1</v>
      </c>
      <c r="F157" s="4">
        <v>1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2" t="s">
        <v>79</v>
      </c>
    </row>
    <row r="158" spans="1:12" x14ac:dyDescent="0.2">
      <c r="A158" s="4">
        <v>5.52</v>
      </c>
      <c r="B158" s="4">
        <v>13</v>
      </c>
      <c r="C158" s="4">
        <v>31</v>
      </c>
      <c r="D158" s="4">
        <v>3</v>
      </c>
      <c r="E158" s="4">
        <v>0</v>
      </c>
      <c r="F158" s="4">
        <v>0</v>
      </c>
      <c r="G158" s="4">
        <v>0</v>
      </c>
      <c r="H158" s="4">
        <v>0</v>
      </c>
      <c r="I158" s="4">
        <v>1</v>
      </c>
      <c r="J158" s="4">
        <v>0</v>
      </c>
      <c r="K158" s="4">
        <v>0</v>
      </c>
      <c r="L158" s="2" t="s">
        <v>79</v>
      </c>
    </row>
    <row r="159" spans="1:12" x14ac:dyDescent="0.2">
      <c r="A159" s="4">
        <v>3.5</v>
      </c>
      <c r="B159" s="4">
        <v>12</v>
      </c>
      <c r="C159" s="4">
        <v>31</v>
      </c>
      <c r="D159" s="4">
        <v>3</v>
      </c>
      <c r="E159" s="4">
        <v>1</v>
      </c>
      <c r="F159" s="4">
        <v>0</v>
      </c>
      <c r="G159" s="4">
        <v>1</v>
      </c>
      <c r="H159" s="4">
        <v>0</v>
      </c>
      <c r="I159" s="4">
        <v>0</v>
      </c>
      <c r="J159" s="4">
        <v>1</v>
      </c>
      <c r="K159" s="4">
        <v>0</v>
      </c>
      <c r="L159" s="2" t="s">
        <v>79</v>
      </c>
    </row>
    <row r="160" spans="1:12" x14ac:dyDescent="0.2">
      <c r="A160" s="4">
        <v>2.23</v>
      </c>
      <c r="B160" s="4">
        <v>8</v>
      </c>
      <c r="C160" s="4">
        <v>28</v>
      </c>
      <c r="D160" s="4">
        <v>3</v>
      </c>
      <c r="E160" s="4">
        <v>0</v>
      </c>
      <c r="F160" s="4">
        <v>1</v>
      </c>
      <c r="G160" s="4">
        <v>4</v>
      </c>
      <c r="H160" s="4">
        <v>0</v>
      </c>
      <c r="I160" s="4">
        <v>1</v>
      </c>
      <c r="J160" s="4">
        <v>0</v>
      </c>
      <c r="K160" s="4">
        <v>0</v>
      </c>
      <c r="L160" s="2" t="s">
        <v>79</v>
      </c>
    </row>
    <row r="161" spans="1:12" x14ac:dyDescent="0.2">
      <c r="A161" s="4">
        <v>8.43</v>
      </c>
      <c r="B161" s="4">
        <v>8</v>
      </c>
      <c r="C161" s="4">
        <v>27</v>
      </c>
      <c r="D161" s="4">
        <v>3</v>
      </c>
      <c r="E161" s="4">
        <v>0</v>
      </c>
      <c r="F161" s="4">
        <v>1</v>
      </c>
      <c r="G161" s="4">
        <v>3</v>
      </c>
      <c r="H161" s="4">
        <v>0</v>
      </c>
      <c r="I161" s="4">
        <v>1</v>
      </c>
      <c r="J161" s="4">
        <v>0</v>
      </c>
      <c r="K161" s="4">
        <v>0</v>
      </c>
      <c r="L161" s="2" t="s">
        <v>79</v>
      </c>
    </row>
    <row r="162" spans="1:12" x14ac:dyDescent="0.2">
      <c r="A162" s="4">
        <v>10</v>
      </c>
      <c r="B162" s="4">
        <v>12</v>
      </c>
      <c r="C162" s="4">
        <v>25</v>
      </c>
      <c r="D162" s="4">
        <v>3</v>
      </c>
      <c r="E162" s="4">
        <v>0</v>
      </c>
      <c r="F162" s="4">
        <v>1</v>
      </c>
      <c r="G162" s="4">
        <v>3</v>
      </c>
      <c r="H162" s="4">
        <v>0</v>
      </c>
      <c r="I162" s="4">
        <v>0</v>
      </c>
      <c r="J162" s="4">
        <v>0</v>
      </c>
      <c r="K162" s="4">
        <v>0</v>
      </c>
      <c r="L162" s="2" t="s">
        <v>79</v>
      </c>
    </row>
    <row r="163" spans="1:12" x14ac:dyDescent="0.2">
      <c r="A163" s="4">
        <v>8.02</v>
      </c>
      <c r="B163" s="4">
        <v>18</v>
      </c>
      <c r="C163" s="4">
        <v>23</v>
      </c>
      <c r="D163" s="4">
        <v>3</v>
      </c>
      <c r="E163" s="4">
        <v>1</v>
      </c>
      <c r="F163" s="4">
        <v>1</v>
      </c>
      <c r="G163" s="4">
        <v>1</v>
      </c>
      <c r="H163" s="4">
        <v>0</v>
      </c>
      <c r="I163" s="4">
        <v>1</v>
      </c>
      <c r="J163" s="4">
        <v>0</v>
      </c>
      <c r="K163" s="4">
        <v>0</v>
      </c>
      <c r="L163" s="2" t="s">
        <v>79</v>
      </c>
    </row>
    <row r="164" spans="1:12" x14ac:dyDescent="0.2">
      <c r="A164" s="4">
        <v>4</v>
      </c>
      <c r="B164" s="4">
        <v>14</v>
      </c>
      <c r="C164" s="4">
        <v>22</v>
      </c>
      <c r="D164" s="4">
        <v>3</v>
      </c>
      <c r="E164" s="4">
        <v>1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1</v>
      </c>
      <c r="L164" s="2" t="s">
        <v>79</v>
      </c>
    </row>
    <row r="165" spans="1:12" x14ac:dyDescent="0.2">
      <c r="A165" s="4">
        <v>6.63</v>
      </c>
      <c r="B165" s="4">
        <v>15</v>
      </c>
      <c r="C165" s="4">
        <v>21</v>
      </c>
      <c r="D165" s="4">
        <v>3</v>
      </c>
      <c r="E165" s="4">
        <v>1</v>
      </c>
      <c r="F165" s="4">
        <v>1</v>
      </c>
      <c r="G165" s="4">
        <v>2</v>
      </c>
      <c r="H165" s="4">
        <v>0</v>
      </c>
      <c r="I165" s="4">
        <v>0</v>
      </c>
      <c r="J165" s="4">
        <v>1</v>
      </c>
      <c r="K165" s="4">
        <v>0</v>
      </c>
      <c r="L165" s="2" t="s">
        <v>79</v>
      </c>
    </row>
    <row r="166" spans="1:12" x14ac:dyDescent="0.2">
      <c r="A166" s="4">
        <v>6.76</v>
      </c>
      <c r="B166" s="4">
        <v>12</v>
      </c>
      <c r="C166" s="4">
        <v>19</v>
      </c>
      <c r="D166" s="4">
        <v>3</v>
      </c>
      <c r="E166" s="4">
        <v>0</v>
      </c>
      <c r="F166" s="4">
        <v>1</v>
      </c>
      <c r="G166" s="4">
        <v>2</v>
      </c>
      <c r="H166" s="4">
        <v>0</v>
      </c>
      <c r="I166" s="4">
        <v>0</v>
      </c>
      <c r="J166" s="4">
        <v>0</v>
      </c>
      <c r="K166" s="4">
        <v>0</v>
      </c>
      <c r="L166" s="2" t="s">
        <v>79</v>
      </c>
    </row>
    <row r="167" spans="1:12" x14ac:dyDescent="0.2">
      <c r="A167" s="4">
        <v>3.26</v>
      </c>
      <c r="B167" s="4">
        <v>12</v>
      </c>
      <c r="C167" s="4">
        <v>13</v>
      </c>
      <c r="D167" s="4">
        <v>3</v>
      </c>
      <c r="E167" s="4">
        <v>1</v>
      </c>
      <c r="F167" s="4">
        <v>1</v>
      </c>
      <c r="G167" s="4">
        <v>1</v>
      </c>
      <c r="H167" s="4">
        <v>0</v>
      </c>
      <c r="I167" s="4">
        <v>0</v>
      </c>
      <c r="J167" s="4">
        <v>0</v>
      </c>
      <c r="K167" s="4">
        <v>0</v>
      </c>
      <c r="L167" s="2" t="s">
        <v>79</v>
      </c>
    </row>
    <row r="168" spans="1:12" x14ac:dyDescent="0.2">
      <c r="A168" s="4">
        <v>4.79</v>
      </c>
      <c r="B168" s="4">
        <v>12</v>
      </c>
      <c r="C168" s="4">
        <v>12</v>
      </c>
      <c r="D168" s="4">
        <v>3</v>
      </c>
      <c r="E168" s="4">
        <v>1</v>
      </c>
      <c r="F168" s="4">
        <v>1</v>
      </c>
      <c r="G168" s="4">
        <v>3</v>
      </c>
      <c r="H168" s="4">
        <v>1</v>
      </c>
      <c r="I168" s="4">
        <v>0</v>
      </c>
      <c r="J168" s="4">
        <v>0</v>
      </c>
      <c r="K168" s="4">
        <v>0</v>
      </c>
      <c r="L168" s="2" t="s">
        <v>79</v>
      </c>
    </row>
    <row r="169" spans="1:12" x14ac:dyDescent="0.2">
      <c r="A169" s="4">
        <v>3.88</v>
      </c>
      <c r="B169" s="4">
        <v>12</v>
      </c>
      <c r="C169" s="4">
        <v>12</v>
      </c>
      <c r="D169" s="4">
        <v>3</v>
      </c>
      <c r="E169" s="4">
        <v>0</v>
      </c>
      <c r="F169" s="4">
        <v>1</v>
      </c>
      <c r="G169" s="4">
        <v>3</v>
      </c>
      <c r="H169" s="4">
        <v>0</v>
      </c>
      <c r="I169" s="4">
        <v>1</v>
      </c>
      <c r="J169" s="4">
        <v>0</v>
      </c>
      <c r="K169" s="4">
        <v>0</v>
      </c>
      <c r="L169" s="2" t="s">
        <v>79</v>
      </c>
    </row>
    <row r="170" spans="1:12" x14ac:dyDescent="0.2">
      <c r="A170" s="4">
        <v>6</v>
      </c>
      <c r="B170" s="4">
        <v>14</v>
      </c>
      <c r="C170" s="4">
        <v>11</v>
      </c>
      <c r="D170" s="4">
        <v>3</v>
      </c>
      <c r="E170" s="4">
        <v>1</v>
      </c>
      <c r="F170" s="4">
        <v>1</v>
      </c>
      <c r="G170" s="4">
        <v>2</v>
      </c>
      <c r="H170" s="4">
        <v>0</v>
      </c>
      <c r="I170" s="4">
        <v>1</v>
      </c>
      <c r="J170" s="4">
        <v>0</v>
      </c>
      <c r="K170" s="4">
        <v>0</v>
      </c>
      <c r="L170" s="2" t="s">
        <v>79</v>
      </c>
    </row>
    <row r="171" spans="1:12" x14ac:dyDescent="0.2">
      <c r="A171" s="4">
        <v>4.2</v>
      </c>
      <c r="B171" s="4">
        <v>13</v>
      </c>
      <c r="C171" s="4">
        <v>11</v>
      </c>
      <c r="D171" s="4">
        <v>3</v>
      </c>
      <c r="E171" s="4">
        <v>1</v>
      </c>
      <c r="F171" s="4">
        <v>1</v>
      </c>
      <c r="G171" s="4">
        <v>2</v>
      </c>
      <c r="H171" s="4">
        <v>1</v>
      </c>
      <c r="I171" s="4">
        <v>0</v>
      </c>
      <c r="J171" s="4">
        <v>0</v>
      </c>
      <c r="K171" s="4">
        <v>0</v>
      </c>
      <c r="L171" s="2" t="s">
        <v>79</v>
      </c>
    </row>
    <row r="172" spans="1:12" x14ac:dyDescent="0.2">
      <c r="A172" s="4">
        <v>6.29</v>
      </c>
      <c r="B172" s="4">
        <v>17</v>
      </c>
      <c r="C172" s="4">
        <v>10</v>
      </c>
      <c r="D172" s="4">
        <v>3</v>
      </c>
      <c r="E172" s="4">
        <v>0</v>
      </c>
      <c r="F172" s="4">
        <v>1</v>
      </c>
      <c r="G172" s="4">
        <v>1</v>
      </c>
      <c r="H172" s="4">
        <v>0</v>
      </c>
      <c r="I172" s="4">
        <v>1</v>
      </c>
      <c r="J172" s="4">
        <v>0</v>
      </c>
      <c r="K172" s="4">
        <v>0</v>
      </c>
      <c r="L172" s="2" t="s">
        <v>79</v>
      </c>
    </row>
    <row r="173" spans="1:12" x14ac:dyDescent="0.2">
      <c r="A173" s="4">
        <v>5.43</v>
      </c>
      <c r="B173" s="4">
        <v>14</v>
      </c>
      <c r="C173" s="4">
        <v>10</v>
      </c>
      <c r="D173" s="4">
        <v>3</v>
      </c>
      <c r="E173" s="4">
        <v>0</v>
      </c>
      <c r="F173" s="4">
        <v>1</v>
      </c>
      <c r="G173" s="4">
        <v>1</v>
      </c>
      <c r="H173" s="4">
        <v>0</v>
      </c>
      <c r="I173" s="4">
        <v>1</v>
      </c>
      <c r="J173" s="4">
        <v>0</v>
      </c>
      <c r="K173" s="4">
        <v>0</v>
      </c>
      <c r="L173" s="2" t="s">
        <v>79</v>
      </c>
    </row>
    <row r="174" spans="1:12" x14ac:dyDescent="0.2">
      <c r="A174" s="4">
        <v>17.71</v>
      </c>
      <c r="B174" s="4">
        <v>16</v>
      </c>
      <c r="C174" s="4">
        <v>10</v>
      </c>
      <c r="D174" s="4">
        <v>3</v>
      </c>
      <c r="E174" s="4">
        <v>0</v>
      </c>
      <c r="F174" s="4">
        <v>1</v>
      </c>
      <c r="G174" s="4">
        <v>1</v>
      </c>
      <c r="H174" s="4">
        <v>0</v>
      </c>
      <c r="I174" s="4">
        <v>0</v>
      </c>
      <c r="J174" s="4">
        <v>1</v>
      </c>
      <c r="K174" s="4">
        <v>1</v>
      </c>
      <c r="L174" s="2" t="s">
        <v>79</v>
      </c>
    </row>
    <row r="175" spans="1:12" x14ac:dyDescent="0.2">
      <c r="A175" s="4">
        <v>7.78</v>
      </c>
      <c r="B175" s="4">
        <v>14</v>
      </c>
      <c r="C175" s="4">
        <v>9</v>
      </c>
      <c r="D175" s="4">
        <v>3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2" t="s">
        <v>79</v>
      </c>
    </row>
    <row r="176" spans="1:12" x14ac:dyDescent="0.2">
      <c r="A176" s="4">
        <v>10</v>
      </c>
      <c r="B176" s="4">
        <v>16</v>
      </c>
      <c r="C176" s="4">
        <v>9</v>
      </c>
      <c r="D176" s="4">
        <v>3</v>
      </c>
      <c r="E176" s="4">
        <v>0</v>
      </c>
      <c r="F176" s="4">
        <v>1</v>
      </c>
      <c r="G176" s="4">
        <v>2</v>
      </c>
      <c r="H176" s="4">
        <v>0</v>
      </c>
      <c r="I176" s="4">
        <v>1</v>
      </c>
      <c r="J176" s="4">
        <v>0</v>
      </c>
      <c r="K176" s="4">
        <v>0</v>
      </c>
      <c r="L176" s="2" t="s">
        <v>79</v>
      </c>
    </row>
    <row r="177" spans="1:12" x14ac:dyDescent="0.2">
      <c r="A177" s="4">
        <v>5</v>
      </c>
      <c r="B177" s="4">
        <v>12</v>
      </c>
      <c r="C177" s="4">
        <v>7</v>
      </c>
      <c r="D177" s="4">
        <v>3</v>
      </c>
      <c r="E177" s="4">
        <v>1</v>
      </c>
      <c r="F177" s="4">
        <v>0</v>
      </c>
      <c r="G177" s="4">
        <v>0</v>
      </c>
      <c r="H177" s="4">
        <v>0</v>
      </c>
      <c r="I177" s="4">
        <v>0</v>
      </c>
      <c r="J177" s="4">
        <v>1</v>
      </c>
      <c r="K177" s="4">
        <v>0</v>
      </c>
      <c r="L177" s="2" t="s">
        <v>79</v>
      </c>
    </row>
    <row r="178" spans="1:12" x14ac:dyDescent="0.2">
      <c r="A178" s="4">
        <v>5.4</v>
      </c>
      <c r="B178" s="4">
        <v>12</v>
      </c>
      <c r="C178" s="4">
        <v>6</v>
      </c>
      <c r="D178" s="4">
        <v>3</v>
      </c>
      <c r="E178" s="4">
        <v>0</v>
      </c>
      <c r="F178" s="4">
        <v>1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2" t="s">
        <v>79</v>
      </c>
    </row>
    <row r="179" spans="1:12" x14ac:dyDescent="0.2">
      <c r="A179" s="4">
        <v>5</v>
      </c>
      <c r="B179" s="4">
        <v>12</v>
      </c>
      <c r="C179" s="4">
        <v>5</v>
      </c>
      <c r="D179" s="4">
        <v>3</v>
      </c>
      <c r="E179" s="4">
        <v>1</v>
      </c>
      <c r="F179" s="4">
        <v>0</v>
      </c>
      <c r="G179" s="4">
        <v>0</v>
      </c>
      <c r="H179" s="4">
        <v>0</v>
      </c>
      <c r="I179" s="4">
        <v>0</v>
      </c>
      <c r="J179" s="4">
        <v>1</v>
      </c>
      <c r="K179" s="4">
        <v>0</v>
      </c>
      <c r="L179" s="2" t="s">
        <v>79</v>
      </c>
    </row>
    <row r="180" spans="1:12" x14ac:dyDescent="0.2">
      <c r="A180" s="4">
        <v>10</v>
      </c>
      <c r="B180" s="4">
        <v>17</v>
      </c>
      <c r="C180" s="4">
        <v>5</v>
      </c>
      <c r="D180" s="4">
        <v>3</v>
      </c>
      <c r="E180" s="4">
        <v>0</v>
      </c>
      <c r="F180" s="4">
        <v>1</v>
      </c>
      <c r="G180" s="4">
        <v>0</v>
      </c>
      <c r="H180" s="4">
        <v>1</v>
      </c>
      <c r="I180" s="4">
        <v>0</v>
      </c>
      <c r="J180" s="4">
        <v>0</v>
      </c>
      <c r="K180" s="4">
        <v>0</v>
      </c>
      <c r="L180" s="2" t="s">
        <v>79</v>
      </c>
    </row>
    <row r="181" spans="1:12" x14ac:dyDescent="0.2">
      <c r="A181" s="4">
        <v>6.25</v>
      </c>
      <c r="B181" s="4">
        <v>16</v>
      </c>
      <c r="C181" s="4">
        <v>4</v>
      </c>
      <c r="D181" s="4">
        <v>3</v>
      </c>
      <c r="E181" s="4">
        <v>0</v>
      </c>
      <c r="F181" s="4">
        <v>1</v>
      </c>
      <c r="G181" s="4">
        <v>0</v>
      </c>
      <c r="H181" s="4">
        <v>0</v>
      </c>
      <c r="I181" s="4">
        <v>0</v>
      </c>
      <c r="J181" s="4">
        <v>1</v>
      </c>
      <c r="K181" s="4">
        <v>0</v>
      </c>
      <c r="L181" s="2" t="s">
        <v>79</v>
      </c>
    </row>
    <row r="182" spans="1:12" x14ac:dyDescent="0.2">
      <c r="A182" s="4">
        <v>8.92</v>
      </c>
      <c r="B182" s="4">
        <v>18</v>
      </c>
      <c r="C182" s="4">
        <v>3</v>
      </c>
      <c r="D182" s="4">
        <v>3</v>
      </c>
      <c r="E182" s="4">
        <v>0</v>
      </c>
      <c r="F182" s="4">
        <v>1</v>
      </c>
      <c r="G182" s="4">
        <v>0</v>
      </c>
      <c r="H182" s="4">
        <v>0</v>
      </c>
      <c r="I182" s="4">
        <v>1</v>
      </c>
      <c r="J182" s="4">
        <v>0</v>
      </c>
      <c r="K182" s="4">
        <v>0</v>
      </c>
      <c r="L182" s="2" t="s">
        <v>79</v>
      </c>
    </row>
    <row r="183" spans="1:12" x14ac:dyDescent="0.2">
      <c r="A183" s="4">
        <v>9.56</v>
      </c>
      <c r="B183" s="4">
        <v>16</v>
      </c>
      <c r="C183" s="4">
        <v>3</v>
      </c>
      <c r="D183" s="4">
        <v>3</v>
      </c>
      <c r="E183" s="4">
        <v>0</v>
      </c>
      <c r="F183" s="4">
        <v>1</v>
      </c>
      <c r="G183" s="4">
        <v>1</v>
      </c>
      <c r="H183" s="4">
        <v>0</v>
      </c>
      <c r="I183" s="4">
        <v>0</v>
      </c>
      <c r="J183" s="4">
        <v>1</v>
      </c>
      <c r="K183" s="4">
        <v>0</v>
      </c>
      <c r="L183" s="2" t="s">
        <v>79</v>
      </c>
    </row>
    <row r="184" spans="1:12" x14ac:dyDescent="0.2">
      <c r="A184" s="4">
        <v>3</v>
      </c>
      <c r="B184" s="4">
        <v>14</v>
      </c>
      <c r="C184" s="4">
        <v>3</v>
      </c>
      <c r="D184" s="4">
        <v>3</v>
      </c>
      <c r="E184" s="4">
        <v>1</v>
      </c>
      <c r="F184" s="4">
        <v>1</v>
      </c>
      <c r="G184" s="4">
        <v>0</v>
      </c>
      <c r="H184" s="4">
        <v>0</v>
      </c>
      <c r="I184" s="4">
        <v>0</v>
      </c>
      <c r="J184" s="4">
        <v>1</v>
      </c>
      <c r="K184" s="4">
        <v>0</v>
      </c>
      <c r="L184" s="2" t="s">
        <v>79</v>
      </c>
    </row>
    <row r="185" spans="1:12" x14ac:dyDescent="0.2">
      <c r="A185" s="4">
        <v>2.92</v>
      </c>
      <c r="B185" s="4">
        <v>14</v>
      </c>
      <c r="C185" s="4">
        <v>1</v>
      </c>
      <c r="D185" s="4">
        <v>3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2" t="s">
        <v>79</v>
      </c>
    </row>
    <row r="186" spans="1:12" x14ac:dyDescent="0.2">
      <c r="A186" s="4">
        <v>4.75</v>
      </c>
      <c r="B186" s="4">
        <v>12</v>
      </c>
      <c r="C186" s="9">
        <v>43.93</v>
      </c>
      <c r="D186" s="4">
        <v>2</v>
      </c>
      <c r="E186" s="4">
        <v>1</v>
      </c>
      <c r="F186" s="4">
        <v>1</v>
      </c>
      <c r="G186" s="4">
        <v>0</v>
      </c>
      <c r="H186" s="4">
        <v>1</v>
      </c>
      <c r="I186" s="4">
        <v>0</v>
      </c>
      <c r="J186" s="4">
        <v>0</v>
      </c>
      <c r="K186" s="4">
        <v>0</v>
      </c>
      <c r="L186" s="2" t="s">
        <v>79</v>
      </c>
    </row>
    <row r="187" spans="1:12" x14ac:dyDescent="0.2">
      <c r="A187" s="4">
        <v>5</v>
      </c>
      <c r="B187" s="10">
        <v>12</v>
      </c>
      <c r="C187" s="9">
        <v>43.93</v>
      </c>
      <c r="D187" s="4">
        <v>2</v>
      </c>
      <c r="E187" s="4">
        <v>0</v>
      </c>
      <c r="F187" s="4">
        <v>0</v>
      </c>
      <c r="G187" s="4">
        <v>0</v>
      </c>
      <c r="H187" s="4">
        <v>1</v>
      </c>
      <c r="I187" s="4">
        <v>0</v>
      </c>
      <c r="J187" s="4">
        <v>0</v>
      </c>
      <c r="K187" s="4">
        <v>0</v>
      </c>
      <c r="L187" s="2" t="s">
        <v>79</v>
      </c>
    </row>
    <row r="188" spans="1:12" x14ac:dyDescent="0.2">
      <c r="A188" s="4">
        <v>3.25</v>
      </c>
      <c r="B188" s="4">
        <v>12</v>
      </c>
      <c r="C188" s="4">
        <v>40</v>
      </c>
      <c r="D188" s="4">
        <v>2</v>
      </c>
      <c r="E188" s="4">
        <v>1</v>
      </c>
      <c r="F188" s="4">
        <v>0</v>
      </c>
      <c r="G188" s="4">
        <v>0</v>
      </c>
      <c r="H188" s="4">
        <v>1</v>
      </c>
      <c r="I188" s="4">
        <v>0</v>
      </c>
      <c r="J188" s="4">
        <v>0</v>
      </c>
      <c r="K188" s="4">
        <v>0</v>
      </c>
      <c r="L188" s="2" t="s">
        <v>79</v>
      </c>
    </row>
    <row r="189" spans="1:12" x14ac:dyDescent="0.2">
      <c r="A189" s="4">
        <v>4.55</v>
      </c>
      <c r="B189" s="4">
        <v>16</v>
      </c>
      <c r="C189" s="4">
        <v>34</v>
      </c>
      <c r="D189" s="4">
        <v>2</v>
      </c>
      <c r="E189" s="4">
        <v>0</v>
      </c>
      <c r="F189" s="4">
        <v>1</v>
      </c>
      <c r="G189" s="4">
        <v>0</v>
      </c>
      <c r="H189" s="4">
        <v>0</v>
      </c>
      <c r="I189" s="4">
        <v>1</v>
      </c>
      <c r="J189" s="4">
        <v>0</v>
      </c>
      <c r="K189" s="4">
        <v>0</v>
      </c>
      <c r="L189" s="2" t="s">
        <v>79</v>
      </c>
    </row>
    <row r="190" spans="1:12" x14ac:dyDescent="0.2">
      <c r="A190" s="4">
        <v>3.73</v>
      </c>
      <c r="B190" s="4">
        <v>9</v>
      </c>
      <c r="C190" s="4">
        <v>33</v>
      </c>
      <c r="D190" s="4">
        <v>2</v>
      </c>
      <c r="E190" s="10">
        <v>2</v>
      </c>
      <c r="F190" s="4">
        <v>0</v>
      </c>
      <c r="G190" s="4">
        <v>1</v>
      </c>
      <c r="H190" s="4">
        <v>1</v>
      </c>
      <c r="I190" s="4">
        <v>0</v>
      </c>
      <c r="J190" s="4">
        <v>0</v>
      </c>
      <c r="K190" s="4">
        <v>0</v>
      </c>
      <c r="L190" s="2" t="s">
        <v>79</v>
      </c>
    </row>
    <row r="191" spans="1:12" x14ac:dyDescent="0.2">
      <c r="A191" s="4">
        <v>6.5</v>
      </c>
      <c r="B191" s="4">
        <v>12</v>
      </c>
      <c r="C191" s="4">
        <v>33</v>
      </c>
      <c r="D191" s="4">
        <v>2</v>
      </c>
      <c r="E191" s="4">
        <v>0</v>
      </c>
      <c r="F191" s="4">
        <v>1</v>
      </c>
      <c r="G191" s="4">
        <v>0</v>
      </c>
      <c r="H191" s="4">
        <v>1</v>
      </c>
      <c r="I191" s="4">
        <v>0</v>
      </c>
      <c r="J191" s="4">
        <v>0</v>
      </c>
      <c r="K191" s="4">
        <v>0</v>
      </c>
      <c r="L191" s="2" t="s">
        <v>79</v>
      </c>
    </row>
    <row r="192" spans="1:12" x14ac:dyDescent="0.2">
      <c r="A192" s="4">
        <v>4.6500000000000004</v>
      </c>
      <c r="B192" s="4">
        <v>12</v>
      </c>
      <c r="C192" s="4">
        <v>27</v>
      </c>
      <c r="D192" s="4">
        <v>2</v>
      </c>
      <c r="E192" s="4">
        <v>0</v>
      </c>
      <c r="F192" s="4">
        <v>1</v>
      </c>
      <c r="G192" s="4">
        <v>3</v>
      </c>
      <c r="H192" s="4">
        <v>0</v>
      </c>
      <c r="I192" s="4">
        <v>1</v>
      </c>
      <c r="J192" s="4">
        <v>0</v>
      </c>
      <c r="K192" s="4">
        <v>0</v>
      </c>
      <c r="L192" s="2" t="s">
        <v>79</v>
      </c>
    </row>
    <row r="193" spans="1:12" x14ac:dyDescent="0.2">
      <c r="A193" s="4">
        <v>8</v>
      </c>
      <c r="B193" s="4">
        <v>12</v>
      </c>
      <c r="C193" s="4">
        <v>26</v>
      </c>
      <c r="D193" s="4">
        <v>2</v>
      </c>
      <c r="E193" s="4">
        <v>0</v>
      </c>
      <c r="F193" s="4">
        <v>1</v>
      </c>
      <c r="G193" s="4">
        <v>1</v>
      </c>
      <c r="H193" s="4">
        <v>1</v>
      </c>
      <c r="I193" s="4">
        <v>0</v>
      </c>
      <c r="J193" s="4">
        <v>0</v>
      </c>
      <c r="K193" s="4">
        <v>0</v>
      </c>
      <c r="L193" s="2" t="s">
        <v>79</v>
      </c>
    </row>
    <row r="194" spans="1:12" x14ac:dyDescent="0.2">
      <c r="A194" s="4">
        <v>4.5</v>
      </c>
      <c r="B194" s="4">
        <v>13</v>
      </c>
      <c r="C194" s="4">
        <v>23</v>
      </c>
      <c r="D194" s="4">
        <v>2</v>
      </c>
      <c r="E194" s="4">
        <v>1</v>
      </c>
      <c r="F194" s="4">
        <v>0</v>
      </c>
      <c r="G194" s="4">
        <v>0</v>
      </c>
      <c r="H194" s="4">
        <v>0</v>
      </c>
      <c r="I194" s="4">
        <v>1</v>
      </c>
      <c r="J194" s="4">
        <v>0</v>
      </c>
      <c r="K194" s="4">
        <v>0</v>
      </c>
      <c r="L194" s="2" t="s">
        <v>79</v>
      </c>
    </row>
    <row r="195" spans="1:12" x14ac:dyDescent="0.2">
      <c r="A195" s="4">
        <v>3.5</v>
      </c>
      <c r="B195" s="4">
        <v>11</v>
      </c>
      <c r="C195" s="4">
        <v>23</v>
      </c>
      <c r="D195" s="4">
        <v>2</v>
      </c>
      <c r="E195" s="4">
        <v>1</v>
      </c>
      <c r="F195" s="4">
        <v>0</v>
      </c>
      <c r="G195" s="4">
        <v>2</v>
      </c>
      <c r="H195" s="4">
        <v>0</v>
      </c>
      <c r="I195" s="4">
        <v>1</v>
      </c>
      <c r="J195" s="4">
        <v>0</v>
      </c>
      <c r="K195" s="4">
        <v>0</v>
      </c>
      <c r="L195" s="2" t="s">
        <v>79</v>
      </c>
    </row>
    <row r="196" spans="1:12" x14ac:dyDescent="0.2">
      <c r="A196" s="4">
        <v>2.9</v>
      </c>
      <c r="B196" s="4">
        <v>10</v>
      </c>
      <c r="C196" s="4">
        <v>23</v>
      </c>
      <c r="D196" s="4">
        <v>2</v>
      </c>
      <c r="E196" s="4">
        <v>1</v>
      </c>
      <c r="F196" s="4">
        <v>0</v>
      </c>
      <c r="G196" s="4">
        <v>2</v>
      </c>
      <c r="H196" s="4">
        <v>0</v>
      </c>
      <c r="I196" s="4">
        <v>1</v>
      </c>
      <c r="J196" s="4">
        <v>0</v>
      </c>
      <c r="K196" s="4">
        <v>0</v>
      </c>
      <c r="L196" s="2" t="s">
        <v>79</v>
      </c>
    </row>
    <row r="197" spans="1:12" x14ac:dyDescent="0.2">
      <c r="A197" s="4">
        <v>3.24</v>
      </c>
      <c r="B197" s="4">
        <v>12</v>
      </c>
      <c r="C197" s="4">
        <v>22</v>
      </c>
      <c r="D197" s="4">
        <v>2</v>
      </c>
      <c r="E197" s="4">
        <v>1</v>
      </c>
      <c r="F197" s="4">
        <v>1</v>
      </c>
      <c r="G197" s="4">
        <v>3</v>
      </c>
      <c r="H197" s="4">
        <v>0</v>
      </c>
      <c r="I197" s="4">
        <v>0</v>
      </c>
      <c r="J197" s="4">
        <v>1</v>
      </c>
      <c r="K197" s="4">
        <v>0</v>
      </c>
      <c r="L197" s="2" t="s">
        <v>79</v>
      </c>
    </row>
    <row r="198" spans="1:12" x14ac:dyDescent="0.2">
      <c r="A198" s="4">
        <v>3.83</v>
      </c>
      <c r="B198" s="4">
        <v>12</v>
      </c>
      <c r="C198" s="4">
        <v>18</v>
      </c>
      <c r="D198" s="4">
        <v>2</v>
      </c>
      <c r="E198" s="4">
        <v>1</v>
      </c>
      <c r="F198" s="4">
        <v>0</v>
      </c>
      <c r="G198" s="4">
        <v>3</v>
      </c>
      <c r="H198" s="4">
        <v>0</v>
      </c>
      <c r="I198" s="4">
        <v>1</v>
      </c>
      <c r="J198" s="4">
        <v>0</v>
      </c>
      <c r="K198" s="4">
        <v>0</v>
      </c>
      <c r="L198" s="2" t="s">
        <v>79</v>
      </c>
    </row>
    <row r="199" spans="1:12" x14ac:dyDescent="0.2">
      <c r="A199" s="4">
        <v>3.5</v>
      </c>
      <c r="B199" s="4">
        <v>14</v>
      </c>
      <c r="C199" s="4">
        <v>18</v>
      </c>
      <c r="D199" s="4">
        <v>2</v>
      </c>
      <c r="E199" s="4">
        <v>0</v>
      </c>
      <c r="F199" s="4">
        <v>1</v>
      </c>
      <c r="G199" s="4">
        <v>1</v>
      </c>
      <c r="H199" s="4">
        <v>1</v>
      </c>
      <c r="I199" s="4">
        <v>0</v>
      </c>
      <c r="J199" s="4">
        <v>0</v>
      </c>
      <c r="K199" s="4">
        <v>0</v>
      </c>
      <c r="L199" s="2" t="s">
        <v>79</v>
      </c>
    </row>
    <row r="200" spans="1:12" x14ac:dyDescent="0.2">
      <c r="A200" s="4">
        <v>13.08</v>
      </c>
      <c r="B200" s="4">
        <v>17</v>
      </c>
      <c r="C200" s="4">
        <v>17</v>
      </c>
      <c r="D200" s="4">
        <v>2</v>
      </c>
      <c r="E200" s="4">
        <v>0</v>
      </c>
      <c r="F200" s="4">
        <v>1</v>
      </c>
      <c r="G200" s="4">
        <v>3</v>
      </c>
      <c r="H200" s="4">
        <v>0</v>
      </c>
      <c r="I200" s="4">
        <v>0</v>
      </c>
      <c r="J200" s="4">
        <v>0</v>
      </c>
      <c r="K200" s="4">
        <v>0</v>
      </c>
      <c r="L200" s="2" t="s">
        <v>79</v>
      </c>
    </row>
    <row r="201" spans="1:12" x14ac:dyDescent="0.2">
      <c r="A201" s="4">
        <v>10.38</v>
      </c>
      <c r="B201" s="4">
        <v>18</v>
      </c>
      <c r="C201" s="4">
        <v>16</v>
      </c>
      <c r="D201" s="4">
        <v>2</v>
      </c>
      <c r="E201" s="4">
        <v>0</v>
      </c>
      <c r="F201" s="4">
        <v>1</v>
      </c>
      <c r="G201" s="4">
        <v>1</v>
      </c>
      <c r="H201" s="4">
        <v>1</v>
      </c>
      <c r="I201" s="4">
        <v>0</v>
      </c>
      <c r="J201" s="4">
        <v>0</v>
      </c>
      <c r="K201" s="4">
        <v>0</v>
      </c>
      <c r="L201" s="2" t="s">
        <v>79</v>
      </c>
    </row>
    <row r="202" spans="1:12" x14ac:dyDescent="0.2">
      <c r="A202" s="4">
        <v>2.95</v>
      </c>
      <c r="B202" s="4">
        <v>8</v>
      </c>
      <c r="C202" s="4">
        <v>15</v>
      </c>
      <c r="D202" s="4">
        <v>2</v>
      </c>
      <c r="E202" s="4">
        <v>1</v>
      </c>
      <c r="F202" s="4">
        <v>1</v>
      </c>
      <c r="G202" s="4">
        <v>1</v>
      </c>
      <c r="H202" s="4">
        <v>0</v>
      </c>
      <c r="I202" s="4">
        <v>0</v>
      </c>
      <c r="J202" s="4">
        <v>0</v>
      </c>
      <c r="K202" s="4">
        <v>0</v>
      </c>
      <c r="L202" s="2" t="s">
        <v>79</v>
      </c>
    </row>
    <row r="203" spans="1:12" x14ac:dyDescent="0.2">
      <c r="A203" s="4">
        <v>3.25</v>
      </c>
      <c r="B203" s="4">
        <v>12</v>
      </c>
      <c r="C203" s="4">
        <v>14</v>
      </c>
      <c r="D203" s="4">
        <v>2</v>
      </c>
      <c r="E203" s="4">
        <v>1</v>
      </c>
      <c r="F203" s="4">
        <v>1</v>
      </c>
      <c r="G203" s="4">
        <v>2</v>
      </c>
      <c r="H203" s="4">
        <v>0</v>
      </c>
      <c r="I203" s="4">
        <v>1</v>
      </c>
      <c r="J203" s="4">
        <v>0</v>
      </c>
      <c r="K203" s="4">
        <v>0</v>
      </c>
      <c r="L203" s="2" t="s">
        <v>79</v>
      </c>
    </row>
    <row r="204" spans="1:12" x14ac:dyDescent="0.2">
      <c r="A204" s="4">
        <v>15</v>
      </c>
      <c r="B204" s="4">
        <v>16</v>
      </c>
      <c r="C204" s="4">
        <v>14</v>
      </c>
      <c r="D204" s="4">
        <v>2</v>
      </c>
      <c r="E204" s="4">
        <v>1</v>
      </c>
      <c r="F204" s="4">
        <v>1</v>
      </c>
      <c r="G204" s="4">
        <v>2</v>
      </c>
      <c r="H204" s="4">
        <v>0</v>
      </c>
      <c r="I204" s="4">
        <v>0</v>
      </c>
      <c r="J204" s="4">
        <v>1</v>
      </c>
      <c r="K204" s="4">
        <v>0</v>
      </c>
      <c r="L204" s="2" t="s">
        <v>79</v>
      </c>
    </row>
    <row r="205" spans="1:12" x14ac:dyDescent="0.2">
      <c r="A205" s="4">
        <v>6.25</v>
      </c>
      <c r="B205" s="10">
        <v>12</v>
      </c>
      <c r="C205" s="4">
        <v>9</v>
      </c>
      <c r="D205" s="4">
        <v>2</v>
      </c>
      <c r="E205" s="4">
        <v>0</v>
      </c>
      <c r="F205" s="4">
        <v>1</v>
      </c>
      <c r="G205" s="4">
        <v>1</v>
      </c>
      <c r="H205" s="4">
        <v>1</v>
      </c>
      <c r="I205" s="4">
        <v>0</v>
      </c>
      <c r="J205" s="4">
        <v>0</v>
      </c>
      <c r="K205" s="4">
        <v>0</v>
      </c>
      <c r="L205" s="2" t="s">
        <v>79</v>
      </c>
    </row>
    <row r="206" spans="1:12" x14ac:dyDescent="0.2">
      <c r="A206" s="4">
        <v>7.26</v>
      </c>
      <c r="B206" s="4">
        <v>13</v>
      </c>
      <c r="C206" s="4">
        <v>8</v>
      </c>
      <c r="D206" s="4">
        <v>2</v>
      </c>
      <c r="E206" s="4">
        <v>0</v>
      </c>
      <c r="F206" s="4">
        <v>0</v>
      </c>
      <c r="G206" s="4">
        <v>0</v>
      </c>
      <c r="H206" s="4">
        <v>0</v>
      </c>
      <c r="I206" s="4">
        <v>1</v>
      </c>
      <c r="J206" s="4">
        <v>0</v>
      </c>
      <c r="K206" s="4">
        <v>0</v>
      </c>
      <c r="L206" s="2" t="s">
        <v>79</v>
      </c>
    </row>
    <row r="207" spans="1:12" x14ac:dyDescent="0.2">
      <c r="A207" s="4">
        <v>6.25</v>
      </c>
      <c r="B207" s="4">
        <v>16</v>
      </c>
      <c r="C207" s="4">
        <v>8</v>
      </c>
      <c r="D207" s="4">
        <v>2</v>
      </c>
      <c r="E207" s="10">
        <v>2</v>
      </c>
      <c r="F207" s="4">
        <v>0</v>
      </c>
      <c r="G207" s="4">
        <v>0</v>
      </c>
      <c r="H207" s="4">
        <v>0</v>
      </c>
      <c r="I207" s="4">
        <v>0</v>
      </c>
      <c r="J207" s="4">
        <v>1</v>
      </c>
      <c r="K207" s="4">
        <v>0</v>
      </c>
      <c r="L207" s="2" t="s">
        <v>79</v>
      </c>
    </row>
    <row r="208" spans="1:12" x14ac:dyDescent="0.2">
      <c r="A208" s="4">
        <v>5.3</v>
      </c>
      <c r="B208" s="4">
        <v>12</v>
      </c>
      <c r="C208" s="4">
        <v>7</v>
      </c>
      <c r="D208" s="4">
        <v>2</v>
      </c>
      <c r="E208" s="4">
        <v>0</v>
      </c>
      <c r="F208" s="4">
        <v>1</v>
      </c>
      <c r="G208" s="4">
        <v>1</v>
      </c>
      <c r="H208" s="4">
        <v>0</v>
      </c>
      <c r="I208" s="4">
        <v>0</v>
      </c>
      <c r="J208" s="4">
        <v>1</v>
      </c>
      <c r="K208" s="4">
        <v>0</v>
      </c>
      <c r="L208" s="2" t="s">
        <v>79</v>
      </c>
    </row>
    <row r="209" spans="1:12" x14ac:dyDescent="0.2">
      <c r="A209" s="4">
        <v>3.51</v>
      </c>
      <c r="B209" s="4">
        <v>12</v>
      </c>
      <c r="C209" s="4">
        <v>7</v>
      </c>
      <c r="D209" s="4">
        <v>2</v>
      </c>
      <c r="E209" s="4">
        <v>1</v>
      </c>
      <c r="F209" s="4">
        <v>1</v>
      </c>
      <c r="G209" s="4">
        <v>0</v>
      </c>
      <c r="H209" s="4">
        <v>1</v>
      </c>
      <c r="I209" s="4">
        <v>0</v>
      </c>
      <c r="J209" s="4">
        <v>0</v>
      </c>
      <c r="K209" s="4">
        <v>0</v>
      </c>
      <c r="L209" s="2" t="s">
        <v>79</v>
      </c>
    </row>
    <row r="210" spans="1:12" x14ac:dyDescent="0.2">
      <c r="A210" s="4">
        <v>7.5</v>
      </c>
      <c r="B210" s="4">
        <v>16</v>
      </c>
      <c r="C210" s="4">
        <v>6</v>
      </c>
      <c r="D210" s="4">
        <v>2</v>
      </c>
      <c r="E210" s="4">
        <v>1</v>
      </c>
      <c r="F210" s="4">
        <v>1</v>
      </c>
      <c r="G210" s="4">
        <v>1</v>
      </c>
      <c r="H210" s="4">
        <v>0</v>
      </c>
      <c r="I210" s="4">
        <v>1</v>
      </c>
      <c r="J210" s="4">
        <v>0</v>
      </c>
      <c r="K210" s="4">
        <v>0</v>
      </c>
      <c r="L210" s="2" t="s">
        <v>79</v>
      </c>
    </row>
    <row r="211" spans="1:12" x14ac:dyDescent="0.2">
      <c r="A211" s="4">
        <v>3.5</v>
      </c>
      <c r="B211" s="4">
        <v>12</v>
      </c>
      <c r="C211" s="4">
        <v>6</v>
      </c>
      <c r="D211" s="4">
        <v>2</v>
      </c>
      <c r="E211" s="4">
        <v>1</v>
      </c>
      <c r="F211" s="4">
        <v>0</v>
      </c>
      <c r="G211" s="4">
        <v>1</v>
      </c>
      <c r="H211" s="4">
        <v>0</v>
      </c>
      <c r="I211" s="4">
        <v>0</v>
      </c>
      <c r="J211" s="4">
        <v>0</v>
      </c>
      <c r="K211" s="4">
        <v>0</v>
      </c>
      <c r="L211" s="2" t="s">
        <v>79</v>
      </c>
    </row>
    <row r="212" spans="1:12" x14ac:dyDescent="0.2">
      <c r="A212" s="4">
        <v>12.5</v>
      </c>
      <c r="B212" s="4">
        <v>18</v>
      </c>
      <c r="C212" s="4">
        <v>6</v>
      </c>
      <c r="D212" s="4">
        <v>2</v>
      </c>
      <c r="E212" s="4">
        <v>0</v>
      </c>
      <c r="F212" s="4">
        <v>0</v>
      </c>
      <c r="G212" s="4">
        <v>0</v>
      </c>
      <c r="H212" s="4">
        <v>0</v>
      </c>
      <c r="I212" s="4">
        <v>1</v>
      </c>
      <c r="J212" s="4">
        <v>0</v>
      </c>
      <c r="K212" s="4">
        <v>0</v>
      </c>
      <c r="L212" s="2" t="s">
        <v>79</v>
      </c>
    </row>
    <row r="213" spans="1:12" x14ac:dyDescent="0.2">
      <c r="A213" s="4">
        <v>8.33</v>
      </c>
      <c r="B213" s="4">
        <v>16</v>
      </c>
      <c r="C213" s="4">
        <v>6</v>
      </c>
      <c r="D213" s="4">
        <v>2</v>
      </c>
      <c r="E213" s="4">
        <v>0</v>
      </c>
      <c r="F213" s="4">
        <v>1</v>
      </c>
      <c r="G213" s="4">
        <v>0</v>
      </c>
      <c r="H213" s="4">
        <v>0</v>
      </c>
      <c r="I213" s="4">
        <v>0</v>
      </c>
      <c r="J213" s="4">
        <v>1</v>
      </c>
      <c r="K213" s="4">
        <v>0</v>
      </c>
      <c r="L213" s="2" t="s">
        <v>79</v>
      </c>
    </row>
    <row r="214" spans="1:12" x14ac:dyDescent="0.2">
      <c r="A214" s="4">
        <v>4.25</v>
      </c>
      <c r="B214" s="4">
        <v>14</v>
      </c>
      <c r="C214" s="4">
        <v>5</v>
      </c>
      <c r="D214" s="4">
        <v>2</v>
      </c>
      <c r="E214" s="4">
        <v>0</v>
      </c>
      <c r="F214" s="4">
        <v>1</v>
      </c>
      <c r="G214" s="4">
        <v>2</v>
      </c>
      <c r="H214" s="4">
        <v>0</v>
      </c>
      <c r="I214" s="4">
        <v>0</v>
      </c>
      <c r="J214" s="4">
        <v>0</v>
      </c>
      <c r="K214" s="4">
        <v>0</v>
      </c>
      <c r="L214" s="2" t="s">
        <v>79</v>
      </c>
    </row>
    <row r="215" spans="1:12" x14ac:dyDescent="0.2">
      <c r="A215" s="4">
        <v>4.34</v>
      </c>
      <c r="B215" s="4">
        <v>16</v>
      </c>
      <c r="C215" s="4">
        <v>5</v>
      </c>
      <c r="D215" s="4">
        <v>2</v>
      </c>
      <c r="E215" s="4">
        <v>1</v>
      </c>
      <c r="F215" s="4">
        <v>0</v>
      </c>
      <c r="G215" s="4">
        <v>0</v>
      </c>
      <c r="H215" s="4">
        <v>0</v>
      </c>
      <c r="I215" s="4">
        <v>1</v>
      </c>
      <c r="J215" s="4">
        <v>0</v>
      </c>
      <c r="K215" s="4">
        <v>0</v>
      </c>
      <c r="L215" s="2" t="s">
        <v>79</v>
      </c>
    </row>
    <row r="216" spans="1:12" x14ac:dyDescent="0.2">
      <c r="A216" s="4">
        <v>4.51</v>
      </c>
      <c r="B216" s="4">
        <v>12</v>
      </c>
      <c r="C216" s="4">
        <v>5</v>
      </c>
      <c r="D216" s="4">
        <v>2</v>
      </c>
      <c r="E216" s="4">
        <v>0</v>
      </c>
      <c r="F216" s="4">
        <v>0</v>
      </c>
      <c r="G216" s="4">
        <v>0</v>
      </c>
      <c r="H216" s="4">
        <v>1</v>
      </c>
      <c r="I216" s="4">
        <v>0</v>
      </c>
      <c r="J216" s="4">
        <v>0</v>
      </c>
      <c r="K216" s="4">
        <v>0</v>
      </c>
      <c r="L216" s="2" t="s">
        <v>79</v>
      </c>
    </row>
    <row r="217" spans="1:12" x14ac:dyDescent="0.2">
      <c r="A217" s="4">
        <v>3.75</v>
      </c>
      <c r="B217" s="10">
        <v>12</v>
      </c>
      <c r="C217" s="4">
        <v>5</v>
      </c>
      <c r="D217" s="4">
        <v>2</v>
      </c>
      <c r="E217" s="4">
        <v>1</v>
      </c>
      <c r="F217" s="4">
        <v>1</v>
      </c>
      <c r="G217" s="4">
        <v>1</v>
      </c>
      <c r="H217" s="4">
        <v>0</v>
      </c>
      <c r="I217" s="4">
        <v>1</v>
      </c>
      <c r="J217" s="4">
        <v>0</v>
      </c>
      <c r="K217" s="4">
        <v>0</v>
      </c>
      <c r="L217" s="2" t="s">
        <v>79</v>
      </c>
    </row>
    <row r="218" spans="1:12" x14ac:dyDescent="0.2">
      <c r="A218" s="4">
        <v>6.53</v>
      </c>
      <c r="B218" s="4">
        <v>16</v>
      </c>
      <c r="C218" s="4">
        <v>3</v>
      </c>
      <c r="D218" s="4">
        <v>2</v>
      </c>
      <c r="E218" s="4">
        <v>1</v>
      </c>
      <c r="F218" s="4">
        <v>0</v>
      </c>
      <c r="G218" s="4">
        <v>0</v>
      </c>
      <c r="H218" s="4">
        <v>1</v>
      </c>
      <c r="I218" s="4">
        <v>0</v>
      </c>
      <c r="J218" s="4">
        <v>0</v>
      </c>
      <c r="K218" s="4">
        <v>0</v>
      </c>
      <c r="L218" s="2" t="s">
        <v>79</v>
      </c>
    </row>
    <row r="219" spans="1:12" x14ac:dyDescent="0.2">
      <c r="A219" s="4">
        <v>8.6</v>
      </c>
      <c r="B219" s="4">
        <v>16</v>
      </c>
      <c r="C219" s="4">
        <v>3</v>
      </c>
      <c r="D219" s="4">
        <v>2</v>
      </c>
      <c r="E219" s="4">
        <v>1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2" t="s">
        <v>79</v>
      </c>
    </row>
    <row r="220" spans="1:12" x14ac:dyDescent="0.2">
      <c r="A220" s="4">
        <v>8.75</v>
      </c>
      <c r="B220" s="4">
        <v>16</v>
      </c>
      <c r="C220" s="4">
        <v>3</v>
      </c>
      <c r="D220" s="4">
        <v>2</v>
      </c>
      <c r="E220" s="4">
        <v>0</v>
      </c>
      <c r="F220" s="4">
        <v>1</v>
      </c>
      <c r="G220" s="4">
        <v>1</v>
      </c>
      <c r="H220" s="4">
        <v>1</v>
      </c>
      <c r="I220" s="4">
        <v>0</v>
      </c>
      <c r="J220" s="4">
        <v>0</v>
      </c>
      <c r="K220" s="4">
        <v>0</v>
      </c>
      <c r="L220" s="2" t="s">
        <v>79</v>
      </c>
    </row>
    <row r="221" spans="1:12" x14ac:dyDescent="0.2">
      <c r="A221" s="4">
        <v>10</v>
      </c>
      <c r="B221" s="4">
        <v>16</v>
      </c>
      <c r="C221" s="4">
        <v>3</v>
      </c>
      <c r="D221" s="4">
        <v>2</v>
      </c>
      <c r="E221" s="4">
        <v>0</v>
      </c>
      <c r="F221" s="4">
        <v>1</v>
      </c>
      <c r="G221" s="4">
        <v>0</v>
      </c>
      <c r="H221" s="4">
        <v>0</v>
      </c>
      <c r="I221" s="4">
        <v>1</v>
      </c>
      <c r="J221" s="4">
        <v>0</v>
      </c>
      <c r="K221" s="4">
        <v>0</v>
      </c>
      <c r="L221" s="2" t="s">
        <v>79</v>
      </c>
    </row>
    <row r="222" spans="1:12" x14ac:dyDescent="0.2">
      <c r="A222" s="4">
        <v>5.63</v>
      </c>
      <c r="B222" s="4">
        <v>16</v>
      </c>
      <c r="C222" s="4">
        <v>2</v>
      </c>
      <c r="D222" s="4">
        <v>2</v>
      </c>
      <c r="E222" s="4">
        <v>0</v>
      </c>
      <c r="F222" s="4">
        <v>1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2" t="s">
        <v>79</v>
      </c>
    </row>
    <row r="223" spans="1:12" x14ac:dyDescent="0.2">
      <c r="A223" s="4">
        <v>3.2</v>
      </c>
      <c r="B223" s="4">
        <v>15</v>
      </c>
      <c r="C223" s="4">
        <v>2</v>
      </c>
      <c r="D223" s="4">
        <v>2</v>
      </c>
      <c r="E223" s="4">
        <v>1</v>
      </c>
      <c r="F223" s="4">
        <v>0</v>
      </c>
      <c r="G223" s="4">
        <v>2</v>
      </c>
      <c r="H223" s="4">
        <v>0</v>
      </c>
      <c r="I223" s="4">
        <v>1</v>
      </c>
      <c r="J223" s="4">
        <v>0</v>
      </c>
      <c r="K223" s="4">
        <v>0</v>
      </c>
      <c r="L223" s="2" t="s">
        <v>79</v>
      </c>
    </row>
    <row r="224" spans="1:12" x14ac:dyDescent="0.2">
      <c r="A224" s="4">
        <v>2.9</v>
      </c>
      <c r="B224" s="4">
        <v>12</v>
      </c>
      <c r="C224" s="4">
        <v>2</v>
      </c>
      <c r="D224" s="4">
        <v>2</v>
      </c>
      <c r="E224" s="4">
        <v>1</v>
      </c>
      <c r="F224" s="4">
        <v>0</v>
      </c>
      <c r="G224" s="4">
        <v>0</v>
      </c>
      <c r="H224" s="4">
        <v>0</v>
      </c>
      <c r="I224" s="4">
        <v>0</v>
      </c>
      <c r="J224" s="4">
        <v>1</v>
      </c>
      <c r="K224" s="4">
        <v>0</v>
      </c>
      <c r="L224" s="2" t="s">
        <v>79</v>
      </c>
    </row>
    <row r="225" spans="1:12" x14ac:dyDescent="0.2">
      <c r="A225" s="4">
        <v>6</v>
      </c>
      <c r="B225" s="4">
        <v>16</v>
      </c>
      <c r="C225" s="4">
        <v>2</v>
      </c>
      <c r="D225" s="4">
        <v>2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2" t="s">
        <v>79</v>
      </c>
    </row>
    <row r="226" spans="1:12" x14ac:dyDescent="0.2">
      <c r="A226" s="4">
        <v>3.5</v>
      </c>
      <c r="B226" s="4">
        <v>13</v>
      </c>
      <c r="C226" s="4">
        <v>1</v>
      </c>
      <c r="D226" s="4">
        <v>2</v>
      </c>
      <c r="E226" s="4">
        <v>0</v>
      </c>
      <c r="F226" s="4">
        <v>0</v>
      </c>
      <c r="G226" s="4">
        <v>3</v>
      </c>
      <c r="H226" s="4">
        <v>1</v>
      </c>
      <c r="I226" s="4">
        <v>0</v>
      </c>
      <c r="J226" s="4">
        <v>0</v>
      </c>
      <c r="K226" s="4">
        <v>0</v>
      </c>
      <c r="L226" s="2" t="s">
        <v>79</v>
      </c>
    </row>
    <row r="227" spans="1:12" x14ac:dyDescent="0.2">
      <c r="A227" s="4">
        <v>3.75</v>
      </c>
      <c r="B227" s="4">
        <v>18</v>
      </c>
      <c r="C227" s="4">
        <v>1</v>
      </c>
      <c r="D227" s="4">
        <v>2</v>
      </c>
      <c r="E227" s="4">
        <v>0</v>
      </c>
      <c r="F227" s="4">
        <v>0</v>
      </c>
      <c r="G227" s="4">
        <v>1</v>
      </c>
      <c r="H227" s="4">
        <v>1</v>
      </c>
      <c r="I227" s="4">
        <v>0</v>
      </c>
      <c r="J227" s="4">
        <v>0</v>
      </c>
      <c r="K227" s="4">
        <v>0</v>
      </c>
      <c r="L227" s="2" t="s">
        <v>79</v>
      </c>
    </row>
    <row r="228" spans="1:12" x14ac:dyDescent="0.2">
      <c r="A228" s="4">
        <v>8.75</v>
      </c>
      <c r="B228" s="4">
        <v>16</v>
      </c>
      <c r="C228" s="4">
        <v>1</v>
      </c>
      <c r="D228" s="4">
        <v>2</v>
      </c>
      <c r="E228" s="4">
        <v>0</v>
      </c>
      <c r="F228" s="4">
        <v>0</v>
      </c>
      <c r="G228" s="4">
        <v>0</v>
      </c>
      <c r="H228" s="4">
        <v>1</v>
      </c>
      <c r="I228" s="4">
        <v>0</v>
      </c>
      <c r="J228" s="4">
        <v>0</v>
      </c>
      <c r="K228" s="4">
        <v>0</v>
      </c>
      <c r="L228" s="2" t="s">
        <v>79</v>
      </c>
    </row>
    <row r="229" spans="1:12" x14ac:dyDescent="0.2">
      <c r="A229" s="4">
        <v>2.9</v>
      </c>
      <c r="B229" s="4">
        <v>11</v>
      </c>
      <c r="C229" s="4">
        <v>1</v>
      </c>
      <c r="D229" s="4">
        <v>2</v>
      </c>
      <c r="E229" s="4">
        <v>0</v>
      </c>
      <c r="F229" s="4">
        <v>0</v>
      </c>
      <c r="G229" s="4">
        <v>2</v>
      </c>
      <c r="H229" s="4">
        <v>0</v>
      </c>
      <c r="I229" s="4">
        <v>1</v>
      </c>
      <c r="J229" s="4">
        <v>0</v>
      </c>
      <c r="K229" s="4">
        <v>0</v>
      </c>
      <c r="L229" s="2" t="s">
        <v>79</v>
      </c>
    </row>
    <row r="230" spans="1:12" x14ac:dyDescent="0.2">
      <c r="A230" s="4">
        <v>3.52</v>
      </c>
      <c r="B230" s="4">
        <v>12</v>
      </c>
      <c r="C230" s="9">
        <v>43.93</v>
      </c>
      <c r="D230" s="4">
        <v>1</v>
      </c>
      <c r="E230" s="4">
        <v>0</v>
      </c>
      <c r="F230" s="4">
        <v>1</v>
      </c>
      <c r="G230" s="4">
        <v>0</v>
      </c>
      <c r="H230" s="4">
        <v>0</v>
      </c>
      <c r="I230" s="4">
        <v>1</v>
      </c>
      <c r="J230" s="4">
        <v>0</v>
      </c>
      <c r="K230" s="4">
        <v>0</v>
      </c>
      <c r="L230" s="2" t="s">
        <v>79</v>
      </c>
    </row>
    <row r="231" spans="1:12" x14ac:dyDescent="0.2">
      <c r="A231" s="4">
        <v>3</v>
      </c>
      <c r="B231" s="4">
        <v>8</v>
      </c>
      <c r="C231" s="9">
        <v>43.93</v>
      </c>
      <c r="D231" s="4">
        <v>1</v>
      </c>
      <c r="E231" s="4">
        <v>1</v>
      </c>
      <c r="F231" s="4">
        <v>1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2" t="s">
        <v>79</v>
      </c>
    </row>
    <row r="232" spans="1:12" x14ac:dyDescent="0.2">
      <c r="A232" s="4">
        <v>2.9</v>
      </c>
      <c r="B232" s="4">
        <v>12</v>
      </c>
      <c r="C232" s="4">
        <v>39</v>
      </c>
      <c r="D232" s="4">
        <v>1</v>
      </c>
      <c r="E232" s="4">
        <v>1</v>
      </c>
      <c r="F232" s="4">
        <v>1</v>
      </c>
      <c r="G232" s="4">
        <v>0</v>
      </c>
      <c r="H232" s="4">
        <v>0</v>
      </c>
      <c r="I232" s="4">
        <v>1</v>
      </c>
      <c r="J232" s="4">
        <v>0</v>
      </c>
      <c r="K232" s="4">
        <v>0</v>
      </c>
      <c r="L232" s="2" t="s">
        <v>79</v>
      </c>
    </row>
    <row r="233" spans="1:12" x14ac:dyDescent="0.2">
      <c r="A233" s="4">
        <v>9</v>
      </c>
      <c r="B233" s="4">
        <v>12</v>
      </c>
      <c r="C233" s="4">
        <v>38</v>
      </c>
      <c r="D233" s="4">
        <v>1</v>
      </c>
      <c r="E233" s="4">
        <v>0</v>
      </c>
      <c r="F233" s="4">
        <v>1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2" t="s">
        <v>79</v>
      </c>
    </row>
    <row r="234" spans="1:12" x14ac:dyDescent="0.2">
      <c r="A234" s="4">
        <v>3</v>
      </c>
      <c r="B234" s="4">
        <v>12</v>
      </c>
      <c r="C234" s="4">
        <v>36</v>
      </c>
      <c r="D234" s="4">
        <v>1</v>
      </c>
      <c r="E234" s="10">
        <v>2</v>
      </c>
      <c r="F234" s="4">
        <v>0</v>
      </c>
      <c r="G234" s="4">
        <v>0</v>
      </c>
      <c r="H234" s="4">
        <v>0</v>
      </c>
      <c r="I234" s="4">
        <v>0</v>
      </c>
      <c r="J234" s="4">
        <v>1</v>
      </c>
      <c r="K234" s="4">
        <v>0</v>
      </c>
      <c r="L234" s="2" t="s">
        <v>79</v>
      </c>
    </row>
    <row r="235" spans="1:12" x14ac:dyDescent="0.2">
      <c r="A235" s="4">
        <v>3.5</v>
      </c>
      <c r="B235" s="4">
        <v>13</v>
      </c>
      <c r="C235" s="4">
        <v>29</v>
      </c>
      <c r="D235" s="4">
        <v>1</v>
      </c>
      <c r="E235" s="4">
        <v>1</v>
      </c>
      <c r="F235" s="4">
        <v>1</v>
      </c>
      <c r="G235" s="4">
        <v>0</v>
      </c>
      <c r="H235" s="4">
        <v>0</v>
      </c>
      <c r="I235" s="4">
        <v>1</v>
      </c>
      <c r="J235" s="4">
        <v>0</v>
      </c>
      <c r="K235" s="4">
        <v>0</v>
      </c>
      <c r="L235" s="2" t="s">
        <v>79</v>
      </c>
    </row>
    <row r="236" spans="1:12" x14ac:dyDescent="0.2">
      <c r="A236" s="4">
        <v>3</v>
      </c>
      <c r="B236" s="4">
        <v>7</v>
      </c>
      <c r="C236" s="4">
        <v>26</v>
      </c>
      <c r="D236" s="4">
        <v>1</v>
      </c>
      <c r="E236" s="4">
        <v>1</v>
      </c>
      <c r="F236" s="4">
        <v>0</v>
      </c>
      <c r="G236" s="4">
        <v>3</v>
      </c>
      <c r="H236" s="4">
        <v>0</v>
      </c>
      <c r="I236" s="4">
        <v>1</v>
      </c>
      <c r="J236" s="4">
        <v>0</v>
      </c>
      <c r="K236" s="4">
        <v>0</v>
      </c>
      <c r="L236" s="2" t="s">
        <v>79</v>
      </c>
    </row>
    <row r="237" spans="1:12" x14ac:dyDescent="0.2">
      <c r="A237" s="4">
        <v>4</v>
      </c>
      <c r="B237" s="4">
        <v>9</v>
      </c>
      <c r="C237" s="4">
        <v>19</v>
      </c>
      <c r="D237" s="4">
        <v>1</v>
      </c>
      <c r="E237" s="4">
        <v>1</v>
      </c>
      <c r="F237" s="4">
        <v>1</v>
      </c>
      <c r="G237" s="4">
        <v>1</v>
      </c>
      <c r="H237" s="4">
        <v>0</v>
      </c>
      <c r="I237" s="4">
        <v>0</v>
      </c>
      <c r="J237" s="4">
        <v>0</v>
      </c>
      <c r="K237" s="4">
        <v>0</v>
      </c>
      <c r="L237" s="2" t="s">
        <v>79</v>
      </c>
    </row>
    <row r="238" spans="1:12" x14ac:dyDescent="0.2">
      <c r="A238" s="4">
        <v>2.9</v>
      </c>
      <c r="B238" s="4">
        <v>12</v>
      </c>
      <c r="C238" s="4">
        <v>17</v>
      </c>
      <c r="D238" s="4">
        <v>1</v>
      </c>
      <c r="E238" s="4">
        <v>1</v>
      </c>
      <c r="F238" s="4">
        <v>1</v>
      </c>
      <c r="G238" s="4">
        <v>2</v>
      </c>
      <c r="H238" s="4">
        <v>1</v>
      </c>
      <c r="I238" s="4">
        <v>0</v>
      </c>
      <c r="J238" s="4">
        <v>0</v>
      </c>
      <c r="K238" s="4">
        <v>0</v>
      </c>
      <c r="L238" s="2" t="s">
        <v>79</v>
      </c>
    </row>
    <row r="239" spans="1:12" x14ac:dyDescent="0.2">
      <c r="A239" s="4">
        <v>4.63</v>
      </c>
      <c r="B239" s="4">
        <v>12</v>
      </c>
      <c r="C239" s="4">
        <v>16</v>
      </c>
      <c r="D239" s="4">
        <v>1</v>
      </c>
      <c r="E239" s="4">
        <v>1</v>
      </c>
      <c r="F239" s="4">
        <v>0</v>
      </c>
      <c r="G239" s="4">
        <v>0</v>
      </c>
      <c r="H239" s="4">
        <v>0</v>
      </c>
      <c r="I239" s="4">
        <v>1</v>
      </c>
      <c r="J239" s="4">
        <v>0</v>
      </c>
      <c r="K239" s="4">
        <v>0</v>
      </c>
      <c r="L239" s="2" t="s">
        <v>79</v>
      </c>
    </row>
    <row r="240" spans="1:12" x14ac:dyDescent="0.2">
      <c r="A240" s="4">
        <v>4.72</v>
      </c>
      <c r="B240" s="4">
        <v>12</v>
      </c>
      <c r="C240" s="4">
        <v>15</v>
      </c>
      <c r="D240" s="4">
        <v>1</v>
      </c>
      <c r="E240" s="4">
        <v>1</v>
      </c>
      <c r="F240" s="4">
        <v>0</v>
      </c>
      <c r="G240" s="4">
        <v>0</v>
      </c>
      <c r="H240" s="4">
        <v>0</v>
      </c>
      <c r="I240" s="4">
        <v>1</v>
      </c>
      <c r="J240" s="4">
        <v>0</v>
      </c>
      <c r="K240" s="4">
        <v>0</v>
      </c>
      <c r="L240" s="2" t="s">
        <v>79</v>
      </c>
    </row>
    <row r="241" spans="1:12" x14ac:dyDescent="0.2">
      <c r="A241" s="4">
        <v>2.9</v>
      </c>
      <c r="B241" s="4">
        <v>12</v>
      </c>
      <c r="C241" s="4">
        <v>15</v>
      </c>
      <c r="D241" s="4">
        <v>1</v>
      </c>
      <c r="E241" s="4">
        <v>1</v>
      </c>
      <c r="F241" s="4">
        <v>1</v>
      </c>
      <c r="G241" s="4">
        <v>2</v>
      </c>
      <c r="H241" s="4">
        <v>0</v>
      </c>
      <c r="I241" s="4">
        <v>0</v>
      </c>
      <c r="J241" s="4">
        <v>1</v>
      </c>
      <c r="K241" s="4">
        <v>0</v>
      </c>
      <c r="L241" s="2" t="s">
        <v>79</v>
      </c>
    </row>
    <row r="242" spans="1:12" x14ac:dyDescent="0.2">
      <c r="A242" s="4">
        <v>5</v>
      </c>
      <c r="B242" s="4">
        <v>11</v>
      </c>
      <c r="C242" s="4">
        <v>13</v>
      </c>
      <c r="D242" s="4">
        <v>1</v>
      </c>
      <c r="E242" s="4">
        <v>0</v>
      </c>
      <c r="F242" s="4">
        <v>1</v>
      </c>
      <c r="G242" s="4">
        <v>0</v>
      </c>
      <c r="H242" s="4">
        <v>0</v>
      </c>
      <c r="I242" s="4">
        <v>1</v>
      </c>
      <c r="J242" s="4">
        <v>0</v>
      </c>
      <c r="K242" s="4">
        <v>0</v>
      </c>
      <c r="L242" s="2" t="s">
        <v>79</v>
      </c>
    </row>
    <row r="243" spans="1:12" x14ac:dyDescent="0.2">
      <c r="A243" s="4">
        <v>8.65</v>
      </c>
      <c r="B243" s="4">
        <v>18</v>
      </c>
      <c r="C243" s="4">
        <v>13</v>
      </c>
      <c r="D243" s="4">
        <v>1</v>
      </c>
      <c r="E243" s="4">
        <v>1</v>
      </c>
      <c r="F243" s="4">
        <v>0</v>
      </c>
      <c r="G243" s="4">
        <v>0</v>
      </c>
      <c r="H243" s="4">
        <v>1</v>
      </c>
      <c r="I243" s="4">
        <v>0</v>
      </c>
      <c r="J243" s="4">
        <v>0</v>
      </c>
      <c r="K243" s="4">
        <v>0</v>
      </c>
      <c r="L243" s="2" t="s">
        <v>79</v>
      </c>
    </row>
    <row r="244" spans="1:12" x14ac:dyDescent="0.2">
      <c r="A244" s="4">
        <v>1.5</v>
      </c>
      <c r="B244" s="4">
        <v>12</v>
      </c>
      <c r="C244" s="4">
        <v>11</v>
      </c>
      <c r="D244" s="4">
        <v>1</v>
      </c>
      <c r="E244" s="4">
        <v>1</v>
      </c>
      <c r="F244" s="4">
        <v>1</v>
      </c>
      <c r="G244" s="4">
        <v>2</v>
      </c>
      <c r="H244" s="4">
        <v>1</v>
      </c>
      <c r="I244" s="4">
        <v>0</v>
      </c>
      <c r="J244" s="4">
        <v>0</v>
      </c>
      <c r="K244" s="4">
        <v>0</v>
      </c>
      <c r="L244" s="2" t="s">
        <v>79</v>
      </c>
    </row>
    <row r="245" spans="1:12" x14ac:dyDescent="0.2">
      <c r="A245" s="4">
        <v>6.35</v>
      </c>
      <c r="B245" s="4">
        <v>14</v>
      </c>
      <c r="C245" s="4">
        <v>10</v>
      </c>
      <c r="D245" s="4">
        <v>1</v>
      </c>
      <c r="E245" s="4">
        <v>1</v>
      </c>
      <c r="F245" s="4">
        <v>1</v>
      </c>
      <c r="G245" s="4">
        <v>2</v>
      </c>
      <c r="H245" s="4">
        <v>0</v>
      </c>
      <c r="I245" s="4">
        <v>1</v>
      </c>
      <c r="J245" s="4">
        <v>0</v>
      </c>
      <c r="K245" s="4">
        <v>0</v>
      </c>
      <c r="L245" s="2" t="s">
        <v>79</v>
      </c>
    </row>
    <row r="246" spans="1:12" x14ac:dyDescent="0.2">
      <c r="A246" s="4">
        <v>3.25</v>
      </c>
      <c r="B246" s="4">
        <v>8</v>
      </c>
      <c r="C246" s="4">
        <v>9</v>
      </c>
      <c r="D246" s="4">
        <v>1</v>
      </c>
      <c r="E246" s="4">
        <v>1</v>
      </c>
      <c r="F246" s="4">
        <v>1</v>
      </c>
      <c r="G246" s="4">
        <v>2</v>
      </c>
      <c r="H246" s="4">
        <v>0</v>
      </c>
      <c r="I246" s="4">
        <v>0</v>
      </c>
      <c r="J246" s="4">
        <v>1</v>
      </c>
      <c r="K246" s="4">
        <v>0</v>
      </c>
      <c r="L246" s="2" t="s">
        <v>79</v>
      </c>
    </row>
    <row r="247" spans="1:12" x14ac:dyDescent="0.2">
      <c r="A247" s="4">
        <v>3.35</v>
      </c>
      <c r="B247" s="4">
        <v>12</v>
      </c>
      <c r="C247" s="4">
        <v>9</v>
      </c>
      <c r="D247" s="4">
        <v>1</v>
      </c>
      <c r="E247" s="4">
        <v>0</v>
      </c>
      <c r="F247" s="4">
        <v>1</v>
      </c>
      <c r="G247" s="4">
        <v>0</v>
      </c>
      <c r="H247" s="4">
        <v>1</v>
      </c>
      <c r="I247" s="4">
        <v>0</v>
      </c>
      <c r="J247" s="4">
        <v>0</v>
      </c>
      <c r="K247" s="4">
        <v>0</v>
      </c>
      <c r="L247" s="2" t="s">
        <v>79</v>
      </c>
    </row>
    <row r="248" spans="1:12" x14ac:dyDescent="0.2">
      <c r="A248" s="4">
        <v>8.8000000000000007</v>
      </c>
      <c r="B248" s="4">
        <v>16</v>
      </c>
      <c r="C248" s="4">
        <v>9</v>
      </c>
      <c r="D248" s="4">
        <v>1</v>
      </c>
      <c r="E248" s="4">
        <v>0</v>
      </c>
      <c r="F248" s="4">
        <v>1</v>
      </c>
      <c r="G248" s="4">
        <v>0</v>
      </c>
      <c r="H248" s="4">
        <v>0</v>
      </c>
      <c r="I248" s="4">
        <v>1</v>
      </c>
      <c r="J248" s="4">
        <v>0</v>
      </c>
      <c r="K248" s="4">
        <v>0</v>
      </c>
      <c r="L248" s="2" t="s">
        <v>79</v>
      </c>
    </row>
    <row r="249" spans="1:12" x14ac:dyDescent="0.2">
      <c r="A249" s="4">
        <v>12.5</v>
      </c>
      <c r="B249" s="4">
        <v>12</v>
      </c>
      <c r="C249" s="4">
        <v>8</v>
      </c>
      <c r="D249" s="4">
        <v>1</v>
      </c>
      <c r="E249" s="4">
        <v>0</v>
      </c>
      <c r="F249" s="4">
        <v>0</v>
      </c>
      <c r="G249" s="4">
        <v>0</v>
      </c>
      <c r="H249" s="4">
        <v>1</v>
      </c>
      <c r="I249" s="4">
        <v>0</v>
      </c>
      <c r="J249" s="4">
        <v>0</v>
      </c>
      <c r="K249" s="4">
        <v>0</v>
      </c>
      <c r="L249" s="2" t="s">
        <v>79</v>
      </c>
    </row>
    <row r="250" spans="1:12" x14ac:dyDescent="0.2">
      <c r="A250" s="4">
        <v>6.36</v>
      </c>
      <c r="B250" s="4">
        <v>14</v>
      </c>
      <c r="C250" s="4">
        <v>8</v>
      </c>
      <c r="D250" s="4">
        <v>1</v>
      </c>
      <c r="E250" s="4">
        <v>0</v>
      </c>
      <c r="F250" s="4">
        <v>1</v>
      </c>
      <c r="G250" s="4">
        <v>0</v>
      </c>
      <c r="H250" s="4">
        <v>0</v>
      </c>
      <c r="I250" s="4">
        <v>1</v>
      </c>
      <c r="J250" s="4">
        <v>0</v>
      </c>
      <c r="K250" s="4">
        <v>0</v>
      </c>
      <c r="L250" s="2" t="s">
        <v>79</v>
      </c>
    </row>
    <row r="251" spans="1:12" x14ac:dyDescent="0.2">
      <c r="A251" s="4">
        <v>6.5</v>
      </c>
      <c r="B251" s="4">
        <v>12</v>
      </c>
      <c r="C251" s="4">
        <v>4</v>
      </c>
      <c r="D251" s="4">
        <v>1</v>
      </c>
      <c r="E251" s="4">
        <v>1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2" t="s">
        <v>79</v>
      </c>
    </row>
    <row r="252" spans="1:12" x14ac:dyDescent="0.2">
      <c r="A252" s="4">
        <v>2.31</v>
      </c>
      <c r="B252" s="4">
        <v>9</v>
      </c>
      <c r="C252" s="4">
        <v>4</v>
      </c>
      <c r="D252" s="4">
        <v>1</v>
      </c>
      <c r="E252" s="4">
        <v>1</v>
      </c>
      <c r="F252" s="4">
        <v>0</v>
      </c>
      <c r="G252" s="4">
        <v>5</v>
      </c>
      <c r="H252" s="4">
        <v>1</v>
      </c>
      <c r="I252" s="4">
        <v>0</v>
      </c>
      <c r="J252" s="4">
        <v>0</v>
      </c>
      <c r="K252" s="4">
        <v>0</v>
      </c>
      <c r="L252" s="2" t="s">
        <v>79</v>
      </c>
    </row>
    <row r="253" spans="1:12" x14ac:dyDescent="0.2">
      <c r="A253" s="4">
        <v>3.5</v>
      </c>
      <c r="B253" s="4">
        <v>18</v>
      </c>
      <c r="C253" s="4">
        <v>3</v>
      </c>
      <c r="D253" s="4">
        <v>1</v>
      </c>
      <c r="E253" s="4">
        <v>1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2" t="s">
        <v>79</v>
      </c>
    </row>
    <row r="254" spans="1:12" x14ac:dyDescent="0.2">
      <c r="A254" s="4">
        <v>0.53</v>
      </c>
      <c r="B254" s="4">
        <v>12</v>
      </c>
      <c r="C254" s="4">
        <v>3</v>
      </c>
      <c r="D254" s="4">
        <v>1</v>
      </c>
      <c r="E254" s="4">
        <v>1</v>
      </c>
      <c r="F254" s="4">
        <v>0</v>
      </c>
      <c r="G254" s="4">
        <v>0</v>
      </c>
      <c r="H254" s="4">
        <v>0</v>
      </c>
      <c r="I254" s="4">
        <v>0</v>
      </c>
      <c r="J254" s="4">
        <v>1</v>
      </c>
      <c r="K254" s="4">
        <v>0</v>
      </c>
      <c r="L254" s="2" t="s">
        <v>79</v>
      </c>
    </row>
    <row r="255" spans="1:12" x14ac:dyDescent="0.2">
      <c r="A255" s="4">
        <v>3</v>
      </c>
      <c r="B255" s="4">
        <v>13</v>
      </c>
      <c r="C255" s="4">
        <v>3</v>
      </c>
      <c r="D255" s="4">
        <v>1</v>
      </c>
      <c r="E255" s="4">
        <v>0</v>
      </c>
      <c r="F255" s="4">
        <v>0</v>
      </c>
      <c r="G255" s="4">
        <v>0</v>
      </c>
      <c r="H255" s="4">
        <v>0</v>
      </c>
      <c r="I255" s="4">
        <v>1</v>
      </c>
      <c r="J255" s="4">
        <v>0</v>
      </c>
      <c r="K255" s="4">
        <v>0</v>
      </c>
      <c r="L255" s="2" t="s">
        <v>79</v>
      </c>
    </row>
    <row r="256" spans="1:12" x14ac:dyDescent="0.2">
      <c r="A256" s="4">
        <v>4.68</v>
      </c>
      <c r="B256" s="4">
        <v>16</v>
      </c>
      <c r="C256" s="4">
        <v>3</v>
      </c>
      <c r="D256" s="4">
        <v>1</v>
      </c>
      <c r="E256" s="4">
        <v>1</v>
      </c>
      <c r="F256" s="4">
        <v>0</v>
      </c>
      <c r="G256" s="4">
        <v>0</v>
      </c>
      <c r="H256" s="4">
        <v>1</v>
      </c>
      <c r="I256" s="4">
        <v>0</v>
      </c>
      <c r="J256" s="4">
        <v>0</v>
      </c>
      <c r="K256" s="4">
        <v>0</v>
      </c>
      <c r="L256" s="2" t="s">
        <v>79</v>
      </c>
    </row>
    <row r="257" spans="1:12" x14ac:dyDescent="0.2">
      <c r="A257" s="4">
        <v>4.5</v>
      </c>
      <c r="B257" s="4">
        <v>12</v>
      </c>
      <c r="C257" s="4">
        <v>2</v>
      </c>
      <c r="D257" s="4">
        <v>1</v>
      </c>
      <c r="E257" s="4">
        <v>1</v>
      </c>
      <c r="F257" s="4">
        <v>0</v>
      </c>
      <c r="G257" s="4">
        <v>2</v>
      </c>
      <c r="H257" s="4">
        <v>0</v>
      </c>
      <c r="I257" s="4">
        <v>0</v>
      </c>
      <c r="J257" s="4">
        <v>0</v>
      </c>
      <c r="K257" s="4">
        <v>1</v>
      </c>
      <c r="L257" s="2" t="s">
        <v>79</v>
      </c>
    </row>
    <row r="258" spans="1:12" x14ac:dyDescent="0.2">
      <c r="A258" s="4">
        <v>3.1</v>
      </c>
      <c r="B258" s="4">
        <v>12</v>
      </c>
      <c r="C258" s="4">
        <v>2</v>
      </c>
      <c r="D258" s="4">
        <v>1</v>
      </c>
      <c r="E258" s="4">
        <v>1</v>
      </c>
      <c r="F258" s="4">
        <v>0</v>
      </c>
      <c r="G258" s="4">
        <v>1</v>
      </c>
      <c r="H258" s="4">
        <v>0</v>
      </c>
      <c r="I258" s="4">
        <v>0</v>
      </c>
      <c r="J258" s="4">
        <v>0</v>
      </c>
      <c r="K258" s="4">
        <v>0</v>
      </c>
      <c r="L258" s="2" t="s">
        <v>79</v>
      </c>
    </row>
    <row r="259" spans="1:12" x14ac:dyDescent="0.2">
      <c r="A259" s="4">
        <v>5</v>
      </c>
      <c r="B259" s="4">
        <v>16</v>
      </c>
      <c r="C259" s="4">
        <v>2</v>
      </c>
      <c r="D259" s="4">
        <v>1</v>
      </c>
      <c r="E259" s="4">
        <v>1</v>
      </c>
      <c r="F259" s="4">
        <v>1</v>
      </c>
      <c r="G259" s="4">
        <v>0</v>
      </c>
      <c r="H259" s="4">
        <v>0</v>
      </c>
      <c r="I259" s="4">
        <v>1</v>
      </c>
      <c r="J259" s="4">
        <v>0</v>
      </c>
      <c r="K259" s="4">
        <v>0</v>
      </c>
      <c r="L259" s="2" t="s">
        <v>79</v>
      </c>
    </row>
    <row r="260" spans="1:12" x14ac:dyDescent="0.2">
      <c r="A260" s="4">
        <v>3</v>
      </c>
      <c r="B260" s="4">
        <v>10</v>
      </c>
      <c r="C260" s="4">
        <v>2</v>
      </c>
      <c r="D260" s="4">
        <v>1</v>
      </c>
      <c r="E260" s="4">
        <v>1</v>
      </c>
      <c r="F260" s="4">
        <v>0</v>
      </c>
      <c r="G260" s="4">
        <v>1</v>
      </c>
      <c r="H260" s="4">
        <v>0</v>
      </c>
      <c r="I260" s="4">
        <v>1</v>
      </c>
      <c r="J260" s="4">
        <v>0</v>
      </c>
      <c r="K260" s="4">
        <v>0</v>
      </c>
      <c r="L260" s="2" t="s">
        <v>79</v>
      </c>
    </row>
    <row r="261" spans="1:12" x14ac:dyDescent="0.2">
      <c r="A261" s="4">
        <v>3.13</v>
      </c>
      <c r="B261" s="4">
        <v>10</v>
      </c>
      <c r="C261" s="4">
        <v>1</v>
      </c>
      <c r="D261" s="4">
        <v>1</v>
      </c>
      <c r="E261" s="4">
        <v>0</v>
      </c>
      <c r="F261" s="4">
        <v>0</v>
      </c>
      <c r="G261" s="4">
        <v>2</v>
      </c>
      <c r="H261" s="4">
        <v>0</v>
      </c>
      <c r="I261" s="4">
        <v>0</v>
      </c>
      <c r="J261" s="4">
        <v>1</v>
      </c>
      <c r="K261" s="4">
        <v>0</v>
      </c>
      <c r="L261" s="2" t="s">
        <v>79</v>
      </c>
    </row>
    <row r="262" spans="1:12" x14ac:dyDescent="0.2">
      <c r="A262" s="4">
        <v>3.4</v>
      </c>
      <c r="B262" s="4">
        <v>16</v>
      </c>
      <c r="C262" s="4">
        <v>1</v>
      </c>
      <c r="D262" s="4">
        <v>1</v>
      </c>
      <c r="E262" s="4">
        <v>1</v>
      </c>
      <c r="F262" s="4">
        <v>0</v>
      </c>
      <c r="G262" s="4">
        <v>1</v>
      </c>
      <c r="H262" s="4">
        <v>0</v>
      </c>
      <c r="I262" s="4">
        <v>0</v>
      </c>
      <c r="J262" s="4">
        <v>0</v>
      </c>
      <c r="K262" s="4">
        <v>0</v>
      </c>
      <c r="L262" s="2" t="s">
        <v>79</v>
      </c>
    </row>
    <row r="263" spans="1:12" x14ac:dyDescent="0.2">
      <c r="A263" s="4">
        <v>4.28</v>
      </c>
      <c r="B263" s="4">
        <v>13</v>
      </c>
      <c r="C263" s="4">
        <v>1</v>
      </c>
      <c r="D263" s="4">
        <v>1</v>
      </c>
      <c r="E263" s="4">
        <v>1</v>
      </c>
      <c r="F263" s="4">
        <v>0</v>
      </c>
      <c r="G263" s="4">
        <v>2</v>
      </c>
      <c r="H263" s="4">
        <v>0</v>
      </c>
      <c r="I263" s="4">
        <v>0</v>
      </c>
      <c r="J263" s="4">
        <v>0</v>
      </c>
      <c r="K263" s="4">
        <v>0</v>
      </c>
      <c r="L263" s="2" t="s">
        <v>79</v>
      </c>
    </row>
    <row r="264" spans="1:12" x14ac:dyDescent="0.2">
      <c r="A264" s="4">
        <v>3</v>
      </c>
      <c r="B264" s="4">
        <v>11</v>
      </c>
      <c r="C264" s="4">
        <v>1</v>
      </c>
      <c r="D264" s="4">
        <v>1</v>
      </c>
      <c r="E264" s="4">
        <v>1</v>
      </c>
      <c r="F264" s="4">
        <v>0</v>
      </c>
      <c r="G264" s="4">
        <v>1</v>
      </c>
      <c r="H264" s="4">
        <v>0</v>
      </c>
      <c r="I264" s="4">
        <v>1</v>
      </c>
      <c r="J264" s="4">
        <v>0</v>
      </c>
      <c r="K264" s="4">
        <v>0</v>
      </c>
      <c r="L264" s="2" t="s">
        <v>79</v>
      </c>
    </row>
    <row r="265" spans="1:12" x14ac:dyDescent="0.2">
      <c r="A265" s="4">
        <v>3</v>
      </c>
      <c r="B265" s="4">
        <v>4</v>
      </c>
      <c r="C265" s="9">
        <v>43.93</v>
      </c>
      <c r="D265" s="4">
        <v>0</v>
      </c>
      <c r="E265" s="4">
        <v>0</v>
      </c>
      <c r="F265" s="4">
        <v>1</v>
      </c>
      <c r="G265" s="4">
        <v>0</v>
      </c>
      <c r="H265" s="4">
        <v>0</v>
      </c>
      <c r="I265" s="4">
        <v>1</v>
      </c>
      <c r="J265" s="4">
        <v>0</v>
      </c>
      <c r="K265" s="4">
        <v>0</v>
      </c>
      <c r="L265" s="2" t="s">
        <v>79</v>
      </c>
    </row>
    <row r="266" spans="1:12" x14ac:dyDescent="0.2">
      <c r="A266" s="4">
        <v>3</v>
      </c>
      <c r="B266" s="4">
        <v>10</v>
      </c>
      <c r="C266" s="9">
        <v>43.93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1</v>
      </c>
      <c r="J266" s="4">
        <v>0</v>
      </c>
      <c r="K266" s="4">
        <v>0</v>
      </c>
      <c r="L266" s="2" t="s">
        <v>79</v>
      </c>
    </row>
    <row r="267" spans="1:12" x14ac:dyDescent="0.2">
      <c r="A267" s="4">
        <v>2.5299999999999998</v>
      </c>
      <c r="B267" s="4">
        <v>12</v>
      </c>
      <c r="C267" s="9">
        <v>43.93</v>
      </c>
      <c r="D267" s="4">
        <v>0</v>
      </c>
      <c r="E267" s="4">
        <v>1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2" t="s">
        <v>79</v>
      </c>
    </row>
    <row r="268" spans="1:12" x14ac:dyDescent="0.2">
      <c r="A268" s="4">
        <v>2.89</v>
      </c>
      <c r="B268" s="4">
        <v>0</v>
      </c>
      <c r="C268" s="4">
        <v>42</v>
      </c>
      <c r="D268" s="4">
        <v>0</v>
      </c>
      <c r="E268" s="4">
        <v>1</v>
      </c>
      <c r="F268" s="4">
        <v>1</v>
      </c>
      <c r="G268" s="4">
        <v>2</v>
      </c>
      <c r="H268" s="4">
        <v>0</v>
      </c>
      <c r="I268" s="4">
        <v>0</v>
      </c>
      <c r="J268" s="4">
        <v>1</v>
      </c>
      <c r="K268" s="4">
        <v>0</v>
      </c>
      <c r="L268" s="2" t="s">
        <v>79</v>
      </c>
    </row>
    <row r="269" spans="1:12" x14ac:dyDescent="0.2">
      <c r="A269" s="4">
        <v>3.25</v>
      </c>
      <c r="B269" s="4">
        <v>12</v>
      </c>
      <c r="C269" s="4">
        <v>42</v>
      </c>
      <c r="D269" s="4">
        <v>0</v>
      </c>
      <c r="E269" s="4">
        <v>1</v>
      </c>
      <c r="F269" s="4">
        <v>1</v>
      </c>
      <c r="G269" s="4">
        <v>0</v>
      </c>
      <c r="H269" s="4">
        <v>0</v>
      </c>
      <c r="I269" s="4">
        <v>0</v>
      </c>
      <c r="J269" s="4">
        <v>1</v>
      </c>
      <c r="K269" s="4">
        <v>0</v>
      </c>
      <c r="L269" s="2" t="s">
        <v>79</v>
      </c>
    </row>
    <row r="270" spans="1:12" x14ac:dyDescent="0.2">
      <c r="A270" s="4">
        <v>3</v>
      </c>
      <c r="B270" s="4">
        <v>12</v>
      </c>
      <c r="C270" s="4">
        <v>38</v>
      </c>
      <c r="D270" s="4">
        <v>0</v>
      </c>
      <c r="E270" s="4">
        <v>1</v>
      </c>
      <c r="F270" s="4">
        <v>1</v>
      </c>
      <c r="G270" s="4">
        <v>0</v>
      </c>
      <c r="H270" s="4">
        <v>1</v>
      </c>
      <c r="I270" s="4">
        <v>0</v>
      </c>
      <c r="J270" s="4">
        <v>0</v>
      </c>
      <c r="K270" s="4">
        <v>0</v>
      </c>
      <c r="L270" s="2" t="s">
        <v>79</v>
      </c>
    </row>
    <row r="271" spans="1:12" x14ac:dyDescent="0.2">
      <c r="A271" s="4">
        <v>2.9</v>
      </c>
      <c r="B271" s="4">
        <v>12</v>
      </c>
      <c r="C271" s="4">
        <v>37</v>
      </c>
      <c r="D271" s="4">
        <v>0</v>
      </c>
      <c r="E271" s="4">
        <v>1</v>
      </c>
      <c r="F271" s="4">
        <v>1</v>
      </c>
      <c r="G271" s="4">
        <v>0</v>
      </c>
      <c r="H271" s="4">
        <v>0</v>
      </c>
      <c r="I271" s="4">
        <v>1</v>
      </c>
      <c r="J271" s="4">
        <v>0</v>
      </c>
      <c r="K271" s="4">
        <v>0</v>
      </c>
      <c r="L271" s="2" t="s">
        <v>79</v>
      </c>
    </row>
    <row r="272" spans="1:12" x14ac:dyDescent="0.2">
      <c r="A272" s="4">
        <v>6.63</v>
      </c>
      <c r="B272" s="4">
        <v>12</v>
      </c>
      <c r="C272" s="4">
        <v>36</v>
      </c>
      <c r="D272" s="4">
        <v>0</v>
      </c>
      <c r="E272" s="4">
        <v>1</v>
      </c>
      <c r="F272" s="4">
        <v>0</v>
      </c>
      <c r="G272" s="4">
        <v>0</v>
      </c>
      <c r="H272" s="4">
        <v>0</v>
      </c>
      <c r="I272" s="4">
        <v>1</v>
      </c>
      <c r="J272" s="4">
        <v>0</v>
      </c>
      <c r="K272" s="4">
        <v>0</v>
      </c>
      <c r="L272" s="2" t="s">
        <v>79</v>
      </c>
    </row>
    <row r="273" spans="1:12" x14ac:dyDescent="0.2">
      <c r="A273" s="4">
        <v>3</v>
      </c>
      <c r="B273" s="4">
        <v>4</v>
      </c>
      <c r="C273" s="4">
        <v>36</v>
      </c>
      <c r="D273" s="4">
        <v>0</v>
      </c>
      <c r="E273" s="4">
        <v>0</v>
      </c>
      <c r="F273" s="4">
        <v>1</v>
      </c>
      <c r="G273" s="4">
        <v>1</v>
      </c>
      <c r="H273" s="4">
        <v>0</v>
      </c>
      <c r="I273" s="4">
        <v>1</v>
      </c>
      <c r="J273" s="4">
        <v>0</v>
      </c>
      <c r="K273" s="4">
        <v>1</v>
      </c>
      <c r="L273" s="2" t="s">
        <v>79</v>
      </c>
    </row>
    <row r="274" spans="1:12" x14ac:dyDescent="0.2">
      <c r="A274" s="4">
        <v>3.35</v>
      </c>
      <c r="B274" s="4">
        <v>7</v>
      </c>
      <c r="C274" s="4">
        <v>35</v>
      </c>
      <c r="D274" s="4">
        <v>0</v>
      </c>
      <c r="E274" s="4">
        <v>1</v>
      </c>
      <c r="F274" s="4">
        <v>0</v>
      </c>
      <c r="G274" s="4">
        <v>1</v>
      </c>
      <c r="H274" s="4">
        <v>0</v>
      </c>
      <c r="I274" s="4">
        <v>1</v>
      </c>
      <c r="J274" s="4">
        <v>0</v>
      </c>
      <c r="K274" s="4">
        <v>0</v>
      </c>
      <c r="L274" s="2" t="s">
        <v>79</v>
      </c>
    </row>
    <row r="275" spans="1:12" x14ac:dyDescent="0.2">
      <c r="A275" s="4">
        <v>2.9</v>
      </c>
      <c r="B275" s="4">
        <v>5</v>
      </c>
      <c r="C275" s="4">
        <v>34</v>
      </c>
      <c r="D275" s="4">
        <v>0</v>
      </c>
      <c r="E275" s="4">
        <v>1</v>
      </c>
      <c r="F275" s="4">
        <v>1</v>
      </c>
      <c r="G275" s="4">
        <v>5</v>
      </c>
      <c r="H275" s="4">
        <v>0</v>
      </c>
      <c r="I275" s="4">
        <v>0</v>
      </c>
      <c r="J275" s="4">
        <v>1</v>
      </c>
      <c r="K275" s="4">
        <v>0</v>
      </c>
      <c r="L275" s="2" t="s">
        <v>79</v>
      </c>
    </row>
    <row r="276" spans="1:12" x14ac:dyDescent="0.2">
      <c r="A276" s="4">
        <v>3</v>
      </c>
      <c r="B276" s="4">
        <v>8</v>
      </c>
      <c r="C276" s="4">
        <v>33</v>
      </c>
      <c r="D276" s="4">
        <v>0</v>
      </c>
      <c r="E276" s="4">
        <v>0</v>
      </c>
      <c r="F276" s="4">
        <v>1</v>
      </c>
      <c r="G276" s="4">
        <v>1</v>
      </c>
      <c r="H276" s="4">
        <v>0</v>
      </c>
      <c r="I276" s="4">
        <v>1</v>
      </c>
      <c r="J276" s="4">
        <v>0</v>
      </c>
      <c r="K276" s="4">
        <v>0</v>
      </c>
      <c r="L276" s="2" t="s">
        <v>79</v>
      </c>
    </row>
    <row r="277" spans="1:12" x14ac:dyDescent="0.2">
      <c r="A277" s="4">
        <v>3</v>
      </c>
      <c r="B277" s="4">
        <v>15</v>
      </c>
      <c r="C277" s="4">
        <v>32</v>
      </c>
      <c r="D277" s="4">
        <v>0</v>
      </c>
      <c r="E277" s="4">
        <v>0</v>
      </c>
      <c r="F277" s="4">
        <v>1</v>
      </c>
      <c r="G277" s="4">
        <v>0</v>
      </c>
      <c r="H277" s="4">
        <v>0</v>
      </c>
      <c r="I277" s="4">
        <v>1</v>
      </c>
      <c r="J277" s="4">
        <v>0</v>
      </c>
      <c r="K277" s="4">
        <v>0</v>
      </c>
      <c r="L277" s="2" t="s">
        <v>79</v>
      </c>
    </row>
    <row r="278" spans="1:12" x14ac:dyDescent="0.2">
      <c r="A278" s="4">
        <v>12.5</v>
      </c>
      <c r="B278" s="4">
        <v>16</v>
      </c>
      <c r="C278" s="4">
        <v>31</v>
      </c>
      <c r="D278" s="4">
        <v>0</v>
      </c>
      <c r="E278" s="4">
        <v>0</v>
      </c>
      <c r="F278" s="4">
        <v>1</v>
      </c>
      <c r="G278" s="4">
        <v>0</v>
      </c>
      <c r="H278" s="4">
        <v>0</v>
      </c>
      <c r="I278" s="4">
        <v>0</v>
      </c>
      <c r="J278" s="4">
        <v>1</v>
      </c>
      <c r="K278" s="4">
        <v>0</v>
      </c>
      <c r="L278" s="2" t="s">
        <v>79</v>
      </c>
    </row>
    <row r="279" spans="1:12" x14ac:dyDescent="0.2">
      <c r="A279" s="4">
        <v>12.5</v>
      </c>
      <c r="B279" s="4">
        <v>15</v>
      </c>
      <c r="C279" s="4">
        <v>30</v>
      </c>
      <c r="D279" s="4">
        <v>0</v>
      </c>
      <c r="E279" s="4">
        <v>0</v>
      </c>
      <c r="F279" s="4">
        <v>1</v>
      </c>
      <c r="G279" s="4">
        <v>2</v>
      </c>
      <c r="H279" s="4">
        <v>0</v>
      </c>
      <c r="I279" s="4">
        <v>0</v>
      </c>
      <c r="J279" s="4">
        <v>1</v>
      </c>
      <c r="K279" s="4">
        <v>0</v>
      </c>
      <c r="L279" s="2" t="s">
        <v>79</v>
      </c>
    </row>
    <row r="280" spans="1:12" x14ac:dyDescent="0.2">
      <c r="A280" s="4">
        <v>4.1399999999999997</v>
      </c>
      <c r="B280" s="4">
        <v>13</v>
      </c>
      <c r="C280" s="4">
        <v>29</v>
      </c>
      <c r="D280" s="4">
        <v>0</v>
      </c>
      <c r="E280" s="4">
        <v>1</v>
      </c>
      <c r="F280" s="4">
        <v>1</v>
      </c>
      <c r="G280" s="4">
        <v>0</v>
      </c>
      <c r="H280" s="4">
        <v>0</v>
      </c>
      <c r="I280" s="4">
        <v>1</v>
      </c>
      <c r="J280" s="4">
        <v>0</v>
      </c>
      <c r="K280" s="4">
        <v>0</v>
      </c>
      <c r="L280" s="2" t="s">
        <v>79</v>
      </c>
    </row>
    <row r="281" spans="1:12" x14ac:dyDescent="0.2">
      <c r="A281" s="4">
        <v>3.2</v>
      </c>
      <c r="B281" s="4">
        <v>12</v>
      </c>
      <c r="C281" s="4">
        <v>29</v>
      </c>
      <c r="D281" s="4">
        <v>0</v>
      </c>
      <c r="E281" s="4">
        <v>1</v>
      </c>
      <c r="F281" s="4">
        <v>0</v>
      </c>
      <c r="G281" s="4">
        <v>1</v>
      </c>
      <c r="H281" s="4">
        <v>0</v>
      </c>
      <c r="I281" s="4">
        <v>1</v>
      </c>
      <c r="J281" s="4">
        <v>0</v>
      </c>
      <c r="K281" s="4">
        <v>0</v>
      </c>
      <c r="L281" s="2" t="s">
        <v>79</v>
      </c>
    </row>
    <row r="282" spans="1:12" x14ac:dyDescent="0.2">
      <c r="A282" s="4">
        <v>3.25</v>
      </c>
      <c r="B282" s="4">
        <v>9</v>
      </c>
      <c r="C282" s="4">
        <v>29</v>
      </c>
      <c r="D282" s="4">
        <v>0</v>
      </c>
      <c r="E282" s="4">
        <v>0</v>
      </c>
      <c r="F282" s="4">
        <v>1</v>
      </c>
      <c r="G282" s="4">
        <v>1</v>
      </c>
      <c r="H282" s="4">
        <v>1</v>
      </c>
      <c r="I282" s="4">
        <v>0</v>
      </c>
      <c r="J282" s="4">
        <v>0</v>
      </c>
      <c r="K282" s="4">
        <v>0</v>
      </c>
      <c r="L282" s="2" t="s">
        <v>79</v>
      </c>
    </row>
    <row r="283" spans="1:12" x14ac:dyDescent="0.2">
      <c r="A283" s="4">
        <v>10</v>
      </c>
      <c r="B283" s="4">
        <v>12</v>
      </c>
      <c r="C283" s="4">
        <v>29</v>
      </c>
      <c r="D283" s="4">
        <v>0</v>
      </c>
      <c r="E283" s="4">
        <v>0</v>
      </c>
      <c r="F283" s="4">
        <v>1</v>
      </c>
      <c r="G283" s="4">
        <v>2</v>
      </c>
      <c r="H283" s="4">
        <v>0</v>
      </c>
      <c r="I283" s="4">
        <v>0</v>
      </c>
      <c r="J283" s="4">
        <v>0</v>
      </c>
      <c r="K283" s="4">
        <v>0</v>
      </c>
      <c r="L283" s="2" t="s">
        <v>79</v>
      </c>
    </row>
    <row r="284" spans="1:12" x14ac:dyDescent="0.2">
      <c r="A284" s="4">
        <v>4</v>
      </c>
      <c r="B284" s="4">
        <v>12</v>
      </c>
      <c r="C284" s="4">
        <v>28</v>
      </c>
      <c r="D284" s="4">
        <v>0</v>
      </c>
      <c r="E284" s="4">
        <v>1</v>
      </c>
      <c r="F284" s="4">
        <v>1</v>
      </c>
      <c r="G284" s="4">
        <v>1</v>
      </c>
      <c r="H284" s="4">
        <v>0</v>
      </c>
      <c r="I284" s="4">
        <v>0</v>
      </c>
      <c r="J284" s="4">
        <v>0</v>
      </c>
      <c r="K284" s="4">
        <v>0</v>
      </c>
      <c r="L284" s="2" t="s">
        <v>79</v>
      </c>
    </row>
    <row r="285" spans="1:12" x14ac:dyDescent="0.2">
      <c r="A285" s="4">
        <v>6.46</v>
      </c>
      <c r="B285" s="4">
        <v>12</v>
      </c>
      <c r="C285" s="4">
        <v>27</v>
      </c>
      <c r="D285" s="4">
        <v>0</v>
      </c>
      <c r="E285" s="4">
        <v>0</v>
      </c>
      <c r="F285" s="4">
        <v>1</v>
      </c>
      <c r="G285" s="4">
        <v>3</v>
      </c>
      <c r="H285" s="4">
        <v>1</v>
      </c>
      <c r="I285" s="4">
        <v>0</v>
      </c>
      <c r="J285" s="4">
        <v>0</v>
      </c>
      <c r="K285" s="4">
        <v>0</v>
      </c>
      <c r="L285" s="2" t="s">
        <v>79</v>
      </c>
    </row>
    <row r="286" spans="1:12" x14ac:dyDescent="0.2">
      <c r="A286" s="4">
        <v>6.36</v>
      </c>
      <c r="B286" s="4">
        <v>16</v>
      </c>
      <c r="C286" s="4">
        <v>25</v>
      </c>
      <c r="D286" s="4">
        <v>0</v>
      </c>
      <c r="E286" s="4">
        <v>0</v>
      </c>
      <c r="F286" s="4">
        <v>1</v>
      </c>
      <c r="G286" s="4">
        <v>1</v>
      </c>
      <c r="H286" s="4">
        <v>0</v>
      </c>
      <c r="I286" s="4">
        <v>1</v>
      </c>
      <c r="J286" s="4">
        <v>0</v>
      </c>
      <c r="K286" s="4">
        <v>0</v>
      </c>
      <c r="L286" s="2" t="s">
        <v>79</v>
      </c>
    </row>
    <row r="287" spans="1:12" x14ac:dyDescent="0.2">
      <c r="A287" s="4">
        <v>9.42</v>
      </c>
      <c r="B287" s="4">
        <v>14</v>
      </c>
      <c r="C287" s="4">
        <v>23</v>
      </c>
      <c r="D287" s="4">
        <v>0</v>
      </c>
      <c r="E287" s="4">
        <v>1</v>
      </c>
      <c r="F287" s="4">
        <v>1</v>
      </c>
      <c r="G287" s="4">
        <v>2</v>
      </c>
      <c r="H287" s="4">
        <v>0</v>
      </c>
      <c r="I287" s="4">
        <v>1</v>
      </c>
      <c r="J287" s="4">
        <v>0</v>
      </c>
      <c r="K287" s="4">
        <v>0</v>
      </c>
      <c r="L287" s="2" t="s">
        <v>79</v>
      </c>
    </row>
    <row r="288" spans="1:12" x14ac:dyDescent="0.2">
      <c r="A288" s="4">
        <v>3.35</v>
      </c>
      <c r="B288" s="4">
        <v>13</v>
      </c>
      <c r="C288" s="4">
        <v>22</v>
      </c>
      <c r="D288" s="4">
        <v>0</v>
      </c>
      <c r="E288" s="4">
        <v>1</v>
      </c>
      <c r="F288" s="4">
        <v>0</v>
      </c>
      <c r="G288" s="4">
        <v>2</v>
      </c>
      <c r="H288" s="4">
        <v>1</v>
      </c>
      <c r="I288" s="4">
        <v>0</v>
      </c>
      <c r="J288" s="4">
        <v>0</v>
      </c>
      <c r="K288" s="4">
        <v>0</v>
      </c>
      <c r="L288" s="2" t="s">
        <v>79</v>
      </c>
    </row>
    <row r="289" spans="1:12" x14ac:dyDescent="0.2">
      <c r="A289" s="4">
        <v>4.75</v>
      </c>
      <c r="B289" s="4">
        <v>12</v>
      </c>
      <c r="C289" s="4">
        <v>19</v>
      </c>
      <c r="D289" s="4">
        <v>0</v>
      </c>
      <c r="E289" s="4">
        <v>0</v>
      </c>
      <c r="F289" s="4">
        <v>1</v>
      </c>
      <c r="G289" s="4">
        <v>3</v>
      </c>
      <c r="H289" s="4">
        <v>0</v>
      </c>
      <c r="I289" s="4">
        <v>1</v>
      </c>
      <c r="J289" s="4">
        <v>0</v>
      </c>
      <c r="K289" s="4">
        <v>0</v>
      </c>
      <c r="L289" s="2" t="s">
        <v>79</v>
      </c>
    </row>
    <row r="290" spans="1:12" x14ac:dyDescent="0.2">
      <c r="A290" s="4">
        <v>2.9</v>
      </c>
      <c r="B290" s="4">
        <v>10</v>
      </c>
      <c r="C290" s="4">
        <v>18</v>
      </c>
      <c r="D290" s="4">
        <v>0</v>
      </c>
      <c r="E290" s="4">
        <v>1</v>
      </c>
      <c r="F290" s="4">
        <v>1</v>
      </c>
      <c r="G290" s="4">
        <v>2</v>
      </c>
      <c r="H290" s="4">
        <v>0</v>
      </c>
      <c r="I290" s="4">
        <v>1</v>
      </c>
      <c r="J290" s="4">
        <v>0</v>
      </c>
      <c r="K290" s="4">
        <v>0</v>
      </c>
      <c r="L290" s="2" t="s">
        <v>79</v>
      </c>
    </row>
    <row r="291" spans="1:12" x14ac:dyDescent="0.2">
      <c r="A291" s="4">
        <v>3.75</v>
      </c>
      <c r="B291" s="4">
        <v>12</v>
      </c>
      <c r="C291" s="4">
        <v>18</v>
      </c>
      <c r="D291" s="4">
        <v>0</v>
      </c>
      <c r="E291" s="4">
        <v>1</v>
      </c>
      <c r="F291" s="4">
        <v>1</v>
      </c>
      <c r="G291" s="4">
        <v>4</v>
      </c>
      <c r="H291" s="4">
        <v>1</v>
      </c>
      <c r="I291" s="4">
        <v>0</v>
      </c>
      <c r="J291" s="4">
        <v>0</v>
      </c>
      <c r="K291" s="4">
        <v>0</v>
      </c>
      <c r="L291" s="2" t="s">
        <v>79</v>
      </c>
    </row>
    <row r="292" spans="1:12" x14ac:dyDescent="0.2">
      <c r="A292" s="4">
        <v>1.43</v>
      </c>
      <c r="B292" s="4">
        <v>12</v>
      </c>
      <c r="C292" s="4">
        <v>17</v>
      </c>
      <c r="D292" s="4">
        <v>0</v>
      </c>
      <c r="E292" s="10">
        <v>2</v>
      </c>
      <c r="F292" s="4">
        <v>1</v>
      </c>
      <c r="G292" s="4">
        <v>2</v>
      </c>
      <c r="H292" s="4">
        <v>0</v>
      </c>
      <c r="I292" s="4">
        <v>0</v>
      </c>
      <c r="J292" s="4">
        <v>0</v>
      </c>
      <c r="K292" s="4">
        <v>0</v>
      </c>
      <c r="L292" s="2" t="s">
        <v>79</v>
      </c>
    </row>
    <row r="293" spans="1:12" x14ac:dyDescent="0.2">
      <c r="A293" s="4">
        <v>3</v>
      </c>
      <c r="B293" s="4">
        <v>14</v>
      </c>
      <c r="C293" s="4">
        <v>17</v>
      </c>
      <c r="D293" s="4">
        <v>0</v>
      </c>
      <c r="E293" s="4">
        <v>1</v>
      </c>
      <c r="F293" s="4">
        <v>1</v>
      </c>
      <c r="G293" s="4">
        <v>4</v>
      </c>
      <c r="H293" s="4">
        <v>0</v>
      </c>
      <c r="I293" s="4">
        <v>1</v>
      </c>
      <c r="J293" s="4">
        <v>0</v>
      </c>
      <c r="K293" s="4">
        <v>0</v>
      </c>
      <c r="L293" s="2" t="s">
        <v>79</v>
      </c>
    </row>
    <row r="294" spans="1:12" x14ac:dyDescent="0.2">
      <c r="A294" s="4">
        <v>4.5</v>
      </c>
      <c r="B294" s="4">
        <v>14</v>
      </c>
      <c r="C294" s="4">
        <v>16</v>
      </c>
      <c r="D294" s="4">
        <v>0</v>
      </c>
      <c r="E294" s="4">
        <v>1</v>
      </c>
      <c r="F294" s="4">
        <v>1</v>
      </c>
      <c r="G294" s="4">
        <v>1</v>
      </c>
      <c r="H294" s="4">
        <v>0</v>
      </c>
      <c r="I294" s="4">
        <v>0</v>
      </c>
      <c r="J294" s="4">
        <v>1</v>
      </c>
      <c r="K294" s="4">
        <v>0</v>
      </c>
      <c r="L294" s="2" t="s">
        <v>79</v>
      </c>
    </row>
    <row r="295" spans="1:12" x14ac:dyDescent="0.2">
      <c r="A295" s="4">
        <v>3.24</v>
      </c>
      <c r="B295" s="4">
        <v>12</v>
      </c>
      <c r="C295" s="4">
        <v>16</v>
      </c>
      <c r="D295" s="4">
        <v>0</v>
      </c>
      <c r="E295" s="4">
        <v>1</v>
      </c>
      <c r="F295" s="4">
        <v>1</v>
      </c>
      <c r="G295" s="4">
        <v>2</v>
      </c>
      <c r="H295" s="4">
        <v>0</v>
      </c>
      <c r="I295" s="4">
        <v>1</v>
      </c>
      <c r="J295" s="4">
        <v>0</v>
      </c>
      <c r="K295" s="4">
        <v>0</v>
      </c>
      <c r="L295" s="2" t="s">
        <v>79</v>
      </c>
    </row>
    <row r="296" spans="1:12" x14ac:dyDescent="0.2">
      <c r="A296" s="4">
        <v>6.11</v>
      </c>
      <c r="B296" s="4">
        <v>14</v>
      </c>
      <c r="C296" s="4">
        <v>15</v>
      </c>
      <c r="D296" s="4">
        <v>0</v>
      </c>
      <c r="E296" s="4">
        <v>0</v>
      </c>
      <c r="F296" s="4">
        <v>1</v>
      </c>
      <c r="G296" s="4">
        <v>2</v>
      </c>
      <c r="H296" s="4">
        <v>0</v>
      </c>
      <c r="I296" s="4">
        <v>0</v>
      </c>
      <c r="J296" s="4">
        <v>0</v>
      </c>
      <c r="K296" s="4">
        <v>0</v>
      </c>
      <c r="L296" s="2" t="s">
        <v>79</v>
      </c>
    </row>
    <row r="297" spans="1:12" x14ac:dyDescent="0.2">
      <c r="A297" s="4">
        <v>8.77</v>
      </c>
      <c r="B297" s="4">
        <v>12</v>
      </c>
      <c r="C297" s="4">
        <v>15</v>
      </c>
      <c r="D297" s="4">
        <v>0</v>
      </c>
      <c r="E297" s="4">
        <v>0</v>
      </c>
      <c r="F297" s="4">
        <v>1</v>
      </c>
      <c r="G297" s="4">
        <v>2</v>
      </c>
      <c r="H297" s="4">
        <v>0</v>
      </c>
      <c r="I297" s="4">
        <v>0</v>
      </c>
      <c r="J297" s="4">
        <v>1</v>
      </c>
      <c r="K297" s="4">
        <v>0</v>
      </c>
      <c r="L297" s="2" t="s">
        <v>79</v>
      </c>
    </row>
    <row r="298" spans="1:12" x14ac:dyDescent="0.2">
      <c r="A298" s="4">
        <v>10</v>
      </c>
      <c r="B298" s="4">
        <v>12</v>
      </c>
      <c r="C298" s="4">
        <v>15</v>
      </c>
      <c r="D298" s="4">
        <v>0</v>
      </c>
      <c r="E298" s="4">
        <v>0</v>
      </c>
      <c r="F298" s="4">
        <v>0</v>
      </c>
      <c r="G298" s="4">
        <v>1</v>
      </c>
      <c r="H298" s="4">
        <v>0</v>
      </c>
      <c r="I298" s="4">
        <v>0</v>
      </c>
      <c r="J298" s="4">
        <v>0</v>
      </c>
      <c r="K298" s="4">
        <v>0</v>
      </c>
      <c r="L298" s="2" t="s">
        <v>79</v>
      </c>
    </row>
    <row r="299" spans="1:12" x14ac:dyDescent="0.2">
      <c r="A299" s="4">
        <v>5</v>
      </c>
      <c r="B299" s="4">
        <v>15</v>
      </c>
      <c r="C299" s="4">
        <v>15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1</v>
      </c>
      <c r="J299" s="4">
        <v>0</v>
      </c>
      <c r="K299" s="4">
        <v>0</v>
      </c>
      <c r="L299" s="2" t="s">
        <v>79</v>
      </c>
    </row>
    <row r="300" spans="1:12" x14ac:dyDescent="0.2">
      <c r="A300" s="4">
        <v>3.75</v>
      </c>
      <c r="B300" s="4">
        <v>10</v>
      </c>
      <c r="C300" s="4">
        <v>15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2" t="s">
        <v>79</v>
      </c>
    </row>
    <row r="301" spans="1:12" x14ac:dyDescent="0.2">
      <c r="A301" s="4">
        <v>3.25</v>
      </c>
      <c r="B301" s="4">
        <v>12</v>
      </c>
      <c r="C301" s="4">
        <v>14</v>
      </c>
      <c r="D301" s="4">
        <v>0</v>
      </c>
      <c r="E301" s="4">
        <v>1</v>
      </c>
      <c r="F301" s="4">
        <v>1</v>
      </c>
      <c r="G301" s="4">
        <v>1</v>
      </c>
      <c r="H301" s="4">
        <v>0</v>
      </c>
      <c r="I301" s="4">
        <v>0</v>
      </c>
      <c r="J301" s="4">
        <v>0</v>
      </c>
      <c r="K301" s="4">
        <v>0</v>
      </c>
      <c r="L301" s="2" t="s">
        <v>79</v>
      </c>
    </row>
    <row r="302" spans="1:12" x14ac:dyDescent="0.2">
      <c r="A302" s="4">
        <v>3.75</v>
      </c>
      <c r="B302" s="4">
        <v>12</v>
      </c>
      <c r="C302" s="4">
        <v>14</v>
      </c>
      <c r="D302" s="4">
        <v>0</v>
      </c>
      <c r="E302" s="4">
        <v>1</v>
      </c>
      <c r="F302" s="4">
        <v>1</v>
      </c>
      <c r="G302" s="4">
        <v>3</v>
      </c>
      <c r="H302" s="4">
        <v>0</v>
      </c>
      <c r="I302" s="4">
        <v>0</v>
      </c>
      <c r="J302" s="4">
        <v>0</v>
      </c>
      <c r="K302" s="4">
        <v>0</v>
      </c>
      <c r="L302" s="2" t="s">
        <v>79</v>
      </c>
    </row>
    <row r="303" spans="1:12" x14ac:dyDescent="0.2">
      <c r="A303" s="4">
        <v>3.1</v>
      </c>
      <c r="B303" s="4">
        <v>6</v>
      </c>
      <c r="C303" s="4">
        <v>14</v>
      </c>
      <c r="D303" s="4">
        <v>0</v>
      </c>
      <c r="E303" s="4">
        <v>1</v>
      </c>
      <c r="F303" s="4">
        <v>0</v>
      </c>
      <c r="G303" s="4">
        <v>5</v>
      </c>
      <c r="H303" s="4">
        <v>0</v>
      </c>
      <c r="I303" s="4">
        <v>1</v>
      </c>
      <c r="J303" s="4">
        <v>0</v>
      </c>
      <c r="K303" s="4">
        <v>0</v>
      </c>
      <c r="L303" s="2" t="s">
        <v>79</v>
      </c>
    </row>
    <row r="304" spans="1:12" x14ac:dyDescent="0.2">
      <c r="A304" s="4">
        <v>3.5</v>
      </c>
      <c r="B304" s="4">
        <v>12</v>
      </c>
      <c r="C304" s="4">
        <v>14</v>
      </c>
      <c r="D304" s="4">
        <v>0</v>
      </c>
      <c r="E304" s="4">
        <v>1</v>
      </c>
      <c r="F304" s="4">
        <v>0</v>
      </c>
      <c r="G304" s="4">
        <v>2</v>
      </c>
      <c r="H304" s="4">
        <v>0</v>
      </c>
      <c r="I304" s="4">
        <v>1</v>
      </c>
      <c r="J304" s="4">
        <v>0</v>
      </c>
      <c r="K304" s="4">
        <v>1</v>
      </c>
      <c r="L304" s="2" t="s">
        <v>79</v>
      </c>
    </row>
    <row r="305" spans="1:12" x14ac:dyDescent="0.2">
      <c r="A305" s="4">
        <v>17.329999999999998</v>
      </c>
      <c r="B305" s="4">
        <v>16</v>
      </c>
      <c r="C305" s="4">
        <v>14</v>
      </c>
      <c r="D305" s="4">
        <v>0</v>
      </c>
      <c r="E305" s="4">
        <v>0</v>
      </c>
      <c r="F305" s="4">
        <v>1</v>
      </c>
      <c r="G305" s="4">
        <v>1</v>
      </c>
      <c r="H305" s="4">
        <v>0</v>
      </c>
      <c r="I305" s="4">
        <v>0</v>
      </c>
      <c r="J305" s="4">
        <v>1</v>
      </c>
      <c r="K305" s="4">
        <v>0</v>
      </c>
      <c r="L305" s="2" t="s">
        <v>79</v>
      </c>
    </row>
    <row r="306" spans="1:12" x14ac:dyDescent="0.2">
      <c r="A306" s="4">
        <v>3.58</v>
      </c>
      <c r="B306" s="4">
        <v>12</v>
      </c>
      <c r="C306" s="4">
        <v>13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1</v>
      </c>
      <c r="J306" s="4">
        <v>0</v>
      </c>
      <c r="K306" s="4">
        <v>0</v>
      </c>
      <c r="L306" s="2" t="s">
        <v>79</v>
      </c>
    </row>
    <row r="307" spans="1:12" x14ac:dyDescent="0.2">
      <c r="A307" s="4">
        <v>4.5</v>
      </c>
      <c r="B307" s="4">
        <v>12</v>
      </c>
      <c r="C307" s="4">
        <v>13</v>
      </c>
      <c r="D307" s="4">
        <v>0</v>
      </c>
      <c r="E307" s="4">
        <v>0</v>
      </c>
      <c r="F307" s="4">
        <v>1</v>
      </c>
      <c r="G307" s="4">
        <v>0</v>
      </c>
      <c r="H307" s="4">
        <v>0</v>
      </c>
      <c r="I307" s="4">
        <v>1</v>
      </c>
      <c r="J307" s="4">
        <v>0</v>
      </c>
      <c r="K307" s="4">
        <v>0</v>
      </c>
      <c r="L307" s="2" t="s">
        <v>79</v>
      </c>
    </row>
    <row r="308" spans="1:12" x14ac:dyDescent="0.2">
      <c r="A308" s="4">
        <v>3.6</v>
      </c>
      <c r="B308" s="4">
        <v>12</v>
      </c>
      <c r="C308" s="4">
        <v>13</v>
      </c>
      <c r="D308" s="4">
        <v>0</v>
      </c>
      <c r="E308" s="10">
        <v>2</v>
      </c>
      <c r="F308" s="4">
        <v>1</v>
      </c>
      <c r="G308" s="4">
        <v>3</v>
      </c>
      <c r="H308" s="4">
        <v>0</v>
      </c>
      <c r="I308" s="4">
        <v>0</v>
      </c>
      <c r="J308" s="4">
        <v>1</v>
      </c>
      <c r="K308" s="4">
        <v>0</v>
      </c>
      <c r="L308" s="2" t="s">
        <v>79</v>
      </c>
    </row>
    <row r="309" spans="1:12" x14ac:dyDescent="0.2">
      <c r="A309" s="4">
        <v>18</v>
      </c>
      <c r="B309" s="4">
        <v>18</v>
      </c>
      <c r="C309" s="4">
        <v>13</v>
      </c>
      <c r="D309" s="4">
        <v>0</v>
      </c>
      <c r="E309" s="4">
        <v>1</v>
      </c>
      <c r="F309" s="4">
        <v>0</v>
      </c>
      <c r="G309" s="4">
        <v>0</v>
      </c>
      <c r="H309" s="4">
        <v>0</v>
      </c>
      <c r="I309" s="4">
        <v>1</v>
      </c>
      <c r="J309" s="4">
        <v>0</v>
      </c>
      <c r="K309" s="4">
        <v>0</v>
      </c>
      <c r="L309" s="2" t="s">
        <v>79</v>
      </c>
    </row>
    <row r="310" spans="1:12" x14ac:dyDescent="0.2">
      <c r="A310" s="4">
        <v>6.25</v>
      </c>
      <c r="B310" s="10">
        <v>12</v>
      </c>
      <c r="C310" s="4">
        <v>13</v>
      </c>
      <c r="D310" s="4">
        <v>0</v>
      </c>
      <c r="E310" s="4">
        <v>1</v>
      </c>
      <c r="F310" s="4">
        <v>1</v>
      </c>
      <c r="G310" s="4">
        <v>0</v>
      </c>
      <c r="H310" s="4">
        <v>1</v>
      </c>
      <c r="I310" s="4">
        <v>0</v>
      </c>
      <c r="J310" s="4">
        <v>0</v>
      </c>
      <c r="K310" s="4">
        <v>0</v>
      </c>
      <c r="L310" s="2" t="s">
        <v>79</v>
      </c>
    </row>
    <row r="311" spans="1:12" x14ac:dyDescent="0.2">
      <c r="A311" s="4">
        <v>7.14</v>
      </c>
      <c r="B311" s="4">
        <v>18</v>
      </c>
      <c r="C311" s="4">
        <v>13</v>
      </c>
      <c r="D311" s="4">
        <v>0</v>
      </c>
      <c r="E311" s="4">
        <v>0</v>
      </c>
      <c r="F311" s="4">
        <v>1</v>
      </c>
      <c r="G311" s="4">
        <v>2</v>
      </c>
      <c r="H311" s="4">
        <v>0</v>
      </c>
      <c r="I311" s="4">
        <v>0</v>
      </c>
      <c r="J311" s="4">
        <v>0</v>
      </c>
      <c r="K311" s="4">
        <v>0</v>
      </c>
      <c r="L311" s="2" t="s">
        <v>79</v>
      </c>
    </row>
    <row r="312" spans="1:12" x14ac:dyDescent="0.2">
      <c r="A312" s="4">
        <v>3.75</v>
      </c>
      <c r="B312" s="10">
        <v>12</v>
      </c>
      <c r="C312" s="4">
        <v>13</v>
      </c>
      <c r="D312" s="4">
        <v>0</v>
      </c>
      <c r="E312" s="4">
        <v>1</v>
      </c>
      <c r="F312" s="4">
        <v>1</v>
      </c>
      <c r="G312" s="4">
        <v>3</v>
      </c>
      <c r="H312" s="4">
        <v>1</v>
      </c>
      <c r="I312" s="4">
        <v>0</v>
      </c>
      <c r="J312" s="4">
        <v>0</v>
      </c>
      <c r="K312" s="4">
        <v>0</v>
      </c>
      <c r="L312" s="2" t="s">
        <v>79</v>
      </c>
    </row>
    <row r="313" spans="1:12" x14ac:dyDescent="0.2">
      <c r="A313" s="4">
        <v>10</v>
      </c>
      <c r="B313" s="4">
        <v>8</v>
      </c>
      <c r="C313" s="4">
        <v>13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2" t="s">
        <v>79</v>
      </c>
    </row>
    <row r="314" spans="1:12" x14ac:dyDescent="0.2">
      <c r="A314" s="4">
        <v>4.5</v>
      </c>
      <c r="B314" s="4">
        <v>12</v>
      </c>
      <c r="C314" s="4">
        <v>12</v>
      </c>
      <c r="D314" s="4">
        <v>0</v>
      </c>
      <c r="E314" s="4">
        <v>0</v>
      </c>
      <c r="F314" s="4">
        <v>1</v>
      </c>
      <c r="G314" s="4">
        <v>3</v>
      </c>
      <c r="H314" s="4">
        <v>0</v>
      </c>
      <c r="I314" s="4">
        <v>1</v>
      </c>
      <c r="J314" s="4">
        <v>0</v>
      </c>
      <c r="K314" s="4">
        <v>0</v>
      </c>
      <c r="L314" s="2" t="s">
        <v>79</v>
      </c>
    </row>
    <row r="315" spans="1:12" x14ac:dyDescent="0.2">
      <c r="A315" s="4">
        <v>3.45</v>
      </c>
      <c r="B315" s="4">
        <v>10</v>
      </c>
      <c r="C315" s="4">
        <v>11</v>
      </c>
      <c r="D315" s="4">
        <v>0</v>
      </c>
      <c r="E315" s="4">
        <v>1</v>
      </c>
      <c r="F315" s="4">
        <v>0</v>
      </c>
      <c r="G315" s="4">
        <v>2</v>
      </c>
      <c r="H315" s="4">
        <v>0</v>
      </c>
      <c r="I315" s="4">
        <v>1</v>
      </c>
      <c r="J315" s="4">
        <v>0</v>
      </c>
      <c r="K315" s="4">
        <v>0</v>
      </c>
      <c r="L315" s="2" t="s">
        <v>79</v>
      </c>
    </row>
    <row r="316" spans="1:12" x14ac:dyDescent="0.2">
      <c r="A316" s="4">
        <v>3.75</v>
      </c>
      <c r="B316" s="4">
        <v>12</v>
      </c>
      <c r="C316" s="4">
        <v>11</v>
      </c>
      <c r="D316" s="4">
        <v>0</v>
      </c>
      <c r="E316" s="4">
        <v>0</v>
      </c>
      <c r="F316" s="4">
        <v>0</v>
      </c>
      <c r="G316" s="4">
        <v>1</v>
      </c>
      <c r="H316" s="4">
        <v>0</v>
      </c>
      <c r="I316" s="4">
        <v>1</v>
      </c>
      <c r="J316" s="4">
        <v>0</v>
      </c>
      <c r="K316" s="4">
        <v>0</v>
      </c>
      <c r="L316" s="2" t="s">
        <v>79</v>
      </c>
    </row>
    <row r="317" spans="1:12" x14ac:dyDescent="0.2">
      <c r="A317" s="4">
        <v>6</v>
      </c>
      <c r="B317" s="4">
        <v>14</v>
      </c>
      <c r="C317" s="4">
        <v>11</v>
      </c>
      <c r="D317" s="4">
        <v>0</v>
      </c>
      <c r="E317" s="4">
        <v>0</v>
      </c>
      <c r="F317" s="4">
        <v>1</v>
      </c>
      <c r="G317" s="4">
        <v>0</v>
      </c>
      <c r="H317" s="4">
        <v>1</v>
      </c>
      <c r="I317" s="4">
        <v>0</v>
      </c>
      <c r="J317" s="4">
        <v>0</v>
      </c>
      <c r="K317" s="4">
        <v>0</v>
      </c>
      <c r="L317" s="2" t="s">
        <v>79</v>
      </c>
    </row>
    <row r="318" spans="1:12" x14ac:dyDescent="0.2">
      <c r="A318" s="4">
        <v>6.25</v>
      </c>
      <c r="B318" s="4">
        <v>12</v>
      </c>
      <c r="C318" s="4">
        <v>11</v>
      </c>
      <c r="D318" s="4">
        <v>0</v>
      </c>
      <c r="E318" s="4">
        <v>1</v>
      </c>
      <c r="F318" s="4">
        <v>0</v>
      </c>
      <c r="G318" s="4">
        <v>0</v>
      </c>
      <c r="H318" s="4">
        <v>0</v>
      </c>
      <c r="I318" s="4">
        <v>0</v>
      </c>
      <c r="J318" s="4">
        <v>1</v>
      </c>
      <c r="K318" s="4">
        <v>0</v>
      </c>
      <c r="L318" s="2" t="s">
        <v>79</v>
      </c>
    </row>
    <row r="319" spans="1:12" x14ac:dyDescent="0.2">
      <c r="A319" s="4">
        <v>7.5</v>
      </c>
      <c r="B319" s="4">
        <v>16</v>
      </c>
      <c r="C319" s="4">
        <v>11</v>
      </c>
      <c r="D319" s="4">
        <v>0</v>
      </c>
      <c r="E319" s="4">
        <v>0</v>
      </c>
      <c r="F319" s="4">
        <v>1</v>
      </c>
      <c r="G319" s="4">
        <v>0</v>
      </c>
      <c r="H319" s="4">
        <v>1</v>
      </c>
      <c r="I319" s="4">
        <v>0</v>
      </c>
      <c r="J319" s="4">
        <v>0</v>
      </c>
      <c r="K319" s="4">
        <v>0</v>
      </c>
      <c r="L319" s="2" t="s">
        <v>79</v>
      </c>
    </row>
    <row r="320" spans="1:12" x14ac:dyDescent="0.2">
      <c r="A320" s="4">
        <v>3</v>
      </c>
      <c r="B320" s="4">
        <v>12</v>
      </c>
      <c r="C320" s="4">
        <v>11</v>
      </c>
      <c r="D320" s="4">
        <v>0</v>
      </c>
      <c r="E320" s="4">
        <v>1</v>
      </c>
      <c r="F320" s="4">
        <v>1</v>
      </c>
      <c r="G320" s="4">
        <v>2</v>
      </c>
      <c r="H320" s="4">
        <v>0</v>
      </c>
      <c r="I320" s="4">
        <v>1</v>
      </c>
      <c r="J320" s="4">
        <v>0</v>
      </c>
      <c r="K320" s="4">
        <v>0</v>
      </c>
      <c r="L320" s="2" t="s">
        <v>79</v>
      </c>
    </row>
    <row r="321" spans="1:12" x14ac:dyDescent="0.2">
      <c r="A321" s="4">
        <v>4.55</v>
      </c>
      <c r="B321" s="4">
        <v>12</v>
      </c>
      <c r="C321" s="4">
        <v>11</v>
      </c>
      <c r="D321" s="4">
        <v>0</v>
      </c>
      <c r="E321" s="10">
        <v>2</v>
      </c>
      <c r="F321" s="4">
        <v>1</v>
      </c>
      <c r="G321" s="4">
        <v>0</v>
      </c>
      <c r="H321" s="4">
        <v>1</v>
      </c>
      <c r="I321" s="4">
        <v>0</v>
      </c>
      <c r="J321" s="4">
        <v>0</v>
      </c>
      <c r="K321" s="4">
        <v>0</v>
      </c>
      <c r="L321" s="2" t="s">
        <v>79</v>
      </c>
    </row>
    <row r="322" spans="1:12" x14ac:dyDescent="0.2">
      <c r="A322" s="4">
        <v>7.5</v>
      </c>
      <c r="B322" s="4">
        <v>12</v>
      </c>
      <c r="C322" s="4">
        <v>10</v>
      </c>
      <c r="D322" s="4">
        <v>0</v>
      </c>
      <c r="E322" s="4">
        <v>1</v>
      </c>
      <c r="F322" s="4">
        <v>1</v>
      </c>
      <c r="G322" s="4">
        <v>0</v>
      </c>
      <c r="H322" s="4">
        <v>0</v>
      </c>
      <c r="I322" s="4">
        <v>0</v>
      </c>
      <c r="J322" s="4">
        <v>1</v>
      </c>
      <c r="K322" s="4">
        <v>0</v>
      </c>
      <c r="L322" s="2" t="s">
        <v>79</v>
      </c>
    </row>
    <row r="323" spans="1:12" x14ac:dyDescent="0.2">
      <c r="A323" s="4">
        <v>3.05</v>
      </c>
      <c r="B323" s="4">
        <v>12</v>
      </c>
      <c r="C323" s="4">
        <v>10</v>
      </c>
      <c r="D323" s="4">
        <v>0</v>
      </c>
      <c r="E323" s="4">
        <v>1</v>
      </c>
      <c r="F323" s="4">
        <v>1</v>
      </c>
      <c r="G323" s="4">
        <v>2</v>
      </c>
      <c r="H323" s="4">
        <v>1</v>
      </c>
      <c r="I323" s="4">
        <v>0</v>
      </c>
      <c r="J323" s="4">
        <v>0</v>
      </c>
      <c r="K323" s="4">
        <v>0</v>
      </c>
      <c r="L323" s="2" t="s">
        <v>79</v>
      </c>
    </row>
    <row r="324" spans="1:12" x14ac:dyDescent="0.2">
      <c r="A324" s="4">
        <v>6.25</v>
      </c>
      <c r="B324" s="4">
        <v>12</v>
      </c>
      <c r="C324" s="4">
        <v>10</v>
      </c>
      <c r="D324" s="4">
        <v>0</v>
      </c>
      <c r="E324" s="4">
        <v>0</v>
      </c>
      <c r="F324" s="4">
        <v>1</v>
      </c>
      <c r="G324" s="4">
        <v>3</v>
      </c>
      <c r="H324" s="4">
        <v>0</v>
      </c>
      <c r="I324" s="4">
        <v>1</v>
      </c>
      <c r="J324" s="4">
        <v>0</v>
      </c>
      <c r="K324" s="4">
        <v>1</v>
      </c>
      <c r="L324" s="2" t="s">
        <v>79</v>
      </c>
    </row>
    <row r="325" spans="1:12" x14ac:dyDescent="0.2">
      <c r="A325" s="4">
        <v>4.5</v>
      </c>
      <c r="B325" s="4">
        <v>14</v>
      </c>
      <c r="C325" s="4">
        <v>10</v>
      </c>
      <c r="D325" s="4">
        <v>0</v>
      </c>
      <c r="E325" s="4">
        <v>0</v>
      </c>
      <c r="F325" s="4">
        <v>1</v>
      </c>
      <c r="G325" s="4">
        <v>0</v>
      </c>
      <c r="H325" s="4">
        <v>1</v>
      </c>
      <c r="I325" s="4">
        <v>0</v>
      </c>
      <c r="J325" s="4">
        <v>0</v>
      </c>
      <c r="K325" s="4">
        <v>0</v>
      </c>
      <c r="L325" s="2" t="s">
        <v>79</v>
      </c>
    </row>
    <row r="326" spans="1:12" x14ac:dyDescent="0.2">
      <c r="A326" s="4">
        <v>3</v>
      </c>
      <c r="B326" s="4">
        <v>15</v>
      </c>
      <c r="C326" s="4">
        <v>9</v>
      </c>
      <c r="D326" s="4">
        <v>0</v>
      </c>
      <c r="E326" s="4">
        <v>0</v>
      </c>
      <c r="F326" s="4">
        <v>0</v>
      </c>
      <c r="G326" s="4">
        <v>0</v>
      </c>
      <c r="H326" s="4">
        <v>1</v>
      </c>
      <c r="I326" s="4">
        <v>0</v>
      </c>
      <c r="J326" s="4">
        <v>0</v>
      </c>
      <c r="K326" s="4">
        <v>0</v>
      </c>
      <c r="L326" s="2" t="s">
        <v>79</v>
      </c>
    </row>
    <row r="327" spans="1:12" x14ac:dyDescent="0.2">
      <c r="A327" s="4">
        <v>10</v>
      </c>
      <c r="B327" s="4">
        <v>8</v>
      </c>
      <c r="C327" s="4">
        <v>9</v>
      </c>
      <c r="D327" s="4">
        <v>0</v>
      </c>
      <c r="E327" s="4">
        <v>0</v>
      </c>
      <c r="F327" s="4">
        <v>1</v>
      </c>
      <c r="G327" s="4">
        <v>0</v>
      </c>
      <c r="H327" s="4">
        <v>1</v>
      </c>
      <c r="I327" s="4">
        <v>0</v>
      </c>
      <c r="J327" s="4">
        <v>0</v>
      </c>
      <c r="K327" s="4">
        <v>1</v>
      </c>
      <c r="L327" s="2" t="s">
        <v>79</v>
      </c>
    </row>
    <row r="328" spans="1:12" x14ac:dyDescent="0.2">
      <c r="A328" s="4">
        <v>6</v>
      </c>
      <c r="B328" s="4">
        <v>13</v>
      </c>
      <c r="C328" s="4">
        <v>8</v>
      </c>
      <c r="D328" s="4">
        <v>0</v>
      </c>
      <c r="E328" s="4">
        <v>0</v>
      </c>
      <c r="F328" s="4">
        <v>1</v>
      </c>
      <c r="G328" s="4">
        <v>2</v>
      </c>
      <c r="H328" s="4">
        <v>1</v>
      </c>
      <c r="I328" s="4">
        <v>0</v>
      </c>
      <c r="J328" s="4">
        <v>0</v>
      </c>
      <c r="K328" s="4">
        <v>0</v>
      </c>
      <c r="L328" s="2" t="s">
        <v>79</v>
      </c>
    </row>
    <row r="329" spans="1:12" x14ac:dyDescent="0.2">
      <c r="A329" s="4">
        <v>2.89</v>
      </c>
      <c r="B329" s="4">
        <v>10</v>
      </c>
      <c r="C329" s="4">
        <v>8</v>
      </c>
      <c r="D329" s="4">
        <v>0</v>
      </c>
      <c r="E329" s="4">
        <v>1</v>
      </c>
      <c r="F329" s="4">
        <v>0</v>
      </c>
      <c r="G329" s="4">
        <v>1</v>
      </c>
      <c r="H329" s="4">
        <v>0</v>
      </c>
      <c r="I329" s="4">
        <v>0</v>
      </c>
      <c r="J329" s="4">
        <v>0</v>
      </c>
      <c r="K329" s="4">
        <v>0</v>
      </c>
      <c r="L329" s="2" t="s">
        <v>79</v>
      </c>
    </row>
    <row r="330" spans="1:12" x14ac:dyDescent="0.2">
      <c r="A330" s="4">
        <v>4.2</v>
      </c>
      <c r="B330" s="4">
        <v>16</v>
      </c>
      <c r="C330" s="4">
        <v>8</v>
      </c>
      <c r="D330" s="4">
        <v>0</v>
      </c>
      <c r="E330" s="4">
        <v>1</v>
      </c>
      <c r="F330" s="4">
        <v>1</v>
      </c>
      <c r="G330" s="4">
        <v>1</v>
      </c>
      <c r="H330" s="4">
        <v>1</v>
      </c>
      <c r="I330" s="4">
        <v>0</v>
      </c>
      <c r="J330" s="4">
        <v>0</v>
      </c>
      <c r="K330" s="4">
        <v>0</v>
      </c>
      <c r="L330" s="2" t="s">
        <v>79</v>
      </c>
    </row>
    <row r="331" spans="1:12" x14ac:dyDescent="0.2">
      <c r="A331" s="4">
        <v>4.5999999999999996</v>
      </c>
      <c r="B331" s="4">
        <v>14</v>
      </c>
      <c r="C331" s="4">
        <v>7</v>
      </c>
      <c r="D331" s="4">
        <v>0</v>
      </c>
      <c r="E331" s="4">
        <v>1</v>
      </c>
      <c r="F331" s="4">
        <v>1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2" t="s">
        <v>79</v>
      </c>
    </row>
    <row r="332" spans="1:12" x14ac:dyDescent="0.2">
      <c r="A332" s="4">
        <v>4.38</v>
      </c>
      <c r="B332" s="4">
        <v>16</v>
      </c>
      <c r="C332" s="4">
        <v>7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2" t="s">
        <v>79</v>
      </c>
    </row>
    <row r="333" spans="1:12" x14ac:dyDescent="0.2">
      <c r="A333" s="4">
        <v>9</v>
      </c>
      <c r="B333" s="4">
        <v>17</v>
      </c>
      <c r="C333" s="4">
        <v>7</v>
      </c>
      <c r="D333" s="4">
        <v>0</v>
      </c>
      <c r="E333" s="4">
        <v>1</v>
      </c>
      <c r="F333" s="4">
        <v>1</v>
      </c>
      <c r="G333" s="4">
        <v>2</v>
      </c>
      <c r="H333" s="4">
        <v>0</v>
      </c>
      <c r="I333" s="4">
        <v>0</v>
      </c>
      <c r="J333" s="4">
        <v>0</v>
      </c>
      <c r="K333" s="4">
        <v>0</v>
      </c>
      <c r="L333" s="2" t="s">
        <v>79</v>
      </c>
    </row>
    <row r="334" spans="1:12" x14ac:dyDescent="0.2">
      <c r="A334" s="4">
        <v>3</v>
      </c>
      <c r="B334" s="4">
        <v>10</v>
      </c>
      <c r="C334" s="4">
        <v>7</v>
      </c>
      <c r="D334" s="4">
        <v>0</v>
      </c>
      <c r="E334" s="4">
        <v>1</v>
      </c>
      <c r="F334" s="4">
        <v>1</v>
      </c>
      <c r="G334" s="4">
        <v>2</v>
      </c>
      <c r="H334" s="4">
        <v>1</v>
      </c>
      <c r="I334" s="4">
        <v>0</v>
      </c>
      <c r="J334" s="4">
        <v>0</v>
      </c>
      <c r="K334" s="4">
        <v>0</v>
      </c>
      <c r="L334" s="2" t="s">
        <v>79</v>
      </c>
    </row>
    <row r="335" spans="1:12" x14ac:dyDescent="0.2">
      <c r="A335" s="4">
        <v>4.38</v>
      </c>
      <c r="B335" s="4">
        <v>13</v>
      </c>
      <c r="C335" s="4">
        <v>7</v>
      </c>
      <c r="D335" s="4">
        <v>0</v>
      </c>
      <c r="E335" s="4">
        <v>0</v>
      </c>
      <c r="F335" s="4">
        <v>1</v>
      </c>
      <c r="G335" s="4">
        <v>1</v>
      </c>
      <c r="H335" s="4">
        <v>0</v>
      </c>
      <c r="I335" s="4">
        <v>0</v>
      </c>
      <c r="J335" s="4">
        <v>1</v>
      </c>
      <c r="K335" s="4">
        <v>0</v>
      </c>
      <c r="L335" s="2" t="s">
        <v>79</v>
      </c>
    </row>
    <row r="336" spans="1:12" x14ac:dyDescent="0.2">
      <c r="A336" s="4">
        <v>4.0999999999999996</v>
      </c>
      <c r="B336" s="4">
        <v>14</v>
      </c>
      <c r="C336" s="4">
        <v>6</v>
      </c>
      <c r="D336" s="4">
        <v>0</v>
      </c>
      <c r="E336" s="4">
        <v>1</v>
      </c>
      <c r="F336" s="4">
        <v>1</v>
      </c>
      <c r="G336" s="4">
        <v>0</v>
      </c>
      <c r="H336" s="4">
        <v>0</v>
      </c>
      <c r="I336" s="4">
        <v>1</v>
      </c>
      <c r="J336" s="4">
        <v>0</v>
      </c>
      <c r="K336" s="4">
        <v>0</v>
      </c>
      <c r="L336" s="2" t="s">
        <v>79</v>
      </c>
    </row>
    <row r="337" spans="1:12" x14ac:dyDescent="0.2">
      <c r="A337" s="4">
        <v>2.9</v>
      </c>
      <c r="B337" s="4">
        <v>11</v>
      </c>
      <c r="C337" s="4">
        <v>6</v>
      </c>
      <c r="D337" s="4">
        <v>0</v>
      </c>
      <c r="E337" s="4">
        <v>1</v>
      </c>
      <c r="F337" s="4">
        <v>0</v>
      </c>
      <c r="G337" s="4">
        <v>1</v>
      </c>
      <c r="H337" s="4">
        <v>0</v>
      </c>
      <c r="I337" s="4">
        <v>1</v>
      </c>
      <c r="J337" s="4">
        <v>0</v>
      </c>
      <c r="K337" s="4">
        <v>0</v>
      </c>
      <c r="L337" s="2" t="s">
        <v>79</v>
      </c>
    </row>
    <row r="338" spans="1:12" x14ac:dyDescent="0.2">
      <c r="A338" s="4">
        <v>3.76</v>
      </c>
      <c r="B338" s="4">
        <v>6</v>
      </c>
      <c r="C338" s="4">
        <v>6</v>
      </c>
      <c r="D338" s="4">
        <v>0</v>
      </c>
      <c r="E338" s="4">
        <v>0</v>
      </c>
      <c r="F338" s="4">
        <v>0</v>
      </c>
      <c r="G338" s="4">
        <v>4</v>
      </c>
      <c r="H338" s="4">
        <v>0</v>
      </c>
      <c r="I338" s="4">
        <v>1</v>
      </c>
      <c r="J338" s="4">
        <v>0</v>
      </c>
      <c r="K338" s="4">
        <v>0</v>
      </c>
      <c r="L338" s="2" t="s">
        <v>79</v>
      </c>
    </row>
    <row r="339" spans="1:12" x14ac:dyDescent="0.2">
      <c r="A339" s="4">
        <v>4</v>
      </c>
      <c r="B339" s="4">
        <v>13</v>
      </c>
      <c r="C339" s="4">
        <v>6</v>
      </c>
      <c r="D339" s="4">
        <v>0</v>
      </c>
      <c r="E339" s="4">
        <v>1</v>
      </c>
      <c r="F339" s="4">
        <v>0</v>
      </c>
      <c r="G339" s="4">
        <v>1</v>
      </c>
      <c r="H339" s="4">
        <v>1</v>
      </c>
      <c r="I339" s="4">
        <v>0</v>
      </c>
      <c r="J339" s="4">
        <v>0</v>
      </c>
      <c r="K339" s="4">
        <v>1</v>
      </c>
      <c r="L339" s="2" t="s">
        <v>79</v>
      </c>
    </row>
    <row r="340" spans="1:12" x14ac:dyDescent="0.2">
      <c r="A340" s="4">
        <v>5.84</v>
      </c>
      <c r="B340" s="4">
        <v>13</v>
      </c>
      <c r="C340" s="4">
        <v>5</v>
      </c>
      <c r="D340" s="4">
        <v>0</v>
      </c>
      <c r="E340" s="4">
        <v>1</v>
      </c>
      <c r="F340" s="4">
        <v>1</v>
      </c>
      <c r="G340" s="4">
        <v>1</v>
      </c>
      <c r="H340" s="4">
        <v>0</v>
      </c>
      <c r="I340" s="4">
        <v>1</v>
      </c>
      <c r="J340" s="4">
        <v>0</v>
      </c>
      <c r="K340" s="4">
        <v>0</v>
      </c>
      <c r="L340" s="2" t="s">
        <v>79</v>
      </c>
    </row>
    <row r="341" spans="1:12" x14ac:dyDescent="0.2">
      <c r="A341" s="4">
        <v>3.3</v>
      </c>
      <c r="B341" s="4">
        <v>13</v>
      </c>
      <c r="C341" s="4">
        <v>5</v>
      </c>
      <c r="D341" s="4">
        <v>0</v>
      </c>
      <c r="E341" s="4">
        <v>1</v>
      </c>
      <c r="F341" s="4">
        <v>0</v>
      </c>
      <c r="G341" s="4">
        <v>0</v>
      </c>
      <c r="H341" s="4">
        <v>1</v>
      </c>
      <c r="I341" s="4">
        <v>0</v>
      </c>
      <c r="J341" s="4">
        <v>0</v>
      </c>
      <c r="K341" s="4">
        <v>0</v>
      </c>
      <c r="L341" s="2" t="s">
        <v>79</v>
      </c>
    </row>
    <row r="342" spans="1:12" x14ac:dyDescent="0.2">
      <c r="A342" s="4">
        <v>3.5</v>
      </c>
      <c r="B342" s="4">
        <v>14</v>
      </c>
      <c r="C342" s="4">
        <v>5</v>
      </c>
      <c r="D342" s="4">
        <v>0</v>
      </c>
      <c r="E342" s="4">
        <v>1</v>
      </c>
      <c r="F342" s="4">
        <v>1</v>
      </c>
      <c r="G342" s="4">
        <v>0</v>
      </c>
      <c r="H342" s="4">
        <v>0</v>
      </c>
      <c r="I342" s="4">
        <v>1</v>
      </c>
      <c r="J342" s="4">
        <v>0</v>
      </c>
      <c r="K342" s="4">
        <v>0</v>
      </c>
      <c r="L342" s="2" t="s">
        <v>79</v>
      </c>
    </row>
    <row r="343" spans="1:12" x14ac:dyDescent="0.2">
      <c r="A343" s="4">
        <v>3</v>
      </c>
      <c r="B343" s="4">
        <v>13</v>
      </c>
      <c r="C343" s="4">
        <v>5</v>
      </c>
      <c r="D343" s="4">
        <v>0</v>
      </c>
      <c r="E343" s="4">
        <v>1</v>
      </c>
      <c r="F343" s="4">
        <v>0</v>
      </c>
      <c r="G343" s="4">
        <v>1</v>
      </c>
      <c r="H343" s="4">
        <v>0</v>
      </c>
      <c r="I343" s="4">
        <v>1</v>
      </c>
      <c r="J343" s="4">
        <v>0</v>
      </c>
      <c r="K343" s="4">
        <v>0</v>
      </c>
      <c r="L343" s="2" t="s">
        <v>79</v>
      </c>
    </row>
    <row r="344" spans="1:12" x14ac:dyDescent="0.2">
      <c r="A344" s="4">
        <v>4.5</v>
      </c>
      <c r="B344" s="4">
        <v>14</v>
      </c>
      <c r="C344" s="4">
        <v>5</v>
      </c>
      <c r="D344" s="4">
        <v>0</v>
      </c>
      <c r="E344" s="4">
        <v>0</v>
      </c>
      <c r="F344" s="4">
        <v>1</v>
      </c>
      <c r="G344" s="4">
        <v>0</v>
      </c>
      <c r="H344" s="4">
        <v>1</v>
      </c>
      <c r="I344" s="4">
        <v>0</v>
      </c>
      <c r="J344" s="4">
        <v>0</v>
      </c>
      <c r="K344" s="4">
        <v>1</v>
      </c>
      <c r="L344" s="2" t="s">
        <v>79</v>
      </c>
    </row>
    <row r="345" spans="1:12" x14ac:dyDescent="0.2">
      <c r="A345" s="4">
        <v>3.85</v>
      </c>
      <c r="B345" s="4">
        <v>16</v>
      </c>
      <c r="C345" s="4">
        <v>5</v>
      </c>
      <c r="D345" s="4">
        <v>0</v>
      </c>
      <c r="E345" s="4">
        <v>0</v>
      </c>
      <c r="F345" s="4">
        <v>1</v>
      </c>
      <c r="G345" s="4">
        <v>0</v>
      </c>
      <c r="H345" s="4">
        <v>1</v>
      </c>
      <c r="I345" s="4">
        <v>0</v>
      </c>
      <c r="J345" s="4">
        <v>0</v>
      </c>
      <c r="K345" s="4">
        <v>0</v>
      </c>
      <c r="L345" s="2" t="s">
        <v>79</v>
      </c>
    </row>
    <row r="346" spans="1:12" x14ac:dyDescent="0.2">
      <c r="A346" s="4">
        <v>4.1100000000000003</v>
      </c>
      <c r="B346" s="4">
        <v>14</v>
      </c>
      <c r="C346" s="4">
        <v>5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1</v>
      </c>
      <c r="J346" s="4">
        <v>0</v>
      </c>
      <c r="K346" s="4">
        <v>0</v>
      </c>
      <c r="L346" s="2" t="s">
        <v>79</v>
      </c>
    </row>
    <row r="347" spans="1:12" x14ac:dyDescent="0.2">
      <c r="A347" s="4">
        <v>5</v>
      </c>
      <c r="B347" s="4">
        <v>14</v>
      </c>
      <c r="C347" s="4">
        <v>5</v>
      </c>
      <c r="D347" s="4">
        <v>0</v>
      </c>
      <c r="E347" s="4">
        <v>0</v>
      </c>
      <c r="F347" s="4">
        <v>0</v>
      </c>
      <c r="G347" s="4">
        <v>0</v>
      </c>
      <c r="H347" s="4">
        <v>1</v>
      </c>
      <c r="I347" s="4">
        <v>0</v>
      </c>
      <c r="J347" s="4">
        <v>0</v>
      </c>
      <c r="K347" s="4">
        <v>0</v>
      </c>
      <c r="L347" s="2" t="s">
        <v>79</v>
      </c>
    </row>
    <row r="348" spans="1:12" x14ac:dyDescent="0.2">
      <c r="A348" s="4">
        <v>2.25</v>
      </c>
      <c r="B348" s="4">
        <v>12</v>
      </c>
      <c r="C348" s="4">
        <v>5</v>
      </c>
      <c r="D348" s="4">
        <v>0</v>
      </c>
      <c r="E348" s="4">
        <v>1</v>
      </c>
      <c r="F348" s="4">
        <v>0</v>
      </c>
      <c r="G348" s="4">
        <v>2</v>
      </c>
      <c r="H348" s="4">
        <v>0</v>
      </c>
      <c r="I348" s="4">
        <v>1</v>
      </c>
      <c r="J348" s="4">
        <v>0</v>
      </c>
      <c r="K348" s="4">
        <v>0</v>
      </c>
      <c r="L348" s="2" t="s">
        <v>79</v>
      </c>
    </row>
    <row r="349" spans="1:12" x14ac:dyDescent="0.2">
      <c r="A349" s="4">
        <v>3.18</v>
      </c>
      <c r="B349" s="4">
        <v>12</v>
      </c>
      <c r="C349" s="4">
        <v>5</v>
      </c>
      <c r="D349" s="4">
        <v>0</v>
      </c>
      <c r="E349" s="4">
        <v>1</v>
      </c>
      <c r="F349" s="4">
        <v>1</v>
      </c>
      <c r="G349" s="4">
        <v>0</v>
      </c>
      <c r="H349" s="4">
        <v>1</v>
      </c>
      <c r="I349" s="4">
        <v>0</v>
      </c>
      <c r="J349" s="4">
        <v>0</v>
      </c>
      <c r="K349" s="4">
        <v>0</v>
      </c>
      <c r="L349" s="2" t="s">
        <v>79</v>
      </c>
    </row>
    <row r="350" spans="1:12" x14ac:dyDescent="0.2">
      <c r="A350" s="4">
        <v>5.05</v>
      </c>
      <c r="B350" s="10">
        <v>12</v>
      </c>
      <c r="C350" s="4">
        <v>5</v>
      </c>
      <c r="D350" s="4">
        <v>0</v>
      </c>
      <c r="E350" s="4">
        <v>1</v>
      </c>
      <c r="F350" s="4">
        <v>0</v>
      </c>
      <c r="G350" s="4">
        <v>0</v>
      </c>
      <c r="H350" s="4">
        <v>1</v>
      </c>
      <c r="I350" s="4">
        <v>0</v>
      </c>
      <c r="J350" s="4">
        <v>0</v>
      </c>
      <c r="K350" s="4">
        <v>0</v>
      </c>
      <c r="L350" s="2" t="s">
        <v>79</v>
      </c>
    </row>
    <row r="351" spans="1:12" x14ac:dyDescent="0.2">
      <c r="A351" s="4">
        <v>4.63</v>
      </c>
      <c r="B351" s="4">
        <v>14</v>
      </c>
      <c r="C351" s="4">
        <v>4</v>
      </c>
      <c r="D351" s="4">
        <v>0</v>
      </c>
      <c r="E351" s="4">
        <v>1</v>
      </c>
      <c r="F351" s="4">
        <v>1</v>
      </c>
      <c r="G351" s="4">
        <v>2</v>
      </c>
      <c r="H351" s="4">
        <v>0</v>
      </c>
      <c r="I351" s="4">
        <v>1</v>
      </c>
      <c r="J351" s="4">
        <v>0</v>
      </c>
      <c r="K351" s="4">
        <v>0</v>
      </c>
      <c r="L351" s="2" t="s">
        <v>79</v>
      </c>
    </row>
    <row r="352" spans="1:12" x14ac:dyDescent="0.2">
      <c r="A352" s="4">
        <v>2.91</v>
      </c>
      <c r="B352" s="4">
        <v>12</v>
      </c>
      <c r="C352" s="4">
        <v>4</v>
      </c>
      <c r="D352" s="4">
        <v>0</v>
      </c>
      <c r="E352" s="4">
        <v>0</v>
      </c>
      <c r="F352" s="4">
        <v>1</v>
      </c>
      <c r="G352" s="4">
        <v>0</v>
      </c>
      <c r="H352" s="4">
        <v>0</v>
      </c>
      <c r="I352" s="4">
        <v>1</v>
      </c>
      <c r="J352" s="4">
        <v>0</v>
      </c>
      <c r="K352" s="4">
        <v>0</v>
      </c>
      <c r="L352" s="2" t="s">
        <v>79</v>
      </c>
    </row>
    <row r="353" spans="1:12" x14ac:dyDescent="0.2">
      <c r="A353" s="4">
        <v>6.25</v>
      </c>
      <c r="B353" s="4">
        <v>17</v>
      </c>
      <c r="C353" s="4">
        <v>4</v>
      </c>
      <c r="D353" s="4">
        <v>0</v>
      </c>
      <c r="E353" s="4">
        <v>1</v>
      </c>
      <c r="F353" s="4">
        <v>0</v>
      </c>
      <c r="G353" s="4">
        <v>0</v>
      </c>
      <c r="H353" s="4">
        <v>0</v>
      </c>
      <c r="I353" s="4">
        <v>0</v>
      </c>
      <c r="J353" s="4">
        <v>1</v>
      </c>
      <c r="K353" s="4">
        <v>0</v>
      </c>
      <c r="L353" s="2" t="s">
        <v>79</v>
      </c>
    </row>
    <row r="354" spans="1:12" x14ac:dyDescent="0.2">
      <c r="A354" s="4">
        <v>5.25</v>
      </c>
      <c r="B354" s="4">
        <v>16</v>
      </c>
      <c r="C354" s="4">
        <v>4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1</v>
      </c>
      <c r="J354" s="4">
        <v>0</v>
      </c>
      <c r="K354" s="4">
        <v>0</v>
      </c>
      <c r="L354" s="2" t="s">
        <v>79</v>
      </c>
    </row>
    <row r="355" spans="1:12" x14ac:dyDescent="0.2">
      <c r="A355" s="4">
        <v>5.25</v>
      </c>
      <c r="B355" s="4">
        <v>12</v>
      </c>
      <c r="C355" s="4">
        <v>4</v>
      </c>
      <c r="D355" s="4">
        <v>0</v>
      </c>
      <c r="E355" s="4">
        <v>0</v>
      </c>
      <c r="F355" s="4">
        <v>0</v>
      </c>
      <c r="G355" s="4">
        <v>0</v>
      </c>
      <c r="H355" s="4">
        <v>1</v>
      </c>
      <c r="I355" s="4">
        <v>0</v>
      </c>
      <c r="J355" s="4">
        <v>0</v>
      </c>
      <c r="K355" s="4">
        <v>0</v>
      </c>
      <c r="L355" s="2" t="s">
        <v>79</v>
      </c>
    </row>
    <row r="356" spans="1:12" x14ac:dyDescent="0.2">
      <c r="A356" s="4">
        <v>2.9</v>
      </c>
      <c r="B356" s="4">
        <v>10</v>
      </c>
      <c r="C356" s="4">
        <v>4</v>
      </c>
      <c r="D356" s="4">
        <v>0</v>
      </c>
      <c r="E356" s="4">
        <v>1</v>
      </c>
      <c r="F356" s="4">
        <v>0</v>
      </c>
      <c r="G356" s="4">
        <v>1</v>
      </c>
      <c r="H356" s="4">
        <v>0</v>
      </c>
      <c r="I356" s="4">
        <v>0</v>
      </c>
      <c r="J356" s="4">
        <v>0</v>
      </c>
      <c r="K356" s="4">
        <v>0</v>
      </c>
      <c r="L356" s="2" t="s">
        <v>79</v>
      </c>
    </row>
    <row r="357" spans="1:12" x14ac:dyDescent="0.2">
      <c r="A357" s="4">
        <v>2.92</v>
      </c>
      <c r="B357" s="4">
        <v>12</v>
      </c>
      <c r="C357" s="4">
        <v>4</v>
      </c>
      <c r="D357" s="4">
        <v>0</v>
      </c>
      <c r="E357" s="4">
        <v>1</v>
      </c>
      <c r="F357" s="4">
        <v>0</v>
      </c>
      <c r="G357" s="4">
        <v>1</v>
      </c>
      <c r="H357" s="4">
        <v>0</v>
      </c>
      <c r="I357" s="4">
        <v>1</v>
      </c>
      <c r="J357" s="4">
        <v>0</v>
      </c>
      <c r="K357" s="4">
        <v>0</v>
      </c>
      <c r="L357" s="2" t="s">
        <v>79</v>
      </c>
    </row>
    <row r="358" spans="1:12" x14ac:dyDescent="0.2">
      <c r="A358" s="4">
        <v>3.25</v>
      </c>
      <c r="B358" s="4">
        <v>12</v>
      </c>
      <c r="C358" s="4">
        <v>4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2" t="s">
        <v>79</v>
      </c>
    </row>
    <row r="359" spans="1:12" x14ac:dyDescent="0.2">
      <c r="A359" s="4">
        <v>3.25</v>
      </c>
      <c r="B359" s="4">
        <v>15</v>
      </c>
      <c r="C359" s="4">
        <v>3</v>
      </c>
      <c r="D359" s="4">
        <v>0</v>
      </c>
      <c r="E359" s="4">
        <v>0</v>
      </c>
      <c r="F359" s="4">
        <v>0</v>
      </c>
      <c r="G359" s="4">
        <v>1</v>
      </c>
      <c r="H359" s="4">
        <v>0</v>
      </c>
      <c r="I359" s="4">
        <v>0</v>
      </c>
      <c r="J359" s="4">
        <v>0</v>
      </c>
      <c r="K359" s="4">
        <v>0</v>
      </c>
      <c r="L359" s="2" t="s">
        <v>79</v>
      </c>
    </row>
    <row r="360" spans="1:12" x14ac:dyDescent="0.2">
      <c r="A360" s="4">
        <v>4.29</v>
      </c>
      <c r="B360" s="4">
        <v>12</v>
      </c>
      <c r="C360" s="4">
        <v>3</v>
      </c>
      <c r="D360" s="4">
        <v>0</v>
      </c>
      <c r="E360" s="4">
        <v>1</v>
      </c>
      <c r="F360" s="4">
        <v>0</v>
      </c>
      <c r="G360" s="4">
        <v>0</v>
      </c>
      <c r="H360" s="4">
        <v>0</v>
      </c>
      <c r="I360" s="4">
        <v>1</v>
      </c>
      <c r="J360" s="4">
        <v>0</v>
      </c>
      <c r="K360" s="4">
        <v>0</v>
      </c>
      <c r="L360" s="2" t="s">
        <v>79</v>
      </c>
    </row>
    <row r="361" spans="1:12" x14ac:dyDescent="0.2">
      <c r="A361" s="4">
        <v>4.68</v>
      </c>
      <c r="B361" s="4">
        <v>12</v>
      </c>
      <c r="C361" s="4">
        <v>3</v>
      </c>
      <c r="D361" s="4">
        <v>0</v>
      </c>
      <c r="E361" s="4">
        <v>1</v>
      </c>
      <c r="F361" s="4">
        <v>0</v>
      </c>
      <c r="G361" s="4">
        <v>0</v>
      </c>
      <c r="H361" s="4">
        <v>0</v>
      </c>
      <c r="I361" s="4">
        <v>0</v>
      </c>
      <c r="J361" s="4">
        <v>1</v>
      </c>
      <c r="K361" s="4">
        <v>0</v>
      </c>
      <c r="L361" s="2" t="s">
        <v>79</v>
      </c>
    </row>
    <row r="362" spans="1:12" x14ac:dyDescent="0.2">
      <c r="A362" s="4">
        <v>6.63</v>
      </c>
      <c r="B362" s="4">
        <v>16</v>
      </c>
      <c r="C362" s="4">
        <v>3</v>
      </c>
      <c r="D362" s="4">
        <v>0</v>
      </c>
      <c r="E362" s="4">
        <v>0</v>
      </c>
      <c r="F362" s="4">
        <v>1</v>
      </c>
      <c r="G362" s="4">
        <v>0</v>
      </c>
      <c r="H362" s="4">
        <v>0</v>
      </c>
      <c r="I362" s="4">
        <v>1</v>
      </c>
      <c r="J362" s="4">
        <v>0</v>
      </c>
      <c r="K362" s="4">
        <v>0</v>
      </c>
      <c r="L362" s="2" t="s">
        <v>79</v>
      </c>
    </row>
    <row r="363" spans="1:12" x14ac:dyDescent="0.2">
      <c r="A363" s="4">
        <v>4.4400000000000004</v>
      </c>
      <c r="B363" s="4">
        <v>12</v>
      </c>
      <c r="C363" s="4">
        <v>3</v>
      </c>
      <c r="D363" s="4">
        <v>0</v>
      </c>
      <c r="E363" s="4">
        <v>0</v>
      </c>
      <c r="F363" s="4">
        <v>0</v>
      </c>
      <c r="G363" s="4">
        <v>0</v>
      </c>
      <c r="H363" s="4">
        <v>1</v>
      </c>
      <c r="I363" s="4">
        <v>0</v>
      </c>
      <c r="J363" s="4">
        <v>0</v>
      </c>
      <c r="K363" s="4">
        <v>0</v>
      </c>
      <c r="L363" s="2" t="s">
        <v>79</v>
      </c>
    </row>
    <row r="364" spans="1:12" x14ac:dyDescent="0.2">
      <c r="A364" s="4">
        <v>5.71</v>
      </c>
      <c r="B364" s="4">
        <v>16</v>
      </c>
      <c r="C364" s="4">
        <v>3</v>
      </c>
      <c r="D364" s="4">
        <v>0</v>
      </c>
      <c r="E364" s="4">
        <v>1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2" t="s">
        <v>79</v>
      </c>
    </row>
    <row r="365" spans="1:12" x14ac:dyDescent="0.2">
      <c r="A365" s="4">
        <v>4.57</v>
      </c>
      <c r="B365" s="4">
        <v>14</v>
      </c>
      <c r="C365" s="4">
        <v>3</v>
      </c>
      <c r="D365" s="4">
        <v>0</v>
      </c>
      <c r="E365" s="4">
        <v>0</v>
      </c>
      <c r="F365" s="4">
        <v>1</v>
      </c>
      <c r="G365" s="4">
        <v>0</v>
      </c>
      <c r="H365" s="4">
        <v>0</v>
      </c>
      <c r="I365" s="4">
        <v>1</v>
      </c>
      <c r="J365" s="4">
        <v>0</v>
      </c>
      <c r="K365" s="4">
        <v>0</v>
      </c>
      <c r="L365" s="2" t="s">
        <v>79</v>
      </c>
    </row>
    <row r="366" spans="1:12" x14ac:dyDescent="0.2">
      <c r="A366" s="4">
        <v>6.5</v>
      </c>
      <c r="B366" s="4">
        <v>17</v>
      </c>
      <c r="C366" s="4">
        <v>3</v>
      </c>
      <c r="D366" s="4">
        <v>0</v>
      </c>
      <c r="E366" s="4">
        <v>0</v>
      </c>
      <c r="F366" s="4">
        <v>1</v>
      </c>
      <c r="G366" s="4">
        <v>0</v>
      </c>
      <c r="H366" s="4">
        <v>1</v>
      </c>
      <c r="I366" s="4">
        <v>0</v>
      </c>
      <c r="J366" s="4">
        <v>0</v>
      </c>
      <c r="K366" s="4">
        <v>0</v>
      </c>
      <c r="L366" s="2" t="s">
        <v>79</v>
      </c>
    </row>
    <row r="367" spans="1:12" x14ac:dyDescent="0.2">
      <c r="A367" s="4">
        <v>8.1300000000000008</v>
      </c>
      <c r="B367" s="4">
        <v>13</v>
      </c>
      <c r="C367" s="4">
        <v>3</v>
      </c>
      <c r="D367" s="4">
        <v>0</v>
      </c>
      <c r="E367" s="10">
        <v>2</v>
      </c>
      <c r="F367" s="4">
        <v>0</v>
      </c>
      <c r="G367" s="4">
        <v>0</v>
      </c>
      <c r="H367" s="4">
        <v>0</v>
      </c>
      <c r="I367" s="4">
        <v>0</v>
      </c>
      <c r="J367" s="4">
        <v>1</v>
      </c>
      <c r="K367" s="4">
        <v>0</v>
      </c>
      <c r="L367" s="2" t="s">
        <v>79</v>
      </c>
    </row>
    <row r="368" spans="1:12" x14ac:dyDescent="0.2">
      <c r="A368" s="4">
        <v>3</v>
      </c>
      <c r="B368" s="4">
        <v>9</v>
      </c>
      <c r="C368" s="4">
        <v>3</v>
      </c>
      <c r="D368" s="4">
        <v>0</v>
      </c>
      <c r="E368" s="4">
        <v>1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2" t="s">
        <v>79</v>
      </c>
    </row>
    <row r="369" spans="1:12" x14ac:dyDescent="0.2">
      <c r="A369" s="4">
        <v>4</v>
      </c>
      <c r="B369" s="4">
        <v>10</v>
      </c>
      <c r="C369" s="4">
        <v>2</v>
      </c>
      <c r="D369" s="4">
        <v>0</v>
      </c>
      <c r="E369" s="4">
        <v>1</v>
      </c>
      <c r="F369" s="4">
        <v>0</v>
      </c>
      <c r="G369" s="4">
        <v>1</v>
      </c>
      <c r="H369" s="4">
        <v>0</v>
      </c>
      <c r="I369" s="4">
        <v>0</v>
      </c>
      <c r="J369" s="4">
        <v>1</v>
      </c>
      <c r="K369" s="4">
        <v>0</v>
      </c>
      <c r="L369" s="2" t="s">
        <v>79</v>
      </c>
    </row>
    <row r="370" spans="1:12" x14ac:dyDescent="0.2">
      <c r="A370" s="4">
        <v>2.7</v>
      </c>
      <c r="B370" s="4">
        <v>9</v>
      </c>
      <c r="C370" s="4">
        <v>2</v>
      </c>
      <c r="D370" s="4">
        <v>0</v>
      </c>
      <c r="E370" s="4">
        <v>1</v>
      </c>
      <c r="F370" s="4">
        <v>0</v>
      </c>
      <c r="G370" s="4">
        <v>1</v>
      </c>
      <c r="H370" s="4">
        <v>1</v>
      </c>
      <c r="I370" s="4">
        <v>0</v>
      </c>
      <c r="J370" s="4">
        <v>0</v>
      </c>
      <c r="K370" s="4">
        <v>0</v>
      </c>
      <c r="L370" s="2" t="s">
        <v>79</v>
      </c>
    </row>
    <row r="371" spans="1:12" x14ac:dyDescent="0.2">
      <c r="A371" s="4">
        <v>2.27</v>
      </c>
      <c r="B371" s="4">
        <v>10</v>
      </c>
      <c r="C371" s="4">
        <v>2</v>
      </c>
      <c r="D371" s="4">
        <v>0</v>
      </c>
      <c r="E371" s="10">
        <v>2</v>
      </c>
      <c r="F371" s="4">
        <v>0</v>
      </c>
      <c r="G371" s="4">
        <v>3</v>
      </c>
      <c r="H371" s="4">
        <v>0</v>
      </c>
      <c r="I371" s="4">
        <v>0</v>
      </c>
      <c r="J371" s="4">
        <v>1</v>
      </c>
      <c r="K371" s="4">
        <v>0</v>
      </c>
      <c r="L371" s="2" t="s">
        <v>79</v>
      </c>
    </row>
    <row r="372" spans="1:12" x14ac:dyDescent="0.2">
      <c r="A372" s="4">
        <v>3.05</v>
      </c>
      <c r="B372" s="4">
        <v>12</v>
      </c>
      <c r="C372" s="4">
        <v>2</v>
      </c>
      <c r="D372" s="4">
        <v>0</v>
      </c>
      <c r="E372" s="4">
        <v>1</v>
      </c>
      <c r="F372" s="4">
        <v>0</v>
      </c>
      <c r="G372" s="4">
        <v>1</v>
      </c>
      <c r="H372" s="4">
        <v>1</v>
      </c>
      <c r="I372" s="4">
        <v>0</v>
      </c>
      <c r="J372" s="4">
        <v>0</v>
      </c>
      <c r="K372" s="4">
        <v>0</v>
      </c>
      <c r="L372" s="2" t="s">
        <v>79</v>
      </c>
    </row>
    <row r="373" spans="1:12" x14ac:dyDescent="0.2">
      <c r="A373" s="4">
        <v>3.5</v>
      </c>
      <c r="B373" s="4">
        <v>13</v>
      </c>
      <c r="C373" s="4">
        <v>2</v>
      </c>
      <c r="D373" s="4">
        <v>0</v>
      </c>
      <c r="E373" s="4">
        <v>1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2" t="s">
        <v>79</v>
      </c>
    </row>
    <row r="374" spans="1:12" x14ac:dyDescent="0.2">
      <c r="A374" s="4">
        <v>4.8099999999999996</v>
      </c>
      <c r="B374" s="4">
        <v>12</v>
      </c>
      <c r="C374" s="4">
        <v>2</v>
      </c>
      <c r="D374" s="4">
        <v>0</v>
      </c>
      <c r="E374" s="4">
        <v>1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2" t="s">
        <v>79</v>
      </c>
    </row>
    <row r="375" spans="1:12" x14ac:dyDescent="0.2">
      <c r="A375" s="4">
        <v>2.2999999999999998</v>
      </c>
      <c r="B375" s="4">
        <v>10</v>
      </c>
      <c r="C375" s="4">
        <v>2</v>
      </c>
      <c r="D375" s="4">
        <v>0</v>
      </c>
      <c r="E375" s="4">
        <v>1</v>
      </c>
      <c r="F375" s="4">
        <v>0</v>
      </c>
      <c r="G375" s="4">
        <v>4</v>
      </c>
      <c r="H375" s="4">
        <v>1</v>
      </c>
      <c r="I375" s="4">
        <v>0</v>
      </c>
      <c r="J375" s="4">
        <v>0</v>
      </c>
      <c r="K375" s="4">
        <v>0</v>
      </c>
      <c r="L375" s="2" t="s">
        <v>79</v>
      </c>
    </row>
    <row r="376" spans="1:12" x14ac:dyDescent="0.2">
      <c r="A376" s="4">
        <v>3.5</v>
      </c>
      <c r="B376" s="4">
        <v>12</v>
      </c>
      <c r="C376" s="4">
        <v>2</v>
      </c>
      <c r="D376" s="4">
        <v>0</v>
      </c>
      <c r="E376" s="10">
        <v>2</v>
      </c>
      <c r="F376" s="4">
        <v>0</v>
      </c>
      <c r="G376" s="4">
        <v>2</v>
      </c>
      <c r="H376" s="4">
        <v>0</v>
      </c>
      <c r="I376" s="4">
        <v>1</v>
      </c>
      <c r="J376" s="4">
        <v>0</v>
      </c>
      <c r="K376" s="4">
        <v>0</v>
      </c>
      <c r="L376" s="2" t="s">
        <v>79</v>
      </c>
    </row>
    <row r="377" spans="1:12" x14ac:dyDescent="0.2">
      <c r="A377" s="4">
        <v>7.9</v>
      </c>
      <c r="B377" s="4">
        <v>12</v>
      </c>
      <c r="C377" s="4">
        <v>2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1</v>
      </c>
      <c r="J377" s="4">
        <v>0</v>
      </c>
      <c r="K377" s="4">
        <v>1</v>
      </c>
      <c r="L377" s="2" t="s">
        <v>79</v>
      </c>
    </row>
    <row r="378" spans="1:12" x14ac:dyDescent="0.2">
      <c r="A378" s="4">
        <v>3</v>
      </c>
      <c r="B378" s="4">
        <v>12</v>
      </c>
      <c r="C378" s="4">
        <v>2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1</v>
      </c>
      <c r="L378" s="2" t="s">
        <v>79</v>
      </c>
    </row>
    <row r="379" spans="1:12" x14ac:dyDescent="0.2">
      <c r="A379" s="4">
        <v>5.7</v>
      </c>
      <c r="B379" s="4">
        <v>16</v>
      </c>
      <c r="C379" s="4">
        <v>2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1</v>
      </c>
      <c r="J379" s="4">
        <v>0</v>
      </c>
      <c r="K379" s="4">
        <v>0</v>
      </c>
      <c r="L379" s="2" t="s">
        <v>79</v>
      </c>
    </row>
    <row r="380" spans="1:12" x14ac:dyDescent="0.2">
      <c r="A380" s="4">
        <v>2.5</v>
      </c>
      <c r="B380" s="10">
        <v>12</v>
      </c>
      <c r="C380" s="4">
        <v>2</v>
      </c>
      <c r="D380" s="4">
        <v>0</v>
      </c>
      <c r="E380" s="4">
        <v>0</v>
      </c>
      <c r="F380" s="4">
        <v>0</v>
      </c>
      <c r="G380" s="4">
        <v>2</v>
      </c>
      <c r="H380" s="4">
        <v>0</v>
      </c>
      <c r="I380" s="4">
        <v>0</v>
      </c>
      <c r="J380" s="4">
        <v>0</v>
      </c>
      <c r="K380" s="4">
        <v>0</v>
      </c>
      <c r="L380" s="2" t="s">
        <v>79</v>
      </c>
    </row>
    <row r="381" spans="1:12" x14ac:dyDescent="0.2">
      <c r="A381" s="4">
        <v>2.88</v>
      </c>
      <c r="B381" s="4">
        <v>10</v>
      </c>
      <c r="C381" s="4">
        <v>2</v>
      </c>
      <c r="D381" s="4">
        <v>0</v>
      </c>
      <c r="E381" s="4">
        <v>1</v>
      </c>
      <c r="F381" s="4">
        <v>0</v>
      </c>
      <c r="G381" s="4">
        <v>3</v>
      </c>
      <c r="H381" s="4">
        <v>0</v>
      </c>
      <c r="I381" s="4">
        <v>0</v>
      </c>
      <c r="J381" s="4">
        <v>0</v>
      </c>
      <c r="K381" s="4">
        <v>0</v>
      </c>
      <c r="L381" s="2" t="s">
        <v>79</v>
      </c>
    </row>
    <row r="382" spans="1:12" x14ac:dyDescent="0.2">
      <c r="A382" s="4">
        <v>3</v>
      </c>
      <c r="B382" s="4">
        <v>11</v>
      </c>
      <c r="C382" s="4">
        <v>2</v>
      </c>
      <c r="D382" s="4">
        <v>0</v>
      </c>
      <c r="E382" s="4">
        <v>0</v>
      </c>
      <c r="F382" s="4">
        <v>0</v>
      </c>
      <c r="G382" s="4">
        <v>2</v>
      </c>
      <c r="H382" s="4">
        <v>0</v>
      </c>
      <c r="I382" s="4">
        <v>0</v>
      </c>
      <c r="J382" s="4">
        <v>1</v>
      </c>
      <c r="K382" s="4">
        <v>0</v>
      </c>
      <c r="L382" s="2" t="s">
        <v>79</v>
      </c>
    </row>
    <row r="383" spans="1:12" x14ac:dyDescent="0.2">
      <c r="A383" s="4">
        <v>3</v>
      </c>
      <c r="B383" s="4">
        <v>11</v>
      </c>
      <c r="C383" s="4">
        <v>2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2" t="s">
        <v>79</v>
      </c>
    </row>
    <row r="384" spans="1:12" x14ac:dyDescent="0.2">
      <c r="A384" s="4">
        <v>3.5</v>
      </c>
      <c r="B384" s="4">
        <v>13</v>
      </c>
      <c r="C384" s="4">
        <v>1</v>
      </c>
      <c r="D384" s="4">
        <v>0</v>
      </c>
      <c r="E384" s="4">
        <v>0</v>
      </c>
      <c r="F384" s="4">
        <v>0</v>
      </c>
      <c r="G384" s="4">
        <v>1</v>
      </c>
      <c r="H384" s="4">
        <v>0</v>
      </c>
      <c r="I384" s="4">
        <v>0</v>
      </c>
      <c r="J384" s="4">
        <v>0</v>
      </c>
      <c r="K384" s="4">
        <v>0</v>
      </c>
      <c r="L384" s="2" t="s">
        <v>79</v>
      </c>
    </row>
    <row r="385" spans="1:12" x14ac:dyDescent="0.2">
      <c r="A385" s="4">
        <v>2.83</v>
      </c>
      <c r="B385" s="4">
        <v>10</v>
      </c>
      <c r="C385" s="4">
        <v>1</v>
      </c>
      <c r="D385" s="4">
        <v>0</v>
      </c>
      <c r="E385" s="10">
        <v>2</v>
      </c>
      <c r="F385" s="4">
        <v>0</v>
      </c>
      <c r="G385" s="4">
        <v>4</v>
      </c>
      <c r="H385" s="4">
        <v>1</v>
      </c>
      <c r="I385" s="4">
        <v>0</v>
      </c>
      <c r="J385" s="4">
        <v>0</v>
      </c>
      <c r="K385" s="4">
        <v>0</v>
      </c>
      <c r="L385" s="2" t="s">
        <v>79</v>
      </c>
    </row>
    <row r="386" spans="1:12" x14ac:dyDescent="0.2">
      <c r="A386" s="4">
        <v>1.67</v>
      </c>
      <c r="B386" s="4">
        <v>10</v>
      </c>
      <c r="C386" s="4">
        <v>1</v>
      </c>
      <c r="D386" s="4">
        <v>0</v>
      </c>
      <c r="E386" s="4">
        <v>0</v>
      </c>
      <c r="F386" s="4">
        <v>0</v>
      </c>
      <c r="G386" s="4">
        <v>1</v>
      </c>
      <c r="H386" s="4">
        <v>0</v>
      </c>
      <c r="I386" s="4">
        <v>0</v>
      </c>
      <c r="J386" s="4">
        <v>1</v>
      </c>
      <c r="K386" s="4">
        <v>0</v>
      </c>
      <c r="L386" s="2" t="s">
        <v>79</v>
      </c>
    </row>
    <row r="387" spans="1:12" x14ac:dyDescent="0.2">
      <c r="A387" s="4">
        <v>4.68</v>
      </c>
      <c r="B387" s="4">
        <v>16</v>
      </c>
      <c r="C387" s="4">
        <v>1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1</v>
      </c>
      <c r="J387" s="4">
        <v>0</v>
      </c>
      <c r="K387" s="4">
        <v>0</v>
      </c>
      <c r="L387" s="2" t="s">
        <v>79</v>
      </c>
    </row>
    <row r="388" spans="1:12" x14ac:dyDescent="0.2">
      <c r="A388" s="4">
        <v>3.13</v>
      </c>
      <c r="B388" s="4">
        <v>10</v>
      </c>
      <c r="C388" s="4">
        <v>1</v>
      </c>
      <c r="D388" s="4">
        <v>0</v>
      </c>
      <c r="E388" s="4">
        <v>1</v>
      </c>
      <c r="F388" s="4">
        <v>0</v>
      </c>
      <c r="G388" s="4">
        <v>1</v>
      </c>
      <c r="H388" s="4">
        <v>1</v>
      </c>
      <c r="I388" s="4">
        <v>0</v>
      </c>
      <c r="J388" s="4">
        <v>0</v>
      </c>
      <c r="K388" s="4">
        <v>0</v>
      </c>
      <c r="L388" s="2" t="s">
        <v>79</v>
      </c>
    </row>
    <row r="389" spans="1:12" x14ac:dyDescent="0.2">
      <c r="A389" s="4">
        <v>3.2</v>
      </c>
      <c r="B389" s="4">
        <v>11</v>
      </c>
      <c r="C389" s="4">
        <v>1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2" t="s">
        <v>79</v>
      </c>
    </row>
    <row r="390" spans="1:12" x14ac:dyDescent="0.2">
      <c r="A390" s="4">
        <v>4.33</v>
      </c>
      <c r="B390" s="4">
        <v>18</v>
      </c>
      <c r="C390" s="4">
        <v>1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2" t="s">
        <v>79</v>
      </c>
    </row>
    <row r="391" spans="1:12" x14ac:dyDescent="0.2">
      <c r="A391" s="4">
        <v>2.9</v>
      </c>
      <c r="B391" s="4">
        <v>11</v>
      </c>
      <c r="C391" s="4">
        <v>1</v>
      </c>
      <c r="D391" s="4">
        <v>0</v>
      </c>
      <c r="E391" s="4">
        <v>1</v>
      </c>
      <c r="F391" s="4">
        <v>0</v>
      </c>
      <c r="G391" s="4">
        <v>1</v>
      </c>
      <c r="H391" s="4">
        <v>1</v>
      </c>
      <c r="I391" s="4">
        <v>0</v>
      </c>
      <c r="J391" s="4">
        <v>0</v>
      </c>
      <c r="K391" s="4">
        <v>0</v>
      </c>
      <c r="L391" s="2" t="s">
        <v>79</v>
      </c>
    </row>
    <row r="392" spans="1:12" x14ac:dyDescent="0.2">
      <c r="A392" s="4">
        <v>2.91</v>
      </c>
      <c r="B392" s="4">
        <v>11</v>
      </c>
      <c r="C392" s="4">
        <v>1</v>
      </c>
      <c r="D392" s="4">
        <v>0</v>
      </c>
      <c r="E392" s="4">
        <v>1</v>
      </c>
      <c r="F392" s="4">
        <v>0</v>
      </c>
      <c r="G392" s="4">
        <v>3</v>
      </c>
      <c r="H392" s="4">
        <v>1</v>
      </c>
      <c r="I392" s="4">
        <v>0</v>
      </c>
      <c r="J392" s="4">
        <v>0</v>
      </c>
      <c r="K392" s="4">
        <v>0</v>
      </c>
      <c r="L392" s="2" t="s">
        <v>79</v>
      </c>
    </row>
    <row r="393" spans="1:12" x14ac:dyDescent="0.2">
      <c r="A393" s="4">
        <v>3</v>
      </c>
      <c r="B393" s="4">
        <v>15</v>
      </c>
      <c r="C393" s="4">
        <v>1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1</v>
      </c>
      <c r="J393" s="4">
        <v>0</v>
      </c>
      <c r="K393" s="4">
        <v>0</v>
      </c>
      <c r="L393" s="2" t="s">
        <v>79</v>
      </c>
    </row>
    <row r="394" spans="1:12" x14ac:dyDescent="0.2">
      <c r="A394" s="4">
        <v>3</v>
      </c>
      <c r="B394" s="4">
        <v>12</v>
      </c>
      <c r="C394" s="4">
        <v>1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1</v>
      </c>
      <c r="J394" s="4">
        <v>0</v>
      </c>
      <c r="K394" s="4">
        <v>0</v>
      </c>
      <c r="L394" s="2" t="s">
        <v>79</v>
      </c>
    </row>
    <row r="395" spans="1:12" x14ac:dyDescent="0.2">
      <c r="A395" s="4">
        <v>3.15</v>
      </c>
      <c r="B395" s="4">
        <v>13</v>
      </c>
      <c r="C395" s="4">
        <v>1</v>
      </c>
      <c r="D395" s="4">
        <v>0</v>
      </c>
      <c r="E395" s="4">
        <v>1</v>
      </c>
      <c r="F395" s="4">
        <v>0</v>
      </c>
      <c r="G395" s="4">
        <v>4</v>
      </c>
      <c r="H395" s="4">
        <v>1</v>
      </c>
      <c r="I395" s="4">
        <v>0</v>
      </c>
      <c r="J395" s="4">
        <v>0</v>
      </c>
      <c r="K395" s="4">
        <v>0</v>
      </c>
      <c r="L395" s="2" t="s">
        <v>79</v>
      </c>
    </row>
    <row r="396" spans="1:12" x14ac:dyDescent="0.2">
      <c r="A396" s="4">
        <v>12.5</v>
      </c>
      <c r="B396" s="4">
        <v>14</v>
      </c>
      <c r="C396" s="4">
        <v>40</v>
      </c>
      <c r="D396" s="9">
        <v>26.78</v>
      </c>
      <c r="E396" s="4">
        <v>0</v>
      </c>
      <c r="F396" s="4">
        <v>1</v>
      </c>
      <c r="G396" s="4">
        <v>0</v>
      </c>
      <c r="H396" s="4">
        <v>1</v>
      </c>
      <c r="I396" s="4">
        <v>0</v>
      </c>
      <c r="J396" s="4">
        <v>0</v>
      </c>
      <c r="K396" s="4">
        <v>0</v>
      </c>
      <c r="L396" s="2" t="s">
        <v>80</v>
      </c>
    </row>
    <row r="397" spans="1:12" x14ac:dyDescent="0.2">
      <c r="A397" s="4">
        <v>1.5</v>
      </c>
      <c r="B397" s="4">
        <v>8</v>
      </c>
      <c r="C397" s="4">
        <v>31</v>
      </c>
      <c r="D397" s="9">
        <v>26.78</v>
      </c>
      <c r="E397" s="10">
        <v>2</v>
      </c>
      <c r="F397" s="4">
        <v>0</v>
      </c>
      <c r="G397" s="4">
        <v>0</v>
      </c>
      <c r="H397" s="4">
        <v>0</v>
      </c>
      <c r="I397" s="4">
        <v>1</v>
      </c>
      <c r="J397" s="4">
        <v>0</v>
      </c>
      <c r="K397" s="4">
        <v>0</v>
      </c>
      <c r="L397" s="2" t="s">
        <v>80</v>
      </c>
    </row>
    <row r="398" spans="1:12" x14ac:dyDescent="0.2">
      <c r="A398" s="4">
        <v>2.92</v>
      </c>
      <c r="B398" s="4">
        <v>3</v>
      </c>
      <c r="C398" s="4">
        <v>11</v>
      </c>
      <c r="D398" s="9">
        <v>26.78</v>
      </c>
      <c r="E398" s="4">
        <v>0</v>
      </c>
      <c r="F398" s="4">
        <v>0</v>
      </c>
      <c r="G398" s="4">
        <v>0</v>
      </c>
      <c r="H398" s="4">
        <v>0</v>
      </c>
      <c r="I398" s="4">
        <v>1</v>
      </c>
      <c r="J398" s="4">
        <v>0</v>
      </c>
      <c r="K398" s="4">
        <v>0</v>
      </c>
      <c r="L398" s="2" t="s">
        <v>80</v>
      </c>
    </row>
    <row r="399" spans="1:12" x14ac:dyDescent="0.2">
      <c r="A399" s="4">
        <v>10</v>
      </c>
      <c r="B399" s="4">
        <v>12</v>
      </c>
      <c r="C399" s="4">
        <v>24</v>
      </c>
      <c r="D399" s="4">
        <v>24</v>
      </c>
      <c r="E399" s="4">
        <v>0</v>
      </c>
      <c r="F399" s="4">
        <v>1</v>
      </c>
      <c r="G399" s="4">
        <v>0</v>
      </c>
      <c r="H399" s="4">
        <v>1</v>
      </c>
      <c r="I399" s="4">
        <v>0</v>
      </c>
      <c r="J399" s="4">
        <v>0</v>
      </c>
      <c r="K399" s="4">
        <v>0</v>
      </c>
      <c r="L399" s="2" t="s">
        <v>80</v>
      </c>
    </row>
    <row r="400" spans="1:12" x14ac:dyDescent="0.2">
      <c r="A400" s="4">
        <v>10.91</v>
      </c>
      <c r="B400" s="4">
        <v>12</v>
      </c>
      <c r="C400" s="4">
        <v>25</v>
      </c>
      <c r="D400" s="4">
        <v>23</v>
      </c>
      <c r="E400" s="4">
        <v>0</v>
      </c>
      <c r="F400" s="4">
        <v>0</v>
      </c>
      <c r="G400" s="4">
        <v>0</v>
      </c>
      <c r="H400" s="4">
        <v>0</v>
      </c>
      <c r="I400" s="4">
        <v>1</v>
      </c>
      <c r="J400" s="4">
        <v>0</v>
      </c>
      <c r="K400" s="4">
        <v>0</v>
      </c>
      <c r="L400" s="2" t="s">
        <v>80</v>
      </c>
    </row>
    <row r="401" spans="1:12" x14ac:dyDescent="0.2">
      <c r="A401" s="4">
        <v>6.25</v>
      </c>
      <c r="B401" s="4">
        <v>7</v>
      </c>
      <c r="C401" s="4">
        <v>39</v>
      </c>
      <c r="D401" s="4">
        <v>21</v>
      </c>
      <c r="E401" s="4">
        <v>0</v>
      </c>
      <c r="F401" s="4">
        <v>1</v>
      </c>
      <c r="G401" s="4">
        <v>0</v>
      </c>
      <c r="H401" s="4">
        <v>0</v>
      </c>
      <c r="I401" s="4">
        <v>1</v>
      </c>
      <c r="J401" s="4">
        <v>0</v>
      </c>
      <c r="K401" s="4">
        <v>0</v>
      </c>
      <c r="L401" s="2" t="s">
        <v>80</v>
      </c>
    </row>
    <row r="402" spans="1:12" x14ac:dyDescent="0.2">
      <c r="A402" s="4">
        <v>15.38</v>
      </c>
      <c r="B402" s="4">
        <v>13</v>
      </c>
      <c r="C402" s="4">
        <v>25</v>
      </c>
      <c r="D402" s="4">
        <v>21</v>
      </c>
      <c r="E402" s="4">
        <v>0</v>
      </c>
      <c r="F402" s="4">
        <v>1</v>
      </c>
      <c r="G402" s="4">
        <v>2</v>
      </c>
      <c r="H402" s="4">
        <v>1</v>
      </c>
      <c r="I402" s="4">
        <v>0</v>
      </c>
      <c r="J402" s="4">
        <v>0</v>
      </c>
      <c r="K402" s="4">
        <v>0</v>
      </c>
      <c r="L402" s="2" t="s">
        <v>80</v>
      </c>
    </row>
    <row r="403" spans="1:12" x14ac:dyDescent="0.2">
      <c r="A403" s="4">
        <v>18.89</v>
      </c>
      <c r="B403" s="4">
        <v>17</v>
      </c>
      <c r="C403" s="4">
        <v>26</v>
      </c>
      <c r="D403" s="4">
        <v>20</v>
      </c>
      <c r="E403" s="4">
        <v>0</v>
      </c>
      <c r="F403" s="4">
        <v>1</v>
      </c>
      <c r="G403" s="4">
        <v>2</v>
      </c>
      <c r="H403" s="4">
        <v>0</v>
      </c>
      <c r="I403" s="4">
        <v>0</v>
      </c>
      <c r="J403" s="4">
        <v>0</v>
      </c>
      <c r="K403" s="4">
        <v>0</v>
      </c>
      <c r="L403" s="2" t="s">
        <v>80</v>
      </c>
    </row>
    <row r="404" spans="1:12" x14ac:dyDescent="0.2">
      <c r="A404" s="4">
        <v>3</v>
      </c>
      <c r="B404" s="4">
        <v>9</v>
      </c>
      <c r="C404" s="4">
        <v>23</v>
      </c>
      <c r="D404" s="4">
        <v>20</v>
      </c>
      <c r="E404" s="4">
        <v>1</v>
      </c>
      <c r="F404" s="4">
        <v>1</v>
      </c>
      <c r="G404" s="4">
        <v>2</v>
      </c>
      <c r="H404" s="4">
        <v>0</v>
      </c>
      <c r="I404" s="4">
        <v>1</v>
      </c>
      <c r="J404" s="4">
        <v>0</v>
      </c>
      <c r="K404" s="4">
        <v>0</v>
      </c>
      <c r="L404" s="2" t="s">
        <v>80</v>
      </c>
    </row>
    <row r="405" spans="1:12" x14ac:dyDescent="0.2">
      <c r="A405" s="4">
        <v>11.9</v>
      </c>
      <c r="B405" s="4">
        <v>13</v>
      </c>
      <c r="C405" s="4">
        <v>24</v>
      </c>
      <c r="D405" s="4">
        <v>19</v>
      </c>
      <c r="E405" s="4">
        <v>0</v>
      </c>
      <c r="F405" s="4">
        <v>1</v>
      </c>
      <c r="G405" s="4">
        <v>2</v>
      </c>
      <c r="H405" s="4">
        <v>0</v>
      </c>
      <c r="I405" s="4">
        <v>0</v>
      </c>
      <c r="J405" s="4">
        <v>0</v>
      </c>
      <c r="K405" s="4">
        <v>0</v>
      </c>
      <c r="L405" s="2" t="s">
        <v>80</v>
      </c>
    </row>
    <row r="406" spans="1:12" x14ac:dyDescent="0.2">
      <c r="A406" s="4">
        <v>4</v>
      </c>
      <c r="B406" s="4">
        <v>9</v>
      </c>
      <c r="C406" s="4">
        <v>22</v>
      </c>
      <c r="D406" s="4">
        <v>18</v>
      </c>
      <c r="E406" s="4">
        <v>0</v>
      </c>
      <c r="F406" s="4">
        <v>0</v>
      </c>
      <c r="G406" s="4">
        <v>0</v>
      </c>
      <c r="H406" s="4">
        <v>0</v>
      </c>
      <c r="I406" s="4">
        <v>1</v>
      </c>
      <c r="J406" s="4">
        <v>0</v>
      </c>
      <c r="K406" s="4">
        <v>0</v>
      </c>
      <c r="L406" s="2" t="s">
        <v>80</v>
      </c>
    </row>
    <row r="407" spans="1:12" x14ac:dyDescent="0.2">
      <c r="A407" s="4">
        <v>12.5</v>
      </c>
      <c r="B407" s="4">
        <v>17</v>
      </c>
      <c r="C407" s="4">
        <v>21</v>
      </c>
      <c r="D407" s="4">
        <v>18</v>
      </c>
      <c r="E407" s="4">
        <v>0</v>
      </c>
      <c r="F407" s="4">
        <v>1</v>
      </c>
      <c r="G407" s="4">
        <v>3</v>
      </c>
      <c r="H407" s="4">
        <v>0</v>
      </c>
      <c r="I407" s="4">
        <v>0</v>
      </c>
      <c r="J407" s="4">
        <v>0</v>
      </c>
      <c r="K407" s="4">
        <v>0</v>
      </c>
      <c r="L407" s="2" t="s">
        <v>80</v>
      </c>
    </row>
    <row r="408" spans="1:12" x14ac:dyDescent="0.2">
      <c r="A408" s="4">
        <v>9.68</v>
      </c>
      <c r="B408" s="4">
        <v>13</v>
      </c>
      <c r="C408" s="4">
        <v>16</v>
      </c>
      <c r="D408" s="4">
        <v>16</v>
      </c>
      <c r="E408" s="4">
        <v>1</v>
      </c>
      <c r="F408" s="4">
        <v>0</v>
      </c>
      <c r="G408" s="4">
        <v>0</v>
      </c>
      <c r="H408" s="4">
        <v>0</v>
      </c>
      <c r="I408" s="4">
        <v>0</v>
      </c>
      <c r="J408" s="4">
        <v>1</v>
      </c>
      <c r="K408" s="4">
        <v>0</v>
      </c>
      <c r="L408" s="2" t="s">
        <v>80</v>
      </c>
    </row>
    <row r="409" spans="1:12" x14ac:dyDescent="0.2">
      <c r="A409" s="4">
        <v>5.6</v>
      </c>
      <c r="B409" s="4">
        <v>15</v>
      </c>
      <c r="C409" s="4">
        <v>31</v>
      </c>
      <c r="D409" s="4">
        <v>15</v>
      </c>
      <c r="E409" s="4">
        <v>1</v>
      </c>
      <c r="F409" s="4">
        <v>0</v>
      </c>
      <c r="G409" s="4">
        <v>2</v>
      </c>
      <c r="H409" s="4">
        <v>1</v>
      </c>
      <c r="I409" s="4">
        <v>0</v>
      </c>
      <c r="J409" s="4">
        <v>0</v>
      </c>
      <c r="K409" s="4">
        <v>0</v>
      </c>
      <c r="L409" s="2" t="s">
        <v>80</v>
      </c>
    </row>
    <row r="410" spans="1:12" x14ac:dyDescent="0.2">
      <c r="A410" s="4">
        <v>3.4</v>
      </c>
      <c r="B410" s="4">
        <v>12</v>
      </c>
      <c r="C410" s="4">
        <v>26</v>
      </c>
      <c r="D410" s="4">
        <v>15</v>
      </c>
      <c r="E410" s="4">
        <v>1</v>
      </c>
      <c r="F410" s="4">
        <v>1</v>
      </c>
      <c r="G410" s="4">
        <v>1</v>
      </c>
      <c r="H410" s="4">
        <v>1</v>
      </c>
      <c r="I410" s="4">
        <v>0</v>
      </c>
      <c r="J410" s="4">
        <v>0</v>
      </c>
      <c r="K410" s="4">
        <v>1</v>
      </c>
      <c r="L410" s="2" t="s">
        <v>80</v>
      </c>
    </row>
    <row r="411" spans="1:12" x14ac:dyDescent="0.2">
      <c r="A411" s="4">
        <v>5.2</v>
      </c>
      <c r="B411" s="4">
        <v>6</v>
      </c>
      <c r="C411" s="9">
        <v>43.93</v>
      </c>
      <c r="D411" s="4">
        <v>13</v>
      </c>
      <c r="E411" s="4">
        <v>0</v>
      </c>
      <c r="F411" s="4">
        <v>1</v>
      </c>
      <c r="G411" s="4">
        <v>0</v>
      </c>
      <c r="H411" s="4">
        <v>0</v>
      </c>
      <c r="I411" s="4">
        <v>1</v>
      </c>
      <c r="J411" s="4">
        <v>0</v>
      </c>
      <c r="K411" s="4">
        <v>1</v>
      </c>
      <c r="L411" s="2" t="s">
        <v>80</v>
      </c>
    </row>
    <row r="412" spans="1:12" x14ac:dyDescent="0.2">
      <c r="A412" s="4">
        <v>3.75</v>
      </c>
      <c r="B412" s="4">
        <v>2</v>
      </c>
      <c r="C412" s="4">
        <v>39</v>
      </c>
      <c r="D412" s="4">
        <v>13</v>
      </c>
      <c r="E412" s="4">
        <v>0</v>
      </c>
      <c r="F412" s="4">
        <v>1</v>
      </c>
      <c r="G412" s="4">
        <v>0</v>
      </c>
      <c r="H412" s="4">
        <v>0</v>
      </c>
      <c r="I412" s="4">
        <v>1</v>
      </c>
      <c r="J412" s="4">
        <v>0</v>
      </c>
      <c r="K412" s="4">
        <v>0</v>
      </c>
      <c r="L412" s="2" t="s">
        <v>80</v>
      </c>
    </row>
    <row r="413" spans="1:12" x14ac:dyDescent="0.2">
      <c r="A413" s="4">
        <v>8.4499999999999993</v>
      </c>
      <c r="B413" s="4">
        <v>12</v>
      </c>
      <c r="C413" s="4">
        <v>19</v>
      </c>
      <c r="D413" s="4">
        <v>13</v>
      </c>
      <c r="E413" s="4">
        <v>0</v>
      </c>
      <c r="F413" s="4">
        <v>1</v>
      </c>
      <c r="G413" s="4">
        <v>4</v>
      </c>
      <c r="H413" s="4">
        <v>0</v>
      </c>
      <c r="I413" s="4">
        <v>0</v>
      </c>
      <c r="J413" s="4">
        <v>0</v>
      </c>
      <c r="K413" s="4">
        <v>0</v>
      </c>
      <c r="L413" s="2" t="s">
        <v>80</v>
      </c>
    </row>
    <row r="414" spans="1:12" x14ac:dyDescent="0.2">
      <c r="A414" s="4">
        <v>3.37</v>
      </c>
      <c r="B414" s="4">
        <v>11</v>
      </c>
      <c r="C414" s="9">
        <v>43.93</v>
      </c>
      <c r="D414" s="4">
        <v>12</v>
      </c>
      <c r="E414" s="4">
        <v>0</v>
      </c>
      <c r="F414" s="4">
        <v>1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2" t="s">
        <v>80</v>
      </c>
    </row>
    <row r="415" spans="1:12" x14ac:dyDescent="0.2">
      <c r="A415" s="4">
        <v>4</v>
      </c>
      <c r="B415" s="4">
        <v>10</v>
      </c>
      <c r="C415" s="4">
        <v>34</v>
      </c>
      <c r="D415" s="4">
        <v>12</v>
      </c>
      <c r="E415" s="4">
        <v>0</v>
      </c>
      <c r="F415" s="4">
        <v>1</v>
      </c>
      <c r="G415" s="4">
        <v>0</v>
      </c>
      <c r="H415" s="4">
        <v>1</v>
      </c>
      <c r="I415" s="4">
        <v>0</v>
      </c>
      <c r="J415" s="4">
        <v>0</v>
      </c>
      <c r="K415" s="4">
        <v>0</v>
      </c>
      <c r="L415" s="2" t="s">
        <v>80</v>
      </c>
    </row>
    <row r="416" spans="1:12" x14ac:dyDescent="0.2">
      <c r="A416" s="4">
        <v>7.6</v>
      </c>
      <c r="B416" s="4">
        <v>12</v>
      </c>
      <c r="C416" s="4">
        <v>41</v>
      </c>
      <c r="D416" s="4">
        <v>11</v>
      </c>
      <c r="E416" s="4">
        <v>1</v>
      </c>
      <c r="F416" s="4">
        <v>0</v>
      </c>
      <c r="G416" s="4">
        <v>0</v>
      </c>
      <c r="H416" s="4">
        <v>1</v>
      </c>
      <c r="I416" s="4">
        <v>0</v>
      </c>
      <c r="J416" s="4">
        <v>0</v>
      </c>
      <c r="K416" s="4">
        <v>0</v>
      </c>
      <c r="L416" s="2" t="s">
        <v>80</v>
      </c>
    </row>
    <row r="417" spans="1:12" x14ac:dyDescent="0.2">
      <c r="A417" s="4">
        <v>10</v>
      </c>
      <c r="B417" s="4">
        <v>14</v>
      </c>
      <c r="C417" s="4">
        <v>28</v>
      </c>
      <c r="D417" s="4">
        <v>11</v>
      </c>
      <c r="E417" s="4">
        <v>1</v>
      </c>
      <c r="F417" s="4">
        <v>1</v>
      </c>
      <c r="G417" s="4">
        <v>0</v>
      </c>
      <c r="H417" s="4">
        <v>0</v>
      </c>
      <c r="I417" s="4">
        <v>1</v>
      </c>
      <c r="J417" s="4">
        <v>0</v>
      </c>
      <c r="K417" s="4">
        <v>0</v>
      </c>
      <c r="L417" s="2" t="s">
        <v>80</v>
      </c>
    </row>
    <row r="418" spans="1:12" x14ac:dyDescent="0.2">
      <c r="A418" s="4">
        <v>4</v>
      </c>
      <c r="B418" s="4">
        <v>12</v>
      </c>
      <c r="C418" s="4">
        <v>22</v>
      </c>
      <c r="D418" s="4">
        <v>11</v>
      </c>
      <c r="E418" s="4">
        <v>1</v>
      </c>
      <c r="F418" s="4">
        <v>1</v>
      </c>
      <c r="G418" s="4">
        <v>2</v>
      </c>
      <c r="H418" s="4">
        <v>1</v>
      </c>
      <c r="I418" s="4">
        <v>0</v>
      </c>
      <c r="J418" s="4">
        <v>0</v>
      </c>
      <c r="K418" s="4">
        <v>0</v>
      </c>
      <c r="L418" s="2" t="s">
        <v>80</v>
      </c>
    </row>
    <row r="419" spans="1:12" x14ac:dyDescent="0.2">
      <c r="A419" s="4">
        <v>9.33</v>
      </c>
      <c r="B419" s="4">
        <v>14</v>
      </c>
      <c r="C419" s="4">
        <v>12</v>
      </c>
      <c r="D419" s="4">
        <v>11</v>
      </c>
      <c r="E419" s="4">
        <v>0</v>
      </c>
      <c r="F419" s="4">
        <v>1</v>
      </c>
      <c r="G419" s="4">
        <v>3</v>
      </c>
      <c r="H419" s="4">
        <v>0</v>
      </c>
      <c r="I419" s="4">
        <v>0</v>
      </c>
      <c r="J419" s="4">
        <v>0</v>
      </c>
      <c r="K419" s="4">
        <v>0</v>
      </c>
      <c r="L419" s="2" t="s">
        <v>80</v>
      </c>
    </row>
    <row r="420" spans="1:12" x14ac:dyDescent="0.2">
      <c r="A420" s="4">
        <v>6.08</v>
      </c>
      <c r="B420" s="4">
        <v>16</v>
      </c>
      <c r="C420" s="4">
        <v>42</v>
      </c>
      <c r="D420" s="4">
        <v>10</v>
      </c>
      <c r="E420" s="4">
        <v>0</v>
      </c>
      <c r="F420" s="4">
        <v>0</v>
      </c>
      <c r="G420" s="4">
        <v>0</v>
      </c>
      <c r="H420" s="4">
        <v>1</v>
      </c>
      <c r="I420" s="4">
        <v>0</v>
      </c>
      <c r="J420" s="4">
        <v>0</v>
      </c>
      <c r="K420" s="4">
        <v>0</v>
      </c>
      <c r="L420" s="2" t="s">
        <v>80</v>
      </c>
    </row>
    <row r="421" spans="1:12" x14ac:dyDescent="0.2">
      <c r="A421" s="4">
        <v>6.67</v>
      </c>
      <c r="B421" s="4">
        <v>12</v>
      </c>
      <c r="C421" s="4">
        <v>35</v>
      </c>
      <c r="D421" s="4">
        <v>10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2" t="s">
        <v>80</v>
      </c>
    </row>
    <row r="422" spans="1:12" x14ac:dyDescent="0.2">
      <c r="A422" s="4">
        <v>4.5</v>
      </c>
      <c r="B422" s="4">
        <v>16</v>
      </c>
      <c r="C422" s="4">
        <v>21</v>
      </c>
      <c r="D422" s="4">
        <v>10</v>
      </c>
      <c r="E422" s="4">
        <v>0</v>
      </c>
      <c r="F422" s="4">
        <v>1</v>
      </c>
      <c r="G422" s="4">
        <v>1</v>
      </c>
      <c r="H422" s="4">
        <v>0</v>
      </c>
      <c r="I422" s="4">
        <v>1</v>
      </c>
      <c r="J422" s="4">
        <v>0</v>
      </c>
      <c r="K422" s="4">
        <v>0</v>
      </c>
      <c r="L422" s="2" t="s">
        <v>80</v>
      </c>
    </row>
    <row r="423" spans="1:12" x14ac:dyDescent="0.2">
      <c r="A423" s="4">
        <v>6.8</v>
      </c>
      <c r="B423" s="4">
        <v>12</v>
      </c>
      <c r="C423" s="4">
        <v>14</v>
      </c>
      <c r="D423" s="4">
        <v>10</v>
      </c>
      <c r="E423" s="4">
        <v>0</v>
      </c>
      <c r="F423" s="4">
        <v>1</v>
      </c>
      <c r="G423" s="4">
        <v>2</v>
      </c>
      <c r="H423" s="4">
        <v>0</v>
      </c>
      <c r="I423" s="4">
        <v>1</v>
      </c>
      <c r="J423" s="4">
        <v>0</v>
      </c>
      <c r="K423" s="4">
        <v>0</v>
      </c>
      <c r="L423" s="2" t="s">
        <v>80</v>
      </c>
    </row>
    <row r="424" spans="1:12" x14ac:dyDescent="0.2">
      <c r="A424" s="4">
        <v>3</v>
      </c>
      <c r="B424" s="4">
        <v>12</v>
      </c>
      <c r="C424" s="4">
        <v>26</v>
      </c>
      <c r="D424" s="4">
        <v>9</v>
      </c>
      <c r="E424" s="4">
        <v>1</v>
      </c>
      <c r="F424" s="4">
        <v>1</v>
      </c>
      <c r="G424" s="4">
        <v>0</v>
      </c>
      <c r="H424" s="4">
        <v>0</v>
      </c>
      <c r="I424" s="4">
        <v>1</v>
      </c>
      <c r="J424" s="4">
        <v>0</v>
      </c>
      <c r="K424" s="4">
        <v>0</v>
      </c>
      <c r="L424" s="2" t="s">
        <v>80</v>
      </c>
    </row>
    <row r="425" spans="1:12" x14ac:dyDescent="0.2">
      <c r="A425" s="4">
        <v>6.22</v>
      </c>
      <c r="B425" s="4">
        <v>12</v>
      </c>
      <c r="C425" s="4">
        <v>19</v>
      </c>
      <c r="D425" s="4">
        <v>9</v>
      </c>
      <c r="E425" s="4">
        <v>1</v>
      </c>
      <c r="F425" s="4">
        <v>1</v>
      </c>
      <c r="G425" s="4">
        <v>1</v>
      </c>
      <c r="H425" s="4">
        <v>1</v>
      </c>
      <c r="I425" s="4">
        <v>0</v>
      </c>
      <c r="J425" s="4">
        <v>0</v>
      </c>
      <c r="K425" s="4">
        <v>0</v>
      </c>
      <c r="L425" s="2" t="s">
        <v>80</v>
      </c>
    </row>
    <row r="426" spans="1:12" x14ac:dyDescent="0.2">
      <c r="A426" s="4">
        <v>5.95</v>
      </c>
      <c r="B426" s="4">
        <v>11</v>
      </c>
      <c r="C426" s="4">
        <v>15</v>
      </c>
      <c r="D426" s="4">
        <v>9</v>
      </c>
      <c r="E426" s="4">
        <v>0</v>
      </c>
      <c r="F426" s="4">
        <v>1</v>
      </c>
      <c r="G426" s="4">
        <v>1</v>
      </c>
      <c r="H426" s="4">
        <v>0</v>
      </c>
      <c r="I426" s="4">
        <v>1</v>
      </c>
      <c r="J426" s="4">
        <v>0</v>
      </c>
      <c r="K426" s="4">
        <v>1</v>
      </c>
      <c r="L426" s="2" t="s">
        <v>80</v>
      </c>
    </row>
    <row r="427" spans="1:12" x14ac:dyDescent="0.2">
      <c r="A427" s="4">
        <v>14.38</v>
      </c>
      <c r="B427" s="4">
        <v>17</v>
      </c>
      <c r="C427" s="4">
        <v>10</v>
      </c>
      <c r="D427" s="4">
        <v>9</v>
      </c>
      <c r="E427" s="4">
        <v>0</v>
      </c>
      <c r="F427" s="4">
        <v>1</v>
      </c>
      <c r="G427" s="4">
        <v>1</v>
      </c>
      <c r="H427" s="4">
        <v>0</v>
      </c>
      <c r="I427" s="4">
        <v>1</v>
      </c>
      <c r="J427" s="4">
        <v>0</v>
      </c>
      <c r="K427" s="4">
        <v>0</v>
      </c>
      <c r="L427" s="2" t="s">
        <v>80</v>
      </c>
    </row>
    <row r="428" spans="1:12" x14ac:dyDescent="0.2">
      <c r="A428" s="4">
        <v>4.5</v>
      </c>
      <c r="B428" s="4">
        <v>11</v>
      </c>
      <c r="C428" s="4">
        <v>3</v>
      </c>
      <c r="D428" s="4">
        <v>9</v>
      </c>
      <c r="E428" s="4">
        <v>0</v>
      </c>
      <c r="F428" s="4">
        <v>0</v>
      </c>
      <c r="G428" s="4">
        <v>0</v>
      </c>
      <c r="H428" s="4">
        <v>0</v>
      </c>
      <c r="I428" s="4">
        <v>1</v>
      </c>
      <c r="J428" s="4">
        <v>0</v>
      </c>
      <c r="K428" s="4">
        <v>1</v>
      </c>
      <c r="L428" s="2" t="s">
        <v>80</v>
      </c>
    </row>
    <row r="429" spans="1:12" x14ac:dyDescent="0.2">
      <c r="A429" s="4">
        <v>6</v>
      </c>
      <c r="B429" s="4">
        <v>11</v>
      </c>
      <c r="C429" s="4">
        <v>37</v>
      </c>
      <c r="D429" s="4">
        <v>8</v>
      </c>
      <c r="E429" s="4">
        <v>1</v>
      </c>
      <c r="F429" s="4">
        <v>0</v>
      </c>
      <c r="G429" s="4">
        <v>0</v>
      </c>
      <c r="H429" s="4">
        <v>0</v>
      </c>
      <c r="I429" s="4">
        <v>0</v>
      </c>
      <c r="J429" s="4">
        <v>1</v>
      </c>
      <c r="K429" s="4">
        <v>0</v>
      </c>
      <c r="L429" s="2" t="s">
        <v>80</v>
      </c>
    </row>
    <row r="430" spans="1:12" x14ac:dyDescent="0.2">
      <c r="A430" s="4">
        <v>6</v>
      </c>
      <c r="B430" s="4">
        <v>12</v>
      </c>
      <c r="C430" s="4">
        <v>22</v>
      </c>
      <c r="D430" s="4">
        <v>8</v>
      </c>
      <c r="E430" s="4">
        <v>0</v>
      </c>
      <c r="F430" s="4">
        <v>0</v>
      </c>
      <c r="G430" s="4">
        <v>2</v>
      </c>
      <c r="H430" s="4">
        <v>0</v>
      </c>
      <c r="I430" s="4">
        <v>0</v>
      </c>
      <c r="J430" s="4">
        <v>0</v>
      </c>
      <c r="K430" s="4">
        <v>0</v>
      </c>
      <c r="L430" s="2" t="s">
        <v>80</v>
      </c>
    </row>
    <row r="431" spans="1:12" x14ac:dyDescent="0.2">
      <c r="A431" s="4">
        <v>5.6</v>
      </c>
      <c r="B431" s="4">
        <v>11</v>
      </c>
      <c r="C431" s="4">
        <v>11</v>
      </c>
      <c r="D431" s="4">
        <v>8</v>
      </c>
      <c r="E431" s="4">
        <v>0</v>
      </c>
      <c r="F431" s="4">
        <v>1</v>
      </c>
      <c r="G431" s="4">
        <v>2</v>
      </c>
      <c r="H431" s="4">
        <v>0</v>
      </c>
      <c r="I431" s="4">
        <v>1</v>
      </c>
      <c r="J431" s="4">
        <v>0</v>
      </c>
      <c r="K431" s="4">
        <v>0</v>
      </c>
      <c r="L431" s="2" t="s">
        <v>80</v>
      </c>
    </row>
    <row r="432" spans="1:12" x14ac:dyDescent="0.2">
      <c r="A432" s="4">
        <v>2.9</v>
      </c>
      <c r="B432" s="4">
        <v>6</v>
      </c>
      <c r="C432" s="9">
        <v>43.93</v>
      </c>
      <c r="D432" s="4">
        <v>7</v>
      </c>
      <c r="E432" s="4">
        <v>0</v>
      </c>
      <c r="F432" s="4">
        <v>1</v>
      </c>
      <c r="G432" s="4">
        <v>0</v>
      </c>
      <c r="H432" s="4">
        <v>0</v>
      </c>
      <c r="I432" s="4">
        <v>1</v>
      </c>
      <c r="J432" s="4">
        <v>0</v>
      </c>
      <c r="K432" s="4">
        <v>0</v>
      </c>
      <c r="L432" s="2" t="s">
        <v>80</v>
      </c>
    </row>
    <row r="433" spans="1:12" x14ac:dyDescent="0.2">
      <c r="A433" s="4">
        <v>5.25</v>
      </c>
      <c r="B433" s="4">
        <v>10</v>
      </c>
      <c r="C433" s="9">
        <v>43.93</v>
      </c>
      <c r="D433" s="4">
        <v>7</v>
      </c>
      <c r="E433" s="4">
        <v>0</v>
      </c>
      <c r="F433" s="4">
        <v>1</v>
      </c>
      <c r="G433" s="4">
        <v>1</v>
      </c>
      <c r="H433" s="4">
        <v>1</v>
      </c>
      <c r="I433" s="4">
        <v>0</v>
      </c>
      <c r="J433" s="4">
        <v>0</v>
      </c>
      <c r="K433" s="4">
        <v>0</v>
      </c>
      <c r="L433" s="2" t="s">
        <v>80</v>
      </c>
    </row>
    <row r="434" spans="1:12" x14ac:dyDescent="0.2">
      <c r="A434" s="4">
        <v>18</v>
      </c>
      <c r="B434" s="4">
        <v>16</v>
      </c>
      <c r="C434" s="4">
        <v>16</v>
      </c>
      <c r="D434" s="4">
        <v>7</v>
      </c>
      <c r="E434" s="4">
        <v>0</v>
      </c>
      <c r="F434" s="4">
        <v>1</v>
      </c>
      <c r="G434" s="4">
        <v>2</v>
      </c>
      <c r="H434" s="4">
        <v>0</v>
      </c>
      <c r="I434" s="4">
        <v>0</v>
      </c>
      <c r="J434" s="4">
        <v>0</v>
      </c>
      <c r="K434" s="4">
        <v>0</v>
      </c>
      <c r="L434" s="2" t="s">
        <v>80</v>
      </c>
    </row>
    <row r="435" spans="1:12" x14ac:dyDescent="0.2">
      <c r="A435" s="4">
        <v>14.58</v>
      </c>
      <c r="B435" s="4">
        <v>18</v>
      </c>
      <c r="C435" s="4">
        <v>13</v>
      </c>
      <c r="D435" s="4">
        <v>7</v>
      </c>
      <c r="E435" s="4">
        <v>1</v>
      </c>
      <c r="F435" s="4">
        <v>0</v>
      </c>
      <c r="G435" s="4">
        <v>0</v>
      </c>
      <c r="H435" s="4">
        <v>1</v>
      </c>
      <c r="I435" s="4">
        <v>0</v>
      </c>
      <c r="J435" s="4">
        <v>0</v>
      </c>
      <c r="K435" s="4">
        <v>0</v>
      </c>
      <c r="L435" s="2" t="s">
        <v>80</v>
      </c>
    </row>
    <row r="436" spans="1:12" x14ac:dyDescent="0.2">
      <c r="A436" s="4">
        <v>3.95</v>
      </c>
      <c r="B436" s="4">
        <v>6</v>
      </c>
      <c r="C436" s="9">
        <v>43.93</v>
      </c>
      <c r="D436" s="4">
        <v>6</v>
      </c>
      <c r="E436" s="4">
        <v>0</v>
      </c>
      <c r="F436" s="4">
        <v>1</v>
      </c>
      <c r="G436" s="4">
        <v>6</v>
      </c>
      <c r="H436" s="4">
        <v>0</v>
      </c>
      <c r="I436" s="4">
        <v>1</v>
      </c>
      <c r="J436" s="4">
        <v>0</v>
      </c>
      <c r="K436" s="4">
        <v>0</v>
      </c>
      <c r="L436" s="2" t="s">
        <v>80</v>
      </c>
    </row>
    <row r="437" spans="1:12" x14ac:dyDescent="0.2">
      <c r="A437" s="4">
        <v>10.63</v>
      </c>
      <c r="B437" s="4">
        <v>12</v>
      </c>
      <c r="C437" s="4">
        <v>36</v>
      </c>
      <c r="D437" s="4">
        <v>6</v>
      </c>
      <c r="E437" s="4">
        <v>1</v>
      </c>
      <c r="F437" s="4">
        <v>1</v>
      </c>
      <c r="G437" s="4">
        <v>0</v>
      </c>
      <c r="H437" s="4">
        <v>0</v>
      </c>
      <c r="I437" s="4">
        <v>0</v>
      </c>
      <c r="J437" s="4">
        <v>1</v>
      </c>
      <c r="K437" s="4">
        <v>0</v>
      </c>
      <c r="L437" s="2" t="s">
        <v>80</v>
      </c>
    </row>
    <row r="438" spans="1:12" x14ac:dyDescent="0.2">
      <c r="A438" s="4">
        <v>2</v>
      </c>
      <c r="B438" s="4">
        <v>13</v>
      </c>
      <c r="C438" s="4">
        <v>2</v>
      </c>
      <c r="D438" s="4">
        <v>6</v>
      </c>
      <c r="E438" s="4">
        <v>1</v>
      </c>
      <c r="F438" s="4">
        <v>0</v>
      </c>
      <c r="G438" s="4">
        <v>0</v>
      </c>
      <c r="H438" s="4">
        <v>1</v>
      </c>
      <c r="I438" s="4">
        <v>0</v>
      </c>
      <c r="J438" s="4">
        <v>0</v>
      </c>
      <c r="K438" s="4">
        <v>0</v>
      </c>
      <c r="L438" s="2" t="s">
        <v>80</v>
      </c>
    </row>
    <row r="439" spans="1:12" x14ac:dyDescent="0.2">
      <c r="A439" s="4">
        <v>10.92</v>
      </c>
      <c r="B439" s="4">
        <v>12</v>
      </c>
      <c r="C439" s="4">
        <v>34</v>
      </c>
      <c r="D439" s="4">
        <v>5</v>
      </c>
      <c r="E439" s="4">
        <v>0</v>
      </c>
      <c r="F439" s="4">
        <v>1</v>
      </c>
      <c r="G439" s="4">
        <v>0</v>
      </c>
      <c r="H439" s="4">
        <v>0</v>
      </c>
      <c r="I439" s="4">
        <v>1</v>
      </c>
      <c r="J439" s="4">
        <v>0</v>
      </c>
      <c r="K439" s="4">
        <v>0</v>
      </c>
      <c r="L439" s="2" t="s">
        <v>80</v>
      </c>
    </row>
    <row r="440" spans="1:12" x14ac:dyDescent="0.2">
      <c r="A440" s="4">
        <v>10</v>
      </c>
      <c r="B440" s="4">
        <v>12</v>
      </c>
      <c r="C440" s="4">
        <v>20</v>
      </c>
      <c r="D440" s="4">
        <v>5</v>
      </c>
      <c r="E440" s="4">
        <v>1</v>
      </c>
      <c r="F440" s="4">
        <v>1</v>
      </c>
      <c r="G440" s="4">
        <v>4</v>
      </c>
      <c r="H440" s="4">
        <v>0</v>
      </c>
      <c r="I440" s="4">
        <v>0</v>
      </c>
      <c r="J440" s="4">
        <v>1</v>
      </c>
      <c r="K440" s="4">
        <v>0</v>
      </c>
      <c r="L440" s="2" t="s">
        <v>80</v>
      </c>
    </row>
    <row r="441" spans="1:12" x14ac:dyDescent="0.2">
      <c r="A441" s="4">
        <v>7.5</v>
      </c>
      <c r="B441" s="4">
        <v>12</v>
      </c>
      <c r="C441" s="4">
        <v>18</v>
      </c>
      <c r="D441" s="4">
        <v>5</v>
      </c>
      <c r="E441" s="4">
        <v>0</v>
      </c>
      <c r="F441" s="4">
        <v>1</v>
      </c>
      <c r="G441" s="4">
        <v>2</v>
      </c>
      <c r="H441" s="4">
        <v>0</v>
      </c>
      <c r="I441" s="4">
        <v>0</v>
      </c>
      <c r="J441" s="4">
        <v>1</v>
      </c>
      <c r="K441" s="4">
        <v>0</v>
      </c>
      <c r="L441" s="2" t="s">
        <v>80</v>
      </c>
    </row>
    <row r="442" spans="1:12" x14ac:dyDescent="0.2">
      <c r="A442" s="4">
        <v>7.25</v>
      </c>
      <c r="B442" s="4">
        <v>12</v>
      </c>
      <c r="C442" s="4">
        <v>14</v>
      </c>
      <c r="D442" s="4">
        <v>5</v>
      </c>
      <c r="E442" s="4">
        <v>0</v>
      </c>
      <c r="F442" s="4">
        <v>1</v>
      </c>
      <c r="G442" s="4">
        <v>3</v>
      </c>
      <c r="H442" s="4">
        <v>0</v>
      </c>
      <c r="I442" s="4">
        <v>0</v>
      </c>
      <c r="J442" s="4">
        <v>1</v>
      </c>
      <c r="K442" s="4">
        <v>0</v>
      </c>
      <c r="L442" s="2" t="s">
        <v>80</v>
      </c>
    </row>
    <row r="443" spans="1:12" x14ac:dyDescent="0.2">
      <c r="A443" s="4">
        <v>3.45</v>
      </c>
      <c r="B443" s="4">
        <v>12</v>
      </c>
      <c r="C443" s="4">
        <v>6</v>
      </c>
      <c r="D443" s="4">
        <v>5</v>
      </c>
      <c r="E443" s="4">
        <v>1</v>
      </c>
      <c r="F443" s="4">
        <v>1</v>
      </c>
      <c r="G443" s="4">
        <v>0</v>
      </c>
      <c r="H443" s="4">
        <v>0</v>
      </c>
      <c r="I443" s="4">
        <v>1</v>
      </c>
      <c r="J443" s="4">
        <v>0</v>
      </c>
      <c r="K443" s="4">
        <v>0</v>
      </c>
      <c r="L443" s="2" t="s">
        <v>80</v>
      </c>
    </row>
    <row r="444" spans="1:12" x14ac:dyDescent="0.2">
      <c r="A444" s="4">
        <v>3.6</v>
      </c>
      <c r="B444" s="4">
        <v>12</v>
      </c>
      <c r="C444" s="4">
        <v>26</v>
      </c>
      <c r="D444" s="4">
        <v>4</v>
      </c>
      <c r="E444" s="4">
        <v>1</v>
      </c>
      <c r="F444" s="4">
        <v>0</v>
      </c>
      <c r="G444" s="4">
        <v>2</v>
      </c>
      <c r="H444" s="4">
        <v>0</v>
      </c>
      <c r="I444" s="4">
        <v>0</v>
      </c>
      <c r="J444" s="4">
        <v>1</v>
      </c>
      <c r="K444" s="4">
        <v>0</v>
      </c>
      <c r="L444" s="2" t="s">
        <v>80</v>
      </c>
    </row>
    <row r="445" spans="1:12" x14ac:dyDescent="0.2">
      <c r="A445" s="4">
        <v>8</v>
      </c>
      <c r="B445" s="4">
        <v>16</v>
      </c>
      <c r="C445" s="4">
        <v>23</v>
      </c>
      <c r="D445" s="4">
        <v>4</v>
      </c>
      <c r="E445" s="4">
        <v>0</v>
      </c>
      <c r="F445" s="4">
        <v>0</v>
      </c>
      <c r="G445" s="4">
        <v>0</v>
      </c>
      <c r="H445" s="4">
        <v>1</v>
      </c>
      <c r="I445" s="4">
        <v>0</v>
      </c>
      <c r="J445" s="4">
        <v>0</v>
      </c>
      <c r="K445" s="4">
        <v>0</v>
      </c>
      <c r="L445" s="2" t="s">
        <v>80</v>
      </c>
    </row>
    <row r="446" spans="1:12" x14ac:dyDescent="0.2">
      <c r="A446" s="4">
        <v>5.5</v>
      </c>
      <c r="B446" s="4">
        <v>12</v>
      </c>
      <c r="C446" s="4">
        <v>9</v>
      </c>
      <c r="D446" s="4">
        <v>4</v>
      </c>
      <c r="E446" s="4">
        <v>0</v>
      </c>
      <c r="F446" s="4">
        <v>1</v>
      </c>
      <c r="G446" s="4">
        <v>1</v>
      </c>
      <c r="H446" s="4">
        <v>0</v>
      </c>
      <c r="I446" s="4">
        <v>1</v>
      </c>
      <c r="J446" s="4">
        <v>0</v>
      </c>
      <c r="K446" s="4">
        <v>0</v>
      </c>
      <c r="L446" s="2" t="s">
        <v>80</v>
      </c>
    </row>
    <row r="447" spans="1:12" x14ac:dyDescent="0.2">
      <c r="A447" s="4">
        <v>4.05</v>
      </c>
      <c r="B447" s="4">
        <v>9</v>
      </c>
      <c r="C447" s="4">
        <v>7</v>
      </c>
      <c r="D447" s="4">
        <v>4</v>
      </c>
      <c r="E447" s="4">
        <v>1</v>
      </c>
      <c r="F447" s="4">
        <v>1</v>
      </c>
      <c r="G447" s="4">
        <v>1</v>
      </c>
      <c r="H447" s="4">
        <v>0</v>
      </c>
      <c r="I447" s="4">
        <v>1</v>
      </c>
      <c r="J447" s="4">
        <v>0</v>
      </c>
      <c r="K447" s="4">
        <v>0</v>
      </c>
      <c r="L447" s="2" t="s">
        <v>80</v>
      </c>
    </row>
    <row r="448" spans="1:12" x14ac:dyDescent="0.2">
      <c r="A448" s="4">
        <v>8.75</v>
      </c>
      <c r="B448" s="4">
        <v>12</v>
      </c>
      <c r="C448" s="4">
        <v>4</v>
      </c>
      <c r="D448" s="4">
        <v>4</v>
      </c>
      <c r="E448" s="4">
        <v>0</v>
      </c>
      <c r="F448" s="4">
        <v>1</v>
      </c>
      <c r="G448" s="4">
        <v>0</v>
      </c>
      <c r="H448" s="4">
        <v>0</v>
      </c>
      <c r="I448" s="4">
        <v>1</v>
      </c>
      <c r="J448" s="4">
        <v>0</v>
      </c>
      <c r="K448" s="4">
        <v>0</v>
      </c>
      <c r="L448" s="2" t="s">
        <v>80</v>
      </c>
    </row>
    <row r="449" spans="1:12" x14ac:dyDescent="0.2">
      <c r="A449" s="4">
        <v>2.17</v>
      </c>
      <c r="B449" s="4">
        <v>13</v>
      </c>
      <c r="C449" s="4">
        <v>1</v>
      </c>
      <c r="D449" s="4">
        <v>4</v>
      </c>
      <c r="E449" s="4">
        <v>1</v>
      </c>
      <c r="F449" s="4">
        <v>0</v>
      </c>
      <c r="G449" s="4">
        <v>1</v>
      </c>
      <c r="H449" s="4">
        <v>1</v>
      </c>
      <c r="I449" s="4">
        <v>0</v>
      </c>
      <c r="J449" s="4">
        <v>0</v>
      </c>
      <c r="K449" s="4">
        <v>0</v>
      </c>
      <c r="L449" s="2" t="s">
        <v>80</v>
      </c>
    </row>
    <row r="450" spans="1:12" x14ac:dyDescent="0.2">
      <c r="A450" s="4">
        <v>11.1</v>
      </c>
      <c r="B450" s="4">
        <v>15</v>
      </c>
      <c r="C450" s="4">
        <v>1</v>
      </c>
      <c r="D450" s="4">
        <v>4</v>
      </c>
      <c r="E450" s="4">
        <v>1</v>
      </c>
      <c r="F450" s="4">
        <v>0</v>
      </c>
      <c r="G450" s="4">
        <v>2</v>
      </c>
      <c r="H450" s="4">
        <v>0</v>
      </c>
      <c r="I450" s="4">
        <v>1</v>
      </c>
      <c r="J450" s="4">
        <v>0</v>
      </c>
      <c r="K450" s="4">
        <v>0</v>
      </c>
      <c r="L450" s="2" t="s">
        <v>80</v>
      </c>
    </row>
    <row r="451" spans="1:12" x14ac:dyDescent="0.2">
      <c r="A451" s="4">
        <v>1.96</v>
      </c>
      <c r="B451" s="4">
        <v>11</v>
      </c>
      <c r="C451" s="4">
        <v>38</v>
      </c>
      <c r="D451" s="4">
        <v>3</v>
      </c>
      <c r="E451" s="4">
        <v>1</v>
      </c>
      <c r="F451" s="4">
        <v>0</v>
      </c>
      <c r="G451" s="4">
        <v>0</v>
      </c>
      <c r="H451" s="4">
        <v>0</v>
      </c>
      <c r="I451" s="4">
        <v>1</v>
      </c>
      <c r="J451" s="4">
        <v>0</v>
      </c>
      <c r="K451" s="4">
        <v>0</v>
      </c>
      <c r="L451" s="2" t="s">
        <v>80</v>
      </c>
    </row>
    <row r="452" spans="1:12" x14ac:dyDescent="0.2">
      <c r="A452" s="4">
        <v>7</v>
      </c>
      <c r="B452" s="4">
        <v>16</v>
      </c>
      <c r="C452" s="4">
        <v>26</v>
      </c>
      <c r="D452" s="4">
        <v>3</v>
      </c>
      <c r="E452" s="4">
        <v>1</v>
      </c>
      <c r="F452" s="4">
        <v>1</v>
      </c>
      <c r="G452" s="4">
        <v>1</v>
      </c>
      <c r="H452" s="4">
        <v>0</v>
      </c>
      <c r="I452" s="4">
        <v>1</v>
      </c>
      <c r="J452" s="4">
        <v>0</v>
      </c>
      <c r="K452" s="4">
        <v>0</v>
      </c>
      <c r="L452" s="2" t="s">
        <v>80</v>
      </c>
    </row>
    <row r="453" spans="1:12" x14ac:dyDescent="0.2">
      <c r="A453" s="4">
        <v>4</v>
      </c>
      <c r="B453" s="4">
        <v>12</v>
      </c>
      <c r="C453" s="4">
        <v>22</v>
      </c>
      <c r="D453" s="4">
        <v>3</v>
      </c>
      <c r="E453" s="4">
        <v>0</v>
      </c>
      <c r="F453" s="4">
        <v>1</v>
      </c>
      <c r="G453" s="4">
        <v>3</v>
      </c>
      <c r="H453" s="4">
        <v>0</v>
      </c>
      <c r="I453" s="4">
        <v>1</v>
      </c>
      <c r="J453" s="4">
        <v>0</v>
      </c>
      <c r="K453" s="4">
        <v>0</v>
      </c>
      <c r="L453" s="2" t="s">
        <v>80</v>
      </c>
    </row>
    <row r="454" spans="1:12" x14ac:dyDescent="0.2">
      <c r="A454" s="4">
        <v>5.5</v>
      </c>
      <c r="B454" s="4">
        <v>12</v>
      </c>
      <c r="C454" s="4">
        <v>18</v>
      </c>
      <c r="D454" s="4">
        <v>3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1</v>
      </c>
      <c r="K454" s="4">
        <v>0</v>
      </c>
      <c r="L454" s="2" t="s">
        <v>80</v>
      </c>
    </row>
    <row r="455" spans="1:12" x14ac:dyDescent="0.2">
      <c r="A455" s="4">
        <v>3.91</v>
      </c>
      <c r="B455" s="4">
        <v>18</v>
      </c>
      <c r="C455" s="4">
        <v>17</v>
      </c>
      <c r="D455" s="4">
        <v>3</v>
      </c>
      <c r="E455" s="4">
        <v>0</v>
      </c>
      <c r="F455" s="4">
        <v>1</v>
      </c>
      <c r="G455" s="4">
        <v>2</v>
      </c>
      <c r="H455" s="4">
        <v>0</v>
      </c>
      <c r="I455" s="4">
        <v>1</v>
      </c>
      <c r="J455" s="4">
        <v>0</v>
      </c>
      <c r="K455" s="4">
        <v>0</v>
      </c>
      <c r="L455" s="2" t="s">
        <v>80</v>
      </c>
    </row>
    <row r="456" spans="1:12" x14ac:dyDescent="0.2">
      <c r="A456" s="4">
        <v>6.43</v>
      </c>
      <c r="B456" s="4">
        <v>16</v>
      </c>
      <c r="C456" s="4">
        <v>17</v>
      </c>
      <c r="D456" s="4">
        <v>3</v>
      </c>
      <c r="E456" s="4">
        <v>1</v>
      </c>
      <c r="F456" s="4">
        <v>1</v>
      </c>
      <c r="G456" s="4">
        <v>2</v>
      </c>
      <c r="H456" s="4">
        <v>0</v>
      </c>
      <c r="I456" s="4">
        <v>1</v>
      </c>
      <c r="J456" s="4">
        <v>0</v>
      </c>
      <c r="K456" s="4">
        <v>0</v>
      </c>
      <c r="L456" s="2" t="s">
        <v>80</v>
      </c>
    </row>
    <row r="457" spans="1:12" x14ac:dyDescent="0.2">
      <c r="A457" s="4">
        <v>8</v>
      </c>
      <c r="B457" s="4">
        <v>12</v>
      </c>
      <c r="C457" s="4">
        <v>12</v>
      </c>
      <c r="D457" s="4">
        <v>3</v>
      </c>
      <c r="E457" s="4">
        <v>1</v>
      </c>
      <c r="F457" s="4">
        <v>0</v>
      </c>
      <c r="G457" s="4">
        <v>1</v>
      </c>
      <c r="H457" s="4">
        <v>0</v>
      </c>
      <c r="I457" s="4">
        <v>1</v>
      </c>
      <c r="J457" s="4">
        <v>0</v>
      </c>
      <c r="K457" s="4">
        <v>0</v>
      </c>
      <c r="L457" s="2" t="s">
        <v>80</v>
      </c>
    </row>
    <row r="458" spans="1:12" x14ac:dyDescent="0.2">
      <c r="A458" s="4">
        <v>6.85</v>
      </c>
      <c r="B458" s="4">
        <v>15</v>
      </c>
      <c r="C458" s="4">
        <v>11</v>
      </c>
      <c r="D458" s="4">
        <v>3</v>
      </c>
      <c r="E458" s="4">
        <v>1</v>
      </c>
      <c r="F458" s="4">
        <v>1</v>
      </c>
      <c r="G458" s="4">
        <v>2</v>
      </c>
      <c r="H458" s="4">
        <v>0</v>
      </c>
      <c r="I458" s="4">
        <v>0</v>
      </c>
      <c r="J458" s="4">
        <v>0</v>
      </c>
      <c r="K458" s="4">
        <v>0</v>
      </c>
      <c r="L458" s="2" t="s">
        <v>80</v>
      </c>
    </row>
    <row r="459" spans="1:12" x14ac:dyDescent="0.2">
      <c r="A459" s="4">
        <v>8.75</v>
      </c>
      <c r="B459" s="4">
        <v>14</v>
      </c>
      <c r="C459" s="4">
        <v>9</v>
      </c>
      <c r="D459" s="4">
        <v>3</v>
      </c>
      <c r="E459" s="4">
        <v>0</v>
      </c>
      <c r="F459" s="4">
        <v>1</v>
      </c>
      <c r="G459" s="4">
        <v>1</v>
      </c>
      <c r="H459" s="4">
        <v>0</v>
      </c>
      <c r="I459" s="4">
        <v>0</v>
      </c>
      <c r="J459" s="4">
        <v>0</v>
      </c>
      <c r="K459" s="4">
        <v>0</v>
      </c>
      <c r="L459" s="2" t="s">
        <v>80</v>
      </c>
    </row>
    <row r="460" spans="1:12" x14ac:dyDescent="0.2">
      <c r="A460" s="4">
        <v>6.18</v>
      </c>
      <c r="B460" s="4">
        <v>14</v>
      </c>
      <c r="C460" s="4">
        <v>9</v>
      </c>
      <c r="D460" s="4">
        <v>3</v>
      </c>
      <c r="E460" s="4">
        <v>1</v>
      </c>
      <c r="F460" s="4">
        <v>1</v>
      </c>
      <c r="G460" s="4">
        <v>0</v>
      </c>
      <c r="H460" s="4">
        <v>1</v>
      </c>
      <c r="I460" s="4">
        <v>0</v>
      </c>
      <c r="J460" s="4">
        <v>0</v>
      </c>
      <c r="K460" s="4">
        <v>0</v>
      </c>
      <c r="L460" s="2" t="s">
        <v>80</v>
      </c>
    </row>
    <row r="461" spans="1:12" x14ac:dyDescent="0.2">
      <c r="A461" s="4">
        <v>3.75</v>
      </c>
      <c r="B461" s="4">
        <v>12</v>
      </c>
      <c r="C461" s="4">
        <v>39</v>
      </c>
      <c r="D461" s="4">
        <v>2</v>
      </c>
      <c r="E461" s="4">
        <v>1</v>
      </c>
      <c r="F461" s="4">
        <v>1</v>
      </c>
      <c r="G461" s="4">
        <v>0</v>
      </c>
      <c r="H461" s="4">
        <v>1</v>
      </c>
      <c r="I461" s="4">
        <v>0</v>
      </c>
      <c r="J461" s="4">
        <v>0</v>
      </c>
      <c r="K461" s="4">
        <v>0</v>
      </c>
      <c r="L461" s="2" t="s">
        <v>80</v>
      </c>
    </row>
    <row r="462" spans="1:12" x14ac:dyDescent="0.2">
      <c r="A462" s="4">
        <v>2.93</v>
      </c>
      <c r="B462" s="4">
        <v>12</v>
      </c>
      <c r="C462" s="4">
        <v>36</v>
      </c>
      <c r="D462" s="4">
        <v>2</v>
      </c>
      <c r="E462" s="4">
        <v>1</v>
      </c>
      <c r="F462" s="4">
        <v>1</v>
      </c>
      <c r="G462" s="4">
        <v>1</v>
      </c>
      <c r="H462" s="4">
        <v>0</v>
      </c>
      <c r="I462" s="4">
        <v>0</v>
      </c>
      <c r="J462" s="4">
        <v>1</v>
      </c>
      <c r="K462" s="4">
        <v>0</v>
      </c>
      <c r="L462" s="2" t="s">
        <v>80</v>
      </c>
    </row>
    <row r="463" spans="1:12" x14ac:dyDescent="0.2">
      <c r="A463" s="4">
        <v>3</v>
      </c>
      <c r="B463" s="4">
        <v>8</v>
      </c>
      <c r="C463" s="4">
        <v>33</v>
      </c>
      <c r="D463" s="4">
        <v>2</v>
      </c>
      <c r="E463" s="4">
        <v>0</v>
      </c>
      <c r="F463" s="4">
        <v>1</v>
      </c>
      <c r="G463" s="4">
        <v>0</v>
      </c>
      <c r="H463" s="4">
        <v>0</v>
      </c>
      <c r="I463" s="4">
        <v>1</v>
      </c>
      <c r="J463" s="4">
        <v>0</v>
      </c>
      <c r="K463" s="4">
        <v>0</v>
      </c>
      <c r="L463" s="2" t="s">
        <v>80</v>
      </c>
    </row>
    <row r="464" spans="1:12" x14ac:dyDescent="0.2">
      <c r="A464" s="4">
        <v>10</v>
      </c>
      <c r="B464" s="4">
        <v>12</v>
      </c>
      <c r="C464" s="4">
        <v>31</v>
      </c>
      <c r="D464" s="4">
        <v>2</v>
      </c>
      <c r="E464" s="4">
        <v>0</v>
      </c>
      <c r="F464" s="4">
        <v>1</v>
      </c>
      <c r="G464" s="4">
        <v>0</v>
      </c>
      <c r="H464" s="4">
        <v>0</v>
      </c>
      <c r="I464" s="4">
        <v>1</v>
      </c>
      <c r="J464" s="4">
        <v>0</v>
      </c>
      <c r="K464" s="4">
        <v>0</v>
      </c>
      <c r="L464" s="2" t="s">
        <v>80</v>
      </c>
    </row>
    <row r="465" spans="1:12" x14ac:dyDescent="0.2">
      <c r="A465" s="4">
        <v>6.25</v>
      </c>
      <c r="B465" s="4">
        <v>16</v>
      </c>
      <c r="C465" s="4">
        <v>24</v>
      </c>
      <c r="D465" s="4">
        <v>2</v>
      </c>
      <c r="E465" s="4">
        <v>1</v>
      </c>
      <c r="F465" s="4">
        <v>1</v>
      </c>
      <c r="G465" s="4">
        <v>2</v>
      </c>
      <c r="H465" s="4">
        <v>0</v>
      </c>
      <c r="I465" s="4">
        <v>0</v>
      </c>
      <c r="J465" s="4">
        <v>1</v>
      </c>
      <c r="K465" s="4">
        <v>0</v>
      </c>
      <c r="L465" s="2" t="s">
        <v>80</v>
      </c>
    </row>
    <row r="466" spans="1:12" x14ac:dyDescent="0.2">
      <c r="A466" s="4">
        <v>3.28</v>
      </c>
      <c r="B466" s="4">
        <v>12</v>
      </c>
      <c r="C466" s="4">
        <v>17</v>
      </c>
      <c r="D466" s="4">
        <v>2</v>
      </c>
      <c r="E466" s="4">
        <v>1</v>
      </c>
      <c r="F466" s="4">
        <v>0</v>
      </c>
      <c r="G466" s="4">
        <v>0</v>
      </c>
      <c r="H466" s="4">
        <v>0</v>
      </c>
      <c r="I466" s="4">
        <v>1</v>
      </c>
      <c r="J466" s="4">
        <v>0</v>
      </c>
      <c r="K466" s="4">
        <v>0</v>
      </c>
      <c r="L466" s="2" t="s">
        <v>80</v>
      </c>
    </row>
    <row r="467" spans="1:12" x14ac:dyDescent="0.2">
      <c r="A467" s="4">
        <v>9.0500000000000007</v>
      </c>
      <c r="B467" s="4">
        <v>12</v>
      </c>
      <c r="C467" s="4">
        <v>10</v>
      </c>
      <c r="D467" s="4">
        <v>2</v>
      </c>
      <c r="E467" s="4">
        <v>0</v>
      </c>
      <c r="F467" s="4">
        <v>1</v>
      </c>
      <c r="G467" s="4">
        <v>3</v>
      </c>
      <c r="H467" s="4">
        <v>1</v>
      </c>
      <c r="I467" s="4">
        <v>0</v>
      </c>
      <c r="J467" s="4">
        <v>0</v>
      </c>
      <c r="K467" s="4">
        <v>1</v>
      </c>
      <c r="L467" s="2" t="s">
        <v>80</v>
      </c>
    </row>
    <row r="468" spans="1:12" x14ac:dyDescent="0.2">
      <c r="A468" s="4">
        <v>12.22</v>
      </c>
      <c r="B468" s="4">
        <v>16</v>
      </c>
      <c r="C468" s="4">
        <v>10</v>
      </c>
      <c r="D468" s="4">
        <v>2</v>
      </c>
      <c r="E468" s="4">
        <v>0</v>
      </c>
      <c r="F468" s="4">
        <v>0</v>
      </c>
      <c r="G468" s="4">
        <v>0</v>
      </c>
      <c r="H468" s="4">
        <v>0</v>
      </c>
      <c r="I468" s="4">
        <v>1</v>
      </c>
      <c r="J468" s="4">
        <v>0</v>
      </c>
      <c r="K468" s="4">
        <v>0</v>
      </c>
      <c r="L468" s="2" t="s">
        <v>80</v>
      </c>
    </row>
    <row r="469" spans="1:12" x14ac:dyDescent="0.2">
      <c r="A469" s="4">
        <v>5.71</v>
      </c>
      <c r="B469" s="4">
        <v>13</v>
      </c>
      <c r="C469" s="4">
        <v>10</v>
      </c>
      <c r="D469" s="4">
        <v>2</v>
      </c>
      <c r="E469" s="4">
        <v>1</v>
      </c>
      <c r="F469" s="4">
        <v>1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2" t="s">
        <v>80</v>
      </c>
    </row>
    <row r="470" spans="1:12" x14ac:dyDescent="0.2">
      <c r="A470" s="4">
        <v>3.65</v>
      </c>
      <c r="B470" s="4">
        <v>14</v>
      </c>
      <c r="C470" s="4">
        <v>9</v>
      </c>
      <c r="D470" s="4">
        <v>2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1</v>
      </c>
      <c r="K470" s="4">
        <v>0</v>
      </c>
      <c r="L470" s="2" t="s">
        <v>80</v>
      </c>
    </row>
    <row r="471" spans="1:12" x14ac:dyDescent="0.2">
      <c r="A471" s="4">
        <v>3.64</v>
      </c>
      <c r="B471" s="4">
        <v>12</v>
      </c>
      <c r="C471" s="4">
        <v>7</v>
      </c>
      <c r="D471" s="4">
        <v>2</v>
      </c>
      <c r="E471" s="4">
        <v>0</v>
      </c>
      <c r="F471" s="4">
        <v>0</v>
      </c>
      <c r="G471" s="4">
        <v>0</v>
      </c>
      <c r="H471" s="4">
        <v>0</v>
      </c>
      <c r="I471" s="4">
        <v>1</v>
      </c>
      <c r="J471" s="4">
        <v>0</v>
      </c>
      <c r="K471" s="4">
        <v>0</v>
      </c>
      <c r="L471" s="2" t="s">
        <v>80</v>
      </c>
    </row>
    <row r="472" spans="1:12" x14ac:dyDescent="0.2">
      <c r="A472" s="4">
        <v>4</v>
      </c>
      <c r="B472" s="4">
        <v>12</v>
      </c>
      <c r="C472" s="4">
        <v>5</v>
      </c>
      <c r="D472" s="4">
        <v>2</v>
      </c>
      <c r="E472" s="4">
        <v>0</v>
      </c>
      <c r="F472" s="4">
        <v>1</v>
      </c>
      <c r="G472" s="4">
        <v>0</v>
      </c>
      <c r="H472" s="4">
        <v>0</v>
      </c>
      <c r="I472" s="4">
        <v>1</v>
      </c>
      <c r="J472" s="4">
        <v>0</v>
      </c>
      <c r="K472" s="4">
        <v>1</v>
      </c>
      <c r="L472" s="2" t="s">
        <v>80</v>
      </c>
    </row>
    <row r="473" spans="1:12" x14ac:dyDescent="0.2">
      <c r="A473" s="4">
        <v>2</v>
      </c>
      <c r="B473" s="4">
        <v>12</v>
      </c>
      <c r="C473" s="4">
        <v>3</v>
      </c>
      <c r="D473" s="4">
        <v>2</v>
      </c>
      <c r="E473" s="4">
        <v>1</v>
      </c>
      <c r="F473" s="4">
        <v>0</v>
      </c>
      <c r="G473" s="4">
        <v>4</v>
      </c>
      <c r="H473" s="4">
        <v>0</v>
      </c>
      <c r="I473" s="4">
        <v>0</v>
      </c>
      <c r="J473" s="4">
        <v>0</v>
      </c>
      <c r="K473" s="4">
        <v>0</v>
      </c>
      <c r="L473" s="2" t="s">
        <v>80</v>
      </c>
    </row>
    <row r="474" spans="1:12" x14ac:dyDescent="0.2">
      <c r="A474" s="4">
        <v>4.0999999999999996</v>
      </c>
      <c r="B474" s="4">
        <v>12</v>
      </c>
      <c r="C474" s="4">
        <v>3</v>
      </c>
      <c r="D474" s="4">
        <v>2</v>
      </c>
      <c r="E474" s="4">
        <v>1</v>
      </c>
      <c r="F474" s="4">
        <v>0</v>
      </c>
      <c r="G474" s="4">
        <v>0</v>
      </c>
      <c r="H474" s="4">
        <v>1</v>
      </c>
      <c r="I474" s="4">
        <v>0</v>
      </c>
      <c r="J474" s="4">
        <v>0</v>
      </c>
      <c r="K474" s="4">
        <v>0</v>
      </c>
      <c r="L474" s="2" t="s">
        <v>80</v>
      </c>
    </row>
    <row r="475" spans="1:12" x14ac:dyDescent="0.2">
      <c r="A475" s="4">
        <v>3</v>
      </c>
      <c r="B475" s="4">
        <v>14</v>
      </c>
      <c r="C475" s="4">
        <v>3</v>
      </c>
      <c r="D475" s="4">
        <v>2</v>
      </c>
      <c r="E475" s="4">
        <v>1</v>
      </c>
      <c r="F475" s="4">
        <v>0</v>
      </c>
      <c r="G475" s="4">
        <v>0</v>
      </c>
      <c r="H475" s="4">
        <v>1</v>
      </c>
      <c r="I475" s="4">
        <v>0</v>
      </c>
      <c r="J475" s="4">
        <v>0</v>
      </c>
      <c r="K475" s="4">
        <v>0</v>
      </c>
      <c r="L475" s="2" t="s">
        <v>80</v>
      </c>
    </row>
    <row r="476" spans="1:12" x14ac:dyDescent="0.2">
      <c r="A476" s="4">
        <v>9.3000000000000007</v>
      </c>
      <c r="B476" s="4">
        <v>15</v>
      </c>
      <c r="C476" s="4">
        <v>2</v>
      </c>
      <c r="D476" s="4">
        <v>2</v>
      </c>
      <c r="E476" s="4">
        <v>0</v>
      </c>
      <c r="F476" s="4">
        <v>1</v>
      </c>
      <c r="G476" s="4">
        <v>0</v>
      </c>
      <c r="H476" s="4">
        <v>0</v>
      </c>
      <c r="I476" s="4">
        <v>1</v>
      </c>
      <c r="J476" s="4">
        <v>0</v>
      </c>
      <c r="K476" s="4">
        <v>0</v>
      </c>
      <c r="L476" s="2" t="s">
        <v>80</v>
      </c>
    </row>
    <row r="477" spans="1:12" x14ac:dyDescent="0.2">
      <c r="A477" s="4">
        <v>2.91</v>
      </c>
      <c r="B477" s="4">
        <v>11</v>
      </c>
      <c r="C477" s="4">
        <v>2</v>
      </c>
      <c r="D477" s="4">
        <v>2</v>
      </c>
      <c r="E477" s="4">
        <v>0</v>
      </c>
      <c r="F477" s="4">
        <v>0</v>
      </c>
      <c r="G477" s="4">
        <v>2</v>
      </c>
      <c r="H477" s="4">
        <v>1</v>
      </c>
      <c r="I477" s="4">
        <v>0</v>
      </c>
      <c r="J477" s="4">
        <v>0</v>
      </c>
      <c r="K477" s="4">
        <v>0</v>
      </c>
      <c r="L477" s="2" t="s">
        <v>80</v>
      </c>
    </row>
    <row r="478" spans="1:12" x14ac:dyDescent="0.2">
      <c r="A478" s="4">
        <v>3.1</v>
      </c>
      <c r="B478" s="4">
        <v>12</v>
      </c>
      <c r="C478" s="4">
        <v>2</v>
      </c>
      <c r="D478" s="4">
        <v>2</v>
      </c>
      <c r="E478" s="4">
        <v>1</v>
      </c>
      <c r="F478" s="4">
        <v>0</v>
      </c>
      <c r="G478" s="4">
        <v>1</v>
      </c>
      <c r="H478" s="4">
        <v>0</v>
      </c>
      <c r="I478" s="4">
        <v>1</v>
      </c>
      <c r="J478" s="4">
        <v>0</v>
      </c>
      <c r="K478" s="4">
        <v>0</v>
      </c>
      <c r="L478" s="2" t="s">
        <v>80</v>
      </c>
    </row>
    <row r="479" spans="1:12" x14ac:dyDescent="0.2">
      <c r="A479" s="4">
        <v>2.75</v>
      </c>
      <c r="B479" s="4">
        <v>13</v>
      </c>
      <c r="C479" s="4">
        <v>1</v>
      </c>
      <c r="D479" s="4">
        <v>2</v>
      </c>
      <c r="E479" s="4">
        <v>1</v>
      </c>
      <c r="F479" s="4">
        <v>0</v>
      </c>
      <c r="G479" s="4">
        <v>1</v>
      </c>
      <c r="H479" s="4">
        <v>1</v>
      </c>
      <c r="I479" s="4">
        <v>0</v>
      </c>
      <c r="J479" s="4">
        <v>0</v>
      </c>
      <c r="K479" s="4">
        <v>0</v>
      </c>
      <c r="L479" s="2" t="s">
        <v>80</v>
      </c>
    </row>
    <row r="480" spans="1:12" x14ac:dyDescent="0.2">
      <c r="A480" s="4">
        <v>4.75</v>
      </c>
      <c r="B480" s="4">
        <v>13</v>
      </c>
      <c r="C480" s="9">
        <v>43.93</v>
      </c>
      <c r="D480" s="4">
        <v>1</v>
      </c>
      <c r="E480" s="4">
        <v>0</v>
      </c>
      <c r="F480" s="4">
        <v>1</v>
      </c>
      <c r="G480" s="4">
        <v>0</v>
      </c>
      <c r="H480" s="4">
        <v>0</v>
      </c>
      <c r="I480" s="4">
        <v>0</v>
      </c>
      <c r="J480" s="4">
        <v>1</v>
      </c>
      <c r="K480" s="4">
        <v>0</v>
      </c>
      <c r="L480" s="2" t="s">
        <v>80</v>
      </c>
    </row>
    <row r="481" spans="1:12" x14ac:dyDescent="0.2">
      <c r="A481" s="4">
        <v>2.9</v>
      </c>
      <c r="B481" s="4">
        <v>12</v>
      </c>
      <c r="C481" s="4">
        <v>26</v>
      </c>
      <c r="D481" s="4">
        <v>1</v>
      </c>
      <c r="E481" s="4">
        <v>1</v>
      </c>
      <c r="F481" s="4">
        <v>0</v>
      </c>
      <c r="G481" s="4">
        <v>4</v>
      </c>
      <c r="H481" s="4">
        <v>0</v>
      </c>
      <c r="I481" s="4">
        <v>1</v>
      </c>
      <c r="J481" s="4">
        <v>0</v>
      </c>
      <c r="K481" s="4">
        <v>0</v>
      </c>
      <c r="L481" s="2" t="s">
        <v>80</v>
      </c>
    </row>
    <row r="482" spans="1:12" x14ac:dyDescent="0.2">
      <c r="A482" s="4">
        <v>3.15</v>
      </c>
      <c r="B482" s="4">
        <v>12</v>
      </c>
      <c r="C482" s="4">
        <v>26</v>
      </c>
      <c r="D482" s="4">
        <v>1</v>
      </c>
      <c r="E482" s="4">
        <v>0</v>
      </c>
      <c r="F482" s="4">
        <v>1</v>
      </c>
      <c r="G482" s="4">
        <v>0</v>
      </c>
      <c r="H482" s="4">
        <v>1</v>
      </c>
      <c r="I482" s="4">
        <v>0</v>
      </c>
      <c r="J482" s="4">
        <v>0</v>
      </c>
      <c r="K482" s="4">
        <v>0</v>
      </c>
      <c r="L482" s="2" t="s">
        <v>80</v>
      </c>
    </row>
    <row r="483" spans="1:12" x14ac:dyDescent="0.2">
      <c r="A483" s="4">
        <v>8.75</v>
      </c>
      <c r="B483" s="4">
        <v>12</v>
      </c>
      <c r="C483" s="4">
        <v>24</v>
      </c>
      <c r="D483" s="4">
        <v>1</v>
      </c>
      <c r="E483" s="4">
        <v>0</v>
      </c>
      <c r="F483" s="4">
        <v>0</v>
      </c>
      <c r="G483" s="4">
        <v>0</v>
      </c>
      <c r="H483" s="4">
        <v>1</v>
      </c>
      <c r="I483" s="4">
        <v>0</v>
      </c>
      <c r="J483" s="4">
        <v>0</v>
      </c>
      <c r="K483" s="4">
        <v>0</v>
      </c>
      <c r="L483" s="2" t="s">
        <v>80</v>
      </c>
    </row>
    <row r="484" spans="1:12" x14ac:dyDescent="0.2">
      <c r="A484" s="4">
        <v>3</v>
      </c>
      <c r="B484" s="4">
        <v>12</v>
      </c>
      <c r="C484" s="4">
        <v>11</v>
      </c>
      <c r="D484" s="4">
        <v>1</v>
      </c>
      <c r="E484" s="4">
        <v>1</v>
      </c>
      <c r="F484" s="4">
        <v>1</v>
      </c>
      <c r="G484" s="4">
        <v>2</v>
      </c>
      <c r="H484" s="4">
        <v>0</v>
      </c>
      <c r="I484" s="4">
        <v>0</v>
      </c>
      <c r="J484" s="4">
        <v>0</v>
      </c>
      <c r="K484" s="4">
        <v>0</v>
      </c>
      <c r="L484" s="2" t="s">
        <v>80</v>
      </c>
    </row>
    <row r="485" spans="1:12" x14ac:dyDescent="0.2">
      <c r="A485" s="4">
        <v>4</v>
      </c>
      <c r="B485" s="4">
        <v>12</v>
      </c>
      <c r="C485" s="4">
        <v>10</v>
      </c>
      <c r="D485" s="4">
        <v>1</v>
      </c>
      <c r="E485" s="4">
        <v>1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2" t="s">
        <v>80</v>
      </c>
    </row>
    <row r="486" spans="1:12" x14ac:dyDescent="0.2">
      <c r="A486" s="4">
        <v>3.81</v>
      </c>
      <c r="B486" s="4">
        <v>12</v>
      </c>
      <c r="C486" s="4">
        <v>8</v>
      </c>
      <c r="D486" s="4">
        <v>1</v>
      </c>
      <c r="E486" s="4">
        <v>1</v>
      </c>
      <c r="F486" s="4">
        <v>1</v>
      </c>
      <c r="G486" s="4">
        <v>2</v>
      </c>
      <c r="H486" s="4">
        <v>1</v>
      </c>
      <c r="I486" s="4">
        <v>0</v>
      </c>
      <c r="J486" s="4">
        <v>0</v>
      </c>
      <c r="K486" s="4">
        <v>0</v>
      </c>
      <c r="L486" s="2" t="s">
        <v>80</v>
      </c>
    </row>
    <row r="487" spans="1:12" x14ac:dyDescent="0.2">
      <c r="A487" s="4">
        <v>3.8</v>
      </c>
      <c r="B487" s="4">
        <v>15</v>
      </c>
      <c r="C487" s="4">
        <v>6</v>
      </c>
      <c r="D487" s="4">
        <v>1</v>
      </c>
      <c r="E487" s="4">
        <v>0</v>
      </c>
      <c r="F487" s="4">
        <v>1</v>
      </c>
      <c r="G487" s="4">
        <v>1</v>
      </c>
      <c r="H487" s="4">
        <v>0</v>
      </c>
      <c r="I487" s="4">
        <v>1</v>
      </c>
      <c r="J487" s="4">
        <v>0</v>
      </c>
      <c r="K487" s="4">
        <v>0</v>
      </c>
      <c r="L487" s="2" t="s">
        <v>80</v>
      </c>
    </row>
    <row r="488" spans="1:12" x14ac:dyDescent="0.2">
      <c r="A488" s="4">
        <v>11.56</v>
      </c>
      <c r="B488" s="4">
        <v>16</v>
      </c>
      <c r="C488" s="4">
        <v>5</v>
      </c>
      <c r="D488" s="4">
        <v>1</v>
      </c>
      <c r="E488" s="4">
        <v>0</v>
      </c>
      <c r="F488" s="4">
        <v>1</v>
      </c>
      <c r="G488" s="4">
        <v>0</v>
      </c>
      <c r="H488" s="4">
        <v>0</v>
      </c>
      <c r="I488" s="4">
        <v>0</v>
      </c>
      <c r="J488" s="4">
        <v>1</v>
      </c>
      <c r="K488" s="4">
        <v>0</v>
      </c>
      <c r="L488" s="2" t="s">
        <v>80</v>
      </c>
    </row>
    <row r="489" spans="1:12" x14ac:dyDescent="0.2">
      <c r="A489" s="4">
        <v>2.95</v>
      </c>
      <c r="B489" s="4">
        <v>12</v>
      </c>
      <c r="C489" s="4">
        <v>3</v>
      </c>
      <c r="D489" s="4">
        <v>1</v>
      </c>
      <c r="E489" s="4">
        <v>0</v>
      </c>
      <c r="F489" s="4">
        <v>0</v>
      </c>
      <c r="G489" s="4">
        <v>1</v>
      </c>
      <c r="H489" s="4">
        <v>1</v>
      </c>
      <c r="I489" s="4">
        <v>0</v>
      </c>
      <c r="J489" s="4">
        <v>0</v>
      </c>
      <c r="K489" s="4">
        <v>0</v>
      </c>
      <c r="L489" s="2" t="s">
        <v>80</v>
      </c>
    </row>
    <row r="490" spans="1:12" x14ac:dyDescent="0.2">
      <c r="A490" s="4">
        <v>3.35</v>
      </c>
      <c r="B490" s="4">
        <v>15</v>
      </c>
      <c r="C490" s="4">
        <v>3</v>
      </c>
      <c r="D490" s="4">
        <v>1</v>
      </c>
      <c r="E490" s="4">
        <v>1</v>
      </c>
      <c r="F490" s="4">
        <v>1</v>
      </c>
      <c r="G490" s="4">
        <v>2</v>
      </c>
      <c r="H490" s="4">
        <v>0</v>
      </c>
      <c r="I490" s="4">
        <v>1</v>
      </c>
      <c r="J490" s="4">
        <v>0</v>
      </c>
      <c r="K490" s="4">
        <v>0</v>
      </c>
      <c r="L490" s="2" t="s">
        <v>80</v>
      </c>
    </row>
    <row r="491" spans="1:12" x14ac:dyDescent="0.2">
      <c r="A491" s="4">
        <v>4.6500000000000004</v>
      </c>
      <c r="B491" s="4">
        <v>16</v>
      </c>
      <c r="C491" s="4">
        <v>3</v>
      </c>
      <c r="D491" s="4">
        <v>1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2" t="s">
        <v>80</v>
      </c>
    </row>
    <row r="492" spans="1:12" x14ac:dyDescent="0.2">
      <c r="A492" s="4">
        <v>3.08</v>
      </c>
      <c r="B492" s="4">
        <v>12</v>
      </c>
      <c r="C492" s="4">
        <v>3</v>
      </c>
      <c r="D492" s="4">
        <v>1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2" t="s">
        <v>80</v>
      </c>
    </row>
    <row r="493" spans="1:12" x14ac:dyDescent="0.2">
      <c r="A493" s="4">
        <v>1.75</v>
      </c>
      <c r="B493" s="4">
        <v>11</v>
      </c>
      <c r="C493" s="4">
        <v>2</v>
      </c>
      <c r="D493" s="4">
        <v>1</v>
      </c>
      <c r="E493" s="4">
        <v>0</v>
      </c>
      <c r="F493" s="4">
        <v>0</v>
      </c>
      <c r="G493" s="4">
        <v>2</v>
      </c>
      <c r="H493" s="4">
        <v>0</v>
      </c>
      <c r="I493" s="4">
        <v>0</v>
      </c>
      <c r="J493" s="4">
        <v>1</v>
      </c>
      <c r="K493" s="4">
        <v>0</v>
      </c>
      <c r="L493" s="2" t="s">
        <v>80</v>
      </c>
    </row>
    <row r="494" spans="1:12" x14ac:dyDescent="0.2">
      <c r="A494" s="4">
        <v>6.25</v>
      </c>
      <c r="B494" s="10">
        <v>12</v>
      </c>
      <c r="C494" s="4">
        <v>2</v>
      </c>
      <c r="D494" s="4">
        <v>1</v>
      </c>
      <c r="E494" s="4">
        <v>1</v>
      </c>
      <c r="F494" s="4">
        <v>0</v>
      </c>
      <c r="G494" s="4">
        <v>0</v>
      </c>
      <c r="H494" s="4">
        <v>1</v>
      </c>
      <c r="I494" s="4">
        <v>0</v>
      </c>
      <c r="J494" s="4">
        <v>0</v>
      </c>
      <c r="K494" s="4">
        <v>0</v>
      </c>
      <c r="L494" s="2" t="s">
        <v>80</v>
      </c>
    </row>
    <row r="495" spans="1:12" x14ac:dyDescent="0.2">
      <c r="A495" s="4">
        <v>5.58</v>
      </c>
      <c r="B495" s="4">
        <v>16</v>
      </c>
      <c r="C495" s="4">
        <v>1</v>
      </c>
      <c r="D495" s="4">
        <v>1</v>
      </c>
      <c r="E495" s="4">
        <v>0</v>
      </c>
      <c r="F495" s="4">
        <v>1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2" t="s">
        <v>80</v>
      </c>
    </row>
    <row r="496" spans="1:12" x14ac:dyDescent="0.2">
      <c r="A496" s="4">
        <v>2.92</v>
      </c>
      <c r="B496" s="4">
        <v>9</v>
      </c>
      <c r="C496" s="9">
        <v>43.93</v>
      </c>
      <c r="D496" s="4">
        <v>0</v>
      </c>
      <c r="E496" s="4">
        <v>1</v>
      </c>
      <c r="F496" s="4">
        <v>0</v>
      </c>
      <c r="G496" s="4">
        <v>0</v>
      </c>
      <c r="H496" s="4">
        <v>0</v>
      </c>
      <c r="I496" s="4">
        <v>1</v>
      </c>
      <c r="J496" s="4">
        <v>0</v>
      </c>
      <c r="K496" s="4">
        <v>0</v>
      </c>
      <c r="L496" s="2" t="s">
        <v>80</v>
      </c>
    </row>
    <row r="497" spans="1:12" x14ac:dyDescent="0.2">
      <c r="A497" s="4">
        <v>4.5</v>
      </c>
      <c r="B497" s="4">
        <v>12</v>
      </c>
      <c r="C497" s="4">
        <v>35</v>
      </c>
      <c r="D497" s="4">
        <v>0</v>
      </c>
      <c r="E497" s="4">
        <v>1</v>
      </c>
      <c r="F497" s="4">
        <v>1</v>
      </c>
      <c r="G497" s="4">
        <v>1</v>
      </c>
      <c r="H497" s="4">
        <v>0</v>
      </c>
      <c r="I497" s="4">
        <v>1</v>
      </c>
      <c r="J497" s="4">
        <v>0</v>
      </c>
      <c r="K497" s="4">
        <v>0</v>
      </c>
      <c r="L497" s="2" t="s">
        <v>80</v>
      </c>
    </row>
    <row r="498" spans="1:12" x14ac:dyDescent="0.2">
      <c r="A498" s="4">
        <v>3.55</v>
      </c>
      <c r="B498" s="4">
        <v>12</v>
      </c>
      <c r="C498" s="4">
        <v>21</v>
      </c>
      <c r="D498" s="4">
        <v>0</v>
      </c>
      <c r="E498" s="4">
        <v>1</v>
      </c>
      <c r="F498" s="4">
        <v>1</v>
      </c>
      <c r="G498" s="4">
        <v>1</v>
      </c>
      <c r="H498" s="4">
        <v>0</v>
      </c>
      <c r="I498" s="4">
        <v>1</v>
      </c>
      <c r="J498" s="4">
        <v>0</v>
      </c>
      <c r="K498" s="4">
        <v>0</v>
      </c>
      <c r="L498" s="2" t="s">
        <v>80</v>
      </c>
    </row>
    <row r="499" spans="1:12" x14ac:dyDescent="0.2">
      <c r="A499" s="4">
        <v>5.05</v>
      </c>
      <c r="B499" s="4">
        <v>12</v>
      </c>
      <c r="C499" s="4">
        <v>19</v>
      </c>
      <c r="D499" s="4">
        <v>0</v>
      </c>
      <c r="E499" s="4">
        <v>1</v>
      </c>
      <c r="F499" s="4">
        <v>1</v>
      </c>
      <c r="G499" s="4">
        <v>3</v>
      </c>
      <c r="H499" s="4">
        <v>0</v>
      </c>
      <c r="I499" s="4">
        <v>1</v>
      </c>
      <c r="J499" s="4">
        <v>0</v>
      </c>
      <c r="K499" s="4">
        <v>0</v>
      </c>
      <c r="L499" s="2" t="s">
        <v>80</v>
      </c>
    </row>
    <row r="500" spans="1:12" x14ac:dyDescent="0.2">
      <c r="A500" s="4">
        <v>1.63</v>
      </c>
      <c r="B500" s="4">
        <v>12</v>
      </c>
      <c r="C500" s="4">
        <v>18</v>
      </c>
      <c r="D500" s="4">
        <v>0</v>
      </c>
      <c r="E500" s="10">
        <v>2</v>
      </c>
      <c r="F500" s="4">
        <v>0</v>
      </c>
      <c r="G500" s="4">
        <v>2</v>
      </c>
      <c r="H500" s="4">
        <v>0</v>
      </c>
      <c r="I500" s="4">
        <v>0</v>
      </c>
      <c r="J500" s="4">
        <v>0</v>
      </c>
      <c r="K500" s="4">
        <v>0</v>
      </c>
      <c r="L500" s="2" t="s">
        <v>80</v>
      </c>
    </row>
    <row r="501" spans="1:12" x14ac:dyDescent="0.2">
      <c r="A501" s="4">
        <v>5</v>
      </c>
      <c r="B501" s="10">
        <v>12</v>
      </c>
      <c r="C501" s="4">
        <v>18</v>
      </c>
      <c r="D501" s="4">
        <v>0</v>
      </c>
      <c r="E501" s="4">
        <v>1</v>
      </c>
      <c r="F501" s="4">
        <v>1</v>
      </c>
      <c r="G501" s="4">
        <v>3</v>
      </c>
      <c r="H501" s="4">
        <v>0</v>
      </c>
      <c r="I501" s="4">
        <v>0</v>
      </c>
      <c r="J501" s="4">
        <v>1</v>
      </c>
      <c r="K501" s="4">
        <v>0</v>
      </c>
      <c r="L501" s="2" t="s">
        <v>80</v>
      </c>
    </row>
    <row r="502" spans="1:12" x14ac:dyDescent="0.2">
      <c r="A502" s="4">
        <v>3.71</v>
      </c>
      <c r="B502" s="4">
        <v>10</v>
      </c>
      <c r="C502" s="4">
        <v>13</v>
      </c>
      <c r="D502" s="4">
        <v>0</v>
      </c>
      <c r="E502" s="4">
        <v>1</v>
      </c>
      <c r="F502" s="4">
        <v>0</v>
      </c>
      <c r="G502" s="4">
        <v>4</v>
      </c>
      <c r="H502" s="4">
        <v>0</v>
      </c>
      <c r="I502" s="4">
        <v>0</v>
      </c>
      <c r="J502" s="4">
        <v>0</v>
      </c>
      <c r="K502" s="4">
        <v>0</v>
      </c>
      <c r="L502" s="2" t="s">
        <v>80</v>
      </c>
    </row>
    <row r="503" spans="1:12" x14ac:dyDescent="0.2">
      <c r="A503" s="4">
        <v>4.5</v>
      </c>
      <c r="B503" s="4">
        <v>12</v>
      </c>
      <c r="C503" s="4">
        <v>13</v>
      </c>
      <c r="D503" s="4">
        <v>0</v>
      </c>
      <c r="E503" s="4">
        <v>0</v>
      </c>
      <c r="F503" s="4">
        <v>1</v>
      </c>
      <c r="G503" s="4">
        <v>0</v>
      </c>
      <c r="H503" s="4">
        <v>0</v>
      </c>
      <c r="I503" s="4">
        <v>0</v>
      </c>
      <c r="J503" s="4">
        <v>1</v>
      </c>
      <c r="K503" s="4">
        <v>0</v>
      </c>
      <c r="L503" s="2" t="s">
        <v>80</v>
      </c>
    </row>
    <row r="504" spans="1:12" x14ac:dyDescent="0.2">
      <c r="A504" s="4">
        <v>6.08</v>
      </c>
      <c r="B504" s="4">
        <v>16</v>
      </c>
      <c r="C504" s="4">
        <v>9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1</v>
      </c>
      <c r="J504" s="4">
        <v>0</v>
      </c>
      <c r="K504" s="4">
        <v>0</v>
      </c>
      <c r="L504" s="2" t="s">
        <v>80</v>
      </c>
    </row>
    <row r="505" spans="1:12" x14ac:dyDescent="0.2">
      <c r="A505" s="4">
        <v>4</v>
      </c>
      <c r="B505" s="4">
        <v>12</v>
      </c>
      <c r="C505" s="4">
        <v>9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1</v>
      </c>
      <c r="J505" s="4">
        <v>0</v>
      </c>
      <c r="K505" s="4">
        <v>0</v>
      </c>
      <c r="L505" s="2" t="s">
        <v>80</v>
      </c>
    </row>
    <row r="506" spans="1:12" x14ac:dyDescent="0.2">
      <c r="A506" s="4">
        <v>4</v>
      </c>
      <c r="B506" s="4">
        <v>12</v>
      </c>
      <c r="C506" s="4">
        <v>8</v>
      </c>
      <c r="D506" s="4">
        <v>0</v>
      </c>
      <c r="E506" s="4">
        <v>1</v>
      </c>
      <c r="F506" s="4">
        <v>1</v>
      </c>
      <c r="G506" s="4">
        <v>2</v>
      </c>
      <c r="H506" s="4">
        <v>1</v>
      </c>
      <c r="I506" s="4">
        <v>0</v>
      </c>
      <c r="J506" s="4">
        <v>0</v>
      </c>
      <c r="K506" s="4">
        <v>0</v>
      </c>
      <c r="L506" s="2" t="s">
        <v>80</v>
      </c>
    </row>
    <row r="507" spans="1:12" x14ac:dyDescent="0.2">
      <c r="A507" s="4">
        <v>3.75</v>
      </c>
      <c r="B507" s="4">
        <v>12</v>
      </c>
      <c r="C507" s="4">
        <v>7</v>
      </c>
      <c r="D507" s="4">
        <v>0</v>
      </c>
      <c r="E507" s="4">
        <v>1</v>
      </c>
      <c r="F507" s="4">
        <v>1</v>
      </c>
      <c r="G507" s="4">
        <v>0</v>
      </c>
      <c r="H507" s="4">
        <v>0</v>
      </c>
      <c r="I507" s="4">
        <v>0</v>
      </c>
      <c r="J507" s="4">
        <v>0</v>
      </c>
      <c r="K507" s="4">
        <v>1</v>
      </c>
      <c r="L507" s="2" t="s">
        <v>80</v>
      </c>
    </row>
    <row r="508" spans="1:12" x14ac:dyDescent="0.2">
      <c r="A508" s="4">
        <v>9.8000000000000007</v>
      </c>
      <c r="B508" s="4">
        <v>17</v>
      </c>
      <c r="C508" s="4">
        <v>7</v>
      </c>
      <c r="D508" s="4">
        <v>0</v>
      </c>
      <c r="E508" s="4">
        <v>0</v>
      </c>
      <c r="F508" s="4">
        <v>1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2" t="s">
        <v>80</v>
      </c>
    </row>
    <row r="509" spans="1:12" x14ac:dyDescent="0.2">
      <c r="A509" s="4">
        <v>3.55</v>
      </c>
      <c r="B509" s="4">
        <v>12</v>
      </c>
      <c r="C509" s="4">
        <v>6</v>
      </c>
      <c r="D509" s="4">
        <v>0</v>
      </c>
      <c r="E509" s="4">
        <v>1</v>
      </c>
      <c r="F509" s="4">
        <v>1</v>
      </c>
      <c r="G509" s="4">
        <v>1</v>
      </c>
      <c r="H509" s="4">
        <v>0</v>
      </c>
      <c r="I509" s="4">
        <v>0</v>
      </c>
      <c r="J509" s="4">
        <v>0</v>
      </c>
      <c r="K509" s="4">
        <v>0</v>
      </c>
      <c r="L509" s="2" t="s">
        <v>80</v>
      </c>
    </row>
    <row r="510" spans="1:12" x14ac:dyDescent="0.2">
      <c r="A510" s="4">
        <v>6.25</v>
      </c>
      <c r="B510" s="4">
        <v>16</v>
      </c>
      <c r="C510" s="4">
        <v>5</v>
      </c>
      <c r="D510" s="4">
        <v>0</v>
      </c>
      <c r="E510" s="4">
        <v>0</v>
      </c>
      <c r="F510" s="4">
        <v>1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2" t="s">
        <v>80</v>
      </c>
    </row>
    <row r="511" spans="1:12" x14ac:dyDescent="0.2">
      <c r="A511" s="4">
        <v>2.38</v>
      </c>
      <c r="B511" s="4">
        <v>9</v>
      </c>
      <c r="C511" s="4">
        <v>5</v>
      </c>
      <c r="D511" s="4">
        <v>0</v>
      </c>
      <c r="E511" s="4">
        <v>0</v>
      </c>
      <c r="F511" s="4">
        <v>0</v>
      </c>
      <c r="G511" s="4">
        <v>5</v>
      </c>
      <c r="H511" s="4">
        <v>0</v>
      </c>
      <c r="I511" s="4">
        <v>1</v>
      </c>
      <c r="J511" s="4">
        <v>0</v>
      </c>
      <c r="K511" s="4">
        <v>0</v>
      </c>
      <c r="L511" s="2" t="s">
        <v>80</v>
      </c>
    </row>
    <row r="512" spans="1:12" x14ac:dyDescent="0.2">
      <c r="A512" s="4">
        <v>4.0999999999999996</v>
      </c>
      <c r="B512" s="4">
        <v>16</v>
      </c>
      <c r="C512" s="4">
        <v>5</v>
      </c>
      <c r="D512" s="4">
        <v>0</v>
      </c>
      <c r="E512" s="4">
        <v>1</v>
      </c>
      <c r="F512" s="4">
        <v>1</v>
      </c>
      <c r="G512" s="4">
        <v>0</v>
      </c>
      <c r="H512" s="4">
        <v>1</v>
      </c>
      <c r="I512" s="4">
        <v>0</v>
      </c>
      <c r="J512" s="4">
        <v>0</v>
      </c>
      <c r="K512" s="4">
        <v>0</v>
      </c>
      <c r="L512" s="2" t="s">
        <v>80</v>
      </c>
    </row>
    <row r="513" spans="1:12" x14ac:dyDescent="0.2">
      <c r="A513" s="4">
        <v>3.5</v>
      </c>
      <c r="B513" s="4">
        <v>8</v>
      </c>
      <c r="C513" s="4">
        <v>4</v>
      </c>
      <c r="D513" s="4">
        <v>0</v>
      </c>
      <c r="E513" s="4">
        <v>0</v>
      </c>
      <c r="F513" s="4">
        <v>0</v>
      </c>
      <c r="G513" s="4">
        <v>3</v>
      </c>
      <c r="H513" s="4">
        <v>0</v>
      </c>
      <c r="I513" s="4">
        <v>0</v>
      </c>
      <c r="J513" s="4">
        <v>0</v>
      </c>
      <c r="K513" s="4">
        <v>0</v>
      </c>
      <c r="L513" s="2" t="s">
        <v>80</v>
      </c>
    </row>
    <row r="514" spans="1:12" x14ac:dyDescent="0.2">
      <c r="A514" s="4">
        <v>2.6</v>
      </c>
      <c r="B514" s="4">
        <v>9</v>
      </c>
      <c r="C514" s="4">
        <v>4</v>
      </c>
      <c r="D514" s="4">
        <v>0</v>
      </c>
      <c r="E514" s="10">
        <v>2</v>
      </c>
      <c r="F514" s="4">
        <v>0</v>
      </c>
      <c r="G514" s="4">
        <v>1</v>
      </c>
      <c r="H514" s="4">
        <v>0</v>
      </c>
      <c r="I514" s="4">
        <v>0</v>
      </c>
      <c r="J514" s="4">
        <v>1</v>
      </c>
      <c r="K514" s="4">
        <v>0</v>
      </c>
      <c r="L514" s="2" t="s">
        <v>80</v>
      </c>
    </row>
    <row r="515" spans="1:12" x14ac:dyDescent="0.2">
      <c r="A515" s="4">
        <v>2</v>
      </c>
      <c r="B515" s="4">
        <v>10</v>
      </c>
      <c r="C515" s="4">
        <v>3</v>
      </c>
      <c r="D515" s="4">
        <v>0</v>
      </c>
      <c r="E515" s="4">
        <v>1</v>
      </c>
      <c r="F515" s="4">
        <v>0</v>
      </c>
      <c r="G515" s="4">
        <v>5</v>
      </c>
      <c r="H515" s="4">
        <v>0</v>
      </c>
      <c r="I515" s="4">
        <v>1</v>
      </c>
      <c r="J515" s="4">
        <v>0</v>
      </c>
      <c r="K515" s="4">
        <v>0</v>
      </c>
      <c r="L515" s="2" t="s">
        <v>80</v>
      </c>
    </row>
    <row r="516" spans="1:12" x14ac:dyDescent="0.2">
      <c r="A516" s="4">
        <v>7.81</v>
      </c>
      <c r="B516" s="4">
        <v>12</v>
      </c>
      <c r="C516" s="4">
        <v>3</v>
      </c>
      <c r="D516" s="4">
        <v>0</v>
      </c>
      <c r="E516" s="4">
        <v>1</v>
      </c>
      <c r="F516" s="4">
        <v>1</v>
      </c>
      <c r="G516" s="4">
        <v>0</v>
      </c>
      <c r="H516" s="4">
        <v>0</v>
      </c>
      <c r="I516" s="4">
        <v>0</v>
      </c>
      <c r="J516" s="4">
        <v>1</v>
      </c>
      <c r="K516" s="4">
        <v>0</v>
      </c>
      <c r="L516" s="2" t="s">
        <v>80</v>
      </c>
    </row>
    <row r="517" spans="1:12" x14ac:dyDescent="0.2">
      <c r="A517" s="4">
        <v>3.5</v>
      </c>
      <c r="B517" s="4">
        <v>12</v>
      </c>
      <c r="C517" s="4">
        <v>3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2" t="s">
        <v>80</v>
      </c>
    </row>
    <row r="518" spans="1:12" x14ac:dyDescent="0.2">
      <c r="A518" s="4">
        <v>4.5</v>
      </c>
      <c r="B518" s="4">
        <v>12</v>
      </c>
      <c r="C518" s="4">
        <v>3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1</v>
      </c>
      <c r="K518" s="4">
        <v>0</v>
      </c>
      <c r="L518" s="2" t="s">
        <v>80</v>
      </c>
    </row>
    <row r="519" spans="1:12" x14ac:dyDescent="0.2">
      <c r="A519" s="4">
        <v>3</v>
      </c>
      <c r="B519" s="4">
        <v>11</v>
      </c>
      <c r="C519" s="4">
        <v>3</v>
      </c>
      <c r="D519" s="4">
        <v>0</v>
      </c>
      <c r="E519" s="4">
        <v>1</v>
      </c>
      <c r="F519" s="4">
        <v>0</v>
      </c>
      <c r="G519" s="4">
        <v>2</v>
      </c>
      <c r="H519" s="4">
        <v>0</v>
      </c>
      <c r="I519" s="4">
        <v>0</v>
      </c>
      <c r="J519" s="4">
        <v>1</v>
      </c>
      <c r="K519" s="4">
        <v>0</v>
      </c>
      <c r="L519" s="2" t="s">
        <v>80</v>
      </c>
    </row>
    <row r="520" spans="1:12" x14ac:dyDescent="0.2">
      <c r="A520" s="4">
        <v>5.1100000000000003</v>
      </c>
      <c r="B520" s="4">
        <v>11</v>
      </c>
      <c r="C520" s="4">
        <v>3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1</v>
      </c>
      <c r="K520" s="4">
        <v>1</v>
      </c>
      <c r="L520" s="2" t="s">
        <v>80</v>
      </c>
    </row>
    <row r="521" spans="1:12" x14ac:dyDescent="0.2">
      <c r="A521" s="4">
        <v>2</v>
      </c>
      <c r="B521" s="4">
        <v>9</v>
      </c>
      <c r="C521" s="4">
        <v>2</v>
      </c>
      <c r="D521" s="4">
        <v>0</v>
      </c>
      <c r="E521" s="4">
        <v>0</v>
      </c>
      <c r="F521" s="4">
        <v>0</v>
      </c>
      <c r="G521" s="4">
        <v>3</v>
      </c>
      <c r="H521" s="4">
        <v>1</v>
      </c>
      <c r="I521" s="4">
        <v>0</v>
      </c>
      <c r="J521" s="4">
        <v>0</v>
      </c>
      <c r="K521" s="4">
        <v>0</v>
      </c>
      <c r="L521" s="2" t="s">
        <v>80</v>
      </c>
    </row>
    <row r="522" spans="1:12" x14ac:dyDescent="0.2">
      <c r="A522" s="4">
        <v>3.1</v>
      </c>
      <c r="B522" s="4">
        <v>11</v>
      </c>
      <c r="C522" s="4">
        <v>2</v>
      </c>
      <c r="D522" s="4">
        <v>0</v>
      </c>
      <c r="E522" s="4">
        <v>1</v>
      </c>
      <c r="F522" s="4">
        <v>0</v>
      </c>
      <c r="G522" s="4">
        <v>2</v>
      </c>
      <c r="H522" s="4">
        <v>0</v>
      </c>
      <c r="I522" s="4">
        <v>0</v>
      </c>
      <c r="J522" s="4">
        <v>1</v>
      </c>
      <c r="K522" s="4">
        <v>0</v>
      </c>
      <c r="L522" s="2" t="s">
        <v>80</v>
      </c>
    </row>
    <row r="523" spans="1:12" x14ac:dyDescent="0.2">
      <c r="A523" s="4">
        <v>5.65</v>
      </c>
      <c r="B523" s="4">
        <v>12</v>
      </c>
      <c r="C523" s="4">
        <v>2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1</v>
      </c>
      <c r="K523" s="4">
        <v>1</v>
      </c>
      <c r="L523" s="2" t="s">
        <v>80</v>
      </c>
    </row>
    <row r="524" spans="1:12" x14ac:dyDescent="0.2">
      <c r="A524" s="4">
        <v>2.54</v>
      </c>
      <c r="B524" s="4">
        <v>9</v>
      </c>
      <c r="C524" s="4">
        <v>2</v>
      </c>
      <c r="D524" s="4">
        <v>0</v>
      </c>
      <c r="E524" s="4">
        <v>1</v>
      </c>
      <c r="F524" s="4">
        <v>0</v>
      </c>
      <c r="G524" s="4">
        <v>1</v>
      </c>
      <c r="H524" s="4">
        <v>0</v>
      </c>
      <c r="I524" s="4">
        <v>1</v>
      </c>
      <c r="J524" s="4">
        <v>0</v>
      </c>
      <c r="K524" s="4">
        <v>0</v>
      </c>
      <c r="L524" s="2" t="s">
        <v>80</v>
      </c>
    </row>
    <row r="525" spans="1:12" x14ac:dyDescent="0.2">
      <c r="A525" s="4">
        <v>2.9</v>
      </c>
      <c r="B525" s="4">
        <v>11</v>
      </c>
      <c r="C525" s="4">
        <v>2</v>
      </c>
      <c r="D525" s="4">
        <v>0</v>
      </c>
      <c r="E525" s="4">
        <v>1</v>
      </c>
      <c r="F525" s="4">
        <v>0</v>
      </c>
      <c r="G525" s="4">
        <v>2</v>
      </c>
      <c r="H525" s="4">
        <v>0</v>
      </c>
      <c r="I525" s="4">
        <v>1</v>
      </c>
      <c r="J525" s="4">
        <v>0</v>
      </c>
      <c r="K525" s="4">
        <v>0</v>
      </c>
      <c r="L525" s="2" t="s">
        <v>80</v>
      </c>
    </row>
    <row r="526" spans="1:12" x14ac:dyDescent="0.2">
      <c r="A526" s="4">
        <v>2.92</v>
      </c>
      <c r="B526" s="4">
        <v>11</v>
      </c>
      <c r="C526" s="4">
        <v>1</v>
      </c>
      <c r="D526" s="4">
        <v>0</v>
      </c>
      <c r="E526" s="4">
        <v>1</v>
      </c>
      <c r="F526" s="4">
        <v>0</v>
      </c>
      <c r="G526" s="4">
        <v>1</v>
      </c>
      <c r="H526" s="4">
        <v>1</v>
      </c>
      <c r="I526" s="4">
        <v>0</v>
      </c>
      <c r="J526" s="4">
        <v>0</v>
      </c>
      <c r="K526" s="4">
        <v>0</v>
      </c>
      <c r="L526" s="2" t="s">
        <v>80</v>
      </c>
    </row>
    <row r="527" spans="1:12" x14ac:dyDescent="0.2">
      <c r="A527" s="4">
        <v>3</v>
      </c>
      <c r="B527" s="4">
        <v>12</v>
      </c>
      <c r="C527" s="4">
        <v>1</v>
      </c>
      <c r="D527" s="4">
        <v>0</v>
      </c>
      <c r="E527" s="4">
        <v>1</v>
      </c>
      <c r="F527" s="4">
        <v>0</v>
      </c>
      <c r="G527" s="4">
        <v>2</v>
      </c>
      <c r="H527" s="4">
        <v>0</v>
      </c>
      <c r="I527" s="4">
        <v>0</v>
      </c>
      <c r="J527" s="4">
        <v>0</v>
      </c>
      <c r="K527" s="4">
        <v>0</v>
      </c>
      <c r="L527" s="2" t="s">
        <v>80</v>
      </c>
    </row>
  </sheetData>
  <mergeCells count="1">
    <mergeCell ref="N3:P3"/>
  </mergeCells>
  <conditionalFormatting sqref="O20:X29">
    <cfRule type="cellIs" dxfId="1" priority="1" operator="lessThan">
      <formula>-0.7</formula>
    </cfRule>
    <cfRule type="cellIs" dxfId="0" priority="2" operator="greaterThan">
      <formula>0.7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1B6F0-AEFF-5D4F-A477-584C7CB416A6}">
  <dimension ref="A1:M527"/>
  <sheetViews>
    <sheetView showGridLines="0" zoomScale="144" workbookViewId="0">
      <selection activeCell="J11" sqref="J11"/>
    </sheetView>
  </sheetViews>
  <sheetFormatPr baseColWidth="10" defaultRowHeight="14" x14ac:dyDescent="0.2"/>
  <cols>
    <col min="1" max="4" width="10.83203125" style="5"/>
    <col min="5" max="5" width="12.5" bestFit="1" customWidth="1"/>
    <col min="6" max="8" width="12.5" customWidth="1"/>
    <col min="10" max="10" width="12.5" bestFit="1" customWidth="1"/>
  </cols>
  <sheetData>
    <row r="1" spans="1:13" x14ac:dyDescent="0.2">
      <c r="A1" s="4" t="s">
        <v>28</v>
      </c>
      <c r="B1" s="4" t="s">
        <v>83</v>
      </c>
      <c r="C1" s="4" t="s">
        <v>0</v>
      </c>
      <c r="D1" s="4" t="s">
        <v>40</v>
      </c>
      <c r="E1" s="15" t="s">
        <v>81</v>
      </c>
      <c r="F1" s="4" t="s">
        <v>86</v>
      </c>
      <c r="G1" s="4" t="s">
        <v>88</v>
      </c>
      <c r="H1" s="4" t="s">
        <v>89</v>
      </c>
    </row>
    <row r="2" spans="1:13" x14ac:dyDescent="0.2">
      <c r="A2" s="4">
        <v>8.75</v>
      </c>
      <c r="B2" s="4">
        <v>1</v>
      </c>
      <c r="C2" s="4">
        <v>12</v>
      </c>
      <c r="D2" s="4">
        <v>0</v>
      </c>
      <c r="E2" s="2" t="s">
        <v>79</v>
      </c>
      <c r="F2" s="23">
        <f t="shared" ref="F2:F65" si="0">($K$18*B2)+($K$19*C2)+($K$20*D2)</f>
        <v>5.6152767122953797</v>
      </c>
      <c r="G2" s="23">
        <f>(A2-F2)</f>
        <v>3.1347232877046203</v>
      </c>
      <c r="H2" s="23">
        <f>G2^2</f>
        <v>9.8264900904776642</v>
      </c>
    </row>
    <row r="3" spans="1:13" x14ac:dyDescent="0.2">
      <c r="A3" s="4">
        <v>11.76</v>
      </c>
      <c r="B3" s="4">
        <v>1</v>
      </c>
      <c r="C3" s="4">
        <v>14</v>
      </c>
      <c r="D3" s="4">
        <v>0</v>
      </c>
      <c r="E3" s="2" t="s">
        <v>79</v>
      </c>
      <c r="F3" s="23">
        <f t="shared" si="0"/>
        <v>6.5511561643446097</v>
      </c>
      <c r="G3" s="23">
        <f t="shared" ref="G3:G66" si="1">(A3-F3)</f>
        <v>5.2088438356553901</v>
      </c>
      <c r="H3" s="23">
        <f t="shared" ref="H3:H66" si="2">G3^2</f>
        <v>27.132054104245157</v>
      </c>
      <c r="J3" s="37" t="s">
        <v>63</v>
      </c>
      <c r="K3" s="37"/>
      <c r="L3" s="37"/>
    </row>
    <row r="4" spans="1:13" x14ac:dyDescent="0.2">
      <c r="A4" s="4">
        <v>2.91</v>
      </c>
      <c r="B4" s="4">
        <v>1</v>
      </c>
      <c r="C4" s="4">
        <v>12</v>
      </c>
      <c r="D4" s="4">
        <v>0</v>
      </c>
      <c r="E4" s="2" t="s">
        <v>79</v>
      </c>
      <c r="F4" s="23">
        <f t="shared" si="0"/>
        <v>5.6152767122953797</v>
      </c>
      <c r="G4" s="23">
        <f t="shared" si="1"/>
        <v>-2.7052767122953796</v>
      </c>
      <c r="H4" s="23">
        <f t="shared" si="2"/>
        <v>7.3185220900876979</v>
      </c>
      <c r="J4" s="17" t="s">
        <v>64</v>
      </c>
      <c r="K4" s="3"/>
      <c r="L4" s="3"/>
    </row>
    <row r="5" spans="1:13" x14ac:dyDescent="0.2">
      <c r="A5" s="4">
        <v>6.5</v>
      </c>
      <c r="B5" s="4">
        <v>1</v>
      </c>
      <c r="C5" s="4">
        <v>14</v>
      </c>
      <c r="D5" s="4">
        <v>0</v>
      </c>
      <c r="E5" s="2" t="s">
        <v>79</v>
      </c>
      <c r="F5" s="23">
        <f t="shared" si="0"/>
        <v>6.5511561643446097</v>
      </c>
      <c r="G5" s="23">
        <f t="shared" si="1"/>
        <v>-5.1156164344609678E-2</v>
      </c>
      <c r="H5" s="23">
        <f t="shared" si="2"/>
        <v>2.6169531504527145E-3</v>
      </c>
      <c r="J5" s="3"/>
      <c r="K5" s="3" t="s">
        <v>65</v>
      </c>
      <c r="L5" s="3"/>
    </row>
    <row r="6" spans="1:13" x14ac:dyDescent="0.2">
      <c r="A6" s="4">
        <v>6.25</v>
      </c>
      <c r="B6" s="4">
        <v>1</v>
      </c>
      <c r="C6" s="4">
        <v>11</v>
      </c>
      <c r="D6" s="4">
        <v>0</v>
      </c>
      <c r="E6" s="2" t="s">
        <v>79</v>
      </c>
      <c r="F6" s="23">
        <f t="shared" si="0"/>
        <v>5.1473369862707647</v>
      </c>
      <c r="G6" s="23">
        <f t="shared" si="1"/>
        <v>1.1026630137292353</v>
      </c>
      <c r="H6" s="23">
        <f t="shared" si="2"/>
        <v>1.2158657218464397</v>
      </c>
      <c r="J6" s="3"/>
      <c r="K6" s="3" t="s">
        <v>66</v>
      </c>
      <c r="L6" s="3"/>
    </row>
    <row r="7" spans="1:13" x14ac:dyDescent="0.2">
      <c r="A7" s="4">
        <v>15</v>
      </c>
      <c r="B7" s="4">
        <v>1</v>
      </c>
      <c r="C7" s="4">
        <v>11</v>
      </c>
      <c r="D7" s="4">
        <v>0</v>
      </c>
      <c r="E7" s="2" t="s">
        <v>79</v>
      </c>
      <c r="F7" s="23">
        <f t="shared" si="0"/>
        <v>5.1473369862707647</v>
      </c>
      <c r="G7" s="23">
        <f t="shared" si="1"/>
        <v>9.8526630137292344</v>
      </c>
      <c r="H7" s="23">
        <f t="shared" si="2"/>
        <v>97.074968462108032</v>
      </c>
      <c r="J7" s="17" t="s">
        <v>67</v>
      </c>
      <c r="K7" s="18"/>
      <c r="L7" s="17"/>
    </row>
    <row r="8" spans="1:13" x14ac:dyDescent="0.2">
      <c r="A8" s="4">
        <v>6</v>
      </c>
      <c r="B8" s="4">
        <v>1</v>
      </c>
      <c r="C8" s="4">
        <v>8</v>
      </c>
      <c r="D8" s="4">
        <v>0</v>
      </c>
      <c r="E8" s="2" t="s">
        <v>79</v>
      </c>
      <c r="F8" s="23">
        <f t="shared" si="0"/>
        <v>3.7435178081969198</v>
      </c>
      <c r="G8" s="23">
        <f t="shared" si="1"/>
        <v>2.2564821918030802</v>
      </c>
      <c r="H8" s="23">
        <f t="shared" si="2"/>
        <v>5.0917118819244331</v>
      </c>
      <c r="J8" s="17"/>
      <c r="K8" s="17" t="s">
        <v>68</v>
      </c>
      <c r="L8" s="17"/>
    </row>
    <row r="9" spans="1:13" x14ac:dyDescent="0.2">
      <c r="A9" s="4">
        <v>18.16</v>
      </c>
      <c r="B9" s="4">
        <v>1</v>
      </c>
      <c r="C9" s="4">
        <v>16</v>
      </c>
      <c r="D9" s="4">
        <v>0</v>
      </c>
      <c r="E9" s="2" t="s">
        <v>79</v>
      </c>
      <c r="F9" s="23">
        <f t="shared" si="0"/>
        <v>7.4870356163938396</v>
      </c>
      <c r="G9" s="23">
        <f t="shared" si="1"/>
        <v>10.672964383606161</v>
      </c>
      <c r="H9" s="23">
        <f t="shared" si="2"/>
        <v>113.91216873372564</v>
      </c>
      <c r="J9" s="17"/>
      <c r="K9" s="17" t="s">
        <v>69</v>
      </c>
      <c r="L9" s="17"/>
    </row>
    <row r="10" spans="1:13" x14ac:dyDescent="0.2">
      <c r="A10" s="4">
        <v>8.5</v>
      </c>
      <c r="B10" s="4">
        <v>1</v>
      </c>
      <c r="C10" s="4">
        <v>8</v>
      </c>
      <c r="D10" s="4">
        <v>0</v>
      </c>
      <c r="E10" s="2" t="s">
        <v>79</v>
      </c>
      <c r="F10" s="23">
        <f t="shared" si="0"/>
        <v>3.7435178081969198</v>
      </c>
      <c r="G10" s="23">
        <f t="shared" si="1"/>
        <v>4.7564821918030802</v>
      </c>
      <c r="H10" s="23">
        <f t="shared" si="2"/>
        <v>22.624122840939833</v>
      </c>
      <c r="J10" s="17" t="s">
        <v>70</v>
      </c>
      <c r="K10" s="3"/>
      <c r="L10" s="3"/>
    </row>
    <row r="11" spans="1:13" x14ac:dyDescent="0.2">
      <c r="A11" s="4">
        <v>3.6</v>
      </c>
      <c r="B11" s="4">
        <v>1</v>
      </c>
      <c r="C11" s="4">
        <v>10</v>
      </c>
      <c r="D11" s="4">
        <v>0</v>
      </c>
      <c r="E11" s="2" t="s">
        <v>79</v>
      </c>
      <c r="F11" s="23">
        <f t="shared" si="0"/>
        <v>4.6793972602461498</v>
      </c>
      <c r="G11" s="23">
        <f t="shared" si="1"/>
        <v>-1.0793972602461497</v>
      </c>
      <c r="H11" s="23">
        <f t="shared" si="2"/>
        <v>1.1650984454268942</v>
      </c>
      <c r="J11" s="18" t="s">
        <v>82</v>
      </c>
      <c r="K11" s="3"/>
      <c r="L11" s="3"/>
    </row>
    <row r="12" spans="1:13" x14ac:dyDescent="0.2">
      <c r="A12" s="4">
        <v>8.33</v>
      </c>
      <c r="B12" s="4">
        <v>1</v>
      </c>
      <c r="C12" s="4">
        <v>15</v>
      </c>
      <c r="D12" s="4">
        <v>0</v>
      </c>
      <c r="E12" s="2" t="s">
        <v>79</v>
      </c>
      <c r="F12" s="23">
        <f t="shared" si="0"/>
        <v>7.0190958903692247</v>
      </c>
      <c r="G12" s="23">
        <f t="shared" si="1"/>
        <v>1.3109041096307754</v>
      </c>
      <c r="H12" s="23">
        <f t="shared" si="2"/>
        <v>1.7184695846468561</v>
      </c>
      <c r="J12" s="3" t="s">
        <v>72</v>
      </c>
      <c r="K12" s="3"/>
      <c r="L12" s="3"/>
    </row>
    <row r="13" spans="1:13" x14ac:dyDescent="0.2">
      <c r="A13" s="4">
        <v>4.29</v>
      </c>
      <c r="B13" s="4">
        <v>1</v>
      </c>
      <c r="C13" s="4">
        <v>12</v>
      </c>
      <c r="D13" s="4">
        <v>0</v>
      </c>
      <c r="E13" s="2" t="s">
        <v>79</v>
      </c>
      <c r="F13" s="23">
        <f t="shared" si="0"/>
        <v>5.6152767122953797</v>
      </c>
      <c r="G13" s="23">
        <f t="shared" si="1"/>
        <v>-1.3252767122953797</v>
      </c>
      <c r="H13" s="23">
        <f t="shared" si="2"/>
        <v>1.7563583641524505</v>
      </c>
      <c r="J13" s="3" t="s">
        <v>73</v>
      </c>
      <c r="K13" s="3"/>
      <c r="L13" s="3"/>
    </row>
    <row r="14" spans="1:13" x14ac:dyDescent="0.2">
      <c r="A14" s="4">
        <v>4.05</v>
      </c>
      <c r="B14" s="4">
        <v>1</v>
      </c>
      <c r="C14" s="4">
        <v>8</v>
      </c>
      <c r="D14" s="4">
        <v>0</v>
      </c>
      <c r="E14" s="2" t="s">
        <v>79</v>
      </c>
      <c r="F14" s="23">
        <f t="shared" si="0"/>
        <v>3.7435178081969198</v>
      </c>
      <c r="G14" s="23">
        <f t="shared" si="1"/>
        <v>0.30648219180308001</v>
      </c>
      <c r="H14" s="23">
        <f t="shared" si="2"/>
        <v>9.3931333892419921E-2</v>
      </c>
      <c r="J14" s="3" t="s">
        <v>74</v>
      </c>
      <c r="K14" s="3"/>
      <c r="L14" s="3"/>
    </row>
    <row r="15" spans="1:13" x14ac:dyDescent="0.2">
      <c r="A15" s="4">
        <v>18</v>
      </c>
      <c r="B15" s="4">
        <v>1</v>
      </c>
      <c r="C15" s="4">
        <v>18</v>
      </c>
      <c r="D15" s="4">
        <v>0</v>
      </c>
      <c r="E15" s="2" t="s">
        <v>79</v>
      </c>
      <c r="F15" s="23">
        <f t="shared" si="0"/>
        <v>8.4229150684430696</v>
      </c>
      <c r="G15" s="23">
        <f t="shared" si="1"/>
        <v>9.5770849315569304</v>
      </c>
      <c r="H15" s="23">
        <f t="shared" si="2"/>
        <v>91.72055578625482</v>
      </c>
    </row>
    <row r="16" spans="1:13" x14ac:dyDescent="0.2">
      <c r="A16" s="4">
        <v>11.25</v>
      </c>
      <c r="B16" s="4">
        <v>1</v>
      </c>
      <c r="C16" s="4">
        <v>17</v>
      </c>
      <c r="D16" s="4">
        <v>0</v>
      </c>
      <c r="E16" s="2" t="s">
        <v>79</v>
      </c>
      <c r="F16" s="23">
        <f t="shared" si="0"/>
        <v>7.9549753424184546</v>
      </c>
      <c r="G16" s="23">
        <f t="shared" si="1"/>
        <v>3.2950246575815454</v>
      </c>
      <c r="H16" s="23">
        <f t="shared" si="2"/>
        <v>10.857187494070381</v>
      </c>
      <c r="K16" s="4" t="s">
        <v>91</v>
      </c>
      <c r="L16" s="4" t="s">
        <v>92</v>
      </c>
      <c r="M16" s="4" t="s">
        <v>90</v>
      </c>
    </row>
    <row r="17" spans="1:13" x14ac:dyDescent="0.2">
      <c r="A17" s="4">
        <v>3.05</v>
      </c>
      <c r="B17" s="4">
        <v>1</v>
      </c>
      <c r="C17" s="4">
        <v>8</v>
      </c>
      <c r="D17" s="4">
        <v>0</v>
      </c>
      <c r="E17" s="2" t="s">
        <v>79</v>
      </c>
      <c r="F17" s="23">
        <f t="shared" si="0"/>
        <v>3.7435178081969198</v>
      </c>
      <c r="G17" s="23">
        <f t="shared" si="1"/>
        <v>-0.69351780819691999</v>
      </c>
      <c r="H17" s="23">
        <f t="shared" si="2"/>
        <v>0.48096695028625991</v>
      </c>
      <c r="J17" s="2"/>
      <c r="K17" s="4" t="s">
        <v>85</v>
      </c>
      <c r="L17" s="4" t="s">
        <v>87</v>
      </c>
      <c r="M17" s="4" t="s">
        <v>85</v>
      </c>
    </row>
    <row r="18" spans="1:13" x14ac:dyDescent="0.2">
      <c r="A18" s="4">
        <v>9.85</v>
      </c>
      <c r="B18" s="4">
        <v>1</v>
      </c>
      <c r="C18" s="4">
        <v>8</v>
      </c>
      <c r="D18" s="4">
        <v>0</v>
      </c>
      <c r="E18" s="2" t="s">
        <v>79</v>
      </c>
      <c r="F18" s="23">
        <f t="shared" si="0"/>
        <v>3.7435178081969198</v>
      </c>
      <c r="G18" s="23">
        <f t="shared" si="1"/>
        <v>6.1064821918030798</v>
      </c>
      <c r="H18" s="23">
        <f t="shared" si="2"/>
        <v>37.289124758808143</v>
      </c>
      <c r="J18" s="2" t="s">
        <v>84</v>
      </c>
      <c r="K18" s="24">
        <v>0</v>
      </c>
      <c r="L18" s="26">
        <f>SQRT(AVERAGEIF($E$2:$E$527,"Entrenamiento",$H$2:$H$527))</f>
        <v>3.2826001114520569</v>
      </c>
      <c r="M18" s="4">
        <v>1</v>
      </c>
    </row>
    <row r="19" spans="1:13" x14ac:dyDescent="0.2">
      <c r="A19" s="4">
        <v>7.36</v>
      </c>
      <c r="B19" s="4">
        <v>1</v>
      </c>
      <c r="C19" s="4">
        <v>8</v>
      </c>
      <c r="D19" s="4">
        <v>0</v>
      </c>
      <c r="E19" s="2" t="s">
        <v>79</v>
      </c>
      <c r="F19" s="23">
        <f t="shared" si="0"/>
        <v>3.7435178081969198</v>
      </c>
      <c r="G19" s="23">
        <f t="shared" si="1"/>
        <v>3.6164821918030805</v>
      </c>
      <c r="H19" s="23">
        <f t="shared" si="2"/>
        <v>13.078943443628813</v>
      </c>
      <c r="J19" s="2" t="s">
        <v>0</v>
      </c>
      <c r="K19" s="24">
        <v>0.46793972602461498</v>
      </c>
      <c r="L19" s="27"/>
      <c r="M19" s="4">
        <v>1</v>
      </c>
    </row>
    <row r="20" spans="1:13" x14ac:dyDescent="0.2">
      <c r="A20" s="4">
        <v>7.5</v>
      </c>
      <c r="B20" s="4">
        <v>1</v>
      </c>
      <c r="C20" s="4">
        <v>14</v>
      </c>
      <c r="D20" s="4">
        <v>0</v>
      </c>
      <c r="E20" s="2" t="s">
        <v>79</v>
      </c>
      <c r="F20" s="23">
        <f t="shared" si="0"/>
        <v>6.5511561643446097</v>
      </c>
      <c r="G20" s="23">
        <f t="shared" si="1"/>
        <v>0.94884383565539032</v>
      </c>
      <c r="H20" s="23">
        <f t="shared" si="2"/>
        <v>0.90030462446123338</v>
      </c>
      <c r="J20" s="2" t="s">
        <v>40</v>
      </c>
      <c r="K20" s="24">
        <v>0.85125525923251188</v>
      </c>
      <c r="L20" s="28"/>
      <c r="M20" s="4">
        <v>1</v>
      </c>
    </row>
    <row r="21" spans="1:13" x14ac:dyDescent="0.2">
      <c r="A21" s="4">
        <v>2.95</v>
      </c>
      <c r="B21" s="4">
        <v>1</v>
      </c>
      <c r="C21" s="4">
        <v>14</v>
      </c>
      <c r="D21" s="4">
        <v>0</v>
      </c>
      <c r="E21" s="2" t="s">
        <v>79</v>
      </c>
      <c r="F21" s="23">
        <f t="shared" si="0"/>
        <v>6.5511561643446097</v>
      </c>
      <c r="G21" s="23">
        <f t="shared" si="1"/>
        <v>-3.6011561643446095</v>
      </c>
      <c r="H21" s="23">
        <f t="shared" si="2"/>
        <v>12.96832571999718</v>
      </c>
    </row>
    <row r="22" spans="1:13" x14ac:dyDescent="0.2">
      <c r="A22" s="4">
        <v>19.98</v>
      </c>
      <c r="B22" s="4">
        <v>1</v>
      </c>
      <c r="C22" s="4">
        <v>14</v>
      </c>
      <c r="D22" s="4">
        <v>0</v>
      </c>
      <c r="E22" s="2" t="s">
        <v>79</v>
      </c>
      <c r="F22" s="23">
        <f t="shared" si="0"/>
        <v>6.5511561643446097</v>
      </c>
      <c r="G22" s="23">
        <f t="shared" si="1"/>
        <v>13.428843835655391</v>
      </c>
      <c r="H22" s="23">
        <f t="shared" si="2"/>
        <v>180.3338467624198</v>
      </c>
    </row>
    <row r="23" spans="1:13" x14ac:dyDescent="0.2">
      <c r="A23" s="4">
        <v>13.16</v>
      </c>
      <c r="B23" s="4">
        <v>1</v>
      </c>
      <c r="C23" s="4">
        <v>12</v>
      </c>
      <c r="D23" s="4">
        <v>0</v>
      </c>
      <c r="E23" s="2" t="s">
        <v>79</v>
      </c>
      <c r="F23" s="23">
        <f t="shared" si="0"/>
        <v>5.6152767122953797</v>
      </c>
      <c r="G23" s="23">
        <f t="shared" si="1"/>
        <v>7.5447232877046204</v>
      </c>
      <c r="H23" s="23">
        <f t="shared" si="2"/>
        <v>56.922849488032419</v>
      </c>
    </row>
    <row r="24" spans="1:13" x14ac:dyDescent="0.2">
      <c r="A24" s="4">
        <v>17.5</v>
      </c>
      <c r="B24" s="4">
        <v>1</v>
      </c>
      <c r="C24" s="4">
        <v>16</v>
      </c>
      <c r="D24" s="4">
        <v>0</v>
      </c>
      <c r="E24" s="2" t="s">
        <v>79</v>
      </c>
      <c r="F24" s="23">
        <f t="shared" si="0"/>
        <v>7.4870356163938396</v>
      </c>
      <c r="G24" s="23">
        <f t="shared" si="1"/>
        <v>10.01296438360616</v>
      </c>
      <c r="H24" s="23">
        <f t="shared" si="2"/>
        <v>100.25945574736549</v>
      </c>
    </row>
    <row r="25" spans="1:13" x14ac:dyDescent="0.2">
      <c r="A25" s="4">
        <v>5.15</v>
      </c>
      <c r="B25" s="4">
        <v>1</v>
      </c>
      <c r="C25" s="4">
        <v>16</v>
      </c>
      <c r="D25" s="4">
        <v>0</v>
      </c>
      <c r="E25" s="2" t="s">
        <v>79</v>
      </c>
      <c r="F25" s="23">
        <f t="shared" si="0"/>
        <v>7.4870356163938396</v>
      </c>
      <c r="G25" s="23">
        <f t="shared" si="1"/>
        <v>-2.3370356163938393</v>
      </c>
      <c r="H25" s="23">
        <f t="shared" si="2"/>
        <v>5.4617354722933324</v>
      </c>
    </row>
    <row r="26" spans="1:13" x14ac:dyDescent="0.2">
      <c r="A26" s="4">
        <v>6.88</v>
      </c>
      <c r="B26" s="4">
        <v>1</v>
      </c>
      <c r="C26" s="4">
        <v>13</v>
      </c>
      <c r="D26" s="4">
        <v>0</v>
      </c>
      <c r="E26" s="2" t="s">
        <v>79</v>
      </c>
      <c r="F26" s="23">
        <f t="shared" si="0"/>
        <v>6.0832164383199947</v>
      </c>
      <c r="G26" s="23">
        <f t="shared" si="1"/>
        <v>0.79678356168000519</v>
      </c>
      <c r="H26" s="23">
        <f t="shared" si="2"/>
        <v>0.63486404416347464</v>
      </c>
    </row>
    <row r="27" spans="1:13" x14ac:dyDescent="0.2">
      <c r="A27" s="4">
        <v>18.18</v>
      </c>
      <c r="B27" s="4">
        <v>1</v>
      </c>
      <c r="C27" s="4">
        <v>17</v>
      </c>
      <c r="D27" s="4">
        <v>0</v>
      </c>
      <c r="E27" s="2" t="s">
        <v>79</v>
      </c>
      <c r="F27" s="23">
        <f t="shared" si="0"/>
        <v>7.9549753424184546</v>
      </c>
      <c r="G27" s="23">
        <f t="shared" si="1"/>
        <v>10.225024657581546</v>
      </c>
      <c r="H27" s="23">
        <f t="shared" si="2"/>
        <v>104.55112924815062</v>
      </c>
    </row>
    <row r="28" spans="1:13" x14ac:dyDescent="0.2">
      <c r="A28" s="4">
        <v>11.71</v>
      </c>
      <c r="B28" s="4">
        <v>1</v>
      </c>
      <c r="C28" s="4">
        <v>13</v>
      </c>
      <c r="D28" s="4">
        <v>0</v>
      </c>
      <c r="E28" s="2" t="s">
        <v>79</v>
      </c>
      <c r="F28" s="23">
        <f t="shared" si="0"/>
        <v>6.0832164383199947</v>
      </c>
      <c r="G28" s="23">
        <f t="shared" si="1"/>
        <v>5.6267835616800062</v>
      </c>
      <c r="H28" s="23">
        <f t="shared" si="2"/>
        <v>31.660693249992335</v>
      </c>
    </row>
    <row r="29" spans="1:13" x14ac:dyDescent="0.2">
      <c r="A29" s="4">
        <v>3.5</v>
      </c>
      <c r="B29" s="4">
        <v>1</v>
      </c>
      <c r="C29" s="4">
        <v>12</v>
      </c>
      <c r="D29" s="4">
        <v>0</v>
      </c>
      <c r="E29" s="2" t="s">
        <v>79</v>
      </c>
      <c r="F29" s="23">
        <f t="shared" si="0"/>
        <v>5.6152767122953797</v>
      </c>
      <c r="G29" s="23">
        <f t="shared" si="1"/>
        <v>-2.1152767122953797</v>
      </c>
      <c r="H29" s="23">
        <f t="shared" si="2"/>
        <v>4.4743955695791504</v>
      </c>
    </row>
    <row r="30" spans="1:13" x14ac:dyDescent="0.2">
      <c r="A30" s="4">
        <v>10.95</v>
      </c>
      <c r="B30" s="4">
        <v>1</v>
      </c>
      <c r="C30" s="4">
        <v>16</v>
      </c>
      <c r="D30" s="4">
        <v>0</v>
      </c>
      <c r="E30" s="2" t="s">
        <v>79</v>
      </c>
      <c r="F30" s="23">
        <f t="shared" si="0"/>
        <v>7.4870356163938396</v>
      </c>
      <c r="G30" s="23">
        <f t="shared" si="1"/>
        <v>3.4629643836061597</v>
      </c>
      <c r="H30" s="23">
        <f t="shared" si="2"/>
        <v>11.992122322124789</v>
      </c>
    </row>
    <row r="31" spans="1:13" x14ac:dyDescent="0.2">
      <c r="A31" s="4">
        <v>6.88</v>
      </c>
      <c r="B31" s="4">
        <v>1</v>
      </c>
      <c r="C31" s="4">
        <v>12</v>
      </c>
      <c r="D31" s="4">
        <v>0</v>
      </c>
      <c r="E31" s="2" t="s">
        <v>79</v>
      </c>
      <c r="F31" s="23">
        <f t="shared" si="0"/>
        <v>5.6152767122953797</v>
      </c>
      <c r="G31" s="23">
        <f t="shared" si="1"/>
        <v>1.2647232877046202</v>
      </c>
      <c r="H31" s="23">
        <f t="shared" si="2"/>
        <v>1.5995249944623835</v>
      </c>
    </row>
    <row r="32" spans="1:13" x14ac:dyDescent="0.2">
      <c r="A32" s="4">
        <v>4.67</v>
      </c>
      <c r="B32" s="4">
        <v>1</v>
      </c>
      <c r="C32" s="4">
        <v>15</v>
      </c>
      <c r="D32" s="4">
        <v>1</v>
      </c>
      <c r="E32" s="2" t="s">
        <v>79</v>
      </c>
      <c r="F32" s="23">
        <f t="shared" si="0"/>
        <v>7.8703511496017367</v>
      </c>
      <c r="G32" s="23">
        <f t="shared" si="1"/>
        <v>-3.2003511496017367</v>
      </c>
      <c r="H32" s="23">
        <f t="shared" si="2"/>
        <v>10.242247480757158</v>
      </c>
    </row>
    <row r="33" spans="1:8" x14ac:dyDescent="0.2">
      <c r="A33" s="4">
        <v>4.08</v>
      </c>
      <c r="B33" s="4">
        <v>1</v>
      </c>
      <c r="C33" s="4">
        <v>12</v>
      </c>
      <c r="D33" s="4">
        <v>0</v>
      </c>
      <c r="E33" s="2" t="s">
        <v>79</v>
      </c>
      <c r="F33" s="23">
        <f t="shared" si="0"/>
        <v>5.6152767122953797</v>
      </c>
      <c r="G33" s="23">
        <f t="shared" si="1"/>
        <v>-1.5352767122953797</v>
      </c>
      <c r="H33" s="23">
        <f t="shared" si="2"/>
        <v>2.3570745833165101</v>
      </c>
    </row>
    <row r="34" spans="1:8" x14ac:dyDescent="0.2">
      <c r="A34" s="4">
        <v>6.26</v>
      </c>
      <c r="B34" s="4">
        <v>1</v>
      </c>
      <c r="C34" s="4">
        <v>13</v>
      </c>
      <c r="D34" s="4">
        <v>0</v>
      </c>
      <c r="E34" s="2" t="s">
        <v>79</v>
      </c>
      <c r="F34" s="23">
        <f t="shared" si="0"/>
        <v>6.0832164383199947</v>
      </c>
      <c r="G34" s="23">
        <f t="shared" si="1"/>
        <v>0.17678356168000509</v>
      </c>
      <c r="H34" s="23">
        <f t="shared" si="2"/>
        <v>3.1252427680268161E-2</v>
      </c>
    </row>
    <row r="35" spans="1:8" x14ac:dyDescent="0.2">
      <c r="A35" s="4">
        <v>4.95</v>
      </c>
      <c r="B35" s="4">
        <v>1</v>
      </c>
      <c r="C35" s="4">
        <v>7</v>
      </c>
      <c r="D35" s="4">
        <v>1</v>
      </c>
      <c r="E35" s="2" t="s">
        <v>79</v>
      </c>
      <c r="F35" s="23">
        <f t="shared" si="0"/>
        <v>4.1268333414048168</v>
      </c>
      <c r="G35" s="23">
        <f t="shared" si="1"/>
        <v>0.82316665859518334</v>
      </c>
      <c r="H35" s="23">
        <f t="shared" si="2"/>
        <v>0.67760334782275911</v>
      </c>
    </row>
    <row r="36" spans="1:8" x14ac:dyDescent="0.2">
      <c r="A36" s="4">
        <v>13.95</v>
      </c>
      <c r="B36" s="4">
        <v>1</v>
      </c>
      <c r="C36" s="4">
        <v>16</v>
      </c>
      <c r="D36" s="4">
        <v>0</v>
      </c>
      <c r="E36" s="2" t="s">
        <v>79</v>
      </c>
      <c r="F36" s="23">
        <f t="shared" si="0"/>
        <v>7.4870356163938396</v>
      </c>
      <c r="G36" s="23">
        <f t="shared" si="1"/>
        <v>6.4629643836061597</v>
      </c>
      <c r="H36" s="23">
        <f t="shared" si="2"/>
        <v>41.769908623761751</v>
      </c>
    </row>
    <row r="37" spans="1:8" x14ac:dyDescent="0.2">
      <c r="A37" s="4">
        <v>4.2</v>
      </c>
      <c r="B37" s="4">
        <v>1</v>
      </c>
      <c r="C37" s="4">
        <v>14</v>
      </c>
      <c r="D37" s="4">
        <v>0</v>
      </c>
      <c r="E37" s="2" t="s">
        <v>79</v>
      </c>
      <c r="F37" s="23">
        <f t="shared" si="0"/>
        <v>6.5511561643446097</v>
      </c>
      <c r="G37" s="23">
        <f t="shared" si="1"/>
        <v>-2.3511561643446095</v>
      </c>
      <c r="H37" s="23">
        <f t="shared" si="2"/>
        <v>5.527935309135656</v>
      </c>
    </row>
    <row r="38" spans="1:8" x14ac:dyDescent="0.2">
      <c r="A38" s="4">
        <v>18</v>
      </c>
      <c r="B38" s="4">
        <v>1</v>
      </c>
      <c r="C38" s="4">
        <v>12</v>
      </c>
      <c r="D38" s="4">
        <v>0</v>
      </c>
      <c r="E38" s="2" t="s">
        <v>79</v>
      </c>
      <c r="F38" s="23">
        <f t="shared" si="0"/>
        <v>5.6152767122953797</v>
      </c>
      <c r="G38" s="23">
        <f t="shared" si="1"/>
        <v>12.38472328770462</v>
      </c>
      <c r="H38" s="23">
        <f t="shared" si="2"/>
        <v>153.38137091301314</v>
      </c>
    </row>
    <row r="39" spans="1:8" x14ac:dyDescent="0.2">
      <c r="A39" s="4">
        <v>3.51</v>
      </c>
      <c r="B39" s="4">
        <v>1</v>
      </c>
      <c r="C39" s="4">
        <v>4</v>
      </c>
      <c r="D39" s="4">
        <v>0</v>
      </c>
      <c r="E39" s="2" t="s">
        <v>79</v>
      </c>
      <c r="F39" s="23">
        <f t="shared" si="0"/>
        <v>1.8717589040984599</v>
      </c>
      <c r="G39" s="23">
        <f t="shared" si="1"/>
        <v>1.6382410959015399</v>
      </c>
      <c r="H39" s="23">
        <f t="shared" si="2"/>
        <v>2.6838338883006783</v>
      </c>
    </row>
    <row r="40" spans="1:8" x14ac:dyDescent="0.2">
      <c r="A40" s="4">
        <v>5.83</v>
      </c>
      <c r="B40" s="4">
        <v>1</v>
      </c>
      <c r="C40" s="4">
        <v>8</v>
      </c>
      <c r="D40" s="4">
        <v>0</v>
      </c>
      <c r="E40" s="2" t="s">
        <v>79</v>
      </c>
      <c r="F40" s="23">
        <f t="shared" si="0"/>
        <v>3.7435178081969198</v>
      </c>
      <c r="G40" s="23">
        <f t="shared" si="1"/>
        <v>2.0864821918030803</v>
      </c>
      <c r="H40" s="23">
        <f t="shared" si="2"/>
        <v>4.3534079367113856</v>
      </c>
    </row>
    <row r="41" spans="1:8" x14ac:dyDescent="0.2">
      <c r="A41" s="4">
        <v>2.14</v>
      </c>
      <c r="B41" s="4">
        <v>1</v>
      </c>
      <c r="C41" s="4">
        <v>13</v>
      </c>
      <c r="D41" s="4">
        <v>0</v>
      </c>
      <c r="E41" s="2" t="s">
        <v>79</v>
      </c>
      <c r="F41" s="23">
        <f t="shared" si="0"/>
        <v>6.0832164383199947</v>
      </c>
      <c r="G41" s="23">
        <f t="shared" si="1"/>
        <v>-3.9432164383199946</v>
      </c>
      <c r="H41" s="23">
        <f t="shared" si="2"/>
        <v>15.548955879437024</v>
      </c>
    </row>
    <row r="42" spans="1:8" x14ac:dyDescent="0.2">
      <c r="A42" s="4">
        <v>18</v>
      </c>
      <c r="B42" s="4">
        <v>1</v>
      </c>
      <c r="C42" s="4">
        <v>12</v>
      </c>
      <c r="D42" s="4">
        <v>0</v>
      </c>
      <c r="E42" s="2" t="s">
        <v>79</v>
      </c>
      <c r="F42" s="23">
        <f t="shared" si="0"/>
        <v>5.6152767122953797</v>
      </c>
      <c r="G42" s="23">
        <f t="shared" si="1"/>
        <v>12.38472328770462</v>
      </c>
      <c r="H42" s="23">
        <f t="shared" si="2"/>
        <v>153.38137091301314</v>
      </c>
    </row>
    <row r="43" spans="1:8" x14ac:dyDescent="0.2">
      <c r="A43" s="4">
        <v>4.5</v>
      </c>
      <c r="B43" s="4">
        <v>1</v>
      </c>
      <c r="C43" s="4">
        <v>12</v>
      </c>
      <c r="D43" s="4">
        <v>0</v>
      </c>
      <c r="E43" s="2" t="s">
        <v>79</v>
      </c>
      <c r="F43" s="23">
        <f t="shared" si="0"/>
        <v>5.6152767122953797</v>
      </c>
      <c r="G43" s="23">
        <f t="shared" si="1"/>
        <v>-1.1152767122953797</v>
      </c>
      <c r="H43" s="23">
        <f t="shared" si="2"/>
        <v>1.2438421449883912</v>
      </c>
    </row>
    <row r="44" spans="1:8" x14ac:dyDescent="0.2">
      <c r="A44" s="4">
        <v>6.5</v>
      </c>
      <c r="B44" s="4">
        <v>1</v>
      </c>
      <c r="C44" s="4">
        <v>12</v>
      </c>
      <c r="D44" s="4">
        <v>0</v>
      </c>
      <c r="E44" s="2" t="s">
        <v>79</v>
      </c>
      <c r="F44" s="23">
        <f t="shared" si="0"/>
        <v>5.6152767122953797</v>
      </c>
      <c r="G44" s="23">
        <f t="shared" si="1"/>
        <v>0.88472328770462028</v>
      </c>
      <c r="H44" s="23">
        <f t="shared" si="2"/>
        <v>0.78273529580687229</v>
      </c>
    </row>
    <row r="45" spans="1:8" x14ac:dyDescent="0.2">
      <c r="A45" s="4">
        <v>11.82</v>
      </c>
      <c r="B45" s="4">
        <v>1</v>
      </c>
      <c r="C45" s="4">
        <v>16</v>
      </c>
      <c r="D45" s="4">
        <v>0</v>
      </c>
      <c r="E45" s="2" t="s">
        <v>79</v>
      </c>
      <c r="F45" s="23">
        <f t="shared" si="0"/>
        <v>7.4870356163938396</v>
      </c>
      <c r="G45" s="23">
        <f t="shared" si="1"/>
        <v>4.3329643836061607</v>
      </c>
      <c r="H45" s="23">
        <f t="shared" si="2"/>
        <v>18.774580349599514</v>
      </c>
    </row>
    <row r="46" spans="1:8" x14ac:dyDescent="0.2">
      <c r="A46" s="4">
        <v>3.29</v>
      </c>
      <c r="B46" s="4">
        <v>1</v>
      </c>
      <c r="C46" s="4">
        <v>14</v>
      </c>
      <c r="D46" s="4">
        <v>0</v>
      </c>
      <c r="E46" s="2" t="s">
        <v>79</v>
      </c>
      <c r="F46" s="23">
        <f t="shared" si="0"/>
        <v>6.5511561643446097</v>
      </c>
      <c r="G46" s="23">
        <f t="shared" si="1"/>
        <v>-3.2611561643446096</v>
      </c>
      <c r="H46" s="23">
        <f t="shared" si="2"/>
        <v>10.635139528242847</v>
      </c>
    </row>
    <row r="47" spans="1:8" x14ac:dyDescent="0.2">
      <c r="A47" s="4">
        <v>8.48</v>
      </c>
      <c r="B47" s="4">
        <v>1</v>
      </c>
      <c r="C47" s="4">
        <v>12</v>
      </c>
      <c r="D47" s="4">
        <v>0</v>
      </c>
      <c r="E47" s="2" t="s">
        <v>79</v>
      </c>
      <c r="F47" s="23">
        <f t="shared" si="0"/>
        <v>5.6152767122953797</v>
      </c>
      <c r="G47" s="23">
        <f t="shared" si="1"/>
        <v>2.8647232877046207</v>
      </c>
      <c r="H47" s="23">
        <f t="shared" si="2"/>
        <v>8.2066395151171712</v>
      </c>
    </row>
    <row r="48" spans="1:8" x14ac:dyDescent="0.2">
      <c r="A48" s="4">
        <v>6</v>
      </c>
      <c r="B48" s="4">
        <v>1</v>
      </c>
      <c r="C48" s="4">
        <v>13</v>
      </c>
      <c r="D48" s="4">
        <v>0</v>
      </c>
      <c r="E48" s="2" t="s">
        <v>79</v>
      </c>
      <c r="F48" s="23">
        <f t="shared" si="0"/>
        <v>6.0832164383199947</v>
      </c>
      <c r="G48" s="23">
        <f t="shared" si="1"/>
        <v>-8.3216438319994701E-2</v>
      </c>
      <c r="H48" s="23">
        <f t="shared" si="2"/>
        <v>6.9249756066654825E-3</v>
      </c>
    </row>
    <row r="49" spans="1:8" x14ac:dyDescent="0.2">
      <c r="A49" s="4">
        <v>13.7</v>
      </c>
      <c r="B49" s="4">
        <v>1</v>
      </c>
      <c r="C49" s="4">
        <v>15</v>
      </c>
      <c r="D49" s="4">
        <v>0</v>
      </c>
      <c r="E49" s="2" t="s">
        <v>79</v>
      </c>
      <c r="F49" s="23">
        <f t="shared" si="0"/>
        <v>7.0190958903692247</v>
      </c>
      <c r="G49" s="23">
        <f t="shared" si="1"/>
        <v>6.6809041096307746</v>
      </c>
      <c r="H49" s="23">
        <f t="shared" si="2"/>
        <v>44.634479722081373</v>
      </c>
    </row>
    <row r="50" spans="1:8" x14ac:dyDescent="0.2">
      <c r="A50" s="4">
        <v>4</v>
      </c>
      <c r="B50" s="4">
        <v>1</v>
      </c>
      <c r="C50" s="4">
        <v>11</v>
      </c>
      <c r="D50" s="4">
        <v>0</v>
      </c>
      <c r="E50" s="2" t="s">
        <v>79</v>
      </c>
      <c r="F50" s="23">
        <f t="shared" si="0"/>
        <v>5.1473369862707647</v>
      </c>
      <c r="G50" s="23">
        <f t="shared" si="1"/>
        <v>-1.1473369862707647</v>
      </c>
      <c r="H50" s="23">
        <f t="shared" si="2"/>
        <v>1.3163821600648811</v>
      </c>
    </row>
    <row r="51" spans="1:8" x14ac:dyDescent="0.2">
      <c r="A51" s="4">
        <v>4.5</v>
      </c>
      <c r="B51" s="4">
        <v>1</v>
      </c>
      <c r="C51" s="4">
        <v>12</v>
      </c>
      <c r="D51" s="4">
        <v>0</v>
      </c>
      <c r="E51" s="2" t="s">
        <v>79</v>
      </c>
      <c r="F51" s="23">
        <f t="shared" si="0"/>
        <v>5.6152767122953797</v>
      </c>
      <c r="G51" s="23">
        <f t="shared" si="1"/>
        <v>-1.1152767122953797</v>
      </c>
      <c r="H51" s="23">
        <f t="shared" si="2"/>
        <v>1.2438421449883912</v>
      </c>
    </row>
    <row r="52" spans="1:8" x14ac:dyDescent="0.2">
      <c r="A52" s="4">
        <v>6.15</v>
      </c>
      <c r="B52" s="4">
        <v>1</v>
      </c>
      <c r="C52" s="4">
        <v>12</v>
      </c>
      <c r="D52" s="4">
        <v>0</v>
      </c>
      <c r="E52" s="2" t="s">
        <v>79</v>
      </c>
      <c r="F52" s="23">
        <f t="shared" si="0"/>
        <v>5.6152767122953797</v>
      </c>
      <c r="G52" s="23">
        <f t="shared" si="1"/>
        <v>0.53472328770462063</v>
      </c>
      <c r="H52" s="23">
        <f t="shared" si="2"/>
        <v>0.2859289944136385</v>
      </c>
    </row>
    <row r="53" spans="1:8" x14ac:dyDescent="0.2">
      <c r="A53" s="4">
        <v>3</v>
      </c>
      <c r="B53" s="4">
        <v>1</v>
      </c>
      <c r="C53" s="4">
        <v>8</v>
      </c>
      <c r="D53" s="4">
        <v>0</v>
      </c>
      <c r="E53" s="2" t="s">
        <v>79</v>
      </c>
      <c r="F53" s="23">
        <f t="shared" si="0"/>
        <v>3.7435178081969198</v>
      </c>
      <c r="G53" s="23">
        <f t="shared" si="1"/>
        <v>-0.74351780819691982</v>
      </c>
      <c r="H53" s="23">
        <f t="shared" si="2"/>
        <v>0.5528187311059517</v>
      </c>
    </row>
    <row r="54" spans="1:8" x14ac:dyDescent="0.2">
      <c r="A54" s="4">
        <v>9.1300000000000008</v>
      </c>
      <c r="B54" s="4">
        <v>1</v>
      </c>
      <c r="C54" s="4">
        <v>12</v>
      </c>
      <c r="D54" s="4">
        <v>0</v>
      </c>
      <c r="E54" s="2" t="s">
        <v>79</v>
      </c>
      <c r="F54" s="23">
        <f t="shared" si="0"/>
        <v>5.6152767122953797</v>
      </c>
      <c r="G54" s="23">
        <f t="shared" si="1"/>
        <v>3.5147232877046211</v>
      </c>
      <c r="H54" s="23">
        <f t="shared" si="2"/>
        <v>12.353279789133181</v>
      </c>
    </row>
    <row r="55" spans="1:8" x14ac:dyDescent="0.2">
      <c r="A55" s="4">
        <v>9.09</v>
      </c>
      <c r="B55" s="4">
        <v>1</v>
      </c>
      <c r="C55" s="4">
        <v>15</v>
      </c>
      <c r="D55" s="4">
        <v>0</v>
      </c>
      <c r="E55" s="2" t="s">
        <v>79</v>
      </c>
      <c r="F55" s="23">
        <f t="shared" si="0"/>
        <v>7.0190958903692247</v>
      </c>
      <c r="G55" s="23">
        <f t="shared" si="1"/>
        <v>2.0709041096307752</v>
      </c>
      <c r="H55" s="23">
        <f t="shared" si="2"/>
        <v>4.2886438312856336</v>
      </c>
    </row>
    <row r="56" spans="1:8" x14ac:dyDescent="0.2">
      <c r="A56" s="4">
        <v>4.4400000000000004</v>
      </c>
      <c r="B56" s="4">
        <v>1</v>
      </c>
      <c r="C56" s="4">
        <v>8</v>
      </c>
      <c r="D56" s="4">
        <v>0</v>
      </c>
      <c r="E56" s="2" t="s">
        <v>79</v>
      </c>
      <c r="F56" s="23">
        <f t="shared" si="0"/>
        <v>3.7435178081969198</v>
      </c>
      <c r="G56" s="23">
        <f t="shared" si="1"/>
        <v>0.69648219180308057</v>
      </c>
      <c r="H56" s="23">
        <f t="shared" si="2"/>
        <v>0.4850874434988231</v>
      </c>
    </row>
    <row r="57" spans="1:8" x14ac:dyDescent="0.2">
      <c r="A57" s="4">
        <v>6.5</v>
      </c>
      <c r="B57" s="4">
        <v>1</v>
      </c>
      <c r="C57" s="4">
        <v>10</v>
      </c>
      <c r="D57" s="4">
        <v>0</v>
      </c>
      <c r="E57" s="2" t="s">
        <v>79</v>
      </c>
      <c r="F57" s="23">
        <f t="shared" si="0"/>
        <v>4.6793972602461498</v>
      </c>
      <c r="G57" s="23">
        <f t="shared" si="1"/>
        <v>1.8206027397538502</v>
      </c>
      <c r="H57" s="23">
        <f t="shared" si="2"/>
        <v>3.3145943359992258</v>
      </c>
    </row>
    <row r="58" spans="1:8" x14ac:dyDescent="0.2">
      <c r="A58" s="4">
        <v>5</v>
      </c>
      <c r="B58" s="4">
        <v>1</v>
      </c>
      <c r="C58" s="4">
        <v>12</v>
      </c>
      <c r="D58" s="4">
        <v>0</v>
      </c>
      <c r="E58" s="2" t="s">
        <v>79</v>
      </c>
      <c r="F58" s="23">
        <f t="shared" si="0"/>
        <v>5.6152767122953797</v>
      </c>
      <c r="G58" s="23">
        <f t="shared" si="1"/>
        <v>-0.61527671229537972</v>
      </c>
      <c r="H58" s="23">
        <f t="shared" si="2"/>
        <v>0.37856543269301146</v>
      </c>
    </row>
    <row r="59" spans="1:8" x14ac:dyDescent="0.2">
      <c r="A59" s="4">
        <v>13.33</v>
      </c>
      <c r="B59" s="4">
        <v>1</v>
      </c>
      <c r="C59" s="4">
        <v>12</v>
      </c>
      <c r="D59" s="4">
        <v>0</v>
      </c>
      <c r="E59" s="2" t="s">
        <v>79</v>
      </c>
      <c r="F59" s="23">
        <f t="shared" si="0"/>
        <v>5.6152767122953797</v>
      </c>
      <c r="G59" s="23">
        <f t="shared" si="1"/>
        <v>7.7147232877046203</v>
      </c>
      <c r="H59" s="23">
        <f t="shared" si="2"/>
        <v>59.516955405851988</v>
      </c>
    </row>
    <row r="60" spans="1:8" x14ac:dyDescent="0.2">
      <c r="A60" s="4">
        <v>5.25</v>
      </c>
      <c r="B60" s="4">
        <v>1</v>
      </c>
      <c r="C60" s="4">
        <v>11</v>
      </c>
      <c r="D60" s="4">
        <v>0</v>
      </c>
      <c r="E60" s="2" t="s">
        <v>79</v>
      </c>
      <c r="F60" s="23">
        <f t="shared" si="0"/>
        <v>5.1473369862707647</v>
      </c>
      <c r="G60" s="23">
        <f t="shared" si="1"/>
        <v>0.10266301372923525</v>
      </c>
      <c r="H60" s="23">
        <f t="shared" si="2"/>
        <v>1.0539694387969147E-2</v>
      </c>
    </row>
    <row r="61" spans="1:8" x14ac:dyDescent="0.2">
      <c r="A61" s="4">
        <v>2.65</v>
      </c>
      <c r="B61" s="4">
        <v>1</v>
      </c>
      <c r="C61" s="4">
        <v>12</v>
      </c>
      <c r="D61" s="4">
        <v>0</v>
      </c>
      <c r="E61" s="2" t="s">
        <v>79</v>
      </c>
      <c r="F61" s="23">
        <f t="shared" si="0"/>
        <v>5.6152767122953797</v>
      </c>
      <c r="G61" s="23">
        <f t="shared" si="1"/>
        <v>-2.9652767122953798</v>
      </c>
      <c r="H61" s="23">
        <f t="shared" si="2"/>
        <v>8.792865980481297</v>
      </c>
    </row>
    <row r="62" spans="1:8" x14ac:dyDescent="0.2">
      <c r="A62" s="4">
        <v>4.5</v>
      </c>
      <c r="B62" s="4">
        <v>1</v>
      </c>
      <c r="C62" s="4">
        <v>11</v>
      </c>
      <c r="D62" s="4">
        <v>0</v>
      </c>
      <c r="E62" s="2" t="s">
        <v>79</v>
      </c>
      <c r="F62" s="23">
        <f t="shared" si="0"/>
        <v>5.1473369862707647</v>
      </c>
      <c r="G62" s="23">
        <f t="shared" si="1"/>
        <v>-0.64733698627076475</v>
      </c>
      <c r="H62" s="23">
        <f t="shared" si="2"/>
        <v>0.41904517379411627</v>
      </c>
    </row>
    <row r="63" spans="1:8" x14ac:dyDescent="0.2">
      <c r="A63" s="4">
        <v>4.17</v>
      </c>
      <c r="B63" s="4">
        <v>1</v>
      </c>
      <c r="C63" s="4">
        <v>0</v>
      </c>
      <c r="D63" s="4">
        <v>0</v>
      </c>
      <c r="E63" s="2" t="s">
        <v>79</v>
      </c>
      <c r="F63" s="23">
        <f t="shared" si="0"/>
        <v>0</v>
      </c>
      <c r="G63" s="23">
        <f t="shared" si="1"/>
        <v>4.17</v>
      </c>
      <c r="H63" s="23">
        <f t="shared" si="2"/>
        <v>17.3889</v>
      </c>
    </row>
    <row r="64" spans="1:8" x14ac:dyDescent="0.2">
      <c r="A64" s="4">
        <v>3</v>
      </c>
      <c r="B64" s="4">
        <v>1</v>
      </c>
      <c r="C64" s="4">
        <v>16</v>
      </c>
      <c r="D64" s="4">
        <v>0</v>
      </c>
      <c r="E64" s="2" t="s">
        <v>79</v>
      </c>
      <c r="F64" s="23">
        <f t="shared" si="0"/>
        <v>7.4870356163938396</v>
      </c>
      <c r="G64" s="23">
        <f t="shared" si="1"/>
        <v>-4.4870356163938396</v>
      </c>
      <c r="H64" s="23">
        <f t="shared" si="2"/>
        <v>20.133488622786846</v>
      </c>
    </row>
    <row r="65" spans="1:8" x14ac:dyDescent="0.2">
      <c r="A65" s="4">
        <v>5.25</v>
      </c>
      <c r="B65" s="4">
        <v>1</v>
      </c>
      <c r="C65" s="4">
        <v>12</v>
      </c>
      <c r="D65" s="4">
        <v>0</v>
      </c>
      <c r="E65" s="2" t="s">
        <v>79</v>
      </c>
      <c r="F65" s="23">
        <f t="shared" si="0"/>
        <v>5.6152767122953797</v>
      </c>
      <c r="G65" s="23">
        <f t="shared" si="1"/>
        <v>-0.36527671229537972</v>
      </c>
      <c r="H65" s="23">
        <f t="shared" si="2"/>
        <v>0.13342707654532163</v>
      </c>
    </row>
    <row r="66" spans="1:8" x14ac:dyDescent="0.2">
      <c r="A66" s="4">
        <v>10.63</v>
      </c>
      <c r="B66" s="4">
        <v>1</v>
      </c>
      <c r="C66" s="4">
        <v>13</v>
      </c>
      <c r="D66" s="4">
        <v>0</v>
      </c>
      <c r="E66" s="2" t="s">
        <v>79</v>
      </c>
      <c r="F66" s="23">
        <f t="shared" ref="F66:F129" si="3">($K$18*B66)+($K$19*C66)+($K$20*D66)</f>
        <v>6.0832164383199947</v>
      </c>
      <c r="G66" s="23">
        <f t="shared" si="1"/>
        <v>4.5467835616800061</v>
      </c>
      <c r="H66" s="23">
        <f t="shared" si="2"/>
        <v>20.673240756763523</v>
      </c>
    </row>
    <row r="67" spans="1:8" x14ac:dyDescent="0.2">
      <c r="A67" s="4">
        <v>3.06</v>
      </c>
      <c r="B67" s="4">
        <v>1</v>
      </c>
      <c r="C67" s="4">
        <v>12</v>
      </c>
      <c r="D67" s="4">
        <v>0</v>
      </c>
      <c r="E67" s="2" t="s">
        <v>79</v>
      </c>
      <c r="F67" s="23">
        <f t="shared" si="3"/>
        <v>5.6152767122953797</v>
      </c>
      <c r="G67" s="23">
        <f t="shared" ref="G67:G130" si="4">(A67-F67)</f>
        <v>-2.5552767122953797</v>
      </c>
      <c r="H67" s="23">
        <f t="shared" ref="H67:H130" si="5">G67^2</f>
        <v>6.5294390763990844</v>
      </c>
    </row>
    <row r="68" spans="1:8" x14ac:dyDescent="0.2">
      <c r="A68" s="4">
        <v>7.78</v>
      </c>
      <c r="B68" s="4">
        <v>1</v>
      </c>
      <c r="C68" s="4">
        <v>16</v>
      </c>
      <c r="D68" s="4">
        <v>0</v>
      </c>
      <c r="E68" s="2" t="s">
        <v>79</v>
      </c>
      <c r="F68" s="23">
        <f t="shared" si="3"/>
        <v>7.4870356163938396</v>
      </c>
      <c r="G68" s="23">
        <f t="shared" si="4"/>
        <v>0.29296438360616062</v>
      </c>
      <c r="H68" s="23">
        <f t="shared" si="5"/>
        <v>8.5828130061737631E-2</v>
      </c>
    </row>
    <row r="69" spans="1:8" x14ac:dyDescent="0.2">
      <c r="A69" s="4">
        <v>11.98</v>
      </c>
      <c r="B69" s="4">
        <v>1</v>
      </c>
      <c r="C69" s="4">
        <v>18</v>
      </c>
      <c r="D69" s="4">
        <v>0</v>
      </c>
      <c r="E69" s="2" t="s">
        <v>79</v>
      </c>
      <c r="F69" s="23">
        <f t="shared" si="3"/>
        <v>8.4229150684430696</v>
      </c>
      <c r="G69" s="23">
        <f t="shared" si="4"/>
        <v>3.5570849315569308</v>
      </c>
      <c r="H69" s="23">
        <f t="shared" si="5"/>
        <v>12.652853210309376</v>
      </c>
    </row>
    <row r="70" spans="1:8" x14ac:dyDescent="0.2">
      <c r="A70" s="4">
        <v>5</v>
      </c>
      <c r="B70" s="4">
        <v>1</v>
      </c>
      <c r="C70" s="10">
        <v>12</v>
      </c>
      <c r="D70" s="4">
        <v>0</v>
      </c>
      <c r="E70" s="2" t="s">
        <v>79</v>
      </c>
      <c r="F70" s="23">
        <f t="shared" si="3"/>
        <v>5.6152767122953797</v>
      </c>
      <c r="G70" s="23">
        <f t="shared" si="4"/>
        <v>-0.61527671229537972</v>
      </c>
      <c r="H70" s="23">
        <f t="shared" si="5"/>
        <v>0.37856543269301146</v>
      </c>
    </row>
    <row r="71" spans="1:8" x14ac:dyDescent="0.2">
      <c r="A71" s="4">
        <v>8.6300000000000008</v>
      </c>
      <c r="B71" s="4">
        <v>1</v>
      </c>
      <c r="C71" s="4">
        <v>12</v>
      </c>
      <c r="D71" s="4">
        <v>0</v>
      </c>
      <c r="E71" s="2" t="s">
        <v>79</v>
      </c>
      <c r="F71" s="23">
        <f t="shared" si="3"/>
        <v>5.6152767122953797</v>
      </c>
      <c r="G71" s="23">
        <f t="shared" si="4"/>
        <v>3.0147232877046211</v>
      </c>
      <c r="H71" s="23">
        <f t="shared" si="5"/>
        <v>9.0885565014285596</v>
      </c>
    </row>
    <row r="72" spans="1:8" x14ac:dyDescent="0.2">
      <c r="A72" s="4">
        <v>3.3</v>
      </c>
      <c r="B72" s="4">
        <v>1</v>
      </c>
      <c r="C72" s="4">
        <v>12</v>
      </c>
      <c r="D72" s="4">
        <v>0</v>
      </c>
      <c r="E72" s="2" t="s">
        <v>79</v>
      </c>
      <c r="F72" s="23">
        <f t="shared" si="3"/>
        <v>5.6152767122953797</v>
      </c>
      <c r="G72" s="23">
        <f t="shared" si="4"/>
        <v>-2.3152767122953799</v>
      </c>
      <c r="H72" s="23">
        <f t="shared" si="5"/>
        <v>5.3605062544973032</v>
      </c>
    </row>
    <row r="73" spans="1:8" x14ac:dyDescent="0.2">
      <c r="A73" s="4">
        <v>6.33</v>
      </c>
      <c r="B73" s="4">
        <v>1</v>
      </c>
      <c r="C73" s="4">
        <v>16</v>
      </c>
      <c r="D73" s="4">
        <v>0</v>
      </c>
      <c r="E73" s="2" t="s">
        <v>79</v>
      </c>
      <c r="F73" s="23">
        <f t="shared" si="3"/>
        <v>7.4870356163938396</v>
      </c>
      <c r="G73" s="23">
        <f t="shared" si="4"/>
        <v>-1.1570356163938396</v>
      </c>
      <c r="H73" s="23">
        <f t="shared" si="5"/>
        <v>1.3387314176038723</v>
      </c>
    </row>
    <row r="74" spans="1:8" x14ac:dyDescent="0.2">
      <c r="A74" s="4">
        <v>2.87</v>
      </c>
      <c r="B74" s="4">
        <v>1</v>
      </c>
      <c r="C74" s="4">
        <v>12</v>
      </c>
      <c r="D74" s="4">
        <v>0</v>
      </c>
      <c r="E74" s="2" t="s">
        <v>79</v>
      </c>
      <c r="F74" s="23">
        <f t="shared" si="3"/>
        <v>5.6152767122953797</v>
      </c>
      <c r="G74" s="23">
        <f t="shared" si="4"/>
        <v>-2.7452767122953796</v>
      </c>
      <c r="H74" s="23">
        <f t="shared" si="5"/>
        <v>7.5365442270713281</v>
      </c>
    </row>
    <row r="75" spans="1:8" x14ac:dyDescent="0.2">
      <c r="A75" s="4">
        <v>4.79</v>
      </c>
      <c r="B75" s="4">
        <v>1</v>
      </c>
      <c r="C75" s="4">
        <v>12</v>
      </c>
      <c r="D75" s="4">
        <v>0</v>
      </c>
      <c r="E75" s="2" t="s">
        <v>79</v>
      </c>
      <c r="F75" s="23">
        <f t="shared" si="3"/>
        <v>5.6152767122953797</v>
      </c>
      <c r="G75" s="23">
        <f t="shared" si="4"/>
        <v>-0.82527671229537969</v>
      </c>
      <c r="H75" s="23">
        <f t="shared" si="5"/>
        <v>0.68108165185707092</v>
      </c>
    </row>
    <row r="76" spans="1:8" x14ac:dyDescent="0.2">
      <c r="A76" s="4">
        <v>3.33</v>
      </c>
      <c r="B76" s="4">
        <v>1</v>
      </c>
      <c r="C76" s="4">
        <v>12</v>
      </c>
      <c r="D76" s="4">
        <v>0</v>
      </c>
      <c r="E76" s="2" t="s">
        <v>79</v>
      </c>
      <c r="F76" s="23">
        <f t="shared" si="3"/>
        <v>5.6152767122953797</v>
      </c>
      <c r="G76" s="23">
        <f t="shared" si="4"/>
        <v>-2.2852767122953797</v>
      </c>
      <c r="H76" s="23">
        <f t="shared" si="5"/>
        <v>5.2224896517595791</v>
      </c>
    </row>
    <row r="77" spans="1:8" x14ac:dyDescent="0.2">
      <c r="A77" s="4">
        <v>6.25</v>
      </c>
      <c r="B77" s="4">
        <v>1</v>
      </c>
      <c r="C77" s="4">
        <v>10</v>
      </c>
      <c r="D77" s="4">
        <v>0</v>
      </c>
      <c r="E77" s="2" t="s">
        <v>79</v>
      </c>
      <c r="F77" s="23">
        <f t="shared" si="3"/>
        <v>4.6793972602461498</v>
      </c>
      <c r="G77" s="23">
        <f t="shared" si="4"/>
        <v>1.5706027397538502</v>
      </c>
      <c r="H77" s="23">
        <f t="shared" si="5"/>
        <v>2.4667929661223007</v>
      </c>
    </row>
    <row r="78" spans="1:8" x14ac:dyDescent="0.2">
      <c r="A78" s="4">
        <v>11.11</v>
      </c>
      <c r="B78" s="4">
        <v>1</v>
      </c>
      <c r="C78" s="4">
        <v>12</v>
      </c>
      <c r="D78" s="4">
        <v>0</v>
      </c>
      <c r="E78" s="2" t="s">
        <v>79</v>
      </c>
      <c r="F78" s="23">
        <f t="shared" si="3"/>
        <v>5.6152767122953797</v>
      </c>
      <c r="G78" s="23">
        <f t="shared" si="4"/>
        <v>5.4947232877046197</v>
      </c>
      <c r="H78" s="23">
        <f t="shared" si="5"/>
        <v>30.191984008443466</v>
      </c>
    </row>
    <row r="79" spans="1:8" x14ac:dyDescent="0.2">
      <c r="A79" s="4">
        <v>8.64</v>
      </c>
      <c r="B79" s="4">
        <v>1</v>
      </c>
      <c r="C79" s="4">
        <v>12</v>
      </c>
      <c r="D79" s="4">
        <v>0</v>
      </c>
      <c r="E79" s="2" t="s">
        <v>79</v>
      </c>
      <c r="F79" s="23">
        <f t="shared" si="3"/>
        <v>5.6152767122953797</v>
      </c>
      <c r="G79" s="23">
        <f t="shared" si="4"/>
        <v>3.0247232877046208</v>
      </c>
      <c r="H79" s="23">
        <f t="shared" si="5"/>
        <v>9.1489509671826497</v>
      </c>
    </row>
    <row r="80" spans="1:8" x14ac:dyDescent="0.2">
      <c r="A80" s="4">
        <v>3.3</v>
      </c>
      <c r="B80" s="4">
        <v>1</v>
      </c>
      <c r="C80" s="4">
        <v>12</v>
      </c>
      <c r="D80" s="4">
        <v>0</v>
      </c>
      <c r="E80" s="2" t="s">
        <v>79</v>
      </c>
      <c r="F80" s="23">
        <f t="shared" si="3"/>
        <v>5.6152767122953797</v>
      </c>
      <c r="G80" s="23">
        <f t="shared" si="4"/>
        <v>-2.3152767122953799</v>
      </c>
      <c r="H80" s="23">
        <f t="shared" si="5"/>
        <v>5.3605062544973032</v>
      </c>
    </row>
    <row r="81" spans="1:8" x14ac:dyDescent="0.2">
      <c r="A81" s="4">
        <v>6.33</v>
      </c>
      <c r="B81" s="4">
        <v>1</v>
      </c>
      <c r="C81" s="4">
        <v>12</v>
      </c>
      <c r="D81" s="4">
        <v>0</v>
      </c>
      <c r="E81" s="2" t="s">
        <v>79</v>
      </c>
      <c r="F81" s="23">
        <f t="shared" si="3"/>
        <v>5.6152767122953797</v>
      </c>
      <c r="G81" s="23">
        <f t="shared" si="4"/>
        <v>0.71472328770462035</v>
      </c>
      <c r="H81" s="23">
        <f t="shared" si="5"/>
        <v>0.51082937798730155</v>
      </c>
    </row>
    <row r="82" spans="1:8" x14ac:dyDescent="0.2">
      <c r="A82" s="4">
        <v>4.91</v>
      </c>
      <c r="B82" s="4">
        <v>1</v>
      </c>
      <c r="C82" s="4">
        <v>12</v>
      </c>
      <c r="D82" s="4">
        <v>0</v>
      </c>
      <c r="E82" s="2" t="s">
        <v>79</v>
      </c>
      <c r="F82" s="23">
        <f t="shared" si="3"/>
        <v>5.6152767122953797</v>
      </c>
      <c r="G82" s="23">
        <f t="shared" si="4"/>
        <v>-0.70527671229537958</v>
      </c>
      <c r="H82" s="23">
        <f t="shared" si="5"/>
        <v>0.49741524090617961</v>
      </c>
    </row>
    <row r="83" spans="1:8" x14ac:dyDescent="0.2">
      <c r="A83" s="4">
        <v>8.75</v>
      </c>
      <c r="B83" s="4">
        <v>1</v>
      </c>
      <c r="C83" s="4">
        <v>16</v>
      </c>
      <c r="D83" s="4">
        <v>0</v>
      </c>
      <c r="E83" s="2" t="s">
        <v>79</v>
      </c>
      <c r="F83" s="23">
        <f t="shared" si="3"/>
        <v>7.4870356163938396</v>
      </c>
      <c r="G83" s="23">
        <f t="shared" si="4"/>
        <v>1.2629643836061604</v>
      </c>
      <c r="H83" s="23">
        <f t="shared" si="5"/>
        <v>1.5950790342576886</v>
      </c>
    </row>
    <row r="84" spans="1:8" x14ac:dyDescent="0.2">
      <c r="A84" s="4">
        <v>10</v>
      </c>
      <c r="B84" s="4">
        <v>1</v>
      </c>
      <c r="C84" s="4">
        <v>18</v>
      </c>
      <c r="D84" s="4">
        <v>0</v>
      </c>
      <c r="E84" s="2" t="s">
        <v>79</v>
      </c>
      <c r="F84" s="23">
        <f t="shared" si="3"/>
        <v>8.4229150684430696</v>
      </c>
      <c r="G84" s="23">
        <f t="shared" si="4"/>
        <v>1.5770849315569304</v>
      </c>
      <c r="H84" s="23">
        <f t="shared" si="5"/>
        <v>2.487196881343928</v>
      </c>
    </row>
    <row r="85" spans="1:8" x14ac:dyDescent="0.2">
      <c r="A85" s="4">
        <v>21.63</v>
      </c>
      <c r="B85" s="4">
        <v>1</v>
      </c>
      <c r="C85" s="4">
        <v>18</v>
      </c>
      <c r="D85" s="4">
        <v>0</v>
      </c>
      <c r="E85" s="2" t="s">
        <v>79</v>
      </c>
      <c r="F85" s="23">
        <f t="shared" si="3"/>
        <v>8.4229150684430696</v>
      </c>
      <c r="G85" s="23">
        <f t="shared" si="4"/>
        <v>13.207084931556929</v>
      </c>
      <c r="H85" s="23">
        <f t="shared" si="5"/>
        <v>174.42709238935811</v>
      </c>
    </row>
    <row r="86" spans="1:8" x14ac:dyDescent="0.2">
      <c r="A86" s="4">
        <v>4.57</v>
      </c>
      <c r="B86" s="4">
        <v>1</v>
      </c>
      <c r="C86" s="4">
        <v>14</v>
      </c>
      <c r="D86" s="4">
        <v>0</v>
      </c>
      <c r="E86" s="2" t="s">
        <v>79</v>
      </c>
      <c r="F86" s="23">
        <f t="shared" si="3"/>
        <v>6.5511561643446097</v>
      </c>
      <c r="G86" s="23">
        <f t="shared" si="4"/>
        <v>-1.9811561643446094</v>
      </c>
      <c r="H86" s="23">
        <f t="shared" si="5"/>
        <v>3.9249797475206449</v>
      </c>
    </row>
    <row r="87" spans="1:8" x14ac:dyDescent="0.2">
      <c r="A87" s="4">
        <v>18.16</v>
      </c>
      <c r="B87" s="4">
        <v>1</v>
      </c>
      <c r="C87" s="4">
        <v>16</v>
      </c>
      <c r="D87" s="4">
        <v>0</v>
      </c>
      <c r="E87" s="2" t="s">
        <v>79</v>
      </c>
      <c r="F87" s="23">
        <f t="shared" si="3"/>
        <v>7.4870356163938396</v>
      </c>
      <c r="G87" s="23">
        <f t="shared" si="4"/>
        <v>10.672964383606161</v>
      </c>
      <c r="H87" s="23">
        <f t="shared" si="5"/>
        <v>113.91216873372564</v>
      </c>
    </row>
    <row r="88" spans="1:8" x14ac:dyDescent="0.2">
      <c r="A88" s="4">
        <v>11.25</v>
      </c>
      <c r="B88" s="4">
        <v>1</v>
      </c>
      <c r="C88" s="4">
        <v>18</v>
      </c>
      <c r="D88" s="4">
        <v>0</v>
      </c>
      <c r="E88" s="2" t="s">
        <v>79</v>
      </c>
      <c r="F88" s="23">
        <f t="shared" si="3"/>
        <v>8.4229150684430696</v>
      </c>
      <c r="G88" s="23">
        <f t="shared" si="4"/>
        <v>2.8270849315569304</v>
      </c>
      <c r="H88" s="23">
        <f t="shared" si="5"/>
        <v>7.9924092102362536</v>
      </c>
    </row>
    <row r="89" spans="1:8" x14ac:dyDescent="0.2">
      <c r="A89" s="4">
        <v>5.9</v>
      </c>
      <c r="B89" s="4">
        <v>1</v>
      </c>
      <c r="C89" s="4">
        <v>12</v>
      </c>
      <c r="D89" s="4">
        <v>0</v>
      </c>
      <c r="E89" s="2" t="s">
        <v>79</v>
      </c>
      <c r="F89" s="23">
        <f t="shared" si="3"/>
        <v>5.6152767122953797</v>
      </c>
      <c r="G89" s="23">
        <f t="shared" si="4"/>
        <v>0.28472328770462063</v>
      </c>
      <c r="H89" s="23">
        <f t="shared" si="5"/>
        <v>8.1067350561328175E-2</v>
      </c>
    </row>
    <row r="90" spans="1:8" x14ac:dyDescent="0.2">
      <c r="A90" s="4">
        <v>3.71</v>
      </c>
      <c r="B90" s="4">
        <v>1</v>
      </c>
      <c r="C90" s="4">
        <v>9</v>
      </c>
      <c r="D90" s="4">
        <v>0</v>
      </c>
      <c r="E90" s="2" t="s">
        <v>79</v>
      </c>
      <c r="F90" s="23">
        <f t="shared" si="3"/>
        <v>4.2114575342215348</v>
      </c>
      <c r="G90" s="23">
        <f t="shared" si="4"/>
        <v>-0.50145753422153483</v>
      </c>
      <c r="H90" s="23">
        <f t="shared" si="5"/>
        <v>0.25145965862754177</v>
      </c>
    </row>
    <row r="91" spans="1:8" x14ac:dyDescent="0.2">
      <c r="A91" s="4">
        <v>7.5</v>
      </c>
      <c r="B91" s="4">
        <v>1</v>
      </c>
      <c r="C91" s="4">
        <v>12</v>
      </c>
      <c r="D91" s="4">
        <v>0</v>
      </c>
      <c r="E91" s="2" t="s">
        <v>79</v>
      </c>
      <c r="F91" s="23">
        <f t="shared" si="3"/>
        <v>5.6152767122953797</v>
      </c>
      <c r="G91" s="23">
        <f t="shared" si="4"/>
        <v>1.8847232877046203</v>
      </c>
      <c r="H91" s="23">
        <f t="shared" si="5"/>
        <v>3.5521818712161131</v>
      </c>
    </row>
    <row r="92" spans="1:8" x14ac:dyDescent="0.2">
      <c r="A92" s="4">
        <v>5.9</v>
      </c>
      <c r="B92" s="4">
        <v>1</v>
      </c>
      <c r="C92" s="4">
        <v>12</v>
      </c>
      <c r="D92" s="4">
        <v>0</v>
      </c>
      <c r="E92" s="2" t="s">
        <v>79</v>
      </c>
      <c r="F92" s="23">
        <f t="shared" si="3"/>
        <v>5.6152767122953797</v>
      </c>
      <c r="G92" s="23">
        <f t="shared" si="4"/>
        <v>0.28472328770462063</v>
      </c>
      <c r="H92" s="23">
        <f t="shared" si="5"/>
        <v>8.1067350561328175E-2</v>
      </c>
    </row>
    <row r="93" spans="1:8" x14ac:dyDescent="0.2">
      <c r="A93" s="4">
        <v>4.6900000000000004</v>
      </c>
      <c r="B93" s="4">
        <v>1</v>
      </c>
      <c r="C93" s="4">
        <v>10</v>
      </c>
      <c r="D93" s="4">
        <v>0</v>
      </c>
      <c r="E93" s="2" t="s">
        <v>79</v>
      </c>
      <c r="F93" s="23">
        <f t="shared" si="3"/>
        <v>4.6793972602461498</v>
      </c>
      <c r="G93" s="23">
        <f t="shared" si="4"/>
        <v>1.0602739753850621E-2</v>
      </c>
      <c r="H93" s="23">
        <f t="shared" si="5"/>
        <v>1.1241809028788433E-4</v>
      </c>
    </row>
    <row r="94" spans="1:8" x14ac:dyDescent="0.2">
      <c r="A94" s="4">
        <v>6</v>
      </c>
      <c r="B94" s="4">
        <v>1</v>
      </c>
      <c r="C94" s="4">
        <v>12</v>
      </c>
      <c r="D94" s="4">
        <v>0</v>
      </c>
      <c r="E94" s="2" t="s">
        <v>79</v>
      </c>
      <c r="F94" s="23">
        <f t="shared" si="3"/>
        <v>5.6152767122953797</v>
      </c>
      <c r="G94" s="23">
        <f t="shared" si="4"/>
        <v>0.38472328770462028</v>
      </c>
      <c r="H94" s="23">
        <f t="shared" si="5"/>
        <v>0.14801200810225204</v>
      </c>
    </row>
    <row r="95" spans="1:8" x14ac:dyDescent="0.2">
      <c r="A95" s="4">
        <v>15</v>
      </c>
      <c r="B95" s="4">
        <v>1</v>
      </c>
      <c r="C95" s="4">
        <v>14</v>
      </c>
      <c r="D95" s="4">
        <v>0</v>
      </c>
      <c r="E95" s="2" t="s">
        <v>79</v>
      </c>
      <c r="F95" s="23">
        <f t="shared" si="3"/>
        <v>6.5511561643446097</v>
      </c>
      <c r="G95" s="23">
        <f t="shared" si="4"/>
        <v>8.4488438356553903</v>
      </c>
      <c r="H95" s="23">
        <f t="shared" si="5"/>
        <v>71.382962159292092</v>
      </c>
    </row>
    <row r="96" spans="1:8" x14ac:dyDescent="0.2">
      <c r="A96" s="4">
        <v>3.54</v>
      </c>
      <c r="B96" s="4">
        <v>1</v>
      </c>
      <c r="C96" s="4">
        <v>13</v>
      </c>
      <c r="D96" s="4">
        <v>0</v>
      </c>
      <c r="E96" s="2" t="s">
        <v>79</v>
      </c>
      <c r="F96" s="23">
        <f t="shared" si="3"/>
        <v>6.0832164383199947</v>
      </c>
      <c r="G96" s="23">
        <f t="shared" si="4"/>
        <v>-2.5432164383199947</v>
      </c>
      <c r="H96" s="23">
        <f t="shared" si="5"/>
        <v>6.4679498521410395</v>
      </c>
    </row>
    <row r="97" spans="1:8" x14ac:dyDescent="0.2">
      <c r="A97" s="4">
        <v>2.9</v>
      </c>
      <c r="B97" s="4">
        <v>1</v>
      </c>
      <c r="C97" s="4">
        <v>8</v>
      </c>
      <c r="D97" s="4">
        <v>0</v>
      </c>
      <c r="E97" s="2" t="s">
        <v>79</v>
      </c>
      <c r="F97" s="23">
        <f t="shared" si="3"/>
        <v>3.7435178081969198</v>
      </c>
      <c r="G97" s="23">
        <f t="shared" si="4"/>
        <v>-0.8435178081969199</v>
      </c>
      <c r="H97" s="23">
        <f t="shared" si="5"/>
        <v>0.71152229274533574</v>
      </c>
    </row>
    <row r="98" spans="1:8" x14ac:dyDescent="0.2">
      <c r="A98" s="4">
        <v>4</v>
      </c>
      <c r="B98" s="4">
        <v>1</v>
      </c>
      <c r="C98" s="4">
        <v>12</v>
      </c>
      <c r="D98" s="4">
        <v>0</v>
      </c>
      <c r="E98" s="2" t="s">
        <v>79</v>
      </c>
      <c r="F98" s="23">
        <f t="shared" si="3"/>
        <v>5.6152767122953797</v>
      </c>
      <c r="G98" s="23">
        <f t="shared" si="4"/>
        <v>-1.6152767122953797</v>
      </c>
      <c r="H98" s="23">
        <f t="shared" si="5"/>
        <v>2.6091188572837711</v>
      </c>
    </row>
    <row r="99" spans="1:8" x14ac:dyDescent="0.2">
      <c r="A99" s="4">
        <v>6.25</v>
      </c>
      <c r="B99" s="4">
        <v>1</v>
      </c>
      <c r="C99" s="4">
        <v>12</v>
      </c>
      <c r="D99" s="4">
        <v>0</v>
      </c>
      <c r="E99" s="2" t="s">
        <v>79</v>
      </c>
      <c r="F99" s="23">
        <f t="shared" si="3"/>
        <v>5.6152767122953797</v>
      </c>
      <c r="G99" s="23">
        <f t="shared" si="4"/>
        <v>0.63472328770462028</v>
      </c>
      <c r="H99" s="23">
        <f t="shared" si="5"/>
        <v>0.40287365195456215</v>
      </c>
    </row>
    <row r="100" spans="1:8" x14ac:dyDescent="0.2">
      <c r="A100" s="4">
        <v>5.8</v>
      </c>
      <c r="B100" s="4">
        <v>1</v>
      </c>
      <c r="C100" s="4">
        <v>12</v>
      </c>
      <c r="D100" s="4">
        <v>0</v>
      </c>
      <c r="E100" s="2" t="s">
        <v>79</v>
      </c>
      <c r="F100" s="23">
        <f t="shared" si="3"/>
        <v>5.6152767122953797</v>
      </c>
      <c r="G100" s="23">
        <f t="shared" si="4"/>
        <v>0.1847232877046201</v>
      </c>
      <c r="H100" s="23">
        <f t="shared" si="5"/>
        <v>3.4122693020403848E-2</v>
      </c>
    </row>
    <row r="101" spans="1:8" x14ac:dyDescent="0.2">
      <c r="A101" s="4">
        <v>8</v>
      </c>
      <c r="B101" s="4">
        <v>1</v>
      </c>
      <c r="C101" s="4">
        <v>12</v>
      </c>
      <c r="D101" s="4">
        <v>0</v>
      </c>
      <c r="E101" s="2" t="s">
        <v>79</v>
      </c>
      <c r="F101" s="23">
        <f t="shared" si="3"/>
        <v>5.6152767122953797</v>
      </c>
      <c r="G101" s="23">
        <f t="shared" si="4"/>
        <v>2.3847232877046203</v>
      </c>
      <c r="H101" s="23">
        <f t="shared" si="5"/>
        <v>5.6869051589207329</v>
      </c>
    </row>
    <row r="102" spans="1:8" x14ac:dyDescent="0.2">
      <c r="A102" s="4">
        <v>6.15</v>
      </c>
      <c r="B102" s="4">
        <v>1</v>
      </c>
      <c r="C102" s="4">
        <v>12</v>
      </c>
      <c r="D102" s="4">
        <v>0</v>
      </c>
      <c r="E102" s="2" t="s">
        <v>79</v>
      </c>
      <c r="F102" s="23">
        <f t="shared" si="3"/>
        <v>5.6152767122953797</v>
      </c>
      <c r="G102" s="23">
        <f t="shared" si="4"/>
        <v>0.53472328770462063</v>
      </c>
      <c r="H102" s="23">
        <f t="shared" si="5"/>
        <v>0.2859289944136385</v>
      </c>
    </row>
    <row r="103" spans="1:8" x14ac:dyDescent="0.2">
      <c r="A103" s="4">
        <v>5.91</v>
      </c>
      <c r="B103" s="4">
        <v>1</v>
      </c>
      <c r="C103" s="4">
        <v>12</v>
      </c>
      <c r="D103" s="4">
        <v>0</v>
      </c>
      <c r="E103" s="2" t="s">
        <v>79</v>
      </c>
      <c r="F103" s="23">
        <f t="shared" si="3"/>
        <v>5.6152767122953797</v>
      </c>
      <c r="G103" s="23">
        <f t="shared" si="4"/>
        <v>0.29472328770462042</v>
      </c>
      <c r="H103" s="23">
        <f t="shared" si="5"/>
        <v>8.6861816315420462E-2</v>
      </c>
    </row>
    <row r="104" spans="1:8" x14ac:dyDescent="0.2">
      <c r="A104" s="4">
        <v>8.5299999999999994</v>
      </c>
      <c r="B104" s="4">
        <v>1</v>
      </c>
      <c r="C104" s="4">
        <v>10</v>
      </c>
      <c r="D104" s="4">
        <v>0</v>
      </c>
      <c r="E104" s="2" t="s">
        <v>79</v>
      </c>
      <c r="F104" s="23">
        <f t="shared" si="3"/>
        <v>4.6793972602461498</v>
      </c>
      <c r="G104" s="23">
        <f t="shared" si="4"/>
        <v>3.8506027397538496</v>
      </c>
      <c r="H104" s="23">
        <f t="shared" si="5"/>
        <v>14.827141459399853</v>
      </c>
    </row>
    <row r="105" spans="1:8" x14ac:dyDescent="0.2">
      <c r="A105" s="4">
        <v>8.43</v>
      </c>
      <c r="B105" s="4">
        <v>1</v>
      </c>
      <c r="C105" s="4">
        <v>16</v>
      </c>
      <c r="D105" s="4">
        <v>0</v>
      </c>
      <c r="E105" s="2" t="s">
        <v>79</v>
      </c>
      <c r="F105" s="23">
        <f t="shared" si="3"/>
        <v>7.4870356163938396</v>
      </c>
      <c r="G105" s="23">
        <f t="shared" si="4"/>
        <v>0.94296438360616008</v>
      </c>
      <c r="H105" s="23">
        <f t="shared" si="5"/>
        <v>0.88918182874974538</v>
      </c>
    </row>
    <row r="106" spans="1:8" x14ac:dyDescent="0.2">
      <c r="A106" s="4">
        <v>6.45</v>
      </c>
      <c r="B106" s="4">
        <v>1</v>
      </c>
      <c r="C106" s="4">
        <v>12</v>
      </c>
      <c r="D106" s="4">
        <v>0</v>
      </c>
      <c r="E106" s="2" t="s">
        <v>79</v>
      </c>
      <c r="F106" s="23">
        <f t="shared" si="3"/>
        <v>5.6152767122953797</v>
      </c>
      <c r="G106" s="23">
        <f t="shared" si="4"/>
        <v>0.83472328770462045</v>
      </c>
      <c r="H106" s="23">
        <f t="shared" si="5"/>
        <v>0.69676296703641061</v>
      </c>
    </row>
    <row r="107" spans="1:8" x14ac:dyDescent="0.2">
      <c r="A107" s="4">
        <v>3.5</v>
      </c>
      <c r="B107" s="4">
        <v>1</v>
      </c>
      <c r="C107" s="4">
        <v>12</v>
      </c>
      <c r="D107" s="4">
        <v>0</v>
      </c>
      <c r="E107" s="2" t="s">
        <v>79</v>
      </c>
      <c r="F107" s="23">
        <f t="shared" si="3"/>
        <v>5.6152767122953797</v>
      </c>
      <c r="G107" s="23">
        <f t="shared" si="4"/>
        <v>-2.1152767122953797</v>
      </c>
      <c r="H107" s="23">
        <f t="shared" si="5"/>
        <v>4.4743955695791504</v>
      </c>
    </row>
    <row r="108" spans="1:8" x14ac:dyDescent="0.2">
      <c r="A108" s="4">
        <v>5.13</v>
      </c>
      <c r="B108" s="4">
        <v>1</v>
      </c>
      <c r="C108" s="4">
        <v>15</v>
      </c>
      <c r="D108" s="4">
        <v>0</v>
      </c>
      <c r="E108" s="2" t="s">
        <v>79</v>
      </c>
      <c r="F108" s="23">
        <f t="shared" si="3"/>
        <v>7.0190958903692247</v>
      </c>
      <c r="G108" s="23">
        <f t="shared" si="4"/>
        <v>-1.8890958903692248</v>
      </c>
      <c r="H108" s="23">
        <f t="shared" si="5"/>
        <v>3.5686832830098942</v>
      </c>
    </row>
    <row r="109" spans="1:8" x14ac:dyDescent="0.2">
      <c r="A109" s="4">
        <v>7.14</v>
      </c>
      <c r="B109" s="4">
        <v>1</v>
      </c>
      <c r="C109" s="4">
        <v>12</v>
      </c>
      <c r="D109" s="4">
        <v>0</v>
      </c>
      <c r="E109" s="2" t="s">
        <v>79</v>
      </c>
      <c r="F109" s="23">
        <f t="shared" si="3"/>
        <v>5.6152767122953797</v>
      </c>
      <c r="G109" s="23">
        <f t="shared" si="4"/>
        <v>1.52472328770462</v>
      </c>
      <c r="H109" s="23">
        <f t="shared" si="5"/>
        <v>2.3247811040687854</v>
      </c>
    </row>
    <row r="110" spans="1:8" x14ac:dyDescent="0.2">
      <c r="A110" s="4">
        <v>12.39</v>
      </c>
      <c r="B110" s="4">
        <v>1</v>
      </c>
      <c r="C110" s="4">
        <v>14</v>
      </c>
      <c r="D110" s="4">
        <v>0</v>
      </c>
      <c r="E110" s="2" t="s">
        <v>79</v>
      </c>
      <c r="F110" s="23">
        <f t="shared" si="3"/>
        <v>6.5511561643446097</v>
      </c>
      <c r="G110" s="23">
        <f t="shared" si="4"/>
        <v>5.8388438356553909</v>
      </c>
      <c r="H110" s="23">
        <f t="shared" si="5"/>
        <v>34.092097337170955</v>
      </c>
    </row>
    <row r="111" spans="1:8" x14ac:dyDescent="0.2">
      <c r="A111" s="4">
        <v>8</v>
      </c>
      <c r="B111" s="4">
        <v>1</v>
      </c>
      <c r="C111" s="4">
        <v>13</v>
      </c>
      <c r="D111" s="4">
        <v>0</v>
      </c>
      <c r="E111" s="2" t="s">
        <v>79</v>
      </c>
      <c r="F111" s="23">
        <f t="shared" si="3"/>
        <v>6.0832164383199947</v>
      </c>
      <c r="G111" s="23">
        <f t="shared" si="4"/>
        <v>1.9167835616800053</v>
      </c>
      <c r="H111" s="23">
        <f t="shared" si="5"/>
        <v>3.6740592223266866</v>
      </c>
    </row>
    <row r="112" spans="1:8" x14ac:dyDescent="0.2">
      <c r="A112" s="4">
        <v>5</v>
      </c>
      <c r="B112" s="4">
        <v>1</v>
      </c>
      <c r="C112" s="10">
        <v>12</v>
      </c>
      <c r="D112" s="4">
        <v>0</v>
      </c>
      <c r="E112" s="2" t="s">
        <v>79</v>
      </c>
      <c r="F112" s="23">
        <f t="shared" si="3"/>
        <v>5.6152767122953797</v>
      </c>
      <c r="G112" s="23">
        <f t="shared" si="4"/>
        <v>-0.61527671229537972</v>
      </c>
      <c r="H112" s="23">
        <f t="shared" si="5"/>
        <v>0.37856543269301146</v>
      </c>
    </row>
    <row r="113" spans="1:8" x14ac:dyDescent="0.2">
      <c r="A113" s="4">
        <v>13</v>
      </c>
      <c r="B113" s="4">
        <v>1</v>
      </c>
      <c r="C113" s="4">
        <v>14</v>
      </c>
      <c r="D113" s="4">
        <v>0</v>
      </c>
      <c r="E113" s="2" t="s">
        <v>79</v>
      </c>
      <c r="F113" s="23">
        <f t="shared" si="3"/>
        <v>6.5511561643446097</v>
      </c>
      <c r="G113" s="23">
        <f t="shared" si="4"/>
        <v>6.4488438356553903</v>
      </c>
      <c r="H113" s="23">
        <f t="shared" si="5"/>
        <v>41.58758681667053</v>
      </c>
    </row>
    <row r="114" spans="1:8" x14ac:dyDescent="0.2">
      <c r="A114" s="4">
        <v>4.5</v>
      </c>
      <c r="B114" s="4">
        <v>1</v>
      </c>
      <c r="C114" s="4">
        <v>9</v>
      </c>
      <c r="D114" s="4">
        <v>0</v>
      </c>
      <c r="E114" s="2" t="s">
        <v>79</v>
      </c>
      <c r="F114" s="23">
        <f t="shared" si="3"/>
        <v>4.2114575342215348</v>
      </c>
      <c r="G114" s="23">
        <f t="shared" si="4"/>
        <v>0.28854246577846521</v>
      </c>
      <c r="H114" s="23">
        <f t="shared" si="5"/>
        <v>8.3256754557516771E-2</v>
      </c>
    </row>
    <row r="115" spans="1:8" x14ac:dyDescent="0.2">
      <c r="A115" s="4">
        <v>8.18</v>
      </c>
      <c r="B115" s="4">
        <v>1</v>
      </c>
      <c r="C115" s="4">
        <v>13</v>
      </c>
      <c r="D115" s="4">
        <v>0</v>
      </c>
      <c r="E115" s="2" t="s">
        <v>79</v>
      </c>
      <c r="F115" s="23">
        <f t="shared" si="3"/>
        <v>6.0832164383199947</v>
      </c>
      <c r="G115" s="23">
        <f t="shared" si="4"/>
        <v>2.096783561680005</v>
      </c>
      <c r="H115" s="23">
        <f t="shared" si="5"/>
        <v>4.3965013045314878</v>
      </c>
    </row>
    <row r="116" spans="1:8" x14ac:dyDescent="0.2">
      <c r="A116" s="4">
        <v>11.55</v>
      </c>
      <c r="B116" s="4">
        <v>1</v>
      </c>
      <c r="C116" s="4">
        <v>16</v>
      </c>
      <c r="D116" s="4">
        <v>1</v>
      </c>
      <c r="E116" s="2" t="s">
        <v>79</v>
      </c>
      <c r="F116" s="23">
        <f t="shared" si="3"/>
        <v>8.3382908756263507</v>
      </c>
      <c r="G116" s="23">
        <f t="shared" si="4"/>
        <v>3.21170912437365</v>
      </c>
      <c r="H116" s="23">
        <f t="shared" si="5"/>
        <v>10.315075499584957</v>
      </c>
    </row>
    <row r="117" spans="1:8" x14ac:dyDescent="0.2">
      <c r="A117" s="4">
        <v>5</v>
      </c>
      <c r="B117" s="4">
        <v>1</v>
      </c>
      <c r="C117" s="4">
        <v>14</v>
      </c>
      <c r="D117" s="4">
        <v>0</v>
      </c>
      <c r="E117" s="2" t="s">
        <v>79</v>
      </c>
      <c r="F117" s="23">
        <f t="shared" si="3"/>
        <v>6.5511561643446097</v>
      </c>
      <c r="G117" s="23">
        <f t="shared" si="4"/>
        <v>-1.5511561643446097</v>
      </c>
      <c r="H117" s="23">
        <f t="shared" si="5"/>
        <v>2.4060854461842816</v>
      </c>
    </row>
    <row r="118" spans="1:8" x14ac:dyDescent="0.2">
      <c r="A118" s="4">
        <v>10</v>
      </c>
      <c r="B118" s="4">
        <v>1</v>
      </c>
      <c r="C118" s="4">
        <v>14</v>
      </c>
      <c r="D118" s="4">
        <v>0</v>
      </c>
      <c r="E118" s="2" t="s">
        <v>79</v>
      </c>
      <c r="F118" s="23">
        <f t="shared" si="3"/>
        <v>6.5511561643446097</v>
      </c>
      <c r="G118" s="23">
        <f t="shared" si="4"/>
        <v>3.4488438356553903</v>
      </c>
      <c r="H118" s="23">
        <f t="shared" si="5"/>
        <v>11.894523802738185</v>
      </c>
    </row>
    <row r="119" spans="1:8" x14ac:dyDescent="0.2">
      <c r="A119" s="4">
        <v>12.5</v>
      </c>
      <c r="B119" s="4">
        <v>1</v>
      </c>
      <c r="C119" s="4">
        <v>18</v>
      </c>
      <c r="D119" s="4">
        <v>0</v>
      </c>
      <c r="E119" s="2" t="s">
        <v>79</v>
      </c>
      <c r="F119" s="23">
        <f t="shared" si="3"/>
        <v>8.4229150684430696</v>
      </c>
      <c r="G119" s="23">
        <f t="shared" si="4"/>
        <v>4.0770849315569304</v>
      </c>
      <c r="H119" s="23">
        <f t="shared" si="5"/>
        <v>16.622621539128581</v>
      </c>
    </row>
    <row r="120" spans="1:8" x14ac:dyDescent="0.2">
      <c r="A120" s="4">
        <v>5</v>
      </c>
      <c r="B120" s="4">
        <v>1</v>
      </c>
      <c r="C120" s="4">
        <v>12</v>
      </c>
      <c r="D120" s="4">
        <v>0</v>
      </c>
      <c r="E120" s="2" t="s">
        <v>79</v>
      </c>
      <c r="F120" s="23">
        <f t="shared" si="3"/>
        <v>5.6152767122953797</v>
      </c>
      <c r="G120" s="23">
        <f t="shared" si="4"/>
        <v>-0.61527671229537972</v>
      </c>
      <c r="H120" s="23">
        <f t="shared" si="5"/>
        <v>0.37856543269301146</v>
      </c>
    </row>
    <row r="121" spans="1:8" x14ac:dyDescent="0.2">
      <c r="A121" s="4">
        <v>5</v>
      </c>
      <c r="B121" s="4">
        <v>1</v>
      </c>
      <c r="C121" s="10">
        <v>12</v>
      </c>
      <c r="D121" s="4">
        <v>0</v>
      </c>
      <c r="E121" s="2" t="s">
        <v>79</v>
      </c>
      <c r="F121" s="23">
        <f t="shared" si="3"/>
        <v>5.6152767122953797</v>
      </c>
      <c r="G121" s="23">
        <f t="shared" si="4"/>
        <v>-0.61527671229537972</v>
      </c>
      <c r="H121" s="23">
        <f t="shared" si="5"/>
        <v>0.37856543269301146</v>
      </c>
    </row>
    <row r="122" spans="1:8" x14ac:dyDescent="0.2">
      <c r="A122" s="4">
        <v>3.2</v>
      </c>
      <c r="B122" s="4">
        <v>1</v>
      </c>
      <c r="C122" s="4">
        <v>12</v>
      </c>
      <c r="D122" s="4">
        <v>0</v>
      </c>
      <c r="E122" s="2" t="s">
        <v>79</v>
      </c>
      <c r="F122" s="23">
        <f t="shared" si="3"/>
        <v>5.6152767122953797</v>
      </c>
      <c r="G122" s="23">
        <f t="shared" si="4"/>
        <v>-2.4152767122953795</v>
      </c>
      <c r="H122" s="23">
        <f t="shared" si="5"/>
        <v>5.8335615969563772</v>
      </c>
    </row>
    <row r="123" spans="1:8" x14ac:dyDescent="0.2">
      <c r="A123" s="4">
        <v>3.26</v>
      </c>
      <c r="B123" s="4">
        <v>1</v>
      </c>
      <c r="C123" s="4">
        <v>16</v>
      </c>
      <c r="D123" s="4">
        <v>0</v>
      </c>
      <c r="E123" s="2" t="s">
        <v>79</v>
      </c>
      <c r="F123" s="23">
        <f t="shared" si="3"/>
        <v>7.4870356163938396</v>
      </c>
      <c r="G123" s="23">
        <f t="shared" si="4"/>
        <v>-4.2270356163938398</v>
      </c>
      <c r="H123" s="23">
        <f t="shared" si="5"/>
        <v>17.867830102262051</v>
      </c>
    </row>
    <row r="124" spans="1:8" x14ac:dyDescent="0.2">
      <c r="A124" s="4">
        <v>4.24</v>
      </c>
      <c r="B124" s="4">
        <v>1</v>
      </c>
      <c r="C124" s="4">
        <v>10</v>
      </c>
      <c r="D124" s="4">
        <v>0</v>
      </c>
      <c r="E124" s="2" t="s">
        <v>79</v>
      </c>
      <c r="F124" s="23">
        <f t="shared" si="3"/>
        <v>4.6793972602461498</v>
      </c>
      <c r="G124" s="23">
        <f t="shared" si="4"/>
        <v>-0.43939726024614956</v>
      </c>
      <c r="H124" s="23">
        <f t="shared" si="5"/>
        <v>0.19306995231182247</v>
      </c>
    </row>
    <row r="125" spans="1:8" x14ac:dyDescent="0.2">
      <c r="A125" s="4">
        <v>9</v>
      </c>
      <c r="B125" s="4">
        <v>1</v>
      </c>
      <c r="C125" s="4">
        <v>12</v>
      </c>
      <c r="D125" s="4">
        <v>0</v>
      </c>
      <c r="E125" s="2" t="s">
        <v>79</v>
      </c>
      <c r="F125" s="23">
        <f t="shared" si="3"/>
        <v>5.6152767122953797</v>
      </c>
      <c r="G125" s="23">
        <f t="shared" si="4"/>
        <v>3.3847232877046203</v>
      </c>
      <c r="H125" s="23">
        <f t="shared" si="5"/>
        <v>11.456351734329974</v>
      </c>
    </row>
    <row r="126" spans="1:8" x14ac:dyDescent="0.2">
      <c r="A126" s="4">
        <v>5.71</v>
      </c>
      <c r="B126" s="4">
        <v>1</v>
      </c>
      <c r="C126" s="4">
        <v>16</v>
      </c>
      <c r="D126" s="4">
        <v>0</v>
      </c>
      <c r="E126" s="2" t="s">
        <v>79</v>
      </c>
      <c r="F126" s="23">
        <f t="shared" si="3"/>
        <v>7.4870356163938396</v>
      </c>
      <c r="G126" s="23">
        <f t="shared" si="4"/>
        <v>-1.7770356163938397</v>
      </c>
      <c r="H126" s="23">
        <f t="shared" si="5"/>
        <v>3.1578555819322336</v>
      </c>
    </row>
    <row r="127" spans="1:8" x14ac:dyDescent="0.2">
      <c r="A127" s="4">
        <v>6.5</v>
      </c>
      <c r="B127" s="4">
        <v>1</v>
      </c>
      <c r="C127" s="4">
        <v>12</v>
      </c>
      <c r="D127" s="4">
        <v>0</v>
      </c>
      <c r="E127" s="2" t="s">
        <v>79</v>
      </c>
      <c r="F127" s="23">
        <f t="shared" si="3"/>
        <v>5.6152767122953797</v>
      </c>
      <c r="G127" s="23">
        <f t="shared" si="4"/>
        <v>0.88472328770462028</v>
      </c>
      <c r="H127" s="23">
        <f t="shared" si="5"/>
        <v>0.78273529580687229</v>
      </c>
    </row>
    <row r="128" spans="1:8" x14ac:dyDescent="0.2">
      <c r="A128" s="4">
        <v>6.67</v>
      </c>
      <c r="B128" s="4">
        <v>1</v>
      </c>
      <c r="C128" s="4">
        <v>12</v>
      </c>
      <c r="D128" s="4">
        <v>0</v>
      </c>
      <c r="E128" s="2" t="s">
        <v>79</v>
      </c>
      <c r="F128" s="23">
        <f t="shared" si="3"/>
        <v>5.6152767122953797</v>
      </c>
      <c r="G128" s="23">
        <f t="shared" si="4"/>
        <v>1.0547232877046202</v>
      </c>
      <c r="H128" s="23">
        <f t="shared" si="5"/>
        <v>1.112441213626443</v>
      </c>
    </row>
    <row r="129" spans="1:8" x14ac:dyDescent="0.2">
      <c r="A129" s="4">
        <v>7</v>
      </c>
      <c r="B129" s="4">
        <v>1</v>
      </c>
      <c r="C129" s="4">
        <v>12</v>
      </c>
      <c r="D129" s="4">
        <v>1</v>
      </c>
      <c r="E129" s="2" t="s">
        <v>79</v>
      </c>
      <c r="F129" s="23">
        <f t="shared" si="3"/>
        <v>6.4665319715278917</v>
      </c>
      <c r="G129" s="23">
        <f t="shared" si="4"/>
        <v>0.53346802847210828</v>
      </c>
      <c r="H129" s="23">
        <f t="shared" si="5"/>
        <v>0.28458813740191813</v>
      </c>
    </row>
    <row r="130" spans="1:8" x14ac:dyDescent="0.2">
      <c r="A130" s="4">
        <v>3.13</v>
      </c>
      <c r="B130" s="4">
        <v>1</v>
      </c>
      <c r="C130" s="4">
        <v>12</v>
      </c>
      <c r="D130" s="4">
        <v>0</v>
      </c>
      <c r="E130" s="2" t="s">
        <v>79</v>
      </c>
      <c r="F130" s="23">
        <f t="shared" ref="F130:F193" si="6">($K$18*B130)+($K$19*C130)+($K$20*D130)</f>
        <v>5.6152767122953797</v>
      </c>
      <c r="G130" s="23">
        <f t="shared" si="4"/>
        <v>-2.4852767122953798</v>
      </c>
      <c r="H130" s="23">
        <f t="shared" si="5"/>
        <v>6.1766003366777325</v>
      </c>
    </row>
    <row r="131" spans="1:8" x14ac:dyDescent="0.2">
      <c r="A131" s="4">
        <v>6.25</v>
      </c>
      <c r="B131" s="4">
        <v>1</v>
      </c>
      <c r="C131" s="10">
        <v>12</v>
      </c>
      <c r="D131" s="4">
        <v>0</v>
      </c>
      <c r="E131" s="2" t="s">
        <v>79</v>
      </c>
      <c r="F131" s="23">
        <f t="shared" si="6"/>
        <v>5.6152767122953797</v>
      </c>
      <c r="G131" s="23">
        <f t="shared" ref="G131:G194" si="7">(A131-F131)</f>
        <v>0.63472328770462028</v>
      </c>
      <c r="H131" s="23">
        <f t="shared" ref="H131:H194" si="8">G131^2</f>
        <v>0.40287365195456215</v>
      </c>
    </row>
    <row r="132" spans="1:8" x14ac:dyDescent="0.2">
      <c r="A132" s="4">
        <v>5.75</v>
      </c>
      <c r="B132" s="4">
        <v>1</v>
      </c>
      <c r="C132" s="4">
        <v>14</v>
      </c>
      <c r="D132" s="4">
        <v>0</v>
      </c>
      <c r="E132" s="2" t="s">
        <v>79</v>
      </c>
      <c r="F132" s="23">
        <f t="shared" si="6"/>
        <v>6.5511561643446097</v>
      </c>
      <c r="G132" s="23">
        <f t="shared" si="7"/>
        <v>-0.80115616434460968</v>
      </c>
      <c r="H132" s="23">
        <f t="shared" si="8"/>
        <v>0.64185119966736726</v>
      </c>
    </row>
    <row r="133" spans="1:8" x14ac:dyDescent="0.2">
      <c r="A133" s="4">
        <v>4.5</v>
      </c>
      <c r="B133" s="4">
        <v>1</v>
      </c>
      <c r="C133" s="4">
        <v>14</v>
      </c>
      <c r="D133" s="4">
        <v>0</v>
      </c>
      <c r="E133" s="2" t="s">
        <v>79</v>
      </c>
      <c r="F133" s="23">
        <f t="shared" si="6"/>
        <v>6.5511561643446097</v>
      </c>
      <c r="G133" s="23">
        <f t="shared" si="7"/>
        <v>-2.0511561643446097</v>
      </c>
      <c r="H133" s="23">
        <f t="shared" si="8"/>
        <v>4.2072416105288912</v>
      </c>
    </row>
    <row r="134" spans="1:8" x14ac:dyDescent="0.2">
      <c r="A134" s="4">
        <v>4.5</v>
      </c>
      <c r="B134" s="4">
        <v>1</v>
      </c>
      <c r="C134" s="4">
        <v>12</v>
      </c>
      <c r="D134" s="4">
        <v>0</v>
      </c>
      <c r="E134" s="2" t="s">
        <v>79</v>
      </c>
      <c r="F134" s="23">
        <f t="shared" si="6"/>
        <v>5.6152767122953797</v>
      </c>
      <c r="G134" s="23">
        <f t="shared" si="7"/>
        <v>-1.1152767122953797</v>
      </c>
      <c r="H134" s="23">
        <f t="shared" si="8"/>
        <v>1.2438421449883912</v>
      </c>
    </row>
    <row r="135" spans="1:8" x14ac:dyDescent="0.2">
      <c r="A135" s="4">
        <v>3.33</v>
      </c>
      <c r="B135" s="4">
        <v>1</v>
      </c>
      <c r="C135" s="4">
        <v>12</v>
      </c>
      <c r="D135" s="4">
        <v>0</v>
      </c>
      <c r="E135" s="2" t="s">
        <v>79</v>
      </c>
      <c r="F135" s="23">
        <f t="shared" si="6"/>
        <v>5.6152767122953797</v>
      </c>
      <c r="G135" s="23">
        <f t="shared" si="7"/>
        <v>-2.2852767122953797</v>
      </c>
      <c r="H135" s="23">
        <f t="shared" si="8"/>
        <v>5.2224896517595791</v>
      </c>
    </row>
    <row r="136" spans="1:8" x14ac:dyDescent="0.2">
      <c r="A136" s="4">
        <v>10</v>
      </c>
      <c r="B136" s="4">
        <v>1</v>
      </c>
      <c r="C136" s="4">
        <v>14</v>
      </c>
      <c r="D136" s="4">
        <v>0</v>
      </c>
      <c r="E136" s="2" t="s">
        <v>79</v>
      </c>
      <c r="F136" s="23">
        <f t="shared" si="6"/>
        <v>6.5511561643446097</v>
      </c>
      <c r="G136" s="23">
        <f t="shared" si="7"/>
        <v>3.4488438356553903</v>
      </c>
      <c r="H136" s="23">
        <f t="shared" si="8"/>
        <v>11.894523802738185</v>
      </c>
    </row>
    <row r="137" spans="1:8" x14ac:dyDescent="0.2">
      <c r="A137" s="4">
        <v>4.5</v>
      </c>
      <c r="B137" s="4">
        <v>1</v>
      </c>
      <c r="C137" s="4">
        <v>12</v>
      </c>
      <c r="D137" s="4">
        <v>0</v>
      </c>
      <c r="E137" s="2" t="s">
        <v>79</v>
      </c>
      <c r="F137" s="23">
        <f t="shared" si="6"/>
        <v>5.6152767122953797</v>
      </c>
      <c r="G137" s="23">
        <f t="shared" si="7"/>
        <v>-1.1152767122953797</v>
      </c>
      <c r="H137" s="23">
        <f t="shared" si="8"/>
        <v>1.2438421449883912</v>
      </c>
    </row>
    <row r="138" spans="1:8" x14ac:dyDescent="0.2">
      <c r="A138" s="4">
        <v>4.2699999999999996</v>
      </c>
      <c r="B138" s="4">
        <v>1</v>
      </c>
      <c r="C138" s="4">
        <v>16</v>
      </c>
      <c r="D138" s="4">
        <v>0</v>
      </c>
      <c r="E138" s="2" t="s">
        <v>79</v>
      </c>
      <c r="F138" s="23">
        <f t="shared" si="6"/>
        <v>7.4870356163938396</v>
      </c>
      <c r="G138" s="23">
        <f t="shared" si="7"/>
        <v>-3.2170356163938401</v>
      </c>
      <c r="H138" s="23">
        <f t="shared" si="8"/>
        <v>10.349318157146495</v>
      </c>
    </row>
    <row r="139" spans="1:8" x14ac:dyDescent="0.2">
      <c r="A139" s="4">
        <v>20</v>
      </c>
      <c r="B139" s="4">
        <v>1</v>
      </c>
      <c r="C139" s="4">
        <v>12</v>
      </c>
      <c r="D139" s="4">
        <v>0</v>
      </c>
      <c r="E139" s="2" t="s">
        <v>79</v>
      </c>
      <c r="F139" s="23">
        <f t="shared" si="6"/>
        <v>5.6152767122953797</v>
      </c>
      <c r="G139" s="23">
        <f t="shared" si="7"/>
        <v>14.38472328770462</v>
      </c>
      <c r="H139" s="23">
        <f t="shared" si="8"/>
        <v>206.92026406383161</v>
      </c>
    </row>
    <row r="140" spans="1:8" x14ac:dyDescent="0.2">
      <c r="A140" s="4">
        <v>3.5</v>
      </c>
      <c r="B140" s="4">
        <v>1</v>
      </c>
      <c r="C140" s="4">
        <v>12</v>
      </c>
      <c r="D140" s="4">
        <v>0</v>
      </c>
      <c r="E140" s="2" t="s">
        <v>79</v>
      </c>
      <c r="F140" s="23">
        <f t="shared" si="6"/>
        <v>5.6152767122953797</v>
      </c>
      <c r="G140" s="23">
        <f t="shared" si="7"/>
        <v>-2.1152767122953797</v>
      </c>
      <c r="H140" s="23">
        <f t="shared" si="8"/>
        <v>4.4743955695791504</v>
      </c>
    </row>
    <row r="141" spans="1:8" x14ac:dyDescent="0.2">
      <c r="A141" s="4">
        <v>6</v>
      </c>
      <c r="B141" s="4">
        <v>1</v>
      </c>
      <c r="C141" s="4">
        <v>15</v>
      </c>
      <c r="D141" s="4">
        <v>0</v>
      </c>
      <c r="E141" s="2" t="s">
        <v>79</v>
      </c>
      <c r="F141" s="23">
        <f t="shared" si="6"/>
        <v>7.0190958903692247</v>
      </c>
      <c r="G141" s="23">
        <f t="shared" si="7"/>
        <v>-1.0190958903692247</v>
      </c>
      <c r="H141" s="23">
        <f t="shared" si="8"/>
        <v>1.0385564337674427</v>
      </c>
    </row>
    <row r="142" spans="1:8" x14ac:dyDescent="0.2">
      <c r="A142" s="4">
        <v>8</v>
      </c>
      <c r="B142" s="4">
        <v>1</v>
      </c>
      <c r="C142" s="4">
        <v>12</v>
      </c>
      <c r="D142" s="4">
        <v>0</v>
      </c>
      <c r="E142" s="2" t="s">
        <v>79</v>
      </c>
      <c r="F142" s="23">
        <f t="shared" si="6"/>
        <v>5.6152767122953797</v>
      </c>
      <c r="G142" s="23">
        <f t="shared" si="7"/>
        <v>2.3847232877046203</v>
      </c>
      <c r="H142" s="23">
        <f t="shared" si="8"/>
        <v>5.6869051589207329</v>
      </c>
    </row>
    <row r="143" spans="1:8" x14ac:dyDescent="0.2">
      <c r="A143" s="4">
        <v>6.25</v>
      </c>
      <c r="B143" s="4">
        <v>1</v>
      </c>
      <c r="C143" s="4">
        <v>15</v>
      </c>
      <c r="D143" s="4">
        <v>0</v>
      </c>
      <c r="E143" s="2" t="s">
        <v>79</v>
      </c>
      <c r="F143" s="23">
        <f t="shared" si="6"/>
        <v>7.0190958903692247</v>
      </c>
      <c r="G143" s="23">
        <f t="shared" si="7"/>
        <v>-0.76909589036922466</v>
      </c>
      <c r="H143" s="23">
        <f t="shared" si="8"/>
        <v>0.59150848858283045</v>
      </c>
    </row>
    <row r="144" spans="1:8" x14ac:dyDescent="0.2">
      <c r="A144" s="4">
        <v>6.88</v>
      </c>
      <c r="B144" s="4">
        <v>1</v>
      </c>
      <c r="C144" s="10">
        <v>12</v>
      </c>
      <c r="D144" s="4">
        <v>0</v>
      </c>
      <c r="E144" s="2" t="s">
        <v>79</v>
      </c>
      <c r="F144" s="23">
        <f t="shared" si="6"/>
        <v>5.6152767122953797</v>
      </c>
      <c r="G144" s="23">
        <f t="shared" si="7"/>
        <v>1.2647232877046202</v>
      </c>
      <c r="H144" s="23">
        <f t="shared" si="8"/>
        <v>1.5995249944623835</v>
      </c>
    </row>
    <row r="145" spans="1:8" x14ac:dyDescent="0.2">
      <c r="A145" s="4">
        <v>6.25</v>
      </c>
      <c r="B145" s="4">
        <v>1</v>
      </c>
      <c r="C145" s="4">
        <v>16</v>
      </c>
      <c r="D145" s="4">
        <v>0</v>
      </c>
      <c r="E145" s="2" t="s">
        <v>79</v>
      </c>
      <c r="F145" s="23">
        <f t="shared" si="6"/>
        <v>7.4870356163938396</v>
      </c>
      <c r="G145" s="23">
        <f t="shared" si="7"/>
        <v>-1.2370356163938396</v>
      </c>
      <c r="H145" s="23">
        <f t="shared" si="8"/>
        <v>1.5302571162268868</v>
      </c>
    </row>
    <row r="146" spans="1:8" x14ac:dyDescent="0.2">
      <c r="A146" s="4">
        <v>6.38</v>
      </c>
      <c r="B146" s="4">
        <v>1</v>
      </c>
      <c r="C146" s="4">
        <v>13</v>
      </c>
      <c r="D146" s="4">
        <v>0</v>
      </c>
      <c r="E146" s="2" t="s">
        <v>79</v>
      </c>
      <c r="F146" s="23">
        <f t="shared" si="6"/>
        <v>6.0832164383199947</v>
      </c>
      <c r="G146" s="23">
        <f t="shared" si="7"/>
        <v>0.29678356168000519</v>
      </c>
      <c r="H146" s="23">
        <f t="shared" si="8"/>
        <v>8.8080482483469447E-2</v>
      </c>
    </row>
    <row r="147" spans="1:8" x14ac:dyDescent="0.2">
      <c r="A147" s="4">
        <v>5.78</v>
      </c>
      <c r="B147" s="4">
        <v>1</v>
      </c>
      <c r="C147" s="4">
        <v>16</v>
      </c>
      <c r="D147" s="4">
        <v>0</v>
      </c>
      <c r="E147" s="2" t="s">
        <v>79</v>
      </c>
      <c r="F147" s="23">
        <f t="shared" si="6"/>
        <v>7.4870356163938396</v>
      </c>
      <c r="G147" s="23">
        <f t="shared" si="7"/>
        <v>-1.7070356163938394</v>
      </c>
      <c r="H147" s="23">
        <f t="shared" si="8"/>
        <v>2.9139705956370952</v>
      </c>
    </row>
    <row r="148" spans="1:8" x14ac:dyDescent="0.2">
      <c r="A148" s="4">
        <v>7.63</v>
      </c>
      <c r="B148" s="4">
        <v>1</v>
      </c>
      <c r="C148" s="4">
        <v>12</v>
      </c>
      <c r="D148" s="4">
        <v>0</v>
      </c>
      <c r="E148" s="2" t="s">
        <v>79</v>
      </c>
      <c r="F148" s="23">
        <f t="shared" si="6"/>
        <v>5.6152767122953797</v>
      </c>
      <c r="G148" s="23">
        <f t="shared" si="7"/>
        <v>2.0147232877046202</v>
      </c>
      <c r="H148" s="23">
        <f t="shared" si="8"/>
        <v>4.059109926019314</v>
      </c>
    </row>
    <row r="149" spans="1:8" x14ac:dyDescent="0.2">
      <c r="A149" s="4">
        <v>3.75</v>
      </c>
      <c r="B149" s="4">
        <v>1</v>
      </c>
      <c r="C149" s="10">
        <v>12</v>
      </c>
      <c r="D149" s="4">
        <v>0</v>
      </c>
      <c r="E149" s="2" t="s">
        <v>79</v>
      </c>
      <c r="F149" s="23">
        <f t="shared" si="6"/>
        <v>5.6152767122953797</v>
      </c>
      <c r="G149" s="23">
        <f t="shared" si="7"/>
        <v>-1.8652767122953797</v>
      </c>
      <c r="H149" s="23">
        <f t="shared" si="8"/>
        <v>3.479257213431461</v>
      </c>
    </row>
    <row r="150" spans="1:8" x14ac:dyDescent="0.2">
      <c r="A150" s="4">
        <v>6.25</v>
      </c>
      <c r="B150" s="4">
        <v>1</v>
      </c>
      <c r="C150" s="10">
        <v>12</v>
      </c>
      <c r="D150" s="4">
        <v>0</v>
      </c>
      <c r="E150" s="2" t="s">
        <v>79</v>
      </c>
      <c r="F150" s="23">
        <f t="shared" si="6"/>
        <v>5.6152767122953797</v>
      </c>
      <c r="G150" s="23">
        <f t="shared" si="7"/>
        <v>0.63472328770462028</v>
      </c>
      <c r="H150" s="23">
        <f t="shared" si="8"/>
        <v>0.40287365195456215</v>
      </c>
    </row>
    <row r="151" spans="1:8" x14ac:dyDescent="0.2">
      <c r="A151" s="4">
        <v>3.5</v>
      </c>
      <c r="B151" s="4">
        <v>1</v>
      </c>
      <c r="C151" s="4">
        <v>14</v>
      </c>
      <c r="D151" s="4">
        <v>0</v>
      </c>
      <c r="E151" s="2" t="s">
        <v>79</v>
      </c>
      <c r="F151" s="23">
        <f t="shared" si="6"/>
        <v>6.5511561643446097</v>
      </c>
      <c r="G151" s="23">
        <f t="shared" si="7"/>
        <v>-3.0511561643446097</v>
      </c>
      <c r="H151" s="23">
        <f t="shared" si="8"/>
        <v>9.3095539392181106</v>
      </c>
    </row>
    <row r="152" spans="1:8" x14ac:dyDescent="0.2">
      <c r="A152" s="4">
        <v>3.35</v>
      </c>
      <c r="B152" s="4">
        <v>1</v>
      </c>
      <c r="C152" s="4">
        <v>14</v>
      </c>
      <c r="D152" s="4">
        <v>0</v>
      </c>
      <c r="E152" s="2" t="s">
        <v>79</v>
      </c>
      <c r="F152" s="23">
        <f t="shared" si="6"/>
        <v>6.5511561643446097</v>
      </c>
      <c r="G152" s="23">
        <f t="shared" si="7"/>
        <v>-3.2011561643446096</v>
      </c>
      <c r="H152" s="23">
        <f t="shared" si="8"/>
        <v>10.247400788521492</v>
      </c>
    </row>
    <row r="153" spans="1:8" x14ac:dyDescent="0.2">
      <c r="A153" s="4">
        <v>6.88</v>
      </c>
      <c r="B153" s="4">
        <v>1</v>
      </c>
      <c r="C153" s="10">
        <v>12</v>
      </c>
      <c r="D153" s="4">
        <v>0</v>
      </c>
      <c r="E153" s="2" t="s">
        <v>79</v>
      </c>
      <c r="F153" s="23">
        <f t="shared" si="6"/>
        <v>5.6152767122953797</v>
      </c>
      <c r="G153" s="23">
        <f t="shared" si="7"/>
        <v>1.2647232877046202</v>
      </c>
      <c r="H153" s="23">
        <f t="shared" si="8"/>
        <v>1.5995249944623835</v>
      </c>
    </row>
    <row r="154" spans="1:8" x14ac:dyDescent="0.2">
      <c r="A154" s="4">
        <v>5.77</v>
      </c>
      <c r="B154" s="4">
        <v>1</v>
      </c>
      <c r="C154" s="4">
        <v>10</v>
      </c>
      <c r="D154" s="4">
        <v>0</v>
      </c>
      <c r="E154" s="2" t="s">
        <v>79</v>
      </c>
      <c r="F154" s="23">
        <f t="shared" si="6"/>
        <v>4.6793972602461498</v>
      </c>
      <c r="G154" s="23">
        <f t="shared" si="7"/>
        <v>1.0906027397538498</v>
      </c>
      <c r="H154" s="23">
        <f t="shared" si="8"/>
        <v>1.1894143359586034</v>
      </c>
    </row>
    <row r="155" spans="1:8" x14ac:dyDescent="0.2">
      <c r="A155" s="4">
        <v>8.1</v>
      </c>
      <c r="B155" s="4">
        <v>1</v>
      </c>
      <c r="C155" s="4">
        <v>12</v>
      </c>
      <c r="D155" s="4">
        <v>0</v>
      </c>
      <c r="E155" s="2" t="s">
        <v>79</v>
      </c>
      <c r="F155" s="23">
        <f t="shared" si="6"/>
        <v>5.6152767122953797</v>
      </c>
      <c r="G155" s="23">
        <f t="shared" si="7"/>
        <v>2.4847232877046199</v>
      </c>
      <c r="H155" s="23">
        <f t="shared" si="8"/>
        <v>6.1738498164616553</v>
      </c>
    </row>
    <row r="156" spans="1:8" x14ac:dyDescent="0.2">
      <c r="A156" s="4">
        <v>5.48</v>
      </c>
      <c r="B156" s="4">
        <v>1</v>
      </c>
      <c r="C156" s="4">
        <v>10</v>
      </c>
      <c r="D156" s="4">
        <v>0</v>
      </c>
      <c r="E156" s="2" t="s">
        <v>79</v>
      </c>
      <c r="F156" s="23">
        <f t="shared" si="6"/>
        <v>4.6793972602461498</v>
      </c>
      <c r="G156" s="23">
        <f t="shared" si="7"/>
        <v>0.80060273975385066</v>
      </c>
      <c r="H156" s="23">
        <f t="shared" si="8"/>
        <v>0.64096474690137195</v>
      </c>
    </row>
    <row r="157" spans="1:8" x14ac:dyDescent="0.2">
      <c r="A157" s="4">
        <v>3</v>
      </c>
      <c r="B157" s="4">
        <v>1</v>
      </c>
      <c r="C157" s="4">
        <v>14</v>
      </c>
      <c r="D157" s="4">
        <v>0</v>
      </c>
      <c r="E157" s="2" t="s">
        <v>79</v>
      </c>
      <c r="F157" s="23">
        <f t="shared" si="6"/>
        <v>6.5511561643446097</v>
      </c>
      <c r="G157" s="23">
        <f t="shared" si="7"/>
        <v>-3.5511561643446097</v>
      </c>
      <c r="H157" s="23">
        <f t="shared" si="8"/>
        <v>12.61071010356272</v>
      </c>
    </row>
    <row r="158" spans="1:8" x14ac:dyDescent="0.2">
      <c r="A158" s="4">
        <v>5.52</v>
      </c>
      <c r="B158" s="4">
        <v>1</v>
      </c>
      <c r="C158" s="4">
        <v>13</v>
      </c>
      <c r="D158" s="4">
        <v>0</v>
      </c>
      <c r="E158" s="2" t="s">
        <v>79</v>
      </c>
      <c r="F158" s="23">
        <f t="shared" si="6"/>
        <v>6.0832164383199947</v>
      </c>
      <c r="G158" s="23">
        <f t="shared" si="7"/>
        <v>-0.56321643831999513</v>
      </c>
      <c r="H158" s="23">
        <f t="shared" si="8"/>
        <v>0.31721275639386087</v>
      </c>
    </row>
    <row r="159" spans="1:8" x14ac:dyDescent="0.2">
      <c r="A159" s="4">
        <v>3.5</v>
      </c>
      <c r="B159" s="4">
        <v>1</v>
      </c>
      <c r="C159" s="4">
        <v>12</v>
      </c>
      <c r="D159" s="4">
        <v>0</v>
      </c>
      <c r="E159" s="2" t="s">
        <v>79</v>
      </c>
      <c r="F159" s="23">
        <f t="shared" si="6"/>
        <v>5.6152767122953797</v>
      </c>
      <c r="G159" s="23">
        <f t="shared" si="7"/>
        <v>-2.1152767122953797</v>
      </c>
      <c r="H159" s="23">
        <f t="shared" si="8"/>
        <v>4.4743955695791504</v>
      </c>
    </row>
    <row r="160" spans="1:8" x14ac:dyDescent="0.2">
      <c r="A160" s="4">
        <v>2.23</v>
      </c>
      <c r="B160" s="4">
        <v>1</v>
      </c>
      <c r="C160" s="4">
        <v>8</v>
      </c>
      <c r="D160" s="4">
        <v>0</v>
      </c>
      <c r="E160" s="2" t="s">
        <v>79</v>
      </c>
      <c r="F160" s="23">
        <f t="shared" si="6"/>
        <v>3.7435178081969198</v>
      </c>
      <c r="G160" s="23">
        <f t="shared" si="7"/>
        <v>-1.5135178081969198</v>
      </c>
      <c r="H160" s="23">
        <f t="shared" si="8"/>
        <v>2.2907361557292081</v>
      </c>
    </row>
    <row r="161" spans="1:8" x14ac:dyDescent="0.2">
      <c r="A161" s="4">
        <v>8.43</v>
      </c>
      <c r="B161" s="4">
        <v>1</v>
      </c>
      <c r="C161" s="4">
        <v>8</v>
      </c>
      <c r="D161" s="4">
        <v>0</v>
      </c>
      <c r="E161" s="2" t="s">
        <v>79</v>
      </c>
      <c r="F161" s="23">
        <f t="shared" si="6"/>
        <v>3.7435178081969198</v>
      </c>
      <c r="G161" s="23">
        <f t="shared" si="7"/>
        <v>4.6864821918030799</v>
      </c>
      <c r="H161" s="23">
        <f t="shared" si="8"/>
        <v>21.963115334087401</v>
      </c>
    </row>
    <row r="162" spans="1:8" x14ac:dyDescent="0.2">
      <c r="A162" s="4">
        <v>10</v>
      </c>
      <c r="B162" s="4">
        <v>1</v>
      </c>
      <c r="C162" s="4">
        <v>12</v>
      </c>
      <c r="D162" s="4">
        <v>0</v>
      </c>
      <c r="E162" s="2" t="s">
        <v>79</v>
      </c>
      <c r="F162" s="23">
        <f t="shared" si="6"/>
        <v>5.6152767122953797</v>
      </c>
      <c r="G162" s="23">
        <f t="shared" si="7"/>
        <v>4.3847232877046203</v>
      </c>
      <c r="H162" s="23">
        <f t="shared" si="8"/>
        <v>19.225798309739215</v>
      </c>
    </row>
    <row r="163" spans="1:8" x14ac:dyDescent="0.2">
      <c r="A163" s="4">
        <v>8.02</v>
      </c>
      <c r="B163" s="4">
        <v>1</v>
      </c>
      <c r="C163" s="4">
        <v>18</v>
      </c>
      <c r="D163" s="4">
        <v>0</v>
      </c>
      <c r="E163" s="2" t="s">
        <v>79</v>
      </c>
      <c r="F163" s="23">
        <f t="shared" si="6"/>
        <v>8.4229150684430696</v>
      </c>
      <c r="G163" s="23">
        <f t="shared" si="7"/>
        <v>-0.40291506844307001</v>
      </c>
      <c r="H163" s="23">
        <f t="shared" si="8"/>
        <v>0.1623405523784838</v>
      </c>
    </row>
    <row r="164" spans="1:8" x14ac:dyDescent="0.2">
      <c r="A164" s="4">
        <v>4</v>
      </c>
      <c r="B164" s="4">
        <v>1</v>
      </c>
      <c r="C164" s="4">
        <v>14</v>
      </c>
      <c r="D164" s="4">
        <v>1</v>
      </c>
      <c r="E164" s="2" t="s">
        <v>79</v>
      </c>
      <c r="F164" s="23">
        <f t="shared" si="6"/>
        <v>7.4024114235771217</v>
      </c>
      <c r="G164" s="23">
        <f t="shared" si="7"/>
        <v>-3.4024114235771217</v>
      </c>
      <c r="H164" s="23">
        <f t="shared" si="8"/>
        <v>11.576403495288096</v>
      </c>
    </row>
    <row r="165" spans="1:8" x14ac:dyDescent="0.2">
      <c r="A165" s="4">
        <v>6.63</v>
      </c>
      <c r="B165" s="4">
        <v>1</v>
      </c>
      <c r="C165" s="4">
        <v>15</v>
      </c>
      <c r="D165" s="4">
        <v>0</v>
      </c>
      <c r="E165" s="2" t="s">
        <v>79</v>
      </c>
      <c r="F165" s="23">
        <f t="shared" si="6"/>
        <v>7.0190958903692247</v>
      </c>
      <c r="G165" s="23">
        <f t="shared" si="7"/>
        <v>-0.38909589036922476</v>
      </c>
      <c r="H165" s="23">
        <f t="shared" si="8"/>
        <v>0.15139561190221978</v>
      </c>
    </row>
    <row r="166" spans="1:8" x14ac:dyDescent="0.2">
      <c r="A166" s="4">
        <v>6.76</v>
      </c>
      <c r="B166" s="4">
        <v>1</v>
      </c>
      <c r="C166" s="4">
        <v>12</v>
      </c>
      <c r="D166" s="4">
        <v>0</v>
      </c>
      <c r="E166" s="2" t="s">
        <v>79</v>
      </c>
      <c r="F166" s="23">
        <f t="shared" si="6"/>
        <v>5.6152767122953797</v>
      </c>
      <c r="G166" s="23">
        <f t="shared" si="7"/>
        <v>1.1447232877046201</v>
      </c>
      <c r="H166" s="23">
        <f t="shared" si="8"/>
        <v>1.3103914054132744</v>
      </c>
    </row>
    <row r="167" spans="1:8" x14ac:dyDescent="0.2">
      <c r="A167" s="4">
        <v>3.26</v>
      </c>
      <c r="B167" s="4">
        <v>1</v>
      </c>
      <c r="C167" s="4">
        <v>12</v>
      </c>
      <c r="D167" s="4">
        <v>0</v>
      </c>
      <c r="E167" s="2" t="s">
        <v>79</v>
      </c>
      <c r="F167" s="23">
        <f t="shared" si="6"/>
        <v>5.6152767122953797</v>
      </c>
      <c r="G167" s="23">
        <f t="shared" si="7"/>
        <v>-2.3552767122953799</v>
      </c>
      <c r="H167" s="23">
        <f t="shared" si="8"/>
        <v>5.5473283914809342</v>
      </c>
    </row>
    <row r="168" spans="1:8" x14ac:dyDescent="0.2">
      <c r="A168" s="4">
        <v>4.79</v>
      </c>
      <c r="B168" s="4">
        <v>1</v>
      </c>
      <c r="C168" s="4">
        <v>12</v>
      </c>
      <c r="D168" s="4">
        <v>0</v>
      </c>
      <c r="E168" s="2" t="s">
        <v>79</v>
      </c>
      <c r="F168" s="23">
        <f t="shared" si="6"/>
        <v>5.6152767122953797</v>
      </c>
      <c r="G168" s="23">
        <f t="shared" si="7"/>
        <v>-0.82527671229537969</v>
      </c>
      <c r="H168" s="23">
        <f t="shared" si="8"/>
        <v>0.68108165185707092</v>
      </c>
    </row>
    <row r="169" spans="1:8" x14ac:dyDescent="0.2">
      <c r="A169" s="4">
        <v>3.88</v>
      </c>
      <c r="B169" s="4">
        <v>1</v>
      </c>
      <c r="C169" s="4">
        <v>12</v>
      </c>
      <c r="D169" s="4">
        <v>0</v>
      </c>
      <c r="E169" s="2" t="s">
        <v>79</v>
      </c>
      <c r="F169" s="23">
        <f t="shared" si="6"/>
        <v>5.6152767122953797</v>
      </c>
      <c r="G169" s="23">
        <f t="shared" si="7"/>
        <v>-1.7352767122953798</v>
      </c>
      <c r="H169" s="23">
        <f t="shared" si="8"/>
        <v>3.0111852682346623</v>
      </c>
    </row>
    <row r="170" spans="1:8" x14ac:dyDescent="0.2">
      <c r="A170" s="4">
        <v>6</v>
      </c>
      <c r="B170" s="4">
        <v>1</v>
      </c>
      <c r="C170" s="4">
        <v>14</v>
      </c>
      <c r="D170" s="4">
        <v>0</v>
      </c>
      <c r="E170" s="2" t="s">
        <v>79</v>
      </c>
      <c r="F170" s="23">
        <f t="shared" si="6"/>
        <v>6.5511561643446097</v>
      </c>
      <c r="G170" s="23">
        <f t="shared" si="7"/>
        <v>-0.55115616434460968</v>
      </c>
      <c r="H170" s="23">
        <f t="shared" si="8"/>
        <v>0.30377311749506242</v>
      </c>
    </row>
    <row r="171" spans="1:8" x14ac:dyDescent="0.2">
      <c r="A171" s="4">
        <v>4.2</v>
      </c>
      <c r="B171" s="4">
        <v>1</v>
      </c>
      <c r="C171" s="4">
        <v>13</v>
      </c>
      <c r="D171" s="4">
        <v>0</v>
      </c>
      <c r="E171" s="2" t="s">
        <v>79</v>
      </c>
      <c r="F171" s="23">
        <f t="shared" si="6"/>
        <v>6.0832164383199947</v>
      </c>
      <c r="G171" s="23">
        <f t="shared" si="7"/>
        <v>-1.8832164383199945</v>
      </c>
      <c r="H171" s="23">
        <f t="shared" si="8"/>
        <v>3.5465041535586459</v>
      </c>
    </row>
    <row r="172" spans="1:8" x14ac:dyDescent="0.2">
      <c r="A172" s="4">
        <v>6.29</v>
      </c>
      <c r="B172" s="4">
        <v>1</v>
      </c>
      <c r="C172" s="4">
        <v>17</v>
      </c>
      <c r="D172" s="4">
        <v>0</v>
      </c>
      <c r="E172" s="2" t="s">
        <v>79</v>
      </c>
      <c r="F172" s="23">
        <f t="shared" si="6"/>
        <v>7.9549753424184546</v>
      </c>
      <c r="G172" s="23">
        <f t="shared" si="7"/>
        <v>-1.6649753424184546</v>
      </c>
      <c r="H172" s="23">
        <f t="shared" si="8"/>
        <v>2.77214289086145</v>
      </c>
    </row>
    <row r="173" spans="1:8" x14ac:dyDescent="0.2">
      <c r="A173" s="4">
        <v>5.43</v>
      </c>
      <c r="B173" s="4">
        <v>1</v>
      </c>
      <c r="C173" s="4">
        <v>14</v>
      </c>
      <c r="D173" s="4">
        <v>0</v>
      </c>
      <c r="E173" s="2" t="s">
        <v>79</v>
      </c>
      <c r="F173" s="23">
        <f t="shared" si="6"/>
        <v>6.5511561643446097</v>
      </c>
      <c r="G173" s="23">
        <f t="shared" si="7"/>
        <v>-1.12115616434461</v>
      </c>
      <c r="H173" s="23">
        <f t="shared" si="8"/>
        <v>1.2569911448479181</v>
      </c>
    </row>
    <row r="174" spans="1:8" x14ac:dyDescent="0.2">
      <c r="A174" s="4">
        <v>17.71</v>
      </c>
      <c r="B174" s="4">
        <v>1</v>
      </c>
      <c r="C174" s="4">
        <v>16</v>
      </c>
      <c r="D174" s="4">
        <v>1</v>
      </c>
      <c r="E174" s="2" t="s">
        <v>79</v>
      </c>
      <c r="F174" s="23">
        <f t="shared" si="6"/>
        <v>8.3382908756263507</v>
      </c>
      <c r="G174" s="23">
        <f t="shared" si="7"/>
        <v>9.3717091243736501</v>
      </c>
      <c r="H174" s="23">
        <f t="shared" si="8"/>
        <v>87.828931911868324</v>
      </c>
    </row>
    <row r="175" spans="1:8" x14ac:dyDescent="0.2">
      <c r="A175" s="4">
        <v>7.78</v>
      </c>
      <c r="B175" s="4">
        <v>1</v>
      </c>
      <c r="C175" s="4">
        <v>14</v>
      </c>
      <c r="D175" s="4">
        <v>0</v>
      </c>
      <c r="E175" s="2" t="s">
        <v>79</v>
      </c>
      <c r="F175" s="23">
        <f t="shared" si="6"/>
        <v>6.5511561643446097</v>
      </c>
      <c r="G175" s="23">
        <f t="shared" si="7"/>
        <v>1.2288438356553906</v>
      </c>
      <c r="H175" s="23">
        <f t="shared" si="8"/>
        <v>1.5100571724282525</v>
      </c>
    </row>
    <row r="176" spans="1:8" x14ac:dyDescent="0.2">
      <c r="A176" s="4">
        <v>10</v>
      </c>
      <c r="B176" s="4">
        <v>1</v>
      </c>
      <c r="C176" s="4">
        <v>16</v>
      </c>
      <c r="D176" s="4">
        <v>0</v>
      </c>
      <c r="E176" s="2" t="s">
        <v>79</v>
      </c>
      <c r="F176" s="23">
        <f t="shared" si="6"/>
        <v>7.4870356163938396</v>
      </c>
      <c r="G176" s="23">
        <f t="shared" si="7"/>
        <v>2.5129643836061604</v>
      </c>
      <c r="H176" s="23">
        <f t="shared" si="8"/>
        <v>6.3149899932730893</v>
      </c>
    </row>
    <row r="177" spans="1:8" x14ac:dyDescent="0.2">
      <c r="A177" s="4">
        <v>5</v>
      </c>
      <c r="B177" s="4">
        <v>1</v>
      </c>
      <c r="C177" s="4">
        <v>12</v>
      </c>
      <c r="D177" s="4">
        <v>0</v>
      </c>
      <c r="E177" s="2" t="s">
        <v>79</v>
      </c>
      <c r="F177" s="23">
        <f t="shared" si="6"/>
        <v>5.6152767122953797</v>
      </c>
      <c r="G177" s="23">
        <f t="shared" si="7"/>
        <v>-0.61527671229537972</v>
      </c>
      <c r="H177" s="23">
        <f t="shared" si="8"/>
        <v>0.37856543269301146</v>
      </c>
    </row>
    <row r="178" spans="1:8" x14ac:dyDescent="0.2">
      <c r="A178" s="4">
        <v>5.4</v>
      </c>
      <c r="B178" s="4">
        <v>1</v>
      </c>
      <c r="C178" s="4">
        <v>12</v>
      </c>
      <c r="D178" s="4">
        <v>0</v>
      </c>
      <c r="E178" s="2" t="s">
        <v>79</v>
      </c>
      <c r="F178" s="23">
        <f t="shared" si="6"/>
        <v>5.6152767122953797</v>
      </c>
      <c r="G178" s="23">
        <f t="shared" si="7"/>
        <v>-0.21527671229537937</v>
      </c>
      <c r="H178" s="23">
        <f t="shared" si="8"/>
        <v>4.6344062856707544E-2</v>
      </c>
    </row>
    <row r="179" spans="1:8" x14ac:dyDescent="0.2">
      <c r="A179" s="4">
        <v>5</v>
      </c>
      <c r="B179" s="4">
        <v>1</v>
      </c>
      <c r="C179" s="4">
        <v>12</v>
      </c>
      <c r="D179" s="4">
        <v>0</v>
      </c>
      <c r="E179" s="2" t="s">
        <v>79</v>
      </c>
      <c r="F179" s="23">
        <f t="shared" si="6"/>
        <v>5.6152767122953797</v>
      </c>
      <c r="G179" s="23">
        <f t="shared" si="7"/>
        <v>-0.61527671229537972</v>
      </c>
      <c r="H179" s="23">
        <f t="shared" si="8"/>
        <v>0.37856543269301146</v>
      </c>
    </row>
    <row r="180" spans="1:8" x14ac:dyDescent="0.2">
      <c r="A180" s="4">
        <v>10</v>
      </c>
      <c r="B180" s="4">
        <v>1</v>
      </c>
      <c r="C180" s="4">
        <v>17</v>
      </c>
      <c r="D180" s="4">
        <v>0</v>
      </c>
      <c r="E180" s="2" t="s">
        <v>79</v>
      </c>
      <c r="F180" s="23">
        <f t="shared" si="6"/>
        <v>7.9549753424184546</v>
      </c>
      <c r="G180" s="23">
        <f t="shared" si="7"/>
        <v>2.0450246575815454</v>
      </c>
      <c r="H180" s="23">
        <f t="shared" si="8"/>
        <v>4.1821258501165168</v>
      </c>
    </row>
    <row r="181" spans="1:8" x14ac:dyDescent="0.2">
      <c r="A181" s="4">
        <v>6.25</v>
      </c>
      <c r="B181" s="4">
        <v>1</v>
      </c>
      <c r="C181" s="4">
        <v>16</v>
      </c>
      <c r="D181" s="4">
        <v>0</v>
      </c>
      <c r="E181" s="2" t="s">
        <v>79</v>
      </c>
      <c r="F181" s="23">
        <f t="shared" si="6"/>
        <v>7.4870356163938396</v>
      </c>
      <c r="G181" s="23">
        <f t="shared" si="7"/>
        <v>-1.2370356163938396</v>
      </c>
      <c r="H181" s="23">
        <f t="shared" si="8"/>
        <v>1.5302571162268868</v>
      </c>
    </row>
    <row r="182" spans="1:8" x14ac:dyDescent="0.2">
      <c r="A182" s="4">
        <v>8.92</v>
      </c>
      <c r="B182" s="4">
        <v>1</v>
      </c>
      <c r="C182" s="4">
        <v>18</v>
      </c>
      <c r="D182" s="4">
        <v>0</v>
      </c>
      <c r="E182" s="2" t="s">
        <v>79</v>
      </c>
      <c r="F182" s="23">
        <f t="shared" si="6"/>
        <v>8.4229150684430696</v>
      </c>
      <c r="G182" s="23">
        <f t="shared" si="7"/>
        <v>0.49708493155693034</v>
      </c>
      <c r="H182" s="23">
        <f t="shared" si="8"/>
        <v>0.24709342918095811</v>
      </c>
    </row>
    <row r="183" spans="1:8" x14ac:dyDescent="0.2">
      <c r="A183" s="4">
        <v>9.56</v>
      </c>
      <c r="B183" s="4">
        <v>1</v>
      </c>
      <c r="C183" s="4">
        <v>16</v>
      </c>
      <c r="D183" s="4">
        <v>0</v>
      </c>
      <c r="E183" s="2" t="s">
        <v>79</v>
      </c>
      <c r="F183" s="23">
        <f t="shared" si="6"/>
        <v>7.4870356163938396</v>
      </c>
      <c r="G183" s="23">
        <f t="shared" si="7"/>
        <v>2.0729643836061609</v>
      </c>
      <c r="H183" s="23">
        <f t="shared" si="8"/>
        <v>4.2971813356996709</v>
      </c>
    </row>
    <row r="184" spans="1:8" x14ac:dyDescent="0.2">
      <c r="A184" s="4">
        <v>3</v>
      </c>
      <c r="B184" s="4">
        <v>1</v>
      </c>
      <c r="C184" s="4">
        <v>14</v>
      </c>
      <c r="D184" s="4">
        <v>0</v>
      </c>
      <c r="E184" s="2" t="s">
        <v>79</v>
      </c>
      <c r="F184" s="23">
        <f t="shared" si="6"/>
        <v>6.5511561643446097</v>
      </c>
      <c r="G184" s="23">
        <f t="shared" si="7"/>
        <v>-3.5511561643446097</v>
      </c>
      <c r="H184" s="23">
        <f t="shared" si="8"/>
        <v>12.61071010356272</v>
      </c>
    </row>
    <row r="185" spans="1:8" x14ac:dyDescent="0.2">
      <c r="A185" s="4">
        <v>2.92</v>
      </c>
      <c r="B185" s="4">
        <v>1</v>
      </c>
      <c r="C185" s="4">
        <v>14</v>
      </c>
      <c r="D185" s="4">
        <v>0</v>
      </c>
      <c r="E185" s="2" t="s">
        <v>79</v>
      </c>
      <c r="F185" s="23">
        <f t="shared" si="6"/>
        <v>6.5511561643446097</v>
      </c>
      <c r="G185" s="23">
        <f t="shared" si="7"/>
        <v>-3.6311561643446097</v>
      </c>
      <c r="H185" s="23">
        <f t="shared" si="8"/>
        <v>13.185295089857858</v>
      </c>
    </row>
    <row r="186" spans="1:8" x14ac:dyDescent="0.2">
      <c r="A186" s="4">
        <v>4.75</v>
      </c>
      <c r="B186" s="4">
        <v>1</v>
      </c>
      <c r="C186" s="4">
        <v>12</v>
      </c>
      <c r="D186" s="4">
        <v>0</v>
      </c>
      <c r="E186" s="2" t="s">
        <v>79</v>
      </c>
      <c r="F186" s="23">
        <f t="shared" si="6"/>
        <v>5.6152767122953797</v>
      </c>
      <c r="G186" s="23">
        <f t="shared" si="7"/>
        <v>-0.86527671229537972</v>
      </c>
      <c r="H186" s="23">
        <f t="shared" si="8"/>
        <v>0.74870378884070132</v>
      </c>
    </row>
    <row r="187" spans="1:8" x14ac:dyDescent="0.2">
      <c r="A187" s="4">
        <v>5</v>
      </c>
      <c r="B187" s="4">
        <v>1</v>
      </c>
      <c r="C187" s="10">
        <v>12</v>
      </c>
      <c r="D187" s="4">
        <v>0</v>
      </c>
      <c r="E187" s="2" t="s">
        <v>79</v>
      </c>
      <c r="F187" s="23">
        <f t="shared" si="6"/>
        <v>5.6152767122953797</v>
      </c>
      <c r="G187" s="23">
        <f t="shared" si="7"/>
        <v>-0.61527671229537972</v>
      </c>
      <c r="H187" s="23">
        <f t="shared" si="8"/>
        <v>0.37856543269301146</v>
      </c>
    </row>
    <row r="188" spans="1:8" x14ac:dyDescent="0.2">
      <c r="A188" s="4">
        <v>3.25</v>
      </c>
      <c r="B188" s="4">
        <v>1</v>
      </c>
      <c r="C188" s="4">
        <v>12</v>
      </c>
      <c r="D188" s="4">
        <v>0</v>
      </c>
      <c r="E188" s="2" t="s">
        <v>79</v>
      </c>
      <c r="F188" s="23">
        <f t="shared" si="6"/>
        <v>5.6152767122953797</v>
      </c>
      <c r="G188" s="23">
        <f t="shared" si="7"/>
        <v>-2.3652767122953797</v>
      </c>
      <c r="H188" s="23">
        <f t="shared" si="8"/>
        <v>5.5945339257268403</v>
      </c>
    </row>
    <row r="189" spans="1:8" x14ac:dyDescent="0.2">
      <c r="A189" s="4">
        <v>4.55</v>
      </c>
      <c r="B189" s="4">
        <v>1</v>
      </c>
      <c r="C189" s="4">
        <v>16</v>
      </c>
      <c r="D189" s="4">
        <v>0</v>
      </c>
      <c r="E189" s="2" t="s">
        <v>79</v>
      </c>
      <c r="F189" s="23">
        <f t="shared" si="6"/>
        <v>7.4870356163938396</v>
      </c>
      <c r="G189" s="23">
        <f t="shared" si="7"/>
        <v>-2.9370356163938398</v>
      </c>
      <c r="H189" s="23">
        <f t="shared" si="8"/>
        <v>8.6261782119659429</v>
      </c>
    </row>
    <row r="190" spans="1:8" x14ac:dyDescent="0.2">
      <c r="A190" s="4">
        <v>3.73</v>
      </c>
      <c r="B190" s="4">
        <v>1</v>
      </c>
      <c r="C190" s="4">
        <v>9</v>
      </c>
      <c r="D190" s="4">
        <v>0</v>
      </c>
      <c r="E190" s="2" t="s">
        <v>79</v>
      </c>
      <c r="F190" s="23">
        <f t="shared" si="6"/>
        <v>4.2114575342215348</v>
      </c>
      <c r="G190" s="23">
        <f t="shared" si="7"/>
        <v>-0.48145753422153481</v>
      </c>
      <c r="H190" s="23">
        <f t="shared" si="8"/>
        <v>0.23180135725868037</v>
      </c>
    </row>
    <row r="191" spans="1:8" x14ac:dyDescent="0.2">
      <c r="A191" s="4">
        <v>6.5</v>
      </c>
      <c r="B191" s="4">
        <v>1</v>
      </c>
      <c r="C191" s="4">
        <v>12</v>
      </c>
      <c r="D191" s="4">
        <v>0</v>
      </c>
      <c r="E191" s="2" t="s">
        <v>79</v>
      </c>
      <c r="F191" s="23">
        <f t="shared" si="6"/>
        <v>5.6152767122953797</v>
      </c>
      <c r="G191" s="23">
        <f t="shared" si="7"/>
        <v>0.88472328770462028</v>
      </c>
      <c r="H191" s="23">
        <f t="shared" si="8"/>
        <v>0.78273529580687229</v>
      </c>
    </row>
    <row r="192" spans="1:8" x14ac:dyDescent="0.2">
      <c r="A192" s="4">
        <v>4.6500000000000004</v>
      </c>
      <c r="B192" s="4">
        <v>1</v>
      </c>
      <c r="C192" s="4">
        <v>12</v>
      </c>
      <c r="D192" s="4">
        <v>0</v>
      </c>
      <c r="E192" s="2" t="s">
        <v>79</v>
      </c>
      <c r="F192" s="23">
        <f t="shared" si="6"/>
        <v>5.6152767122953797</v>
      </c>
      <c r="G192" s="23">
        <f t="shared" si="7"/>
        <v>-0.96527671229537937</v>
      </c>
      <c r="H192" s="23">
        <f t="shared" si="8"/>
        <v>0.93175913129977661</v>
      </c>
    </row>
    <row r="193" spans="1:8" x14ac:dyDescent="0.2">
      <c r="A193" s="4">
        <v>8</v>
      </c>
      <c r="B193" s="4">
        <v>1</v>
      </c>
      <c r="C193" s="4">
        <v>12</v>
      </c>
      <c r="D193" s="4">
        <v>0</v>
      </c>
      <c r="E193" s="2" t="s">
        <v>79</v>
      </c>
      <c r="F193" s="23">
        <f t="shared" si="6"/>
        <v>5.6152767122953797</v>
      </c>
      <c r="G193" s="23">
        <f t="shared" si="7"/>
        <v>2.3847232877046203</v>
      </c>
      <c r="H193" s="23">
        <f t="shared" si="8"/>
        <v>5.6869051589207329</v>
      </c>
    </row>
    <row r="194" spans="1:8" x14ac:dyDescent="0.2">
      <c r="A194" s="4">
        <v>4.5</v>
      </c>
      <c r="B194" s="4">
        <v>1</v>
      </c>
      <c r="C194" s="4">
        <v>13</v>
      </c>
      <c r="D194" s="4">
        <v>0</v>
      </c>
      <c r="E194" s="2" t="s">
        <v>79</v>
      </c>
      <c r="F194" s="23">
        <f t="shared" ref="F194:F257" si="9">($K$18*B194)+($K$19*C194)+($K$20*D194)</f>
        <v>6.0832164383199947</v>
      </c>
      <c r="G194" s="23">
        <f t="shared" si="7"/>
        <v>-1.5832164383199947</v>
      </c>
      <c r="H194" s="23">
        <f t="shared" si="8"/>
        <v>2.5065742905666495</v>
      </c>
    </row>
    <row r="195" spans="1:8" x14ac:dyDescent="0.2">
      <c r="A195" s="4">
        <v>3.5</v>
      </c>
      <c r="B195" s="4">
        <v>1</v>
      </c>
      <c r="C195" s="4">
        <v>11</v>
      </c>
      <c r="D195" s="4">
        <v>0</v>
      </c>
      <c r="E195" s="2" t="s">
        <v>79</v>
      </c>
      <c r="F195" s="23">
        <f t="shared" si="9"/>
        <v>5.1473369862707647</v>
      </c>
      <c r="G195" s="23">
        <f t="shared" ref="G195:G258" si="10">(A195-F195)</f>
        <v>-1.6473369862707647</v>
      </c>
      <c r="H195" s="23">
        <f t="shared" ref="H195:H258" si="11">G195^2</f>
        <v>2.7137191463356456</v>
      </c>
    </row>
    <row r="196" spans="1:8" x14ac:dyDescent="0.2">
      <c r="A196" s="4">
        <v>2.9</v>
      </c>
      <c r="B196" s="4">
        <v>1</v>
      </c>
      <c r="C196" s="4">
        <v>10</v>
      </c>
      <c r="D196" s="4">
        <v>0</v>
      </c>
      <c r="E196" s="2" t="s">
        <v>79</v>
      </c>
      <c r="F196" s="23">
        <f t="shared" si="9"/>
        <v>4.6793972602461498</v>
      </c>
      <c r="G196" s="23">
        <f t="shared" si="10"/>
        <v>-1.7793972602461499</v>
      </c>
      <c r="H196" s="23">
        <f t="shared" si="11"/>
        <v>3.1662546097715043</v>
      </c>
    </row>
    <row r="197" spans="1:8" x14ac:dyDescent="0.2">
      <c r="A197" s="4">
        <v>3.24</v>
      </c>
      <c r="B197" s="4">
        <v>1</v>
      </c>
      <c r="C197" s="4">
        <v>12</v>
      </c>
      <c r="D197" s="4">
        <v>0</v>
      </c>
      <c r="E197" s="2" t="s">
        <v>79</v>
      </c>
      <c r="F197" s="23">
        <f t="shared" si="9"/>
        <v>5.6152767122953797</v>
      </c>
      <c r="G197" s="23">
        <f t="shared" si="10"/>
        <v>-2.3752767122953795</v>
      </c>
      <c r="H197" s="23">
        <f t="shared" si="11"/>
        <v>5.6419394599727468</v>
      </c>
    </row>
    <row r="198" spans="1:8" x14ac:dyDescent="0.2">
      <c r="A198" s="4">
        <v>3.83</v>
      </c>
      <c r="B198" s="4">
        <v>1</v>
      </c>
      <c r="C198" s="4">
        <v>12</v>
      </c>
      <c r="D198" s="4">
        <v>0</v>
      </c>
      <c r="E198" s="2" t="s">
        <v>79</v>
      </c>
      <c r="F198" s="23">
        <f t="shared" si="9"/>
        <v>5.6152767122953797</v>
      </c>
      <c r="G198" s="23">
        <f t="shared" si="10"/>
        <v>-1.7852767122953797</v>
      </c>
      <c r="H198" s="23">
        <f t="shared" si="11"/>
        <v>3.1872129394641999</v>
      </c>
    </row>
    <row r="199" spans="1:8" x14ac:dyDescent="0.2">
      <c r="A199" s="4">
        <v>3.5</v>
      </c>
      <c r="B199" s="4">
        <v>1</v>
      </c>
      <c r="C199" s="4">
        <v>14</v>
      </c>
      <c r="D199" s="4">
        <v>0</v>
      </c>
      <c r="E199" s="2" t="s">
        <v>79</v>
      </c>
      <c r="F199" s="23">
        <f t="shared" si="9"/>
        <v>6.5511561643446097</v>
      </c>
      <c r="G199" s="23">
        <f t="shared" si="10"/>
        <v>-3.0511561643446097</v>
      </c>
      <c r="H199" s="23">
        <f t="shared" si="11"/>
        <v>9.3095539392181106</v>
      </c>
    </row>
    <row r="200" spans="1:8" x14ac:dyDescent="0.2">
      <c r="A200" s="4">
        <v>13.08</v>
      </c>
      <c r="B200" s="4">
        <v>1</v>
      </c>
      <c r="C200" s="4">
        <v>17</v>
      </c>
      <c r="D200" s="4">
        <v>0</v>
      </c>
      <c r="E200" s="2" t="s">
        <v>79</v>
      </c>
      <c r="F200" s="23">
        <f t="shared" si="9"/>
        <v>7.9549753424184546</v>
      </c>
      <c r="G200" s="23">
        <f t="shared" si="10"/>
        <v>5.1250246575815455</v>
      </c>
      <c r="H200" s="23">
        <f t="shared" si="11"/>
        <v>26.265877740818837</v>
      </c>
    </row>
    <row r="201" spans="1:8" x14ac:dyDescent="0.2">
      <c r="A201" s="4">
        <v>10.38</v>
      </c>
      <c r="B201" s="4">
        <v>1</v>
      </c>
      <c r="C201" s="4">
        <v>18</v>
      </c>
      <c r="D201" s="4">
        <v>0</v>
      </c>
      <c r="E201" s="2" t="s">
        <v>79</v>
      </c>
      <c r="F201" s="23">
        <f t="shared" si="9"/>
        <v>8.4229150684430696</v>
      </c>
      <c r="G201" s="23">
        <f t="shared" si="10"/>
        <v>1.9570849315569312</v>
      </c>
      <c r="H201" s="23">
        <f t="shared" si="11"/>
        <v>3.8301814293271979</v>
      </c>
    </row>
    <row r="202" spans="1:8" x14ac:dyDescent="0.2">
      <c r="A202" s="4">
        <v>2.95</v>
      </c>
      <c r="B202" s="4">
        <v>1</v>
      </c>
      <c r="C202" s="4">
        <v>8</v>
      </c>
      <c r="D202" s="4">
        <v>0</v>
      </c>
      <c r="E202" s="2" t="s">
        <v>79</v>
      </c>
      <c r="F202" s="23">
        <f t="shared" si="9"/>
        <v>3.7435178081969198</v>
      </c>
      <c r="G202" s="23">
        <f t="shared" si="10"/>
        <v>-0.79351780819691964</v>
      </c>
      <c r="H202" s="23">
        <f t="shared" si="11"/>
        <v>0.62967051192564338</v>
      </c>
    </row>
    <row r="203" spans="1:8" x14ac:dyDescent="0.2">
      <c r="A203" s="4">
        <v>3.25</v>
      </c>
      <c r="B203" s="4">
        <v>1</v>
      </c>
      <c r="C203" s="4">
        <v>12</v>
      </c>
      <c r="D203" s="4">
        <v>0</v>
      </c>
      <c r="E203" s="2" t="s">
        <v>79</v>
      </c>
      <c r="F203" s="23">
        <f t="shared" si="9"/>
        <v>5.6152767122953797</v>
      </c>
      <c r="G203" s="23">
        <f t="shared" si="10"/>
        <v>-2.3652767122953797</v>
      </c>
      <c r="H203" s="23">
        <f t="shared" si="11"/>
        <v>5.5945339257268403</v>
      </c>
    </row>
    <row r="204" spans="1:8" x14ac:dyDescent="0.2">
      <c r="A204" s="4">
        <v>15</v>
      </c>
      <c r="B204" s="4">
        <v>1</v>
      </c>
      <c r="C204" s="4">
        <v>16</v>
      </c>
      <c r="D204" s="4">
        <v>0</v>
      </c>
      <c r="E204" s="2" t="s">
        <v>79</v>
      </c>
      <c r="F204" s="23">
        <f t="shared" si="9"/>
        <v>7.4870356163938396</v>
      </c>
      <c r="G204" s="23">
        <f t="shared" si="10"/>
        <v>7.5129643836061604</v>
      </c>
      <c r="H204" s="23">
        <f t="shared" si="11"/>
        <v>56.444633829334691</v>
      </c>
    </row>
    <row r="205" spans="1:8" x14ac:dyDescent="0.2">
      <c r="A205" s="4">
        <v>6.25</v>
      </c>
      <c r="B205" s="4">
        <v>1</v>
      </c>
      <c r="C205" s="10">
        <v>12</v>
      </c>
      <c r="D205" s="4">
        <v>0</v>
      </c>
      <c r="E205" s="2" t="s">
        <v>79</v>
      </c>
      <c r="F205" s="23">
        <f t="shared" si="9"/>
        <v>5.6152767122953797</v>
      </c>
      <c r="G205" s="23">
        <f t="shared" si="10"/>
        <v>0.63472328770462028</v>
      </c>
      <c r="H205" s="23">
        <f t="shared" si="11"/>
        <v>0.40287365195456215</v>
      </c>
    </row>
    <row r="206" spans="1:8" x14ac:dyDescent="0.2">
      <c r="A206" s="4">
        <v>7.26</v>
      </c>
      <c r="B206" s="4">
        <v>1</v>
      </c>
      <c r="C206" s="4">
        <v>13</v>
      </c>
      <c r="D206" s="4">
        <v>0</v>
      </c>
      <c r="E206" s="2" t="s">
        <v>79</v>
      </c>
      <c r="F206" s="23">
        <f t="shared" si="9"/>
        <v>6.0832164383199947</v>
      </c>
      <c r="G206" s="23">
        <f t="shared" si="10"/>
        <v>1.1767835616800051</v>
      </c>
      <c r="H206" s="23">
        <f t="shared" si="11"/>
        <v>1.3848195510402783</v>
      </c>
    </row>
    <row r="207" spans="1:8" x14ac:dyDescent="0.2">
      <c r="A207" s="4">
        <v>6.25</v>
      </c>
      <c r="B207" s="4">
        <v>1</v>
      </c>
      <c r="C207" s="4">
        <v>16</v>
      </c>
      <c r="D207" s="4">
        <v>0</v>
      </c>
      <c r="E207" s="2" t="s">
        <v>79</v>
      </c>
      <c r="F207" s="23">
        <f t="shared" si="9"/>
        <v>7.4870356163938396</v>
      </c>
      <c r="G207" s="23">
        <f t="shared" si="10"/>
        <v>-1.2370356163938396</v>
      </c>
      <c r="H207" s="23">
        <f t="shared" si="11"/>
        <v>1.5302571162268868</v>
      </c>
    </row>
    <row r="208" spans="1:8" x14ac:dyDescent="0.2">
      <c r="A208" s="4">
        <v>5.3</v>
      </c>
      <c r="B208" s="4">
        <v>1</v>
      </c>
      <c r="C208" s="4">
        <v>12</v>
      </c>
      <c r="D208" s="4">
        <v>0</v>
      </c>
      <c r="E208" s="2" t="s">
        <v>79</v>
      </c>
      <c r="F208" s="23">
        <f t="shared" si="9"/>
        <v>5.6152767122953797</v>
      </c>
      <c r="G208" s="23">
        <f t="shared" si="10"/>
        <v>-0.3152767122953799</v>
      </c>
      <c r="H208" s="23">
        <f t="shared" si="11"/>
        <v>9.9399405315783756E-2</v>
      </c>
    </row>
    <row r="209" spans="1:8" x14ac:dyDescent="0.2">
      <c r="A209" s="4">
        <v>3.51</v>
      </c>
      <c r="B209" s="4">
        <v>1</v>
      </c>
      <c r="C209" s="4">
        <v>12</v>
      </c>
      <c r="D209" s="4">
        <v>0</v>
      </c>
      <c r="E209" s="2" t="s">
        <v>79</v>
      </c>
      <c r="F209" s="23">
        <f t="shared" si="9"/>
        <v>5.6152767122953797</v>
      </c>
      <c r="G209" s="23">
        <f t="shared" si="10"/>
        <v>-2.1052767122953799</v>
      </c>
      <c r="H209" s="23">
        <f t="shared" si="11"/>
        <v>4.4321900353332442</v>
      </c>
    </row>
    <row r="210" spans="1:8" x14ac:dyDescent="0.2">
      <c r="A210" s="4">
        <v>7.5</v>
      </c>
      <c r="B210" s="4">
        <v>1</v>
      </c>
      <c r="C210" s="4">
        <v>16</v>
      </c>
      <c r="D210" s="4">
        <v>0</v>
      </c>
      <c r="E210" s="2" t="s">
        <v>79</v>
      </c>
      <c r="F210" s="23">
        <f t="shared" si="9"/>
        <v>7.4870356163938396</v>
      </c>
      <c r="G210" s="23">
        <f t="shared" si="10"/>
        <v>1.2964383606160368E-2</v>
      </c>
      <c r="H210" s="23">
        <f t="shared" si="11"/>
        <v>1.680752422876797E-4</v>
      </c>
    </row>
    <row r="211" spans="1:8" x14ac:dyDescent="0.2">
      <c r="A211" s="4">
        <v>3.5</v>
      </c>
      <c r="B211" s="4">
        <v>1</v>
      </c>
      <c r="C211" s="4">
        <v>12</v>
      </c>
      <c r="D211" s="4">
        <v>0</v>
      </c>
      <c r="E211" s="2" t="s">
        <v>79</v>
      </c>
      <c r="F211" s="23">
        <f t="shared" si="9"/>
        <v>5.6152767122953797</v>
      </c>
      <c r="G211" s="23">
        <f t="shared" si="10"/>
        <v>-2.1152767122953797</v>
      </c>
      <c r="H211" s="23">
        <f t="shared" si="11"/>
        <v>4.4743955695791504</v>
      </c>
    </row>
    <row r="212" spans="1:8" x14ac:dyDescent="0.2">
      <c r="A212" s="4">
        <v>12.5</v>
      </c>
      <c r="B212" s="4">
        <v>1</v>
      </c>
      <c r="C212" s="4">
        <v>18</v>
      </c>
      <c r="D212" s="4">
        <v>0</v>
      </c>
      <c r="E212" s="2" t="s">
        <v>79</v>
      </c>
      <c r="F212" s="23">
        <f t="shared" si="9"/>
        <v>8.4229150684430696</v>
      </c>
      <c r="G212" s="23">
        <f t="shared" si="10"/>
        <v>4.0770849315569304</v>
      </c>
      <c r="H212" s="23">
        <f t="shared" si="11"/>
        <v>16.622621539128581</v>
      </c>
    </row>
    <row r="213" spans="1:8" x14ac:dyDescent="0.2">
      <c r="A213" s="4">
        <v>8.33</v>
      </c>
      <c r="B213" s="4">
        <v>1</v>
      </c>
      <c r="C213" s="4">
        <v>16</v>
      </c>
      <c r="D213" s="4">
        <v>0</v>
      </c>
      <c r="E213" s="2" t="s">
        <v>79</v>
      </c>
      <c r="F213" s="23">
        <f t="shared" si="9"/>
        <v>7.4870356163938396</v>
      </c>
      <c r="G213" s="23">
        <f t="shared" si="10"/>
        <v>0.84296438360616044</v>
      </c>
      <c r="H213" s="23">
        <f t="shared" si="11"/>
        <v>0.71058895202851402</v>
      </c>
    </row>
    <row r="214" spans="1:8" x14ac:dyDescent="0.2">
      <c r="A214" s="4">
        <v>4.25</v>
      </c>
      <c r="B214" s="4">
        <v>1</v>
      </c>
      <c r="C214" s="4">
        <v>14</v>
      </c>
      <c r="D214" s="4">
        <v>0</v>
      </c>
      <c r="E214" s="2" t="s">
        <v>79</v>
      </c>
      <c r="F214" s="23">
        <f t="shared" si="9"/>
        <v>6.5511561643446097</v>
      </c>
      <c r="G214" s="23">
        <f t="shared" si="10"/>
        <v>-2.3011561643446097</v>
      </c>
      <c r="H214" s="23">
        <f t="shared" si="11"/>
        <v>5.2953196927011961</v>
      </c>
    </row>
    <row r="215" spans="1:8" x14ac:dyDescent="0.2">
      <c r="A215" s="4">
        <v>4.34</v>
      </c>
      <c r="B215" s="4">
        <v>1</v>
      </c>
      <c r="C215" s="4">
        <v>16</v>
      </c>
      <c r="D215" s="4">
        <v>0</v>
      </c>
      <c r="E215" s="2" t="s">
        <v>79</v>
      </c>
      <c r="F215" s="23">
        <f t="shared" si="9"/>
        <v>7.4870356163938396</v>
      </c>
      <c r="G215" s="23">
        <f t="shared" si="10"/>
        <v>-3.1470356163938398</v>
      </c>
      <c r="H215" s="23">
        <f t="shared" si="11"/>
        <v>9.903833170851355</v>
      </c>
    </row>
    <row r="216" spans="1:8" x14ac:dyDescent="0.2">
      <c r="A216" s="4">
        <v>4.51</v>
      </c>
      <c r="B216" s="4">
        <v>1</v>
      </c>
      <c r="C216" s="4">
        <v>12</v>
      </c>
      <c r="D216" s="4">
        <v>0</v>
      </c>
      <c r="E216" s="2" t="s">
        <v>79</v>
      </c>
      <c r="F216" s="23">
        <f t="shared" si="9"/>
        <v>5.6152767122953797</v>
      </c>
      <c r="G216" s="23">
        <f t="shared" si="10"/>
        <v>-1.1052767122953799</v>
      </c>
      <c r="H216" s="23">
        <f t="shared" si="11"/>
        <v>1.2216366107424841</v>
      </c>
    </row>
    <row r="217" spans="1:8" x14ac:dyDescent="0.2">
      <c r="A217" s="4">
        <v>3.75</v>
      </c>
      <c r="B217" s="4">
        <v>1</v>
      </c>
      <c r="C217" s="10">
        <v>12</v>
      </c>
      <c r="D217" s="4">
        <v>0</v>
      </c>
      <c r="E217" s="2" t="s">
        <v>79</v>
      </c>
      <c r="F217" s="23">
        <f t="shared" si="9"/>
        <v>5.6152767122953797</v>
      </c>
      <c r="G217" s="23">
        <f t="shared" si="10"/>
        <v>-1.8652767122953797</v>
      </c>
      <c r="H217" s="23">
        <f t="shared" si="11"/>
        <v>3.479257213431461</v>
      </c>
    </row>
    <row r="218" spans="1:8" x14ac:dyDescent="0.2">
      <c r="A218" s="4">
        <v>6.53</v>
      </c>
      <c r="B218" s="4">
        <v>1</v>
      </c>
      <c r="C218" s="4">
        <v>16</v>
      </c>
      <c r="D218" s="4">
        <v>0</v>
      </c>
      <c r="E218" s="2" t="s">
        <v>79</v>
      </c>
      <c r="F218" s="23">
        <f t="shared" si="9"/>
        <v>7.4870356163938396</v>
      </c>
      <c r="G218" s="23">
        <f t="shared" si="10"/>
        <v>-0.95703561639383938</v>
      </c>
      <c r="H218" s="23">
        <f t="shared" si="11"/>
        <v>0.91591717104633608</v>
      </c>
    </row>
    <row r="219" spans="1:8" x14ac:dyDescent="0.2">
      <c r="A219" s="4">
        <v>8.6</v>
      </c>
      <c r="B219" s="4">
        <v>1</v>
      </c>
      <c r="C219" s="4">
        <v>16</v>
      </c>
      <c r="D219" s="4">
        <v>0</v>
      </c>
      <c r="E219" s="2" t="s">
        <v>79</v>
      </c>
      <c r="F219" s="23">
        <f t="shared" si="9"/>
        <v>7.4870356163938396</v>
      </c>
      <c r="G219" s="23">
        <f t="shared" si="10"/>
        <v>1.11296438360616</v>
      </c>
      <c r="H219" s="23">
        <f t="shared" si="11"/>
        <v>1.2386897191758397</v>
      </c>
    </row>
    <row r="220" spans="1:8" x14ac:dyDescent="0.2">
      <c r="A220" s="4">
        <v>8.75</v>
      </c>
      <c r="B220" s="4">
        <v>1</v>
      </c>
      <c r="C220" s="4">
        <v>16</v>
      </c>
      <c r="D220" s="4">
        <v>0</v>
      </c>
      <c r="E220" s="2" t="s">
        <v>79</v>
      </c>
      <c r="F220" s="23">
        <f t="shared" si="9"/>
        <v>7.4870356163938396</v>
      </c>
      <c r="G220" s="23">
        <f t="shared" si="10"/>
        <v>1.2629643836061604</v>
      </c>
      <c r="H220" s="23">
        <f t="shared" si="11"/>
        <v>1.5950790342576886</v>
      </c>
    </row>
    <row r="221" spans="1:8" x14ac:dyDescent="0.2">
      <c r="A221" s="4">
        <v>10</v>
      </c>
      <c r="B221" s="4">
        <v>1</v>
      </c>
      <c r="C221" s="4">
        <v>16</v>
      </c>
      <c r="D221" s="4">
        <v>0</v>
      </c>
      <c r="E221" s="2" t="s">
        <v>79</v>
      </c>
      <c r="F221" s="23">
        <f t="shared" si="9"/>
        <v>7.4870356163938396</v>
      </c>
      <c r="G221" s="23">
        <f t="shared" si="10"/>
        <v>2.5129643836061604</v>
      </c>
      <c r="H221" s="23">
        <f t="shared" si="11"/>
        <v>6.3149899932730893</v>
      </c>
    </row>
    <row r="222" spans="1:8" x14ac:dyDescent="0.2">
      <c r="A222" s="4">
        <v>5.63</v>
      </c>
      <c r="B222" s="4">
        <v>1</v>
      </c>
      <c r="C222" s="4">
        <v>16</v>
      </c>
      <c r="D222" s="4">
        <v>0</v>
      </c>
      <c r="E222" s="2" t="s">
        <v>79</v>
      </c>
      <c r="F222" s="23">
        <f t="shared" si="9"/>
        <v>7.4870356163938396</v>
      </c>
      <c r="G222" s="23">
        <f t="shared" si="10"/>
        <v>-1.8570356163938397</v>
      </c>
      <c r="H222" s="23">
        <f t="shared" si="11"/>
        <v>3.4485812805552483</v>
      </c>
    </row>
    <row r="223" spans="1:8" x14ac:dyDescent="0.2">
      <c r="A223" s="4">
        <v>3.2</v>
      </c>
      <c r="B223" s="4">
        <v>1</v>
      </c>
      <c r="C223" s="4">
        <v>15</v>
      </c>
      <c r="D223" s="4">
        <v>0</v>
      </c>
      <c r="E223" s="2" t="s">
        <v>79</v>
      </c>
      <c r="F223" s="23">
        <f t="shared" si="9"/>
        <v>7.0190958903692247</v>
      </c>
      <c r="G223" s="23">
        <f t="shared" si="10"/>
        <v>-3.8190958903692245</v>
      </c>
      <c r="H223" s="23">
        <f t="shared" si="11"/>
        <v>14.5854934198351</v>
      </c>
    </row>
    <row r="224" spans="1:8" x14ac:dyDescent="0.2">
      <c r="A224" s="4">
        <v>2.9</v>
      </c>
      <c r="B224" s="4">
        <v>1</v>
      </c>
      <c r="C224" s="4">
        <v>12</v>
      </c>
      <c r="D224" s="4">
        <v>0</v>
      </c>
      <c r="E224" s="2" t="s">
        <v>79</v>
      </c>
      <c r="F224" s="23">
        <f t="shared" si="9"/>
        <v>5.6152767122953797</v>
      </c>
      <c r="G224" s="23">
        <f t="shared" si="10"/>
        <v>-2.7152767122953798</v>
      </c>
      <c r="H224" s="23">
        <f t="shared" si="11"/>
        <v>7.3727276243336064</v>
      </c>
    </row>
    <row r="225" spans="1:8" x14ac:dyDescent="0.2">
      <c r="A225" s="4">
        <v>6</v>
      </c>
      <c r="B225" s="4">
        <v>1</v>
      </c>
      <c r="C225" s="4">
        <v>16</v>
      </c>
      <c r="D225" s="4">
        <v>0</v>
      </c>
      <c r="E225" s="2" t="s">
        <v>79</v>
      </c>
      <c r="F225" s="23">
        <f t="shared" si="9"/>
        <v>7.4870356163938396</v>
      </c>
      <c r="G225" s="23">
        <f t="shared" si="10"/>
        <v>-1.4870356163938396</v>
      </c>
      <c r="H225" s="23">
        <f t="shared" si="11"/>
        <v>2.2112749244238068</v>
      </c>
    </row>
    <row r="226" spans="1:8" x14ac:dyDescent="0.2">
      <c r="A226" s="4">
        <v>3.5</v>
      </c>
      <c r="B226" s="4">
        <v>1</v>
      </c>
      <c r="C226" s="4">
        <v>13</v>
      </c>
      <c r="D226" s="4">
        <v>0</v>
      </c>
      <c r="E226" s="2" t="s">
        <v>79</v>
      </c>
      <c r="F226" s="23">
        <f t="shared" si="9"/>
        <v>6.0832164383199947</v>
      </c>
      <c r="G226" s="23">
        <f t="shared" si="10"/>
        <v>-2.5832164383199947</v>
      </c>
      <c r="H226" s="23">
        <f t="shared" si="11"/>
        <v>6.6730071672066389</v>
      </c>
    </row>
    <row r="227" spans="1:8" x14ac:dyDescent="0.2">
      <c r="A227" s="4">
        <v>3.75</v>
      </c>
      <c r="B227" s="4">
        <v>1</v>
      </c>
      <c r="C227" s="4">
        <v>18</v>
      </c>
      <c r="D227" s="4">
        <v>0</v>
      </c>
      <c r="E227" s="2" t="s">
        <v>79</v>
      </c>
      <c r="F227" s="23">
        <f t="shared" si="9"/>
        <v>8.4229150684430696</v>
      </c>
      <c r="G227" s="23">
        <f t="shared" si="10"/>
        <v>-4.6729150684430696</v>
      </c>
      <c r="H227" s="23">
        <f t="shared" si="11"/>
        <v>21.836135236882299</v>
      </c>
    </row>
    <row r="228" spans="1:8" x14ac:dyDescent="0.2">
      <c r="A228" s="4">
        <v>8.75</v>
      </c>
      <c r="B228" s="4">
        <v>1</v>
      </c>
      <c r="C228" s="4">
        <v>16</v>
      </c>
      <c r="D228" s="4">
        <v>0</v>
      </c>
      <c r="E228" s="2" t="s">
        <v>79</v>
      </c>
      <c r="F228" s="23">
        <f t="shared" si="9"/>
        <v>7.4870356163938396</v>
      </c>
      <c r="G228" s="23">
        <f t="shared" si="10"/>
        <v>1.2629643836061604</v>
      </c>
      <c r="H228" s="23">
        <f t="shared" si="11"/>
        <v>1.5950790342576886</v>
      </c>
    </row>
    <row r="229" spans="1:8" x14ac:dyDescent="0.2">
      <c r="A229" s="4">
        <v>2.9</v>
      </c>
      <c r="B229" s="4">
        <v>1</v>
      </c>
      <c r="C229" s="4">
        <v>11</v>
      </c>
      <c r="D229" s="4">
        <v>0</v>
      </c>
      <c r="E229" s="2" t="s">
        <v>79</v>
      </c>
      <c r="F229" s="23">
        <f t="shared" si="9"/>
        <v>5.1473369862707647</v>
      </c>
      <c r="G229" s="23">
        <f t="shared" si="10"/>
        <v>-2.2473369862707648</v>
      </c>
      <c r="H229" s="23">
        <f t="shared" si="11"/>
        <v>5.0505235298605635</v>
      </c>
    </row>
    <row r="230" spans="1:8" x14ac:dyDescent="0.2">
      <c r="A230" s="4">
        <v>3.52</v>
      </c>
      <c r="B230" s="4">
        <v>1</v>
      </c>
      <c r="C230" s="4">
        <v>12</v>
      </c>
      <c r="D230" s="4">
        <v>0</v>
      </c>
      <c r="E230" s="2" t="s">
        <v>79</v>
      </c>
      <c r="F230" s="23">
        <f t="shared" si="9"/>
        <v>5.6152767122953797</v>
      </c>
      <c r="G230" s="23">
        <f t="shared" si="10"/>
        <v>-2.0952767122953797</v>
      </c>
      <c r="H230" s="23">
        <f t="shared" si="11"/>
        <v>4.3901845010873357</v>
      </c>
    </row>
    <row r="231" spans="1:8" x14ac:dyDescent="0.2">
      <c r="A231" s="4">
        <v>3</v>
      </c>
      <c r="B231" s="4">
        <v>1</v>
      </c>
      <c r="C231" s="4">
        <v>8</v>
      </c>
      <c r="D231" s="4">
        <v>0</v>
      </c>
      <c r="E231" s="2" t="s">
        <v>79</v>
      </c>
      <c r="F231" s="23">
        <f t="shared" si="9"/>
        <v>3.7435178081969198</v>
      </c>
      <c r="G231" s="23">
        <f t="shared" si="10"/>
        <v>-0.74351780819691982</v>
      </c>
      <c r="H231" s="23">
        <f t="shared" si="11"/>
        <v>0.5528187311059517</v>
      </c>
    </row>
    <row r="232" spans="1:8" x14ac:dyDescent="0.2">
      <c r="A232" s="4">
        <v>2.9</v>
      </c>
      <c r="B232" s="4">
        <v>1</v>
      </c>
      <c r="C232" s="4">
        <v>12</v>
      </c>
      <c r="D232" s="4">
        <v>0</v>
      </c>
      <c r="E232" s="2" t="s">
        <v>79</v>
      </c>
      <c r="F232" s="23">
        <f t="shared" si="9"/>
        <v>5.6152767122953797</v>
      </c>
      <c r="G232" s="23">
        <f t="shared" si="10"/>
        <v>-2.7152767122953798</v>
      </c>
      <c r="H232" s="23">
        <f t="shared" si="11"/>
        <v>7.3727276243336064</v>
      </c>
    </row>
    <row r="233" spans="1:8" x14ac:dyDescent="0.2">
      <c r="A233" s="4">
        <v>9</v>
      </c>
      <c r="B233" s="4">
        <v>1</v>
      </c>
      <c r="C233" s="4">
        <v>12</v>
      </c>
      <c r="D233" s="4">
        <v>0</v>
      </c>
      <c r="E233" s="2" t="s">
        <v>79</v>
      </c>
      <c r="F233" s="23">
        <f t="shared" si="9"/>
        <v>5.6152767122953797</v>
      </c>
      <c r="G233" s="23">
        <f t="shared" si="10"/>
        <v>3.3847232877046203</v>
      </c>
      <c r="H233" s="23">
        <f t="shared" si="11"/>
        <v>11.456351734329974</v>
      </c>
    </row>
    <row r="234" spans="1:8" x14ac:dyDescent="0.2">
      <c r="A234" s="4">
        <v>3</v>
      </c>
      <c r="B234" s="4">
        <v>1</v>
      </c>
      <c r="C234" s="4">
        <v>12</v>
      </c>
      <c r="D234" s="4">
        <v>0</v>
      </c>
      <c r="E234" s="2" t="s">
        <v>79</v>
      </c>
      <c r="F234" s="23">
        <f t="shared" si="9"/>
        <v>5.6152767122953797</v>
      </c>
      <c r="G234" s="23">
        <f t="shared" si="10"/>
        <v>-2.6152767122953797</v>
      </c>
      <c r="H234" s="23">
        <f t="shared" si="11"/>
        <v>6.8396722818745301</v>
      </c>
    </row>
    <row r="235" spans="1:8" x14ac:dyDescent="0.2">
      <c r="A235" s="4">
        <v>3.5</v>
      </c>
      <c r="B235" s="4">
        <v>1</v>
      </c>
      <c r="C235" s="4">
        <v>13</v>
      </c>
      <c r="D235" s="4">
        <v>0</v>
      </c>
      <c r="E235" s="2" t="s">
        <v>79</v>
      </c>
      <c r="F235" s="23">
        <f t="shared" si="9"/>
        <v>6.0832164383199947</v>
      </c>
      <c r="G235" s="23">
        <f t="shared" si="10"/>
        <v>-2.5832164383199947</v>
      </c>
      <c r="H235" s="23">
        <f t="shared" si="11"/>
        <v>6.6730071672066389</v>
      </c>
    </row>
    <row r="236" spans="1:8" x14ac:dyDescent="0.2">
      <c r="A236" s="4">
        <v>3</v>
      </c>
      <c r="B236" s="4">
        <v>1</v>
      </c>
      <c r="C236" s="4">
        <v>7</v>
      </c>
      <c r="D236" s="4">
        <v>0</v>
      </c>
      <c r="E236" s="2" t="s">
        <v>79</v>
      </c>
      <c r="F236" s="23">
        <f t="shared" si="9"/>
        <v>3.2755780821723048</v>
      </c>
      <c r="G236" s="23">
        <f t="shared" si="10"/>
        <v>-0.27557808217230484</v>
      </c>
      <c r="H236" s="23">
        <f t="shared" si="11"/>
        <v>7.5943279373765604E-2</v>
      </c>
    </row>
    <row r="237" spans="1:8" x14ac:dyDescent="0.2">
      <c r="A237" s="4">
        <v>4</v>
      </c>
      <c r="B237" s="4">
        <v>1</v>
      </c>
      <c r="C237" s="4">
        <v>9</v>
      </c>
      <c r="D237" s="4">
        <v>0</v>
      </c>
      <c r="E237" s="2" t="s">
        <v>79</v>
      </c>
      <c r="F237" s="23">
        <f t="shared" si="9"/>
        <v>4.2114575342215348</v>
      </c>
      <c r="G237" s="23">
        <f t="shared" si="10"/>
        <v>-0.21145753422153479</v>
      </c>
      <c r="H237" s="23">
        <f t="shared" si="11"/>
        <v>4.4714288779051557E-2</v>
      </c>
    </row>
    <row r="238" spans="1:8" x14ac:dyDescent="0.2">
      <c r="A238" s="4">
        <v>2.9</v>
      </c>
      <c r="B238" s="4">
        <v>1</v>
      </c>
      <c r="C238" s="4">
        <v>12</v>
      </c>
      <c r="D238" s="4">
        <v>0</v>
      </c>
      <c r="E238" s="2" t="s">
        <v>79</v>
      </c>
      <c r="F238" s="23">
        <f t="shared" si="9"/>
        <v>5.6152767122953797</v>
      </c>
      <c r="G238" s="23">
        <f t="shared" si="10"/>
        <v>-2.7152767122953798</v>
      </c>
      <c r="H238" s="23">
        <f t="shared" si="11"/>
        <v>7.3727276243336064</v>
      </c>
    </row>
    <row r="239" spans="1:8" x14ac:dyDescent="0.2">
      <c r="A239" s="4">
        <v>4.63</v>
      </c>
      <c r="B239" s="4">
        <v>1</v>
      </c>
      <c r="C239" s="4">
        <v>12</v>
      </c>
      <c r="D239" s="4">
        <v>0</v>
      </c>
      <c r="E239" s="2" t="s">
        <v>79</v>
      </c>
      <c r="F239" s="23">
        <f t="shared" si="9"/>
        <v>5.6152767122953797</v>
      </c>
      <c r="G239" s="23">
        <f t="shared" si="10"/>
        <v>-0.98527671229537983</v>
      </c>
      <c r="H239" s="23">
        <f t="shared" si="11"/>
        <v>0.97077019979159274</v>
      </c>
    </row>
    <row r="240" spans="1:8" x14ac:dyDescent="0.2">
      <c r="A240" s="4">
        <v>4.72</v>
      </c>
      <c r="B240" s="4">
        <v>1</v>
      </c>
      <c r="C240" s="4">
        <v>12</v>
      </c>
      <c r="D240" s="4">
        <v>0</v>
      </c>
      <c r="E240" s="2" t="s">
        <v>79</v>
      </c>
      <c r="F240" s="23">
        <f t="shared" si="9"/>
        <v>5.6152767122953797</v>
      </c>
      <c r="G240" s="23">
        <f t="shared" si="10"/>
        <v>-0.89527671229537997</v>
      </c>
      <c r="H240" s="23">
        <f t="shared" si="11"/>
        <v>0.80152039157842458</v>
      </c>
    </row>
    <row r="241" spans="1:8" x14ac:dyDescent="0.2">
      <c r="A241" s="4">
        <v>2.9</v>
      </c>
      <c r="B241" s="4">
        <v>1</v>
      </c>
      <c r="C241" s="4">
        <v>12</v>
      </c>
      <c r="D241" s="4">
        <v>0</v>
      </c>
      <c r="E241" s="2" t="s">
        <v>79</v>
      </c>
      <c r="F241" s="23">
        <f t="shared" si="9"/>
        <v>5.6152767122953797</v>
      </c>
      <c r="G241" s="23">
        <f t="shared" si="10"/>
        <v>-2.7152767122953798</v>
      </c>
      <c r="H241" s="23">
        <f t="shared" si="11"/>
        <v>7.3727276243336064</v>
      </c>
    </row>
    <row r="242" spans="1:8" x14ac:dyDescent="0.2">
      <c r="A242" s="4">
        <v>5</v>
      </c>
      <c r="B242" s="4">
        <v>1</v>
      </c>
      <c r="C242" s="4">
        <v>11</v>
      </c>
      <c r="D242" s="4">
        <v>0</v>
      </c>
      <c r="E242" s="2" t="s">
        <v>79</v>
      </c>
      <c r="F242" s="23">
        <f t="shared" si="9"/>
        <v>5.1473369862707647</v>
      </c>
      <c r="G242" s="23">
        <f t="shared" si="10"/>
        <v>-0.14733698627076475</v>
      </c>
      <c r="H242" s="23">
        <f t="shared" si="11"/>
        <v>2.1708187523351519E-2</v>
      </c>
    </row>
    <row r="243" spans="1:8" x14ac:dyDescent="0.2">
      <c r="A243" s="4">
        <v>8.65</v>
      </c>
      <c r="B243" s="4">
        <v>1</v>
      </c>
      <c r="C243" s="4">
        <v>18</v>
      </c>
      <c r="D243" s="4">
        <v>0</v>
      </c>
      <c r="E243" s="2" t="s">
        <v>79</v>
      </c>
      <c r="F243" s="23">
        <f t="shared" si="9"/>
        <v>8.4229150684430696</v>
      </c>
      <c r="G243" s="23">
        <f t="shared" si="10"/>
        <v>0.22708493155693077</v>
      </c>
      <c r="H243" s="23">
        <f t="shared" si="11"/>
        <v>5.1567566140215931E-2</v>
      </c>
    </row>
    <row r="244" spans="1:8" x14ac:dyDescent="0.2">
      <c r="A244" s="4">
        <v>1.5</v>
      </c>
      <c r="B244" s="4">
        <v>1</v>
      </c>
      <c r="C244" s="4">
        <v>12</v>
      </c>
      <c r="D244" s="4">
        <v>0</v>
      </c>
      <c r="E244" s="2" t="s">
        <v>79</v>
      </c>
      <c r="F244" s="23">
        <f t="shared" si="9"/>
        <v>5.6152767122953797</v>
      </c>
      <c r="G244" s="23">
        <f t="shared" si="10"/>
        <v>-4.1152767122953797</v>
      </c>
      <c r="H244" s="23">
        <f t="shared" si="11"/>
        <v>16.93550241876067</v>
      </c>
    </row>
    <row r="245" spans="1:8" x14ac:dyDescent="0.2">
      <c r="A245" s="4">
        <v>6.35</v>
      </c>
      <c r="B245" s="4">
        <v>1</v>
      </c>
      <c r="C245" s="4">
        <v>14</v>
      </c>
      <c r="D245" s="4">
        <v>0</v>
      </c>
      <c r="E245" s="2" t="s">
        <v>79</v>
      </c>
      <c r="F245" s="23">
        <f t="shared" si="9"/>
        <v>6.5511561643446097</v>
      </c>
      <c r="G245" s="23">
        <f t="shared" si="10"/>
        <v>-0.20115616434461003</v>
      </c>
      <c r="H245" s="23">
        <f t="shared" si="11"/>
        <v>4.0463802453835761E-2</v>
      </c>
    </row>
    <row r="246" spans="1:8" x14ac:dyDescent="0.2">
      <c r="A246" s="4">
        <v>3.25</v>
      </c>
      <c r="B246" s="4">
        <v>1</v>
      </c>
      <c r="C246" s="4">
        <v>8</v>
      </c>
      <c r="D246" s="4">
        <v>0</v>
      </c>
      <c r="E246" s="2" t="s">
        <v>79</v>
      </c>
      <c r="F246" s="23">
        <f t="shared" si="9"/>
        <v>3.7435178081969198</v>
      </c>
      <c r="G246" s="23">
        <f t="shared" si="10"/>
        <v>-0.49351780819691982</v>
      </c>
      <c r="H246" s="23">
        <f t="shared" si="11"/>
        <v>0.24355982700749174</v>
      </c>
    </row>
    <row r="247" spans="1:8" x14ac:dyDescent="0.2">
      <c r="A247" s="4">
        <v>3.35</v>
      </c>
      <c r="B247" s="4">
        <v>1</v>
      </c>
      <c r="C247" s="4">
        <v>12</v>
      </c>
      <c r="D247" s="4">
        <v>0</v>
      </c>
      <c r="E247" s="2" t="s">
        <v>79</v>
      </c>
      <c r="F247" s="23">
        <f t="shared" si="9"/>
        <v>5.6152767122953797</v>
      </c>
      <c r="G247" s="23">
        <f t="shared" si="10"/>
        <v>-2.2652767122953796</v>
      </c>
      <c r="H247" s="23">
        <f t="shared" si="11"/>
        <v>5.1314785832677643</v>
      </c>
    </row>
    <row r="248" spans="1:8" x14ac:dyDescent="0.2">
      <c r="A248" s="4">
        <v>8.8000000000000007</v>
      </c>
      <c r="B248" s="4">
        <v>1</v>
      </c>
      <c r="C248" s="4">
        <v>16</v>
      </c>
      <c r="D248" s="4">
        <v>0</v>
      </c>
      <c r="E248" s="2" t="s">
        <v>79</v>
      </c>
      <c r="F248" s="23">
        <f t="shared" si="9"/>
        <v>7.4870356163938396</v>
      </c>
      <c r="G248" s="23">
        <f t="shared" si="10"/>
        <v>1.3129643836061611</v>
      </c>
      <c r="H248" s="23">
        <f t="shared" si="11"/>
        <v>1.7238754726183065</v>
      </c>
    </row>
    <row r="249" spans="1:8" x14ac:dyDescent="0.2">
      <c r="A249" s="4">
        <v>12.5</v>
      </c>
      <c r="B249" s="4">
        <v>1</v>
      </c>
      <c r="C249" s="4">
        <v>12</v>
      </c>
      <c r="D249" s="4">
        <v>0</v>
      </c>
      <c r="E249" s="2" t="s">
        <v>79</v>
      </c>
      <c r="F249" s="23">
        <f t="shared" si="9"/>
        <v>5.6152767122953797</v>
      </c>
      <c r="G249" s="23">
        <f t="shared" si="10"/>
        <v>6.8847232877046203</v>
      </c>
      <c r="H249" s="23">
        <f t="shared" si="11"/>
        <v>47.399414748262316</v>
      </c>
    </row>
    <row r="250" spans="1:8" x14ac:dyDescent="0.2">
      <c r="A250" s="4">
        <v>6.36</v>
      </c>
      <c r="B250" s="4">
        <v>1</v>
      </c>
      <c r="C250" s="4">
        <v>14</v>
      </c>
      <c r="D250" s="4">
        <v>0</v>
      </c>
      <c r="E250" s="2" t="s">
        <v>79</v>
      </c>
      <c r="F250" s="23">
        <f t="shared" si="9"/>
        <v>6.5511561643446097</v>
      </c>
      <c r="G250" s="23">
        <f t="shared" si="10"/>
        <v>-0.19115616434460936</v>
      </c>
      <c r="H250" s="23">
        <f t="shared" si="11"/>
        <v>3.6540679166943299E-2</v>
      </c>
    </row>
    <row r="251" spans="1:8" x14ac:dyDescent="0.2">
      <c r="A251" s="4">
        <v>6.5</v>
      </c>
      <c r="B251" s="4">
        <v>1</v>
      </c>
      <c r="C251" s="4">
        <v>12</v>
      </c>
      <c r="D251" s="4">
        <v>0</v>
      </c>
      <c r="E251" s="2" t="s">
        <v>79</v>
      </c>
      <c r="F251" s="23">
        <f t="shared" si="9"/>
        <v>5.6152767122953797</v>
      </c>
      <c r="G251" s="23">
        <f t="shared" si="10"/>
        <v>0.88472328770462028</v>
      </c>
      <c r="H251" s="23">
        <f t="shared" si="11"/>
        <v>0.78273529580687229</v>
      </c>
    </row>
    <row r="252" spans="1:8" x14ac:dyDescent="0.2">
      <c r="A252" s="4">
        <v>2.31</v>
      </c>
      <c r="B252" s="4">
        <v>1</v>
      </c>
      <c r="C252" s="4">
        <v>9</v>
      </c>
      <c r="D252" s="4">
        <v>0</v>
      </c>
      <c r="E252" s="2" t="s">
        <v>79</v>
      </c>
      <c r="F252" s="23">
        <f t="shared" si="9"/>
        <v>4.2114575342215348</v>
      </c>
      <c r="G252" s="23">
        <f t="shared" si="10"/>
        <v>-1.9014575342215347</v>
      </c>
      <c r="H252" s="23">
        <f t="shared" si="11"/>
        <v>3.6155407544478391</v>
      </c>
    </row>
    <row r="253" spans="1:8" x14ac:dyDescent="0.2">
      <c r="A253" s="4">
        <v>3.5</v>
      </c>
      <c r="B253" s="4">
        <v>1</v>
      </c>
      <c r="C253" s="4">
        <v>18</v>
      </c>
      <c r="D253" s="4">
        <v>0</v>
      </c>
      <c r="E253" s="2" t="s">
        <v>79</v>
      </c>
      <c r="F253" s="23">
        <f t="shared" si="9"/>
        <v>8.4229150684430696</v>
      </c>
      <c r="G253" s="23">
        <f t="shared" si="10"/>
        <v>-4.9229150684430696</v>
      </c>
      <c r="H253" s="23">
        <f t="shared" si="11"/>
        <v>24.235092771103833</v>
      </c>
    </row>
    <row r="254" spans="1:8" x14ac:dyDescent="0.2">
      <c r="A254" s="4">
        <v>0.53</v>
      </c>
      <c r="B254" s="4">
        <v>1</v>
      </c>
      <c r="C254" s="4">
        <v>12</v>
      </c>
      <c r="D254" s="4">
        <v>0</v>
      </c>
      <c r="E254" s="2" t="s">
        <v>79</v>
      </c>
      <c r="F254" s="23">
        <f t="shared" si="9"/>
        <v>5.6152767122953797</v>
      </c>
      <c r="G254" s="23">
        <f t="shared" si="10"/>
        <v>-5.0852767122953795</v>
      </c>
      <c r="H254" s="23">
        <f t="shared" si="11"/>
        <v>25.860039240613705</v>
      </c>
    </row>
    <row r="255" spans="1:8" x14ac:dyDescent="0.2">
      <c r="A255" s="4">
        <v>3</v>
      </c>
      <c r="B255" s="4">
        <v>1</v>
      </c>
      <c r="C255" s="4">
        <v>13</v>
      </c>
      <c r="D255" s="4">
        <v>0</v>
      </c>
      <c r="E255" s="2" t="s">
        <v>79</v>
      </c>
      <c r="F255" s="23">
        <f t="shared" si="9"/>
        <v>6.0832164383199947</v>
      </c>
      <c r="G255" s="23">
        <f t="shared" si="10"/>
        <v>-3.0832164383199947</v>
      </c>
      <c r="H255" s="23">
        <f t="shared" si="11"/>
        <v>9.5062236055266336</v>
      </c>
    </row>
    <row r="256" spans="1:8" x14ac:dyDescent="0.2">
      <c r="A256" s="4">
        <v>4.68</v>
      </c>
      <c r="B256" s="4">
        <v>1</v>
      </c>
      <c r="C256" s="4">
        <v>16</v>
      </c>
      <c r="D256" s="4">
        <v>0</v>
      </c>
      <c r="E256" s="2" t="s">
        <v>79</v>
      </c>
      <c r="F256" s="23">
        <f t="shared" si="9"/>
        <v>7.4870356163938396</v>
      </c>
      <c r="G256" s="23">
        <f t="shared" si="10"/>
        <v>-2.8070356163938399</v>
      </c>
      <c r="H256" s="23">
        <f t="shared" si="11"/>
        <v>7.8794489517035444</v>
      </c>
    </row>
    <row r="257" spans="1:8" x14ac:dyDescent="0.2">
      <c r="A257" s="4">
        <v>4.5</v>
      </c>
      <c r="B257" s="4">
        <v>1</v>
      </c>
      <c r="C257" s="4">
        <v>12</v>
      </c>
      <c r="D257" s="4">
        <v>1</v>
      </c>
      <c r="E257" s="2" t="s">
        <v>79</v>
      </c>
      <c r="F257" s="23">
        <f t="shared" si="9"/>
        <v>6.4665319715278917</v>
      </c>
      <c r="G257" s="23">
        <f t="shared" si="10"/>
        <v>-1.9665319715278917</v>
      </c>
      <c r="H257" s="23">
        <f t="shared" si="11"/>
        <v>3.8672479950413767</v>
      </c>
    </row>
    <row r="258" spans="1:8" x14ac:dyDescent="0.2">
      <c r="A258" s="4">
        <v>3.1</v>
      </c>
      <c r="B258" s="4">
        <v>1</v>
      </c>
      <c r="C258" s="4">
        <v>12</v>
      </c>
      <c r="D258" s="4">
        <v>0</v>
      </c>
      <c r="E258" s="2" t="s">
        <v>79</v>
      </c>
      <c r="F258" s="23">
        <f t="shared" ref="F258:F321" si="12">($K$18*B258)+($K$19*C258)+($K$20*D258)</f>
        <v>5.6152767122953797</v>
      </c>
      <c r="G258" s="23">
        <f t="shared" si="10"/>
        <v>-2.5152767122953796</v>
      </c>
      <c r="H258" s="23">
        <f t="shared" si="11"/>
        <v>6.3266169394154543</v>
      </c>
    </row>
    <row r="259" spans="1:8" x14ac:dyDescent="0.2">
      <c r="A259" s="4">
        <v>5</v>
      </c>
      <c r="B259" s="4">
        <v>1</v>
      </c>
      <c r="C259" s="4">
        <v>16</v>
      </c>
      <c r="D259" s="4">
        <v>0</v>
      </c>
      <c r="E259" s="2" t="s">
        <v>79</v>
      </c>
      <c r="F259" s="23">
        <f t="shared" si="12"/>
        <v>7.4870356163938396</v>
      </c>
      <c r="G259" s="23">
        <f t="shared" ref="G259:G322" si="13">(A259-F259)</f>
        <v>-2.4870356163938396</v>
      </c>
      <c r="H259" s="23">
        <f t="shared" ref="H259:H322" si="14">G259^2</f>
        <v>6.1853461572114856</v>
      </c>
    </row>
    <row r="260" spans="1:8" x14ac:dyDescent="0.2">
      <c r="A260" s="4">
        <v>3</v>
      </c>
      <c r="B260" s="4">
        <v>1</v>
      </c>
      <c r="C260" s="4">
        <v>10</v>
      </c>
      <c r="D260" s="4">
        <v>0</v>
      </c>
      <c r="E260" s="2" t="s">
        <v>79</v>
      </c>
      <c r="F260" s="23">
        <f t="shared" si="12"/>
        <v>4.6793972602461498</v>
      </c>
      <c r="G260" s="23">
        <f t="shared" si="13"/>
        <v>-1.6793972602461498</v>
      </c>
      <c r="H260" s="23">
        <f t="shared" si="14"/>
        <v>2.8203751577222742</v>
      </c>
    </row>
    <row r="261" spans="1:8" x14ac:dyDescent="0.2">
      <c r="A261" s="4">
        <v>3.13</v>
      </c>
      <c r="B261" s="4">
        <v>1</v>
      </c>
      <c r="C261" s="4">
        <v>10</v>
      </c>
      <c r="D261" s="4">
        <v>0</v>
      </c>
      <c r="E261" s="2" t="s">
        <v>79</v>
      </c>
      <c r="F261" s="23">
        <f t="shared" si="12"/>
        <v>4.6793972602461498</v>
      </c>
      <c r="G261" s="23">
        <f t="shared" si="13"/>
        <v>-1.5493972602461499</v>
      </c>
      <c r="H261" s="23">
        <f t="shared" si="14"/>
        <v>2.4006318700582754</v>
      </c>
    </row>
    <row r="262" spans="1:8" x14ac:dyDescent="0.2">
      <c r="A262" s="4">
        <v>3.4</v>
      </c>
      <c r="B262" s="4">
        <v>1</v>
      </c>
      <c r="C262" s="4">
        <v>16</v>
      </c>
      <c r="D262" s="4">
        <v>0</v>
      </c>
      <c r="E262" s="2" t="s">
        <v>79</v>
      </c>
      <c r="F262" s="23">
        <f t="shared" si="12"/>
        <v>7.4870356163938396</v>
      </c>
      <c r="G262" s="23">
        <f t="shared" si="13"/>
        <v>-4.0870356163938393</v>
      </c>
      <c r="H262" s="23">
        <f t="shared" si="14"/>
        <v>16.703860129671771</v>
      </c>
    </row>
    <row r="263" spans="1:8" x14ac:dyDescent="0.2">
      <c r="A263" s="4">
        <v>4.28</v>
      </c>
      <c r="B263" s="4">
        <v>1</v>
      </c>
      <c r="C263" s="4">
        <v>13</v>
      </c>
      <c r="D263" s="4">
        <v>0</v>
      </c>
      <c r="E263" s="2" t="s">
        <v>79</v>
      </c>
      <c r="F263" s="23">
        <f t="shared" si="12"/>
        <v>6.0832164383199947</v>
      </c>
      <c r="G263" s="23">
        <f t="shared" si="13"/>
        <v>-1.8032164383199945</v>
      </c>
      <c r="H263" s="23">
        <f t="shared" si="14"/>
        <v>3.2515895234274463</v>
      </c>
    </row>
    <row r="264" spans="1:8" x14ac:dyDescent="0.2">
      <c r="A264" s="4">
        <v>3</v>
      </c>
      <c r="B264" s="4">
        <v>1</v>
      </c>
      <c r="C264" s="4">
        <v>11</v>
      </c>
      <c r="D264" s="4">
        <v>0</v>
      </c>
      <c r="E264" s="2" t="s">
        <v>79</v>
      </c>
      <c r="F264" s="23">
        <f t="shared" si="12"/>
        <v>5.1473369862707647</v>
      </c>
      <c r="G264" s="23">
        <f t="shared" si="13"/>
        <v>-2.1473369862707647</v>
      </c>
      <c r="H264" s="23">
        <f t="shared" si="14"/>
        <v>4.6110561326064108</v>
      </c>
    </row>
    <row r="265" spans="1:8" x14ac:dyDescent="0.2">
      <c r="A265" s="4">
        <v>3</v>
      </c>
      <c r="B265" s="4">
        <v>1</v>
      </c>
      <c r="C265" s="4">
        <v>4</v>
      </c>
      <c r="D265" s="4">
        <v>0</v>
      </c>
      <c r="E265" s="2" t="s">
        <v>79</v>
      </c>
      <c r="F265" s="23">
        <f t="shared" si="12"/>
        <v>1.8717589040984599</v>
      </c>
      <c r="G265" s="23">
        <f t="shared" si="13"/>
        <v>1.1282410959015401</v>
      </c>
      <c r="H265" s="23">
        <f t="shared" si="14"/>
        <v>1.2729279704811083</v>
      </c>
    </row>
    <row r="266" spans="1:8" x14ac:dyDescent="0.2">
      <c r="A266" s="4">
        <v>3</v>
      </c>
      <c r="B266" s="4">
        <v>1</v>
      </c>
      <c r="C266" s="4">
        <v>10</v>
      </c>
      <c r="D266" s="4">
        <v>0</v>
      </c>
      <c r="E266" s="2" t="s">
        <v>79</v>
      </c>
      <c r="F266" s="23">
        <f t="shared" si="12"/>
        <v>4.6793972602461498</v>
      </c>
      <c r="G266" s="23">
        <f t="shared" si="13"/>
        <v>-1.6793972602461498</v>
      </c>
      <c r="H266" s="23">
        <f t="shared" si="14"/>
        <v>2.8203751577222742</v>
      </c>
    </row>
    <row r="267" spans="1:8" x14ac:dyDescent="0.2">
      <c r="A267" s="4">
        <v>2.5299999999999998</v>
      </c>
      <c r="B267" s="4">
        <v>1</v>
      </c>
      <c r="C267" s="4">
        <v>12</v>
      </c>
      <c r="D267" s="4">
        <v>0</v>
      </c>
      <c r="E267" s="2" t="s">
        <v>79</v>
      </c>
      <c r="F267" s="23">
        <f t="shared" si="12"/>
        <v>5.6152767122953797</v>
      </c>
      <c r="G267" s="23">
        <f t="shared" si="13"/>
        <v>-3.0852767122953799</v>
      </c>
      <c r="H267" s="23">
        <f t="shared" si="14"/>
        <v>9.5189323914321893</v>
      </c>
    </row>
    <row r="268" spans="1:8" x14ac:dyDescent="0.2">
      <c r="A268" s="4">
        <v>2.89</v>
      </c>
      <c r="B268" s="4">
        <v>1</v>
      </c>
      <c r="C268" s="4">
        <v>0</v>
      </c>
      <c r="D268" s="4">
        <v>0</v>
      </c>
      <c r="E268" s="2" t="s">
        <v>79</v>
      </c>
      <c r="F268" s="23">
        <f t="shared" si="12"/>
        <v>0</v>
      </c>
      <c r="G268" s="23">
        <f t="shared" si="13"/>
        <v>2.89</v>
      </c>
      <c r="H268" s="23">
        <f t="shared" si="14"/>
        <v>8.3521000000000001</v>
      </c>
    </row>
    <row r="269" spans="1:8" x14ac:dyDescent="0.2">
      <c r="A269" s="4">
        <v>3.25</v>
      </c>
      <c r="B269" s="4">
        <v>1</v>
      </c>
      <c r="C269" s="4">
        <v>12</v>
      </c>
      <c r="D269" s="4">
        <v>0</v>
      </c>
      <c r="E269" s="2" t="s">
        <v>79</v>
      </c>
      <c r="F269" s="23">
        <f t="shared" si="12"/>
        <v>5.6152767122953797</v>
      </c>
      <c r="G269" s="23">
        <f t="shared" si="13"/>
        <v>-2.3652767122953797</v>
      </c>
      <c r="H269" s="23">
        <f t="shared" si="14"/>
        <v>5.5945339257268403</v>
      </c>
    </row>
    <row r="270" spans="1:8" x14ac:dyDescent="0.2">
      <c r="A270" s="4">
        <v>3</v>
      </c>
      <c r="B270" s="4">
        <v>1</v>
      </c>
      <c r="C270" s="4">
        <v>12</v>
      </c>
      <c r="D270" s="4">
        <v>0</v>
      </c>
      <c r="E270" s="2" t="s">
        <v>79</v>
      </c>
      <c r="F270" s="23">
        <f t="shared" si="12"/>
        <v>5.6152767122953797</v>
      </c>
      <c r="G270" s="23">
        <f t="shared" si="13"/>
        <v>-2.6152767122953797</v>
      </c>
      <c r="H270" s="23">
        <f t="shared" si="14"/>
        <v>6.8396722818745301</v>
      </c>
    </row>
    <row r="271" spans="1:8" x14ac:dyDescent="0.2">
      <c r="A271" s="4">
        <v>2.9</v>
      </c>
      <c r="B271" s="4">
        <v>1</v>
      </c>
      <c r="C271" s="4">
        <v>12</v>
      </c>
      <c r="D271" s="4">
        <v>0</v>
      </c>
      <c r="E271" s="2" t="s">
        <v>79</v>
      </c>
      <c r="F271" s="23">
        <f t="shared" si="12"/>
        <v>5.6152767122953797</v>
      </c>
      <c r="G271" s="23">
        <f t="shared" si="13"/>
        <v>-2.7152767122953798</v>
      </c>
      <c r="H271" s="23">
        <f t="shared" si="14"/>
        <v>7.3727276243336064</v>
      </c>
    </row>
    <row r="272" spans="1:8" x14ac:dyDescent="0.2">
      <c r="A272" s="4">
        <v>6.63</v>
      </c>
      <c r="B272" s="4">
        <v>1</v>
      </c>
      <c r="C272" s="4">
        <v>12</v>
      </c>
      <c r="D272" s="4">
        <v>0</v>
      </c>
      <c r="E272" s="2" t="s">
        <v>79</v>
      </c>
      <c r="F272" s="23">
        <f t="shared" si="12"/>
        <v>5.6152767122953797</v>
      </c>
      <c r="G272" s="23">
        <f t="shared" si="13"/>
        <v>1.0147232877046202</v>
      </c>
      <c r="H272" s="23">
        <f t="shared" si="14"/>
        <v>1.0296633506100734</v>
      </c>
    </row>
    <row r="273" spans="1:8" x14ac:dyDescent="0.2">
      <c r="A273" s="4">
        <v>3</v>
      </c>
      <c r="B273" s="4">
        <v>1</v>
      </c>
      <c r="C273" s="4">
        <v>4</v>
      </c>
      <c r="D273" s="4">
        <v>1</v>
      </c>
      <c r="E273" s="2" t="s">
        <v>79</v>
      </c>
      <c r="F273" s="23">
        <f t="shared" si="12"/>
        <v>2.7230141633309719</v>
      </c>
      <c r="G273" s="23">
        <f t="shared" si="13"/>
        <v>0.2769858366690281</v>
      </c>
      <c r="H273" s="23">
        <f t="shared" si="14"/>
        <v>7.6721153715241505E-2</v>
      </c>
    </row>
    <row r="274" spans="1:8" x14ac:dyDescent="0.2">
      <c r="A274" s="4">
        <v>3.35</v>
      </c>
      <c r="B274" s="4">
        <v>1</v>
      </c>
      <c r="C274" s="4">
        <v>7</v>
      </c>
      <c r="D274" s="4">
        <v>0</v>
      </c>
      <c r="E274" s="2" t="s">
        <v>79</v>
      </c>
      <c r="F274" s="23">
        <f t="shared" si="12"/>
        <v>3.2755780821723048</v>
      </c>
      <c r="G274" s="23">
        <f t="shared" si="13"/>
        <v>7.442191782769525E-2</v>
      </c>
      <c r="H274" s="23">
        <f t="shared" si="14"/>
        <v>5.5386218531522239E-3</v>
      </c>
    </row>
    <row r="275" spans="1:8" x14ac:dyDescent="0.2">
      <c r="A275" s="4">
        <v>2.9</v>
      </c>
      <c r="B275" s="4">
        <v>1</v>
      </c>
      <c r="C275" s="4">
        <v>5</v>
      </c>
      <c r="D275" s="4">
        <v>0</v>
      </c>
      <c r="E275" s="2" t="s">
        <v>79</v>
      </c>
      <c r="F275" s="23">
        <f t="shared" si="12"/>
        <v>2.3396986301230749</v>
      </c>
      <c r="G275" s="23">
        <f t="shared" si="13"/>
        <v>0.56030136987692503</v>
      </c>
      <c r="H275" s="23">
        <f t="shared" si="14"/>
        <v>0.31393762508595874</v>
      </c>
    </row>
    <row r="276" spans="1:8" x14ac:dyDescent="0.2">
      <c r="A276" s="4">
        <v>3</v>
      </c>
      <c r="B276" s="4">
        <v>1</v>
      </c>
      <c r="C276" s="4">
        <v>8</v>
      </c>
      <c r="D276" s="4">
        <v>0</v>
      </c>
      <c r="E276" s="2" t="s">
        <v>79</v>
      </c>
      <c r="F276" s="23">
        <f t="shared" si="12"/>
        <v>3.7435178081969198</v>
      </c>
      <c r="G276" s="23">
        <f t="shared" si="13"/>
        <v>-0.74351780819691982</v>
      </c>
      <c r="H276" s="23">
        <f t="shared" si="14"/>
        <v>0.5528187311059517</v>
      </c>
    </row>
    <row r="277" spans="1:8" x14ac:dyDescent="0.2">
      <c r="A277" s="4">
        <v>3</v>
      </c>
      <c r="B277" s="4">
        <v>1</v>
      </c>
      <c r="C277" s="4">
        <v>15</v>
      </c>
      <c r="D277" s="4">
        <v>0</v>
      </c>
      <c r="E277" s="2" t="s">
        <v>79</v>
      </c>
      <c r="F277" s="23">
        <f t="shared" si="12"/>
        <v>7.0190958903692247</v>
      </c>
      <c r="G277" s="23">
        <f t="shared" si="13"/>
        <v>-4.0190958903692247</v>
      </c>
      <c r="H277" s="23">
        <f t="shared" si="14"/>
        <v>16.153131775982789</v>
      </c>
    </row>
    <row r="278" spans="1:8" x14ac:dyDescent="0.2">
      <c r="A278" s="4">
        <v>12.5</v>
      </c>
      <c r="B278" s="4">
        <v>1</v>
      </c>
      <c r="C278" s="4">
        <v>16</v>
      </c>
      <c r="D278" s="4">
        <v>0</v>
      </c>
      <c r="E278" s="2" t="s">
        <v>79</v>
      </c>
      <c r="F278" s="23">
        <f t="shared" si="12"/>
        <v>7.4870356163938396</v>
      </c>
      <c r="G278" s="23">
        <f t="shared" si="13"/>
        <v>5.0129643836061604</v>
      </c>
      <c r="H278" s="23">
        <f t="shared" si="14"/>
        <v>25.129811911303893</v>
      </c>
    </row>
    <row r="279" spans="1:8" x14ac:dyDescent="0.2">
      <c r="A279" s="4">
        <v>12.5</v>
      </c>
      <c r="B279" s="4">
        <v>1</v>
      </c>
      <c r="C279" s="4">
        <v>15</v>
      </c>
      <c r="D279" s="4">
        <v>0</v>
      </c>
      <c r="E279" s="2" t="s">
        <v>79</v>
      </c>
      <c r="F279" s="23">
        <f t="shared" si="12"/>
        <v>7.0190958903692247</v>
      </c>
      <c r="G279" s="23">
        <f t="shared" si="13"/>
        <v>5.4809041096307753</v>
      </c>
      <c r="H279" s="23">
        <f t="shared" si="14"/>
        <v>30.040309858967522</v>
      </c>
    </row>
    <row r="280" spans="1:8" x14ac:dyDescent="0.2">
      <c r="A280" s="4">
        <v>4.1399999999999997</v>
      </c>
      <c r="B280" s="4">
        <v>1</v>
      </c>
      <c r="C280" s="4">
        <v>13</v>
      </c>
      <c r="D280" s="4">
        <v>0</v>
      </c>
      <c r="E280" s="2" t="s">
        <v>79</v>
      </c>
      <c r="F280" s="23">
        <f t="shared" si="12"/>
        <v>6.0832164383199947</v>
      </c>
      <c r="G280" s="23">
        <f t="shared" si="13"/>
        <v>-1.943216438319995</v>
      </c>
      <c r="H280" s="23">
        <f t="shared" si="14"/>
        <v>3.776090126157047</v>
      </c>
    </row>
    <row r="281" spans="1:8" x14ac:dyDescent="0.2">
      <c r="A281" s="4">
        <v>3.2</v>
      </c>
      <c r="B281" s="4">
        <v>1</v>
      </c>
      <c r="C281" s="4">
        <v>12</v>
      </c>
      <c r="D281" s="4">
        <v>0</v>
      </c>
      <c r="E281" s="2" t="s">
        <v>79</v>
      </c>
      <c r="F281" s="23">
        <f t="shared" si="12"/>
        <v>5.6152767122953797</v>
      </c>
      <c r="G281" s="23">
        <f t="shared" si="13"/>
        <v>-2.4152767122953795</v>
      </c>
      <c r="H281" s="23">
        <f t="shared" si="14"/>
        <v>5.8335615969563772</v>
      </c>
    </row>
    <row r="282" spans="1:8" x14ac:dyDescent="0.2">
      <c r="A282" s="4">
        <v>3.25</v>
      </c>
      <c r="B282" s="4">
        <v>1</v>
      </c>
      <c r="C282" s="4">
        <v>9</v>
      </c>
      <c r="D282" s="4">
        <v>0</v>
      </c>
      <c r="E282" s="2" t="s">
        <v>79</v>
      </c>
      <c r="F282" s="23">
        <f t="shared" si="12"/>
        <v>4.2114575342215348</v>
      </c>
      <c r="G282" s="23">
        <f t="shared" si="13"/>
        <v>-0.96145753422153479</v>
      </c>
      <c r="H282" s="23">
        <f t="shared" si="14"/>
        <v>0.92440059011135378</v>
      </c>
    </row>
    <row r="283" spans="1:8" x14ac:dyDescent="0.2">
      <c r="A283" s="4">
        <v>10</v>
      </c>
      <c r="B283" s="4">
        <v>1</v>
      </c>
      <c r="C283" s="4">
        <v>12</v>
      </c>
      <c r="D283" s="4">
        <v>0</v>
      </c>
      <c r="E283" s="2" t="s">
        <v>79</v>
      </c>
      <c r="F283" s="23">
        <f t="shared" si="12"/>
        <v>5.6152767122953797</v>
      </c>
      <c r="G283" s="23">
        <f t="shared" si="13"/>
        <v>4.3847232877046203</v>
      </c>
      <c r="H283" s="23">
        <f t="shared" si="14"/>
        <v>19.225798309739215</v>
      </c>
    </row>
    <row r="284" spans="1:8" x14ac:dyDescent="0.2">
      <c r="A284" s="4">
        <v>4</v>
      </c>
      <c r="B284" s="4">
        <v>1</v>
      </c>
      <c r="C284" s="4">
        <v>12</v>
      </c>
      <c r="D284" s="4">
        <v>0</v>
      </c>
      <c r="E284" s="2" t="s">
        <v>79</v>
      </c>
      <c r="F284" s="23">
        <f t="shared" si="12"/>
        <v>5.6152767122953797</v>
      </c>
      <c r="G284" s="23">
        <f t="shared" si="13"/>
        <v>-1.6152767122953797</v>
      </c>
      <c r="H284" s="23">
        <f t="shared" si="14"/>
        <v>2.6091188572837711</v>
      </c>
    </row>
    <row r="285" spans="1:8" x14ac:dyDescent="0.2">
      <c r="A285" s="4">
        <v>6.46</v>
      </c>
      <c r="B285" s="4">
        <v>1</v>
      </c>
      <c r="C285" s="4">
        <v>12</v>
      </c>
      <c r="D285" s="4">
        <v>0</v>
      </c>
      <c r="E285" s="2" t="s">
        <v>79</v>
      </c>
      <c r="F285" s="23">
        <f t="shared" si="12"/>
        <v>5.6152767122953797</v>
      </c>
      <c r="G285" s="23">
        <f t="shared" si="13"/>
        <v>0.84472328770462024</v>
      </c>
      <c r="H285" s="23">
        <f t="shared" si="14"/>
        <v>0.71355743279050265</v>
      </c>
    </row>
    <row r="286" spans="1:8" x14ac:dyDescent="0.2">
      <c r="A286" s="4">
        <v>6.36</v>
      </c>
      <c r="B286" s="4">
        <v>1</v>
      </c>
      <c r="C286" s="4">
        <v>16</v>
      </c>
      <c r="D286" s="4">
        <v>0</v>
      </c>
      <c r="E286" s="2" t="s">
        <v>79</v>
      </c>
      <c r="F286" s="23">
        <f t="shared" si="12"/>
        <v>7.4870356163938396</v>
      </c>
      <c r="G286" s="23">
        <f t="shared" si="13"/>
        <v>-1.1270356163938393</v>
      </c>
      <c r="H286" s="23">
        <f t="shared" si="14"/>
        <v>1.2702092806202414</v>
      </c>
    </row>
    <row r="287" spans="1:8" x14ac:dyDescent="0.2">
      <c r="A287" s="4">
        <v>9.42</v>
      </c>
      <c r="B287" s="4">
        <v>1</v>
      </c>
      <c r="C287" s="4">
        <v>14</v>
      </c>
      <c r="D287" s="4">
        <v>0</v>
      </c>
      <c r="E287" s="2" t="s">
        <v>79</v>
      </c>
      <c r="F287" s="23">
        <f t="shared" si="12"/>
        <v>6.5511561643446097</v>
      </c>
      <c r="G287" s="23">
        <f t="shared" si="13"/>
        <v>2.8688438356553903</v>
      </c>
      <c r="H287" s="23">
        <f t="shared" si="14"/>
        <v>8.2302649533779313</v>
      </c>
    </row>
    <row r="288" spans="1:8" x14ac:dyDescent="0.2">
      <c r="A288" s="4">
        <v>3.35</v>
      </c>
      <c r="B288" s="4">
        <v>1</v>
      </c>
      <c r="C288" s="4">
        <v>13</v>
      </c>
      <c r="D288" s="4">
        <v>0</v>
      </c>
      <c r="E288" s="2" t="s">
        <v>79</v>
      </c>
      <c r="F288" s="23">
        <f t="shared" si="12"/>
        <v>6.0832164383199947</v>
      </c>
      <c r="G288" s="23">
        <f t="shared" si="13"/>
        <v>-2.7332164383199946</v>
      </c>
      <c r="H288" s="23">
        <f t="shared" si="14"/>
        <v>7.4704720987026372</v>
      </c>
    </row>
    <row r="289" spans="1:8" x14ac:dyDescent="0.2">
      <c r="A289" s="4">
        <v>4.75</v>
      </c>
      <c r="B289" s="4">
        <v>1</v>
      </c>
      <c r="C289" s="4">
        <v>12</v>
      </c>
      <c r="D289" s="4">
        <v>0</v>
      </c>
      <c r="E289" s="2" t="s">
        <v>79</v>
      </c>
      <c r="F289" s="23">
        <f t="shared" si="12"/>
        <v>5.6152767122953797</v>
      </c>
      <c r="G289" s="23">
        <f t="shared" si="13"/>
        <v>-0.86527671229537972</v>
      </c>
      <c r="H289" s="23">
        <f t="shared" si="14"/>
        <v>0.74870378884070132</v>
      </c>
    </row>
    <row r="290" spans="1:8" x14ac:dyDescent="0.2">
      <c r="A290" s="4">
        <v>2.9</v>
      </c>
      <c r="B290" s="4">
        <v>1</v>
      </c>
      <c r="C290" s="4">
        <v>10</v>
      </c>
      <c r="D290" s="4">
        <v>0</v>
      </c>
      <c r="E290" s="2" t="s">
        <v>79</v>
      </c>
      <c r="F290" s="23">
        <f t="shared" si="12"/>
        <v>4.6793972602461498</v>
      </c>
      <c r="G290" s="23">
        <f t="shared" si="13"/>
        <v>-1.7793972602461499</v>
      </c>
      <c r="H290" s="23">
        <f t="shared" si="14"/>
        <v>3.1662546097715043</v>
      </c>
    </row>
    <row r="291" spans="1:8" x14ac:dyDescent="0.2">
      <c r="A291" s="4">
        <v>3.75</v>
      </c>
      <c r="B291" s="4">
        <v>1</v>
      </c>
      <c r="C291" s="4">
        <v>12</v>
      </c>
      <c r="D291" s="4">
        <v>0</v>
      </c>
      <c r="E291" s="2" t="s">
        <v>79</v>
      </c>
      <c r="F291" s="23">
        <f t="shared" si="12"/>
        <v>5.6152767122953797</v>
      </c>
      <c r="G291" s="23">
        <f t="shared" si="13"/>
        <v>-1.8652767122953797</v>
      </c>
      <c r="H291" s="23">
        <f t="shared" si="14"/>
        <v>3.479257213431461</v>
      </c>
    </row>
    <row r="292" spans="1:8" x14ac:dyDescent="0.2">
      <c r="A292" s="4">
        <v>1.43</v>
      </c>
      <c r="B292" s="4">
        <v>1</v>
      </c>
      <c r="C292" s="4">
        <v>12</v>
      </c>
      <c r="D292" s="4">
        <v>0</v>
      </c>
      <c r="E292" s="2" t="s">
        <v>79</v>
      </c>
      <c r="F292" s="23">
        <f t="shared" si="12"/>
        <v>5.6152767122953797</v>
      </c>
      <c r="G292" s="23">
        <f t="shared" si="13"/>
        <v>-4.18527671229538</v>
      </c>
      <c r="H292" s="23">
        <f t="shared" si="14"/>
        <v>17.516541158482024</v>
      </c>
    </row>
    <row r="293" spans="1:8" x14ac:dyDescent="0.2">
      <c r="A293" s="4">
        <v>3</v>
      </c>
      <c r="B293" s="4">
        <v>1</v>
      </c>
      <c r="C293" s="4">
        <v>14</v>
      </c>
      <c r="D293" s="4">
        <v>0</v>
      </c>
      <c r="E293" s="2" t="s">
        <v>79</v>
      </c>
      <c r="F293" s="23">
        <f t="shared" si="12"/>
        <v>6.5511561643446097</v>
      </c>
      <c r="G293" s="23">
        <f t="shared" si="13"/>
        <v>-3.5511561643446097</v>
      </c>
      <c r="H293" s="23">
        <f t="shared" si="14"/>
        <v>12.61071010356272</v>
      </c>
    </row>
    <row r="294" spans="1:8" x14ac:dyDescent="0.2">
      <c r="A294" s="4">
        <v>4.5</v>
      </c>
      <c r="B294" s="4">
        <v>1</v>
      </c>
      <c r="C294" s="4">
        <v>14</v>
      </c>
      <c r="D294" s="4">
        <v>0</v>
      </c>
      <c r="E294" s="2" t="s">
        <v>79</v>
      </c>
      <c r="F294" s="23">
        <f t="shared" si="12"/>
        <v>6.5511561643446097</v>
      </c>
      <c r="G294" s="23">
        <f t="shared" si="13"/>
        <v>-2.0511561643446097</v>
      </c>
      <c r="H294" s="23">
        <f t="shared" si="14"/>
        <v>4.2072416105288912</v>
      </c>
    </row>
    <row r="295" spans="1:8" x14ac:dyDescent="0.2">
      <c r="A295" s="4">
        <v>3.24</v>
      </c>
      <c r="B295" s="4">
        <v>1</v>
      </c>
      <c r="C295" s="4">
        <v>12</v>
      </c>
      <c r="D295" s="4">
        <v>0</v>
      </c>
      <c r="E295" s="2" t="s">
        <v>79</v>
      </c>
      <c r="F295" s="23">
        <f t="shared" si="12"/>
        <v>5.6152767122953797</v>
      </c>
      <c r="G295" s="23">
        <f t="shared" si="13"/>
        <v>-2.3752767122953795</v>
      </c>
      <c r="H295" s="23">
        <f t="shared" si="14"/>
        <v>5.6419394599727468</v>
      </c>
    </row>
    <row r="296" spans="1:8" x14ac:dyDescent="0.2">
      <c r="A296" s="4">
        <v>6.11</v>
      </c>
      <c r="B296" s="4">
        <v>1</v>
      </c>
      <c r="C296" s="4">
        <v>14</v>
      </c>
      <c r="D296" s="4">
        <v>0</v>
      </c>
      <c r="E296" s="2" t="s">
        <v>79</v>
      </c>
      <c r="F296" s="23">
        <f t="shared" si="12"/>
        <v>6.5511561643446097</v>
      </c>
      <c r="G296" s="23">
        <f t="shared" si="13"/>
        <v>-0.44115616434460936</v>
      </c>
      <c r="H296" s="23">
        <f t="shared" si="14"/>
        <v>0.19461876133924799</v>
      </c>
    </row>
    <row r="297" spans="1:8" x14ac:dyDescent="0.2">
      <c r="A297" s="4">
        <v>8.77</v>
      </c>
      <c r="B297" s="4">
        <v>1</v>
      </c>
      <c r="C297" s="4">
        <v>12</v>
      </c>
      <c r="D297" s="4">
        <v>0</v>
      </c>
      <c r="E297" s="2" t="s">
        <v>79</v>
      </c>
      <c r="F297" s="23">
        <f t="shared" si="12"/>
        <v>5.6152767122953797</v>
      </c>
      <c r="G297" s="23">
        <f t="shared" si="13"/>
        <v>3.1547232877046198</v>
      </c>
      <c r="H297" s="23">
        <f t="shared" si="14"/>
        <v>9.952279021985845</v>
      </c>
    </row>
    <row r="298" spans="1:8" x14ac:dyDescent="0.2">
      <c r="A298" s="4">
        <v>10</v>
      </c>
      <c r="B298" s="4">
        <v>1</v>
      </c>
      <c r="C298" s="4">
        <v>12</v>
      </c>
      <c r="D298" s="4">
        <v>0</v>
      </c>
      <c r="E298" s="2" t="s">
        <v>79</v>
      </c>
      <c r="F298" s="23">
        <f t="shared" si="12"/>
        <v>5.6152767122953797</v>
      </c>
      <c r="G298" s="23">
        <f t="shared" si="13"/>
        <v>4.3847232877046203</v>
      </c>
      <c r="H298" s="23">
        <f t="shared" si="14"/>
        <v>19.225798309739215</v>
      </c>
    </row>
    <row r="299" spans="1:8" x14ac:dyDescent="0.2">
      <c r="A299" s="4">
        <v>5</v>
      </c>
      <c r="B299" s="4">
        <v>1</v>
      </c>
      <c r="C299" s="4">
        <v>15</v>
      </c>
      <c r="D299" s="4">
        <v>0</v>
      </c>
      <c r="E299" s="2" t="s">
        <v>79</v>
      </c>
      <c r="F299" s="23">
        <f t="shared" si="12"/>
        <v>7.0190958903692247</v>
      </c>
      <c r="G299" s="23">
        <f t="shared" si="13"/>
        <v>-2.0190958903692247</v>
      </c>
      <c r="H299" s="23">
        <f t="shared" si="14"/>
        <v>4.0767482145058924</v>
      </c>
    </row>
    <row r="300" spans="1:8" x14ac:dyDescent="0.2">
      <c r="A300" s="4">
        <v>3.75</v>
      </c>
      <c r="B300" s="4">
        <v>1</v>
      </c>
      <c r="C300" s="4">
        <v>10</v>
      </c>
      <c r="D300" s="4">
        <v>0</v>
      </c>
      <c r="E300" s="2" t="s">
        <v>79</v>
      </c>
      <c r="F300" s="23">
        <f t="shared" si="12"/>
        <v>4.6793972602461498</v>
      </c>
      <c r="G300" s="23">
        <f t="shared" si="13"/>
        <v>-0.92939726024614977</v>
      </c>
      <c r="H300" s="23">
        <f t="shared" si="14"/>
        <v>0.86377926735304944</v>
      </c>
    </row>
    <row r="301" spans="1:8" x14ac:dyDescent="0.2">
      <c r="A301" s="4">
        <v>3.25</v>
      </c>
      <c r="B301" s="4">
        <v>1</v>
      </c>
      <c r="C301" s="4">
        <v>12</v>
      </c>
      <c r="D301" s="4">
        <v>0</v>
      </c>
      <c r="E301" s="2" t="s">
        <v>79</v>
      </c>
      <c r="F301" s="23">
        <f t="shared" si="12"/>
        <v>5.6152767122953797</v>
      </c>
      <c r="G301" s="23">
        <f t="shared" si="13"/>
        <v>-2.3652767122953797</v>
      </c>
      <c r="H301" s="23">
        <f t="shared" si="14"/>
        <v>5.5945339257268403</v>
      </c>
    </row>
    <row r="302" spans="1:8" x14ac:dyDescent="0.2">
      <c r="A302" s="4">
        <v>3.75</v>
      </c>
      <c r="B302" s="4">
        <v>1</v>
      </c>
      <c r="C302" s="4">
        <v>12</v>
      </c>
      <c r="D302" s="4">
        <v>0</v>
      </c>
      <c r="E302" s="2" t="s">
        <v>79</v>
      </c>
      <c r="F302" s="23">
        <f t="shared" si="12"/>
        <v>5.6152767122953797</v>
      </c>
      <c r="G302" s="23">
        <f t="shared" si="13"/>
        <v>-1.8652767122953797</v>
      </c>
      <c r="H302" s="23">
        <f t="shared" si="14"/>
        <v>3.479257213431461</v>
      </c>
    </row>
    <row r="303" spans="1:8" x14ac:dyDescent="0.2">
      <c r="A303" s="4">
        <v>3.1</v>
      </c>
      <c r="B303" s="4">
        <v>1</v>
      </c>
      <c r="C303" s="4">
        <v>6</v>
      </c>
      <c r="D303" s="4">
        <v>0</v>
      </c>
      <c r="E303" s="2" t="s">
        <v>79</v>
      </c>
      <c r="F303" s="23">
        <f t="shared" si="12"/>
        <v>2.8076383561476899</v>
      </c>
      <c r="G303" s="23">
        <f t="shared" si="13"/>
        <v>0.29236164385231023</v>
      </c>
      <c r="H303" s="23">
        <f t="shared" si="14"/>
        <v>8.5475330796025081E-2</v>
      </c>
    </row>
    <row r="304" spans="1:8" x14ac:dyDescent="0.2">
      <c r="A304" s="4">
        <v>3.5</v>
      </c>
      <c r="B304" s="4">
        <v>1</v>
      </c>
      <c r="C304" s="4">
        <v>12</v>
      </c>
      <c r="D304" s="4">
        <v>1</v>
      </c>
      <c r="E304" s="2" t="s">
        <v>79</v>
      </c>
      <c r="F304" s="23">
        <f t="shared" si="12"/>
        <v>6.4665319715278917</v>
      </c>
      <c r="G304" s="23">
        <f t="shared" si="13"/>
        <v>-2.9665319715278917</v>
      </c>
      <c r="H304" s="23">
        <f t="shared" si="14"/>
        <v>8.8003119380971597</v>
      </c>
    </row>
    <row r="305" spans="1:8" x14ac:dyDescent="0.2">
      <c r="A305" s="4">
        <v>17.329999999999998</v>
      </c>
      <c r="B305" s="4">
        <v>1</v>
      </c>
      <c r="C305" s="4">
        <v>16</v>
      </c>
      <c r="D305" s="4">
        <v>0</v>
      </c>
      <c r="E305" s="2" t="s">
        <v>79</v>
      </c>
      <c r="F305" s="23">
        <f t="shared" si="12"/>
        <v>7.4870356163938396</v>
      </c>
      <c r="G305" s="23">
        <f t="shared" si="13"/>
        <v>9.8429643836061587</v>
      </c>
      <c r="H305" s="23">
        <f t="shared" si="14"/>
        <v>96.883947856939372</v>
      </c>
    </row>
    <row r="306" spans="1:8" x14ac:dyDescent="0.2">
      <c r="A306" s="4">
        <v>3.58</v>
      </c>
      <c r="B306" s="4">
        <v>1</v>
      </c>
      <c r="C306" s="4">
        <v>12</v>
      </c>
      <c r="D306" s="4">
        <v>0</v>
      </c>
      <c r="E306" s="2" t="s">
        <v>79</v>
      </c>
      <c r="F306" s="23">
        <f t="shared" si="12"/>
        <v>5.6152767122953797</v>
      </c>
      <c r="G306" s="23">
        <f t="shared" si="13"/>
        <v>-2.0352767122953797</v>
      </c>
      <c r="H306" s="23">
        <f t="shared" si="14"/>
        <v>4.1423512956118893</v>
      </c>
    </row>
    <row r="307" spans="1:8" x14ac:dyDescent="0.2">
      <c r="A307" s="4">
        <v>4.5</v>
      </c>
      <c r="B307" s="4">
        <v>1</v>
      </c>
      <c r="C307" s="4">
        <v>12</v>
      </c>
      <c r="D307" s="4">
        <v>0</v>
      </c>
      <c r="E307" s="2" t="s">
        <v>79</v>
      </c>
      <c r="F307" s="23">
        <f t="shared" si="12"/>
        <v>5.6152767122953797</v>
      </c>
      <c r="G307" s="23">
        <f t="shared" si="13"/>
        <v>-1.1152767122953797</v>
      </c>
      <c r="H307" s="23">
        <f t="shared" si="14"/>
        <v>1.2438421449883912</v>
      </c>
    </row>
    <row r="308" spans="1:8" x14ac:dyDescent="0.2">
      <c r="A308" s="4">
        <v>3.6</v>
      </c>
      <c r="B308" s="4">
        <v>1</v>
      </c>
      <c r="C308" s="4">
        <v>12</v>
      </c>
      <c r="D308" s="4">
        <v>0</v>
      </c>
      <c r="E308" s="2" t="s">
        <v>79</v>
      </c>
      <c r="F308" s="23">
        <f t="shared" si="12"/>
        <v>5.6152767122953797</v>
      </c>
      <c r="G308" s="23">
        <f t="shared" si="13"/>
        <v>-2.0152767122953796</v>
      </c>
      <c r="H308" s="23">
        <f t="shared" si="14"/>
        <v>4.0613402271200743</v>
      </c>
    </row>
    <row r="309" spans="1:8" x14ac:dyDescent="0.2">
      <c r="A309" s="4">
        <v>18</v>
      </c>
      <c r="B309" s="4">
        <v>1</v>
      </c>
      <c r="C309" s="4">
        <v>18</v>
      </c>
      <c r="D309" s="4">
        <v>0</v>
      </c>
      <c r="E309" s="2" t="s">
        <v>79</v>
      </c>
      <c r="F309" s="23">
        <f t="shared" si="12"/>
        <v>8.4229150684430696</v>
      </c>
      <c r="G309" s="23">
        <f t="shared" si="13"/>
        <v>9.5770849315569304</v>
      </c>
      <c r="H309" s="23">
        <f t="shared" si="14"/>
        <v>91.72055578625482</v>
      </c>
    </row>
    <row r="310" spans="1:8" x14ac:dyDescent="0.2">
      <c r="A310" s="4">
        <v>6.25</v>
      </c>
      <c r="B310" s="4">
        <v>1</v>
      </c>
      <c r="C310" s="10">
        <v>12</v>
      </c>
      <c r="D310" s="4">
        <v>0</v>
      </c>
      <c r="E310" s="2" t="s">
        <v>79</v>
      </c>
      <c r="F310" s="23">
        <f t="shared" si="12"/>
        <v>5.6152767122953797</v>
      </c>
      <c r="G310" s="23">
        <f t="shared" si="13"/>
        <v>0.63472328770462028</v>
      </c>
      <c r="H310" s="23">
        <f t="shared" si="14"/>
        <v>0.40287365195456215</v>
      </c>
    </row>
    <row r="311" spans="1:8" x14ac:dyDescent="0.2">
      <c r="A311" s="4">
        <v>7.14</v>
      </c>
      <c r="B311" s="4">
        <v>1</v>
      </c>
      <c r="C311" s="4">
        <v>18</v>
      </c>
      <c r="D311" s="4">
        <v>0</v>
      </c>
      <c r="E311" s="2" t="s">
        <v>79</v>
      </c>
      <c r="F311" s="23">
        <f t="shared" si="12"/>
        <v>8.4229150684430696</v>
      </c>
      <c r="G311" s="23">
        <f t="shared" si="13"/>
        <v>-1.2829150684430699</v>
      </c>
      <c r="H311" s="23">
        <f t="shared" si="14"/>
        <v>1.6458710728382868</v>
      </c>
    </row>
    <row r="312" spans="1:8" x14ac:dyDescent="0.2">
      <c r="A312" s="4">
        <v>3.75</v>
      </c>
      <c r="B312" s="4">
        <v>1</v>
      </c>
      <c r="C312" s="10">
        <v>12</v>
      </c>
      <c r="D312" s="4">
        <v>0</v>
      </c>
      <c r="E312" s="2" t="s">
        <v>79</v>
      </c>
      <c r="F312" s="23">
        <f t="shared" si="12"/>
        <v>5.6152767122953797</v>
      </c>
      <c r="G312" s="23">
        <f t="shared" si="13"/>
        <v>-1.8652767122953797</v>
      </c>
      <c r="H312" s="23">
        <f t="shared" si="14"/>
        <v>3.479257213431461</v>
      </c>
    </row>
    <row r="313" spans="1:8" x14ac:dyDescent="0.2">
      <c r="A313" s="4">
        <v>10</v>
      </c>
      <c r="B313" s="4">
        <v>1</v>
      </c>
      <c r="C313" s="4">
        <v>8</v>
      </c>
      <c r="D313" s="4">
        <v>0</v>
      </c>
      <c r="E313" s="2" t="s">
        <v>79</v>
      </c>
      <c r="F313" s="23">
        <f t="shared" si="12"/>
        <v>3.7435178081969198</v>
      </c>
      <c r="G313" s="23">
        <f t="shared" si="13"/>
        <v>6.2564821918030802</v>
      </c>
      <c r="H313" s="23">
        <f t="shared" si="14"/>
        <v>39.143569416349074</v>
      </c>
    </row>
    <row r="314" spans="1:8" x14ac:dyDescent="0.2">
      <c r="A314" s="4">
        <v>4.5</v>
      </c>
      <c r="B314" s="4">
        <v>1</v>
      </c>
      <c r="C314" s="4">
        <v>12</v>
      </c>
      <c r="D314" s="4">
        <v>0</v>
      </c>
      <c r="E314" s="2" t="s">
        <v>79</v>
      </c>
      <c r="F314" s="23">
        <f t="shared" si="12"/>
        <v>5.6152767122953797</v>
      </c>
      <c r="G314" s="23">
        <f t="shared" si="13"/>
        <v>-1.1152767122953797</v>
      </c>
      <c r="H314" s="23">
        <f t="shared" si="14"/>
        <v>1.2438421449883912</v>
      </c>
    </row>
    <row r="315" spans="1:8" x14ac:dyDescent="0.2">
      <c r="A315" s="4">
        <v>3.45</v>
      </c>
      <c r="B315" s="4">
        <v>1</v>
      </c>
      <c r="C315" s="4">
        <v>10</v>
      </c>
      <c r="D315" s="4">
        <v>0</v>
      </c>
      <c r="E315" s="2" t="s">
        <v>79</v>
      </c>
      <c r="F315" s="23">
        <f t="shared" si="12"/>
        <v>4.6793972602461498</v>
      </c>
      <c r="G315" s="23">
        <f t="shared" si="13"/>
        <v>-1.2293972602461496</v>
      </c>
      <c r="H315" s="23">
        <f t="shared" si="14"/>
        <v>1.5114176235007388</v>
      </c>
    </row>
    <row r="316" spans="1:8" x14ac:dyDescent="0.2">
      <c r="A316" s="4">
        <v>3.75</v>
      </c>
      <c r="B316" s="4">
        <v>1</v>
      </c>
      <c r="C316" s="4">
        <v>12</v>
      </c>
      <c r="D316" s="4">
        <v>0</v>
      </c>
      <c r="E316" s="2" t="s">
        <v>79</v>
      </c>
      <c r="F316" s="23">
        <f t="shared" si="12"/>
        <v>5.6152767122953797</v>
      </c>
      <c r="G316" s="23">
        <f t="shared" si="13"/>
        <v>-1.8652767122953797</v>
      </c>
      <c r="H316" s="23">
        <f t="shared" si="14"/>
        <v>3.479257213431461</v>
      </c>
    </row>
    <row r="317" spans="1:8" x14ac:dyDescent="0.2">
      <c r="A317" s="4">
        <v>6</v>
      </c>
      <c r="B317" s="4">
        <v>1</v>
      </c>
      <c r="C317" s="4">
        <v>14</v>
      </c>
      <c r="D317" s="4">
        <v>0</v>
      </c>
      <c r="E317" s="2" t="s">
        <v>79</v>
      </c>
      <c r="F317" s="23">
        <f t="shared" si="12"/>
        <v>6.5511561643446097</v>
      </c>
      <c r="G317" s="23">
        <f t="shared" si="13"/>
        <v>-0.55115616434460968</v>
      </c>
      <c r="H317" s="23">
        <f t="shared" si="14"/>
        <v>0.30377311749506242</v>
      </c>
    </row>
    <row r="318" spans="1:8" x14ac:dyDescent="0.2">
      <c r="A318" s="4">
        <v>6.25</v>
      </c>
      <c r="B318" s="4">
        <v>1</v>
      </c>
      <c r="C318" s="4">
        <v>12</v>
      </c>
      <c r="D318" s="4">
        <v>0</v>
      </c>
      <c r="E318" s="2" t="s">
        <v>79</v>
      </c>
      <c r="F318" s="23">
        <f t="shared" si="12"/>
        <v>5.6152767122953797</v>
      </c>
      <c r="G318" s="23">
        <f t="shared" si="13"/>
        <v>0.63472328770462028</v>
      </c>
      <c r="H318" s="23">
        <f t="shared" si="14"/>
        <v>0.40287365195456215</v>
      </c>
    </row>
    <row r="319" spans="1:8" x14ac:dyDescent="0.2">
      <c r="A319" s="4">
        <v>7.5</v>
      </c>
      <c r="B319" s="4">
        <v>1</v>
      </c>
      <c r="C319" s="4">
        <v>16</v>
      </c>
      <c r="D319" s="4">
        <v>0</v>
      </c>
      <c r="E319" s="2" t="s">
        <v>79</v>
      </c>
      <c r="F319" s="23">
        <f t="shared" si="12"/>
        <v>7.4870356163938396</v>
      </c>
      <c r="G319" s="23">
        <f t="shared" si="13"/>
        <v>1.2964383606160368E-2</v>
      </c>
      <c r="H319" s="23">
        <f t="shared" si="14"/>
        <v>1.680752422876797E-4</v>
      </c>
    </row>
    <row r="320" spans="1:8" x14ac:dyDescent="0.2">
      <c r="A320" s="4">
        <v>3</v>
      </c>
      <c r="B320" s="4">
        <v>1</v>
      </c>
      <c r="C320" s="4">
        <v>12</v>
      </c>
      <c r="D320" s="4">
        <v>0</v>
      </c>
      <c r="E320" s="2" t="s">
        <v>79</v>
      </c>
      <c r="F320" s="23">
        <f t="shared" si="12"/>
        <v>5.6152767122953797</v>
      </c>
      <c r="G320" s="23">
        <f t="shared" si="13"/>
        <v>-2.6152767122953797</v>
      </c>
      <c r="H320" s="23">
        <f t="shared" si="14"/>
        <v>6.8396722818745301</v>
      </c>
    </row>
    <row r="321" spans="1:8" x14ac:dyDescent="0.2">
      <c r="A321" s="4">
        <v>4.55</v>
      </c>
      <c r="B321" s="4">
        <v>1</v>
      </c>
      <c r="C321" s="4">
        <v>12</v>
      </c>
      <c r="D321" s="4">
        <v>0</v>
      </c>
      <c r="E321" s="2" t="s">
        <v>79</v>
      </c>
      <c r="F321" s="23">
        <f t="shared" si="12"/>
        <v>5.6152767122953797</v>
      </c>
      <c r="G321" s="23">
        <f t="shared" si="13"/>
        <v>-1.0652767122953799</v>
      </c>
      <c r="H321" s="23">
        <f t="shared" si="14"/>
        <v>1.1348144737588537</v>
      </c>
    </row>
    <row r="322" spans="1:8" x14ac:dyDescent="0.2">
      <c r="A322" s="4">
        <v>7.5</v>
      </c>
      <c r="B322" s="4">
        <v>1</v>
      </c>
      <c r="C322" s="4">
        <v>12</v>
      </c>
      <c r="D322" s="4">
        <v>0</v>
      </c>
      <c r="E322" s="2" t="s">
        <v>79</v>
      </c>
      <c r="F322" s="23">
        <f t="shared" ref="F322:F385" si="15">($K$18*B322)+($K$19*C322)+($K$20*D322)</f>
        <v>5.6152767122953797</v>
      </c>
      <c r="G322" s="23">
        <f t="shared" si="13"/>
        <v>1.8847232877046203</v>
      </c>
      <c r="H322" s="23">
        <f t="shared" si="14"/>
        <v>3.5521818712161131</v>
      </c>
    </row>
    <row r="323" spans="1:8" x14ac:dyDescent="0.2">
      <c r="A323" s="4">
        <v>3.05</v>
      </c>
      <c r="B323" s="4">
        <v>1</v>
      </c>
      <c r="C323" s="4">
        <v>12</v>
      </c>
      <c r="D323" s="4">
        <v>0</v>
      </c>
      <c r="E323" s="2" t="s">
        <v>79</v>
      </c>
      <c r="F323" s="23">
        <f t="shared" si="15"/>
        <v>5.6152767122953797</v>
      </c>
      <c r="G323" s="23">
        <f t="shared" ref="G323:G386" si="16">(A323-F323)</f>
        <v>-2.5652767122953799</v>
      </c>
      <c r="H323" s="23">
        <f t="shared" ref="H323:H386" si="17">G323^2</f>
        <v>6.5806446106449936</v>
      </c>
    </row>
    <row r="324" spans="1:8" x14ac:dyDescent="0.2">
      <c r="A324" s="4">
        <v>6.25</v>
      </c>
      <c r="B324" s="4">
        <v>1</v>
      </c>
      <c r="C324" s="4">
        <v>12</v>
      </c>
      <c r="D324" s="4">
        <v>1</v>
      </c>
      <c r="E324" s="2" t="s">
        <v>79</v>
      </c>
      <c r="F324" s="23">
        <f t="shared" si="15"/>
        <v>6.4665319715278917</v>
      </c>
      <c r="G324" s="23">
        <f t="shared" si="16"/>
        <v>-0.21653197152789172</v>
      </c>
      <c r="H324" s="23">
        <f t="shared" si="17"/>
        <v>4.6886094693755709E-2</v>
      </c>
    </row>
    <row r="325" spans="1:8" x14ac:dyDescent="0.2">
      <c r="A325" s="4">
        <v>4.5</v>
      </c>
      <c r="B325" s="4">
        <v>1</v>
      </c>
      <c r="C325" s="4">
        <v>14</v>
      </c>
      <c r="D325" s="4">
        <v>0</v>
      </c>
      <c r="E325" s="2" t="s">
        <v>79</v>
      </c>
      <c r="F325" s="23">
        <f t="shared" si="15"/>
        <v>6.5511561643446097</v>
      </c>
      <c r="G325" s="23">
        <f t="shared" si="16"/>
        <v>-2.0511561643446097</v>
      </c>
      <c r="H325" s="23">
        <f t="shared" si="17"/>
        <v>4.2072416105288912</v>
      </c>
    </row>
    <row r="326" spans="1:8" x14ac:dyDescent="0.2">
      <c r="A326" s="4">
        <v>3</v>
      </c>
      <c r="B326" s="4">
        <v>1</v>
      </c>
      <c r="C326" s="4">
        <v>15</v>
      </c>
      <c r="D326" s="4">
        <v>0</v>
      </c>
      <c r="E326" s="2" t="s">
        <v>79</v>
      </c>
      <c r="F326" s="23">
        <f t="shared" si="15"/>
        <v>7.0190958903692247</v>
      </c>
      <c r="G326" s="23">
        <f t="shared" si="16"/>
        <v>-4.0190958903692247</v>
      </c>
      <c r="H326" s="23">
        <f t="shared" si="17"/>
        <v>16.153131775982789</v>
      </c>
    </row>
    <row r="327" spans="1:8" x14ac:dyDescent="0.2">
      <c r="A327" s="4">
        <v>10</v>
      </c>
      <c r="B327" s="4">
        <v>1</v>
      </c>
      <c r="C327" s="4">
        <v>8</v>
      </c>
      <c r="D327" s="4">
        <v>1</v>
      </c>
      <c r="E327" s="2" t="s">
        <v>79</v>
      </c>
      <c r="F327" s="23">
        <f t="shared" si="15"/>
        <v>4.5947730674294318</v>
      </c>
      <c r="G327" s="23">
        <f t="shared" si="16"/>
        <v>5.4052269325705682</v>
      </c>
      <c r="H327" s="23">
        <f t="shared" si="17"/>
        <v>29.216478192586234</v>
      </c>
    </row>
    <row r="328" spans="1:8" x14ac:dyDescent="0.2">
      <c r="A328" s="4">
        <v>6</v>
      </c>
      <c r="B328" s="4">
        <v>1</v>
      </c>
      <c r="C328" s="4">
        <v>13</v>
      </c>
      <c r="D328" s="4">
        <v>0</v>
      </c>
      <c r="E328" s="2" t="s">
        <v>79</v>
      </c>
      <c r="F328" s="23">
        <f t="shared" si="15"/>
        <v>6.0832164383199947</v>
      </c>
      <c r="G328" s="23">
        <f t="shared" si="16"/>
        <v>-8.3216438319994701E-2</v>
      </c>
      <c r="H328" s="23">
        <f t="shared" si="17"/>
        <v>6.9249756066654825E-3</v>
      </c>
    </row>
    <row r="329" spans="1:8" x14ac:dyDescent="0.2">
      <c r="A329" s="4">
        <v>2.89</v>
      </c>
      <c r="B329" s="4">
        <v>1</v>
      </c>
      <c r="C329" s="4">
        <v>10</v>
      </c>
      <c r="D329" s="4">
        <v>0</v>
      </c>
      <c r="E329" s="2" t="s">
        <v>79</v>
      </c>
      <c r="F329" s="23">
        <f t="shared" si="15"/>
        <v>4.6793972602461498</v>
      </c>
      <c r="G329" s="23">
        <f t="shared" si="16"/>
        <v>-1.7893972602461496</v>
      </c>
      <c r="H329" s="23">
        <f t="shared" si="17"/>
        <v>3.2019425549764264</v>
      </c>
    </row>
    <row r="330" spans="1:8" x14ac:dyDescent="0.2">
      <c r="A330" s="4">
        <v>4.2</v>
      </c>
      <c r="B330" s="4">
        <v>1</v>
      </c>
      <c r="C330" s="4">
        <v>16</v>
      </c>
      <c r="D330" s="4">
        <v>0</v>
      </c>
      <c r="E330" s="2" t="s">
        <v>79</v>
      </c>
      <c r="F330" s="23">
        <f t="shared" si="15"/>
        <v>7.4870356163938396</v>
      </c>
      <c r="G330" s="23">
        <f t="shared" si="16"/>
        <v>-3.2870356163938395</v>
      </c>
      <c r="H330" s="23">
        <f t="shared" si="17"/>
        <v>10.804603143441629</v>
      </c>
    </row>
    <row r="331" spans="1:8" x14ac:dyDescent="0.2">
      <c r="A331" s="4">
        <v>4.5999999999999996</v>
      </c>
      <c r="B331" s="4">
        <v>1</v>
      </c>
      <c r="C331" s="4">
        <v>14</v>
      </c>
      <c r="D331" s="4">
        <v>0</v>
      </c>
      <c r="E331" s="2" t="s">
        <v>79</v>
      </c>
      <c r="F331" s="23">
        <f t="shared" si="15"/>
        <v>6.5511561643446097</v>
      </c>
      <c r="G331" s="23">
        <f t="shared" si="16"/>
        <v>-1.95115616434461</v>
      </c>
      <c r="H331" s="23">
        <f t="shared" si="17"/>
        <v>3.8070103776599709</v>
      </c>
    </row>
    <row r="332" spans="1:8" x14ac:dyDescent="0.2">
      <c r="A332" s="4">
        <v>4.38</v>
      </c>
      <c r="B332" s="4">
        <v>1</v>
      </c>
      <c r="C332" s="4">
        <v>16</v>
      </c>
      <c r="D332" s="4">
        <v>0</v>
      </c>
      <c r="E332" s="2" t="s">
        <v>79</v>
      </c>
      <c r="F332" s="23">
        <f t="shared" si="15"/>
        <v>7.4870356163938396</v>
      </c>
      <c r="G332" s="23">
        <f t="shared" si="16"/>
        <v>-3.1070356163938397</v>
      </c>
      <c r="H332" s="23">
        <f t="shared" si="17"/>
        <v>9.6536703215398472</v>
      </c>
    </row>
    <row r="333" spans="1:8" x14ac:dyDescent="0.2">
      <c r="A333" s="4">
        <v>9</v>
      </c>
      <c r="B333" s="4">
        <v>1</v>
      </c>
      <c r="C333" s="4">
        <v>17</v>
      </c>
      <c r="D333" s="4">
        <v>0</v>
      </c>
      <c r="E333" s="2" t="s">
        <v>79</v>
      </c>
      <c r="F333" s="23">
        <f t="shared" si="15"/>
        <v>7.9549753424184546</v>
      </c>
      <c r="G333" s="23">
        <f t="shared" si="16"/>
        <v>1.0450246575815454</v>
      </c>
      <c r="H333" s="23">
        <f t="shared" si="17"/>
        <v>1.0920765349534263</v>
      </c>
    </row>
    <row r="334" spans="1:8" x14ac:dyDescent="0.2">
      <c r="A334" s="4">
        <v>3</v>
      </c>
      <c r="B334" s="4">
        <v>1</v>
      </c>
      <c r="C334" s="4">
        <v>10</v>
      </c>
      <c r="D334" s="4">
        <v>0</v>
      </c>
      <c r="E334" s="2" t="s">
        <v>79</v>
      </c>
      <c r="F334" s="23">
        <f t="shared" si="15"/>
        <v>4.6793972602461498</v>
      </c>
      <c r="G334" s="23">
        <f t="shared" si="16"/>
        <v>-1.6793972602461498</v>
      </c>
      <c r="H334" s="23">
        <f t="shared" si="17"/>
        <v>2.8203751577222742</v>
      </c>
    </row>
    <row r="335" spans="1:8" x14ac:dyDescent="0.2">
      <c r="A335" s="4">
        <v>4.38</v>
      </c>
      <c r="B335" s="4">
        <v>1</v>
      </c>
      <c r="C335" s="4">
        <v>13</v>
      </c>
      <c r="D335" s="4">
        <v>0</v>
      </c>
      <c r="E335" s="2" t="s">
        <v>79</v>
      </c>
      <c r="F335" s="23">
        <f t="shared" si="15"/>
        <v>6.0832164383199947</v>
      </c>
      <c r="G335" s="23">
        <f t="shared" si="16"/>
        <v>-1.7032164383199948</v>
      </c>
      <c r="H335" s="23">
        <f t="shared" si="17"/>
        <v>2.9009462357634486</v>
      </c>
    </row>
    <row r="336" spans="1:8" x14ac:dyDescent="0.2">
      <c r="A336" s="4">
        <v>4.0999999999999996</v>
      </c>
      <c r="B336" s="4">
        <v>1</v>
      </c>
      <c r="C336" s="4">
        <v>14</v>
      </c>
      <c r="D336" s="4">
        <v>0</v>
      </c>
      <c r="E336" s="2" t="s">
        <v>79</v>
      </c>
      <c r="F336" s="23">
        <f t="shared" si="15"/>
        <v>6.5511561643446097</v>
      </c>
      <c r="G336" s="23">
        <f t="shared" si="16"/>
        <v>-2.45115616434461</v>
      </c>
      <c r="H336" s="23">
        <f t="shared" si="17"/>
        <v>6.0081665420045809</v>
      </c>
    </row>
    <row r="337" spans="1:8" x14ac:dyDescent="0.2">
      <c r="A337" s="4">
        <v>2.9</v>
      </c>
      <c r="B337" s="4">
        <v>1</v>
      </c>
      <c r="C337" s="4">
        <v>11</v>
      </c>
      <c r="D337" s="4">
        <v>0</v>
      </c>
      <c r="E337" s="2" t="s">
        <v>79</v>
      </c>
      <c r="F337" s="23">
        <f t="shared" si="15"/>
        <v>5.1473369862707647</v>
      </c>
      <c r="G337" s="23">
        <f t="shared" si="16"/>
        <v>-2.2473369862707648</v>
      </c>
      <c r="H337" s="23">
        <f t="shared" si="17"/>
        <v>5.0505235298605635</v>
      </c>
    </row>
    <row r="338" spans="1:8" x14ac:dyDescent="0.2">
      <c r="A338" s="4">
        <v>3.76</v>
      </c>
      <c r="B338" s="4">
        <v>1</v>
      </c>
      <c r="C338" s="4">
        <v>6</v>
      </c>
      <c r="D338" s="4">
        <v>0</v>
      </c>
      <c r="E338" s="2" t="s">
        <v>79</v>
      </c>
      <c r="F338" s="23">
        <f t="shared" si="15"/>
        <v>2.8076383561476899</v>
      </c>
      <c r="G338" s="23">
        <f t="shared" si="16"/>
        <v>0.95236164385230992</v>
      </c>
      <c r="H338" s="23">
        <f t="shared" si="17"/>
        <v>0.90699270068107396</v>
      </c>
    </row>
    <row r="339" spans="1:8" x14ac:dyDescent="0.2">
      <c r="A339" s="4">
        <v>4</v>
      </c>
      <c r="B339" s="4">
        <v>1</v>
      </c>
      <c r="C339" s="4">
        <v>13</v>
      </c>
      <c r="D339" s="4">
        <v>1</v>
      </c>
      <c r="E339" s="2" t="s">
        <v>79</v>
      </c>
      <c r="F339" s="23">
        <f t="shared" si="15"/>
        <v>6.9344716975525067</v>
      </c>
      <c r="G339" s="23">
        <f t="shared" si="16"/>
        <v>-2.9344716975525067</v>
      </c>
      <c r="H339" s="23">
        <f t="shared" si="17"/>
        <v>8.6111241437366903</v>
      </c>
    </row>
    <row r="340" spans="1:8" x14ac:dyDescent="0.2">
      <c r="A340" s="4">
        <v>5.84</v>
      </c>
      <c r="B340" s="4">
        <v>1</v>
      </c>
      <c r="C340" s="4">
        <v>13</v>
      </c>
      <c r="D340" s="4">
        <v>0</v>
      </c>
      <c r="E340" s="2" t="s">
        <v>79</v>
      </c>
      <c r="F340" s="23">
        <f t="shared" si="15"/>
        <v>6.0832164383199947</v>
      </c>
      <c r="G340" s="23">
        <f t="shared" si="16"/>
        <v>-0.24321643831999484</v>
      </c>
      <c r="H340" s="23">
        <f t="shared" si="17"/>
        <v>5.9154235869063855E-2</v>
      </c>
    </row>
    <row r="341" spans="1:8" x14ac:dyDescent="0.2">
      <c r="A341" s="4">
        <v>3.3</v>
      </c>
      <c r="B341" s="4">
        <v>1</v>
      </c>
      <c r="C341" s="4">
        <v>13</v>
      </c>
      <c r="D341" s="4">
        <v>0</v>
      </c>
      <c r="E341" s="2" t="s">
        <v>79</v>
      </c>
      <c r="F341" s="23">
        <f t="shared" si="15"/>
        <v>6.0832164383199947</v>
      </c>
      <c r="G341" s="23">
        <f t="shared" si="16"/>
        <v>-2.7832164383199949</v>
      </c>
      <c r="H341" s="23">
        <f t="shared" si="17"/>
        <v>7.7462937425346379</v>
      </c>
    </row>
    <row r="342" spans="1:8" x14ac:dyDescent="0.2">
      <c r="A342" s="4">
        <v>3.5</v>
      </c>
      <c r="B342" s="4">
        <v>1</v>
      </c>
      <c r="C342" s="4">
        <v>14</v>
      </c>
      <c r="D342" s="4">
        <v>0</v>
      </c>
      <c r="E342" s="2" t="s">
        <v>79</v>
      </c>
      <c r="F342" s="23">
        <f t="shared" si="15"/>
        <v>6.5511561643446097</v>
      </c>
      <c r="G342" s="23">
        <f t="shared" si="16"/>
        <v>-3.0511561643446097</v>
      </c>
      <c r="H342" s="23">
        <f t="shared" si="17"/>
        <v>9.3095539392181106</v>
      </c>
    </row>
    <row r="343" spans="1:8" x14ac:dyDescent="0.2">
      <c r="A343" s="4">
        <v>3</v>
      </c>
      <c r="B343" s="4">
        <v>1</v>
      </c>
      <c r="C343" s="4">
        <v>13</v>
      </c>
      <c r="D343" s="4">
        <v>0</v>
      </c>
      <c r="E343" s="2" t="s">
        <v>79</v>
      </c>
      <c r="F343" s="23">
        <f t="shared" si="15"/>
        <v>6.0832164383199947</v>
      </c>
      <c r="G343" s="23">
        <f t="shared" si="16"/>
        <v>-3.0832164383199947</v>
      </c>
      <c r="H343" s="23">
        <f t="shared" si="17"/>
        <v>9.5062236055266336</v>
      </c>
    </row>
    <row r="344" spans="1:8" x14ac:dyDescent="0.2">
      <c r="A344" s="4">
        <v>4.5</v>
      </c>
      <c r="B344" s="4">
        <v>1</v>
      </c>
      <c r="C344" s="4">
        <v>14</v>
      </c>
      <c r="D344" s="4">
        <v>1</v>
      </c>
      <c r="E344" s="2" t="s">
        <v>79</v>
      </c>
      <c r="F344" s="23">
        <f t="shared" si="15"/>
        <v>7.4024114235771217</v>
      </c>
      <c r="G344" s="23">
        <f t="shared" si="16"/>
        <v>-2.9024114235771217</v>
      </c>
      <c r="H344" s="23">
        <f t="shared" si="17"/>
        <v>8.4239920717109733</v>
      </c>
    </row>
    <row r="345" spans="1:8" x14ac:dyDescent="0.2">
      <c r="A345" s="4">
        <v>3.85</v>
      </c>
      <c r="B345" s="4">
        <v>1</v>
      </c>
      <c r="C345" s="4">
        <v>16</v>
      </c>
      <c r="D345" s="4">
        <v>0</v>
      </c>
      <c r="E345" s="2" t="s">
        <v>79</v>
      </c>
      <c r="F345" s="23">
        <f t="shared" si="15"/>
        <v>7.4870356163938396</v>
      </c>
      <c r="G345" s="23">
        <f t="shared" si="16"/>
        <v>-3.6370356163938395</v>
      </c>
      <c r="H345" s="23">
        <f t="shared" si="17"/>
        <v>13.228028074917317</v>
      </c>
    </row>
    <row r="346" spans="1:8" x14ac:dyDescent="0.2">
      <c r="A346" s="4">
        <v>4.1100000000000003</v>
      </c>
      <c r="B346" s="4">
        <v>1</v>
      </c>
      <c r="C346" s="4">
        <v>14</v>
      </c>
      <c r="D346" s="4">
        <v>0</v>
      </c>
      <c r="E346" s="2" t="s">
        <v>79</v>
      </c>
      <c r="F346" s="23">
        <f t="shared" si="15"/>
        <v>6.5511561643446097</v>
      </c>
      <c r="G346" s="23">
        <f t="shared" si="16"/>
        <v>-2.4411561643446094</v>
      </c>
      <c r="H346" s="23">
        <f t="shared" si="17"/>
        <v>5.9592434187176853</v>
      </c>
    </row>
    <row r="347" spans="1:8" x14ac:dyDescent="0.2">
      <c r="A347" s="4">
        <v>5</v>
      </c>
      <c r="B347" s="4">
        <v>1</v>
      </c>
      <c r="C347" s="4">
        <v>14</v>
      </c>
      <c r="D347" s="4">
        <v>0</v>
      </c>
      <c r="E347" s="2" t="s">
        <v>79</v>
      </c>
      <c r="F347" s="23">
        <f t="shared" si="15"/>
        <v>6.5511561643446097</v>
      </c>
      <c r="G347" s="23">
        <f t="shared" si="16"/>
        <v>-1.5511561643446097</v>
      </c>
      <c r="H347" s="23">
        <f t="shared" si="17"/>
        <v>2.4060854461842816</v>
      </c>
    </row>
    <row r="348" spans="1:8" x14ac:dyDescent="0.2">
      <c r="A348" s="4">
        <v>2.25</v>
      </c>
      <c r="B348" s="4">
        <v>1</v>
      </c>
      <c r="C348" s="4">
        <v>12</v>
      </c>
      <c r="D348" s="4">
        <v>0</v>
      </c>
      <c r="E348" s="2" t="s">
        <v>79</v>
      </c>
      <c r="F348" s="23">
        <f t="shared" si="15"/>
        <v>5.6152767122953797</v>
      </c>
      <c r="G348" s="23">
        <f t="shared" si="16"/>
        <v>-3.3652767122953797</v>
      </c>
      <c r="H348" s="23">
        <f t="shared" si="17"/>
        <v>11.325087350317601</v>
      </c>
    </row>
    <row r="349" spans="1:8" x14ac:dyDescent="0.2">
      <c r="A349" s="4">
        <v>3.18</v>
      </c>
      <c r="B349" s="4">
        <v>1</v>
      </c>
      <c r="C349" s="4">
        <v>12</v>
      </c>
      <c r="D349" s="4">
        <v>0</v>
      </c>
      <c r="E349" s="2" t="s">
        <v>79</v>
      </c>
      <c r="F349" s="23">
        <f t="shared" si="15"/>
        <v>5.6152767122953797</v>
      </c>
      <c r="G349" s="23">
        <f t="shared" si="16"/>
        <v>-2.4352767122953796</v>
      </c>
      <c r="H349" s="23">
        <f t="shared" si="17"/>
        <v>5.9305726654481932</v>
      </c>
    </row>
    <row r="350" spans="1:8" x14ac:dyDescent="0.2">
      <c r="A350" s="4">
        <v>5.05</v>
      </c>
      <c r="B350" s="4">
        <v>1</v>
      </c>
      <c r="C350" s="10">
        <v>12</v>
      </c>
      <c r="D350" s="4">
        <v>0</v>
      </c>
      <c r="E350" s="2" t="s">
        <v>79</v>
      </c>
      <c r="F350" s="23">
        <f t="shared" si="15"/>
        <v>5.6152767122953797</v>
      </c>
      <c r="G350" s="23">
        <f t="shared" si="16"/>
        <v>-0.5652767122953799</v>
      </c>
      <c r="H350" s="23">
        <f t="shared" si="17"/>
        <v>0.31953776146347368</v>
      </c>
    </row>
    <row r="351" spans="1:8" x14ac:dyDescent="0.2">
      <c r="A351" s="4">
        <v>4.63</v>
      </c>
      <c r="B351" s="4">
        <v>1</v>
      </c>
      <c r="C351" s="4">
        <v>14</v>
      </c>
      <c r="D351" s="4">
        <v>0</v>
      </c>
      <c r="E351" s="2" t="s">
        <v>79</v>
      </c>
      <c r="F351" s="23">
        <f t="shared" si="15"/>
        <v>6.5511561643446097</v>
      </c>
      <c r="G351" s="23">
        <f t="shared" si="16"/>
        <v>-1.9211561643446098</v>
      </c>
      <c r="H351" s="23">
        <f t="shared" si="17"/>
        <v>3.6908410077992935</v>
      </c>
    </row>
    <row r="352" spans="1:8" x14ac:dyDescent="0.2">
      <c r="A352" s="4">
        <v>2.91</v>
      </c>
      <c r="B352" s="4">
        <v>1</v>
      </c>
      <c r="C352" s="4">
        <v>12</v>
      </c>
      <c r="D352" s="4">
        <v>0</v>
      </c>
      <c r="E352" s="2" t="s">
        <v>79</v>
      </c>
      <c r="F352" s="23">
        <f t="shared" si="15"/>
        <v>5.6152767122953797</v>
      </c>
      <c r="G352" s="23">
        <f t="shared" si="16"/>
        <v>-2.7052767122953796</v>
      </c>
      <c r="H352" s="23">
        <f t="shared" si="17"/>
        <v>7.3185220900876979</v>
      </c>
    </row>
    <row r="353" spans="1:8" x14ac:dyDescent="0.2">
      <c r="A353" s="4">
        <v>6.25</v>
      </c>
      <c r="B353" s="4">
        <v>1</v>
      </c>
      <c r="C353" s="4">
        <v>17</v>
      </c>
      <c r="D353" s="4">
        <v>0</v>
      </c>
      <c r="E353" s="2" t="s">
        <v>79</v>
      </c>
      <c r="F353" s="23">
        <f t="shared" si="15"/>
        <v>7.9549753424184546</v>
      </c>
      <c r="G353" s="23">
        <f t="shared" si="16"/>
        <v>-1.7049753424184546</v>
      </c>
      <c r="H353" s="23">
        <f t="shared" si="17"/>
        <v>2.9069409182549264</v>
      </c>
    </row>
    <row r="354" spans="1:8" x14ac:dyDescent="0.2">
      <c r="A354" s="4">
        <v>5.25</v>
      </c>
      <c r="B354" s="4">
        <v>1</v>
      </c>
      <c r="C354" s="4">
        <v>16</v>
      </c>
      <c r="D354" s="4">
        <v>0</v>
      </c>
      <c r="E354" s="2" t="s">
        <v>79</v>
      </c>
      <c r="F354" s="23">
        <f t="shared" si="15"/>
        <v>7.4870356163938396</v>
      </c>
      <c r="G354" s="23">
        <f t="shared" si="16"/>
        <v>-2.2370356163938396</v>
      </c>
      <c r="H354" s="23">
        <f t="shared" si="17"/>
        <v>5.0043283490145658</v>
      </c>
    </row>
    <row r="355" spans="1:8" x14ac:dyDescent="0.2">
      <c r="A355" s="4">
        <v>5.25</v>
      </c>
      <c r="B355" s="4">
        <v>1</v>
      </c>
      <c r="C355" s="4">
        <v>12</v>
      </c>
      <c r="D355" s="4">
        <v>0</v>
      </c>
      <c r="E355" s="2" t="s">
        <v>79</v>
      </c>
      <c r="F355" s="23">
        <f t="shared" si="15"/>
        <v>5.6152767122953797</v>
      </c>
      <c r="G355" s="23">
        <f t="shared" si="16"/>
        <v>-0.36527671229537972</v>
      </c>
      <c r="H355" s="23">
        <f t="shared" si="17"/>
        <v>0.13342707654532163</v>
      </c>
    </row>
    <row r="356" spans="1:8" x14ac:dyDescent="0.2">
      <c r="A356" s="4">
        <v>2.9</v>
      </c>
      <c r="B356" s="4">
        <v>1</v>
      </c>
      <c r="C356" s="4">
        <v>10</v>
      </c>
      <c r="D356" s="4">
        <v>0</v>
      </c>
      <c r="E356" s="2" t="s">
        <v>79</v>
      </c>
      <c r="F356" s="23">
        <f t="shared" si="15"/>
        <v>4.6793972602461498</v>
      </c>
      <c r="G356" s="23">
        <f t="shared" si="16"/>
        <v>-1.7793972602461499</v>
      </c>
      <c r="H356" s="23">
        <f t="shared" si="17"/>
        <v>3.1662546097715043</v>
      </c>
    </row>
    <row r="357" spans="1:8" x14ac:dyDescent="0.2">
      <c r="A357" s="4">
        <v>2.92</v>
      </c>
      <c r="B357" s="4">
        <v>1</v>
      </c>
      <c r="C357" s="4">
        <v>12</v>
      </c>
      <c r="D357" s="4">
        <v>0</v>
      </c>
      <c r="E357" s="2" t="s">
        <v>79</v>
      </c>
      <c r="F357" s="23">
        <f t="shared" si="15"/>
        <v>5.6152767122953797</v>
      </c>
      <c r="G357" s="23">
        <f t="shared" si="16"/>
        <v>-2.6952767122953798</v>
      </c>
      <c r="H357" s="23">
        <f t="shared" si="17"/>
        <v>7.2645165558417917</v>
      </c>
    </row>
    <row r="358" spans="1:8" x14ac:dyDescent="0.2">
      <c r="A358" s="4">
        <v>3.25</v>
      </c>
      <c r="B358" s="4">
        <v>1</v>
      </c>
      <c r="C358" s="4">
        <v>12</v>
      </c>
      <c r="D358" s="4">
        <v>0</v>
      </c>
      <c r="E358" s="2" t="s">
        <v>79</v>
      </c>
      <c r="F358" s="23">
        <f t="shared" si="15"/>
        <v>5.6152767122953797</v>
      </c>
      <c r="G358" s="23">
        <f t="shared" si="16"/>
        <v>-2.3652767122953797</v>
      </c>
      <c r="H358" s="23">
        <f t="shared" si="17"/>
        <v>5.5945339257268403</v>
      </c>
    </row>
    <row r="359" spans="1:8" x14ac:dyDescent="0.2">
      <c r="A359" s="4">
        <v>3.25</v>
      </c>
      <c r="B359" s="4">
        <v>1</v>
      </c>
      <c r="C359" s="4">
        <v>15</v>
      </c>
      <c r="D359" s="4">
        <v>0</v>
      </c>
      <c r="E359" s="2" t="s">
        <v>79</v>
      </c>
      <c r="F359" s="23">
        <f t="shared" si="15"/>
        <v>7.0190958903692247</v>
      </c>
      <c r="G359" s="23">
        <f t="shared" si="16"/>
        <v>-3.7690958903692247</v>
      </c>
      <c r="H359" s="23">
        <f t="shared" si="17"/>
        <v>14.206083830798178</v>
      </c>
    </row>
    <row r="360" spans="1:8" x14ac:dyDescent="0.2">
      <c r="A360" s="4">
        <v>4.29</v>
      </c>
      <c r="B360" s="4">
        <v>1</v>
      </c>
      <c r="C360" s="4">
        <v>12</v>
      </c>
      <c r="D360" s="4">
        <v>0</v>
      </c>
      <c r="E360" s="2" t="s">
        <v>79</v>
      </c>
      <c r="F360" s="23">
        <f t="shared" si="15"/>
        <v>5.6152767122953797</v>
      </c>
      <c r="G360" s="23">
        <f t="shared" si="16"/>
        <v>-1.3252767122953797</v>
      </c>
      <c r="H360" s="23">
        <f t="shared" si="17"/>
        <v>1.7563583641524505</v>
      </c>
    </row>
    <row r="361" spans="1:8" x14ac:dyDescent="0.2">
      <c r="A361" s="4">
        <v>4.68</v>
      </c>
      <c r="B361" s="4">
        <v>1</v>
      </c>
      <c r="C361" s="4">
        <v>12</v>
      </c>
      <c r="D361" s="4">
        <v>0</v>
      </c>
      <c r="E361" s="2" t="s">
        <v>79</v>
      </c>
      <c r="F361" s="23">
        <f t="shared" si="15"/>
        <v>5.6152767122953797</v>
      </c>
      <c r="G361" s="23">
        <f t="shared" si="16"/>
        <v>-0.93527671229538001</v>
      </c>
      <c r="H361" s="23">
        <f t="shared" si="17"/>
        <v>0.87474252856205503</v>
      </c>
    </row>
    <row r="362" spans="1:8" x14ac:dyDescent="0.2">
      <c r="A362" s="4">
        <v>6.63</v>
      </c>
      <c r="B362" s="4">
        <v>1</v>
      </c>
      <c r="C362" s="4">
        <v>16</v>
      </c>
      <c r="D362" s="4">
        <v>0</v>
      </c>
      <c r="E362" s="2" t="s">
        <v>79</v>
      </c>
      <c r="F362" s="23">
        <f t="shared" si="15"/>
        <v>7.4870356163938396</v>
      </c>
      <c r="G362" s="23">
        <f t="shared" si="16"/>
        <v>-0.85703561639383974</v>
      </c>
      <c r="H362" s="23">
        <f t="shared" si="17"/>
        <v>0.73451004776756879</v>
      </c>
    </row>
    <row r="363" spans="1:8" x14ac:dyDescent="0.2">
      <c r="A363" s="4">
        <v>4.4400000000000004</v>
      </c>
      <c r="B363" s="4">
        <v>1</v>
      </c>
      <c r="C363" s="4">
        <v>12</v>
      </c>
      <c r="D363" s="4">
        <v>0</v>
      </c>
      <c r="E363" s="2" t="s">
        <v>79</v>
      </c>
      <c r="F363" s="23">
        <f t="shared" si="15"/>
        <v>5.6152767122953797</v>
      </c>
      <c r="G363" s="23">
        <f t="shared" si="16"/>
        <v>-1.1752767122953793</v>
      </c>
      <c r="H363" s="23">
        <f t="shared" si="17"/>
        <v>1.3812753504638358</v>
      </c>
    </row>
    <row r="364" spans="1:8" x14ac:dyDescent="0.2">
      <c r="A364" s="4">
        <v>5.71</v>
      </c>
      <c r="B364" s="4">
        <v>1</v>
      </c>
      <c r="C364" s="4">
        <v>16</v>
      </c>
      <c r="D364" s="4">
        <v>0</v>
      </c>
      <c r="E364" s="2" t="s">
        <v>79</v>
      </c>
      <c r="F364" s="23">
        <f t="shared" si="15"/>
        <v>7.4870356163938396</v>
      </c>
      <c r="G364" s="23">
        <f t="shared" si="16"/>
        <v>-1.7770356163938397</v>
      </c>
      <c r="H364" s="23">
        <f t="shared" si="17"/>
        <v>3.1578555819322336</v>
      </c>
    </row>
    <row r="365" spans="1:8" x14ac:dyDescent="0.2">
      <c r="A365" s="4">
        <v>4.57</v>
      </c>
      <c r="B365" s="4">
        <v>1</v>
      </c>
      <c r="C365" s="4">
        <v>14</v>
      </c>
      <c r="D365" s="4">
        <v>0</v>
      </c>
      <c r="E365" s="2" t="s">
        <v>79</v>
      </c>
      <c r="F365" s="23">
        <f t="shared" si="15"/>
        <v>6.5511561643446097</v>
      </c>
      <c r="G365" s="23">
        <f t="shared" si="16"/>
        <v>-1.9811561643446094</v>
      </c>
      <c r="H365" s="23">
        <f t="shared" si="17"/>
        <v>3.9249797475206449</v>
      </c>
    </row>
    <row r="366" spans="1:8" x14ac:dyDescent="0.2">
      <c r="A366" s="4">
        <v>6.5</v>
      </c>
      <c r="B366" s="4">
        <v>1</v>
      </c>
      <c r="C366" s="4">
        <v>17</v>
      </c>
      <c r="D366" s="4">
        <v>0</v>
      </c>
      <c r="E366" s="2" t="s">
        <v>79</v>
      </c>
      <c r="F366" s="23">
        <f t="shared" si="15"/>
        <v>7.9549753424184546</v>
      </c>
      <c r="G366" s="23">
        <f t="shared" si="16"/>
        <v>-1.4549753424184546</v>
      </c>
      <c r="H366" s="23">
        <f t="shared" si="17"/>
        <v>2.1169532470456991</v>
      </c>
    </row>
    <row r="367" spans="1:8" x14ac:dyDescent="0.2">
      <c r="A367" s="4">
        <v>8.1300000000000008</v>
      </c>
      <c r="B367" s="4">
        <v>1</v>
      </c>
      <c r="C367" s="4">
        <v>13</v>
      </c>
      <c r="D367" s="4">
        <v>0</v>
      </c>
      <c r="E367" s="2" t="s">
        <v>79</v>
      </c>
      <c r="F367" s="23">
        <f t="shared" si="15"/>
        <v>6.0832164383199947</v>
      </c>
      <c r="G367" s="23">
        <f t="shared" si="16"/>
        <v>2.0467835616800061</v>
      </c>
      <c r="H367" s="23">
        <f t="shared" si="17"/>
        <v>4.1893229483634915</v>
      </c>
    </row>
    <row r="368" spans="1:8" x14ac:dyDescent="0.2">
      <c r="A368" s="4">
        <v>3</v>
      </c>
      <c r="B368" s="4">
        <v>1</v>
      </c>
      <c r="C368" s="4">
        <v>9</v>
      </c>
      <c r="D368" s="4">
        <v>0</v>
      </c>
      <c r="E368" s="2" t="s">
        <v>79</v>
      </c>
      <c r="F368" s="23">
        <f t="shared" si="15"/>
        <v>4.2114575342215348</v>
      </c>
      <c r="G368" s="23">
        <f t="shared" si="16"/>
        <v>-1.2114575342215348</v>
      </c>
      <c r="H368" s="23">
        <f t="shared" si="17"/>
        <v>1.4676293572221211</v>
      </c>
    </row>
    <row r="369" spans="1:8" x14ac:dyDescent="0.2">
      <c r="A369" s="4">
        <v>4</v>
      </c>
      <c r="B369" s="4">
        <v>1</v>
      </c>
      <c r="C369" s="4">
        <v>10</v>
      </c>
      <c r="D369" s="4">
        <v>0</v>
      </c>
      <c r="E369" s="2" t="s">
        <v>79</v>
      </c>
      <c r="F369" s="23">
        <f t="shared" si="15"/>
        <v>4.6793972602461498</v>
      </c>
      <c r="G369" s="23">
        <f t="shared" si="16"/>
        <v>-0.67939726024614977</v>
      </c>
      <c r="H369" s="23">
        <f t="shared" si="17"/>
        <v>0.46158063722997456</v>
      </c>
    </row>
    <row r="370" spans="1:8" x14ac:dyDescent="0.2">
      <c r="A370" s="4">
        <v>2.7</v>
      </c>
      <c r="B370" s="4">
        <v>1</v>
      </c>
      <c r="C370" s="4">
        <v>9</v>
      </c>
      <c r="D370" s="4">
        <v>0</v>
      </c>
      <c r="E370" s="2" t="s">
        <v>79</v>
      </c>
      <c r="F370" s="23">
        <f t="shared" si="15"/>
        <v>4.2114575342215348</v>
      </c>
      <c r="G370" s="23">
        <f t="shared" si="16"/>
        <v>-1.5114575342215346</v>
      </c>
      <c r="H370" s="23">
        <f t="shared" si="17"/>
        <v>2.2845038777550415</v>
      </c>
    </row>
    <row r="371" spans="1:8" x14ac:dyDescent="0.2">
      <c r="A371" s="4">
        <v>2.27</v>
      </c>
      <c r="B371" s="4">
        <v>1</v>
      </c>
      <c r="C371" s="4">
        <v>10</v>
      </c>
      <c r="D371" s="4">
        <v>0</v>
      </c>
      <c r="E371" s="2" t="s">
        <v>79</v>
      </c>
      <c r="F371" s="23">
        <f t="shared" si="15"/>
        <v>4.6793972602461498</v>
      </c>
      <c r="G371" s="23">
        <f t="shared" si="16"/>
        <v>-2.4093972602461498</v>
      </c>
      <c r="H371" s="23">
        <f t="shared" si="17"/>
        <v>5.805195157681653</v>
      </c>
    </row>
    <row r="372" spans="1:8" x14ac:dyDescent="0.2">
      <c r="A372" s="4">
        <v>3.05</v>
      </c>
      <c r="B372" s="4">
        <v>1</v>
      </c>
      <c r="C372" s="4">
        <v>12</v>
      </c>
      <c r="D372" s="4">
        <v>0</v>
      </c>
      <c r="E372" s="2" t="s">
        <v>79</v>
      </c>
      <c r="F372" s="23">
        <f t="shared" si="15"/>
        <v>5.6152767122953797</v>
      </c>
      <c r="G372" s="23">
        <f t="shared" si="16"/>
        <v>-2.5652767122953799</v>
      </c>
      <c r="H372" s="23">
        <f t="shared" si="17"/>
        <v>6.5806446106449936</v>
      </c>
    </row>
    <row r="373" spans="1:8" x14ac:dyDescent="0.2">
      <c r="A373" s="4">
        <v>3.5</v>
      </c>
      <c r="B373" s="4">
        <v>1</v>
      </c>
      <c r="C373" s="4">
        <v>13</v>
      </c>
      <c r="D373" s="4">
        <v>0</v>
      </c>
      <c r="E373" s="2" t="s">
        <v>79</v>
      </c>
      <c r="F373" s="23">
        <f t="shared" si="15"/>
        <v>6.0832164383199947</v>
      </c>
      <c r="G373" s="23">
        <f t="shared" si="16"/>
        <v>-2.5832164383199947</v>
      </c>
      <c r="H373" s="23">
        <f t="shared" si="17"/>
        <v>6.6730071672066389</v>
      </c>
    </row>
    <row r="374" spans="1:8" x14ac:dyDescent="0.2">
      <c r="A374" s="4">
        <v>4.8099999999999996</v>
      </c>
      <c r="B374" s="4">
        <v>1</v>
      </c>
      <c r="C374" s="4">
        <v>12</v>
      </c>
      <c r="D374" s="4">
        <v>0</v>
      </c>
      <c r="E374" s="2" t="s">
        <v>79</v>
      </c>
      <c r="F374" s="23">
        <f t="shared" si="15"/>
        <v>5.6152767122953797</v>
      </c>
      <c r="G374" s="23">
        <f t="shared" si="16"/>
        <v>-0.80527671229538011</v>
      </c>
      <c r="H374" s="23">
        <f t="shared" si="17"/>
        <v>0.64847058336525643</v>
      </c>
    </row>
    <row r="375" spans="1:8" x14ac:dyDescent="0.2">
      <c r="A375" s="4">
        <v>2.2999999999999998</v>
      </c>
      <c r="B375" s="4">
        <v>1</v>
      </c>
      <c r="C375" s="4">
        <v>10</v>
      </c>
      <c r="D375" s="4">
        <v>0</v>
      </c>
      <c r="E375" s="2" t="s">
        <v>79</v>
      </c>
      <c r="F375" s="23">
        <f t="shared" si="15"/>
        <v>4.6793972602461498</v>
      </c>
      <c r="G375" s="23">
        <f t="shared" si="16"/>
        <v>-2.3793972602461499</v>
      </c>
      <c r="H375" s="23">
        <f t="shared" si="17"/>
        <v>5.6615313220668844</v>
      </c>
    </row>
    <row r="376" spans="1:8" x14ac:dyDescent="0.2">
      <c r="A376" s="4">
        <v>3.5</v>
      </c>
      <c r="B376" s="4">
        <v>1</v>
      </c>
      <c r="C376" s="4">
        <v>12</v>
      </c>
      <c r="D376" s="4">
        <v>0</v>
      </c>
      <c r="E376" s="2" t="s">
        <v>79</v>
      </c>
      <c r="F376" s="23">
        <f t="shared" si="15"/>
        <v>5.6152767122953797</v>
      </c>
      <c r="G376" s="23">
        <f t="shared" si="16"/>
        <v>-2.1152767122953797</v>
      </c>
      <c r="H376" s="23">
        <f t="shared" si="17"/>
        <v>4.4743955695791504</v>
      </c>
    </row>
    <row r="377" spans="1:8" x14ac:dyDescent="0.2">
      <c r="A377" s="4">
        <v>7.9</v>
      </c>
      <c r="B377" s="4">
        <v>1</v>
      </c>
      <c r="C377" s="4">
        <v>12</v>
      </c>
      <c r="D377" s="4">
        <v>1</v>
      </c>
      <c r="E377" s="2" t="s">
        <v>79</v>
      </c>
      <c r="F377" s="23">
        <f t="shared" si="15"/>
        <v>6.4665319715278917</v>
      </c>
      <c r="G377" s="23">
        <f t="shared" si="16"/>
        <v>1.4334680284721086</v>
      </c>
      <c r="H377" s="23">
        <f t="shared" si="17"/>
        <v>2.054830588651714</v>
      </c>
    </row>
    <row r="378" spans="1:8" x14ac:dyDescent="0.2">
      <c r="A378" s="4">
        <v>3</v>
      </c>
      <c r="B378" s="4">
        <v>1</v>
      </c>
      <c r="C378" s="4">
        <v>12</v>
      </c>
      <c r="D378" s="4">
        <v>1</v>
      </c>
      <c r="E378" s="2" t="s">
        <v>79</v>
      </c>
      <c r="F378" s="23">
        <f t="shared" si="15"/>
        <v>6.4665319715278917</v>
      </c>
      <c r="G378" s="23">
        <f t="shared" si="16"/>
        <v>-3.4665319715278917</v>
      </c>
      <c r="H378" s="23">
        <f t="shared" si="17"/>
        <v>12.016843909625052</v>
      </c>
    </row>
    <row r="379" spans="1:8" x14ac:dyDescent="0.2">
      <c r="A379" s="4">
        <v>5.7</v>
      </c>
      <c r="B379" s="4">
        <v>1</v>
      </c>
      <c r="C379" s="4">
        <v>16</v>
      </c>
      <c r="D379" s="4">
        <v>0</v>
      </c>
      <c r="E379" s="2" t="s">
        <v>79</v>
      </c>
      <c r="F379" s="23">
        <f t="shared" si="15"/>
        <v>7.4870356163938396</v>
      </c>
      <c r="G379" s="23">
        <f t="shared" si="16"/>
        <v>-1.7870356163938395</v>
      </c>
      <c r="H379" s="23">
        <f t="shared" si="17"/>
        <v>3.1934962942601097</v>
      </c>
    </row>
    <row r="380" spans="1:8" x14ac:dyDescent="0.2">
      <c r="A380" s="4">
        <v>2.5</v>
      </c>
      <c r="B380" s="4">
        <v>1</v>
      </c>
      <c r="C380" s="10">
        <v>12</v>
      </c>
      <c r="D380" s="4">
        <v>0</v>
      </c>
      <c r="E380" s="2" t="s">
        <v>79</v>
      </c>
      <c r="F380" s="23">
        <f t="shared" si="15"/>
        <v>5.6152767122953797</v>
      </c>
      <c r="G380" s="23">
        <f t="shared" si="16"/>
        <v>-3.1152767122953797</v>
      </c>
      <c r="H380" s="23">
        <f t="shared" si="17"/>
        <v>9.7049489941699107</v>
      </c>
    </row>
    <row r="381" spans="1:8" x14ac:dyDescent="0.2">
      <c r="A381" s="4">
        <v>2.88</v>
      </c>
      <c r="B381" s="4">
        <v>1</v>
      </c>
      <c r="C381" s="4">
        <v>10</v>
      </c>
      <c r="D381" s="4">
        <v>0</v>
      </c>
      <c r="E381" s="2" t="s">
        <v>79</v>
      </c>
      <c r="F381" s="23">
        <f t="shared" si="15"/>
        <v>4.6793972602461498</v>
      </c>
      <c r="G381" s="23">
        <f t="shared" si="16"/>
        <v>-1.7993972602461499</v>
      </c>
      <c r="H381" s="23">
        <f t="shared" si="17"/>
        <v>3.2378305001813503</v>
      </c>
    </row>
    <row r="382" spans="1:8" x14ac:dyDescent="0.2">
      <c r="A382" s="4">
        <v>3</v>
      </c>
      <c r="B382" s="4">
        <v>1</v>
      </c>
      <c r="C382" s="4">
        <v>11</v>
      </c>
      <c r="D382" s="4">
        <v>0</v>
      </c>
      <c r="E382" s="2" t="s">
        <v>79</v>
      </c>
      <c r="F382" s="23">
        <f t="shared" si="15"/>
        <v>5.1473369862707647</v>
      </c>
      <c r="G382" s="23">
        <f t="shared" si="16"/>
        <v>-2.1473369862707647</v>
      </c>
      <c r="H382" s="23">
        <f t="shared" si="17"/>
        <v>4.6110561326064108</v>
      </c>
    </row>
    <row r="383" spans="1:8" x14ac:dyDescent="0.2">
      <c r="A383" s="4">
        <v>3</v>
      </c>
      <c r="B383" s="4">
        <v>1</v>
      </c>
      <c r="C383" s="4">
        <v>11</v>
      </c>
      <c r="D383" s="4">
        <v>0</v>
      </c>
      <c r="E383" s="2" t="s">
        <v>79</v>
      </c>
      <c r="F383" s="23">
        <f t="shared" si="15"/>
        <v>5.1473369862707647</v>
      </c>
      <c r="G383" s="23">
        <f t="shared" si="16"/>
        <v>-2.1473369862707647</v>
      </c>
      <c r="H383" s="23">
        <f t="shared" si="17"/>
        <v>4.6110561326064108</v>
      </c>
    </row>
    <row r="384" spans="1:8" x14ac:dyDescent="0.2">
      <c r="A384" s="4">
        <v>3.5</v>
      </c>
      <c r="B384" s="4">
        <v>1</v>
      </c>
      <c r="C384" s="4">
        <v>13</v>
      </c>
      <c r="D384" s="4">
        <v>0</v>
      </c>
      <c r="E384" s="2" t="s">
        <v>79</v>
      </c>
      <c r="F384" s="23">
        <f t="shared" si="15"/>
        <v>6.0832164383199947</v>
      </c>
      <c r="G384" s="23">
        <f t="shared" si="16"/>
        <v>-2.5832164383199947</v>
      </c>
      <c r="H384" s="23">
        <f t="shared" si="17"/>
        <v>6.6730071672066389</v>
      </c>
    </row>
    <row r="385" spans="1:8" x14ac:dyDescent="0.2">
      <c r="A385" s="4">
        <v>2.83</v>
      </c>
      <c r="B385" s="4">
        <v>1</v>
      </c>
      <c r="C385" s="4">
        <v>10</v>
      </c>
      <c r="D385" s="4">
        <v>0</v>
      </c>
      <c r="E385" s="2" t="s">
        <v>79</v>
      </c>
      <c r="F385" s="23">
        <f t="shared" si="15"/>
        <v>4.6793972602461498</v>
      </c>
      <c r="G385" s="23">
        <f t="shared" si="16"/>
        <v>-1.8493972602461497</v>
      </c>
      <c r="H385" s="23">
        <f t="shared" si="17"/>
        <v>3.4202702262059645</v>
      </c>
    </row>
    <row r="386" spans="1:8" x14ac:dyDescent="0.2">
      <c r="A386" s="4">
        <v>1.67</v>
      </c>
      <c r="B386" s="4">
        <v>1</v>
      </c>
      <c r="C386" s="4">
        <v>10</v>
      </c>
      <c r="D386" s="4">
        <v>0</v>
      </c>
      <c r="E386" s="2" t="s">
        <v>79</v>
      </c>
      <c r="F386" s="23">
        <f t="shared" ref="F386:F449" si="18">($K$18*B386)+($K$19*C386)+($K$20*D386)</f>
        <v>4.6793972602461498</v>
      </c>
      <c r="G386" s="23">
        <f t="shared" si="16"/>
        <v>-3.0093972602461498</v>
      </c>
      <c r="H386" s="23">
        <f t="shared" si="17"/>
        <v>9.0564718699770328</v>
      </c>
    </row>
    <row r="387" spans="1:8" x14ac:dyDescent="0.2">
      <c r="A387" s="4">
        <v>4.68</v>
      </c>
      <c r="B387" s="4">
        <v>1</v>
      </c>
      <c r="C387" s="4">
        <v>16</v>
      </c>
      <c r="D387" s="4">
        <v>0</v>
      </c>
      <c r="E387" s="2" t="s">
        <v>79</v>
      </c>
      <c r="F387" s="23">
        <f t="shared" si="18"/>
        <v>7.4870356163938396</v>
      </c>
      <c r="G387" s="23">
        <f t="shared" ref="G387:G450" si="19">(A387-F387)</f>
        <v>-2.8070356163938399</v>
      </c>
      <c r="H387" s="23">
        <f t="shared" ref="H387:H450" si="20">G387^2</f>
        <v>7.8794489517035444</v>
      </c>
    </row>
    <row r="388" spans="1:8" x14ac:dyDescent="0.2">
      <c r="A388" s="4">
        <v>3.13</v>
      </c>
      <c r="B388" s="4">
        <v>1</v>
      </c>
      <c r="C388" s="4">
        <v>10</v>
      </c>
      <c r="D388" s="4">
        <v>0</v>
      </c>
      <c r="E388" s="2" t="s">
        <v>79</v>
      </c>
      <c r="F388" s="23">
        <f t="shared" si="18"/>
        <v>4.6793972602461498</v>
      </c>
      <c r="G388" s="23">
        <f t="shared" si="19"/>
        <v>-1.5493972602461499</v>
      </c>
      <c r="H388" s="23">
        <f t="shared" si="20"/>
        <v>2.4006318700582754</v>
      </c>
    </row>
    <row r="389" spans="1:8" x14ac:dyDescent="0.2">
      <c r="A389" s="4">
        <v>3.2</v>
      </c>
      <c r="B389" s="4">
        <v>1</v>
      </c>
      <c r="C389" s="4">
        <v>11</v>
      </c>
      <c r="D389" s="4">
        <v>0</v>
      </c>
      <c r="E389" s="2" t="s">
        <v>79</v>
      </c>
      <c r="F389" s="23">
        <f t="shared" si="18"/>
        <v>5.1473369862707647</v>
      </c>
      <c r="G389" s="23">
        <f t="shared" si="19"/>
        <v>-1.9473369862707646</v>
      </c>
      <c r="H389" s="23">
        <f t="shared" si="20"/>
        <v>3.792121338098104</v>
      </c>
    </row>
    <row r="390" spans="1:8" x14ac:dyDescent="0.2">
      <c r="A390" s="4">
        <v>4.33</v>
      </c>
      <c r="B390" s="4">
        <v>1</v>
      </c>
      <c r="C390" s="4">
        <v>18</v>
      </c>
      <c r="D390" s="4">
        <v>0</v>
      </c>
      <c r="E390" s="2" t="s">
        <v>79</v>
      </c>
      <c r="F390" s="23">
        <f t="shared" si="18"/>
        <v>8.4229150684430696</v>
      </c>
      <c r="G390" s="23">
        <f t="shared" si="19"/>
        <v>-4.0929150684430695</v>
      </c>
      <c r="H390" s="23">
        <f t="shared" si="20"/>
        <v>16.751953757488337</v>
      </c>
    </row>
    <row r="391" spans="1:8" x14ac:dyDescent="0.2">
      <c r="A391" s="4">
        <v>2.9</v>
      </c>
      <c r="B391" s="4">
        <v>1</v>
      </c>
      <c r="C391" s="4">
        <v>11</v>
      </c>
      <c r="D391" s="4">
        <v>0</v>
      </c>
      <c r="E391" s="2" t="s">
        <v>79</v>
      </c>
      <c r="F391" s="23">
        <f t="shared" si="18"/>
        <v>5.1473369862707647</v>
      </c>
      <c r="G391" s="23">
        <f t="shared" si="19"/>
        <v>-2.2473369862707648</v>
      </c>
      <c r="H391" s="23">
        <f t="shared" si="20"/>
        <v>5.0505235298605635</v>
      </c>
    </row>
    <row r="392" spans="1:8" x14ac:dyDescent="0.2">
      <c r="A392" s="4">
        <v>2.91</v>
      </c>
      <c r="B392" s="4">
        <v>1</v>
      </c>
      <c r="C392" s="4">
        <v>11</v>
      </c>
      <c r="D392" s="4">
        <v>0</v>
      </c>
      <c r="E392" s="2" t="s">
        <v>79</v>
      </c>
      <c r="F392" s="23">
        <f t="shared" si="18"/>
        <v>5.1473369862707647</v>
      </c>
      <c r="G392" s="23">
        <f t="shared" si="19"/>
        <v>-2.2373369862707646</v>
      </c>
      <c r="H392" s="23">
        <f t="shared" si="20"/>
        <v>5.0056767901351478</v>
      </c>
    </row>
    <row r="393" spans="1:8" x14ac:dyDescent="0.2">
      <c r="A393" s="4">
        <v>3</v>
      </c>
      <c r="B393" s="4">
        <v>1</v>
      </c>
      <c r="C393" s="4">
        <v>15</v>
      </c>
      <c r="D393" s="4">
        <v>0</v>
      </c>
      <c r="E393" s="2" t="s">
        <v>79</v>
      </c>
      <c r="F393" s="23">
        <f t="shared" si="18"/>
        <v>7.0190958903692247</v>
      </c>
      <c r="G393" s="23">
        <f t="shared" si="19"/>
        <v>-4.0190958903692247</v>
      </c>
      <c r="H393" s="23">
        <f t="shared" si="20"/>
        <v>16.153131775982789</v>
      </c>
    </row>
    <row r="394" spans="1:8" x14ac:dyDescent="0.2">
      <c r="A394" s="4">
        <v>3</v>
      </c>
      <c r="B394" s="4">
        <v>1</v>
      </c>
      <c r="C394" s="4">
        <v>12</v>
      </c>
      <c r="D394" s="4">
        <v>0</v>
      </c>
      <c r="E394" s="2" t="s">
        <v>79</v>
      </c>
      <c r="F394" s="23">
        <f t="shared" si="18"/>
        <v>5.6152767122953797</v>
      </c>
      <c r="G394" s="23">
        <f t="shared" si="19"/>
        <v>-2.6152767122953797</v>
      </c>
      <c r="H394" s="23">
        <f t="shared" si="20"/>
        <v>6.8396722818745301</v>
      </c>
    </row>
    <row r="395" spans="1:8" x14ac:dyDescent="0.2">
      <c r="A395" s="4">
        <v>3.15</v>
      </c>
      <c r="B395" s="4">
        <v>1</v>
      </c>
      <c r="C395" s="4">
        <v>13</v>
      </c>
      <c r="D395" s="4">
        <v>0</v>
      </c>
      <c r="E395" s="2" t="s">
        <v>79</v>
      </c>
      <c r="F395" s="23">
        <f t="shared" si="18"/>
        <v>6.0832164383199947</v>
      </c>
      <c r="G395" s="23">
        <f t="shared" si="19"/>
        <v>-2.9332164383199948</v>
      </c>
      <c r="H395" s="23">
        <f t="shared" si="20"/>
        <v>8.6037586740306367</v>
      </c>
    </row>
    <row r="396" spans="1:8" x14ac:dyDescent="0.2">
      <c r="A396" s="4">
        <v>12.5</v>
      </c>
      <c r="B396" s="4">
        <v>1</v>
      </c>
      <c r="C396" s="4">
        <v>14</v>
      </c>
      <c r="D396" s="4">
        <v>0</v>
      </c>
      <c r="E396" s="2" t="s">
        <v>80</v>
      </c>
      <c r="F396" s="23">
        <f t="shared" si="18"/>
        <v>6.5511561643446097</v>
      </c>
      <c r="G396" s="23">
        <f t="shared" si="19"/>
        <v>5.9488438356553903</v>
      </c>
      <c r="H396" s="23">
        <f t="shared" si="20"/>
        <v>35.388742981015135</v>
      </c>
    </row>
    <row r="397" spans="1:8" x14ac:dyDescent="0.2">
      <c r="A397" s="4">
        <v>1.5</v>
      </c>
      <c r="B397" s="4">
        <v>1</v>
      </c>
      <c r="C397" s="4">
        <v>8</v>
      </c>
      <c r="D397" s="4">
        <v>0</v>
      </c>
      <c r="E397" s="2" t="s">
        <v>80</v>
      </c>
      <c r="F397" s="23">
        <f t="shared" si="18"/>
        <v>3.7435178081969198</v>
      </c>
      <c r="G397" s="23">
        <f t="shared" si="19"/>
        <v>-2.2435178081969198</v>
      </c>
      <c r="H397" s="23">
        <f t="shared" si="20"/>
        <v>5.0333721556967115</v>
      </c>
    </row>
    <row r="398" spans="1:8" x14ac:dyDescent="0.2">
      <c r="A398" s="4">
        <v>2.92</v>
      </c>
      <c r="B398" s="4">
        <v>1</v>
      </c>
      <c r="C398" s="4">
        <v>3</v>
      </c>
      <c r="D398" s="4">
        <v>0</v>
      </c>
      <c r="E398" s="2" t="s">
        <v>80</v>
      </c>
      <c r="F398" s="23">
        <f t="shared" si="18"/>
        <v>1.4038191780738449</v>
      </c>
      <c r="G398" s="23">
        <f t="shared" si="19"/>
        <v>1.516180821926155</v>
      </c>
      <c r="H398" s="23">
        <f t="shared" si="20"/>
        <v>2.2988042847766708</v>
      </c>
    </row>
    <row r="399" spans="1:8" x14ac:dyDescent="0.2">
      <c r="A399" s="4">
        <v>10</v>
      </c>
      <c r="B399" s="4">
        <v>1</v>
      </c>
      <c r="C399" s="4">
        <v>12</v>
      </c>
      <c r="D399" s="4">
        <v>0</v>
      </c>
      <c r="E399" s="2" t="s">
        <v>80</v>
      </c>
      <c r="F399" s="23">
        <f t="shared" si="18"/>
        <v>5.6152767122953797</v>
      </c>
      <c r="G399" s="23">
        <f t="shared" si="19"/>
        <v>4.3847232877046203</v>
      </c>
      <c r="H399" s="23">
        <f t="shared" si="20"/>
        <v>19.225798309739215</v>
      </c>
    </row>
    <row r="400" spans="1:8" x14ac:dyDescent="0.2">
      <c r="A400" s="4">
        <v>10.91</v>
      </c>
      <c r="B400" s="4">
        <v>1</v>
      </c>
      <c r="C400" s="4">
        <v>12</v>
      </c>
      <c r="D400" s="4">
        <v>0</v>
      </c>
      <c r="E400" s="2" t="s">
        <v>80</v>
      </c>
      <c r="F400" s="23">
        <f t="shared" si="18"/>
        <v>5.6152767122953797</v>
      </c>
      <c r="G400" s="23">
        <f t="shared" si="19"/>
        <v>5.2947232877046204</v>
      </c>
      <c r="H400" s="23">
        <f t="shared" si="20"/>
        <v>28.034094693361624</v>
      </c>
    </row>
    <row r="401" spans="1:8" x14ac:dyDescent="0.2">
      <c r="A401" s="4">
        <v>6.25</v>
      </c>
      <c r="B401" s="4">
        <v>1</v>
      </c>
      <c r="C401" s="4">
        <v>7</v>
      </c>
      <c r="D401" s="4">
        <v>0</v>
      </c>
      <c r="E401" s="2" t="s">
        <v>80</v>
      </c>
      <c r="F401" s="23">
        <f t="shared" si="18"/>
        <v>3.2755780821723048</v>
      </c>
      <c r="G401" s="23">
        <f t="shared" si="19"/>
        <v>2.9744219178276952</v>
      </c>
      <c r="H401" s="23">
        <f t="shared" si="20"/>
        <v>8.8471857452537837</v>
      </c>
    </row>
    <row r="402" spans="1:8" x14ac:dyDescent="0.2">
      <c r="A402" s="4">
        <v>15.38</v>
      </c>
      <c r="B402" s="4">
        <v>1</v>
      </c>
      <c r="C402" s="4">
        <v>13</v>
      </c>
      <c r="D402" s="4">
        <v>0</v>
      </c>
      <c r="E402" s="2" t="s">
        <v>80</v>
      </c>
      <c r="F402" s="23">
        <f t="shared" si="18"/>
        <v>6.0832164383199947</v>
      </c>
      <c r="G402" s="23">
        <f t="shared" si="19"/>
        <v>9.2967835616800052</v>
      </c>
      <c r="H402" s="23">
        <f t="shared" si="20"/>
        <v>86.430184592723563</v>
      </c>
    </row>
    <row r="403" spans="1:8" x14ac:dyDescent="0.2">
      <c r="A403" s="4">
        <v>18.89</v>
      </c>
      <c r="B403" s="4">
        <v>1</v>
      </c>
      <c r="C403" s="4">
        <v>17</v>
      </c>
      <c r="D403" s="4">
        <v>0</v>
      </c>
      <c r="E403" s="2" t="s">
        <v>80</v>
      </c>
      <c r="F403" s="23">
        <f t="shared" si="18"/>
        <v>7.9549753424184546</v>
      </c>
      <c r="G403" s="23">
        <f t="shared" si="19"/>
        <v>10.935024657581547</v>
      </c>
      <c r="H403" s="23">
        <f t="shared" si="20"/>
        <v>119.57476426191643</v>
      </c>
    </row>
    <row r="404" spans="1:8" x14ac:dyDescent="0.2">
      <c r="A404" s="4">
        <v>3</v>
      </c>
      <c r="B404" s="4">
        <v>1</v>
      </c>
      <c r="C404" s="4">
        <v>9</v>
      </c>
      <c r="D404" s="4">
        <v>0</v>
      </c>
      <c r="E404" s="2" t="s">
        <v>80</v>
      </c>
      <c r="F404" s="23">
        <f t="shared" si="18"/>
        <v>4.2114575342215348</v>
      </c>
      <c r="G404" s="23">
        <f t="shared" si="19"/>
        <v>-1.2114575342215348</v>
      </c>
      <c r="H404" s="23">
        <f t="shared" si="20"/>
        <v>1.4676293572221211</v>
      </c>
    </row>
    <row r="405" spans="1:8" x14ac:dyDescent="0.2">
      <c r="A405" s="4">
        <v>11.9</v>
      </c>
      <c r="B405" s="4">
        <v>1</v>
      </c>
      <c r="C405" s="4">
        <v>13</v>
      </c>
      <c r="D405" s="4">
        <v>0</v>
      </c>
      <c r="E405" s="2" t="s">
        <v>80</v>
      </c>
      <c r="F405" s="23">
        <f t="shared" si="18"/>
        <v>6.0832164383199947</v>
      </c>
      <c r="G405" s="23">
        <f t="shared" si="19"/>
        <v>5.8167835616800057</v>
      </c>
      <c r="H405" s="23">
        <f t="shared" si="20"/>
        <v>33.834971003430731</v>
      </c>
    </row>
    <row r="406" spans="1:8" x14ac:dyDescent="0.2">
      <c r="A406" s="4">
        <v>4</v>
      </c>
      <c r="B406" s="4">
        <v>1</v>
      </c>
      <c r="C406" s="4">
        <v>9</v>
      </c>
      <c r="D406" s="4">
        <v>0</v>
      </c>
      <c r="E406" s="2" t="s">
        <v>80</v>
      </c>
      <c r="F406" s="23">
        <f t="shared" si="18"/>
        <v>4.2114575342215348</v>
      </c>
      <c r="G406" s="23">
        <f t="shared" si="19"/>
        <v>-0.21145753422153479</v>
      </c>
      <c r="H406" s="23">
        <f t="shared" si="20"/>
        <v>4.4714288779051557E-2</v>
      </c>
    </row>
    <row r="407" spans="1:8" x14ac:dyDescent="0.2">
      <c r="A407" s="4">
        <v>12.5</v>
      </c>
      <c r="B407" s="4">
        <v>1</v>
      </c>
      <c r="C407" s="4">
        <v>17</v>
      </c>
      <c r="D407" s="4">
        <v>0</v>
      </c>
      <c r="E407" s="2" t="s">
        <v>80</v>
      </c>
      <c r="F407" s="23">
        <f t="shared" si="18"/>
        <v>7.9549753424184546</v>
      </c>
      <c r="G407" s="23">
        <f t="shared" si="19"/>
        <v>4.5450246575815454</v>
      </c>
      <c r="H407" s="23">
        <f t="shared" si="20"/>
        <v>20.657249138024245</v>
      </c>
    </row>
    <row r="408" spans="1:8" x14ac:dyDescent="0.2">
      <c r="A408" s="4">
        <v>9.68</v>
      </c>
      <c r="B408" s="4">
        <v>1</v>
      </c>
      <c r="C408" s="4">
        <v>13</v>
      </c>
      <c r="D408" s="4">
        <v>0</v>
      </c>
      <c r="E408" s="2" t="s">
        <v>80</v>
      </c>
      <c r="F408" s="23">
        <f t="shared" si="18"/>
        <v>6.0832164383199947</v>
      </c>
      <c r="G408" s="23">
        <f t="shared" si="19"/>
        <v>3.596783561680005</v>
      </c>
      <c r="H408" s="23">
        <f t="shared" si="20"/>
        <v>12.936851989571503</v>
      </c>
    </row>
    <row r="409" spans="1:8" x14ac:dyDescent="0.2">
      <c r="A409" s="4">
        <v>5.6</v>
      </c>
      <c r="B409" s="4">
        <v>1</v>
      </c>
      <c r="C409" s="4">
        <v>15</v>
      </c>
      <c r="D409" s="4">
        <v>0</v>
      </c>
      <c r="E409" s="2" t="s">
        <v>80</v>
      </c>
      <c r="F409" s="23">
        <f t="shared" si="18"/>
        <v>7.0190958903692247</v>
      </c>
      <c r="G409" s="23">
        <f t="shared" si="19"/>
        <v>-1.419095890369225</v>
      </c>
      <c r="H409" s="23">
        <f t="shared" si="20"/>
        <v>2.0138331460628236</v>
      </c>
    </row>
    <row r="410" spans="1:8" x14ac:dyDescent="0.2">
      <c r="A410" s="4">
        <v>3.4</v>
      </c>
      <c r="B410" s="4">
        <v>1</v>
      </c>
      <c r="C410" s="4">
        <v>12</v>
      </c>
      <c r="D410" s="4">
        <v>1</v>
      </c>
      <c r="E410" s="2" t="s">
        <v>80</v>
      </c>
      <c r="F410" s="23">
        <f t="shared" si="18"/>
        <v>6.4665319715278917</v>
      </c>
      <c r="G410" s="23">
        <f t="shared" si="19"/>
        <v>-3.0665319715278918</v>
      </c>
      <c r="H410" s="23">
        <f t="shared" si="20"/>
        <v>9.4036183324027398</v>
      </c>
    </row>
    <row r="411" spans="1:8" x14ac:dyDescent="0.2">
      <c r="A411" s="4">
        <v>5.2</v>
      </c>
      <c r="B411" s="4">
        <v>1</v>
      </c>
      <c r="C411" s="4">
        <v>6</v>
      </c>
      <c r="D411" s="4">
        <v>1</v>
      </c>
      <c r="E411" s="2" t="s">
        <v>80</v>
      </c>
      <c r="F411" s="23">
        <f t="shared" si="18"/>
        <v>3.6588936153802019</v>
      </c>
      <c r="G411" s="23">
        <f t="shared" si="19"/>
        <v>1.5411063846197983</v>
      </c>
      <c r="H411" s="23">
        <f t="shared" si="20"/>
        <v>2.3750088887159055</v>
      </c>
    </row>
    <row r="412" spans="1:8" x14ac:dyDescent="0.2">
      <c r="A412" s="4">
        <v>3.75</v>
      </c>
      <c r="B412" s="4">
        <v>1</v>
      </c>
      <c r="C412" s="4">
        <v>2</v>
      </c>
      <c r="D412" s="4">
        <v>0</v>
      </c>
      <c r="E412" s="2" t="s">
        <v>80</v>
      </c>
      <c r="F412" s="23">
        <f t="shared" si="18"/>
        <v>0.93587945204922995</v>
      </c>
      <c r="G412" s="23">
        <f t="shared" si="19"/>
        <v>2.81412054795077</v>
      </c>
      <c r="H412" s="23">
        <f t="shared" si="20"/>
        <v>7.9192744583987427</v>
      </c>
    </row>
    <row r="413" spans="1:8" x14ac:dyDescent="0.2">
      <c r="A413" s="4">
        <v>8.4499999999999993</v>
      </c>
      <c r="B413" s="4">
        <v>1</v>
      </c>
      <c r="C413" s="4">
        <v>12</v>
      </c>
      <c r="D413" s="4">
        <v>0</v>
      </c>
      <c r="E413" s="2" t="s">
        <v>80</v>
      </c>
      <c r="F413" s="23">
        <f t="shared" si="18"/>
        <v>5.6152767122953797</v>
      </c>
      <c r="G413" s="23">
        <f t="shared" si="19"/>
        <v>2.8347232877046196</v>
      </c>
      <c r="H413" s="23">
        <f t="shared" si="20"/>
        <v>8.035656117854888</v>
      </c>
    </row>
    <row r="414" spans="1:8" x14ac:dyDescent="0.2">
      <c r="A414" s="4">
        <v>3.37</v>
      </c>
      <c r="B414" s="4">
        <v>1</v>
      </c>
      <c r="C414" s="4">
        <v>11</v>
      </c>
      <c r="D414" s="4">
        <v>0</v>
      </c>
      <c r="E414" s="2" t="s">
        <v>80</v>
      </c>
      <c r="F414" s="23">
        <f t="shared" si="18"/>
        <v>5.1473369862707647</v>
      </c>
      <c r="G414" s="23">
        <f t="shared" si="19"/>
        <v>-1.7773369862707646</v>
      </c>
      <c r="H414" s="23">
        <f t="shared" si="20"/>
        <v>3.1589267627660442</v>
      </c>
    </row>
    <row r="415" spans="1:8" x14ac:dyDescent="0.2">
      <c r="A415" s="4">
        <v>4</v>
      </c>
      <c r="B415" s="4">
        <v>1</v>
      </c>
      <c r="C415" s="4">
        <v>10</v>
      </c>
      <c r="D415" s="4">
        <v>0</v>
      </c>
      <c r="E415" s="2" t="s">
        <v>80</v>
      </c>
      <c r="F415" s="23">
        <f t="shared" si="18"/>
        <v>4.6793972602461498</v>
      </c>
      <c r="G415" s="23">
        <f t="shared" si="19"/>
        <v>-0.67939726024614977</v>
      </c>
      <c r="H415" s="23">
        <f t="shared" si="20"/>
        <v>0.46158063722997456</v>
      </c>
    </row>
    <row r="416" spans="1:8" x14ac:dyDescent="0.2">
      <c r="A416" s="4">
        <v>7.6</v>
      </c>
      <c r="B416" s="4">
        <v>1</v>
      </c>
      <c r="C416" s="4">
        <v>12</v>
      </c>
      <c r="D416" s="4">
        <v>0</v>
      </c>
      <c r="E416" s="2" t="s">
        <v>80</v>
      </c>
      <c r="F416" s="23">
        <f t="shared" si="18"/>
        <v>5.6152767122953797</v>
      </c>
      <c r="G416" s="23">
        <f t="shared" si="19"/>
        <v>1.9847232877046199</v>
      </c>
      <c r="H416" s="23">
        <f t="shared" si="20"/>
        <v>3.9391265287570354</v>
      </c>
    </row>
    <row r="417" spans="1:8" x14ac:dyDescent="0.2">
      <c r="A417" s="4">
        <v>10</v>
      </c>
      <c r="B417" s="4">
        <v>1</v>
      </c>
      <c r="C417" s="4">
        <v>14</v>
      </c>
      <c r="D417" s="4">
        <v>0</v>
      </c>
      <c r="E417" s="2" t="s">
        <v>80</v>
      </c>
      <c r="F417" s="23">
        <f t="shared" si="18"/>
        <v>6.5511561643446097</v>
      </c>
      <c r="G417" s="23">
        <f t="shared" si="19"/>
        <v>3.4488438356553903</v>
      </c>
      <c r="H417" s="23">
        <f t="shared" si="20"/>
        <v>11.894523802738185</v>
      </c>
    </row>
    <row r="418" spans="1:8" x14ac:dyDescent="0.2">
      <c r="A418" s="4">
        <v>4</v>
      </c>
      <c r="B418" s="4">
        <v>1</v>
      </c>
      <c r="C418" s="4">
        <v>12</v>
      </c>
      <c r="D418" s="4">
        <v>0</v>
      </c>
      <c r="E418" s="2" t="s">
        <v>80</v>
      </c>
      <c r="F418" s="23">
        <f t="shared" si="18"/>
        <v>5.6152767122953797</v>
      </c>
      <c r="G418" s="23">
        <f t="shared" si="19"/>
        <v>-1.6152767122953797</v>
      </c>
      <c r="H418" s="23">
        <f t="shared" si="20"/>
        <v>2.6091188572837711</v>
      </c>
    </row>
    <row r="419" spans="1:8" x14ac:dyDescent="0.2">
      <c r="A419" s="4">
        <v>9.33</v>
      </c>
      <c r="B419" s="4">
        <v>1</v>
      </c>
      <c r="C419" s="4">
        <v>14</v>
      </c>
      <c r="D419" s="4">
        <v>0</v>
      </c>
      <c r="E419" s="2" t="s">
        <v>80</v>
      </c>
      <c r="F419" s="23">
        <f t="shared" si="18"/>
        <v>6.5511561643446097</v>
      </c>
      <c r="G419" s="23">
        <f t="shared" si="19"/>
        <v>2.7788438356553904</v>
      </c>
      <c r="H419" s="23">
        <f t="shared" si="20"/>
        <v>7.7219730629599628</v>
      </c>
    </row>
    <row r="420" spans="1:8" x14ac:dyDescent="0.2">
      <c r="A420" s="4">
        <v>6.08</v>
      </c>
      <c r="B420" s="4">
        <v>1</v>
      </c>
      <c r="C420" s="4">
        <v>16</v>
      </c>
      <c r="D420" s="4">
        <v>0</v>
      </c>
      <c r="E420" s="2" t="s">
        <v>80</v>
      </c>
      <c r="F420" s="23">
        <f t="shared" si="18"/>
        <v>7.4870356163938396</v>
      </c>
      <c r="G420" s="23">
        <f t="shared" si="19"/>
        <v>-1.4070356163938396</v>
      </c>
      <c r="H420" s="23">
        <f t="shared" si="20"/>
        <v>1.979749225800792</v>
      </c>
    </row>
    <row r="421" spans="1:8" x14ac:dyDescent="0.2">
      <c r="A421" s="4">
        <v>6.67</v>
      </c>
      <c r="B421" s="4">
        <v>1</v>
      </c>
      <c r="C421" s="4">
        <v>12</v>
      </c>
      <c r="D421" s="4">
        <v>0</v>
      </c>
      <c r="E421" s="2" t="s">
        <v>80</v>
      </c>
      <c r="F421" s="23">
        <f t="shared" si="18"/>
        <v>5.6152767122953797</v>
      </c>
      <c r="G421" s="23">
        <f t="shared" si="19"/>
        <v>1.0547232877046202</v>
      </c>
      <c r="H421" s="23">
        <f t="shared" si="20"/>
        <v>1.112441213626443</v>
      </c>
    </row>
    <row r="422" spans="1:8" x14ac:dyDescent="0.2">
      <c r="A422" s="4">
        <v>4.5</v>
      </c>
      <c r="B422" s="4">
        <v>1</v>
      </c>
      <c r="C422" s="4">
        <v>16</v>
      </c>
      <c r="D422" s="4">
        <v>0</v>
      </c>
      <c r="E422" s="2" t="s">
        <v>80</v>
      </c>
      <c r="F422" s="23">
        <f t="shared" si="18"/>
        <v>7.4870356163938396</v>
      </c>
      <c r="G422" s="23">
        <f t="shared" si="19"/>
        <v>-2.9870356163938396</v>
      </c>
      <c r="H422" s="23">
        <f t="shared" si="20"/>
        <v>8.9223817736053253</v>
      </c>
    </row>
    <row r="423" spans="1:8" x14ac:dyDescent="0.2">
      <c r="A423" s="4">
        <v>6.8</v>
      </c>
      <c r="B423" s="4">
        <v>1</v>
      </c>
      <c r="C423" s="4">
        <v>12</v>
      </c>
      <c r="D423" s="4">
        <v>0</v>
      </c>
      <c r="E423" s="2" t="s">
        <v>80</v>
      </c>
      <c r="F423" s="23">
        <f t="shared" si="18"/>
        <v>5.6152767122953797</v>
      </c>
      <c r="G423" s="23">
        <f t="shared" si="19"/>
        <v>1.1847232877046201</v>
      </c>
      <c r="H423" s="23">
        <f t="shared" si="20"/>
        <v>1.4035692684296441</v>
      </c>
    </row>
    <row r="424" spans="1:8" x14ac:dyDescent="0.2">
      <c r="A424" s="4">
        <v>3</v>
      </c>
      <c r="B424" s="4">
        <v>1</v>
      </c>
      <c r="C424" s="4">
        <v>12</v>
      </c>
      <c r="D424" s="4">
        <v>0</v>
      </c>
      <c r="E424" s="2" t="s">
        <v>80</v>
      </c>
      <c r="F424" s="23">
        <f t="shared" si="18"/>
        <v>5.6152767122953797</v>
      </c>
      <c r="G424" s="23">
        <f t="shared" si="19"/>
        <v>-2.6152767122953797</v>
      </c>
      <c r="H424" s="23">
        <f t="shared" si="20"/>
        <v>6.8396722818745301</v>
      </c>
    </row>
    <row r="425" spans="1:8" x14ac:dyDescent="0.2">
      <c r="A425" s="4">
        <v>6.22</v>
      </c>
      <c r="B425" s="4">
        <v>1</v>
      </c>
      <c r="C425" s="4">
        <v>12</v>
      </c>
      <c r="D425" s="4">
        <v>0</v>
      </c>
      <c r="E425" s="2" t="s">
        <v>80</v>
      </c>
      <c r="F425" s="23">
        <f t="shared" si="18"/>
        <v>5.6152767122953797</v>
      </c>
      <c r="G425" s="23">
        <f t="shared" si="19"/>
        <v>0.60472328770462003</v>
      </c>
      <c r="H425" s="23">
        <f t="shared" si="20"/>
        <v>0.36569025469228467</v>
      </c>
    </row>
    <row r="426" spans="1:8" x14ac:dyDescent="0.2">
      <c r="A426" s="4">
        <v>5.95</v>
      </c>
      <c r="B426" s="4">
        <v>1</v>
      </c>
      <c r="C426" s="4">
        <v>11</v>
      </c>
      <c r="D426" s="4">
        <v>1</v>
      </c>
      <c r="E426" s="2" t="s">
        <v>80</v>
      </c>
      <c r="F426" s="23">
        <f t="shared" si="18"/>
        <v>5.9985922455032767</v>
      </c>
      <c r="G426" s="23">
        <f t="shared" si="19"/>
        <v>-4.8592245503276565E-2</v>
      </c>
      <c r="H426" s="23">
        <f t="shared" si="20"/>
        <v>2.3612063230507014E-3</v>
      </c>
    </row>
    <row r="427" spans="1:8" x14ac:dyDescent="0.2">
      <c r="A427" s="4">
        <v>14.38</v>
      </c>
      <c r="B427" s="4">
        <v>1</v>
      </c>
      <c r="C427" s="4">
        <v>17</v>
      </c>
      <c r="D427" s="4">
        <v>0</v>
      </c>
      <c r="E427" s="2" t="s">
        <v>80</v>
      </c>
      <c r="F427" s="23">
        <f t="shared" si="18"/>
        <v>7.9549753424184546</v>
      </c>
      <c r="G427" s="23">
        <f t="shared" si="19"/>
        <v>6.4250246575815462</v>
      </c>
      <c r="H427" s="23">
        <f t="shared" si="20"/>
        <v>41.280941850530866</v>
      </c>
    </row>
    <row r="428" spans="1:8" x14ac:dyDescent="0.2">
      <c r="A428" s="4">
        <v>4.5</v>
      </c>
      <c r="B428" s="4">
        <v>1</v>
      </c>
      <c r="C428" s="4">
        <v>11</v>
      </c>
      <c r="D428" s="4">
        <v>1</v>
      </c>
      <c r="E428" s="2" t="s">
        <v>80</v>
      </c>
      <c r="F428" s="23">
        <f t="shared" si="18"/>
        <v>5.9985922455032767</v>
      </c>
      <c r="G428" s="23">
        <f t="shared" si="19"/>
        <v>-1.4985922455032767</v>
      </c>
      <c r="H428" s="23">
        <f t="shared" si="20"/>
        <v>2.2457787182825535</v>
      </c>
    </row>
    <row r="429" spans="1:8" x14ac:dyDescent="0.2">
      <c r="A429" s="4">
        <v>6</v>
      </c>
      <c r="B429" s="4">
        <v>1</v>
      </c>
      <c r="C429" s="4">
        <v>11</v>
      </c>
      <c r="D429" s="4">
        <v>0</v>
      </c>
      <c r="E429" s="2" t="s">
        <v>80</v>
      </c>
      <c r="F429" s="23">
        <f t="shared" si="18"/>
        <v>5.1473369862707647</v>
      </c>
      <c r="G429" s="23">
        <f t="shared" si="19"/>
        <v>0.85266301372923525</v>
      </c>
      <c r="H429" s="23">
        <f t="shared" si="20"/>
        <v>0.72703421498182208</v>
      </c>
    </row>
    <row r="430" spans="1:8" x14ac:dyDescent="0.2">
      <c r="A430" s="4">
        <v>6</v>
      </c>
      <c r="B430" s="4">
        <v>1</v>
      </c>
      <c r="C430" s="4">
        <v>12</v>
      </c>
      <c r="D430" s="4">
        <v>0</v>
      </c>
      <c r="E430" s="2" t="s">
        <v>80</v>
      </c>
      <c r="F430" s="23">
        <f t="shared" si="18"/>
        <v>5.6152767122953797</v>
      </c>
      <c r="G430" s="23">
        <f t="shared" si="19"/>
        <v>0.38472328770462028</v>
      </c>
      <c r="H430" s="23">
        <f t="shared" si="20"/>
        <v>0.14801200810225204</v>
      </c>
    </row>
    <row r="431" spans="1:8" x14ac:dyDescent="0.2">
      <c r="A431" s="4">
        <v>5.6</v>
      </c>
      <c r="B431" s="4">
        <v>1</v>
      </c>
      <c r="C431" s="4">
        <v>11</v>
      </c>
      <c r="D431" s="4">
        <v>0</v>
      </c>
      <c r="E431" s="2" t="s">
        <v>80</v>
      </c>
      <c r="F431" s="23">
        <f t="shared" si="18"/>
        <v>5.1473369862707647</v>
      </c>
      <c r="G431" s="23">
        <f t="shared" si="19"/>
        <v>0.4526630137292349</v>
      </c>
      <c r="H431" s="23">
        <f t="shared" si="20"/>
        <v>0.2049038039984335</v>
      </c>
    </row>
    <row r="432" spans="1:8" x14ac:dyDescent="0.2">
      <c r="A432" s="4">
        <v>2.9</v>
      </c>
      <c r="B432" s="4">
        <v>1</v>
      </c>
      <c r="C432" s="4">
        <v>6</v>
      </c>
      <c r="D432" s="4">
        <v>0</v>
      </c>
      <c r="E432" s="2" t="s">
        <v>80</v>
      </c>
      <c r="F432" s="23">
        <f t="shared" si="18"/>
        <v>2.8076383561476899</v>
      </c>
      <c r="G432" s="23">
        <f t="shared" si="19"/>
        <v>9.2361643852310049E-2</v>
      </c>
      <c r="H432" s="23">
        <f t="shared" si="20"/>
        <v>8.530673255100962E-3</v>
      </c>
    </row>
    <row r="433" spans="1:8" x14ac:dyDescent="0.2">
      <c r="A433" s="4">
        <v>5.25</v>
      </c>
      <c r="B433" s="4">
        <v>1</v>
      </c>
      <c r="C433" s="4">
        <v>10</v>
      </c>
      <c r="D433" s="4">
        <v>0</v>
      </c>
      <c r="E433" s="2" t="s">
        <v>80</v>
      </c>
      <c r="F433" s="23">
        <f t="shared" si="18"/>
        <v>4.6793972602461498</v>
      </c>
      <c r="G433" s="23">
        <f t="shared" si="19"/>
        <v>0.57060273975385023</v>
      </c>
      <c r="H433" s="23">
        <f t="shared" si="20"/>
        <v>0.32558748661460013</v>
      </c>
    </row>
    <row r="434" spans="1:8" x14ac:dyDescent="0.2">
      <c r="A434" s="4">
        <v>18</v>
      </c>
      <c r="B434" s="4">
        <v>1</v>
      </c>
      <c r="C434" s="4">
        <v>16</v>
      </c>
      <c r="D434" s="4">
        <v>0</v>
      </c>
      <c r="E434" s="2" t="s">
        <v>80</v>
      </c>
      <c r="F434" s="23">
        <f t="shared" si="18"/>
        <v>7.4870356163938396</v>
      </c>
      <c r="G434" s="23">
        <f t="shared" si="19"/>
        <v>10.51296438360616</v>
      </c>
      <c r="H434" s="23">
        <f t="shared" si="20"/>
        <v>110.52242013097165</v>
      </c>
    </row>
    <row r="435" spans="1:8" x14ac:dyDescent="0.2">
      <c r="A435" s="4">
        <v>14.58</v>
      </c>
      <c r="B435" s="4">
        <v>1</v>
      </c>
      <c r="C435" s="4">
        <v>18</v>
      </c>
      <c r="D435" s="4">
        <v>0</v>
      </c>
      <c r="E435" s="2" t="s">
        <v>80</v>
      </c>
      <c r="F435" s="23">
        <f t="shared" si="18"/>
        <v>8.4229150684430696</v>
      </c>
      <c r="G435" s="23">
        <f t="shared" si="19"/>
        <v>6.1570849315569305</v>
      </c>
      <c r="H435" s="23">
        <f t="shared" si="20"/>
        <v>37.909694854405409</v>
      </c>
    </row>
    <row r="436" spans="1:8" x14ac:dyDescent="0.2">
      <c r="A436" s="4">
        <v>3.95</v>
      </c>
      <c r="B436" s="4">
        <v>1</v>
      </c>
      <c r="C436" s="4">
        <v>6</v>
      </c>
      <c r="D436" s="4">
        <v>0</v>
      </c>
      <c r="E436" s="2" t="s">
        <v>80</v>
      </c>
      <c r="F436" s="23">
        <f t="shared" si="18"/>
        <v>2.8076383561476899</v>
      </c>
      <c r="G436" s="23">
        <f t="shared" si="19"/>
        <v>1.1423616438523103</v>
      </c>
      <c r="H436" s="23">
        <f t="shared" si="20"/>
        <v>1.3049901253449527</v>
      </c>
    </row>
    <row r="437" spans="1:8" x14ac:dyDescent="0.2">
      <c r="A437" s="4">
        <v>10.63</v>
      </c>
      <c r="B437" s="4">
        <v>1</v>
      </c>
      <c r="C437" s="4">
        <v>12</v>
      </c>
      <c r="D437" s="4">
        <v>0</v>
      </c>
      <c r="E437" s="2" t="s">
        <v>80</v>
      </c>
      <c r="F437" s="23">
        <f t="shared" si="18"/>
        <v>5.6152767122953797</v>
      </c>
      <c r="G437" s="23">
        <f t="shared" si="19"/>
        <v>5.0147232877046211</v>
      </c>
      <c r="H437" s="23">
        <f t="shared" si="20"/>
        <v>25.147449652247044</v>
      </c>
    </row>
    <row r="438" spans="1:8" x14ac:dyDescent="0.2">
      <c r="A438" s="4">
        <v>2</v>
      </c>
      <c r="B438" s="4">
        <v>1</v>
      </c>
      <c r="C438" s="4">
        <v>13</v>
      </c>
      <c r="D438" s="4">
        <v>0</v>
      </c>
      <c r="E438" s="2" t="s">
        <v>80</v>
      </c>
      <c r="F438" s="23">
        <f t="shared" si="18"/>
        <v>6.0832164383199947</v>
      </c>
      <c r="G438" s="23">
        <f t="shared" si="19"/>
        <v>-4.0832164383199947</v>
      </c>
      <c r="H438" s="23">
        <f t="shared" si="20"/>
        <v>16.672656482166623</v>
      </c>
    </row>
    <row r="439" spans="1:8" x14ac:dyDescent="0.2">
      <c r="A439" s="4">
        <v>10.92</v>
      </c>
      <c r="B439" s="4">
        <v>1</v>
      </c>
      <c r="C439" s="4">
        <v>12</v>
      </c>
      <c r="D439" s="4">
        <v>0</v>
      </c>
      <c r="E439" s="2" t="s">
        <v>80</v>
      </c>
      <c r="F439" s="23">
        <f t="shared" si="18"/>
        <v>5.6152767122953797</v>
      </c>
      <c r="G439" s="23">
        <f t="shared" si="19"/>
        <v>5.3047232877046202</v>
      </c>
      <c r="H439" s="23">
        <f t="shared" si="20"/>
        <v>28.140089159115714</v>
      </c>
    </row>
    <row r="440" spans="1:8" x14ac:dyDescent="0.2">
      <c r="A440" s="4">
        <v>10</v>
      </c>
      <c r="B440" s="4">
        <v>1</v>
      </c>
      <c r="C440" s="4">
        <v>12</v>
      </c>
      <c r="D440" s="4">
        <v>0</v>
      </c>
      <c r="E440" s="2" t="s">
        <v>80</v>
      </c>
      <c r="F440" s="23">
        <f t="shared" si="18"/>
        <v>5.6152767122953797</v>
      </c>
      <c r="G440" s="23">
        <f t="shared" si="19"/>
        <v>4.3847232877046203</v>
      </c>
      <c r="H440" s="23">
        <f t="shared" si="20"/>
        <v>19.225798309739215</v>
      </c>
    </row>
    <row r="441" spans="1:8" x14ac:dyDescent="0.2">
      <c r="A441" s="4">
        <v>7.5</v>
      </c>
      <c r="B441" s="4">
        <v>1</v>
      </c>
      <c r="C441" s="4">
        <v>12</v>
      </c>
      <c r="D441" s="4">
        <v>0</v>
      </c>
      <c r="E441" s="2" t="s">
        <v>80</v>
      </c>
      <c r="F441" s="23">
        <f t="shared" si="18"/>
        <v>5.6152767122953797</v>
      </c>
      <c r="G441" s="23">
        <f t="shared" si="19"/>
        <v>1.8847232877046203</v>
      </c>
      <c r="H441" s="23">
        <f t="shared" si="20"/>
        <v>3.5521818712161131</v>
      </c>
    </row>
    <row r="442" spans="1:8" x14ac:dyDescent="0.2">
      <c r="A442" s="4">
        <v>7.25</v>
      </c>
      <c r="B442" s="4">
        <v>1</v>
      </c>
      <c r="C442" s="4">
        <v>12</v>
      </c>
      <c r="D442" s="4">
        <v>0</v>
      </c>
      <c r="E442" s="2" t="s">
        <v>80</v>
      </c>
      <c r="F442" s="23">
        <f t="shared" si="18"/>
        <v>5.6152767122953797</v>
      </c>
      <c r="G442" s="23">
        <f t="shared" si="19"/>
        <v>1.6347232877046203</v>
      </c>
      <c r="H442" s="23">
        <f t="shared" si="20"/>
        <v>2.6723202273638029</v>
      </c>
    </row>
    <row r="443" spans="1:8" x14ac:dyDescent="0.2">
      <c r="A443" s="4">
        <v>3.45</v>
      </c>
      <c r="B443" s="4">
        <v>1</v>
      </c>
      <c r="C443" s="4">
        <v>12</v>
      </c>
      <c r="D443" s="4">
        <v>0</v>
      </c>
      <c r="E443" s="2" t="s">
        <v>80</v>
      </c>
      <c r="F443" s="23">
        <f t="shared" si="18"/>
        <v>5.6152767122953797</v>
      </c>
      <c r="G443" s="23">
        <f t="shared" si="19"/>
        <v>-2.1652767122953795</v>
      </c>
      <c r="H443" s="23">
        <f t="shared" si="20"/>
        <v>4.6884232408086879</v>
      </c>
    </row>
    <row r="444" spans="1:8" x14ac:dyDescent="0.2">
      <c r="A444" s="4">
        <v>3.6</v>
      </c>
      <c r="B444" s="4">
        <v>1</v>
      </c>
      <c r="C444" s="4">
        <v>12</v>
      </c>
      <c r="D444" s="4">
        <v>0</v>
      </c>
      <c r="E444" s="2" t="s">
        <v>80</v>
      </c>
      <c r="F444" s="23">
        <f t="shared" si="18"/>
        <v>5.6152767122953797</v>
      </c>
      <c r="G444" s="23">
        <f t="shared" si="19"/>
        <v>-2.0152767122953796</v>
      </c>
      <c r="H444" s="23">
        <f t="shared" si="20"/>
        <v>4.0613402271200743</v>
      </c>
    </row>
    <row r="445" spans="1:8" x14ac:dyDescent="0.2">
      <c r="A445" s="4">
        <v>8</v>
      </c>
      <c r="B445" s="4">
        <v>1</v>
      </c>
      <c r="C445" s="4">
        <v>16</v>
      </c>
      <c r="D445" s="4">
        <v>0</v>
      </c>
      <c r="E445" s="2" t="s">
        <v>80</v>
      </c>
      <c r="F445" s="23">
        <f t="shared" si="18"/>
        <v>7.4870356163938396</v>
      </c>
      <c r="G445" s="23">
        <f t="shared" si="19"/>
        <v>0.51296438360616037</v>
      </c>
      <c r="H445" s="23">
        <f t="shared" si="20"/>
        <v>0.26313245884844805</v>
      </c>
    </row>
    <row r="446" spans="1:8" x14ac:dyDescent="0.2">
      <c r="A446" s="4">
        <v>5.5</v>
      </c>
      <c r="B446" s="4">
        <v>1</v>
      </c>
      <c r="C446" s="4">
        <v>12</v>
      </c>
      <c r="D446" s="4">
        <v>0</v>
      </c>
      <c r="E446" s="2" t="s">
        <v>80</v>
      </c>
      <c r="F446" s="23">
        <f t="shared" si="18"/>
        <v>5.6152767122953797</v>
      </c>
      <c r="G446" s="23">
        <f t="shared" si="19"/>
        <v>-0.11527671229537972</v>
      </c>
      <c r="H446" s="23">
        <f t="shared" si="20"/>
        <v>1.3288720397631751E-2</v>
      </c>
    </row>
    <row r="447" spans="1:8" x14ac:dyDescent="0.2">
      <c r="A447" s="4">
        <v>4.05</v>
      </c>
      <c r="B447" s="4">
        <v>1</v>
      </c>
      <c r="C447" s="4">
        <v>9</v>
      </c>
      <c r="D447" s="4">
        <v>0</v>
      </c>
      <c r="E447" s="2" t="s">
        <v>80</v>
      </c>
      <c r="F447" s="23">
        <f t="shared" si="18"/>
        <v>4.2114575342215348</v>
      </c>
      <c r="G447" s="23">
        <f t="shared" si="19"/>
        <v>-0.16145753422153497</v>
      </c>
      <c r="H447" s="23">
        <f t="shared" si="20"/>
        <v>2.6068535356898136E-2</v>
      </c>
    </row>
    <row r="448" spans="1:8" x14ac:dyDescent="0.2">
      <c r="A448" s="4">
        <v>8.75</v>
      </c>
      <c r="B448" s="4">
        <v>1</v>
      </c>
      <c r="C448" s="4">
        <v>12</v>
      </c>
      <c r="D448" s="4">
        <v>0</v>
      </c>
      <c r="E448" s="2" t="s">
        <v>80</v>
      </c>
      <c r="F448" s="23">
        <f t="shared" si="18"/>
        <v>5.6152767122953797</v>
      </c>
      <c r="G448" s="23">
        <f t="shared" si="19"/>
        <v>3.1347232877046203</v>
      </c>
      <c r="H448" s="23">
        <f t="shared" si="20"/>
        <v>9.8264900904776642</v>
      </c>
    </row>
    <row r="449" spans="1:8" x14ac:dyDescent="0.2">
      <c r="A449" s="4">
        <v>2.17</v>
      </c>
      <c r="B449" s="4">
        <v>1</v>
      </c>
      <c r="C449" s="4">
        <v>13</v>
      </c>
      <c r="D449" s="4">
        <v>0</v>
      </c>
      <c r="E449" s="2" t="s">
        <v>80</v>
      </c>
      <c r="F449" s="23">
        <f t="shared" si="18"/>
        <v>6.0832164383199947</v>
      </c>
      <c r="G449" s="23">
        <f t="shared" si="19"/>
        <v>-3.9132164383199948</v>
      </c>
      <c r="H449" s="23">
        <f t="shared" si="20"/>
        <v>15.313262893137825</v>
      </c>
    </row>
    <row r="450" spans="1:8" x14ac:dyDescent="0.2">
      <c r="A450" s="4">
        <v>11.1</v>
      </c>
      <c r="B450" s="4">
        <v>1</v>
      </c>
      <c r="C450" s="4">
        <v>15</v>
      </c>
      <c r="D450" s="4">
        <v>0</v>
      </c>
      <c r="E450" s="2" t="s">
        <v>80</v>
      </c>
      <c r="F450" s="23">
        <f t="shared" ref="F450:F513" si="21">($K$18*B450)+($K$19*C450)+($K$20*D450)</f>
        <v>7.0190958903692247</v>
      </c>
      <c r="G450" s="23">
        <f t="shared" si="19"/>
        <v>4.080904109630775</v>
      </c>
      <c r="H450" s="23">
        <f t="shared" si="20"/>
        <v>16.65377835200135</v>
      </c>
    </row>
    <row r="451" spans="1:8" x14ac:dyDescent="0.2">
      <c r="A451" s="4">
        <v>1.96</v>
      </c>
      <c r="B451" s="4">
        <v>1</v>
      </c>
      <c r="C451" s="4">
        <v>11</v>
      </c>
      <c r="D451" s="4">
        <v>0</v>
      </c>
      <c r="E451" s="2" t="s">
        <v>80</v>
      </c>
      <c r="F451" s="23">
        <f t="shared" si="21"/>
        <v>5.1473369862707647</v>
      </c>
      <c r="G451" s="23">
        <f t="shared" ref="G451:G514" si="22">(A451-F451)</f>
        <v>-3.1873369862707648</v>
      </c>
      <c r="H451" s="23">
        <f t="shared" ref="H451:H514" si="23">G451^2</f>
        <v>10.159117064049601</v>
      </c>
    </row>
    <row r="452" spans="1:8" x14ac:dyDescent="0.2">
      <c r="A452" s="4">
        <v>7</v>
      </c>
      <c r="B452" s="4">
        <v>1</v>
      </c>
      <c r="C452" s="4">
        <v>16</v>
      </c>
      <c r="D452" s="4">
        <v>0</v>
      </c>
      <c r="E452" s="2" t="s">
        <v>80</v>
      </c>
      <c r="F452" s="23">
        <f t="shared" si="21"/>
        <v>7.4870356163938396</v>
      </c>
      <c r="G452" s="23">
        <f t="shared" si="22"/>
        <v>-0.48703561639383963</v>
      </c>
      <c r="H452" s="23">
        <f t="shared" si="23"/>
        <v>0.23720369163612731</v>
      </c>
    </row>
    <row r="453" spans="1:8" x14ac:dyDescent="0.2">
      <c r="A453" s="4">
        <v>4</v>
      </c>
      <c r="B453" s="4">
        <v>1</v>
      </c>
      <c r="C453" s="4">
        <v>12</v>
      </c>
      <c r="D453" s="4">
        <v>0</v>
      </c>
      <c r="E453" s="2" t="s">
        <v>80</v>
      </c>
      <c r="F453" s="23">
        <f t="shared" si="21"/>
        <v>5.6152767122953797</v>
      </c>
      <c r="G453" s="23">
        <f t="shared" si="22"/>
        <v>-1.6152767122953797</v>
      </c>
      <c r="H453" s="23">
        <f t="shared" si="23"/>
        <v>2.6091188572837711</v>
      </c>
    </row>
    <row r="454" spans="1:8" x14ac:dyDescent="0.2">
      <c r="A454" s="4">
        <v>5.5</v>
      </c>
      <c r="B454" s="4">
        <v>1</v>
      </c>
      <c r="C454" s="4">
        <v>12</v>
      </c>
      <c r="D454" s="4">
        <v>0</v>
      </c>
      <c r="E454" s="2" t="s">
        <v>80</v>
      </c>
      <c r="F454" s="23">
        <f t="shared" si="21"/>
        <v>5.6152767122953797</v>
      </c>
      <c r="G454" s="23">
        <f t="shared" si="22"/>
        <v>-0.11527671229537972</v>
      </c>
      <c r="H454" s="23">
        <f t="shared" si="23"/>
        <v>1.3288720397631751E-2</v>
      </c>
    </row>
    <row r="455" spans="1:8" x14ac:dyDescent="0.2">
      <c r="A455" s="4">
        <v>3.91</v>
      </c>
      <c r="B455" s="4">
        <v>1</v>
      </c>
      <c r="C455" s="4">
        <v>18</v>
      </c>
      <c r="D455" s="4">
        <v>0</v>
      </c>
      <c r="E455" s="2" t="s">
        <v>80</v>
      </c>
      <c r="F455" s="23">
        <f t="shared" si="21"/>
        <v>8.4229150684430696</v>
      </c>
      <c r="G455" s="23">
        <f t="shared" si="22"/>
        <v>-4.5129150684430694</v>
      </c>
      <c r="H455" s="23">
        <f t="shared" si="23"/>
        <v>20.366402414980513</v>
      </c>
    </row>
    <row r="456" spans="1:8" x14ac:dyDescent="0.2">
      <c r="A456" s="4">
        <v>6.43</v>
      </c>
      <c r="B456" s="4">
        <v>1</v>
      </c>
      <c r="C456" s="4">
        <v>16</v>
      </c>
      <c r="D456" s="4">
        <v>0</v>
      </c>
      <c r="E456" s="2" t="s">
        <v>80</v>
      </c>
      <c r="F456" s="23">
        <f t="shared" si="21"/>
        <v>7.4870356163938396</v>
      </c>
      <c r="G456" s="23">
        <f t="shared" si="22"/>
        <v>-1.0570356163938399</v>
      </c>
      <c r="H456" s="23">
        <f t="shared" si="23"/>
        <v>1.1173242943251052</v>
      </c>
    </row>
    <row r="457" spans="1:8" x14ac:dyDescent="0.2">
      <c r="A457" s="4">
        <v>8</v>
      </c>
      <c r="B457" s="4">
        <v>1</v>
      </c>
      <c r="C457" s="4">
        <v>12</v>
      </c>
      <c r="D457" s="4">
        <v>0</v>
      </c>
      <c r="E457" s="2" t="s">
        <v>80</v>
      </c>
      <c r="F457" s="23">
        <f t="shared" si="21"/>
        <v>5.6152767122953797</v>
      </c>
      <c r="G457" s="23">
        <f t="shared" si="22"/>
        <v>2.3847232877046203</v>
      </c>
      <c r="H457" s="23">
        <f t="shared" si="23"/>
        <v>5.6869051589207329</v>
      </c>
    </row>
    <row r="458" spans="1:8" x14ac:dyDescent="0.2">
      <c r="A458" s="4">
        <v>6.85</v>
      </c>
      <c r="B458" s="4">
        <v>1</v>
      </c>
      <c r="C458" s="4">
        <v>15</v>
      </c>
      <c r="D458" s="4">
        <v>0</v>
      </c>
      <c r="E458" s="2" t="s">
        <v>80</v>
      </c>
      <c r="F458" s="23">
        <f t="shared" si="21"/>
        <v>7.0190958903692247</v>
      </c>
      <c r="G458" s="23">
        <f t="shared" si="22"/>
        <v>-0.16909589036922501</v>
      </c>
      <c r="H458" s="23">
        <f t="shared" si="23"/>
        <v>2.8593420139760965E-2</v>
      </c>
    </row>
    <row r="459" spans="1:8" x14ac:dyDescent="0.2">
      <c r="A459" s="4">
        <v>8.75</v>
      </c>
      <c r="B459" s="4">
        <v>1</v>
      </c>
      <c r="C459" s="4">
        <v>14</v>
      </c>
      <c r="D459" s="4">
        <v>0</v>
      </c>
      <c r="E459" s="2" t="s">
        <v>80</v>
      </c>
      <c r="F459" s="23">
        <f t="shared" si="21"/>
        <v>6.5511561643446097</v>
      </c>
      <c r="G459" s="23">
        <f t="shared" si="22"/>
        <v>2.1988438356553903</v>
      </c>
      <c r="H459" s="23">
        <f t="shared" si="23"/>
        <v>4.834914213599709</v>
      </c>
    </row>
    <row r="460" spans="1:8" x14ac:dyDescent="0.2">
      <c r="A460" s="4">
        <v>6.18</v>
      </c>
      <c r="B460" s="4">
        <v>1</v>
      </c>
      <c r="C460" s="4">
        <v>14</v>
      </c>
      <c r="D460" s="4">
        <v>0</v>
      </c>
      <c r="E460" s="2" t="s">
        <v>80</v>
      </c>
      <c r="F460" s="23">
        <f t="shared" si="21"/>
        <v>6.5511561643446097</v>
      </c>
      <c r="G460" s="23">
        <f t="shared" si="22"/>
        <v>-0.37115616434460996</v>
      </c>
      <c r="H460" s="23">
        <f t="shared" si="23"/>
        <v>0.13775689833100313</v>
      </c>
    </row>
    <row r="461" spans="1:8" x14ac:dyDescent="0.2">
      <c r="A461" s="4">
        <v>3.75</v>
      </c>
      <c r="B461" s="4">
        <v>1</v>
      </c>
      <c r="C461" s="4">
        <v>12</v>
      </c>
      <c r="D461" s="4">
        <v>0</v>
      </c>
      <c r="E461" s="2" t="s">
        <v>80</v>
      </c>
      <c r="F461" s="23">
        <f t="shared" si="21"/>
        <v>5.6152767122953797</v>
      </c>
      <c r="G461" s="23">
        <f t="shared" si="22"/>
        <v>-1.8652767122953797</v>
      </c>
      <c r="H461" s="23">
        <f t="shared" si="23"/>
        <v>3.479257213431461</v>
      </c>
    </row>
    <row r="462" spans="1:8" x14ac:dyDescent="0.2">
      <c r="A462" s="4">
        <v>2.93</v>
      </c>
      <c r="B462" s="4">
        <v>1</v>
      </c>
      <c r="C462" s="4">
        <v>12</v>
      </c>
      <c r="D462" s="4">
        <v>0</v>
      </c>
      <c r="E462" s="2" t="s">
        <v>80</v>
      </c>
      <c r="F462" s="23">
        <f t="shared" si="21"/>
        <v>5.6152767122953797</v>
      </c>
      <c r="G462" s="23">
        <f t="shared" si="22"/>
        <v>-2.6852767122953796</v>
      </c>
      <c r="H462" s="23">
        <f t="shared" si="23"/>
        <v>7.2107110215958823</v>
      </c>
    </row>
    <row r="463" spans="1:8" x14ac:dyDescent="0.2">
      <c r="A463" s="4">
        <v>3</v>
      </c>
      <c r="B463" s="4">
        <v>1</v>
      </c>
      <c r="C463" s="4">
        <v>8</v>
      </c>
      <c r="D463" s="4">
        <v>0</v>
      </c>
      <c r="E463" s="2" t="s">
        <v>80</v>
      </c>
      <c r="F463" s="23">
        <f t="shared" si="21"/>
        <v>3.7435178081969198</v>
      </c>
      <c r="G463" s="23">
        <f t="shared" si="22"/>
        <v>-0.74351780819691982</v>
      </c>
      <c r="H463" s="23">
        <f t="shared" si="23"/>
        <v>0.5528187311059517</v>
      </c>
    </row>
    <row r="464" spans="1:8" x14ac:dyDescent="0.2">
      <c r="A464" s="4">
        <v>10</v>
      </c>
      <c r="B464" s="4">
        <v>1</v>
      </c>
      <c r="C464" s="4">
        <v>12</v>
      </c>
      <c r="D464" s="4">
        <v>0</v>
      </c>
      <c r="E464" s="2" t="s">
        <v>80</v>
      </c>
      <c r="F464" s="23">
        <f t="shared" si="21"/>
        <v>5.6152767122953797</v>
      </c>
      <c r="G464" s="23">
        <f t="shared" si="22"/>
        <v>4.3847232877046203</v>
      </c>
      <c r="H464" s="23">
        <f t="shared" si="23"/>
        <v>19.225798309739215</v>
      </c>
    </row>
    <row r="465" spans="1:8" x14ac:dyDescent="0.2">
      <c r="A465" s="4">
        <v>6.25</v>
      </c>
      <c r="B465" s="4">
        <v>1</v>
      </c>
      <c r="C465" s="4">
        <v>16</v>
      </c>
      <c r="D465" s="4">
        <v>0</v>
      </c>
      <c r="E465" s="2" t="s">
        <v>80</v>
      </c>
      <c r="F465" s="23">
        <f t="shared" si="21"/>
        <v>7.4870356163938396</v>
      </c>
      <c r="G465" s="23">
        <f t="shared" si="22"/>
        <v>-1.2370356163938396</v>
      </c>
      <c r="H465" s="23">
        <f t="shared" si="23"/>
        <v>1.5302571162268868</v>
      </c>
    </row>
    <row r="466" spans="1:8" x14ac:dyDescent="0.2">
      <c r="A466" s="4">
        <v>3.28</v>
      </c>
      <c r="B466" s="4">
        <v>1</v>
      </c>
      <c r="C466" s="4">
        <v>12</v>
      </c>
      <c r="D466" s="4">
        <v>0</v>
      </c>
      <c r="E466" s="2" t="s">
        <v>80</v>
      </c>
      <c r="F466" s="23">
        <f t="shared" si="21"/>
        <v>5.6152767122953797</v>
      </c>
      <c r="G466" s="23">
        <f t="shared" si="22"/>
        <v>-2.3352767122953799</v>
      </c>
      <c r="H466" s="23">
        <f t="shared" si="23"/>
        <v>5.4535173229891187</v>
      </c>
    </row>
    <row r="467" spans="1:8" x14ac:dyDescent="0.2">
      <c r="A467" s="4">
        <v>9.0500000000000007</v>
      </c>
      <c r="B467" s="4">
        <v>1</v>
      </c>
      <c r="C467" s="4">
        <v>12</v>
      </c>
      <c r="D467" s="4">
        <v>1</v>
      </c>
      <c r="E467" s="2" t="s">
        <v>80</v>
      </c>
      <c r="F467" s="23">
        <f t="shared" si="21"/>
        <v>6.4665319715278917</v>
      </c>
      <c r="G467" s="23">
        <f t="shared" si="22"/>
        <v>2.583468028472109</v>
      </c>
      <c r="H467" s="23">
        <f t="shared" si="23"/>
        <v>6.6743070541375653</v>
      </c>
    </row>
    <row r="468" spans="1:8" x14ac:dyDescent="0.2">
      <c r="A468" s="4">
        <v>12.22</v>
      </c>
      <c r="B468" s="4">
        <v>1</v>
      </c>
      <c r="C468" s="4">
        <v>16</v>
      </c>
      <c r="D468" s="4">
        <v>0</v>
      </c>
      <c r="E468" s="2" t="s">
        <v>80</v>
      </c>
      <c r="F468" s="23">
        <f t="shared" si="21"/>
        <v>7.4870356163938396</v>
      </c>
      <c r="G468" s="23">
        <f t="shared" si="22"/>
        <v>4.732964383606161</v>
      </c>
      <c r="H468" s="23">
        <f t="shared" si="23"/>
        <v>22.400951856484447</v>
      </c>
    </row>
    <row r="469" spans="1:8" x14ac:dyDescent="0.2">
      <c r="A469" s="4">
        <v>5.71</v>
      </c>
      <c r="B469" s="4">
        <v>1</v>
      </c>
      <c r="C469" s="4">
        <v>13</v>
      </c>
      <c r="D469" s="4">
        <v>0</v>
      </c>
      <c r="E469" s="2" t="s">
        <v>80</v>
      </c>
      <c r="F469" s="23">
        <f t="shared" si="21"/>
        <v>6.0832164383199947</v>
      </c>
      <c r="G469" s="23">
        <f t="shared" si="22"/>
        <v>-0.37321643831999474</v>
      </c>
      <c r="H469" s="23">
        <f t="shared" si="23"/>
        <v>0.13929050983226243</v>
      </c>
    </row>
    <row r="470" spans="1:8" x14ac:dyDescent="0.2">
      <c r="A470" s="4">
        <v>3.65</v>
      </c>
      <c r="B470" s="4">
        <v>1</v>
      </c>
      <c r="C470" s="4">
        <v>14</v>
      </c>
      <c r="D470" s="4">
        <v>0</v>
      </c>
      <c r="E470" s="2" t="s">
        <v>80</v>
      </c>
      <c r="F470" s="23">
        <f t="shared" si="21"/>
        <v>6.5511561643446097</v>
      </c>
      <c r="G470" s="23">
        <f t="shared" si="22"/>
        <v>-2.9011561643446098</v>
      </c>
      <c r="H470" s="23">
        <f t="shared" si="23"/>
        <v>8.4167070899147287</v>
      </c>
    </row>
    <row r="471" spans="1:8" x14ac:dyDescent="0.2">
      <c r="A471" s="4">
        <v>3.64</v>
      </c>
      <c r="B471" s="4">
        <v>1</v>
      </c>
      <c r="C471" s="4">
        <v>12</v>
      </c>
      <c r="D471" s="4">
        <v>0</v>
      </c>
      <c r="E471" s="2" t="s">
        <v>80</v>
      </c>
      <c r="F471" s="23">
        <f t="shared" si="21"/>
        <v>5.6152767122953797</v>
      </c>
      <c r="G471" s="23">
        <f t="shared" si="22"/>
        <v>-1.9752767122953796</v>
      </c>
      <c r="H471" s="23">
        <f t="shared" si="23"/>
        <v>3.9017180901364439</v>
      </c>
    </row>
    <row r="472" spans="1:8" x14ac:dyDescent="0.2">
      <c r="A472" s="4">
        <v>4</v>
      </c>
      <c r="B472" s="4">
        <v>1</v>
      </c>
      <c r="C472" s="4">
        <v>12</v>
      </c>
      <c r="D472" s="4">
        <v>1</v>
      </c>
      <c r="E472" s="2" t="s">
        <v>80</v>
      </c>
      <c r="F472" s="23">
        <f t="shared" si="21"/>
        <v>6.4665319715278917</v>
      </c>
      <c r="G472" s="23">
        <f t="shared" si="22"/>
        <v>-2.4665319715278917</v>
      </c>
      <c r="H472" s="23">
        <f t="shared" si="23"/>
        <v>6.0837799665692689</v>
      </c>
    </row>
    <row r="473" spans="1:8" x14ac:dyDescent="0.2">
      <c r="A473" s="4">
        <v>2</v>
      </c>
      <c r="B473" s="4">
        <v>1</v>
      </c>
      <c r="C473" s="4">
        <v>12</v>
      </c>
      <c r="D473" s="4">
        <v>0</v>
      </c>
      <c r="E473" s="2" t="s">
        <v>80</v>
      </c>
      <c r="F473" s="23">
        <f t="shared" si="21"/>
        <v>5.6152767122953797</v>
      </c>
      <c r="G473" s="23">
        <f t="shared" si="22"/>
        <v>-3.6152767122953797</v>
      </c>
      <c r="H473" s="23">
        <f t="shared" si="23"/>
        <v>13.07022570646529</v>
      </c>
    </row>
    <row r="474" spans="1:8" x14ac:dyDescent="0.2">
      <c r="A474" s="4">
        <v>4.0999999999999996</v>
      </c>
      <c r="B474" s="4">
        <v>1</v>
      </c>
      <c r="C474" s="4">
        <v>12</v>
      </c>
      <c r="D474" s="4">
        <v>0</v>
      </c>
      <c r="E474" s="2" t="s">
        <v>80</v>
      </c>
      <c r="F474" s="23">
        <f t="shared" si="21"/>
        <v>5.6152767122953797</v>
      </c>
      <c r="G474" s="23">
        <f t="shared" si="22"/>
        <v>-1.5152767122953801</v>
      </c>
      <c r="H474" s="23">
        <f t="shared" si="23"/>
        <v>2.296063514824696</v>
      </c>
    </row>
    <row r="475" spans="1:8" x14ac:dyDescent="0.2">
      <c r="A475" s="4">
        <v>3</v>
      </c>
      <c r="B475" s="4">
        <v>1</v>
      </c>
      <c r="C475" s="4">
        <v>14</v>
      </c>
      <c r="D475" s="4">
        <v>0</v>
      </c>
      <c r="E475" s="2" t="s">
        <v>80</v>
      </c>
      <c r="F475" s="23">
        <f t="shared" si="21"/>
        <v>6.5511561643446097</v>
      </c>
      <c r="G475" s="23">
        <f t="shared" si="22"/>
        <v>-3.5511561643446097</v>
      </c>
      <c r="H475" s="23">
        <f t="shared" si="23"/>
        <v>12.61071010356272</v>
      </c>
    </row>
    <row r="476" spans="1:8" x14ac:dyDescent="0.2">
      <c r="A476" s="4">
        <v>9.3000000000000007</v>
      </c>
      <c r="B476" s="4">
        <v>1</v>
      </c>
      <c r="C476" s="4">
        <v>15</v>
      </c>
      <c r="D476" s="4">
        <v>0</v>
      </c>
      <c r="E476" s="2" t="s">
        <v>80</v>
      </c>
      <c r="F476" s="23">
        <f t="shared" si="21"/>
        <v>7.0190958903692247</v>
      </c>
      <c r="G476" s="23">
        <f t="shared" si="22"/>
        <v>2.2809041096307761</v>
      </c>
      <c r="H476" s="23">
        <f t="shared" si="23"/>
        <v>5.2025235573305633</v>
      </c>
    </row>
    <row r="477" spans="1:8" x14ac:dyDescent="0.2">
      <c r="A477" s="4">
        <v>2.91</v>
      </c>
      <c r="B477" s="4">
        <v>1</v>
      </c>
      <c r="C477" s="4">
        <v>11</v>
      </c>
      <c r="D477" s="4">
        <v>0</v>
      </c>
      <c r="E477" s="2" t="s">
        <v>80</v>
      </c>
      <c r="F477" s="23">
        <f t="shared" si="21"/>
        <v>5.1473369862707647</v>
      </c>
      <c r="G477" s="23">
        <f t="shared" si="22"/>
        <v>-2.2373369862707646</v>
      </c>
      <c r="H477" s="23">
        <f t="shared" si="23"/>
        <v>5.0056767901351478</v>
      </c>
    </row>
    <row r="478" spans="1:8" x14ac:dyDescent="0.2">
      <c r="A478" s="4">
        <v>3.1</v>
      </c>
      <c r="B478" s="4">
        <v>1</v>
      </c>
      <c r="C478" s="4">
        <v>12</v>
      </c>
      <c r="D478" s="4">
        <v>0</v>
      </c>
      <c r="E478" s="2" t="s">
        <v>80</v>
      </c>
      <c r="F478" s="23">
        <f t="shared" si="21"/>
        <v>5.6152767122953797</v>
      </c>
      <c r="G478" s="23">
        <f t="shared" si="22"/>
        <v>-2.5152767122953796</v>
      </c>
      <c r="H478" s="23">
        <f t="shared" si="23"/>
        <v>6.3266169394154543</v>
      </c>
    </row>
    <row r="479" spans="1:8" x14ac:dyDescent="0.2">
      <c r="A479" s="4">
        <v>2.75</v>
      </c>
      <c r="B479" s="4">
        <v>1</v>
      </c>
      <c r="C479" s="4">
        <v>13</v>
      </c>
      <c r="D479" s="4">
        <v>0</v>
      </c>
      <c r="E479" s="2" t="s">
        <v>80</v>
      </c>
      <c r="F479" s="23">
        <f t="shared" si="21"/>
        <v>6.0832164383199947</v>
      </c>
      <c r="G479" s="23">
        <f t="shared" si="22"/>
        <v>-3.3332164383199947</v>
      </c>
      <c r="H479" s="23">
        <f t="shared" si="23"/>
        <v>11.11033182468663</v>
      </c>
    </row>
    <row r="480" spans="1:8" x14ac:dyDescent="0.2">
      <c r="A480" s="4">
        <v>4.75</v>
      </c>
      <c r="B480" s="4">
        <v>1</v>
      </c>
      <c r="C480" s="4">
        <v>13</v>
      </c>
      <c r="D480" s="4">
        <v>0</v>
      </c>
      <c r="E480" s="2" t="s">
        <v>80</v>
      </c>
      <c r="F480" s="23">
        <f t="shared" si="21"/>
        <v>6.0832164383199947</v>
      </c>
      <c r="G480" s="23">
        <f t="shared" si="22"/>
        <v>-1.3332164383199947</v>
      </c>
      <c r="H480" s="23">
        <f t="shared" si="23"/>
        <v>1.7774660714066521</v>
      </c>
    </row>
    <row r="481" spans="1:8" x14ac:dyDescent="0.2">
      <c r="A481" s="4">
        <v>2.9</v>
      </c>
      <c r="B481" s="4">
        <v>1</v>
      </c>
      <c r="C481" s="4">
        <v>12</v>
      </c>
      <c r="D481" s="4">
        <v>0</v>
      </c>
      <c r="E481" s="2" t="s">
        <v>80</v>
      </c>
      <c r="F481" s="23">
        <f t="shared" si="21"/>
        <v>5.6152767122953797</v>
      </c>
      <c r="G481" s="23">
        <f t="shared" si="22"/>
        <v>-2.7152767122953798</v>
      </c>
      <c r="H481" s="23">
        <f t="shared" si="23"/>
        <v>7.3727276243336064</v>
      </c>
    </row>
    <row r="482" spans="1:8" x14ac:dyDescent="0.2">
      <c r="A482" s="4">
        <v>3.15</v>
      </c>
      <c r="B482" s="4">
        <v>1</v>
      </c>
      <c r="C482" s="4">
        <v>12</v>
      </c>
      <c r="D482" s="4">
        <v>0</v>
      </c>
      <c r="E482" s="2" t="s">
        <v>80</v>
      </c>
      <c r="F482" s="23">
        <f t="shared" si="21"/>
        <v>5.6152767122953797</v>
      </c>
      <c r="G482" s="23">
        <f t="shared" si="22"/>
        <v>-2.4652767122953798</v>
      </c>
      <c r="H482" s="23">
        <f t="shared" si="23"/>
        <v>6.0775892681859167</v>
      </c>
    </row>
    <row r="483" spans="1:8" x14ac:dyDescent="0.2">
      <c r="A483" s="4">
        <v>8.75</v>
      </c>
      <c r="B483" s="4">
        <v>1</v>
      </c>
      <c r="C483" s="4">
        <v>12</v>
      </c>
      <c r="D483" s="4">
        <v>0</v>
      </c>
      <c r="E483" s="2" t="s">
        <v>80</v>
      </c>
      <c r="F483" s="23">
        <f t="shared" si="21"/>
        <v>5.6152767122953797</v>
      </c>
      <c r="G483" s="23">
        <f t="shared" si="22"/>
        <v>3.1347232877046203</v>
      </c>
      <c r="H483" s="23">
        <f t="shared" si="23"/>
        <v>9.8264900904776642</v>
      </c>
    </row>
    <row r="484" spans="1:8" x14ac:dyDescent="0.2">
      <c r="A484" s="4">
        <v>3</v>
      </c>
      <c r="B484" s="4">
        <v>1</v>
      </c>
      <c r="C484" s="4">
        <v>12</v>
      </c>
      <c r="D484" s="4">
        <v>0</v>
      </c>
      <c r="E484" s="2" t="s">
        <v>80</v>
      </c>
      <c r="F484" s="23">
        <f t="shared" si="21"/>
        <v>5.6152767122953797</v>
      </c>
      <c r="G484" s="23">
        <f t="shared" si="22"/>
        <v>-2.6152767122953797</v>
      </c>
      <c r="H484" s="23">
        <f t="shared" si="23"/>
        <v>6.8396722818745301</v>
      </c>
    </row>
    <row r="485" spans="1:8" x14ac:dyDescent="0.2">
      <c r="A485" s="4">
        <v>4</v>
      </c>
      <c r="B485" s="4">
        <v>1</v>
      </c>
      <c r="C485" s="4">
        <v>12</v>
      </c>
      <c r="D485" s="4">
        <v>0</v>
      </c>
      <c r="E485" s="2" t="s">
        <v>80</v>
      </c>
      <c r="F485" s="23">
        <f t="shared" si="21"/>
        <v>5.6152767122953797</v>
      </c>
      <c r="G485" s="23">
        <f t="shared" si="22"/>
        <v>-1.6152767122953797</v>
      </c>
      <c r="H485" s="23">
        <f t="shared" si="23"/>
        <v>2.6091188572837711</v>
      </c>
    </row>
    <row r="486" spans="1:8" x14ac:dyDescent="0.2">
      <c r="A486" s="4">
        <v>3.81</v>
      </c>
      <c r="B486" s="4">
        <v>1</v>
      </c>
      <c r="C486" s="4">
        <v>12</v>
      </c>
      <c r="D486" s="4">
        <v>0</v>
      </c>
      <c r="E486" s="2" t="s">
        <v>80</v>
      </c>
      <c r="F486" s="23">
        <f t="shared" si="21"/>
        <v>5.6152767122953797</v>
      </c>
      <c r="G486" s="23">
        <f t="shared" si="22"/>
        <v>-1.8052767122953797</v>
      </c>
      <c r="H486" s="23">
        <f t="shared" si="23"/>
        <v>3.2590240079560151</v>
      </c>
    </row>
    <row r="487" spans="1:8" x14ac:dyDescent="0.2">
      <c r="A487" s="4">
        <v>3.8</v>
      </c>
      <c r="B487" s="4">
        <v>1</v>
      </c>
      <c r="C487" s="4">
        <v>15</v>
      </c>
      <c r="D487" s="4">
        <v>0</v>
      </c>
      <c r="E487" s="2" t="s">
        <v>80</v>
      </c>
      <c r="F487" s="23">
        <f t="shared" si="21"/>
        <v>7.0190958903692247</v>
      </c>
      <c r="G487" s="23">
        <f t="shared" si="22"/>
        <v>-3.2190958903692248</v>
      </c>
      <c r="H487" s="23">
        <f t="shared" si="23"/>
        <v>10.362578351392033</v>
      </c>
    </row>
    <row r="488" spans="1:8" x14ac:dyDescent="0.2">
      <c r="A488" s="4">
        <v>11.56</v>
      </c>
      <c r="B488" s="4">
        <v>1</v>
      </c>
      <c r="C488" s="4">
        <v>16</v>
      </c>
      <c r="D488" s="4">
        <v>0</v>
      </c>
      <c r="E488" s="2" t="s">
        <v>80</v>
      </c>
      <c r="F488" s="23">
        <f t="shared" si="21"/>
        <v>7.4870356163938396</v>
      </c>
      <c r="G488" s="23">
        <f t="shared" si="22"/>
        <v>4.0729643836061609</v>
      </c>
      <c r="H488" s="23">
        <f t="shared" si="23"/>
        <v>16.589038870124313</v>
      </c>
    </row>
    <row r="489" spans="1:8" x14ac:dyDescent="0.2">
      <c r="A489" s="4">
        <v>2.95</v>
      </c>
      <c r="B489" s="4">
        <v>1</v>
      </c>
      <c r="C489" s="4">
        <v>12</v>
      </c>
      <c r="D489" s="4">
        <v>0</v>
      </c>
      <c r="E489" s="2" t="s">
        <v>80</v>
      </c>
      <c r="F489" s="23">
        <f t="shared" si="21"/>
        <v>5.6152767122953797</v>
      </c>
      <c r="G489" s="23">
        <f t="shared" si="22"/>
        <v>-2.6652767122953795</v>
      </c>
      <c r="H489" s="23">
        <f t="shared" si="23"/>
        <v>7.1036999531040674</v>
      </c>
    </row>
    <row r="490" spans="1:8" x14ac:dyDescent="0.2">
      <c r="A490" s="4">
        <v>3.35</v>
      </c>
      <c r="B490" s="4">
        <v>1</v>
      </c>
      <c r="C490" s="4">
        <v>15</v>
      </c>
      <c r="D490" s="4">
        <v>0</v>
      </c>
      <c r="E490" s="2" t="s">
        <v>80</v>
      </c>
      <c r="F490" s="23">
        <f t="shared" si="21"/>
        <v>7.0190958903692247</v>
      </c>
      <c r="G490" s="23">
        <f t="shared" si="22"/>
        <v>-3.6690958903692246</v>
      </c>
      <c r="H490" s="23">
        <f t="shared" si="23"/>
        <v>13.462264652724333</v>
      </c>
    </row>
    <row r="491" spans="1:8" x14ac:dyDescent="0.2">
      <c r="A491" s="4">
        <v>4.6500000000000004</v>
      </c>
      <c r="B491" s="4">
        <v>1</v>
      </c>
      <c r="C491" s="4">
        <v>16</v>
      </c>
      <c r="D491" s="4">
        <v>0</v>
      </c>
      <c r="E491" s="2" t="s">
        <v>80</v>
      </c>
      <c r="F491" s="23">
        <f t="shared" si="21"/>
        <v>7.4870356163938396</v>
      </c>
      <c r="G491" s="23">
        <f t="shared" si="22"/>
        <v>-2.8370356163938393</v>
      </c>
      <c r="H491" s="23">
        <f t="shared" si="23"/>
        <v>8.0487710886871717</v>
      </c>
    </row>
    <row r="492" spans="1:8" x14ac:dyDescent="0.2">
      <c r="A492" s="4">
        <v>3.08</v>
      </c>
      <c r="B492" s="4">
        <v>1</v>
      </c>
      <c r="C492" s="4">
        <v>12</v>
      </c>
      <c r="D492" s="4">
        <v>0</v>
      </c>
      <c r="E492" s="2" t="s">
        <v>80</v>
      </c>
      <c r="F492" s="23">
        <f t="shared" si="21"/>
        <v>5.6152767122953797</v>
      </c>
      <c r="G492" s="23">
        <f t="shared" si="22"/>
        <v>-2.5352767122953797</v>
      </c>
      <c r="H492" s="23">
        <f t="shared" si="23"/>
        <v>6.427628007907269</v>
      </c>
    </row>
    <row r="493" spans="1:8" x14ac:dyDescent="0.2">
      <c r="A493" s="4">
        <v>1.75</v>
      </c>
      <c r="B493" s="4">
        <v>1</v>
      </c>
      <c r="C493" s="4">
        <v>11</v>
      </c>
      <c r="D493" s="4">
        <v>0</v>
      </c>
      <c r="E493" s="2" t="s">
        <v>80</v>
      </c>
      <c r="F493" s="23">
        <f t="shared" si="21"/>
        <v>5.1473369862707647</v>
      </c>
      <c r="G493" s="23">
        <f t="shared" si="22"/>
        <v>-3.3973369862707647</v>
      </c>
      <c r="H493" s="23">
        <f t="shared" si="23"/>
        <v>11.541898598283323</v>
      </c>
    </row>
    <row r="494" spans="1:8" x14ac:dyDescent="0.2">
      <c r="A494" s="4">
        <v>6.25</v>
      </c>
      <c r="B494" s="4">
        <v>1</v>
      </c>
      <c r="C494" s="10">
        <v>12</v>
      </c>
      <c r="D494" s="4">
        <v>0</v>
      </c>
      <c r="E494" s="2" t="s">
        <v>80</v>
      </c>
      <c r="F494" s="23">
        <f t="shared" si="21"/>
        <v>5.6152767122953797</v>
      </c>
      <c r="G494" s="23">
        <f t="shared" si="22"/>
        <v>0.63472328770462028</v>
      </c>
      <c r="H494" s="23">
        <f t="shared" si="23"/>
        <v>0.40287365195456215</v>
      </c>
    </row>
    <row r="495" spans="1:8" x14ac:dyDescent="0.2">
      <c r="A495" s="4">
        <v>5.58</v>
      </c>
      <c r="B495" s="4">
        <v>1</v>
      </c>
      <c r="C495" s="4">
        <v>16</v>
      </c>
      <c r="D495" s="4">
        <v>0</v>
      </c>
      <c r="E495" s="2" t="s">
        <v>80</v>
      </c>
      <c r="F495" s="23">
        <f t="shared" si="21"/>
        <v>7.4870356163938396</v>
      </c>
      <c r="G495" s="23">
        <f t="shared" si="22"/>
        <v>-1.9070356163938396</v>
      </c>
      <c r="H495" s="23">
        <f t="shared" si="23"/>
        <v>3.6367848421946314</v>
      </c>
    </row>
    <row r="496" spans="1:8" x14ac:dyDescent="0.2">
      <c r="A496" s="4">
        <v>2.92</v>
      </c>
      <c r="B496" s="4">
        <v>1</v>
      </c>
      <c r="C496" s="4">
        <v>9</v>
      </c>
      <c r="D496" s="4">
        <v>0</v>
      </c>
      <c r="E496" s="2" t="s">
        <v>80</v>
      </c>
      <c r="F496" s="23">
        <f t="shared" si="21"/>
        <v>4.2114575342215348</v>
      </c>
      <c r="G496" s="23">
        <f t="shared" si="22"/>
        <v>-1.2914575342215349</v>
      </c>
      <c r="H496" s="23">
        <f t="shared" si="23"/>
        <v>1.6678625626975669</v>
      </c>
    </row>
    <row r="497" spans="1:8" x14ac:dyDescent="0.2">
      <c r="A497" s="4">
        <v>4.5</v>
      </c>
      <c r="B497" s="4">
        <v>1</v>
      </c>
      <c r="C497" s="4">
        <v>12</v>
      </c>
      <c r="D497" s="4">
        <v>0</v>
      </c>
      <c r="E497" s="2" t="s">
        <v>80</v>
      </c>
      <c r="F497" s="23">
        <f t="shared" si="21"/>
        <v>5.6152767122953797</v>
      </c>
      <c r="G497" s="23">
        <f t="shared" si="22"/>
        <v>-1.1152767122953797</v>
      </c>
      <c r="H497" s="23">
        <f t="shared" si="23"/>
        <v>1.2438421449883912</v>
      </c>
    </row>
    <row r="498" spans="1:8" x14ac:dyDescent="0.2">
      <c r="A498" s="4">
        <v>3.55</v>
      </c>
      <c r="B498" s="4">
        <v>1</v>
      </c>
      <c r="C498" s="4">
        <v>12</v>
      </c>
      <c r="D498" s="4">
        <v>0</v>
      </c>
      <c r="E498" s="2" t="s">
        <v>80</v>
      </c>
      <c r="F498" s="23">
        <f t="shared" si="21"/>
        <v>5.6152767122953797</v>
      </c>
      <c r="G498" s="23">
        <f t="shared" si="22"/>
        <v>-2.0652767122953799</v>
      </c>
      <c r="H498" s="23">
        <f t="shared" si="23"/>
        <v>4.2653678983496137</v>
      </c>
    </row>
    <row r="499" spans="1:8" x14ac:dyDescent="0.2">
      <c r="A499" s="4">
        <v>5.05</v>
      </c>
      <c r="B499" s="4">
        <v>1</v>
      </c>
      <c r="C499" s="4">
        <v>12</v>
      </c>
      <c r="D499" s="4">
        <v>0</v>
      </c>
      <c r="E499" s="2" t="s">
        <v>80</v>
      </c>
      <c r="F499" s="23">
        <f t="shared" si="21"/>
        <v>5.6152767122953797</v>
      </c>
      <c r="G499" s="23">
        <f t="shared" si="22"/>
        <v>-0.5652767122953799</v>
      </c>
      <c r="H499" s="23">
        <f t="shared" si="23"/>
        <v>0.31953776146347368</v>
      </c>
    </row>
    <row r="500" spans="1:8" x14ac:dyDescent="0.2">
      <c r="A500" s="4">
        <v>1.63</v>
      </c>
      <c r="B500" s="4">
        <v>1</v>
      </c>
      <c r="C500" s="4">
        <v>12</v>
      </c>
      <c r="D500" s="4">
        <v>0</v>
      </c>
      <c r="E500" s="2" t="s">
        <v>80</v>
      </c>
      <c r="F500" s="23">
        <f t="shared" si="21"/>
        <v>5.6152767122953797</v>
      </c>
      <c r="G500" s="23">
        <f t="shared" si="22"/>
        <v>-3.9852767122953798</v>
      </c>
      <c r="H500" s="23">
        <f t="shared" si="23"/>
        <v>15.882430473563872</v>
      </c>
    </row>
    <row r="501" spans="1:8" x14ac:dyDescent="0.2">
      <c r="A501" s="4">
        <v>5</v>
      </c>
      <c r="B501" s="4">
        <v>1</v>
      </c>
      <c r="C501" s="10">
        <v>12</v>
      </c>
      <c r="D501" s="4">
        <v>0</v>
      </c>
      <c r="E501" s="2" t="s">
        <v>80</v>
      </c>
      <c r="F501" s="23">
        <f t="shared" si="21"/>
        <v>5.6152767122953797</v>
      </c>
      <c r="G501" s="23">
        <f t="shared" si="22"/>
        <v>-0.61527671229537972</v>
      </c>
      <c r="H501" s="23">
        <f t="shared" si="23"/>
        <v>0.37856543269301146</v>
      </c>
    </row>
    <row r="502" spans="1:8" x14ac:dyDescent="0.2">
      <c r="A502" s="4">
        <v>3.71</v>
      </c>
      <c r="B502" s="4">
        <v>1</v>
      </c>
      <c r="C502" s="4">
        <v>10</v>
      </c>
      <c r="D502" s="4">
        <v>0</v>
      </c>
      <c r="E502" s="2" t="s">
        <v>80</v>
      </c>
      <c r="F502" s="23">
        <f t="shared" si="21"/>
        <v>4.6793972602461498</v>
      </c>
      <c r="G502" s="23">
        <f t="shared" si="22"/>
        <v>-0.96939726024614981</v>
      </c>
      <c r="H502" s="23">
        <f t="shared" si="23"/>
        <v>0.93973104817274145</v>
      </c>
    </row>
    <row r="503" spans="1:8" x14ac:dyDescent="0.2">
      <c r="A503" s="4">
        <v>4.5</v>
      </c>
      <c r="B503" s="4">
        <v>1</v>
      </c>
      <c r="C503" s="4">
        <v>12</v>
      </c>
      <c r="D503" s="4">
        <v>0</v>
      </c>
      <c r="E503" s="2" t="s">
        <v>80</v>
      </c>
      <c r="F503" s="23">
        <f t="shared" si="21"/>
        <v>5.6152767122953797</v>
      </c>
      <c r="G503" s="23">
        <f t="shared" si="22"/>
        <v>-1.1152767122953797</v>
      </c>
      <c r="H503" s="23">
        <f t="shared" si="23"/>
        <v>1.2438421449883912</v>
      </c>
    </row>
    <row r="504" spans="1:8" x14ac:dyDescent="0.2">
      <c r="A504" s="4">
        <v>6.08</v>
      </c>
      <c r="B504" s="4">
        <v>1</v>
      </c>
      <c r="C504" s="4">
        <v>16</v>
      </c>
      <c r="D504" s="4">
        <v>0</v>
      </c>
      <c r="E504" s="2" t="s">
        <v>80</v>
      </c>
      <c r="F504" s="23">
        <f t="shared" si="21"/>
        <v>7.4870356163938396</v>
      </c>
      <c r="G504" s="23">
        <f t="shared" si="22"/>
        <v>-1.4070356163938396</v>
      </c>
      <c r="H504" s="23">
        <f t="shared" si="23"/>
        <v>1.979749225800792</v>
      </c>
    </row>
    <row r="505" spans="1:8" x14ac:dyDescent="0.2">
      <c r="A505" s="4">
        <v>4</v>
      </c>
      <c r="B505" s="4">
        <v>1</v>
      </c>
      <c r="C505" s="4">
        <v>12</v>
      </c>
      <c r="D505" s="4">
        <v>0</v>
      </c>
      <c r="E505" s="2" t="s">
        <v>80</v>
      </c>
      <c r="F505" s="23">
        <f t="shared" si="21"/>
        <v>5.6152767122953797</v>
      </c>
      <c r="G505" s="23">
        <f t="shared" si="22"/>
        <v>-1.6152767122953797</v>
      </c>
      <c r="H505" s="23">
        <f t="shared" si="23"/>
        <v>2.6091188572837711</v>
      </c>
    </row>
    <row r="506" spans="1:8" x14ac:dyDescent="0.2">
      <c r="A506" s="4">
        <v>4</v>
      </c>
      <c r="B506" s="4">
        <v>1</v>
      </c>
      <c r="C506" s="4">
        <v>12</v>
      </c>
      <c r="D506" s="4">
        <v>0</v>
      </c>
      <c r="E506" s="2" t="s">
        <v>80</v>
      </c>
      <c r="F506" s="23">
        <f t="shared" si="21"/>
        <v>5.6152767122953797</v>
      </c>
      <c r="G506" s="23">
        <f t="shared" si="22"/>
        <v>-1.6152767122953797</v>
      </c>
      <c r="H506" s="23">
        <f t="shared" si="23"/>
        <v>2.6091188572837711</v>
      </c>
    </row>
    <row r="507" spans="1:8" x14ac:dyDescent="0.2">
      <c r="A507" s="4">
        <v>3.75</v>
      </c>
      <c r="B507" s="4">
        <v>1</v>
      </c>
      <c r="C507" s="4">
        <v>12</v>
      </c>
      <c r="D507" s="4">
        <v>1</v>
      </c>
      <c r="E507" s="2" t="s">
        <v>80</v>
      </c>
      <c r="F507" s="23">
        <f t="shared" si="21"/>
        <v>6.4665319715278917</v>
      </c>
      <c r="G507" s="23">
        <f t="shared" si="22"/>
        <v>-2.7165319715278917</v>
      </c>
      <c r="H507" s="23">
        <f t="shared" si="23"/>
        <v>7.3795459523332143</v>
      </c>
    </row>
    <row r="508" spans="1:8" x14ac:dyDescent="0.2">
      <c r="A508" s="4">
        <v>9.8000000000000007</v>
      </c>
      <c r="B508" s="4">
        <v>1</v>
      </c>
      <c r="C508" s="4">
        <v>17</v>
      </c>
      <c r="D508" s="4">
        <v>0</v>
      </c>
      <c r="E508" s="2" t="s">
        <v>80</v>
      </c>
      <c r="F508" s="23">
        <f t="shared" si="21"/>
        <v>7.9549753424184546</v>
      </c>
      <c r="G508" s="23">
        <f t="shared" si="22"/>
        <v>1.8450246575815461</v>
      </c>
      <c r="H508" s="23">
        <f t="shared" si="23"/>
        <v>3.4041159870839013</v>
      </c>
    </row>
    <row r="509" spans="1:8" x14ac:dyDescent="0.2">
      <c r="A509" s="4">
        <v>3.55</v>
      </c>
      <c r="B509" s="4">
        <v>1</v>
      </c>
      <c r="C509" s="4">
        <v>12</v>
      </c>
      <c r="D509" s="4">
        <v>0</v>
      </c>
      <c r="E509" s="2" t="s">
        <v>80</v>
      </c>
      <c r="F509" s="23">
        <f t="shared" si="21"/>
        <v>5.6152767122953797</v>
      </c>
      <c r="G509" s="23">
        <f t="shared" si="22"/>
        <v>-2.0652767122953799</v>
      </c>
      <c r="H509" s="23">
        <f t="shared" si="23"/>
        <v>4.2653678983496137</v>
      </c>
    </row>
    <row r="510" spans="1:8" x14ac:dyDescent="0.2">
      <c r="A510" s="4">
        <v>6.25</v>
      </c>
      <c r="B510" s="4">
        <v>1</v>
      </c>
      <c r="C510" s="4">
        <v>16</v>
      </c>
      <c r="D510" s="4">
        <v>0</v>
      </c>
      <c r="E510" s="2" t="s">
        <v>80</v>
      </c>
      <c r="F510" s="23">
        <f t="shared" si="21"/>
        <v>7.4870356163938396</v>
      </c>
      <c r="G510" s="23">
        <f t="shared" si="22"/>
        <v>-1.2370356163938396</v>
      </c>
      <c r="H510" s="23">
        <f t="shared" si="23"/>
        <v>1.5302571162268868</v>
      </c>
    </row>
    <row r="511" spans="1:8" x14ac:dyDescent="0.2">
      <c r="A511" s="4">
        <v>2.38</v>
      </c>
      <c r="B511" s="4">
        <v>1</v>
      </c>
      <c r="C511" s="4">
        <v>9</v>
      </c>
      <c r="D511" s="4">
        <v>0</v>
      </c>
      <c r="E511" s="2" t="s">
        <v>80</v>
      </c>
      <c r="F511" s="23">
        <f t="shared" si="21"/>
        <v>4.2114575342215348</v>
      </c>
      <c r="G511" s="23">
        <f t="shared" si="22"/>
        <v>-1.8314575342215349</v>
      </c>
      <c r="H511" s="23">
        <f t="shared" si="23"/>
        <v>3.3542366996568247</v>
      </c>
    </row>
    <row r="512" spans="1:8" x14ac:dyDescent="0.2">
      <c r="A512" s="4">
        <v>4.0999999999999996</v>
      </c>
      <c r="B512" s="4">
        <v>1</v>
      </c>
      <c r="C512" s="4">
        <v>16</v>
      </c>
      <c r="D512" s="4">
        <v>0</v>
      </c>
      <c r="E512" s="2" t="s">
        <v>80</v>
      </c>
      <c r="F512" s="23">
        <f t="shared" si="21"/>
        <v>7.4870356163938396</v>
      </c>
      <c r="G512" s="23">
        <f t="shared" si="22"/>
        <v>-3.38703561639384</v>
      </c>
      <c r="H512" s="23">
        <f t="shared" si="23"/>
        <v>11.4720102667204</v>
      </c>
    </row>
    <row r="513" spans="1:8" x14ac:dyDescent="0.2">
      <c r="A513" s="4">
        <v>3.5</v>
      </c>
      <c r="B513" s="4">
        <v>1</v>
      </c>
      <c r="C513" s="4">
        <v>8</v>
      </c>
      <c r="D513" s="4">
        <v>0</v>
      </c>
      <c r="E513" s="2" t="s">
        <v>80</v>
      </c>
      <c r="F513" s="23">
        <f t="shared" si="21"/>
        <v>3.7435178081969198</v>
      </c>
      <c r="G513" s="23">
        <f t="shared" si="22"/>
        <v>-0.24351780819691982</v>
      </c>
      <c r="H513" s="23">
        <f t="shared" si="23"/>
        <v>5.9300922909031828E-2</v>
      </c>
    </row>
    <row r="514" spans="1:8" x14ac:dyDescent="0.2">
      <c r="A514" s="4">
        <v>2.6</v>
      </c>
      <c r="B514" s="4">
        <v>1</v>
      </c>
      <c r="C514" s="4">
        <v>9</v>
      </c>
      <c r="D514" s="4">
        <v>0</v>
      </c>
      <c r="E514" s="2" t="s">
        <v>80</v>
      </c>
      <c r="F514" s="23">
        <f t="shared" ref="F514:F527" si="24">($K$18*B514)+($K$19*C514)+($K$20*D514)</f>
        <v>4.2114575342215348</v>
      </c>
      <c r="G514" s="23">
        <f t="shared" si="22"/>
        <v>-1.6114575342215347</v>
      </c>
      <c r="H514" s="23">
        <f t="shared" si="23"/>
        <v>2.5967953845993486</v>
      </c>
    </row>
    <row r="515" spans="1:8" x14ac:dyDescent="0.2">
      <c r="A515" s="4">
        <v>2</v>
      </c>
      <c r="B515" s="4">
        <v>1</v>
      </c>
      <c r="C515" s="4">
        <v>10</v>
      </c>
      <c r="D515" s="4">
        <v>0</v>
      </c>
      <c r="E515" s="2" t="s">
        <v>80</v>
      </c>
      <c r="F515" s="23">
        <f t="shared" si="24"/>
        <v>4.6793972602461498</v>
      </c>
      <c r="G515" s="23">
        <f t="shared" ref="G515:G527" si="25">(A515-F515)</f>
        <v>-2.6793972602461498</v>
      </c>
      <c r="H515" s="23">
        <f t="shared" ref="H515:H527" si="26">G515^2</f>
        <v>7.1791696782145733</v>
      </c>
    </row>
    <row r="516" spans="1:8" x14ac:dyDescent="0.2">
      <c r="A516" s="4">
        <v>7.81</v>
      </c>
      <c r="B516" s="4">
        <v>1</v>
      </c>
      <c r="C516" s="4">
        <v>12</v>
      </c>
      <c r="D516" s="4">
        <v>0</v>
      </c>
      <c r="E516" s="2" t="s">
        <v>80</v>
      </c>
      <c r="F516" s="23">
        <f t="shared" si="24"/>
        <v>5.6152767122953797</v>
      </c>
      <c r="G516" s="23">
        <f t="shared" si="25"/>
        <v>2.1947232877046199</v>
      </c>
      <c r="H516" s="23">
        <f t="shared" si="26"/>
        <v>4.8168103095929755</v>
      </c>
    </row>
    <row r="517" spans="1:8" x14ac:dyDescent="0.2">
      <c r="A517" s="4">
        <v>3.5</v>
      </c>
      <c r="B517" s="4">
        <v>1</v>
      </c>
      <c r="C517" s="4">
        <v>12</v>
      </c>
      <c r="D517" s="4">
        <v>0</v>
      </c>
      <c r="E517" s="2" t="s">
        <v>80</v>
      </c>
      <c r="F517" s="23">
        <f t="shared" si="24"/>
        <v>5.6152767122953797</v>
      </c>
      <c r="G517" s="23">
        <f t="shared" si="25"/>
        <v>-2.1152767122953797</v>
      </c>
      <c r="H517" s="23">
        <f t="shared" si="26"/>
        <v>4.4743955695791504</v>
      </c>
    </row>
    <row r="518" spans="1:8" x14ac:dyDescent="0.2">
      <c r="A518" s="4">
        <v>4.5</v>
      </c>
      <c r="B518" s="4">
        <v>1</v>
      </c>
      <c r="C518" s="4">
        <v>12</v>
      </c>
      <c r="D518" s="4">
        <v>0</v>
      </c>
      <c r="E518" s="2" t="s">
        <v>80</v>
      </c>
      <c r="F518" s="23">
        <f t="shared" si="24"/>
        <v>5.6152767122953797</v>
      </c>
      <c r="G518" s="23">
        <f t="shared" si="25"/>
        <v>-1.1152767122953797</v>
      </c>
      <c r="H518" s="23">
        <f t="shared" si="26"/>
        <v>1.2438421449883912</v>
      </c>
    </row>
    <row r="519" spans="1:8" x14ac:dyDescent="0.2">
      <c r="A519" s="4">
        <v>3</v>
      </c>
      <c r="B519" s="4">
        <v>1</v>
      </c>
      <c r="C519" s="4">
        <v>11</v>
      </c>
      <c r="D519" s="4">
        <v>0</v>
      </c>
      <c r="E519" s="2" t="s">
        <v>80</v>
      </c>
      <c r="F519" s="23">
        <f t="shared" si="24"/>
        <v>5.1473369862707647</v>
      </c>
      <c r="G519" s="23">
        <f t="shared" si="25"/>
        <v>-2.1473369862707647</v>
      </c>
      <c r="H519" s="23">
        <f t="shared" si="26"/>
        <v>4.6110561326064108</v>
      </c>
    </row>
    <row r="520" spans="1:8" x14ac:dyDescent="0.2">
      <c r="A520" s="4">
        <v>5.1100000000000003</v>
      </c>
      <c r="B520" s="4">
        <v>1</v>
      </c>
      <c r="C520" s="4">
        <v>11</v>
      </c>
      <c r="D520" s="4">
        <v>1</v>
      </c>
      <c r="E520" s="2" t="s">
        <v>80</v>
      </c>
      <c r="F520" s="23">
        <f t="shared" si="24"/>
        <v>5.9985922455032767</v>
      </c>
      <c r="G520" s="23">
        <f t="shared" si="25"/>
        <v>-0.88859224550327642</v>
      </c>
      <c r="H520" s="23">
        <f t="shared" si="26"/>
        <v>0.78959617876855503</v>
      </c>
    </row>
    <row r="521" spans="1:8" x14ac:dyDescent="0.2">
      <c r="A521" s="4">
        <v>2</v>
      </c>
      <c r="B521" s="4">
        <v>1</v>
      </c>
      <c r="C521" s="4">
        <v>9</v>
      </c>
      <c r="D521" s="4">
        <v>0</v>
      </c>
      <c r="E521" s="2" t="s">
        <v>80</v>
      </c>
      <c r="F521" s="23">
        <f t="shared" si="24"/>
        <v>4.2114575342215348</v>
      </c>
      <c r="G521" s="23">
        <f t="shared" si="25"/>
        <v>-2.2114575342215348</v>
      </c>
      <c r="H521" s="23">
        <f t="shared" si="26"/>
        <v>4.8905444256651904</v>
      </c>
    </row>
    <row r="522" spans="1:8" x14ac:dyDescent="0.2">
      <c r="A522" s="4">
        <v>3.1</v>
      </c>
      <c r="B522" s="4">
        <v>1</v>
      </c>
      <c r="C522" s="4">
        <v>11</v>
      </c>
      <c r="D522" s="4">
        <v>0</v>
      </c>
      <c r="E522" s="2" t="s">
        <v>80</v>
      </c>
      <c r="F522" s="23">
        <f t="shared" si="24"/>
        <v>5.1473369862707647</v>
      </c>
      <c r="G522" s="23">
        <f t="shared" si="25"/>
        <v>-2.0473369862707647</v>
      </c>
      <c r="H522" s="23">
        <f t="shared" si="26"/>
        <v>4.1915887353522576</v>
      </c>
    </row>
    <row r="523" spans="1:8" x14ac:dyDescent="0.2">
      <c r="A523" s="4">
        <v>5.65</v>
      </c>
      <c r="B523" s="4">
        <v>1</v>
      </c>
      <c r="C523" s="4">
        <v>12</v>
      </c>
      <c r="D523" s="4">
        <v>1</v>
      </c>
      <c r="E523" s="2" t="s">
        <v>80</v>
      </c>
      <c r="F523" s="23">
        <f t="shared" si="24"/>
        <v>6.4665319715278917</v>
      </c>
      <c r="G523" s="23">
        <f t="shared" si="25"/>
        <v>-0.81653197152789136</v>
      </c>
      <c r="H523" s="23">
        <f t="shared" si="26"/>
        <v>0.66672446052722523</v>
      </c>
    </row>
    <row r="524" spans="1:8" x14ac:dyDescent="0.2">
      <c r="A524" s="4">
        <v>2.54</v>
      </c>
      <c r="B524" s="4">
        <v>1</v>
      </c>
      <c r="C524" s="4">
        <v>9</v>
      </c>
      <c r="D524" s="4">
        <v>0</v>
      </c>
      <c r="E524" s="2" t="s">
        <v>80</v>
      </c>
      <c r="F524" s="23">
        <f t="shared" si="24"/>
        <v>4.2114575342215348</v>
      </c>
      <c r="G524" s="23">
        <f t="shared" si="25"/>
        <v>-1.6714575342215348</v>
      </c>
      <c r="H524" s="23">
        <f t="shared" si="26"/>
        <v>2.7937702887059332</v>
      </c>
    </row>
    <row r="525" spans="1:8" x14ac:dyDescent="0.2">
      <c r="A525" s="4">
        <v>2.9</v>
      </c>
      <c r="B525" s="4">
        <v>1</v>
      </c>
      <c r="C525" s="4">
        <v>11</v>
      </c>
      <c r="D525" s="4">
        <v>0</v>
      </c>
      <c r="E525" s="2" t="s">
        <v>80</v>
      </c>
      <c r="F525" s="23">
        <f t="shared" si="24"/>
        <v>5.1473369862707647</v>
      </c>
      <c r="G525" s="23">
        <f t="shared" si="25"/>
        <v>-2.2473369862707648</v>
      </c>
      <c r="H525" s="23">
        <f t="shared" si="26"/>
        <v>5.0505235298605635</v>
      </c>
    </row>
    <row r="526" spans="1:8" x14ac:dyDescent="0.2">
      <c r="A526" s="4">
        <v>2.92</v>
      </c>
      <c r="B526" s="4">
        <v>1</v>
      </c>
      <c r="C526" s="4">
        <v>11</v>
      </c>
      <c r="D526" s="4">
        <v>0</v>
      </c>
      <c r="E526" s="2" t="s">
        <v>80</v>
      </c>
      <c r="F526" s="23">
        <f t="shared" si="24"/>
        <v>5.1473369862707647</v>
      </c>
      <c r="G526" s="23">
        <f t="shared" si="25"/>
        <v>-2.2273369862707648</v>
      </c>
      <c r="H526" s="23">
        <f t="shared" si="26"/>
        <v>4.9610300504097333</v>
      </c>
    </row>
    <row r="527" spans="1:8" x14ac:dyDescent="0.2">
      <c r="A527" s="4">
        <v>3</v>
      </c>
      <c r="B527" s="4">
        <v>1</v>
      </c>
      <c r="C527" s="4">
        <v>12</v>
      </c>
      <c r="D527" s="4">
        <v>0</v>
      </c>
      <c r="E527" s="2" t="s">
        <v>80</v>
      </c>
      <c r="F527" s="23">
        <f t="shared" si="24"/>
        <v>5.6152767122953797</v>
      </c>
      <c r="G527" s="23">
        <f t="shared" si="25"/>
        <v>-2.6152767122953797</v>
      </c>
      <c r="H527" s="23">
        <f t="shared" si="26"/>
        <v>6.8396722818745301</v>
      </c>
    </row>
  </sheetData>
  <mergeCells count="1">
    <mergeCell ref="J3:L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D2DD-4E1A-2342-B61B-FA216C192A17}">
  <dimension ref="A1:V527"/>
  <sheetViews>
    <sheetView showGridLines="0" topLeftCell="H6" zoomScale="132" workbookViewId="0">
      <selection activeCell="N17" sqref="N17:V43"/>
    </sheetView>
  </sheetViews>
  <sheetFormatPr baseColWidth="10" defaultRowHeight="14" x14ac:dyDescent="0.2"/>
  <cols>
    <col min="1" max="11" width="10.83203125" style="5"/>
    <col min="12" max="12" width="12.5" bestFit="1" customWidth="1"/>
    <col min="14" max="14" width="33.6640625" bestFit="1" customWidth="1"/>
    <col min="15" max="15" width="22.6640625" bestFit="1" customWidth="1"/>
    <col min="16" max="16" width="14.83203125" bestFit="1" customWidth="1"/>
    <col min="17" max="17" width="19.83203125" bestFit="1" customWidth="1"/>
    <col min="19" max="19" width="13" bestFit="1" customWidth="1"/>
  </cols>
  <sheetData>
    <row r="1" spans="1:16" x14ac:dyDescent="0.2">
      <c r="A1" s="4" t="s">
        <v>28</v>
      </c>
      <c r="B1" s="4" t="s">
        <v>0</v>
      </c>
      <c r="C1" s="4" t="s">
        <v>1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34</v>
      </c>
      <c r="J1" s="4" t="s">
        <v>35</v>
      </c>
      <c r="K1" s="4" t="s">
        <v>40</v>
      </c>
      <c r="L1" s="15" t="s">
        <v>81</v>
      </c>
    </row>
    <row r="2" spans="1:16" x14ac:dyDescent="0.2">
      <c r="A2" s="4">
        <v>8.75</v>
      </c>
      <c r="B2" s="4">
        <v>12</v>
      </c>
      <c r="C2" s="9">
        <v>43.93</v>
      </c>
      <c r="D2" s="9">
        <v>26.78</v>
      </c>
      <c r="E2" s="4">
        <v>0</v>
      </c>
      <c r="F2" s="4">
        <v>1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2" t="s">
        <v>79</v>
      </c>
    </row>
    <row r="3" spans="1:16" x14ac:dyDescent="0.2">
      <c r="A3" s="4">
        <v>11.76</v>
      </c>
      <c r="B3" s="4">
        <v>14</v>
      </c>
      <c r="C3" s="4">
        <v>40</v>
      </c>
      <c r="D3" s="9">
        <v>26.78</v>
      </c>
      <c r="E3" s="4">
        <v>0</v>
      </c>
      <c r="F3" s="4">
        <v>1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2" t="s">
        <v>79</v>
      </c>
      <c r="N3" s="37" t="s">
        <v>63</v>
      </c>
      <c r="O3" s="37"/>
      <c r="P3" s="37"/>
    </row>
    <row r="4" spans="1:16" x14ac:dyDescent="0.2">
      <c r="A4" s="4">
        <v>2.91</v>
      </c>
      <c r="B4" s="4">
        <v>12</v>
      </c>
      <c r="C4" s="4">
        <v>20</v>
      </c>
      <c r="D4" s="9">
        <v>26.78</v>
      </c>
      <c r="E4" s="4">
        <v>1</v>
      </c>
      <c r="F4" s="4">
        <v>1</v>
      </c>
      <c r="G4" s="4">
        <v>2</v>
      </c>
      <c r="H4" s="4">
        <v>0</v>
      </c>
      <c r="I4" s="4">
        <v>0</v>
      </c>
      <c r="J4" s="4">
        <v>0</v>
      </c>
      <c r="K4" s="4">
        <v>0</v>
      </c>
      <c r="L4" s="2" t="s">
        <v>79</v>
      </c>
      <c r="N4" s="17" t="s">
        <v>64</v>
      </c>
      <c r="O4" s="3"/>
      <c r="P4" s="3"/>
    </row>
    <row r="5" spans="1:16" x14ac:dyDescent="0.2">
      <c r="A5" s="4">
        <v>6.5</v>
      </c>
      <c r="B5" s="4">
        <v>14</v>
      </c>
      <c r="C5" s="4">
        <v>41</v>
      </c>
      <c r="D5" s="9">
        <v>26.78</v>
      </c>
      <c r="E5" s="4">
        <v>0</v>
      </c>
      <c r="F5" s="4">
        <v>1</v>
      </c>
      <c r="G5" s="4">
        <v>0</v>
      </c>
      <c r="H5" s="4">
        <v>1</v>
      </c>
      <c r="I5" s="4">
        <v>0</v>
      </c>
      <c r="J5" s="4">
        <v>0</v>
      </c>
      <c r="K5" s="4">
        <v>0</v>
      </c>
      <c r="L5" s="2" t="s">
        <v>79</v>
      </c>
      <c r="N5" s="3"/>
      <c r="O5" s="3" t="s">
        <v>65</v>
      </c>
      <c r="P5" s="3"/>
    </row>
    <row r="6" spans="1:16" x14ac:dyDescent="0.2">
      <c r="A6" s="4">
        <v>6.25</v>
      </c>
      <c r="B6" s="4">
        <v>11</v>
      </c>
      <c r="C6" s="4">
        <v>35</v>
      </c>
      <c r="D6" s="9">
        <v>26.78</v>
      </c>
      <c r="E6" s="4">
        <v>0</v>
      </c>
      <c r="F6" s="4">
        <v>1</v>
      </c>
      <c r="G6" s="4">
        <v>0</v>
      </c>
      <c r="H6" s="4">
        <v>0</v>
      </c>
      <c r="I6" s="4">
        <v>1</v>
      </c>
      <c r="J6" s="4">
        <v>0</v>
      </c>
      <c r="K6" s="4">
        <v>0</v>
      </c>
      <c r="L6" s="2" t="s">
        <v>79</v>
      </c>
      <c r="N6" s="3"/>
      <c r="O6" s="3" t="s">
        <v>66</v>
      </c>
      <c r="P6" s="3"/>
    </row>
    <row r="7" spans="1:16" x14ac:dyDescent="0.2">
      <c r="A7" s="4">
        <v>15</v>
      </c>
      <c r="B7" s="4">
        <v>11</v>
      </c>
      <c r="C7" s="4">
        <v>35</v>
      </c>
      <c r="D7" s="9">
        <v>26.78</v>
      </c>
      <c r="E7" s="10">
        <v>2</v>
      </c>
      <c r="F7" s="4">
        <v>1</v>
      </c>
      <c r="G7" s="4">
        <v>0</v>
      </c>
      <c r="H7" s="4">
        <v>0</v>
      </c>
      <c r="I7" s="4">
        <v>1</v>
      </c>
      <c r="J7" s="4">
        <v>0</v>
      </c>
      <c r="K7" s="4">
        <v>0</v>
      </c>
      <c r="L7" s="2" t="s">
        <v>79</v>
      </c>
      <c r="N7" s="17" t="s">
        <v>67</v>
      </c>
      <c r="O7" s="18"/>
      <c r="P7" s="17"/>
    </row>
    <row r="8" spans="1:16" x14ac:dyDescent="0.2">
      <c r="A8" s="4">
        <v>6</v>
      </c>
      <c r="B8" s="4">
        <v>8</v>
      </c>
      <c r="C8" s="9">
        <v>43.93</v>
      </c>
      <c r="D8" s="9">
        <v>26.78</v>
      </c>
      <c r="E8" s="4">
        <v>0</v>
      </c>
      <c r="F8" s="4">
        <v>1</v>
      </c>
      <c r="G8" s="4">
        <v>0</v>
      </c>
      <c r="H8" s="4">
        <v>0</v>
      </c>
      <c r="I8" s="4">
        <v>0</v>
      </c>
      <c r="J8" s="4">
        <v>1</v>
      </c>
      <c r="K8" s="4">
        <v>0</v>
      </c>
      <c r="L8" s="2" t="s">
        <v>79</v>
      </c>
      <c r="N8" s="17"/>
      <c r="O8" s="17" t="s">
        <v>68</v>
      </c>
      <c r="P8" s="17"/>
    </row>
    <row r="9" spans="1:16" x14ac:dyDescent="0.2">
      <c r="A9" s="4">
        <v>18.16</v>
      </c>
      <c r="B9" s="4">
        <v>16</v>
      </c>
      <c r="C9" s="4">
        <v>35</v>
      </c>
      <c r="D9" s="9">
        <v>26.78</v>
      </c>
      <c r="E9" s="4">
        <v>0</v>
      </c>
      <c r="F9" s="4">
        <v>1</v>
      </c>
      <c r="G9" s="4">
        <v>1</v>
      </c>
      <c r="H9" s="4">
        <v>1</v>
      </c>
      <c r="I9" s="4">
        <v>0</v>
      </c>
      <c r="J9" s="4">
        <v>0</v>
      </c>
      <c r="K9" s="4">
        <v>0</v>
      </c>
      <c r="L9" s="2" t="s">
        <v>79</v>
      </c>
      <c r="N9" s="17"/>
      <c r="O9" s="17" t="s">
        <v>69</v>
      </c>
      <c r="P9" s="17"/>
    </row>
    <row r="10" spans="1:16" x14ac:dyDescent="0.2">
      <c r="A10" s="4">
        <v>8.5</v>
      </c>
      <c r="B10" s="4">
        <v>8</v>
      </c>
      <c r="C10" s="4">
        <v>38</v>
      </c>
      <c r="D10" s="4">
        <v>26</v>
      </c>
      <c r="E10" s="4">
        <v>0</v>
      </c>
      <c r="F10" s="4">
        <v>0</v>
      </c>
      <c r="G10" s="4">
        <v>0</v>
      </c>
      <c r="H10" s="4">
        <v>1</v>
      </c>
      <c r="I10" s="4">
        <v>0</v>
      </c>
      <c r="J10" s="4">
        <v>0</v>
      </c>
      <c r="K10" s="4">
        <v>0</v>
      </c>
      <c r="L10" s="2" t="s">
        <v>79</v>
      </c>
      <c r="N10" s="3" t="s">
        <v>70</v>
      </c>
      <c r="O10" s="3"/>
      <c r="P10" s="3"/>
    </row>
    <row r="11" spans="1:16" x14ac:dyDescent="0.2">
      <c r="A11" s="4">
        <v>3.6</v>
      </c>
      <c r="B11" s="4">
        <v>10</v>
      </c>
      <c r="C11" s="4">
        <v>34</v>
      </c>
      <c r="D11" s="4">
        <v>26</v>
      </c>
      <c r="E11" s="4">
        <v>1</v>
      </c>
      <c r="F11" s="4">
        <v>1</v>
      </c>
      <c r="G11" s="4">
        <v>0</v>
      </c>
      <c r="H11" s="4">
        <v>0</v>
      </c>
      <c r="I11" s="4">
        <v>1</v>
      </c>
      <c r="J11" s="4">
        <v>0</v>
      </c>
      <c r="K11" s="4">
        <v>0</v>
      </c>
      <c r="L11" s="2" t="s">
        <v>79</v>
      </c>
      <c r="N11" s="3" t="s">
        <v>71</v>
      </c>
      <c r="O11" s="3"/>
      <c r="P11" s="3"/>
    </row>
    <row r="12" spans="1:16" x14ac:dyDescent="0.2">
      <c r="A12" s="4">
        <v>8.33</v>
      </c>
      <c r="B12" s="4">
        <v>15</v>
      </c>
      <c r="C12" s="4">
        <v>33</v>
      </c>
      <c r="D12" s="4">
        <v>26</v>
      </c>
      <c r="E12" s="4">
        <v>0</v>
      </c>
      <c r="F12" s="4">
        <v>1</v>
      </c>
      <c r="G12" s="4">
        <v>1</v>
      </c>
      <c r="H12" s="4">
        <v>0</v>
      </c>
      <c r="I12" s="4">
        <v>0</v>
      </c>
      <c r="J12" s="4">
        <v>0</v>
      </c>
      <c r="K12" s="4">
        <v>0</v>
      </c>
      <c r="L12" s="2" t="s">
        <v>79</v>
      </c>
      <c r="N12" s="18" t="s">
        <v>72</v>
      </c>
      <c r="O12" s="3"/>
      <c r="P12" s="3"/>
    </row>
    <row r="13" spans="1:16" x14ac:dyDescent="0.2">
      <c r="A13" s="4">
        <v>4.29</v>
      </c>
      <c r="B13" s="4">
        <v>12</v>
      </c>
      <c r="C13" s="9">
        <v>43.93</v>
      </c>
      <c r="D13" s="4">
        <v>25</v>
      </c>
      <c r="E13" s="4">
        <v>1</v>
      </c>
      <c r="F13" s="4">
        <v>1</v>
      </c>
      <c r="G13" s="4">
        <v>2</v>
      </c>
      <c r="H13" s="4">
        <v>0</v>
      </c>
      <c r="I13" s="4">
        <v>1</v>
      </c>
      <c r="J13" s="4">
        <v>0</v>
      </c>
      <c r="K13" s="4">
        <v>0</v>
      </c>
      <c r="L13" s="2" t="s">
        <v>79</v>
      </c>
      <c r="N13" s="3" t="s">
        <v>73</v>
      </c>
      <c r="O13" s="3"/>
      <c r="P13" s="3"/>
    </row>
    <row r="14" spans="1:16" x14ac:dyDescent="0.2">
      <c r="A14" s="4">
        <v>4.05</v>
      </c>
      <c r="B14" s="4">
        <v>8</v>
      </c>
      <c r="C14" s="9">
        <v>43.93</v>
      </c>
      <c r="D14" s="4">
        <v>25</v>
      </c>
      <c r="E14" s="4">
        <v>0</v>
      </c>
      <c r="F14" s="4">
        <v>1</v>
      </c>
      <c r="G14" s="4">
        <v>0</v>
      </c>
      <c r="H14" s="4">
        <v>1</v>
      </c>
      <c r="I14" s="4">
        <v>0</v>
      </c>
      <c r="J14" s="4">
        <v>0</v>
      </c>
      <c r="K14" s="4">
        <v>0</v>
      </c>
      <c r="L14" s="2" t="s">
        <v>79</v>
      </c>
      <c r="N14" s="3" t="s">
        <v>74</v>
      </c>
      <c r="O14" s="3"/>
      <c r="P14" s="3"/>
    </row>
    <row r="15" spans="1:16" x14ac:dyDescent="0.2">
      <c r="A15" s="4">
        <v>18</v>
      </c>
      <c r="B15" s="4">
        <v>18</v>
      </c>
      <c r="C15" s="4">
        <v>29</v>
      </c>
      <c r="D15" s="4">
        <v>25</v>
      </c>
      <c r="E15" s="4">
        <v>0</v>
      </c>
      <c r="F15" s="4">
        <v>1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2" t="s">
        <v>79</v>
      </c>
    </row>
    <row r="16" spans="1:16" x14ac:dyDescent="0.2">
      <c r="A16" s="4">
        <v>11.25</v>
      </c>
      <c r="B16" s="4">
        <v>17</v>
      </c>
      <c r="C16" s="4">
        <v>28</v>
      </c>
      <c r="D16" s="4">
        <v>25</v>
      </c>
      <c r="E16" s="4">
        <v>0</v>
      </c>
      <c r="F16" s="4">
        <v>1</v>
      </c>
      <c r="G16" s="4">
        <v>1</v>
      </c>
      <c r="H16" s="4">
        <v>0</v>
      </c>
      <c r="I16" s="4">
        <v>1</v>
      </c>
      <c r="J16" s="4">
        <v>0</v>
      </c>
      <c r="K16" s="4">
        <v>0</v>
      </c>
      <c r="L16" s="2" t="s">
        <v>79</v>
      </c>
    </row>
    <row r="17" spans="1:22" x14ac:dyDescent="0.2">
      <c r="A17" s="4">
        <v>3.05</v>
      </c>
      <c r="B17" s="4">
        <v>8</v>
      </c>
      <c r="C17" s="9">
        <v>43.93</v>
      </c>
      <c r="D17" s="4">
        <v>24</v>
      </c>
      <c r="E17" s="4">
        <v>1</v>
      </c>
      <c r="F17" s="4">
        <v>0</v>
      </c>
      <c r="G17" s="4">
        <v>0</v>
      </c>
      <c r="H17" s="4">
        <v>0</v>
      </c>
      <c r="I17" s="4">
        <v>1</v>
      </c>
      <c r="J17" s="4">
        <v>0</v>
      </c>
      <c r="K17" s="4">
        <v>0</v>
      </c>
      <c r="L17" s="2" t="s">
        <v>79</v>
      </c>
      <c r="N17" s="3" t="s">
        <v>2</v>
      </c>
      <c r="O17" s="3"/>
      <c r="P17" s="3"/>
      <c r="Q17" s="3"/>
      <c r="R17" s="3"/>
      <c r="S17" s="3"/>
      <c r="T17" s="3"/>
      <c r="U17" s="3"/>
      <c r="V17" s="3"/>
    </row>
    <row r="18" spans="1:22" x14ac:dyDescent="0.2">
      <c r="A18" s="4">
        <v>9.85</v>
      </c>
      <c r="B18" s="4">
        <v>8</v>
      </c>
      <c r="C18" s="4">
        <v>40</v>
      </c>
      <c r="D18" s="4">
        <v>24</v>
      </c>
      <c r="E18" s="4">
        <v>0</v>
      </c>
      <c r="F18" s="4">
        <v>1</v>
      </c>
      <c r="G18" s="4">
        <v>2</v>
      </c>
      <c r="H18" s="4">
        <v>0</v>
      </c>
      <c r="I18" s="4">
        <v>0</v>
      </c>
      <c r="J18" s="4">
        <v>0</v>
      </c>
      <c r="K18" s="4">
        <v>0</v>
      </c>
      <c r="L18" s="2" t="s">
        <v>79</v>
      </c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">
      <c r="A19" s="4">
        <v>7.36</v>
      </c>
      <c r="B19" s="4">
        <v>8</v>
      </c>
      <c r="C19" s="4">
        <v>36</v>
      </c>
      <c r="D19" s="4">
        <v>24</v>
      </c>
      <c r="E19" s="4">
        <v>0</v>
      </c>
      <c r="F19" s="4">
        <v>1</v>
      </c>
      <c r="G19" s="4">
        <v>3</v>
      </c>
      <c r="H19" s="4">
        <v>1</v>
      </c>
      <c r="I19" s="4">
        <v>0</v>
      </c>
      <c r="J19" s="4">
        <v>0</v>
      </c>
      <c r="K19" s="4">
        <v>0</v>
      </c>
      <c r="L19" s="2" t="s">
        <v>79</v>
      </c>
      <c r="N19" s="34" t="s">
        <v>3</v>
      </c>
      <c r="O19" s="34"/>
      <c r="P19" s="3"/>
      <c r="Q19" s="3"/>
      <c r="R19" s="3"/>
      <c r="S19" s="3"/>
      <c r="T19" s="3"/>
      <c r="U19" s="3"/>
      <c r="V19" s="3"/>
    </row>
    <row r="20" spans="1:22" x14ac:dyDescent="0.2">
      <c r="A20" s="4">
        <v>7.5</v>
      </c>
      <c r="B20" s="4">
        <v>14</v>
      </c>
      <c r="C20" s="4">
        <v>29</v>
      </c>
      <c r="D20" s="4">
        <v>24</v>
      </c>
      <c r="E20" s="4">
        <v>0</v>
      </c>
      <c r="F20" s="4">
        <v>1</v>
      </c>
      <c r="G20" s="4">
        <v>1</v>
      </c>
      <c r="H20" s="4">
        <v>1</v>
      </c>
      <c r="I20" s="4">
        <v>0</v>
      </c>
      <c r="J20" s="4">
        <v>0</v>
      </c>
      <c r="K20" s="4">
        <v>0</v>
      </c>
      <c r="L20" s="2" t="s">
        <v>79</v>
      </c>
      <c r="N20" s="2" t="s">
        <v>4</v>
      </c>
      <c r="O20" s="2">
        <v>0.59179572294416771</v>
      </c>
      <c r="P20" s="3"/>
      <c r="Q20" s="3"/>
      <c r="R20" s="3"/>
      <c r="S20" s="3"/>
      <c r="T20" s="3"/>
      <c r="U20" s="3"/>
      <c r="V20" s="3"/>
    </row>
    <row r="21" spans="1:22" x14ac:dyDescent="0.2">
      <c r="A21" s="4">
        <v>2.95</v>
      </c>
      <c r="B21" s="4">
        <v>14</v>
      </c>
      <c r="C21" s="4">
        <v>41</v>
      </c>
      <c r="D21" s="4">
        <v>23</v>
      </c>
      <c r="E21" s="4">
        <v>0</v>
      </c>
      <c r="F21" s="4">
        <v>1</v>
      </c>
      <c r="G21" s="4">
        <v>0</v>
      </c>
      <c r="H21" s="4">
        <v>1</v>
      </c>
      <c r="I21" s="4">
        <v>0</v>
      </c>
      <c r="J21" s="4">
        <v>0</v>
      </c>
      <c r="K21" s="4">
        <v>0</v>
      </c>
      <c r="L21" s="2" t="s">
        <v>79</v>
      </c>
      <c r="N21" s="29" t="s">
        <v>5</v>
      </c>
      <c r="O21" s="29">
        <v>0.35022217769501007</v>
      </c>
      <c r="P21" s="3"/>
      <c r="Q21" s="3"/>
      <c r="R21" s="3"/>
      <c r="S21" s="3"/>
      <c r="T21" s="3"/>
      <c r="U21" s="3"/>
      <c r="V21" s="3"/>
    </row>
    <row r="22" spans="1:22" x14ac:dyDescent="0.2">
      <c r="A22" s="4">
        <v>19.98</v>
      </c>
      <c r="B22" s="4">
        <v>14</v>
      </c>
      <c r="C22" s="4">
        <v>26</v>
      </c>
      <c r="D22" s="4">
        <v>23</v>
      </c>
      <c r="E22" s="4">
        <v>0</v>
      </c>
      <c r="F22" s="4">
        <v>1</v>
      </c>
      <c r="G22" s="4">
        <v>2</v>
      </c>
      <c r="H22" s="4">
        <v>0</v>
      </c>
      <c r="I22" s="4">
        <v>0</v>
      </c>
      <c r="J22" s="4">
        <v>0</v>
      </c>
      <c r="K22" s="4">
        <v>0</v>
      </c>
      <c r="L22" s="2" t="s">
        <v>79</v>
      </c>
      <c r="N22" s="29" t="s">
        <v>6</v>
      </c>
      <c r="O22" s="29">
        <v>0.33325669930584584</v>
      </c>
      <c r="P22" s="3"/>
      <c r="Q22" s="3"/>
      <c r="R22" s="3"/>
      <c r="S22" s="3"/>
      <c r="T22" s="3"/>
      <c r="U22" s="3"/>
      <c r="V22" s="3"/>
    </row>
    <row r="23" spans="1:22" x14ac:dyDescent="0.2">
      <c r="A23" s="4">
        <v>13.16</v>
      </c>
      <c r="B23" s="4">
        <v>12</v>
      </c>
      <c r="C23" s="4">
        <v>34</v>
      </c>
      <c r="D23" s="4">
        <v>22</v>
      </c>
      <c r="E23" s="4">
        <v>0</v>
      </c>
      <c r="F23" s="4">
        <v>1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2" t="s">
        <v>79</v>
      </c>
      <c r="N23" s="2" t="s">
        <v>7</v>
      </c>
      <c r="O23" s="2">
        <v>2.9246435678910516</v>
      </c>
      <c r="P23" s="3"/>
      <c r="Q23" s="3"/>
      <c r="R23" s="3"/>
      <c r="S23" s="3"/>
      <c r="T23" s="3"/>
      <c r="U23" s="3"/>
      <c r="V23" s="3"/>
    </row>
    <row r="24" spans="1:22" x14ac:dyDescent="0.2">
      <c r="A24" s="4">
        <v>17.5</v>
      </c>
      <c r="B24" s="4">
        <v>16</v>
      </c>
      <c r="C24" s="4">
        <v>23</v>
      </c>
      <c r="D24" s="4">
        <v>22</v>
      </c>
      <c r="E24" s="4">
        <v>0</v>
      </c>
      <c r="F24" s="4">
        <v>1</v>
      </c>
      <c r="G24" s="4">
        <v>3</v>
      </c>
      <c r="H24" s="4">
        <v>0</v>
      </c>
      <c r="I24" s="4">
        <v>0</v>
      </c>
      <c r="J24" s="4">
        <v>1</v>
      </c>
      <c r="K24" s="4">
        <v>0</v>
      </c>
      <c r="L24" s="2" t="s">
        <v>79</v>
      </c>
      <c r="N24" s="2" t="s">
        <v>8</v>
      </c>
      <c r="O24" s="2">
        <v>394</v>
      </c>
      <c r="P24" s="3"/>
      <c r="Q24" s="3"/>
      <c r="R24" s="3"/>
      <c r="S24" s="3"/>
      <c r="T24" s="3"/>
      <c r="U24" s="3"/>
      <c r="V24" s="3"/>
    </row>
    <row r="25" spans="1:22" x14ac:dyDescent="0.2">
      <c r="A25" s="4">
        <v>5.15</v>
      </c>
      <c r="B25" s="4">
        <v>16</v>
      </c>
      <c r="C25" s="4">
        <v>39</v>
      </c>
      <c r="D25" s="4">
        <v>21</v>
      </c>
      <c r="E25" s="4">
        <v>1</v>
      </c>
      <c r="F25" s="4">
        <v>0</v>
      </c>
      <c r="G25" s="4">
        <v>0</v>
      </c>
      <c r="H25" s="4">
        <v>0</v>
      </c>
      <c r="I25" s="4">
        <v>0</v>
      </c>
      <c r="J25" s="4">
        <v>1</v>
      </c>
      <c r="K25" s="4">
        <v>0</v>
      </c>
      <c r="L25" s="2" t="s">
        <v>79</v>
      </c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">
      <c r="A26" s="4">
        <v>6.88</v>
      </c>
      <c r="B26" s="4">
        <v>13</v>
      </c>
      <c r="C26" s="4">
        <v>34</v>
      </c>
      <c r="D26" s="4">
        <v>21</v>
      </c>
      <c r="E26" s="4">
        <v>0</v>
      </c>
      <c r="F26" s="4">
        <v>1</v>
      </c>
      <c r="G26" s="4">
        <v>0</v>
      </c>
      <c r="H26" s="4">
        <v>0</v>
      </c>
      <c r="I26" s="4">
        <v>1</v>
      </c>
      <c r="J26" s="4">
        <v>0</v>
      </c>
      <c r="K26" s="4">
        <v>0</v>
      </c>
      <c r="L26" s="2" t="s">
        <v>79</v>
      </c>
      <c r="N26" s="38" t="s">
        <v>9</v>
      </c>
      <c r="O26" s="39"/>
      <c r="P26" s="39"/>
      <c r="Q26" s="39"/>
      <c r="R26" s="39"/>
      <c r="S26" s="40"/>
      <c r="T26" s="3"/>
      <c r="U26" s="3"/>
      <c r="V26" s="3"/>
    </row>
    <row r="27" spans="1:22" x14ac:dyDescent="0.2">
      <c r="A27" s="4">
        <v>18.18</v>
      </c>
      <c r="B27" s="4">
        <v>17</v>
      </c>
      <c r="C27" s="4">
        <v>22</v>
      </c>
      <c r="D27" s="4">
        <v>21</v>
      </c>
      <c r="E27" s="10">
        <v>2</v>
      </c>
      <c r="F27" s="4">
        <v>1</v>
      </c>
      <c r="G27" s="4">
        <v>0</v>
      </c>
      <c r="H27" s="4">
        <v>0</v>
      </c>
      <c r="I27" s="4">
        <v>0</v>
      </c>
      <c r="J27" s="4">
        <v>1</v>
      </c>
      <c r="K27" s="4">
        <v>0</v>
      </c>
      <c r="L27" s="2" t="s">
        <v>79</v>
      </c>
      <c r="N27" s="19"/>
      <c r="O27" s="19" t="s">
        <v>14</v>
      </c>
      <c r="P27" s="19" t="s">
        <v>15</v>
      </c>
      <c r="Q27" s="19" t="s">
        <v>16</v>
      </c>
      <c r="R27" s="19" t="s">
        <v>17</v>
      </c>
      <c r="S27" s="19" t="s">
        <v>18</v>
      </c>
      <c r="T27" s="3"/>
      <c r="U27" s="3"/>
      <c r="V27" s="3"/>
    </row>
    <row r="28" spans="1:22" x14ac:dyDescent="0.2">
      <c r="A28" s="4">
        <v>11.71</v>
      </c>
      <c r="B28" s="4">
        <v>13</v>
      </c>
      <c r="C28" s="4">
        <v>40</v>
      </c>
      <c r="D28" s="4">
        <v>20</v>
      </c>
      <c r="E28" s="4">
        <v>1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2" t="s">
        <v>79</v>
      </c>
      <c r="N28" s="2" t="s">
        <v>10</v>
      </c>
      <c r="O28" s="23">
        <v>10</v>
      </c>
      <c r="P28" s="23">
        <v>1765.7264574612736</v>
      </c>
      <c r="Q28" s="23">
        <v>176.57264574612736</v>
      </c>
      <c r="R28" s="23">
        <v>20.643224414979969</v>
      </c>
      <c r="S28" s="33">
        <v>1.2874119319020626E-30</v>
      </c>
      <c r="T28" s="3"/>
      <c r="U28" s="3"/>
      <c r="V28" s="3"/>
    </row>
    <row r="29" spans="1:22" x14ac:dyDescent="0.2">
      <c r="A29" s="4">
        <v>3.5</v>
      </c>
      <c r="B29" s="4">
        <v>12</v>
      </c>
      <c r="C29" s="4">
        <v>26</v>
      </c>
      <c r="D29" s="4">
        <v>20</v>
      </c>
      <c r="E29" s="4">
        <v>1</v>
      </c>
      <c r="F29" s="4">
        <v>1</v>
      </c>
      <c r="G29" s="4">
        <v>0</v>
      </c>
      <c r="H29" s="4">
        <v>0</v>
      </c>
      <c r="I29" s="4">
        <v>1</v>
      </c>
      <c r="J29" s="4">
        <v>0</v>
      </c>
      <c r="K29" s="4">
        <v>0</v>
      </c>
      <c r="L29" s="2" t="s">
        <v>79</v>
      </c>
      <c r="N29" s="2" t="s">
        <v>11</v>
      </c>
      <c r="O29" s="23">
        <v>383</v>
      </c>
      <c r="P29" s="23">
        <v>3276.005819696089</v>
      </c>
      <c r="Q29" s="23">
        <v>8.5535399992064995</v>
      </c>
      <c r="R29" s="23"/>
      <c r="S29" s="23"/>
      <c r="T29" s="3"/>
      <c r="U29" s="3"/>
      <c r="V29" s="3"/>
    </row>
    <row r="30" spans="1:22" x14ac:dyDescent="0.2">
      <c r="A30" s="4">
        <v>10.95</v>
      </c>
      <c r="B30" s="4">
        <v>16</v>
      </c>
      <c r="C30" s="4">
        <v>23</v>
      </c>
      <c r="D30" s="4">
        <v>20</v>
      </c>
      <c r="E30" s="4">
        <v>0</v>
      </c>
      <c r="F30" s="4">
        <v>1</v>
      </c>
      <c r="G30" s="4">
        <v>4</v>
      </c>
      <c r="H30" s="4">
        <v>0</v>
      </c>
      <c r="I30" s="4">
        <v>1</v>
      </c>
      <c r="J30" s="4">
        <v>0</v>
      </c>
      <c r="K30" s="4">
        <v>0</v>
      </c>
      <c r="L30" s="2" t="s">
        <v>79</v>
      </c>
      <c r="N30" s="2" t="s">
        <v>12</v>
      </c>
      <c r="O30" s="23">
        <v>393</v>
      </c>
      <c r="P30" s="23">
        <v>5041.7322771573627</v>
      </c>
      <c r="Q30" s="23"/>
      <c r="R30" s="23"/>
      <c r="S30" s="23"/>
      <c r="T30" s="3"/>
      <c r="U30" s="3"/>
      <c r="V30" s="3"/>
    </row>
    <row r="31" spans="1:22" x14ac:dyDescent="0.2">
      <c r="A31" s="4">
        <v>6.88</v>
      </c>
      <c r="B31" s="4">
        <v>12</v>
      </c>
      <c r="C31" s="4">
        <v>31</v>
      </c>
      <c r="D31" s="4">
        <v>19</v>
      </c>
      <c r="E31" s="4">
        <v>0</v>
      </c>
      <c r="F31" s="4">
        <v>1</v>
      </c>
      <c r="G31" s="4">
        <v>3</v>
      </c>
      <c r="H31" s="4">
        <v>1</v>
      </c>
      <c r="I31" s="4">
        <v>0</v>
      </c>
      <c r="J31" s="4">
        <v>0</v>
      </c>
      <c r="K31" s="4">
        <v>0</v>
      </c>
      <c r="L31" s="2" t="s">
        <v>79</v>
      </c>
      <c r="N31" s="3"/>
      <c r="O31" s="3"/>
      <c r="P31" s="3"/>
      <c r="Q31" s="3"/>
      <c r="R31" s="3"/>
      <c r="S31" s="3"/>
      <c r="T31" s="3"/>
      <c r="U31" s="3"/>
      <c r="V31" s="3"/>
    </row>
    <row r="32" spans="1:22" x14ac:dyDescent="0.2">
      <c r="A32" s="4">
        <v>4.67</v>
      </c>
      <c r="B32" s="4">
        <v>15</v>
      </c>
      <c r="C32" s="4">
        <v>13</v>
      </c>
      <c r="D32" s="4">
        <v>18</v>
      </c>
      <c r="E32" s="4">
        <v>0</v>
      </c>
      <c r="F32" s="4">
        <v>1</v>
      </c>
      <c r="G32" s="4">
        <v>3</v>
      </c>
      <c r="H32" s="4">
        <v>0</v>
      </c>
      <c r="I32" s="4">
        <v>0</v>
      </c>
      <c r="J32" s="4">
        <v>1</v>
      </c>
      <c r="K32" s="4">
        <v>1</v>
      </c>
      <c r="L32" s="2" t="s">
        <v>79</v>
      </c>
      <c r="N32" s="19"/>
      <c r="O32" s="31" t="s">
        <v>19</v>
      </c>
      <c r="P32" s="19" t="s">
        <v>7</v>
      </c>
      <c r="Q32" s="19" t="s">
        <v>20</v>
      </c>
      <c r="R32" s="31" t="s">
        <v>21</v>
      </c>
      <c r="S32" s="19" t="s">
        <v>22</v>
      </c>
      <c r="T32" s="19" t="s">
        <v>23</v>
      </c>
      <c r="U32" s="19" t="s">
        <v>24</v>
      </c>
      <c r="V32" s="19" t="s">
        <v>25</v>
      </c>
    </row>
    <row r="33" spans="1:22" x14ac:dyDescent="0.2">
      <c r="A33" s="4">
        <v>4.08</v>
      </c>
      <c r="B33" s="4">
        <v>12</v>
      </c>
      <c r="C33" s="4">
        <v>43</v>
      </c>
      <c r="D33" s="4">
        <v>17</v>
      </c>
      <c r="E33" s="10">
        <v>2</v>
      </c>
      <c r="F33" s="4">
        <v>1</v>
      </c>
      <c r="G33" s="4">
        <v>0</v>
      </c>
      <c r="H33" s="4">
        <v>1</v>
      </c>
      <c r="I33" s="4">
        <v>0</v>
      </c>
      <c r="J33" s="4">
        <v>0</v>
      </c>
      <c r="K33" s="4">
        <v>0</v>
      </c>
      <c r="L33" s="2" t="s">
        <v>79</v>
      </c>
      <c r="N33" s="2" t="s">
        <v>13</v>
      </c>
      <c r="O33" s="32">
        <v>-1.2299440397403842</v>
      </c>
      <c r="P33" s="25">
        <v>0.96182923820464705</v>
      </c>
      <c r="Q33" s="25">
        <v>-1.2787550959005998</v>
      </c>
      <c r="R33" s="30">
        <v>0.20175759704040322</v>
      </c>
      <c r="S33" s="25">
        <v>-3.1210707496762597</v>
      </c>
      <c r="T33" s="25">
        <v>0.66118267019549126</v>
      </c>
      <c r="U33" s="25">
        <v>-3.1210707496762597</v>
      </c>
      <c r="V33" s="25">
        <v>0.66118267019549126</v>
      </c>
    </row>
    <row r="34" spans="1:22" x14ac:dyDescent="0.2">
      <c r="A34" s="4">
        <v>6.26</v>
      </c>
      <c r="B34" s="4">
        <v>13</v>
      </c>
      <c r="C34" s="4">
        <v>37</v>
      </c>
      <c r="D34" s="4">
        <v>17</v>
      </c>
      <c r="E34" s="4">
        <v>1</v>
      </c>
      <c r="F34" s="4">
        <v>1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2" t="s">
        <v>79</v>
      </c>
      <c r="N34" s="2" t="s">
        <v>0</v>
      </c>
      <c r="O34" s="32">
        <v>0.52042690476366205</v>
      </c>
      <c r="P34" s="25">
        <v>6.1296120248238203E-2</v>
      </c>
      <c r="Q34" s="25">
        <v>8.4903726802940742</v>
      </c>
      <c r="R34" s="30">
        <v>4.5915923619302471E-16</v>
      </c>
      <c r="S34" s="25">
        <v>0.39990787122579757</v>
      </c>
      <c r="T34" s="25">
        <v>0.64094593830152657</v>
      </c>
      <c r="U34" s="25">
        <v>0.39990787122579757</v>
      </c>
      <c r="V34" s="25">
        <v>0.64094593830152657</v>
      </c>
    </row>
    <row r="35" spans="1:22" x14ac:dyDescent="0.2">
      <c r="A35" s="4">
        <v>4.95</v>
      </c>
      <c r="B35" s="4">
        <v>7</v>
      </c>
      <c r="C35" s="4">
        <v>25</v>
      </c>
      <c r="D35" s="4">
        <v>17</v>
      </c>
      <c r="E35" s="4">
        <v>0</v>
      </c>
      <c r="F35" s="4">
        <v>1</v>
      </c>
      <c r="G35" s="4">
        <v>5</v>
      </c>
      <c r="H35" s="4">
        <v>0</v>
      </c>
      <c r="I35" s="4">
        <v>0</v>
      </c>
      <c r="J35" s="4">
        <v>0</v>
      </c>
      <c r="K35" s="4">
        <v>1</v>
      </c>
      <c r="L35" s="2" t="s">
        <v>79</v>
      </c>
      <c r="N35" s="2" t="s">
        <v>1</v>
      </c>
      <c r="O35" s="32">
        <v>2.0978696185097654E-2</v>
      </c>
      <c r="P35" s="25">
        <v>1.4471222329394543E-2</v>
      </c>
      <c r="Q35" s="25">
        <v>1.449683772910106</v>
      </c>
      <c r="R35" s="35">
        <v>0.14796505958344142</v>
      </c>
      <c r="S35" s="25">
        <v>-7.4742910869690926E-3</v>
      </c>
      <c r="T35" s="25">
        <v>4.9431683457164401E-2</v>
      </c>
      <c r="U35" s="25">
        <v>-7.4742910869690926E-3</v>
      </c>
      <c r="V35" s="25">
        <v>4.9431683457164401E-2</v>
      </c>
    </row>
    <row r="36" spans="1:22" x14ac:dyDescent="0.2">
      <c r="A36" s="4">
        <v>13.95</v>
      </c>
      <c r="B36" s="4">
        <v>16</v>
      </c>
      <c r="C36" s="4">
        <v>41</v>
      </c>
      <c r="D36" s="4">
        <v>16</v>
      </c>
      <c r="E36" s="4">
        <v>0</v>
      </c>
      <c r="F36" s="4">
        <v>1</v>
      </c>
      <c r="G36" s="4">
        <v>0</v>
      </c>
      <c r="H36" s="4">
        <v>1</v>
      </c>
      <c r="I36" s="4">
        <v>0</v>
      </c>
      <c r="J36" s="4">
        <v>0</v>
      </c>
      <c r="K36" s="4">
        <v>0</v>
      </c>
      <c r="L36" s="2" t="s">
        <v>79</v>
      </c>
      <c r="N36" s="2" t="s">
        <v>49</v>
      </c>
      <c r="O36" s="32">
        <v>0.14257716244107607</v>
      </c>
      <c r="P36" s="25">
        <v>2.5908273751823703E-2</v>
      </c>
      <c r="Q36" s="25">
        <v>5.5031517656030617</v>
      </c>
      <c r="R36" s="30">
        <v>6.8413038631969757E-8</v>
      </c>
      <c r="S36" s="25">
        <v>9.1636905528258469E-2</v>
      </c>
      <c r="T36" s="25">
        <v>0.19351741935389366</v>
      </c>
      <c r="U36" s="25">
        <v>9.1636905528258469E-2</v>
      </c>
      <c r="V36" s="25">
        <v>0.19351741935389366</v>
      </c>
    </row>
    <row r="37" spans="1:22" x14ac:dyDescent="0.2">
      <c r="A37" s="4">
        <v>4.2</v>
      </c>
      <c r="B37" s="4">
        <v>14</v>
      </c>
      <c r="C37" s="4">
        <v>33</v>
      </c>
      <c r="D37" s="4">
        <v>16</v>
      </c>
      <c r="E37" s="4">
        <v>1</v>
      </c>
      <c r="F37" s="4">
        <v>1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2" t="s">
        <v>79</v>
      </c>
      <c r="N37" s="2" t="s">
        <v>50</v>
      </c>
      <c r="O37" s="32">
        <v>-1.2001292077916825</v>
      </c>
      <c r="P37" s="25">
        <v>0.26257516529856151</v>
      </c>
      <c r="Q37" s="25">
        <v>-4.5706120242829273</v>
      </c>
      <c r="R37" s="30">
        <v>6.5709368486737629E-6</v>
      </c>
      <c r="S37" s="25">
        <v>-1.7163985087632594</v>
      </c>
      <c r="T37" s="25">
        <v>-0.68385990682010578</v>
      </c>
      <c r="U37" s="25">
        <v>-1.7163985087632594</v>
      </c>
      <c r="V37" s="25">
        <v>-0.68385990682010578</v>
      </c>
    </row>
    <row r="38" spans="1:22" x14ac:dyDescent="0.2">
      <c r="A38" s="4">
        <v>18</v>
      </c>
      <c r="B38" s="4">
        <v>12</v>
      </c>
      <c r="C38" s="4">
        <v>24</v>
      </c>
      <c r="D38" s="4">
        <v>16</v>
      </c>
      <c r="E38" s="4">
        <v>0</v>
      </c>
      <c r="F38" s="4">
        <v>1</v>
      </c>
      <c r="G38" s="4">
        <v>3</v>
      </c>
      <c r="H38" s="4">
        <v>1</v>
      </c>
      <c r="I38" s="4">
        <v>0</v>
      </c>
      <c r="J38" s="4">
        <v>0</v>
      </c>
      <c r="K38" s="4">
        <v>0</v>
      </c>
      <c r="L38" s="2" t="s">
        <v>79</v>
      </c>
      <c r="N38" s="2" t="s">
        <v>51</v>
      </c>
      <c r="O38" s="32">
        <v>0.45058634230923233</v>
      </c>
      <c r="P38" s="25">
        <v>0.34657801718244435</v>
      </c>
      <c r="Q38" s="25">
        <v>1.3001007564540261</v>
      </c>
      <c r="R38" s="35">
        <v>0.19434828048288544</v>
      </c>
      <c r="S38" s="25">
        <v>-0.23084745002770002</v>
      </c>
      <c r="T38" s="25">
        <v>1.1320201346461647</v>
      </c>
      <c r="U38" s="25">
        <v>-0.23084745002770002</v>
      </c>
      <c r="V38" s="25">
        <v>1.1320201346461647</v>
      </c>
    </row>
    <row r="39" spans="1:22" x14ac:dyDescent="0.2">
      <c r="A39" s="4">
        <v>3.51</v>
      </c>
      <c r="B39" s="4">
        <v>4</v>
      </c>
      <c r="C39" s="4">
        <v>39</v>
      </c>
      <c r="D39" s="4">
        <v>15</v>
      </c>
      <c r="E39" s="4">
        <v>0</v>
      </c>
      <c r="F39" s="4">
        <v>1</v>
      </c>
      <c r="G39" s="4">
        <v>5</v>
      </c>
      <c r="H39" s="4">
        <v>0</v>
      </c>
      <c r="I39" s="4">
        <v>0</v>
      </c>
      <c r="J39" s="4">
        <v>1</v>
      </c>
      <c r="K39" s="4">
        <v>0</v>
      </c>
      <c r="L39" s="2" t="s">
        <v>79</v>
      </c>
      <c r="N39" s="2" t="s">
        <v>52</v>
      </c>
      <c r="O39" s="32">
        <v>6.3354979398223571E-2</v>
      </c>
      <c r="P39" s="25">
        <v>0.12924645723429801</v>
      </c>
      <c r="Q39" s="25">
        <v>0.49018735796659901</v>
      </c>
      <c r="R39" s="35">
        <v>0.62428200691980984</v>
      </c>
      <c r="S39" s="25">
        <v>-0.19076645685235608</v>
      </c>
      <c r="T39" s="25">
        <v>0.31747641564880325</v>
      </c>
      <c r="U39" s="25">
        <v>-0.19076645685235608</v>
      </c>
      <c r="V39" s="25">
        <v>0.31747641564880325</v>
      </c>
    </row>
    <row r="40" spans="1:22" x14ac:dyDescent="0.2">
      <c r="A40" s="4">
        <v>5.83</v>
      </c>
      <c r="B40" s="4">
        <v>8</v>
      </c>
      <c r="C40" s="4">
        <v>36</v>
      </c>
      <c r="D40" s="4">
        <v>15</v>
      </c>
      <c r="E40" s="4">
        <v>1</v>
      </c>
      <c r="F40" s="4">
        <v>1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2" t="s">
        <v>79</v>
      </c>
      <c r="N40" s="2" t="s">
        <v>53</v>
      </c>
      <c r="O40" s="32">
        <v>-0.50830654064975234</v>
      </c>
      <c r="P40" s="25">
        <v>0.42431469172689146</v>
      </c>
      <c r="Q40" s="25">
        <v>-1.1979470674961259</v>
      </c>
      <c r="R40" s="35">
        <v>0.2316784284889371</v>
      </c>
      <c r="S40" s="25">
        <v>-1.342584409391562</v>
      </c>
      <c r="T40" s="25">
        <v>0.32597132809205742</v>
      </c>
      <c r="U40" s="25">
        <v>-1.342584409391562</v>
      </c>
      <c r="V40" s="25">
        <v>0.32597132809205742</v>
      </c>
    </row>
    <row r="41" spans="1:22" x14ac:dyDescent="0.2">
      <c r="A41" s="4">
        <v>2.14</v>
      </c>
      <c r="B41" s="4">
        <v>13</v>
      </c>
      <c r="C41" s="4">
        <v>34</v>
      </c>
      <c r="D41" s="4">
        <v>15</v>
      </c>
      <c r="E41" s="4">
        <v>1</v>
      </c>
      <c r="F41" s="4">
        <v>1</v>
      </c>
      <c r="G41" s="4">
        <v>0</v>
      </c>
      <c r="H41" s="4">
        <v>0</v>
      </c>
      <c r="I41" s="4">
        <v>1</v>
      </c>
      <c r="J41" s="4">
        <v>0</v>
      </c>
      <c r="K41" s="4">
        <v>0</v>
      </c>
      <c r="L41" s="2" t="s">
        <v>79</v>
      </c>
      <c r="N41" s="2" t="s">
        <v>34</v>
      </c>
      <c r="O41" s="32">
        <v>-0.5702095380640424</v>
      </c>
      <c r="P41" s="25">
        <v>0.40159828488269039</v>
      </c>
      <c r="Q41" s="25">
        <v>-1.4198505310614176</v>
      </c>
      <c r="R41" s="35">
        <v>0.15646463426967261</v>
      </c>
      <c r="S41" s="25">
        <v>-1.3598229258039778</v>
      </c>
      <c r="T41" s="25">
        <v>0.21940384967589299</v>
      </c>
      <c r="U41" s="25">
        <v>-1.3598229258039778</v>
      </c>
      <c r="V41" s="25">
        <v>0.21940384967589299</v>
      </c>
    </row>
    <row r="42" spans="1:22" x14ac:dyDescent="0.2">
      <c r="A42" s="4">
        <v>18</v>
      </c>
      <c r="B42" s="4">
        <v>12</v>
      </c>
      <c r="C42" s="4">
        <v>31</v>
      </c>
      <c r="D42" s="4">
        <v>15</v>
      </c>
      <c r="E42" s="4">
        <v>0</v>
      </c>
      <c r="F42" s="4">
        <v>1</v>
      </c>
      <c r="G42" s="4">
        <v>1</v>
      </c>
      <c r="H42" s="4">
        <v>0</v>
      </c>
      <c r="I42" s="4">
        <v>0</v>
      </c>
      <c r="J42" s="4">
        <v>1</v>
      </c>
      <c r="K42" s="4">
        <v>0</v>
      </c>
      <c r="L42" s="2" t="s">
        <v>79</v>
      </c>
      <c r="N42" s="2" t="s">
        <v>35</v>
      </c>
      <c r="O42" s="32">
        <v>0.73505265942876385</v>
      </c>
      <c r="P42" s="25">
        <v>0.47577814579709082</v>
      </c>
      <c r="Q42" s="25">
        <v>1.5449483460348934</v>
      </c>
      <c r="R42" s="35">
        <v>0.12318459753819533</v>
      </c>
      <c r="S42" s="25">
        <v>-0.20041147888349198</v>
      </c>
      <c r="T42" s="25">
        <v>1.6705167977410196</v>
      </c>
      <c r="U42" s="25">
        <v>-0.20041147888349198</v>
      </c>
      <c r="V42" s="25">
        <v>1.6705167977410196</v>
      </c>
    </row>
    <row r="43" spans="1:22" x14ac:dyDescent="0.2">
      <c r="A43" s="4">
        <v>4.5</v>
      </c>
      <c r="B43" s="4">
        <v>12</v>
      </c>
      <c r="C43" s="4">
        <v>37</v>
      </c>
      <c r="D43" s="4">
        <v>14</v>
      </c>
      <c r="E43" s="4">
        <v>1</v>
      </c>
      <c r="F43" s="4">
        <v>1</v>
      </c>
      <c r="G43" s="4">
        <v>0</v>
      </c>
      <c r="H43" s="4">
        <v>0</v>
      </c>
      <c r="I43" s="4">
        <v>0</v>
      </c>
      <c r="J43" s="4">
        <v>1</v>
      </c>
      <c r="K43" s="4">
        <v>0</v>
      </c>
      <c r="L43" s="2" t="s">
        <v>79</v>
      </c>
      <c r="N43" s="2" t="s">
        <v>40</v>
      </c>
      <c r="O43" s="32">
        <v>0.974549362245131</v>
      </c>
      <c r="P43" s="25">
        <v>0.77828216378591986</v>
      </c>
      <c r="Q43" s="25">
        <v>1.2521800030781611</v>
      </c>
      <c r="R43" s="35">
        <v>0.21126838910297205</v>
      </c>
      <c r="S43" s="25">
        <v>-0.5556912764669576</v>
      </c>
      <c r="T43" s="25">
        <v>2.5047900009572195</v>
      </c>
      <c r="U43" s="25">
        <v>-0.5556912764669576</v>
      </c>
      <c r="V43" s="25">
        <v>2.5047900009572195</v>
      </c>
    </row>
    <row r="44" spans="1:22" x14ac:dyDescent="0.2">
      <c r="A44" s="4">
        <v>6.5</v>
      </c>
      <c r="B44" s="4">
        <v>12</v>
      </c>
      <c r="C44" s="4">
        <v>20</v>
      </c>
      <c r="D44" s="4">
        <v>14</v>
      </c>
      <c r="E44" s="4">
        <v>0</v>
      </c>
      <c r="F44" s="4">
        <v>1</v>
      </c>
      <c r="G44" s="4">
        <v>3</v>
      </c>
      <c r="H44" s="4">
        <v>0</v>
      </c>
      <c r="I44" s="4">
        <v>0</v>
      </c>
      <c r="J44" s="4">
        <v>1</v>
      </c>
      <c r="K44" s="4">
        <v>0</v>
      </c>
      <c r="L44" s="2" t="s">
        <v>79</v>
      </c>
      <c r="N44" s="3"/>
      <c r="O44" s="3"/>
      <c r="P44" s="3"/>
      <c r="Q44" s="3"/>
      <c r="R44" s="3"/>
      <c r="S44" s="3"/>
      <c r="T44" s="3"/>
      <c r="U44" s="3"/>
      <c r="V44" s="3"/>
    </row>
    <row r="45" spans="1:22" x14ac:dyDescent="0.2">
      <c r="A45" s="4">
        <v>11.82</v>
      </c>
      <c r="B45" s="4">
        <v>16</v>
      </c>
      <c r="C45" s="4">
        <v>35</v>
      </c>
      <c r="D45" s="4">
        <v>13</v>
      </c>
      <c r="E45" s="4">
        <v>0</v>
      </c>
      <c r="F45" s="4">
        <v>1</v>
      </c>
      <c r="G45" s="4">
        <v>0</v>
      </c>
      <c r="H45" s="4">
        <v>0</v>
      </c>
      <c r="I45" s="4">
        <v>0</v>
      </c>
      <c r="J45" s="4">
        <v>1</v>
      </c>
      <c r="K45" s="4">
        <v>0</v>
      </c>
      <c r="L45" s="2" t="s">
        <v>79</v>
      </c>
      <c r="N45" s="3"/>
      <c r="O45" s="3"/>
      <c r="P45" s="3"/>
      <c r="Q45" s="3"/>
      <c r="R45" s="3"/>
      <c r="S45" s="3"/>
      <c r="T45" s="3"/>
      <c r="U45" s="3"/>
      <c r="V45" s="3"/>
    </row>
    <row r="46" spans="1:22" x14ac:dyDescent="0.2">
      <c r="A46" s="4">
        <v>3.29</v>
      </c>
      <c r="B46" s="4">
        <v>14</v>
      </c>
      <c r="C46" s="4">
        <v>30</v>
      </c>
      <c r="D46" s="4">
        <v>13</v>
      </c>
      <c r="E46" s="4">
        <v>0</v>
      </c>
      <c r="F46" s="4">
        <v>0</v>
      </c>
      <c r="G46" s="4">
        <v>0</v>
      </c>
      <c r="H46" s="4">
        <v>1</v>
      </c>
      <c r="I46" s="4">
        <v>0</v>
      </c>
      <c r="J46" s="4">
        <v>0</v>
      </c>
      <c r="K46" s="4">
        <v>0</v>
      </c>
      <c r="L46" s="2" t="s">
        <v>79</v>
      </c>
      <c r="N46" s="3"/>
      <c r="O46" s="3"/>
      <c r="P46" s="3"/>
      <c r="Q46" s="3"/>
      <c r="R46" s="3"/>
      <c r="S46" s="3"/>
      <c r="T46" s="3"/>
      <c r="U46" s="3"/>
      <c r="V46" s="3"/>
    </row>
    <row r="47" spans="1:22" x14ac:dyDescent="0.2">
      <c r="A47" s="4">
        <v>8.48</v>
      </c>
      <c r="B47" s="4">
        <v>12</v>
      </c>
      <c r="C47" s="4">
        <v>29</v>
      </c>
      <c r="D47" s="4">
        <v>13</v>
      </c>
      <c r="E47" s="4">
        <v>0</v>
      </c>
      <c r="F47" s="4">
        <v>1</v>
      </c>
      <c r="G47" s="4">
        <v>3</v>
      </c>
      <c r="H47" s="4">
        <v>0</v>
      </c>
      <c r="I47" s="4">
        <v>0</v>
      </c>
      <c r="J47" s="4">
        <v>1</v>
      </c>
      <c r="K47" s="4">
        <v>0</v>
      </c>
      <c r="L47" s="2" t="s">
        <v>79</v>
      </c>
    </row>
    <row r="48" spans="1:22" x14ac:dyDescent="0.2">
      <c r="A48" s="4">
        <v>6</v>
      </c>
      <c r="B48" s="4">
        <v>13</v>
      </c>
      <c r="C48" s="4">
        <v>21</v>
      </c>
      <c r="D48" s="4">
        <v>13</v>
      </c>
      <c r="E48" s="4">
        <v>0</v>
      </c>
      <c r="F48" s="4">
        <v>1</v>
      </c>
      <c r="G48" s="4">
        <v>4</v>
      </c>
      <c r="H48" s="4">
        <v>0</v>
      </c>
      <c r="I48" s="4">
        <v>1</v>
      </c>
      <c r="J48" s="4">
        <v>0</v>
      </c>
      <c r="K48" s="4">
        <v>0</v>
      </c>
      <c r="L48" s="2" t="s">
        <v>79</v>
      </c>
    </row>
    <row r="49" spans="1:12" x14ac:dyDescent="0.2">
      <c r="A49" s="4">
        <v>13.7</v>
      </c>
      <c r="B49" s="4">
        <v>15</v>
      </c>
      <c r="C49" s="4">
        <v>20</v>
      </c>
      <c r="D49" s="4">
        <v>13</v>
      </c>
      <c r="E49" s="4">
        <v>0</v>
      </c>
      <c r="F49" s="4">
        <v>1</v>
      </c>
      <c r="G49" s="4">
        <v>2</v>
      </c>
      <c r="H49" s="4">
        <v>0</v>
      </c>
      <c r="I49" s="4">
        <v>0</v>
      </c>
      <c r="J49" s="4">
        <v>1</v>
      </c>
      <c r="K49" s="4">
        <v>0</v>
      </c>
      <c r="L49" s="2" t="s">
        <v>79</v>
      </c>
    </row>
    <row r="50" spans="1:12" x14ac:dyDescent="0.2">
      <c r="A50" s="4">
        <v>4</v>
      </c>
      <c r="B50" s="4">
        <v>11</v>
      </c>
      <c r="C50" s="9">
        <v>43.93</v>
      </c>
      <c r="D50" s="4">
        <v>12</v>
      </c>
      <c r="E50" s="4">
        <v>1</v>
      </c>
      <c r="F50" s="4">
        <v>1</v>
      </c>
      <c r="G50" s="4">
        <v>0</v>
      </c>
      <c r="H50" s="4">
        <v>0</v>
      </c>
      <c r="I50" s="4">
        <v>0</v>
      </c>
      <c r="J50" s="4">
        <v>1</v>
      </c>
      <c r="K50" s="4">
        <v>0</v>
      </c>
      <c r="L50" s="2" t="s">
        <v>79</v>
      </c>
    </row>
    <row r="51" spans="1:12" x14ac:dyDescent="0.2">
      <c r="A51" s="4">
        <v>4.5</v>
      </c>
      <c r="B51" s="4">
        <v>12</v>
      </c>
      <c r="C51" s="4">
        <v>35</v>
      </c>
      <c r="D51" s="4">
        <v>12</v>
      </c>
      <c r="E51" s="4">
        <v>1</v>
      </c>
      <c r="F51" s="4">
        <v>1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2" t="s">
        <v>79</v>
      </c>
    </row>
    <row r="52" spans="1:12" x14ac:dyDescent="0.2">
      <c r="A52" s="4">
        <v>6.15</v>
      </c>
      <c r="B52" s="4">
        <v>12</v>
      </c>
      <c r="C52" s="4">
        <v>35</v>
      </c>
      <c r="D52" s="4">
        <v>12</v>
      </c>
      <c r="E52" s="4">
        <v>1</v>
      </c>
      <c r="F52" s="4">
        <v>0</v>
      </c>
      <c r="G52" s="4">
        <v>0</v>
      </c>
      <c r="H52" s="4">
        <v>1</v>
      </c>
      <c r="I52" s="4">
        <v>0</v>
      </c>
      <c r="J52" s="4">
        <v>0</v>
      </c>
      <c r="K52" s="4">
        <v>0</v>
      </c>
      <c r="L52" s="2" t="s">
        <v>79</v>
      </c>
    </row>
    <row r="53" spans="1:12" x14ac:dyDescent="0.2">
      <c r="A53" s="4">
        <v>3</v>
      </c>
      <c r="B53" s="4">
        <v>8</v>
      </c>
      <c r="C53" s="4">
        <v>33</v>
      </c>
      <c r="D53" s="4">
        <v>12</v>
      </c>
      <c r="E53" s="4">
        <v>1</v>
      </c>
      <c r="F53" s="4">
        <v>1</v>
      </c>
      <c r="G53" s="4">
        <v>3</v>
      </c>
      <c r="H53" s="4">
        <v>0</v>
      </c>
      <c r="I53" s="4">
        <v>1</v>
      </c>
      <c r="J53" s="4">
        <v>0</v>
      </c>
      <c r="K53" s="4">
        <v>0</v>
      </c>
      <c r="L53" s="2" t="s">
        <v>79</v>
      </c>
    </row>
    <row r="54" spans="1:12" x14ac:dyDescent="0.2">
      <c r="A54" s="4">
        <v>9.1300000000000008</v>
      </c>
      <c r="B54" s="4">
        <v>12</v>
      </c>
      <c r="C54" s="4">
        <v>14</v>
      </c>
      <c r="D54" s="4">
        <v>12</v>
      </c>
      <c r="E54" s="4">
        <v>0</v>
      </c>
      <c r="F54" s="4">
        <v>1</v>
      </c>
      <c r="G54" s="4">
        <v>3</v>
      </c>
      <c r="H54" s="4">
        <v>0</v>
      </c>
      <c r="I54" s="4">
        <v>1</v>
      </c>
      <c r="J54" s="4">
        <v>0</v>
      </c>
      <c r="K54" s="4">
        <v>0</v>
      </c>
      <c r="L54" s="2" t="s">
        <v>79</v>
      </c>
    </row>
    <row r="55" spans="1:12" x14ac:dyDescent="0.2">
      <c r="A55" s="4">
        <v>9.09</v>
      </c>
      <c r="B55" s="4">
        <v>15</v>
      </c>
      <c r="C55" s="4">
        <v>11</v>
      </c>
      <c r="D55" s="4">
        <v>12</v>
      </c>
      <c r="E55" s="4">
        <v>0</v>
      </c>
      <c r="F55" s="4">
        <v>1</v>
      </c>
      <c r="G55" s="4">
        <v>1</v>
      </c>
      <c r="H55" s="4">
        <v>0</v>
      </c>
      <c r="I55" s="4">
        <v>0</v>
      </c>
      <c r="J55" s="4">
        <v>1</v>
      </c>
      <c r="K55" s="4">
        <v>0</v>
      </c>
      <c r="L55" s="2" t="s">
        <v>79</v>
      </c>
    </row>
    <row r="56" spans="1:12" x14ac:dyDescent="0.2">
      <c r="A56" s="4">
        <v>4.4400000000000004</v>
      </c>
      <c r="B56" s="4">
        <v>8</v>
      </c>
      <c r="C56" s="4">
        <v>29</v>
      </c>
      <c r="D56" s="4">
        <v>11</v>
      </c>
      <c r="E56" s="4">
        <v>0</v>
      </c>
      <c r="F56" s="4">
        <v>1</v>
      </c>
      <c r="G56" s="4">
        <v>3</v>
      </c>
      <c r="H56" s="4">
        <v>0</v>
      </c>
      <c r="I56" s="4">
        <v>1</v>
      </c>
      <c r="J56" s="4">
        <v>0</v>
      </c>
      <c r="K56" s="4">
        <v>0</v>
      </c>
      <c r="L56" s="2" t="s">
        <v>79</v>
      </c>
    </row>
    <row r="57" spans="1:12" x14ac:dyDescent="0.2">
      <c r="A57" s="4">
        <v>6.5</v>
      </c>
      <c r="B57" s="4">
        <v>10</v>
      </c>
      <c r="C57" s="4">
        <v>14</v>
      </c>
      <c r="D57" s="4">
        <v>11</v>
      </c>
      <c r="E57" s="4">
        <v>0</v>
      </c>
      <c r="F57" s="4">
        <v>1</v>
      </c>
      <c r="G57" s="4">
        <v>3</v>
      </c>
      <c r="H57" s="4">
        <v>0</v>
      </c>
      <c r="I57" s="4">
        <v>1</v>
      </c>
      <c r="J57" s="4">
        <v>0</v>
      </c>
      <c r="K57" s="4">
        <v>0</v>
      </c>
      <c r="L57" s="2" t="s">
        <v>79</v>
      </c>
    </row>
    <row r="58" spans="1:12" x14ac:dyDescent="0.2">
      <c r="A58" s="4">
        <v>5</v>
      </c>
      <c r="B58" s="4">
        <v>12</v>
      </c>
      <c r="C58" s="4">
        <v>14</v>
      </c>
      <c r="D58" s="4">
        <v>11</v>
      </c>
      <c r="E58" s="4">
        <v>1</v>
      </c>
      <c r="F58" s="4">
        <v>0</v>
      </c>
      <c r="G58" s="4">
        <v>0</v>
      </c>
      <c r="H58" s="4">
        <v>1</v>
      </c>
      <c r="I58" s="4">
        <v>0</v>
      </c>
      <c r="J58" s="4">
        <v>0</v>
      </c>
      <c r="K58" s="4">
        <v>0</v>
      </c>
      <c r="L58" s="2" t="s">
        <v>79</v>
      </c>
    </row>
    <row r="59" spans="1:12" x14ac:dyDescent="0.2">
      <c r="A59" s="4">
        <v>13.33</v>
      </c>
      <c r="B59" s="4">
        <v>12</v>
      </c>
      <c r="C59" s="4">
        <v>14</v>
      </c>
      <c r="D59" s="4">
        <v>11</v>
      </c>
      <c r="E59" s="4">
        <v>0</v>
      </c>
      <c r="F59" s="4">
        <v>1</v>
      </c>
      <c r="G59" s="4">
        <v>2</v>
      </c>
      <c r="H59" s="4">
        <v>0</v>
      </c>
      <c r="I59" s="4">
        <v>0</v>
      </c>
      <c r="J59" s="4">
        <v>0</v>
      </c>
      <c r="K59" s="4">
        <v>0</v>
      </c>
      <c r="L59" s="2" t="s">
        <v>79</v>
      </c>
    </row>
    <row r="60" spans="1:12" x14ac:dyDescent="0.2">
      <c r="A60" s="4">
        <v>5.25</v>
      </c>
      <c r="B60" s="4">
        <v>11</v>
      </c>
      <c r="C60" s="4">
        <v>13</v>
      </c>
      <c r="D60" s="4">
        <v>11</v>
      </c>
      <c r="E60" s="4">
        <v>0</v>
      </c>
      <c r="F60" s="4">
        <v>1</v>
      </c>
      <c r="G60" s="4">
        <v>2</v>
      </c>
      <c r="H60" s="4">
        <v>0</v>
      </c>
      <c r="I60" s="4">
        <v>1</v>
      </c>
      <c r="J60" s="4">
        <v>0</v>
      </c>
      <c r="K60" s="4">
        <v>0</v>
      </c>
      <c r="L60" s="2" t="s">
        <v>79</v>
      </c>
    </row>
    <row r="61" spans="1:12" x14ac:dyDescent="0.2">
      <c r="A61" s="4">
        <v>2.65</v>
      </c>
      <c r="B61" s="4">
        <v>12</v>
      </c>
      <c r="C61" s="4">
        <v>42</v>
      </c>
      <c r="D61" s="4">
        <v>10</v>
      </c>
      <c r="E61" s="4">
        <v>1</v>
      </c>
      <c r="F61" s="4">
        <v>1</v>
      </c>
      <c r="G61" s="4">
        <v>0</v>
      </c>
      <c r="H61" s="4">
        <v>0</v>
      </c>
      <c r="I61" s="4">
        <v>0</v>
      </c>
      <c r="J61" s="4">
        <v>1</v>
      </c>
      <c r="K61" s="4">
        <v>0</v>
      </c>
      <c r="L61" s="2" t="s">
        <v>79</v>
      </c>
    </row>
    <row r="62" spans="1:12" x14ac:dyDescent="0.2">
      <c r="A62" s="4">
        <v>4.5</v>
      </c>
      <c r="B62" s="4">
        <v>11</v>
      </c>
      <c r="C62" s="4">
        <v>37</v>
      </c>
      <c r="D62" s="4">
        <v>10</v>
      </c>
      <c r="E62" s="4">
        <v>0</v>
      </c>
      <c r="F62" s="4">
        <v>1</v>
      </c>
      <c r="G62" s="4">
        <v>2</v>
      </c>
      <c r="H62" s="4">
        <v>0</v>
      </c>
      <c r="I62" s="4">
        <v>1</v>
      </c>
      <c r="J62" s="4">
        <v>0</v>
      </c>
      <c r="K62" s="4">
        <v>0</v>
      </c>
      <c r="L62" s="2" t="s">
        <v>79</v>
      </c>
    </row>
    <row r="63" spans="1:12" x14ac:dyDescent="0.2">
      <c r="A63" s="4">
        <v>4.17</v>
      </c>
      <c r="B63" s="4">
        <v>0</v>
      </c>
      <c r="C63" s="4">
        <v>22</v>
      </c>
      <c r="D63" s="4">
        <v>10</v>
      </c>
      <c r="E63" s="4">
        <v>1</v>
      </c>
      <c r="F63" s="4">
        <v>0</v>
      </c>
      <c r="G63" s="4">
        <v>0</v>
      </c>
      <c r="H63" s="4">
        <v>0</v>
      </c>
      <c r="I63" s="4">
        <v>1</v>
      </c>
      <c r="J63" s="4">
        <v>0</v>
      </c>
      <c r="K63" s="4">
        <v>0</v>
      </c>
      <c r="L63" s="2" t="s">
        <v>79</v>
      </c>
    </row>
    <row r="64" spans="1:12" x14ac:dyDescent="0.2">
      <c r="A64" s="4">
        <v>3</v>
      </c>
      <c r="B64" s="4">
        <v>16</v>
      </c>
      <c r="C64" s="4">
        <v>19</v>
      </c>
      <c r="D64" s="4">
        <v>10</v>
      </c>
      <c r="E64" s="4">
        <v>1</v>
      </c>
      <c r="F64" s="4">
        <v>1</v>
      </c>
      <c r="G64" s="4">
        <v>0</v>
      </c>
      <c r="H64" s="4">
        <v>1</v>
      </c>
      <c r="I64" s="4">
        <v>0</v>
      </c>
      <c r="J64" s="4">
        <v>0</v>
      </c>
      <c r="K64" s="4">
        <v>0</v>
      </c>
      <c r="L64" s="2" t="s">
        <v>79</v>
      </c>
    </row>
    <row r="65" spans="1:12" x14ac:dyDescent="0.2">
      <c r="A65" s="4">
        <v>5.25</v>
      </c>
      <c r="B65" s="4">
        <v>12</v>
      </c>
      <c r="C65" s="4">
        <v>19</v>
      </c>
      <c r="D65" s="4">
        <v>10</v>
      </c>
      <c r="E65" s="4">
        <v>1</v>
      </c>
      <c r="F65" s="4">
        <v>1</v>
      </c>
      <c r="G65" s="4">
        <v>2</v>
      </c>
      <c r="H65" s="4">
        <v>1</v>
      </c>
      <c r="I65" s="4">
        <v>0</v>
      </c>
      <c r="J65" s="4">
        <v>0</v>
      </c>
      <c r="K65" s="4">
        <v>0</v>
      </c>
      <c r="L65" s="2" t="s">
        <v>79</v>
      </c>
    </row>
    <row r="66" spans="1:12" x14ac:dyDescent="0.2">
      <c r="A66" s="4">
        <v>10.63</v>
      </c>
      <c r="B66" s="4">
        <v>13</v>
      </c>
      <c r="C66" s="4">
        <v>16</v>
      </c>
      <c r="D66" s="4">
        <v>10</v>
      </c>
      <c r="E66" s="4">
        <v>1</v>
      </c>
      <c r="F66" s="4">
        <v>0</v>
      </c>
      <c r="G66" s="4">
        <v>0</v>
      </c>
      <c r="H66" s="4">
        <v>0</v>
      </c>
      <c r="I66" s="4">
        <v>0</v>
      </c>
      <c r="J66" s="4">
        <v>1</v>
      </c>
      <c r="K66" s="4">
        <v>0</v>
      </c>
      <c r="L66" s="2" t="s">
        <v>79</v>
      </c>
    </row>
    <row r="67" spans="1:12" x14ac:dyDescent="0.2">
      <c r="A67" s="4">
        <v>3.06</v>
      </c>
      <c r="B67" s="4">
        <v>12</v>
      </c>
      <c r="C67" s="4">
        <v>14</v>
      </c>
      <c r="D67" s="4">
        <v>10</v>
      </c>
      <c r="E67" s="4">
        <v>1</v>
      </c>
      <c r="F67" s="4">
        <v>0</v>
      </c>
      <c r="G67" s="4">
        <v>3</v>
      </c>
      <c r="H67" s="4">
        <v>0</v>
      </c>
      <c r="I67" s="4">
        <v>1</v>
      </c>
      <c r="J67" s="4">
        <v>0</v>
      </c>
      <c r="K67" s="4">
        <v>0</v>
      </c>
      <c r="L67" s="2" t="s">
        <v>79</v>
      </c>
    </row>
    <row r="68" spans="1:12" x14ac:dyDescent="0.2">
      <c r="A68" s="4">
        <v>7.78</v>
      </c>
      <c r="B68" s="4">
        <v>16</v>
      </c>
      <c r="C68" s="4">
        <v>11</v>
      </c>
      <c r="D68" s="4">
        <v>10</v>
      </c>
      <c r="E68" s="4">
        <v>0</v>
      </c>
      <c r="F68" s="4">
        <v>1</v>
      </c>
      <c r="G68" s="4">
        <v>1</v>
      </c>
      <c r="H68" s="4">
        <v>0</v>
      </c>
      <c r="I68" s="4">
        <v>0</v>
      </c>
      <c r="J68" s="4">
        <v>1</v>
      </c>
      <c r="K68" s="4">
        <v>0</v>
      </c>
      <c r="L68" s="2" t="s">
        <v>79</v>
      </c>
    </row>
    <row r="69" spans="1:12" x14ac:dyDescent="0.2">
      <c r="A69" s="4">
        <v>11.98</v>
      </c>
      <c r="B69" s="4">
        <v>18</v>
      </c>
      <c r="C69" s="4">
        <v>8</v>
      </c>
      <c r="D69" s="4">
        <v>10</v>
      </c>
      <c r="E69" s="4">
        <v>0</v>
      </c>
      <c r="F69" s="4">
        <v>1</v>
      </c>
      <c r="G69" s="4">
        <v>2</v>
      </c>
      <c r="H69" s="4">
        <v>0</v>
      </c>
      <c r="I69" s="4">
        <v>1</v>
      </c>
      <c r="J69" s="4">
        <v>0</v>
      </c>
      <c r="K69" s="4">
        <v>0</v>
      </c>
      <c r="L69" s="2" t="s">
        <v>79</v>
      </c>
    </row>
    <row r="70" spans="1:12" x14ac:dyDescent="0.2">
      <c r="A70" s="4">
        <v>5</v>
      </c>
      <c r="B70" s="10">
        <v>12</v>
      </c>
      <c r="C70" s="4">
        <v>31</v>
      </c>
      <c r="D70" s="4">
        <v>9</v>
      </c>
      <c r="E70" s="4">
        <v>0</v>
      </c>
      <c r="F70" s="4">
        <v>1</v>
      </c>
      <c r="G70" s="4">
        <v>6</v>
      </c>
      <c r="H70" s="4">
        <v>0</v>
      </c>
      <c r="I70" s="4">
        <v>1</v>
      </c>
      <c r="J70" s="4">
        <v>0</v>
      </c>
      <c r="K70" s="4">
        <v>0</v>
      </c>
      <c r="L70" s="2" t="s">
        <v>79</v>
      </c>
    </row>
    <row r="71" spans="1:12" x14ac:dyDescent="0.2">
      <c r="A71" s="4">
        <v>8.6300000000000008</v>
      </c>
      <c r="B71" s="4">
        <v>12</v>
      </c>
      <c r="C71" s="4">
        <v>23</v>
      </c>
      <c r="D71" s="4">
        <v>9</v>
      </c>
      <c r="E71" s="4">
        <v>0</v>
      </c>
      <c r="F71" s="4">
        <v>1</v>
      </c>
      <c r="G71" s="4">
        <v>1</v>
      </c>
      <c r="H71" s="4">
        <v>0</v>
      </c>
      <c r="I71" s="4">
        <v>1</v>
      </c>
      <c r="J71" s="4">
        <v>0</v>
      </c>
      <c r="K71" s="4">
        <v>0</v>
      </c>
      <c r="L71" s="2" t="s">
        <v>79</v>
      </c>
    </row>
    <row r="72" spans="1:12" x14ac:dyDescent="0.2">
      <c r="A72" s="4">
        <v>3.3</v>
      </c>
      <c r="B72" s="4">
        <v>12</v>
      </c>
      <c r="C72" s="4">
        <v>21</v>
      </c>
      <c r="D72" s="4">
        <v>9</v>
      </c>
      <c r="E72" s="4">
        <v>1</v>
      </c>
      <c r="F72" s="4">
        <v>1</v>
      </c>
      <c r="G72" s="4">
        <v>2</v>
      </c>
      <c r="H72" s="4">
        <v>0</v>
      </c>
      <c r="I72" s="4">
        <v>1</v>
      </c>
      <c r="J72" s="4">
        <v>0</v>
      </c>
      <c r="K72" s="4">
        <v>0</v>
      </c>
      <c r="L72" s="2" t="s">
        <v>79</v>
      </c>
    </row>
    <row r="73" spans="1:12" x14ac:dyDescent="0.2">
      <c r="A73" s="4">
        <v>6.33</v>
      </c>
      <c r="B73" s="4">
        <v>16</v>
      </c>
      <c r="C73" s="4">
        <v>9</v>
      </c>
      <c r="D73" s="4">
        <v>9</v>
      </c>
      <c r="E73" s="4">
        <v>1</v>
      </c>
      <c r="F73" s="4">
        <v>0</v>
      </c>
      <c r="G73" s="4">
        <v>0</v>
      </c>
      <c r="H73" s="4">
        <v>0</v>
      </c>
      <c r="I73" s="4">
        <v>0</v>
      </c>
      <c r="J73" s="4">
        <v>1</v>
      </c>
      <c r="K73" s="4">
        <v>0</v>
      </c>
      <c r="L73" s="2" t="s">
        <v>79</v>
      </c>
    </row>
    <row r="74" spans="1:12" x14ac:dyDescent="0.2">
      <c r="A74" s="4">
        <v>2.87</v>
      </c>
      <c r="B74" s="4">
        <v>12</v>
      </c>
      <c r="C74" s="9">
        <v>43.93</v>
      </c>
      <c r="D74" s="4">
        <v>8</v>
      </c>
      <c r="E74" s="4">
        <v>1</v>
      </c>
      <c r="F74" s="4">
        <v>1</v>
      </c>
      <c r="G74" s="4">
        <v>0</v>
      </c>
      <c r="H74" s="4">
        <v>1</v>
      </c>
      <c r="I74" s="4">
        <v>0</v>
      </c>
      <c r="J74" s="4">
        <v>0</v>
      </c>
      <c r="K74" s="4">
        <v>0</v>
      </c>
      <c r="L74" s="2" t="s">
        <v>79</v>
      </c>
    </row>
    <row r="75" spans="1:12" x14ac:dyDescent="0.2">
      <c r="A75" s="4">
        <v>4.79</v>
      </c>
      <c r="B75" s="4">
        <v>12</v>
      </c>
      <c r="C75" s="4">
        <v>41</v>
      </c>
      <c r="D75" s="4">
        <v>8</v>
      </c>
      <c r="E75" s="4">
        <v>0</v>
      </c>
      <c r="F75" s="4">
        <v>1</v>
      </c>
      <c r="G75" s="4">
        <v>0</v>
      </c>
      <c r="H75" s="4">
        <v>1</v>
      </c>
      <c r="I75" s="4">
        <v>0</v>
      </c>
      <c r="J75" s="4">
        <v>0</v>
      </c>
      <c r="K75" s="4">
        <v>0</v>
      </c>
      <c r="L75" s="2" t="s">
        <v>79</v>
      </c>
    </row>
    <row r="76" spans="1:12" x14ac:dyDescent="0.2">
      <c r="A76" s="4">
        <v>3.33</v>
      </c>
      <c r="B76" s="4">
        <v>12</v>
      </c>
      <c r="C76" s="4">
        <v>36</v>
      </c>
      <c r="D76" s="4">
        <v>8</v>
      </c>
      <c r="E76" s="4">
        <v>1</v>
      </c>
      <c r="F76" s="4">
        <v>1</v>
      </c>
      <c r="G76" s="4">
        <v>1</v>
      </c>
      <c r="H76" s="4">
        <v>0</v>
      </c>
      <c r="I76" s="4">
        <v>1</v>
      </c>
      <c r="J76" s="4">
        <v>0</v>
      </c>
      <c r="K76" s="4">
        <v>0</v>
      </c>
      <c r="L76" s="2" t="s">
        <v>79</v>
      </c>
    </row>
    <row r="77" spans="1:12" x14ac:dyDescent="0.2">
      <c r="A77" s="4">
        <v>6.25</v>
      </c>
      <c r="B77" s="4">
        <v>10</v>
      </c>
      <c r="C77" s="4">
        <v>36</v>
      </c>
      <c r="D77" s="4">
        <v>8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2" t="s">
        <v>79</v>
      </c>
    </row>
    <row r="78" spans="1:12" x14ac:dyDescent="0.2">
      <c r="A78" s="4">
        <v>11.11</v>
      </c>
      <c r="B78" s="4">
        <v>12</v>
      </c>
      <c r="C78" s="4">
        <v>30</v>
      </c>
      <c r="D78" s="4">
        <v>8</v>
      </c>
      <c r="E78" s="4">
        <v>0</v>
      </c>
      <c r="F78" s="4">
        <v>1</v>
      </c>
      <c r="G78" s="4">
        <v>0</v>
      </c>
      <c r="H78" s="4">
        <v>1</v>
      </c>
      <c r="I78" s="4">
        <v>0</v>
      </c>
      <c r="J78" s="4">
        <v>0</v>
      </c>
      <c r="K78" s="4">
        <v>0</v>
      </c>
      <c r="L78" s="2" t="s">
        <v>79</v>
      </c>
    </row>
    <row r="79" spans="1:12" x14ac:dyDescent="0.2">
      <c r="A79" s="4">
        <v>8.64</v>
      </c>
      <c r="B79" s="4">
        <v>12</v>
      </c>
      <c r="C79" s="4">
        <v>28</v>
      </c>
      <c r="D79" s="4">
        <v>8</v>
      </c>
      <c r="E79" s="4">
        <v>0</v>
      </c>
      <c r="F79" s="4">
        <v>1</v>
      </c>
      <c r="G79" s="4">
        <v>0</v>
      </c>
      <c r="H79" s="4">
        <v>1</v>
      </c>
      <c r="I79" s="4">
        <v>0</v>
      </c>
      <c r="J79" s="4">
        <v>0</v>
      </c>
      <c r="K79" s="4">
        <v>0</v>
      </c>
      <c r="L79" s="2" t="s">
        <v>79</v>
      </c>
    </row>
    <row r="80" spans="1:12" x14ac:dyDescent="0.2">
      <c r="A80" s="4">
        <v>3.3</v>
      </c>
      <c r="B80" s="4">
        <v>12</v>
      </c>
      <c r="C80" s="4">
        <v>25</v>
      </c>
      <c r="D80" s="4">
        <v>8</v>
      </c>
      <c r="E80" s="4">
        <v>0</v>
      </c>
      <c r="F80" s="4">
        <v>1</v>
      </c>
      <c r="G80" s="4">
        <v>1</v>
      </c>
      <c r="H80" s="4">
        <v>1</v>
      </c>
      <c r="I80" s="4">
        <v>0</v>
      </c>
      <c r="J80" s="4">
        <v>0</v>
      </c>
      <c r="K80" s="4">
        <v>0</v>
      </c>
      <c r="L80" s="2" t="s">
        <v>79</v>
      </c>
    </row>
    <row r="81" spans="1:12" x14ac:dyDescent="0.2">
      <c r="A81" s="4">
        <v>6.33</v>
      </c>
      <c r="B81" s="4">
        <v>12</v>
      </c>
      <c r="C81" s="4">
        <v>23</v>
      </c>
      <c r="D81" s="4">
        <v>8</v>
      </c>
      <c r="E81" s="4">
        <v>0</v>
      </c>
      <c r="F81" s="4">
        <v>1</v>
      </c>
      <c r="G81" s="4">
        <v>2</v>
      </c>
      <c r="H81" s="4">
        <v>0</v>
      </c>
      <c r="I81" s="4">
        <v>1</v>
      </c>
      <c r="J81" s="4">
        <v>0</v>
      </c>
      <c r="K81" s="4">
        <v>0</v>
      </c>
      <c r="L81" s="2" t="s">
        <v>79</v>
      </c>
    </row>
    <row r="82" spans="1:12" x14ac:dyDescent="0.2">
      <c r="A82" s="4">
        <v>4.91</v>
      </c>
      <c r="B82" s="4">
        <v>12</v>
      </c>
      <c r="C82" s="4">
        <v>17</v>
      </c>
      <c r="D82" s="4">
        <v>8</v>
      </c>
      <c r="E82" s="4">
        <v>0</v>
      </c>
      <c r="F82" s="4">
        <v>1</v>
      </c>
      <c r="G82" s="4">
        <v>2</v>
      </c>
      <c r="H82" s="4">
        <v>0</v>
      </c>
      <c r="I82" s="4">
        <v>0</v>
      </c>
      <c r="J82" s="4">
        <v>0</v>
      </c>
      <c r="K82" s="4">
        <v>0</v>
      </c>
      <c r="L82" s="2" t="s">
        <v>79</v>
      </c>
    </row>
    <row r="83" spans="1:12" x14ac:dyDescent="0.2">
      <c r="A83" s="4">
        <v>8.75</v>
      </c>
      <c r="B83" s="4">
        <v>16</v>
      </c>
      <c r="C83" s="4">
        <v>9</v>
      </c>
      <c r="D83" s="4">
        <v>8</v>
      </c>
      <c r="E83" s="4">
        <v>0</v>
      </c>
      <c r="F83" s="4">
        <v>1</v>
      </c>
      <c r="G83" s="4">
        <v>0</v>
      </c>
      <c r="H83" s="4">
        <v>0</v>
      </c>
      <c r="I83" s="4">
        <v>0</v>
      </c>
      <c r="J83" s="4">
        <v>1</v>
      </c>
      <c r="K83" s="4">
        <v>0</v>
      </c>
      <c r="L83" s="2" t="s">
        <v>79</v>
      </c>
    </row>
    <row r="84" spans="1:12" x14ac:dyDescent="0.2">
      <c r="A84" s="4">
        <v>10</v>
      </c>
      <c r="B84" s="4">
        <v>18</v>
      </c>
      <c r="C84" s="4">
        <v>9</v>
      </c>
      <c r="D84" s="4">
        <v>8</v>
      </c>
      <c r="E84" s="4">
        <v>0</v>
      </c>
      <c r="F84" s="4">
        <v>0</v>
      </c>
      <c r="G84" s="4">
        <v>0</v>
      </c>
      <c r="H84" s="4">
        <v>1</v>
      </c>
      <c r="I84" s="4">
        <v>0</v>
      </c>
      <c r="J84" s="4">
        <v>0</v>
      </c>
      <c r="K84" s="4">
        <v>0</v>
      </c>
      <c r="L84" s="2" t="s">
        <v>79</v>
      </c>
    </row>
    <row r="85" spans="1:12" x14ac:dyDescent="0.2">
      <c r="A85" s="4">
        <v>21.63</v>
      </c>
      <c r="B85" s="4">
        <v>18</v>
      </c>
      <c r="C85" s="4">
        <v>8</v>
      </c>
      <c r="D85" s="4">
        <v>8</v>
      </c>
      <c r="E85" s="4">
        <v>1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2" t="s">
        <v>79</v>
      </c>
    </row>
    <row r="86" spans="1:12" x14ac:dyDescent="0.2">
      <c r="A86" s="4">
        <v>4.57</v>
      </c>
      <c r="B86" s="4">
        <v>14</v>
      </c>
      <c r="C86" s="4">
        <v>37</v>
      </c>
      <c r="D86" s="4">
        <v>7</v>
      </c>
      <c r="E86" s="4">
        <v>1</v>
      </c>
      <c r="F86" s="4">
        <v>1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2" t="s">
        <v>79</v>
      </c>
    </row>
    <row r="87" spans="1:12" x14ac:dyDescent="0.2">
      <c r="A87" s="4">
        <v>18.16</v>
      </c>
      <c r="B87" s="4">
        <v>16</v>
      </c>
      <c r="C87" s="4">
        <v>29</v>
      </c>
      <c r="D87" s="4">
        <v>7</v>
      </c>
      <c r="E87" s="4">
        <v>0</v>
      </c>
      <c r="F87" s="4">
        <v>1</v>
      </c>
      <c r="G87" s="4">
        <v>1</v>
      </c>
      <c r="H87" s="4">
        <v>0</v>
      </c>
      <c r="I87" s="4">
        <v>1</v>
      </c>
      <c r="J87" s="4">
        <v>0</v>
      </c>
      <c r="K87" s="4">
        <v>0</v>
      </c>
      <c r="L87" s="2" t="s">
        <v>79</v>
      </c>
    </row>
    <row r="88" spans="1:12" x14ac:dyDescent="0.2">
      <c r="A88" s="4">
        <v>11.25</v>
      </c>
      <c r="B88" s="4">
        <v>18</v>
      </c>
      <c r="C88" s="4">
        <v>15</v>
      </c>
      <c r="D88" s="4">
        <v>7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</v>
      </c>
      <c r="K88" s="4">
        <v>0</v>
      </c>
      <c r="L88" s="2" t="s">
        <v>79</v>
      </c>
    </row>
    <row r="89" spans="1:12" x14ac:dyDescent="0.2">
      <c r="A89" s="4">
        <v>5.9</v>
      </c>
      <c r="B89" s="4">
        <v>12</v>
      </c>
      <c r="C89" s="4">
        <v>14</v>
      </c>
      <c r="D89" s="4">
        <v>7</v>
      </c>
      <c r="E89" s="4">
        <v>0</v>
      </c>
      <c r="F89" s="4">
        <v>1</v>
      </c>
      <c r="G89" s="4">
        <v>2</v>
      </c>
      <c r="H89" s="4">
        <v>0</v>
      </c>
      <c r="I89" s="4">
        <v>1</v>
      </c>
      <c r="J89" s="4">
        <v>0</v>
      </c>
      <c r="K89" s="4">
        <v>0</v>
      </c>
      <c r="L89" s="2" t="s">
        <v>79</v>
      </c>
    </row>
    <row r="90" spans="1:12" x14ac:dyDescent="0.2">
      <c r="A90" s="4">
        <v>3.71</v>
      </c>
      <c r="B90" s="4">
        <v>9</v>
      </c>
      <c r="C90" s="4">
        <v>14</v>
      </c>
      <c r="D90" s="4">
        <v>7</v>
      </c>
      <c r="E90" s="4">
        <v>0</v>
      </c>
      <c r="F90" s="4">
        <v>1</v>
      </c>
      <c r="G90" s="4">
        <v>2</v>
      </c>
      <c r="H90" s="4">
        <v>0</v>
      </c>
      <c r="I90" s="4">
        <v>1</v>
      </c>
      <c r="J90" s="4">
        <v>0</v>
      </c>
      <c r="K90" s="4">
        <v>0</v>
      </c>
      <c r="L90" s="2" t="s">
        <v>79</v>
      </c>
    </row>
    <row r="91" spans="1:12" x14ac:dyDescent="0.2">
      <c r="A91" s="4">
        <v>7.5</v>
      </c>
      <c r="B91" s="4">
        <v>12</v>
      </c>
      <c r="C91" s="4">
        <v>11</v>
      </c>
      <c r="D91" s="4">
        <v>7</v>
      </c>
      <c r="E91" s="10">
        <v>2</v>
      </c>
      <c r="F91" s="4">
        <v>1</v>
      </c>
      <c r="G91" s="4">
        <v>1</v>
      </c>
      <c r="H91" s="4">
        <v>0</v>
      </c>
      <c r="I91" s="4">
        <v>0</v>
      </c>
      <c r="J91" s="4">
        <v>0</v>
      </c>
      <c r="K91" s="4">
        <v>0</v>
      </c>
      <c r="L91" s="2" t="s">
        <v>79</v>
      </c>
    </row>
    <row r="92" spans="1:12" x14ac:dyDescent="0.2">
      <c r="A92" s="4">
        <v>5.9</v>
      </c>
      <c r="B92" s="4">
        <v>12</v>
      </c>
      <c r="C92" s="4">
        <v>9</v>
      </c>
      <c r="D92" s="4">
        <v>7</v>
      </c>
      <c r="E92" s="4">
        <v>1</v>
      </c>
      <c r="F92" s="4">
        <v>1</v>
      </c>
      <c r="G92" s="4">
        <v>1</v>
      </c>
      <c r="H92" s="4">
        <v>1</v>
      </c>
      <c r="I92" s="4">
        <v>0</v>
      </c>
      <c r="J92" s="4">
        <v>0</v>
      </c>
      <c r="K92" s="4">
        <v>0</v>
      </c>
      <c r="L92" s="2" t="s">
        <v>79</v>
      </c>
    </row>
    <row r="93" spans="1:12" x14ac:dyDescent="0.2">
      <c r="A93" s="4">
        <v>4.6900000000000004</v>
      </c>
      <c r="B93" s="4">
        <v>10</v>
      </c>
      <c r="C93" s="4">
        <v>7</v>
      </c>
      <c r="D93" s="4">
        <v>7</v>
      </c>
      <c r="E93" s="4">
        <v>0</v>
      </c>
      <c r="F93" s="4">
        <v>0</v>
      </c>
      <c r="G93" s="4">
        <v>0</v>
      </c>
      <c r="H93" s="4">
        <v>1</v>
      </c>
      <c r="I93" s="4">
        <v>0</v>
      </c>
      <c r="J93" s="4">
        <v>0</v>
      </c>
      <c r="K93" s="4">
        <v>0</v>
      </c>
      <c r="L93" s="2" t="s">
        <v>79</v>
      </c>
    </row>
    <row r="94" spans="1:12" x14ac:dyDescent="0.2">
      <c r="A94" s="4">
        <v>6</v>
      </c>
      <c r="B94" s="4">
        <v>12</v>
      </c>
      <c r="C94" s="4">
        <v>7</v>
      </c>
      <c r="D94" s="4">
        <v>7</v>
      </c>
      <c r="E94" s="4">
        <v>0</v>
      </c>
      <c r="F94" s="4">
        <v>1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2" t="s">
        <v>79</v>
      </c>
    </row>
    <row r="95" spans="1:12" x14ac:dyDescent="0.2">
      <c r="A95" s="4">
        <v>15</v>
      </c>
      <c r="B95" s="4">
        <v>14</v>
      </c>
      <c r="C95" s="4">
        <v>7</v>
      </c>
      <c r="D95" s="4">
        <v>7</v>
      </c>
      <c r="E95" s="4">
        <v>0</v>
      </c>
      <c r="F95" s="4">
        <v>1</v>
      </c>
      <c r="G95" s="4">
        <v>1</v>
      </c>
      <c r="H95" s="4">
        <v>0</v>
      </c>
      <c r="I95" s="4">
        <v>0</v>
      </c>
      <c r="J95" s="4">
        <v>0</v>
      </c>
      <c r="K95" s="4">
        <v>0</v>
      </c>
      <c r="L95" s="2" t="s">
        <v>79</v>
      </c>
    </row>
    <row r="96" spans="1:12" x14ac:dyDescent="0.2">
      <c r="A96" s="4">
        <v>3.54</v>
      </c>
      <c r="B96" s="4">
        <v>13</v>
      </c>
      <c r="C96" s="4">
        <v>6</v>
      </c>
      <c r="D96" s="4">
        <v>7</v>
      </c>
      <c r="E96" s="4">
        <v>1</v>
      </c>
      <c r="F96" s="4">
        <v>1</v>
      </c>
      <c r="G96" s="4">
        <v>0</v>
      </c>
      <c r="H96" s="4">
        <v>1</v>
      </c>
      <c r="I96" s="4">
        <v>0</v>
      </c>
      <c r="J96" s="4">
        <v>0</v>
      </c>
      <c r="K96" s="4">
        <v>0</v>
      </c>
      <c r="L96" s="2" t="s">
        <v>79</v>
      </c>
    </row>
    <row r="97" spans="1:12" x14ac:dyDescent="0.2">
      <c r="A97" s="4">
        <v>2.9</v>
      </c>
      <c r="B97" s="4">
        <v>8</v>
      </c>
      <c r="C97" s="9">
        <v>43.93</v>
      </c>
      <c r="D97" s="4">
        <v>6</v>
      </c>
      <c r="E97" s="4">
        <v>1</v>
      </c>
      <c r="F97" s="4">
        <v>0</v>
      </c>
      <c r="G97" s="4">
        <v>1</v>
      </c>
      <c r="H97" s="4">
        <v>0</v>
      </c>
      <c r="I97" s="4">
        <v>0</v>
      </c>
      <c r="J97" s="4">
        <v>0</v>
      </c>
      <c r="K97" s="4">
        <v>0</v>
      </c>
      <c r="L97" s="2" t="s">
        <v>79</v>
      </c>
    </row>
    <row r="98" spans="1:12" x14ac:dyDescent="0.2">
      <c r="A98" s="4">
        <v>4</v>
      </c>
      <c r="B98" s="4">
        <v>12</v>
      </c>
      <c r="C98" s="4">
        <v>43</v>
      </c>
      <c r="D98" s="4">
        <v>6</v>
      </c>
      <c r="E98" s="4">
        <v>1</v>
      </c>
      <c r="F98" s="4">
        <v>1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2" t="s">
        <v>79</v>
      </c>
    </row>
    <row r="99" spans="1:12" x14ac:dyDescent="0.2">
      <c r="A99" s="4">
        <v>6.25</v>
      </c>
      <c r="B99" s="4">
        <v>12</v>
      </c>
      <c r="C99" s="4">
        <v>21</v>
      </c>
      <c r="D99" s="4">
        <v>6</v>
      </c>
      <c r="E99" s="4">
        <v>0</v>
      </c>
      <c r="F99" s="4">
        <v>1</v>
      </c>
      <c r="G99" s="4">
        <v>3</v>
      </c>
      <c r="H99" s="4">
        <v>0</v>
      </c>
      <c r="I99" s="4">
        <v>1</v>
      </c>
      <c r="J99" s="4">
        <v>0</v>
      </c>
      <c r="K99" s="4">
        <v>0</v>
      </c>
      <c r="L99" s="2" t="s">
        <v>79</v>
      </c>
    </row>
    <row r="100" spans="1:12" x14ac:dyDescent="0.2">
      <c r="A100" s="4">
        <v>5.8</v>
      </c>
      <c r="B100" s="4">
        <v>12</v>
      </c>
      <c r="C100" s="4">
        <v>19</v>
      </c>
      <c r="D100" s="4">
        <v>6</v>
      </c>
      <c r="E100" s="4">
        <v>1</v>
      </c>
      <c r="F100" s="4">
        <v>1</v>
      </c>
      <c r="G100" s="4">
        <v>2</v>
      </c>
      <c r="H100" s="4">
        <v>1</v>
      </c>
      <c r="I100" s="4">
        <v>0</v>
      </c>
      <c r="J100" s="4">
        <v>0</v>
      </c>
      <c r="K100" s="4">
        <v>0</v>
      </c>
      <c r="L100" s="2" t="s">
        <v>79</v>
      </c>
    </row>
    <row r="101" spans="1:12" x14ac:dyDescent="0.2">
      <c r="A101" s="4">
        <v>8</v>
      </c>
      <c r="B101" s="4">
        <v>12</v>
      </c>
      <c r="C101" s="4">
        <v>17</v>
      </c>
      <c r="D101" s="4">
        <v>6</v>
      </c>
      <c r="E101" s="4">
        <v>0</v>
      </c>
      <c r="F101" s="4">
        <v>1</v>
      </c>
      <c r="G101" s="4">
        <v>2</v>
      </c>
      <c r="H101" s="4">
        <v>0</v>
      </c>
      <c r="I101" s="4">
        <v>1</v>
      </c>
      <c r="J101" s="4">
        <v>0</v>
      </c>
      <c r="K101" s="4">
        <v>0</v>
      </c>
      <c r="L101" s="2" t="s">
        <v>79</v>
      </c>
    </row>
    <row r="102" spans="1:12" x14ac:dyDescent="0.2">
      <c r="A102" s="4">
        <v>6.15</v>
      </c>
      <c r="B102" s="4">
        <v>12</v>
      </c>
      <c r="C102" s="4">
        <v>15</v>
      </c>
      <c r="D102" s="4">
        <v>6</v>
      </c>
      <c r="E102" s="4">
        <v>1</v>
      </c>
      <c r="F102" s="4">
        <v>1</v>
      </c>
      <c r="G102" s="4">
        <v>1</v>
      </c>
      <c r="H102" s="4">
        <v>0</v>
      </c>
      <c r="I102" s="4">
        <v>0</v>
      </c>
      <c r="J102" s="4">
        <v>1</v>
      </c>
      <c r="K102" s="4">
        <v>0</v>
      </c>
      <c r="L102" s="2" t="s">
        <v>79</v>
      </c>
    </row>
    <row r="103" spans="1:12" x14ac:dyDescent="0.2">
      <c r="A103" s="4">
        <v>5.91</v>
      </c>
      <c r="B103" s="4">
        <v>12</v>
      </c>
      <c r="C103" s="4">
        <v>14</v>
      </c>
      <c r="D103" s="4">
        <v>6</v>
      </c>
      <c r="E103" s="4">
        <v>0</v>
      </c>
      <c r="F103" s="4">
        <v>1</v>
      </c>
      <c r="G103" s="4">
        <v>2</v>
      </c>
      <c r="H103" s="4">
        <v>0</v>
      </c>
      <c r="I103" s="4">
        <v>0</v>
      </c>
      <c r="J103" s="4">
        <v>0</v>
      </c>
      <c r="K103" s="4">
        <v>0</v>
      </c>
      <c r="L103" s="2" t="s">
        <v>79</v>
      </c>
    </row>
    <row r="104" spans="1:12" x14ac:dyDescent="0.2">
      <c r="A104" s="4">
        <v>8.5299999999999994</v>
      </c>
      <c r="B104" s="4">
        <v>10</v>
      </c>
      <c r="C104" s="4">
        <v>14</v>
      </c>
      <c r="D104" s="4">
        <v>6</v>
      </c>
      <c r="E104" s="4">
        <v>0</v>
      </c>
      <c r="F104" s="4">
        <v>1</v>
      </c>
      <c r="G104" s="4">
        <v>0</v>
      </c>
      <c r="H104" s="4">
        <v>0</v>
      </c>
      <c r="I104" s="4">
        <v>1</v>
      </c>
      <c r="J104" s="4">
        <v>0</v>
      </c>
      <c r="K104" s="4">
        <v>0</v>
      </c>
      <c r="L104" s="2" t="s">
        <v>79</v>
      </c>
    </row>
    <row r="105" spans="1:12" x14ac:dyDescent="0.2">
      <c r="A105" s="4">
        <v>8.43</v>
      </c>
      <c r="B105" s="4">
        <v>16</v>
      </c>
      <c r="C105" s="4">
        <v>8</v>
      </c>
      <c r="D105" s="4">
        <v>6</v>
      </c>
      <c r="E105" s="4">
        <v>0</v>
      </c>
      <c r="F105" s="4">
        <v>1</v>
      </c>
      <c r="G105" s="4">
        <v>0</v>
      </c>
      <c r="H105" s="4">
        <v>0</v>
      </c>
      <c r="I105" s="4">
        <v>1</v>
      </c>
      <c r="J105" s="4">
        <v>0</v>
      </c>
      <c r="K105" s="4">
        <v>0</v>
      </c>
      <c r="L105" s="2" t="s">
        <v>79</v>
      </c>
    </row>
    <row r="106" spans="1:12" x14ac:dyDescent="0.2">
      <c r="A106" s="4">
        <v>6.45</v>
      </c>
      <c r="B106" s="4">
        <v>12</v>
      </c>
      <c r="C106" s="4">
        <v>7</v>
      </c>
      <c r="D106" s="4">
        <v>6</v>
      </c>
      <c r="E106" s="10">
        <v>2</v>
      </c>
      <c r="F106" s="4">
        <v>1</v>
      </c>
      <c r="G106" s="4">
        <v>0</v>
      </c>
      <c r="H106" s="4">
        <v>0</v>
      </c>
      <c r="I106" s="4">
        <v>1</v>
      </c>
      <c r="J106" s="4">
        <v>0</v>
      </c>
      <c r="K106" s="4">
        <v>0</v>
      </c>
      <c r="L106" s="2" t="s">
        <v>79</v>
      </c>
    </row>
    <row r="107" spans="1:12" x14ac:dyDescent="0.2">
      <c r="A107" s="4">
        <v>3.5</v>
      </c>
      <c r="B107" s="4">
        <v>12</v>
      </c>
      <c r="C107" s="4">
        <v>7</v>
      </c>
      <c r="D107" s="4">
        <v>6</v>
      </c>
      <c r="E107" s="4">
        <v>1</v>
      </c>
      <c r="F107" s="4">
        <v>1</v>
      </c>
      <c r="G107" s="4">
        <v>0</v>
      </c>
      <c r="H107" s="4">
        <v>1</v>
      </c>
      <c r="I107" s="4">
        <v>0</v>
      </c>
      <c r="J107" s="4">
        <v>0</v>
      </c>
      <c r="K107" s="4">
        <v>0</v>
      </c>
      <c r="L107" s="2" t="s">
        <v>79</v>
      </c>
    </row>
    <row r="108" spans="1:12" x14ac:dyDescent="0.2">
      <c r="A108" s="4">
        <v>5.13</v>
      </c>
      <c r="B108" s="4">
        <v>15</v>
      </c>
      <c r="C108" s="4">
        <v>6</v>
      </c>
      <c r="D108" s="4">
        <v>6</v>
      </c>
      <c r="E108" s="10">
        <v>2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2" t="s">
        <v>79</v>
      </c>
    </row>
    <row r="109" spans="1:12" x14ac:dyDescent="0.2">
      <c r="A109" s="4">
        <v>7.14</v>
      </c>
      <c r="B109" s="4">
        <v>12</v>
      </c>
      <c r="C109" s="4">
        <v>43</v>
      </c>
      <c r="D109" s="4">
        <v>5</v>
      </c>
      <c r="E109" s="4">
        <v>1</v>
      </c>
      <c r="F109" s="4">
        <v>0</v>
      </c>
      <c r="G109" s="4">
        <v>0</v>
      </c>
      <c r="H109" s="4">
        <v>1</v>
      </c>
      <c r="I109" s="4">
        <v>0</v>
      </c>
      <c r="J109" s="4">
        <v>0</v>
      </c>
      <c r="K109" s="4">
        <v>0</v>
      </c>
      <c r="L109" s="2" t="s">
        <v>79</v>
      </c>
    </row>
    <row r="110" spans="1:12" x14ac:dyDescent="0.2">
      <c r="A110" s="4">
        <v>12.39</v>
      </c>
      <c r="B110" s="4">
        <v>14</v>
      </c>
      <c r="C110" s="4">
        <v>42</v>
      </c>
      <c r="D110" s="4">
        <v>5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2" t="s">
        <v>79</v>
      </c>
    </row>
    <row r="111" spans="1:12" x14ac:dyDescent="0.2">
      <c r="A111" s="4">
        <v>8</v>
      </c>
      <c r="B111" s="4">
        <v>13</v>
      </c>
      <c r="C111" s="4">
        <v>28</v>
      </c>
      <c r="D111" s="4">
        <v>5</v>
      </c>
      <c r="E111" s="4">
        <v>0</v>
      </c>
      <c r="F111" s="4">
        <v>1</v>
      </c>
      <c r="G111" s="4">
        <v>1</v>
      </c>
      <c r="H111" s="4">
        <v>1</v>
      </c>
      <c r="I111" s="4">
        <v>0</v>
      </c>
      <c r="J111" s="4">
        <v>0</v>
      </c>
      <c r="K111" s="4">
        <v>0</v>
      </c>
      <c r="L111" s="2" t="s">
        <v>79</v>
      </c>
    </row>
    <row r="112" spans="1:12" x14ac:dyDescent="0.2">
      <c r="A112" s="4">
        <v>5</v>
      </c>
      <c r="B112" s="10">
        <v>12</v>
      </c>
      <c r="C112" s="4">
        <v>24</v>
      </c>
      <c r="D112" s="4">
        <v>5</v>
      </c>
      <c r="E112" s="4">
        <v>0</v>
      </c>
      <c r="F112" s="4">
        <v>1</v>
      </c>
      <c r="G112" s="4">
        <v>0</v>
      </c>
      <c r="H112" s="4">
        <v>0</v>
      </c>
      <c r="I112" s="4">
        <v>1</v>
      </c>
      <c r="J112" s="4">
        <v>0</v>
      </c>
      <c r="K112" s="4">
        <v>0</v>
      </c>
      <c r="L112" s="2" t="s">
        <v>79</v>
      </c>
    </row>
    <row r="113" spans="1:12" x14ac:dyDescent="0.2">
      <c r="A113" s="4">
        <v>13</v>
      </c>
      <c r="B113" s="4">
        <v>14</v>
      </c>
      <c r="C113" s="4">
        <v>23</v>
      </c>
      <c r="D113" s="4">
        <v>5</v>
      </c>
      <c r="E113" s="4">
        <v>0</v>
      </c>
      <c r="F113" s="4">
        <v>1</v>
      </c>
      <c r="G113" s="4">
        <v>2</v>
      </c>
      <c r="H113" s="4">
        <v>0</v>
      </c>
      <c r="I113" s="4">
        <v>0</v>
      </c>
      <c r="J113" s="4">
        <v>1</v>
      </c>
      <c r="K113" s="4">
        <v>0</v>
      </c>
      <c r="L113" s="2" t="s">
        <v>79</v>
      </c>
    </row>
    <row r="114" spans="1:12" x14ac:dyDescent="0.2">
      <c r="A114" s="4">
        <v>4.5</v>
      </c>
      <c r="B114" s="4">
        <v>9</v>
      </c>
      <c r="C114" s="4">
        <v>22</v>
      </c>
      <c r="D114" s="4">
        <v>5</v>
      </c>
      <c r="E114" s="4">
        <v>0</v>
      </c>
      <c r="F114" s="4">
        <v>1</v>
      </c>
      <c r="G114" s="4">
        <v>4</v>
      </c>
      <c r="H114" s="4">
        <v>0</v>
      </c>
      <c r="I114" s="4">
        <v>0</v>
      </c>
      <c r="J114" s="4">
        <v>0</v>
      </c>
      <c r="K114" s="4">
        <v>0</v>
      </c>
      <c r="L114" s="2" t="s">
        <v>79</v>
      </c>
    </row>
    <row r="115" spans="1:12" x14ac:dyDescent="0.2">
      <c r="A115" s="4">
        <v>8.18</v>
      </c>
      <c r="B115" s="4">
        <v>13</v>
      </c>
      <c r="C115" s="4">
        <v>21</v>
      </c>
      <c r="D115" s="4">
        <v>5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</v>
      </c>
      <c r="K115" s="4">
        <v>0</v>
      </c>
      <c r="L115" s="2" t="s">
        <v>79</v>
      </c>
    </row>
    <row r="116" spans="1:12" x14ac:dyDescent="0.2">
      <c r="A116" s="4">
        <v>11.55</v>
      </c>
      <c r="B116" s="4">
        <v>16</v>
      </c>
      <c r="C116" s="4">
        <v>20</v>
      </c>
      <c r="D116" s="4">
        <v>5</v>
      </c>
      <c r="E116" s="4">
        <v>1</v>
      </c>
      <c r="F116" s="4">
        <v>1</v>
      </c>
      <c r="G116" s="4">
        <v>3</v>
      </c>
      <c r="H116" s="4">
        <v>0</v>
      </c>
      <c r="I116" s="4">
        <v>1</v>
      </c>
      <c r="J116" s="4">
        <v>0</v>
      </c>
      <c r="K116" s="4">
        <v>1</v>
      </c>
      <c r="L116" s="2" t="s">
        <v>79</v>
      </c>
    </row>
    <row r="117" spans="1:12" x14ac:dyDescent="0.2">
      <c r="A117" s="4">
        <v>5</v>
      </c>
      <c r="B117" s="4">
        <v>14</v>
      </c>
      <c r="C117" s="4">
        <v>19</v>
      </c>
      <c r="D117" s="4">
        <v>5</v>
      </c>
      <c r="E117" s="4">
        <v>0</v>
      </c>
      <c r="F117" s="4">
        <v>1</v>
      </c>
      <c r="G117" s="4">
        <v>4</v>
      </c>
      <c r="H117" s="4">
        <v>0</v>
      </c>
      <c r="I117" s="4">
        <v>1</v>
      </c>
      <c r="J117" s="4">
        <v>0</v>
      </c>
      <c r="K117" s="4">
        <v>0</v>
      </c>
      <c r="L117" s="2" t="s">
        <v>79</v>
      </c>
    </row>
    <row r="118" spans="1:12" x14ac:dyDescent="0.2">
      <c r="A118" s="4">
        <v>10</v>
      </c>
      <c r="B118" s="4">
        <v>14</v>
      </c>
      <c r="C118" s="4">
        <v>18</v>
      </c>
      <c r="D118" s="4">
        <v>5</v>
      </c>
      <c r="E118" s="4">
        <v>0</v>
      </c>
      <c r="F118" s="4">
        <v>1</v>
      </c>
      <c r="G118" s="4">
        <v>2</v>
      </c>
      <c r="H118" s="4">
        <v>0</v>
      </c>
      <c r="I118" s="4">
        <v>1</v>
      </c>
      <c r="J118" s="4">
        <v>0</v>
      </c>
      <c r="K118" s="4">
        <v>0</v>
      </c>
      <c r="L118" s="2" t="s">
        <v>79</v>
      </c>
    </row>
    <row r="119" spans="1:12" x14ac:dyDescent="0.2">
      <c r="A119" s="4">
        <v>12.5</v>
      </c>
      <c r="B119" s="4">
        <v>18</v>
      </c>
      <c r="C119" s="4">
        <v>16</v>
      </c>
      <c r="D119" s="4">
        <v>5</v>
      </c>
      <c r="E119" s="4">
        <v>0</v>
      </c>
      <c r="F119" s="4">
        <v>1</v>
      </c>
      <c r="G119" s="4">
        <v>1</v>
      </c>
      <c r="H119" s="4">
        <v>1</v>
      </c>
      <c r="I119" s="4">
        <v>0</v>
      </c>
      <c r="J119" s="4">
        <v>0</v>
      </c>
      <c r="K119" s="4">
        <v>0</v>
      </c>
      <c r="L119" s="2" t="s">
        <v>79</v>
      </c>
    </row>
    <row r="120" spans="1:12" x14ac:dyDescent="0.2">
      <c r="A120" s="4">
        <v>5</v>
      </c>
      <c r="B120" s="4">
        <v>12</v>
      </c>
      <c r="C120" s="4">
        <v>15</v>
      </c>
      <c r="D120" s="4">
        <v>5</v>
      </c>
      <c r="E120" s="4">
        <v>0</v>
      </c>
      <c r="F120" s="4">
        <v>1</v>
      </c>
      <c r="G120" s="4">
        <v>1</v>
      </c>
      <c r="H120" s="4">
        <v>0</v>
      </c>
      <c r="I120" s="4">
        <v>0</v>
      </c>
      <c r="J120" s="4">
        <v>0</v>
      </c>
      <c r="K120" s="4">
        <v>0</v>
      </c>
      <c r="L120" s="2" t="s">
        <v>79</v>
      </c>
    </row>
    <row r="121" spans="1:12" x14ac:dyDescent="0.2">
      <c r="A121" s="4">
        <v>5</v>
      </c>
      <c r="B121" s="10">
        <v>12</v>
      </c>
      <c r="C121" s="4">
        <v>15</v>
      </c>
      <c r="D121" s="4">
        <v>5</v>
      </c>
      <c r="E121" s="4">
        <v>0</v>
      </c>
      <c r="F121" s="4">
        <v>1</v>
      </c>
      <c r="G121" s="4">
        <v>2</v>
      </c>
      <c r="H121" s="4">
        <v>0</v>
      </c>
      <c r="I121" s="4">
        <v>1</v>
      </c>
      <c r="J121" s="4">
        <v>0</v>
      </c>
      <c r="K121" s="4">
        <v>0</v>
      </c>
      <c r="L121" s="2" t="s">
        <v>79</v>
      </c>
    </row>
    <row r="122" spans="1:12" x14ac:dyDescent="0.2">
      <c r="A122" s="4">
        <v>3.2</v>
      </c>
      <c r="B122" s="4">
        <v>12</v>
      </c>
      <c r="C122" s="4">
        <v>15</v>
      </c>
      <c r="D122" s="4">
        <v>5</v>
      </c>
      <c r="E122" s="4">
        <v>1</v>
      </c>
      <c r="F122" s="4">
        <v>1</v>
      </c>
      <c r="G122" s="4">
        <v>1</v>
      </c>
      <c r="H122" s="4">
        <v>0</v>
      </c>
      <c r="I122" s="4">
        <v>1</v>
      </c>
      <c r="J122" s="4">
        <v>0</v>
      </c>
      <c r="K122" s="4">
        <v>0</v>
      </c>
      <c r="L122" s="2" t="s">
        <v>79</v>
      </c>
    </row>
    <row r="123" spans="1:12" x14ac:dyDescent="0.2">
      <c r="A123" s="4">
        <v>3.26</v>
      </c>
      <c r="B123" s="4">
        <v>16</v>
      </c>
      <c r="C123" s="4">
        <v>15</v>
      </c>
      <c r="D123" s="4">
        <v>5</v>
      </c>
      <c r="E123" s="4">
        <v>1</v>
      </c>
      <c r="F123" s="4">
        <v>1</v>
      </c>
      <c r="G123" s="4">
        <v>2</v>
      </c>
      <c r="H123" s="4">
        <v>0</v>
      </c>
      <c r="I123" s="4">
        <v>1</v>
      </c>
      <c r="J123" s="4">
        <v>0</v>
      </c>
      <c r="K123" s="4">
        <v>0</v>
      </c>
      <c r="L123" s="2" t="s">
        <v>79</v>
      </c>
    </row>
    <row r="124" spans="1:12" x14ac:dyDescent="0.2">
      <c r="A124" s="4">
        <v>4.24</v>
      </c>
      <c r="B124" s="4">
        <v>10</v>
      </c>
      <c r="C124" s="4">
        <v>14</v>
      </c>
      <c r="D124" s="4">
        <v>5</v>
      </c>
      <c r="E124" s="10">
        <v>2</v>
      </c>
      <c r="F124" s="4">
        <v>1</v>
      </c>
      <c r="G124" s="4">
        <v>1</v>
      </c>
      <c r="H124" s="4">
        <v>0</v>
      </c>
      <c r="I124" s="4">
        <v>1</v>
      </c>
      <c r="J124" s="4">
        <v>0</v>
      </c>
      <c r="K124" s="4">
        <v>0</v>
      </c>
      <c r="L124" s="2" t="s">
        <v>79</v>
      </c>
    </row>
    <row r="125" spans="1:12" x14ac:dyDescent="0.2">
      <c r="A125" s="4">
        <v>9</v>
      </c>
      <c r="B125" s="4">
        <v>12</v>
      </c>
      <c r="C125" s="4">
        <v>11</v>
      </c>
      <c r="D125" s="4">
        <v>5</v>
      </c>
      <c r="E125" s="4">
        <v>1</v>
      </c>
      <c r="F125" s="4">
        <v>1</v>
      </c>
      <c r="G125" s="4">
        <v>0</v>
      </c>
      <c r="H125" s="4">
        <v>1</v>
      </c>
      <c r="I125" s="4">
        <v>0</v>
      </c>
      <c r="J125" s="4">
        <v>0</v>
      </c>
      <c r="K125" s="4">
        <v>0</v>
      </c>
      <c r="L125" s="2" t="s">
        <v>79</v>
      </c>
    </row>
    <row r="126" spans="1:12" x14ac:dyDescent="0.2">
      <c r="A126" s="4">
        <v>5.71</v>
      </c>
      <c r="B126" s="4">
        <v>16</v>
      </c>
      <c r="C126" s="4">
        <v>10</v>
      </c>
      <c r="D126" s="4">
        <v>5</v>
      </c>
      <c r="E126" s="4">
        <v>0</v>
      </c>
      <c r="F126" s="4">
        <v>1</v>
      </c>
      <c r="G126" s="4">
        <v>1</v>
      </c>
      <c r="H126" s="4">
        <v>0</v>
      </c>
      <c r="I126" s="4">
        <v>0</v>
      </c>
      <c r="J126" s="4">
        <v>0</v>
      </c>
      <c r="K126" s="4">
        <v>0</v>
      </c>
      <c r="L126" s="2" t="s">
        <v>79</v>
      </c>
    </row>
    <row r="127" spans="1:12" x14ac:dyDescent="0.2">
      <c r="A127" s="4">
        <v>6.5</v>
      </c>
      <c r="B127" s="4">
        <v>12</v>
      </c>
      <c r="C127" s="4">
        <v>8</v>
      </c>
      <c r="D127" s="4">
        <v>5</v>
      </c>
      <c r="E127" s="4">
        <v>1</v>
      </c>
      <c r="F127" s="4">
        <v>1</v>
      </c>
      <c r="G127" s="4">
        <v>0</v>
      </c>
      <c r="H127" s="4">
        <v>0</v>
      </c>
      <c r="I127" s="4">
        <v>1</v>
      </c>
      <c r="J127" s="4">
        <v>0</v>
      </c>
      <c r="K127" s="4">
        <v>0</v>
      </c>
      <c r="L127" s="2" t="s">
        <v>79</v>
      </c>
    </row>
    <row r="128" spans="1:12" x14ac:dyDescent="0.2">
      <c r="A128" s="4">
        <v>6.67</v>
      </c>
      <c r="B128" s="4">
        <v>12</v>
      </c>
      <c r="C128" s="4">
        <v>7</v>
      </c>
      <c r="D128" s="4">
        <v>5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2" t="s">
        <v>79</v>
      </c>
    </row>
    <row r="129" spans="1:12" x14ac:dyDescent="0.2">
      <c r="A129" s="4">
        <v>7</v>
      </c>
      <c r="B129" s="4">
        <v>12</v>
      </c>
      <c r="C129" s="4">
        <v>6</v>
      </c>
      <c r="D129" s="4">
        <v>5</v>
      </c>
      <c r="E129" s="4">
        <v>0</v>
      </c>
      <c r="F129" s="4">
        <v>1</v>
      </c>
      <c r="G129" s="4">
        <v>1</v>
      </c>
      <c r="H129" s="4">
        <v>0</v>
      </c>
      <c r="I129" s="4">
        <v>1</v>
      </c>
      <c r="J129" s="4">
        <v>0</v>
      </c>
      <c r="K129" s="4">
        <v>1</v>
      </c>
      <c r="L129" s="2" t="s">
        <v>79</v>
      </c>
    </row>
    <row r="130" spans="1:12" x14ac:dyDescent="0.2">
      <c r="A130" s="4">
        <v>3.13</v>
      </c>
      <c r="B130" s="4">
        <v>12</v>
      </c>
      <c r="C130" s="4">
        <v>6</v>
      </c>
      <c r="D130" s="4">
        <v>5</v>
      </c>
      <c r="E130" s="4">
        <v>1</v>
      </c>
      <c r="F130" s="4">
        <v>1</v>
      </c>
      <c r="G130" s="4">
        <v>1</v>
      </c>
      <c r="H130" s="4">
        <v>0</v>
      </c>
      <c r="I130" s="4">
        <v>1</v>
      </c>
      <c r="J130" s="4">
        <v>0</v>
      </c>
      <c r="K130" s="4">
        <v>0</v>
      </c>
      <c r="L130" s="2" t="s">
        <v>79</v>
      </c>
    </row>
    <row r="131" spans="1:12" x14ac:dyDescent="0.2">
      <c r="A131" s="4">
        <v>6.25</v>
      </c>
      <c r="B131" s="10">
        <v>12</v>
      </c>
      <c r="C131" s="4">
        <v>6</v>
      </c>
      <c r="D131" s="4">
        <v>5</v>
      </c>
      <c r="E131" s="4">
        <v>1</v>
      </c>
      <c r="F131" s="4">
        <v>1</v>
      </c>
      <c r="G131" s="4">
        <v>1</v>
      </c>
      <c r="H131" s="4">
        <v>1</v>
      </c>
      <c r="I131" s="4">
        <v>0</v>
      </c>
      <c r="J131" s="4">
        <v>0</v>
      </c>
      <c r="K131" s="4">
        <v>0</v>
      </c>
      <c r="L131" s="2" t="s">
        <v>79</v>
      </c>
    </row>
    <row r="132" spans="1:12" x14ac:dyDescent="0.2">
      <c r="A132" s="4">
        <v>5.75</v>
      </c>
      <c r="B132" s="4">
        <v>14</v>
      </c>
      <c r="C132" s="4">
        <v>6</v>
      </c>
      <c r="D132" s="4">
        <v>5</v>
      </c>
      <c r="E132" s="4">
        <v>0</v>
      </c>
      <c r="F132" s="4">
        <v>1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2" t="s">
        <v>79</v>
      </c>
    </row>
    <row r="133" spans="1:12" x14ac:dyDescent="0.2">
      <c r="A133" s="4">
        <v>4.5</v>
      </c>
      <c r="B133" s="4">
        <v>14</v>
      </c>
      <c r="C133" s="4">
        <v>2</v>
      </c>
      <c r="D133" s="4">
        <v>5</v>
      </c>
      <c r="E133" s="4">
        <v>1</v>
      </c>
      <c r="F133" s="4">
        <v>0</v>
      </c>
      <c r="G133" s="4">
        <v>2</v>
      </c>
      <c r="H133" s="4">
        <v>0</v>
      </c>
      <c r="I133" s="4">
        <v>0</v>
      </c>
      <c r="J133" s="4">
        <v>1</v>
      </c>
      <c r="K133" s="4">
        <v>0</v>
      </c>
      <c r="L133" s="2" t="s">
        <v>79</v>
      </c>
    </row>
    <row r="134" spans="1:12" x14ac:dyDescent="0.2">
      <c r="A134" s="4">
        <v>4.5</v>
      </c>
      <c r="B134" s="4">
        <v>12</v>
      </c>
      <c r="C134" s="9">
        <v>43.93</v>
      </c>
      <c r="D134" s="4">
        <v>4</v>
      </c>
      <c r="E134" s="4">
        <v>1</v>
      </c>
      <c r="F134" s="4">
        <v>1</v>
      </c>
      <c r="G134" s="4">
        <v>0</v>
      </c>
      <c r="H134" s="4">
        <v>1</v>
      </c>
      <c r="I134" s="4">
        <v>0</v>
      </c>
      <c r="J134" s="4">
        <v>0</v>
      </c>
      <c r="K134" s="4">
        <v>0</v>
      </c>
      <c r="L134" s="2" t="s">
        <v>79</v>
      </c>
    </row>
    <row r="135" spans="1:12" x14ac:dyDescent="0.2">
      <c r="A135" s="4">
        <v>3.33</v>
      </c>
      <c r="B135" s="4">
        <v>12</v>
      </c>
      <c r="C135" s="9">
        <v>43.93</v>
      </c>
      <c r="D135" s="4">
        <v>4</v>
      </c>
      <c r="E135" s="4">
        <v>1</v>
      </c>
      <c r="F135" s="4">
        <v>1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2" t="s">
        <v>79</v>
      </c>
    </row>
    <row r="136" spans="1:12" x14ac:dyDescent="0.2">
      <c r="A136" s="4">
        <v>10</v>
      </c>
      <c r="B136" s="4">
        <v>14</v>
      </c>
      <c r="C136" s="4">
        <v>43</v>
      </c>
      <c r="D136" s="4">
        <v>4</v>
      </c>
      <c r="E136" s="10">
        <v>2</v>
      </c>
      <c r="F136" s="4">
        <v>1</v>
      </c>
      <c r="G136" s="4">
        <v>0</v>
      </c>
      <c r="H136" s="4">
        <v>1</v>
      </c>
      <c r="I136" s="4">
        <v>0</v>
      </c>
      <c r="J136" s="4">
        <v>0</v>
      </c>
      <c r="K136" s="4">
        <v>0</v>
      </c>
      <c r="L136" s="2" t="s">
        <v>79</v>
      </c>
    </row>
    <row r="137" spans="1:12" x14ac:dyDescent="0.2">
      <c r="A137" s="4">
        <v>4.5</v>
      </c>
      <c r="B137" s="4">
        <v>12</v>
      </c>
      <c r="C137" s="4">
        <v>31</v>
      </c>
      <c r="D137" s="4">
        <v>4</v>
      </c>
      <c r="E137" s="4">
        <v>1</v>
      </c>
      <c r="F137" s="4">
        <v>1</v>
      </c>
      <c r="G137" s="4">
        <v>3</v>
      </c>
      <c r="H137" s="4">
        <v>0</v>
      </c>
      <c r="I137" s="4">
        <v>1</v>
      </c>
      <c r="J137" s="4">
        <v>0</v>
      </c>
      <c r="K137" s="4">
        <v>0</v>
      </c>
      <c r="L137" s="2" t="s">
        <v>79</v>
      </c>
    </row>
    <row r="138" spans="1:12" x14ac:dyDescent="0.2">
      <c r="A138" s="4">
        <v>4.2699999999999996</v>
      </c>
      <c r="B138" s="4">
        <v>16</v>
      </c>
      <c r="C138" s="4">
        <v>22</v>
      </c>
      <c r="D138" s="4">
        <v>4</v>
      </c>
      <c r="E138" s="4">
        <v>1</v>
      </c>
      <c r="F138" s="4">
        <v>1</v>
      </c>
      <c r="G138" s="4">
        <v>1</v>
      </c>
      <c r="H138" s="4">
        <v>0</v>
      </c>
      <c r="I138" s="4">
        <v>0</v>
      </c>
      <c r="J138" s="4">
        <v>1</v>
      </c>
      <c r="K138" s="4">
        <v>0</v>
      </c>
      <c r="L138" s="2" t="s">
        <v>79</v>
      </c>
    </row>
    <row r="139" spans="1:12" x14ac:dyDescent="0.2">
      <c r="A139" s="4">
        <v>20</v>
      </c>
      <c r="B139" s="4">
        <v>12</v>
      </c>
      <c r="C139" s="4">
        <v>22</v>
      </c>
      <c r="D139" s="4">
        <v>4</v>
      </c>
      <c r="E139" s="4">
        <v>0</v>
      </c>
      <c r="F139" s="4">
        <v>1</v>
      </c>
      <c r="G139" s="4">
        <v>1</v>
      </c>
      <c r="H139" s="4">
        <v>0</v>
      </c>
      <c r="I139" s="4">
        <v>1</v>
      </c>
      <c r="J139" s="4">
        <v>0</v>
      </c>
      <c r="K139" s="4">
        <v>0</v>
      </c>
      <c r="L139" s="2" t="s">
        <v>79</v>
      </c>
    </row>
    <row r="140" spans="1:12" x14ac:dyDescent="0.2">
      <c r="A140" s="4">
        <v>3.5</v>
      </c>
      <c r="B140" s="4">
        <v>12</v>
      </c>
      <c r="C140" s="4">
        <v>20</v>
      </c>
      <c r="D140" s="4">
        <v>4</v>
      </c>
      <c r="E140" s="4">
        <v>1</v>
      </c>
      <c r="F140" s="4">
        <v>1</v>
      </c>
      <c r="G140" s="4">
        <v>2</v>
      </c>
      <c r="H140" s="4">
        <v>0</v>
      </c>
      <c r="I140" s="4">
        <v>0</v>
      </c>
      <c r="J140" s="4">
        <v>0</v>
      </c>
      <c r="K140" s="4">
        <v>0</v>
      </c>
      <c r="L140" s="2" t="s">
        <v>79</v>
      </c>
    </row>
    <row r="141" spans="1:12" x14ac:dyDescent="0.2">
      <c r="A141" s="4">
        <v>6</v>
      </c>
      <c r="B141" s="4">
        <v>15</v>
      </c>
      <c r="C141" s="4">
        <v>19</v>
      </c>
      <c r="D141" s="4">
        <v>4</v>
      </c>
      <c r="E141" s="4">
        <v>1</v>
      </c>
      <c r="F141" s="4">
        <v>1</v>
      </c>
      <c r="G141" s="4">
        <v>2</v>
      </c>
      <c r="H141" s="4">
        <v>0</v>
      </c>
      <c r="I141" s="4">
        <v>1</v>
      </c>
      <c r="J141" s="4">
        <v>0</v>
      </c>
      <c r="K141" s="4">
        <v>0</v>
      </c>
      <c r="L141" s="2" t="s">
        <v>79</v>
      </c>
    </row>
    <row r="142" spans="1:12" x14ac:dyDescent="0.2">
      <c r="A142" s="4">
        <v>8</v>
      </c>
      <c r="B142" s="4">
        <v>12</v>
      </c>
      <c r="C142" s="4">
        <v>14</v>
      </c>
      <c r="D142" s="4">
        <v>4</v>
      </c>
      <c r="E142" s="4">
        <v>1</v>
      </c>
      <c r="F142" s="4">
        <v>0</v>
      </c>
      <c r="G142" s="4">
        <v>1</v>
      </c>
      <c r="H142" s="4">
        <v>0</v>
      </c>
      <c r="I142" s="4">
        <v>0</v>
      </c>
      <c r="J142" s="4">
        <v>0</v>
      </c>
      <c r="K142" s="4">
        <v>0</v>
      </c>
      <c r="L142" s="2" t="s">
        <v>79</v>
      </c>
    </row>
    <row r="143" spans="1:12" x14ac:dyDescent="0.2">
      <c r="A143" s="4">
        <v>6.25</v>
      </c>
      <c r="B143" s="4">
        <v>15</v>
      </c>
      <c r="C143" s="4">
        <v>12</v>
      </c>
      <c r="D143" s="4">
        <v>4</v>
      </c>
      <c r="E143" s="4">
        <v>1</v>
      </c>
      <c r="F143" s="4">
        <v>1</v>
      </c>
      <c r="G143" s="4">
        <v>2</v>
      </c>
      <c r="H143" s="4">
        <v>0</v>
      </c>
      <c r="I143" s="4">
        <v>0</v>
      </c>
      <c r="J143" s="4">
        <v>0</v>
      </c>
      <c r="K143" s="4">
        <v>0</v>
      </c>
      <c r="L143" s="2" t="s">
        <v>79</v>
      </c>
    </row>
    <row r="144" spans="1:12" x14ac:dyDescent="0.2">
      <c r="A144" s="4">
        <v>6.88</v>
      </c>
      <c r="B144" s="10">
        <v>12</v>
      </c>
      <c r="C144" s="4">
        <v>11</v>
      </c>
      <c r="D144" s="4">
        <v>4</v>
      </c>
      <c r="E144" s="4">
        <v>1</v>
      </c>
      <c r="F144" s="4">
        <v>0</v>
      </c>
      <c r="G144" s="4">
        <v>0</v>
      </c>
      <c r="H144" s="4">
        <v>0</v>
      </c>
      <c r="I144" s="4">
        <v>0</v>
      </c>
      <c r="J144" s="4">
        <v>1</v>
      </c>
      <c r="K144" s="4">
        <v>0</v>
      </c>
      <c r="L144" s="2" t="s">
        <v>79</v>
      </c>
    </row>
    <row r="145" spans="1:12" x14ac:dyDescent="0.2">
      <c r="A145" s="4">
        <v>6.25</v>
      </c>
      <c r="B145" s="4">
        <v>16</v>
      </c>
      <c r="C145" s="4">
        <v>11</v>
      </c>
      <c r="D145" s="4">
        <v>4</v>
      </c>
      <c r="E145" s="4">
        <v>0</v>
      </c>
      <c r="F145" s="4">
        <v>0</v>
      </c>
      <c r="G145" s="4">
        <v>0</v>
      </c>
      <c r="H145" s="4">
        <v>1</v>
      </c>
      <c r="I145" s="4">
        <v>0</v>
      </c>
      <c r="J145" s="4">
        <v>0</v>
      </c>
      <c r="K145" s="4">
        <v>0</v>
      </c>
      <c r="L145" s="2" t="s">
        <v>79</v>
      </c>
    </row>
    <row r="146" spans="1:12" x14ac:dyDescent="0.2">
      <c r="A146" s="4">
        <v>6.38</v>
      </c>
      <c r="B146" s="4">
        <v>13</v>
      </c>
      <c r="C146" s="4">
        <v>11</v>
      </c>
      <c r="D146" s="4">
        <v>4</v>
      </c>
      <c r="E146" s="4">
        <v>1</v>
      </c>
      <c r="F146" s="4">
        <v>0</v>
      </c>
      <c r="G146" s="4">
        <v>0</v>
      </c>
      <c r="H146" s="4">
        <v>0</v>
      </c>
      <c r="I146" s="4">
        <v>0</v>
      </c>
      <c r="J146" s="4">
        <v>1</v>
      </c>
      <c r="K146" s="4">
        <v>0</v>
      </c>
      <c r="L146" s="2" t="s">
        <v>79</v>
      </c>
    </row>
    <row r="147" spans="1:12" x14ac:dyDescent="0.2">
      <c r="A147" s="4">
        <v>5.78</v>
      </c>
      <c r="B147" s="4">
        <v>16</v>
      </c>
      <c r="C147" s="4">
        <v>11</v>
      </c>
      <c r="D147" s="4">
        <v>4</v>
      </c>
      <c r="E147" s="4">
        <v>0</v>
      </c>
      <c r="F147" s="4">
        <v>1</v>
      </c>
      <c r="G147" s="4">
        <v>2</v>
      </c>
      <c r="H147" s="4">
        <v>1</v>
      </c>
      <c r="I147" s="4">
        <v>0</v>
      </c>
      <c r="J147" s="4">
        <v>0</v>
      </c>
      <c r="K147" s="4">
        <v>0</v>
      </c>
      <c r="L147" s="2" t="s">
        <v>79</v>
      </c>
    </row>
    <row r="148" spans="1:12" x14ac:dyDescent="0.2">
      <c r="A148" s="4">
        <v>7.63</v>
      </c>
      <c r="B148" s="4">
        <v>12</v>
      </c>
      <c r="C148" s="4">
        <v>8</v>
      </c>
      <c r="D148" s="4">
        <v>4</v>
      </c>
      <c r="E148" s="4">
        <v>1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2" t="s">
        <v>79</v>
      </c>
    </row>
    <row r="149" spans="1:12" x14ac:dyDescent="0.2">
      <c r="A149" s="4">
        <v>3.75</v>
      </c>
      <c r="B149" s="10">
        <v>12</v>
      </c>
      <c r="C149" s="4">
        <v>8</v>
      </c>
      <c r="D149" s="4">
        <v>4</v>
      </c>
      <c r="E149" s="4">
        <v>1</v>
      </c>
      <c r="F149" s="4">
        <v>1</v>
      </c>
      <c r="G149" s="4">
        <v>0</v>
      </c>
      <c r="H149" s="4">
        <v>0</v>
      </c>
      <c r="I149" s="4">
        <v>1</v>
      </c>
      <c r="J149" s="4">
        <v>0</v>
      </c>
      <c r="K149" s="4">
        <v>0</v>
      </c>
      <c r="L149" s="2" t="s">
        <v>79</v>
      </c>
    </row>
    <row r="150" spans="1:12" x14ac:dyDescent="0.2">
      <c r="A150" s="4">
        <v>6.25</v>
      </c>
      <c r="B150" s="10">
        <v>12</v>
      </c>
      <c r="C150" s="4">
        <v>7</v>
      </c>
      <c r="D150" s="4">
        <v>4</v>
      </c>
      <c r="E150" s="4">
        <v>1</v>
      </c>
      <c r="F150" s="4">
        <v>1</v>
      </c>
      <c r="G150" s="4">
        <v>3</v>
      </c>
      <c r="H150" s="4">
        <v>0</v>
      </c>
      <c r="I150" s="4">
        <v>0</v>
      </c>
      <c r="J150" s="4">
        <v>0</v>
      </c>
      <c r="K150" s="4">
        <v>0</v>
      </c>
      <c r="L150" s="2" t="s">
        <v>79</v>
      </c>
    </row>
    <row r="151" spans="1:12" x14ac:dyDescent="0.2">
      <c r="A151" s="4">
        <v>3.5</v>
      </c>
      <c r="B151" s="4">
        <v>14</v>
      </c>
      <c r="C151" s="4">
        <v>5</v>
      </c>
      <c r="D151" s="4">
        <v>4</v>
      </c>
      <c r="E151" s="4">
        <v>1</v>
      </c>
      <c r="F151" s="4">
        <v>0</v>
      </c>
      <c r="G151" s="4">
        <v>2</v>
      </c>
      <c r="H151" s="4">
        <v>0</v>
      </c>
      <c r="I151" s="4">
        <v>0</v>
      </c>
      <c r="J151" s="4">
        <v>1</v>
      </c>
      <c r="K151" s="4">
        <v>0</v>
      </c>
      <c r="L151" s="2" t="s">
        <v>79</v>
      </c>
    </row>
    <row r="152" spans="1:12" x14ac:dyDescent="0.2">
      <c r="A152" s="4">
        <v>3.35</v>
      </c>
      <c r="B152" s="4">
        <v>14</v>
      </c>
      <c r="C152" s="4">
        <v>5</v>
      </c>
      <c r="D152" s="4">
        <v>4</v>
      </c>
      <c r="E152" s="4">
        <v>1</v>
      </c>
      <c r="F152" s="4">
        <v>1</v>
      </c>
      <c r="G152" s="4">
        <v>0</v>
      </c>
      <c r="H152" s="4">
        <v>1</v>
      </c>
      <c r="I152" s="4">
        <v>0</v>
      </c>
      <c r="J152" s="4">
        <v>0</v>
      </c>
      <c r="K152" s="4">
        <v>0</v>
      </c>
      <c r="L152" s="2" t="s">
        <v>79</v>
      </c>
    </row>
    <row r="153" spans="1:12" x14ac:dyDescent="0.2">
      <c r="A153" s="4">
        <v>6.88</v>
      </c>
      <c r="B153" s="10">
        <v>12</v>
      </c>
      <c r="C153" s="4">
        <v>4</v>
      </c>
      <c r="D153" s="4">
        <v>4</v>
      </c>
      <c r="E153" s="4">
        <v>0</v>
      </c>
      <c r="F153" s="4">
        <v>0</v>
      </c>
      <c r="G153" s="4">
        <v>0</v>
      </c>
      <c r="H153" s="4">
        <v>1</v>
      </c>
      <c r="I153" s="4">
        <v>0</v>
      </c>
      <c r="J153" s="4">
        <v>0</v>
      </c>
      <c r="K153" s="4">
        <v>0</v>
      </c>
      <c r="L153" s="2" t="s">
        <v>79</v>
      </c>
    </row>
    <row r="154" spans="1:12" x14ac:dyDescent="0.2">
      <c r="A154" s="4">
        <v>5.77</v>
      </c>
      <c r="B154" s="4">
        <v>10</v>
      </c>
      <c r="C154" s="9">
        <v>43.93</v>
      </c>
      <c r="D154" s="4">
        <v>3</v>
      </c>
      <c r="E154" s="4">
        <v>0</v>
      </c>
      <c r="F154" s="4">
        <v>1</v>
      </c>
      <c r="G154" s="4">
        <v>0</v>
      </c>
      <c r="H154" s="4">
        <v>1</v>
      </c>
      <c r="I154" s="4">
        <v>0</v>
      </c>
      <c r="J154" s="4">
        <v>0</v>
      </c>
      <c r="K154" s="4">
        <v>0</v>
      </c>
      <c r="L154" s="2" t="s">
        <v>79</v>
      </c>
    </row>
    <row r="155" spans="1:12" x14ac:dyDescent="0.2">
      <c r="A155" s="4">
        <v>8.1</v>
      </c>
      <c r="B155" s="4">
        <v>12</v>
      </c>
      <c r="C155" s="4">
        <v>38</v>
      </c>
      <c r="D155" s="4">
        <v>3</v>
      </c>
      <c r="E155" s="4">
        <v>1</v>
      </c>
      <c r="F155" s="4">
        <v>1</v>
      </c>
      <c r="G155" s="4">
        <v>1</v>
      </c>
      <c r="H155" s="4">
        <v>1</v>
      </c>
      <c r="I155" s="4">
        <v>0</v>
      </c>
      <c r="J155" s="4">
        <v>0</v>
      </c>
      <c r="K155" s="4">
        <v>0</v>
      </c>
      <c r="L155" s="2" t="s">
        <v>79</v>
      </c>
    </row>
    <row r="156" spans="1:12" x14ac:dyDescent="0.2">
      <c r="A156" s="4">
        <v>5.48</v>
      </c>
      <c r="B156" s="4">
        <v>10</v>
      </c>
      <c r="C156" s="4">
        <v>36</v>
      </c>
      <c r="D156" s="4">
        <v>3</v>
      </c>
      <c r="E156" s="4">
        <v>1</v>
      </c>
      <c r="F156" s="4">
        <v>1</v>
      </c>
      <c r="G156" s="4">
        <v>0</v>
      </c>
      <c r="H156" s="4">
        <v>0</v>
      </c>
      <c r="I156" s="4">
        <v>1</v>
      </c>
      <c r="J156" s="4">
        <v>0</v>
      </c>
      <c r="K156" s="4">
        <v>0</v>
      </c>
      <c r="L156" s="2" t="s">
        <v>79</v>
      </c>
    </row>
    <row r="157" spans="1:12" x14ac:dyDescent="0.2">
      <c r="A157" s="4">
        <v>3</v>
      </c>
      <c r="B157" s="4">
        <v>14</v>
      </c>
      <c r="C157" s="4">
        <v>33</v>
      </c>
      <c r="D157" s="4">
        <v>3</v>
      </c>
      <c r="E157" s="4">
        <v>1</v>
      </c>
      <c r="F157" s="4">
        <v>1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2" t="s">
        <v>79</v>
      </c>
    </row>
    <row r="158" spans="1:12" x14ac:dyDescent="0.2">
      <c r="A158" s="4">
        <v>5.52</v>
      </c>
      <c r="B158" s="4">
        <v>13</v>
      </c>
      <c r="C158" s="4">
        <v>31</v>
      </c>
      <c r="D158" s="4">
        <v>3</v>
      </c>
      <c r="E158" s="4">
        <v>0</v>
      </c>
      <c r="F158" s="4">
        <v>0</v>
      </c>
      <c r="G158" s="4">
        <v>0</v>
      </c>
      <c r="H158" s="4">
        <v>0</v>
      </c>
      <c r="I158" s="4">
        <v>1</v>
      </c>
      <c r="J158" s="4">
        <v>0</v>
      </c>
      <c r="K158" s="4">
        <v>0</v>
      </c>
      <c r="L158" s="2" t="s">
        <v>79</v>
      </c>
    </row>
    <row r="159" spans="1:12" x14ac:dyDescent="0.2">
      <c r="A159" s="4">
        <v>3.5</v>
      </c>
      <c r="B159" s="4">
        <v>12</v>
      </c>
      <c r="C159" s="4">
        <v>31</v>
      </c>
      <c r="D159" s="4">
        <v>3</v>
      </c>
      <c r="E159" s="4">
        <v>1</v>
      </c>
      <c r="F159" s="4">
        <v>0</v>
      </c>
      <c r="G159" s="4">
        <v>1</v>
      </c>
      <c r="H159" s="4">
        <v>0</v>
      </c>
      <c r="I159" s="4">
        <v>0</v>
      </c>
      <c r="J159" s="4">
        <v>1</v>
      </c>
      <c r="K159" s="4">
        <v>0</v>
      </c>
      <c r="L159" s="2" t="s">
        <v>79</v>
      </c>
    </row>
    <row r="160" spans="1:12" x14ac:dyDescent="0.2">
      <c r="A160" s="4">
        <v>2.23</v>
      </c>
      <c r="B160" s="4">
        <v>8</v>
      </c>
      <c r="C160" s="4">
        <v>28</v>
      </c>
      <c r="D160" s="4">
        <v>3</v>
      </c>
      <c r="E160" s="4">
        <v>0</v>
      </c>
      <c r="F160" s="4">
        <v>1</v>
      </c>
      <c r="G160" s="4">
        <v>4</v>
      </c>
      <c r="H160" s="4">
        <v>0</v>
      </c>
      <c r="I160" s="4">
        <v>1</v>
      </c>
      <c r="J160" s="4">
        <v>0</v>
      </c>
      <c r="K160" s="4">
        <v>0</v>
      </c>
      <c r="L160" s="2" t="s">
        <v>79</v>
      </c>
    </row>
    <row r="161" spans="1:12" x14ac:dyDescent="0.2">
      <c r="A161" s="4">
        <v>8.43</v>
      </c>
      <c r="B161" s="4">
        <v>8</v>
      </c>
      <c r="C161" s="4">
        <v>27</v>
      </c>
      <c r="D161" s="4">
        <v>3</v>
      </c>
      <c r="E161" s="4">
        <v>0</v>
      </c>
      <c r="F161" s="4">
        <v>1</v>
      </c>
      <c r="G161" s="4">
        <v>3</v>
      </c>
      <c r="H161" s="4">
        <v>0</v>
      </c>
      <c r="I161" s="4">
        <v>1</v>
      </c>
      <c r="J161" s="4">
        <v>0</v>
      </c>
      <c r="K161" s="4">
        <v>0</v>
      </c>
      <c r="L161" s="2" t="s">
        <v>79</v>
      </c>
    </row>
    <row r="162" spans="1:12" x14ac:dyDescent="0.2">
      <c r="A162" s="4">
        <v>10</v>
      </c>
      <c r="B162" s="4">
        <v>12</v>
      </c>
      <c r="C162" s="4">
        <v>25</v>
      </c>
      <c r="D162" s="4">
        <v>3</v>
      </c>
      <c r="E162" s="4">
        <v>0</v>
      </c>
      <c r="F162" s="4">
        <v>1</v>
      </c>
      <c r="G162" s="4">
        <v>3</v>
      </c>
      <c r="H162" s="4">
        <v>0</v>
      </c>
      <c r="I162" s="4">
        <v>0</v>
      </c>
      <c r="J162" s="4">
        <v>0</v>
      </c>
      <c r="K162" s="4">
        <v>0</v>
      </c>
      <c r="L162" s="2" t="s">
        <v>79</v>
      </c>
    </row>
    <row r="163" spans="1:12" x14ac:dyDescent="0.2">
      <c r="A163" s="4">
        <v>8.02</v>
      </c>
      <c r="B163" s="4">
        <v>18</v>
      </c>
      <c r="C163" s="4">
        <v>23</v>
      </c>
      <c r="D163" s="4">
        <v>3</v>
      </c>
      <c r="E163" s="4">
        <v>1</v>
      </c>
      <c r="F163" s="4">
        <v>1</v>
      </c>
      <c r="G163" s="4">
        <v>1</v>
      </c>
      <c r="H163" s="4">
        <v>0</v>
      </c>
      <c r="I163" s="4">
        <v>1</v>
      </c>
      <c r="J163" s="4">
        <v>0</v>
      </c>
      <c r="K163" s="4">
        <v>0</v>
      </c>
      <c r="L163" s="2" t="s">
        <v>79</v>
      </c>
    </row>
    <row r="164" spans="1:12" x14ac:dyDescent="0.2">
      <c r="A164" s="4">
        <v>4</v>
      </c>
      <c r="B164" s="4">
        <v>14</v>
      </c>
      <c r="C164" s="4">
        <v>22</v>
      </c>
      <c r="D164" s="4">
        <v>3</v>
      </c>
      <c r="E164" s="4">
        <v>1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1</v>
      </c>
      <c r="L164" s="2" t="s">
        <v>79</v>
      </c>
    </row>
    <row r="165" spans="1:12" x14ac:dyDescent="0.2">
      <c r="A165" s="4">
        <v>6.63</v>
      </c>
      <c r="B165" s="4">
        <v>15</v>
      </c>
      <c r="C165" s="4">
        <v>21</v>
      </c>
      <c r="D165" s="4">
        <v>3</v>
      </c>
      <c r="E165" s="4">
        <v>1</v>
      </c>
      <c r="F165" s="4">
        <v>1</v>
      </c>
      <c r="G165" s="4">
        <v>2</v>
      </c>
      <c r="H165" s="4">
        <v>0</v>
      </c>
      <c r="I165" s="4">
        <v>0</v>
      </c>
      <c r="J165" s="4">
        <v>1</v>
      </c>
      <c r="K165" s="4">
        <v>0</v>
      </c>
      <c r="L165" s="2" t="s">
        <v>79</v>
      </c>
    </row>
    <row r="166" spans="1:12" x14ac:dyDescent="0.2">
      <c r="A166" s="4">
        <v>6.76</v>
      </c>
      <c r="B166" s="4">
        <v>12</v>
      </c>
      <c r="C166" s="4">
        <v>19</v>
      </c>
      <c r="D166" s="4">
        <v>3</v>
      </c>
      <c r="E166" s="4">
        <v>0</v>
      </c>
      <c r="F166" s="4">
        <v>1</v>
      </c>
      <c r="G166" s="4">
        <v>2</v>
      </c>
      <c r="H166" s="4">
        <v>0</v>
      </c>
      <c r="I166" s="4">
        <v>0</v>
      </c>
      <c r="J166" s="4">
        <v>0</v>
      </c>
      <c r="K166" s="4">
        <v>0</v>
      </c>
      <c r="L166" s="2" t="s">
        <v>79</v>
      </c>
    </row>
    <row r="167" spans="1:12" x14ac:dyDescent="0.2">
      <c r="A167" s="4">
        <v>3.26</v>
      </c>
      <c r="B167" s="4">
        <v>12</v>
      </c>
      <c r="C167" s="4">
        <v>13</v>
      </c>
      <c r="D167" s="4">
        <v>3</v>
      </c>
      <c r="E167" s="4">
        <v>1</v>
      </c>
      <c r="F167" s="4">
        <v>1</v>
      </c>
      <c r="G167" s="4">
        <v>1</v>
      </c>
      <c r="H167" s="4">
        <v>0</v>
      </c>
      <c r="I167" s="4">
        <v>0</v>
      </c>
      <c r="J167" s="4">
        <v>0</v>
      </c>
      <c r="K167" s="4">
        <v>0</v>
      </c>
      <c r="L167" s="2" t="s">
        <v>79</v>
      </c>
    </row>
    <row r="168" spans="1:12" x14ac:dyDescent="0.2">
      <c r="A168" s="4">
        <v>4.79</v>
      </c>
      <c r="B168" s="4">
        <v>12</v>
      </c>
      <c r="C168" s="4">
        <v>12</v>
      </c>
      <c r="D168" s="4">
        <v>3</v>
      </c>
      <c r="E168" s="4">
        <v>1</v>
      </c>
      <c r="F168" s="4">
        <v>1</v>
      </c>
      <c r="G168" s="4">
        <v>3</v>
      </c>
      <c r="H168" s="4">
        <v>1</v>
      </c>
      <c r="I168" s="4">
        <v>0</v>
      </c>
      <c r="J168" s="4">
        <v>0</v>
      </c>
      <c r="K168" s="4">
        <v>0</v>
      </c>
      <c r="L168" s="2" t="s">
        <v>79</v>
      </c>
    </row>
    <row r="169" spans="1:12" x14ac:dyDescent="0.2">
      <c r="A169" s="4">
        <v>3.88</v>
      </c>
      <c r="B169" s="4">
        <v>12</v>
      </c>
      <c r="C169" s="4">
        <v>12</v>
      </c>
      <c r="D169" s="4">
        <v>3</v>
      </c>
      <c r="E169" s="4">
        <v>0</v>
      </c>
      <c r="F169" s="4">
        <v>1</v>
      </c>
      <c r="G169" s="4">
        <v>3</v>
      </c>
      <c r="H169" s="4">
        <v>0</v>
      </c>
      <c r="I169" s="4">
        <v>1</v>
      </c>
      <c r="J169" s="4">
        <v>0</v>
      </c>
      <c r="K169" s="4">
        <v>0</v>
      </c>
      <c r="L169" s="2" t="s">
        <v>79</v>
      </c>
    </row>
    <row r="170" spans="1:12" x14ac:dyDescent="0.2">
      <c r="A170" s="4">
        <v>6</v>
      </c>
      <c r="B170" s="4">
        <v>14</v>
      </c>
      <c r="C170" s="4">
        <v>11</v>
      </c>
      <c r="D170" s="4">
        <v>3</v>
      </c>
      <c r="E170" s="4">
        <v>1</v>
      </c>
      <c r="F170" s="4">
        <v>1</v>
      </c>
      <c r="G170" s="4">
        <v>2</v>
      </c>
      <c r="H170" s="4">
        <v>0</v>
      </c>
      <c r="I170" s="4">
        <v>1</v>
      </c>
      <c r="J170" s="4">
        <v>0</v>
      </c>
      <c r="K170" s="4">
        <v>0</v>
      </c>
      <c r="L170" s="2" t="s">
        <v>79</v>
      </c>
    </row>
    <row r="171" spans="1:12" x14ac:dyDescent="0.2">
      <c r="A171" s="4">
        <v>4.2</v>
      </c>
      <c r="B171" s="4">
        <v>13</v>
      </c>
      <c r="C171" s="4">
        <v>11</v>
      </c>
      <c r="D171" s="4">
        <v>3</v>
      </c>
      <c r="E171" s="4">
        <v>1</v>
      </c>
      <c r="F171" s="4">
        <v>1</v>
      </c>
      <c r="G171" s="4">
        <v>2</v>
      </c>
      <c r="H171" s="4">
        <v>1</v>
      </c>
      <c r="I171" s="4">
        <v>0</v>
      </c>
      <c r="J171" s="4">
        <v>0</v>
      </c>
      <c r="K171" s="4">
        <v>0</v>
      </c>
      <c r="L171" s="2" t="s">
        <v>79</v>
      </c>
    </row>
    <row r="172" spans="1:12" x14ac:dyDescent="0.2">
      <c r="A172" s="4">
        <v>6.29</v>
      </c>
      <c r="B172" s="4">
        <v>17</v>
      </c>
      <c r="C172" s="4">
        <v>10</v>
      </c>
      <c r="D172" s="4">
        <v>3</v>
      </c>
      <c r="E172" s="4">
        <v>0</v>
      </c>
      <c r="F172" s="4">
        <v>1</v>
      </c>
      <c r="G172" s="4">
        <v>1</v>
      </c>
      <c r="H172" s="4">
        <v>0</v>
      </c>
      <c r="I172" s="4">
        <v>1</v>
      </c>
      <c r="J172" s="4">
        <v>0</v>
      </c>
      <c r="K172" s="4">
        <v>0</v>
      </c>
      <c r="L172" s="2" t="s">
        <v>79</v>
      </c>
    </row>
    <row r="173" spans="1:12" x14ac:dyDescent="0.2">
      <c r="A173" s="4">
        <v>5.43</v>
      </c>
      <c r="B173" s="4">
        <v>14</v>
      </c>
      <c r="C173" s="4">
        <v>10</v>
      </c>
      <c r="D173" s="4">
        <v>3</v>
      </c>
      <c r="E173" s="4">
        <v>0</v>
      </c>
      <c r="F173" s="4">
        <v>1</v>
      </c>
      <c r="G173" s="4">
        <v>1</v>
      </c>
      <c r="H173" s="4">
        <v>0</v>
      </c>
      <c r="I173" s="4">
        <v>1</v>
      </c>
      <c r="J173" s="4">
        <v>0</v>
      </c>
      <c r="K173" s="4">
        <v>0</v>
      </c>
      <c r="L173" s="2" t="s">
        <v>79</v>
      </c>
    </row>
    <row r="174" spans="1:12" x14ac:dyDescent="0.2">
      <c r="A174" s="4">
        <v>17.71</v>
      </c>
      <c r="B174" s="4">
        <v>16</v>
      </c>
      <c r="C174" s="4">
        <v>10</v>
      </c>
      <c r="D174" s="4">
        <v>3</v>
      </c>
      <c r="E174" s="4">
        <v>0</v>
      </c>
      <c r="F174" s="4">
        <v>1</v>
      </c>
      <c r="G174" s="4">
        <v>1</v>
      </c>
      <c r="H174" s="4">
        <v>0</v>
      </c>
      <c r="I174" s="4">
        <v>0</v>
      </c>
      <c r="J174" s="4">
        <v>1</v>
      </c>
      <c r="K174" s="4">
        <v>1</v>
      </c>
      <c r="L174" s="2" t="s">
        <v>79</v>
      </c>
    </row>
    <row r="175" spans="1:12" x14ac:dyDescent="0.2">
      <c r="A175" s="4">
        <v>7.78</v>
      </c>
      <c r="B175" s="4">
        <v>14</v>
      </c>
      <c r="C175" s="4">
        <v>9</v>
      </c>
      <c r="D175" s="4">
        <v>3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2" t="s">
        <v>79</v>
      </c>
    </row>
    <row r="176" spans="1:12" x14ac:dyDescent="0.2">
      <c r="A176" s="4">
        <v>10</v>
      </c>
      <c r="B176" s="4">
        <v>16</v>
      </c>
      <c r="C176" s="4">
        <v>9</v>
      </c>
      <c r="D176" s="4">
        <v>3</v>
      </c>
      <c r="E176" s="4">
        <v>0</v>
      </c>
      <c r="F176" s="4">
        <v>1</v>
      </c>
      <c r="G176" s="4">
        <v>2</v>
      </c>
      <c r="H176" s="4">
        <v>0</v>
      </c>
      <c r="I176" s="4">
        <v>1</v>
      </c>
      <c r="J176" s="4">
        <v>0</v>
      </c>
      <c r="K176" s="4">
        <v>0</v>
      </c>
      <c r="L176" s="2" t="s">
        <v>79</v>
      </c>
    </row>
    <row r="177" spans="1:12" x14ac:dyDescent="0.2">
      <c r="A177" s="4">
        <v>5</v>
      </c>
      <c r="B177" s="4">
        <v>12</v>
      </c>
      <c r="C177" s="4">
        <v>7</v>
      </c>
      <c r="D177" s="4">
        <v>3</v>
      </c>
      <c r="E177" s="4">
        <v>1</v>
      </c>
      <c r="F177" s="4">
        <v>0</v>
      </c>
      <c r="G177" s="4">
        <v>0</v>
      </c>
      <c r="H177" s="4">
        <v>0</v>
      </c>
      <c r="I177" s="4">
        <v>0</v>
      </c>
      <c r="J177" s="4">
        <v>1</v>
      </c>
      <c r="K177" s="4">
        <v>0</v>
      </c>
      <c r="L177" s="2" t="s">
        <v>79</v>
      </c>
    </row>
    <row r="178" spans="1:12" x14ac:dyDescent="0.2">
      <c r="A178" s="4">
        <v>5.4</v>
      </c>
      <c r="B178" s="4">
        <v>12</v>
      </c>
      <c r="C178" s="4">
        <v>6</v>
      </c>
      <c r="D178" s="4">
        <v>3</v>
      </c>
      <c r="E178" s="4">
        <v>0</v>
      </c>
      <c r="F178" s="4">
        <v>1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2" t="s">
        <v>79</v>
      </c>
    </row>
    <row r="179" spans="1:12" x14ac:dyDescent="0.2">
      <c r="A179" s="4">
        <v>5</v>
      </c>
      <c r="B179" s="4">
        <v>12</v>
      </c>
      <c r="C179" s="4">
        <v>5</v>
      </c>
      <c r="D179" s="4">
        <v>3</v>
      </c>
      <c r="E179" s="4">
        <v>1</v>
      </c>
      <c r="F179" s="4">
        <v>0</v>
      </c>
      <c r="G179" s="4">
        <v>0</v>
      </c>
      <c r="H179" s="4">
        <v>0</v>
      </c>
      <c r="I179" s="4">
        <v>0</v>
      </c>
      <c r="J179" s="4">
        <v>1</v>
      </c>
      <c r="K179" s="4">
        <v>0</v>
      </c>
      <c r="L179" s="2" t="s">
        <v>79</v>
      </c>
    </row>
    <row r="180" spans="1:12" x14ac:dyDescent="0.2">
      <c r="A180" s="4">
        <v>10</v>
      </c>
      <c r="B180" s="4">
        <v>17</v>
      </c>
      <c r="C180" s="4">
        <v>5</v>
      </c>
      <c r="D180" s="4">
        <v>3</v>
      </c>
      <c r="E180" s="4">
        <v>0</v>
      </c>
      <c r="F180" s="4">
        <v>1</v>
      </c>
      <c r="G180" s="4">
        <v>0</v>
      </c>
      <c r="H180" s="4">
        <v>1</v>
      </c>
      <c r="I180" s="4">
        <v>0</v>
      </c>
      <c r="J180" s="4">
        <v>0</v>
      </c>
      <c r="K180" s="4">
        <v>0</v>
      </c>
      <c r="L180" s="2" t="s">
        <v>79</v>
      </c>
    </row>
    <row r="181" spans="1:12" x14ac:dyDescent="0.2">
      <c r="A181" s="4">
        <v>6.25</v>
      </c>
      <c r="B181" s="4">
        <v>16</v>
      </c>
      <c r="C181" s="4">
        <v>4</v>
      </c>
      <c r="D181" s="4">
        <v>3</v>
      </c>
      <c r="E181" s="4">
        <v>0</v>
      </c>
      <c r="F181" s="4">
        <v>1</v>
      </c>
      <c r="G181" s="4">
        <v>0</v>
      </c>
      <c r="H181" s="4">
        <v>0</v>
      </c>
      <c r="I181" s="4">
        <v>0</v>
      </c>
      <c r="J181" s="4">
        <v>1</v>
      </c>
      <c r="K181" s="4">
        <v>0</v>
      </c>
      <c r="L181" s="2" t="s">
        <v>79</v>
      </c>
    </row>
    <row r="182" spans="1:12" x14ac:dyDescent="0.2">
      <c r="A182" s="4">
        <v>8.92</v>
      </c>
      <c r="B182" s="4">
        <v>18</v>
      </c>
      <c r="C182" s="4">
        <v>3</v>
      </c>
      <c r="D182" s="4">
        <v>3</v>
      </c>
      <c r="E182" s="4">
        <v>0</v>
      </c>
      <c r="F182" s="4">
        <v>1</v>
      </c>
      <c r="G182" s="4">
        <v>0</v>
      </c>
      <c r="H182" s="4">
        <v>0</v>
      </c>
      <c r="I182" s="4">
        <v>1</v>
      </c>
      <c r="J182" s="4">
        <v>0</v>
      </c>
      <c r="K182" s="4">
        <v>0</v>
      </c>
      <c r="L182" s="2" t="s">
        <v>79</v>
      </c>
    </row>
    <row r="183" spans="1:12" x14ac:dyDescent="0.2">
      <c r="A183" s="4">
        <v>9.56</v>
      </c>
      <c r="B183" s="4">
        <v>16</v>
      </c>
      <c r="C183" s="4">
        <v>3</v>
      </c>
      <c r="D183" s="4">
        <v>3</v>
      </c>
      <c r="E183" s="4">
        <v>0</v>
      </c>
      <c r="F183" s="4">
        <v>1</v>
      </c>
      <c r="G183" s="4">
        <v>1</v>
      </c>
      <c r="H183" s="4">
        <v>0</v>
      </c>
      <c r="I183" s="4">
        <v>0</v>
      </c>
      <c r="J183" s="4">
        <v>1</v>
      </c>
      <c r="K183" s="4">
        <v>0</v>
      </c>
      <c r="L183" s="2" t="s">
        <v>79</v>
      </c>
    </row>
    <row r="184" spans="1:12" x14ac:dyDescent="0.2">
      <c r="A184" s="4">
        <v>3</v>
      </c>
      <c r="B184" s="4">
        <v>14</v>
      </c>
      <c r="C184" s="4">
        <v>3</v>
      </c>
      <c r="D184" s="4">
        <v>3</v>
      </c>
      <c r="E184" s="4">
        <v>1</v>
      </c>
      <c r="F184" s="4">
        <v>1</v>
      </c>
      <c r="G184" s="4">
        <v>0</v>
      </c>
      <c r="H184" s="4">
        <v>0</v>
      </c>
      <c r="I184" s="4">
        <v>0</v>
      </c>
      <c r="J184" s="4">
        <v>1</v>
      </c>
      <c r="K184" s="4">
        <v>0</v>
      </c>
      <c r="L184" s="2" t="s">
        <v>79</v>
      </c>
    </row>
    <row r="185" spans="1:12" x14ac:dyDescent="0.2">
      <c r="A185" s="4">
        <v>2.92</v>
      </c>
      <c r="B185" s="4">
        <v>14</v>
      </c>
      <c r="C185" s="4">
        <v>1</v>
      </c>
      <c r="D185" s="4">
        <v>3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2" t="s">
        <v>79</v>
      </c>
    </row>
    <row r="186" spans="1:12" x14ac:dyDescent="0.2">
      <c r="A186" s="4">
        <v>4.75</v>
      </c>
      <c r="B186" s="4">
        <v>12</v>
      </c>
      <c r="C186" s="9">
        <v>43.93</v>
      </c>
      <c r="D186" s="4">
        <v>2</v>
      </c>
      <c r="E186" s="4">
        <v>1</v>
      </c>
      <c r="F186" s="4">
        <v>1</v>
      </c>
      <c r="G186" s="4">
        <v>0</v>
      </c>
      <c r="H186" s="4">
        <v>1</v>
      </c>
      <c r="I186" s="4">
        <v>0</v>
      </c>
      <c r="J186" s="4">
        <v>0</v>
      </c>
      <c r="K186" s="4">
        <v>0</v>
      </c>
      <c r="L186" s="2" t="s">
        <v>79</v>
      </c>
    </row>
    <row r="187" spans="1:12" x14ac:dyDescent="0.2">
      <c r="A187" s="4">
        <v>5</v>
      </c>
      <c r="B187" s="10">
        <v>12</v>
      </c>
      <c r="C187" s="9">
        <v>43.93</v>
      </c>
      <c r="D187" s="4">
        <v>2</v>
      </c>
      <c r="E187" s="4">
        <v>0</v>
      </c>
      <c r="F187" s="4">
        <v>0</v>
      </c>
      <c r="G187" s="4">
        <v>0</v>
      </c>
      <c r="H187" s="4">
        <v>1</v>
      </c>
      <c r="I187" s="4">
        <v>0</v>
      </c>
      <c r="J187" s="4">
        <v>0</v>
      </c>
      <c r="K187" s="4">
        <v>0</v>
      </c>
      <c r="L187" s="2" t="s">
        <v>79</v>
      </c>
    </row>
    <row r="188" spans="1:12" x14ac:dyDescent="0.2">
      <c r="A188" s="4">
        <v>3.25</v>
      </c>
      <c r="B188" s="4">
        <v>12</v>
      </c>
      <c r="C188" s="4">
        <v>40</v>
      </c>
      <c r="D188" s="4">
        <v>2</v>
      </c>
      <c r="E188" s="4">
        <v>1</v>
      </c>
      <c r="F188" s="4">
        <v>0</v>
      </c>
      <c r="G188" s="4">
        <v>0</v>
      </c>
      <c r="H188" s="4">
        <v>1</v>
      </c>
      <c r="I188" s="4">
        <v>0</v>
      </c>
      <c r="J188" s="4">
        <v>0</v>
      </c>
      <c r="K188" s="4">
        <v>0</v>
      </c>
      <c r="L188" s="2" t="s">
        <v>79</v>
      </c>
    </row>
    <row r="189" spans="1:12" x14ac:dyDescent="0.2">
      <c r="A189" s="4">
        <v>4.55</v>
      </c>
      <c r="B189" s="4">
        <v>16</v>
      </c>
      <c r="C189" s="4">
        <v>34</v>
      </c>
      <c r="D189" s="4">
        <v>2</v>
      </c>
      <c r="E189" s="4">
        <v>0</v>
      </c>
      <c r="F189" s="4">
        <v>1</v>
      </c>
      <c r="G189" s="4">
        <v>0</v>
      </c>
      <c r="H189" s="4">
        <v>0</v>
      </c>
      <c r="I189" s="4">
        <v>1</v>
      </c>
      <c r="J189" s="4">
        <v>0</v>
      </c>
      <c r="K189" s="4">
        <v>0</v>
      </c>
      <c r="L189" s="2" t="s">
        <v>79</v>
      </c>
    </row>
    <row r="190" spans="1:12" x14ac:dyDescent="0.2">
      <c r="A190" s="4">
        <v>3.73</v>
      </c>
      <c r="B190" s="4">
        <v>9</v>
      </c>
      <c r="C190" s="4">
        <v>33</v>
      </c>
      <c r="D190" s="4">
        <v>2</v>
      </c>
      <c r="E190" s="10">
        <v>2</v>
      </c>
      <c r="F190" s="4">
        <v>0</v>
      </c>
      <c r="G190" s="4">
        <v>1</v>
      </c>
      <c r="H190" s="4">
        <v>1</v>
      </c>
      <c r="I190" s="4">
        <v>0</v>
      </c>
      <c r="J190" s="4">
        <v>0</v>
      </c>
      <c r="K190" s="4">
        <v>0</v>
      </c>
      <c r="L190" s="2" t="s">
        <v>79</v>
      </c>
    </row>
    <row r="191" spans="1:12" x14ac:dyDescent="0.2">
      <c r="A191" s="4">
        <v>6.5</v>
      </c>
      <c r="B191" s="4">
        <v>12</v>
      </c>
      <c r="C191" s="4">
        <v>33</v>
      </c>
      <c r="D191" s="4">
        <v>2</v>
      </c>
      <c r="E191" s="4">
        <v>0</v>
      </c>
      <c r="F191" s="4">
        <v>1</v>
      </c>
      <c r="G191" s="4">
        <v>0</v>
      </c>
      <c r="H191" s="4">
        <v>1</v>
      </c>
      <c r="I191" s="4">
        <v>0</v>
      </c>
      <c r="J191" s="4">
        <v>0</v>
      </c>
      <c r="K191" s="4">
        <v>0</v>
      </c>
      <c r="L191" s="2" t="s">
        <v>79</v>
      </c>
    </row>
    <row r="192" spans="1:12" x14ac:dyDescent="0.2">
      <c r="A192" s="4">
        <v>4.6500000000000004</v>
      </c>
      <c r="B192" s="4">
        <v>12</v>
      </c>
      <c r="C192" s="4">
        <v>27</v>
      </c>
      <c r="D192" s="4">
        <v>2</v>
      </c>
      <c r="E192" s="4">
        <v>0</v>
      </c>
      <c r="F192" s="4">
        <v>1</v>
      </c>
      <c r="G192" s="4">
        <v>3</v>
      </c>
      <c r="H192" s="4">
        <v>0</v>
      </c>
      <c r="I192" s="4">
        <v>1</v>
      </c>
      <c r="J192" s="4">
        <v>0</v>
      </c>
      <c r="K192" s="4">
        <v>0</v>
      </c>
      <c r="L192" s="2" t="s">
        <v>79</v>
      </c>
    </row>
    <row r="193" spans="1:12" x14ac:dyDescent="0.2">
      <c r="A193" s="4">
        <v>8</v>
      </c>
      <c r="B193" s="4">
        <v>12</v>
      </c>
      <c r="C193" s="4">
        <v>26</v>
      </c>
      <c r="D193" s="4">
        <v>2</v>
      </c>
      <c r="E193" s="4">
        <v>0</v>
      </c>
      <c r="F193" s="4">
        <v>1</v>
      </c>
      <c r="G193" s="4">
        <v>1</v>
      </c>
      <c r="H193" s="4">
        <v>1</v>
      </c>
      <c r="I193" s="4">
        <v>0</v>
      </c>
      <c r="J193" s="4">
        <v>0</v>
      </c>
      <c r="K193" s="4">
        <v>0</v>
      </c>
      <c r="L193" s="2" t="s">
        <v>79</v>
      </c>
    </row>
    <row r="194" spans="1:12" x14ac:dyDescent="0.2">
      <c r="A194" s="4">
        <v>4.5</v>
      </c>
      <c r="B194" s="4">
        <v>13</v>
      </c>
      <c r="C194" s="4">
        <v>23</v>
      </c>
      <c r="D194" s="4">
        <v>2</v>
      </c>
      <c r="E194" s="4">
        <v>1</v>
      </c>
      <c r="F194" s="4">
        <v>0</v>
      </c>
      <c r="G194" s="4">
        <v>0</v>
      </c>
      <c r="H194" s="4">
        <v>0</v>
      </c>
      <c r="I194" s="4">
        <v>1</v>
      </c>
      <c r="J194" s="4">
        <v>0</v>
      </c>
      <c r="K194" s="4">
        <v>0</v>
      </c>
      <c r="L194" s="2" t="s">
        <v>79</v>
      </c>
    </row>
    <row r="195" spans="1:12" x14ac:dyDescent="0.2">
      <c r="A195" s="4">
        <v>3.5</v>
      </c>
      <c r="B195" s="4">
        <v>11</v>
      </c>
      <c r="C195" s="4">
        <v>23</v>
      </c>
      <c r="D195" s="4">
        <v>2</v>
      </c>
      <c r="E195" s="4">
        <v>1</v>
      </c>
      <c r="F195" s="4">
        <v>0</v>
      </c>
      <c r="G195" s="4">
        <v>2</v>
      </c>
      <c r="H195" s="4">
        <v>0</v>
      </c>
      <c r="I195" s="4">
        <v>1</v>
      </c>
      <c r="J195" s="4">
        <v>0</v>
      </c>
      <c r="K195" s="4">
        <v>0</v>
      </c>
      <c r="L195" s="2" t="s">
        <v>79</v>
      </c>
    </row>
    <row r="196" spans="1:12" x14ac:dyDescent="0.2">
      <c r="A196" s="4">
        <v>2.9</v>
      </c>
      <c r="B196" s="4">
        <v>10</v>
      </c>
      <c r="C196" s="4">
        <v>23</v>
      </c>
      <c r="D196" s="4">
        <v>2</v>
      </c>
      <c r="E196" s="4">
        <v>1</v>
      </c>
      <c r="F196" s="4">
        <v>0</v>
      </c>
      <c r="G196" s="4">
        <v>2</v>
      </c>
      <c r="H196" s="4">
        <v>0</v>
      </c>
      <c r="I196" s="4">
        <v>1</v>
      </c>
      <c r="J196" s="4">
        <v>0</v>
      </c>
      <c r="K196" s="4">
        <v>0</v>
      </c>
      <c r="L196" s="2" t="s">
        <v>79</v>
      </c>
    </row>
    <row r="197" spans="1:12" x14ac:dyDescent="0.2">
      <c r="A197" s="4">
        <v>3.24</v>
      </c>
      <c r="B197" s="4">
        <v>12</v>
      </c>
      <c r="C197" s="4">
        <v>22</v>
      </c>
      <c r="D197" s="4">
        <v>2</v>
      </c>
      <c r="E197" s="4">
        <v>1</v>
      </c>
      <c r="F197" s="4">
        <v>1</v>
      </c>
      <c r="G197" s="4">
        <v>3</v>
      </c>
      <c r="H197" s="4">
        <v>0</v>
      </c>
      <c r="I197" s="4">
        <v>0</v>
      </c>
      <c r="J197" s="4">
        <v>1</v>
      </c>
      <c r="K197" s="4">
        <v>0</v>
      </c>
      <c r="L197" s="2" t="s">
        <v>79</v>
      </c>
    </row>
    <row r="198" spans="1:12" x14ac:dyDescent="0.2">
      <c r="A198" s="4">
        <v>3.83</v>
      </c>
      <c r="B198" s="4">
        <v>12</v>
      </c>
      <c r="C198" s="4">
        <v>18</v>
      </c>
      <c r="D198" s="4">
        <v>2</v>
      </c>
      <c r="E198" s="4">
        <v>1</v>
      </c>
      <c r="F198" s="4">
        <v>0</v>
      </c>
      <c r="G198" s="4">
        <v>3</v>
      </c>
      <c r="H198" s="4">
        <v>0</v>
      </c>
      <c r="I198" s="4">
        <v>1</v>
      </c>
      <c r="J198" s="4">
        <v>0</v>
      </c>
      <c r="K198" s="4">
        <v>0</v>
      </c>
      <c r="L198" s="2" t="s">
        <v>79</v>
      </c>
    </row>
    <row r="199" spans="1:12" x14ac:dyDescent="0.2">
      <c r="A199" s="4">
        <v>3.5</v>
      </c>
      <c r="B199" s="4">
        <v>14</v>
      </c>
      <c r="C199" s="4">
        <v>18</v>
      </c>
      <c r="D199" s="4">
        <v>2</v>
      </c>
      <c r="E199" s="4">
        <v>0</v>
      </c>
      <c r="F199" s="4">
        <v>1</v>
      </c>
      <c r="G199" s="4">
        <v>1</v>
      </c>
      <c r="H199" s="4">
        <v>1</v>
      </c>
      <c r="I199" s="4">
        <v>0</v>
      </c>
      <c r="J199" s="4">
        <v>0</v>
      </c>
      <c r="K199" s="4">
        <v>0</v>
      </c>
      <c r="L199" s="2" t="s">
        <v>79</v>
      </c>
    </row>
    <row r="200" spans="1:12" x14ac:dyDescent="0.2">
      <c r="A200" s="4">
        <v>13.08</v>
      </c>
      <c r="B200" s="4">
        <v>17</v>
      </c>
      <c r="C200" s="4">
        <v>17</v>
      </c>
      <c r="D200" s="4">
        <v>2</v>
      </c>
      <c r="E200" s="4">
        <v>0</v>
      </c>
      <c r="F200" s="4">
        <v>1</v>
      </c>
      <c r="G200" s="4">
        <v>3</v>
      </c>
      <c r="H200" s="4">
        <v>0</v>
      </c>
      <c r="I200" s="4">
        <v>0</v>
      </c>
      <c r="J200" s="4">
        <v>0</v>
      </c>
      <c r="K200" s="4">
        <v>0</v>
      </c>
      <c r="L200" s="2" t="s">
        <v>79</v>
      </c>
    </row>
    <row r="201" spans="1:12" x14ac:dyDescent="0.2">
      <c r="A201" s="4">
        <v>10.38</v>
      </c>
      <c r="B201" s="4">
        <v>18</v>
      </c>
      <c r="C201" s="4">
        <v>16</v>
      </c>
      <c r="D201" s="4">
        <v>2</v>
      </c>
      <c r="E201" s="4">
        <v>0</v>
      </c>
      <c r="F201" s="4">
        <v>1</v>
      </c>
      <c r="G201" s="4">
        <v>1</v>
      </c>
      <c r="H201" s="4">
        <v>1</v>
      </c>
      <c r="I201" s="4">
        <v>0</v>
      </c>
      <c r="J201" s="4">
        <v>0</v>
      </c>
      <c r="K201" s="4">
        <v>0</v>
      </c>
      <c r="L201" s="2" t="s">
        <v>79</v>
      </c>
    </row>
    <row r="202" spans="1:12" x14ac:dyDescent="0.2">
      <c r="A202" s="4">
        <v>2.95</v>
      </c>
      <c r="B202" s="4">
        <v>8</v>
      </c>
      <c r="C202" s="4">
        <v>15</v>
      </c>
      <c r="D202" s="4">
        <v>2</v>
      </c>
      <c r="E202" s="4">
        <v>1</v>
      </c>
      <c r="F202" s="4">
        <v>1</v>
      </c>
      <c r="G202" s="4">
        <v>1</v>
      </c>
      <c r="H202" s="4">
        <v>0</v>
      </c>
      <c r="I202" s="4">
        <v>0</v>
      </c>
      <c r="J202" s="4">
        <v>0</v>
      </c>
      <c r="K202" s="4">
        <v>0</v>
      </c>
      <c r="L202" s="2" t="s">
        <v>79</v>
      </c>
    </row>
    <row r="203" spans="1:12" x14ac:dyDescent="0.2">
      <c r="A203" s="4">
        <v>3.25</v>
      </c>
      <c r="B203" s="4">
        <v>12</v>
      </c>
      <c r="C203" s="4">
        <v>14</v>
      </c>
      <c r="D203" s="4">
        <v>2</v>
      </c>
      <c r="E203" s="4">
        <v>1</v>
      </c>
      <c r="F203" s="4">
        <v>1</v>
      </c>
      <c r="G203" s="4">
        <v>2</v>
      </c>
      <c r="H203" s="4">
        <v>0</v>
      </c>
      <c r="I203" s="4">
        <v>1</v>
      </c>
      <c r="J203" s="4">
        <v>0</v>
      </c>
      <c r="K203" s="4">
        <v>0</v>
      </c>
      <c r="L203" s="2" t="s">
        <v>79</v>
      </c>
    </row>
    <row r="204" spans="1:12" x14ac:dyDescent="0.2">
      <c r="A204" s="4">
        <v>15</v>
      </c>
      <c r="B204" s="4">
        <v>16</v>
      </c>
      <c r="C204" s="4">
        <v>14</v>
      </c>
      <c r="D204" s="4">
        <v>2</v>
      </c>
      <c r="E204" s="4">
        <v>1</v>
      </c>
      <c r="F204" s="4">
        <v>1</v>
      </c>
      <c r="G204" s="4">
        <v>2</v>
      </c>
      <c r="H204" s="4">
        <v>0</v>
      </c>
      <c r="I204" s="4">
        <v>0</v>
      </c>
      <c r="J204" s="4">
        <v>1</v>
      </c>
      <c r="K204" s="4">
        <v>0</v>
      </c>
      <c r="L204" s="2" t="s">
        <v>79</v>
      </c>
    </row>
    <row r="205" spans="1:12" x14ac:dyDescent="0.2">
      <c r="A205" s="4">
        <v>6.25</v>
      </c>
      <c r="B205" s="10">
        <v>12</v>
      </c>
      <c r="C205" s="4">
        <v>9</v>
      </c>
      <c r="D205" s="4">
        <v>2</v>
      </c>
      <c r="E205" s="4">
        <v>0</v>
      </c>
      <c r="F205" s="4">
        <v>1</v>
      </c>
      <c r="G205" s="4">
        <v>1</v>
      </c>
      <c r="H205" s="4">
        <v>1</v>
      </c>
      <c r="I205" s="4">
        <v>0</v>
      </c>
      <c r="J205" s="4">
        <v>0</v>
      </c>
      <c r="K205" s="4">
        <v>0</v>
      </c>
      <c r="L205" s="2" t="s">
        <v>79</v>
      </c>
    </row>
    <row r="206" spans="1:12" x14ac:dyDescent="0.2">
      <c r="A206" s="4">
        <v>7.26</v>
      </c>
      <c r="B206" s="4">
        <v>13</v>
      </c>
      <c r="C206" s="4">
        <v>8</v>
      </c>
      <c r="D206" s="4">
        <v>2</v>
      </c>
      <c r="E206" s="4">
        <v>0</v>
      </c>
      <c r="F206" s="4">
        <v>0</v>
      </c>
      <c r="G206" s="4">
        <v>0</v>
      </c>
      <c r="H206" s="4">
        <v>0</v>
      </c>
      <c r="I206" s="4">
        <v>1</v>
      </c>
      <c r="J206" s="4">
        <v>0</v>
      </c>
      <c r="K206" s="4">
        <v>0</v>
      </c>
      <c r="L206" s="2" t="s">
        <v>79</v>
      </c>
    </row>
    <row r="207" spans="1:12" x14ac:dyDescent="0.2">
      <c r="A207" s="4">
        <v>6.25</v>
      </c>
      <c r="B207" s="4">
        <v>16</v>
      </c>
      <c r="C207" s="4">
        <v>8</v>
      </c>
      <c r="D207" s="4">
        <v>2</v>
      </c>
      <c r="E207" s="10">
        <v>2</v>
      </c>
      <c r="F207" s="4">
        <v>0</v>
      </c>
      <c r="G207" s="4">
        <v>0</v>
      </c>
      <c r="H207" s="4">
        <v>0</v>
      </c>
      <c r="I207" s="4">
        <v>0</v>
      </c>
      <c r="J207" s="4">
        <v>1</v>
      </c>
      <c r="K207" s="4">
        <v>0</v>
      </c>
      <c r="L207" s="2" t="s">
        <v>79</v>
      </c>
    </row>
    <row r="208" spans="1:12" x14ac:dyDescent="0.2">
      <c r="A208" s="4">
        <v>5.3</v>
      </c>
      <c r="B208" s="4">
        <v>12</v>
      </c>
      <c r="C208" s="4">
        <v>7</v>
      </c>
      <c r="D208" s="4">
        <v>2</v>
      </c>
      <c r="E208" s="4">
        <v>0</v>
      </c>
      <c r="F208" s="4">
        <v>1</v>
      </c>
      <c r="G208" s="4">
        <v>1</v>
      </c>
      <c r="H208" s="4">
        <v>0</v>
      </c>
      <c r="I208" s="4">
        <v>0</v>
      </c>
      <c r="J208" s="4">
        <v>1</v>
      </c>
      <c r="K208" s="4">
        <v>0</v>
      </c>
      <c r="L208" s="2" t="s">
        <v>79</v>
      </c>
    </row>
    <row r="209" spans="1:12" x14ac:dyDescent="0.2">
      <c r="A209" s="4">
        <v>3.51</v>
      </c>
      <c r="B209" s="4">
        <v>12</v>
      </c>
      <c r="C209" s="4">
        <v>7</v>
      </c>
      <c r="D209" s="4">
        <v>2</v>
      </c>
      <c r="E209" s="4">
        <v>1</v>
      </c>
      <c r="F209" s="4">
        <v>1</v>
      </c>
      <c r="G209" s="4">
        <v>0</v>
      </c>
      <c r="H209" s="4">
        <v>1</v>
      </c>
      <c r="I209" s="4">
        <v>0</v>
      </c>
      <c r="J209" s="4">
        <v>0</v>
      </c>
      <c r="K209" s="4">
        <v>0</v>
      </c>
      <c r="L209" s="2" t="s">
        <v>79</v>
      </c>
    </row>
    <row r="210" spans="1:12" x14ac:dyDescent="0.2">
      <c r="A210" s="4">
        <v>7.5</v>
      </c>
      <c r="B210" s="4">
        <v>16</v>
      </c>
      <c r="C210" s="4">
        <v>6</v>
      </c>
      <c r="D210" s="4">
        <v>2</v>
      </c>
      <c r="E210" s="4">
        <v>1</v>
      </c>
      <c r="F210" s="4">
        <v>1</v>
      </c>
      <c r="G210" s="4">
        <v>1</v>
      </c>
      <c r="H210" s="4">
        <v>0</v>
      </c>
      <c r="I210" s="4">
        <v>1</v>
      </c>
      <c r="J210" s="4">
        <v>0</v>
      </c>
      <c r="K210" s="4">
        <v>0</v>
      </c>
      <c r="L210" s="2" t="s">
        <v>79</v>
      </c>
    </row>
    <row r="211" spans="1:12" x14ac:dyDescent="0.2">
      <c r="A211" s="4">
        <v>3.5</v>
      </c>
      <c r="B211" s="4">
        <v>12</v>
      </c>
      <c r="C211" s="4">
        <v>6</v>
      </c>
      <c r="D211" s="4">
        <v>2</v>
      </c>
      <c r="E211" s="4">
        <v>1</v>
      </c>
      <c r="F211" s="4">
        <v>0</v>
      </c>
      <c r="G211" s="4">
        <v>1</v>
      </c>
      <c r="H211" s="4">
        <v>0</v>
      </c>
      <c r="I211" s="4">
        <v>0</v>
      </c>
      <c r="J211" s="4">
        <v>0</v>
      </c>
      <c r="K211" s="4">
        <v>0</v>
      </c>
      <c r="L211" s="2" t="s">
        <v>79</v>
      </c>
    </row>
    <row r="212" spans="1:12" x14ac:dyDescent="0.2">
      <c r="A212" s="4">
        <v>12.5</v>
      </c>
      <c r="B212" s="4">
        <v>18</v>
      </c>
      <c r="C212" s="4">
        <v>6</v>
      </c>
      <c r="D212" s="4">
        <v>2</v>
      </c>
      <c r="E212" s="4">
        <v>0</v>
      </c>
      <c r="F212" s="4">
        <v>0</v>
      </c>
      <c r="G212" s="4">
        <v>0</v>
      </c>
      <c r="H212" s="4">
        <v>0</v>
      </c>
      <c r="I212" s="4">
        <v>1</v>
      </c>
      <c r="J212" s="4">
        <v>0</v>
      </c>
      <c r="K212" s="4">
        <v>0</v>
      </c>
      <c r="L212" s="2" t="s">
        <v>79</v>
      </c>
    </row>
    <row r="213" spans="1:12" x14ac:dyDescent="0.2">
      <c r="A213" s="4">
        <v>8.33</v>
      </c>
      <c r="B213" s="4">
        <v>16</v>
      </c>
      <c r="C213" s="4">
        <v>6</v>
      </c>
      <c r="D213" s="4">
        <v>2</v>
      </c>
      <c r="E213" s="4">
        <v>0</v>
      </c>
      <c r="F213" s="4">
        <v>1</v>
      </c>
      <c r="G213" s="4">
        <v>0</v>
      </c>
      <c r="H213" s="4">
        <v>0</v>
      </c>
      <c r="I213" s="4">
        <v>0</v>
      </c>
      <c r="J213" s="4">
        <v>1</v>
      </c>
      <c r="K213" s="4">
        <v>0</v>
      </c>
      <c r="L213" s="2" t="s">
        <v>79</v>
      </c>
    </row>
    <row r="214" spans="1:12" x14ac:dyDescent="0.2">
      <c r="A214" s="4">
        <v>4.25</v>
      </c>
      <c r="B214" s="4">
        <v>14</v>
      </c>
      <c r="C214" s="4">
        <v>5</v>
      </c>
      <c r="D214" s="4">
        <v>2</v>
      </c>
      <c r="E214" s="4">
        <v>0</v>
      </c>
      <c r="F214" s="4">
        <v>1</v>
      </c>
      <c r="G214" s="4">
        <v>2</v>
      </c>
      <c r="H214" s="4">
        <v>0</v>
      </c>
      <c r="I214" s="4">
        <v>0</v>
      </c>
      <c r="J214" s="4">
        <v>0</v>
      </c>
      <c r="K214" s="4">
        <v>0</v>
      </c>
      <c r="L214" s="2" t="s">
        <v>79</v>
      </c>
    </row>
    <row r="215" spans="1:12" x14ac:dyDescent="0.2">
      <c r="A215" s="4">
        <v>4.34</v>
      </c>
      <c r="B215" s="4">
        <v>16</v>
      </c>
      <c r="C215" s="4">
        <v>5</v>
      </c>
      <c r="D215" s="4">
        <v>2</v>
      </c>
      <c r="E215" s="4">
        <v>1</v>
      </c>
      <c r="F215" s="4">
        <v>0</v>
      </c>
      <c r="G215" s="4">
        <v>0</v>
      </c>
      <c r="H215" s="4">
        <v>0</v>
      </c>
      <c r="I215" s="4">
        <v>1</v>
      </c>
      <c r="J215" s="4">
        <v>0</v>
      </c>
      <c r="K215" s="4">
        <v>0</v>
      </c>
      <c r="L215" s="2" t="s">
        <v>79</v>
      </c>
    </row>
    <row r="216" spans="1:12" x14ac:dyDescent="0.2">
      <c r="A216" s="4">
        <v>4.51</v>
      </c>
      <c r="B216" s="4">
        <v>12</v>
      </c>
      <c r="C216" s="4">
        <v>5</v>
      </c>
      <c r="D216" s="4">
        <v>2</v>
      </c>
      <c r="E216" s="4">
        <v>0</v>
      </c>
      <c r="F216" s="4">
        <v>0</v>
      </c>
      <c r="G216" s="4">
        <v>0</v>
      </c>
      <c r="H216" s="4">
        <v>1</v>
      </c>
      <c r="I216" s="4">
        <v>0</v>
      </c>
      <c r="J216" s="4">
        <v>0</v>
      </c>
      <c r="K216" s="4">
        <v>0</v>
      </c>
      <c r="L216" s="2" t="s">
        <v>79</v>
      </c>
    </row>
    <row r="217" spans="1:12" x14ac:dyDescent="0.2">
      <c r="A217" s="4">
        <v>3.75</v>
      </c>
      <c r="B217" s="10">
        <v>12</v>
      </c>
      <c r="C217" s="4">
        <v>5</v>
      </c>
      <c r="D217" s="4">
        <v>2</v>
      </c>
      <c r="E217" s="4">
        <v>1</v>
      </c>
      <c r="F217" s="4">
        <v>1</v>
      </c>
      <c r="G217" s="4">
        <v>1</v>
      </c>
      <c r="H217" s="4">
        <v>0</v>
      </c>
      <c r="I217" s="4">
        <v>1</v>
      </c>
      <c r="J217" s="4">
        <v>0</v>
      </c>
      <c r="K217" s="4">
        <v>0</v>
      </c>
      <c r="L217" s="2" t="s">
        <v>79</v>
      </c>
    </row>
    <row r="218" spans="1:12" x14ac:dyDescent="0.2">
      <c r="A218" s="4">
        <v>6.53</v>
      </c>
      <c r="B218" s="4">
        <v>16</v>
      </c>
      <c r="C218" s="4">
        <v>3</v>
      </c>
      <c r="D218" s="4">
        <v>2</v>
      </c>
      <c r="E218" s="4">
        <v>1</v>
      </c>
      <c r="F218" s="4">
        <v>0</v>
      </c>
      <c r="G218" s="4">
        <v>0</v>
      </c>
      <c r="H218" s="4">
        <v>1</v>
      </c>
      <c r="I218" s="4">
        <v>0</v>
      </c>
      <c r="J218" s="4">
        <v>0</v>
      </c>
      <c r="K218" s="4">
        <v>0</v>
      </c>
      <c r="L218" s="2" t="s">
        <v>79</v>
      </c>
    </row>
    <row r="219" spans="1:12" x14ac:dyDescent="0.2">
      <c r="A219" s="4">
        <v>8.6</v>
      </c>
      <c r="B219" s="4">
        <v>16</v>
      </c>
      <c r="C219" s="4">
        <v>3</v>
      </c>
      <c r="D219" s="4">
        <v>2</v>
      </c>
      <c r="E219" s="4">
        <v>1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2" t="s">
        <v>79</v>
      </c>
    </row>
    <row r="220" spans="1:12" x14ac:dyDescent="0.2">
      <c r="A220" s="4">
        <v>8.75</v>
      </c>
      <c r="B220" s="4">
        <v>16</v>
      </c>
      <c r="C220" s="4">
        <v>3</v>
      </c>
      <c r="D220" s="4">
        <v>2</v>
      </c>
      <c r="E220" s="4">
        <v>0</v>
      </c>
      <c r="F220" s="4">
        <v>1</v>
      </c>
      <c r="G220" s="4">
        <v>1</v>
      </c>
      <c r="H220" s="4">
        <v>1</v>
      </c>
      <c r="I220" s="4">
        <v>0</v>
      </c>
      <c r="J220" s="4">
        <v>0</v>
      </c>
      <c r="K220" s="4">
        <v>0</v>
      </c>
      <c r="L220" s="2" t="s">
        <v>79</v>
      </c>
    </row>
    <row r="221" spans="1:12" x14ac:dyDescent="0.2">
      <c r="A221" s="4">
        <v>10</v>
      </c>
      <c r="B221" s="4">
        <v>16</v>
      </c>
      <c r="C221" s="4">
        <v>3</v>
      </c>
      <c r="D221" s="4">
        <v>2</v>
      </c>
      <c r="E221" s="4">
        <v>0</v>
      </c>
      <c r="F221" s="4">
        <v>1</v>
      </c>
      <c r="G221" s="4">
        <v>0</v>
      </c>
      <c r="H221" s="4">
        <v>0</v>
      </c>
      <c r="I221" s="4">
        <v>1</v>
      </c>
      <c r="J221" s="4">
        <v>0</v>
      </c>
      <c r="K221" s="4">
        <v>0</v>
      </c>
      <c r="L221" s="2" t="s">
        <v>79</v>
      </c>
    </row>
    <row r="222" spans="1:12" x14ac:dyDescent="0.2">
      <c r="A222" s="4">
        <v>5.63</v>
      </c>
      <c r="B222" s="4">
        <v>16</v>
      </c>
      <c r="C222" s="4">
        <v>2</v>
      </c>
      <c r="D222" s="4">
        <v>2</v>
      </c>
      <c r="E222" s="4">
        <v>0</v>
      </c>
      <c r="F222" s="4">
        <v>1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2" t="s">
        <v>79</v>
      </c>
    </row>
    <row r="223" spans="1:12" x14ac:dyDescent="0.2">
      <c r="A223" s="4">
        <v>3.2</v>
      </c>
      <c r="B223" s="4">
        <v>15</v>
      </c>
      <c r="C223" s="4">
        <v>2</v>
      </c>
      <c r="D223" s="4">
        <v>2</v>
      </c>
      <c r="E223" s="4">
        <v>1</v>
      </c>
      <c r="F223" s="4">
        <v>0</v>
      </c>
      <c r="G223" s="4">
        <v>2</v>
      </c>
      <c r="H223" s="4">
        <v>0</v>
      </c>
      <c r="I223" s="4">
        <v>1</v>
      </c>
      <c r="J223" s="4">
        <v>0</v>
      </c>
      <c r="K223" s="4">
        <v>0</v>
      </c>
      <c r="L223" s="2" t="s">
        <v>79</v>
      </c>
    </row>
    <row r="224" spans="1:12" x14ac:dyDescent="0.2">
      <c r="A224" s="4">
        <v>2.9</v>
      </c>
      <c r="B224" s="4">
        <v>12</v>
      </c>
      <c r="C224" s="4">
        <v>2</v>
      </c>
      <c r="D224" s="4">
        <v>2</v>
      </c>
      <c r="E224" s="4">
        <v>1</v>
      </c>
      <c r="F224" s="4">
        <v>0</v>
      </c>
      <c r="G224" s="4">
        <v>0</v>
      </c>
      <c r="H224" s="4">
        <v>0</v>
      </c>
      <c r="I224" s="4">
        <v>0</v>
      </c>
      <c r="J224" s="4">
        <v>1</v>
      </c>
      <c r="K224" s="4">
        <v>0</v>
      </c>
      <c r="L224" s="2" t="s">
        <v>79</v>
      </c>
    </row>
    <row r="225" spans="1:12" x14ac:dyDescent="0.2">
      <c r="A225" s="4">
        <v>6</v>
      </c>
      <c r="B225" s="4">
        <v>16</v>
      </c>
      <c r="C225" s="4">
        <v>2</v>
      </c>
      <c r="D225" s="4">
        <v>2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2" t="s">
        <v>79</v>
      </c>
    </row>
    <row r="226" spans="1:12" x14ac:dyDescent="0.2">
      <c r="A226" s="4">
        <v>3.5</v>
      </c>
      <c r="B226" s="4">
        <v>13</v>
      </c>
      <c r="C226" s="4">
        <v>1</v>
      </c>
      <c r="D226" s="4">
        <v>2</v>
      </c>
      <c r="E226" s="4">
        <v>0</v>
      </c>
      <c r="F226" s="4">
        <v>0</v>
      </c>
      <c r="G226" s="4">
        <v>3</v>
      </c>
      <c r="H226" s="4">
        <v>1</v>
      </c>
      <c r="I226" s="4">
        <v>0</v>
      </c>
      <c r="J226" s="4">
        <v>0</v>
      </c>
      <c r="K226" s="4">
        <v>0</v>
      </c>
      <c r="L226" s="2" t="s">
        <v>79</v>
      </c>
    </row>
    <row r="227" spans="1:12" x14ac:dyDescent="0.2">
      <c r="A227" s="4">
        <v>3.75</v>
      </c>
      <c r="B227" s="4">
        <v>18</v>
      </c>
      <c r="C227" s="4">
        <v>1</v>
      </c>
      <c r="D227" s="4">
        <v>2</v>
      </c>
      <c r="E227" s="4">
        <v>0</v>
      </c>
      <c r="F227" s="4">
        <v>0</v>
      </c>
      <c r="G227" s="4">
        <v>1</v>
      </c>
      <c r="H227" s="4">
        <v>1</v>
      </c>
      <c r="I227" s="4">
        <v>0</v>
      </c>
      <c r="J227" s="4">
        <v>0</v>
      </c>
      <c r="K227" s="4">
        <v>0</v>
      </c>
      <c r="L227" s="2" t="s">
        <v>79</v>
      </c>
    </row>
    <row r="228" spans="1:12" x14ac:dyDescent="0.2">
      <c r="A228" s="4">
        <v>8.75</v>
      </c>
      <c r="B228" s="4">
        <v>16</v>
      </c>
      <c r="C228" s="4">
        <v>1</v>
      </c>
      <c r="D228" s="4">
        <v>2</v>
      </c>
      <c r="E228" s="4">
        <v>0</v>
      </c>
      <c r="F228" s="4">
        <v>0</v>
      </c>
      <c r="G228" s="4">
        <v>0</v>
      </c>
      <c r="H228" s="4">
        <v>1</v>
      </c>
      <c r="I228" s="4">
        <v>0</v>
      </c>
      <c r="J228" s="4">
        <v>0</v>
      </c>
      <c r="K228" s="4">
        <v>0</v>
      </c>
      <c r="L228" s="2" t="s">
        <v>79</v>
      </c>
    </row>
    <row r="229" spans="1:12" x14ac:dyDescent="0.2">
      <c r="A229" s="4">
        <v>2.9</v>
      </c>
      <c r="B229" s="4">
        <v>11</v>
      </c>
      <c r="C229" s="4">
        <v>1</v>
      </c>
      <c r="D229" s="4">
        <v>2</v>
      </c>
      <c r="E229" s="4">
        <v>0</v>
      </c>
      <c r="F229" s="4">
        <v>0</v>
      </c>
      <c r="G229" s="4">
        <v>2</v>
      </c>
      <c r="H229" s="4">
        <v>0</v>
      </c>
      <c r="I229" s="4">
        <v>1</v>
      </c>
      <c r="J229" s="4">
        <v>0</v>
      </c>
      <c r="K229" s="4">
        <v>0</v>
      </c>
      <c r="L229" s="2" t="s">
        <v>79</v>
      </c>
    </row>
    <row r="230" spans="1:12" x14ac:dyDescent="0.2">
      <c r="A230" s="4">
        <v>3.52</v>
      </c>
      <c r="B230" s="4">
        <v>12</v>
      </c>
      <c r="C230" s="9">
        <v>43.93</v>
      </c>
      <c r="D230" s="4">
        <v>1</v>
      </c>
      <c r="E230" s="4">
        <v>0</v>
      </c>
      <c r="F230" s="4">
        <v>1</v>
      </c>
      <c r="G230" s="4">
        <v>0</v>
      </c>
      <c r="H230" s="4">
        <v>0</v>
      </c>
      <c r="I230" s="4">
        <v>1</v>
      </c>
      <c r="J230" s="4">
        <v>0</v>
      </c>
      <c r="K230" s="4">
        <v>0</v>
      </c>
      <c r="L230" s="2" t="s">
        <v>79</v>
      </c>
    </row>
    <row r="231" spans="1:12" x14ac:dyDescent="0.2">
      <c r="A231" s="4">
        <v>3</v>
      </c>
      <c r="B231" s="4">
        <v>8</v>
      </c>
      <c r="C231" s="9">
        <v>43.93</v>
      </c>
      <c r="D231" s="4">
        <v>1</v>
      </c>
      <c r="E231" s="4">
        <v>1</v>
      </c>
      <c r="F231" s="4">
        <v>1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2" t="s">
        <v>79</v>
      </c>
    </row>
    <row r="232" spans="1:12" x14ac:dyDescent="0.2">
      <c r="A232" s="4">
        <v>2.9</v>
      </c>
      <c r="B232" s="4">
        <v>12</v>
      </c>
      <c r="C232" s="4">
        <v>39</v>
      </c>
      <c r="D232" s="4">
        <v>1</v>
      </c>
      <c r="E232" s="4">
        <v>1</v>
      </c>
      <c r="F232" s="4">
        <v>1</v>
      </c>
      <c r="G232" s="4">
        <v>0</v>
      </c>
      <c r="H232" s="4">
        <v>0</v>
      </c>
      <c r="I232" s="4">
        <v>1</v>
      </c>
      <c r="J232" s="4">
        <v>0</v>
      </c>
      <c r="K232" s="4">
        <v>0</v>
      </c>
      <c r="L232" s="2" t="s">
        <v>79</v>
      </c>
    </row>
    <row r="233" spans="1:12" x14ac:dyDescent="0.2">
      <c r="A233" s="4">
        <v>9</v>
      </c>
      <c r="B233" s="4">
        <v>12</v>
      </c>
      <c r="C233" s="4">
        <v>38</v>
      </c>
      <c r="D233" s="4">
        <v>1</v>
      </c>
      <c r="E233" s="4">
        <v>0</v>
      </c>
      <c r="F233" s="4">
        <v>1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2" t="s">
        <v>79</v>
      </c>
    </row>
    <row r="234" spans="1:12" x14ac:dyDescent="0.2">
      <c r="A234" s="4">
        <v>3</v>
      </c>
      <c r="B234" s="4">
        <v>12</v>
      </c>
      <c r="C234" s="4">
        <v>36</v>
      </c>
      <c r="D234" s="4">
        <v>1</v>
      </c>
      <c r="E234" s="10">
        <v>2</v>
      </c>
      <c r="F234" s="4">
        <v>0</v>
      </c>
      <c r="G234" s="4">
        <v>0</v>
      </c>
      <c r="H234" s="4">
        <v>0</v>
      </c>
      <c r="I234" s="4">
        <v>0</v>
      </c>
      <c r="J234" s="4">
        <v>1</v>
      </c>
      <c r="K234" s="4">
        <v>0</v>
      </c>
      <c r="L234" s="2" t="s">
        <v>79</v>
      </c>
    </row>
    <row r="235" spans="1:12" x14ac:dyDescent="0.2">
      <c r="A235" s="4">
        <v>3.5</v>
      </c>
      <c r="B235" s="4">
        <v>13</v>
      </c>
      <c r="C235" s="4">
        <v>29</v>
      </c>
      <c r="D235" s="4">
        <v>1</v>
      </c>
      <c r="E235" s="4">
        <v>1</v>
      </c>
      <c r="F235" s="4">
        <v>1</v>
      </c>
      <c r="G235" s="4">
        <v>0</v>
      </c>
      <c r="H235" s="4">
        <v>0</v>
      </c>
      <c r="I235" s="4">
        <v>1</v>
      </c>
      <c r="J235" s="4">
        <v>0</v>
      </c>
      <c r="K235" s="4">
        <v>0</v>
      </c>
      <c r="L235" s="2" t="s">
        <v>79</v>
      </c>
    </row>
    <row r="236" spans="1:12" x14ac:dyDescent="0.2">
      <c r="A236" s="4">
        <v>3</v>
      </c>
      <c r="B236" s="4">
        <v>7</v>
      </c>
      <c r="C236" s="4">
        <v>26</v>
      </c>
      <c r="D236" s="4">
        <v>1</v>
      </c>
      <c r="E236" s="4">
        <v>1</v>
      </c>
      <c r="F236" s="4">
        <v>0</v>
      </c>
      <c r="G236" s="4">
        <v>3</v>
      </c>
      <c r="H236" s="4">
        <v>0</v>
      </c>
      <c r="I236" s="4">
        <v>1</v>
      </c>
      <c r="J236" s="4">
        <v>0</v>
      </c>
      <c r="K236" s="4">
        <v>0</v>
      </c>
      <c r="L236" s="2" t="s">
        <v>79</v>
      </c>
    </row>
    <row r="237" spans="1:12" x14ac:dyDescent="0.2">
      <c r="A237" s="4">
        <v>4</v>
      </c>
      <c r="B237" s="4">
        <v>9</v>
      </c>
      <c r="C237" s="4">
        <v>19</v>
      </c>
      <c r="D237" s="4">
        <v>1</v>
      </c>
      <c r="E237" s="4">
        <v>1</v>
      </c>
      <c r="F237" s="4">
        <v>1</v>
      </c>
      <c r="G237" s="4">
        <v>1</v>
      </c>
      <c r="H237" s="4">
        <v>0</v>
      </c>
      <c r="I237" s="4">
        <v>0</v>
      </c>
      <c r="J237" s="4">
        <v>0</v>
      </c>
      <c r="K237" s="4">
        <v>0</v>
      </c>
      <c r="L237" s="2" t="s">
        <v>79</v>
      </c>
    </row>
    <row r="238" spans="1:12" x14ac:dyDescent="0.2">
      <c r="A238" s="4">
        <v>2.9</v>
      </c>
      <c r="B238" s="4">
        <v>12</v>
      </c>
      <c r="C238" s="4">
        <v>17</v>
      </c>
      <c r="D238" s="4">
        <v>1</v>
      </c>
      <c r="E238" s="4">
        <v>1</v>
      </c>
      <c r="F238" s="4">
        <v>1</v>
      </c>
      <c r="G238" s="4">
        <v>2</v>
      </c>
      <c r="H238" s="4">
        <v>1</v>
      </c>
      <c r="I238" s="4">
        <v>0</v>
      </c>
      <c r="J238" s="4">
        <v>0</v>
      </c>
      <c r="K238" s="4">
        <v>0</v>
      </c>
      <c r="L238" s="2" t="s">
        <v>79</v>
      </c>
    </row>
    <row r="239" spans="1:12" x14ac:dyDescent="0.2">
      <c r="A239" s="4">
        <v>4.63</v>
      </c>
      <c r="B239" s="4">
        <v>12</v>
      </c>
      <c r="C239" s="4">
        <v>16</v>
      </c>
      <c r="D239" s="4">
        <v>1</v>
      </c>
      <c r="E239" s="4">
        <v>1</v>
      </c>
      <c r="F239" s="4">
        <v>0</v>
      </c>
      <c r="G239" s="4">
        <v>0</v>
      </c>
      <c r="H239" s="4">
        <v>0</v>
      </c>
      <c r="I239" s="4">
        <v>1</v>
      </c>
      <c r="J239" s="4">
        <v>0</v>
      </c>
      <c r="K239" s="4">
        <v>0</v>
      </c>
      <c r="L239" s="2" t="s">
        <v>79</v>
      </c>
    </row>
    <row r="240" spans="1:12" x14ac:dyDescent="0.2">
      <c r="A240" s="4">
        <v>4.72</v>
      </c>
      <c r="B240" s="4">
        <v>12</v>
      </c>
      <c r="C240" s="4">
        <v>15</v>
      </c>
      <c r="D240" s="4">
        <v>1</v>
      </c>
      <c r="E240" s="4">
        <v>1</v>
      </c>
      <c r="F240" s="4">
        <v>0</v>
      </c>
      <c r="G240" s="4">
        <v>0</v>
      </c>
      <c r="H240" s="4">
        <v>0</v>
      </c>
      <c r="I240" s="4">
        <v>1</v>
      </c>
      <c r="J240" s="4">
        <v>0</v>
      </c>
      <c r="K240" s="4">
        <v>0</v>
      </c>
      <c r="L240" s="2" t="s">
        <v>79</v>
      </c>
    </row>
    <row r="241" spans="1:12" x14ac:dyDescent="0.2">
      <c r="A241" s="4">
        <v>2.9</v>
      </c>
      <c r="B241" s="4">
        <v>12</v>
      </c>
      <c r="C241" s="4">
        <v>15</v>
      </c>
      <c r="D241" s="4">
        <v>1</v>
      </c>
      <c r="E241" s="4">
        <v>1</v>
      </c>
      <c r="F241" s="4">
        <v>1</v>
      </c>
      <c r="G241" s="4">
        <v>2</v>
      </c>
      <c r="H241" s="4">
        <v>0</v>
      </c>
      <c r="I241" s="4">
        <v>0</v>
      </c>
      <c r="J241" s="4">
        <v>1</v>
      </c>
      <c r="K241" s="4">
        <v>0</v>
      </c>
      <c r="L241" s="2" t="s">
        <v>79</v>
      </c>
    </row>
    <row r="242" spans="1:12" x14ac:dyDescent="0.2">
      <c r="A242" s="4">
        <v>5</v>
      </c>
      <c r="B242" s="4">
        <v>11</v>
      </c>
      <c r="C242" s="4">
        <v>13</v>
      </c>
      <c r="D242" s="4">
        <v>1</v>
      </c>
      <c r="E242" s="4">
        <v>0</v>
      </c>
      <c r="F242" s="4">
        <v>1</v>
      </c>
      <c r="G242" s="4">
        <v>0</v>
      </c>
      <c r="H242" s="4">
        <v>0</v>
      </c>
      <c r="I242" s="4">
        <v>1</v>
      </c>
      <c r="J242" s="4">
        <v>0</v>
      </c>
      <c r="K242" s="4">
        <v>0</v>
      </c>
      <c r="L242" s="2" t="s">
        <v>79</v>
      </c>
    </row>
    <row r="243" spans="1:12" x14ac:dyDescent="0.2">
      <c r="A243" s="4">
        <v>8.65</v>
      </c>
      <c r="B243" s="4">
        <v>18</v>
      </c>
      <c r="C243" s="4">
        <v>13</v>
      </c>
      <c r="D243" s="4">
        <v>1</v>
      </c>
      <c r="E243" s="4">
        <v>1</v>
      </c>
      <c r="F243" s="4">
        <v>0</v>
      </c>
      <c r="G243" s="4">
        <v>0</v>
      </c>
      <c r="H243" s="4">
        <v>1</v>
      </c>
      <c r="I243" s="4">
        <v>0</v>
      </c>
      <c r="J243" s="4">
        <v>0</v>
      </c>
      <c r="K243" s="4">
        <v>0</v>
      </c>
      <c r="L243" s="2" t="s">
        <v>79</v>
      </c>
    </row>
    <row r="244" spans="1:12" x14ac:dyDescent="0.2">
      <c r="A244" s="4">
        <v>1.5</v>
      </c>
      <c r="B244" s="4">
        <v>12</v>
      </c>
      <c r="C244" s="4">
        <v>11</v>
      </c>
      <c r="D244" s="4">
        <v>1</v>
      </c>
      <c r="E244" s="4">
        <v>1</v>
      </c>
      <c r="F244" s="4">
        <v>1</v>
      </c>
      <c r="G244" s="4">
        <v>2</v>
      </c>
      <c r="H244" s="4">
        <v>1</v>
      </c>
      <c r="I244" s="4">
        <v>0</v>
      </c>
      <c r="J244" s="4">
        <v>0</v>
      </c>
      <c r="K244" s="4">
        <v>0</v>
      </c>
      <c r="L244" s="2" t="s">
        <v>79</v>
      </c>
    </row>
    <row r="245" spans="1:12" x14ac:dyDescent="0.2">
      <c r="A245" s="4">
        <v>6.35</v>
      </c>
      <c r="B245" s="4">
        <v>14</v>
      </c>
      <c r="C245" s="4">
        <v>10</v>
      </c>
      <c r="D245" s="4">
        <v>1</v>
      </c>
      <c r="E245" s="4">
        <v>1</v>
      </c>
      <c r="F245" s="4">
        <v>1</v>
      </c>
      <c r="G245" s="4">
        <v>2</v>
      </c>
      <c r="H245" s="4">
        <v>0</v>
      </c>
      <c r="I245" s="4">
        <v>1</v>
      </c>
      <c r="J245" s="4">
        <v>0</v>
      </c>
      <c r="K245" s="4">
        <v>0</v>
      </c>
      <c r="L245" s="2" t="s">
        <v>79</v>
      </c>
    </row>
    <row r="246" spans="1:12" x14ac:dyDescent="0.2">
      <c r="A246" s="4">
        <v>3.25</v>
      </c>
      <c r="B246" s="4">
        <v>8</v>
      </c>
      <c r="C246" s="4">
        <v>9</v>
      </c>
      <c r="D246" s="4">
        <v>1</v>
      </c>
      <c r="E246" s="4">
        <v>1</v>
      </c>
      <c r="F246" s="4">
        <v>1</v>
      </c>
      <c r="G246" s="4">
        <v>2</v>
      </c>
      <c r="H246" s="4">
        <v>0</v>
      </c>
      <c r="I246" s="4">
        <v>0</v>
      </c>
      <c r="J246" s="4">
        <v>1</v>
      </c>
      <c r="K246" s="4">
        <v>0</v>
      </c>
      <c r="L246" s="2" t="s">
        <v>79</v>
      </c>
    </row>
    <row r="247" spans="1:12" x14ac:dyDescent="0.2">
      <c r="A247" s="4">
        <v>3.35</v>
      </c>
      <c r="B247" s="4">
        <v>12</v>
      </c>
      <c r="C247" s="4">
        <v>9</v>
      </c>
      <c r="D247" s="4">
        <v>1</v>
      </c>
      <c r="E247" s="4">
        <v>0</v>
      </c>
      <c r="F247" s="4">
        <v>1</v>
      </c>
      <c r="G247" s="4">
        <v>0</v>
      </c>
      <c r="H247" s="4">
        <v>1</v>
      </c>
      <c r="I247" s="4">
        <v>0</v>
      </c>
      <c r="J247" s="4">
        <v>0</v>
      </c>
      <c r="K247" s="4">
        <v>0</v>
      </c>
      <c r="L247" s="2" t="s">
        <v>79</v>
      </c>
    </row>
    <row r="248" spans="1:12" x14ac:dyDescent="0.2">
      <c r="A248" s="4">
        <v>8.8000000000000007</v>
      </c>
      <c r="B248" s="4">
        <v>16</v>
      </c>
      <c r="C248" s="4">
        <v>9</v>
      </c>
      <c r="D248" s="4">
        <v>1</v>
      </c>
      <c r="E248" s="4">
        <v>0</v>
      </c>
      <c r="F248" s="4">
        <v>1</v>
      </c>
      <c r="G248" s="4">
        <v>0</v>
      </c>
      <c r="H248" s="4">
        <v>0</v>
      </c>
      <c r="I248" s="4">
        <v>1</v>
      </c>
      <c r="J248" s="4">
        <v>0</v>
      </c>
      <c r="K248" s="4">
        <v>0</v>
      </c>
      <c r="L248" s="2" t="s">
        <v>79</v>
      </c>
    </row>
    <row r="249" spans="1:12" x14ac:dyDescent="0.2">
      <c r="A249" s="4">
        <v>12.5</v>
      </c>
      <c r="B249" s="4">
        <v>12</v>
      </c>
      <c r="C249" s="4">
        <v>8</v>
      </c>
      <c r="D249" s="4">
        <v>1</v>
      </c>
      <c r="E249" s="4">
        <v>0</v>
      </c>
      <c r="F249" s="4">
        <v>0</v>
      </c>
      <c r="G249" s="4">
        <v>0</v>
      </c>
      <c r="H249" s="4">
        <v>1</v>
      </c>
      <c r="I249" s="4">
        <v>0</v>
      </c>
      <c r="J249" s="4">
        <v>0</v>
      </c>
      <c r="K249" s="4">
        <v>0</v>
      </c>
      <c r="L249" s="2" t="s">
        <v>79</v>
      </c>
    </row>
    <row r="250" spans="1:12" x14ac:dyDescent="0.2">
      <c r="A250" s="4">
        <v>6.36</v>
      </c>
      <c r="B250" s="4">
        <v>14</v>
      </c>
      <c r="C250" s="4">
        <v>8</v>
      </c>
      <c r="D250" s="4">
        <v>1</v>
      </c>
      <c r="E250" s="4">
        <v>0</v>
      </c>
      <c r="F250" s="4">
        <v>1</v>
      </c>
      <c r="G250" s="4">
        <v>0</v>
      </c>
      <c r="H250" s="4">
        <v>0</v>
      </c>
      <c r="I250" s="4">
        <v>1</v>
      </c>
      <c r="J250" s="4">
        <v>0</v>
      </c>
      <c r="K250" s="4">
        <v>0</v>
      </c>
      <c r="L250" s="2" t="s">
        <v>79</v>
      </c>
    </row>
    <row r="251" spans="1:12" x14ac:dyDescent="0.2">
      <c r="A251" s="4">
        <v>6.5</v>
      </c>
      <c r="B251" s="4">
        <v>12</v>
      </c>
      <c r="C251" s="4">
        <v>4</v>
      </c>
      <c r="D251" s="4">
        <v>1</v>
      </c>
      <c r="E251" s="4">
        <v>1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2" t="s">
        <v>79</v>
      </c>
    </row>
    <row r="252" spans="1:12" x14ac:dyDescent="0.2">
      <c r="A252" s="4">
        <v>2.31</v>
      </c>
      <c r="B252" s="4">
        <v>9</v>
      </c>
      <c r="C252" s="4">
        <v>4</v>
      </c>
      <c r="D252" s="4">
        <v>1</v>
      </c>
      <c r="E252" s="4">
        <v>1</v>
      </c>
      <c r="F252" s="4">
        <v>0</v>
      </c>
      <c r="G252" s="4">
        <v>5</v>
      </c>
      <c r="H252" s="4">
        <v>1</v>
      </c>
      <c r="I252" s="4">
        <v>0</v>
      </c>
      <c r="J252" s="4">
        <v>0</v>
      </c>
      <c r="K252" s="4">
        <v>0</v>
      </c>
      <c r="L252" s="2" t="s">
        <v>79</v>
      </c>
    </row>
    <row r="253" spans="1:12" x14ac:dyDescent="0.2">
      <c r="A253" s="4">
        <v>3.5</v>
      </c>
      <c r="B253" s="4">
        <v>18</v>
      </c>
      <c r="C253" s="4">
        <v>3</v>
      </c>
      <c r="D253" s="4">
        <v>1</v>
      </c>
      <c r="E253" s="4">
        <v>1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2" t="s">
        <v>79</v>
      </c>
    </row>
    <row r="254" spans="1:12" x14ac:dyDescent="0.2">
      <c r="A254" s="4">
        <v>0.53</v>
      </c>
      <c r="B254" s="4">
        <v>12</v>
      </c>
      <c r="C254" s="4">
        <v>3</v>
      </c>
      <c r="D254" s="4">
        <v>1</v>
      </c>
      <c r="E254" s="4">
        <v>1</v>
      </c>
      <c r="F254" s="4">
        <v>0</v>
      </c>
      <c r="G254" s="4">
        <v>0</v>
      </c>
      <c r="H254" s="4">
        <v>0</v>
      </c>
      <c r="I254" s="4">
        <v>0</v>
      </c>
      <c r="J254" s="4">
        <v>1</v>
      </c>
      <c r="K254" s="4">
        <v>0</v>
      </c>
      <c r="L254" s="2" t="s">
        <v>79</v>
      </c>
    </row>
    <row r="255" spans="1:12" x14ac:dyDescent="0.2">
      <c r="A255" s="4">
        <v>3</v>
      </c>
      <c r="B255" s="4">
        <v>13</v>
      </c>
      <c r="C255" s="4">
        <v>3</v>
      </c>
      <c r="D255" s="4">
        <v>1</v>
      </c>
      <c r="E255" s="4">
        <v>0</v>
      </c>
      <c r="F255" s="4">
        <v>0</v>
      </c>
      <c r="G255" s="4">
        <v>0</v>
      </c>
      <c r="H255" s="4">
        <v>0</v>
      </c>
      <c r="I255" s="4">
        <v>1</v>
      </c>
      <c r="J255" s="4">
        <v>0</v>
      </c>
      <c r="K255" s="4">
        <v>0</v>
      </c>
      <c r="L255" s="2" t="s">
        <v>79</v>
      </c>
    </row>
    <row r="256" spans="1:12" x14ac:dyDescent="0.2">
      <c r="A256" s="4">
        <v>4.68</v>
      </c>
      <c r="B256" s="4">
        <v>16</v>
      </c>
      <c r="C256" s="4">
        <v>3</v>
      </c>
      <c r="D256" s="4">
        <v>1</v>
      </c>
      <c r="E256" s="4">
        <v>1</v>
      </c>
      <c r="F256" s="4">
        <v>0</v>
      </c>
      <c r="G256" s="4">
        <v>0</v>
      </c>
      <c r="H256" s="4">
        <v>1</v>
      </c>
      <c r="I256" s="4">
        <v>0</v>
      </c>
      <c r="J256" s="4">
        <v>0</v>
      </c>
      <c r="K256" s="4">
        <v>0</v>
      </c>
      <c r="L256" s="2" t="s">
        <v>79</v>
      </c>
    </row>
    <row r="257" spans="1:12" x14ac:dyDescent="0.2">
      <c r="A257" s="4">
        <v>4.5</v>
      </c>
      <c r="B257" s="4">
        <v>12</v>
      </c>
      <c r="C257" s="4">
        <v>2</v>
      </c>
      <c r="D257" s="4">
        <v>1</v>
      </c>
      <c r="E257" s="4">
        <v>1</v>
      </c>
      <c r="F257" s="4">
        <v>0</v>
      </c>
      <c r="G257" s="4">
        <v>2</v>
      </c>
      <c r="H257" s="4">
        <v>0</v>
      </c>
      <c r="I257" s="4">
        <v>0</v>
      </c>
      <c r="J257" s="4">
        <v>0</v>
      </c>
      <c r="K257" s="4">
        <v>1</v>
      </c>
      <c r="L257" s="2" t="s">
        <v>79</v>
      </c>
    </row>
    <row r="258" spans="1:12" x14ac:dyDescent="0.2">
      <c r="A258" s="4">
        <v>3.1</v>
      </c>
      <c r="B258" s="4">
        <v>12</v>
      </c>
      <c r="C258" s="4">
        <v>2</v>
      </c>
      <c r="D258" s="4">
        <v>1</v>
      </c>
      <c r="E258" s="4">
        <v>1</v>
      </c>
      <c r="F258" s="4">
        <v>0</v>
      </c>
      <c r="G258" s="4">
        <v>1</v>
      </c>
      <c r="H258" s="4">
        <v>0</v>
      </c>
      <c r="I258" s="4">
        <v>0</v>
      </c>
      <c r="J258" s="4">
        <v>0</v>
      </c>
      <c r="K258" s="4">
        <v>0</v>
      </c>
      <c r="L258" s="2" t="s">
        <v>79</v>
      </c>
    </row>
    <row r="259" spans="1:12" x14ac:dyDescent="0.2">
      <c r="A259" s="4">
        <v>5</v>
      </c>
      <c r="B259" s="4">
        <v>16</v>
      </c>
      <c r="C259" s="4">
        <v>2</v>
      </c>
      <c r="D259" s="4">
        <v>1</v>
      </c>
      <c r="E259" s="4">
        <v>1</v>
      </c>
      <c r="F259" s="4">
        <v>1</v>
      </c>
      <c r="G259" s="4">
        <v>0</v>
      </c>
      <c r="H259" s="4">
        <v>0</v>
      </c>
      <c r="I259" s="4">
        <v>1</v>
      </c>
      <c r="J259" s="4">
        <v>0</v>
      </c>
      <c r="K259" s="4">
        <v>0</v>
      </c>
      <c r="L259" s="2" t="s">
        <v>79</v>
      </c>
    </row>
    <row r="260" spans="1:12" x14ac:dyDescent="0.2">
      <c r="A260" s="4">
        <v>3</v>
      </c>
      <c r="B260" s="4">
        <v>10</v>
      </c>
      <c r="C260" s="4">
        <v>2</v>
      </c>
      <c r="D260" s="4">
        <v>1</v>
      </c>
      <c r="E260" s="4">
        <v>1</v>
      </c>
      <c r="F260" s="4">
        <v>0</v>
      </c>
      <c r="G260" s="4">
        <v>1</v>
      </c>
      <c r="H260" s="4">
        <v>0</v>
      </c>
      <c r="I260" s="4">
        <v>1</v>
      </c>
      <c r="J260" s="4">
        <v>0</v>
      </c>
      <c r="K260" s="4">
        <v>0</v>
      </c>
      <c r="L260" s="2" t="s">
        <v>79</v>
      </c>
    </row>
    <row r="261" spans="1:12" x14ac:dyDescent="0.2">
      <c r="A261" s="4">
        <v>3.13</v>
      </c>
      <c r="B261" s="4">
        <v>10</v>
      </c>
      <c r="C261" s="4">
        <v>1</v>
      </c>
      <c r="D261" s="4">
        <v>1</v>
      </c>
      <c r="E261" s="4">
        <v>0</v>
      </c>
      <c r="F261" s="4">
        <v>0</v>
      </c>
      <c r="G261" s="4">
        <v>2</v>
      </c>
      <c r="H261" s="4">
        <v>0</v>
      </c>
      <c r="I261" s="4">
        <v>0</v>
      </c>
      <c r="J261" s="4">
        <v>1</v>
      </c>
      <c r="K261" s="4">
        <v>0</v>
      </c>
      <c r="L261" s="2" t="s">
        <v>79</v>
      </c>
    </row>
    <row r="262" spans="1:12" x14ac:dyDescent="0.2">
      <c r="A262" s="4">
        <v>3.4</v>
      </c>
      <c r="B262" s="4">
        <v>16</v>
      </c>
      <c r="C262" s="4">
        <v>1</v>
      </c>
      <c r="D262" s="4">
        <v>1</v>
      </c>
      <c r="E262" s="4">
        <v>1</v>
      </c>
      <c r="F262" s="4">
        <v>0</v>
      </c>
      <c r="G262" s="4">
        <v>1</v>
      </c>
      <c r="H262" s="4">
        <v>0</v>
      </c>
      <c r="I262" s="4">
        <v>0</v>
      </c>
      <c r="J262" s="4">
        <v>0</v>
      </c>
      <c r="K262" s="4">
        <v>0</v>
      </c>
      <c r="L262" s="2" t="s">
        <v>79</v>
      </c>
    </row>
    <row r="263" spans="1:12" x14ac:dyDescent="0.2">
      <c r="A263" s="4">
        <v>4.28</v>
      </c>
      <c r="B263" s="4">
        <v>13</v>
      </c>
      <c r="C263" s="4">
        <v>1</v>
      </c>
      <c r="D263" s="4">
        <v>1</v>
      </c>
      <c r="E263" s="4">
        <v>1</v>
      </c>
      <c r="F263" s="4">
        <v>0</v>
      </c>
      <c r="G263" s="4">
        <v>2</v>
      </c>
      <c r="H263" s="4">
        <v>0</v>
      </c>
      <c r="I263" s="4">
        <v>0</v>
      </c>
      <c r="J263" s="4">
        <v>0</v>
      </c>
      <c r="K263" s="4">
        <v>0</v>
      </c>
      <c r="L263" s="2" t="s">
        <v>79</v>
      </c>
    </row>
    <row r="264" spans="1:12" x14ac:dyDescent="0.2">
      <c r="A264" s="4">
        <v>3</v>
      </c>
      <c r="B264" s="4">
        <v>11</v>
      </c>
      <c r="C264" s="4">
        <v>1</v>
      </c>
      <c r="D264" s="4">
        <v>1</v>
      </c>
      <c r="E264" s="4">
        <v>1</v>
      </c>
      <c r="F264" s="4">
        <v>0</v>
      </c>
      <c r="G264" s="4">
        <v>1</v>
      </c>
      <c r="H264" s="4">
        <v>0</v>
      </c>
      <c r="I264" s="4">
        <v>1</v>
      </c>
      <c r="J264" s="4">
        <v>0</v>
      </c>
      <c r="K264" s="4">
        <v>0</v>
      </c>
      <c r="L264" s="2" t="s">
        <v>79</v>
      </c>
    </row>
    <row r="265" spans="1:12" x14ac:dyDescent="0.2">
      <c r="A265" s="4">
        <v>3</v>
      </c>
      <c r="B265" s="4">
        <v>4</v>
      </c>
      <c r="C265" s="9">
        <v>43.93</v>
      </c>
      <c r="D265" s="4">
        <v>0</v>
      </c>
      <c r="E265" s="4">
        <v>0</v>
      </c>
      <c r="F265" s="4">
        <v>1</v>
      </c>
      <c r="G265" s="4">
        <v>0</v>
      </c>
      <c r="H265" s="4">
        <v>0</v>
      </c>
      <c r="I265" s="4">
        <v>1</v>
      </c>
      <c r="J265" s="4">
        <v>0</v>
      </c>
      <c r="K265" s="4">
        <v>0</v>
      </c>
      <c r="L265" s="2" t="s">
        <v>79</v>
      </c>
    </row>
    <row r="266" spans="1:12" x14ac:dyDescent="0.2">
      <c r="A266" s="4">
        <v>3</v>
      </c>
      <c r="B266" s="4">
        <v>10</v>
      </c>
      <c r="C266" s="9">
        <v>43.93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1</v>
      </c>
      <c r="J266" s="4">
        <v>0</v>
      </c>
      <c r="K266" s="4">
        <v>0</v>
      </c>
      <c r="L266" s="2" t="s">
        <v>79</v>
      </c>
    </row>
    <row r="267" spans="1:12" x14ac:dyDescent="0.2">
      <c r="A267" s="4">
        <v>2.5299999999999998</v>
      </c>
      <c r="B267" s="4">
        <v>12</v>
      </c>
      <c r="C267" s="9">
        <v>43.93</v>
      </c>
      <c r="D267" s="4">
        <v>0</v>
      </c>
      <c r="E267" s="4">
        <v>1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2" t="s">
        <v>79</v>
      </c>
    </row>
    <row r="268" spans="1:12" x14ac:dyDescent="0.2">
      <c r="A268" s="4">
        <v>2.89</v>
      </c>
      <c r="B268" s="4">
        <v>0</v>
      </c>
      <c r="C268" s="4">
        <v>42</v>
      </c>
      <c r="D268" s="4">
        <v>0</v>
      </c>
      <c r="E268" s="4">
        <v>1</v>
      </c>
      <c r="F268" s="4">
        <v>1</v>
      </c>
      <c r="G268" s="4">
        <v>2</v>
      </c>
      <c r="H268" s="4">
        <v>0</v>
      </c>
      <c r="I268" s="4">
        <v>0</v>
      </c>
      <c r="J268" s="4">
        <v>1</v>
      </c>
      <c r="K268" s="4">
        <v>0</v>
      </c>
      <c r="L268" s="2" t="s">
        <v>79</v>
      </c>
    </row>
    <row r="269" spans="1:12" x14ac:dyDescent="0.2">
      <c r="A269" s="4">
        <v>3.25</v>
      </c>
      <c r="B269" s="4">
        <v>12</v>
      </c>
      <c r="C269" s="4">
        <v>42</v>
      </c>
      <c r="D269" s="4">
        <v>0</v>
      </c>
      <c r="E269" s="4">
        <v>1</v>
      </c>
      <c r="F269" s="4">
        <v>1</v>
      </c>
      <c r="G269" s="4">
        <v>0</v>
      </c>
      <c r="H269" s="4">
        <v>0</v>
      </c>
      <c r="I269" s="4">
        <v>0</v>
      </c>
      <c r="J269" s="4">
        <v>1</v>
      </c>
      <c r="K269" s="4">
        <v>0</v>
      </c>
      <c r="L269" s="2" t="s">
        <v>79</v>
      </c>
    </row>
    <row r="270" spans="1:12" x14ac:dyDescent="0.2">
      <c r="A270" s="4">
        <v>3</v>
      </c>
      <c r="B270" s="4">
        <v>12</v>
      </c>
      <c r="C270" s="4">
        <v>38</v>
      </c>
      <c r="D270" s="4">
        <v>0</v>
      </c>
      <c r="E270" s="4">
        <v>1</v>
      </c>
      <c r="F270" s="4">
        <v>1</v>
      </c>
      <c r="G270" s="4">
        <v>0</v>
      </c>
      <c r="H270" s="4">
        <v>1</v>
      </c>
      <c r="I270" s="4">
        <v>0</v>
      </c>
      <c r="J270" s="4">
        <v>0</v>
      </c>
      <c r="K270" s="4">
        <v>0</v>
      </c>
      <c r="L270" s="2" t="s">
        <v>79</v>
      </c>
    </row>
    <row r="271" spans="1:12" x14ac:dyDescent="0.2">
      <c r="A271" s="4">
        <v>2.9</v>
      </c>
      <c r="B271" s="4">
        <v>12</v>
      </c>
      <c r="C271" s="4">
        <v>37</v>
      </c>
      <c r="D271" s="4">
        <v>0</v>
      </c>
      <c r="E271" s="4">
        <v>1</v>
      </c>
      <c r="F271" s="4">
        <v>1</v>
      </c>
      <c r="G271" s="4">
        <v>0</v>
      </c>
      <c r="H271" s="4">
        <v>0</v>
      </c>
      <c r="I271" s="4">
        <v>1</v>
      </c>
      <c r="J271" s="4">
        <v>0</v>
      </c>
      <c r="K271" s="4">
        <v>0</v>
      </c>
      <c r="L271" s="2" t="s">
        <v>79</v>
      </c>
    </row>
    <row r="272" spans="1:12" x14ac:dyDescent="0.2">
      <c r="A272" s="4">
        <v>6.63</v>
      </c>
      <c r="B272" s="4">
        <v>12</v>
      </c>
      <c r="C272" s="4">
        <v>36</v>
      </c>
      <c r="D272" s="4">
        <v>0</v>
      </c>
      <c r="E272" s="4">
        <v>1</v>
      </c>
      <c r="F272" s="4">
        <v>0</v>
      </c>
      <c r="G272" s="4">
        <v>0</v>
      </c>
      <c r="H272" s="4">
        <v>0</v>
      </c>
      <c r="I272" s="4">
        <v>1</v>
      </c>
      <c r="J272" s="4">
        <v>0</v>
      </c>
      <c r="K272" s="4">
        <v>0</v>
      </c>
      <c r="L272" s="2" t="s">
        <v>79</v>
      </c>
    </row>
    <row r="273" spans="1:12" x14ac:dyDescent="0.2">
      <c r="A273" s="4">
        <v>3</v>
      </c>
      <c r="B273" s="4">
        <v>4</v>
      </c>
      <c r="C273" s="4">
        <v>36</v>
      </c>
      <c r="D273" s="4">
        <v>0</v>
      </c>
      <c r="E273" s="4">
        <v>0</v>
      </c>
      <c r="F273" s="4">
        <v>1</v>
      </c>
      <c r="G273" s="4">
        <v>1</v>
      </c>
      <c r="H273" s="4">
        <v>0</v>
      </c>
      <c r="I273" s="4">
        <v>1</v>
      </c>
      <c r="J273" s="4">
        <v>0</v>
      </c>
      <c r="K273" s="4">
        <v>1</v>
      </c>
      <c r="L273" s="2" t="s">
        <v>79</v>
      </c>
    </row>
    <row r="274" spans="1:12" x14ac:dyDescent="0.2">
      <c r="A274" s="4">
        <v>3.35</v>
      </c>
      <c r="B274" s="4">
        <v>7</v>
      </c>
      <c r="C274" s="4">
        <v>35</v>
      </c>
      <c r="D274" s="4">
        <v>0</v>
      </c>
      <c r="E274" s="4">
        <v>1</v>
      </c>
      <c r="F274" s="4">
        <v>0</v>
      </c>
      <c r="G274" s="4">
        <v>1</v>
      </c>
      <c r="H274" s="4">
        <v>0</v>
      </c>
      <c r="I274" s="4">
        <v>1</v>
      </c>
      <c r="J274" s="4">
        <v>0</v>
      </c>
      <c r="K274" s="4">
        <v>0</v>
      </c>
      <c r="L274" s="2" t="s">
        <v>79</v>
      </c>
    </row>
    <row r="275" spans="1:12" x14ac:dyDescent="0.2">
      <c r="A275" s="4">
        <v>2.9</v>
      </c>
      <c r="B275" s="4">
        <v>5</v>
      </c>
      <c r="C275" s="4">
        <v>34</v>
      </c>
      <c r="D275" s="4">
        <v>0</v>
      </c>
      <c r="E275" s="4">
        <v>1</v>
      </c>
      <c r="F275" s="4">
        <v>1</v>
      </c>
      <c r="G275" s="4">
        <v>5</v>
      </c>
      <c r="H275" s="4">
        <v>0</v>
      </c>
      <c r="I275" s="4">
        <v>0</v>
      </c>
      <c r="J275" s="4">
        <v>1</v>
      </c>
      <c r="K275" s="4">
        <v>0</v>
      </c>
      <c r="L275" s="2" t="s">
        <v>79</v>
      </c>
    </row>
    <row r="276" spans="1:12" x14ac:dyDescent="0.2">
      <c r="A276" s="4">
        <v>3</v>
      </c>
      <c r="B276" s="4">
        <v>8</v>
      </c>
      <c r="C276" s="4">
        <v>33</v>
      </c>
      <c r="D276" s="4">
        <v>0</v>
      </c>
      <c r="E276" s="4">
        <v>0</v>
      </c>
      <c r="F276" s="4">
        <v>1</v>
      </c>
      <c r="G276" s="4">
        <v>1</v>
      </c>
      <c r="H276" s="4">
        <v>0</v>
      </c>
      <c r="I276" s="4">
        <v>1</v>
      </c>
      <c r="J276" s="4">
        <v>0</v>
      </c>
      <c r="K276" s="4">
        <v>0</v>
      </c>
      <c r="L276" s="2" t="s">
        <v>79</v>
      </c>
    </row>
    <row r="277" spans="1:12" x14ac:dyDescent="0.2">
      <c r="A277" s="4">
        <v>3</v>
      </c>
      <c r="B277" s="4">
        <v>15</v>
      </c>
      <c r="C277" s="4">
        <v>32</v>
      </c>
      <c r="D277" s="4">
        <v>0</v>
      </c>
      <c r="E277" s="4">
        <v>0</v>
      </c>
      <c r="F277" s="4">
        <v>1</v>
      </c>
      <c r="G277" s="4">
        <v>0</v>
      </c>
      <c r="H277" s="4">
        <v>0</v>
      </c>
      <c r="I277" s="4">
        <v>1</v>
      </c>
      <c r="J277" s="4">
        <v>0</v>
      </c>
      <c r="K277" s="4">
        <v>0</v>
      </c>
      <c r="L277" s="2" t="s">
        <v>79</v>
      </c>
    </row>
    <row r="278" spans="1:12" x14ac:dyDescent="0.2">
      <c r="A278" s="4">
        <v>12.5</v>
      </c>
      <c r="B278" s="4">
        <v>16</v>
      </c>
      <c r="C278" s="4">
        <v>31</v>
      </c>
      <c r="D278" s="4">
        <v>0</v>
      </c>
      <c r="E278" s="4">
        <v>0</v>
      </c>
      <c r="F278" s="4">
        <v>1</v>
      </c>
      <c r="G278" s="4">
        <v>0</v>
      </c>
      <c r="H278" s="4">
        <v>0</v>
      </c>
      <c r="I278" s="4">
        <v>0</v>
      </c>
      <c r="J278" s="4">
        <v>1</v>
      </c>
      <c r="K278" s="4">
        <v>0</v>
      </c>
      <c r="L278" s="2" t="s">
        <v>79</v>
      </c>
    </row>
    <row r="279" spans="1:12" x14ac:dyDescent="0.2">
      <c r="A279" s="4">
        <v>12.5</v>
      </c>
      <c r="B279" s="4">
        <v>15</v>
      </c>
      <c r="C279" s="4">
        <v>30</v>
      </c>
      <c r="D279" s="4">
        <v>0</v>
      </c>
      <c r="E279" s="4">
        <v>0</v>
      </c>
      <c r="F279" s="4">
        <v>1</v>
      </c>
      <c r="G279" s="4">
        <v>2</v>
      </c>
      <c r="H279" s="4">
        <v>0</v>
      </c>
      <c r="I279" s="4">
        <v>0</v>
      </c>
      <c r="J279" s="4">
        <v>1</v>
      </c>
      <c r="K279" s="4">
        <v>0</v>
      </c>
      <c r="L279" s="2" t="s">
        <v>79</v>
      </c>
    </row>
    <row r="280" spans="1:12" x14ac:dyDescent="0.2">
      <c r="A280" s="4">
        <v>4.1399999999999997</v>
      </c>
      <c r="B280" s="4">
        <v>13</v>
      </c>
      <c r="C280" s="4">
        <v>29</v>
      </c>
      <c r="D280" s="4">
        <v>0</v>
      </c>
      <c r="E280" s="4">
        <v>1</v>
      </c>
      <c r="F280" s="4">
        <v>1</v>
      </c>
      <c r="G280" s="4">
        <v>0</v>
      </c>
      <c r="H280" s="4">
        <v>0</v>
      </c>
      <c r="I280" s="4">
        <v>1</v>
      </c>
      <c r="J280" s="4">
        <v>0</v>
      </c>
      <c r="K280" s="4">
        <v>0</v>
      </c>
      <c r="L280" s="2" t="s">
        <v>79</v>
      </c>
    </row>
    <row r="281" spans="1:12" x14ac:dyDescent="0.2">
      <c r="A281" s="4">
        <v>3.2</v>
      </c>
      <c r="B281" s="4">
        <v>12</v>
      </c>
      <c r="C281" s="4">
        <v>29</v>
      </c>
      <c r="D281" s="4">
        <v>0</v>
      </c>
      <c r="E281" s="4">
        <v>1</v>
      </c>
      <c r="F281" s="4">
        <v>0</v>
      </c>
      <c r="G281" s="4">
        <v>1</v>
      </c>
      <c r="H281" s="4">
        <v>0</v>
      </c>
      <c r="I281" s="4">
        <v>1</v>
      </c>
      <c r="J281" s="4">
        <v>0</v>
      </c>
      <c r="K281" s="4">
        <v>0</v>
      </c>
      <c r="L281" s="2" t="s">
        <v>79</v>
      </c>
    </row>
    <row r="282" spans="1:12" x14ac:dyDescent="0.2">
      <c r="A282" s="4">
        <v>3.25</v>
      </c>
      <c r="B282" s="4">
        <v>9</v>
      </c>
      <c r="C282" s="4">
        <v>29</v>
      </c>
      <c r="D282" s="4">
        <v>0</v>
      </c>
      <c r="E282" s="4">
        <v>0</v>
      </c>
      <c r="F282" s="4">
        <v>1</v>
      </c>
      <c r="G282" s="4">
        <v>1</v>
      </c>
      <c r="H282" s="4">
        <v>1</v>
      </c>
      <c r="I282" s="4">
        <v>0</v>
      </c>
      <c r="J282" s="4">
        <v>0</v>
      </c>
      <c r="K282" s="4">
        <v>0</v>
      </c>
      <c r="L282" s="2" t="s">
        <v>79</v>
      </c>
    </row>
    <row r="283" spans="1:12" x14ac:dyDescent="0.2">
      <c r="A283" s="4">
        <v>10</v>
      </c>
      <c r="B283" s="4">
        <v>12</v>
      </c>
      <c r="C283" s="4">
        <v>29</v>
      </c>
      <c r="D283" s="4">
        <v>0</v>
      </c>
      <c r="E283" s="4">
        <v>0</v>
      </c>
      <c r="F283" s="4">
        <v>1</v>
      </c>
      <c r="G283" s="4">
        <v>2</v>
      </c>
      <c r="H283" s="4">
        <v>0</v>
      </c>
      <c r="I283" s="4">
        <v>0</v>
      </c>
      <c r="J283" s="4">
        <v>0</v>
      </c>
      <c r="K283" s="4">
        <v>0</v>
      </c>
      <c r="L283" s="2" t="s">
        <v>79</v>
      </c>
    </row>
    <row r="284" spans="1:12" x14ac:dyDescent="0.2">
      <c r="A284" s="4">
        <v>4</v>
      </c>
      <c r="B284" s="4">
        <v>12</v>
      </c>
      <c r="C284" s="4">
        <v>28</v>
      </c>
      <c r="D284" s="4">
        <v>0</v>
      </c>
      <c r="E284" s="4">
        <v>1</v>
      </c>
      <c r="F284" s="4">
        <v>1</v>
      </c>
      <c r="G284" s="4">
        <v>1</v>
      </c>
      <c r="H284" s="4">
        <v>0</v>
      </c>
      <c r="I284" s="4">
        <v>0</v>
      </c>
      <c r="J284" s="4">
        <v>0</v>
      </c>
      <c r="K284" s="4">
        <v>0</v>
      </c>
      <c r="L284" s="2" t="s">
        <v>79</v>
      </c>
    </row>
    <row r="285" spans="1:12" x14ac:dyDescent="0.2">
      <c r="A285" s="4">
        <v>6.46</v>
      </c>
      <c r="B285" s="4">
        <v>12</v>
      </c>
      <c r="C285" s="4">
        <v>27</v>
      </c>
      <c r="D285" s="4">
        <v>0</v>
      </c>
      <c r="E285" s="4">
        <v>0</v>
      </c>
      <c r="F285" s="4">
        <v>1</v>
      </c>
      <c r="G285" s="4">
        <v>3</v>
      </c>
      <c r="H285" s="4">
        <v>1</v>
      </c>
      <c r="I285" s="4">
        <v>0</v>
      </c>
      <c r="J285" s="4">
        <v>0</v>
      </c>
      <c r="K285" s="4">
        <v>0</v>
      </c>
      <c r="L285" s="2" t="s">
        <v>79</v>
      </c>
    </row>
    <row r="286" spans="1:12" x14ac:dyDescent="0.2">
      <c r="A286" s="4">
        <v>6.36</v>
      </c>
      <c r="B286" s="4">
        <v>16</v>
      </c>
      <c r="C286" s="4">
        <v>25</v>
      </c>
      <c r="D286" s="4">
        <v>0</v>
      </c>
      <c r="E286" s="4">
        <v>0</v>
      </c>
      <c r="F286" s="4">
        <v>1</v>
      </c>
      <c r="G286" s="4">
        <v>1</v>
      </c>
      <c r="H286" s="4">
        <v>0</v>
      </c>
      <c r="I286" s="4">
        <v>1</v>
      </c>
      <c r="J286" s="4">
        <v>0</v>
      </c>
      <c r="K286" s="4">
        <v>0</v>
      </c>
      <c r="L286" s="2" t="s">
        <v>79</v>
      </c>
    </row>
    <row r="287" spans="1:12" x14ac:dyDescent="0.2">
      <c r="A287" s="4">
        <v>9.42</v>
      </c>
      <c r="B287" s="4">
        <v>14</v>
      </c>
      <c r="C287" s="4">
        <v>23</v>
      </c>
      <c r="D287" s="4">
        <v>0</v>
      </c>
      <c r="E287" s="4">
        <v>1</v>
      </c>
      <c r="F287" s="4">
        <v>1</v>
      </c>
      <c r="G287" s="4">
        <v>2</v>
      </c>
      <c r="H287" s="4">
        <v>0</v>
      </c>
      <c r="I287" s="4">
        <v>1</v>
      </c>
      <c r="J287" s="4">
        <v>0</v>
      </c>
      <c r="K287" s="4">
        <v>0</v>
      </c>
      <c r="L287" s="2" t="s">
        <v>79</v>
      </c>
    </row>
    <row r="288" spans="1:12" x14ac:dyDescent="0.2">
      <c r="A288" s="4">
        <v>3.35</v>
      </c>
      <c r="B288" s="4">
        <v>13</v>
      </c>
      <c r="C288" s="4">
        <v>22</v>
      </c>
      <c r="D288" s="4">
        <v>0</v>
      </c>
      <c r="E288" s="4">
        <v>1</v>
      </c>
      <c r="F288" s="4">
        <v>0</v>
      </c>
      <c r="G288" s="4">
        <v>2</v>
      </c>
      <c r="H288" s="4">
        <v>1</v>
      </c>
      <c r="I288" s="4">
        <v>0</v>
      </c>
      <c r="J288" s="4">
        <v>0</v>
      </c>
      <c r="K288" s="4">
        <v>0</v>
      </c>
      <c r="L288" s="2" t="s">
        <v>79</v>
      </c>
    </row>
    <row r="289" spans="1:12" x14ac:dyDescent="0.2">
      <c r="A289" s="4">
        <v>4.75</v>
      </c>
      <c r="B289" s="4">
        <v>12</v>
      </c>
      <c r="C289" s="4">
        <v>19</v>
      </c>
      <c r="D289" s="4">
        <v>0</v>
      </c>
      <c r="E289" s="4">
        <v>0</v>
      </c>
      <c r="F289" s="4">
        <v>1</v>
      </c>
      <c r="G289" s="4">
        <v>3</v>
      </c>
      <c r="H289" s="4">
        <v>0</v>
      </c>
      <c r="I289" s="4">
        <v>1</v>
      </c>
      <c r="J289" s="4">
        <v>0</v>
      </c>
      <c r="K289" s="4">
        <v>0</v>
      </c>
      <c r="L289" s="2" t="s">
        <v>79</v>
      </c>
    </row>
    <row r="290" spans="1:12" x14ac:dyDescent="0.2">
      <c r="A290" s="4">
        <v>2.9</v>
      </c>
      <c r="B290" s="4">
        <v>10</v>
      </c>
      <c r="C290" s="4">
        <v>18</v>
      </c>
      <c r="D290" s="4">
        <v>0</v>
      </c>
      <c r="E290" s="4">
        <v>1</v>
      </c>
      <c r="F290" s="4">
        <v>1</v>
      </c>
      <c r="G290" s="4">
        <v>2</v>
      </c>
      <c r="H290" s="4">
        <v>0</v>
      </c>
      <c r="I290" s="4">
        <v>1</v>
      </c>
      <c r="J290" s="4">
        <v>0</v>
      </c>
      <c r="K290" s="4">
        <v>0</v>
      </c>
      <c r="L290" s="2" t="s">
        <v>79</v>
      </c>
    </row>
    <row r="291" spans="1:12" x14ac:dyDescent="0.2">
      <c r="A291" s="4">
        <v>3.75</v>
      </c>
      <c r="B291" s="4">
        <v>12</v>
      </c>
      <c r="C291" s="4">
        <v>18</v>
      </c>
      <c r="D291" s="4">
        <v>0</v>
      </c>
      <c r="E291" s="4">
        <v>1</v>
      </c>
      <c r="F291" s="4">
        <v>1</v>
      </c>
      <c r="G291" s="4">
        <v>4</v>
      </c>
      <c r="H291" s="4">
        <v>1</v>
      </c>
      <c r="I291" s="4">
        <v>0</v>
      </c>
      <c r="J291" s="4">
        <v>0</v>
      </c>
      <c r="K291" s="4">
        <v>0</v>
      </c>
      <c r="L291" s="2" t="s">
        <v>79</v>
      </c>
    </row>
    <row r="292" spans="1:12" x14ac:dyDescent="0.2">
      <c r="A292" s="4">
        <v>1.43</v>
      </c>
      <c r="B292" s="4">
        <v>12</v>
      </c>
      <c r="C292" s="4">
        <v>17</v>
      </c>
      <c r="D292" s="4">
        <v>0</v>
      </c>
      <c r="E292" s="10">
        <v>2</v>
      </c>
      <c r="F292" s="4">
        <v>1</v>
      </c>
      <c r="G292" s="4">
        <v>2</v>
      </c>
      <c r="H292" s="4">
        <v>0</v>
      </c>
      <c r="I292" s="4">
        <v>0</v>
      </c>
      <c r="J292" s="4">
        <v>0</v>
      </c>
      <c r="K292" s="4">
        <v>0</v>
      </c>
      <c r="L292" s="2" t="s">
        <v>79</v>
      </c>
    </row>
    <row r="293" spans="1:12" x14ac:dyDescent="0.2">
      <c r="A293" s="4">
        <v>3</v>
      </c>
      <c r="B293" s="4">
        <v>14</v>
      </c>
      <c r="C293" s="4">
        <v>17</v>
      </c>
      <c r="D293" s="4">
        <v>0</v>
      </c>
      <c r="E293" s="4">
        <v>1</v>
      </c>
      <c r="F293" s="4">
        <v>1</v>
      </c>
      <c r="G293" s="4">
        <v>4</v>
      </c>
      <c r="H293" s="4">
        <v>0</v>
      </c>
      <c r="I293" s="4">
        <v>1</v>
      </c>
      <c r="J293" s="4">
        <v>0</v>
      </c>
      <c r="K293" s="4">
        <v>0</v>
      </c>
      <c r="L293" s="2" t="s">
        <v>79</v>
      </c>
    </row>
    <row r="294" spans="1:12" x14ac:dyDescent="0.2">
      <c r="A294" s="4">
        <v>4.5</v>
      </c>
      <c r="B294" s="4">
        <v>14</v>
      </c>
      <c r="C294" s="4">
        <v>16</v>
      </c>
      <c r="D294" s="4">
        <v>0</v>
      </c>
      <c r="E294" s="4">
        <v>1</v>
      </c>
      <c r="F294" s="4">
        <v>1</v>
      </c>
      <c r="G294" s="4">
        <v>1</v>
      </c>
      <c r="H294" s="4">
        <v>0</v>
      </c>
      <c r="I294" s="4">
        <v>0</v>
      </c>
      <c r="J294" s="4">
        <v>1</v>
      </c>
      <c r="K294" s="4">
        <v>0</v>
      </c>
      <c r="L294" s="2" t="s">
        <v>79</v>
      </c>
    </row>
    <row r="295" spans="1:12" x14ac:dyDescent="0.2">
      <c r="A295" s="4">
        <v>3.24</v>
      </c>
      <c r="B295" s="4">
        <v>12</v>
      </c>
      <c r="C295" s="4">
        <v>16</v>
      </c>
      <c r="D295" s="4">
        <v>0</v>
      </c>
      <c r="E295" s="4">
        <v>1</v>
      </c>
      <c r="F295" s="4">
        <v>1</v>
      </c>
      <c r="G295" s="4">
        <v>2</v>
      </c>
      <c r="H295" s="4">
        <v>0</v>
      </c>
      <c r="I295" s="4">
        <v>1</v>
      </c>
      <c r="J295" s="4">
        <v>0</v>
      </c>
      <c r="K295" s="4">
        <v>0</v>
      </c>
      <c r="L295" s="2" t="s">
        <v>79</v>
      </c>
    </row>
    <row r="296" spans="1:12" x14ac:dyDescent="0.2">
      <c r="A296" s="4">
        <v>6.11</v>
      </c>
      <c r="B296" s="4">
        <v>14</v>
      </c>
      <c r="C296" s="4">
        <v>15</v>
      </c>
      <c r="D296" s="4">
        <v>0</v>
      </c>
      <c r="E296" s="4">
        <v>0</v>
      </c>
      <c r="F296" s="4">
        <v>1</v>
      </c>
      <c r="G296" s="4">
        <v>2</v>
      </c>
      <c r="H296" s="4">
        <v>0</v>
      </c>
      <c r="I296" s="4">
        <v>0</v>
      </c>
      <c r="J296" s="4">
        <v>0</v>
      </c>
      <c r="K296" s="4">
        <v>0</v>
      </c>
      <c r="L296" s="2" t="s">
        <v>79</v>
      </c>
    </row>
    <row r="297" spans="1:12" x14ac:dyDescent="0.2">
      <c r="A297" s="4">
        <v>8.77</v>
      </c>
      <c r="B297" s="4">
        <v>12</v>
      </c>
      <c r="C297" s="4">
        <v>15</v>
      </c>
      <c r="D297" s="4">
        <v>0</v>
      </c>
      <c r="E297" s="4">
        <v>0</v>
      </c>
      <c r="F297" s="4">
        <v>1</v>
      </c>
      <c r="G297" s="4">
        <v>2</v>
      </c>
      <c r="H297" s="4">
        <v>0</v>
      </c>
      <c r="I297" s="4">
        <v>0</v>
      </c>
      <c r="J297" s="4">
        <v>1</v>
      </c>
      <c r="K297" s="4">
        <v>0</v>
      </c>
      <c r="L297" s="2" t="s">
        <v>79</v>
      </c>
    </row>
    <row r="298" spans="1:12" x14ac:dyDescent="0.2">
      <c r="A298" s="4">
        <v>10</v>
      </c>
      <c r="B298" s="4">
        <v>12</v>
      </c>
      <c r="C298" s="4">
        <v>15</v>
      </c>
      <c r="D298" s="4">
        <v>0</v>
      </c>
      <c r="E298" s="4">
        <v>0</v>
      </c>
      <c r="F298" s="4">
        <v>0</v>
      </c>
      <c r="G298" s="4">
        <v>1</v>
      </c>
      <c r="H298" s="4">
        <v>0</v>
      </c>
      <c r="I298" s="4">
        <v>0</v>
      </c>
      <c r="J298" s="4">
        <v>0</v>
      </c>
      <c r="K298" s="4">
        <v>0</v>
      </c>
      <c r="L298" s="2" t="s">
        <v>79</v>
      </c>
    </row>
    <row r="299" spans="1:12" x14ac:dyDescent="0.2">
      <c r="A299" s="4">
        <v>5</v>
      </c>
      <c r="B299" s="4">
        <v>15</v>
      </c>
      <c r="C299" s="4">
        <v>15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1</v>
      </c>
      <c r="J299" s="4">
        <v>0</v>
      </c>
      <c r="K299" s="4">
        <v>0</v>
      </c>
      <c r="L299" s="2" t="s">
        <v>79</v>
      </c>
    </row>
    <row r="300" spans="1:12" x14ac:dyDescent="0.2">
      <c r="A300" s="4">
        <v>3.75</v>
      </c>
      <c r="B300" s="4">
        <v>10</v>
      </c>
      <c r="C300" s="4">
        <v>15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2" t="s">
        <v>79</v>
      </c>
    </row>
    <row r="301" spans="1:12" x14ac:dyDescent="0.2">
      <c r="A301" s="4">
        <v>3.25</v>
      </c>
      <c r="B301" s="4">
        <v>12</v>
      </c>
      <c r="C301" s="4">
        <v>14</v>
      </c>
      <c r="D301" s="4">
        <v>0</v>
      </c>
      <c r="E301" s="4">
        <v>1</v>
      </c>
      <c r="F301" s="4">
        <v>1</v>
      </c>
      <c r="G301" s="4">
        <v>1</v>
      </c>
      <c r="H301" s="4">
        <v>0</v>
      </c>
      <c r="I301" s="4">
        <v>0</v>
      </c>
      <c r="J301" s="4">
        <v>0</v>
      </c>
      <c r="K301" s="4">
        <v>0</v>
      </c>
      <c r="L301" s="2" t="s">
        <v>79</v>
      </c>
    </row>
    <row r="302" spans="1:12" x14ac:dyDescent="0.2">
      <c r="A302" s="4">
        <v>3.75</v>
      </c>
      <c r="B302" s="4">
        <v>12</v>
      </c>
      <c r="C302" s="4">
        <v>14</v>
      </c>
      <c r="D302" s="4">
        <v>0</v>
      </c>
      <c r="E302" s="4">
        <v>1</v>
      </c>
      <c r="F302" s="4">
        <v>1</v>
      </c>
      <c r="G302" s="4">
        <v>3</v>
      </c>
      <c r="H302" s="4">
        <v>0</v>
      </c>
      <c r="I302" s="4">
        <v>0</v>
      </c>
      <c r="J302" s="4">
        <v>0</v>
      </c>
      <c r="K302" s="4">
        <v>0</v>
      </c>
      <c r="L302" s="2" t="s">
        <v>79</v>
      </c>
    </row>
    <row r="303" spans="1:12" x14ac:dyDescent="0.2">
      <c r="A303" s="4">
        <v>3.1</v>
      </c>
      <c r="B303" s="4">
        <v>6</v>
      </c>
      <c r="C303" s="4">
        <v>14</v>
      </c>
      <c r="D303" s="4">
        <v>0</v>
      </c>
      <c r="E303" s="4">
        <v>1</v>
      </c>
      <c r="F303" s="4">
        <v>0</v>
      </c>
      <c r="G303" s="4">
        <v>5</v>
      </c>
      <c r="H303" s="4">
        <v>0</v>
      </c>
      <c r="I303" s="4">
        <v>1</v>
      </c>
      <c r="J303" s="4">
        <v>0</v>
      </c>
      <c r="K303" s="4">
        <v>0</v>
      </c>
      <c r="L303" s="2" t="s">
        <v>79</v>
      </c>
    </row>
    <row r="304" spans="1:12" x14ac:dyDescent="0.2">
      <c r="A304" s="4">
        <v>3.5</v>
      </c>
      <c r="B304" s="4">
        <v>12</v>
      </c>
      <c r="C304" s="4">
        <v>14</v>
      </c>
      <c r="D304" s="4">
        <v>0</v>
      </c>
      <c r="E304" s="4">
        <v>1</v>
      </c>
      <c r="F304" s="4">
        <v>0</v>
      </c>
      <c r="G304" s="4">
        <v>2</v>
      </c>
      <c r="H304" s="4">
        <v>0</v>
      </c>
      <c r="I304" s="4">
        <v>1</v>
      </c>
      <c r="J304" s="4">
        <v>0</v>
      </c>
      <c r="K304" s="4">
        <v>1</v>
      </c>
      <c r="L304" s="2" t="s">
        <v>79</v>
      </c>
    </row>
    <row r="305" spans="1:12" x14ac:dyDescent="0.2">
      <c r="A305" s="4">
        <v>17.329999999999998</v>
      </c>
      <c r="B305" s="4">
        <v>16</v>
      </c>
      <c r="C305" s="4">
        <v>14</v>
      </c>
      <c r="D305" s="4">
        <v>0</v>
      </c>
      <c r="E305" s="4">
        <v>0</v>
      </c>
      <c r="F305" s="4">
        <v>1</v>
      </c>
      <c r="G305" s="4">
        <v>1</v>
      </c>
      <c r="H305" s="4">
        <v>0</v>
      </c>
      <c r="I305" s="4">
        <v>0</v>
      </c>
      <c r="J305" s="4">
        <v>1</v>
      </c>
      <c r="K305" s="4">
        <v>0</v>
      </c>
      <c r="L305" s="2" t="s">
        <v>79</v>
      </c>
    </row>
    <row r="306" spans="1:12" x14ac:dyDescent="0.2">
      <c r="A306" s="4">
        <v>3.58</v>
      </c>
      <c r="B306" s="4">
        <v>12</v>
      </c>
      <c r="C306" s="4">
        <v>13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1</v>
      </c>
      <c r="J306" s="4">
        <v>0</v>
      </c>
      <c r="K306" s="4">
        <v>0</v>
      </c>
      <c r="L306" s="2" t="s">
        <v>79</v>
      </c>
    </row>
    <row r="307" spans="1:12" x14ac:dyDescent="0.2">
      <c r="A307" s="4">
        <v>4.5</v>
      </c>
      <c r="B307" s="4">
        <v>12</v>
      </c>
      <c r="C307" s="4">
        <v>13</v>
      </c>
      <c r="D307" s="4">
        <v>0</v>
      </c>
      <c r="E307" s="4">
        <v>0</v>
      </c>
      <c r="F307" s="4">
        <v>1</v>
      </c>
      <c r="G307" s="4">
        <v>0</v>
      </c>
      <c r="H307" s="4">
        <v>0</v>
      </c>
      <c r="I307" s="4">
        <v>1</v>
      </c>
      <c r="J307" s="4">
        <v>0</v>
      </c>
      <c r="K307" s="4">
        <v>0</v>
      </c>
      <c r="L307" s="2" t="s">
        <v>79</v>
      </c>
    </row>
    <row r="308" spans="1:12" x14ac:dyDescent="0.2">
      <c r="A308" s="4">
        <v>3.6</v>
      </c>
      <c r="B308" s="4">
        <v>12</v>
      </c>
      <c r="C308" s="4">
        <v>13</v>
      </c>
      <c r="D308" s="4">
        <v>0</v>
      </c>
      <c r="E308" s="10">
        <v>2</v>
      </c>
      <c r="F308" s="4">
        <v>1</v>
      </c>
      <c r="G308" s="4">
        <v>3</v>
      </c>
      <c r="H308" s="4">
        <v>0</v>
      </c>
      <c r="I308" s="4">
        <v>0</v>
      </c>
      <c r="J308" s="4">
        <v>1</v>
      </c>
      <c r="K308" s="4">
        <v>0</v>
      </c>
      <c r="L308" s="2" t="s">
        <v>79</v>
      </c>
    </row>
    <row r="309" spans="1:12" x14ac:dyDescent="0.2">
      <c r="A309" s="4">
        <v>18</v>
      </c>
      <c r="B309" s="4">
        <v>18</v>
      </c>
      <c r="C309" s="4">
        <v>13</v>
      </c>
      <c r="D309" s="4">
        <v>0</v>
      </c>
      <c r="E309" s="4">
        <v>1</v>
      </c>
      <c r="F309" s="4">
        <v>0</v>
      </c>
      <c r="G309" s="4">
        <v>0</v>
      </c>
      <c r="H309" s="4">
        <v>0</v>
      </c>
      <c r="I309" s="4">
        <v>1</v>
      </c>
      <c r="J309" s="4">
        <v>0</v>
      </c>
      <c r="K309" s="4">
        <v>0</v>
      </c>
      <c r="L309" s="2" t="s">
        <v>79</v>
      </c>
    </row>
    <row r="310" spans="1:12" x14ac:dyDescent="0.2">
      <c r="A310" s="4">
        <v>6.25</v>
      </c>
      <c r="B310" s="10">
        <v>12</v>
      </c>
      <c r="C310" s="4">
        <v>13</v>
      </c>
      <c r="D310" s="4">
        <v>0</v>
      </c>
      <c r="E310" s="4">
        <v>1</v>
      </c>
      <c r="F310" s="4">
        <v>1</v>
      </c>
      <c r="G310" s="4">
        <v>0</v>
      </c>
      <c r="H310" s="4">
        <v>1</v>
      </c>
      <c r="I310" s="4">
        <v>0</v>
      </c>
      <c r="J310" s="4">
        <v>0</v>
      </c>
      <c r="K310" s="4">
        <v>0</v>
      </c>
      <c r="L310" s="2" t="s">
        <v>79</v>
      </c>
    </row>
    <row r="311" spans="1:12" x14ac:dyDescent="0.2">
      <c r="A311" s="4">
        <v>7.14</v>
      </c>
      <c r="B311" s="4">
        <v>18</v>
      </c>
      <c r="C311" s="4">
        <v>13</v>
      </c>
      <c r="D311" s="4">
        <v>0</v>
      </c>
      <c r="E311" s="4">
        <v>0</v>
      </c>
      <c r="F311" s="4">
        <v>1</v>
      </c>
      <c r="G311" s="4">
        <v>2</v>
      </c>
      <c r="H311" s="4">
        <v>0</v>
      </c>
      <c r="I311" s="4">
        <v>0</v>
      </c>
      <c r="J311" s="4">
        <v>0</v>
      </c>
      <c r="K311" s="4">
        <v>0</v>
      </c>
      <c r="L311" s="2" t="s">
        <v>79</v>
      </c>
    </row>
    <row r="312" spans="1:12" x14ac:dyDescent="0.2">
      <c r="A312" s="4">
        <v>3.75</v>
      </c>
      <c r="B312" s="10">
        <v>12</v>
      </c>
      <c r="C312" s="4">
        <v>13</v>
      </c>
      <c r="D312" s="4">
        <v>0</v>
      </c>
      <c r="E312" s="4">
        <v>1</v>
      </c>
      <c r="F312" s="4">
        <v>1</v>
      </c>
      <c r="G312" s="4">
        <v>3</v>
      </c>
      <c r="H312" s="4">
        <v>1</v>
      </c>
      <c r="I312" s="4">
        <v>0</v>
      </c>
      <c r="J312" s="4">
        <v>0</v>
      </c>
      <c r="K312" s="4">
        <v>0</v>
      </c>
      <c r="L312" s="2" t="s">
        <v>79</v>
      </c>
    </row>
    <row r="313" spans="1:12" x14ac:dyDescent="0.2">
      <c r="A313" s="4">
        <v>10</v>
      </c>
      <c r="B313" s="4">
        <v>8</v>
      </c>
      <c r="C313" s="4">
        <v>13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2" t="s">
        <v>79</v>
      </c>
    </row>
    <row r="314" spans="1:12" x14ac:dyDescent="0.2">
      <c r="A314" s="4">
        <v>4.5</v>
      </c>
      <c r="B314" s="4">
        <v>12</v>
      </c>
      <c r="C314" s="4">
        <v>12</v>
      </c>
      <c r="D314" s="4">
        <v>0</v>
      </c>
      <c r="E314" s="4">
        <v>0</v>
      </c>
      <c r="F314" s="4">
        <v>1</v>
      </c>
      <c r="G314" s="4">
        <v>3</v>
      </c>
      <c r="H314" s="4">
        <v>0</v>
      </c>
      <c r="I314" s="4">
        <v>1</v>
      </c>
      <c r="J314" s="4">
        <v>0</v>
      </c>
      <c r="K314" s="4">
        <v>0</v>
      </c>
      <c r="L314" s="2" t="s">
        <v>79</v>
      </c>
    </row>
    <row r="315" spans="1:12" x14ac:dyDescent="0.2">
      <c r="A315" s="4">
        <v>3.45</v>
      </c>
      <c r="B315" s="4">
        <v>10</v>
      </c>
      <c r="C315" s="4">
        <v>11</v>
      </c>
      <c r="D315" s="4">
        <v>0</v>
      </c>
      <c r="E315" s="4">
        <v>1</v>
      </c>
      <c r="F315" s="4">
        <v>0</v>
      </c>
      <c r="G315" s="4">
        <v>2</v>
      </c>
      <c r="H315" s="4">
        <v>0</v>
      </c>
      <c r="I315" s="4">
        <v>1</v>
      </c>
      <c r="J315" s="4">
        <v>0</v>
      </c>
      <c r="K315" s="4">
        <v>0</v>
      </c>
      <c r="L315" s="2" t="s">
        <v>79</v>
      </c>
    </row>
    <row r="316" spans="1:12" x14ac:dyDescent="0.2">
      <c r="A316" s="4">
        <v>3.75</v>
      </c>
      <c r="B316" s="4">
        <v>12</v>
      </c>
      <c r="C316" s="4">
        <v>11</v>
      </c>
      <c r="D316" s="4">
        <v>0</v>
      </c>
      <c r="E316" s="4">
        <v>0</v>
      </c>
      <c r="F316" s="4">
        <v>0</v>
      </c>
      <c r="G316" s="4">
        <v>1</v>
      </c>
      <c r="H316" s="4">
        <v>0</v>
      </c>
      <c r="I316" s="4">
        <v>1</v>
      </c>
      <c r="J316" s="4">
        <v>0</v>
      </c>
      <c r="K316" s="4">
        <v>0</v>
      </c>
      <c r="L316" s="2" t="s">
        <v>79</v>
      </c>
    </row>
    <row r="317" spans="1:12" x14ac:dyDescent="0.2">
      <c r="A317" s="4">
        <v>6</v>
      </c>
      <c r="B317" s="4">
        <v>14</v>
      </c>
      <c r="C317" s="4">
        <v>11</v>
      </c>
      <c r="D317" s="4">
        <v>0</v>
      </c>
      <c r="E317" s="4">
        <v>0</v>
      </c>
      <c r="F317" s="4">
        <v>1</v>
      </c>
      <c r="G317" s="4">
        <v>0</v>
      </c>
      <c r="H317" s="4">
        <v>1</v>
      </c>
      <c r="I317" s="4">
        <v>0</v>
      </c>
      <c r="J317" s="4">
        <v>0</v>
      </c>
      <c r="K317" s="4">
        <v>0</v>
      </c>
      <c r="L317" s="2" t="s">
        <v>79</v>
      </c>
    </row>
    <row r="318" spans="1:12" x14ac:dyDescent="0.2">
      <c r="A318" s="4">
        <v>6.25</v>
      </c>
      <c r="B318" s="4">
        <v>12</v>
      </c>
      <c r="C318" s="4">
        <v>11</v>
      </c>
      <c r="D318" s="4">
        <v>0</v>
      </c>
      <c r="E318" s="4">
        <v>1</v>
      </c>
      <c r="F318" s="4">
        <v>0</v>
      </c>
      <c r="G318" s="4">
        <v>0</v>
      </c>
      <c r="H318" s="4">
        <v>0</v>
      </c>
      <c r="I318" s="4">
        <v>0</v>
      </c>
      <c r="J318" s="4">
        <v>1</v>
      </c>
      <c r="K318" s="4">
        <v>0</v>
      </c>
      <c r="L318" s="2" t="s">
        <v>79</v>
      </c>
    </row>
    <row r="319" spans="1:12" x14ac:dyDescent="0.2">
      <c r="A319" s="4">
        <v>7.5</v>
      </c>
      <c r="B319" s="4">
        <v>16</v>
      </c>
      <c r="C319" s="4">
        <v>11</v>
      </c>
      <c r="D319" s="4">
        <v>0</v>
      </c>
      <c r="E319" s="4">
        <v>0</v>
      </c>
      <c r="F319" s="4">
        <v>1</v>
      </c>
      <c r="G319" s="4">
        <v>0</v>
      </c>
      <c r="H319" s="4">
        <v>1</v>
      </c>
      <c r="I319" s="4">
        <v>0</v>
      </c>
      <c r="J319" s="4">
        <v>0</v>
      </c>
      <c r="K319" s="4">
        <v>0</v>
      </c>
      <c r="L319" s="2" t="s">
        <v>79</v>
      </c>
    </row>
    <row r="320" spans="1:12" x14ac:dyDescent="0.2">
      <c r="A320" s="4">
        <v>3</v>
      </c>
      <c r="B320" s="4">
        <v>12</v>
      </c>
      <c r="C320" s="4">
        <v>11</v>
      </c>
      <c r="D320" s="4">
        <v>0</v>
      </c>
      <c r="E320" s="4">
        <v>1</v>
      </c>
      <c r="F320" s="4">
        <v>1</v>
      </c>
      <c r="G320" s="4">
        <v>2</v>
      </c>
      <c r="H320" s="4">
        <v>0</v>
      </c>
      <c r="I320" s="4">
        <v>1</v>
      </c>
      <c r="J320" s="4">
        <v>0</v>
      </c>
      <c r="K320" s="4">
        <v>0</v>
      </c>
      <c r="L320" s="2" t="s">
        <v>79</v>
      </c>
    </row>
    <row r="321" spans="1:12" x14ac:dyDescent="0.2">
      <c r="A321" s="4">
        <v>4.55</v>
      </c>
      <c r="B321" s="4">
        <v>12</v>
      </c>
      <c r="C321" s="4">
        <v>11</v>
      </c>
      <c r="D321" s="4">
        <v>0</v>
      </c>
      <c r="E321" s="10">
        <v>2</v>
      </c>
      <c r="F321" s="4">
        <v>1</v>
      </c>
      <c r="G321" s="4">
        <v>0</v>
      </c>
      <c r="H321" s="4">
        <v>1</v>
      </c>
      <c r="I321" s="4">
        <v>0</v>
      </c>
      <c r="J321" s="4">
        <v>0</v>
      </c>
      <c r="K321" s="4">
        <v>0</v>
      </c>
      <c r="L321" s="2" t="s">
        <v>79</v>
      </c>
    </row>
    <row r="322" spans="1:12" x14ac:dyDescent="0.2">
      <c r="A322" s="4">
        <v>7.5</v>
      </c>
      <c r="B322" s="4">
        <v>12</v>
      </c>
      <c r="C322" s="4">
        <v>10</v>
      </c>
      <c r="D322" s="4">
        <v>0</v>
      </c>
      <c r="E322" s="4">
        <v>1</v>
      </c>
      <c r="F322" s="4">
        <v>1</v>
      </c>
      <c r="G322" s="4">
        <v>0</v>
      </c>
      <c r="H322" s="4">
        <v>0</v>
      </c>
      <c r="I322" s="4">
        <v>0</v>
      </c>
      <c r="J322" s="4">
        <v>1</v>
      </c>
      <c r="K322" s="4">
        <v>0</v>
      </c>
      <c r="L322" s="2" t="s">
        <v>79</v>
      </c>
    </row>
    <row r="323" spans="1:12" x14ac:dyDescent="0.2">
      <c r="A323" s="4">
        <v>3.05</v>
      </c>
      <c r="B323" s="4">
        <v>12</v>
      </c>
      <c r="C323" s="4">
        <v>10</v>
      </c>
      <c r="D323" s="4">
        <v>0</v>
      </c>
      <c r="E323" s="4">
        <v>1</v>
      </c>
      <c r="F323" s="4">
        <v>1</v>
      </c>
      <c r="G323" s="4">
        <v>2</v>
      </c>
      <c r="H323" s="4">
        <v>1</v>
      </c>
      <c r="I323" s="4">
        <v>0</v>
      </c>
      <c r="J323" s="4">
        <v>0</v>
      </c>
      <c r="K323" s="4">
        <v>0</v>
      </c>
      <c r="L323" s="2" t="s">
        <v>79</v>
      </c>
    </row>
    <row r="324" spans="1:12" x14ac:dyDescent="0.2">
      <c r="A324" s="4">
        <v>6.25</v>
      </c>
      <c r="B324" s="4">
        <v>12</v>
      </c>
      <c r="C324" s="4">
        <v>10</v>
      </c>
      <c r="D324" s="4">
        <v>0</v>
      </c>
      <c r="E324" s="4">
        <v>0</v>
      </c>
      <c r="F324" s="4">
        <v>1</v>
      </c>
      <c r="G324" s="4">
        <v>3</v>
      </c>
      <c r="H324" s="4">
        <v>0</v>
      </c>
      <c r="I324" s="4">
        <v>1</v>
      </c>
      <c r="J324" s="4">
        <v>0</v>
      </c>
      <c r="K324" s="4">
        <v>1</v>
      </c>
      <c r="L324" s="2" t="s">
        <v>79</v>
      </c>
    </row>
    <row r="325" spans="1:12" x14ac:dyDescent="0.2">
      <c r="A325" s="4">
        <v>4.5</v>
      </c>
      <c r="B325" s="4">
        <v>14</v>
      </c>
      <c r="C325" s="4">
        <v>10</v>
      </c>
      <c r="D325" s="4">
        <v>0</v>
      </c>
      <c r="E325" s="4">
        <v>0</v>
      </c>
      <c r="F325" s="4">
        <v>1</v>
      </c>
      <c r="G325" s="4">
        <v>0</v>
      </c>
      <c r="H325" s="4">
        <v>1</v>
      </c>
      <c r="I325" s="4">
        <v>0</v>
      </c>
      <c r="J325" s="4">
        <v>0</v>
      </c>
      <c r="K325" s="4">
        <v>0</v>
      </c>
      <c r="L325" s="2" t="s">
        <v>79</v>
      </c>
    </row>
    <row r="326" spans="1:12" x14ac:dyDescent="0.2">
      <c r="A326" s="4">
        <v>3</v>
      </c>
      <c r="B326" s="4">
        <v>15</v>
      </c>
      <c r="C326" s="4">
        <v>9</v>
      </c>
      <c r="D326" s="4">
        <v>0</v>
      </c>
      <c r="E326" s="4">
        <v>0</v>
      </c>
      <c r="F326" s="4">
        <v>0</v>
      </c>
      <c r="G326" s="4">
        <v>0</v>
      </c>
      <c r="H326" s="4">
        <v>1</v>
      </c>
      <c r="I326" s="4">
        <v>0</v>
      </c>
      <c r="J326" s="4">
        <v>0</v>
      </c>
      <c r="K326" s="4">
        <v>0</v>
      </c>
      <c r="L326" s="2" t="s">
        <v>79</v>
      </c>
    </row>
    <row r="327" spans="1:12" x14ac:dyDescent="0.2">
      <c r="A327" s="4">
        <v>10</v>
      </c>
      <c r="B327" s="4">
        <v>8</v>
      </c>
      <c r="C327" s="4">
        <v>9</v>
      </c>
      <c r="D327" s="4">
        <v>0</v>
      </c>
      <c r="E327" s="4">
        <v>0</v>
      </c>
      <c r="F327" s="4">
        <v>1</v>
      </c>
      <c r="G327" s="4">
        <v>0</v>
      </c>
      <c r="H327" s="4">
        <v>1</v>
      </c>
      <c r="I327" s="4">
        <v>0</v>
      </c>
      <c r="J327" s="4">
        <v>0</v>
      </c>
      <c r="K327" s="4">
        <v>1</v>
      </c>
      <c r="L327" s="2" t="s">
        <v>79</v>
      </c>
    </row>
    <row r="328" spans="1:12" x14ac:dyDescent="0.2">
      <c r="A328" s="4">
        <v>6</v>
      </c>
      <c r="B328" s="4">
        <v>13</v>
      </c>
      <c r="C328" s="4">
        <v>8</v>
      </c>
      <c r="D328" s="4">
        <v>0</v>
      </c>
      <c r="E328" s="4">
        <v>0</v>
      </c>
      <c r="F328" s="4">
        <v>1</v>
      </c>
      <c r="G328" s="4">
        <v>2</v>
      </c>
      <c r="H328" s="4">
        <v>1</v>
      </c>
      <c r="I328" s="4">
        <v>0</v>
      </c>
      <c r="J328" s="4">
        <v>0</v>
      </c>
      <c r="K328" s="4">
        <v>0</v>
      </c>
      <c r="L328" s="2" t="s">
        <v>79</v>
      </c>
    </row>
    <row r="329" spans="1:12" x14ac:dyDescent="0.2">
      <c r="A329" s="4">
        <v>2.89</v>
      </c>
      <c r="B329" s="4">
        <v>10</v>
      </c>
      <c r="C329" s="4">
        <v>8</v>
      </c>
      <c r="D329" s="4">
        <v>0</v>
      </c>
      <c r="E329" s="4">
        <v>1</v>
      </c>
      <c r="F329" s="4">
        <v>0</v>
      </c>
      <c r="G329" s="4">
        <v>1</v>
      </c>
      <c r="H329" s="4">
        <v>0</v>
      </c>
      <c r="I329" s="4">
        <v>0</v>
      </c>
      <c r="J329" s="4">
        <v>0</v>
      </c>
      <c r="K329" s="4">
        <v>0</v>
      </c>
      <c r="L329" s="2" t="s">
        <v>79</v>
      </c>
    </row>
    <row r="330" spans="1:12" x14ac:dyDescent="0.2">
      <c r="A330" s="4">
        <v>4.2</v>
      </c>
      <c r="B330" s="4">
        <v>16</v>
      </c>
      <c r="C330" s="4">
        <v>8</v>
      </c>
      <c r="D330" s="4">
        <v>0</v>
      </c>
      <c r="E330" s="4">
        <v>1</v>
      </c>
      <c r="F330" s="4">
        <v>1</v>
      </c>
      <c r="G330" s="4">
        <v>1</v>
      </c>
      <c r="H330" s="4">
        <v>1</v>
      </c>
      <c r="I330" s="4">
        <v>0</v>
      </c>
      <c r="J330" s="4">
        <v>0</v>
      </c>
      <c r="K330" s="4">
        <v>0</v>
      </c>
      <c r="L330" s="2" t="s">
        <v>79</v>
      </c>
    </row>
    <row r="331" spans="1:12" x14ac:dyDescent="0.2">
      <c r="A331" s="4">
        <v>4.5999999999999996</v>
      </c>
      <c r="B331" s="4">
        <v>14</v>
      </c>
      <c r="C331" s="4">
        <v>7</v>
      </c>
      <c r="D331" s="4">
        <v>0</v>
      </c>
      <c r="E331" s="4">
        <v>1</v>
      </c>
      <c r="F331" s="4">
        <v>1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2" t="s">
        <v>79</v>
      </c>
    </row>
    <row r="332" spans="1:12" x14ac:dyDescent="0.2">
      <c r="A332" s="4">
        <v>4.38</v>
      </c>
      <c r="B332" s="4">
        <v>16</v>
      </c>
      <c r="C332" s="4">
        <v>7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2" t="s">
        <v>79</v>
      </c>
    </row>
    <row r="333" spans="1:12" x14ac:dyDescent="0.2">
      <c r="A333" s="4">
        <v>9</v>
      </c>
      <c r="B333" s="4">
        <v>17</v>
      </c>
      <c r="C333" s="4">
        <v>7</v>
      </c>
      <c r="D333" s="4">
        <v>0</v>
      </c>
      <c r="E333" s="4">
        <v>1</v>
      </c>
      <c r="F333" s="4">
        <v>1</v>
      </c>
      <c r="G333" s="4">
        <v>2</v>
      </c>
      <c r="H333" s="4">
        <v>0</v>
      </c>
      <c r="I333" s="4">
        <v>0</v>
      </c>
      <c r="J333" s="4">
        <v>0</v>
      </c>
      <c r="K333" s="4">
        <v>0</v>
      </c>
      <c r="L333" s="2" t="s">
        <v>79</v>
      </c>
    </row>
    <row r="334" spans="1:12" x14ac:dyDescent="0.2">
      <c r="A334" s="4">
        <v>3</v>
      </c>
      <c r="B334" s="4">
        <v>10</v>
      </c>
      <c r="C334" s="4">
        <v>7</v>
      </c>
      <c r="D334" s="4">
        <v>0</v>
      </c>
      <c r="E334" s="4">
        <v>1</v>
      </c>
      <c r="F334" s="4">
        <v>1</v>
      </c>
      <c r="G334" s="4">
        <v>2</v>
      </c>
      <c r="H334" s="4">
        <v>1</v>
      </c>
      <c r="I334" s="4">
        <v>0</v>
      </c>
      <c r="J334" s="4">
        <v>0</v>
      </c>
      <c r="K334" s="4">
        <v>0</v>
      </c>
      <c r="L334" s="2" t="s">
        <v>79</v>
      </c>
    </row>
    <row r="335" spans="1:12" x14ac:dyDescent="0.2">
      <c r="A335" s="4">
        <v>4.38</v>
      </c>
      <c r="B335" s="4">
        <v>13</v>
      </c>
      <c r="C335" s="4">
        <v>7</v>
      </c>
      <c r="D335" s="4">
        <v>0</v>
      </c>
      <c r="E335" s="4">
        <v>0</v>
      </c>
      <c r="F335" s="4">
        <v>1</v>
      </c>
      <c r="G335" s="4">
        <v>1</v>
      </c>
      <c r="H335" s="4">
        <v>0</v>
      </c>
      <c r="I335" s="4">
        <v>0</v>
      </c>
      <c r="J335" s="4">
        <v>1</v>
      </c>
      <c r="K335" s="4">
        <v>0</v>
      </c>
      <c r="L335" s="2" t="s">
        <v>79</v>
      </c>
    </row>
    <row r="336" spans="1:12" x14ac:dyDescent="0.2">
      <c r="A336" s="4">
        <v>4.0999999999999996</v>
      </c>
      <c r="B336" s="4">
        <v>14</v>
      </c>
      <c r="C336" s="4">
        <v>6</v>
      </c>
      <c r="D336" s="4">
        <v>0</v>
      </c>
      <c r="E336" s="4">
        <v>1</v>
      </c>
      <c r="F336" s="4">
        <v>1</v>
      </c>
      <c r="G336" s="4">
        <v>0</v>
      </c>
      <c r="H336" s="4">
        <v>0</v>
      </c>
      <c r="I336" s="4">
        <v>1</v>
      </c>
      <c r="J336" s="4">
        <v>0</v>
      </c>
      <c r="K336" s="4">
        <v>0</v>
      </c>
      <c r="L336" s="2" t="s">
        <v>79</v>
      </c>
    </row>
    <row r="337" spans="1:12" x14ac:dyDescent="0.2">
      <c r="A337" s="4">
        <v>2.9</v>
      </c>
      <c r="B337" s="4">
        <v>11</v>
      </c>
      <c r="C337" s="4">
        <v>6</v>
      </c>
      <c r="D337" s="4">
        <v>0</v>
      </c>
      <c r="E337" s="4">
        <v>1</v>
      </c>
      <c r="F337" s="4">
        <v>0</v>
      </c>
      <c r="G337" s="4">
        <v>1</v>
      </c>
      <c r="H337" s="4">
        <v>0</v>
      </c>
      <c r="I337" s="4">
        <v>1</v>
      </c>
      <c r="J337" s="4">
        <v>0</v>
      </c>
      <c r="K337" s="4">
        <v>0</v>
      </c>
      <c r="L337" s="2" t="s">
        <v>79</v>
      </c>
    </row>
    <row r="338" spans="1:12" x14ac:dyDescent="0.2">
      <c r="A338" s="4">
        <v>3.76</v>
      </c>
      <c r="B338" s="4">
        <v>6</v>
      </c>
      <c r="C338" s="4">
        <v>6</v>
      </c>
      <c r="D338" s="4">
        <v>0</v>
      </c>
      <c r="E338" s="4">
        <v>0</v>
      </c>
      <c r="F338" s="4">
        <v>0</v>
      </c>
      <c r="G338" s="4">
        <v>4</v>
      </c>
      <c r="H338" s="4">
        <v>0</v>
      </c>
      <c r="I338" s="4">
        <v>1</v>
      </c>
      <c r="J338" s="4">
        <v>0</v>
      </c>
      <c r="K338" s="4">
        <v>0</v>
      </c>
      <c r="L338" s="2" t="s">
        <v>79</v>
      </c>
    </row>
    <row r="339" spans="1:12" x14ac:dyDescent="0.2">
      <c r="A339" s="4">
        <v>4</v>
      </c>
      <c r="B339" s="4">
        <v>13</v>
      </c>
      <c r="C339" s="4">
        <v>6</v>
      </c>
      <c r="D339" s="4">
        <v>0</v>
      </c>
      <c r="E339" s="4">
        <v>1</v>
      </c>
      <c r="F339" s="4">
        <v>0</v>
      </c>
      <c r="G339" s="4">
        <v>1</v>
      </c>
      <c r="H339" s="4">
        <v>1</v>
      </c>
      <c r="I339" s="4">
        <v>0</v>
      </c>
      <c r="J339" s="4">
        <v>0</v>
      </c>
      <c r="K339" s="4">
        <v>1</v>
      </c>
      <c r="L339" s="2" t="s">
        <v>79</v>
      </c>
    </row>
    <row r="340" spans="1:12" x14ac:dyDescent="0.2">
      <c r="A340" s="4">
        <v>5.84</v>
      </c>
      <c r="B340" s="4">
        <v>13</v>
      </c>
      <c r="C340" s="4">
        <v>5</v>
      </c>
      <c r="D340" s="4">
        <v>0</v>
      </c>
      <c r="E340" s="4">
        <v>1</v>
      </c>
      <c r="F340" s="4">
        <v>1</v>
      </c>
      <c r="G340" s="4">
        <v>1</v>
      </c>
      <c r="H340" s="4">
        <v>0</v>
      </c>
      <c r="I340" s="4">
        <v>1</v>
      </c>
      <c r="J340" s="4">
        <v>0</v>
      </c>
      <c r="K340" s="4">
        <v>0</v>
      </c>
      <c r="L340" s="2" t="s">
        <v>79</v>
      </c>
    </row>
    <row r="341" spans="1:12" x14ac:dyDescent="0.2">
      <c r="A341" s="4">
        <v>3.3</v>
      </c>
      <c r="B341" s="4">
        <v>13</v>
      </c>
      <c r="C341" s="4">
        <v>5</v>
      </c>
      <c r="D341" s="4">
        <v>0</v>
      </c>
      <c r="E341" s="4">
        <v>1</v>
      </c>
      <c r="F341" s="4">
        <v>0</v>
      </c>
      <c r="G341" s="4">
        <v>0</v>
      </c>
      <c r="H341" s="4">
        <v>1</v>
      </c>
      <c r="I341" s="4">
        <v>0</v>
      </c>
      <c r="J341" s="4">
        <v>0</v>
      </c>
      <c r="K341" s="4">
        <v>0</v>
      </c>
      <c r="L341" s="2" t="s">
        <v>79</v>
      </c>
    </row>
    <row r="342" spans="1:12" x14ac:dyDescent="0.2">
      <c r="A342" s="4">
        <v>3.5</v>
      </c>
      <c r="B342" s="4">
        <v>14</v>
      </c>
      <c r="C342" s="4">
        <v>5</v>
      </c>
      <c r="D342" s="4">
        <v>0</v>
      </c>
      <c r="E342" s="4">
        <v>1</v>
      </c>
      <c r="F342" s="4">
        <v>1</v>
      </c>
      <c r="G342" s="4">
        <v>0</v>
      </c>
      <c r="H342" s="4">
        <v>0</v>
      </c>
      <c r="I342" s="4">
        <v>1</v>
      </c>
      <c r="J342" s="4">
        <v>0</v>
      </c>
      <c r="K342" s="4">
        <v>0</v>
      </c>
      <c r="L342" s="2" t="s">
        <v>79</v>
      </c>
    </row>
    <row r="343" spans="1:12" x14ac:dyDescent="0.2">
      <c r="A343" s="4">
        <v>3</v>
      </c>
      <c r="B343" s="4">
        <v>13</v>
      </c>
      <c r="C343" s="4">
        <v>5</v>
      </c>
      <c r="D343" s="4">
        <v>0</v>
      </c>
      <c r="E343" s="4">
        <v>1</v>
      </c>
      <c r="F343" s="4">
        <v>0</v>
      </c>
      <c r="G343" s="4">
        <v>1</v>
      </c>
      <c r="H343" s="4">
        <v>0</v>
      </c>
      <c r="I343" s="4">
        <v>1</v>
      </c>
      <c r="J343" s="4">
        <v>0</v>
      </c>
      <c r="K343" s="4">
        <v>0</v>
      </c>
      <c r="L343" s="2" t="s">
        <v>79</v>
      </c>
    </row>
    <row r="344" spans="1:12" x14ac:dyDescent="0.2">
      <c r="A344" s="4">
        <v>4.5</v>
      </c>
      <c r="B344" s="4">
        <v>14</v>
      </c>
      <c r="C344" s="4">
        <v>5</v>
      </c>
      <c r="D344" s="4">
        <v>0</v>
      </c>
      <c r="E344" s="4">
        <v>0</v>
      </c>
      <c r="F344" s="4">
        <v>1</v>
      </c>
      <c r="G344" s="4">
        <v>0</v>
      </c>
      <c r="H344" s="4">
        <v>1</v>
      </c>
      <c r="I344" s="4">
        <v>0</v>
      </c>
      <c r="J344" s="4">
        <v>0</v>
      </c>
      <c r="K344" s="4">
        <v>1</v>
      </c>
      <c r="L344" s="2" t="s">
        <v>79</v>
      </c>
    </row>
    <row r="345" spans="1:12" x14ac:dyDescent="0.2">
      <c r="A345" s="4">
        <v>3.85</v>
      </c>
      <c r="B345" s="4">
        <v>16</v>
      </c>
      <c r="C345" s="4">
        <v>5</v>
      </c>
      <c r="D345" s="4">
        <v>0</v>
      </c>
      <c r="E345" s="4">
        <v>0</v>
      </c>
      <c r="F345" s="4">
        <v>1</v>
      </c>
      <c r="G345" s="4">
        <v>0</v>
      </c>
      <c r="H345" s="4">
        <v>1</v>
      </c>
      <c r="I345" s="4">
        <v>0</v>
      </c>
      <c r="J345" s="4">
        <v>0</v>
      </c>
      <c r="K345" s="4">
        <v>0</v>
      </c>
      <c r="L345" s="2" t="s">
        <v>79</v>
      </c>
    </row>
    <row r="346" spans="1:12" x14ac:dyDescent="0.2">
      <c r="A346" s="4">
        <v>4.1100000000000003</v>
      </c>
      <c r="B346" s="4">
        <v>14</v>
      </c>
      <c r="C346" s="4">
        <v>5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1</v>
      </c>
      <c r="J346" s="4">
        <v>0</v>
      </c>
      <c r="K346" s="4">
        <v>0</v>
      </c>
      <c r="L346" s="2" t="s">
        <v>79</v>
      </c>
    </row>
    <row r="347" spans="1:12" x14ac:dyDescent="0.2">
      <c r="A347" s="4">
        <v>5</v>
      </c>
      <c r="B347" s="4">
        <v>14</v>
      </c>
      <c r="C347" s="4">
        <v>5</v>
      </c>
      <c r="D347" s="4">
        <v>0</v>
      </c>
      <c r="E347" s="4">
        <v>0</v>
      </c>
      <c r="F347" s="4">
        <v>0</v>
      </c>
      <c r="G347" s="4">
        <v>0</v>
      </c>
      <c r="H347" s="4">
        <v>1</v>
      </c>
      <c r="I347" s="4">
        <v>0</v>
      </c>
      <c r="J347" s="4">
        <v>0</v>
      </c>
      <c r="K347" s="4">
        <v>0</v>
      </c>
      <c r="L347" s="2" t="s">
        <v>79</v>
      </c>
    </row>
    <row r="348" spans="1:12" x14ac:dyDescent="0.2">
      <c r="A348" s="4">
        <v>2.25</v>
      </c>
      <c r="B348" s="4">
        <v>12</v>
      </c>
      <c r="C348" s="4">
        <v>5</v>
      </c>
      <c r="D348" s="4">
        <v>0</v>
      </c>
      <c r="E348" s="4">
        <v>1</v>
      </c>
      <c r="F348" s="4">
        <v>0</v>
      </c>
      <c r="G348" s="4">
        <v>2</v>
      </c>
      <c r="H348" s="4">
        <v>0</v>
      </c>
      <c r="I348" s="4">
        <v>1</v>
      </c>
      <c r="J348" s="4">
        <v>0</v>
      </c>
      <c r="K348" s="4">
        <v>0</v>
      </c>
      <c r="L348" s="2" t="s">
        <v>79</v>
      </c>
    </row>
    <row r="349" spans="1:12" x14ac:dyDescent="0.2">
      <c r="A349" s="4">
        <v>3.18</v>
      </c>
      <c r="B349" s="4">
        <v>12</v>
      </c>
      <c r="C349" s="4">
        <v>5</v>
      </c>
      <c r="D349" s="4">
        <v>0</v>
      </c>
      <c r="E349" s="4">
        <v>1</v>
      </c>
      <c r="F349" s="4">
        <v>1</v>
      </c>
      <c r="G349" s="4">
        <v>0</v>
      </c>
      <c r="H349" s="4">
        <v>1</v>
      </c>
      <c r="I349" s="4">
        <v>0</v>
      </c>
      <c r="J349" s="4">
        <v>0</v>
      </c>
      <c r="K349" s="4">
        <v>0</v>
      </c>
      <c r="L349" s="2" t="s">
        <v>79</v>
      </c>
    </row>
    <row r="350" spans="1:12" x14ac:dyDescent="0.2">
      <c r="A350" s="4">
        <v>5.05</v>
      </c>
      <c r="B350" s="10">
        <v>12</v>
      </c>
      <c r="C350" s="4">
        <v>5</v>
      </c>
      <c r="D350" s="4">
        <v>0</v>
      </c>
      <c r="E350" s="4">
        <v>1</v>
      </c>
      <c r="F350" s="4">
        <v>0</v>
      </c>
      <c r="G350" s="4">
        <v>0</v>
      </c>
      <c r="H350" s="4">
        <v>1</v>
      </c>
      <c r="I350" s="4">
        <v>0</v>
      </c>
      <c r="J350" s="4">
        <v>0</v>
      </c>
      <c r="K350" s="4">
        <v>0</v>
      </c>
      <c r="L350" s="2" t="s">
        <v>79</v>
      </c>
    </row>
    <row r="351" spans="1:12" x14ac:dyDescent="0.2">
      <c r="A351" s="4">
        <v>4.63</v>
      </c>
      <c r="B351" s="4">
        <v>14</v>
      </c>
      <c r="C351" s="4">
        <v>4</v>
      </c>
      <c r="D351" s="4">
        <v>0</v>
      </c>
      <c r="E351" s="4">
        <v>1</v>
      </c>
      <c r="F351" s="4">
        <v>1</v>
      </c>
      <c r="G351" s="4">
        <v>2</v>
      </c>
      <c r="H351" s="4">
        <v>0</v>
      </c>
      <c r="I351" s="4">
        <v>1</v>
      </c>
      <c r="J351" s="4">
        <v>0</v>
      </c>
      <c r="K351" s="4">
        <v>0</v>
      </c>
      <c r="L351" s="2" t="s">
        <v>79</v>
      </c>
    </row>
    <row r="352" spans="1:12" x14ac:dyDescent="0.2">
      <c r="A352" s="4">
        <v>2.91</v>
      </c>
      <c r="B352" s="4">
        <v>12</v>
      </c>
      <c r="C352" s="4">
        <v>4</v>
      </c>
      <c r="D352" s="4">
        <v>0</v>
      </c>
      <c r="E352" s="4">
        <v>0</v>
      </c>
      <c r="F352" s="4">
        <v>1</v>
      </c>
      <c r="G352" s="4">
        <v>0</v>
      </c>
      <c r="H352" s="4">
        <v>0</v>
      </c>
      <c r="I352" s="4">
        <v>1</v>
      </c>
      <c r="J352" s="4">
        <v>0</v>
      </c>
      <c r="K352" s="4">
        <v>0</v>
      </c>
      <c r="L352" s="2" t="s">
        <v>79</v>
      </c>
    </row>
    <row r="353" spans="1:12" x14ac:dyDescent="0.2">
      <c r="A353" s="4">
        <v>6.25</v>
      </c>
      <c r="B353" s="4">
        <v>17</v>
      </c>
      <c r="C353" s="4">
        <v>4</v>
      </c>
      <c r="D353" s="4">
        <v>0</v>
      </c>
      <c r="E353" s="4">
        <v>1</v>
      </c>
      <c r="F353" s="4">
        <v>0</v>
      </c>
      <c r="G353" s="4">
        <v>0</v>
      </c>
      <c r="H353" s="4">
        <v>0</v>
      </c>
      <c r="I353" s="4">
        <v>0</v>
      </c>
      <c r="J353" s="4">
        <v>1</v>
      </c>
      <c r="K353" s="4">
        <v>0</v>
      </c>
      <c r="L353" s="2" t="s">
        <v>79</v>
      </c>
    </row>
    <row r="354" spans="1:12" x14ac:dyDescent="0.2">
      <c r="A354" s="4">
        <v>5.25</v>
      </c>
      <c r="B354" s="4">
        <v>16</v>
      </c>
      <c r="C354" s="4">
        <v>4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1</v>
      </c>
      <c r="J354" s="4">
        <v>0</v>
      </c>
      <c r="K354" s="4">
        <v>0</v>
      </c>
      <c r="L354" s="2" t="s">
        <v>79</v>
      </c>
    </row>
    <row r="355" spans="1:12" x14ac:dyDescent="0.2">
      <c r="A355" s="4">
        <v>5.25</v>
      </c>
      <c r="B355" s="4">
        <v>12</v>
      </c>
      <c r="C355" s="4">
        <v>4</v>
      </c>
      <c r="D355" s="4">
        <v>0</v>
      </c>
      <c r="E355" s="4">
        <v>0</v>
      </c>
      <c r="F355" s="4">
        <v>0</v>
      </c>
      <c r="G355" s="4">
        <v>0</v>
      </c>
      <c r="H355" s="4">
        <v>1</v>
      </c>
      <c r="I355" s="4">
        <v>0</v>
      </c>
      <c r="J355" s="4">
        <v>0</v>
      </c>
      <c r="K355" s="4">
        <v>0</v>
      </c>
      <c r="L355" s="2" t="s">
        <v>79</v>
      </c>
    </row>
    <row r="356" spans="1:12" x14ac:dyDescent="0.2">
      <c r="A356" s="4">
        <v>2.9</v>
      </c>
      <c r="B356" s="4">
        <v>10</v>
      </c>
      <c r="C356" s="4">
        <v>4</v>
      </c>
      <c r="D356" s="4">
        <v>0</v>
      </c>
      <c r="E356" s="4">
        <v>1</v>
      </c>
      <c r="F356" s="4">
        <v>0</v>
      </c>
      <c r="G356" s="4">
        <v>1</v>
      </c>
      <c r="H356" s="4">
        <v>0</v>
      </c>
      <c r="I356" s="4">
        <v>0</v>
      </c>
      <c r="J356" s="4">
        <v>0</v>
      </c>
      <c r="K356" s="4">
        <v>0</v>
      </c>
      <c r="L356" s="2" t="s">
        <v>79</v>
      </c>
    </row>
    <row r="357" spans="1:12" x14ac:dyDescent="0.2">
      <c r="A357" s="4">
        <v>2.92</v>
      </c>
      <c r="B357" s="4">
        <v>12</v>
      </c>
      <c r="C357" s="4">
        <v>4</v>
      </c>
      <c r="D357" s="4">
        <v>0</v>
      </c>
      <c r="E357" s="4">
        <v>1</v>
      </c>
      <c r="F357" s="4">
        <v>0</v>
      </c>
      <c r="G357" s="4">
        <v>1</v>
      </c>
      <c r="H357" s="4">
        <v>0</v>
      </c>
      <c r="I357" s="4">
        <v>1</v>
      </c>
      <c r="J357" s="4">
        <v>0</v>
      </c>
      <c r="K357" s="4">
        <v>0</v>
      </c>
      <c r="L357" s="2" t="s">
        <v>79</v>
      </c>
    </row>
    <row r="358" spans="1:12" x14ac:dyDescent="0.2">
      <c r="A358" s="4">
        <v>3.25</v>
      </c>
      <c r="B358" s="4">
        <v>12</v>
      </c>
      <c r="C358" s="4">
        <v>4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2" t="s">
        <v>79</v>
      </c>
    </row>
    <row r="359" spans="1:12" x14ac:dyDescent="0.2">
      <c r="A359" s="4">
        <v>3.25</v>
      </c>
      <c r="B359" s="4">
        <v>15</v>
      </c>
      <c r="C359" s="4">
        <v>3</v>
      </c>
      <c r="D359" s="4">
        <v>0</v>
      </c>
      <c r="E359" s="4">
        <v>0</v>
      </c>
      <c r="F359" s="4">
        <v>0</v>
      </c>
      <c r="G359" s="4">
        <v>1</v>
      </c>
      <c r="H359" s="4">
        <v>0</v>
      </c>
      <c r="I359" s="4">
        <v>0</v>
      </c>
      <c r="J359" s="4">
        <v>0</v>
      </c>
      <c r="K359" s="4">
        <v>0</v>
      </c>
      <c r="L359" s="2" t="s">
        <v>79</v>
      </c>
    </row>
    <row r="360" spans="1:12" x14ac:dyDescent="0.2">
      <c r="A360" s="4">
        <v>4.29</v>
      </c>
      <c r="B360" s="4">
        <v>12</v>
      </c>
      <c r="C360" s="4">
        <v>3</v>
      </c>
      <c r="D360" s="4">
        <v>0</v>
      </c>
      <c r="E360" s="4">
        <v>1</v>
      </c>
      <c r="F360" s="4">
        <v>0</v>
      </c>
      <c r="G360" s="4">
        <v>0</v>
      </c>
      <c r="H360" s="4">
        <v>0</v>
      </c>
      <c r="I360" s="4">
        <v>1</v>
      </c>
      <c r="J360" s="4">
        <v>0</v>
      </c>
      <c r="K360" s="4">
        <v>0</v>
      </c>
      <c r="L360" s="2" t="s">
        <v>79</v>
      </c>
    </row>
    <row r="361" spans="1:12" x14ac:dyDescent="0.2">
      <c r="A361" s="4">
        <v>4.68</v>
      </c>
      <c r="B361" s="4">
        <v>12</v>
      </c>
      <c r="C361" s="4">
        <v>3</v>
      </c>
      <c r="D361" s="4">
        <v>0</v>
      </c>
      <c r="E361" s="4">
        <v>1</v>
      </c>
      <c r="F361" s="4">
        <v>0</v>
      </c>
      <c r="G361" s="4">
        <v>0</v>
      </c>
      <c r="H361" s="4">
        <v>0</v>
      </c>
      <c r="I361" s="4">
        <v>0</v>
      </c>
      <c r="J361" s="4">
        <v>1</v>
      </c>
      <c r="K361" s="4">
        <v>0</v>
      </c>
      <c r="L361" s="2" t="s">
        <v>79</v>
      </c>
    </row>
    <row r="362" spans="1:12" x14ac:dyDescent="0.2">
      <c r="A362" s="4">
        <v>6.63</v>
      </c>
      <c r="B362" s="4">
        <v>16</v>
      </c>
      <c r="C362" s="4">
        <v>3</v>
      </c>
      <c r="D362" s="4">
        <v>0</v>
      </c>
      <c r="E362" s="4">
        <v>0</v>
      </c>
      <c r="F362" s="4">
        <v>1</v>
      </c>
      <c r="G362" s="4">
        <v>0</v>
      </c>
      <c r="H362" s="4">
        <v>0</v>
      </c>
      <c r="I362" s="4">
        <v>1</v>
      </c>
      <c r="J362" s="4">
        <v>0</v>
      </c>
      <c r="K362" s="4">
        <v>0</v>
      </c>
      <c r="L362" s="2" t="s">
        <v>79</v>
      </c>
    </row>
    <row r="363" spans="1:12" x14ac:dyDescent="0.2">
      <c r="A363" s="4">
        <v>4.4400000000000004</v>
      </c>
      <c r="B363" s="4">
        <v>12</v>
      </c>
      <c r="C363" s="4">
        <v>3</v>
      </c>
      <c r="D363" s="4">
        <v>0</v>
      </c>
      <c r="E363" s="4">
        <v>0</v>
      </c>
      <c r="F363" s="4">
        <v>0</v>
      </c>
      <c r="G363" s="4">
        <v>0</v>
      </c>
      <c r="H363" s="4">
        <v>1</v>
      </c>
      <c r="I363" s="4">
        <v>0</v>
      </c>
      <c r="J363" s="4">
        <v>0</v>
      </c>
      <c r="K363" s="4">
        <v>0</v>
      </c>
      <c r="L363" s="2" t="s">
        <v>79</v>
      </c>
    </row>
    <row r="364" spans="1:12" x14ac:dyDescent="0.2">
      <c r="A364" s="4">
        <v>5.71</v>
      </c>
      <c r="B364" s="4">
        <v>16</v>
      </c>
      <c r="C364" s="4">
        <v>3</v>
      </c>
      <c r="D364" s="4">
        <v>0</v>
      </c>
      <c r="E364" s="4">
        <v>1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2" t="s">
        <v>79</v>
      </c>
    </row>
    <row r="365" spans="1:12" x14ac:dyDescent="0.2">
      <c r="A365" s="4">
        <v>4.57</v>
      </c>
      <c r="B365" s="4">
        <v>14</v>
      </c>
      <c r="C365" s="4">
        <v>3</v>
      </c>
      <c r="D365" s="4">
        <v>0</v>
      </c>
      <c r="E365" s="4">
        <v>0</v>
      </c>
      <c r="F365" s="4">
        <v>1</v>
      </c>
      <c r="G365" s="4">
        <v>0</v>
      </c>
      <c r="H365" s="4">
        <v>0</v>
      </c>
      <c r="I365" s="4">
        <v>1</v>
      </c>
      <c r="J365" s="4">
        <v>0</v>
      </c>
      <c r="K365" s="4">
        <v>0</v>
      </c>
      <c r="L365" s="2" t="s">
        <v>79</v>
      </c>
    </row>
    <row r="366" spans="1:12" x14ac:dyDescent="0.2">
      <c r="A366" s="4">
        <v>6.5</v>
      </c>
      <c r="B366" s="4">
        <v>17</v>
      </c>
      <c r="C366" s="4">
        <v>3</v>
      </c>
      <c r="D366" s="4">
        <v>0</v>
      </c>
      <c r="E366" s="4">
        <v>0</v>
      </c>
      <c r="F366" s="4">
        <v>1</v>
      </c>
      <c r="G366" s="4">
        <v>0</v>
      </c>
      <c r="H366" s="4">
        <v>1</v>
      </c>
      <c r="I366" s="4">
        <v>0</v>
      </c>
      <c r="J366" s="4">
        <v>0</v>
      </c>
      <c r="K366" s="4">
        <v>0</v>
      </c>
      <c r="L366" s="2" t="s">
        <v>79</v>
      </c>
    </row>
    <row r="367" spans="1:12" x14ac:dyDescent="0.2">
      <c r="A367" s="4">
        <v>8.1300000000000008</v>
      </c>
      <c r="B367" s="4">
        <v>13</v>
      </c>
      <c r="C367" s="4">
        <v>3</v>
      </c>
      <c r="D367" s="4">
        <v>0</v>
      </c>
      <c r="E367" s="10">
        <v>2</v>
      </c>
      <c r="F367" s="4">
        <v>0</v>
      </c>
      <c r="G367" s="4">
        <v>0</v>
      </c>
      <c r="H367" s="4">
        <v>0</v>
      </c>
      <c r="I367" s="4">
        <v>0</v>
      </c>
      <c r="J367" s="4">
        <v>1</v>
      </c>
      <c r="K367" s="4">
        <v>0</v>
      </c>
      <c r="L367" s="2" t="s">
        <v>79</v>
      </c>
    </row>
    <row r="368" spans="1:12" x14ac:dyDescent="0.2">
      <c r="A368" s="4">
        <v>3</v>
      </c>
      <c r="B368" s="4">
        <v>9</v>
      </c>
      <c r="C368" s="4">
        <v>3</v>
      </c>
      <c r="D368" s="4">
        <v>0</v>
      </c>
      <c r="E368" s="4">
        <v>1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2" t="s">
        <v>79</v>
      </c>
    </row>
    <row r="369" spans="1:12" x14ac:dyDescent="0.2">
      <c r="A369" s="4">
        <v>4</v>
      </c>
      <c r="B369" s="4">
        <v>10</v>
      </c>
      <c r="C369" s="4">
        <v>2</v>
      </c>
      <c r="D369" s="4">
        <v>0</v>
      </c>
      <c r="E369" s="4">
        <v>1</v>
      </c>
      <c r="F369" s="4">
        <v>0</v>
      </c>
      <c r="G369" s="4">
        <v>1</v>
      </c>
      <c r="H369" s="4">
        <v>0</v>
      </c>
      <c r="I369" s="4">
        <v>0</v>
      </c>
      <c r="J369" s="4">
        <v>1</v>
      </c>
      <c r="K369" s="4">
        <v>0</v>
      </c>
      <c r="L369" s="2" t="s">
        <v>79</v>
      </c>
    </row>
    <row r="370" spans="1:12" x14ac:dyDescent="0.2">
      <c r="A370" s="4">
        <v>2.7</v>
      </c>
      <c r="B370" s="4">
        <v>9</v>
      </c>
      <c r="C370" s="4">
        <v>2</v>
      </c>
      <c r="D370" s="4">
        <v>0</v>
      </c>
      <c r="E370" s="4">
        <v>1</v>
      </c>
      <c r="F370" s="4">
        <v>0</v>
      </c>
      <c r="G370" s="4">
        <v>1</v>
      </c>
      <c r="H370" s="4">
        <v>1</v>
      </c>
      <c r="I370" s="4">
        <v>0</v>
      </c>
      <c r="J370" s="4">
        <v>0</v>
      </c>
      <c r="K370" s="4">
        <v>0</v>
      </c>
      <c r="L370" s="2" t="s">
        <v>79</v>
      </c>
    </row>
    <row r="371" spans="1:12" x14ac:dyDescent="0.2">
      <c r="A371" s="4">
        <v>2.27</v>
      </c>
      <c r="B371" s="4">
        <v>10</v>
      </c>
      <c r="C371" s="4">
        <v>2</v>
      </c>
      <c r="D371" s="4">
        <v>0</v>
      </c>
      <c r="E371" s="10">
        <v>2</v>
      </c>
      <c r="F371" s="4">
        <v>0</v>
      </c>
      <c r="G371" s="4">
        <v>3</v>
      </c>
      <c r="H371" s="4">
        <v>0</v>
      </c>
      <c r="I371" s="4">
        <v>0</v>
      </c>
      <c r="J371" s="4">
        <v>1</v>
      </c>
      <c r="K371" s="4">
        <v>0</v>
      </c>
      <c r="L371" s="2" t="s">
        <v>79</v>
      </c>
    </row>
    <row r="372" spans="1:12" x14ac:dyDescent="0.2">
      <c r="A372" s="4">
        <v>3.05</v>
      </c>
      <c r="B372" s="4">
        <v>12</v>
      </c>
      <c r="C372" s="4">
        <v>2</v>
      </c>
      <c r="D372" s="4">
        <v>0</v>
      </c>
      <c r="E372" s="4">
        <v>1</v>
      </c>
      <c r="F372" s="4">
        <v>0</v>
      </c>
      <c r="G372" s="4">
        <v>1</v>
      </c>
      <c r="H372" s="4">
        <v>1</v>
      </c>
      <c r="I372" s="4">
        <v>0</v>
      </c>
      <c r="J372" s="4">
        <v>0</v>
      </c>
      <c r="K372" s="4">
        <v>0</v>
      </c>
      <c r="L372" s="2" t="s">
        <v>79</v>
      </c>
    </row>
    <row r="373" spans="1:12" x14ac:dyDescent="0.2">
      <c r="A373" s="4">
        <v>3.5</v>
      </c>
      <c r="B373" s="4">
        <v>13</v>
      </c>
      <c r="C373" s="4">
        <v>2</v>
      </c>
      <c r="D373" s="4">
        <v>0</v>
      </c>
      <c r="E373" s="4">
        <v>1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2" t="s">
        <v>79</v>
      </c>
    </row>
    <row r="374" spans="1:12" x14ac:dyDescent="0.2">
      <c r="A374" s="4">
        <v>4.8099999999999996</v>
      </c>
      <c r="B374" s="4">
        <v>12</v>
      </c>
      <c r="C374" s="4">
        <v>2</v>
      </c>
      <c r="D374" s="4">
        <v>0</v>
      </c>
      <c r="E374" s="4">
        <v>1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2" t="s">
        <v>79</v>
      </c>
    </row>
    <row r="375" spans="1:12" x14ac:dyDescent="0.2">
      <c r="A375" s="4">
        <v>2.2999999999999998</v>
      </c>
      <c r="B375" s="4">
        <v>10</v>
      </c>
      <c r="C375" s="4">
        <v>2</v>
      </c>
      <c r="D375" s="4">
        <v>0</v>
      </c>
      <c r="E375" s="4">
        <v>1</v>
      </c>
      <c r="F375" s="4">
        <v>0</v>
      </c>
      <c r="G375" s="4">
        <v>4</v>
      </c>
      <c r="H375" s="4">
        <v>1</v>
      </c>
      <c r="I375" s="4">
        <v>0</v>
      </c>
      <c r="J375" s="4">
        <v>0</v>
      </c>
      <c r="K375" s="4">
        <v>0</v>
      </c>
      <c r="L375" s="2" t="s">
        <v>79</v>
      </c>
    </row>
    <row r="376" spans="1:12" x14ac:dyDescent="0.2">
      <c r="A376" s="4">
        <v>3.5</v>
      </c>
      <c r="B376" s="4">
        <v>12</v>
      </c>
      <c r="C376" s="4">
        <v>2</v>
      </c>
      <c r="D376" s="4">
        <v>0</v>
      </c>
      <c r="E376" s="10">
        <v>2</v>
      </c>
      <c r="F376" s="4">
        <v>0</v>
      </c>
      <c r="G376" s="4">
        <v>2</v>
      </c>
      <c r="H376" s="4">
        <v>0</v>
      </c>
      <c r="I376" s="4">
        <v>1</v>
      </c>
      <c r="J376" s="4">
        <v>0</v>
      </c>
      <c r="K376" s="4">
        <v>0</v>
      </c>
      <c r="L376" s="2" t="s">
        <v>79</v>
      </c>
    </row>
    <row r="377" spans="1:12" x14ac:dyDescent="0.2">
      <c r="A377" s="4">
        <v>7.9</v>
      </c>
      <c r="B377" s="4">
        <v>12</v>
      </c>
      <c r="C377" s="4">
        <v>2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1</v>
      </c>
      <c r="J377" s="4">
        <v>0</v>
      </c>
      <c r="K377" s="4">
        <v>1</v>
      </c>
      <c r="L377" s="2" t="s">
        <v>79</v>
      </c>
    </row>
    <row r="378" spans="1:12" x14ac:dyDescent="0.2">
      <c r="A378" s="4">
        <v>3</v>
      </c>
      <c r="B378" s="4">
        <v>12</v>
      </c>
      <c r="C378" s="4">
        <v>2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1</v>
      </c>
      <c r="L378" s="2" t="s">
        <v>79</v>
      </c>
    </row>
    <row r="379" spans="1:12" x14ac:dyDescent="0.2">
      <c r="A379" s="4">
        <v>5.7</v>
      </c>
      <c r="B379" s="4">
        <v>16</v>
      </c>
      <c r="C379" s="4">
        <v>2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1</v>
      </c>
      <c r="J379" s="4">
        <v>0</v>
      </c>
      <c r="K379" s="4">
        <v>0</v>
      </c>
      <c r="L379" s="2" t="s">
        <v>79</v>
      </c>
    </row>
    <row r="380" spans="1:12" x14ac:dyDescent="0.2">
      <c r="A380" s="4">
        <v>2.5</v>
      </c>
      <c r="B380" s="10">
        <v>12</v>
      </c>
      <c r="C380" s="4">
        <v>2</v>
      </c>
      <c r="D380" s="4">
        <v>0</v>
      </c>
      <c r="E380" s="4">
        <v>0</v>
      </c>
      <c r="F380" s="4">
        <v>0</v>
      </c>
      <c r="G380" s="4">
        <v>2</v>
      </c>
      <c r="H380" s="4">
        <v>0</v>
      </c>
      <c r="I380" s="4">
        <v>0</v>
      </c>
      <c r="J380" s="4">
        <v>0</v>
      </c>
      <c r="K380" s="4">
        <v>0</v>
      </c>
      <c r="L380" s="2" t="s">
        <v>79</v>
      </c>
    </row>
    <row r="381" spans="1:12" x14ac:dyDescent="0.2">
      <c r="A381" s="4">
        <v>2.88</v>
      </c>
      <c r="B381" s="4">
        <v>10</v>
      </c>
      <c r="C381" s="4">
        <v>2</v>
      </c>
      <c r="D381" s="4">
        <v>0</v>
      </c>
      <c r="E381" s="4">
        <v>1</v>
      </c>
      <c r="F381" s="4">
        <v>0</v>
      </c>
      <c r="G381" s="4">
        <v>3</v>
      </c>
      <c r="H381" s="4">
        <v>0</v>
      </c>
      <c r="I381" s="4">
        <v>0</v>
      </c>
      <c r="J381" s="4">
        <v>0</v>
      </c>
      <c r="K381" s="4">
        <v>0</v>
      </c>
      <c r="L381" s="2" t="s">
        <v>79</v>
      </c>
    </row>
    <row r="382" spans="1:12" x14ac:dyDescent="0.2">
      <c r="A382" s="4">
        <v>3</v>
      </c>
      <c r="B382" s="4">
        <v>11</v>
      </c>
      <c r="C382" s="4">
        <v>2</v>
      </c>
      <c r="D382" s="4">
        <v>0</v>
      </c>
      <c r="E382" s="4">
        <v>0</v>
      </c>
      <c r="F382" s="4">
        <v>0</v>
      </c>
      <c r="G382" s="4">
        <v>2</v>
      </c>
      <c r="H382" s="4">
        <v>0</v>
      </c>
      <c r="I382" s="4">
        <v>0</v>
      </c>
      <c r="J382" s="4">
        <v>1</v>
      </c>
      <c r="K382" s="4">
        <v>0</v>
      </c>
      <c r="L382" s="2" t="s">
        <v>79</v>
      </c>
    </row>
    <row r="383" spans="1:12" x14ac:dyDescent="0.2">
      <c r="A383" s="4">
        <v>3</v>
      </c>
      <c r="B383" s="4">
        <v>11</v>
      </c>
      <c r="C383" s="4">
        <v>2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2" t="s">
        <v>79</v>
      </c>
    </row>
    <row r="384" spans="1:12" x14ac:dyDescent="0.2">
      <c r="A384" s="4">
        <v>3.5</v>
      </c>
      <c r="B384" s="4">
        <v>13</v>
      </c>
      <c r="C384" s="4">
        <v>1</v>
      </c>
      <c r="D384" s="4">
        <v>0</v>
      </c>
      <c r="E384" s="4">
        <v>0</v>
      </c>
      <c r="F384" s="4">
        <v>0</v>
      </c>
      <c r="G384" s="4">
        <v>1</v>
      </c>
      <c r="H384" s="4">
        <v>0</v>
      </c>
      <c r="I384" s="4">
        <v>0</v>
      </c>
      <c r="J384" s="4">
        <v>0</v>
      </c>
      <c r="K384" s="4">
        <v>0</v>
      </c>
      <c r="L384" s="2" t="s">
        <v>79</v>
      </c>
    </row>
    <row r="385" spans="1:12" x14ac:dyDescent="0.2">
      <c r="A385" s="4">
        <v>2.83</v>
      </c>
      <c r="B385" s="4">
        <v>10</v>
      </c>
      <c r="C385" s="4">
        <v>1</v>
      </c>
      <c r="D385" s="4">
        <v>0</v>
      </c>
      <c r="E385" s="10">
        <v>2</v>
      </c>
      <c r="F385" s="4">
        <v>0</v>
      </c>
      <c r="G385" s="4">
        <v>4</v>
      </c>
      <c r="H385" s="4">
        <v>1</v>
      </c>
      <c r="I385" s="4">
        <v>0</v>
      </c>
      <c r="J385" s="4">
        <v>0</v>
      </c>
      <c r="K385" s="4">
        <v>0</v>
      </c>
      <c r="L385" s="2" t="s">
        <v>79</v>
      </c>
    </row>
    <row r="386" spans="1:12" x14ac:dyDescent="0.2">
      <c r="A386" s="4">
        <v>1.67</v>
      </c>
      <c r="B386" s="4">
        <v>10</v>
      </c>
      <c r="C386" s="4">
        <v>1</v>
      </c>
      <c r="D386" s="4">
        <v>0</v>
      </c>
      <c r="E386" s="4">
        <v>0</v>
      </c>
      <c r="F386" s="4">
        <v>0</v>
      </c>
      <c r="G386" s="4">
        <v>1</v>
      </c>
      <c r="H386" s="4">
        <v>0</v>
      </c>
      <c r="I386" s="4">
        <v>0</v>
      </c>
      <c r="J386" s="4">
        <v>1</v>
      </c>
      <c r="K386" s="4">
        <v>0</v>
      </c>
      <c r="L386" s="2" t="s">
        <v>79</v>
      </c>
    </row>
    <row r="387" spans="1:12" x14ac:dyDescent="0.2">
      <c r="A387" s="4">
        <v>4.68</v>
      </c>
      <c r="B387" s="4">
        <v>16</v>
      </c>
      <c r="C387" s="4">
        <v>1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1</v>
      </c>
      <c r="J387" s="4">
        <v>0</v>
      </c>
      <c r="K387" s="4">
        <v>0</v>
      </c>
      <c r="L387" s="2" t="s">
        <v>79</v>
      </c>
    </row>
    <row r="388" spans="1:12" x14ac:dyDescent="0.2">
      <c r="A388" s="4">
        <v>3.13</v>
      </c>
      <c r="B388" s="4">
        <v>10</v>
      </c>
      <c r="C388" s="4">
        <v>1</v>
      </c>
      <c r="D388" s="4">
        <v>0</v>
      </c>
      <c r="E388" s="4">
        <v>1</v>
      </c>
      <c r="F388" s="4">
        <v>0</v>
      </c>
      <c r="G388" s="4">
        <v>1</v>
      </c>
      <c r="H388" s="4">
        <v>1</v>
      </c>
      <c r="I388" s="4">
        <v>0</v>
      </c>
      <c r="J388" s="4">
        <v>0</v>
      </c>
      <c r="K388" s="4">
        <v>0</v>
      </c>
      <c r="L388" s="2" t="s">
        <v>79</v>
      </c>
    </row>
    <row r="389" spans="1:12" x14ac:dyDescent="0.2">
      <c r="A389" s="4">
        <v>3.2</v>
      </c>
      <c r="B389" s="4">
        <v>11</v>
      </c>
      <c r="C389" s="4">
        <v>1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2" t="s">
        <v>79</v>
      </c>
    </row>
    <row r="390" spans="1:12" x14ac:dyDescent="0.2">
      <c r="A390" s="4">
        <v>4.33</v>
      </c>
      <c r="B390" s="4">
        <v>18</v>
      </c>
      <c r="C390" s="4">
        <v>1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2" t="s">
        <v>79</v>
      </c>
    </row>
    <row r="391" spans="1:12" x14ac:dyDescent="0.2">
      <c r="A391" s="4">
        <v>2.9</v>
      </c>
      <c r="B391" s="4">
        <v>11</v>
      </c>
      <c r="C391" s="4">
        <v>1</v>
      </c>
      <c r="D391" s="4">
        <v>0</v>
      </c>
      <c r="E391" s="4">
        <v>1</v>
      </c>
      <c r="F391" s="4">
        <v>0</v>
      </c>
      <c r="G391" s="4">
        <v>1</v>
      </c>
      <c r="H391" s="4">
        <v>1</v>
      </c>
      <c r="I391" s="4">
        <v>0</v>
      </c>
      <c r="J391" s="4">
        <v>0</v>
      </c>
      <c r="K391" s="4">
        <v>0</v>
      </c>
      <c r="L391" s="2" t="s">
        <v>79</v>
      </c>
    </row>
    <row r="392" spans="1:12" x14ac:dyDescent="0.2">
      <c r="A392" s="4">
        <v>2.91</v>
      </c>
      <c r="B392" s="4">
        <v>11</v>
      </c>
      <c r="C392" s="4">
        <v>1</v>
      </c>
      <c r="D392" s="4">
        <v>0</v>
      </c>
      <c r="E392" s="4">
        <v>1</v>
      </c>
      <c r="F392" s="4">
        <v>0</v>
      </c>
      <c r="G392" s="4">
        <v>3</v>
      </c>
      <c r="H392" s="4">
        <v>1</v>
      </c>
      <c r="I392" s="4">
        <v>0</v>
      </c>
      <c r="J392" s="4">
        <v>0</v>
      </c>
      <c r="K392" s="4">
        <v>0</v>
      </c>
      <c r="L392" s="2" t="s">
        <v>79</v>
      </c>
    </row>
    <row r="393" spans="1:12" x14ac:dyDescent="0.2">
      <c r="A393" s="4">
        <v>3</v>
      </c>
      <c r="B393" s="4">
        <v>15</v>
      </c>
      <c r="C393" s="4">
        <v>1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1</v>
      </c>
      <c r="J393" s="4">
        <v>0</v>
      </c>
      <c r="K393" s="4">
        <v>0</v>
      </c>
      <c r="L393" s="2" t="s">
        <v>79</v>
      </c>
    </row>
    <row r="394" spans="1:12" x14ac:dyDescent="0.2">
      <c r="A394" s="4">
        <v>3</v>
      </c>
      <c r="B394" s="4">
        <v>12</v>
      </c>
      <c r="C394" s="4">
        <v>1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1</v>
      </c>
      <c r="J394" s="4">
        <v>0</v>
      </c>
      <c r="K394" s="4">
        <v>0</v>
      </c>
      <c r="L394" s="2" t="s">
        <v>79</v>
      </c>
    </row>
    <row r="395" spans="1:12" x14ac:dyDescent="0.2">
      <c r="A395" s="4">
        <v>3.15</v>
      </c>
      <c r="B395" s="4">
        <v>13</v>
      </c>
      <c r="C395" s="4">
        <v>1</v>
      </c>
      <c r="D395" s="4">
        <v>0</v>
      </c>
      <c r="E395" s="4">
        <v>1</v>
      </c>
      <c r="F395" s="4">
        <v>0</v>
      </c>
      <c r="G395" s="4">
        <v>4</v>
      </c>
      <c r="H395" s="4">
        <v>1</v>
      </c>
      <c r="I395" s="4">
        <v>0</v>
      </c>
      <c r="J395" s="4">
        <v>0</v>
      </c>
      <c r="K395" s="4">
        <v>0</v>
      </c>
      <c r="L395" s="2" t="s">
        <v>79</v>
      </c>
    </row>
    <row r="396" spans="1:12" x14ac:dyDescent="0.2">
      <c r="A396" s="4">
        <v>12.5</v>
      </c>
      <c r="B396" s="4">
        <v>14</v>
      </c>
      <c r="C396" s="4">
        <v>40</v>
      </c>
      <c r="D396" s="9">
        <v>26.78</v>
      </c>
      <c r="E396" s="4">
        <v>0</v>
      </c>
      <c r="F396" s="4">
        <v>1</v>
      </c>
      <c r="G396" s="4">
        <v>0</v>
      </c>
      <c r="H396" s="4">
        <v>1</v>
      </c>
      <c r="I396" s="4">
        <v>0</v>
      </c>
      <c r="J396" s="4">
        <v>0</v>
      </c>
      <c r="K396" s="4">
        <v>0</v>
      </c>
      <c r="L396" s="2" t="s">
        <v>80</v>
      </c>
    </row>
    <row r="397" spans="1:12" x14ac:dyDescent="0.2">
      <c r="A397" s="4">
        <v>1.5</v>
      </c>
      <c r="B397" s="4">
        <v>8</v>
      </c>
      <c r="C397" s="4">
        <v>31</v>
      </c>
      <c r="D397" s="9">
        <v>26.78</v>
      </c>
      <c r="E397" s="10">
        <v>2</v>
      </c>
      <c r="F397" s="4">
        <v>0</v>
      </c>
      <c r="G397" s="4">
        <v>0</v>
      </c>
      <c r="H397" s="4">
        <v>0</v>
      </c>
      <c r="I397" s="4">
        <v>1</v>
      </c>
      <c r="J397" s="4">
        <v>0</v>
      </c>
      <c r="K397" s="4">
        <v>0</v>
      </c>
      <c r="L397" s="2" t="s">
        <v>80</v>
      </c>
    </row>
    <row r="398" spans="1:12" x14ac:dyDescent="0.2">
      <c r="A398" s="4">
        <v>2.92</v>
      </c>
      <c r="B398" s="4">
        <v>3</v>
      </c>
      <c r="C398" s="4">
        <v>11</v>
      </c>
      <c r="D398" s="9">
        <v>26.78</v>
      </c>
      <c r="E398" s="4">
        <v>0</v>
      </c>
      <c r="F398" s="4">
        <v>0</v>
      </c>
      <c r="G398" s="4">
        <v>0</v>
      </c>
      <c r="H398" s="4">
        <v>0</v>
      </c>
      <c r="I398" s="4">
        <v>1</v>
      </c>
      <c r="J398" s="4">
        <v>0</v>
      </c>
      <c r="K398" s="4">
        <v>0</v>
      </c>
      <c r="L398" s="2" t="s">
        <v>80</v>
      </c>
    </row>
    <row r="399" spans="1:12" x14ac:dyDescent="0.2">
      <c r="A399" s="4">
        <v>10</v>
      </c>
      <c r="B399" s="4">
        <v>12</v>
      </c>
      <c r="C399" s="4">
        <v>24</v>
      </c>
      <c r="D399" s="4">
        <v>24</v>
      </c>
      <c r="E399" s="4">
        <v>0</v>
      </c>
      <c r="F399" s="4">
        <v>1</v>
      </c>
      <c r="G399" s="4">
        <v>0</v>
      </c>
      <c r="H399" s="4">
        <v>1</v>
      </c>
      <c r="I399" s="4">
        <v>0</v>
      </c>
      <c r="J399" s="4">
        <v>0</v>
      </c>
      <c r="K399" s="4">
        <v>0</v>
      </c>
      <c r="L399" s="2" t="s">
        <v>80</v>
      </c>
    </row>
    <row r="400" spans="1:12" x14ac:dyDescent="0.2">
      <c r="A400" s="4">
        <v>10.91</v>
      </c>
      <c r="B400" s="4">
        <v>12</v>
      </c>
      <c r="C400" s="4">
        <v>25</v>
      </c>
      <c r="D400" s="4">
        <v>23</v>
      </c>
      <c r="E400" s="4">
        <v>0</v>
      </c>
      <c r="F400" s="4">
        <v>0</v>
      </c>
      <c r="G400" s="4">
        <v>0</v>
      </c>
      <c r="H400" s="4">
        <v>0</v>
      </c>
      <c r="I400" s="4">
        <v>1</v>
      </c>
      <c r="J400" s="4">
        <v>0</v>
      </c>
      <c r="K400" s="4">
        <v>0</v>
      </c>
      <c r="L400" s="2" t="s">
        <v>80</v>
      </c>
    </row>
    <row r="401" spans="1:12" x14ac:dyDescent="0.2">
      <c r="A401" s="4">
        <v>6.25</v>
      </c>
      <c r="B401" s="4">
        <v>7</v>
      </c>
      <c r="C401" s="4">
        <v>39</v>
      </c>
      <c r="D401" s="4">
        <v>21</v>
      </c>
      <c r="E401" s="4">
        <v>0</v>
      </c>
      <c r="F401" s="4">
        <v>1</v>
      </c>
      <c r="G401" s="4">
        <v>0</v>
      </c>
      <c r="H401" s="4">
        <v>0</v>
      </c>
      <c r="I401" s="4">
        <v>1</v>
      </c>
      <c r="J401" s="4">
        <v>0</v>
      </c>
      <c r="K401" s="4">
        <v>0</v>
      </c>
      <c r="L401" s="2" t="s">
        <v>80</v>
      </c>
    </row>
    <row r="402" spans="1:12" x14ac:dyDescent="0.2">
      <c r="A402" s="4">
        <v>15.38</v>
      </c>
      <c r="B402" s="4">
        <v>13</v>
      </c>
      <c r="C402" s="4">
        <v>25</v>
      </c>
      <c r="D402" s="4">
        <v>21</v>
      </c>
      <c r="E402" s="4">
        <v>0</v>
      </c>
      <c r="F402" s="4">
        <v>1</v>
      </c>
      <c r="G402" s="4">
        <v>2</v>
      </c>
      <c r="H402" s="4">
        <v>1</v>
      </c>
      <c r="I402" s="4">
        <v>0</v>
      </c>
      <c r="J402" s="4">
        <v>0</v>
      </c>
      <c r="K402" s="4">
        <v>0</v>
      </c>
      <c r="L402" s="2" t="s">
        <v>80</v>
      </c>
    </row>
    <row r="403" spans="1:12" x14ac:dyDescent="0.2">
      <c r="A403" s="4">
        <v>18.89</v>
      </c>
      <c r="B403" s="4">
        <v>17</v>
      </c>
      <c r="C403" s="4">
        <v>26</v>
      </c>
      <c r="D403" s="4">
        <v>20</v>
      </c>
      <c r="E403" s="4">
        <v>0</v>
      </c>
      <c r="F403" s="4">
        <v>1</v>
      </c>
      <c r="G403" s="4">
        <v>2</v>
      </c>
      <c r="H403" s="4">
        <v>0</v>
      </c>
      <c r="I403" s="4">
        <v>0</v>
      </c>
      <c r="J403" s="4">
        <v>0</v>
      </c>
      <c r="K403" s="4">
        <v>0</v>
      </c>
      <c r="L403" s="2" t="s">
        <v>80</v>
      </c>
    </row>
    <row r="404" spans="1:12" x14ac:dyDescent="0.2">
      <c r="A404" s="4">
        <v>3</v>
      </c>
      <c r="B404" s="4">
        <v>9</v>
      </c>
      <c r="C404" s="4">
        <v>23</v>
      </c>
      <c r="D404" s="4">
        <v>20</v>
      </c>
      <c r="E404" s="4">
        <v>1</v>
      </c>
      <c r="F404" s="4">
        <v>1</v>
      </c>
      <c r="G404" s="4">
        <v>2</v>
      </c>
      <c r="H404" s="4">
        <v>0</v>
      </c>
      <c r="I404" s="4">
        <v>1</v>
      </c>
      <c r="J404" s="4">
        <v>0</v>
      </c>
      <c r="K404" s="4">
        <v>0</v>
      </c>
      <c r="L404" s="2" t="s">
        <v>80</v>
      </c>
    </row>
    <row r="405" spans="1:12" x14ac:dyDescent="0.2">
      <c r="A405" s="4">
        <v>11.9</v>
      </c>
      <c r="B405" s="4">
        <v>13</v>
      </c>
      <c r="C405" s="4">
        <v>24</v>
      </c>
      <c r="D405" s="4">
        <v>19</v>
      </c>
      <c r="E405" s="4">
        <v>0</v>
      </c>
      <c r="F405" s="4">
        <v>1</v>
      </c>
      <c r="G405" s="4">
        <v>2</v>
      </c>
      <c r="H405" s="4">
        <v>0</v>
      </c>
      <c r="I405" s="4">
        <v>0</v>
      </c>
      <c r="J405" s="4">
        <v>0</v>
      </c>
      <c r="K405" s="4">
        <v>0</v>
      </c>
      <c r="L405" s="2" t="s">
        <v>80</v>
      </c>
    </row>
    <row r="406" spans="1:12" x14ac:dyDescent="0.2">
      <c r="A406" s="4">
        <v>4</v>
      </c>
      <c r="B406" s="4">
        <v>9</v>
      </c>
      <c r="C406" s="4">
        <v>22</v>
      </c>
      <c r="D406" s="4">
        <v>18</v>
      </c>
      <c r="E406" s="4">
        <v>0</v>
      </c>
      <c r="F406" s="4">
        <v>0</v>
      </c>
      <c r="G406" s="4">
        <v>0</v>
      </c>
      <c r="H406" s="4">
        <v>0</v>
      </c>
      <c r="I406" s="4">
        <v>1</v>
      </c>
      <c r="J406" s="4">
        <v>0</v>
      </c>
      <c r="K406" s="4">
        <v>0</v>
      </c>
      <c r="L406" s="2" t="s">
        <v>80</v>
      </c>
    </row>
    <row r="407" spans="1:12" x14ac:dyDescent="0.2">
      <c r="A407" s="4">
        <v>12.5</v>
      </c>
      <c r="B407" s="4">
        <v>17</v>
      </c>
      <c r="C407" s="4">
        <v>21</v>
      </c>
      <c r="D407" s="4">
        <v>18</v>
      </c>
      <c r="E407" s="4">
        <v>0</v>
      </c>
      <c r="F407" s="4">
        <v>1</v>
      </c>
      <c r="G407" s="4">
        <v>3</v>
      </c>
      <c r="H407" s="4">
        <v>0</v>
      </c>
      <c r="I407" s="4">
        <v>0</v>
      </c>
      <c r="J407" s="4">
        <v>0</v>
      </c>
      <c r="K407" s="4">
        <v>0</v>
      </c>
      <c r="L407" s="2" t="s">
        <v>80</v>
      </c>
    </row>
    <row r="408" spans="1:12" x14ac:dyDescent="0.2">
      <c r="A408" s="4">
        <v>9.68</v>
      </c>
      <c r="B408" s="4">
        <v>13</v>
      </c>
      <c r="C408" s="4">
        <v>16</v>
      </c>
      <c r="D408" s="4">
        <v>16</v>
      </c>
      <c r="E408" s="4">
        <v>1</v>
      </c>
      <c r="F408" s="4">
        <v>0</v>
      </c>
      <c r="G408" s="4">
        <v>0</v>
      </c>
      <c r="H408" s="4">
        <v>0</v>
      </c>
      <c r="I408" s="4">
        <v>0</v>
      </c>
      <c r="J408" s="4">
        <v>1</v>
      </c>
      <c r="K408" s="4">
        <v>0</v>
      </c>
      <c r="L408" s="2" t="s">
        <v>80</v>
      </c>
    </row>
    <row r="409" spans="1:12" x14ac:dyDescent="0.2">
      <c r="A409" s="4">
        <v>5.6</v>
      </c>
      <c r="B409" s="4">
        <v>15</v>
      </c>
      <c r="C409" s="4">
        <v>31</v>
      </c>
      <c r="D409" s="4">
        <v>15</v>
      </c>
      <c r="E409" s="4">
        <v>1</v>
      </c>
      <c r="F409" s="4">
        <v>0</v>
      </c>
      <c r="G409" s="4">
        <v>2</v>
      </c>
      <c r="H409" s="4">
        <v>1</v>
      </c>
      <c r="I409" s="4">
        <v>0</v>
      </c>
      <c r="J409" s="4">
        <v>0</v>
      </c>
      <c r="K409" s="4">
        <v>0</v>
      </c>
      <c r="L409" s="2" t="s">
        <v>80</v>
      </c>
    </row>
    <row r="410" spans="1:12" x14ac:dyDescent="0.2">
      <c r="A410" s="4">
        <v>3.4</v>
      </c>
      <c r="B410" s="4">
        <v>12</v>
      </c>
      <c r="C410" s="4">
        <v>26</v>
      </c>
      <c r="D410" s="4">
        <v>15</v>
      </c>
      <c r="E410" s="4">
        <v>1</v>
      </c>
      <c r="F410" s="4">
        <v>1</v>
      </c>
      <c r="G410" s="4">
        <v>1</v>
      </c>
      <c r="H410" s="4">
        <v>1</v>
      </c>
      <c r="I410" s="4">
        <v>0</v>
      </c>
      <c r="J410" s="4">
        <v>0</v>
      </c>
      <c r="K410" s="4">
        <v>1</v>
      </c>
      <c r="L410" s="2" t="s">
        <v>80</v>
      </c>
    </row>
    <row r="411" spans="1:12" x14ac:dyDescent="0.2">
      <c r="A411" s="4">
        <v>5.2</v>
      </c>
      <c r="B411" s="4">
        <v>6</v>
      </c>
      <c r="C411" s="9">
        <v>43.93</v>
      </c>
      <c r="D411" s="4">
        <v>13</v>
      </c>
      <c r="E411" s="4">
        <v>0</v>
      </c>
      <c r="F411" s="4">
        <v>1</v>
      </c>
      <c r="G411" s="4">
        <v>0</v>
      </c>
      <c r="H411" s="4">
        <v>0</v>
      </c>
      <c r="I411" s="4">
        <v>1</v>
      </c>
      <c r="J411" s="4">
        <v>0</v>
      </c>
      <c r="K411" s="4">
        <v>1</v>
      </c>
      <c r="L411" s="2" t="s">
        <v>80</v>
      </c>
    </row>
    <row r="412" spans="1:12" x14ac:dyDescent="0.2">
      <c r="A412" s="4">
        <v>3.75</v>
      </c>
      <c r="B412" s="4">
        <v>2</v>
      </c>
      <c r="C412" s="4">
        <v>39</v>
      </c>
      <c r="D412" s="4">
        <v>13</v>
      </c>
      <c r="E412" s="4">
        <v>0</v>
      </c>
      <c r="F412" s="4">
        <v>1</v>
      </c>
      <c r="G412" s="4">
        <v>0</v>
      </c>
      <c r="H412" s="4">
        <v>0</v>
      </c>
      <c r="I412" s="4">
        <v>1</v>
      </c>
      <c r="J412" s="4">
        <v>0</v>
      </c>
      <c r="K412" s="4">
        <v>0</v>
      </c>
      <c r="L412" s="2" t="s">
        <v>80</v>
      </c>
    </row>
    <row r="413" spans="1:12" x14ac:dyDescent="0.2">
      <c r="A413" s="4">
        <v>8.4499999999999993</v>
      </c>
      <c r="B413" s="4">
        <v>12</v>
      </c>
      <c r="C413" s="4">
        <v>19</v>
      </c>
      <c r="D413" s="4">
        <v>13</v>
      </c>
      <c r="E413" s="4">
        <v>0</v>
      </c>
      <c r="F413" s="4">
        <v>1</v>
      </c>
      <c r="G413" s="4">
        <v>4</v>
      </c>
      <c r="H413" s="4">
        <v>0</v>
      </c>
      <c r="I413" s="4">
        <v>0</v>
      </c>
      <c r="J413" s="4">
        <v>0</v>
      </c>
      <c r="K413" s="4">
        <v>0</v>
      </c>
      <c r="L413" s="2" t="s">
        <v>80</v>
      </c>
    </row>
    <row r="414" spans="1:12" x14ac:dyDescent="0.2">
      <c r="A414" s="4">
        <v>3.37</v>
      </c>
      <c r="B414" s="4">
        <v>11</v>
      </c>
      <c r="C414" s="9">
        <v>43.93</v>
      </c>
      <c r="D414" s="4">
        <v>12</v>
      </c>
      <c r="E414" s="4">
        <v>0</v>
      </c>
      <c r="F414" s="4">
        <v>1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2" t="s">
        <v>80</v>
      </c>
    </row>
    <row r="415" spans="1:12" x14ac:dyDescent="0.2">
      <c r="A415" s="4">
        <v>4</v>
      </c>
      <c r="B415" s="4">
        <v>10</v>
      </c>
      <c r="C415" s="4">
        <v>34</v>
      </c>
      <c r="D415" s="4">
        <v>12</v>
      </c>
      <c r="E415" s="4">
        <v>0</v>
      </c>
      <c r="F415" s="4">
        <v>1</v>
      </c>
      <c r="G415" s="4">
        <v>0</v>
      </c>
      <c r="H415" s="4">
        <v>1</v>
      </c>
      <c r="I415" s="4">
        <v>0</v>
      </c>
      <c r="J415" s="4">
        <v>0</v>
      </c>
      <c r="K415" s="4">
        <v>0</v>
      </c>
      <c r="L415" s="2" t="s">
        <v>80</v>
      </c>
    </row>
    <row r="416" spans="1:12" x14ac:dyDescent="0.2">
      <c r="A416" s="4">
        <v>7.6</v>
      </c>
      <c r="B416" s="4">
        <v>12</v>
      </c>
      <c r="C416" s="4">
        <v>41</v>
      </c>
      <c r="D416" s="4">
        <v>11</v>
      </c>
      <c r="E416" s="4">
        <v>1</v>
      </c>
      <c r="F416" s="4">
        <v>0</v>
      </c>
      <c r="G416" s="4">
        <v>0</v>
      </c>
      <c r="H416" s="4">
        <v>1</v>
      </c>
      <c r="I416" s="4">
        <v>0</v>
      </c>
      <c r="J416" s="4">
        <v>0</v>
      </c>
      <c r="K416" s="4">
        <v>0</v>
      </c>
      <c r="L416" s="2" t="s">
        <v>80</v>
      </c>
    </row>
    <row r="417" spans="1:12" x14ac:dyDescent="0.2">
      <c r="A417" s="4">
        <v>10</v>
      </c>
      <c r="B417" s="4">
        <v>14</v>
      </c>
      <c r="C417" s="4">
        <v>28</v>
      </c>
      <c r="D417" s="4">
        <v>11</v>
      </c>
      <c r="E417" s="4">
        <v>1</v>
      </c>
      <c r="F417" s="4">
        <v>1</v>
      </c>
      <c r="G417" s="4">
        <v>0</v>
      </c>
      <c r="H417" s="4">
        <v>0</v>
      </c>
      <c r="I417" s="4">
        <v>1</v>
      </c>
      <c r="J417" s="4">
        <v>0</v>
      </c>
      <c r="K417" s="4">
        <v>0</v>
      </c>
      <c r="L417" s="2" t="s">
        <v>80</v>
      </c>
    </row>
    <row r="418" spans="1:12" x14ac:dyDescent="0.2">
      <c r="A418" s="4">
        <v>4</v>
      </c>
      <c r="B418" s="4">
        <v>12</v>
      </c>
      <c r="C418" s="4">
        <v>22</v>
      </c>
      <c r="D418" s="4">
        <v>11</v>
      </c>
      <c r="E418" s="4">
        <v>1</v>
      </c>
      <c r="F418" s="4">
        <v>1</v>
      </c>
      <c r="G418" s="4">
        <v>2</v>
      </c>
      <c r="H418" s="4">
        <v>1</v>
      </c>
      <c r="I418" s="4">
        <v>0</v>
      </c>
      <c r="J418" s="4">
        <v>0</v>
      </c>
      <c r="K418" s="4">
        <v>0</v>
      </c>
      <c r="L418" s="2" t="s">
        <v>80</v>
      </c>
    </row>
    <row r="419" spans="1:12" x14ac:dyDescent="0.2">
      <c r="A419" s="4">
        <v>9.33</v>
      </c>
      <c r="B419" s="4">
        <v>14</v>
      </c>
      <c r="C419" s="4">
        <v>12</v>
      </c>
      <c r="D419" s="4">
        <v>11</v>
      </c>
      <c r="E419" s="4">
        <v>0</v>
      </c>
      <c r="F419" s="4">
        <v>1</v>
      </c>
      <c r="G419" s="4">
        <v>3</v>
      </c>
      <c r="H419" s="4">
        <v>0</v>
      </c>
      <c r="I419" s="4">
        <v>0</v>
      </c>
      <c r="J419" s="4">
        <v>0</v>
      </c>
      <c r="K419" s="4">
        <v>0</v>
      </c>
      <c r="L419" s="2" t="s">
        <v>80</v>
      </c>
    </row>
    <row r="420" spans="1:12" x14ac:dyDescent="0.2">
      <c r="A420" s="4">
        <v>6.08</v>
      </c>
      <c r="B420" s="4">
        <v>16</v>
      </c>
      <c r="C420" s="4">
        <v>42</v>
      </c>
      <c r="D420" s="4">
        <v>10</v>
      </c>
      <c r="E420" s="4">
        <v>0</v>
      </c>
      <c r="F420" s="4">
        <v>0</v>
      </c>
      <c r="G420" s="4">
        <v>0</v>
      </c>
      <c r="H420" s="4">
        <v>1</v>
      </c>
      <c r="I420" s="4">
        <v>0</v>
      </c>
      <c r="J420" s="4">
        <v>0</v>
      </c>
      <c r="K420" s="4">
        <v>0</v>
      </c>
      <c r="L420" s="2" t="s">
        <v>80</v>
      </c>
    </row>
    <row r="421" spans="1:12" x14ac:dyDescent="0.2">
      <c r="A421" s="4">
        <v>6.67</v>
      </c>
      <c r="B421" s="4">
        <v>12</v>
      </c>
      <c r="C421" s="4">
        <v>35</v>
      </c>
      <c r="D421" s="4">
        <v>10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2" t="s">
        <v>80</v>
      </c>
    </row>
    <row r="422" spans="1:12" x14ac:dyDescent="0.2">
      <c r="A422" s="4">
        <v>4.5</v>
      </c>
      <c r="B422" s="4">
        <v>16</v>
      </c>
      <c r="C422" s="4">
        <v>21</v>
      </c>
      <c r="D422" s="4">
        <v>10</v>
      </c>
      <c r="E422" s="4">
        <v>0</v>
      </c>
      <c r="F422" s="4">
        <v>1</v>
      </c>
      <c r="G422" s="4">
        <v>1</v>
      </c>
      <c r="H422" s="4">
        <v>0</v>
      </c>
      <c r="I422" s="4">
        <v>1</v>
      </c>
      <c r="J422" s="4">
        <v>0</v>
      </c>
      <c r="K422" s="4">
        <v>0</v>
      </c>
      <c r="L422" s="2" t="s">
        <v>80</v>
      </c>
    </row>
    <row r="423" spans="1:12" x14ac:dyDescent="0.2">
      <c r="A423" s="4">
        <v>6.8</v>
      </c>
      <c r="B423" s="4">
        <v>12</v>
      </c>
      <c r="C423" s="4">
        <v>14</v>
      </c>
      <c r="D423" s="4">
        <v>10</v>
      </c>
      <c r="E423" s="4">
        <v>0</v>
      </c>
      <c r="F423" s="4">
        <v>1</v>
      </c>
      <c r="G423" s="4">
        <v>2</v>
      </c>
      <c r="H423" s="4">
        <v>0</v>
      </c>
      <c r="I423" s="4">
        <v>1</v>
      </c>
      <c r="J423" s="4">
        <v>0</v>
      </c>
      <c r="K423" s="4">
        <v>0</v>
      </c>
      <c r="L423" s="2" t="s">
        <v>80</v>
      </c>
    </row>
    <row r="424" spans="1:12" x14ac:dyDescent="0.2">
      <c r="A424" s="4">
        <v>3</v>
      </c>
      <c r="B424" s="4">
        <v>12</v>
      </c>
      <c r="C424" s="4">
        <v>26</v>
      </c>
      <c r="D424" s="4">
        <v>9</v>
      </c>
      <c r="E424" s="4">
        <v>1</v>
      </c>
      <c r="F424" s="4">
        <v>1</v>
      </c>
      <c r="G424" s="4">
        <v>0</v>
      </c>
      <c r="H424" s="4">
        <v>0</v>
      </c>
      <c r="I424" s="4">
        <v>1</v>
      </c>
      <c r="J424" s="4">
        <v>0</v>
      </c>
      <c r="K424" s="4">
        <v>0</v>
      </c>
      <c r="L424" s="2" t="s">
        <v>80</v>
      </c>
    </row>
    <row r="425" spans="1:12" x14ac:dyDescent="0.2">
      <c r="A425" s="4">
        <v>6.22</v>
      </c>
      <c r="B425" s="4">
        <v>12</v>
      </c>
      <c r="C425" s="4">
        <v>19</v>
      </c>
      <c r="D425" s="4">
        <v>9</v>
      </c>
      <c r="E425" s="4">
        <v>1</v>
      </c>
      <c r="F425" s="4">
        <v>1</v>
      </c>
      <c r="G425" s="4">
        <v>1</v>
      </c>
      <c r="H425" s="4">
        <v>1</v>
      </c>
      <c r="I425" s="4">
        <v>0</v>
      </c>
      <c r="J425" s="4">
        <v>0</v>
      </c>
      <c r="K425" s="4">
        <v>0</v>
      </c>
      <c r="L425" s="2" t="s">
        <v>80</v>
      </c>
    </row>
    <row r="426" spans="1:12" x14ac:dyDescent="0.2">
      <c r="A426" s="4">
        <v>5.95</v>
      </c>
      <c r="B426" s="4">
        <v>11</v>
      </c>
      <c r="C426" s="4">
        <v>15</v>
      </c>
      <c r="D426" s="4">
        <v>9</v>
      </c>
      <c r="E426" s="4">
        <v>0</v>
      </c>
      <c r="F426" s="4">
        <v>1</v>
      </c>
      <c r="G426" s="4">
        <v>1</v>
      </c>
      <c r="H426" s="4">
        <v>0</v>
      </c>
      <c r="I426" s="4">
        <v>1</v>
      </c>
      <c r="J426" s="4">
        <v>0</v>
      </c>
      <c r="K426" s="4">
        <v>1</v>
      </c>
      <c r="L426" s="2" t="s">
        <v>80</v>
      </c>
    </row>
    <row r="427" spans="1:12" x14ac:dyDescent="0.2">
      <c r="A427" s="4">
        <v>14.38</v>
      </c>
      <c r="B427" s="4">
        <v>17</v>
      </c>
      <c r="C427" s="4">
        <v>10</v>
      </c>
      <c r="D427" s="4">
        <v>9</v>
      </c>
      <c r="E427" s="4">
        <v>0</v>
      </c>
      <c r="F427" s="4">
        <v>1</v>
      </c>
      <c r="G427" s="4">
        <v>1</v>
      </c>
      <c r="H427" s="4">
        <v>0</v>
      </c>
      <c r="I427" s="4">
        <v>1</v>
      </c>
      <c r="J427" s="4">
        <v>0</v>
      </c>
      <c r="K427" s="4">
        <v>0</v>
      </c>
      <c r="L427" s="2" t="s">
        <v>80</v>
      </c>
    </row>
    <row r="428" spans="1:12" x14ac:dyDescent="0.2">
      <c r="A428" s="4">
        <v>4.5</v>
      </c>
      <c r="B428" s="4">
        <v>11</v>
      </c>
      <c r="C428" s="4">
        <v>3</v>
      </c>
      <c r="D428" s="4">
        <v>9</v>
      </c>
      <c r="E428" s="4">
        <v>0</v>
      </c>
      <c r="F428" s="4">
        <v>0</v>
      </c>
      <c r="G428" s="4">
        <v>0</v>
      </c>
      <c r="H428" s="4">
        <v>0</v>
      </c>
      <c r="I428" s="4">
        <v>1</v>
      </c>
      <c r="J428" s="4">
        <v>0</v>
      </c>
      <c r="K428" s="4">
        <v>1</v>
      </c>
      <c r="L428" s="2" t="s">
        <v>80</v>
      </c>
    </row>
    <row r="429" spans="1:12" x14ac:dyDescent="0.2">
      <c r="A429" s="4">
        <v>6</v>
      </c>
      <c r="B429" s="4">
        <v>11</v>
      </c>
      <c r="C429" s="4">
        <v>37</v>
      </c>
      <c r="D429" s="4">
        <v>8</v>
      </c>
      <c r="E429" s="4">
        <v>1</v>
      </c>
      <c r="F429" s="4">
        <v>0</v>
      </c>
      <c r="G429" s="4">
        <v>0</v>
      </c>
      <c r="H429" s="4">
        <v>0</v>
      </c>
      <c r="I429" s="4">
        <v>0</v>
      </c>
      <c r="J429" s="4">
        <v>1</v>
      </c>
      <c r="K429" s="4">
        <v>0</v>
      </c>
      <c r="L429" s="2" t="s">
        <v>80</v>
      </c>
    </row>
    <row r="430" spans="1:12" x14ac:dyDescent="0.2">
      <c r="A430" s="4">
        <v>6</v>
      </c>
      <c r="B430" s="4">
        <v>12</v>
      </c>
      <c r="C430" s="4">
        <v>22</v>
      </c>
      <c r="D430" s="4">
        <v>8</v>
      </c>
      <c r="E430" s="4">
        <v>0</v>
      </c>
      <c r="F430" s="4">
        <v>0</v>
      </c>
      <c r="G430" s="4">
        <v>2</v>
      </c>
      <c r="H430" s="4">
        <v>0</v>
      </c>
      <c r="I430" s="4">
        <v>0</v>
      </c>
      <c r="J430" s="4">
        <v>0</v>
      </c>
      <c r="K430" s="4">
        <v>0</v>
      </c>
      <c r="L430" s="2" t="s">
        <v>80</v>
      </c>
    </row>
    <row r="431" spans="1:12" x14ac:dyDescent="0.2">
      <c r="A431" s="4">
        <v>5.6</v>
      </c>
      <c r="B431" s="4">
        <v>11</v>
      </c>
      <c r="C431" s="4">
        <v>11</v>
      </c>
      <c r="D431" s="4">
        <v>8</v>
      </c>
      <c r="E431" s="4">
        <v>0</v>
      </c>
      <c r="F431" s="4">
        <v>1</v>
      </c>
      <c r="G431" s="4">
        <v>2</v>
      </c>
      <c r="H431" s="4">
        <v>0</v>
      </c>
      <c r="I431" s="4">
        <v>1</v>
      </c>
      <c r="J431" s="4">
        <v>0</v>
      </c>
      <c r="K431" s="4">
        <v>0</v>
      </c>
      <c r="L431" s="2" t="s">
        <v>80</v>
      </c>
    </row>
    <row r="432" spans="1:12" x14ac:dyDescent="0.2">
      <c r="A432" s="4">
        <v>2.9</v>
      </c>
      <c r="B432" s="4">
        <v>6</v>
      </c>
      <c r="C432" s="9">
        <v>43.93</v>
      </c>
      <c r="D432" s="4">
        <v>7</v>
      </c>
      <c r="E432" s="4">
        <v>0</v>
      </c>
      <c r="F432" s="4">
        <v>1</v>
      </c>
      <c r="G432" s="4">
        <v>0</v>
      </c>
      <c r="H432" s="4">
        <v>0</v>
      </c>
      <c r="I432" s="4">
        <v>1</v>
      </c>
      <c r="J432" s="4">
        <v>0</v>
      </c>
      <c r="K432" s="4">
        <v>0</v>
      </c>
      <c r="L432" s="2" t="s">
        <v>80</v>
      </c>
    </row>
    <row r="433" spans="1:12" x14ac:dyDescent="0.2">
      <c r="A433" s="4">
        <v>5.25</v>
      </c>
      <c r="B433" s="4">
        <v>10</v>
      </c>
      <c r="C433" s="9">
        <v>43.93</v>
      </c>
      <c r="D433" s="4">
        <v>7</v>
      </c>
      <c r="E433" s="4">
        <v>0</v>
      </c>
      <c r="F433" s="4">
        <v>1</v>
      </c>
      <c r="G433" s="4">
        <v>1</v>
      </c>
      <c r="H433" s="4">
        <v>1</v>
      </c>
      <c r="I433" s="4">
        <v>0</v>
      </c>
      <c r="J433" s="4">
        <v>0</v>
      </c>
      <c r="K433" s="4">
        <v>0</v>
      </c>
      <c r="L433" s="2" t="s">
        <v>80</v>
      </c>
    </row>
    <row r="434" spans="1:12" x14ac:dyDescent="0.2">
      <c r="A434" s="4">
        <v>18</v>
      </c>
      <c r="B434" s="4">
        <v>16</v>
      </c>
      <c r="C434" s="4">
        <v>16</v>
      </c>
      <c r="D434" s="4">
        <v>7</v>
      </c>
      <c r="E434" s="4">
        <v>0</v>
      </c>
      <c r="F434" s="4">
        <v>1</v>
      </c>
      <c r="G434" s="4">
        <v>2</v>
      </c>
      <c r="H434" s="4">
        <v>0</v>
      </c>
      <c r="I434" s="4">
        <v>0</v>
      </c>
      <c r="J434" s="4">
        <v>0</v>
      </c>
      <c r="K434" s="4">
        <v>0</v>
      </c>
      <c r="L434" s="2" t="s">
        <v>80</v>
      </c>
    </row>
    <row r="435" spans="1:12" x14ac:dyDescent="0.2">
      <c r="A435" s="4">
        <v>14.58</v>
      </c>
      <c r="B435" s="4">
        <v>18</v>
      </c>
      <c r="C435" s="4">
        <v>13</v>
      </c>
      <c r="D435" s="4">
        <v>7</v>
      </c>
      <c r="E435" s="4">
        <v>1</v>
      </c>
      <c r="F435" s="4">
        <v>0</v>
      </c>
      <c r="G435" s="4">
        <v>0</v>
      </c>
      <c r="H435" s="4">
        <v>1</v>
      </c>
      <c r="I435" s="4">
        <v>0</v>
      </c>
      <c r="J435" s="4">
        <v>0</v>
      </c>
      <c r="K435" s="4">
        <v>0</v>
      </c>
      <c r="L435" s="2" t="s">
        <v>80</v>
      </c>
    </row>
    <row r="436" spans="1:12" x14ac:dyDescent="0.2">
      <c r="A436" s="4">
        <v>3.95</v>
      </c>
      <c r="B436" s="4">
        <v>6</v>
      </c>
      <c r="C436" s="9">
        <v>43.93</v>
      </c>
      <c r="D436" s="4">
        <v>6</v>
      </c>
      <c r="E436" s="4">
        <v>0</v>
      </c>
      <c r="F436" s="4">
        <v>1</v>
      </c>
      <c r="G436" s="4">
        <v>6</v>
      </c>
      <c r="H436" s="4">
        <v>0</v>
      </c>
      <c r="I436" s="4">
        <v>1</v>
      </c>
      <c r="J436" s="4">
        <v>0</v>
      </c>
      <c r="K436" s="4">
        <v>0</v>
      </c>
      <c r="L436" s="2" t="s">
        <v>80</v>
      </c>
    </row>
    <row r="437" spans="1:12" x14ac:dyDescent="0.2">
      <c r="A437" s="4">
        <v>10.63</v>
      </c>
      <c r="B437" s="4">
        <v>12</v>
      </c>
      <c r="C437" s="4">
        <v>36</v>
      </c>
      <c r="D437" s="4">
        <v>6</v>
      </c>
      <c r="E437" s="4">
        <v>1</v>
      </c>
      <c r="F437" s="4">
        <v>1</v>
      </c>
      <c r="G437" s="4">
        <v>0</v>
      </c>
      <c r="H437" s="4">
        <v>0</v>
      </c>
      <c r="I437" s="4">
        <v>0</v>
      </c>
      <c r="J437" s="4">
        <v>1</v>
      </c>
      <c r="K437" s="4">
        <v>0</v>
      </c>
      <c r="L437" s="2" t="s">
        <v>80</v>
      </c>
    </row>
    <row r="438" spans="1:12" x14ac:dyDescent="0.2">
      <c r="A438" s="4">
        <v>2</v>
      </c>
      <c r="B438" s="4">
        <v>13</v>
      </c>
      <c r="C438" s="4">
        <v>2</v>
      </c>
      <c r="D438" s="4">
        <v>6</v>
      </c>
      <c r="E438" s="4">
        <v>1</v>
      </c>
      <c r="F438" s="4">
        <v>0</v>
      </c>
      <c r="G438" s="4">
        <v>0</v>
      </c>
      <c r="H438" s="4">
        <v>1</v>
      </c>
      <c r="I438" s="4">
        <v>0</v>
      </c>
      <c r="J438" s="4">
        <v>0</v>
      </c>
      <c r="K438" s="4">
        <v>0</v>
      </c>
      <c r="L438" s="2" t="s">
        <v>80</v>
      </c>
    </row>
    <row r="439" spans="1:12" x14ac:dyDescent="0.2">
      <c r="A439" s="4">
        <v>10.92</v>
      </c>
      <c r="B439" s="4">
        <v>12</v>
      </c>
      <c r="C439" s="4">
        <v>34</v>
      </c>
      <c r="D439" s="4">
        <v>5</v>
      </c>
      <c r="E439" s="4">
        <v>0</v>
      </c>
      <c r="F439" s="4">
        <v>1</v>
      </c>
      <c r="G439" s="4">
        <v>0</v>
      </c>
      <c r="H439" s="4">
        <v>0</v>
      </c>
      <c r="I439" s="4">
        <v>1</v>
      </c>
      <c r="J439" s="4">
        <v>0</v>
      </c>
      <c r="K439" s="4">
        <v>0</v>
      </c>
      <c r="L439" s="2" t="s">
        <v>80</v>
      </c>
    </row>
    <row r="440" spans="1:12" x14ac:dyDescent="0.2">
      <c r="A440" s="4">
        <v>10</v>
      </c>
      <c r="B440" s="4">
        <v>12</v>
      </c>
      <c r="C440" s="4">
        <v>20</v>
      </c>
      <c r="D440" s="4">
        <v>5</v>
      </c>
      <c r="E440" s="4">
        <v>1</v>
      </c>
      <c r="F440" s="4">
        <v>1</v>
      </c>
      <c r="G440" s="4">
        <v>4</v>
      </c>
      <c r="H440" s="4">
        <v>0</v>
      </c>
      <c r="I440" s="4">
        <v>0</v>
      </c>
      <c r="J440" s="4">
        <v>1</v>
      </c>
      <c r="K440" s="4">
        <v>0</v>
      </c>
      <c r="L440" s="2" t="s">
        <v>80</v>
      </c>
    </row>
    <row r="441" spans="1:12" x14ac:dyDescent="0.2">
      <c r="A441" s="4">
        <v>7.5</v>
      </c>
      <c r="B441" s="4">
        <v>12</v>
      </c>
      <c r="C441" s="4">
        <v>18</v>
      </c>
      <c r="D441" s="4">
        <v>5</v>
      </c>
      <c r="E441" s="4">
        <v>0</v>
      </c>
      <c r="F441" s="4">
        <v>1</v>
      </c>
      <c r="G441" s="4">
        <v>2</v>
      </c>
      <c r="H441" s="4">
        <v>0</v>
      </c>
      <c r="I441" s="4">
        <v>0</v>
      </c>
      <c r="J441" s="4">
        <v>1</v>
      </c>
      <c r="K441" s="4">
        <v>0</v>
      </c>
      <c r="L441" s="2" t="s">
        <v>80</v>
      </c>
    </row>
    <row r="442" spans="1:12" x14ac:dyDescent="0.2">
      <c r="A442" s="4">
        <v>7.25</v>
      </c>
      <c r="B442" s="4">
        <v>12</v>
      </c>
      <c r="C442" s="4">
        <v>14</v>
      </c>
      <c r="D442" s="4">
        <v>5</v>
      </c>
      <c r="E442" s="4">
        <v>0</v>
      </c>
      <c r="F442" s="4">
        <v>1</v>
      </c>
      <c r="G442" s="4">
        <v>3</v>
      </c>
      <c r="H442" s="4">
        <v>0</v>
      </c>
      <c r="I442" s="4">
        <v>0</v>
      </c>
      <c r="J442" s="4">
        <v>1</v>
      </c>
      <c r="K442" s="4">
        <v>0</v>
      </c>
      <c r="L442" s="2" t="s">
        <v>80</v>
      </c>
    </row>
    <row r="443" spans="1:12" x14ac:dyDescent="0.2">
      <c r="A443" s="4">
        <v>3.45</v>
      </c>
      <c r="B443" s="4">
        <v>12</v>
      </c>
      <c r="C443" s="4">
        <v>6</v>
      </c>
      <c r="D443" s="4">
        <v>5</v>
      </c>
      <c r="E443" s="4">
        <v>1</v>
      </c>
      <c r="F443" s="4">
        <v>1</v>
      </c>
      <c r="G443" s="4">
        <v>0</v>
      </c>
      <c r="H443" s="4">
        <v>0</v>
      </c>
      <c r="I443" s="4">
        <v>1</v>
      </c>
      <c r="J443" s="4">
        <v>0</v>
      </c>
      <c r="K443" s="4">
        <v>0</v>
      </c>
      <c r="L443" s="2" t="s">
        <v>80</v>
      </c>
    </row>
    <row r="444" spans="1:12" x14ac:dyDescent="0.2">
      <c r="A444" s="4">
        <v>3.6</v>
      </c>
      <c r="B444" s="4">
        <v>12</v>
      </c>
      <c r="C444" s="4">
        <v>26</v>
      </c>
      <c r="D444" s="4">
        <v>4</v>
      </c>
      <c r="E444" s="4">
        <v>1</v>
      </c>
      <c r="F444" s="4">
        <v>0</v>
      </c>
      <c r="G444" s="4">
        <v>2</v>
      </c>
      <c r="H444" s="4">
        <v>0</v>
      </c>
      <c r="I444" s="4">
        <v>0</v>
      </c>
      <c r="J444" s="4">
        <v>1</v>
      </c>
      <c r="K444" s="4">
        <v>0</v>
      </c>
      <c r="L444" s="2" t="s">
        <v>80</v>
      </c>
    </row>
    <row r="445" spans="1:12" x14ac:dyDescent="0.2">
      <c r="A445" s="4">
        <v>8</v>
      </c>
      <c r="B445" s="4">
        <v>16</v>
      </c>
      <c r="C445" s="4">
        <v>23</v>
      </c>
      <c r="D445" s="4">
        <v>4</v>
      </c>
      <c r="E445" s="4">
        <v>0</v>
      </c>
      <c r="F445" s="4">
        <v>0</v>
      </c>
      <c r="G445" s="4">
        <v>0</v>
      </c>
      <c r="H445" s="4">
        <v>1</v>
      </c>
      <c r="I445" s="4">
        <v>0</v>
      </c>
      <c r="J445" s="4">
        <v>0</v>
      </c>
      <c r="K445" s="4">
        <v>0</v>
      </c>
      <c r="L445" s="2" t="s">
        <v>80</v>
      </c>
    </row>
    <row r="446" spans="1:12" x14ac:dyDescent="0.2">
      <c r="A446" s="4">
        <v>5.5</v>
      </c>
      <c r="B446" s="4">
        <v>12</v>
      </c>
      <c r="C446" s="4">
        <v>9</v>
      </c>
      <c r="D446" s="4">
        <v>4</v>
      </c>
      <c r="E446" s="4">
        <v>0</v>
      </c>
      <c r="F446" s="4">
        <v>1</v>
      </c>
      <c r="G446" s="4">
        <v>1</v>
      </c>
      <c r="H446" s="4">
        <v>0</v>
      </c>
      <c r="I446" s="4">
        <v>1</v>
      </c>
      <c r="J446" s="4">
        <v>0</v>
      </c>
      <c r="K446" s="4">
        <v>0</v>
      </c>
      <c r="L446" s="2" t="s">
        <v>80</v>
      </c>
    </row>
    <row r="447" spans="1:12" x14ac:dyDescent="0.2">
      <c r="A447" s="4">
        <v>4.05</v>
      </c>
      <c r="B447" s="4">
        <v>9</v>
      </c>
      <c r="C447" s="4">
        <v>7</v>
      </c>
      <c r="D447" s="4">
        <v>4</v>
      </c>
      <c r="E447" s="4">
        <v>1</v>
      </c>
      <c r="F447" s="4">
        <v>1</v>
      </c>
      <c r="G447" s="4">
        <v>1</v>
      </c>
      <c r="H447" s="4">
        <v>0</v>
      </c>
      <c r="I447" s="4">
        <v>1</v>
      </c>
      <c r="J447" s="4">
        <v>0</v>
      </c>
      <c r="K447" s="4">
        <v>0</v>
      </c>
      <c r="L447" s="2" t="s">
        <v>80</v>
      </c>
    </row>
    <row r="448" spans="1:12" x14ac:dyDescent="0.2">
      <c r="A448" s="4">
        <v>8.75</v>
      </c>
      <c r="B448" s="4">
        <v>12</v>
      </c>
      <c r="C448" s="4">
        <v>4</v>
      </c>
      <c r="D448" s="4">
        <v>4</v>
      </c>
      <c r="E448" s="4">
        <v>0</v>
      </c>
      <c r="F448" s="4">
        <v>1</v>
      </c>
      <c r="G448" s="4">
        <v>0</v>
      </c>
      <c r="H448" s="4">
        <v>0</v>
      </c>
      <c r="I448" s="4">
        <v>1</v>
      </c>
      <c r="J448" s="4">
        <v>0</v>
      </c>
      <c r="K448" s="4">
        <v>0</v>
      </c>
      <c r="L448" s="2" t="s">
        <v>80</v>
      </c>
    </row>
    <row r="449" spans="1:12" x14ac:dyDescent="0.2">
      <c r="A449" s="4">
        <v>2.17</v>
      </c>
      <c r="B449" s="4">
        <v>13</v>
      </c>
      <c r="C449" s="4">
        <v>1</v>
      </c>
      <c r="D449" s="4">
        <v>4</v>
      </c>
      <c r="E449" s="4">
        <v>1</v>
      </c>
      <c r="F449" s="4">
        <v>0</v>
      </c>
      <c r="G449" s="4">
        <v>1</v>
      </c>
      <c r="H449" s="4">
        <v>1</v>
      </c>
      <c r="I449" s="4">
        <v>0</v>
      </c>
      <c r="J449" s="4">
        <v>0</v>
      </c>
      <c r="K449" s="4">
        <v>0</v>
      </c>
      <c r="L449" s="2" t="s">
        <v>80</v>
      </c>
    </row>
    <row r="450" spans="1:12" x14ac:dyDescent="0.2">
      <c r="A450" s="4">
        <v>11.1</v>
      </c>
      <c r="B450" s="4">
        <v>15</v>
      </c>
      <c r="C450" s="4">
        <v>1</v>
      </c>
      <c r="D450" s="4">
        <v>4</v>
      </c>
      <c r="E450" s="4">
        <v>1</v>
      </c>
      <c r="F450" s="4">
        <v>0</v>
      </c>
      <c r="G450" s="4">
        <v>2</v>
      </c>
      <c r="H450" s="4">
        <v>0</v>
      </c>
      <c r="I450" s="4">
        <v>1</v>
      </c>
      <c r="J450" s="4">
        <v>0</v>
      </c>
      <c r="K450" s="4">
        <v>0</v>
      </c>
      <c r="L450" s="2" t="s">
        <v>80</v>
      </c>
    </row>
    <row r="451" spans="1:12" x14ac:dyDescent="0.2">
      <c r="A451" s="4">
        <v>1.96</v>
      </c>
      <c r="B451" s="4">
        <v>11</v>
      </c>
      <c r="C451" s="4">
        <v>38</v>
      </c>
      <c r="D451" s="4">
        <v>3</v>
      </c>
      <c r="E451" s="4">
        <v>1</v>
      </c>
      <c r="F451" s="4">
        <v>0</v>
      </c>
      <c r="G451" s="4">
        <v>0</v>
      </c>
      <c r="H451" s="4">
        <v>0</v>
      </c>
      <c r="I451" s="4">
        <v>1</v>
      </c>
      <c r="J451" s="4">
        <v>0</v>
      </c>
      <c r="K451" s="4">
        <v>0</v>
      </c>
      <c r="L451" s="2" t="s">
        <v>80</v>
      </c>
    </row>
    <row r="452" spans="1:12" x14ac:dyDescent="0.2">
      <c r="A452" s="4">
        <v>7</v>
      </c>
      <c r="B452" s="4">
        <v>16</v>
      </c>
      <c r="C452" s="4">
        <v>26</v>
      </c>
      <c r="D452" s="4">
        <v>3</v>
      </c>
      <c r="E452" s="4">
        <v>1</v>
      </c>
      <c r="F452" s="4">
        <v>1</v>
      </c>
      <c r="G452" s="4">
        <v>1</v>
      </c>
      <c r="H452" s="4">
        <v>0</v>
      </c>
      <c r="I452" s="4">
        <v>1</v>
      </c>
      <c r="J452" s="4">
        <v>0</v>
      </c>
      <c r="K452" s="4">
        <v>0</v>
      </c>
      <c r="L452" s="2" t="s">
        <v>80</v>
      </c>
    </row>
    <row r="453" spans="1:12" x14ac:dyDescent="0.2">
      <c r="A453" s="4">
        <v>4</v>
      </c>
      <c r="B453" s="4">
        <v>12</v>
      </c>
      <c r="C453" s="4">
        <v>22</v>
      </c>
      <c r="D453" s="4">
        <v>3</v>
      </c>
      <c r="E453" s="4">
        <v>0</v>
      </c>
      <c r="F453" s="4">
        <v>1</v>
      </c>
      <c r="G453" s="4">
        <v>3</v>
      </c>
      <c r="H453" s="4">
        <v>0</v>
      </c>
      <c r="I453" s="4">
        <v>1</v>
      </c>
      <c r="J453" s="4">
        <v>0</v>
      </c>
      <c r="K453" s="4">
        <v>0</v>
      </c>
      <c r="L453" s="2" t="s">
        <v>80</v>
      </c>
    </row>
    <row r="454" spans="1:12" x14ac:dyDescent="0.2">
      <c r="A454" s="4">
        <v>5.5</v>
      </c>
      <c r="B454" s="4">
        <v>12</v>
      </c>
      <c r="C454" s="4">
        <v>18</v>
      </c>
      <c r="D454" s="4">
        <v>3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1</v>
      </c>
      <c r="K454" s="4">
        <v>0</v>
      </c>
      <c r="L454" s="2" t="s">
        <v>80</v>
      </c>
    </row>
    <row r="455" spans="1:12" x14ac:dyDescent="0.2">
      <c r="A455" s="4">
        <v>3.91</v>
      </c>
      <c r="B455" s="4">
        <v>18</v>
      </c>
      <c r="C455" s="4">
        <v>17</v>
      </c>
      <c r="D455" s="4">
        <v>3</v>
      </c>
      <c r="E455" s="4">
        <v>0</v>
      </c>
      <c r="F455" s="4">
        <v>1</v>
      </c>
      <c r="G455" s="4">
        <v>2</v>
      </c>
      <c r="H455" s="4">
        <v>0</v>
      </c>
      <c r="I455" s="4">
        <v>1</v>
      </c>
      <c r="J455" s="4">
        <v>0</v>
      </c>
      <c r="K455" s="4">
        <v>0</v>
      </c>
      <c r="L455" s="2" t="s">
        <v>80</v>
      </c>
    </row>
    <row r="456" spans="1:12" x14ac:dyDescent="0.2">
      <c r="A456" s="4">
        <v>6.43</v>
      </c>
      <c r="B456" s="4">
        <v>16</v>
      </c>
      <c r="C456" s="4">
        <v>17</v>
      </c>
      <c r="D456" s="4">
        <v>3</v>
      </c>
      <c r="E456" s="4">
        <v>1</v>
      </c>
      <c r="F456" s="4">
        <v>1</v>
      </c>
      <c r="G456" s="4">
        <v>2</v>
      </c>
      <c r="H456" s="4">
        <v>0</v>
      </c>
      <c r="I456" s="4">
        <v>1</v>
      </c>
      <c r="J456" s="4">
        <v>0</v>
      </c>
      <c r="K456" s="4">
        <v>0</v>
      </c>
      <c r="L456" s="2" t="s">
        <v>80</v>
      </c>
    </row>
    <row r="457" spans="1:12" x14ac:dyDescent="0.2">
      <c r="A457" s="4">
        <v>8</v>
      </c>
      <c r="B457" s="4">
        <v>12</v>
      </c>
      <c r="C457" s="4">
        <v>12</v>
      </c>
      <c r="D457" s="4">
        <v>3</v>
      </c>
      <c r="E457" s="4">
        <v>1</v>
      </c>
      <c r="F457" s="4">
        <v>0</v>
      </c>
      <c r="G457" s="4">
        <v>1</v>
      </c>
      <c r="H457" s="4">
        <v>0</v>
      </c>
      <c r="I457" s="4">
        <v>1</v>
      </c>
      <c r="J457" s="4">
        <v>0</v>
      </c>
      <c r="K457" s="4">
        <v>0</v>
      </c>
      <c r="L457" s="2" t="s">
        <v>80</v>
      </c>
    </row>
    <row r="458" spans="1:12" x14ac:dyDescent="0.2">
      <c r="A458" s="4">
        <v>6.85</v>
      </c>
      <c r="B458" s="4">
        <v>15</v>
      </c>
      <c r="C458" s="4">
        <v>11</v>
      </c>
      <c r="D458" s="4">
        <v>3</v>
      </c>
      <c r="E458" s="4">
        <v>1</v>
      </c>
      <c r="F458" s="4">
        <v>1</v>
      </c>
      <c r="G458" s="4">
        <v>2</v>
      </c>
      <c r="H458" s="4">
        <v>0</v>
      </c>
      <c r="I458" s="4">
        <v>0</v>
      </c>
      <c r="J458" s="4">
        <v>0</v>
      </c>
      <c r="K458" s="4">
        <v>0</v>
      </c>
      <c r="L458" s="2" t="s">
        <v>80</v>
      </c>
    </row>
    <row r="459" spans="1:12" x14ac:dyDescent="0.2">
      <c r="A459" s="4">
        <v>8.75</v>
      </c>
      <c r="B459" s="4">
        <v>14</v>
      </c>
      <c r="C459" s="4">
        <v>9</v>
      </c>
      <c r="D459" s="4">
        <v>3</v>
      </c>
      <c r="E459" s="4">
        <v>0</v>
      </c>
      <c r="F459" s="4">
        <v>1</v>
      </c>
      <c r="G459" s="4">
        <v>1</v>
      </c>
      <c r="H459" s="4">
        <v>0</v>
      </c>
      <c r="I459" s="4">
        <v>0</v>
      </c>
      <c r="J459" s="4">
        <v>0</v>
      </c>
      <c r="K459" s="4">
        <v>0</v>
      </c>
      <c r="L459" s="2" t="s">
        <v>80</v>
      </c>
    </row>
    <row r="460" spans="1:12" x14ac:dyDescent="0.2">
      <c r="A460" s="4">
        <v>6.18</v>
      </c>
      <c r="B460" s="4">
        <v>14</v>
      </c>
      <c r="C460" s="4">
        <v>9</v>
      </c>
      <c r="D460" s="4">
        <v>3</v>
      </c>
      <c r="E460" s="4">
        <v>1</v>
      </c>
      <c r="F460" s="4">
        <v>1</v>
      </c>
      <c r="G460" s="4">
        <v>0</v>
      </c>
      <c r="H460" s="4">
        <v>1</v>
      </c>
      <c r="I460" s="4">
        <v>0</v>
      </c>
      <c r="J460" s="4">
        <v>0</v>
      </c>
      <c r="K460" s="4">
        <v>0</v>
      </c>
      <c r="L460" s="2" t="s">
        <v>80</v>
      </c>
    </row>
    <row r="461" spans="1:12" x14ac:dyDescent="0.2">
      <c r="A461" s="4">
        <v>3.75</v>
      </c>
      <c r="B461" s="4">
        <v>12</v>
      </c>
      <c r="C461" s="4">
        <v>39</v>
      </c>
      <c r="D461" s="4">
        <v>2</v>
      </c>
      <c r="E461" s="4">
        <v>1</v>
      </c>
      <c r="F461" s="4">
        <v>1</v>
      </c>
      <c r="G461" s="4">
        <v>0</v>
      </c>
      <c r="H461" s="4">
        <v>1</v>
      </c>
      <c r="I461" s="4">
        <v>0</v>
      </c>
      <c r="J461" s="4">
        <v>0</v>
      </c>
      <c r="K461" s="4">
        <v>0</v>
      </c>
      <c r="L461" s="2" t="s">
        <v>80</v>
      </c>
    </row>
    <row r="462" spans="1:12" x14ac:dyDescent="0.2">
      <c r="A462" s="4">
        <v>2.93</v>
      </c>
      <c r="B462" s="4">
        <v>12</v>
      </c>
      <c r="C462" s="4">
        <v>36</v>
      </c>
      <c r="D462" s="4">
        <v>2</v>
      </c>
      <c r="E462" s="4">
        <v>1</v>
      </c>
      <c r="F462" s="4">
        <v>1</v>
      </c>
      <c r="G462" s="4">
        <v>1</v>
      </c>
      <c r="H462" s="4">
        <v>0</v>
      </c>
      <c r="I462" s="4">
        <v>0</v>
      </c>
      <c r="J462" s="4">
        <v>1</v>
      </c>
      <c r="K462" s="4">
        <v>0</v>
      </c>
      <c r="L462" s="2" t="s">
        <v>80</v>
      </c>
    </row>
    <row r="463" spans="1:12" x14ac:dyDescent="0.2">
      <c r="A463" s="4">
        <v>3</v>
      </c>
      <c r="B463" s="4">
        <v>8</v>
      </c>
      <c r="C463" s="4">
        <v>33</v>
      </c>
      <c r="D463" s="4">
        <v>2</v>
      </c>
      <c r="E463" s="4">
        <v>0</v>
      </c>
      <c r="F463" s="4">
        <v>1</v>
      </c>
      <c r="G463" s="4">
        <v>0</v>
      </c>
      <c r="H463" s="4">
        <v>0</v>
      </c>
      <c r="I463" s="4">
        <v>1</v>
      </c>
      <c r="J463" s="4">
        <v>0</v>
      </c>
      <c r="K463" s="4">
        <v>0</v>
      </c>
      <c r="L463" s="2" t="s">
        <v>80</v>
      </c>
    </row>
    <row r="464" spans="1:12" x14ac:dyDescent="0.2">
      <c r="A464" s="4">
        <v>10</v>
      </c>
      <c r="B464" s="4">
        <v>12</v>
      </c>
      <c r="C464" s="4">
        <v>31</v>
      </c>
      <c r="D464" s="4">
        <v>2</v>
      </c>
      <c r="E464" s="4">
        <v>0</v>
      </c>
      <c r="F464" s="4">
        <v>1</v>
      </c>
      <c r="G464" s="4">
        <v>0</v>
      </c>
      <c r="H464" s="4">
        <v>0</v>
      </c>
      <c r="I464" s="4">
        <v>1</v>
      </c>
      <c r="J464" s="4">
        <v>0</v>
      </c>
      <c r="K464" s="4">
        <v>0</v>
      </c>
      <c r="L464" s="2" t="s">
        <v>80</v>
      </c>
    </row>
    <row r="465" spans="1:12" x14ac:dyDescent="0.2">
      <c r="A465" s="4">
        <v>6.25</v>
      </c>
      <c r="B465" s="4">
        <v>16</v>
      </c>
      <c r="C465" s="4">
        <v>24</v>
      </c>
      <c r="D465" s="4">
        <v>2</v>
      </c>
      <c r="E465" s="4">
        <v>1</v>
      </c>
      <c r="F465" s="4">
        <v>1</v>
      </c>
      <c r="G465" s="4">
        <v>2</v>
      </c>
      <c r="H465" s="4">
        <v>0</v>
      </c>
      <c r="I465" s="4">
        <v>0</v>
      </c>
      <c r="J465" s="4">
        <v>1</v>
      </c>
      <c r="K465" s="4">
        <v>0</v>
      </c>
      <c r="L465" s="2" t="s">
        <v>80</v>
      </c>
    </row>
    <row r="466" spans="1:12" x14ac:dyDescent="0.2">
      <c r="A466" s="4">
        <v>3.28</v>
      </c>
      <c r="B466" s="4">
        <v>12</v>
      </c>
      <c r="C466" s="4">
        <v>17</v>
      </c>
      <c r="D466" s="4">
        <v>2</v>
      </c>
      <c r="E466" s="4">
        <v>1</v>
      </c>
      <c r="F466" s="4">
        <v>0</v>
      </c>
      <c r="G466" s="4">
        <v>0</v>
      </c>
      <c r="H466" s="4">
        <v>0</v>
      </c>
      <c r="I466" s="4">
        <v>1</v>
      </c>
      <c r="J466" s="4">
        <v>0</v>
      </c>
      <c r="K466" s="4">
        <v>0</v>
      </c>
      <c r="L466" s="2" t="s">
        <v>80</v>
      </c>
    </row>
    <row r="467" spans="1:12" x14ac:dyDescent="0.2">
      <c r="A467" s="4">
        <v>9.0500000000000007</v>
      </c>
      <c r="B467" s="4">
        <v>12</v>
      </c>
      <c r="C467" s="4">
        <v>10</v>
      </c>
      <c r="D467" s="4">
        <v>2</v>
      </c>
      <c r="E467" s="4">
        <v>0</v>
      </c>
      <c r="F467" s="4">
        <v>1</v>
      </c>
      <c r="G467" s="4">
        <v>3</v>
      </c>
      <c r="H467" s="4">
        <v>1</v>
      </c>
      <c r="I467" s="4">
        <v>0</v>
      </c>
      <c r="J467" s="4">
        <v>0</v>
      </c>
      <c r="K467" s="4">
        <v>1</v>
      </c>
      <c r="L467" s="2" t="s">
        <v>80</v>
      </c>
    </row>
    <row r="468" spans="1:12" x14ac:dyDescent="0.2">
      <c r="A468" s="4">
        <v>12.22</v>
      </c>
      <c r="B468" s="4">
        <v>16</v>
      </c>
      <c r="C468" s="4">
        <v>10</v>
      </c>
      <c r="D468" s="4">
        <v>2</v>
      </c>
      <c r="E468" s="4">
        <v>0</v>
      </c>
      <c r="F468" s="4">
        <v>0</v>
      </c>
      <c r="G468" s="4">
        <v>0</v>
      </c>
      <c r="H468" s="4">
        <v>0</v>
      </c>
      <c r="I468" s="4">
        <v>1</v>
      </c>
      <c r="J468" s="4">
        <v>0</v>
      </c>
      <c r="K468" s="4">
        <v>0</v>
      </c>
      <c r="L468" s="2" t="s">
        <v>80</v>
      </c>
    </row>
    <row r="469" spans="1:12" x14ac:dyDescent="0.2">
      <c r="A469" s="4">
        <v>5.71</v>
      </c>
      <c r="B469" s="4">
        <v>13</v>
      </c>
      <c r="C469" s="4">
        <v>10</v>
      </c>
      <c r="D469" s="4">
        <v>2</v>
      </c>
      <c r="E469" s="4">
        <v>1</v>
      </c>
      <c r="F469" s="4">
        <v>1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2" t="s">
        <v>80</v>
      </c>
    </row>
    <row r="470" spans="1:12" x14ac:dyDescent="0.2">
      <c r="A470" s="4">
        <v>3.65</v>
      </c>
      <c r="B470" s="4">
        <v>14</v>
      </c>
      <c r="C470" s="4">
        <v>9</v>
      </c>
      <c r="D470" s="4">
        <v>2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1</v>
      </c>
      <c r="K470" s="4">
        <v>0</v>
      </c>
      <c r="L470" s="2" t="s">
        <v>80</v>
      </c>
    </row>
    <row r="471" spans="1:12" x14ac:dyDescent="0.2">
      <c r="A471" s="4">
        <v>3.64</v>
      </c>
      <c r="B471" s="4">
        <v>12</v>
      </c>
      <c r="C471" s="4">
        <v>7</v>
      </c>
      <c r="D471" s="4">
        <v>2</v>
      </c>
      <c r="E471" s="4">
        <v>0</v>
      </c>
      <c r="F471" s="4">
        <v>0</v>
      </c>
      <c r="G471" s="4">
        <v>0</v>
      </c>
      <c r="H471" s="4">
        <v>0</v>
      </c>
      <c r="I471" s="4">
        <v>1</v>
      </c>
      <c r="J471" s="4">
        <v>0</v>
      </c>
      <c r="K471" s="4">
        <v>0</v>
      </c>
      <c r="L471" s="2" t="s">
        <v>80</v>
      </c>
    </row>
    <row r="472" spans="1:12" x14ac:dyDescent="0.2">
      <c r="A472" s="4">
        <v>4</v>
      </c>
      <c r="B472" s="4">
        <v>12</v>
      </c>
      <c r="C472" s="4">
        <v>5</v>
      </c>
      <c r="D472" s="4">
        <v>2</v>
      </c>
      <c r="E472" s="4">
        <v>0</v>
      </c>
      <c r="F472" s="4">
        <v>1</v>
      </c>
      <c r="G472" s="4">
        <v>0</v>
      </c>
      <c r="H472" s="4">
        <v>0</v>
      </c>
      <c r="I472" s="4">
        <v>1</v>
      </c>
      <c r="J472" s="4">
        <v>0</v>
      </c>
      <c r="K472" s="4">
        <v>1</v>
      </c>
      <c r="L472" s="2" t="s">
        <v>80</v>
      </c>
    </row>
    <row r="473" spans="1:12" x14ac:dyDescent="0.2">
      <c r="A473" s="4">
        <v>2</v>
      </c>
      <c r="B473" s="4">
        <v>12</v>
      </c>
      <c r="C473" s="4">
        <v>3</v>
      </c>
      <c r="D473" s="4">
        <v>2</v>
      </c>
      <c r="E473" s="4">
        <v>1</v>
      </c>
      <c r="F473" s="4">
        <v>0</v>
      </c>
      <c r="G473" s="4">
        <v>4</v>
      </c>
      <c r="H473" s="4">
        <v>0</v>
      </c>
      <c r="I473" s="4">
        <v>0</v>
      </c>
      <c r="J473" s="4">
        <v>0</v>
      </c>
      <c r="K473" s="4">
        <v>0</v>
      </c>
      <c r="L473" s="2" t="s">
        <v>80</v>
      </c>
    </row>
    <row r="474" spans="1:12" x14ac:dyDescent="0.2">
      <c r="A474" s="4">
        <v>4.0999999999999996</v>
      </c>
      <c r="B474" s="4">
        <v>12</v>
      </c>
      <c r="C474" s="4">
        <v>3</v>
      </c>
      <c r="D474" s="4">
        <v>2</v>
      </c>
      <c r="E474" s="4">
        <v>1</v>
      </c>
      <c r="F474" s="4">
        <v>0</v>
      </c>
      <c r="G474" s="4">
        <v>0</v>
      </c>
      <c r="H474" s="4">
        <v>1</v>
      </c>
      <c r="I474" s="4">
        <v>0</v>
      </c>
      <c r="J474" s="4">
        <v>0</v>
      </c>
      <c r="K474" s="4">
        <v>0</v>
      </c>
      <c r="L474" s="2" t="s">
        <v>80</v>
      </c>
    </row>
    <row r="475" spans="1:12" x14ac:dyDescent="0.2">
      <c r="A475" s="4">
        <v>3</v>
      </c>
      <c r="B475" s="4">
        <v>14</v>
      </c>
      <c r="C475" s="4">
        <v>3</v>
      </c>
      <c r="D475" s="4">
        <v>2</v>
      </c>
      <c r="E475" s="4">
        <v>1</v>
      </c>
      <c r="F475" s="4">
        <v>0</v>
      </c>
      <c r="G475" s="4">
        <v>0</v>
      </c>
      <c r="H475" s="4">
        <v>1</v>
      </c>
      <c r="I475" s="4">
        <v>0</v>
      </c>
      <c r="J475" s="4">
        <v>0</v>
      </c>
      <c r="K475" s="4">
        <v>0</v>
      </c>
      <c r="L475" s="2" t="s">
        <v>80</v>
      </c>
    </row>
    <row r="476" spans="1:12" x14ac:dyDescent="0.2">
      <c r="A476" s="4">
        <v>9.3000000000000007</v>
      </c>
      <c r="B476" s="4">
        <v>15</v>
      </c>
      <c r="C476" s="4">
        <v>2</v>
      </c>
      <c r="D476" s="4">
        <v>2</v>
      </c>
      <c r="E476" s="4">
        <v>0</v>
      </c>
      <c r="F476" s="4">
        <v>1</v>
      </c>
      <c r="G476" s="4">
        <v>0</v>
      </c>
      <c r="H476" s="4">
        <v>0</v>
      </c>
      <c r="I476" s="4">
        <v>1</v>
      </c>
      <c r="J476" s="4">
        <v>0</v>
      </c>
      <c r="K476" s="4">
        <v>0</v>
      </c>
      <c r="L476" s="2" t="s">
        <v>80</v>
      </c>
    </row>
    <row r="477" spans="1:12" x14ac:dyDescent="0.2">
      <c r="A477" s="4">
        <v>2.91</v>
      </c>
      <c r="B477" s="4">
        <v>11</v>
      </c>
      <c r="C477" s="4">
        <v>2</v>
      </c>
      <c r="D477" s="4">
        <v>2</v>
      </c>
      <c r="E477" s="4">
        <v>0</v>
      </c>
      <c r="F477" s="4">
        <v>0</v>
      </c>
      <c r="G477" s="4">
        <v>2</v>
      </c>
      <c r="H477" s="4">
        <v>1</v>
      </c>
      <c r="I477" s="4">
        <v>0</v>
      </c>
      <c r="J477" s="4">
        <v>0</v>
      </c>
      <c r="K477" s="4">
        <v>0</v>
      </c>
      <c r="L477" s="2" t="s">
        <v>80</v>
      </c>
    </row>
    <row r="478" spans="1:12" x14ac:dyDescent="0.2">
      <c r="A478" s="4">
        <v>3.1</v>
      </c>
      <c r="B478" s="4">
        <v>12</v>
      </c>
      <c r="C478" s="4">
        <v>2</v>
      </c>
      <c r="D478" s="4">
        <v>2</v>
      </c>
      <c r="E478" s="4">
        <v>1</v>
      </c>
      <c r="F478" s="4">
        <v>0</v>
      </c>
      <c r="G478" s="4">
        <v>1</v>
      </c>
      <c r="H478" s="4">
        <v>0</v>
      </c>
      <c r="I478" s="4">
        <v>1</v>
      </c>
      <c r="J478" s="4">
        <v>0</v>
      </c>
      <c r="K478" s="4">
        <v>0</v>
      </c>
      <c r="L478" s="2" t="s">
        <v>80</v>
      </c>
    </row>
    <row r="479" spans="1:12" x14ac:dyDescent="0.2">
      <c r="A479" s="4">
        <v>2.75</v>
      </c>
      <c r="B479" s="4">
        <v>13</v>
      </c>
      <c r="C479" s="4">
        <v>1</v>
      </c>
      <c r="D479" s="4">
        <v>2</v>
      </c>
      <c r="E479" s="4">
        <v>1</v>
      </c>
      <c r="F479" s="4">
        <v>0</v>
      </c>
      <c r="G479" s="4">
        <v>1</v>
      </c>
      <c r="H479" s="4">
        <v>1</v>
      </c>
      <c r="I479" s="4">
        <v>0</v>
      </c>
      <c r="J479" s="4">
        <v>0</v>
      </c>
      <c r="K479" s="4">
        <v>0</v>
      </c>
      <c r="L479" s="2" t="s">
        <v>80</v>
      </c>
    </row>
    <row r="480" spans="1:12" x14ac:dyDescent="0.2">
      <c r="A480" s="4">
        <v>4.75</v>
      </c>
      <c r="B480" s="4">
        <v>13</v>
      </c>
      <c r="C480" s="9">
        <v>43.93</v>
      </c>
      <c r="D480" s="4">
        <v>1</v>
      </c>
      <c r="E480" s="4">
        <v>0</v>
      </c>
      <c r="F480" s="4">
        <v>1</v>
      </c>
      <c r="G480" s="4">
        <v>0</v>
      </c>
      <c r="H480" s="4">
        <v>0</v>
      </c>
      <c r="I480" s="4">
        <v>0</v>
      </c>
      <c r="J480" s="4">
        <v>1</v>
      </c>
      <c r="K480" s="4">
        <v>0</v>
      </c>
      <c r="L480" s="2" t="s">
        <v>80</v>
      </c>
    </row>
    <row r="481" spans="1:12" x14ac:dyDescent="0.2">
      <c r="A481" s="4">
        <v>2.9</v>
      </c>
      <c r="B481" s="4">
        <v>12</v>
      </c>
      <c r="C481" s="4">
        <v>26</v>
      </c>
      <c r="D481" s="4">
        <v>1</v>
      </c>
      <c r="E481" s="4">
        <v>1</v>
      </c>
      <c r="F481" s="4">
        <v>0</v>
      </c>
      <c r="G481" s="4">
        <v>4</v>
      </c>
      <c r="H481" s="4">
        <v>0</v>
      </c>
      <c r="I481" s="4">
        <v>1</v>
      </c>
      <c r="J481" s="4">
        <v>0</v>
      </c>
      <c r="K481" s="4">
        <v>0</v>
      </c>
      <c r="L481" s="2" t="s">
        <v>80</v>
      </c>
    </row>
    <row r="482" spans="1:12" x14ac:dyDescent="0.2">
      <c r="A482" s="4">
        <v>3.15</v>
      </c>
      <c r="B482" s="4">
        <v>12</v>
      </c>
      <c r="C482" s="4">
        <v>26</v>
      </c>
      <c r="D482" s="4">
        <v>1</v>
      </c>
      <c r="E482" s="4">
        <v>0</v>
      </c>
      <c r="F482" s="4">
        <v>1</v>
      </c>
      <c r="G482" s="4">
        <v>0</v>
      </c>
      <c r="H482" s="4">
        <v>1</v>
      </c>
      <c r="I482" s="4">
        <v>0</v>
      </c>
      <c r="J482" s="4">
        <v>0</v>
      </c>
      <c r="K482" s="4">
        <v>0</v>
      </c>
      <c r="L482" s="2" t="s">
        <v>80</v>
      </c>
    </row>
    <row r="483" spans="1:12" x14ac:dyDescent="0.2">
      <c r="A483" s="4">
        <v>8.75</v>
      </c>
      <c r="B483" s="4">
        <v>12</v>
      </c>
      <c r="C483" s="4">
        <v>24</v>
      </c>
      <c r="D483" s="4">
        <v>1</v>
      </c>
      <c r="E483" s="4">
        <v>0</v>
      </c>
      <c r="F483" s="4">
        <v>0</v>
      </c>
      <c r="G483" s="4">
        <v>0</v>
      </c>
      <c r="H483" s="4">
        <v>1</v>
      </c>
      <c r="I483" s="4">
        <v>0</v>
      </c>
      <c r="J483" s="4">
        <v>0</v>
      </c>
      <c r="K483" s="4">
        <v>0</v>
      </c>
      <c r="L483" s="2" t="s">
        <v>80</v>
      </c>
    </row>
    <row r="484" spans="1:12" x14ac:dyDescent="0.2">
      <c r="A484" s="4">
        <v>3</v>
      </c>
      <c r="B484" s="4">
        <v>12</v>
      </c>
      <c r="C484" s="4">
        <v>11</v>
      </c>
      <c r="D484" s="4">
        <v>1</v>
      </c>
      <c r="E484" s="4">
        <v>1</v>
      </c>
      <c r="F484" s="4">
        <v>1</v>
      </c>
      <c r="G484" s="4">
        <v>2</v>
      </c>
      <c r="H484" s="4">
        <v>0</v>
      </c>
      <c r="I484" s="4">
        <v>0</v>
      </c>
      <c r="J484" s="4">
        <v>0</v>
      </c>
      <c r="K484" s="4">
        <v>0</v>
      </c>
      <c r="L484" s="2" t="s">
        <v>80</v>
      </c>
    </row>
    <row r="485" spans="1:12" x14ac:dyDescent="0.2">
      <c r="A485" s="4">
        <v>4</v>
      </c>
      <c r="B485" s="4">
        <v>12</v>
      </c>
      <c r="C485" s="4">
        <v>10</v>
      </c>
      <c r="D485" s="4">
        <v>1</v>
      </c>
      <c r="E485" s="4">
        <v>1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2" t="s">
        <v>80</v>
      </c>
    </row>
    <row r="486" spans="1:12" x14ac:dyDescent="0.2">
      <c r="A486" s="4">
        <v>3.81</v>
      </c>
      <c r="B486" s="4">
        <v>12</v>
      </c>
      <c r="C486" s="4">
        <v>8</v>
      </c>
      <c r="D486" s="4">
        <v>1</v>
      </c>
      <c r="E486" s="4">
        <v>1</v>
      </c>
      <c r="F486" s="4">
        <v>1</v>
      </c>
      <c r="G486" s="4">
        <v>2</v>
      </c>
      <c r="H486" s="4">
        <v>1</v>
      </c>
      <c r="I486" s="4">
        <v>0</v>
      </c>
      <c r="J486" s="4">
        <v>0</v>
      </c>
      <c r="K486" s="4">
        <v>0</v>
      </c>
      <c r="L486" s="2" t="s">
        <v>80</v>
      </c>
    </row>
    <row r="487" spans="1:12" x14ac:dyDescent="0.2">
      <c r="A487" s="4">
        <v>3.8</v>
      </c>
      <c r="B487" s="4">
        <v>15</v>
      </c>
      <c r="C487" s="4">
        <v>6</v>
      </c>
      <c r="D487" s="4">
        <v>1</v>
      </c>
      <c r="E487" s="4">
        <v>0</v>
      </c>
      <c r="F487" s="4">
        <v>1</v>
      </c>
      <c r="G487" s="4">
        <v>1</v>
      </c>
      <c r="H487" s="4">
        <v>0</v>
      </c>
      <c r="I487" s="4">
        <v>1</v>
      </c>
      <c r="J487" s="4">
        <v>0</v>
      </c>
      <c r="K487" s="4">
        <v>0</v>
      </c>
      <c r="L487" s="2" t="s">
        <v>80</v>
      </c>
    </row>
    <row r="488" spans="1:12" x14ac:dyDescent="0.2">
      <c r="A488" s="4">
        <v>11.56</v>
      </c>
      <c r="B488" s="4">
        <v>16</v>
      </c>
      <c r="C488" s="4">
        <v>5</v>
      </c>
      <c r="D488" s="4">
        <v>1</v>
      </c>
      <c r="E488" s="4">
        <v>0</v>
      </c>
      <c r="F488" s="4">
        <v>1</v>
      </c>
      <c r="G488" s="4">
        <v>0</v>
      </c>
      <c r="H488" s="4">
        <v>0</v>
      </c>
      <c r="I488" s="4">
        <v>0</v>
      </c>
      <c r="J488" s="4">
        <v>1</v>
      </c>
      <c r="K488" s="4">
        <v>0</v>
      </c>
      <c r="L488" s="2" t="s">
        <v>80</v>
      </c>
    </row>
    <row r="489" spans="1:12" x14ac:dyDescent="0.2">
      <c r="A489" s="4">
        <v>2.95</v>
      </c>
      <c r="B489" s="4">
        <v>12</v>
      </c>
      <c r="C489" s="4">
        <v>3</v>
      </c>
      <c r="D489" s="4">
        <v>1</v>
      </c>
      <c r="E489" s="4">
        <v>0</v>
      </c>
      <c r="F489" s="4">
        <v>0</v>
      </c>
      <c r="G489" s="4">
        <v>1</v>
      </c>
      <c r="H489" s="4">
        <v>1</v>
      </c>
      <c r="I489" s="4">
        <v>0</v>
      </c>
      <c r="J489" s="4">
        <v>0</v>
      </c>
      <c r="K489" s="4">
        <v>0</v>
      </c>
      <c r="L489" s="2" t="s">
        <v>80</v>
      </c>
    </row>
    <row r="490" spans="1:12" x14ac:dyDescent="0.2">
      <c r="A490" s="4">
        <v>3.35</v>
      </c>
      <c r="B490" s="4">
        <v>15</v>
      </c>
      <c r="C490" s="4">
        <v>3</v>
      </c>
      <c r="D490" s="4">
        <v>1</v>
      </c>
      <c r="E490" s="4">
        <v>1</v>
      </c>
      <c r="F490" s="4">
        <v>1</v>
      </c>
      <c r="G490" s="4">
        <v>2</v>
      </c>
      <c r="H490" s="4">
        <v>0</v>
      </c>
      <c r="I490" s="4">
        <v>1</v>
      </c>
      <c r="J490" s="4">
        <v>0</v>
      </c>
      <c r="K490" s="4">
        <v>0</v>
      </c>
      <c r="L490" s="2" t="s">
        <v>80</v>
      </c>
    </row>
    <row r="491" spans="1:12" x14ac:dyDescent="0.2">
      <c r="A491" s="4">
        <v>4.6500000000000004</v>
      </c>
      <c r="B491" s="4">
        <v>16</v>
      </c>
      <c r="C491" s="4">
        <v>3</v>
      </c>
      <c r="D491" s="4">
        <v>1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2" t="s">
        <v>80</v>
      </c>
    </row>
    <row r="492" spans="1:12" x14ac:dyDescent="0.2">
      <c r="A492" s="4">
        <v>3.08</v>
      </c>
      <c r="B492" s="4">
        <v>12</v>
      </c>
      <c r="C492" s="4">
        <v>3</v>
      </c>
      <c r="D492" s="4">
        <v>1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2" t="s">
        <v>80</v>
      </c>
    </row>
    <row r="493" spans="1:12" x14ac:dyDescent="0.2">
      <c r="A493" s="4">
        <v>1.75</v>
      </c>
      <c r="B493" s="4">
        <v>11</v>
      </c>
      <c r="C493" s="4">
        <v>2</v>
      </c>
      <c r="D493" s="4">
        <v>1</v>
      </c>
      <c r="E493" s="4">
        <v>0</v>
      </c>
      <c r="F493" s="4">
        <v>0</v>
      </c>
      <c r="G493" s="4">
        <v>2</v>
      </c>
      <c r="H493" s="4">
        <v>0</v>
      </c>
      <c r="I493" s="4">
        <v>0</v>
      </c>
      <c r="J493" s="4">
        <v>1</v>
      </c>
      <c r="K493" s="4">
        <v>0</v>
      </c>
      <c r="L493" s="2" t="s">
        <v>80</v>
      </c>
    </row>
    <row r="494" spans="1:12" x14ac:dyDescent="0.2">
      <c r="A494" s="4">
        <v>6.25</v>
      </c>
      <c r="B494" s="10">
        <v>12</v>
      </c>
      <c r="C494" s="4">
        <v>2</v>
      </c>
      <c r="D494" s="4">
        <v>1</v>
      </c>
      <c r="E494" s="4">
        <v>1</v>
      </c>
      <c r="F494" s="4">
        <v>0</v>
      </c>
      <c r="G494" s="4">
        <v>0</v>
      </c>
      <c r="H494" s="4">
        <v>1</v>
      </c>
      <c r="I494" s="4">
        <v>0</v>
      </c>
      <c r="J494" s="4">
        <v>0</v>
      </c>
      <c r="K494" s="4">
        <v>0</v>
      </c>
      <c r="L494" s="2" t="s">
        <v>80</v>
      </c>
    </row>
    <row r="495" spans="1:12" x14ac:dyDescent="0.2">
      <c r="A495" s="4">
        <v>5.58</v>
      </c>
      <c r="B495" s="4">
        <v>16</v>
      </c>
      <c r="C495" s="4">
        <v>1</v>
      </c>
      <c r="D495" s="4">
        <v>1</v>
      </c>
      <c r="E495" s="4">
        <v>0</v>
      </c>
      <c r="F495" s="4">
        <v>1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2" t="s">
        <v>80</v>
      </c>
    </row>
    <row r="496" spans="1:12" x14ac:dyDescent="0.2">
      <c r="A496" s="4">
        <v>2.92</v>
      </c>
      <c r="B496" s="4">
        <v>9</v>
      </c>
      <c r="C496" s="9">
        <v>43.93</v>
      </c>
      <c r="D496" s="4">
        <v>0</v>
      </c>
      <c r="E496" s="4">
        <v>1</v>
      </c>
      <c r="F496" s="4">
        <v>0</v>
      </c>
      <c r="G496" s="4">
        <v>0</v>
      </c>
      <c r="H496" s="4">
        <v>0</v>
      </c>
      <c r="I496" s="4">
        <v>1</v>
      </c>
      <c r="J496" s="4">
        <v>0</v>
      </c>
      <c r="K496" s="4">
        <v>0</v>
      </c>
      <c r="L496" s="2" t="s">
        <v>80</v>
      </c>
    </row>
    <row r="497" spans="1:12" x14ac:dyDescent="0.2">
      <c r="A497" s="4">
        <v>4.5</v>
      </c>
      <c r="B497" s="4">
        <v>12</v>
      </c>
      <c r="C497" s="4">
        <v>35</v>
      </c>
      <c r="D497" s="4">
        <v>0</v>
      </c>
      <c r="E497" s="4">
        <v>1</v>
      </c>
      <c r="F497" s="4">
        <v>1</v>
      </c>
      <c r="G497" s="4">
        <v>1</v>
      </c>
      <c r="H497" s="4">
        <v>0</v>
      </c>
      <c r="I497" s="4">
        <v>1</v>
      </c>
      <c r="J497" s="4">
        <v>0</v>
      </c>
      <c r="K497" s="4">
        <v>0</v>
      </c>
      <c r="L497" s="2" t="s">
        <v>80</v>
      </c>
    </row>
    <row r="498" spans="1:12" x14ac:dyDescent="0.2">
      <c r="A498" s="4">
        <v>3.55</v>
      </c>
      <c r="B498" s="4">
        <v>12</v>
      </c>
      <c r="C498" s="4">
        <v>21</v>
      </c>
      <c r="D498" s="4">
        <v>0</v>
      </c>
      <c r="E498" s="4">
        <v>1</v>
      </c>
      <c r="F498" s="4">
        <v>1</v>
      </c>
      <c r="G498" s="4">
        <v>1</v>
      </c>
      <c r="H498" s="4">
        <v>0</v>
      </c>
      <c r="I498" s="4">
        <v>1</v>
      </c>
      <c r="J498" s="4">
        <v>0</v>
      </c>
      <c r="K498" s="4">
        <v>0</v>
      </c>
      <c r="L498" s="2" t="s">
        <v>80</v>
      </c>
    </row>
    <row r="499" spans="1:12" x14ac:dyDescent="0.2">
      <c r="A499" s="4">
        <v>5.05</v>
      </c>
      <c r="B499" s="4">
        <v>12</v>
      </c>
      <c r="C499" s="4">
        <v>19</v>
      </c>
      <c r="D499" s="4">
        <v>0</v>
      </c>
      <c r="E499" s="4">
        <v>1</v>
      </c>
      <c r="F499" s="4">
        <v>1</v>
      </c>
      <c r="G499" s="4">
        <v>3</v>
      </c>
      <c r="H499" s="4">
        <v>0</v>
      </c>
      <c r="I499" s="4">
        <v>1</v>
      </c>
      <c r="J499" s="4">
        <v>0</v>
      </c>
      <c r="K499" s="4">
        <v>0</v>
      </c>
      <c r="L499" s="2" t="s">
        <v>80</v>
      </c>
    </row>
    <row r="500" spans="1:12" x14ac:dyDescent="0.2">
      <c r="A500" s="4">
        <v>1.63</v>
      </c>
      <c r="B500" s="4">
        <v>12</v>
      </c>
      <c r="C500" s="4">
        <v>18</v>
      </c>
      <c r="D500" s="4">
        <v>0</v>
      </c>
      <c r="E500" s="10">
        <v>2</v>
      </c>
      <c r="F500" s="4">
        <v>0</v>
      </c>
      <c r="G500" s="4">
        <v>2</v>
      </c>
      <c r="H500" s="4">
        <v>0</v>
      </c>
      <c r="I500" s="4">
        <v>0</v>
      </c>
      <c r="J500" s="4">
        <v>0</v>
      </c>
      <c r="K500" s="4">
        <v>0</v>
      </c>
      <c r="L500" s="2" t="s">
        <v>80</v>
      </c>
    </row>
    <row r="501" spans="1:12" x14ac:dyDescent="0.2">
      <c r="A501" s="4">
        <v>5</v>
      </c>
      <c r="B501" s="10">
        <v>12</v>
      </c>
      <c r="C501" s="4">
        <v>18</v>
      </c>
      <c r="D501" s="4">
        <v>0</v>
      </c>
      <c r="E501" s="4">
        <v>1</v>
      </c>
      <c r="F501" s="4">
        <v>1</v>
      </c>
      <c r="G501" s="4">
        <v>3</v>
      </c>
      <c r="H501" s="4">
        <v>0</v>
      </c>
      <c r="I501" s="4">
        <v>0</v>
      </c>
      <c r="J501" s="4">
        <v>1</v>
      </c>
      <c r="K501" s="4">
        <v>0</v>
      </c>
      <c r="L501" s="2" t="s">
        <v>80</v>
      </c>
    </row>
    <row r="502" spans="1:12" x14ac:dyDescent="0.2">
      <c r="A502" s="4">
        <v>3.71</v>
      </c>
      <c r="B502" s="4">
        <v>10</v>
      </c>
      <c r="C502" s="4">
        <v>13</v>
      </c>
      <c r="D502" s="4">
        <v>0</v>
      </c>
      <c r="E502" s="4">
        <v>1</v>
      </c>
      <c r="F502" s="4">
        <v>0</v>
      </c>
      <c r="G502" s="4">
        <v>4</v>
      </c>
      <c r="H502" s="4">
        <v>0</v>
      </c>
      <c r="I502" s="4">
        <v>0</v>
      </c>
      <c r="J502" s="4">
        <v>0</v>
      </c>
      <c r="K502" s="4">
        <v>0</v>
      </c>
      <c r="L502" s="2" t="s">
        <v>80</v>
      </c>
    </row>
    <row r="503" spans="1:12" x14ac:dyDescent="0.2">
      <c r="A503" s="4">
        <v>4.5</v>
      </c>
      <c r="B503" s="4">
        <v>12</v>
      </c>
      <c r="C503" s="4">
        <v>13</v>
      </c>
      <c r="D503" s="4">
        <v>0</v>
      </c>
      <c r="E503" s="4">
        <v>0</v>
      </c>
      <c r="F503" s="4">
        <v>1</v>
      </c>
      <c r="G503" s="4">
        <v>0</v>
      </c>
      <c r="H503" s="4">
        <v>0</v>
      </c>
      <c r="I503" s="4">
        <v>0</v>
      </c>
      <c r="J503" s="4">
        <v>1</v>
      </c>
      <c r="K503" s="4">
        <v>0</v>
      </c>
      <c r="L503" s="2" t="s">
        <v>80</v>
      </c>
    </row>
    <row r="504" spans="1:12" x14ac:dyDescent="0.2">
      <c r="A504" s="4">
        <v>6.08</v>
      </c>
      <c r="B504" s="4">
        <v>16</v>
      </c>
      <c r="C504" s="4">
        <v>9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1</v>
      </c>
      <c r="J504" s="4">
        <v>0</v>
      </c>
      <c r="K504" s="4">
        <v>0</v>
      </c>
      <c r="L504" s="2" t="s">
        <v>80</v>
      </c>
    </row>
    <row r="505" spans="1:12" x14ac:dyDescent="0.2">
      <c r="A505" s="4">
        <v>4</v>
      </c>
      <c r="B505" s="4">
        <v>12</v>
      </c>
      <c r="C505" s="4">
        <v>9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1</v>
      </c>
      <c r="J505" s="4">
        <v>0</v>
      </c>
      <c r="K505" s="4">
        <v>0</v>
      </c>
      <c r="L505" s="2" t="s">
        <v>80</v>
      </c>
    </row>
    <row r="506" spans="1:12" x14ac:dyDescent="0.2">
      <c r="A506" s="4">
        <v>4</v>
      </c>
      <c r="B506" s="4">
        <v>12</v>
      </c>
      <c r="C506" s="4">
        <v>8</v>
      </c>
      <c r="D506" s="4">
        <v>0</v>
      </c>
      <c r="E506" s="4">
        <v>1</v>
      </c>
      <c r="F506" s="4">
        <v>1</v>
      </c>
      <c r="G506" s="4">
        <v>2</v>
      </c>
      <c r="H506" s="4">
        <v>1</v>
      </c>
      <c r="I506" s="4">
        <v>0</v>
      </c>
      <c r="J506" s="4">
        <v>0</v>
      </c>
      <c r="K506" s="4">
        <v>0</v>
      </c>
      <c r="L506" s="2" t="s">
        <v>80</v>
      </c>
    </row>
    <row r="507" spans="1:12" x14ac:dyDescent="0.2">
      <c r="A507" s="4">
        <v>3.75</v>
      </c>
      <c r="B507" s="4">
        <v>12</v>
      </c>
      <c r="C507" s="4">
        <v>7</v>
      </c>
      <c r="D507" s="4">
        <v>0</v>
      </c>
      <c r="E507" s="4">
        <v>1</v>
      </c>
      <c r="F507" s="4">
        <v>1</v>
      </c>
      <c r="G507" s="4">
        <v>0</v>
      </c>
      <c r="H507" s="4">
        <v>0</v>
      </c>
      <c r="I507" s="4">
        <v>0</v>
      </c>
      <c r="J507" s="4">
        <v>0</v>
      </c>
      <c r="K507" s="4">
        <v>1</v>
      </c>
      <c r="L507" s="2" t="s">
        <v>80</v>
      </c>
    </row>
    <row r="508" spans="1:12" x14ac:dyDescent="0.2">
      <c r="A508" s="4">
        <v>9.8000000000000007</v>
      </c>
      <c r="B508" s="4">
        <v>17</v>
      </c>
      <c r="C508" s="4">
        <v>7</v>
      </c>
      <c r="D508" s="4">
        <v>0</v>
      </c>
      <c r="E508" s="4">
        <v>0</v>
      </c>
      <c r="F508" s="4">
        <v>1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2" t="s">
        <v>80</v>
      </c>
    </row>
    <row r="509" spans="1:12" x14ac:dyDescent="0.2">
      <c r="A509" s="4">
        <v>3.55</v>
      </c>
      <c r="B509" s="4">
        <v>12</v>
      </c>
      <c r="C509" s="4">
        <v>6</v>
      </c>
      <c r="D509" s="4">
        <v>0</v>
      </c>
      <c r="E509" s="4">
        <v>1</v>
      </c>
      <c r="F509" s="4">
        <v>1</v>
      </c>
      <c r="G509" s="4">
        <v>1</v>
      </c>
      <c r="H509" s="4">
        <v>0</v>
      </c>
      <c r="I509" s="4">
        <v>0</v>
      </c>
      <c r="J509" s="4">
        <v>0</v>
      </c>
      <c r="K509" s="4">
        <v>0</v>
      </c>
      <c r="L509" s="2" t="s">
        <v>80</v>
      </c>
    </row>
    <row r="510" spans="1:12" x14ac:dyDescent="0.2">
      <c r="A510" s="4">
        <v>6.25</v>
      </c>
      <c r="B510" s="4">
        <v>16</v>
      </c>
      <c r="C510" s="4">
        <v>5</v>
      </c>
      <c r="D510" s="4">
        <v>0</v>
      </c>
      <c r="E510" s="4">
        <v>0</v>
      </c>
      <c r="F510" s="4">
        <v>1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2" t="s">
        <v>80</v>
      </c>
    </row>
    <row r="511" spans="1:12" x14ac:dyDescent="0.2">
      <c r="A511" s="4">
        <v>2.38</v>
      </c>
      <c r="B511" s="4">
        <v>9</v>
      </c>
      <c r="C511" s="4">
        <v>5</v>
      </c>
      <c r="D511" s="4">
        <v>0</v>
      </c>
      <c r="E511" s="4">
        <v>0</v>
      </c>
      <c r="F511" s="4">
        <v>0</v>
      </c>
      <c r="G511" s="4">
        <v>5</v>
      </c>
      <c r="H511" s="4">
        <v>0</v>
      </c>
      <c r="I511" s="4">
        <v>1</v>
      </c>
      <c r="J511" s="4">
        <v>0</v>
      </c>
      <c r="K511" s="4">
        <v>0</v>
      </c>
      <c r="L511" s="2" t="s">
        <v>80</v>
      </c>
    </row>
    <row r="512" spans="1:12" x14ac:dyDescent="0.2">
      <c r="A512" s="4">
        <v>4.0999999999999996</v>
      </c>
      <c r="B512" s="4">
        <v>16</v>
      </c>
      <c r="C512" s="4">
        <v>5</v>
      </c>
      <c r="D512" s="4">
        <v>0</v>
      </c>
      <c r="E512" s="4">
        <v>1</v>
      </c>
      <c r="F512" s="4">
        <v>1</v>
      </c>
      <c r="G512" s="4">
        <v>0</v>
      </c>
      <c r="H512" s="4">
        <v>1</v>
      </c>
      <c r="I512" s="4">
        <v>0</v>
      </c>
      <c r="J512" s="4">
        <v>0</v>
      </c>
      <c r="K512" s="4">
        <v>0</v>
      </c>
      <c r="L512" s="2" t="s">
        <v>80</v>
      </c>
    </row>
    <row r="513" spans="1:12" x14ac:dyDescent="0.2">
      <c r="A513" s="4">
        <v>3.5</v>
      </c>
      <c r="B513" s="4">
        <v>8</v>
      </c>
      <c r="C513" s="4">
        <v>4</v>
      </c>
      <c r="D513" s="4">
        <v>0</v>
      </c>
      <c r="E513" s="4">
        <v>0</v>
      </c>
      <c r="F513" s="4">
        <v>0</v>
      </c>
      <c r="G513" s="4">
        <v>3</v>
      </c>
      <c r="H513" s="4">
        <v>0</v>
      </c>
      <c r="I513" s="4">
        <v>0</v>
      </c>
      <c r="J513" s="4">
        <v>0</v>
      </c>
      <c r="K513" s="4">
        <v>0</v>
      </c>
      <c r="L513" s="2" t="s">
        <v>80</v>
      </c>
    </row>
    <row r="514" spans="1:12" x14ac:dyDescent="0.2">
      <c r="A514" s="4">
        <v>2.6</v>
      </c>
      <c r="B514" s="4">
        <v>9</v>
      </c>
      <c r="C514" s="4">
        <v>4</v>
      </c>
      <c r="D514" s="4">
        <v>0</v>
      </c>
      <c r="E514" s="10">
        <v>2</v>
      </c>
      <c r="F514" s="4">
        <v>0</v>
      </c>
      <c r="G514" s="4">
        <v>1</v>
      </c>
      <c r="H514" s="4">
        <v>0</v>
      </c>
      <c r="I514" s="4">
        <v>0</v>
      </c>
      <c r="J514" s="4">
        <v>1</v>
      </c>
      <c r="K514" s="4">
        <v>0</v>
      </c>
      <c r="L514" s="2" t="s">
        <v>80</v>
      </c>
    </row>
    <row r="515" spans="1:12" x14ac:dyDescent="0.2">
      <c r="A515" s="4">
        <v>2</v>
      </c>
      <c r="B515" s="4">
        <v>10</v>
      </c>
      <c r="C515" s="4">
        <v>3</v>
      </c>
      <c r="D515" s="4">
        <v>0</v>
      </c>
      <c r="E515" s="4">
        <v>1</v>
      </c>
      <c r="F515" s="4">
        <v>0</v>
      </c>
      <c r="G515" s="4">
        <v>5</v>
      </c>
      <c r="H515" s="4">
        <v>0</v>
      </c>
      <c r="I515" s="4">
        <v>1</v>
      </c>
      <c r="J515" s="4">
        <v>0</v>
      </c>
      <c r="K515" s="4">
        <v>0</v>
      </c>
      <c r="L515" s="2" t="s">
        <v>80</v>
      </c>
    </row>
    <row r="516" spans="1:12" x14ac:dyDescent="0.2">
      <c r="A516" s="4">
        <v>7.81</v>
      </c>
      <c r="B516" s="4">
        <v>12</v>
      </c>
      <c r="C516" s="4">
        <v>3</v>
      </c>
      <c r="D516" s="4">
        <v>0</v>
      </c>
      <c r="E516" s="4">
        <v>1</v>
      </c>
      <c r="F516" s="4">
        <v>1</v>
      </c>
      <c r="G516" s="4">
        <v>0</v>
      </c>
      <c r="H516" s="4">
        <v>0</v>
      </c>
      <c r="I516" s="4">
        <v>0</v>
      </c>
      <c r="J516" s="4">
        <v>1</v>
      </c>
      <c r="K516" s="4">
        <v>0</v>
      </c>
      <c r="L516" s="2" t="s">
        <v>80</v>
      </c>
    </row>
    <row r="517" spans="1:12" x14ac:dyDescent="0.2">
      <c r="A517" s="4">
        <v>3.5</v>
      </c>
      <c r="B517" s="4">
        <v>12</v>
      </c>
      <c r="C517" s="4">
        <v>3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2" t="s">
        <v>80</v>
      </c>
    </row>
    <row r="518" spans="1:12" x14ac:dyDescent="0.2">
      <c r="A518" s="4">
        <v>4.5</v>
      </c>
      <c r="B518" s="4">
        <v>12</v>
      </c>
      <c r="C518" s="4">
        <v>3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1</v>
      </c>
      <c r="K518" s="4">
        <v>0</v>
      </c>
      <c r="L518" s="2" t="s">
        <v>80</v>
      </c>
    </row>
    <row r="519" spans="1:12" x14ac:dyDescent="0.2">
      <c r="A519" s="4">
        <v>3</v>
      </c>
      <c r="B519" s="4">
        <v>11</v>
      </c>
      <c r="C519" s="4">
        <v>3</v>
      </c>
      <c r="D519" s="4">
        <v>0</v>
      </c>
      <c r="E519" s="4">
        <v>1</v>
      </c>
      <c r="F519" s="4">
        <v>0</v>
      </c>
      <c r="G519" s="4">
        <v>2</v>
      </c>
      <c r="H519" s="4">
        <v>0</v>
      </c>
      <c r="I519" s="4">
        <v>0</v>
      </c>
      <c r="J519" s="4">
        <v>1</v>
      </c>
      <c r="K519" s="4">
        <v>0</v>
      </c>
      <c r="L519" s="2" t="s">
        <v>80</v>
      </c>
    </row>
    <row r="520" spans="1:12" x14ac:dyDescent="0.2">
      <c r="A520" s="4">
        <v>5.1100000000000003</v>
      </c>
      <c r="B520" s="4">
        <v>11</v>
      </c>
      <c r="C520" s="4">
        <v>3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1</v>
      </c>
      <c r="K520" s="4">
        <v>1</v>
      </c>
      <c r="L520" s="2" t="s">
        <v>80</v>
      </c>
    </row>
    <row r="521" spans="1:12" x14ac:dyDescent="0.2">
      <c r="A521" s="4">
        <v>2</v>
      </c>
      <c r="B521" s="4">
        <v>9</v>
      </c>
      <c r="C521" s="4">
        <v>2</v>
      </c>
      <c r="D521" s="4">
        <v>0</v>
      </c>
      <c r="E521" s="4">
        <v>0</v>
      </c>
      <c r="F521" s="4">
        <v>0</v>
      </c>
      <c r="G521" s="4">
        <v>3</v>
      </c>
      <c r="H521" s="4">
        <v>1</v>
      </c>
      <c r="I521" s="4">
        <v>0</v>
      </c>
      <c r="J521" s="4">
        <v>0</v>
      </c>
      <c r="K521" s="4">
        <v>0</v>
      </c>
      <c r="L521" s="2" t="s">
        <v>80</v>
      </c>
    </row>
    <row r="522" spans="1:12" x14ac:dyDescent="0.2">
      <c r="A522" s="4">
        <v>3.1</v>
      </c>
      <c r="B522" s="4">
        <v>11</v>
      </c>
      <c r="C522" s="4">
        <v>2</v>
      </c>
      <c r="D522" s="4">
        <v>0</v>
      </c>
      <c r="E522" s="4">
        <v>1</v>
      </c>
      <c r="F522" s="4">
        <v>0</v>
      </c>
      <c r="G522" s="4">
        <v>2</v>
      </c>
      <c r="H522" s="4">
        <v>0</v>
      </c>
      <c r="I522" s="4">
        <v>0</v>
      </c>
      <c r="J522" s="4">
        <v>1</v>
      </c>
      <c r="K522" s="4">
        <v>0</v>
      </c>
      <c r="L522" s="2" t="s">
        <v>80</v>
      </c>
    </row>
    <row r="523" spans="1:12" x14ac:dyDescent="0.2">
      <c r="A523" s="4">
        <v>5.65</v>
      </c>
      <c r="B523" s="4">
        <v>12</v>
      </c>
      <c r="C523" s="4">
        <v>2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1</v>
      </c>
      <c r="K523" s="4">
        <v>1</v>
      </c>
      <c r="L523" s="2" t="s">
        <v>80</v>
      </c>
    </row>
    <row r="524" spans="1:12" x14ac:dyDescent="0.2">
      <c r="A524" s="4">
        <v>2.54</v>
      </c>
      <c r="B524" s="4">
        <v>9</v>
      </c>
      <c r="C524" s="4">
        <v>2</v>
      </c>
      <c r="D524" s="4">
        <v>0</v>
      </c>
      <c r="E524" s="4">
        <v>1</v>
      </c>
      <c r="F524" s="4">
        <v>0</v>
      </c>
      <c r="G524" s="4">
        <v>1</v>
      </c>
      <c r="H524" s="4">
        <v>0</v>
      </c>
      <c r="I524" s="4">
        <v>1</v>
      </c>
      <c r="J524" s="4">
        <v>0</v>
      </c>
      <c r="K524" s="4">
        <v>0</v>
      </c>
      <c r="L524" s="2" t="s">
        <v>80</v>
      </c>
    </row>
    <row r="525" spans="1:12" x14ac:dyDescent="0.2">
      <c r="A525" s="4">
        <v>2.9</v>
      </c>
      <c r="B525" s="4">
        <v>11</v>
      </c>
      <c r="C525" s="4">
        <v>2</v>
      </c>
      <c r="D525" s="4">
        <v>0</v>
      </c>
      <c r="E525" s="4">
        <v>1</v>
      </c>
      <c r="F525" s="4">
        <v>0</v>
      </c>
      <c r="G525" s="4">
        <v>2</v>
      </c>
      <c r="H525" s="4">
        <v>0</v>
      </c>
      <c r="I525" s="4">
        <v>1</v>
      </c>
      <c r="J525" s="4">
        <v>0</v>
      </c>
      <c r="K525" s="4">
        <v>0</v>
      </c>
      <c r="L525" s="2" t="s">
        <v>80</v>
      </c>
    </row>
    <row r="526" spans="1:12" x14ac:dyDescent="0.2">
      <c r="A526" s="4">
        <v>2.92</v>
      </c>
      <c r="B526" s="4">
        <v>11</v>
      </c>
      <c r="C526" s="4">
        <v>1</v>
      </c>
      <c r="D526" s="4">
        <v>0</v>
      </c>
      <c r="E526" s="4">
        <v>1</v>
      </c>
      <c r="F526" s="4">
        <v>0</v>
      </c>
      <c r="G526" s="4">
        <v>1</v>
      </c>
      <c r="H526" s="4">
        <v>1</v>
      </c>
      <c r="I526" s="4">
        <v>0</v>
      </c>
      <c r="J526" s="4">
        <v>0</v>
      </c>
      <c r="K526" s="4">
        <v>0</v>
      </c>
      <c r="L526" s="2" t="s">
        <v>80</v>
      </c>
    </row>
    <row r="527" spans="1:12" x14ac:dyDescent="0.2">
      <c r="A527" s="4">
        <v>3</v>
      </c>
      <c r="B527" s="4">
        <v>12</v>
      </c>
      <c r="C527" s="4">
        <v>1</v>
      </c>
      <c r="D527" s="4">
        <v>0</v>
      </c>
      <c r="E527" s="4">
        <v>1</v>
      </c>
      <c r="F527" s="4">
        <v>0</v>
      </c>
      <c r="G527" s="4">
        <v>2</v>
      </c>
      <c r="H527" s="4">
        <v>0</v>
      </c>
      <c r="I527" s="4">
        <v>0</v>
      </c>
      <c r="J527" s="4">
        <v>0</v>
      </c>
      <c r="K527" s="4">
        <v>0</v>
      </c>
      <c r="L527" s="2" t="s">
        <v>80</v>
      </c>
    </row>
  </sheetData>
  <mergeCells count="2">
    <mergeCell ref="N3:P3"/>
    <mergeCell ref="N26:S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A29F-2E1A-D041-89BC-D21C93FA3133}">
  <dimension ref="A1:U527"/>
  <sheetViews>
    <sheetView showGridLines="0" topLeftCell="F9" zoomScale="125" workbookViewId="0">
      <selection activeCell="Q33" sqref="Q33"/>
    </sheetView>
  </sheetViews>
  <sheetFormatPr baseColWidth="10" defaultRowHeight="14" x14ac:dyDescent="0.2"/>
  <cols>
    <col min="1" max="10" width="10.83203125" style="5"/>
    <col min="11" max="11" width="12.5" bestFit="1" customWidth="1"/>
    <col min="13" max="13" width="33.6640625" bestFit="1" customWidth="1"/>
    <col min="14" max="14" width="22.6640625" bestFit="1" customWidth="1"/>
    <col min="15" max="15" width="14.83203125" bestFit="1" customWidth="1"/>
    <col min="16" max="16" width="19.83203125" bestFit="1" customWidth="1"/>
    <col min="18" max="18" width="13" bestFit="1" customWidth="1"/>
  </cols>
  <sheetData>
    <row r="1" spans="1:15" x14ac:dyDescent="0.2">
      <c r="A1" s="4" t="s">
        <v>28</v>
      </c>
      <c r="B1" s="4" t="s">
        <v>0</v>
      </c>
      <c r="C1" s="4" t="s">
        <v>1</v>
      </c>
      <c r="D1" s="4" t="s">
        <v>49</v>
      </c>
      <c r="E1" s="4" t="s">
        <v>50</v>
      </c>
      <c r="F1" s="4" t="s">
        <v>51</v>
      </c>
      <c r="G1" s="4" t="s">
        <v>53</v>
      </c>
      <c r="H1" s="4" t="s">
        <v>34</v>
      </c>
      <c r="I1" s="4" t="s">
        <v>35</v>
      </c>
      <c r="J1" s="4" t="s">
        <v>40</v>
      </c>
      <c r="K1" s="15" t="s">
        <v>81</v>
      </c>
    </row>
    <row r="2" spans="1:15" x14ac:dyDescent="0.2">
      <c r="A2" s="4">
        <v>8.75</v>
      </c>
      <c r="B2" s="4">
        <v>12</v>
      </c>
      <c r="C2" s="9">
        <v>43.93</v>
      </c>
      <c r="D2" s="9">
        <v>26.78</v>
      </c>
      <c r="E2" s="4">
        <v>0</v>
      </c>
      <c r="F2" s="4">
        <v>1</v>
      </c>
      <c r="G2" s="4">
        <v>0</v>
      </c>
      <c r="H2" s="4">
        <v>0</v>
      </c>
      <c r="I2" s="4">
        <v>0</v>
      </c>
      <c r="J2" s="4">
        <v>0</v>
      </c>
      <c r="K2" s="2" t="s">
        <v>79</v>
      </c>
    </row>
    <row r="3" spans="1:15" x14ac:dyDescent="0.2">
      <c r="A3" s="4">
        <v>11.76</v>
      </c>
      <c r="B3" s="4">
        <v>14</v>
      </c>
      <c r="C3" s="4">
        <v>40</v>
      </c>
      <c r="D3" s="9">
        <v>26.78</v>
      </c>
      <c r="E3" s="4">
        <v>0</v>
      </c>
      <c r="F3" s="4">
        <v>1</v>
      </c>
      <c r="G3" s="4">
        <v>0</v>
      </c>
      <c r="H3" s="4">
        <v>0</v>
      </c>
      <c r="I3" s="4">
        <v>0</v>
      </c>
      <c r="J3" s="4">
        <v>0</v>
      </c>
      <c r="K3" s="2" t="s">
        <v>79</v>
      </c>
      <c r="M3" s="37" t="s">
        <v>63</v>
      </c>
      <c r="N3" s="37"/>
      <c r="O3" s="37"/>
    </row>
    <row r="4" spans="1:15" x14ac:dyDescent="0.2">
      <c r="A4" s="4">
        <v>2.91</v>
      </c>
      <c r="B4" s="4">
        <v>12</v>
      </c>
      <c r="C4" s="4">
        <v>20</v>
      </c>
      <c r="D4" s="9">
        <v>26.78</v>
      </c>
      <c r="E4" s="4">
        <v>1</v>
      </c>
      <c r="F4" s="4">
        <v>1</v>
      </c>
      <c r="G4" s="4">
        <v>0</v>
      </c>
      <c r="H4" s="4">
        <v>0</v>
      </c>
      <c r="I4" s="4">
        <v>0</v>
      </c>
      <c r="J4" s="4">
        <v>0</v>
      </c>
      <c r="K4" s="2" t="s">
        <v>79</v>
      </c>
      <c r="M4" s="17" t="s">
        <v>64</v>
      </c>
      <c r="N4" s="3"/>
      <c r="O4" s="3"/>
    </row>
    <row r="5" spans="1:15" x14ac:dyDescent="0.2">
      <c r="A5" s="4">
        <v>6.5</v>
      </c>
      <c r="B5" s="4">
        <v>14</v>
      </c>
      <c r="C5" s="4">
        <v>41</v>
      </c>
      <c r="D5" s="9">
        <v>26.78</v>
      </c>
      <c r="E5" s="4">
        <v>0</v>
      </c>
      <c r="F5" s="4">
        <v>1</v>
      </c>
      <c r="G5" s="4">
        <v>1</v>
      </c>
      <c r="H5" s="4">
        <v>0</v>
      </c>
      <c r="I5" s="4">
        <v>0</v>
      </c>
      <c r="J5" s="4">
        <v>0</v>
      </c>
      <c r="K5" s="2" t="s">
        <v>79</v>
      </c>
      <c r="M5" s="3"/>
      <c r="N5" s="3" t="s">
        <v>65</v>
      </c>
      <c r="O5" s="3"/>
    </row>
    <row r="6" spans="1:15" x14ac:dyDescent="0.2">
      <c r="A6" s="4">
        <v>6.25</v>
      </c>
      <c r="B6" s="4">
        <v>11</v>
      </c>
      <c r="C6" s="4">
        <v>35</v>
      </c>
      <c r="D6" s="9">
        <v>26.78</v>
      </c>
      <c r="E6" s="4">
        <v>0</v>
      </c>
      <c r="F6" s="4">
        <v>1</v>
      </c>
      <c r="G6" s="4">
        <v>0</v>
      </c>
      <c r="H6" s="4">
        <v>1</v>
      </c>
      <c r="I6" s="4">
        <v>0</v>
      </c>
      <c r="J6" s="4">
        <v>0</v>
      </c>
      <c r="K6" s="2" t="s">
        <v>79</v>
      </c>
      <c r="M6" s="3"/>
      <c r="N6" s="3" t="s">
        <v>66</v>
      </c>
      <c r="O6" s="3"/>
    </row>
    <row r="7" spans="1:15" x14ac:dyDescent="0.2">
      <c r="A7" s="4">
        <v>15</v>
      </c>
      <c r="B7" s="4">
        <v>11</v>
      </c>
      <c r="C7" s="4">
        <v>35</v>
      </c>
      <c r="D7" s="9">
        <v>26.78</v>
      </c>
      <c r="E7" s="10">
        <v>2</v>
      </c>
      <c r="F7" s="4">
        <v>1</v>
      </c>
      <c r="G7" s="4">
        <v>0</v>
      </c>
      <c r="H7" s="4">
        <v>1</v>
      </c>
      <c r="I7" s="4">
        <v>0</v>
      </c>
      <c r="J7" s="4">
        <v>0</v>
      </c>
      <c r="K7" s="2" t="s">
        <v>79</v>
      </c>
      <c r="M7" s="17" t="s">
        <v>67</v>
      </c>
      <c r="N7" s="18"/>
      <c r="O7" s="17"/>
    </row>
    <row r="8" spans="1:15" x14ac:dyDescent="0.2">
      <c r="A8" s="4">
        <v>6</v>
      </c>
      <c r="B8" s="4">
        <v>8</v>
      </c>
      <c r="C8" s="9">
        <v>43.93</v>
      </c>
      <c r="D8" s="9">
        <v>26.78</v>
      </c>
      <c r="E8" s="4">
        <v>0</v>
      </c>
      <c r="F8" s="4">
        <v>1</v>
      </c>
      <c r="G8" s="4">
        <v>0</v>
      </c>
      <c r="H8" s="4">
        <v>0</v>
      </c>
      <c r="I8" s="4">
        <v>1</v>
      </c>
      <c r="J8" s="4">
        <v>0</v>
      </c>
      <c r="K8" s="2" t="s">
        <v>79</v>
      </c>
      <c r="M8" s="17"/>
      <c r="N8" s="17" t="s">
        <v>68</v>
      </c>
      <c r="O8" s="17"/>
    </row>
    <row r="9" spans="1:15" x14ac:dyDescent="0.2">
      <c r="A9" s="4">
        <v>18.16</v>
      </c>
      <c r="B9" s="4">
        <v>16</v>
      </c>
      <c r="C9" s="4">
        <v>35</v>
      </c>
      <c r="D9" s="9">
        <v>26.78</v>
      </c>
      <c r="E9" s="4">
        <v>0</v>
      </c>
      <c r="F9" s="4">
        <v>1</v>
      </c>
      <c r="G9" s="4">
        <v>1</v>
      </c>
      <c r="H9" s="4">
        <v>0</v>
      </c>
      <c r="I9" s="4">
        <v>0</v>
      </c>
      <c r="J9" s="4">
        <v>0</v>
      </c>
      <c r="K9" s="2" t="s">
        <v>79</v>
      </c>
      <c r="M9" s="17"/>
      <c r="N9" s="17" t="s">
        <v>69</v>
      </c>
      <c r="O9" s="17"/>
    </row>
    <row r="10" spans="1:15" x14ac:dyDescent="0.2">
      <c r="A10" s="4">
        <v>8.5</v>
      </c>
      <c r="B10" s="4">
        <v>8</v>
      </c>
      <c r="C10" s="4">
        <v>38</v>
      </c>
      <c r="D10" s="4">
        <v>26</v>
      </c>
      <c r="E10" s="4">
        <v>0</v>
      </c>
      <c r="F10" s="4">
        <v>0</v>
      </c>
      <c r="G10" s="4">
        <v>1</v>
      </c>
      <c r="H10" s="4">
        <v>0</v>
      </c>
      <c r="I10" s="4">
        <v>0</v>
      </c>
      <c r="J10" s="4">
        <v>0</v>
      </c>
      <c r="K10" s="2" t="s">
        <v>79</v>
      </c>
      <c r="M10" s="3" t="s">
        <v>70</v>
      </c>
      <c r="N10" s="3"/>
      <c r="O10" s="3"/>
    </row>
    <row r="11" spans="1:15" x14ac:dyDescent="0.2">
      <c r="A11" s="4">
        <v>3.6</v>
      </c>
      <c r="B11" s="4">
        <v>10</v>
      </c>
      <c r="C11" s="4">
        <v>34</v>
      </c>
      <c r="D11" s="4">
        <v>26</v>
      </c>
      <c r="E11" s="4">
        <v>1</v>
      </c>
      <c r="F11" s="4">
        <v>1</v>
      </c>
      <c r="G11" s="4">
        <v>0</v>
      </c>
      <c r="H11" s="4">
        <v>1</v>
      </c>
      <c r="I11" s="4">
        <v>0</v>
      </c>
      <c r="J11" s="4">
        <v>0</v>
      </c>
      <c r="K11" s="2" t="s">
        <v>79</v>
      </c>
      <c r="M11" s="3" t="s">
        <v>71</v>
      </c>
      <c r="N11" s="3"/>
      <c r="O11" s="3"/>
    </row>
    <row r="12" spans="1:15" x14ac:dyDescent="0.2">
      <c r="A12" s="4">
        <v>8.33</v>
      </c>
      <c r="B12" s="4">
        <v>15</v>
      </c>
      <c r="C12" s="4">
        <v>33</v>
      </c>
      <c r="D12" s="4">
        <v>26</v>
      </c>
      <c r="E12" s="4">
        <v>0</v>
      </c>
      <c r="F12" s="4">
        <v>1</v>
      </c>
      <c r="G12" s="4">
        <v>0</v>
      </c>
      <c r="H12" s="4">
        <v>0</v>
      </c>
      <c r="I12" s="4">
        <v>0</v>
      </c>
      <c r="J12" s="4">
        <v>0</v>
      </c>
      <c r="K12" s="2" t="s">
        <v>79</v>
      </c>
      <c r="M12" s="18" t="s">
        <v>72</v>
      </c>
      <c r="N12" s="3"/>
      <c r="O12" s="3"/>
    </row>
    <row r="13" spans="1:15" x14ac:dyDescent="0.2">
      <c r="A13" s="4">
        <v>4.29</v>
      </c>
      <c r="B13" s="4">
        <v>12</v>
      </c>
      <c r="C13" s="9">
        <v>43.93</v>
      </c>
      <c r="D13" s="4">
        <v>25</v>
      </c>
      <c r="E13" s="4">
        <v>1</v>
      </c>
      <c r="F13" s="4">
        <v>1</v>
      </c>
      <c r="G13" s="4">
        <v>0</v>
      </c>
      <c r="H13" s="4">
        <v>1</v>
      </c>
      <c r="I13" s="4">
        <v>0</v>
      </c>
      <c r="J13" s="4">
        <v>0</v>
      </c>
      <c r="K13" s="2" t="s">
        <v>79</v>
      </c>
      <c r="M13" s="3" t="s">
        <v>73</v>
      </c>
      <c r="N13" s="3"/>
      <c r="O13" s="3"/>
    </row>
    <row r="14" spans="1:15" x14ac:dyDescent="0.2">
      <c r="A14" s="4">
        <v>4.05</v>
      </c>
      <c r="B14" s="4">
        <v>8</v>
      </c>
      <c r="C14" s="9">
        <v>43.93</v>
      </c>
      <c r="D14" s="4">
        <v>25</v>
      </c>
      <c r="E14" s="4">
        <v>0</v>
      </c>
      <c r="F14" s="4">
        <v>1</v>
      </c>
      <c r="G14" s="4">
        <v>1</v>
      </c>
      <c r="H14" s="4">
        <v>0</v>
      </c>
      <c r="I14" s="4">
        <v>0</v>
      </c>
      <c r="J14" s="4">
        <v>0</v>
      </c>
      <c r="K14" s="2" t="s">
        <v>79</v>
      </c>
      <c r="M14" s="3" t="s">
        <v>74</v>
      </c>
      <c r="N14" s="3"/>
      <c r="O14" s="3"/>
    </row>
    <row r="15" spans="1:15" x14ac:dyDescent="0.2">
      <c r="A15" s="4">
        <v>18</v>
      </c>
      <c r="B15" s="4">
        <v>18</v>
      </c>
      <c r="C15" s="4">
        <v>29</v>
      </c>
      <c r="D15" s="4">
        <v>25</v>
      </c>
      <c r="E15" s="4">
        <v>0</v>
      </c>
      <c r="F15" s="4">
        <v>1</v>
      </c>
      <c r="G15" s="4">
        <v>0</v>
      </c>
      <c r="H15" s="4">
        <v>0</v>
      </c>
      <c r="I15" s="4">
        <v>0</v>
      </c>
      <c r="J15" s="4">
        <v>0</v>
      </c>
      <c r="K15" s="2" t="s">
        <v>79</v>
      </c>
    </row>
    <row r="16" spans="1:15" x14ac:dyDescent="0.2">
      <c r="A16" s="4">
        <v>11.25</v>
      </c>
      <c r="B16" s="4">
        <v>17</v>
      </c>
      <c r="C16" s="4">
        <v>28</v>
      </c>
      <c r="D16" s="4">
        <v>25</v>
      </c>
      <c r="E16" s="4">
        <v>0</v>
      </c>
      <c r="F16" s="4">
        <v>1</v>
      </c>
      <c r="G16" s="4">
        <v>0</v>
      </c>
      <c r="H16" s="4">
        <v>1</v>
      </c>
      <c r="I16" s="4">
        <v>0</v>
      </c>
      <c r="J16" s="4">
        <v>0</v>
      </c>
      <c r="K16" s="2" t="s">
        <v>79</v>
      </c>
    </row>
    <row r="17" spans="1:21" x14ac:dyDescent="0.2">
      <c r="A17" s="4">
        <v>3.05</v>
      </c>
      <c r="B17" s="4">
        <v>8</v>
      </c>
      <c r="C17" s="9">
        <v>43.93</v>
      </c>
      <c r="D17" s="4">
        <v>24</v>
      </c>
      <c r="E17" s="4">
        <v>1</v>
      </c>
      <c r="F17" s="4">
        <v>0</v>
      </c>
      <c r="G17" s="4">
        <v>0</v>
      </c>
      <c r="H17" s="4">
        <v>1</v>
      </c>
      <c r="I17" s="4">
        <v>0</v>
      </c>
      <c r="J17" s="4">
        <v>0</v>
      </c>
      <c r="K17" s="2" t="s">
        <v>79</v>
      </c>
      <c r="M17" s="3" t="s">
        <v>2</v>
      </c>
      <c r="N17" s="3"/>
      <c r="O17" s="3"/>
      <c r="P17" s="3"/>
      <c r="Q17" s="3"/>
      <c r="R17" s="3"/>
      <c r="S17" s="3"/>
      <c r="T17" s="3"/>
      <c r="U17" s="3"/>
    </row>
    <row r="18" spans="1:21" x14ac:dyDescent="0.2">
      <c r="A18" s="4">
        <v>9.85</v>
      </c>
      <c r="B18" s="4">
        <v>8</v>
      </c>
      <c r="C18" s="4">
        <v>40</v>
      </c>
      <c r="D18" s="4">
        <v>24</v>
      </c>
      <c r="E18" s="4">
        <v>0</v>
      </c>
      <c r="F18" s="4">
        <v>1</v>
      </c>
      <c r="G18" s="4">
        <v>0</v>
      </c>
      <c r="H18" s="4">
        <v>0</v>
      </c>
      <c r="I18" s="4">
        <v>0</v>
      </c>
      <c r="J18" s="4">
        <v>0</v>
      </c>
      <c r="K18" s="2" t="s">
        <v>79</v>
      </c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">
      <c r="A19" s="4">
        <v>7.36</v>
      </c>
      <c r="B19" s="4">
        <v>8</v>
      </c>
      <c r="C19" s="4">
        <v>36</v>
      </c>
      <c r="D19" s="4">
        <v>24</v>
      </c>
      <c r="E19" s="4">
        <v>0</v>
      </c>
      <c r="F19" s="4">
        <v>1</v>
      </c>
      <c r="G19" s="4">
        <v>1</v>
      </c>
      <c r="H19" s="4">
        <v>0</v>
      </c>
      <c r="I19" s="4">
        <v>0</v>
      </c>
      <c r="J19" s="4">
        <v>0</v>
      </c>
      <c r="K19" s="2" t="s">
        <v>79</v>
      </c>
      <c r="M19" s="34" t="s">
        <v>3</v>
      </c>
      <c r="N19" s="34"/>
      <c r="O19" s="3"/>
      <c r="P19" s="3"/>
      <c r="Q19" s="3"/>
      <c r="R19" s="3"/>
      <c r="S19" s="3"/>
      <c r="T19" s="3"/>
      <c r="U19" s="3"/>
    </row>
    <row r="20" spans="1:21" x14ac:dyDescent="0.2">
      <c r="A20" s="4">
        <v>7.5</v>
      </c>
      <c r="B20" s="4">
        <v>14</v>
      </c>
      <c r="C20" s="4">
        <v>29</v>
      </c>
      <c r="D20" s="4">
        <v>24</v>
      </c>
      <c r="E20" s="4">
        <v>0</v>
      </c>
      <c r="F20" s="4">
        <v>1</v>
      </c>
      <c r="G20" s="4">
        <v>1</v>
      </c>
      <c r="H20" s="4">
        <v>0</v>
      </c>
      <c r="I20" s="4">
        <v>0</v>
      </c>
      <c r="J20" s="4">
        <v>0</v>
      </c>
      <c r="K20" s="2" t="s">
        <v>79</v>
      </c>
      <c r="M20" s="2" t="s">
        <v>4</v>
      </c>
      <c r="N20" s="2">
        <v>0.5914512025474411</v>
      </c>
      <c r="O20" s="3"/>
      <c r="P20" s="3"/>
      <c r="Q20" s="3"/>
      <c r="R20" s="3"/>
      <c r="S20" s="3"/>
      <c r="T20" s="3"/>
      <c r="U20" s="3"/>
    </row>
    <row r="21" spans="1:21" x14ac:dyDescent="0.2">
      <c r="A21" s="4">
        <v>2.95</v>
      </c>
      <c r="B21" s="4">
        <v>14</v>
      </c>
      <c r="C21" s="4">
        <v>41</v>
      </c>
      <c r="D21" s="4">
        <v>23</v>
      </c>
      <c r="E21" s="4">
        <v>0</v>
      </c>
      <c r="F21" s="4">
        <v>1</v>
      </c>
      <c r="G21" s="4">
        <v>1</v>
      </c>
      <c r="H21" s="4">
        <v>0</v>
      </c>
      <c r="I21" s="4">
        <v>0</v>
      </c>
      <c r="J21" s="4">
        <v>0</v>
      </c>
      <c r="K21" s="2" t="s">
        <v>79</v>
      </c>
      <c r="M21" s="29" t="s">
        <v>5</v>
      </c>
      <c r="N21" s="29">
        <v>0.34981452499481425</v>
      </c>
      <c r="O21" s="3"/>
      <c r="P21" s="3"/>
      <c r="Q21" s="3"/>
      <c r="R21" s="3"/>
      <c r="S21" s="3"/>
      <c r="T21" s="3"/>
      <c r="U21" s="3"/>
    </row>
    <row r="22" spans="1:21" x14ac:dyDescent="0.2">
      <c r="A22" s="4">
        <v>19.98</v>
      </c>
      <c r="B22" s="4">
        <v>14</v>
      </c>
      <c r="C22" s="4">
        <v>26</v>
      </c>
      <c r="D22" s="4">
        <v>23</v>
      </c>
      <c r="E22" s="4">
        <v>0</v>
      </c>
      <c r="F22" s="4">
        <v>1</v>
      </c>
      <c r="G22" s="4">
        <v>0</v>
      </c>
      <c r="H22" s="4">
        <v>0</v>
      </c>
      <c r="I22" s="4">
        <v>0</v>
      </c>
      <c r="J22" s="4">
        <v>0</v>
      </c>
      <c r="K22" s="2" t="s">
        <v>79</v>
      </c>
      <c r="M22" s="29" t="s">
        <v>6</v>
      </c>
      <c r="N22" s="29">
        <v>0.33457580292438022</v>
      </c>
      <c r="O22" s="3"/>
      <c r="P22" s="3"/>
      <c r="Q22" s="3"/>
      <c r="R22" s="3"/>
      <c r="S22" s="3"/>
      <c r="T22" s="3"/>
      <c r="U22" s="3"/>
    </row>
    <row r="23" spans="1:21" x14ac:dyDescent="0.2">
      <c r="A23" s="4">
        <v>13.16</v>
      </c>
      <c r="B23" s="4">
        <v>12</v>
      </c>
      <c r="C23" s="4">
        <v>34</v>
      </c>
      <c r="D23" s="4">
        <v>22</v>
      </c>
      <c r="E23" s="4">
        <v>0</v>
      </c>
      <c r="F23" s="4">
        <v>1</v>
      </c>
      <c r="G23" s="4">
        <v>0</v>
      </c>
      <c r="H23" s="4">
        <v>0</v>
      </c>
      <c r="I23" s="4">
        <v>0</v>
      </c>
      <c r="J23" s="4">
        <v>0</v>
      </c>
      <c r="K23" s="2" t="s">
        <v>79</v>
      </c>
      <c r="M23" s="2" t="s">
        <v>7</v>
      </c>
      <c r="N23" s="2">
        <v>2.9217490371567503</v>
      </c>
      <c r="O23" s="3"/>
      <c r="P23" s="3"/>
      <c r="Q23" s="3"/>
      <c r="R23" s="3"/>
      <c r="S23" s="3"/>
      <c r="T23" s="3"/>
      <c r="U23" s="3"/>
    </row>
    <row r="24" spans="1:21" x14ac:dyDescent="0.2">
      <c r="A24" s="4">
        <v>17.5</v>
      </c>
      <c r="B24" s="4">
        <v>16</v>
      </c>
      <c r="C24" s="4">
        <v>23</v>
      </c>
      <c r="D24" s="4">
        <v>22</v>
      </c>
      <c r="E24" s="4">
        <v>0</v>
      </c>
      <c r="F24" s="4">
        <v>1</v>
      </c>
      <c r="G24" s="4">
        <v>0</v>
      </c>
      <c r="H24" s="4">
        <v>0</v>
      </c>
      <c r="I24" s="4">
        <v>1</v>
      </c>
      <c r="J24" s="4">
        <v>0</v>
      </c>
      <c r="K24" s="2" t="s">
        <v>79</v>
      </c>
      <c r="M24" s="2" t="s">
        <v>8</v>
      </c>
      <c r="N24" s="2">
        <v>394</v>
      </c>
      <c r="O24" s="3"/>
      <c r="P24" s="3"/>
      <c r="Q24" s="3"/>
      <c r="R24" s="3"/>
      <c r="S24" s="3"/>
      <c r="T24" s="3"/>
      <c r="U24" s="3"/>
    </row>
    <row r="25" spans="1:21" x14ac:dyDescent="0.2">
      <c r="A25" s="4">
        <v>5.15</v>
      </c>
      <c r="B25" s="4">
        <v>16</v>
      </c>
      <c r="C25" s="4">
        <v>39</v>
      </c>
      <c r="D25" s="4">
        <v>21</v>
      </c>
      <c r="E25" s="4">
        <v>1</v>
      </c>
      <c r="F25" s="4">
        <v>0</v>
      </c>
      <c r="G25" s="4">
        <v>0</v>
      </c>
      <c r="H25" s="4">
        <v>0</v>
      </c>
      <c r="I25" s="4">
        <v>1</v>
      </c>
      <c r="J25" s="4">
        <v>0</v>
      </c>
      <c r="K25" s="2" t="s">
        <v>79</v>
      </c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">
      <c r="A26" s="4">
        <v>6.88</v>
      </c>
      <c r="B26" s="4">
        <v>13</v>
      </c>
      <c r="C26" s="4">
        <v>34</v>
      </c>
      <c r="D26" s="4">
        <v>21</v>
      </c>
      <c r="E26" s="4">
        <v>0</v>
      </c>
      <c r="F26" s="4">
        <v>1</v>
      </c>
      <c r="G26" s="4">
        <v>0</v>
      </c>
      <c r="H26" s="4">
        <v>1</v>
      </c>
      <c r="I26" s="4">
        <v>0</v>
      </c>
      <c r="J26" s="4">
        <v>0</v>
      </c>
      <c r="K26" s="2" t="s">
        <v>79</v>
      </c>
      <c r="M26" s="38" t="s">
        <v>9</v>
      </c>
      <c r="N26" s="39"/>
      <c r="O26" s="39"/>
      <c r="P26" s="39"/>
      <c r="Q26" s="39"/>
      <c r="R26" s="40"/>
      <c r="S26" s="3"/>
      <c r="T26" s="3"/>
      <c r="U26" s="3"/>
    </row>
    <row r="27" spans="1:21" x14ac:dyDescent="0.2">
      <c r="A27" s="4">
        <v>18.18</v>
      </c>
      <c r="B27" s="4">
        <v>17</v>
      </c>
      <c r="C27" s="4">
        <v>22</v>
      </c>
      <c r="D27" s="4">
        <v>21</v>
      </c>
      <c r="E27" s="10">
        <v>2</v>
      </c>
      <c r="F27" s="4">
        <v>1</v>
      </c>
      <c r="G27" s="4">
        <v>0</v>
      </c>
      <c r="H27" s="4">
        <v>0</v>
      </c>
      <c r="I27" s="4">
        <v>1</v>
      </c>
      <c r="J27" s="4">
        <v>0</v>
      </c>
      <c r="K27" s="2" t="s">
        <v>79</v>
      </c>
      <c r="M27" s="19"/>
      <c r="N27" s="19" t="s">
        <v>14</v>
      </c>
      <c r="O27" s="19" t="s">
        <v>15</v>
      </c>
      <c r="P27" s="19" t="s">
        <v>16</v>
      </c>
      <c r="Q27" s="19" t="s">
        <v>17</v>
      </c>
      <c r="R27" s="19" t="s">
        <v>18</v>
      </c>
      <c r="S27" s="3"/>
      <c r="T27" s="3"/>
      <c r="U27" s="3"/>
    </row>
    <row r="28" spans="1:21" x14ac:dyDescent="0.2">
      <c r="A28" s="4">
        <v>11.71</v>
      </c>
      <c r="B28" s="4">
        <v>13</v>
      </c>
      <c r="C28" s="4">
        <v>40</v>
      </c>
      <c r="D28" s="4">
        <v>20</v>
      </c>
      <c r="E28" s="4">
        <v>1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2" t="s">
        <v>79</v>
      </c>
      <c r="M28" s="2" t="s">
        <v>10</v>
      </c>
      <c r="N28" s="23">
        <v>9</v>
      </c>
      <c r="O28" s="23">
        <v>1763.671181684826</v>
      </c>
      <c r="P28" s="23">
        <v>195.96346463164733</v>
      </c>
      <c r="Q28" s="23">
        <v>22.955633902761413</v>
      </c>
      <c r="R28" s="33">
        <v>2.9169466555734178E-31</v>
      </c>
      <c r="S28" s="3"/>
      <c r="T28" s="3"/>
      <c r="U28" s="3"/>
    </row>
    <row r="29" spans="1:21" x14ac:dyDescent="0.2">
      <c r="A29" s="4">
        <v>3.5</v>
      </c>
      <c r="B29" s="4">
        <v>12</v>
      </c>
      <c r="C29" s="4">
        <v>26</v>
      </c>
      <c r="D29" s="4">
        <v>20</v>
      </c>
      <c r="E29" s="4">
        <v>1</v>
      </c>
      <c r="F29" s="4">
        <v>1</v>
      </c>
      <c r="G29" s="4">
        <v>0</v>
      </c>
      <c r="H29" s="4">
        <v>1</v>
      </c>
      <c r="I29" s="4">
        <v>0</v>
      </c>
      <c r="J29" s="4">
        <v>0</v>
      </c>
      <c r="K29" s="2" t="s">
        <v>79</v>
      </c>
      <c r="M29" s="2" t="s">
        <v>11</v>
      </c>
      <c r="N29" s="23">
        <v>384</v>
      </c>
      <c r="O29" s="23">
        <v>3278.0610954725366</v>
      </c>
      <c r="P29" s="23">
        <v>8.5366174361263969</v>
      </c>
      <c r="Q29" s="23"/>
      <c r="R29" s="23"/>
      <c r="S29" s="3"/>
      <c r="T29" s="3"/>
      <c r="U29" s="3"/>
    </row>
    <row r="30" spans="1:21" x14ac:dyDescent="0.2">
      <c r="A30" s="4">
        <v>10.95</v>
      </c>
      <c r="B30" s="4">
        <v>16</v>
      </c>
      <c r="C30" s="4">
        <v>23</v>
      </c>
      <c r="D30" s="4">
        <v>20</v>
      </c>
      <c r="E30" s="4">
        <v>0</v>
      </c>
      <c r="F30" s="4">
        <v>1</v>
      </c>
      <c r="G30" s="4">
        <v>0</v>
      </c>
      <c r="H30" s="4">
        <v>1</v>
      </c>
      <c r="I30" s="4">
        <v>0</v>
      </c>
      <c r="J30" s="4">
        <v>0</v>
      </c>
      <c r="K30" s="2" t="s">
        <v>79</v>
      </c>
      <c r="M30" s="2" t="s">
        <v>12</v>
      </c>
      <c r="N30" s="23">
        <v>393</v>
      </c>
      <c r="O30" s="23">
        <v>5041.7322771573627</v>
      </c>
      <c r="P30" s="23"/>
      <c r="Q30" s="23"/>
      <c r="R30" s="23"/>
      <c r="S30" s="3"/>
      <c r="T30" s="3"/>
      <c r="U30" s="3"/>
    </row>
    <row r="31" spans="1:21" x14ac:dyDescent="0.2">
      <c r="A31" s="4">
        <v>6.88</v>
      </c>
      <c r="B31" s="4">
        <v>12</v>
      </c>
      <c r="C31" s="4">
        <v>31</v>
      </c>
      <c r="D31" s="4">
        <v>19</v>
      </c>
      <c r="E31" s="4">
        <v>0</v>
      </c>
      <c r="F31" s="4">
        <v>1</v>
      </c>
      <c r="G31" s="4">
        <v>1</v>
      </c>
      <c r="H31" s="4">
        <v>0</v>
      </c>
      <c r="I31" s="4">
        <v>0</v>
      </c>
      <c r="J31" s="4">
        <v>0</v>
      </c>
      <c r="K31" s="2" t="s">
        <v>79</v>
      </c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2">
      <c r="A32" s="4">
        <v>4.67</v>
      </c>
      <c r="B32" s="4">
        <v>15</v>
      </c>
      <c r="C32" s="4">
        <v>13</v>
      </c>
      <c r="D32" s="4">
        <v>18</v>
      </c>
      <c r="E32" s="4">
        <v>0</v>
      </c>
      <c r="F32" s="4">
        <v>1</v>
      </c>
      <c r="G32" s="4">
        <v>0</v>
      </c>
      <c r="H32" s="4">
        <v>0</v>
      </c>
      <c r="I32" s="4">
        <v>1</v>
      </c>
      <c r="J32" s="4">
        <v>1</v>
      </c>
      <c r="K32" s="2" t="s">
        <v>79</v>
      </c>
      <c r="M32" s="19"/>
      <c r="N32" s="31" t="s">
        <v>19</v>
      </c>
      <c r="O32" s="19" t="s">
        <v>7</v>
      </c>
      <c r="P32" s="19" t="s">
        <v>20</v>
      </c>
      <c r="Q32" s="31" t="s">
        <v>21</v>
      </c>
      <c r="R32" s="19" t="s">
        <v>22</v>
      </c>
      <c r="S32" s="19" t="s">
        <v>23</v>
      </c>
      <c r="T32" s="19" t="s">
        <v>24</v>
      </c>
      <c r="U32" s="19" t="s">
        <v>25</v>
      </c>
    </row>
    <row r="33" spans="1:21" x14ac:dyDescent="0.2">
      <c r="A33" s="4">
        <v>4.08</v>
      </c>
      <c r="B33" s="4">
        <v>12</v>
      </c>
      <c r="C33" s="4">
        <v>43</v>
      </c>
      <c r="D33" s="4">
        <v>17</v>
      </c>
      <c r="E33" s="10">
        <v>2</v>
      </c>
      <c r="F33" s="4">
        <v>1</v>
      </c>
      <c r="G33" s="4">
        <v>1</v>
      </c>
      <c r="H33" s="4">
        <v>0</v>
      </c>
      <c r="I33" s="4">
        <v>0</v>
      </c>
      <c r="J33" s="4">
        <v>0</v>
      </c>
      <c r="K33" s="2" t="s">
        <v>79</v>
      </c>
      <c r="M33" s="2" t="s">
        <v>13</v>
      </c>
      <c r="N33" s="32">
        <v>-1.0598909867250783</v>
      </c>
      <c r="O33" s="25">
        <v>0.89619959350913425</v>
      </c>
      <c r="P33" s="25">
        <v>-1.1826505997118326</v>
      </c>
      <c r="Q33" s="30">
        <v>0.23767938608964348</v>
      </c>
      <c r="R33" s="25">
        <v>-2.8219636404843893</v>
      </c>
      <c r="S33" s="25">
        <v>0.70218166703423268</v>
      </c>
      <c r="T33" s="25">
        <v>-2.8219636404843893</v>
      </c>
      <c r="U33" s="25">
        <v>0.70218166703423268</v>
      </c>
    </row>
    <row r="34" spans="1:21" x14ac:dyDescent="0.2">
      <c r="A34" s="4">
        <v>6.26</v>
      </c>
      <c r="B34" s="4">
        <v>13</v>
      </c>
      <c r="C34" s="4">
        <v>37</v>
      </c>
      <c r="D34" s="4">
        <v>17</v>
      </c>
      <c r="E34" s="4">
        <v>1</v>
      </c>
      <c r="F34" s="4">
        <v>1</v>
      </c>
      <c r="G34" s="4">
        <v>0</v>
      </c>
      <c r="H34" s="4">
        <v>0</v>
      </c>
      <c r="I34" s="4">
        <v>0</v>
      </c>
      <c r="J34" s="4">
        <v>0</v>
      </c>
      <c r="K34" s="2" t="s">
        <v>79</v>
      </c>
      <c r="M34" s="2" t="s">
        <v>0</v>
      </c>
      <c r="N34" s="32">
        <v>0.51109251033416525</v>
      </c>
      <c r="O34" s="25">
        <v>5.8205510522935988E-2</v>
      </c>
      <c r="P34" s="25">
        <v>8.7808268623083094</v>
      </c>
      <c r="Q34" s="30">
        <v>5.4303084138514842E-17</v>
      </c>
      <c r="R34" s="25">
        <v>0.39665110784593705</v>
      </c>
      <c r="S34" s="25">
        <v>0.62553391282239346</v>
      </c>
      <c r="T34" s="25">
        <v>0.39665110784593705</v>
      </c>
      <c r="U34" s="25">
        <v>0.62553391282239346</v>
      </c>
    </row>
    <row r="35" spans="1:21" x14ac:dyDescent="0.2">
      <c r="A35" s="4">
        <v>4.95</v>
      </c>
      <c r="B35" s="4">
        <v>7</v>
      </c>
      <c r="C35" s="4">
        <v>25</v>
      </c>
      <c r="D35" s="4">
        <v>17</v>
      </c>
      <c r="E35" s="4">
        <v>0</v>
      </c>
      <c r="F35" s="4">
        <v>1</v>
      </c>
      <c r="G35" s="4">
        <v>0</v>
      </c>
      <c r="H35" s="4">
        <v>0</v>
      </c>
      <c r="I35" s="4">
        <v>0</v>
      </c>
      <c r="J35" s="4">
        <v>1</v>
      </c>
      <c r="K35" s="2" t="s">
        <v>79</v>
      </c>
      <c r="M35" s="2" t="s">
        <v>1</v>
      </c>
      <c r="N35" s="32">
        <v>1.9608179406773577E-2</v>
      </c>
      <c r="O35" s="25">
        <v>1.418451082067493E-2</v>
      </c>
      <c r="P35" s="25">
        <v>1.3823655714790859</v>
      </c>
      <c r="Q35" s="35">
        <v>0.1676629551982898</v>
      </c>
      <c r="R35" s="25">
        <v>-8.2808520155661508E-3</v>
      </c>
      <c r="S35" s="25">
        <v>4.7497210829113304E-2</v>
      </c>
      <c r="T35" s="25">
        <v>-8.2808520155661508E-3</v>
      </c>
      <c r="U35" s="25">
        <v>4.7497210829113304E-2</v>
      </c>
    </row>
    <row r="36" spans="1:21" x14ac:dyDescent="0.2">
      <c r="A36" s="4">
        <v>13.95</v>
      </c>
      <c r="B36" s="4">
        <v>16</v>
      </c>
      <c r="C36" s="4">
        <v>41</v>
      </c>
      <c r="D36" s="4">
        <v>16</v>
      </c>
      <c r="E36" s="4">
        <v>0</v>
      </c>
      <c r="F36" s="4">
        <v>1</v>
      </c>
      <c r="G36" s="4">
        <v>1</v>
      </c>
      <c r="H36" s="4">
        <v>0</v>
      </c>
      <c r="I36" s="4">
        <v>0</v>
      </c>
      <c r="J36" s="4">
        <v>0</v>
      </c>
      <c r="K36" s="2" t="s">
        <v>79</v>
      </c>
      <c r="M36" s="2" t="s">
        <v>49</v>
      </c>
      <c r="N36" s="32">
        <v>0.14312730673866325</v>
      </c>
      <c r="O36" s="25">
        <v>2.5858336257459574E-2</v>
      </c>
      <c r="P36" s="25">
        <v>5.5350547426412282</v>
      </c>
      <c r="Q36" s="30">
        <v>5.7736978475056062E-8</v>
      </c>
      <c r="R36" s="25">
        <v>9.2285655480407014E-2</v>
      </c>
      <c r="S36" s="25">
        <v>0.19396895799691949</v>
      </c>
      <c r="T36" s="25">
        <v>9.2285655480407014E-2</v>
      </c>
      <c r="U36" s="25">
        <v>0.19396895799691949</v>
      </c>
    </row>
    <row r="37" spans="1:21" x14ac:dyDescent="0.2">
      <c r="A37" s="4">
        <v>4.2</v>
      </c>
      <c r="B37" s="4">
        <v>14</v>
      </c>
      <c r="C37" s="4">
        <v>33</v>
      </c>
      <c r="D37" s="4">
        <v>16</v>
      </c>
      <c r="E37" s="4">
        <v>1</v>
      </c>
      <c r="F37" s="4">
        <v>1</v>
      </c>
      <c r="G37" s="4">
        <v>0</v>
      </c>
      <c r="H37" s="4">
        <v>0</v>
      </c>
      <c r="I37" s="4">
        <v>0</v>
      </c>
      <c r="J37" s="4">
        <v>0</v>
      </c>
      <c r="K37" s="2" t="s">
        <v>79</v>
      </c>
      <c r="M37" s="2" t="s">
        <v>50</v>
      </c>
      <c r="N37" s="32">
        <v>-1.2010938275399028</v>
      </c>
      <c r="O37" s="25">
        <v>0.26230792684276083</v>
      </c>
      <c r="P37" s="25">
        <v>-4.5789459815291531</v>
      </c>
      <c r="Q37" s="30">
        <v>6.3227767462785103E-6</v>
      </c>
      <c r="R37" s="25">
        <v>-1.7168334329821762</v>
      </c>
      <c r="S37" s="25">
        <v>-0.68535422209762931</v>
      </c>
      <c r="T37" s="25">
        <v>-1.7168334329821762</v>
      </c>
      <c r="U37" s="25">
        <v>-0.68535422209762931</v>
      </c>
    </row>
    <row r="38" spans="1:21" x14ac:dyDescent="0.2">
      <c r="A38" s="4">
        <v>18</v>
      </c>
      <c r="B38" s="4">
        <v>12</v>
      </c>
      <c r="C38" s="4">
        <v>24</v>
      </c>
      <c r="D38" s="4">
        <v>16</v>
      </c>
      <c r="E38" s="4">
        <v>0</v>
      </c>
      <c r="F38" s="4">
        <v>1</v>
      </c>
      <c r="G38" s="4">
        <v>1</v>
      </c>
      <c r="H38" s="4">
        <v>0</v>
      </c>
      <c r="I38" s="4">
        <v>0</v>
      </c>
      <c r="J38" s="4">
        <v>0</v>
      </c>
      <c r="K38" s="2" t="s">
        <v>79</v>
      </c>
      <c r="M38" s="2" t="s">
        <v>51</v>
      </c>
      <c r="N38" s="32">
        <v>0.49333469584375567</v>
      </c>
      <c r="O38" s="25">
        <v>0.33509470021956606</v>
      </c>
      <c r="P38" s="25">
        <v>1.4722247040030925</v>
      </c>
      <c r="Q38" s="35">
        <v>0.14177930692150081</v>
      </c>
      <c r="R38" s="25">
        <v>-0.16551542186783352</v>
      </c>
      <c r="S38" s="25">
        <v>1.152184813555345</v>
      </c>
      <c r="T38" s="25">
        <v>-0.16551542186783352</v>
      </c>
      <c r="U38" s="25">
        <v>1.152184813555345</v>
      </c>
    </row>
    <row r="39" spans="1:21" x14ac:dyDescent="0.2">
      <c r="A39" s="4">
        <v>3.51</v>
      </c>
      <c r="B39" s="4">
        <v>4</v>
      </c>
      <c r="C39" s="4">
        <v>39</v>
      </c>
      <c r="D39" s="4">
        <v>15</v>
      </c>
      <c r="E39" s="4">
        <v>0</v>
      </c>
      <c r="F39" s="4">
        <v>1</v>
      </c>
      <c r="G39" s="4">
        <v>0</v>
      </c>
      <c r="H39" s="4">
        <v>0</v>
      </c>
      <c r="I39" s="4">
        <v>1</v>
      </c>
      <c r="J39" s="4">
        <v>0</v>
      </c>
      <c r="K39" s="2" t="s">
        <v>79</v>
      </c>
      <c r="M39" s="2" t="s">
        <v>53</v>
      </c>
      <c r="N39" s="32">
        <v>-0.51048276390590075</v>
      </c>
      <c r="O39" s="25">
        <v>0.42387154275697309</v>
      </c>
      <c r="P39" s="25">
        <v>-1.2043336539782437</v>
      </c>
      <c r="Q39" s="35">
        <v>0.2292024273133636</v>
      </c>
      <c r="R39" s="25">
        <v>-1.343882443629389</v>
      </c>
      <c r="S39" s="25">
        <v>0.32291691581758741</v>
      </c>
      <c r="T39" s="25">
        <v>-1.343882443629389</v>
      </c>
      <c r="U39" s="25">
        <v>0.32291691581758741</v>
      </c>
    </row>
    <row r="40" spans="1:21" x14ac:dyDescent="0.2">
      <c r="A40" s="4">
        <v>5.83</v>
      </c>
      <c r="B40" s="4">
        <v>8</v>
      </c>
      <c r="C40" s="4">
        <v>36</v>
      </c>
      <c r="D40" s="4">
        <v>15</v>
      </c>
      <c r="E40" s="4">
        <v>1</v>
      </c>
      <c r="F40" s="4">
        <v>1</v>
      </c>
      <c r="G40" s="4">
        <v>0</v>
      </c>
      <c r="H40" s="4">
        <v>0</v>
      </c>
      <c r="I40" s="4">
        <v>0</v>
      </c>
      <c r="J40" s="4">
        <v>0</v>
      </c>
      <c r="K40" s="2" t="s">
        <v>79</v>
      </c>
      <c r="M40" s="2" t="s">
        <v>34</v>
      </c>
      <c r="N40" s="32">
        <v>-0.55369071865640163</v>
      </c>
      <c r="O40" s="25">
        <v>0.39978584762179425</v>
      </c>
      <c r="P40" s="25">
        <v>-1.3849682822694729</v>
      </c>
      <c r="Q40" s="35">
        <v>0.16686624472738584</v>
      </c>
      <c r="R40" s="25">
        <v>-1.3397340448936061</v>
      </c>
      <c r="S40" s="25">
        <v>0.23235260758080289</v>
      </c>
      <c r="T40" s="25">
        <v>-1.3397340448936061</v>
      </c>
      <c r="U40" s="25">
        <v>0.23235260758080289</v>
      </c>
    </row>
    <row r="41" spans="1:21" x14ac:dyDescent="0.2">
      <c r="A41" s="4">
        <v>2.14</v>
      </c>
      <c r="B41" s="4">
        <v>13</v>
      </c>
      <c r="C41" s="4">
        <v>34</v>
      </c>
      <c r="D41" s="4">
        <v>15</v>
      </c>
      <c r="E41" s="4">
        <v>1</v>
      </c>
      <c r="F41" s="4">
        <v>1</v>
      </c>
      <c r="G41" s="4">
        <v>0</v>
      </c>
      <c r="H41" s="4">
        <v>1</v>
      </c>
      <c r="I41" s="4">
        <v>0</v>
      </c>
      <c r="J41" s="4">
        <v>0</v>
      </c>
      <c r="K41" s="2" t="s">
        <v>79</v>
      </c>
      <c r="M41" s="2" t="s">
        <v>35</v>
      </c>
      <c r="N41" s="32">
        <v>0.74739115889181196</v>
      </c>
      <c r="O41" s="25">
        <v>0.47464162521833086</v>
      </c>
      <c r="P41" s="25">
        <v>1.5746430974064249</v>
      </c>
      <c r="Q41" s="35">
        <v>0.11616233894582219</v>
      </c>
      <c r="R41" s="25">
        <v>-0.18583067493908256</v>
      </c>
      <c r="S41" s="25">
        <v>1.6806129927227065</v>
      </c>
      <c r="T41" s="25">
        <v>-0.18583067493908256</v>
      </c>
      <c r="U41" s="25">
        <v>1.6806129927227065</v>
      </c>
    </row>
    <row r="42" spans="1:21" x14ac:dyDescent="0.2">
      <c r="A42" s="4">
        <v>18</v>
      </c>
      <c r="B42" s="4">
        <v>12</v>
      </c>
      <c r="C42" s="4">
        <v>31</v>
      </c>
      <c r="D42" s="4">
        <v>15</v>
      </c>
      <c r="E42" s="4">
        <v>0</v>
      </c>
      <c r="F42" s="4">
        <v>1</v>
      </c>
      <c r="G42" s="4">
        <v>0</v>
      </c>
      <c r="H42" s="4">
        <v>0</v>
      </c>
      <c r="I42" s="4">
        <v>1</v>
      </c>
      <c r="J42" s="4">
        <v>0</v>
      </c>
      <c r="K42" s="2" t="s">
        <v>79</v>
      </c>
      <c r="M42" s="2" t="s">
        <v>40</v>
      </c>
      <c r="N42" s="32">
        <v>0.99038426730636975</v>
      </c>
      <c r="O42" s="25">
        <v>0.77684186110224562</v>
      </c>
      <c r="P42" s="25">
        <v>1.2748852976346217</v>
      </c>
      <c r="Q42" s="35">
        <v>0.20312068885979295</v>
      </c>
      <c r="R42" s="25">
        <v>-0.53701187263598149</v>
      </c>
      <c r="S42" s="25">
        <v>2.5177804072487211</v>
      </c>
      <c r="T42" s="25">
        <v>-0.53701187263598149</v>
      </c>
      <c r="U42" s="25">
        <v>2.5177804072487211</v>
      </c>
    </row>
    <row r="43" spans="1:21" x14ac:dyDescent="0.2">
      <c r="A43" s="4">
        <v>4.5</v>
      </c>
      <c r="B43" s="4">
        <v>12</v>
      </c>
      <c r="C43" s="4">
        <v>37</v>
      </c>
      <c r="D43" s="4">
        <v>14</v>
      </c>
      <c r="E43" s="4">
        <v>1</v>
      </c>
      <c r="F43" s="4">
        <v>1</v>
      </c>
      <c r="G43" s="4">
        <v>0</v>
      </c>
      <c r="H43" s="4">
        <v>0</v>
      </c>
      <c r="I43" s="4">
        <v>1</v>
      </c>
      <c r="J43" s="4">
        <v>0</v>
      </c>
      <c r="K43" s="2" t="s">
        <v>79</v>
      </c>
      <c r="M43" s="2"/>
      <c r="N43" s="32"/>
      <c r="O43" s="25"/>
      <c r="P43" s="25"/>
      <c r="Q43" s="35"/>
      <c r="R43" s="25"/>
      <c r="S43" s="25"/>
      <c r="T43" s="25"/>
      <c r="U43" s="25"/>
    </row>
    <row r="44" spans="1:21" x14ac:dyDescent="0.2">
      <c r="A44" s="4">
        <v>6.5</v>
      </c>
      <c r="B44" s="4">
        <v>12</v>
      </c>
      <c r="C44" s="4">
        <v>20</v>
      </c>
      <c r="D44" s="4">
        <v>14</v>
      </c>
      <c r="E44" s="4">
        <v>0</v>
      </c>
      <c r="F44" s="4">
        <v>1</v>
      </c>
      <c r="G44" s="4">
        <v>0</v>
      </c>
      <c r="H44" s="4">
        <v>0</v>
      </c>
      <c r="I44" s="4">
        <v>1</v>
      </c>
      <c r="J44" s="4">
        <v>0</v>
      </c>
      <c r="K44" s="2" t="s">
        <v>79</v>
      </c>
    </row>
    <row r="45" spans="1:21" x14ac:dyDescent="0.2">
      <c r="A45" s="4">
        <v>11.82</v>
      </c>
      <c r="B45" s="4">
        <v>16</v>
      </c>
      <c r="C45" s="4">
        <v>35</v>
      </c>
      <c r="D45" s="4">
        <v>13</v>
      </c>
      <c r="E45" s="4">
        <v>0</v>
      </c>
      <c r="F45" s="4">
        <v>1</v>
      </c>
      <c r="G45" s="4">
        <v>0</v>
      </c>
      <c r="H45" s="4">
        <v>0</v>
      </c>
      <c r="I45" s="4">
        <v>1</v>
      </c>
      <c r="J45" s="4">
        <v>0</v>
      </c>
      <c r="K45" s="2" t="s">
        <v>79</v>
      </c>
    </row>
    <row r="46" spans="1:21" x14ac:dyDescent="0.2">
      <c r="A46" s="4">
        <v>3.29</v>
      </c>
      <c r="B46" s="4">
        <v>14</v>
      </c>
      <c r="C46" s="4">
        <v>30</v>
      </c>
      <c r="D46" s="4">
        <v>13</v>
      </c>
      <c r="E46" s="4">
        <v>0</v>
      </c>
      <c r="F46" s="4">
        <v>0</v>
      </c>
      <c r="G46" s="4">
        <v>1</v>
      </c>
      <c r="H46" s="4">
        <v>0</v>
      </c>
      <c r="I46" s="4">
        <v>0</v>
      </c>
      <c r="J46" s="4">
        <v>0</v>
      </c>
      <c r="K46" s="2" t="s">
        <v>79</v>
      </c>
      <c r="M46" s="3"/>
      <c r="N46" s="3"/>
      <c r="O46" s="3"/>
      <c r="P46" s="3"/>
      <c r="Q46" s="3"/>
      <c r="R46" s="3"/>
      <c r="S46" s="3"/>
      <c r="T46" s="3"/>
      <c r="U46" s="3"/>
    </row>
    <row r="47" spans="1:21" x14ac:dyDescent="0.2">
      <c r="A47" s="4">
        <v>8.48</v>
      </c>
      <c r="B47" s="4">
        <v>12</v>
      </c>
      <c r="C47" s="4">
        <v>29</v>
      </c>
      <c r="D47" s="4">
        <v>13</v>
      </c>
      <c r="E47" s="4">
        <v>0</v>
      </c>
      <c r="F47" s="4">
        <v>1</v>
      </c>
      <c r="G47" s="4">
        <v>0</v>
      </c>
      <c r="H47" s="4">
        <v>0</v>
      </c>
      <c r="I47" s="4">
        <v>1</v>
      </c>
      <c r="J47" s="4">
        <v>0</v>
      </c>
      <c r="K47" s="2" t="s">
        <v>79</v>
      </c>
    </row>
    <row r="48" spans="1:21" x14ac:dyDescent="0.2">
      <c r="A48" s="4">
        <v>6</v>
      </c>
      <c r="B48" s="4">
        <v>13</v>
      </c>
      <c r="C48" s="4">
        <v>21</v>
      </c>
      <c r="D48" s="4">
        <v>13</v>
      </c>
      <c r="E48" s="4">
        <v>0</v>
      </c>
      <c r="F48" s="4">
        <v>1</v>
      </c>
      <c r="G48" s="4">
        <v>0</v>
      </c>
      <c r="H48" s="4">
        <v>1</v>
      </c>
      <c r="I48" s="4">
        <v>0</v>
      </c>
      <c r="J48" s="4">
        <v>0</v>
      </c>
      <c r="K48" s="2" t="s">
        <v>79</v>
      </c>
    </row>
    <row r="49" spans="1:11" x14ac:dyDescent="0.2">
      <c r="A49" s="4">
        <v>13.7</v>
      </c>
      <c r="B49" s="4">
        <v>15</v>
      </c>
      <c r="C49" s="4">
        <v>20</v>
      </c>
      <c r="D49" s="4">
        <v>13</v>
      </c>
      <c r="E49" s="4">
        <v>0</v>
      </c>
      <c r="F49" s="4">
        <v>1</v>
      </c>
      <c r="G49" s="4">
        <v>0</v>
      </c>
      <c r="H49" s="4">
        <v>0</v>
      </c>
      <c r="I49" s="4">
        <v>1</v>
      </c>
      <c r="J49" s="4">
        <v>0</v>
      </c>
      <c r="K49" s="2" t="s">
        <v>79</v>
      </c>
    </row>
    <row r="50" spans="1:11" x14ac:dyDescent="0.2">
      <c r="A50" s="4">
        <v>4</v>
      </c>
      <c r="B50" s="4">
        <v>11</v>
      </c>
      <c r="C50" s="9">
        <v>43.93</v>
      </c>
      <c r="D50" s="4">
        <v>12</v>
      </c>
      <c r="E50" s="4">
        <v>1</v>
      </c>
      <c r="F50" s="4">
        <v>1</v>
      </c>
      <c r="G50" s="4">
        <v>0</v>
      </c>
      <c r="H50" s="4">
        <v>0</v>
      </c>
      <c r="I50" s="4">
        <v>1</v>
      </c>
      <c r="J50" s="4">
        <v>0</v>
      </c>
      <c r="K50" s="2" t="s">
        <v>79</v>
      </c>
    </row>
    <row r="51" spans="1:11" x14ac:dyDescent="0.2">
      <c r="A51" s="4">
        <v>4.5</v>
      </c>
      <c r="B51" s="4">
        <v>12</v>
      </c>
      <c r="C51" s="4">
        <v>35</v>
      </c>
      <c r="D51" s="4">
        <v>12</v>
      </c>
      <c r="E51" s="4">
        <v>1</v>
      </c>
      <c r="F51" s="4">
        <v>1</v>
      </c>
      <c r="G51" s="4">
        <v>0</v>
      </c>
      <c r="H51" s="4">
        <v>0</v>
      </c>
      <c r="I51" s="4">
        <v>0</v>
      </c>
      <c r="J51" s="4">
        <v>0</v>
      </c>
      <c r="K51" s="2" t="s">
        <v>79</v>
      </c>
    </row>
    <row r="52" spans="1:11" x14ac:dyDescent="0.2">
      <c r="A52" s="4">
        <v>6.15</v>
      </c>
      <c r="B52" s="4">
        <v>12</v>
      </c>
      <c r="C52" s="4">
        <v>35</v>
      </c>
      <c r="D52" s="4">
        <v>12</v>
      </c>
      <c r="E52" s="4">
        <v>1</v>
      </c>
      <c r="F52" s="4">
        <v>0</v>
      </c>
      <c r="G52" s="4">
        <v>1</v>
      </c>
      <c r="H52" s="4">
        <v>0</v>
      </c>
      <c r="I52" s="4">
        <v>0</v>
      </c>
      <c r="J52" s="4">
        <v>0</v>
      </c>
      <c r="K52" s="2" t="s">
        <v>79</v>
      </c>
    </row>
    <row r="53" spans="1:11" x14ac:dyDescent="0.2">
      <c r="A53" s="4">
        <v>3</v>
      </c>
      <c r="B53" s="4">
        <v>8</v>
      </c>
      <c r="C53" s="4">
        <v>33</v>
      </c>
      <c r="D53" s="4">
        <v>12</v>
      </c>
      <c r="E53" s="4">
        <v>1</v>
      </c>
      <c r="F53" s="4">
        <v>1</v>
      </c>
      <c r="G53" s="4">
        <v>0</v>
      </c>
      <c r="H53" s="4">
        <v>1</v>
      </c>
      <c r="I53" s="4">
        <v>0</v>
      </c>
      <c r="J53" s="4">
        <v>0</v>
      </c>
      <c r="K53" s="2" t="s">
        <v>79</v>
      </c>
    </row>
    <row r="54" spans="1:11" x14ac:dyDescent="0.2">
      <c r="A54" s="4">
        <v>9.1300000000000008</v>
      </c>
      <c r="B54" s="4">
        <v>12</v>
      </c>
      <c r="C54" s="4">
        <v>14</v>
      </c>
      <c r="D54" s="4">
        <v>12</v>
      </c>
      <c r="E54" s="4">
        <v>0</v>
      </c>
      <c r="F54" s="4">
        <v>1</v>
      </c>
      <c r="G54" s="4">
        <v>0</v>
      </c>
      <c r="H54" s="4">
        <v>1</v>
      </c>
      <c r="I54" s="4">
        <v>0</v>
      </c>
      <c r="J54" s="4">
        <v>0</v>
      </c>
      <c r="K54" s="2" t="s">
        <v>79</v>
      </c>
    </row>
    <row r="55" spans="1:11" x14ac:dyDescent="0.2">
      <c r="A55" s="4">
        <v>9.09</v>
      </c>
      <c r="B55" s="4">
        <v>15</v>
      </c>
      <c r="C55" s="4">
        <v>11</v>
      </c>
      <c r="D55" s="4">
        <v>12</v>
      </c>
      <c r="E55" s="4">
        <v>0</v>
      </c>
      <c r="F55" s="4">
        <v>1</v>
      </c>
      <c r="G55" s="4">
        <v>0</v>
      </c>
      <c r="H55" s="4">
        <v>0</v>
      </c>
      <c r="I55" s="4">
        <v>1</v>
      </c>
      <c r="J55" s="4">
        <v>0</v>
      </c>
      <c r="K55" s="2" t="s">
        <v>79</v>
      </c>
    </row>
    <row r="56" spans="1:11" x14ac:dyDescent="0.2">
      <c r="A56" s="4">
        <v>4.4400000000000004</v>
      </c>
      <c r="B56" s="4">
        <v>8</v>
      </c>
      <c r="C56" s="4">
        <v>29</v>
      </c>
      <c r="D56" s="4">
        <v>11</v>
      </c>
      <c r="E56" s="4">
        <v>0</v>
      </c>
      <c r="F56" s="4">
        <v>1</v>
      </c>
      <c r="G56" s="4">
        <v>0</v>
      </c>
      <c r="H56" s="4">
        <v>1</v>
      </c>
      <c r="I56" s="4">
        <v>0</v>
      </c>
      <c r="J56" s="4">
        <v>0</v>
      </c>
      <c r="K56" s="2" t="s">
        <v>79</v>
      </c>
    </row>
    <row r="57" spans="1:11" x14ac:dyDescent="0.2">
      <c r="A57" s="4">
        <v>6.5</v>
      </c>
      <c r="B57" s="4">
        <v>10</v>
      </c>
      <c r="C57" s="4">
        <v>14</v>
      </c>
      <c r="D57" s="4">
        <v>11</v>
      </c>
      <c r="E57" s="4">
        <v>0</v>
      </c>
      <c r="F57" s="4">
        <v>1</v>
      </c>
      <c r="G57" s="4">
        <v>0</v>
      </c>
      <c r="H57" s="4">
        <v>1</v>
      </c>
      <c r="I57" s="4">
        <v>0</v>
      </c>
      <c r="J57" s="4">
        <v>0</v>
      </c>
      <c r="K57" s="2" t="s">
        <v>79</v>
      </c>
    </row>
    <row r="58" spans="1:11" x14ac:dyDescent="0.2">
      <c r="A58" s="4">
        <v>5</v>
      </c>
      <c r="B58" s="4">
        <v>12</v>
      </c>
      <c r="C58" s="4">
        <v>14</v>
      </c>
      <c r="D58" s="4">
        <v>11</v>
      </c>
      <c r="E58" s="4">
        <v>1</v>
      </c>
      <c r="F58" s="4">
        <v>0</v>
      </c>
      <c r="G58" s="4">
        <v>1</v>
      </c>
      <c r="H58" s="4">
        <v>0</v>
      </c>
      <c r="I58" s="4">
        <v>0</v>
      </c>
      <c r="J58" s="4">
        <v>0</v>
      </c>
      <c r="K58" s="2" t="s">
        <v>79</v>
      </c>
    </row>
    <row r="59" spans="1:11" x14ac:dyDescent="0.2">
      <c r="A59" s="4">
        <v>13.33</v>
      </c>
      <c r="B59" s="4">
        <v>12</v>
      </c>
      <c r="C59" s="4">
        <v>14</v>
      </c>
      <c r="D59" s="4">
        <v>11</v>
      </c>
      <c r="E59" s="4">
        <v>0</v>
      </c>
      <c r="F59" s="4">
        <v>1</v>
      </c>
      <c r="G59" s="4">
        <v>0</v>
      </c>
      <c r="H59" s="4">
        <v>0</v>
      </c>
      <c r="I59" s="4">
        <v>0</v>
      </c>
      <c r="J59" s="4">
        <v>0</v>
      </c>
      <c r="K59" s="2" t="s">
        <v>79</v>
      </c>
    </row>
    <row r="60" spans="1:11" x14ac:dyDescent="0.2">
      <c r="A60" s="4">
        <v>5.25</v>
      </c>
      <c r="B60" s="4">
        <v>11</v>
      </c>
      <c r="C60" s="4">
        <v>13</v>
      </c>
      <c r="D60" s="4">
        <v>11</v>
      </c>
      <c r="E60" s="4">
        <v>0</v>
      </c>
      <c r="F60" s="4">
        <v>1</v>
      </c>
      <c r="G60" s="4">
        <v>0</v>
      </c>
      <c r="H60" s="4">
        <v>1</v>
      </c>
      <c r="I60" s="4">
        <v>0</v>
      </c>
      <c r="J60" s="4">
        <v>0</v>
      </c>
      <c r="K60" s="2" t="s">
        <v>79</v>
      </c>
    </row>
    <row r="61" spans="1:11" x14ac:dyDescent="0.2">
      <c r="A61" s="4">
        <v>2.65</v>
      </c>
      <c r="B61" s="4">
        <v>12</v>
      </c>
      <c r="C61" s="4">
        <v>42</v>
      </c>
      <c r="D61" s="4">
        <v>10</v>
      </c>
      <c r="E61" s="4">
        <v>1</v>
      </c>
      <c r="F61" s="4">
        <v>1</v>
      </c>
      <c r="G61" s="4">
        <v>0</v>
      </c>
      <c r="H61" s="4">
        <v>0</v>
      </c>
      <c r="I61" s="4">
        <v>1</v>
      </c>
      <c r="J61" s="4">
        <v>0</v>
      </c>
      <c r="K61" s="2" t="s">
        <v>79</v>
      </c>
    </row>
    <row r="62" spans="1:11" x14ac:dyDescent="0.2">
      <c r="A62" s="4">
        <v>4.5</v>
      </c>
      <c r="B62" s="4">
        <v>11</v>
      </c>
      <c r="C62" s="4">
        <v>37</v>
      </c>
      <c r="D62" s="4">
        <v>10</v>
      </c>
      <c r="E62" s="4">
        <v>0</v>
      </c>
      <c r="F62" s="4">
        <v>1</v>
      </c>
      <c r="G62" s="4">
        <v>0</v>
      </c>
      <c r="H62" s="4">
        <v>1</v>
      </c>
      <c r="I62" s="4">
        <v>0</v>
      </c>
      <c r="J62" s="4">
        <v>0</v>
      </c>
      <c r="K62" s="2" t="s">
        <v>79</v>
      </c>
    </row>
    <row r="63" spans="1:11" x14ac:dyDescent="0.2">
      <c r="A63" s="4">
        <v>4.17</v>
      </c>
      <c r="B63" s="4">
        <v>0</v>
      </c>
      <c r="C63" s="4">
        <v>22</v>
      </c>
      <c r="D63" s="4">
        <v>10</v>
      </c>
      <c r="E63" s="4">
        <v>1</v>
      </c>
      <c r="F63" s="4">
        <v>0</v>
      </c>
      <c r="G63" s="4">
        <v>0</v>
      </c>
      <c r="H63" s="4">
        <v>1</v>
      </c>
      <c r="I63" s="4">
        <v>0</v>
      </c>
      <c r="J63" s="4">
        <v>0</v>
      </c>
      <c r="K63" s="2" t="s">
        <v>79</v>
      </c>
    </row>
    <row r="64" spans="1:11" x14ac:dyDescent="0.2">
      <c r="A64" s="4">
        <v>3</v>
      </c>
      <c r="B64" s="4">
        <v>16</v>
      </c>
      <c r="C64" s="4">
        <v>19</v>
      </c>
      <c r="D64" s="4">
        <v>10</v>
      </c>
      <c r="E64" s="4">
        <v>1</v>
      </c>
      <c r="F64" s="4">
        <v>1</v>
      </c>
      <c r="G64" s="4">
        <v>1</v>
      </c>
      <c r="H64" s="4">
        <v>0</v>
      </c>
      <c r="I64" s="4">
        <v>0</v>
      </c>
      <c r="J64" s="4">
        <v>0</v>
      </c>
      <c r="K64" s="2" t="s">
        <v>79</v>
      </c>
    </row>
    <row r="65" spans="1:11" x14ac:dyDescent="0.2">
      <c r="A65" s="4">
        <v>5.25</v>
      </c>
      <c r="B65" s="4">
        <v>12</v>
      </c>
      <c r="C65" s="4">
        <v>19</v>
      </c>
      <c r="D65" s="4">
        <v>10</v>
      </c>
      <c r="E65" s="4">
        <v>1</v>
      </c>
      <c r="F65" s="4">
        <v>1</v>
      </c>
      <c r="G65" s="4">
        <v>1</v>
      </c>
      <c r="H65" s="4">
        <v>0</v>
      </c>
      <c r="I65" s="4">
        <v>0</v>
      </c>
      <c r="J65" s="4">
        <v>0</v>
      </c>
      <c r="K65" s="2" t="s">
        <v>79</v>
      </c>
    </row>
    <row r="66" spans="1:11" x14ac:dyDescent="0.2">
      <c r="A66" s="4">
        <v>10.63</v>
      </c>
      <c r="B66" s="4">
        <v>13</v>
      </c>
      <c r="C66" s="4">
        <v>16</v>
      </c>
      <c r="D66" s="4">
        <v>10</v>
      </c>
      <c r="E66" s="4">
        <v>1</v>
      </c>
      <c r="F66" s="4">
        <v>0</v>
      </c>
      <c r="G66" s="4">
        <v>0</v>
      </c>
      <c r="H66" s="4">
        <v>0</v>
      </c>
      <c r="I66" s="4">
        <v>1</v>
      </c>
      <c r="J66" s="4">
        <v>0</v>
      </c>
      <c r="K66" s="2" t="s">
        <v>79</v>
      </c>
    </row>
    <row r="67" spans="1:11" x14ac:dyDescent="0.2">
      <c r="A67" s="4">
        <v>3.06</v>
      </c>
      <c r="B67" s="4">
        <v>12</v>
      </c>
      <c r="C67" s="4">
        <v>14</v>
      </c>
      <c r="D67" s="4">
        <v>10</v>
      </c>
      <c r="E67" s="4">
        <v>1</v>
      </c>
      <c r="F67" s="4">
        <v>0</v>
      </c>
      <c r="G67" s="4">
        <v>0</v>
      </c>
      <c r="H67" s="4">
        <v>1</v>
      </c>
      <c r="I67" s="4">
        <v>0</v>
      </c>
      <c r="J67" s="4">
        <v>0</v>
      </c>
      <c r="K67" s="2" t="s">
        <v>79</v>
      </c>
    </row>
    <row r="68" spans="1:11" x14ac:dyDescent="0.2">
      <c r="A68" s="4">
        <v>7.78</v>
      </c>
      <c r="B68" s="4">
        <v>16</v>
      </c>
      <c r="C68" s="4">
        <v>11</v>
      </c>
      <c r="D68" s="4">
        <v>10</v>
      </c>
      <c r="E68" s="4">
        <v>0</v>
      </c>
      <c r="F68" s="4">
        <v>1</v>
      </c>
      <c r="G68" s="4">
        <v>0</v>
      </c>
      <c r="H68" s="4">
        <v>0</v>
      </c>
      <c r="I68" s="4">
        <v>1</v>
      </c>
      <c r="J68" s="4">
        <v>0</v>
      </c>
      <c r="K68" s="2" t="s">
        <v>79</v>
      </c>
    </row>
    <row r="69" spans="1:11" x14ac:dyDescent="0.2">
      <c r="A69" s="4">
        <v>11.98</v>
      </c>
      <c r="B69" s="4">
        <v>18</v>
      </c>
      <c r="C69" s="4">
        <v>8</v>
      </c>
      <c r="D69" s="4">
        <v>10</v>
      </c>
      <c r="E69" s="4">
        <v>0</v>
      </c>
      <c r="F69" s="4">
        <v>1</v>
      </c>
      <c r="G69" s="4">
        <v>0</v>
      </c>
      <c r="H69" s="4">
        <v>1</v>
      </c>
      <c r="I69" s="4">
        <v>0</v>
      </c>
      <c r="J69" s="4">
        <v>0</v>
      </c>
      <c r="K69" s="2" t="s">
        <v>79</v>
      </c>
    </row>
    <row r="70" spans="1:11" x14ac:dyDescent="0.2">
      <c r="A70" s="4">
        <v>5</v>
      </c>
      <c r="B70" s="10">
        <v>12</v>
      </c>
      <c r="C70" s="4">
        <v>31</v>
      </c>
      <c r="D70" s="4">
        <v>9</v>
      </c>
      <c r="E70" s="4">
        <v>0</v>
      </c>
      <c r="F70" s="4">
        <v>1</v>
      </c>
      <c r="G70" s="4">
        <v>0</v>
      </c>
      <c r="H70" s="4">
        <v>1</v>
      </c>
      <c r="I70" s="4">
        <v>0</v>
      </c>
      <c r="J70" s="4">
        <v>0</v>
      </c>
      <c r="K70" s="2" t="s">
        <v>79</v>
      </c>
    </row>
    <row r="71" spans="1:11" x14ac:dyDescent="0.2">
      <c r="A71" s="4">
        <v>8.6300000000000008</v>
      </c>
      <c r="B71" s="4">
        <v>12</v>
      </c>
      <c r="C71" s="4">
        <v>23</v>
      </c>
      <c r="D71" s="4">
        <v>9</v>
      </c>
      <c r="E71" s="4">
        <v>0</v>
      </c>
      <c r="F71" s="4">
        <v>1</v>
      </c>
      <c r="G71" s="4">
        <v>0</v>
      </c>
      <c r="H71" s="4">
        <v>1</v>
      </c>
      <c r="I71" s="4">
        <v>0</v>
      </c>
      <c r="J71" s="4">
        <v>0</v>
      </c>
      <c r="K71" s="2" t="s">
        <v>79</v>
      </c>
    </row>
    <row r="72" spans="1:11" x14ac:dyDescent="0.2">
      <c r="A72" s="4">
        <v>3.3</v>
      </c>
      <c r="B72" s="4">
        <v>12</v>
      </c>
      <c r="C72" s="4">
        <v>21</v>
      </c>
      <c r="D72" s="4">
        <v>9</v>
      </c>
      <c r="E72" s="4">
        <v>1</v>
      </c>
      <c r="F72" s="4">
        <v>1</v>
      </c>
      <c r="G72" s="4">
        <v>0</v>
      </c>
      <c r="H72" s="4">
        <v>1</v>
      </c>
      <c r="I72" s="4">
        <v>0</v>
      </c>
      <c r="J72" s="4">
        <v>0</v>
      </c>
      <c r="K72" s="2" t="s">
        <v>79</v>
      </c>
    </row>
    <row r="73" spans="1:11" x14ac:dyDescent="0.2">
      <c r="A73" s="4">
        <v>6.33</v>
      </c>
      <c r="B73" s="4">
        <v>16</v>
      </c>
      <c r="C73" s="4">
        <v>9</v>
      </c>
      <c r="D73" s="4">
        <v>9</v>
      </c>
      <c r="E73" s="4">
        <v>1</v>
      </c>
      <c r="F73" s="4">
        <v>0</v>
      </c>
      <c r="G73" s="4">
        <v>0</v>
      </c>
      <c r="H73" s="4">
        <v>0</v>
      </c>
      <c r="I73" s="4">
        <v>1</v>
      </c>
      <c r="J73" s="4">
        <v>0</v>
      </c>
      <c r="K73" s="2" t="s">
        <v>79</v>
      </c>
    </row>
    <row r="74" spans="1:11" x14ac:dyDescent="0.2">
      <c r="A74" s="4">
        <v>2.87</v>
      </c>
      <c r="B74" s="4">
        <v>12</v>
      </c>
      <c r="C74" s="9">
        <v>43.93</v>
      </c>
      <c r="D74" s="4">
        <v>8</v>
      </c>
      <c r="E74" s="4">
        <v>1</v>
      </c>
      <c r="F74" s="4">
        <v>1</v>
      </c>
      <c r="G74" s="4">
        <v>1</v>
      </c>
      <c r="H74" s="4">
        <v>0</v>
      </c>
      <c r="I74" s="4">
        <v>0</v>
      </c>
      <c r="J74" s="4">
        <v>0</v>
      </c>
      <c r="K74" s="2" t="s">
        <v>79</v>
      </c>
    </row>
    <row r="75" spans="1:11" x14ac:dyDescent="0.2">
      <c r="A75" s="4">
        <v>4.79</v>
      </c>
      <c r="B75" s="4">
        <v>12</v>
      </c>
      <c r="C75" s="4">
        <v>41</v>
      </c>
      <c r="D75" s="4">
        <v>8</v>
      </c>
      <c r="E75" s="4">
        <v>0</v>
      </c>
      <c r="F75" s="4">
        <v>1</v>
      </c>
      <c r="G75" s="4">
        <v>1</v>
      </c>
      <c r="H75" s="4">
        <v>0</v>
      </c>
      <c r="I75" s="4">
        <v>0</v>
      </c>
      <c r="J75" s="4">
        <v>0</v>
      </c>
      <c r="K75" s="2" t="s">
        <v>79</v>
      </c>
    </row>
    <row r="76" spans="1:11" x14ac:dyDescent="0.2">
      <c r="A76" s="4">
        <v>3.33</v>
      </c>
      <c r="B76" s="4">
        <v>12</v>
      </c>
      <c r="C76" s="4">
        <v>36</v>
      </c>
      <c r="D76" s="4">
        <v>8</v>
      </c>
      <c r="E76" s="4">
        <v>1</v>
      </c>
      <c r="F76" s="4">
        <v>1</v>
      </c>
      <c r="G76" s="4">
        <v>0</v>
      </c>
      <c r="H76" s="4">
        <v>1</v>
      </c>
      <c r="I76" s="4">
        <v>0</v>
      </c>
      <c r="J76" s="4">
        <v>0</v>
      </c>
      <c r="K76" s="2" t="s">
        <v>79</v>
      </c>
    </row>
    <row r="77" spans="1:11" x14ac:dyDescent="0.2">
      <c r="A77" s="4">
        <v>6.25</v>
      </c>
      <c r="B77" s="4">
        <v>10</v>
      </c>
      <c r="C77" s="4">
        <v>36</v>
      </c>
      <c r="D77" s="4">
        <v>8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2" t="s">
        <v>79</v>
      </c>
    </row>
    <row r="78" spans="1:11" x14ac:dyDescent="0.2">
      <c r="A78" s="4">
        <v>11.11</v>
      </c>
      <c r="B78" s="4">
        <v>12</v>
      </c>
      <c r="C78" s="4">
        <v>30</v>
      </c>
      <c r="D78" s="4">
        <v>8</v>
      </c>
      <c r="E78" s="4">
        <v>0</v>
      </c>
      <c r="F78" s="4">
        <v>1</v>
      </c>
      <c r="G78" s="4">
        <v>1</v>
      </c>
      <c r="H78" s="4">
        <v>0</v>
      </c>
      <c r="I78" s="4">
        <v>0</v>
      </c>
      <c r="J78" s="4">
        <v>0</v>
      </c>
      <c r="K78" s="2" t="s">
        <v>79</v>
      </c>
    </row>
    <row r="79" spans="1:11" x14ac:dyDescent="0.2">
      <c r="A79" s="4">
        <v>8.64</v>
      </c>
      <c r="B79" s="4">
        <v>12</v>
      </c>
      <c r="C79" s="4">
        <v>28</v>
      </c>
      <c r="D79" s="4">
        <v>8</v>
      </c>
      <c r="E79" s="4">
        <v>0</v>
      </c>
      <c r="F79" s="4">
        <v>1</v>
      </c>
      <c r="G79" s="4">
        <v>1</v>
      </c>
      <c r="H79" s="4">
        <v>0</v>
      </c>
      <c r="I79" s="4">
        <v>0</v>
      </c>
      <c r="J79" s="4">
        <v>0</v>
      </c>
      <c r="K79" s="2" t="s">
        <v>79</v>
      </c>
    </row>
    <row r="80" spans="1:11" x14ac:dyDescent="0.2">
      <c r="A80" s="4">
        <v>3.3</v>
      </c>
      <c r="B80" s="4">
        <v>12</v>
      </c>
      <c r="C80" s="4">
        <v>25</v>
      </c>
      <c r="D80" s="4">
        <v>8</v>
      </c>
      <c r="E80" s="4">
        <v>0</v>
      </c>
      <c r="F80" s="4">
        <v>1</v>
      </c>
      <c r="G80" s="4">
        <v>1</v>
      </c>
      <c r="H80" s="4">
        <v>0</v>
      </c>
      <c r="I80" s="4">
        <v>0</v>
      </c>
      <c r="J80" s="4">
        <v>0</v>
      </c>
      <c r="K80" s="2" t="s">
        <v>79</v>
      </c>
    </row>
    <row r="81" spans="1:11" x14ac:dyDescent="0.2">
      <c r="A81" s="4">
        <v>6.33</v>
      </c>
      <c r="B81" s="4">
        <v>12</v>
      </c>
      <c r="C81" s="4">
        <v>23</v>
      </c>
      <c r="D81" s="4">
        <v>8</v>
      </c>
      <c r="E81" s="4">
        <v>0</v>
      </c>
      <c r="F81" s="4">
        <v>1</v>
      </c>
      <c r="G81" s="4">
        <v>0</v>
      </c>
      <c r="H81" s="4">
        <v>1</v>
      </c>
      <c r="I81" s="4">
        <v>0</v>
      </c>
      <c r="J81" s="4">
        <v>0</v>
      </c>
      <c r="K81" s="2" t="s">
        <v>79</v>
      </c>
    </row>
    <row r="82" spans="1:11" x14ac:dyDescent="0.2">
      <c r="A82" s="4">
        <v>4.91</v>
      </c>
      <c r="B82" s="4">
        <v>12</v>
      </c>
      <c r="C82" s="4">
        <v>17</v>
      </c>
      <c r="D82" s="4">
        <v>8</v>
      </c>
      <c r="E82" s="4">
        <v>0</v>
      </c>
      <c r="F82" s="4">
        <v>1</v>
      </c>
      <c r="G82" s="4">
        <v>0</v>
      </c>
      <c r="H82" s="4">
        <v>0</v>
      </c>
      <c r="I82" s="4">
        <v>0</v>
      </c>
      <c r="J82" s="4">
        <v>0</v>
      </c>
      <c r="K82" s="2" t="s">
        <v>79</v>
      </c>
    </row>
    <row r="83" spans="1:11" x14ac:dyDescent="0.2">
      <c r="A83" s="4">
        <v>8.75</v>
      </c>
      <c r="B83" s="4">
        <v>16</v>
      </c>
      <c r="C83" s="4">
        <v>9</v>
      </c>
      <c r="D83" s="4">
        <v>8</v>
      </c>
      <c r="E83" s="4">
        <v>0</v>
      </c>
      <c r="F83" s="4">
        <v>1</v>
      </c>
      <c r="G83" s="4">
        <v>0</v>
      </c>
      <c r="H83" s="4">
        <v>0</v>
      </c>
      <c r="I83" s="4">
        <v>1</v>
      </c>
      <c r="J83" s="4">
        <v>0</v>
      </c>
      <c r="K83" s="2" t="s">
        <v>79</v>
      </c>
    </row>
    <row r="84" spans="1:11" x14ac:dyDescent="0.2">
      <c r="A84" s="4">
        <v>10</v>
      </c>
      <c r="B84" s="4">
        <v>18</v>
      </c>
      <c r="C84" s="4">
        <v>9</v>
      </c>
      <c r="D84" s="4">
        <v>8</v>
      </c>
      <c r="E84" s="4">
        <v>0</v>
      </c>
      <c r="F84" s="4">
        <v>0</v>
      </c>
      <c r="G84" s="4">
        <v>1</v>
      </c>
      <c r="H84" s="4">
        <v>0</v>
      </c>
      <c r="I84" s="4">
        <v>0</v>
      </c>
      <c r="J84" s="4">
        <v>0</v>
      </c>
      <c r="K84" s="2" t="s">
        <v>79</v>
      </c>
    </row>
    <row r="85" spans="1:11" x14ac:dyDescent="0.2">
      <c r="A85" s="4">
        <v>21.63</v>
      </c>
      <c r="B85" s="4">
        <v>18</v>
      </c>
      <c r="C85" s="4">
        <v>8</v>
      </c>
      <c r="D85" s="4">
        <v>8</v>
      </c>
      <c r="E85" s="4">
        <v>1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2" t="s">
        <v>79</v>
      </c>
    </row>
    <row r="86" spans="1:11" x14ac:dyDescent="0.2">
      <c r="A86" s="4">
        <v>4.57</v>
      </c>
      <c r="B86" s="4">
        <v>14</v>
      </c>
      <c r="C86" s="4">
        <v>37</v>
      </c>
      <c r="D86" s="4">
        <v>7</v>
      </c>
      <c r="E86" s="4">
        <v>1</v>
      </c>
      <c r="F86" s="4">
        <v>1</v>
      </c>
      <c r="G86" s="4">
        <v>0</v>
      </c>
      <c r="H86" s="4">
        <v>0</v>
      </c>
      <c r="I86" s="4">
        <v>0</v>
      </c>
      <c r="J86" s="4">
        <v>0</v>
      </c>
      <c r="K86" s="2" t="s">
        <v>79</v>
      </c>
    </row>
    <row r="87" spans="1:11" x14ac:dyDescent="0.2">
      <c r="A87" s="4">
        <v>18.16</v>
      </c>
      <c r="B87" s="4">
        <v>16</v>
      </c>
      <c r="C87" s="4">
        <v>29</v>
      </c>
      <c r="D87" s="4">
        <v>7</v>
      </c>
      <c r="E87" s="4">
        <v>0</v>
      </c>
      <c r="F87" s="4">
        <v>1</v>
      </c>
      <c r="G87" s="4">
        <v>0</v>
      </c>
      <c r="H87" s="4">
        <v>1</v>
      </c>
      <c r="I87" s="4">
        <v>0</v>
      </c>
      <c r="J87" s="4">
        <v>0</v>
      </c>
      <c r="K87" s="2" t="s">
        <v>79</v>
      </c>
    </row>
    <row r="88" spans="1:11" x14ac:dyDescent="0.2">
      <c r="A88" s="4">
        <v>11.25</v>
      </c>
      <c r="B88" s="4">
        <v>18</v>
      </c>
      <c r="C88" s="4">
        <v>15</v>
      </c>
      <c r="D88" s="4">
        <v>7</v>
      </c>
      <c r="E88" s="4">
        <v>0</v>
      </c>
      <c r="F88" s="4">
        <v>0</v>
      </c>
      <c r="G88" s="4">
        <v>0</v>
      </c>
      <c r="H88" s="4">
        <v>0</v>
      </c>
      <c r="I88" s="4">
        <v>1</v>
      </c>
      <c r="J88" s="4">
        <v>0</v>
      </c>
      <c r="K88" s="2" t="s">
        <v>79</v>
      </c>
    </row>
    <row r="89" spans="1:11" x14ac:dyDescent="0.2">
      <c r="A89" s="4">
        <v>5.9</v>
      </c>
      <c r="B89" s="4">
        <v>12</v>
      </c>
      <c r="C89" s="4">
        <v>14</v>
      </c>
      <c r="D89" s="4">
        <v>7</v>
      </c>
      <c r="E89" s="4">
        <v>0</v>
      </c>
      <c r="F89" s="4">
        <v>1</v>
      </c>
      <c r="G89" s="4">
        <v>0</v>
      </c>
      <c r="H89" s="4">
        <v>1</v>
      </c>
      <c r="I89" s="4">
        <v>0</v>
      </c>
      <c r="J89" s="4">
        <v>0</v>
      </c>
      <c r="K89" s="2" t="s">
        <v>79</v>
      </c>
    </row>
    <row r="90" spans="1:11" x14ac:dyDescent="0.2">
      <c r="A90" s="4">
        <v>3.71</v>
      </c>
      <c r="B90" s="4">
        <v>9</v>
      </c>
      <c r="C90" s="4">
        <v>14</v>
      </c>
      <c r="D90" s="4">
        <v>7</v>
      </c>
      <c r="E90" s="4">
        <v>0</v>
      </c>
      <c r="F90" s="4">
        <v>1</v>
      </c>
      <c r="G90" s="4">
        <v>0</v>
      </c>
      <c r="H90" s="4">
        <v>1</v>
      </c>
      <c r="I90" s="4">
        <v>0</v>
      </c>
      <c r="J90" s="4">
        <v>0</v>
      </c>
      <c r="K90" s="2" t="s">
        <v>79</v>
      </c>
    </row>
    <row r="91" spans="1:11" x14ac:dyDescent="0.2">
      <c r="A91" s="4">
        <v>7.5</v>
      </c>
      <c r="B91" s="4">
        <v>12</v>
      </c>
      <c r="C91" s="4">
        <v>11</v>
      </c>
      <c r="D91" s="4">
        <v>7</v>
      </c>
      <c r="E91" s="10">
        <v>2</v>
      </c>
      <c r="F91" s="4">
        <v>1</v>
      </c>
      <c r="G91" s="4">
        <v>0</v>
      </c>
      <c r="H91" s="4">
        <v>0</v>
      </c>
      <c r="I91" s="4">
        <v>0</v>
      </c>
      <c r="J91" s="4">
        <v>0</v>
      </c>
      <c r="K91" s="2" t="s">
        <v>79</v>
      </c>
    </row>
    <row r="92" spans="1:11" x14ac:dyDescent="0.2">
      <c r="A92" s="4">
        <v>5.9</v>
      </c>
      <c r="B92" s="4">
        <v>12</v>
      </c>
      <c r="C92" s="4">
        <v>9</v>
      </c>
      <c r="D92" s="4">
        <v>7</v>
      </c>
      <c r="E92" s="4">
        <v>1</v>
      </c>
      <c r="F92" s="4">
        <v>1</v>
      </c>
      <c r="G92" s="4">
        <v>1</v>
      </c>
      <c r="H92" s="4">
        <v>0</v>
      </c>
      <c r="I92" s="4">
        <v>0</v>
      </c>
      <c r="J92" s="4">
        <v>0</v>
      </c>
      <c r="K92" s="2" t="s">
        <v>79</v>
      </c>
    </row>
    <row r="93" spans="1:11" x14ac:dyDescent="0.2">
      <c r="A93" s="4">
        <v>4.6900000000000004</v>
      </c>
      <c r="B93" s="4">
        <v>10</v>
      </c>
      <c r="C93" s="4">
        <v>7</v>
      </c>
      <c r="D93" s="4">
        <v>7</v>
      </c>
      <c r="E93" s="4">
        <v>0</v>
      </c>
      <c r="F93" s="4">
        <v>0</v>
      </c>
      <c r="G93" s="4">
        <v>1</v>
      </c>
      <c r="H93" s="4">
        <v>0</v>
      </c>
      <c r="I93" s="4">
        <v>0</v>
      </c>
      <c r="J93" s="4">
        <v>0</v>
      </c>
      <c r="K93" s="2" t="s">
        <v>79</v>
      </c>
    </row>
    <row r="94" spans="1:11" x14ac:dyDescent="0.2">
      <c r="A94" s="4">
        <v>6</v>
      </c>
      <c r="B94" s="4">
        <v>12</v>
      </c>
      <c r="C94" s="4">
        <v>7</v>
      </c>
      <c r="D94" s="4">
        <v>7</v>
      </c>
      <c r="E94" s="4">
        <v>0</v>
      </c>
      <c r="F94" s="4">
        <v>1</v>
      </c>
      <c r="G94" s="4">
        <v>0</v>
      </c>
      <c r="H94" s="4">
        <v>0</v>
      </c>
      <c r="I94" s="4">
        <v>0</v>
      </c>
      <c r="J94" s="4">
        <v>0</v>
      </c>
      <c r="K94" s="2" t="s">
        <v>79</v>
      </c>
    </row>
    <row r="95" spans="1:11" x14ac:dyDescent="0.2">
      <c r="A95" s="4">
        <v>15</v>
      </c>
      <c r="B95" s="4">
        <v>14</v>
      </c>
      <c r="C95" s="4">
        <v>7</v>
      </c>
      <c r="D95" s="4">
        <v>7</v>
      </c>
      <c r="E95" s="4">
        <v>0</v>
      </c>
      <c r="F95" s="4">
        <v>1</v>
      </c>
      <c r="G95" s="4">
        <v>0</v>
      </c>
      <c r="H95" s="4">
        <v>0</v>
      </c>
      <c r="I95" s="4">
        <v>0</v>
      </c>
      <c r="J95" s="4">
        <v>0</v>
      </c>
      <c r="K95" s="2" t="s">
        <v>79</v>
      </c>
    </row>
    <row r="96" spans="1:11" x14ac:dyDescent="0.2">
      <c r="A96" s="4">
        <v>3.54</v>
      </c>
      <c r="B96" s="4">
        <v>13</v>
      </c>
      <c r="C96" s="4">
        <v>6</v>
      </c>
      <c r="D96" s="4">
        <v>7</v>
      </c>
      <c r="E96" s="4">
        <v>1</v>
      </c>
      <c r="F96" s="4">
        <v>1</v>
      </c>
      <c r="G96" s="4">
        <v>1</v>
      </c>
      <c r="H96" s="4">
        <v>0</v>
      </c>
      <c r="I96" s="4">
        <v>0</v>
      </c>
      <c r="J96" s="4">
        <v>0</v>
      </c>
      <c r="K96" s="2" t="s">
        <v>79</v>
      </c>
    </row>
    <row r="97" spans="1:11" x14ac:dyDescent="0.2">
      <c r="A97" s="4">
        <v>2.9</v>
      </c>
      <c r="B97" s="4">
        <v>8</v>
      </c>
      <c r="C97" s="9">
        <v>43.93</v>
      </c>
      <c r="D97" s="4">
        <v>6</v>
      </c>
      <c r="E97" s="4">
        <v>1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2" t="s">
        <v>79</v>
      </c>
    </row>
    <row r="98" spans="1:11" x14ac:dyDescent="0.2">
      <c r="A98" s="4">
        <v>4</v>
      </c>
      <c r="B98" s="4">
        <v>12</v>
      </c>
      <c r="C98" s="4">
        <v>43</v>
      </c>
      <c r="D98" s="4">
        <v>6</v>
      </c>
      <c r="E98" s="4">
        <v>1</v>
      </c>
      <c r="F98" s="4">
        <v>1</v>
      </c>
      <c r="G98" s="4">
        <v>0</v>
      </c>
      <c r="H98" s="4">
        <v>0</v>
      </c>
      <c r="I98" s="4">
        <v>0</v>
      </c>
      <c r="J98" s="4">
        <v>0</v>
      </c>
      <c r="K98" s="2" t="s">
        <v>79</v>
      </c>
    </row>
    <row r="99" spans="1:11" x14ac:dyDescent="0.2">
      <c r="A99" s="4">
        <v>6.25</v>
      </c>
      <c r="B99" s="4">
        <v>12</v>
      </c>
      <c r="C99" s="4">
        <v>21</v>
      </c>
      <c r="D99" s="4">
        <v>6</v>
      </c>
      <c r="E99" s="4">
        <v>0</v>
      </c>
      <c r="F99" s="4">
        <v>1</v>
      </c>
      <c r="G99" s="4">
        <v>0</v>
      </c>
      <c r="H99" s="4">
        <v>1</v>
      </c>
      <c r="I99" s="4">
        <v>0</v>
      </c>
      <c r="J99" s="4">
        <v>0</v>
      </c>
      <c r="K99" s="2" t="s">
        <v>79</v>
      </c>
    </row>
    <row r="100" spans="1:11" x14ac:dyDescent="0.2">
      <c r="A100" s="4">
        <v>5.8</v>
      </c>
      <c r="B100" s="4">
        <v>12</v>
      </c>
      <c r="C100" s="4">
        <v>19</v>
      </c>
      <c r="D100" s="4">
        <v>6</v>
      </c>
      <c r="E100" s="4">
        <v>1</v>
      </c>
      <c r="F100" s="4">
        <v>1</v>
      </c>
      <c r="G100" s="4">
        <v>1</v>
      </c>
      <c r="H100" s="4">
        <v>0</v>
      </c>
      <c r="I100" s="4">
        <v>0</v>
      </c>
      <c r="J100" s="4">
        <v>0</v>
      </c>
      <c r="K100" s="2" t="s">
        <v>79</v>
      </c>
    </row>
    <row r="101" spans="1:11" x14ac:dyDescent="0.2">
      <c r="A101" s="4">
        <v>8</v>
      </c>
      <c r="B101" s="4">
        <v>12</v>
      </c>
      <c r="C101" s="4">
        <v>17</v>
      </c>
      <c r="D101" s="4">
        <v>6</v>
      </c>
      <c r="E101" s="4">
        <v>0</v>
      </c>
      <c r="F101" s="4">
        <v>1</v>
      </c>
      <c r="G101" s="4">
        <v>0</v>
      </c>
      <c r="H101" s="4">
        <v>1</v>
      </c>
      <c r="I101" s="4">
        <v>0</v>
      </c>
      <c r="J101" s="4">
        <v>0</v>
      </c>
      <c r="K101" s="2" t="s">
        <v>79</v>
      </c>
    </row>
    <row r="102" spans="1:11" x14ac:dyDescent="0.2">
      <c r="A102" s="4">
        <v>6.15</v>
      </c>
      <c r="B102" s="4">
        <v>12</v>
      </c>
      <c r="C102" s="4">
        <v>15</v>
      </c>
      <c r="D102" s="4">
        <v>6</v>
      </c>
      <c r="E102" s="4">
        <v>1</v>
      </c>
      <c r="F102" s="4">
        <v>1</v>
      </c>
      <c r="G102" s="4">
        <v>0</v>
      </c>
      <c r="H102" s="4">
        <v>0</v>
      </c>
      <c r="I102" s="4">
        <v>1</v>
      </c>
      <c r="J102" s="4">
        <v>0</v>
      </c>
      <c r="K102" s="2" t="s">
        <v>79</v>
      </c>
    </row>
    <row r="103" spans="1:11" x14ac:dyDescent="0.2">
      <c r="A103" s="4">
        <v>5.91</v>
      </c>
      <c r="B103" s="4">
        <v>12</v>
      </c>
      <c r="C103" s="4">
        <v>14</v>
      </c>
      <c r="D103" s="4">
        <v>6</v>
      </c>
      <c r="E103" s="4">
        <v>0</v>
      </c>
      <c r="F103" s="4">
        <v>1</v>
      </c>
      <c r="G103" s="4">
        <v>0</v>
      </c>
      <c r="H103" s="4">
        <v>0</v>
      </c>
      <c r="I103" s="4">
        <v>0</v>
      </c>
      <c r="J103" s="4">
        <v>0</v>
      </c>
      <c r="K103" s="2" t="s">
        <v>79</v>
      </c>
    </row>
    <row r="104" spans="1:11" x14ac:dyDescent="0.2">
      <c r="A104" s="4">
        <v>8.5299999999999994</v>
      </c>
      <c r="B104" s="4">
        <v>10</v>
      </c>
      <c r="C104" s="4">
        <v>14</v>
      </c>
      <c r="D104" s="4">
        <v>6</v>
      </c>
      <c r="E104" s="4">
        <v>0</v>
      </c>
      <c r="F104" s="4">
        <v>1</v>
      </c>
      <c r="G104" s="4">
        <v>0</v>
      </c>
      <c r="H104" s="4">
        <v>1</v>
      </c>
      <c r="I104" s="4">
        <v>0</v>
      </c>
      <c r="J104" s="4">
        <v>0</v>
      </c>
      <c r="K104" s="2" t="s">
        <v>79</v>
      </c>
    </row>
    <row r="105" spans="1:11" x14ac:dyDescent="0.2">
      <c r="A105" s="4">
        <v>8.43</v>
      </c>
      <c r="B105" s="4">
        <v>16</v>
      </c>
      <c r="C105" s="4">
        <v>8</v>
      </c>
      <c r="D105" s="4">
        <v>6</v>
      </c>
      <c r="E105" s="4">
        <v>0</v>
      </c>
      <c r="F105" s="4">
        <v>1</v>
      </c>
      <c r="G105" s="4">
        <v>0</v>
      </c>
      <c r="H105" s="4">
        <v>1</v>
      </c>
      <c r="I105" s="4">
        <v>0</v>
      </c>
      <c r="J105" s="4">
        <v>0</v>
      </c>
      <c r="K105" s="2" t="s">
        <v>79</v>
      </c>
    </row>
    <row r="106" spans="1:11" x14ac:dyDescent="0.2">
      <c r="A106" s="4">
        <v>6.45</v>
      </c>
      <c r="B106" s="4">
        <v>12</v>
      </c>
      <c r="C106" s="4">
        <v>7</v>
      </c>
      <c r="D106" s="4">
        <v>6</v>
      </c>
      <c r="E106" s="10">
        <v>2</v>
      </c>
      <c r="F106" s="4">
        <v>1</v>
      </c>
      <c r="G106" s="4">
        <v>0</v>
      </c>
      <c r="H106" s="4">
        <v>1</v>
      </c>
      <c r="I106" s="4">
        <v>0</v>
      </c>
      <c r="J106" s="4">
        <v>0</v>
      </c>
      <c r="K106" s="2" t="s">
        <v>79</v>
      </c>
    </row>
    <row r="107" spans="1:11" x14ac:dyDescent="0.2">
      <c r="A107" s="4">
        <v>3.5</v>
      </c>
      <c r="B107" s="4">
        <v>12</v>
      </c>
      <c r="C107" s="4">
        <v>7</v>
      </c>
      <c r="D107" s="4">
        <v>6</v>
      </c>
      <c r="E107" s="4">
        <v>1</v>
      </c>
      <c r="F107" s="4">
        <v>1</v>
      </c>
      <c r="G107" s="4">
        <v>1</v>
      </c>
      <c r="H107" s="4">
        <v>0</v>
      </c>
      <c r="I107" s="4">
        <v>0</v>
      </c>
      <c r="J107" s="4">
        <v>0</v>
      </c>
      <c r="K107" s="2" t="s">
        <v>79</v>
      </c>
    </row>
    <row r="108" spans="1:11" x14ac:dyDescent="0.2">
      <c r="A108" s="4">
        <v>5.13</v>
      </c>
      <c r="B108" s="4">
        <v>15</v>
      </c>
      <c r="C108" s="4">
        <v>6</v>
      </c>
      <c r="D108" s="4">
        <v>6</v>
      </c>
      <c r="E108" s="10">
        <v>2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2" t="s">
        <v>79</v>
      </c>
    </row>
    <row r="109" spans="1:11" x14ac:dyDescent="0.2">
      <c r="A109" s="4">
        <v>7.14</v>
      </c>
      <c r="B109" s="4">
        <v>12</v>
      </c>
      <c r="C109" s="4">
        <v>43</v>
      </c>
      <c r="D109" s="4">
        <v>5</v>
      </c>
      <c r="E109" s="4">
        <v>1</v>
      </c>
      <c r="F109" s="4">
        <v>0</v>
      </c>
      <c r="G109" s="4">
        <v>1</v>
      </c>
      <c r="H109" s="4">
        <v>0</v>
      </c>
      <c r="I109" s="4">
        <v>0</v>
      </c>
      <c r="J109" s="4">
        <v>0</v>
      </c>
      <c r="K109" s="2" t="s">
        <v>79</v>
      </c>
    </row>
    <row r="110" spans="1:11" x14ac:dyDescent="0.2">
      <c r="A110" s="4">
        <v>12.39</v>
      </c>
      <c r="B110" s="4">
        <v>14</v>
      </c>
      <c r="C110" s="4">
        <v>42</v>
      </c>
      <c r="D110" s="4">
        <v>5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2" t="s">
        <v>79</v>
      </c>
    </row>
    <row r="111" spans="1:11" x14ac:dyDescent="0.2">
      <c r="A111" s="4">
        <v>8</v>
      </c>
      <c r="B111" s="4">
        <v>13</v>
      </c>
      <c r="C111" s="4">
        <v>28</v>
      </c>
      <c r="D111" s="4">
        <v>5</v>
      </c>
      <c r="E111" s="4">
        <v>0</v>
      </c>
      <c r="F111" s="4">
        <v>1</v>
      </c>
      <c r="G111" s="4">
        <v>1</v>
      </c>
      <c r="H111" s="4">
        <v>0</v>
      </c>
      <c r="I111" s="4">
        <v>0</v>
      </c>
      <c r="J111" s="4">
        <v>0</v>
      </c>
      <c r="K111" s="2" t="s">
        <v>79</v>
      </c>
    </row>
    <row r="112" spans="1:11" x14ac:dyDescent="0.2">
      <c r="A112" s="4">
        <v>5</v>
      </c>
      <c r="B112" s="10">
        <v>12</v>
      </c>
      <c r="C112" s="4">
        <v>24</v>
      </c>
      <c r="D112" s="4">
        <v>5</v>
      </c>
      <c r="E112" s="4">
        <v>0</v>
      </c>
      <c r="F112" s="4">
        <v>1</v>
      </c>
      <c r="G112" s="4">
        <v>0</v>
      </c>
      <c r="H112" s="4">
        <v>1</v>
      </c>
      <c r="I112" s="4">
        <v>0</v>
      </c>
      <c r="J112" s="4">
        <v>0</v>
      </c>
      <c r="K112" s="2" t="s">
        <v>79</v>
      </c>
    </row>
    <row r="113" spans="1:11" x14ac:dyDescent="0.2">
      <c r="A113" s="4">
        <v>13</v>
      </c>
      <c r="B113" s="4">
        <v>14</v>
      </c>
      <c r="C113" s="4">
        <v>23</v>
      </c>
      <c r="D113" s="4">
        <v>5</v>
      </c>
      <c r="E113" s="4">
        <v>0</v>
      </c>
      <c r="F113" s="4">
        <v>1</v>
      </c>
      <c r="G113" s="4">
        <v>0</v>
      </c>
      <c r="H113" s="4">
        <v>0</v>
      </c>
      <c r="I113" s="4">
        <v>1</v>
      </c>
      <c r="J113" s="4">
        <v>0</v>
      </c>
      <c r="K113" s="2" t="s">
        <v>79</v>
      </c>
    </row>
    <row r="114" spans="1:11" x14ac:dyDescent="0.2">
      <c r="A114" s="4">
        <v>4.5</v>
      </c>
      <c r="B114" s="4">
        <v>9</v>
      </c>
      <c r="C114" s="4">
        <v>22</v>
      </c>
      <c r="D114" s="4">
        <v>5</v>
      </c>
      <c r="E114" s="4">
        <v>0</v>
      </c>
      <c r="F114" s="4">
        <v>1</v>
      </c>
      <c r="G114" s="4">
        <v>0</v>
      </c>
      <c r="H114" s="4">
        <v>0</v>
      </c>
      <c r="I114" s="4">
        <v>0</v>
      </c>
      <c r="J114" s="4">
        <v>0</v>
      </c>
      <c r="K114" s="2" t="s">
        <v>79</v>
      </c>
    </row>
    <row r="115" spans="1:11" x14ac:dyDescent="0.2">
      <c r="A115" s="4">
        <v>8.18</v>
      </c>
      <c r="B115" s="4">
        <v>13</v>
      </c>
      <c r="C115" s="4">
        <v>21</v>
      </c>
      <c r="D115" s="4">
        <v>5</v>
      </c>
      <c r="E115" s="4">
        <v>0</v>
      </c>
      <c r="F115" s="4">
        <v>0</v>
      </c>
      <c r="G115" s="4">
        <v>0</v>
      </c>
      <c r="H115" s="4">
        <v>0</v>
      </c>
      <c r="I115" s="4">
        <v>1</v>
      </c>
      <c r="J115" s="4">
        <v>0</v>
      </c>
      <c r="K115" s="2" t="s">
        <v>79</v>
      </c>
    </row>
    <row r="116" spans="1:11" x14ac:dyDescent="0.2">
      <c r="A116" s="4">
        <v>11.55</v>
      </c>
      <c r="B116" s="4">
        <v>16</v>
      </c>
      <c r="C116" s="4">
        <v>20</v>
      </c>
      <c r="D116" s="4">
        <v>5</v>
      </c>
      <c r="E116" s="4">
        <v>1</v>
      </c>
      <c r="F116" s="4">
        <v>1</v>
      </c>
      <c r="G116" s="4">
        <v>0</v>
      </c>
      <c r="H116" s="4">
        <v>1</v>
      </c>
      <c r="I116" s="4">
        <v>0</v>
      </c>
      <c r="J116" s="4">
        <v>1</v>
      </c>
      <c r="K116" s="2" t="s">
        <v>79</v>
      </c>
    </row>
    <row r="117" spans="1:11" x14ac:dyDescent="0.2">
      <c r="A117" s="4">
        <v>5</v>
      </c>
      <c r="B117" s="4">
        <v>14</v>
      </c>
      <c r="C117" s="4">
        <v>19</v>
      </c>
      <c r="D117" s="4">
        <v>5</v>
      </c>
      <c r="E117" s="4">
        <v>0</v>
      </c>
      <c r="F117" s="4">
        <v>1</v>
      </c>
      <c r="G117" s="4">
        <v>0</v>
      </c>
      <c r="H117" s="4">
        <v>1</v>
      </c>
      <c r="I117" s="4">
        <v>0</v>
      </c>
      <c r="J117" s="4">
        <v>0</v>
      </c>
      <c r="K117" s="2" t="s">
        <v>79</v>
      </c>
    </row>
    <row r="118" spans="1:11" x14ac:dyDescent="0.2">
      <c r="A118" s="4">
        <v>10</v>
      </c>
      <c r="B118" s="4">
        <v>14</v>
      </c>
      <c r="C118" s="4">
        <v>18</v>
      </c>
      <c r="D118" s="4">
        <v>5</v>
      </c>
      <c r="E118" s="4">
        <v>0</v>
      </c>
      <c r="F118" s="4">
        <v>1</v>
      </c>
      <c r="G118" s="4">
        <v>0</v>
      </c>
      <c r="H118" s="4">
        <v>1</v>
      </c>
      <c r="I118" s="4">
        <v>0</v>
      </c>
      <c r="J118" s="4">
        <v>0</v>
      </c>
      <c r="K118" s="2" t="s">
        <v>79</v>
      </c>
    </row>
    <row r="119" spans="1:11" x14ac:dyDescent="0.2">
      <c r="A119" s="4">
        <v>12.5</v>
      </c>
      <c r="B119" s="4">
        <v>18</v>
      </c>
      <c r="C119" s="4">
        <v>16</v>
      </c>
      <c r="D119" s="4">
        <v>5</v>
      </c>
      <c r="E119" s="4">
        <v>0</v>
      </c>
      <c r="F119" s="4">
        <v>1</v>
      </c>
      <c r="G119" s="4">
        <v>1</v>
      </c>
      <c r="H119" s="4">
        <v>0</v>
      </c>
      <c r="I119" s="4">
        <v>0</v>
      </c>
      <c r="J119" s="4">
        <v>0</v>
      </c>
      <c r="K119" s="2" t="s">
        <v>79</v>
      </c>
    </row>
    <row r="120" spans="1:11" x14ac:dyDescent="0.2">
      <c r="A120" s="4">
        <v>5</v>
      </c>
      <c r="B120" s="4">
        <v>12</v>
      </c>
      <c r="C120" s="4">
        <v>15</v>
      </c>
      <c r="D120" s="4">
        <v>5</v>
      </c>
      <c r="E120" s="4">
        <v>0</v>
      </c>
      <c r="F120" s="4">
        <v>1</v>
      </c>
      <c r="G120" s="4">
        <v>0</v>
      </c>
      <c r="H120" s="4">
        <v>0</v>
      </c>
      <c r="I120" s="4">
        <v>0</v>
      </c>
      <c r="J120" s="4">
        <v>0</v>
      </c>
      <c r="K120" s="2" t="s">
        <v>79</v>
      </c>
    </row>
    <row r="121" spans="1:11" x14ac:dyDescent="0.2">
      <c r="A121" s="4">
        <v>5</v>
      </c>
      <c r="B121" s="10">
        <v>12</v>
      </c>
      <c r="C121" s="4">
        <v>15</v>
      </c>
      <c r="D121" s="4">
        <v>5</v>
      </c>
      <c r="E121" s="4">
        <v>0</v>
      </c>
      <c r="F121" s="4">
        <v>1</v>
      </c>
      <c r="G121" s="4">
        <v>0</v>
      </c>
      <c r="H121" s="4">
        <v>1</v>
      </c>
      <c r="I121" s="4">
        <v>0</v>
      </c>
      <c r="J121" s="4">
        <v>0</v>
      </c>
      <c r="K121" s="2" t="s">
        <v>79</v>
      </c>
    </row>
    <row r="122" spans="1:11" x14ac:dyDescent="0.2">
      <c r="A122" s="4">
        <v>3.2</v>
      </c>
      <c r="B122" s="4">
        <v>12</v>
      </c>
      <c r="C122" s="4">
        <v>15</v>
      </c>
      <c r="D122" s="4">
        <v>5</v>
      </c>
      <c r="E122" s="4">
        <v>1</v>
      </c>
      <c r="F122" s="4">
        <v>1</v>
      </c>
      <c r="G122" s="4">
        <v>0</v>
      </c>
      <c r="H122" s="4">
        <v>1</v>
      </c>
      <c r="I122" s="4">
        <v>0</v>
      </c>
      <c r="J122" s="4">
        <v>0</v>
      </c>
      <c r="K122" s="2" t="s">
        <v>79</v>
      </c>
    </row>
    <row r="123" spans="1:11" x14ac:dyDescent="0.2">
      <c r="A123" s="4">
        <v>3.26</v>
      </c>
      <c r="B123" s="4">
        <v>16</v>
      </c>
      <c r="C123" s="4">
        <v>15</v>
      </c>
      <c r="D123" s="4">
        <v>5</v>
      </c>
      <c r="E123" s="4">
        <v>1</v>
      </c>
      <c r="F123" s="4">
        <v>1</v>
      </c>
      <c r="G123" s="4">
        <v>0</v>
      </c>
      <c r="H123" s="4">
        <v>1</v>
      </c>
      <c r="I123" s="4">
        <v>0</v>
      </c>
      <c r="J123" s="4">
        <v>0</v>
      </c>
      <c r="K123" s="2" t="s">
        <v>79</v>
      </c>
    </row>
    <row r="124" spans="1:11" x14ac:dyDescent="0.2">
      <c r="A124" s="4">
        <v>4.24</v>
      </c>
      <c r="B124" s="4">
        <v>10</v>
      </c>
      <c r="C124" s="4">
        <v>14</v>
      </c>
      <c r="D124" s="4">
        <v>5</v>
      </c>
      <c r="E124" s="10">
        <v>2</v>
      </c>
      <c r="F124" s="4">
        <v>1</v>
      </c>
      <c r="G124" s="4">
        <v>0</v>
      </c>
      <c r="H124" s="4">
        <v>1</v>
      </c>
      <c r="I124" s="4">
        <v>0</v>
      </c>
      <c r="J124" s="4">
        <v>0</v>
      </c>
      <c r="K124" s="2" t="s">
        <v>79</v>
      </c>
    </row>
    <row r="125" spans="1:11" x14ac:dyDescent="0.2">
      <c r="A125" s="4">
        <v>9</v>
      </c>
      <c r="B125" s="4">
        <v>12</v>
      </c>
      <c r="C125" s="4">
        <v>11</v>
      </c>
      <c r="D125" s="4">
        <v>5</v>
      </c>
      <c r="E125" s="4">
        <v>1</v>
      </c>
      <c r="F125" s="4">
        <v>1</v>
      </c>
      <c r="G125" s="4">
        <v>1</v>
      </c>
      <c r="H125" s="4">
        <v>0</v>
      </c>
      <c r="I125" s="4">
        <v>0</v>
      </c>
      <c r="J125" s="4">
        <v>0</v>
      </c>
      <c r="K125" s="2" t="s">
        <v>79</v>
      </c>
    </row>
    <row r="126" spans="1:11" x14ac:dyDescent="0.2">
      <c r="A126" s="4">
        <v>5.71</v>
      </c>
      <c r="B126" s="4">
        <v>16</v>
      </c>
      <c r="C126" s="4">
        <v>10</v>
      </c>
      <c r="D126" s="4">
        <v>5</v>
      </c>
      <c r="E126" s="4">
        <v>0</v>
      </c>
      <c r="F126" s="4">
        <v>1</v>
      </c>
      <c r="G126" s="4">
        <v>0</v>
      </c>
      <c r="H126" s="4">
        <v>0</v>
      </c>
      <c r="I126" s="4">
        <v>0</v>
      </c>
      <c r="J126" s="4">
        <v>0</v>
      </c>
      <c r="K126" s="2" t="s">
        <v>79</v>
      </c>
    </row>
    <row r="127" spans="1:11" x14ac:dyDescent="0.2">
      <c r="A127" s="4">
        <v>6.5</v>
      </c>
      <c r="B127" s="4">
        <v>12</v>
      </c>
      <c r="C127" s="4">
        <v>8</v>
      </c>
      <c r="D127" s="4">
        <v>5</v>
      </c>
      <c r="E127" s="4">
        <v>1</v>
      </c>
      <c r="F127" s="4">
        <v>1</v>
      </c>
      <c r="G127" s="4">
        <v>0</v>
      </c>
      <c r="H127" s="4">
        <v>1</v>
      </c>
      <c r="I127" s="4">
        <v>0</v>
      </c>
      <c r="J127" s="4">
        <v>0</v>
      </c>
      <c r="K127" s="2" t="s">
        <v>79</v>
      </c>
    </row>
    <row r="128" spans="1:11" x14ac:dyDescent="0.2">
      <c r="A128" s="4">
        <v>6.67</v>
      </c>
      <c r="B128" s="4">
        <v>12</v>
      </c>
      <c r="C128" s="4">
        <v>7</v>
      </c>
      <c r="D128" s="4">
        <v>5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2" t="s">
        <v>79</v>
      </c>
    </row>
    <row r="129" spans="1:11" x14ac:dyDescent="0.2">
      <c r="A129" s="4">
        <v>7</v>
      </c>
      <c r="B129" s="4">
        <v>12</v>
      </c>
      <c r="C129" s="4">
        <v>6</v>
      </c>
      <c r="D129" s="4">
        <v>5</v>
      </c>
      <c r="E129" s="4">
        <v>0</v>
      </c>
      <c r="F129" s="4">
        <v>1</v>
      </c>
      <c r="G129" s="4">
        <v>0</v>
      </c>
      <c r="H129" s="4">
        <v>1</v>
      </c>
      <c r="I129" s="4">
        <v>0</v>
      </c>
      <c r="J129" s="4">
        <v>1</v>
      </c>
      <c r="K129" s="2" t="s">
        <v>79</v>
      </c>
    </row>
    <row r="130" spans="1:11" x14ac:dyDescent="0.2">
      <c r="A130" s="4">
        <v>3.13</v>
      </c>
      <c r="B130" s="4">
        <v>12</v>
      </c>
      <c r="C130" s="4">
        <v>6</v>
      </c>
      <c r="D130" s="4">
        <v>5</v>
      </c>
      <c r="E130" s="4">
        <v>1</v>
      </c>
      <c r="F130" s="4">
        <v>1</v>
      </c>
      <c r="G130" s="4">
        <v>0</v>
      </c>
      <c r="H130" s="4">
        <v>1</v>
      </c>
      <c r="I130" s="4">
        <v>0</v>
      </c>
      <c r="J130" s="4">
        <v>0</v>
      </c>
      <c r="K130" s="2" t="s">
        <v>79</v>
      </c>
    </row>
    <row r="131" spans="1:11" x14ac:dyDescent="0.2">
      <c r="A131" s="4">
        <v>6.25</v>
      </c>
      <c r="B131" s="10">
        <v>12</v>
      </c>
      <c r="C131" s="4">
        <v>6</v>
      </c>
      <c r="D131" s="4">
        <v>5</v>
      </c>
      <c r="E131" s="4">
        <v>1</v>
      </c>
      <c r="F131" s="4">
        <v>1</v>
      </c>
      <c r="G131" s="4">
        <v>1</v>
      </c>
      <c r="H131" s="4">
        <v>0</v>
      </c>
      <c r="I131" s="4">
        <v>0</v>
      </c>
      <c r="J131" s="4">
        <v>0</v>
      </c>
      <c r="K131" s="2" t="s">
        <v>79</v>
      </c>
    </row>
    <row r="132" spans="1:11" x14ac:dyDescent="0.2">
      <c r="A132" s="4">
        <v>5.75</v>
      </c>
      <c r="B132" s="4">
        <v>14</v>
      </c>
      <c r="C132" s="4">
        <v>6</v>
      </c>
      <c r="D132" s="4">
        <v>5</v>
      </c>
      <c r="E132" s="4">
        <v>0</v>
      </c>
      <c r="F132" s="4">
        <v>1</v>
      </c>
      <c r="G132" s="4">
        <v>0</v>
      </c>
      <c r="H132" s="4">
        <v>0</v>
      </c>
      <c r="I132" s="4">
        <v>0</v>
      </c>
      <c r="J132" s="4">
        <v>0</v>
      </c>
      <c r="K132" s="2" t="s">
        <v>79</v>
      </c>
    </row>
    <row r="133" spans="1:11" x14ac:dyDescent="0.2">
      <c r="A133" s="4">
        <v>4.5</v>
      </c>
      <c r="B133" s="4">
        <v>14</v>
      </c>
      <c r="C133" s="4">
        <v>2</v>
      </c>
      <c r="D133" s="4">
        <v>5</v>
      </c>
      <c r="E133" s="4">
        <v>1</v>
      </c>
      <c r="F133" s="4">
        <v>0</v>
      </c>
      <c r="G133" s="4">
        <v>0</v>
      </c>
      <c r="H133" s="4">
        <v>0</v>
      </c>
      <c r="I133" s="4">
        <v>1</v>
      </c>
      <c r="J133" s="4">
        <v>0</v>
      </c>
      <c r="K133" s="2" t="s">
        <v>79</v>
      </c>
    </row>
    <row r="134" spans="1:11" x14ac:dyDescent="0.2">
      <c r="A134" s="4">
        <v>4.5</v>
      </c>
      <c r="B134" s="4">
        <v>12</v>
      </c>
      <c r="C134" s="9">
        <v>43.93</v>
      </c>
      <c r="D134" s="4">
        <v>4</v>
      </c>
      <c r="E134" s="4">
        <v>1</v>
      </c>
      <c r="F134" s="4">
        <v>1</v>
      </c>
      <c r="G134" s="4">
        <v>1</v>
      </c>
      <c r="H134" s="4">
        <v>0</v>
      </c>
      <c r="I134" s="4">
        <v>0</v>
      </c>
      <c r="J134" s="4">
        <v>0</v>
      </c>
      <c r="K134" s="2" t="s">
        <v>79</v>
      </c>
    </row>
    <row r="135" spans="1:11" x14ac:dyDescent="0.2">
      <c r="A135" s="4">
        <v>3.33</v>
      </c>
      <c r="B135" s="4">
        <v>12</v>
      </c>
      <c r="C135" s="9">
        <v>43.93</v>
      </c>
      <c r="D135" s="4">
        <v>4</v>
      </c>
      <c r="E135" s="4">
        <v>1</v>
      </c>
      <c r="F135" s="4">
        <v>1</v>
      </c>
      <c r="G135" s="4">
        <v>0</v>
      </c>
      <c r="H135" s="4">
        <v>0</v>
      </c>
      <c r="I135" s="4">
        <v>0</v>
      </c>
      <c r="J135" s="4">
        <v>0</v>
      </c>
      <c r="K135" s="2" t="s">
        <v>79</v>
      </c>
    </row>
    <row r="136" spans="1:11" x14ac:dyDescent="0.2">
      <c r="A136" s="4">
        <v>10</v>
      </c>
      <c r="B136" s="4">
        <v>14</v>
      </c>
      <c r="C136" s="4">
        <v>43</v>
      </c>
      <c r="D136" s="4">
        <v>4</v>
      </c>
      <c r="E136" s="10">
        <v>2</v>
      </c>
      <c r="F136" s="4">
        <v>1</v>
      </c>
      <c r="G136" s="4">
        <v>1</v>
      </c>
      <c r="H136" s="4">
        <v>0</v>
      </c>
      <c r="I136" s="4">
        <v>0</v>
      </c>
      <c r="J136" s="4">
        <v>0</v>
      </c>
      <c r="K136" s="2" t="s">
        <v>79</v>
      </c>
    </row>
    <row r="137" spans="1:11" x14ac:dyDescent="0.2">
      <c r="A137" s="4">
        <v>4.5</v>
      </c>
      <c r="B137" s="4">
        <v>12</v>
      </c>
      <c r="C137" s="4">
        <v>31</v>
      </c>
      <c r="D137" s="4">
        <v>4</v>
      </c>
      <c r="E137" s="4">
        <v>1</v>
      </c>
      <c r="F137" s="4">
        <v>1</v>
      </c>
      <c r="G137" s="4">
        <v>0</v>
      </c>
      <c r="H137" s="4">
        <v>1</v>
      </c>
      <c r="I137" s="4">
        <v>0</v>
      </c>
      <c r="J137" s="4">
        <v>0</v>
      </c>
      <c r="K137" s="2" t="s">
        <v>79</v>
      </c>
    </row>
    <row r="138" spans="1:11" x14ac:dyDescent="0.2">
      <c r="A138" s="4">
        <v>4.2699999999999996</v>
      </c>
      <c r="B138" s="4">
        <v>16</v>
      </c>
      <c r="C138" s="4">
        <v>22</v>
      </c>
      <c r="D138" s="4">
        <v>4</v>
      </c>
      <c r="E138" s="4">
        <v>1</v>
      </c>
      <c r="F138" s="4">
        <v>1</v>
      </c>
      <c r="G138" s="4">
        <v>0</v>
      </c>
      <c r="H138" s="4">
        <v>0</v>
      </c>
      <c r="I138" s="4">
        <v>1</v>
      </c>
      <c r="J138" s="4">
        <v>0</v>
      </c>
      <c r="K138" s="2" t="s">
        <v>79</v>
      </c>
    </row>
    <row r="139" spans="1:11" x14ac:dyDescent="0.2">
      <c r="A139" s="4">
        <v>20</v>
      </c>
      <c r="B139" s="4">
        <v>12</v>
      </c>
      <c r="C139" s="4">
        <v>22</v>
      </c>
      <c r="D139" s="4">
        <v>4</v>
      </c>
      <c r="E139" s="4">
        <v>0</v>
      </c>
      <c r="F139" s="4">
        <v>1</v>
      </c>
      <c r="G139" s="4">
        <v>0</v>
      </c>
      <c r="H139" s="4">
        <v>1</v>
      </c>
      <c r="I139" s="4">
        <v>0</v>
      </c>
      <c r="J139" s="4">
        <v>0</v>
      </c>
      <c r="K139" s="2" t="s">
        <v>79</v>
      </c>
    </row>
    <row r="140" spans="1:11" x14ac:dyDescent="0.2">
      <c r="A140" s="4">
        <v>3.5</v>
      </c>
      <c r="B140" s="4">
        <v>12</v>
      </c>
      <c r="C140" s="4">
        <v>20</v>
      </c>
      <c r="D140" s="4">
        <v>4</v>
      </c>
      <c r="E140" s="4">
        <v>1</v>
      </c>
      <c r="F140" s="4">
        <v>1</v>
      </c>
      <c r="G140" s="4">
        <v>0</v>
      </c>
      <c r="H140" s="4">
        <v>0</v>
      </c>
      <c r="I140" s="4">
        <v>0</v>
      </c>
      <c r="J140" s="4">
        <v>0</v>
      </c>
      <c r="K140" s="2" t="s">
        <v>79</v>
      </c>
    </row>
    <row r="141" spans="1:11" x14ac:dyDescent="0.2">
      <c r="A141" s="4">
        <v>6</v>
      </c>
      <c r="B141" s="4">
        <v>15</v>
      </c>
      <c r="C141" s="4">
        <v>19</v>
      </c>
      <c r="D141" s="4">
        <v>4</v>
      </c>
      <c r="E141" s="4">
        <v>1</v>
      </c>
      <c r="F141" s="4">
        <v>1</v>
      </c>
      <c r="G141" s="4">
        <v>0</v>
      </c>
      <c r="H141" s="4">
        <v>1</v>
      </c>
      <c r="I141" s="4">
        <v>0</v>
      </c>
      <c r="J141" s="4">
        <v>0</v>
      </c>
      <c r="K141" s="2" t="s">
        <v>79</v>
      </c>
    </row>
    <row r="142" spans="1:11" x14ac:dyDescent="0.2">
      <c r="A142" s="4">
        <v>8</v>
      </c>
      <c r="B142" s="4">
        <v>12</v>
      </c>
      <c r="C142" s="4">
        <v>14</v>
      </c>
      <c r="D142" s="4">
        <v>4</v>
      </c>
      <c r="E142" s="4">
        <v>1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2" t="s">
        <v>79</v>
      </c>
    </row>
    <row r="143" spans="1:11" x14ac:dyDescent="0.2">
      <c r="A143" s="4">
        <v>6.25</v>
      </c>
      <c r="B143" s="4">
        <v>15</v>
      </c>
      <c r="C143" s="4">
        <v>12</v>
      </c>
      <c r="D143" s="4">
        <v>4</v>
      </c>
      <c r="E143" s="4">
        <v>1</v>
      </c>
      <c r="F143" s="4">
        <v>1</v>
      </c>
      <c r="G143" s="4">
        <v>0</v>
      </c>
      <c r="H143" s="4">
        <v>0</v>
      </c>
      <c r="I143" s="4">
        <v>0</v>
      </c>
      <c r="J143" s="4">
        <v>0</v>
      </c>
      <c r="K143" s="2" t="s">
        <v>79</v>
      </c>
    </row>
    <row r="144" spans="1:11" x14ac:dyDescent="0.2">
      <c r="A144" s="4">
        <v>6.88</v>
      </c>
      <c r="B144" s="10">
        <v>12</v>
      </c>
      <c r="C144" s="4">
        <v>11</v>
      </c>
      <c r="D144" s="4">
        <v>4</v>
      </c>
      <c r="E144" s="4">
        <v>1</v>
      </c>
      <c r="F144" s="4">
        <v>0</v>
      </c>
      <c r="G144" s="4">
        <v>0</v>
      </c>
      <c r="H144" s="4">
        <v>0</v>
      </c>
      <c r="I144" s="4">
        <v>1</v>
      </c>
      <c r="J144" s="4">
        <v>0</v>
      </c>
      <c r="K144" s="2" t="s">
        <v>79</v>
      </c>
    </row>
    <row r="145" spans="1:11" x14ac:dyDescent="0.2">
      <c r="A145" s="4">
        <v>6.25</v>
      </c>
      <c r="B145" s="4">
        <v>16</v>
      </c>
      <c r="C145" s="4">
        <v>11</v>
      </c>
      <c r="D145" s="4">
        <v>4</v>
      </c>
      <c r="E145" s="4">
        <v>0</v>
      </c>
      <c r="F145" s="4">
        <v>0</v>
      </c>
      <c r="G145" s="4">
        <v>1</v>
      </c>
      <c r="H145" s="4">
        <v>0</v>
      </c>
      <c r="I145" s="4">
        <v>0</v>
      </c>
      <c r="J145" s="4">
        <v>0</v>
      </c>
      <c r="K145" s="2" t="s">
        <v>79</v>
      </c>
    </row>
    <row r="146" spans="1:11" x14ac:dyDescent="0.2">
      <c r="A146" s="4">
        <v>6.38</v>
      </c>
      <c r="B146" s="4">
        <v>13</v>
      </c>
      <c r="C146" s="4">
        <v>11</v>
      </c>
      <c r="D146" s="4">
        <v>4</v>
      </c>
      <c r="E146" s="4">
        <v>1</v>
      </c>
      <c r="F146" s="4">
        <v>0</v>
      </c>
      <c r="G146" s="4">
        <v>0</v>
      </c>
      <c r="H146" s="4">
        <v>0</v>
      </c>
      <c r="I146" s="4">
        <v>1</v>
      </c>
      <c r="J146" s="4">
        <v>0</v>
      </c>
      <c r="K146" s="2" t="s">
        <v>79</v>
      </c>
    </row>
    <row r="147" spans="1:11" x14ac:dyDescent="0.2">
      <c r="A147" s="4">
        <v>5.78</v>
      </c>
      <c r="B147" s="4">
        <v>16</v>
      </c>
      <c r="C147" s="4">
        <v>11</v>
      </c>
      <c r="D147" s="4">
        <v>4</v>
      </c>
      <c r="E147" s="4">
        <v>0</v>
      </c>
      <c r="F147" s="4">
        <v>1</v>
      </c>
      <c r="G147" s="4">
        <v>1</v>
      </c>
      <c r="H147" s="4">
        <v>0</v>
      </c>
      <c r="I147" s="4">
        <v>0</v>
      </c>
      <c r="J147" s="4">
        <v>0</v>
      </c>
      <c r="K147" s="2" t="s">
        <v>79</v>
      </c>
    </row>
    <row r="148" spans="1:11" x14ac:dyDescent="0.2">
      <c r="A148" s="4">
        <v>7.63</v>
      </c>
      <c r="B148" s="4">
        <v>12</v>
      </c>
      <c r="C148" s="4">
        <v>8</v>
      </c>
      <c r="D148" s="4">
        <v>4</v>
      </c>
      <c r="E148" s="4">
        <v>1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2" t="s">
        <v>79</v>
      </c>
    </row>
    <row r="149" spans="1:11" x14ac:dyDescent="0.2">
      <c r="A149" s="4">
        <v>3.75</v>
      </c>
      <c r="B149" s="10">
        <v>12</v>
      </c>
      <c r="C149" s="4">
        <v>8</v>
      </c>
      <c r="D149" s="4">
        <v>4</v>
      </c>
      <c r="E149" s="4">
        <v>1</v>
      </c>
      <c r="F149" s="4">
        <v>1</v>
      </c>
      <c r="G149" s="4">
        <v>0</v>
      </c>
      <c r="H149" s="4">
        <v>1</v>
      </c>
      <c r="I149" s="4">
        <v>0</v>
      </c>
      <c r="J149" s="4">
        <v>0</v>
      </c>
      <c r="K149" s="2" t="s">
        <v>79</v>
      </c>
    </row>
    <row r="150" spans="1:11" x14ac:dyDescent="0.2">
      <c r="A150" s="4">
        <v>6.25</v>
      </c>
      <c r="B150" s="10">
        <v>12</v>
      </c>
      <c r="C150" s="4">
        <v>7</v>
      </c>
      <c r="D150" s="4">
        <v>4</v>
      </c>
      <c r="E150" s="4">
        <v>1</v>
      </c>
      <c r="F150" s="4">
        <v>1</v>
      </c>
      <c r="G150" s="4">
        <v>0</v>
      </c>
      <c r="H150" s="4">
        <v>0</v>
      </c>
      <c r="I150" s="4">
        <v>0</v>
      </c>
      <c r="J150" s="4">
        <v>0</v>
      </c>
      <c r="K150" s="2" t="s">
        <v>79</v>
      </c>
    </row>
    <row r="151" spans="1:11" x14ac:dyDescent="0.2">
      <c r="A151" s="4">
        <v>3.5</v>
      </c>
      <c r="B151" s="4">
        <v>14</v>
      </c>
      <c r="C151" s="4">
        <v>5</v>
      </c>
      <c r="D151" s="4">
        <v>4</v>
      </c>
      <c r="E151" s="4">
        <v>1</v>
      </c>
      <c r="F151" s="4">
        <v>0</v>
      </c>
      <c r="G151" s="4">
        <v>0</v>
      </c>
      <c r="H151" s="4">
        <v>0</v>
      </c>
      <c r="I151" s="4">
        <v>1</v>
      </c>
      <c r="J151" s="4">
        <v>0</v>
      </c>
      <c r="K151" s="2" t="s">
        <v>79</v>
      </c>
    </row>
    <row r="152" spans="1:11" x14ac:dyDescent="0.2">
      <c r="A152" s="4">
        <v>3.35</v>
      </c>
      <c r="B152" s="4">
        <v>14</v>
      </c>
      <c r="C152" s="4">
        <v>5</v>
      </c>
      <c r="D152" s="4">
        <v>4</v>
      </c>
      <c r="E152" s="4">
        <v>1</v>
      </c>
      <c r="F152" s="4">
        <v>1</v>
      </c>
      <c r="G152" s="4">
        <v>1</v>
      </c>
      <c r="H152" s="4">
        <v>0</v>
      </c>
      <c r="I152" s="4">
        <v>0</v>
      </c>
      <c r="J152" s="4">
        <v>0</v>
      </c>
      <c r="K152" s="2" t="s">
        <v>79</v>
      </c>
    </row>
    <row r="153" spans="1:11" x14ac:dyDescent="0.2">
      <c r="A153" s="4">
        <v>6.88</v>
      </c>
      <c r="B153" s="10">
        <v>12</v>
      </c>
      <c r="C153" s="4">
        <v>4</v>
      </c>
      <c r="D153" s="4">
        <v>4</v>
      </c>
      <c r="E153" s="4">
        <v>0</v>
      </c>
      <c r="F153" s="4">
        <v>0</v>
      </c>
      <c r="G153" s="4">
        <v>1</v>
      </c>
      <c r="H153" s="4">
        <v>0</v>
      </c>
      <c r="I153" s="4">
        <v>0</v>
      </c>
      <c r="J153" s="4">
        <v>0</v>
      </c>
      <c r="K153" s="2" t="s">
        <v>79</v>
      </c>
    </row>
    <row r="154" spans="1:11" x14ac:dyDescent="0.2">
      <c r="A154" s="4">
        <v>5.77</v>
      </c>
      <c r="B154" s="4">
        <v>10</v>
      </c>
      <c r="C154" s="9">
        <v>43.93</v>
      </c>
      <c r="D154" s="4">
        <v>3</v>
      </c>
      <c r="E154" s="4">
        <v>0</v>
      </c>
      <c r="F154" s="4">
        <v>1</v>
      </c>
      <c r="G154" s="4">
        <v>1</v>
      </c>
      <c r="H154" s="4">
        <v>0</v>
      </c>
      <c r="I154" s="4">
        <v>0</v>
      </c>
      <c r="J154" s="4">
        <v>0</v>
      </c>
      <c r="K154" s="2" t="s">
        <v>79</v>
      </c>
    </row>
    <row r="155" spans="1:11" x14ac:dyDescent="0.2">
      <c r="A155" s="4">
        <v>8.1</v>
      </c>
      <c r="B155" s="4">
        <v>12</v>
      </c>
      <c r="C155" s="4">
        <v>38</v>
      </c>
      <c r="D155" s="4">
        <v>3</v>
      </c>
      <c r="E155" s="4">
        <v>1</v>
      </c>
      <c r="F155" s="4">
        <v>1</v>
      </c>
      <c r="G155" s="4">
        <v>1</v>
      </c>
      <c r="H155" s="4">
        <v>0</v>
      </c>
      <c r="I155" s="4">
        <v>0</v>
      </c>
      <c r="J155" s="4">
        <v>0</v>
      </c>
      <c r="K155" s="2" t="s">
        <v>79</v>
      </c>
    </row>
    <row r="156" spans="1:11" x14ac:dyDescent="0.2">
      <c r="A156" s="4">
        <v>5.48</v>
      </c>
      <c r="B156" s="4">
        <v>10</v>
      </c>
      <c r="C156" s="4">
        <v>36</v>
      </c>
      <c r="D156" s="4">
        <v>3</v>
      </c>
      <c r="E156" s="4">
        <v>1</v>
      </c>
      <c r="F156" s="4">
        <v>1</v>
      </c>
      <c r="G156" s="4">
        <v>0</v>
      </c>
      <c r="H156" s="4">
        <v>1</v>
      </c>
      <c r="I156" s="4">
        <v>0</v>
      </c>
      <c r="J156" s="4">
        <v>0</v>
      </c>
      <c r="K156" s="2" t="s">
        <v>79</v>
      </c>
    </row>
    <row r="157" spans="1:11" x14ac:dyDescent="0.2">
      <c r="A157" s="4">
        <v>3</v>
      </c>
      <c r="B157" s="4">
        <v>14</v>
      </c>
      <c r="C157" s="4">
        <v>33</v>
      </c>
      <c r="D157" s="4">
        <v>3</v>
      </c>
      <c r="E157" s="4">
        <v>1</v>
      </c>
      <c r="F157" s="4">
        <v>1</v>
      </c>
      <c r="G157" s="4">
        <v>0</v>
      </c>
      <c r="H157" s="4">
        <v>0</v>
      </c>
      <c r="I157" s="4">
        <v>0</v>
      </c>
      <c r="J157" s="4">
        <v>0</v>
      </c>
      <c r="K157" s="2" t="s">
        <v>79</v>
      </c>
    </row>
    <row r="158" spans="1:11" x14ac:dyDescent="0.2">
      <c r="A158" s="4">
        <v>5.52</v>
      </c>
      <c r="B158" s="4">
        <v>13</v>
      </c>
      <c r="C158" s="4">
        <v>31</v>
      </c>
      <c r="D158" s="4">
        <v>3</v>
      </c>
      <c r="E158" s="4">
        <v>0</v>
      </c>
      <c r="F158" s="4">
        <v>0</v>
      </c>
      <c r="G158" s="4">
        <v>0</v>
      </c>
      <c r="H158" s="4">
        <v>1</v>
      </c>
      <c r="I158" s="4">
        <v>0</v>
      </c>
      <c r="J158" s="4">
        <v>0</v>
      </c>
      <c r="K158" s="2" t="s">
        <v>79</v>
      </c>
    </row>
    <row r="159" spans="1:11" x14ac:dyDescent="0.2">
      <c r="A159" s="4">
        <v>3.5</v>
      </c>
      <c r="B159" s="4">
        <v>12</v>
      </c>
      <c r="C159" s="4">
        <v>31</v>
      </c>
      <c r="D159" s="4">
        <v>3</v>
      </c>
      <c r="E159" s="4">
        <v>1</v>
      </c>
      <c r="F159" s="4">
        <v>0</v>
      </c>
      <c r="G159" s="4">
        <v>0</v>
      </c>
      <c r="H159" s="4">
        <v>0</v>
      </c>
      <c r="I159" s="4">
        <v>1</v>
      </c>
      <c r="J159" s="4">
        <v>0</v>
      </c>
      <c r="K159" s="2" t="s">
        <v>79</v>
      </c>
    </row>
    <row r="160" spans="1:11" x14ac:dyDescent="0.2">
      <c r="A160" s="4">
        <v>2.23</v>
      </c>
      <c r="B160" s="4">
        <v>8</v>
      </c>
      <c r="C160" s="4">
        <v>28</v>
      </c>
      <c r="D160" s="4">
        <v>3</v>
      </c>
      <c r="E160" s="4">
        <v>0</v>
      </c>
      <c r="F160" s="4">
        <v>1</v>
      </c>
      <c r="G160" s="4">
        <v>0</v>
      </c>
      <c r="H160" s="4">
        <v>1</v>
      </c>
      <c r="I160" s="4">
        <v>0</v>
      </c>
      <c r="J160" s="4">
        <v>0</v>
      </c>
      <c r="K160" s="2" t="s">
        <v>79</v>
      </c>
    </row>
    <row r="161" spans="1:11" x14ac:dyDescent="0.2">
      <c r="A161" s="4">
        <v>8.43</v>
      </c>
      <c r="B161" s="4">
        <v>8</v>
      </c>
      <c r="C161" s="4">
        <v>27</v>
      </c>
      <c r="D161" s="4">
        <v>3</v>
      </c>
      <c r="E161" s="4">
        <v>0</v>
      </c>
      <c r="F161" s="4">
        <v>1</v>
      </c>
      <c r="G161" s="4">
        <v>0</v>
      </c>
      <c r="H161" s="4">
        <v>1</v>
      </c>
      <c r="I161" s="4">
        <v>0</v>
      </c>
      <c r="J161" s="4">
        <v>0</v>
      </c>
      <c r="K161" s="2" t="s">
        <v>79</v>
      </c>
    </row>
    <row r="162" spans="1:11" x14ac:dyDescent="0.2">
      <c r="A162" s="4">
        <v>10</v>
      </c>
      <c r="B162" s="4">
        <v>12</v>
      </c>
      <c r="C162" s="4">
        <v>25</v>
      </c>
      <c r="D162" s="4">
        <v>3</v>
      </c>
      <c r="E162" s="4">
        <v>0</v>
      </c>
      <c r="F162" s="4">
        <v>1</v>
      </c>
      <c r="G162" s="4">
        <v>0</v>
      </c>
      <c r="H162" s="4">
        <v>0</v>
      </c>
      <c r="I162" s="4">
        <v>0</v>
      </c>
      <c r="J162" s="4">
        <v>0</v>
      </c>
      <c r="K162" s="2" t="s">
        <v>79</v>
      </c>
    </row>
    <row r="163" spans="1:11" x14ac:dyDescent="0.2">
      <c r="A163" s="4">
        <v>8.02</v>
      </c>
      <c r="B163" s="4">
        <v>18</v>
      </c>
      <c r="C163" s="4">
        <v>23</v>
      </c>
      <c r="D163" s="4">
        <v>3</v>
      </c>
      <c r="E163" s="4">
        <v>1</v>
      </c>
      <c r="F163" s="4">
        <v>1</v>
      </c>
      <c r="G163" s="4">
        <v>0</v>
      </c>
      <c r="H163" s="4">
        <v>1</v>
      </c>
      <c r="I163" s="4">
        <v>0</v>
      </c>
      <c r="J163" s="4">
        <v>0</v>
      </c>
      <c r="K163" s="2" t="s">
        <v>79</v>
      </c>
    </row>
    <row r="164" spans="1:11" x14ac:dyDescent="0.2">
      <c r="A164" s="4">
        <v>4</v>
      </c>
      <c r="B164" s="4">
        <v>14</v>
      </c>
      <c r="C164" s="4">
        <v>22</v>
      </c>
      <c r="D164" s="4">
        <v>3</v>
      </c>
      <c r="E164" s="4">
        <v>1</v>
      </c>
      <c r="F164" s="4">
        <v>0</v>
      </c>
      <c r="G164" s="4">
        <v>0</v>
      </c>
      <c r="H164" s="4">
        <v>0</v>
      </c>
      <c r="I164" s="4">
        <v>0</v>
      </c>
      <c r="J164" s="4">
        <v>1</v>
      </c>
      <c r="K164" s="2" t="s">
        <v>79</v>
      </c>
    </row>
    <row r="165" spans="1:11" x14ac:dyDescent="0.2">
      <c r="A165" s="4">
        <v>6.63</v>
      </c>
      <c r="B165" s="4">
        <v>15</v>
      </c>
      <c r="C165" s="4">
        <v>21</v>
      </c>
      <c r="D165" s="4">
        <v>3</v>
      </c>
      <c r="E165" s="4">
        <v>1</v>
      </c>
      <c r="F165" s="4">
        <v>1</v>
      </c>
      <c r="G165" s="4">
        <v>0</v>
      </c>
      <c r="H165" s="4">
        <v>0</v>
      </c>
      <c r="I165" s="4">
        <v>1</v>
      </c>
      <c r="J165" s="4">
        <v>0</v>
      </c>
      <c r="K165" s="2" t="s">
        <v>79</v>
      </c>
    </row>
    <row r="166" spans="1:11" x14ac:dyDescent="0.2">
      <c r="A166" s="4">
        <v>6.76</v>
      </c>
      <c r="B166" s="4">
        <v>12</v>
      </c>
      <c r="C166" s="4">
        <v>19</v>
      </c>
      <c r="D166" s="4">
        <v>3</v>
      </c>
      <c r="E166" s="4">
        <v>0</v>
      </c>
      <c r="F166" s="4">
        <v>1</v>
      </c>
      <c r="G166" s="4">
        <v>0</v>
      </c>
      <c r="H166" s="4">
        <v>0</v>
      </c>
      <c r="I166" s="4">
        <v>0</v>
      </c>
      <c r="J166" s="4">
        <v>0</v>
      </c>
      <c r="K166" s="2" t="s">
        <v>79</v>
      </c>
    </row>
    <row r="167" spans="1:11" x14ac:dyDescent="0.2">
      <c r="A167" s="4">
        <v>3.26</v>
      </c>
      <c r="B167" s="4">
        <v>12</v>
      </c>
      <c r="C167" s="4">
        <v>13</v>
      </c>
      <c r="D167" s="4">
        <v>3</v>
      </c>
      <c r="E167" s="4">
        <v>1</v>
      </c>
      <c r="F167" s="4">
        <v>1</v>
      </c>
      <c r="G167" s="4">
        <v>0</v>
      </c>
      <c r="H167" s="4">
        <v>0</v>
      </c>
      <c r="I167" s="4">
        <v>0</v>
      </c>
      <c r="J167" s="4">
        <v>0</v>
      </c>
      <c r="K167" s="2" t="s">
        <v>79</v>
      </c>
    </row>
    <row r="168" spans="1:11" x14ac:dyDescent="0.2">
      <c r="A168" s="4">
        <v>4.79</v>
      </c>
      <c r="B168" s="4">
        <v>12</v>
      </c>
      <c r="C168" s="4">
        <v>12</v>
      </c>
      <c r="D168" s="4">
        <v>3</v>
      </c>
      <c r="E168" s="4">
        <v>1</v>
      </c>
      <c r="F168" s="4">
        <v>1</v>
      </c>
      <c r="G168" s="4">
        <v>1</v>
      </c>
      <c r="H168" s="4">
        <v>0</v>
      </c>
      <c r="I168" s="4">
        <v>0</v>
      </c>
      <c r="J168" s="4">
        <v>0</v>
      </c>
      <c r="K168" s="2" t="s">
        <v>79</v>
      </c>
    </row>
    <row r="169" spans="1:11" x14ac:dyDescent="0.2">
      <c r="A169" s="4">
        <v>3.88</v>
      </c>
      <c r="B169" s="4">
        <v>12</v>
      </c>
      <c r="C169" s="4">
        <v>12</v>
      </c>
      <c r="D169" s="4">
        <v>3</v>
      </c>
      <c r="E169" s="4">
        <v>0</v>
      </c>
      <c r="F169" s="4">
        <v>1</v>
      </c>
      <c r="G169" s="4">
        <v>0</v>
      </c>
      <c r="H169" s="4">
        <v>1</v>
      </c>
      <c r="I169" s="4">
        <v>0</v>
      </c>
      <c r="J169" s="4">
        <v>0</v>
      </c>
      <c r="K169" s="2" t="s">
        <v>79</v>
      </c>
    </row>
    <row r="170" spans="1:11" x14ac:dyDescent="0.2">
      <c r="A170" s="4">
        <v>6</v>
      </c>
      <c r="B170" s="4">
        <v>14</v>
      </c>
      <c r="C170" s="4">
        <v>11</v>
      </c>
      <c r="D170" s="4">
        <v>3</v>
      </c>
      <c r="E170" s="4">
        <v>1</v>
      </c>
      <c r="F170" s="4">
        <v>1</v>
      </c>
      <c r="G170" s="4">
        <v>0</v>
      </c>
      <c r="H170" s="4">
        <v>1</v>
      </c>
      <c r="I170" s="4">
        <v>0</v>
      </c>
      <c r="J170" s="4">
        <v>0</v>
      </c>
      <c r="K170" s="2" t="s">
        <v>79</v>
      </c>
    </row>
    <row r="171" spans="1:11" x14ac:dyDescent="0.2">
      <c r="A171" s="4">
        <v>4.2</v>
      </c>
      <c r="B171" s="4">
        <v>13</v>
      </c>
      <c r="C171" s="4">
        <v>11</v>
      </c>
      <c r="D171" s="4">
        <v>3</v>
      </c>
      <c r="E171" s="4">
        <v>1</v>
      </c>
      <c r="F171" s="4">
        <v>1</v>
      </c>
      <c r="G171" s="4">
        <v>1</v>
      </c>
      <c r="H171" s="4">
        <v>0</v>
      </c>
      <c r="I171" s="4">
        <v>0</v>
      </c>
      <c r="J171" s="4">
        <v>0</v>
      </c>
      <c r="K171" s="2" t="s">
        <v>79</v>
      </c>
    </row>
    <row r="172" spans="1:11" x14ac:dyDescent="0.2">
      <c r="A172" s="4">
        <v>6.29</v>
      </c>
      <c r="B172" s="4">
        <v>17</v>
      </c>
      <c r="C172" s="4">
        <v>10</v>
      </c>
      <c r="D172" s="4">
        <v>3</v>
      </c>
      <c r="E172" s="4">
        <v>0</v>
      </c>
      <c r="F172" s="4">
        <v>1</v>
      </c>
      <c r="G172" s="4">
        <v>0</v>
      </c>
      <c r="H172" s="4">
        <v>1</v>
      </c>
      <c r="I172" s="4">
        <v>0</v>
      </c>
      <c r="J172" s="4">
        <v>0</v>
      </c>
      <c r="K172" s="2" t="s">
        <v>79</v>
      </c>
    </row>
    <row r="173" spans="1:11" x14ac:dyDescent="0.2">
      <c r="A173" s="4">
        <v>5.43</v>
      </c>
      <c r="B173" s="4">
        <v>14</v>
      </c>
      <c r="C173" s="4">
        <v>10</v>
      </c>
      <c r="D173" s="4">
        <v>3</v>
      </c>
      <c r="E173" s="4">
        <v>0</v>
      </c>
      <c r="F173" s="4">
        <v>1</v>
      </c>
      <c r="G173" s="4">
        <v>0</v>
      </c>
      <c r="H173" s="4">
        <v>1</v>
      </c>
      <c r="I173" s="4">
        <v>0</v>
      </c>
      <c r="J173" s="4">
        <v>0</v>
      </c>
      <c r="K173" s="2" t="s">
        <v>79</v>
      </c>
    </row>
    <row r="174" spans="1:11" x14ac:dyDescent="0.2">
      <c r="A174" s="4">
        <v>17.71</v>
      </c>
      <c r="B174" s="4">
        <v>16</v>
      </c>
      <c r="C174" s="4">
        <v>10</v>
      </c>
      <c r="D174" s="4">
        <v>3</v>
      </c>
      <c r="E174" s="4">
        <v>0</v>
      </c>
      <c r="F174" s="4">
        <v>1</v>
      </c>
      <c r="G174" s="4">
        <v>0</v>
      </c>
      <c r="H174" s="4">
        <v>0</v>
      </c>
      <c r="I174" s="4">
        <v>1</v>
      </c>
      <c r="J174" s="4">
        <v>1</v>
      </c>
      <c r="K174" s="2" t="s">
        <v>79</v>
      </c>
    </row>
    <row r="175" spans="1:11" x14ac:dyDescent="0.2">
      <c r="A175" s="4">
        <v>7.78</v>
      </c>
      <c r="B175" s="4">
        <v>14</v>
      </c>
      <c r="C175" s="4">
        <v>9</v>
      </c>
      <c r="D175" s="4">
        <v>3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2" t="s">
        <v>79</v>
      </c>
    </row>
    <row r="176" spans="1:11" x14ac:dyDescent="0.2">
      <c r="A176" s="4">
        <v>10</v>
      </c>
      <c r="B176" s="4">
        <v>16</v>
      </c>
      <c r="C176" s="4">
        <v>9</v>
      </c>
      <c r="D176" s="4">
        <v>3</v>
      </c>
      <c r="E176" s="4">
        <v>0</v>
      </c>
      <c r="F176" s="4">
        <v>1</v>
      </c>
      <c r="G176" s="4">
        <v>0</v>
      </c>
      <c r="H176" s="4">
        <v>1</v>
      </c>
      <c r="I176" s="4">
        <v>0</v>
      </c>
      <c r="J176" s="4">
        <v>0</v>
      </c>
      <c r="K176" s="2" t="s">
        <v>79</v>
      </c>
    </row>
    <row r="177" spans="1:11" x14ac:dyDescent="0.2">
      <c r="A177" s="4">
        <v>5</v>
      </c>
      <c r="B177" s="4">
        <v>12</v>
      </c>
      <c r="C177" s="4">
        <v>7</v>
      </c>
      <c r="D177" s="4">
        <v>3</v>
      </c>
      <c r="E177" s="4">
        <v>1</v>
      </c>
      <c r="F177" s="4">
        <v>0</v>
      </c>
      <c r="G177" s="4">
        <v>0</v>
      </c>
      <c r="H177" s="4">
        <v>0</v>
      </c>
      <c r="I177" s="4">
        <v>1</v>
      </c>
      <c r="J177" s="4">
        <v>0</v>
      </c>
      <c r="K177" s="2" t="s">
        <v>79</v>
      </c>
    </row>
    <row r="178" spans="1:11" x14ac:dyDescent="0.2">
      <c r="A178" s="4">
        <v>5.4</v>
      </c>
      <c r="B178" s="4">
        <v>12</v>
      </c>
      <c r="C178" s="4">
        <v>6</v>
      </c>
      <c r="D178" s="4">
        <v>3</v>
      </c>
      <c r="E178" s="4">
        <v>0</v>
      </c>
      <c r="F178" s="4">
        <v>1</v>
      </c>
      <c r="G178" s="4">
        <v>0</v>
      </c>
      <c r="H178" s="4">
        <v>0</v>
      </c>
      <c r="I178" s="4">
        <v>0</v>
      </c>
      <c r="J178" s="4">
        <v>0</v>
      </c>
      <c r="K178" s="2" t="s">
        <v>79</v>
      </c>
    </row>
    <row r="179" spans="1:11" x14ac:dyDescent="0.2">
      <c r="A179" s="4">
        <v>5</v>
      </c>
      <c r="B179" s="4">
        <v>12</v>
      </c>
      <c r="C179" s="4">
        <v>5</v>
      </c>
      <c r="D179" s="4">
        <v>3</v>
      </c>
      <c r="E179" s="4">
        <v>1</v>
      </c>
      <c r="F179" s="4">
        <v>0</v>
      </c>
      <c r="G179" s="4">
        <v>0</v>
      </c>
      <c r="H179" s="4">
        <v>0</v>
      </c>
      <c r="I179" s="4">
        <v>1</v>
      </c>
      <c r="J179" s="4">
        <v>0</v>
      </c>
      <c r="K179" s="2" t="s">
        <v>79</v>
      </c>
    </row>
    <row r="180" spans="1:11" x14ac:dyDescent="0.2">
      <c r="A180" s="4">
        <v>10</v>
      </c>
      <c r="B180" s="4">
        <v>17</v>
      </c>
      <c r="C180" s="4">
        <v>5</v>
      </c>
      <c r="D180" s="4">
        <v>3</v>
      </c>
      <c r="E180" s="4">
        <v>0</v>
      </c>
      <c r="F180" s="4">
        <v>1</v>
      </c>
      <c r="G180" s="4">
        <v>1</v>
      </c>
      <c r="H180" s="4">
        <v>0</v>
      </c>
      <c r="I180" s="4">
        <v>0</v>
      </c>
      <c r="J180" s="4">
        <v>0</v>
      </c>
      <c r="K180" s="2" t="s">
        <v>79</v>
      </c>
    </row>
    <row r="181" spans="1:11" x14ac:dyDescent="0.2">
      <c r="A181" s="4">
        <v>6.25</v>
      </c>
      <c r="B181" s="4">
        <v>16</v>
      </c>
      <c r="C181" s="4">
        <v>4</v>
      </c>
      <c r="D181" s="4">
        <v>3</v>
      </c>
      <c r="E181" s="4">
        <v>0</v>
      </c>
      <c r="F181" s="4">
        <v>1</v>
      </c>
      <c r="G181" s="4">
        <v>0</v>
      </c>
      <c r="H181" s="4">
        <v>0</v>
      </c>
      <c r="I181" s="4">
        <v>1</v>
      </c>
      <c r="J181" s="4">
        <v>0</v>
      </c>
      <c r="K181" s="2" t="s">
        <v>79</v>
      </c>
    </row>
    <row r="182" spans="1:11" x14ac:dyDescent="0.2">
      <c r="A182" s="4">
        <v>8.92</v>
      </c>
      <c r="B182" s="4">
        <v>18</v>
      </c>
      <c r="C182" s="4">
        <v>3</v>
      </c>
      <c r="D182" s="4">
        <v>3</v>
      </c>
      <c r="E182" s="4">
        <v>0</v>
      </c>
      <c r="F182" s="4">
        <v>1</v>
      </c>
      <c r="G182" s="4">
        <v>0</v>
      </c>
      <c r="H182" s="4">
        <v>1</v>
      </c>
      <c r="I182" s="4">
        <v>0</v>
      </c>
      <c r="J182" s="4">
        <v>0</v>
      </c>
      <c r="K182" s="2" t="s">
        <v>79</v>
      </c>
    </row>
    <row r="183" spans="1:11" x14ac:dyDescent="0.2">
      <c r="A183" s="4">
        <v>9.56</v>
      </c>
      <c r="B183" s="4">
        <v>16</v>
      </c>
      <c r="C183" s="4">
        <v>3</v>
      </c>
      <c r="D183" s="4">
        <v>3</v>
      </c>
      <c r="E183" s="4">
        <v>0</v>
      </c>
      <c r="F183" s="4">
        <v>1</v>
      </c>
      <c r="G183" s="4">
        <v>0</v>
      </c>
      <c r="H183" s="4">
        <v>0</v>
      </c>
      <c r="I183" s="4">
        <v>1</v>
      </c>
      <c r="J183" s="4">
        <v>0</v>
      </c>
      <c r="K183" s="2" t="s">
        <v>79</v>
      </c>
    </row>
    <row r="184" spans="1:11" x14ac:dyDescent="0.2">
      <c r="A184" s="4">
        <v>3</v>
      </c>
      <c r="B184" s="4">
        <v>14</v>
      </c>
      <c r="C184" s="4">
        <v>3</v>
      </c>
      <c r="D184" s="4">
        <v>3</v>
      </c>
      <c r="E184" s="4">
        <v>1</v>
      </c>
      <c r="F184" s="4">
        <v>1</v>
      </c>
      <c r="G184" s="4">
        <v>0</v>
      </c>
      <c r="H184" s="4">
        <v>0</v>
      </c>
      <c r="I184" s="4">
        <v>1</v>
      </c>
      <c r="J184" s="4">
        <v>0</v>
      </c>
      <c r="K184" s="2" t="s">
        <v>79</v>
      </c>
    </row>
    <row r="185" spans="1:11" x14ac:dyDescent="0.2">
      <c r="A185" s="4">
        <v>2.92</v>
      </c>
      <c r="B185" s="4">
        <v>14</v>
      </c>
      <c r="C185" s="4">
        <v>1</v>
      </c>
      <c r="D185" s="4">
        <v>3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2" t="s">
        <v>79</v>
      </c>
    </row>
    <row r="186" spans="1:11" x14ac:dyDescent="0.2">
      <c r="A186" s="4">
        <v>4.75</v>
      </c>
      <c r="B186" s="4">
        <v>12</v>
      </c>
      <c r="C186" s="9">
        <v>43.93</v>
      </c>
      <c r="D186" s="4">
        <v>2</v>
      </c>
      <c r="E186" s="4">
        <v>1</v>
      </c>
      <c r="F186" s="4">
        <v>1</v>
      </c>
      <c r="G186" s="4">
        <v>1</v>
      </c>
      <c r="H186" s="4">
        <v>0</v>
      </c>
      <c r="I186" s="4">
        <v>0</v>
      </c>
      <c r="J186" s="4">
        <v>0</v>
      </c>
      <c r="K186" s="2" t="s">
        <v>79</v>
      </c>
    </row>
    <row r="187" spans="1:11" x14ac:dyDescent="0.2">
      <c r="A187" s="4">
        <v>5</v>
      </c>
      <c r="B187" s="10">
        <v>12</v>
      </c>
      <c r="C187" s="9">
        <v>43.93</v>
      </c>
      <c r="D187" s="4">
        <v>2</v>
      </c>
      <c r="E187" s="4">
        <v>0</v>
      </c>
      <c r="F187" s="4">
        <v>0</v>
      </c>
      <c r="G187" s="4">
        <v>1</v>
      </c>
      <c r="H187" s="4">
        <v>0</v>
      </c>
      <c r="I187" s="4">
        <v>0</v>
      </c>
      <c r="J187" s="4">
        <v>0</v>
      </c>
      <c r="K187" s="2" t="s">
        <v>79</v>
      </c>
    </row>
    <row r="188" spans="1:11" x14ac:dyDescent="0.2">
      <c r="A188" s="4">
        <v>3.25</v>
      </c>
      <c r="B188" s="4">
        <v>12</v>
      </c>
      <c r="C188" s="4">
        <v>40</v>
      </c>
      <c r="D188" s="4">
        <v>2</v>
      </c>
      <c r="E188" s="4">
        <v>1</v>
      </c>
      <c r="F188" s="4">
        <v>0</v>
      </c>
      <c r="G188" s="4">
        <v>1</v>
      </c>
      <c r="H188" s="4">
        <v>0</v>
      </c>
      <c r="I188" s="4">
        <v>0</v>
      </c>
      <c r="J188" s="4">
        <v>0</v>
      </c>
      <c r="K188" s="2" t="s">
        <v>79</v>
      </c>
    </row>
    <row r="189" spans="1:11" x14ac:dyDescent="0.2">
      <c r="A189" s="4">
        <v>4.55</v>
      </c>
      <c r="B189" s="4">
        <v>16</v>
      </c>
      <c r="C189" s="4">
        <v>34</v>
      </c>
      <c r="D189" s="4">
        <v>2</v>
      </c>
      <c r="E189" s="4">
        <v>0</v>
      </c>
      <c r="F189" s="4">
        <v>1</v>
      </c>
      <c r="G189" s="4">
        <v>0</v>
      </c>
      <c r="H189" s="4">
        <v>1</v>
      </c>
      <c r="I189" s="4">
        <v>0</v>
      </c>
      <c r="J189" s="4">
        <v>0</v>
      </c>
      <c r="K189" s="2" t="s">
        <v>79</v>
      </c>
    </row>
    <row r="190" spans="1:11" x14ac:dyDescent="0.2">
      <c r="A190" s="4">
        <v>3.73</v>
      </c>
      <c r="B190" s="4">
        <v>9</v>
      </c>
      <c r="C190" s="4">
        <v>33</v>
      </c>
      <c r="D190" s="4">
        <v>2</v>
      </c>
      <c r="E190" s="10">
        <v>2</v>
      </c>
      <c r="F190" s="4">
        <v>0</v>
      </c>
      <c r="G190" s="4">
        <v>1</v>
      </c>
      <c r="H190" s="4">
        <v>0</v>
      </c>
      <c r="I190" s="4">
        <v>0</v>
      </c>
      <c r="J190" s="4">
        <v>0</v>
      </c>
      <c r="K190" s="2" t="s">
        <v>79</v>
      </c>
    </row>
    <row r="191" spans="1:11" x14ac:dyDescent="0.2">
      <c r="A191" s="4">
        <v>6.5</v>
      </c>
      <c r="B191" s="4">
        <v>12</v>
      </c>
      <c r="C191" s="4">
        <v>33</v>
      </c>
      <c r="D191" s="4">
        <v>2</v>
      </c>
      <c r="E191" s="4">
        <v>0</v>
      </c>
      <c r="F191" s="4">
        <v>1</v>
      </c>
      <c r="G191" s="4">
        <v>1</v>
      </c>
      <c r="H191" s="4">
        <v>0</v>
      </c>
      <c r="I191" s="4">
        <v>0</v>
      </c>
      <c r="J191" s="4">
        <v>0</v>
      </c>
      <c r="K191" s="2" t="s">
        <v>79</v>
      </c>
    </row>
    <row r="192" spans="1:11" x14ac:dyDescent="0.2">
      <c r="A192" s="4">
        <v>4.6500000000000004</v>
      </c>
      <c r="B192" s="4">
        <v>12</v>
      </c>
      <c r="C192" s="4">
        <v>27</v>
      </c>
      <c r="D192" s="4">
        <v>2</v>
      </c>
      <c r="E192" s="4">
        <v>0</v>
      </c>
      <c r="F192" s="4">
        <v>1</v>
      </c>
      <c r="G192" s="4">
        <v>0</v>
      </c>
      <c r="H192" s="4">
        <v>1</v>
      </c>
      <c r="I192" s="4">
        <v>0</v>
      </c>
      <c r="J192" s="4">
        <v>0</v>
      </c>
      <c r="K192" s="2" t="s">
        <v>79</v>
      </c>
    </row>
    <row r="193" spans="1:11" x14ac:dyDescent="0.2">
      <c r="A193" s="4">
        <v>8</v>
      </c>
      <c r="B193" s="4">
        <v>12</v>
      </c>
      <c r="C193" s="4">
        <v>26</v>
      </c>
      <c r="D193" s="4">
        <v>2</v>
      </c>
      <c r="E193" s="4">
        <v>0</v>
      </c>
      <c r="F193" s="4">
        <v>1</v>
      </c>
      <c r="G193" s="4">
        <v>1</v>
      </c>
      <c r="H193" s="4">
        <v>0</v>
      </c>
      <c r="I193" s="4">
        <v>0</v>
      </c>
      <c r="J193" s="4">
        <v>0</v>
      </c>
      <c r="K193" s="2" t="s">
        <v>79</v>
      </c>
    </row>
    <row r="194" spans="1:11" x14ac:dyDescent="0.2">
      <c r="A194" s="4">
        <v>4.5</v>
      </c>
      <c r="B194" s="4">
        <v>13</v>
      </c>
      <c r="C194" s="4">
        <v>23</v>
      </c>
      <c r="D194" s="4">
        <v>2</v>
      </c>
      <c r="E194" s="4">
        <v>1</v>
      </c>
      <c r="F194" s="4">
        <v>0</v>
      </c>
      <c r="G194" s="4">
        <v>0</v>
      </c>
      <c r="H194" s="4">
        <v>1</v>
      </c>
      <c r="I194" s="4">
        <v>0</v>
      </c>
      <c r="J194" s="4">
        <v>0</v>
      </c>
      <c r="K194" s="2" t="s">
        <v>79</v>
      </c>
    </row>
    <row r="195" spans="1:11" x14ac:dyDescent="0.2">
      <c r="A195" s="4">
        <v>3.5</v>
      </c>
      <c r="B195" s="4">
        <v>11</v>
      </c>
      <c r="C195" s="4">
        <v>23</v>
      </c>
      <c r="D195" s="4">
        <v>2</v>
      </c>
      <c r="E195" s="4">
        <v>1</v>
      </c>
      <c r="F195" s="4">
        <v>0</v>
      </c>
      <c r="G195" s="4">
        <v>0</v>
      </c>
      <c r="H195" s="4">
        <v>1</v>
      </c>
      <c r="I195" s="4">
        <v>0</v>
      </c>
      <c r="J195" s="4">
        <v>0</v>
      </c>
      <c r="K195" s="2" t="s">
        <v>79</v>
      </c>
    </row>
    <row r="196" spans="1:11" x14ac:dyDescent="0.2">
      <c r="A196" s="4">
        <v>2.9</v>
      </c>
      <c r="B196" s="4">
        <v>10</v>
      </c>
      <c r="C196" s="4">
        <v>23</v>
      </c>
      <c r="D196" s="4">
        <v>2</v>
      </c>
      <c r="E196" s="4">
        <v>1</v>
      </c>
      <c r="F196" s="4">
        <v>0</v>
      </c>
      <c r="G196" s="4">
        <v>0</v>
      </c>
      <c r="H196" s="4">
        <v>1</v>
      </c>
      <c r="I196" s="4">
        <v>0</v>
      </c>
      <c r="J196" s="4">
        <v>0</v>
      </c>
      <c r="K196" s="2" t="s">
        <v>79</v>
      </c>
    </row>
    <row r="197" spans="1:11" x14ac:dyDescent="0.2">
      <c r="A197" s="4">
        <v>3.24</v>
      </c>
      <c r="B197" s="4">
        <v>12</v>
      </c>
      <c r="C197" s="4">
        <v>22</v>
      </c>
      <c r="D197" s="4">
        <v>2</v>
      </c>
      <c r="E197" s="4">
        <v>1</v>
      </c>
      <c r="F197" s="4">
        <v>1</v>
      </c>
      <c r="G197" s="4">
        <v>0</v>
      </c>
      <c r="H197" s="4">
        <v>0</v>
      </c>
      <c r="I197" s="4">
        <v>1</v>
      </c>
      <c r="J197" s="4">
        <v>0</v>
      </c>
      <c r="K197" s="2" t="s">
        <v>79</v>
      </c>
    </row>
    <row r="198" spans="1:11" x14ac:dyDescent="0.2">
      <c r="A198" s="4">
        <v>3.83</v>
      </c>
      <c r="B198" s="4">
        <v>12</v>
      </c>
      <c r="C198" s="4">
        <v>18</v>
      </c>
      <c r="D198" s="4">
        <v>2</v>
      </c>
      <c r="E198" s="4">
        <v>1</v>
      </c>
      <c r="F198" s="4">
        <v>0</v>
      </c>
      <c r="G198" s="4">
        <v>0</v>
      </c>
      <c r="H198" s="4">
        <v>1</v>
      </c>
      <c r="I198" s="4">
        <v>0</v>
      </c>
      <c r="J198" s="4">
        <v>0</v>
      </c>
      <c r="K198" s="2" t="s">
        <v>79</v>
      </c>
    </row>
    <row r="199" spans="1:11" x14ac:dyDescent="0.2">
      <c r="A199" s="4">
        <v>3.5</v>
      </c>
      <c r="B199" s="4">
        <v>14</v>
      </c>
      <c r="C199" s="4">
        <v>18</v>
      </c>
      <c r="D199" s="4">
        <v>2</v>
      </c>
      <c r="E199" s="4">
        <v>0</v>
      </c>
      <c r="F199" s="4">
        <v>1</v>
      </c>
      <c r="G199" s="4">
        <v>1</v>
      </c>
      <c r="H199" s="4">
        <v>0</v>
      </c>
      <c r="I199" s="4">
        <v>0</v>
      </c>
      <c r="J199" s="4">
        <v>0</v>
      </c>
      <c r="K199" s="2" t="s">
        <v>79</v>
      </c>
    </row>
    <row r="200" spans="1:11" x14ac:dyDescent="0.2">
      <c r="A200" s="4">
        <v>13.08</v>
      </c>
      <c r="B200" s="4">
        <v>17</v>
      </c>
      <c r="C200" s="4">
        <v>17</v>
      </c>
      <c r="D200" s="4">
        <v>2</v>
      </c>
      <c r="E200" s="4">
        <v>0</v>
      </c>
      <c r="F200" s="4">
        <v>1</v>
      </c>
      <c r="G200" s="4">
        <v>0</v>
      </c>
      <c r="H200" s="4">
        <v>0</v>
      </c>
      <c r="I200" s="4">
        <v>0</v>
      </c>
      <c r="J200" s="4">
        <v>0</v>
      </c>
      <c r="K200" s="2" t="s">
        <v>79</v>
      </c>
    </row>
    <row r="201" spans="1:11" x14ac:dyDescent="0.2">
      <c r="A201" s="4">
        <v>10.38</v>
      </c>
      <c r="B201" s="4">
        <v>18</v>
      </c>
      <c r="C201" s="4">
        <v>16</v>
      </c>
      <c r="D201" s="4">
        <v>2</v>
      </c>
      <c r="E201" s="4">
        <v>0</v>
      </c>
      <c r="F201" s="4">
        <v>1</v>
      </c>
      <c r="G201" s="4">
        <v>1</v>
      </c>
      <c r="H201" s="4">
        <v>0</v>
      </c>
      <c r="I201" s="4">
        <v>0</v>
      </c>
      <c r="J201" s="4">
        <v>0</v>
      </c>
      <c r="K201" s="2" t="s">
        <v>79</v>
      </c>
    </row>
    <row r="202" spans="1:11" x14ac:dyDescent="0.2">
      <c r="A202" s="4">
        <v>2.95</v>
      </c>
      <c r="B202" s="4">
        <v>8</v>
      </c>
      <c r="C202" s="4">
        <v>15</v>
      </c>
      <c r="D202" s="4">
        <v>2</v>
      </c>
      <c r="E202" s="4">
        <v>1</v>
      </c>
      <c r="F202" s="4">
        <v>1</v>
      </c>
      <c r="G202" s="4">
        <v>0</v>
      </c>
      <c r="H202" s="4">
        <v>0</v>
      </c>
      <c r="I202" s="4">
        <v>0</v>
      </c>
      <c r="J202" s="4">
        <v>0</v>
      </c>
      <c r="K202" s="2" t="s">
        <v>79</v>
      </c>
    </row>
    <row r="203" spans="1:11" x14ac:dyDescent="0.2">
      <c r="A203" s="4">
        <v>3.25</v>
      </c>
      <c r="B203" s="4">
        <v>12</v>
      </c>
      <c r="C203" s="4">
        <v>14</v>
      </c>
      <c r="D203" s="4">
        <v>2</v>
      </c>
      <c r="E203" s="4">
        <v>1</v>
      </c>
      <c r="F203" s="4">
        <v>1</v>
      </c>
      <c r="G203" s="4">
        <v>0</v>
      </c>
      <c r="H203" s="4">
        <v>1</v>
      </c>
      <c r="I203" s="4">
        <v>0</v>
      </c>
      <c r="J203" s="4">
        <v>0</v>
      </c>
      <c r="K203" s="2" t="s">
        <v>79</v>
      </c>
    </row>
    <row r="204" spans="1:11" x14ac:dyDescent="0.2">
      <c r="A204" s="4">
        <v>15</v>
      </c>
      <c r="B204" s="4">
        <v>16</v>
      </c>
      <c r="C204" s="4">
        <v>14</v>
      </c>
      <c r="D204" s="4">
        <v>2</v>
      </c>
      <c r="E204" s="4">
        <v>1</v>
      </c>
      <c r="F204" s="4">
        <v>1</v>
      </c>
      <c r="G204" s="4">
        <v>0</v>
      </c>
      <c r="H204" s="4">
        <v>0</v>
      </c>
      <c r="I204" s="4">
        <v>1</v>
      </c>
      <c r="J204" s="4">
        <v>0</v>
      </c>
      <c r="K204" s="2" t="s">
        <v>79</v>
      </c>
    </row>
    <row r="205" spans="1:11" x14ac:dyDescent="0.2">
      <c r="A205" s="4">
        <v>6.25</v>
      </c>
      <c r="B205" s="10">
        <v>12</v>
      </c>
      <c r="C205" s="4">
        <v>9</v>
      </c>
      <c r="D205" s="4">
        <v>2</v>
      </c>
      <c r="E205" s="4">
        <v>0</v>
      </c>
      <c r="F205" s="4">
        <v>1</v>
      </c>
      <c r="G205" s="4">
        <v>1</v>
      </c>
      <c r="H205" s="4">
        <v>0</v>
      </c>
      <c r="I205" s="4">
        <v>0</v>
      </c>
      <c r="J205" s="4">
        <v>0</v>
      </c>
      <c r="K205" s="2" t="s">
        <v>79</v>
      </c>
    </row>
    <row r="206" spans="1:11" x14ac:dyDescent="0.2">
      <c r="A206" s="4">
        <v>7.26</v>
      </c>
      <c r="B206" s="4">
        <v>13</v>
      </c>
      <c r="C206" s="4">
        <v>8</v>
      </c>
      <c r="D206" s="4">
        <v>2</v>
      </c>
      <c r="E206" s="4">
        <v>0</v>
      </c>
      <c r="F206" s="4">
        <v>0</v>
      </c>
      <c r="G206" s="4">
        <v>0</v>
      </c>
      <c r="H206" s="4">
        <v>1</v>
      </c>
      <c r="I206" s="4">
        <v>0</v>
      </c>
      <c r="J206" s="4">
        <v>0</v>
      </c>
      <c r="K206" s="2" t="s">
        <v>79</v>
      </c>
    </row>
    <row r="207" spans="1:11" x14ac:dyDescent="0.2">
      <c r="A207" s="4">
        <v>6.25</v>
      </c>
      <c r="B207" s="4">
        <v>16</v>
      </c>
      <c r="C207" s="4">
        <v>8</v>
      </c>
      <c r="D207" s="4">
        <v>2</v>
      </c>
      <c r="E207" s="10">
        <v>2</v>
      </c>
      <c r="F207" s="4">
        <v>0</v>
      </c>
      <c r="G207" s="4">
        <v>0</v>
      </c>
      <c r="H207" s="4">
        <v>0</v>
      </c>
      <c r="I207" s="4">
        <v>1</v>
      </c>
      <c r="J207" s="4">
        <v>0</v>
      </c>
      <c r="K207" s="2" t="s">
        <v>79</v>
      </c>
    </row>
    <row r="208" spans="1:11" x14ac:dyDescent="0.2">
      <c r="A208" s="4">
        <v>5.3</v>
      </c>
      <c r="B208" s="4">
        <v>12</v>
      </c>
      <c r="C208" s="4">
        <v>7</v>
      </c>
      <c r="D208" s="4">
        <v>2</v>
      </c>
      <c r="E208" s="4">
        <v>0</v>
      </c>
      <c r="F208" s="4">
        <v>1</v>
      </c>
      <c r="G208" s="4">
        <v>0</v>
      </c>
      <c r="H208" s="4">
        <v>0</v>
      </c>
      <c r="I208" s="4">
        <v>1</v>
      </c>
      <c r="J208" s="4">
        <v>0</v>
      </c>
      <c r="K208" s="2" t="s">
        <v>79</v>
      </c>
    </row>
    <row r="209" spans="1:11" x14ac:dyDescent="0.2">
      <c r="A209" s="4">
        <v>3.51</v>
      </c>
      <c r="B209" s="4">
        <v>12</v>
      </c>
      <c r="C209" s="4">
        <v>7</v>
      </c>
      <c r="D209" s="4">
        <v>2</v>
      </c>
      <c r="E209" s="4">
        <v>1</v>
      </c>
      <c r="F209" s="4">
        <v>1</v>
      </c>
      <c r="G209" s="4">
        <v>1</v>
      </c>
      <c r="H209" s="4">
        <v>0</v>
      </c>
      <c r="I209" s="4">
        <v>0</v>
      </c>
      <c r="J209" s="4">
        <v>0</v>
      </c>
      <c r="K209" s="2" t="s">
        <v>79</v>
      </c>
    </row>
    <row r="210" spans="1:11" x14ac:dyDescent="0.2">
      <c r="A210" s="4">
        <v>7.5</v>
      </c>
      <c r="B210" s="4">
        <v>16</v>
      </c>
      <c r="C210" s="4">
        <v>6</v>
      </c>
      <c r="D210" s="4">
        <v>2</v>
      </c>
      <c r="E210" s="4">
        <v>1</v>
      </c>
      <c r="F210" s="4">
        <v>1</v>
      </c>
      <c r="G210" s="4">
        <v>0</v>
      </c>
      <c r="H210" s="4">
        <v>1</v>
      </c>
      <c r="I210" s="4">
        <v>0</v>
      </c>
      <c r="J210" s="4">
        <v>0</v>
      </c>
      <c r="K210" s="2" t="s">
        <v>79</v>
      </c>
    </row>
    <row r="211" spans="1:11" x14ac:dyDescent="0.2">
      <c r="A211" s="4">
        <v>3.5</v>
      </c>
      <c r="B211" s="4">
        <v>12</v>
      </c>
      <c r="C211" s="4">
        <v>6</v>
      </c>
      <c r="D211" s="4">
        <v>2</v>
      </c>
      <c r="E211" s="4">
        <v>1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2" t="s">
        <v>79</v>
      </c>
    </row>
    <row r="212" spans="1:11" x14ac:dyDescent="0.2">
      <c r="A212" s="4">
        <v>12.5</v>
      </c>
      <c r="B212" s="4">
        <v>18</v>
      </c>
      <c r="C212" s="4">
        <v>6</v>
      </c>
      <c r="D212" s="4">
        <v>2</v>
      </c>
      <c r="E212" s="4">
        <v>0</v>
      </c>
      <c r="F212" s="4">
        <v>0</v>
      </c>
      <c r="G212" s="4">
        <v>0</v>
      </c>
      <c r="H212" s="4">
        <v>1</v>
      </c>
      <c r="I212" s="4">
        <v>0</v>
      </c>
      <c r="J212" s="4">
        <v>0</v>
      </c>
      <c r="K212" s="2" t="s">
        <v>79</v>
      </c>
    </row>
    <row r="213" spans="1:11" x14ac:dyDescent="0.2">
      <c r="A213" s="4">
        <v>8.33</v>
      </c>
      <c r="B213" s="4">
        <v>16</v>
      </c>
      <c r="C213" s="4">
        <v>6</v>
      </c>
      <c r="D213" s="4">
        <v>2</v>
      </c>
      <c r="E213" s="4">
        <v>0</v>
      </c>
      <c r="F213" s="4">
        <v>1</v>
      </c>
      <c r="G213" s="4">
        <v>0</v>
      </c>
      <c r="H213" s="4">
        <v>0</v>
      </c>
      <c r="I213" s="4">
        <v>1</v>
      </c>
      <c r="J213" s="4">
        <v>0</v>
      </c>
      <c r="K213" s="2" t="s">
        <v>79</v>
      </c>
    </row>
    <row r="214" spans="1:11" x14ac:dyDescent="0.2">
      <c r="A214" s="4">
        <v>4.25</v>
      </c>
      <c r="B214" s="4">
        <v>14</v>
      </c>
      <c r="C214" s="4">
        <v>5</v>
      </c>
      <c r="D214" s="4">
        <v>2</v>
      </c>
      <c r="E214" s="4">
        <v>0</v>
      </c>
      <c r="F214" s="4">
        <v>1</v>
      </c>
      <c r="G214" s="4">
        <v>0</v>
      </c>
      <c r="H214" s="4">
        <v>0</v>
      </c>
      <c r="I214" s="4">
        <v>0</v>
      </c>
      <c r="J214" s="4">
        <v>0</v>
      </c>
      <c r="K214" s="2" t="s">
        <v>79</v>
      </c>
    </row>
    <row r="215" spans="1:11" x14ac:dyDescent="0.2">
      <c r="A215" s="4">
        <v>4.34</v>
      </c>
      <c r="B215" s="4">
        <v>16</v>
      </c>
      <c r="C215" s="4">
        <v>5</v>
      </c>
      <c r="D215" s="4">
        <v>2</v>
      </c>
      <c r="E215" s="4">
        <v>1</v>
      </c>
      <c r="F215" s="4">
        <v>0</v>
      </c>
      <c r="G215" s="4">
        <v>0</v>
      </c>
      <c r="H215" s="4">
        <v>1</v>
      </c>
      <c r="I215" s="4">
        <v>0</v>
      </c>
      <c r="J215" s="4">
        <v>0</v>
      </c>
      <c r="K215" s="2" t="s">
        <v>79</v>
      </c>
    </row>
    <row r="216" spans="1:11" x14ac:dyDescent="0.2">
      <c r="A216" s="4">
        <v>4.51</v>
      </c>
      <c r="B216" s="4">
        <v>12</v>
      </c>
      <c r="C216" s="4">
        <v>5</v>
      </c>
      <c r="D216" s="4">
        <v>2</v>
      </c>
      <c r="E216" s="4">
        <v>0</v>
      </c>
      <c r="F216" s="4">
        <v>0</v>
      </c>
      <c r="G216" s="4">
        <v>1</v>
      </c>
      <c r="H216" s="4">
        <v>0</v>
      </c>
      <c r="I216" s="4">
        <v>0</v>
      </c>
      <c r="J216" s="4">
        <v>0</v>
      </c>
      <c r="K216" s="2" t="s">
        <v>79</v>
      </c>
    </row>
    <row r="217" spans="1:11" x14ac:dyDescent="0.2">
      <c r="A217" s="4">
        <v>3.75</v>
      </c>
      <c r="B217" s="10">
        <v>12</v>
      </c>
      <c r="C217" s="4">
        <v>5</v>
      </c>
      <c r="D217" s="4">
        <v>2</v>
      </c>
      <c r="E217" s="4">
        <v>1</v>
      </c>
      <c r="F217" s="4">
        <v>1</v>
      </c>
      <c r="G217" s="4">
        <v>0</v>
      </c>
      <c r="H217" s="4">
        <v>1</v>
      </c>
      <c r="I217" s="4">
        <v>0</v>
      </c>
      <c r="J217" s="4">
        <v>0</v>
      </c>
      <c r="K217" s="2" t="s">
        <v>79</v>
      </c>
    </row>
    <row r="218" spans="1:11" x14ac:dyDescent="0.2">
      <c r="A218" s="4">
        <v>6.53</v>
      </c>
      <c r="B218" s="4">
        <v>16</v>
      </c>
      <c r="C218" s="4">
        <v>3</v>
      </c>
      <c r="D218" s="4">
        <v>2</v>
      </c>
      <c r="E218" s="4">
        <v>1</v>
      </c>
      <c r="F218" s="4">
        <v>0</v>
      </c>
      <c r="G218" s="4">
        <v>1</v>
      </c>
      <c r="H218" s="4">
        <v>0</v>
      </c>
      <c r="I218" s="4">
        <v>0</v>
      </c>
      <c r="J218" s="4">
        <v>0</v>
      </c>
      <c r="K218" s="2" t="s">
        <v>79</v>
      </c>
    </row>
    <row r="219" spans="1:11" x14ac:dyDescent="0.2">
      <c r="A219" s="4">
        <v>8.6</v>
      </c>
      <c r="B219" s="4">
        <v>16</v>
      </c>
      <c r="C219" s="4">
        <v>3</v>
      </c>
      <c r="D219" s="4">
        <v>2</v>
      </c>
      <c r="E219" s="4">
        <v>1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2" t="s">
        <v>79</v>
      </c>
    </row>
    <row r="220" spans="1:11" x14ac:dyDescent="0.2">
      <c r="A220" s="4">
        <v>8.75</v>
      </c>
      <c r="B220" s="4">
        <v>16</v>
      </c>
      <c r="C220" s="4">
        <v>3</v>
      </c>
      <c r="D220" s="4">
        <v>2</v>
      </c>
      <c r="E220" s="4">
        <v>0</v>
      </c>
      <c r="F220" s="4">
        <v>1</v>
      </c>
      <c r="G220" s="4">
        <v>1</v>
      </c>
      <c r="H220" s="4">
        <v>0</v>
      </c>
      <c r="I220" s="4">
        <v>0</v>
      </c>
      <c r="J220" s="4">
        <v>0</v>
      </c>
      <c r="K220" s="2" t="s">
        <v>79</v>
      </c>
    </row>
    <row r="221" spans="1:11" x14ac:dyDescent="0.2">
      <c r="A221" s="4">
        <v>10</v>
      </c>
      <c r="B221" s="4">
        <v>16</v>
      </c>
      <c r="C221" s="4">
        <v>3</v>
      </c>
      <c r="D221" s="4">
        <v>2</v>
      </c>
      <c r="E221" s="4">
        <v>0</v>
      </c>
      <c r="F221" s="4">
        <v>1</v>
      </c>
      <c r="G221" s="4">
        <v>0</v>
      </c>
      <c r="H221" s="4">
        <v>1</v>
      </c>
      <c r="I221" s="4">
        <v>0</v>
      </c>
      <c r="J221" s="4">
        <v>0</v>
      </c>
      <c r="K221" s="2" t="s">
        <v>79</v>
      </c>
    </row>
    <row r="222" spans="1:11" x14ac:dyDescent="0.2">
      <c r="A222" s="4">
        <v>5.63</v>
      </c>
      <c r="B222" s="4">
        <v>16</v>
      </c>
      <c r="C222" s="4">
        <v>2</v>
      </c>
      <c r="D222" s="4">
        <v>2</v>
      </c>
      <c r="E222" s="4">
        <v>0</v>
      </c>
      <c r="F222" s="4">
        <v>1</v>
      </c>
      <c r="G222" s="4">
        <v>0</v>
      </c>
      <c r="H222" s="4">
        <v>0</v>
      </c>
      <c r="I222" s="4">
        <v>0</v>
      </c>
      <c r="J222" s="4">
        <v>0</v>
      </c>
      <c r="K222" s="2" t="s">
        <v>79</v>
      </c>
    </row>
    <row r="223" spans="1:11" x14ac:dyDescent="0.2">
      <c r="A223" s="4">
        <v>3.2</v>
      </c>
      <c r="B223" s="4">
        <v>15</v>
      </c>
      <c r="C223" s="4">
        <v>2</v>
      </c>
      <c r="D223" s="4">
        <v>2</v>
      </c>
      <c r="E223" s="4">
        <v>1</v>
      </c>
      <c r="F223" s="4">
        <v>0</v>
      </c>
      <c r="G223" s="4">
        <v>0</v>
      </c>
      <c r="H223" s="4">
        <v>1</v>
      </c>
      <c r="I223" s="4">
        <v>0</v>
      </c>
      <c r="J223" s="4">
        <v>0</v>
      </c>
      <c r="K223" s="2" t="s">
        <v>79</v>
      </c>
    </row>
    <row r="224" spans="1:11" x14ac:dyDescent="0.2">
      <c r="A224" s="4">
        <v>2.9</v>
      </c>
      <c r="B224" s="4">
        <v>12</v>
      </c>
      <c r="C224" s="4">
        <v>2</v>
      </c>
      <c r="D224" s="4">
        <v>2</v>
      </c>
      <c r="E224" s="4">
        <v>1</v>
      </c>
      <c r="F224" s="4">
        <v>0</v>
      </c>
      <c r="G224" s="4">
        <v>0</v>
      </c>
      <c r="H224" s="4">
        <v>0</v>
      </c>
      <c r="I224" s="4">
        <v>1</v>
      </c>
      <c r="J224" s="4">
        <v>0</v>
      </c>
      <c r="K224" s="2" t="s">
        <v>79</v>
      </c>
    </row>
    <row r="225" spans="1:11" x14ac:dyDescent="0.2">
      <c r="A225" s="4">
        <v>6</v>
      </c>
      <c r="B225" s="4">
        <v>16</v>
      </c>
      <c r="C225" s="4">
        <v>2</v>
      </c>
      <c r="D225" s="4">
        <v>2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2" t="s">
        <v>79</v>
      </c>
    </row>
    <row r="226" spans="1:11" x14ac:dyDescent="0.2">
      <c r="A226" s="4">
        <v>3.5</v>
      </c>
      <c r="B226" s="4">
        <v>13</v>
      </c>
      <c r="C226" s="4">
        <v>1</v>
      </c>
      <c r="D226" s="4">
        <v>2</v>
      </c>
      <c r="E226" s="4">
        <v>0</v>
      </c>
      <c r="F226" s="4">
        <v>0</v>
      </c>
      <c r="G226" s="4">
        <v>1</v>
      </c>
      <c r="H226" s="4">
        <v>0</v>
      </c>
      <c r="I226" s="4">
        <v>0</v>
      </c>
      <c r="J226" s="4">
        <v>0</v>
      </c>
      <c r="K226" s="2" t="s">
        <v>79</v>
      </c>
    </row>
    <row r="227" spans="1:11" x14ac:dyDescent="0.2">
      <c r="A227" s="4">
        <v>3.75</v>
      </c>
      <c r="B227" s="4">
        <v>18</v>
      </c>
      <c r="C227" s="4">
        <v>1</v>
      </c>
      <c r="D227" s="4">
        <v>2</v>
      </c>
      <c r="E227" s="4">
        <v>0</v>
      </c>
      <c r="F227" s="4">
        <v>0</v>
      </c>
      <c r="G227" s="4">
        <v>1</v>
      </c>
      <c r="H227" s="4">
        <v>0</v>
      </c>
      <c r="I227" s="4">
        <v>0</v>
      </c>
      <c r="J227" s="4">
        <v>0</v>
      </c>
      <c r="K227" s="2" t="s">
        <v>79</v>
      </c>
    </row>
    <row r="228" spans="1:11" x14ac:dyDescent="0.2">
      <c r="A228" s="4">
        <v>8.75</v>
      </c>
      <c r="B228" s="4">
        <v>16</v>
      </c>
      <c r="C228" s="4">
        <v>1</v>
      </c>
      <c r="D228" s="4">
        <v>2</v>
      </c>
      <c r="E228" s="4">
        <v>0</v>
      </c>
      <c r="F228" s="4">
        <v>0</v>
      </c>
      <c r="G228" s="4">
        <v>1</v>
      </c>
      <c r="H228" s="4">
        <v>0</v>
      </c>
      <c r="I228" s="4">
        <v>0</v>
      </c>
      <c r="J228" s="4">
        <v>0</v>
      </c>
      <c r="K228" s="2" t="s">
        <v>79</v>
      </c>
    </row>
    <row r="229" spans="1:11" x14ac:dyDescent="0.2">
      <c r="A229" s="4">
        <v>2.9</v>
      </c>
      <c r="B229" s="4">
        <v>11</v>
      </c>
      <c r="C229" s="4">
        <v>1</v>
      </c>
      <c r="D229" s="4">
        <v>2</v>
      </c>
      <c r="E229" s="4">
        <v>0</v>
      </c>
      <c r="F229" s="4">
        <v>0</v>
      </c>
      <c r="G229" s="4">
        <v>0</v>
      </c>
      <c r="H229" s="4">
        <v>1</v>
      </c>
      <c r="I229" s="4">
        <v>0</v>
      </c>
      <c r="J229" s="4">
        <v>0</v>
      </c>
      <c r="K229" s="2" t="s">
        <v>79</v>
      </c>
    </row>
    <row r="230" spans="1:11" x14ac:dyDescent="0.2">
      <c r="A230" s="4">
        <v>3.52</v>
      </c>
      <c r="B230" s="4">
        <v>12</v>
      </c>
      <c r="C230" s="9">
        <v>43.93</v>
      </c>
      <c r="D230" s="4">
        <v>1</v>
      </c>
      <c r="E230" s="4">
        <v>0</v>
      </c>
      <c r="F230" s="4">
        <v>1</v>
      </c>
      <c r="G230" s="4">
        <v>0</v>
      </c>
      <c r="H230" s="4">
        <v>1</v>
      </c>
      <c r="I230" s="4">
        <v>0</v>
      </c>
      <c r="J230" s="4">
        <v>0</v>
      </c>
      <c r="K230" s="2" t="s">
        <v>79</v>
      </c>
    </row>
    <row r="231" spans="1:11" x14ac:dyDescent="0.2">
      <c r="A231" s="4">
        <v>3</v>
      </c>
      <c r="B231" s="4">
        <v>8</v>
      </c>
      <c r="C231" s="9">
        <v>43.93</v>
      </c>
      <c r="D231" s="4">
        <v>1</v>
      </c>
      <c r="E231" s="4">
        <v>1</v>
      </c>
      <c r="F231" s="4">
        <v>1</v>
      </c>
      <c r="G231" s="4">
        <v>0</v>
      </c>
      <c r="H231" s="4">
        <v>0</v>
      </c>
      <c r="I231" s="4">
        <v>0</v>
      </c>
      <c r="J231" s="4">
        <v>0</v>
      </c>
      <c r="K231" s="2" t="s">
        <v>79</v>
      </c>
    </row>
    <row r="232" spans="1:11" x14ac:dyDescent="0.2">
      <c r="A232" s="4">
        <v>2.9</v>
      </c>
      <c r="B232" s="4">
        <v>12</v>
      </c>
      <c r="C232" s="4">
        <v>39</v>
      </c>
      <c r="D232" s="4">
        <v>1</v>
      </c>
      <c r="E232" s="4">
        <v>1</v>
      </c>
      <c r="F232" s="4">
        <v>1</v>
      </c>
      <c r="G232" s="4">
        <v>0</v>
      </c>
      <c r="H232" s="4">
        <v>1</v>
      </c>
      <c r="I232" s="4">
        <v>0</v>
      </c>
      <c r="J232" s="4">
        <v>0</v>
      </c>
      <c r="K232" s="2" t="s">
        <v>79</v>
      </c>
    </row>
    <row r="233" spans="1:11" x14ac:dyDescent="0.2">
      <c r="A233" s="4">
        <v>9</v>
      </c>
      <c r="B233" s="4">
        <v>12</v>
      </c>
      <c r="C233" s="4">
        <v>38</v>
      </c>
      <c r="D233" s="4">
        <v>1</v>
      </c>
      <c r="E233" s="4">
        <v>0</v>
      </c>
      <c r="F233" s="4">
        <v>1</v>
      </c>
      <c r="G233" s="4">
        <v>0</v>
      </c>
      <c r="H233" s="4">
        <v>0</v>
      </c>
      <c r="I233" s="4">
        <v>0</v>
      </c>
      <c r="J233" s="4">
        <v>0</v>
      </c>
      <c r="K233" s="2" t="s">
        <v>79</v>
      </c>
    </row>
    <row r="234" spans="1:11" x14ac:dyDescent="0.2">
      <c r="A234" s="4">
        <v>3</v>
      </c>
      <c r="B234" s="4">
        <v>12</v>
      </c>
      <c r="C234" s="4">
        <v>36</v>
      </c>
      <c r="D234" s="4">
        <v>1</v>
      </c>
      <c r="E234" s="10">
        <v>2</v>
      </c>
      <c r="F234" s="4">
        <v>0</v>
      </c>
      <c r="G234" s="4">
        <v>0</v>
      </c>
      <c r="H234" s="4">
        <v>0</v>
      </c>
      <c r="I234" s="4">
        <v>1</v>
      </c>
      <c r="J234" s="4">
        <v>0</v>
      </c>
      <c r="K234" s="2" t="s">
        <v>79</v>
      </c>
    </row>
    <row r="235" spans="1:11" x14ac:dyDescent="0.2">
      <c r="A235" s="4">
        <v>3.5</v>
      </c>
      <c r="B235" s="4">
        <v>13</v>
      </c>
      <c r="C235" s="4">
        <v>29</v>
      </c>
      <c r="D235" s="4">
        <v>1</v>
      </c>
      <c r="E235" s="4">
        <v>1</v>
      </c>
      <c r="F235" s="4">
        <v>1</v>
      </c>
      <c r="G235" s="4">
        <v>0</v>
      </c>
      <c r="H235" s="4">
        <v>1</v>
      </c>
      <c r="I235" s="4">
        <v>0</v>
      </c>
      <c r="J235" s="4">
        <v>0</v>
      </c>
      <c r="K235" s="2" t="s">
        <v>79</v>
      </c>
    </row>
    <row r="236" spans="1:11" x14ac:dyDescent="0.2">
      <c r="A236" s="4">
        <v>3</v>
      </c>
      <c r="B236" s="4">
        <v>7</v>
      </c>
      <c r="C236" s="4">
        <v>26</v>
      </c>
      <c r="D236" s="4">
        <v>1</v>
      </c>
      <c r="E236" s="4">
        <v>1</v>
      </c>
      <c r="F236" s="4">
        <v>0</v>
      </c>
      <c r="G236" s="4">
        <v>0</v>
      </c>
      <c r="H236" s="4">
        <v>1</v>
      </c>
      <c r="I236" s="4">
        <v>0</v>
      </c>
      <c r="J236" s="4">
        <v>0</v>
      </c>
      <c r="K236" s="2" t="s">
        <v>79</v>
      </c>
    </row>
    <row r="237" spans="1:11" x14ac:dyDescent="0.2">
      <c r="A237" s="4">
        <v>4</v>
      </c>
      <c r="B237" s="4">
        <v>9</v>
      </c>
      <c r="C237" s="4">
        <v>19</v>
      </c>
      <c r="D237" s="4">
        <v>1</v>
      </c>
      <c r="E237" s="4">
        <v>1</v>
      </c>
      <c r="F237" s="4">
        <v>1</v>
      </c>
      <c r="G237" s="4">
        <v>0</v>
      </c>
      <c r="H237" s="4">
        <v>0</v>
      </c>
      <c r="I237" s="4">
        <v>0</v>
      </c>
      <c r="J237" s="4">
        <v>0</v>
      </c>
      <c r="K237" s="2" t="s">
        <v>79</v>
      </c>
    </row>
    <row r="238" spans="1:11" x14ac:dyDescent="0.2">
      <c r="A238" s="4">
        <v>2.9</v>
      </c>
      <c r="B238" s="4">
        <v>12</v>
      </c>
      <c r="C238" s="4">
        <v>17</v>
      </c>
      <c r="D238" s="4">
        <v>1</v>
      </c>
      <c r="E238" s="4">
        <v>1</v>
      </c>
      <c r="F238" s="4">
        <v>1</v>
      </c>
      <c r="G238" s="4">
        <v>1</v>
      </c>
      <c r="H238" s="4">
        <v>0</v>
      </c>
      <c r="I238" s="4">
        <v>0</v>
      </c>
      <c r="J238" s="4">
        <v>0</v>
      </c>
      <c r="K238" s="2" t="s">
        <v>79</v>
      </c>
    </row>
    <row r="239" spans="1:11" x14ac:dyDescent="0.2">
      <c r="A239" s="4">
        <v>4.63</v>
      </c>
      <c r="B239" s="4">
        <v>12</v>
      </c>
      <c r="C239" s="4">
        <v>16</v>
      </c>
      <c r="D239" s="4">
        <v>1</v>
      </c>
      <c r="E239" s="4">
        <v>1</v>
      </c>
      <c r="F239" s="4">
        <v>0</v>
      </c>
      <c r="G239" s="4">
        <v>0</v>
      </c>
      <c r="H239" s="4">
        <v>1</v>
      </c>
      <c r="I239" s="4">
        <v>0</v>
      </c>
      <c r="J239" s="4">
        <v>0</v>
      </c>
      <c r="K239" s="2" t="s">
        <v>79</v>
      </c>
    </row>
    <row r="240" spans="1:11" x14ac:dyDescent="0.2">
      <c r="A240" s="4">
        <v>4.72</v>
      </c>
      <c r="B240" s="4">
        <v>12</v>
      </c>
      <c r="C240" s="4">
        <v>15</v>
      </c>
      <c r="D240" s="4">
        <v>1</v>
      </c>
      <c r="E240" s="4">
        <v>1</v>
      </c>
      <c r="F240" s="4">
        <v>0</v>
      </c>
      <c r="G240" s="4">
        <v>0</v>
      </c>
      <c r="H240" s="4">
        <v>1</v>
      </c>
      <c r="I240" s="4">
        <v>0</v>
      </c>
      <c r="J240" s="4">
        <v>0</v>
      </c>
      <c r="K240" s="2" t="s">
        <v>79</v>
      </c>
    </row>
    <row r="241" spans="1:11" x14ac:dyDescent="0.2">
      <c r="A241" s="4">
        <v>2.9</v>
      </c>
      <c r="B241" s="4">
        <v>12</v>
      </c>
      <c r="C241" s="4">
        <v>15</v>
      </c>
      <c r="D241" s="4">
        <v>1</v>
      </c>
      <c r="E241" s="4">
        <v>1</v>
      </c>
      <c r="F241" s="4">
        <v>1</v>
      </c>
      <c r="G241" s="4">
        <v>0</v>
      </c>
      <c r="H241" s="4">
        <v>0</v>
      </c>
      <c r="I241" s="4">
        <v>1</v>
      </c>
      <c r="J241" s="4">
        <v>0</v>
      </c>
      <c r="K241" s="2" t="s">
        <v>79</v>
      </c>
    </row>
    <row r="242" spans="1:11" x14ac:dyDescent="0.2">
      <c r="A242" s="4">
        <v>5</v>
      </c>
      <c r="B242" s="4">
        <v>11</v>
      </c>
      <c r="C242" s="4">
        <v>13</v>
      </c>
      <c r="D242" s="4">
        <v>1</v>
      </c>
      <c r="E242" s="4">
        <v>0</v>
      </c>
      <c r="F242" s="4">
        <v>1</v>
      </c>
      <c r="G242" s="4">
        <v>0</v>
      </c>
      <c r="H242" s="4">
        <v>1</v>
      </c>
      <c r="I242" s="4">
        <v>0</v>
      </c>
      <c r="J242" s="4">
        <v>0</v>
      </c>
      <c r="K242" s="2" t="s">
        <v>79</v>
      </c>
    </row>
    <row r="243" spans="1:11" x14ac:dyDescent="0.2">
      <c r="A243" s="4">
        <v>8.65</v>
      </c>
      <c r="B243" s="4">
        <v>18</v>
      </c>
      <c r="C243" s="4">
        <v>13</v>
      </c>
      <c r="D243" s="4">
        <v>1</v>
      </c>
      <c r="E243" s="4">
        <v>1</v>
      </c>
      <c r="F243" s="4">
        <v>0</v>
      </c>
      <c r="G243" s="4">
        <v>1</v>
      </c>
      <c r="H243" s="4">
        <v>0</v>
      </c>
      <c r="I243" s="4">
        <v>0</v>
      </c>
      <c r="J243" s="4">
        <v>0</v>
      </c>
      <c r="K243" s="2" t="s">
        <v>79</v>
      </c>
    </row>
    <row r="244" spans="1:11" x14ac:dyDescent="0.2">
      <c r="A244" s="4">
        <v>1.5</v>
      </c>
      <c r="B244" s="4">
        <v>12</v>
      </c>
      <c r="C244" s="4">
        <v>11</v>
      </c>
      <c r="D244" s="4">
        <v>1</v>
      </c>
      <c r="E244" s="4">
        <v>1</v>
      </c>
      <c r="F244" s="4">
        <v>1</v>
      </c>
      <c r="G244" s="4">
        <v>1</v>
      </c>
      <c r="H244" s="4">
        <v>0</v>
      </c>
      <c r="I244" s="4">
        <v>0</v>
      </c>
      <c r="J244" s="4">
        <v>0</v>
      </c>
      <c r="K244" s="2" t="s">
        <v>79</v>
      </c>
    </row>
    <row r="245" spans="1:11" x14ac:dyDescent="0.2">
      <c r="A245" s="4">
        <v>6.35</v>
      </c>
      <c r="B245" s="4">
        <v>14</v>
      </c>
      <c r="C245" s="4">
        <v>10</v>
      </c>
      <c r="D245" s="4">
        <v>1</v>
      </c>
      <c r="E245" s="4">
        <v>1</v>
      </c>
      <c r="F245" s="4">
        <v>1</v>
      </c>
      <c r="G245" s="4">
        <v>0</v>
      </c>
      <c r="H245" s="4">
        <v>1</v>
      </c>
      <c r="I245" s="4">
        <v>0</v>
      </c>
      <c r="J245" s="4">
        <v>0</v>
      </c>
      <c r="K245" s="2" t="s">
        <v>79</v>
      </c>
    </row>
    <row r="246" spans="1:11" x14ac:dyDescent="0.2">
      <c r="A246" s="4">
        <v>3.25</v>
      </c>
      <c r="B246" s="4">
        <v>8</v>
      </c>
      <c r="C246" s="4">
        <v>9</v>
      </c>
      <c r="D246" s="4">
        <v>1</v>
      </c>
      <c r="E246" s="4">
        <v>1</v>
      </c>
      <c r="F246" s="4">
        <v>1</v>
      </c>
      <c r="G246" s="4">
        <v>0</v>
      </c>
      <c r="H246" s="4">
        <v>0</v>
      </c>
      <c r="I246" s="4">
        <v>1</v>
      </c>
      <c r="J246" s="4">
        <v>0</v>
      </c>
      <c r="K246" s="2" t="s">
        <v>79</v>
      </c>
    </row>
    <row r="247" spans="1:11" x14ac:dyDescent="0.2">
      <c r="A247" s="4">
        <v>3.35</v>
      </c>
      <c r="B247" s="4">
        <v>12</v>
      </c>
      <c r="C247" s="4">
        <v>9</v>
      </c>
      <c r="D247" s="4">
        <v>1</v>
      </c>
      <c r="E247" s="4">
        <v>0</v>
      </c>
      <c r="F247" s="4">
        <v>1</v>
      </c>
      <c r="G247" s="4">
        <v>1</v>
      </c>
      <c r="H247" s="4">
        <v>0</v>
      </c>
      <c r="I247" s="4">
        <v>0</v>
      </c>
      <c r="J247" s="4">
        <v>0</v>
      </c>
      <c r="K247" s="2" t="s">
        <v>79</v>
      </c>
    </row>
    <row r="248" spans="1:11" x14ac:dyDescent="0.2">
      <c r="A248" s="4">
        <v>8.8000000000000007</v>
      </c>
      <c r="B248" s="4">
        <v>16</v>
      </c>
      <c r="C248" s="4">
        <v>9</v>
      </c>
      <c r="D248" s="4">
        <v>1</v>
      </c>
      <c r="E248" s="4">
        <v>0</v>
      </c>
      <c r="F248" s="4">
        <v>1</v>
      </c>
      <c r="G248" s="4">
        <v>0</v>
      </c>
      <c r="H248" s="4">
        <v>1</v>
      </c>
      <c r="I248" s="4">
        <v>0</v>
      </c>
      <c r="J248" s="4">
        <v>0</v>
      </c>
      <c r="K248" s="2" t="s">
        <v>79</v>
      </c>
    </row>
    <row r="249" spans="1:11" x14ac:dyDescent="0.2">
      <c r="A249" s="4">
        <v>12.5</v>
      </c>
      <c r="B249" s="4">
        <v>12</v>
      </c>
      <c r="C249" s="4">
        <v>8</v>
      </c>
      <c r="D249" s="4">
        <v>1</v>
      </c>
      <c r="E249" s="4">
        <v>0</v>
      </c>
      <c r="F249" s="4">
        <v>0</v>
      </c>
      <c r="G249" s="4">
        <v>1</v>
      </c>
      <c r="H249" s="4">
        <v>0</v>
      </c>
      <c r="I249" s="4">
        <v>0</v>
      </c>
      <c r="J249" s="4">
        <v>0</v>
      </c>
      <c r="K249" s="2" t="s">
        <v>79</v>
      </c>
    </row>
    <row r="250" spans="1:11" x14ac:dyDescent="0.2">
      <c r="A250" s="4">
        <v>6.36</v>
      </c>
      <c r="B250" s="4">
        <v>14</v>
      </c>
      <c r="C250" s="4">
        <v>8</v>
      </c>
      <c r="D250" s="4">
        <v>1</v>
      </c>
      <c r="E250" s="4">
        <v>0</v>
      </c>
      <c r="F250" s="4">
        <v>1</v>
      </c>
      <c r="G250" s="4">
        <v>0</v>
      </c>
      <c r="H250" s="4">
        <v>1</v>
      </c>
      <c r="I250" s="4">
        <v>0</v>
      </c>
      <c r="J250" s="4">
        <v>0</v>
      </c>
      <c r="K250" s="2" t="s">
        <v>79</v>
      </c>
    </row>
    <row r="251" spans="1:11" x14ac:dyDescent="0.2">
      <c r="A251" s="4">
        <v>6.5</v>
      </c>
      <c r="B251" s="4">
        <v>12</v>
      </c>
      <c r="C251" s="4">
        <v>4</v>
      </c>
      <c r="D251" s="4">
        <v>1</v>
      </c>
      <c r="E251" s="4">
        <v>1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2" t="s">
        <v>79</v>
      </c>
    </row>
    <row r="252" spans="1:11" x14ac:dyDescent="0.2">
      <c r="A252" s="4">
        <v>2.31</v>
      </c>
      <c r="B252" s="4">
        <v>9</v>
      </c>
      <c r="C252" s="4">
        <v>4</v>
      </c>
      <c r="D252" s="4">
        <v>1</v>
      </c>
      <c r="E252" s="4">
        <v>1</v>
      </c>
      <c r="F252" s="4">
        <v>0</v>
      </c>
      <c r="G252" s="4">
        <v>1</v>
      </c>
      <c r="H252" s="4">
        <v>0</v>
      </c>
      <c r="I252" s="4">
        <v>0</v>
      </c>
      <c r="J252" s="4">
        <v>0</v>
      </c>
      <c r="K252" s="2" t="s">
        <v>79</v>
      </c>
    </row>
    <row r="253" spans="1:11" x14ac:dyDescent="0.2">
      <c r="A253" s="4">
        <v>3.5</v>
      </c>
      <c r="B253" s="4">
        <v>18</v>
      </c>
      <c r="C253" s="4">
        <v>3</v>
      </c>
      <c r="D253" s="4">
        <v>1</v>
      </c>
      <c r="E253" s="4">
        <v>1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2" t="s">
        <v>79</v>
      </c>
    </row>
    <row r="254" spans="1:11" x14ac:dyDescent="0.2">
      <c r="A254" s="4">
        <v>0.53</v>
      </c>
      <c r="B254" s="4">
        <v>12</v>
      </c>
      <c r="C254" s="4">
        <v>3</v>
      </c>
      <c r="D254" s="4">
        <v>1</v>
      </c>
      <c r="E254" s="4">
        <v>1</v>
      </c>
      <c r="F254" s="4">
        <v>0</v>
      </c>
      <c r="G254" s="4">
        <v>0</v>
      </c>
      <c r="H254" s="4">
        <v>0</v>
      </c>
      <c r="I254" s="4">
        <v>1</v>
      </c>
      <c r="J254" s="4">
        <v>0</v>
      </c>
      <c r="K254" s="2" t="s">
        <v>79</v>
      </c>
    </row>
    <row r="255" spans="1:11" x14ac:dyDescent="0.2">
      <c r="A255" s="4">
        <v>3</v>
      </c>
      <c r="B255" s="4">
        <v>13</v>
      </c>
      <c r="C255" s="4">
        <v>3</v>
      </c>
      <c r="D255" s="4">
        <v>1</v>
      </c>
      <c r="E255" s="4">
        <v>0</v>
      </c>
      <c r="F255" s="4">
        <v>0</v>
      </c>
      <c r="G255" s="4">
        <v>0</v>
      </c>
      <c r="H255" s="4">
        <v>1</v>
      </c>
      <c r="I255" s="4">
        <v>0</v>
      </c>
      <c r="J255" s="4">
        <v>0</v>
      </c>
      <c r="K255" s="2" t="s">
        <v>79</v>
      </c>
    </row>
    <row r="256" spans="1:11" x14ac:dyDescent="0.2">
      <c r="A256" s="4">
        <v>4.68</v>
      </c>
      <c r="B256" s="4">
        <v>16</v>
      </c>
      <c r="C256" s="4">
        <v>3</v>
      </c>
      <c r="D256" s="4">
        <v>1</v>
      </c>
      <c r="E256" s="4">
        <v>1</v>
      </c>
      <c r="F256" s="4">
        <v>0</v>
      </c>
      <c r="G256" s="4">
        <v>1</v>
      </c>
      <c r="H256" s="4">
        <v>0</v>
      </c>
      <c r="I256" s="4">
        <v>0</v>
      </c>
      <c r="J256" s="4">
        <v>0</v>
      </c>
      <c r="K256" s="2" t="s">
        <v>79</v>
      </c>
    </row>
    <row r="257" spans="1:11" x14ac:dyDescent="0.2">
      <c r="A257" s="4">
        <v>4.5</v>
      </c>
      <c r="B257" s="4">
        <v>12</v>
      </c>
      <c r="C257" s="4">
        <v>2</v>
      </c>
      <c r="D257" s="4">
        <v>1</v>
      </c>
      <c r="E257" s="4">
        <v>1</v>
      </c>
      <c r="F257" s="4">
        <v>0</v>
      </c>
      <c r="G257" s="4">
        <v>0</v>
      </c>
      <c r="H257" s="4">
        <v>0</v>
      </c>
      <c r="I257" s="4">
        <v>0</v>
      </c>
      <c r="J257" s="4">
        <v>1</v>
      </c>
      <c r="K257" s="2" t="s">
        <v>79</v>
      </c>
    </row>
    <row r="258" spans="1:11" x14ac:dyDescent="0.2">
      <c r="A258" s="4">
        <v>3.1</v>
      </c>
      <c r="B258" s="4">
        <v>12</v>
      </c>
      <c r="C258" s="4">
        <v>2</v>
      </c>
      <c r="D258" s="4">
        <v>1</v>
      </c>
      <c r="E258" s="4">
        <v>1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2" t="s">
        <v>79</v>
      </c>
    </row>
    <row r="259" spans="1:11" x14ac:dyDescent="0.2">
      <c r="A259" s="4">
        <v>5</v>
      </c>
      <c r="B259" s="4">
        <v>16</v>
      </c>
      <c r="C259" s="4">
        <v>2</v>
      </c>
      <c r="D259" s="4">
        <v>1</v>
      </c>
      <c r="E259" s="4">
        <v>1</v>
      </c>
      <c r="F259" s="4">
        <v>1</v>
      </c>
      <c r="G259" s="4">
        <v>0</v>
      </c>
      <c r="H259" s="4">
        <v>1</v>
      </c>
      <c r="I259" s="4">
        <v>0</v>
      </c>
      <c r="J259" s="4">
        <v>0</v>
      </c>
      <c r="K259" s="2" t="s">
        <v>79</v>
      </c>
    </row>
    <row r="260" spans="1:11" x14ac:dyDescent="0.2">
      <c r="A260" s="4">
        <v>3</v>
      </c>
      <c r="B260" s="4">
        <v>10</v>
      </c>
      <c r="C260" s="4">
        <v>2</v>
      </c>
      <c r="D260" s="4">
        <v>1</v>
      </c>
      <c r="E260" s="4">
        <v>1</v>
      </c>
      <c r="F260" s="4">
        <v>0</v>
      </c>
      <c r="G260" s="4">
        <v>0</v>
      </c>
      <c r="H260" s="4">
        <v>1</v>
      </c>
      <c r="I260" s="4">
        <v>0</v>
      </c>
      <c r="J260" s="4">
        <v>0</v>
      </c>
      <c r="K260" s="2" t="s">
        <v>79</v>
      </c>
    </row>
    <row r="261" spans="1:11" x14ac:dyDescent="0.2">
      <c r="A261" s="4">
        <v>3.13</v>
      </c>
      <c r="B261" s="4">
        <v>10</v>
      </c>
      <c r="C261" s="4">
        <v>1</v>
      </c>
      <c r="D261" s="4">
        <v>1</v>
      </c>
      <c r="E261" s="4">
        <v>0</v>
      </c>
      <c r="F261" s="4">
        <v>0</v>
      </c>
      <c r="G261" s="4">
        <v>0</v>
      </c>
      <c r="H261" s="4">
        <v>0</v>
      </c>
      <c r="I261" s="4">
        <v>1</v>
      </c>
      <c r="J261" s="4">
        <v>0</v>
      </c>
      <c r="K261" s="2" t="s">
        <v>79</v>
      </c>
    </row>
    <row r="262" spans="1:11" x14ac:dyDescent="0.2">
      <c r="A262" s="4">
        <v>3.4</v>
      </c>
      <c r="B262" s="4">
        <v>16</v>
      </c>
      <c r="C262" s="4">
        <v>1</v>
      </c>
      <c r="D262" s="4">
        <v>1</v>
      </c>
      <c r="E262" s="4">
        <v>1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2" t="s">
        <v>79</v>
      </c>
    </row>
    <row r="263" spans="1:11" x14ac:dyDescent="0.2">
      <c r="A263" s="4">
        <v>4.28</v>
      </c>
      <c r="B263" s="4">
        <v>13</v>
      </c>
      <c r="C263" s="4">
        <v>1</v>
      </c>
      <c r="D263" s="4">
        <v>1</v>
      </c>
      <c r="E263" s="4">
        <v>1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2" t="s">
        <v>79</v>
      </c>
    </row>
    <row r="264" spans="1:11" x14ac:dyDescent="0.2">
      <c r="A264" s="4">
        <v>3</v>
      </c>
      <c r="B264" s="4">
        <v>11</v>
      </c>
      <c r="C264" s="4">
        <v>1</v>
      </c>
      <c r="D264" s="4">
        <v>1</v>
      </c>
      <c r="E264" s="4">
        <v>1</v>
      </c>
      <c r="F264" s="4">
        <v>0</v>
      </c>
      <c r="G264" s="4">
        <v>0</v>
      </c>
      <c r="H264" s="4">
        <v>1</v>
      </c>
      <c r="I264" s="4">
        <v>0</v>
      </c>
      <c r="J264" s="4">
        <v>0</v>
      </c>
      <c r="K264" s="2" t="s">
        <v>79</v>
      </c>
    </row>
    <row r="265" spans="1:11" x14ac:dyDescent="0.2">
      <c r="A265" s="4">
        <v>3</v>
      </c>
      <c r="B265" s="4">
        <v>4</v>
      </c>
      <c r="C265" s="9">
        <v>43.93</v>
      </c>
      <c r="D265" s="4">
        <v>0</v>
      </c>
      <c r="E265" s="4">
        <v>0</v>
      </c>
      <c r="F265" s="4">
        <v>1</v>
      </c>
      <c r="G265" s="4">
        <v>0</v>
      </c>
      <c r="H265" s="4">
        <v>1</v>
      </c>
      <c r="I265" s="4">
        <v>0</v>
      </c>
      <c r="J265" s="4">
        <v>0</v>
      </c>
      <c r="K265" s="2" t="s">
        <v>79</v>
      </c>
    </row>
    <row r="266" spans="1:11" x14ac:dyDescent="0.2">
      <c r="A266" s="4">
        <v>3</v>
      </c>
      <c r="B266" s="4">
        <v>10</v>
      </c>
      <c r="C266" s="9">
        <v>43.93</v>
      </c>
      <c r="D266" s="4">
        <v>0</v>
      </c>
      <c r="E266" s="4">
        <v>0</v>
      </c>
      <c r="F266" s="4">
        <v>0</v>
      </c>
      <c r="G266" s="4">
        <v>0</v>
      </c>
      <c r="H266" s="4">
        <v>1</v>
      </c>
      <c r="I266" s="4">
        <v>0</v>
      </c>
      <c r="J266" s="4">
        <v>0</v>
      </c>
      <c r="K266" s="2" t="s">
        <v>79</v>
      </c>
    </row>
    <row r="267" spans="1:11" x14ac:dyDescent="0.2">
      <c r="A267" s="4">
        <v>2.5299999999999998</v>
      </c>
      <c r="B267" s="4">
        <v>12</v>
      </c>
      <c r="C267" s="9">
        <v>43.93</v>
      </c>
      <c r="D267" s="4">
        <v>0</v>
      </c>
      <c r="E267" s="4">
        <v>1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2" t="s">
        <v>79</v>
      </c>
    </row>
    <row r="268" spans="1:11" x14ac:dyDescent="0.2">
      <c r="A268" s="4">
        <v>2.89</v>
      </c>
      <c r="B268" s="4">
        <v>0</v>
      </c>
      <c r="C268" s="4">
        <v>42</v>
      </c>
      <c r="D268" s="4">
        <v>0</v>
      </c>
      <c r="E268" s="4">
        <v>1</v>
      </c>
      <c r="F268" s="4">
        <v>1</v>
      </c>
      <c r="G268" s="4">
        <v>0</v>
      </c>
      <c r="H268" s="4">
        <v>0</v>
      </c>
      <c r="I268" s="4">
        <v>1</v>
      </c>
      <c r="J268" s="4">
        <v>0</v>
      </c>
      <c r="K268" s="2" t="s">
        <v>79</v>
      </c>
    </row>
    <row r="269" spans="1:11" x14ac:dyDescent="0.2">
      <c r="A269" s="4">
        <v>3.25</v>
      </c>
      <c r="B269" s="4">
        <v>12</v>
      </c>
      <c r="C269" s="4">
        <v>42</v>
      </c>
      <c r="D269" s="4">
        <v>0</v>
      </c>
      <c r="E269" s="4">
        <v>1</v>
      </c>
      <c r="F269" s="4">
        <v>1</v>
      </c>
      <c r="G269" s="4">
        <v>0</v>
      </c>
      <c r="H269" s="4">
        <v>0</v>
      </c>
      <c r="I269" s="4">
        <v>1</v>
      </c>
      <c r="J269" s="4">
        <v>0</v>
      </c>
      <c r="K269" s="2" t="s">
        <v>79</v>
      </c>
    </row>
    <row r="270" spans="1:11" x14ac:dyDescent="0.2">
      <c r="A270" s="4">
        <v>3</v>
      </c>
      <c r="B270" s="4">
        <v>12</v>
      </c>
      <c r="C270" s="4">
        <v>38</v>
      </c>
      <c r="D270" s="4">
        <v>0</v>
      </c>
      <c r="E270" s="4">
        <v>1</v>
      </c>
      <c r="F270" s="4">
        <v>1</v>
      </c>
      <c r="G270" s="4">
        <v>1</v>
      </c>
      <c r="H270" s="4">
        <v>0</v>
      </c>
      <c r="I270" s="4">
        <v>0</v>
      </c>
      <c r="J270" s="4">
        <v>0</v>
      </c>
      <c r="K270" s="2" t="s">
        <v>79</v>
      </c>
    </row>
    <row r="271" spans="1:11" x14ac:dyDescent="0.2">
      <c r="A271" s="4">
        <v>2.9</v>
      </c>
      <c r="B271" s="4">
        <v>12</v>
      </c>
      <c r="C271" s="4">
        <v>37</v>
      </c>
      <c r="D271" s="4">
        <v>0</v>
      </c>
      <c r="E271" s="4">
        <v>1</v>
      </c>
      <c r="F271" s="4">
        <v>1</v>
      </c>
      <c r="G271" s="4">
        <v>0</v>
      </c>
      <c r="H271" s="4">
        <v>1</v>
      </c>
      <c r="I271" s="4">
        <v>0</v>
      </c>
      <c r="J271" s="4">
        <v>0</v>
      </c>
      <c r="K271" s="2" t="s">
        <v>79</v>
      </c>
    </row>
    <row r="272" spans="1:11" x14ac:dyDescent="0.2">
      <c r="A272" s="4">
        <v>6.63</v>
      </c>
      <c r="B272" s="4">
        <v>12</v>
      </c>
      <c r="C272" s="4">
        <v>36</v>
      </c>
      <c r="D272" s="4">
        <v>0</v>
      </c>
      <c r="E272" s="4">
        <v>1</v>
      </c>
      <c r="F272" s="4">
        <v>0</v>
      </c>
      <c r="G272" s="4">
        <v>0</v>
      </c>
      <c r="H272" s="4">
        <v>1</v>
      </c>
      <c r="I272" s="4">
        <v>0</v>
      </c>
      <c r="J272" s="4">
        <v>0</v>
      </c>
      <c r="K272" s="2" t="s">
        <v>79</v>
      </c>
    </row>
    <row r="273" spans="1:11" x14ac:dyDescent="0.2">
      <c r="A273" s="4">
        <v>3</v>
      </c>
      <c r="B273" s="4">
        <v>4</v>
      </c>
      <c r="C273" s="4">
        <v>36</v>
      </c>
      <c r="D273" s="4">
        <v>0</v>
      </c>
      <c r="E273" s="4">
        <v>0</v>
      </c>
      <c r="F273" s="4">
        <v>1</v>
      </c>
      <c r="G273" s="4">
        <v>0</v>
      </c>
      <c r="H273" s="4">
        <v>1</v>
      </c>
      <c r="I273" s="4">
        <v>0</v>
      </c>
      <c r="J273" s="4">
        <v>1</v>
      </c>
      <c r="K273" s="2" t="s">
        <v>79</v>
      </c>
    </row>
    <row r="274" spans="1:11" x14ac:dyDescent="0.2">
      <c r="A274" s="4">
        <v>3.35</v>
      </c>
      <c r="B274" s="4">
        <v>7</v>
      </c>
      <c r="C274" s="4">
        <v>35</v>
      </c>
      <c r="D274" s="4">
        <v>0</v>
      </c>
      <c r="E274" s="4">
        <v>1</v>
      </c>
      <c r="F274" s="4">
        <v>0</v>
      </c>
      <c r="G274" s="4">
        <v>0</v>
      </c>
      <c r="H274" s="4">
        <v>1</v>
      </c>
      <c r="I274" s="4">
        <v>0</v>
      </c>
      <c r="J274" s="4">
        <v>0</v>
      </c>
      <c r="K274" s="2" t="s">
        <v>79</v>
      </c>
    </row>
    <row r="275" spans="1:11" x14ac:dyDescent="0.2">
      <c r="A275" s="4">
        <v>2.9</v>
      </c>
      <c r="B275" s="4">
        <v>5</v>
      </c>
      <c r="C275" s="4">
        <v>34</v>
      </c>
      <c r="D275" s="4">
        <v>0</v>
      </c>
      <c r="E275" s="4">
        <v>1</v>
      </c>
      <c r="F275" s="4">
        <v>1</v>
      </c>
      <c r="G275" s="4">
        <v>0</v>
      </c>
      <c r="H275" s="4">
        <v>0</v>
      </c>
      <c r="I275" s="4">
        <v>1</v>
      </c>
      <c r="J275" s="4">
        <v>0</v>
      </c>
      <c r="K275" s="2" t="s">
        <v>79</v>
      </c>
    </row>
    <row r="276" spans="1:11" x14ac:dyDescent="0.2">
      <c r="A276" s="4">
        <v>3</v>
      </c>
      <c r="B276" s="4">
        <v>8</v>
      </c>
      <c r="C276" s="4">
        <v>33</v>
      </c>
      <c r="D276" s="4">
        <v>0</v>
      </c>
      <c r="E276" s="4">
        <v>0</v>
      </c>
      <c r="F276" s="4">
        <v>1</v>
      </c>
      <c r="G276" s="4">
        <v>0</v>
      </c>
      <c r="H276" s="4">
        <v>1</v>
      </c>
      <c r="I276" s="4">
        <v>0</v>
      </c>
      <c r="J276" s="4">
        <v>0</v>
      </c>
      <c r="K276" s="2" t="s">
        <v>79</v>
      </c>
    </row>
    <row r="277" spans="1:11" x14ac:dyDescent="0.2">
      <c r="A277" s="4">
        <v>3</v>
      </c>
      <c r="B277" s="4">
        <v>15</v>
      </c>
      <c r="C277" s="4">
        <v>32</v>
      </c>
      <c r="D277" s="4">
        <v>0</v>
      </c>
      <c r="E277" s="4">
        <v>0</v>
      </c>
      <c r="F277" s="4">
        <v>1</v>
      </c>
      <c r="G277" s="4">
        <v>0</v>
      </c>
      <c r="H277" s="4">
        <v>1</v>
      </c>
      <c r="I277" s="4">
        <v>0</v>
      </c>
      <c r="J277" s="4">
        <v>0</v>
      </c>
      <c r="K277" s="2" t="s">
        <v>79</v>
      </c>
    </row>
    <row r="278" spans="1:11" x14ac:dyDescent="0.2">
      <c r="A278" s="4">
        <v>12.5</v>
      </c>
      <c r="B278" s="4">
        <v>16</v>
      </c>
      <c r="C278" s="4">
        <v>31</v>
      </c>
      <c r="D278" s="4">
        <v>0</v>
      </c>
      <c r="E278" s="4">
        <v>0</v>
      </c>
      <c r="F278" s="4">
        <v>1</v>
      </c>
      <c r="G278" s="4">
        <v>0</v>
      </c>
      <c r="H278" s="4">
        <v>0</v>
      </c>
      <c r="I278" s="4">
        <v>1</v>
      </c>
      <c r="J278" s="4">
        <v>0</v>
      </c>
      <c r="K278" s="2" t="s">
        <v>79</v>
      </c>
    </row>
    <row r="279" spans="1:11" x14ac:dyDescent="0.2">
      <c r="A279" s="4">
        <v>12.5</v>
      </c>
      <c r="B279" s="4">
        <v>15</v>
      </c>
      <c r="C279" s="4">
        <v>30</v>
      </c>
      <c r="D279" s="4">
        <v>0</v>
      </c>
      <c r="E279" s="4">
        <v>0</v>
      </c>
      <c r="F279" s="4">
        <v>1</v>
      </c>
      <c r="G279" s="4">
        <v>0</v>
      </c>
      <c r="H279" s="4">
        <v>0</v>
      </c>
      <c r="I279" s="4">
        <v>1</v>
      </c>
      <c r="J279" s="4">
        <v>0</v>
      </c>
      <c r="K279" s="2" t="s">
        <v>79</v>
      </c>
    </row>
    <row r="280" spans="1:11" x14ac:dyDescent="0.2">
      <c r="A280" s="4">
        <v>4.1399999999999997</v>
      </c>
      <c r="B280" s="4">
        <v>13</v>
      </c>
      <c r="C280" s="4">
        <v>29</v>
      </c>
      <c r="D280" s="4">
        <v>0</v>
      </c>
      <c r="E280" s="4">
        <v>1</v>
      </c>
      <c r="F280" s="4">
        <v>1</v>
      </c>
      <c r="G280" s="4">
        <v>0</v>
      </c>
      <c r="H280" s="4">
        <v>1</v>
      </c>
      <c r="I280" s="4">
        <v>0</v>
      </c>
      <c r="J280" s="4">
        <v>0</v>
      </c>
      <c r="K280" s="2" t="s">
        <v>79</v>
      </c>
    </row>
    <row r="281" spans="1:11" x14ac:dyDescent="0.2">
      <c r="A281" s="4">
        <v>3.2</v>
      </c>
      <c r="B281" s="4">
        <v>12</v>
      </c>
      <c r="C281" s="4">
        <v>29</v>
      </c>
      <c r="D281" s="4">
        <v>0</v>
      </c>
      <c r="E281" s="4">
        <v>1</v>
      </c>
      <c r="F281" s="4">
        <v>0</v>
      </c>
      <c r="G281" s="4">
        <v>0</v>
      </c>
      <c r="H281" s="4">
        <v>1</v>
      </c>
      <c r="I281" s="4">
        <v>0</v>
      </c>
      <c r="J281" s="4">
        <v>0</v>
      </c>
      <c r="K281" s="2" t="s">
        <v>79</v>
      </c>
    </row>
    <row r="282" spans="1:11" x14ac:dyDescent="0.2">
      <c r="A282" s="4">
        <v>3.25</v>
      </c>
      <c r="B282" s="4">
        <v>9</v>
      </c>
      <c r="C282" s="4">
        <v>29</v>
      </c>
      <c r="D282" s="4">
        <v>0</v>
      </c>
      <c r="E282" s="4">
        <v>0</v>
      </c>
      <c r="F282" s="4">
        <v>1</v>
      </c>
      <c r="G282" s="4">
        <v>1</v>
      </c>
      <c r="H282" s="4">
        <v>0</v>
      </c>
      <c r="I282" s="4">
        <v>0</v>
      </c>
      <c r="J282" s="4">
        <v>0</v>
      </c>
      <c r="K282" s="2" t="s">
        <v>79</v>
      </c>
    </row>
    <row r="283" spans="1:11" x14ac:dyDescent="0.2">
      <c r="A283" s="4">
        <v>10</v>
      </c>
      <c r="B283" s="4">
        <v>12</v>
      </c>
      <c r="C283" s="4">
        <v>29</v>
      </c>
      <c r="D283" s="4">
        <v>0</v>
      </c>
      <c r="E283" s="4">
        <v>0</v>
      </c>
      <c r="F283" s="4">
        <v>1</v>
      </c>
      <c r="G283" s="4">
        <v>0</v>
      </c>
      <c r="H283" s="4">
        <v>0</v>
      </c>
      <c r="I283" s="4">
        <v>0</v>
      </c>
      <c r="J283" s="4">
        <v>0</v>
      </c>
      <c r="K283" s="2" t="s">
        <v>79</v>
      </c>
    </row>
    <row r="284" spans="1:11" x14ac:dyDescent="0.2">
      <c r="A284" s="4">
        <v>4</v>
      </c>
      <c r="B284" s="4">
        <v>12</v>
      </c>
      <c r="C284" s="4">
        <v>28</v>
      </c>
      <c r="D284" s="4">
        <v>0</v>
      </c>
      <c r="E284" s="4">
        <v>1</v>
      </c>
      <c r="F284" s="4">
        <v>1</v>
      </c>
      <c r="G284" s="4">
        <v>0</v>
      </c>
      <c r="H284" s="4">
        <v>0</v>
      </c>
      <c r="I284" s="4">
        <v>0</v>
      </c>
      <c r="J284" s="4">
        <v>0</v>
      </c>
      <c r="K284" s="2" t="s">
        <v>79</v>
      </c>
    </row>
    <row r="285" spans="1:11" x14ac:dyDescent="0.2">
      <c r="A285" s="4">
        <v>6.46</v>
      </c>
      <c r="B285" s="4">
        <v>12</v>
      </c>
      <c r="C285" s="4">
        <v>27</v>
      </c>
      <c r="D285" s="4">
        <v>0</v>
      </c>
      <c r="E285" s="4">
        <v>0</v>
      </c>
      <c r="F285" s="4">
        <v>1</v>
      </c>
      <c r="G285" s="4">
        <v>1</v>
      </c>
      <c r="H285" s="4">
        <v>0</v>
      </c>
      <c r="I285" s="4">
        <v>0</v>
      </c>
      <c r="J285" s="4">
        <v>0</v>
      </c>
      <c r="K285" s="2" t="s">
        <v>79</v>
      </c>
    </row>
    <row r="286" spans="1:11" x14ac:dyDescent="0.2">
      <c r="A286" s="4">
        <v>6.36</v>
      </c>
      <c r="B286" s="4">
        <v>16</v>
      </c>
      <c r="C286" s="4">
        <v>25</v>
      </c>
      <c r="D286" s="4">
        <v>0</v>
      </c>
      <c r="E286" s="4">
        <v>0</v>
      </c>
      <c r="F286" s="4">
        <v>1</v>
      </c>
      <c r="G286" s="4">
        <v>0</v>
      </c>
      <c r="H286" s="4">
        <v>1</v>
      </c>
      <c r="I286" s="4">
        <v>0</v>
      </c>
      <c r="J286" s="4">
        <v>0</v>
      </c>
      <c r="K286" s="2" t="s">
        <v>79</v>
      </c>
    </row>
    <row r="287" spans="1:11" x14ac:dyDescent="0.2">
      <c r="A287" s="4">
        <v>9.42</v>
      </c>
      <c r="B287" s="4">
        <v>14</v>
      </c>
      <c r="C287" s="4">
        <v>23</v>
      </c>
      <c r="D287" s="4">
        <v>0</v>
      </c>
      <c r="E287" s="4">
        <v>1</v>
      </c>
      <c r="F287" s="4">
        <v>1</v>
      </c>
      <c r="G287" s="4">
        <v>0</v>
      </c>
      <c r="H287" s="4">
        <v>1</v>
      </c>
      <c r="I287" s="4">
        <v>0</v>
      </c>
      <c r="J287" s="4">
        <v>0</v>
      </c>
      <c r="K287" s="2" t="s">
        <v>79</v>
      </c>
    </row>
    <row r="288" spans="1:11" x14ac:dyDescent="0.2">
      <c r="A288" s="4">
        <v>3.35</v>
      </c>
      <c r="B288" s="4">
        <v>13</v>
      </c>
      <c r="C288" s="4">
        <v>22</v>
      </c>
      <c r="D288" s="4">
        <v>0</v>
      </c>
      <c r="E288" s="4">
        <v>1</v>
      </c>
      <c r="F288" s="4">
        <v>0</v>
      </c>
      <c r="G288" s="4">
        <v>1</v>
      </c>
      <c r="H288" s="4">
        <v>0</v>
      </c>
      <c r="I288" s="4">
        <v>0</v>
      </c>
      <c r="J288" s="4">
        <v>0</v>
      </c>
      <c r="K288" s="2" t="s">
        <v>79</v>
      </c>
    </row>
    <row r="289" spans="1:11" x14ac:dyDescent="0.2">
      <c r="A289" s="4">
        <v>4.75</v>
      </c>
      <c r="B289" s="4">
        <v>12</v>
      </c>
      <c r="C289" s="4">
        <v>19</v>
      </c>
      <c r="D289" s="4">
        <v>0</v>
      </c>
      <c r="E289" s="4">
        <v>0</v>
      </c>
      <c r="F289" s="4">
        <v>1</v>
      </c>
      <c r="G289" s="4">
        <v>0</v>
      </c>
      <c r="H289" s="4">
        <v>1</v>
      </c>
      <c r="I289" s="4">
        <v>0</v>
      </c>
      <c r="J289" s="4">
        <v>0</v>
      </c>
      <c r="K289" s="2" t="s">
        <v>79</v>
      </c>
    </row>
    <row r="290" spans="1:11" x14ac:dyDescent="0.2">
      <c r="A290" s="4">
        <v>2.9</v>
      </c>
      <c r="B290" s="4">
        <v>10</v>
      </c>
      <c r="C290" s="4">
        <v>18</v>
      </c>
      <c r="D290" s="4">
        <v>0</v>
      </c>
      <c r="E290" s="4">
        <v>1</v>
      </c>
      <c r="F290" s="4">
        <v>1</v>
      </c>
      <c r="G290" s="4">
        <v>0</v>
      </c>
      <c r="H290" s="4">
        <v>1</v>
      </c>
      <c r="I290" s="4">
        <v>0</v>
      </c>
      <c r="J290" s="4">
        <v>0</v>
      </c>
      <c r="K290" s="2" t="s">
        <v>79</v>
      </c>
    </row>
    <row r="291" spans="1:11" x14ac:dyDescent="0.2">
      <c r="A291" s="4">
        <v>3.75</v>
      </c>
      <c r="B291" s="4">
        <v>12</v>
      </c>
      <c r="C291" s="4">
        <v>18</v>
      </c>
      <c r="D291" s="4">
        <v>0</v>
      </c>
      <c r="E291" s="4">
        <v>1</v>
      </c>
      <c r="F291" s="4">
        <v>1</v>
      </c>
      <c r="G291" s="4">
        <v>1</v>
      </c>
      <c r="H291" s="4">
        <v>0</v>
      </c>
      <c r="I291" s="4">
        <v>0</v>
      </c>
      <c r="J291" s="4">
        <v>0</v>
      </c>
      <c r="K291" s="2" t="s">
        <v>79</v>
      </c>
    </row>
    <row r="292" spans="1:11" x14ac:dyDescent="0.2">
      <c r="A292" s="4">
        <v>1.43</v>
      </c>
      <c r="B292" s="4">
        <v>12</v>
      </c>
      <c r="C292" s="4">
        <v>17</v>
      </c>
      <c r="D292" s="4">
        <v>0</v>
      </c>
      <c r="E292" s="10">
        <v>2</v>
      </c>
      <c r="F292" s="4">
        <v>1</v>
      </c>
      <c r="G292" s="4">
        <v>0</v>
      </c>
      <c r="H292" s="4">
        <v>0</v>
      </c>
      <c r="I292" s="4">
        <v>0</v>
      </c>
      <c r="J292" s="4">
        <v>0</v>
      </c>
      <c r="K292" s="2" t="s">
        <v>79</v>
      </c>
    </row>
    <row r="293" spans="1:11" x14ac:dyDescent="0.2">
      <c r="A293" s="4">
        <v>3</v>
      </c>
      <c r="B293" s="4">
        <v>14</v>
      </c>
      <c r="C293" s="4">
        <v>17</v>
      </c>
      <c r="D293" s="4">
        <v>0</v>
      </c>
      <c r="E293" s="4">
        <v>1</v>
      </c>
      <c r="F293" s="4">
        <v>1</v>
      </c>
      <c r="G293" s="4">
        <v>0</v>
      </c>
      <c r="H293" s="4">
        <v>1</v>
      </c>
      <c r="I293" s="4">
        <v>0</v>
      </c>
      <c r="J293" s="4">
        <v>0</v>
      </c>
      <c r="K293" s="2" t="s">
        <v>79</v>
      </c>
    </row>
    <row r="294" spans="1:11" x14ac:dyDescent="0.2">
      <c r="A294" s="4">
        <v>4.5</v>
      </c>
      <c r="B294" s="4">
        <v>14</v>
      </c>
      <c r="C294" s="4">
        <v>16</v>
      </c>
      <c r="D294" s="4">
        <v>0</v>
      </c>
      <c r="E294" s="4">
        <v>1</v>
      </c>
      <c r="F294" s="4">
        <v>1</v>
      </c>
      <c r="G294" s="4">
        <v>0</v>
      </c>
      <c r="H294" s="4">
        <v>0</v>
      </c>
      <c r="I294" s="4">
        <v>1</v>
      </c>
      <c r="J294" s="4">
        <v>0</v>
      </c>
      <c r="K294" s="2" t="s">
        <v>79</v>
      </c>
    </row>
    <row r="295" spans="1:11" x14ac:dyDescent="0.2">
      <c r="A295" s="4">
        <v>3.24</v>
      </c>
      <c r="B295" s="4">
        <v>12</v>
      </c>
      <c r="C295" s="4">
        <v>16</v>
      </c>
      <c r="D295" s="4">
        <v>0</v>
      </c>
      <c r="E295" s="4">
        <v>1</v>
      </c>
      <c r="F295" s="4">
        <v>1</v>
      </c>
      <c r="G295" s="4">
        <v>0</v>
      </c>
      <c r="H295" s="4">
        <v>1</v>
      </c>
      <c r="I295" s="4">
        <v>0</v>
      </c>
      <c r="J295" s="4">
        <v>0</v>
      </c>
      <c r="K295" s="2" t="s">
        <v>79</v>
      </c>
    </row>
    <row r="296" spans="1:11" x14ac:dyDescent="0.2">
      <c r="A296" s="4">
        <v>6.11</v>
      </c>
      <c r="B296" s="4">
        <v>14</v>
      </c>
      <c r="C296" s="4">
        <v>15</v>
      </c>
      <c r="D296" s="4">
        <v>0</v>
      </c>
      <c r="E296" s="4">
        <v>0</v>
      </c>
      <c r="F296" s="4">
        <v>1</v>
      </c>
      <c r="G296" s="4">
        <v>0</v>
      </c>
      <c r="H296" s="4">
        <v>0</v>
      </c>
      <c r="I296" s="4">
        <v>0</v>
      </c>
      <c r="J296" s="4">
        <v>0</v>
      </c>
      <c r="K296" s="2" t="s">
        <v>79</v>
      </c>
    </row>
    <row r="297" spans="1:11" x14ac:dyDescent="0.2">
      <c r="A297" s="4">
        <v>8.77</v>
      </c>
      <c r="B297" s="4">
        <v>12</v>
      </c>
      <c r="C297" s="4">
        <v>15</v>
      </c>
      <c r="D297" s="4">
        <v>0</v>
      </c>
      <c r="E297" s="4">
        <v>0</v>
      </c>
      <c r="F297" s="4">
        <v>1</v>
      </c>
      <c r="G297" s="4">
        <v>0</v>
      </c>
      <c r="H297" s="4">
        <v>0</v>
      </c>
      <c r="I297" s="4">
        <v>1</v>
      </c>
      <c r="J297" s="4">
        <v>0</v>
      </c>
      <c r="K297" s="2" t="s">
        <v>79</v>
      </c>
    </row>
    <row r="298" spans="1:11" x14ac:dyDescent="0.2">
      <c r="A298" s="4">
        <v>10</v>
      </c>
      <c r="B298" s="4">
        <v>12</v>
      </c>
      <c r="C298" s="4">
        <v>15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2" t="s">
        <v>79</v>
      </c>
    </row>
    <row r="299" spans="1:11" x14ac:dyDescent="0.2">
      <c r="A299" s="4">
        <v>5</v>
      </c>
      <c r="B299" s="4">
        <v>15</v>
      </c>
      <c r="C299" s="4">
        <v>15</v>
      </c>
      <c r="D299" s="4">
        <v>0</v>
      </c>
      <c r="E299" s="4">
        <v>0</v>
      </c>
      <c r="F299" s="4">
        <v>0</v>
      </c>
      <c r="G299" s="4">
        <v>0</v>
      </c>
      <c r="H299" s="4">
        <v>1</v>
      </c>
      <c r="I299" s="4">
        <v>0</v>
      </c>
      <c r="J299" s="4">
        <v>0</v>
      </c>
      <c r="K299" s="2" t="s">
        <v>79</v>
      </c>
    </row>
    <row r="300" spans="1:11" x14ac:dyDescent="0.2">
      <c r="A300" s="4">
        <v>3.75</v>
      </c>
      <c r="B300" s="4">
        <v>10</v>
      </c>
      <c r="C300" s="4">
        <v>15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2" t="s">
        <v>79</v>
      </c>
    </row>
    <row r="301" spans="1:11" x14ac:dyDescent="0.2">
      <c r="A301" s="4">
        <v>3.25</v>
      </c>
      <c r="B301" s="4">
        <v>12</v>
      </c>
      <c r="C301" s="4">
        <v>14</v>
      </c>
      <c r="D301" s="4">
        <v>0</v>
      </c>
      <c r="E301" s="4">
        <v>1</v>
      </c>
      <c r="F301" s="4">
        <v>1</v>
      </c>
      <c r="G301" s="4">
        <v>0</v>
      </c>
      <c r="H301" s="4">
        <v>0</v>
      </c>
      <c r="I301" s="4">
        <v>0</v>
      </c>
      <c r="J301" s="4">
        <v>0</v>
      </c>
      <c r="K301" s="2" t="s">
        <v>79</v>
      </c>
    </row>
    <row r="302" spans="1:11" x14ac:dyDescent="0.2">
      <c r="A302" s="4">
        <v>3.75</v>
      </c>
      <c r="B302" s="4">
        <v>12</v>
      </c>
      <c r="C302" s="4">
        <v>14</v>
      </c>
      <c r="D302" s="4">
        <v>0</v>
      </c>
      <c r="E302" s="4">
        <v>1</v>
      </c>
      <c r="F302" s="4">
        <v>1</v>
      </c>
      <c r="G302" s="4">
        <v>0</v>
      </c>
      <c r="H302" s="4">
        <v>0</v>
      </c>
      <c r="I302" s="4">
        <v>0</v>
      </c>
      <c r="J302" s="4">
        <v>0</v>
      </c>
      <c r="K302" s="2" t="s">
        <v>79</v>
      </c>
    </row>
    <row r="303" spans="1:11" x14ac:dyDescent="0.2">
      <c r="A303" s="4">
        <v>3.1</v>
      </c>
      <c r="B303" s="4">
        <v>6</v>
      </c>
      <c r="C303" s="4">
        <v>14</v>
      </c>
      <c r="D303" s="4">
        <v>0</v>
      </c>
      <c r="E303" s="4">
        <v>1</v>
      </c>
      <c r="F303" s="4">
        <v>0</v>
      </c>
      <c r="G303" s="4">
        <v>0</v>
      </c>
      <c r="H303" s="4">
        <v>1</v>
      </c>
      <c r="I303" s="4">
        <v>0</v>
      </c>
      <c r="J303" s="4">
        <v>0</v>
      </c>
      <c r="K303" s="2" t="s">
        <v>79</v>
      </c>
    </row>
    <row r="304" spans="1:11" x14ac:dyDescent="0.2">
      <c r="A304" s="4">
        <v>3.5</v>
      </c>
      <c r="B304" s="4">
        <v>12</v>
      </c>
      <c r="C304" s="4">
        <v>14</v>
      </c>
      <c r="D304" s="4">
        <v>0</v>
      </c>
      <c r="E304" s="4">
        <v>1</v>
      </c>
      <c r="F304" s="4">
        <v>0</v>
      </c>
      <c r="G304" s="4">
        <v>0</v>
      </c>
      <c r="H304" s="4">
        <v>1</v>
      </c>
      <c r="I304" s="4">
        <v>0</v>
      </c>
      <c r="J304" s="4">
        <v>1</v>
      </c>
      <c r="K304" s="2" t="s">
        <v>79</v>
      </c>
    </row>
    <row r="305" spans="1:11" x14ac:dyDescent="0.2">
      <c r="A305" s="4">
        <v>17.329999999999998</v>
      </c>
      <c r="B305" s="4">
        <v>16</v>
      </c>
      <c r="C305" s="4">
        <v>14</v>
      </c>
      <c r="D305" s="4">
        <v>0</v>
      </c>
      <c r="E305" s="4">
        <v>0</v>
      </c>
      <c r="F305" s="4">
        <v>1</v>
      </c>
      <c r="G305" s="4">
        <v>0</v>
      </c>
      <c r="H305" s="4">
        <v>0</v>
      </c>
      <c r="I305" s="4">
        <v>1</v>
      </c>
      <c r="J305" s="4">
        <v>0</v>
      </c>
      <c r="K305" s="2" t="s">
        <v>79</v>
      </c>
    </row>
    <row r="306" spans="1:11" x14ac:dyDescent="0.2">
      <c r="A306" s="4">
        <v>3.58</v>
      </c>
      <c r="B306" s="4">
        <v>12</v>
      </c>
      <c r="C306" s="4">
        <v>13</v>
      </c>
      <c r="D306" s="4">
        <v>0</v>
      </c>
      <c r="E306" s="4">
        <v>0</v>
      </c>
      <c r="F306" s="4">
        <v>0</v>
      </c>
      <c r="G306" s="4">
        <v>0</v>
      </c>
      <c r="H306" s="4">
        <v>1</v>
      </c>
      <c r="I306" s="4">
        <v>0</v>
      </c>
      <c r="J306" s="4">
        <v>0</v>
      </c>
      <c r="K306" s="2" t="s">
        <v>79</v>
      </c>
    </row>
    <row r="307" spans="1:11" x14ac:dyDescent="0.2">
      <c r="A307" s="4">
        <v>4.5</v>
      </c>
      <c r="B307" s="4">
        <v>12</v>
      </c>
      <c r="C307" s="4">
        <v>13</v>
      </c>
      <c r="D307" s="4">
        <v>0</v>
      </c>
      <c r="E307" s="4">
        <v>0</v>
      </c>
      <c r="F307" s="4">
        <v>1</v>
      </c>
      <c r="G307" s="4">
        <v>0</v>
      </c>
      <c r="H307" s="4">
        <v>1</v>
      </c>
      <c r="I307" s="4">
        <v>0</v>
      </c>
      <c r="J307" s="4">
        <v>0</v>
      </c>
      <c r="K307" s="2" t="s">
        <v>79</v>
      </c>
    </row>
    <row r="308" spans="1:11" x14ac:dyDescent="0.2">
      <c r="A308" s="4">
        <v>3.6</v>
      </c>
      <c r="B308" s="4">
        <v>12</v>
      </c>
      <c r="C308" s="4">
        <v>13</v>
      </c>
      <c r="D308" s="4">
        <v>0</v>
      </c>
      <c r="E308" s="10">
        <v>2</v>
      </c>
      <c r="F308" s="4">
        <v>1</v>
      </c>
      <c r="G308" s="4">
        <v>0</v>
      </c>
      <c r="H308" s="4">
        <v>0</v>
      </c>
      <c r="I308" s="4">
        <v>1</v>
      </c>
      <c r="J308" s="4">
        <v>0</v>
      </c>
      <c r="K308" s="2" t="s">
        <v>79</v>
      </c>
    </row>
    <row r="309" spans="1:11" x14ac:dyDescent="0.2">
      <c r="A309" s="4">
        <v>18</v>
      </c>
      <c r="B309" s="4">
        <v>18</v>
      </c>
      <c r="C309" s="4">
        <v>13</v>
      </c>
      <c r="D309" s="4">
        <v>0</v>
      </c>
      <c r="E309" s="4">
        <v>1</v>
      </c>
      <c r="F309" s="4">
        <v>0</v>
      </c>
      <c r="G309" s="4">
        <v>0</v>
      </c>
      <c r="H309" s="4">
        <v>1</v>
      </c>
      <c r="I309" s="4">
        <v>0</v>
      </c>
      <c r="J309" s="4">
        <v>0</v>
      </c>
      <c r="K309" s="2" t="s">
        <v>79</v>
      </c>
    </row>
    <row r="310" spans="1:11" x14ac:dyDescent="0.2">
      <c r="A310" s="4">
        <v>6.25</v>
      </c>
      <c r="B310" s="10">
        <v>12</v>
      </c>
      <c r="C310" s="4">
        <v>13</v>
      </c>
      <c r="D310" s="4">
        <v>0</v>
      </c>
      <c r="E310" s="4">
        <v>1</v>
      </c>
      <c r="F310" s="4">
        <v>1</v>
      </c>
      <c r="G310" s="4">
        <v>1</v>
      </c>
      <c r="H310" s="4">
        <v>0</v>
      </c>
      <c r="I310" s="4">
        <v>0</v>
      </c>
      <c r="J310" s="4">
        <v>0</v>
      </c>
      <c r="K310" s="2" t="s">
        <v>79</v>
      </c>
    </row>
    <row r="311" spans="1:11" x14ac:dyDescent="0.2">
      <c r="A311" s="4">
        <v>7.14</v>
      </c>
      <c r="B311" s="4">
        <v>18</v>
      </c>
      <c r="C311" s="4">
        <v>13</v>
      </c>
      <c r="D311" s="4">
        <v>0</v>
      </c>
      <c r="E311" s="4">
        <v>0</v>
      </c>
      <c r="F311" s="4">
        <v>1</v>
      </c>
      <c r="G311" s="4">
        <v>0</v>
      </c>
      <c r="H311" s="4">
        <v>0</v>
      </c>
      <c r="I311" s="4">
        <v>0</v>
      </c>
      <c r="J311" s="4">
        <v>0</v>
      </c>
      <c r="K311" s="2" t="s">
        <v>79</v>
      </c>
    </row>
    <row r="312" spans="1:11" x14ac:dyDescent="0.2">
      <c r="A312" s="4">
        <v>3.75</v>
      </c>
      <c r="B312" s="10">
        <v>12</v>
      </c>
      <c r="C312" s="4">
        <v>13</v>
      </c>
      <c r="D312" s="4">
        <v>0</v>
      </c>
      <c r="E312" s="4">
        <v>1</v>
      </c>
      <c r="F312" s="4">
        <v>1</v>
      </c>
      <c r="G312" s="4">
        <v>1</v>
      </c>
      <c r="H312" s="4">
        <v>0</v>
      </c>
      <c r="I312" s="4">
        <v>0</v>
      </c>
      <c r="J312" s="4">
        <v>0</v>
      </c>
      <c r="K312" s="2" t="s">
        <v>79</v>
      </c>
    </row>
    <row r="313" spans="1:11" x14ac:dyDescent="0.2">
      <c r="A313" s="4">
        <v>10</v>
      </c>
      <c r="B313" s="4">
        <v>8</v>
      </c>
      <c r="C313" s="4">
        <v>13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2" t="s">
        <v>79</v>
      </c>
    </row>
    <row r="314" spans="1:11" x14ac:dyDescent="0.2">
      <c r="A314" s="4">
        <v>4.5</v>
      </c>
      <c r="B314" s="4">
        <v>12</v>
      </c>
      <c r="C314" s="4">
        <v>12</v>
      </c>
      <c r="D314" s="4">
        <v>0</v>
      </c>
      <c r="E314" s="4">
        <v>0</v>
      </c>
      <c r="F314" s="4">
        <v>1</v>
      </c>
      <c r="G314" s="4">
        <v>0</v>
      </c>
      <c r="H314" s="4">
        <v>1</v>
      </c>
      <c r="I314" s="4">
        <v>0</v>
      </c>
      <c r="J314" s="4">
        <v>0</v>
      </c>
      <c r="K314" s="2" t="s">
        <v>79</v>
      </c>
    </row>
    <row r="315" spans="1:11" x14ac:dyDescent="0.2">
      <c r="A315" s="4">
        <v>3.45</v>
      </c>
      <c r="B315" s="4">
        <v>10</v>
      </c>
      <c r="C315" s="4">
        <v>11</v>
      </c>
      <c r="D315" s="4">
        <v>0</v>
      </c>
      <c r="E315" s="4">
        <v>1</v>
      </c>
      <c r="F315" s="4">
        <v>0</v>
      </c>
      <c r="G315" s="4">
        <v>0</v>
      </c>
      <c r="H315" s="4">
        <v>1</v>
      </c>
      <c r="I315" s="4">
        <v>0</v>
      </c>
      <c r="J315" s="4">
        <v>0</v>
      </c>
      <c r="K315" s="2" t="s">
        <v>79</v>
      </c>
    </row>
    <row r="316" spans="1:11" x14ac:dyDescent="0.2">
      <c r="A316" s="4">
        <v>3.75</v>
      </c>
      <c r="B316" s="4">
        <v>12</v>
      </c>
      <c r="C316" s="4">
        <v>11</v>
      </c>
      <c r="D316" s="4">
        <v>0</v>
      </c>
      <c r="E316" s="4">
        <v>0</v>
      </c>
      <c r="F316" s="4">
        <v>0</v>
      </c>
      <c r="G316" s="4">
        <v>0</v>
      </c>
      <c r="H316" s="4">
        <v>1</v>
      </c>
      <c r="I316" s="4">
        <v>0</v>
      </c>
      <c r="J316" s="4">
        <v>0</v>
      </c>
      <c r="K316" s="2" t="s">
        <v>79</v>
      </c>
    </row>
    <row r="317" spans="1:11" x14ac:dyDescent="0.2">
      <c r="A317" s="4">
        <v>6</v>
      </c>
      <c r="B317" s="4">
        <v>14</v>
      </c>
      <c r="C317" s="4">
        <v>11</v>
      </c>
      <c r="D317" s="4">
        <v>0</v>
      </c>
      <c r="E317" s="4">
        <v>0</v>
      </c>
      <c r="F317" s="4">
        <v>1</v>
      </c>
      <c r="G317" s="4">
        <v>1</v>
      </c>
      <c r="H317" s="4">
        <v>0</v>
      </c>
      <c r="I317" s="4">
        <v>0</v>
      </c>
      <c r="J317" s="4">
        <v>0</v>
      </c>
      <c r="K317" s="2" t="s">
        <v>79</v>
      </c>
    </row>
    <row r="318" spans="1:11" x14ac:dyDescent="0.2">
      <c r="A318" s="4">
        <v>6.25</v>
      </c>
      <c r="B318" s="4">
        <v>12</v>
      </c>
      <c r="C318" s="4">
        <v>11</v>
      </c>
      <c r="D318" s="4">
        <v>0</v>
      </c>
      <c r="E318" s="4">
        <v>1</v>
      </c>
      <c r="F318" s="4">
        <v>0</v>
      </c>
      <c r="G318" s="4">
        <v>0</v>
      </c>
      <c r="H318" s="4">
        <v>0</v>
      </c>
      <c r="I318" s="4">
        <v>1</v>
      </c>
      <c r="J318" s="4">
        <v>0</v>
      </c>
      <c r="K318" s="2" t="s">
        <v>79</v>
      </c>
    </row>
    <row r="319" spans="1:11" x14ac:dyDescent="0.2">
      <c r="A319" s="4">
        <v>7.5</v>
      </c>
      <c r="B319" s="4">
        <v>16</v>
      </c>
      <c r="C319" s="4">
        <v>11</v>
      </c>
      <c r="D319" s="4">
        <v>0</v>
      </c>
      <c r="E319" s="4">
        <v>0</v>
      </c>
      <c r="F319" s="4">
        <v>1</v>
      </c>
      <c r="G319" s="4">
        <v>1</v>
      </c>
      <c r="H319" s="4">
        <v>0</v>
      </c>
      <c r="I319" s="4">
        <v>0</v>
      </c>
      <c r="J319" s="4">
        <v>0</v>
      </c>
      <c r="K319" s="2" t="s">
        <v>79</v>
      </c>
    </row>
    <row r="320" spans="1:11" x14ac:dyDescent="0.2">
      <c r="A320" s="4">
        <v>3</v>
      </c>
      <c r="B320" s="4">
        <v>12</v>
      </c>
      <c r="C320" s="4">
        <v>11</v>
      </c>
      <c r="D320" s="4">
        <v>0</v>
      </c>
      <c r="E320" s="4">
        <v>1</v>
      </c>
      <c r="F320" s="4">
        <v>1</v>
      </c>
      <c r="G320" s="4">
        <v>0</v>
      </c>
      <c r="H320" s="4">
        <v>1</v>
      </c>
      <c r="I320" s="4">
        <v>0</v>
      </c>
      <c r="J320" s="4">
        <v>0</v>
      </c>
      <c r="K320" s="2" t="s">
        <v>79</v>
      </c>
    </row>
    <row r="321" spans="1:11" x14ac:dyDescent="0.2">
      <c r="A321" s="4">
        <v>4.55</v>
      </c>
      <c r="B321" s="4">
        <v>12</v>
      </c>
      <c r="C321" s="4">
        <v>11</v>
      </c>
      <c r="D321" s="4">
        <v>0</v>
      </c>
      <c r="E321" s="10">
        <v>2</v>
      </c>
      <c r="F321" s="4">
        <v>1</v>
      </c>
      <c r="G321" s="4">
        <v>1</v>
      </c>
      <c r="H321" s="4">
        <v>0</v>
      </c>
      <c r="I321" s="4">
        <v>0</v>
      </c>
      <c r="J321" s="4">
        <v>0</v>
      </c>
      <c r="K321" s="2" t="s">
        <v>79</v>
      </c>
    </row>
    <row r="322" spans="1:11" x14ac:dyDescent="0.2">
      <c r="A322" s="4">
        <v>7.5</v>
      </c>
      <c r="B322" s="4">
        <v>12</v>
      </c>
      <c r="C322" s="4">
        <v>10</v>
      </c>
      <c r="D322" s="4">
        <v>0</v>
      </c>
      <c r="E322" s="4">
        <v>1</v>
      </c>
      <c r="F322" s="4">
        <v>1</v>
      </c>
      <c r="G322" s="4">
        <v>0</v>
      </c>
      <c r="H322" s="4">
        <v>0</v>
      </c>
      <c r="I322" s="4">
        <v>1</v>
      </c>
      <c r="J322" s="4">
        <v>0</v>
      </c>
      <c r="K322" s="2" t="s">
        <v>79</v>
      </c>
    </row>
    <row r="323" spans="1:11" x14ac:dyDescent="0.2">
      <c r="A323" s="4">
        <v>3.05</v>
      </c>
      <c r="B323" s="4">
        <v>12</v>
      </c>
      <c r="C323" s="4">
        <v>10</v>
      </c>
      <c r="D323" s="4">
        <v>0</v>
      </c>
      <c r="E323" s="4">
        <v>1</v>
      </c>
      <c r="F323" s="4">
        <v>1</v>
      </c>
      <c r="G323" s="4">
        <v>1</v>
      </c>
      <c r="H323" s="4">
        <v>0</v>
      </c>
      <c r="I323" s="4">
        <v>0</v>
      </c>
      <c r="J323" s="4">
        <v>0</v>
      </c>
      <c r="K323" s="2" t="s">
        <v>79</v>
      </c>
    </row>
    <row r="324" spans="1:11" x14ac:dyDescent="0.2">
      <c r="A324" s="4">
        <v>6.25</v>
      </c>
      <c r="B324" s="4">
        <v>12</v>
      </c>
      <c r="C324" s="4">
        <v>10</v>
      </c>
      <c r="D324" s="4">
        <v>0</v>
      </c>
      <c r="E324" s="4">
        <v>0</v>
      </c>
      <c r="F324" s="4">
        <v>1</v>
      </c>
      <c r="G324" s="4">
        <v>0</v>
      </c>
      <c r="H324" s="4">
        <v>1</v>
      </c>
      <c r="I324" s="4">
        <v>0</v>
      </c>
      <c r="J324" s="4">
        <v>1</v>
      </c>
      <c r="K324" s="2" t="s">
        <v>79</v>
      </c>
    </row>
    <row r="325" spans="1:11" x14ac:dyDescent="0.2">
      <c r="A325" s="4">
        <v>4.5</v>
      </c>
      <c r="B325" s="4">
        <v>14</v>
      </c>
      <c r="C325" s="4">
        <v>10</v>
      </c>
      <c r="D325" s="4">
        <v>0</v>
      </c>
      <c r="E325" s="4">
        <v>0</v>
      </c>
      <c r="F325" s="4">
        <v>1</v>
      </c>
      <c r="G325" s="4">
        <v>1</v>
      </c>
      <c r="H325" s="4">
        <v>0</v>
      </c>
      <c r="I325" s="4">
        <v>0</v>
      </c>
      <c r="J325" s="4">
        <v>0</v>
      </c>
      <c r="K325" s="2" t="s">
        <v>79</v>
      </c>
    </row>
    <row r="326" spans="1:11" x14ac:dyDescent="0.2">
      <c r="A326" s="4">
        <v>3</v>
      </c>
      <c r="B326" s="4">
        <v>15</v>
      </c>
      <c r="C326" s="4">
        <v>9</v>
      </c>
      <c r="D326" s="4">
        <v>0</v>
      </c>
      <c r="E326" s="4">
        <v>0</v>
      </c>
      <c r="F326" s="4">
        <v>0</v>
      </c>
      <c r="G326" s="4">
        <v>1</v>
      </c>
      <c r="H326" s="4">
        <v>0</v>
      </c>
      <c r="I326" s="4">
        <v>0</v>
      </c>
      <c r="J326" s="4">
        <v>0</v>
      </c>
      <c r="K326" s="2" t="s">
        <v>79</v>
      </c>
    </row>
    <row r="327" spans="1:11" x14ac:dyDescent="0.2">
      <c r="A327" s="4">
        <v>10</v>
      </c>
      <c r="B327" s="4">
        <v>8</v>
      </c>
      <c r="C327" s="4">
        <v>9</v>
      </c>
      <c r="D327" s="4">
        <v>0</v>
      </c>
      <c r="E327" s="4">
        <v>0</v>
      </c>
      <c r="F327" s="4">
        <v>1</v>
      </c>
      <c r="G327" s="4">
        <v>1</v>
      </c>
      <c r="H327" s="4">
        <v>0</v>
      </c>
      <c r="I327" s="4">
        <v>0</v>
      </c>
      <c r="J327" s="4">
        <v>1</v>
      </c>
      <c r="K327" s="2" t="s">
        <v>79</v>
      </c>
    </row>
    <row r="328" spans="1:11" x14ac:dyDescent="0.2">
      <c r="A328" s="4">
        <v>6</v>
      </c>
      <c r="B328" s="4">
        <v>13</v>
      </c>
      <c r="C328" s="4">
        <v>8</v>
      </c>
      <c r="D328" s="4">
        <v>0</v>
      </c>
      <c r="E328" s="4">
        <v>0</v>
      </c>
      <c r="F328" s="4">
        <v>1</v>
      </c>
      <c r="G328" s="4">
        <v>1</v>
      </c>
      <c r="H328" s="4">
        <v>0</v>
      </c>
      <c r="I328" s="4">
        <v>0</v>
      </c>
      <c r="J328" s="4">
        <v>0</v>
      </c>
      <c r="K328" s="2" t="s">
        <v>79</v>
      </c>
    </row>
    <row r="329" spans="1:11" x14ac:dyDescent="0.2">
      <c r="A329" s="4">
        <v>2.89</v>
      </c>
      <c r="B329" s="4">
        <v>10</v>
      </c>
      <c r="C329" s="4">
        <v>8</v>
      </c>
      <c r="D329" s="4">
        <v>0</v>
      </c>
      <c r="E329" s="4">
        <v>1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2" t="s">
        <v>79</v>
      </c>
    </row>
    <row r="330" spans="1:11" x14ac:dyDescent="0.2">
      <c r="A330" s="4">
        <v>4.2</v>
      </c>
      <c r="B330" s="4">
        <v>16</v>
      </c>
      <c r="C330" s="4">
        <v>8</v>
      </c>
      <c r="D330" s="4">
        <v>0</v>
      </c>
      <c r="E330" s="4">
        <v>1</v>
      </c>
      <c r="F330" s="4">
        <v>1</v>
      </c>
      <c r="G330" s="4">
        <v>1</v>
      </c>
      <c r="H330" s="4">
        <v>0</v>
      </c>
      <c r="I330" s="4">
        <v>0</v>
      </c>
      <c r="J330" s="4">
        <v>0</v>
      </c>
      <c r="K330" s="2" t="s">
        <v>79</v>
      </c>
    </row>
    <row r="331" spans="1:11" x14ac:dyDescent="0.2">
      <c r="A331" s="4">
        <v>4.5999999999999996</v>
      </c>
      <c r="B331" s="4">
        <v>14</v>
      </c>
      <c r="C331" s="4">
        <v>7</v>
      </c>
      <c r="D331" s="4">
        <v>0</v>
      </c>
      <c r="E331" s="4">
        <v>1</v>
      </c>
      <c r="F331" s="4">
        <v>1</v>
      </c>
      <c r="G331" s="4">
        <v>0</v>
      </c>
      <c r="H331" s="4">
        <v>0</v>
      </c>
      <c r="I331" s="4">
        <v>0</v>
      </c>
      <c r="J331" s="4">
        <v>0</v>
      </c>
      <c r="K331" s="2" t="s">
        <v>79</v>
      </c>
    </row>
    <row r="332" spans="1:11" x14ac:dyDescent="0.2">
      <c r="A332" s="4">
        <v>4.38</v>
      </c>
      <c r="B332" s="4">
        <v>16</v>
      </c>
      <c r="C332" s="4">
        <v>7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2" t="s">
        <v>79</v>
      </c>
    </row>
    <row r="333" spans="1:11" x14ac:dyDescent="0.2">
      <c r="A333" s="4">
        <v>9</v>
      </c>
      <c r="B333" s="4">
        <v>17</v>
      </c>
      <c r="C333" s="4">
        <v>7</v>
      </c>
      <c r="D333" s="4">
        <v>0</v>
      </c>
      <c r="E333" s="4">
        <v>1</v>
      </c>
      <c r="F333" s="4">
        <v>1</v>
      </c>
      <c r="G333" s="4">
        <v>0</v>
      </c>
      <c r="H333" s="4">
        <v>0</v>
      </c>
      <c r="I333" s="4">
        <v>0</v>
      </c>
      <c r="J333" s="4">
        <v>0</v>
      </c>
      <c r="K333" s="2" t="s">
        <v>79</v>
      </c>
    </row>
    <row r="334" spans="1:11" x14ac:dyDescent="0.2">
      <c r="A334" s="4">
        <v>3</v>
      </c>
      <c r="B334" s="4">
        <v>10</v>
      </c>
      <c r="C334" s="4">
        <v>7</v>
      </c>
      <c r="D334" s="4">
        <v>0</v>
      </c>
      <c r="E334" s="4">
        <v>1</v>
      </c>
      <c r="F334" s="4">
        <v>1</v>
      </c>
      <c r="G334" s="4">
        <v>1</v>
      </c>
      <c r="H334" s="4">
        <v>0</v>
      </c>
      <c r="I334" s="4">
        <v>0</v>
      </c>
      <c r="J334" s="4">
        <v>0</v>
      </c>
      <c r="K334" s="2" t="s">
        <v>79</v>
      </c>
    </row>
    <row r="335" spans="1:11" x14ac:dyDescent="0.2">
      <c r="A335" s="4">
        <v>4.38</v>
      </c>
      <c r="B335" s="4">
        <v>13</v>
      </c>
      <c r="C335" s="4">
        <v>7</v>
      </c>
      <c r="D335" s="4">
        <v>0</v>
      </c>
      <c r="E335" s="4">
        <v>0</v>
      </c>
      <c r="F335" s="4">
        <v>1</v>
      </c>
      <c r="G335" s="4">
        <v>0</v>
      </c>
      <c r="H335" s="4">
        <v>0</v>
      </c>
      <c r="I335" s="4">
        <v>1</v>
      </c>
      <c r="J335" s="4">
        <v>0</v>
      </c>
      <c r="K335" s="2" t="s">
        <v>79</v>
      </c>
    </row>
    <row r="336" spans="1:11" x14ac:dyDescent="0.2">
      <c r="A336" s="4">
        <v>4.0999999999999996</v>
      </c>
      <c r="B336" s="4">
        <v>14</v>
      </c>
      <c r="C336" s="4">
        <v>6</v>
      </c>
      <c r="D336" s="4">
        <v>0</v>
      </c>
      <c r="E336" s="4">
        <v>1</v>
      </c>
      <c r="F336" s="4">
        <v>1</v>
      </c>
      <c r="G336" s="4">
        <v>0</v>
      </c>
      <c r="H336" s="4">
        <v>1</v>
      </c>
      <c r="I336" s="4">
        <v>0</v>
      </c>
      <c r="J336" s="4">
        <v>0</v>
      </c>
      <c r="K336" s="2" t="s">
        <v>79</v>
      </c>
    </row>
    <row r="337" spans="1:11" x14ac:dyDescent="0.2">
      <c r="A337" s="4">
        <v>2.9</v>
      </c>
      <c r="B337" s="4">
        <v>11</v>
      </c>
      <c r="C337" s="4">
        <v>6</v>
      </c>
      <c r="D337" s="4">
        <v>0</v>
      </c>
      <c r="E337" s="4">
        <v>1</v>
      </c>
      <c r="F337" s="4">
        <v>0</v>
      </c>
      <c r="G337" s="4">
        <v>0</v>
      </c>
      <c r="H337" s="4">
        <v>1</v>
      </c>
      <c r="I337" s="4">
        <v>0</v>
      </c>
      <c r="J337" s="4">
        <v>0</v>
      </c>
      <c r="K337" s="2" t="s">
        <v>79</v>
      </c>
    </row>
    <row r="338" spans="1:11" x14ac:dyDescent="0.2">
      <c r="A338" s="4">
        <v>3.76</v>
      </c>
      <c r="B338" s="4">
        <v>6</v>
      </c>
      <c r="C338" s="4">
        <v>6</v>
      </c>
      <c r="D338" s="4">
        <v>0</v>
      </c>
      <c r="E338" s="4">
        <v>0</v>
      </c>
      <c r="F338" s="4">
        <v>0</v>
      </c>
      <c r="G338" s="4">
        <v>0</v>
      </c>
      <c r="H338" s="4">
        <v>1</v>
      </c>
      <c r="I338" s="4">
        <v>0</v>
      </c>
      <c r="J338" s="4">
        <v>0</v>
      </c>
      <c r="K338" s="2" t="s">
        <v>79</v>
      </c>
    </row>
    <row r="339" spans="1:11" x14ac:dyDescent="0.2">
      <c r="A339" s="4">
        <v>4</v>
      </c>
      <c r="B339" s="4">
        <v>13</v>
      </c>
      <c r="C339" s="4">
        <v>6</v>
      </c>
      <c r="D339" s="4">
        <v>0</v>
      </c>
      <c r="E339" s="4">
        <v>1</v>
      </c>
      <c r="F339" s="4">
        <v>0</v>
      </c>
      <c r="G339" s="4">
        <v>1</v>
      </c>
      <c r="H339" s="4">
        <v>0</v>
      </c>
      <c r="I339" s="4">
        <v>0</v>
      </c>
      <c r="J339" s="4">
        <v>1</v>
      </c>
      <c r="K339" s="2" t="s">
        <v>79</v>
      </c>
    </row>
    <row r="340" spans="1:11" x14ac:dyDescent="0.2">
      <c r="A340" s="4">
        <v>5.84</v>
      </c>
      <c r="B340" s="4">
        <v>13</v>
      </c>
      <c r="C340" s="4">
        <v>5</v>
      </c>
      <c r="D340" s="4">
        <v>0</v>
      </c>
      <c r="E340" s="4">
        <v>1</v>
      </c>
      <c r="F340" s="4">
        <v>1</v>
      </c>
      <c r="G340" s="4">
        <v>0</v>
      </c>
      <c r="H340" s="4">
        <v>1</v>
      </c>
      <c r="I340" s="4">
        <v>0</v>
      </c>
      <c r="J340" s="4">
        <v>0</v>
      </c>
      <c r="K340" s="2" t="s">
        <v>79</v>
      </c>
    </row>
    <row r="341" spans="1:11" x14ac:dyDescent="0.2">
      <c r="A341" s="4">
        <v>3.3</v>
      </c>
      <c r="B341" s="4">
        <v>13</v>
      </c>
      <c r="C341" s="4">
        <v>5</v>
      </c>
      <c r="D341" s="4">
        <v>0</v>
      </c>
      <c r="E341" s="4">
        <v>1</v>
      </c>
      <c r="F341" s="4">
        <v>0</v>
      </c>
      <c r="G341" s="4">
        <v>1</v>
      </c>
      <c r="H341" s="4">
        <v>0</v>
      </c>
      <c r="I341" s="4">
        <v>0</v>
      </c>
      <c r="J341" s="4">
        <v>0</v>
      </c>
      <c r="K341" s="2" t="s">
        <v>79</v>
      </c>
    </row>
    <row r="342" spans="1:11" x14ac:dyDescent="0.2">
      <c r="A342" s="4">
        <v>3.5</v>
      </c>
      <c r="B342" s="4">
        <v>14</v>
      </c>
      <c r="C342" s="4">
        <v>5</v>
      </c>
      <c r="D342" s="4">
        <v>0</v>
      </c>
      <c r="E342" s="4">
        <v>1</v>
      </c>
      <c r="F342" s="4">
        <v>1</v>
      </c>
      <c r="G342" s="4">
        <v>0</v>
      </c>
      <c r="H342" s="4">
        <v>1</v>
      </c>
      <c r="I342" s="4">
        <v>0</v>
      </c>
      <c r="J342" s="4">
        <v>0</v>
      </c>
      <c r="K342" s="2" t="s">
        <v>79</v>
      </c>
    </row>
    <row r="343" spans="1:11" x14ac:dyDescent="0.2">
      <c r="A343" s="4">
        <v>3</v>
      </c>
      <c r="B343" s="4">
        <v>13</v>
      </c>
      <c r="C343" s="4">
        <v>5</v>
      </c>
      <c r="D343" s="4">
        <v>0</v>
      </c>
      <c r="E343" s="4">
        <v>1</v>
      </c>
      <c r="F343" s="4">
        <v>0</v>
      </c>
      <c r="G343" s="4">
        <v>0</v>
      </c>
      <c r="H343" s="4">
        <v>1</v>
      </c>
      <c r="I343" s="4">
        <v>0</v>
      </c>
      <c r="J343" s="4">
        <v>0</v>
      </c>
      <c r="K343" s="2" t="s">
        <v>79</v>
      </c>
    </row>
    <row r="344" spans="1:11" x14ac:dyDescent="0.2">
      <c r="A344" s="4">
        <v>4.5</v>
      </c>
      <c r="B344" s="4">
        <v>14</v>
      </c>
      <c r="C344" s="4">
        <v>5</v>
      </c>
      <c r="D344" s="4">
        <v>0</v>
      </c>
      <c r="E344" s="4">
        <v>0</v>
      </c>
      <c r="F344" s="4">
        <v>1</v>
      </c>
      <c r="G344" s="4">
        <v>1</v>
      </c>
      <c r="H344" s="4">
        <v>0</v>
      </c>
      <c r="I344" s="4">
        <v>0</v>
      </c>
      <c r="J344" s="4">
        <v>1</v>
      </c>
      <c r="K344" s="2" t="s">
        <v>79</v>
      </c>
    </row>
    <row r="345" spans="1:11" x14ac:dyDescent="0.2">
      <c r="A345" s="4">
        <v>3.85</v>
      </c>
      <c r="B345" s="4">
        <v>16</v>
      </c>
      <c r="C345" s="4">
        <v>5</v>
      </c>
      <c r="D345" s="4">
        <v>0</v>
      </c>
      <c r="E345" s="4">
        <v>0</v>
      </c>
      <c r="F345" s="4">
        <v>1</v>
      </c>
      <c r="G345" s="4">
        <v>1</v>
      </c>
      <c r="H345" s="4">
        <v>0</v>
      </c>
      <c r="I345" s="4">
        <v>0</v>
      </c>
      <c r="J345" s="4">
        <v>0</v>
      </c>
      <c r="K345" s="2" t="s">
        <v>79</v>
      </c>
    </row>
    <row r="346" spans="1:11" x14ac:dyDescent="0.2">
      <c r="A346" s="4">
        <v>4.1100000000000003</v>
      </c>
      <c r="B346" s="4">
        <v>14</v>
      </c>
      <c r="C346" s="4">
        <v>5</v>
      </c>
      <c r="D346" s="4">
        <v>0</v>
      </c>
      <c r="E346" s="4">
        <v>0</v>
      </c>
      <c r="F346" s="4">
        <v>0</v>
      </c>
      <c r="G346" s="4">
        <v>0</v>
      </c>
      <c r="H346" s="4">
        <v>1</v>
      </c>
      <c r="I346" s="4">
        <v>0</v>
      </c>
      <c r="J346" s="4">
        <v>0</v>
      </c>
      <c r="K346" s="2" t="s">
        <v>79</v>
      </c>
    </row>
    <row r="347" spans="1:11" x14ac:dyDescent="0.2">
      <c r="A347" s="4">
        <v>5</v>
      </c>
      <c r="B347" s="4">
        <v>14</v>
      </c>
      <c r="C347" s="4">
        <v>5</v>
      </c>
      <c r="D347" s="4">
        <v>0</v>
      </c>
      <c r="E347" s="4">
        <v>0</v>
      </c>
      <c r="F347" s="4">
        <v>0</v>
      </c>
      <c r="G347" s="4">
        <v>1</v>
      </c>
      <c r="H347" s="4">
        <v>0</v>
      </c>
      <c r="I347" s="4">
        <v>0</v>
      </c>
      <c r="J347" s="4">
        <v>0</v>
      </c>
      <c r="K347" s="2" t="s">
        <v>79</v>
      </c>
    </row>
    <row r="348" spans="1:11" x14ac:dyDescent="0.2">
      <c r="A348" s="4">
        <v>2.25</v>
      </c>
      <c r="B348" s="4">
        <v>12</v>
      </c>
      <c r="C348" s="4">
        <v>5</v>
      </c>
      <c r="D348" s="4">
        <v>0</v>
      </c>
      <c r="E348" s="4">
        <v>1</v>
      </c>
      <c r="F348" s="4">
        <v>0</v>
      </c>
      <c r="G348" s="4">
        <v>0</v>
      </c>
      <c r="H348" s="4">
        <v>1</v>
      </c>
      <c r="I348" s="4">
        <v>0</v>
      </c>
      <c r="J348" s="4">
        <v>0</v>
      </c>
      <c r="K348" s="2" t="s">
        <v>79</v>
      </c>
    </row>
    <row r="349" spans="1:11" x14ac:dyDescent="0.2">
      <c r="A349" s="4">
        <v>3.18</v>
      </c>
      <c r="B349" s="4">
        <v>12</v>
      </c>
      <c r="C349" s="4">
        <v>5</v>
      </c>
      <c r="D349" s="4">
        <v>0</v>
      </c>
      <c r="E349" s="4">
        <v>1</v>
      </c>
      <c r="F349" s="4">
        <v>1</v>
      </c>
      <c r="G349" s="4">
        <v>1</v>
      </c>
      <c r="H349" s="4">
        <v>0</v>
      </c>
      <c r="I349" s="4">
        <v>0</v>
      </c>
      <c r="J349" s="4">
        <v>0</v>
      </c>
      <c r="K349" s="2" t="s">
        <v>79</v>
      </c>
    </row>
    <row r="350" spans="1:11" x14ac:dyDescent="0.2">
      <c r="A350" s="4">
        <v>5.05</v>
      </c>
      <c r="B350" s="10">
        <v>12</v>
      </c>
      <c r="C350" s="4">
        <v>5</v>
      </c>
      <c r="D350" s="4">
        <v>0</v>
      </c>
      <c r="E350" s="4">
        <v>1</v>
      </c>
      <c r="F350" s="4">
        <v>0</v>
      </c>
      <c r="G350" s="4">
        <v>1</v>
      </c>
      <c r="H350" s="4">
        <v>0</v>
      </c>
      <c r="I350" s="4">
        <v>0</v>
      </c>
      <c r="J350" s="4">
        <v>0</v>
      </c>
      <c r="K350" s="2" t="s">
        <v>79</v>
      </c>
    </row>
    <row r="351" spans="1:11" x14ac:dyDescent="0.2">
      <c r="A351" s="4">
        <v>4.63</v>
      </c>
      <c r="B351" s="4">
        <v>14</v>
      </c>
      <c r="C351" s="4">
        <v>4</v>
      </c>
      <c r="D351" s="4">
        <v>0</v>
      </c>
      <c r="E351" s="4">
        <v>1</v>
      </c>
      <c r="F351" s="4">
        <v>1</v>
      </c>
      <c r="G351" s="4">
        <v>0</v>
      </c>
      <c r="H351" s="4">
        <v>1</v>
      </c>
      <c r="I351" s="4">
        <v>0</v>
      </c>
      <c r="J351" s="4">
        <v>0</v>
      </c>
      <c r="K351" s="2" t="s">
        <v>79</v>
      </c>
    </row>
    <row r="352" spans="1:11" x14ac:dyDescent="0.2">
      <c r="A352" s="4">
        <v>2.91</v>
      </c>
      <c r="B352" s="4">
        <v>12</v>
      </c>
      <c r="C352" s="4">
        <v>4</v>
      </c>
      <c r="D352" s="4">
        <v>0</v>
      </c>
      <c r="E352" s="4">
        <v>0</v>
      </c>
      <c r="F352" s="4">
        <v>1</v>
      </c>
      <c r="G352" s="4">
        <v>0</v>
      </c>
      <c r="H352" s="4">
        <v>1</v>
      </c>
      <c r="I352" s="4">
        <v>0</v>
      </c>
      <c r="J352" s="4">
        <v>0</v>
      </c>
      <c r="K352" s="2" t="s">
        <v>79</v>
      </c>
    </row>
    <row r="353" spans="1:11" x14ac:dyDescent="0.2">
      <c r="A353" s="4">
        <v>6.25</v>
      </c>
      <c r="B353" s="4">
        <v>17</v>
      </c>
      <c r="C353" s="4">
        <v>4</v>
      </c>
      <c r="D353" s="4">
        <v>0</v>
      </c>
      <c r="E353" s="4">
        <v>1</v>
      </c>
      <c r="F353" s="4">
        <v>0</v>
      </c>
      <c r="G353" s="4">
        <v>0</v>
      </c>
      <c r="H353" s="4">
        <v>0</v>
      </c>
      <c r="I353" s="4">
        <v>1</v>
      </c>
      <c r="J353" s="4">
        <v>0</v>
      </c>
      <c r="K353" s="2" t="s">
        <v>79</v>
      </c>
    </row>
    <row r="354" spans="1:11" x14ac:dyDescent="0.2">
      <c r="A354" s="4">
        <v>5.25</v>
      </c>
      <c r="B354" s="4">
        <v>16</v>
      </c>
      <c r="C354" s="4">
        <v>4</v>
      </c>
      <c r="D354" s="4">
        <v>0</v>
      </c>
      <c r="E354" s="4">
        <v>0</v>
      </c>
      <c r="F354" s="4">
        <v>0</v>
      </c>
      <c r="G354" s="4">
        <v>0</v>
      </c>
      <c r="H354" s="4">
        <v>1</v>
      </c>
      <c r="I354" s="4">
        <v>0</v>
      </c>
      <c r="J354" s="4">
        <v>0</v>
      </c>
      <c r="K354" s="2" t="s">
        <v>79</v>
      </c>
    </row>
    <row r="355" spans="1:11" x14ac:dyDescent="0.2">
      <c r="A355" s="4">
        <v>5.25</v>
      </c>
      <c r="B355" s="4">
        <v>12</v>
      </c>
      <c r="C355" s="4">
        <v>4</v>
      </c>
      <c r="D355" s="4">
        <v>0</v>
      </c>
      <c r="E355" s="4">
        <v>0</v>
      </c>
      <c r="F355" s="4">
        <v>0</v>
      </c>
      <c r="G355" s="4">
        <v>1</v>
      </c>
      <c r="H355" s="4">
        <v>0</v>
      </c>
      <c r="I355" s="4">
        <v>0</v>
      </c>
      <c r="J355" s="4">
        <v>0</v>
      </c>
      <c r="K355" s="2" t="s">
        <v>79</v>
      </c>
    </row>
    <row r="356" spans="1:11" x14ac:dyDescent="0.2">
      <c r="A356" s="4">
        <v>2.9</v>
      </c>
      <c r="B356" s="4">
        <v>10</v>
      </c>
      <c r="C356" s="4">
        <v>4</v>
      </c>
      <c r="D356" s="4">
        <v>0</v>
      </c>
      <c r="E356" s="4">
        <v>1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2" t="s">
        <v>79</v>
      </c>
    </row>
    <row r="357" spans="1:11" x14ac:dyDescent="0.2">
      <c r="A357" s="4">
        <v>2.92</v>
      </c>
      <c r="B357" s="4">
        <v>12</v>
      </c>
      <c r="C357" s="4">
        <v>4</v>
      </c>
      <c r="D357" s="4">
        <v>0</v>
      </c>
      <c r="E357" s="4">
        <v>1</v>
      </c>
      <c r="F357" s="4">
        <v>0</v>
      </c>
      <c r="G357" s="4">
        <v>0</v>
      </c>
      <c r="H357" s="4">
        <v>1</v>
      </c>
      <c r="I357" s="4">
        <v>0</v>
      </c>
      <c r="J357" s="4">
        <v>0</v>
      </c>
      <c r="K357" s="2" t="s">
        <v>79</v>
      </c>
    </row>
    <row r="358" spans="1:11" x14ac:dyDescent="0.2">
      <c r="A358" s="4">
        <v>3.25</v>
      </c>
      <c r="B358" s="4">
        <v>12</v>
      </c>
      <c r="C358" s="4">
        <v>4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2" t="s">
        <v>79</v>
      </c>
    </row>
    <row r="359" spans="1:11" x14ac:dyDescent="0.2">
      <c r="A359" s="4">
        <v>3.25</v>
      </c>
      <c r="B359" s="4">
        <v>15</v>
      </c>
      <c r="C359" s="4">
        <v>3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2" t="s">
        <v>79</v>
      </c>
    </row>
    <row r="360" spans="1:11" x14ac:dyDescent="0.2">
      <c r="A360" s="4">
        <v>4.29</v>
      </c>
      <c r="B360" s="4">
        <v>12</v>
      </c>
      <c r="C360" s="4">
        <v>3</v>
      </c>
      <c r="D360" s="4">
        <v>0</v>
      </c>
      <c r="E360" s="4">
        <v>1</v>
      </c>
      <c r="F360" s="4">
        <v>0</v>
      </c>
      <c r="G360" s="4">
        <v>0</v>
      </c>
      <c r="H360" s="4">
        <v>1</v>
      </c>
      <c r="I360" s="4">
        <v>0</v>
      </c>
      <c r="J360" s="4">
        <v>0</v>
      </c>
      <c r="K360" s="2" t="s">
        <v>79</v>
      </c>
    </row>
    <row r="361" spans="1:11" x14ac:dyDescent="0.2">
      <c r="A361" s="4">
        <v>4.68</v>
      </c>
      <c r="B361" s="4">
        <v>12</v>
      </c>
      <c r="C361" s="4">
        <v>3</v>
      </c>
      <c r="D361" s="4">
        <v>0</v>
      </c>
      <c r="E361" s="4">
        <v>1</v>
      </c>
      <c r="F361" s="4">
        <v>0</v>
      </c>
      <c r="G361" s="4">
        <v>0</v>
      </c>
      <c r="H361" s="4">
        <v>0</v>
      </c>
      <c r="I361" s="4">
        <v>1</v>
      </c>
      <c r="J361" s="4">
        <v>0</v>
      </c>
      <c r="K361" s="2" t="s">
        <v>79</v>
      </c>
    </row>
    <row r="362" spans="1:11" x14ac:dyDescent="0.2">
      <c r="A362" s="4">
        <v>6.63</v>
      </c>
      <c r="B362" s="4">
        <v>16</v>
      </c>
      <c r="C362" s="4">
        <v>3</v>
      </c>
      <c r="D362" s="4">
        <v>0</v>
      </c>
      <c r="E362" s="4">
        <v>0</v>
      </c>
      <c r="F362" s="4">
        <v>1</v>
      </c>
      <c r="G362" s="4">
        <v>0</v>
      </c>
      <c r="H362" s="4">
        <v>1</v>
      </c>
      <c r="I362" s="4">
        <v>0</v>
      </c>
      <c r="J362" s="4">
        <v>0</v>
      </c>
      <c r="K362" s="2" t="s">
        <v>79</v>
      </c>
    </row>
    <row r="363" spans="1:11" x14ac:dyDescent="0.2">
      <c r="A363" s="4">
        <v>4.4400000000000004</v>
      </c>
      <c r="B363" s="4">
        <v>12</v>
      </c>
      <c r="C363" s="4">
        <v>3</v>
      </c>
      <c r="D363" s="4">
        <v>0</v>
      </c>
      <c r="E363" s="4">
        <v>0</v>
      </c>
      <c r="F363" s="4">
        <v>0</v>
      </c>
      <c r="G363" s="4">
        <v>1</v>
      </c>
      <c r="H363" s="4">
        <v>0</v>
      </c>
      <c r="I363" s="4">
        <v>0</v>
      </c>
      <c r="J363" s="4">
        <v>0</v>
      </c>
      <c r="K363" s="2" t="s">
        <v>79</v>
      </c>
    </row>
    <row r="364" spans="1:11" x14ac:dyDescent="0.2">
      <c r="A364" s="4">
        <v>5.71</v>
      </c>
      <c r="B364" s="4">
        <v>16</v>
      </c>
      <c r="C364" s="4">
        <v>3</v>
      </c>
      <c r="D364" s="4">
        <v>0</v>
      </c>
      <c r="E364" s="4">
        <v>1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2" t="s">
        <v>79</v>
      </c>
    </row>
    <row r="365" spans="1:11" x14ac:dyDescent="0.2">
      <c r="A365" s="4">
        <v>4.57</v>
      </c>
      <c r="B365" s="4">
        <v>14</v>
      </c>
      <c r="C365" s="4">
        <v>3</v>
      </c>
      <c r="D365" s="4">
        <v>0</v>
      </c>
      <c r="E365" s="4">
        <v>0</v>
      </c>
      <c r="F365" s="4">
        <v>1</v>
      </c>
      <c r="G365" s="4">
        <v>0</v>
      </c>
      <c r="H365" s="4">
        <v>1</v>
      </c>
      <c r="I365" s="4">
        <v>0</v>
      </c>
      <c r="J365" s="4">
        <v>0</v>
      </c>
      <c r="K365" s="2" t="s">
        <v>79</v>
      </c>
    </row>
    <row r="366" spans="1:11" x14ac:dyDescent="0.2">
      <c r="A366" s="4">
        <v>6.5</v>
      </c>
      <c r="B366" s="4">
        <v>17</v>
      </c>
      <c r="C366" s="4">
        <v>3</v>
      </c>
      <c r="D366" s="4">
        <v>0</v>
      </c>
      <c r="E366" s="4">
        <v>0</v>
      </c>
      <c r="F366" s="4">
        <v>1</v>
      </c>
      <c r="G366" s="4">
        <v>1</v>
      </c>
      <c r="H366" s="4">
        <v>0</v>
      </c>
      <c r="I366" s="4">
        <v>0</v>
      </c>
      <c r="J366" s="4">
        <v>0</v>
      </c>
      <c r="K366" s="2" t="s">
        <v>79</v>
      </c>
    </row>
    <row r="367" spans="1:11" x14ac:dyDescent="0.2">
      <c r="A367" s="4">
        <v>8.1300000000000008</v>
      </c>
      <c r="B367" s="4">
        <v>13</v>
      </c>
      <c r="C367" s="4">
        <v>3</v>
      </c>
      <c r="D367" s="4">
        <v>0</v>
      </c>
      <c r="E367" s="10">
        <v>2</v>
      </c>
      <c r="F367" s="4">
        <v>0</v>
      </c>
      <c r="G367" s="4">
        <v>0</v>
      </c>
      <c r="H367" s="4">
        <v>0</v>
      </c>
      <c r="I367" s="4">
        <v>1</v>
      </c>
      <c r="J367" s="4">
        <v>0</v>
      </c>
      <c r="K367" s="2" t="s">
        <v>79</v>
      </c>
    </row>
    <row r="368" spans="1:11" x14ac:dyDescent="0.2">
      <c r="A368" s="4">
        <v>3</v>
      </c>
      <c r="B368" s="4">
        <v>9</v>
      </c>
      <c r="C368" s="4">
        <v>3</v>
      </c>
      <c r="D368" s="4">
        <v>0</v>
      </c>
      <c r="E368" s="4">
        <v>1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2" t="s">
        <v>79</v>
      </c>
    </row>
    <row r="369" spans="1:11" x14ac:dyDescent="0.2">
      <c r="A369" s="4">
        <v>4</v>
      </c>
      <c r="B369" s="4">
        <v>10</v>
      </c>
      <c r="C369" s="4">
        <v>2</v>
      </c>
      <c r="D369" s="4">
        <v>0</v>
      </c>
      <c r="E369" s="4">
        <v>1</v>
      </c>
      <c r="F369" s="4">
        <v>0</v>
      </c>
      <c r="G369" s="4">
        <v>0</v>
      </c>
      <c r="H369" s="4">
        <v>0</v>
      </c>
      <c r="I369" s="4">
        <v>1</v>
      </c>
      <c r="J369" s="4">
        <v>0</v>
      </c>
      <c r="K369" s="2" t="s">
        <v>79</v>
      </c>
    </row>
    <row r="370" spans="1:11" x14ac:dyDescent="0.2">
      <c r="A370" s="4">
        <v>2.7</v>
      </c>
      <c r="B370" s="4">
        <v>9</v>
      </c>
      <c r="C370" s="4">
        <v>2</v>
      </c>
      <c r="D370" s="4">
        <v>0</v>
      </c>
      <c r="E370" s="4">
        <v>1</v>
      </c>
      <c r="F370" s="4">
        <v>0</v>
      </c>
      <c r="G370" s="4">
        <v>1</v>
      </c>
      <c r="H370" s="4">
        <v>0</v>
      </c>
      <c r="I370" s="4">
        <v>0</v>
      </c>
      <c r="J370" s="4">
        <v>0</v>
      </c>
      <c r="K370" s="2" t="s">
        <v>79</v>
      </c>
    </row>
    <row r="371" spans="1:11" x14ac:dyDescent="0.2">
      <c r="A371" s="4">
        <v>2.27</v>
      </c>
      <c r="B371" s="4">
        <v>10</v>
      </c>
      <c r="C371" s="4">
        <v>2</v>
      </c>
      <c r="D371" s="4">
        <v>0</v>
      </c>
      <c r="E371" s="10">
        <v>2</v>
      </c>
      <c r="F371" s="4">
        <v>0</v>
      </c>
      <c r="G371" s="4">
        <v>0</v>
      </c>
      <c r="H371" s="4">
        <v>0</v>
      </c>
      <c r="I371" s="4">
        <v>1</v>
      </c>
      <c r="J371" s="4">
        <v>0</v>
      </c>
      <c r="K371" s="2" t="s">
        <v>79</v>
      </c>
    </row>
    <row r="372" spans="1:11" x14ac:dyDescent="0.2">
      <c r="A372" s="4">
        <v>3.05</v>
      </c>
      <c r="B372" s="4">
        <v>12</v>
      </c>
      <c r="C372" s="4">
        <v>2</v>
      </c>
      <c r="D372" s="4">
        <v>0</v>
      </c>
      <c r="E372" s="4">
        <v>1</v>
      </c>
      <c r="F372" s="4">
        <v>0</v>
      </c>
      <c r="G372" s="4">
        <v>1</v>
      </c>
      <c r="H372" s="4">
        <v>0</v>
      </c>
      <c r="I372" s="4">
        <v>0</v>
      </c>
      <c r="J372" s="4">
        <v>0</v>
      </c>
      <c r="K372" s="2" t="s">
        <v>79</v>
      </c>
    </row>
    <row r="373" spans="1:11" x14ac:dyDescent="0.2">
      <c r="A373" s="4">
        <v>3.5</v>
      </c>
      <c r="B373" s="4">
        <v>13</v>
      </c>
      <c r="C373" s="4">
        <v>2</v>
      </c>
      <c r="D373" s="4">
        <v>0</v>
      </c>
      <c r="E373" s="4">
        <v>1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2" t="s">
        <v>79</v>
      </c>
    </row>
    <row r="374" spans="1:11" x14ac:dyDescent="0.2">
      <c r="A374" s="4">
        <v>4.8099999999999996</v>
      </c>
      <c r="B374" s="4">
        <v>12</v>
      </c>
      <c r="C374" s="4">
        <v>2</v>
      </c>
      <c r="D374" s="4">
        <v>0</v>
      </c>
      <c r="E374" s="4">
        <v>1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2" t="s">
        <v>79</v>
      </c>
    </row>
    <row r="375" spans="1:11" x14ac:dyDescent="0.2">
      <c r="A375" s="4">
        <v>2.2999999999999998</v>
      </c>
      <c r="B375" s="4">
        <v>10</v>
      </c>
      <c r="C375" s="4">
        <v>2</v>
      </c>
      <c r="D375" s="4">
        <v>0</v>
      </c>
      <c r="E375" s="4">
        <v>1</v>
      </c>
      <c r="F375" s="4">
        <v>0</v>
      </c>
      <c r="G375" s="4">
        <v>1</v>
      </c>
      <c r="H375" s="4">
        <v>0</v>
      </c>
      <c r="I375" s="4">
        <v>0</v>
      </c>
      <c r="J375" s="4">
        <v>0</v>
      </c>
      <c r="K375" s="2" t="s">
        <v>79</v>
      </c>
    </row>
    <row r="376" spans="1:11" x14ac:dyDescent="0.2">
      <c r="A376" s="4">
        <v>3.5</v>
      </c>
      <c r="B376" s="4">
        <v>12</v>
      </c>
      <c r="C376" s="4">
        <v>2</v>
      </c>
      <c r="D376" s="4">
        <v>0</v>
      </c>
      <c r="E376" s="10">
        <v>2</v>
      </c>
      <c r="F376" s="4">
        <v>0</v>
      </c>
      <c r="G376" s="4">
        <v>0</v>
      </c>
      <c r="H376" s="4">
        <v>1</v>
      </c>
      <c r="I376" s="4">
        <v>0</v>
      </c>
      <c r="J376" s="4">
        <v>0</v>
      </c>
      <c r="K376" s="2" t="s">
        <v>79</v>
      </c>
    </row>
    <row r="377" spans="1:11" x14ac:dyDescent="0.2">
      <c r="A377" s="4">
        <v>7.9</v>
      </c>
      <c r="B377" s="4">
        <v>12</v>
      </c>
      <c r="C377" s="4">
        <v>2</v>
      </c>
      <c r="D377" s="4">
        <v>0</v>
      </c>
      <c r="E377" s="4">
        <v>0</v>
      </c>
      <c r="F377" s="4">
        <v>0</v>
      </c>
      <c r="G377" s="4">
        <v>0</v>
      </c>
      <c r="H377" s="4">
        <v>1</v>
      </c>
      <c r="I377" s="4">
        <v>0</v>
      </c>
      <c r="J377" s="4">
        <v>1</v>
      </c>
      <c r="K377" s="2" t="s">
        <v>79</v>
      </c>
    </row>
    <row r="378" spans="1:11" x14ac:dyDescent="0.2">
      <c r="A378" s="4">
        <v>3</v>
      </c>
      <c r="B378" s="4">
        <v>12</v>
      </c>
      <c r="C378" s="4">
        <v>2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1</v>
      </c>
      <c r="K378" s="2" t="s">
        <v>79</v>
      </c>
    </row>
    <row r="379" spans="1:11" x14ac:dyDescent="0.2">
      <c r="A379" s="4">
        <v>5.7</v>
      </c>
      <c r="B379" s="4">
        <v>16</v>
      </c>
      <c r="C379" s="4">
        <v>2</v>
      </c>
      <c r="D379" s="4">
        <v>0</v>
      </c>
      <c r="E379" s="4">
        <v>0</v>
      </c>
      <c r="F379" s="4">
        <v>0</v>
      </c>
      <c r="G379" s="4">
        <v>0</v>
      </c>
      <c r="H379" s="4">
        <v>1</v>
      </c>
      <c r="I379" s="4">
        <v>0</v>
      </c>
      <c r="J379" s="4">
        <v>0</v>
      </c>
      <c r="K379" s="2" t="s">
        <v>79</v>
      </c>
    </row>
    <row r="380" spans="1:11" x14ac:dyDescent="0.2">
      <c r="A380" s="4">
        <v>2.5</v>
      </c>
      <c r="B380" s="10">
        <v>12</v>
      </c>
      <c r="C380" s="4">
        <v>2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2" t="s">
        <v>79</v>
      </c>
    </row>
    <row r="381" spans="1:11" x14ac:dyDescent="0.2">
      <c r="A381" s="4">
        <v>2.88</v>
      </c>
      <c r="B381" s="4">
        <v>10</v>
      </c>
      <c r="C381" s="4">
        <v>2</v>
      </c>
      <c r="D381" s="4">
        <v>0</v>
      </c>
      <c r="E381" s="4">
        <v>1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2" t="s">
        <v>79</v>
      </c>
    </row>
    <row r="382" spans="1:11" x14ac:dyDescent="0.2">
      <c r="A382" s="4">
        <v>3</v>
      </c>
      <c r="B382" s="4">
        <v>11</v>
      </c>
      <c r="C382" s="4">
        <v>2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1</v>
      </c>
      <c r="J382" s="4">
        <v>0</v>
      </c>
      <c r="K382" s="2" t="s">
        <v>79</v>
      </c>
    </row>
    <row r="383" spans="1:11" x14ac:dyDescent="0.2">
      <c r="A383" s="4">
        <v>3</v>
      </c>
      <c r="B383" s="4">
        <v>11</v>
      </c>
      <c r="C383" s="4">
        <v>2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2" t="s">
        <v>79</v>
      </c>
    </row>
    <row r="384" spans="1:11" x14ac:dyDescent="0.2">
      <c r="A384" s="4">
        <v>3.5</v>
      </c>
      <c r="B384" s="4">
        <v>13</v>
      </c>
      <c r="C384" s="4">
        <v>1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2" t="s">
        <v>79</v>
      </c>
    </row>
    <row r="385" spans="1:11" x14ac:dyDescent="0.2">
      <c r="A385" s="4">
        <v>2.83</v>
      </c>
      <c r="B385" s="4">
        <v>10</v>
      </c>
      <c r="C385" s="4">
        <v>1</v>
      </c>
      <c r="D385" s="4">
        <v>0</v>
      </c>
      <c r="E385" s="10">
        <v>2</v>
      </c>
      <c r="F385" s="4">
        <v>0</v>
      </c>
      <c r="G385" s="4">
        <v>1</v>
      </c>
      <c r="H385" s="4">
        <v>0</v>
      </c>
      <c r="I385" s="4">
        <v>0</v>
      </c>
      <c r="J385" s="4">
        <v>0</v>
      </c>
      <c r="K385" s="2" t="s">
        <v>79</v>
      </c>
    </row>
    <row r="386" spans="1:11" x14ac:dyDescent="0.2">
      <c r="A386" s="4">
        <v>1.67</v>
      </c>
      <c r="B386" s="4">
        <v>10</v>
      </c>
      <c r="C386" s="4">
        <v>1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1</v>
      </c>
      <c r="J386" s="4">
        <v>0</v>
      </c>
      <c r="K386" s="2" t="s">
        <v>79</v>
      </c>
    </row>
    <row r="387" spans="1:11" x14ac:dyDescent="0.2">
      <c r="A387" s="4">
        <v>4.68</v>
      </c>
      <c r="B387" s="4">
        <v>16</v>
      </c>
      <c r="C387" s="4">
        <v>1</v>
      </c>
      <c r="D387" s="4">
        <v>0</v>
      </c>
      <c r="E387" s="4">
        <v>0</v>
      </c>
      <c r="F387" s="4">
        <v>0</v>
      </c>
      <c r="G387" s="4">
        <v>0</v>
      </c>
      <c r="H387" s="4">
        <v>1</v>
      </c>
      <c r="I387" s="4">
        <v>0</v>
      </c>
      <c r="J387" s="4">
        <v>0</v>
      </c>
      <c r="K387" s="2" t="s">
        <v>79</v>
      </c>
    </row>
    <row r="388" spans="1:11" x14ac:dyDescent="0.2">
      <c r="A388" s="4">
        <v>3.13</v>
      </c>
      <c r="B388" s="4">
        <v>10</v>
      </c>
      <c r="C388" s="4">
        <v>1</v>
      </c>
      <c r="D388" s="4">
        <v>0</v>
      </c>
      <c r="E388" s="4">
        <v>1</v>
      </c>
      <c r="F388" s="4">
        <v>0</v>
      </c>
      <c r="G388" s="4">
        <v>1</v>
      </c>
      <c r="H388" s="4">
        <v>0</v>
      </c>
      <c r="I388" s="4">
        <v>0</v>
      </c>
      <c r="J388" s="4">
        <v>0</v>
      </c>
      <c r="K388" s="2" t="s">
        <v>79</v>
      </c>
    </row>
    <row r="389" spans="1:11" x14ac:dyDescent="0.2">
      <c r="A389" s="4">
        <v>3.2</v>
      </c>
      <c r="B389" s="4">
        <v>11</v>
      </c>
      <c r="C389" s="4">
        <v>1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2" t="s">
        <v>79</v>
      </c>
    </row>
    <row r="390" spans="1:11" x14ac:dyDescent="0.2">
      <c r="A390" s="4">
        <v>4.33</v>
      </c>
      <c r="B390" s="4">
        <v>18</v>
      </c>
      <c r="C390" s="4">
        <v>1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2" t="s">
        <v>79</v>
      </c>
    </row>
    <row r="391" spans="1:11" x14ac:dyDescent="0.2">
      <c r="A391" s="4">
        <v>2.9</v>
      </c>
      <c r="B391" s="4">
        <v>11</v>
      </c>
      <c r="C391" s="4">
        <v>1</v>
      </c>
      <c r="D391" s="4">
        <v>0</v>
      </c>
      <c r="E391" s="4">
        <v>1</v>
      </c>
      <c r="F391" s="4">
        <v>0</v>
      </c>
      <c r="G391" s="4">
        <v>1</v>
      </c>
      <c r="H391" s="4">
        <v>0</v>
      </c>
      <c r="I391" s="4">
        <v>0</v>
      </c>
      <c r="J391" s="4">
        <v>0</v>
      </c>
      <c r="K391" s="2" t="s">
        <v>79</v>
      </c>
    </row>
    <row r="392" spans="1:11" x14ac:dyDescent="0.2">
      <c r="A392" s="4">
        <v>2.91</v>
      </c>
      <c r="B392" s="4">
        <v>11</v>
      </c>
      <c r="C392" s="4">
        <v>1</v>
      </c>
      <c r="D392" s="4">
        <v>0</v>
      </c>
      <c r="E392" s="4">
        <v>1</v>
      </c>
      <c r="F392" s="4">
        <v>0</v>
      </c>
      <c r="G392" s="4">
        <v>1</v>
      </c>
      <c r="H392" s="4">
        <v>0</v>
      </c>
      <c r="I392" s="4">
        <v>0</v>
      </c>
      <c r="J392" s="4">
        <v>0</v>
      </c>
      <c r="K392" s="2" t="s">
        <v>79</v>
      </c>
    </row>
    <row r="393" spans="1:11" x14ac:dyDescent="0.2">
      <c r="A393" s="4">
        <v>3</v>
      </c>
      <c r="B393" s="4">
        <v>15</v>
      </c>
      <c r="C393" s="4">
        <v>1</v>
      </c>
      <c r="D393" s="4">
        <v>0</v>
      </c>
      <c r="E393" s="4">
        <v>0</v>
      </c>
      <c r="F393" s="4">
        <v>0</v>
      </c>
      <c r="G393" s="4">
        <v>0</v>
      </c>
      <c r="H393" s="4">
        <v>1</v>
      </c>
      <c r="I393" s="4">
        <v>0</v>
      </c>
      <c r="J393" s="4">
        <v>0</v>
      </c>
      <c r="K393" s="2" t="s">
        <v>79</v>
      </c>
    </row>
    <row r="394" spans="1:11" x14ac:dyDescent="0.2">
      <c r="A394" s="4">
        <v>3</v>
      </c>
      <c r="B394" s="4">
        <v>12</v>
      </c>
      <c r="C394" s="4">
        <v>1</v>
      </c>
      <c r="D394" s="4">
        <v>0</v>
      </c>
      <c r="E394" s="4">
        <v>0</v>
      </c>
      <c r="F394" s="4">
        <v>0</v>
      </c>
      <c r="G394" s="4">
        <v>0</v>
      </c>
      <c r="H394" s="4">
        <v>1</v>
      </c>
      <c r="I394" s="4">
        <v>0</v>
      </c>
      <c r="J394" s="4">
        <v>0</v>
      </c>
      <c r="K394" s="2" t="s">
        <v>79</v>
      </c>
    </row>
    <row r="395" spans="1:11" x14ac:dyDescent="0.2">
      <c r="A395" s="4">
        <v>3.15</v>
      </c>
      <c r="B395" s="4">
        <v>13</v>
      </c>
      <c r="C395" s="4">
        <v>1</v>
      </c>
      <c r="D395" s="4">
        <v>0</v>
      </c>
      <c r="E395" s="4">
        <v>1</v>
      </c>
      <c r="F395" s="4">
        <v>0</v>
      </c>
      <c r="G395" s="4">
        <v>1</v>
      </c>
      <c r="H395" s="4">
        <v>0</v>
      </c>
      <c r="I395" s="4">
        <v>0</v>
      </c>
      <c r="J395" s="4">
        <v>0</v>
      </c>
      <c r="K395" s="2" t="s">
        <v>79</v>
      </c>
    </row>
    <row r="396" spans="1:11" x14ac:dyDescent="0.2">
      <c r="A396" s="4">
        <v>12.5</v>
      </c>
      <c r="B396" s="4">
        <v>14</v>
      </c>
      <c r="C396" s="4">
        <v>40</v>
      </c>
      <c r="D396" s="9">
        <v>26.78</v>
      </c>
      <c r="E396" s="4">
        <v>0</v>
      </c>
      <c r="F396" s="4">
        <v>1</v>
      </c>
      <c r="G396" s="4">
        <v>1</v>
      </c>
      <c r="H396" s="4">
        <v>0</v>
      </c>
      <c r="I396" s="4">
        <v>0</v>
      </c>
      <c r="J396" s="4">
        <v>0</v>
      </c>
      <c r="K396" s="2" t="s">
        <v>80</v>
      </c>
    </row>
    <row r="397" spans="1:11" x14ac:dyDescent="0.2">
      <c r="A397" s="4">
        <v>1.5</v>
      </c>
      <c r="B397" s="4">
        <v>8</v>
      </c>
      <c r="C397" s="4">
        <v>31</v>
      </c>
      <c r="D397" s="9">
        <v>26.78</v>
      </c>
      <c r="E397" s="10">
        <v>2</v>
      </c>
      <c r="F397" s="4">
        <v>0</v>
      </c>
      <c r="G397" s="4">
        <v>0</v>
      </c>
      <c r="H397" s="4">
        <v>1</v>
      </c>
      <c r="I397" s="4">
        <v>0</v>
      </c>
      <c r="J397" s="4">
        <v>0</v>
      </c>
      <c r="K397" s="2" t="s">
        <v>80</v>
      </c>
    </row>
    <row r="398" spans="1:11" x14ac:dyDescent="0.2">
      <c r="A398" s="4">
        <v>2.92</v>
      </c>
      <c r="B398" s="4">
        <v>3</v>
      </c>
      <c r="C398" s="4">
        <v>11</v>
      </c>
      <c r="D398" s="9">
        <v>26.78</v>
      </c>
      <c r="E398" s="4">
        <v>0</v>
      </c>
      <c r="F398" s="4">
        <v>0</v>
      </c>
      <c r="G398" s="4">
        <v>0</v>
      </c>
      <c r="H398" s="4">
        <v>1</v>
      </c>
      <c r="I398" s="4">
        <v>0</v>
      </c>
      <c r="J398" s="4">
        <v>0</v>
      </c>
      <c r="K398" s="2" t="s">
        <v>80</v>
      </c>
    </row>
    <row r="399" spans="1:11" x14ac:dyDescent="0.2">
      <c r="A399" s="4">
        <v>10</v>
      </c>
      <c r="B399" s="4">
        <v>12</v>
      </c>
      <c r="C399" s="4">
        <v>24</v>
      </c>
      <c r="D399" s="4">
        <v>24</v>
      </c>
      <c r="E399" s="4">
        <v>0</v>
      </c>
      <c r="F399" s="4">
        <v>1</v>
      </c>
      <c r="G399" s="4">
        <v>1</v>
      </c>
      <c r="H399" s="4">
        <v>0</v>
      </c>
      <c r="I399" s="4">
        <v>0</v>
      </c>
      <c r="J399" s="4">
        <v>0</v>
      </c>
      <c r="K399" s="2" t="s">
        <v>80</v>
      </c>
    </row>
    <row r="400" spans="1:11" x14ac:dyDescent="0.2">
      <c r="A400" s="4">
        <v>10.91</v>
      </c>
      <c r="B400" s="4">
        <v>12</v>
      </c>
      <c r="C400" s="4">
        <v>25</v>
      </c>
      <c r="D400" s="4">
        <v>23</v>
      </c>
      <c r="E400" s="4">
        <v>0</v>
      </c>
      <c r="F400" s="4">
        <v>0</v>
      </c>
      <c r="G400" s="4">
        <v>0</v>
      </c>
      <c r="H400" s="4">
        <v>1</v>
      </c>
      <c r="I400" s="4">
        <v>0</v>
      </c>
      <c r="J400" s="4">
        <v>0</v>
      </c>
      <c r="K400" s="2" t="s">
        <v>80</v>
      </c>
    </row>
    <row r="401" spans="1:11" x14ac:dyDescent="0.2">
      <c r="A401" s="4">
        <v>6.25</v>
      </c>
      <c r="B401" s="4">
        <v>7</v>
      </c>
      <c r="C401" s="4">
        <v>39</v>
      </c>
      <c r="D401" s="4">
        <v>21</v>
      </c>
      <c r="E401" s="4">
        <v>0</v>
      </c>
      <c r="F401" s="4">
        <v>1</v>
      </c>
      <c r="G401" s="4">
        <v>0</v>
      </c>
      <c r="H401" s="4">
        <v>1</v>
      </c>
      <c r="I401" s="4">
        <v>0</v>
      </c>
      <c r="J401" s="4">
        <v>0</v>
      </c>
      <c r="K401" s="2" t="s">
        <v>80</v>
      </c>
    </row>
    <row r="402" spans="1:11" x14ac:dyDescent="0.2">
      <c r="A402" s="4">
        <v>15.38</v>
      </c>
      <c r="B402" s="4">
        <v>13</v>
      </c>
      <c r="C402" s="4">
        <v>25</v>
      </c>
      <c r="D402" s="4">
        <v>21</v>
      </c>
      <c r="E402" s="4">
        <v>0</v>
      </c>
      <c r="F402" s="4">
        <v>1</v>
      </c>
      <c r="G402" s="4">
        <v>1</v>
      </c>
      <c r="H402" s="4">
        <v>0</v>
      </c>
      <c r="I402" s="4">
        <v>0</v>
      </c>
      <c r="J402" s="4">
        <v>0</v>
      </c>
      <c r="K402" s="2" t="s">
        <v>80</v>
      </c>
    </row>
    <row r="403" spans="1:11" x14ac:dyDescent="0.2">
      <c r="A403" s="4">
        <v>18.89</v>
      </c>
      <c r="B403" s="4">
        <v>17</v>
      </c>
      <c r="C403" s="4">
        <v>26</v>
      </c>
      <c r="D403" s="4">
        <v>20</v>
      </c>
      <c r="E403" s="4">
        <v>0</v>
      </c>
      <c r="F403" s="4">
        <v>1</v>
      </c>
      <c r="G403" s="4">
        <v>0</v>
      </c>
      <c r="H403" s="4">
        <v>0</v>
      </c>
      <c r="I403" s="4">
        <v>0</v>
      </c>
      <c r="J403" s="4">
        <v>0</v>
      </c>
      <c r="K403" s="2" t="s">
        <v>80</v>
      </c>
    </row>
    <row r="404" spans="1:11" x14ac:dyDescent="0.2">
      <c r="A404" s="4">
        <v>3</v>
      </c>
      <c r="B404" s="4">
        <v>9</v>
      </c>
      <c r="C404" s="4">
        <v>23</v>
      </c>
      <c r="D404" s="4">
        <v>20</v>
      </c>
      <c r="E404" s="4">
        <v>1</v>
      </c>
      <c r="F404" s="4">
        <v>1</v>
      </c>
      <c r="G404" s="4">
        <v>0</v>
      </c>
      <c r="H404" s="4">
        <v>1</v>
      </c>
      <c r="I404" s="4">
        <v>0</v>
      </c>
      <c r="J404" s="4">
        <v>0</v>
      </c>
      <c r="K404" s="2" t="s">
        <v>80</v>
      </c>
    </row>
    <row r="405" spans="1:11" x14ac:dyDescent="0.2">
      <c r="A405" s="4">
        <v>11.9</v>
      </c>
      <c r="B405" s="4">
        <v>13</v>
      </c>
      <c r="C405" s="4">
        <v>24</v>
      </c>
      <c r="D405" s="4">
        <v>19</v>
      </c>
      <c r="E405" s="4">
        <v>0</v>
      </c>
      <c r="F405" s="4">
        <v>1</v>
      </c>
      <c r="G405" s="4">
        <v>0</v>
      </c>
      <c r="H405" s="4">
        <v>0</v>
      </c>
      <c r="I405" s="4">
        <v>0</v>
      </c>
      <c r="J405" s="4">
        <v>0</v>
      </c>
      <c r="K405" s="2" t="s">
        <v>80</v>
      </c>
    </row>
    <row r="406" spans="1:11" x14ac:dyDescent="0.2">
      <c r="A406" s="4">
        <v>4</v>
      </c>
      <c r="B406" s="4">
        <v>9</v>
      </c>
      <c r="C406" s="4">
        <v>22</v>
      </c>
      <c r="D406" s="4">
        <v>18</v>
      </c>
      <c r="E406" s="4">
        <v>0</v>
      </c>
      <c r="F406" s="4">
        <v>0</v>
      </c>
      <c r="G406" s="4">
        <v>0</v>
      </c>
      <c r="H406" s="4">
        <v>1</v>
      </c>
      <c r="I406" s="4">
        <v>0</v>
      </c>
      <c r="J406" s="4">
        <v>0</v>
      </c>
      <c r="K406" s="2" t="s">
        <v>80</v>
      </c>
    </row>
    <row r="407" spans="1:11" x14ac:dyDescent="0.2">
      <c r="A407" s="4">
        <v>12.5</v>
      </c>
      <c r="B407" s="4">
        <v>17</v>
      </c>
      <c r="C407" s="4">
        <v>21</v>
      </c>
      <c r="D407" s="4">
        <v>18</v>
      </c>
      <c r="E407" s="4">
        <v>0</v>
      </c>
      <c r="F407" s="4">
        <v>1</v>
      </c>
      <c r="G407" s="4">
        <v>0</v>
      </c>
      <c r="H407" s="4">
        <v>0</v>
      </c>
      <c r="I407" s="4">
        <v>0</v>
      </c>
      <c r="J407" s="4">
        <v>0</v>
      </c>
      <c r="K407" s="2" t="s">
        <v>80</v>
      </c>
    </row>
    <row r="408" spans="1:11" x14ac:dyDescent="0.2">
      <c r="A408" s="4">
        <v>9.68</v>
      </c>
      <c r="B408" s="4">
        <v>13</v>
      </c>
      <c r="C408" s="4">
        <v>16</v>
      </c>
      <c r="D408" s="4">
        <v>16</v>
      </c>
      <c r="E408" s="4">
        <v>1</v>
      </c>
      <c r="F408" s="4">
        <v>0</v>
      </c>
      <c r="G408" s="4">
        <v>0</v>
      </c>
      <c r="H408" s="4">
        <v>0</v>
      </c>
      <c r="I408" s="4">
        <v>1</v>
      </c>
      <c r="J408" s="4">
        <v>0</v>
      </c>
      <c r="K408" s="2" t="s">
        <v>80</v>
      </c>
    </row>
    <row r="409" spans="1:11" x14ac:dyDescent="0.2">
      <c r="A409" s="4">
        <v>5.6</v>
      </c>
      <c r="B409" s="4">
        <v>15</v>
      </c>
      <c r="C409" s="4">
        <v>31</v>
      </c>
      <c r="D409" s="4">
        <v>15</v>
      </c>
      <c r="E409" s="4">
        <v>1</v>
      </c>
      <c r="F409" s="4">
        <v>0</v>
      </c>
      <c r="G409" s="4">
        <v>1</v>
      </c>
      <c r="H409" s="4">
        <v>0</v>
      </c>
      <c r="I409" s="4">
        <v>0</v>
      </c>
      <c r="J409" s="4">
        <v>0</v>
      </c>
      <c r="K409" s="2" t="s">
        <v>80</v>
      </c>
    </row>
    <row r="410" spans="1:11" x14ac:dyDescent="0.2">
      <c r="A410" s="4">
        <v>3.4</v>
      </c>
      <c r="B410" s="4">
        <v>12</v>
      </c>
      <c r="C410" s="4">
        <v>26</v>
      </c>
      <c r="D410" s="4">
        <v>15</v>
      </c>
      <c r="E410" s="4">
        <v>1</v>
      </c>
      <c r="F410" s="4">
        <v>1</v>
      </c>
      <c r="G410" s="4">
        <v>1</v>
      </c>
      <c r="H410" s="4">
        <v>0</v>
      </c>
      <c r="I410" s="4">
        <v>0</v>
      </c>
      <c r="J410" s="4">
        <v>1</v>
      </c>
      <c r="K410" s="2" t="s">
        <v>80</v>
      </c>
    </row>
    <row r="411" spans="1:11" x14ac:dyDescent="0.2">
      <c r="A411" s="4">
        <v>5.2</v>
      </c>
      <c r="B411" s="4">
        <v>6</v>
      </c>
      <c r="C411" s="9">
        <v>43.93</v>
      </c>
      <c r="D411" s="4">
        <v>13</v>
      </c>
      <c r="E411" s="4">
        <v>0</v>
      </c>
      <c r="F411" s="4">
        <v>1</v>
      </c>
      <c r="G411" s="4">
        <v>0</v>
      </c>
      <c r="H411" s="4">
        <v>1</v>
      </c>
      <c r="I411" s="4">
        <v>0</v>
      </c>
      <c r="J411" s="4">
        <v>1</v>
      </c>
      <c r="K411" s="2" t="s">
        <v>80</v>
      </c>
    </row>
    <row r="412" spans="1:11" x14ac:dyDescent="0.2">
      <c r="A412" s="4">
        <v>3.75</v>
      </c>
      <c r="B412" s="4">
        <v>2</v>
      </c>
      <c r="C412" s="4">
        <v>39</v>
      </c>
      <c r="D412" s="4">
        <v>13</v>
      </c>
      <c r="E412" s="4">
        <v>0</v>
      </c>
      <c r="F412" s="4">
        <v>1</v>
      </c>
      <c r="G412" s="4">
        <v>0</v>
      </c>
      <c r="H412" s="4">
        <v>1</v>
      </c>
      <c r="I412" s="4">
        <v>0</v>
      </c>
      <c r="J412" s="4">
        <v>0</v>
      </c>
      <c r="K412" s="2" t="s">
        <v>80</v>
      </c>
    </row>
    <row r="413" spans="1:11" x14ac:dyDescent="0.2">
      <c r="A413" s="4">
        <v>8.4499999999999993</v>
      </c>
      <c r="B413" s="4">
        <v>12</v>
      </c>
      <c r="C413" s="4">
        <v>19</v>
      </c>
      <c r="D413" s="4">
        <v>13</v>
      </c>
      <c r="E413" s="4">
        <v>0</v>
      </c>
      <c r="F413" s="4">
        <v>1</v>
      </c>
      <c r="G413" s="4">
        <v>0</v>
      </c>
      <c r="H413" s="4">
        <v>0</v>
      </c>
      <c r="I413" s="4">
        <v>0</v>
      </c>
      <c r="J413" s="4">
        <v>0</v>
      </c>
      <c r="K413" s="2" t="s">
        <v>80</v>
      </c>
    </row>
    <row r="414" spans="1:11" x14ac:dyDescent="0.2">
      <c r="A414" s="4">
        <v>3.37</v>
      </c>
      <c r="B414" s="4">
        <v>11</v>
      </c>
      <c r="C414" s="9">
        <v>43.93</v>
      </c>
      <c r="D414" s="4">
        <v>12</v>
      </c>
      <c r="E414" s="4">
        <v>0</v>
      </c>
      <c r="F414" s="4">
        <v>1</v>
      </c>
      <c r="G414" s="4">
        <v>0</v>
      </c>
      <c r="H414" s="4">
        <v>0</v>
      </c>
      <c r="I414" s="4">
        <v>0</v>
      </c>
      <c r="J414" s="4">
        <v>0</v>
      </c>
      <c r="K414" s="2" t="s">
        <v>80</v>
      </c>
    </row>
    <row r="415" spans="1:11" x14ac:dyDescent="0.2">
      <c r="A415" s="4">
        <v>4</v>
      </c>
      <c r="B415" s="4">
        <v>10</v>
      </c>
      <c r="C415" s="4">
        <v>34</v>
      </c>
      <c r="D415" s="4">
        <v>12</v>
      </c>
      <c r="E415" s="4">
        <v>0</v>
      </c>
      <c r="F415" s="4">
        <v>1</v>
      </c>
      <c r="G415" s="4">
        <v>1</v>
      </c>
      <c r="H415" s="4">
        <v>0</v>
      </c>
      <c r="I415" s="4">
        <v>0</v>
      </c>
      <c r="J415" s="4">
        <v>0</v>
      </c>
      <c r="K415" s="2" t="s">
        <v>80</v>
      </c>
    </row>
    <row r="416" spans="1:11" x14ac:dyDescent="0.2">
      <c r="A416" s="4">
        <v>7.6</v>
      </c>
      <c r="B416" s="4">
        <v>12</v>
      </c>
      <c r="C416" s="4">
        <v>41</v>
      </c>
      <c r="D416" s="4">
        <v>11</v>
      </c>
      <c r="E416" s="4">
        <v>1</v>
      </c>
      <c r="F416" s="4">
        <v>0</v>
      </c>
      <c r="G416" s="4">
        <v>1</v>
      </c>
      <c r="H416" s="4">
        <v>0</v>
      </c>
      <c r="I416" s="4">
        <v>0</v>
      </c>
      <c r="J416" s="4">
        <v>0</v>
      </c>
      <c r="K416" s="2" t="s">
        <v>80</v>
      </c>
    </row>
    <row r="417" spans="1:11" x14ac:dyDescent="0.2">
      <c r="A417" s="4">
        <v>10</v>
      </c>
      <c r="B417" s="4">
        <v>14</v>
      </c>
      <c r="C417" s="4">
        <v>28</v>
      </c>
      <c r="D417" s="4">
        <v>11</v>
      </c>
      <c r="E417" s="4">
        <v>1</v>
      </c>
      <c r="F417" s="4">
        <v>1</v>
      </c>
      <c r="G417" s="4">
        <v>0</v>
      </c>
      <c r="H417" s="4">
        <v>1</v>
      </c>
      <c r="I417" s="4">
        <v>0</v>
      </c>
      <c r="J417" s="4">
        <v>0</v>
      </c>
      <c r="K417" s="2" t="s">
        <v>80</v>
      </c>
    </row>
    <row r="418" spans="1:11" x14ac:dyDescent="0.2">
      <c r="A418" s="4">
        <v>4</v>
      </c>
      <c r="B418" s="4">
        <v>12</v>
      </c>
      <c r="C418" s="4">
        <v>22</v>
      </c>
      <c r="D418" s="4">
        <v>11</v>
      </c>
      <c r="E418" s="4">
        <v>1</v>
      </c>
      <c r="F418" s="4">
        <v>1</v>
      </c>
      <c r="G418" s="4">
        <v>1</v>
      </c>
      <c r="H418" s="4">
        <v>0</v>
      </c>
      <c r="I418" s="4">
        <v>0</v>
      </c>
      <c r="J418" s="4">
        <v>0</v>
      </c>
      <c r="K418" s="2" t="s">
        <v>80</v>
      </c>
    </row>
    <row r="419" spans="1:11" x14ac:dyDescent="0.2">
      <c r="A419" s="4">
        <v>9.33</v>
      </c>
      <c r="B419" s="4">
        <v>14</v>
      </c>
      <c r="C419" s="4">
        <v>12</v>
      </c>
      <c r="D419" s="4">
        <v>11</v>
      </c>
      <c r="E419" s="4">
        <v>0</v>
      </c>
      <c r="F419" s="4">
        <v>1</v>
      </c>
      <c r="G419" s="4">
        <v>0</v>
      </c>
      <c r="H419" s="4">
        <v>0</v>
      </c>
      <c r="I419" s="4">
        <v>0</v>
      </c>
      <c r="J419" s="4">
        <v>0</v>
      </c>
      <c r="K419" s="2" t="s">
        <v>80</v>
      </c>
    </row>
    <row r="420" spans="1:11" x14ac:dyDescent="0.2">
      <c r="A420" s="4">
        <v>6.08</v>
      </c>
      <c r="B420" s="4">
        <v>16</v>
      </c>
      <c r="C420" s="4">
        <v>42</v>
      </c>
      <c r="D420" s="4">
        <v>10</v>
      </c>
      <c r="E420" s="4">
        <v>0</v>
      </c>
      <c r="F420" s="4">
        <v>0</v>
      </c>
      <c r="G420" s="4">
        <v>1</v>
      </c>
      <c r="H420" s="4">
        <v>0</v>
      </c>
      <c r="I420" s="4">
        <v>0</v>
      </c>
      <c r="J420" s="4">
        <v>0</v>
      </c>
      <c r="K420" s="2" t="s">
        <v>80</v>
      </c>
    </row>
    <row r="421" spans="1:11" x14ac:dyDescent="0.2">
      <c r="A421" s="4">
        <v>6.67</v>
      </c>
      <c r="B421" s="4">
        <v>12</v>
      </c>
      <c r="C421" s="4">
        <v>35</v>
      </c>
      <c r="D421" s="4">
        <v>10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2" t="s">
        <v>80</v>
      </c>
    </row>
    <row r="422" spans="1:11" x14ac:dyDescent="0.2">
      <c r="A422" s="4">
        <v>4.5</v>
      </c>
      <c r="B422" s="4">
        <v>16</v>
      </c>
      <c r="C422" s="4">
        <v>21</v>
      </c>
      <c r="D422" s="4">
        <v>10</v>
      </c>
      <c r="E422" s="4">
        <v>0</v>
      </c>
      <c r="F422" s="4">
        <v>1</v>
      </c>
      <c r="G422" s="4">
        <v>0</v>
      </c>
      <c r="H422" s="4">
        <v>1</v>
      </c>
      <c r="I422" s="4">
        <v>0</v>
      </c>
      <c r="J422" s="4">
        <v>0</v>
      </c>
      <c r="K422" s="2" t="s">
        <v>80</v>
      </c>
    </row>
    <row r="423" spans="1:11" x14ac:dyDescent="0.2">
      <c r="A423" s="4">
        <v>6.8</v>
      </c>
      <c r="B423" s="4">
        <v>12</v>
      </c>
      <c r="C423" s="4">
        <v>14</v>
      </c>
      <c r="D423" s="4">
        <v>10</v>
      </c>
      <c r="E423" s="4">
        <v>0</v>
      </c>
      <c r="F423" s="4">
        <v>1</v>
      </c>
      <c r="G423" s="4">
        <v>0</v>
      </c>
      <c r="H423" s="4">
        <v>1</v>
      </c>
      <c r="I423" s="4">
        <v>0</v>
      </c>
      <c r="J423" s="4">
        <v>0</v>
      </c>
      <c r="K423" s="2" t="s">
        <v>80</v>
      </c>
    </row>
    <row r="424" spans="1:11" x14ac:dyDescent="0.2">
      <c r="A424" s="4">
        <v>3</v>
      </c>
      <c r="B424" s="4">
        <v>12</v>
      </c>
      <c r="C424" s="4">
        <v>26</v>
      </c>
      <c r="D424" s="4">
        <v>9</v>
      </c>
      <c r="E424" s="4">
        <v>1</v>
      </c>
      <c r="F424" s="4">
        <v>1</v>
      </c>
      <c r="G424" s="4">
        <v>0</v>
      </c>
      <c r="H424" s="4">
        <v>1</v>
      </c>
      <c r="I424" s="4">
        <v>0</v>
      </c>
      <c r="J424" s="4">
        <v>0</v>
      </c>
      <c r="K424" s="2" t="s">
        <v>80</v>
      </c>
    </row>
    <row r="425" spans="1:11" x14ac:dyDescent="0.2">
      <c r="A425" s="4">
        <v>6.22</v>
      </c>
      <c r="B425" s="4">
        <v>12</v>
      </c>
      <c r="C425" s="4">
        <v>19</v>
      </c>
      <c r="D425" s="4">
        <v>9</v>
      </c>
      <c r="E425" s="4">
        <v>1</v>
      </c>
      <c r="F425" s="4">
        <v>1</v>
      </c>
      <c r="G425" s="4">
        <v>1</v>
      </c>
      <c r="H425" s="4">
        <v>0</v>
      </c>
      <c r="I425" s="4">
        <v>0</v>
      </c>
      <c r="J425" s="4">
        <v>0</v>
      </c>
      <c r="K425" s="2" t="s">
        <v>80</v>
      </c>
    </row>
    <row r="426" spans="1:11" x14ac:dyDescent="0.2">
      <c r="A426" s="4">
        <v>5.95</v>
      </c>
      <c r="B426" s="4">
        <v>11</v>
      </c>
      <c r="C426" s="4">
        <v>15</v>
      </c>
      <c r="D426" s="4">
        <v>9</v>
      </c>
      <c r="E426" s="4">
        <v>0</v>
      </c>
      <c r="F426" s="4">
        <v>1</v>
      </c>
      <c r="G426" s="4">
        <v>0</v>
      </c>
      <c r="H426" s="4">
        <v>1</v>
      </c>
      <c r="I426" s="4">
        <v>0</v>
      </c>
      <c r="J426" s="4">
        <v>1</v>
      </c>
      <c r="K426" s="2" t="s">
        <v>80</v>
      </c>
    </row>
    <row r="427" spans="1:11" x14ac:dyDescent="0.2">
      <c r="A427" s="4">
        <v>14.38</v>
      </c>
      <c r="B427" s="4">
        <v>17</v>
      </c>
      <c r="C427" s="4">
        <v>10</v>
      </c>
      <c r="D427" s="4">
        <v>9</v>
      </c>
      <c r="E427" s="4">
        <v>0</v>
      </c>
      <c r="F427" s="4">
        <v>1</v>
      </c>
      <c r="G427" s="4">
        <v>0</v>
      </c>
      <c r="H427" s="4">
        <v>1</v>
      </c>
      <c r="I427" s="4">
        <v>0</v>
      </c>
      <c r="J427" s="4">
        <v>0</v>
      </c>
      <c r="K427" s="2" t="s">
        <v>80</v>
      </c>
    </row>
    <row r="428" spans="1:11" x14ac:dyDescent="0.2">
      <c r="A428" s="4">
        <v>4.5</v>
      </c>
      <c r="B428" s="4">
        <v>11</v>
      </c>
      <c r="C428" s="4">
        <v>3</v>
      </c>
      <c r="D428" s="4">
        <v>9</v>
      </c>
      <c r="E428" s="4">
        <v>0</v>
      </c>
      <c r="F428" s="4">
        <v>0</v>
      </c>
      <c r="G428" s="4">
        <v>0</v>
      </c>
      <c r="H428" s="4">
        <v>1</v>
      </c>
      <c r="I428" s="4">
        <v>0</v>
      </c>
      <c r="J428" s="4">
        <v>1</v>
      </c>
      <c r="K428" s="2" t="s">
        <v>80</v>
      </c>
    </row>
    <row r="429" spans="1:11" x14ac:dyDescent="0.2">
      <c r="A429" s="4">
        <v>6</v>
      </c>
      <c r="B429" s="4">
        <v>11</v>
      </c>
      <c r="C429" s="4">
        <v>37</v>
      </c>
      <c r="D429" s="4">
        <v>8</v>
      </c>
      <c r="E429" s="4">
        <v>1</v>
      </c>
      <c r="F429" s="4">
        <v>0</v>
      </c>
      <c r="G429" s="4">
        <v>0</v>
      </c>
      <c r="H429" s="4">
        <v>0</v>
      </c>
      <c r="I429" s="4">
        <v>1</v>
      </c>
      <c r="J429" s="4">
        <v>0</v>
      </c>
      <c r="K429" s="2" t="s">
        <v>80</v>
      </c>
    </row>
    <row r="430" spans="1:11" x14ac:dyDescent="0.2">
      <c r="A430" s="4">
        <v>6</v>
      </c>
      <c r="B430" s="4">
        <v>12</v>
      </c>
      <c r="C430" s="4">
        <v>22</v>
      </c>
      <c r="D430" s="4">
        <v>8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2" t="s">
        <v>80</v>
      </c>
    </row>
    <row r="431" spans="1:11" x14ac:dyDescent="0.2">
      <c r="A431" s="4">
        <v>5.6</v>
      </c>
      <c r="B431" s="4">
        <v>11</v>
      </c>
      <c r="C431" s="4">
        <v>11</v>
      </c>
      <c r="D431" s="4">
        <v>8</v>
      </c>
      <c r="E431" s="4">
        <v>0</v>
      </c>
      <c r="F431" s="4">
        <v>1</v>
      </c>
      <c r="G431" s="4">
        <v>0</v>
      </c>
      <c r="H431" s="4">
        <v>1</v>
      </c>
      <c r="I431" s="4">
        <v>0</v>
      </c>
      <c r="J431" s="4">
        <v>0</v>
      </c>
      <c r="K431" s="2" t="s">
        <v>80</v>
      </c>
    </row>
    <row r="432" spans="1:11" x14ac:dyDescent="0.2">
      <c r="A432" s="4">
        <v>2.9</v>
      </c>
      <c r="B432" s="4">
        <v>6</v>
      </c>
      <c r="C432" s="9">
        <v>43.93</v>
      </c>
      <c r="D432" s="4">
        <v>7</v>
      </c>
      <c r="E432" s="4">
        <v>0</v>
      </c>
      <c r="F432" s="4">
        <v>1</v>
      </c>
      <c r="G432" s="4">
        <v>0</v>
      </c>
      <c r="H432" s="4">
        <v>1</v>
      </c>
      <c r="I432" s="4">
        <v>0</v>
      </c>
      <c r="J432" s="4">
        <v>0</v>
      </c>
      <c r="K432" s="2" t="s">
        <v>80</v>
      </c>
    </row>
    <row r="433" spans="1:11" x14ac:dyDescent="0.2">
      <c r="A433" s="4">
        <v>5.25</v>
      </c>
      <c r="B433" s="4">
        <v>10</v>
      </c>
      <c r="C433" s="9">
        <v>43.93</v>
      </c>
      <c r="D433" s="4">
        <v>7</v>
      </c>
      <c r="E433" s="4">
        <v>0</v>
      </c>
      <c r="F433" s="4">
        <v>1</v>
      </c>
      <c r="G433" s="4">
        <v>1</v>
      </c>
      <c r="H433" s="4">
        <v>0</v>
      </c>
      <c r="I433" s="4">
        <v>0</v>
      </c>
      <c r="J433" s="4">
        <v>0</v>
      </c>
      <c r="K433" s="2" t="s">
        <v>80</v>
      </c>
    </row>
    <row r="434" spans="1:11" x14ac:dyDescent="0.2">
      <c r="A434" s="4">
        <v>18</v>
      </c>
      <c r="B434" s="4">
        <v>16</v>
      </c>
      <c r="C434" s="4">
        <v>16</v>
      </c>
      <c r="D434" s="4">
        <v>7</v>
      </c>
      <c r="E434" s="4">
        <v>0</v>
      </c>
      <c r="F434" s="4">
        <v>1</v>
      </c>
      <c r="G434" s="4">
        <v>0</v>
      </c>
      <c r="H434" s="4">
        <v>0</v>
      </c>
      <c r="I434" s="4">
        <v>0</v>
      </c>
      <c r="J434" s="4">
        <v>0</v>
      </c>
      <c r="K434" s="2" t="s">
        <v>80</v>
      </c>
    </row>
    <row r="435" spans="1:11" x14ac:dyDescent="0.2">
      <c r="A435" s="4">
        <v>14.58</v>
      </c>
      <c r="B435" s="4">
        <v>18</v>
      </c>
      <c r="C435" s="4">
        <v>13</v>
      </c>
      <c r="D435" s="4">
        <v>7</v>
      </c>
      <c r="E435" s="4">
        <v>1</v>
      </c>
      <c r="F435" s="4">
        <v>0</v>
      </c>
      <c r="G435" s="4">
        <v>1</v>
      </c>
      <c r="H435" s="4">
        <v>0</v>
      </c>
      <c r="I435" s="4">
        <v>0</v>
      </c>
      <c r="J435" s="4">
        <v>0</v>
      </c>
      <c r="K435" s="2" t="s">
        <v>80</v>
      </c>
    </row>
    <row r="436" spans="1:11" x14ac:dyDescent="0.2">
      <c r="A436" s="4">
        <v>3.95</v>
      </c>
      <c r="B436" s="4">
        <v>6</v>
      </c>
      <c r="C436" s="9">
        <v>43.93</v>
      </c>
      <c r="D436" s="4">
        <v>6</v>
      </c>
      <c r="E436" s="4">
        <v>0</v>
      </c>
      <c r="F436" s="4">
        <v>1</v>
      </c>
      <c r="G436" s="4">
        <v>0</v>
      </c>
      <c r="H436" s="4">
        <v>1</v>
      </c>
      <c r="I436" s="4">
        <v>0</v>
      </c>
      <c r="J436" s="4">
        <v>0</v>
      </c>
      <c r="K436" s="2" t="s">
        <v>80</v>
      </c>
    </row>
    <row r="437" spans="1:11" x14ac:dyDescent="0.2">
      <c r="A437" s="4">
        <v>10.63</v>
      </c>
      <c r="B437" s="4">
        <v>12</v>
      </c>
      <c r="C437" s="4">
        <v>36</v>
      </c>
      <c r="D437" s="4">
        <v>6</v>
      </c>
      <c r="E437" s="4">
        <v>1</v>
      </c>
      <c r="F437" s="4">
        <v>1</v>
      </c>
      <c r="G437" s="4">
        <v>0</v>
      </c>
      <c r="H437" s="4">
        <v>0</v>
      </c>
      <c r="I437" s="4">
        <v>1</v>
      </c>
      <c r="J437" s="4">
        <v>0</v>
      </c>
      <c r="K437" s="2" t="s">
        <v>80</v>
      </c>
    </row>
    <row r="438" spans="1:11" x14ac:dyDescent="0.2">
      <c r="A438" s="4">
        <v>2</v>
      </c>
      <c r="B438" s="4">
        <v>13</v>
      </c>
      <c r="C438" s="4">
        <v>2</v>
      </c>
      <c r="D438" s="4">
        <v>6</v>
      </c>
      <c r="E438" s="4">
        <v>1</v>
      </c>
      <c r="F438" s="4">
        <v>0</v>
      </c>
      <c r="G438" s="4">
        <v>1</v>
      </c>
      <c r="H438" s="4">
        <v>0</v>
      </c>
      <c r="I438" s="4">
        <v>0</v>
      </c>
      <c r="J438" s="4">
        <v>0</v>
      </c>
      <c r="K438" s="2" t="s">
        <v>80</v>
      </c>
    </row>
    <row r="439" spans="1:11" x14ac:dyDescent="0.2">
      <c r="A439" s="4">
        <v>10.92</v>
      </c>
      <c r="B439" s="4">
        <v>12</v>
      </c>
      <c r="C439" s="4">
        <v>34</v>
      </c>
      <c r="D439" s="4">
        <v>5</v>
      </c>
      <c r="E439" s="4">
        <v>0</v>
      </c>
      <c r="F439" s="4">
        <v>1</v>
      </c>
      <c r="G439" s="4">
        <v>0</v>
      </c>
      <c r="H439" s="4">
        <v>1</v>
      </c>
      <c r="I439" s="4">
        <v>0</v>
      </c>
      <c r="J439" s="4">
        <v>0</v>
      </c>
      <c r="K439" s="2" t="s">
        <v>80</v>
      </c>
    </row>
    <row r="440" spans="1:11" x14ac:dyDescent="0.2">
      <c r="A440" s="4">
        <v>10</v>
      </c>
      <c r="B440" s="4">
        <v>12</v>
      </c>
      <c r="C440" s="4">
        <v>20</v>
      </c>
      <c r="D440" s="4">
        <v>5</v>
      </c>
      <c r="E440" s="4">
        <v>1</v>
      </c>
      <c r="F440" s="4">
        <v>1</v>
      </c>
      <c r="G440" s="4">
        <v>0</v>
      </c>
      <c r="H440" s="4">
        <v>0</v>
      </c>
      <c r="I440" s="4">
        <v>1</v>
      </c>
      <c r="J440" s="4">
        <v>0</v>
      </c>
      <c r="K440" s="2" t="s">
        <v>80</v>
      </c>
    </row>
    <row r="441" spans="1:11" x14ac:dyDescent="0.2">
      <c r="A441" s="4">
        <v>7.5</v>
      </c>
      <c r="B441" s="4">
        <v>12</v>
      </c>
      <c r="C441" s="4">
        <v>18</v>
      </c>
      <c r="D441" s="4">
        <v>5</v>
      </c>
      <c r="E441" s="4">
        <v>0</v>
      </c>
      <c r="F441" s="4">
        <v>1</v>
      </c>
      <c r="G441" s="4">
        <v>0</v>
      </c>
      <c r="H441" s="4">
        <v>0</v>
      </c>
      <c r="I441" s="4">
        <v>1</v>
      </c>
      <c r="J441" s="4">
        <v>0</v>
      </c>
      <c r="K441" s="2" t="s">
        <v>80</v>
      </c>
    </row>
    <row r="442" spans="1:11" x14ac:dyDescent="0.2">
      <c r="A442" s="4">
        <v>7.25</v>
      </c>
      <c r="B442" s="4">
        <v>12</v>
      </c>
      <c r="C442" s="4">
        <v>14</v>
      </c>
      <c r="D442" s="4">
        <v>5</v>
      </c>
      <c r="E442" s="4">
        <v>0</v>
      </c>
      <c r="F442" s="4">
        <v>1</v>
      </c>
      <c r="G442" s="4">
        <v>0</v>
      </c>
      <c r="H442" s="4">
        <v>0</v>
      </c>
      <c r="I442" s="4">
        <v>1</v>
      </c>
      <c r="J442" s="4">
        <v>0</v>
      </c>
      <c r="K442" s="2" t="s">
        <v>80</v>
      </c>
    </row>
    <row r="443" spans="1:11" x14ac:dyDescent="0.2">
      <c r="A443" s="4">
        <v>3.45</v>
      </c>
      <c r="B443" s="4">
        <v>12</v>
      </c>
      <c r="C443" s="4">
        <v>6</v>
      </c>
      <c r="D443" s="4">
        <v>5</v>
      </c>
      <c r="E443" s="4">
        <v>1</v>
      </c>
      <c r="F443" s="4">
        <v>1</v>
      </c>
      <c r="G443" s="4">
        <v>0</v>
      </c>
      <c r="H443" s="4">
        <v>1</v>
      </c>
      <c r="I443" s="4">
        <v>0</v>
      </c>
      <c r="J443" s="4">
        <v>0</v>
      </c>
      <c r="K443" s="2" t="s">
        <v>80</v>
      </c>
    </row>
    <row r="444" spans="1:11" x14ac:dyDescent="0.2">
      <c r="A444" s="4">
        <v>3.6</v>
      </c>
      <c r="B444" s="4">
        <v>12</v>
      </c>
      <c r="C444" s="4">
        <v>26</v>
      </c>
      <c r="D444" s="4">
        <v>4</v>
      </c>
      <c r="E444" s="4">
        <v>1</v>
      </c>
      <c r="F444" s="4">
        <v>0</v>
      </c>
      <c r="G444" s="4">
        <v>0</v>
      </c>
      <c r="H444" s="4">
        <v>0</v>
      </c>
      <c r="I444" s="4">
        <v>1</v>
      </c>
      <c r="J444" s="4">
        <v>0</v>
      </c>
      <c r="K444" s="2" t="s">
        <v>80</v>
      </c>
    </row>
    <row r="445" spans="1:11" x14ac:dyDescent="0.2">
      <c r="A445" s="4">
        <v>8</v>
      </c>
      <c r="B445" s="4">
        <v>16</v>
      </c>
      <c r="C445" s="4">
        <v>23</v>
      </c>
      <c r="D445" s="4">
        <v>4</v>
      </c>
      <c r="E445" s="4">
        <v>0</v>
      </c>
      <c r="F445" s="4">
        <v>0</v>
      </c>
      <c r="G445" s="4">
        <v>1</v>
      </c>
      <c r="H445" s="4">
        <v>0</v>
      </c>
      <c r="I445" s="4">
        <v>0</v>
      </c>
      <c r="J445" s="4">
        <v>0</v>
      </c>
      <c r="K445" s="2" t="s">
        <v>80</v>
      </c>
    </row>
    <row r="446" spans="1:11" x14ac:dyDescent="0.2">
      <c r="A446" s="4">
        <v>5.5</v>
      </c>
      <c r="B446" s="4">
        <v>12</v>
      </c>
      <c r="C446" s="4">
        <v>9</v>
      </c>
      <c r="D446" s="4">
        <v>4</v>
      </c>
      <c r="E446" s="4">
        <v>0</v>
      </c>
      <c r="F446" s="4">
        <v>1</v>
      </c>
      <c r="G446" s="4">
        <v>0</v>
      </c>
      <c r="H446" s="4">
        <v>1</v>
      </c>
      <c r="I446" s="4">
        <v>0</v>
      </c>
      <c r="J446" s="4">
        <v>0</v>
      </c>
      <c r="K446" s="2" t="s">
        <v>80</v>
      </c>
    </row>
    <row r="447" spans="1:11" x14ac:dyDescent="0.2">
      <c r="A447" s="4">
        <v>4.05</v>
      </c>
      <c r="B447" s="4">
        <v>9</v>
      </c>
      <c r="C447" s="4">
        <v>7</v>
      </c>
      <c r="D447" s="4">
        <v>4</v>
      </c>
      <c r="E447" s="4">
        <v>1</v>
      </c>
      <c r="F447" s="4">
        <v>1</v>
      </c>
      <c r="G447" s="4">
        <v>0</v>
      </c>
      <c r="H447" s="4">
        <v>1</v>
      </c>
      <c r="I447" s="4">
        <v>0</v>
      </c>
      <c r="J447" s="4">
        <v>0</v>
      </c>
      <c r="K447" s="2" t="s">
        <v>80</v>
      </c>
    </row>
    <row r="448" spans="1:11" x14ac:dyDescent="0.2">
      <c r="A448" s="4">
        <v>8.75</v>
      </c>
      <c r="B448" s="4">
        <v>12</v>
      </c>
      <c r="C448" s="4">
        <v>4</v>
      </c>
      <c r="D448" s="4">
        <v>4</v>
      </c>
      <c r="E448" s="4">
        <v>0</v>
      </c>
      <c r="F448" s="4">
        <v>1</v>
      </c>
      <c r="G448" s="4">
        <v>0</v>
      </c>
      <c r="H448" s="4">
        <v>1</v>
      </c>
      <c r="I448" s="4">
        <v>0</v>
      </c>
      <c r="J448" s="4">
        <v>0</v>
      </c>
      <c r="K448" s="2" t="s">
        <v>80</v>
      </c>
    </row>
    <row r="449" spans="1:11" x14ac:dyDescent="0.2">
      <c r="A449" s="4">
        <v>2.17</v>
      </c>
      <c r="B449" s="4">
        <v>13</v>
      </c>
      <c r="C449" s="4">
        <v>1</v>
      </c>
      <c r="D449" s="4">
        <v>4</v>
      </c>
      <c r="E449" s="4">
        <v>1</v>
      </c>
      <c r="F449" s="4">
        <v>0</v>
      </c>
      <c r="G449" s="4">
        <v>1</v>
      </c>
      <c r="H449" s="4">
        <v>0</v>
      </c>
      <c r="I449" s="4">
        <v>0</v>
      </c>
      <c r="J449" s="4">
        <v>0</v>
      </c>
      <c r="K449" s="2" t="s">
        <v>80</v>
      </c>
    </row>
    <row r="450" spans="1:11" x14ac:dyDescent="0.2">
      <c r="A450" s="4">
        <v>11.1</v>
      </c>
      <c r="B450" s="4">
        <v>15</v>
      </c>
      <c r="C450" s="4">
        <v>1</v>
      </c>
      <c r="D450" s="4">
        <v>4</v>
      </c>
      <c r="E450" s="4">
        <v>1</v>
      </c>
      <c r="F450" s="4">
        <v>0</v>
      </c>
      <c r="G450" s="4">
        <v>0</v>
      </c>
      <c r="H450" s="4">
        <v>1</v>
      </c>
      <c r="I450" s="4">
        <v>0</v>
      </c>
      <c r="J450" s="4">
        <v>0</v>
      </c>
      <c r="K450" s="2" t="s">
        <v>80</v>
      </c>
    </row>
    <row r="451" spans="1:11" x14ac:dyDescent="0.2">
      <c r="A451" s="4">
        <v>1.96</v>
      </c>
      <c r="B451" s="4">
        <v>11</v>
      </c>
      <c r="C451" s="4">
        <v>38</v>
      </c>
      <c r="D451" s="4">
        <v>3</v>
      </c>
      <c r="E451" s="4">
        <v>1</v>
      </c>
      <c r="F451" s="4">
        <v>0</v>
      </c>
      <c r="G451" s="4">
        <v>0</v>
      </c>
      <c r="H451" s="4">
        <v>1</v>
      </c>
      <c r="I451" s="4">
        <v>0</v>
      </c>
      <c r="J451" s="4">
        <v>0</v>
      </c>
      <c r="K451" s="2" t="s">
        <v>80</v>
      </c>
    </row>
    <row r="452" spans="1:11" x14ac:dyDescent="0.2">
      <c r="A452" s="4">
        <v>7</v>
      </c>
      <c r="B452" s="4">
        <v>16</v>
      </c>
      <c r="C452" s="4">
        <v>26</v>
      </c>
      <c r="D452" s="4">
        <v>3</v>
      </c>
      <c r="E452" s="4">
        <v>1</v>
      </c>
      <c r="F452" s="4">
        <v>1</v>
      </c>
      <c r="G452" s="4">
        <v>0</v>
      </c>
      <c r="H452" s="4">
        <v>1</v>
      </c>
      <c r="I452" s="4">
        <v>0</v>
      </c>
      <c r="J452" s="4">
        <v>0</v>
      </c>
      <c r="K452" s="2" t="s">
        <v>80</v>
      </c>
    </row>
    <row r="453" spans="1:11" x14ac:dyDescent="0.2">
      <c r="A453" s="4">
        <v>4</v>
      </c>
      <c r="B453" s="4">
        <v>12</v>
      </c>
      <c r="C453" s="4">
        <v>22</v>
      </c>
      <c r="D453" s="4">
        <v>3</v>
      </c>
      <c r="E453" s="4">
        <v>0</v>
      </c>
      <c r="F453" s="4">
        <v>1</v>
      </c>
      <c r="G453" s="4">
        <v>0</v>
      </c>
      <c r="H453" s="4">
        <v>1</v>
      </c>
      <c r="I453" s="4">
        <v>0</v>
      </c>
      <c r="J453" s="4">
        <v>0</v>
      </c>
      <c r="K453" s="2" t="s">
        <v>80</v>
      </c>
    </row>
    <row r="454" spans="1:11" x14ac:dyDescent="0.2">
      <c r="A454" s="4">
        <v>5.5</v>
      </c>
      <c r="B454" s="4">
        <v>12</v>
      </c>
      <c r="C454" s="4">
        <v>18</v>
      </c>
      <c r="D454" s="4">
        <v>3</v>
      </c>
      <c r="E454" s="4">
        <v>0</v>
      </c>
      <c r="F454" s="4">
        <v>0</v>
      </c>
      <c r="G454" s="4">
        <v>0</v>
      </c>
      <c r="H454" s="4">
        <v>0</v>
      </c>
      <c r="I454" s="4">
        <v>1</v>
      </c>
      <c r="J454" s="4">
        <v>0</v>
      </c>
      <c r="K454" s="2" t="s">
        <v>80</v>
      </c>
    </row>
    <row r="455" spans="1:11" x14ac:dyDescent="0.2">
      <c r="A455" s="4">
        <v>3.91</v>
      </c>
      <c r="B455" s="4">
        <v>18</v>
      </c>
      <c r="C455" s="4">
        <v>17</v>
      </c>
      <c r="D455" s="4">
        <v>3</v>
      </c>
      <c r="E455" s="4">
        <v>0</v>
      </c>
      <c r="F455" s="4">
        <v>1</v>
      </c>
      <c r="G455" s="4">
        <v>0</v>
      </c>
      <c r="H455" s="4">
        <v>1</v>
      </c>
      <c r="I455" s="4">
        <v>0</v>
      </c>
      <c r="J455" s="4">
        <v>0</v>
      </c>
      <c r="K455" s="2" t="s">
        <v>80</v>
      </c>
    </row>
    <row r="456" spans="1:11" x14ac:dyDescent="0.2">
      <c r="A456" s="4">
        <v>6.43</v>
      </c>
      <c r="B456" s="4">
        <v>16</v>
      </c>
      <c r="C456" s="4">
        <v>17</v>
      </c>
      <c r="D456" s="4">
        <v>3</v>
      </c>
      <c r="E456" s="4">
        <v>1</v>
      </c>
      <c r="F456" s="4">
        <v>1</v>
      </c>
      <c r="G456" s="4">
        <v>0</v>
      </c>
      <c r="H456" s="4">
        <v>1</v>
      </c>
      <c r="I456" s="4">
        <v>0</v>
      </c>
      <c r="J456" s="4">
        <v>0</v>
      </c>
      <c r="K456" s="2" t="s">
        <v>80</v>
      </c>
    </row>
    <row r="457" spans="1:11" x14ac:dyDescent="0.2">
      <c r="A457" s="4">
        <v>8</v>
      </c>
      <c r="B457" s="4">
        <v>12</v>
      </c>
      <c r="C457" s="4">
        <v>12</v>
      </c>
      <c r="D457" s="4">
        <v>3</v>
      </c>
      <c r="E457" s="4">
        <v>1</v>
      </c>
      <c r="F457" s="4">
        <v>0</v>
      </c>
      <c r="G457" s="4">
        <v>0</v>
      </c>
      <c r="H457" s="4">
        <v>1</v>
      </c>
      <c r="I457" s="4">
        <v>0</v>
      </c>
      <c r="J457" s="4">
        <v>0</v>
      </c>
      <c r="K457" s="2" t="s">
        <v>80</v>
      </c>
    </row>
    <row r="458" spans="1:11" x14ac:dyDescent="0.2">
      <c r="A458" s="4">
        <v>6.85</v>
      </c>
      <c r="B458" s="4">
        <v>15</v>
      </c>
      <c r="C458" s="4">
        <v>11</v>
      </c>
      <c r="D458" s="4">
        <v>3</v>
      </c>
      <c r="E458" s="4">
        <v>1</v>
      </c>
      <c r="F458" s="4">
        <v>1</v>
      </c>
      <c r="G458" s="4">
        <v>0</v>
      </c>
      <c r="H458" s="4">
        <v>0</v>
      </c>
      <c r="I458" s="4">
        <v>0</v>
      </c>
      <c r="J458" s="4">
        <v>0</v>
      </c>
      <c r="K458" s="2" t="s">
        <v>80</v>
      </c>
    </row>
    <row r="459" spans="1:11" x14ac:dyDescent="0.2">
      <c r="A459" s="4">
        <v>8.75</v>
      </c>
      <c r="B459" s="4">
        <v>14</v>
      </c>
      <c r="C459" s="4">
        <v>9</v>
      </c>
      <c r="D459" s="4">
        <v>3</v>
      </c>
      <c r="E459" s="4">
        <v>0</v>
      </c>
      <c r="F459" s="4">
        <v>1</v>
      </c>
      <c r="G459" s="4">
        <v>0</v>
      </c>
      <c r="H459" s="4">
        <v>0</v>
      </c>
      <c r="I459" s="4">
        <v>0</v>
      </c>
      <c r="J459" s="4">
        <v>0</v>
      </c>
      <c r="K459" s="2" t="s">
        <v>80</v>
      </c>
    </row>
    <row r="460" spans="1:11" x14ac:dyDescent="0.2">
      <c r="A460" s="4">
        <v>6.18</v>
      </c>
      <c r="B460" s="4">
        <v>14</v>
      </c>
      <c r="C460" s="4">
        <v>9</v>
      </c>
      <c r="D460" s="4">
        <v>3</v>
      </c>
      <c r="E460" s="4">
        <v>1</v>
      </c>
      <c r="F460" s="4">
        <v>1</v>
      </c>
      <c r="G460" s="4">
        <v>1</v>
      </c>
      <c r="H460" s="4">
        <v>0</v>
      </c>
      <c r="I460" s="4">
        <v>0</v>
      </c>
      <c r="J460" s="4">
        <v>0</v>
      </c>
      <c r="K460" s="2" t="s">
        <v>80</v>
      </c>
    </row>
    <row r="461" spans="1:11" x14ac:dyDescent="0.2">
      <c r="A461" s="4">
        <v>3.75</v>
      </c>
      <c r="B461" s="4">
        <v>12</v>
      </c>
      <c r="C461" s="4">
        <v>39</v>
      </c>
      <c r="D461" s="4">
        <v>2</v>
      </c>
      <c r="E461" s="4">
        <v>1</v>
      </c>
      <c r="F461" s="4">
        <v>1</v>
      </c>
      <c r="G461" s="4">
        <v>1</v>
      </c>
      <c r="H461" s="4">
        <v>0</v>
      </c>
      <c r="I461" s="4">
        <v>0</v>
      </c>
      <c r="J461" s="4">
        <v>0</v>
      </c>
      <c r="K461" s="2" t="s">
        <v>80</v>
      </c>
    </row>
    <row r="462" spans="1:11" x14ac:dyDescent="0.2">
      <c r="A462" s="4">
        <v>2.93</v>
      </c>
      <c r="B462" s="4">
        <v>12</v>
      </c>
      <c r="C462" s="4">
        <v>36</v>
      </c>
      <c r="D462" s="4">
        <v>2</v>
      </c>
      <c r="E462" s="4">
        <v>1</v>
      </c>
      <c r="F462" s="4">
        <v>1</v>
      </c>
      <c r="G462" s="4">
        <v>0</v>
      </c>
      <c r="H462" s="4">
        <v>0</v>
      </c>
      <c r="I462" s="4">
        <v>1</v>
      </c>
      <c r="J462" s="4">
        <v>0</v>
      </c>
      <c r="K462" s="2" t="s">
        <v>80</v>
      </c>
    </row>
    <row r="463" spans="1:11" x14ac:dyDescent="0.2">
      <c r="A463" s="4">
        <v>3</v>
      </c>
      <c r="B463" s="4">
        <v>8</v>
      </c>
      <c r="C463" s="4">
        <v>33</v>
      </c>
      <c r="D463" s="4">
        <v>2</v>
      </c>
      <c r="E463" s="4">
        <v>0</v>
      </c>
      <c r="F463" s="4">
        <v>1</v>
      </c>
      <c r="G463" s="4">
        <v>0</v>
      </c>
      <c r="H463" s="4">
        <v>1</v>
      </c>
      <c r="I463" s="4">
        <v>0</v>
      </c>
      <c r="J463" s="4">
        <v>0</v>
      </c>
      <c r="K463" s="2" t="s">
        <v>80</v>
      </c>
    </row>
    <row r="464" spans="1:11" x14ac:dyDescent="0.2">
      <c r="A464" s="4">
        <v>10</v>
      </c>
      <c r="B464" s="4">
        <v>12</v>
      </c>
      <c r="C464" s="4">
        <v>31</v>
      </c>
      <c r="D464" s="4">
        <v>2</v>
      </c>
      <c r="E464" s="4">
        <v>0</v>
      </c>
      <c r="F464" s="4">
        <v>1</v>
      </c>
      <c r="G464" s="4">
        <v>0</v>
      </c>
      <c r="H464" s="4">
        <v>1</v>
      </c>
      <c r="I464" s="4">
        <v>0</v>
      </c>
      <c r="J464" s="4">
        <v>0</v>
      </c>
      <c r="K464" s="2" t="s">
        <v>80</v>
      </c>
    </row>
    <row r="465" spans="1:11" x14ac:dyDescent="0.2">
      <c r="A465" s="4">
        <v>6.25</v>
      </c>
      <c r="B465" s="4">
        <v>16</v>
      </c>
      <c r="C465" s="4">
        <v>24</v>
      </c>
      <c r="D465" s="4">
        <v>2</v>
      </c>
      <c r="E465" s="4">
        <v>1</v>
      </c>
      <c r="F465" s="4">
        <v>1</v>
      </c>
      <c r="G465" s="4">
        <v>0</v>
      </c>
      <c r="H465" s="4">
        <v>0</v>
      </c>
      <c r="I465" s="4">
        <v>1</v>
      </c>
      <c r="J465" s="4">
        <v>0</v>
      </c>
      <c r="K465" s="2" t="s">
        <v>80</v>
      </c>
    </row>
    <row r="466" spans="1:11" x14ac:dyDescent="0.2">
      <c r="A466" s="4">
        <v>3.28</v>
      </c>
      <c r="B466" s="4">
        <v>12</v>
      </c>
      <c r="C466" s="4">
        <v>17</v>
      </c>
      <c r="D466" s="4">
        <v>2</v>
      </c>
      <c r="E466" s="4">
        <v>1</v>
      </c>
      <c r="F466" s="4">
        <v>0</v>
      </c>
      <c r="G466" s="4">
        <v>0</v>
      </c>
      <c r="H466" s="4">
        <v>1</v>
      </c>
      <c r="I466" s="4">
        <v>0</v>
      </c>
      <c r="J466" s="4">
        <v>0</v>
      </c>
      <c r="K466" s="2" t="s">
        <v>80</v>
      </c>
    </row>
    <row r="467" spans="1:11" x14ac:dyDescent="0.2">
      <c r="A467" s="4">
        <v>9.0500000000000007</v>
      </c>
      <c r="B467" s="4">
        <v>12</v>
      </c>
      <c r="C467" s="4">
        <v>10</v>
      </c>
      <c r="D467" s="4">
        <v>2</v>
      </c>
      <c r="E467" s="4">
        <v>0</v>
      </c>
      <c r="F467" s="4">
        <v>1</v>
      </c>
      <c r="G467" s="4">
        <v>1</v>
      </c>
      <c r="H467" s="4">
        <v>0</v>
      </c>
      <c r="I467" s="4">
        <v>0</v>
      </c>
      <c r="J467" s="4">
        <v>1</v>
      </c>
      <c r="K467" s="2" t="s">
        <v>80</v>
      </c>
    </row>
    <row r="468" spans="1:11" x14ac:dyDescent="0.2">
      <c r="A468" s="4">
        <v>12.22</v>
      </c>
      <c r="B468" s="4">
        <v>16</v>
      </c>
      <c r="C468" s="4">
        <v>10</v>
      </c>
      <c r="D468" s="4">
        <v>2</v>
      </c>
      <c r="E468" s="4">
        <v>0</v>
      </c>
      <c r="F468" s="4">
        <v>0</v>
      </c>
      <c r="G468" s="4">
        <v>0</v>
      </c>
      <c r="H468" s="4">
        <v>1</v>
      </c>
      <c r="I468" s="4">
        <v>0</v>
      </c>
      <c r="J468" s="4">
        <v>0</v>
      </c>
      <c r="K468" s="2" t="s">
        <v>80</v>
      </c>
    </row>
    <row r="469" spans="1:11" x14ac:dyDescent="0.2">
      <c r="A469" s="4">
        <v>5.71</v>
      </c>
      <c r="B469" s="4">
        <v>13</v>
      </c>
      <c r="C469" s="4">
        <v>10</v>
      </c>
      <c r="D469" s="4">
        <v>2</v>
      </c>
      <c r="E469" s="4">
        <v>1</v>
      </c>
      <c r="F469" s="4">
        <v>1</v>
      </c>
      <c r="G469" s="4">
        <v>0</v>
      </c>
      <c r="H469" s="4">
        <v>0</v>
      </c>
      <c r="I469" s="4">
        <v>0</v>
      </c>
      <c r="J469" s="4">
        <v>0</v>
      </c>
      <c r="K469" s="2" t="s">
        <v>80</v>
      </c>
    </row>
    <row r="470" spans="1:11" x14ac:dyDescent="0.2">
      <c r="A470" s="4">
        <v>3.65</v>
      </c>
      <c r="B470" s="4">
        <v>14</v>
      </c>
      <c r="C470" s="4">
        <v>9</v>
      </c>
      <c r="D470" s="4">
        <v>2</v>
      </c>
      <c r="E470" s="4">
        <v>0</v>
      </c>
      <c r="F470" s="4">
        <v>0</v>
      </c>
      <c r="G470" s="4">
        <v>0</v>
      </c>
      <c r="H470" s="4">
        <v>0</v>
      </c>
      <c r="I470" s="4">
        <v>1</v>
      </c>
      <c r="J470" s="4">
        <v>0</v>
      </c>
      <c r="K470" s="2" t="s">
        <v>80</v>
      </c>
    </row>
    <row r="471" spans="1:11" x14ac:dyDescent="0.2">
      <c r="A471" s="4">
        <v>3.64</v>
      </c>
      <c r="B471" s="4">
        <v>12</v>
      </c>
      <c r="C471" s="4">
        <v>7</v>
      </c>
      <c r="D471" s="4">
        <v>2</v>
      </c>
      <c r="E471" s="4">
        <v>0</v>
      </c>
      <c r="F471" s="4">
        <v>0</v>
      </c>
      <c r="G471" s="4">
        <v>0</v>
      </c>
      <c r="H471" s="4">
        <v>1</v>
      </c>
      <c r="I471" s="4">
        <v>0</v>
      </c>
      <c r="J471" s="4">
        <v>0</v>
      </c>
      <c r="K471" s="2" t="s">
        <v>80</v>
      </c>
    </row>
    <row r="472" spans="1:11" x14ac:dyDescent="0.2">
      <c r="A472" s="4">
        <v>4</v>
      </c>
      <c r="B472" s="4">
        <v>12</v>
      </c>
      <c r="C472" s="4">
        <v>5</v>
      </c>
      <c r="D472" s="4">
        <v>2</v>
      </c>
      <c r="E472" s="4">
        <v>0</v>
      </c>
      <c r="F472" s="4">
        <v>1</v>
      </c>
      <c r="G472" s="4">
        <v>0</v>
      </c>
      <c r="H472" s="4">
        <v>1</v>
      </c>
      <c r="I472" s="4">
        <v>0</v>
      </c>
      <c r="J472" s="4">
        <v>1</v>
      </c>
      <c r="K472" s="2" t="s">
        <v>80</v>
      </c>
    </row>
    <row r="473" spans="1:11" x14ac:dyDescent="0.2">
      <c r="A473" s="4">
        <v>2</v>
      </c>
      <c r="B473" s="4">
        <v>12</v>
      </c>
      <c r="C473" s="4">
        <v>3</v>
      </c>
      <c r="D473" s="4">
        <v>2</v>
      </c>
      <c r="E473" s="4">
        <v>1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2" t="s">
        <v>80</v>
      </c>
    </row>
    <row r="474" spans="1:11" x14ac:dyDescent="0.2">
      <c r="A474" s="4">
        <v>4.0999999999999996</v>
      </c>
      <c r="B474" s="4">
        <v>12</v>
      </c>
      <c r="C474" s="4">
        <v>3</v>
      </c>
      <c r="D474" s="4">
        <v>2</v>
      </c>
      <c r="E474" s="4">
        <v>1</v>
      </c>
      <c r="F474" s="4">
        <v>0</v>
      </c>
      <c r="G474" s="4">
        <v>1</v>
      </c>
      <c r="H474" s="4">
        <v>0</v>
      </c>
      <c r="I474" s="4">
        <v>0</v>
      </c>
      <c r="J474" s="4">
        <v>0</v>
      </c>
      <c r="K474" s="2" t="s">
        <v>80</v>
      </c>
    </row>
    <row r="475" spans="1:11" x14ac:dyDescent="0.2">
      <c r="A475" s="4">
        <v>3</v>
      </c>
      <c r="B475" s="4">
        <v>14</v>
      </c>
      <c r="C475" s="4">
        <v>3</v>
      </c>
      <c r="D475" s="4">
        <v>2</v>
      </c>
      <c r="E475" s="4">
        <v>1</v>
      </c>
      <c r="F475" s="4">
        <v>0</v>
      </c>
      <c r="G475" s="4">
        <v>1</v>
      </c>
      <c r="H475" s="4">
        <v>0</v>
      </c>
      <c r="I475" s="4">
        <v>0</v>
      </c>
      <c r="J475" s="4">
        <v>0</v>
      </c>
      <c r="K475" s="2" t="s">
        <v>80</v>
      </c>
    </row>
    <row r="476" spans="1:11" x14ac:dyDescent="0.2">
      <c r="A476" s="4">
        <v>9.3000000000000007</v>
      </c>
      <c r="B476" s="4">
        <v>15</v>
      </c>
      <c r="C476" s="4">
        <v>2</v>
      </c>
      <c r="D476" s="4">
        <v>2</v>
      </c>
      <c r="E476" s="4">
        <v>0</v>
      </c>
      <c r="F476" s="4">
        <v>1</v>
      </c>
      <c r="G476" s="4">
        <v>0</v>
      </c>
      <c r="H476" s="4">
        <v>1</v>
      </c>
      <c r="I476" s="4">
        <v>0</v>
      </c>
      <c r="J476" s="4">
        <v>0</v>
      </c>
      <c r="K476" s="2" t="s">
        <v>80</v>
      </c>
    </row>
    <row r="477" spans="1:11" x14ac:dyDescent="0.2">
      <c r="A477" s="4">
        <v>2.91</v>
      </c>
      <c r="B477" s="4">
        <v>11</v>
      </c>
      <c r="C477" s="4">
        <v>2</v>
      </c>
      <c r="D477" s="4">
        <v>2</v>
      </c>
      <c r="E477" s="4">
        <v>0</v>
      </c>
      <c r="F477" s="4">
        <v>0</v>
      </c>
      <c r="G477" s="4">
        <v>1</v>
      </c>
      <c r="H477" s="4">
        <v>0</v>
      </c>
      <c r="I477" s="4">
        <v>0</v>
      </c>
      <c r="J477" s="4">
        <v>0</v>
      </c>
      <c r="K477" s="2" t="s">
        <v>80</v>
      </c>
    </row>
    <row r="478" spans="1:11" x14ac:dyDescent="0.2">
      <c r="A478" s="4">
        <v>3.1</v>
      </c>
      <c r="B478" s="4">
        <v>12</v>
      </c>
      <c r="C478" s="4">
        <v>2</v>
      </c>
      <c r="D478" s="4">
        <v>2</v>
      </c>
      <c r="E478" s="4">
        <v>1</v>
      </c>
      <c r="F478" s="4">
        <v>0</v>
      </c>
      <c r="G478" s="4">
        <v>0</v>
      </c>
      <c r="H478" s="4">
        <v>1</v>
      </c>
      <c r="I478" s="4">
        <v>0</v>
      </c>
      <c r="J478" s="4">
        <v>0</v>
      </c>
      <c r="K478" s="2" t="s">
        <v>80</v>
      </c>
    </row>
    <row r="479" spans="1:11" x14ac:dyDescent="0.2">
      <c r="A479" s="4">
        <v>2.75</v>
      </c>
      <c r="B479" s="4">
        <v>13</v>
      </c>
      <c r="C479" s="4">
        <v>1</v>
      </c>
      <c r="D479" s="4">
        <v>2</v>
      </c>
      <c r="E479" s="4">
        <v>1</v>
      </c>
      <c r="F479" s="4">
        <v>0</v>
      </c>
      <c r="G479" s="4">
        <v>1</v>
      </c>
      <c r="H479" s="4">
        <v>0</v>
      </c>
      <c r="I479" s="4">
        <v>0</v>
      </c>
      <c r="J479" s="4">
        <v>0</v>
      </c>
      <c r="K479" s="2" t="s">
        <v>80</v>
      </c>
    </row>
    <row r="480" spans="1:11" x14ac:dyDescent="0.2">
      <c r="A480" s="4">
        <v>4.75</v>
      </c>
      <c r="B480" s="4">
        <v>13</v>
      </c>
      <c r="C480" s="9">
        <v>43.93</v>
      </c>
      <c r="D480" s="4">
        <v>1</v>
      </c>
      <c r="E480" s="4">
        <v>0</v>
      </c>
      <c r="F480" s="4">
        <v>1</v>
      </c>
      <c r="G480" s="4">
        <v>0</v>
      </c>
      <c r="H480" s="4">
        <v>0</v>
      </c>
      <c r="I480" s="4">
        <v>1</v>
      </c>
      <c r="J480" s="4">
        <v>0</v>
      </c>
      <c r="K480" s="2" t="s">
        <v>80</v>
      </c>
    </row>
    <row r="481" spans="1:11" x14ac:dyDescent="0.2">
      <c r="A481" s="4">
        <v>2.9</v>
      </c>
      <c r="B481" s="4">
        <v>12</v>
      </c>
      <c r="C481" s="4">
        <v>26</v>
      </c>
      <c r="D481" s="4">
        <v>1</v>
      </c>
      <c r="E481" s="4">
        <v>1</v>
      </c>
      <c r="F481" s="4">
        <v>0</v>
      </c>
      <c r="G481" s="4">
        <v>0</v>
      </c>
      <c r="H481" s="4">
        <v>1</v>
      </c>
      <c r="I481" s="4">
        <v>0</v>
      </c>
      <c r="J481" s="4">
        <v>0</v>
      </c>
      <c r="K481" s="2" t="s">
        <v>80</v>
      </c>
    </row>
    <row r="482" spans="1:11" x14ac:dyDescent="0.2">
      <c r="A482" s="4">
        <v>3.15</v>
      </c>
      <c r="B482" s="4">
        <v>12</v>
      </c>
      <c r="C482" s="4">
        <v>26</v>
      </c>
      <c r="D482" s="4">
        <v>1</v>
      </c>
      <c r="E482" s="4">
        <v>0</v>
      </c>
      <c r="F482" s="4">
        <v>1</v>
      </c>
      <c r="G482" s="4">
        <v>1</v>
      </c>
      <c r="H482" s="4">
        <v>0</v>
      </c>
      <c r="I482" s="4">
        <v>0</v>
      </c>
      <c r="J482" s="4">
        <v>0</v>
      </c>
      <c r="K482" s="2" t="s">
        <v>80</v>
      </c>
    </row>
    <row r="483" spans="1:11" x14ac:dyDescent="0.2">
      <c r="A483" s="4">
        <v>8.75</v>
      </c>
      <c r="B483" s="4">
        <v>12</v>
      </c>
      <c r="C483" s="4">
        <v>24</v>
      </c>
      <c r="D483" s="4">
        <v>1</v>
      </c>
      <c r="E483" s="4">
        <v>0</v>
      </c>
      <c r="F483" s="4">
        <v>0</v>
      </c>
      <c r="G483" s="4">
        <v>1</v>
      </c>
      <c r="H483" s="4">
        <v>0</v>
      </c>
      <c r="I483" s="4">
        <v>0</v>
      </c>
      <c r="J483" s="4">
        <v>0</v>
      </c>
      <c r="K483" s="2" t="s">
        <v>80</v>
      </c>
    </row>
    <row r="484" spans="1:11" x14ac:dyDescent="0.2">
      <c r="A484" s="4">
        <v>3</v>
      </c>
      <c r="B484" s="4">
        <v>12</v>
      </c>
      <c r="C484" s="4">
        <v>11</v>
      </c>
      <c r="D484" s="4">
        <v>1</v>
      </c>
      <c r="E484" s="4">
        <v>1</v>
      </c>
      <c r="F484" s="4">
        <v>1</v>
      </c>
      <c r="G484" s="4">
        <v>0</v>
      </c>
      <c r="H484" s="4">
        <v>0</v>
      </c>
      <c r="I484" s="4">
        <v>0</v>
      </c>
      <c r="J484" s="4">
        <v>0</v>
      </c>
      <c r="K484" s="2" t="s">
        <v>80</v>
      </c>
    </row>
    <row r="485" spans="1:11" x14ac:dyDescent="0.2">
      <c r="A485" s="4">
        <v>4</v>
      </c>
      <c r="B485" s="4">
        <v>12</v>
      </c>
      <c r="C485" s="4">
        <v>10</v>
      </c>
      <c r="D485" s="4">
        <v>1</v>
      </c>
      <c r="E485" s="4">
        <v>1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2" t="s">
        <v>80</v>
      </c>
    </row>
    <row r="486" spans="1:11" x14ac:dyDescent="0.2">
      <c r="A486" s="4">
        <v>3.81</v>
      </c>
      <c r="B486" s="4">
        <v>12</v>
      </c>
      <c r="C486" s="4">
        <v>8</v>
      </c>
      <c r="D486" s="4">
        <v>1</v>
      </c>
      <c r="E486" s="4">
        <v>1</v>
      </c>
      <c r="F486" s="4">
        <v>1</v>
      </c>
      <c r="G486" s="4">
        <v>1</v>
      </c>
      <c r="H486" s="4">
        <v>0</v>
      </c>
      <c r="I486" s="4">
        <v>0</v>
      </c>
      <c r="J486" s="4">
        <v>0</v>
      </c>
      <c r="K486" s="2" t="s">
        <v>80</v>
      </c>
    </row>
    <row r="487" spans="1:11" x14ac:dyDescent="0.2">
      <c r="A487" s="4">
        <v>3.8</v>
      </c>
      <c r="B487" s="4">
        <v>15</v>
      </c>
      <c r="C487" s="4">
        <v>6</v>
      </c>
      <c r="D487" s="4">
        <v>1</v>
      </c>
      <c r="E487" s="4">
        <v>0</v>
      </c>
      <c r="F487" s="4">
        <v>1</v>
      </c>
      <c r="G487" s="4">
        <v>0</v>
      </c>
      <c r="H487" s="4">
        <v>1</v>
      </c>
      <c r="I487" s="4">
        <v>0</v>
      </c>
      <c r="J487" s="4">
        <v>0</v>
      </c>
      <c r="K487" s="2" t="s">
        <v>80</v>
      </c>
    </row>
    <row r="488" spans="1:11" x14ac:dyDescent="0.2">
      <c r="A488" s="4">
        <v>11.56</v>
      </c>
      <c r="B488" s="4">
        <v>16</v>
      </c>
      <c r="C488" s="4">
        <v>5</v>
      </c>
      <c r="D488" s="4">
        <v>1</v>
      </c>
      <c r="E488" s="4">
        <v>0</v>
      </c>
      <c r="F488" s="4">
        <v>1</v>
      </c>
      <c r="G488" s="4">
        <v>0</v>
      </c>
      <c r="H488" s="4">
        <v>0</v>
      </c>
      <c r="I488" s="4">
        <v>1</v>
      </c>
      <c r="J488" s="4">
        <v>0</v>
      </c>
      <c r="K488" s="2" t="s">
        <v>80</v>
      </c>
    </row>
    <row r="489" spans="1:11" x14ac:dyDescent="0.2">
      <c r="A489" s="4">
        <v>2.95</v>
      </c>
      <c r="B489" s="4">
        <v>12</v>
      </c>
      <c r="C489" s="4">
        <v>3</v>
      </c>
      <c r="D489" s="4">
        <v>1</v>
      </c>
      <c r="E489" s="4">
        <v>0</v>
      </c>
      <c r="F489" s="4">
        <v>0</v>
      </c>
      <c r="G489" s="4">
        <v>1</v>
      </c>
      <c r="H489" s="4">
        <v>0</v>
      </c>
      <c r="I489" s="4">
        <v>0</v>
      </c>
      <c r="J489" s="4">
        <v>0</v>
      </c>
      <c r="K489" s="2" t="s">
        <v>80</v>
      </c>
    </row>
    <row r="490" spans="1:11" x14ac:dyDescent="0.2">
      <c r="A490" s="4">
        <v>3.35</v>
      </c>
      <c r="B490" s="4">
        <v>15</v>
      </c>
      <c r="C490" s="4">
        <v>3</v>
      </c>
      <c r="D490" s="4">
        <v>1</v>
      </c>
      <c r="E490" s="4">
        <v>1</v>
      </c>
      <c r="F490" s="4">
        <v>1</v>
      </c>
      <c r="G490" s="4">
        <v>0</v>
      </c>
      <c r="H490" s="4">
        <v>1</v>
      </c>
      <c r="I490" s="4">
        <v>0</v>
      </c>
      <c r="J490" s="4">
        <v>0</v>
      </c>
      <c r="K490" s="2" t="s">
        <v>80</v>
      </c>
    </row>
    <row r="491" spans="1:11" x14ac:dyDescent="0.2">
      <c r="A491" s="4">
        <v>4.6500000000000004</v>
      </c>
      <c r="B491" s="4">
        <v>16</v>
      </c>
      <c r="C491" s="4">
        <v>3</v>
      </c>
      <c r="D491" s="4">
        <v>1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2" t="s">
        <v>80</v>
      </c>
    </row>
    <row r="492" spans="1:11" x14ac:dyDescent="0.2">
      <c r="A492" s="4">
        <v>3.08</v>
      </c>
      <c r="B492" s="4">
        <v>12</v>
      </c>
      <c r="C492" s="4">
        <v>3</v>
      </c>
      <c r="D492" s="4">
        <v>1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2" t="s">
        <v>80</v>
      </c>
    </row>
    <row r="493" spans="1:11" x14ac:dyDescent="0.2">
      <c r="A493" s="4">
        <v>1.75</v>
      </c>
      <c r="B493" s="4">
        <v>11</v>
      </c>
      <c r="C493" s="4">
        <v>2</v>
      </c>
      <c r="D493" s="4">
        <v>1</v>
      </c>
      <c r="E493" s="4">
        <v>0</v>
      </c>
      <c r="F493" s="4">
        <v>0</v>
      </c>
      <c r="G493" s="4">
        <v>0</v>
      </c>
      <c r="H493" s="4">
        <v>0</v>
      </c>
      <c r="I493" s="4">
        <v>1</v>
      </c>
      <c r="J493" s="4">
        <v>0</v>
      </c>
      <c r="K493" s="2" t="s">
        <v>80</v>
      </c>
    </row>
    <row r="494" spans="1:11" x14ac:dyDescent="0.2">
      <c r="A494" s="4">
        <v>6.25</v>
      </c>
      <c r="B494" s="10">
        <v>12</v>
      </c>
      <c r="C494" s="4">
        <v>2</v>
      </c>
      <c r="D494" s="4">
        <v>1</v>
      </c>
      <c r="E494" s="4">
        <v>1</v>
      </c>
      <c r="F494" s="4">
        <v>0</v>
      </c>
      <c r="G494" s="4">
        <v>1</v>
      </c>
      <c r="H494" s="4">
        <v>0</v>
      </c>
      <c r="I494" s="4">
        <v>0</v>
      </c>
      <c r="J494" s="4">
        <v>0</v>
      </c>
      <c r="K494" s="2" t="s">
        <v>80</v>
      </c>
    </row>
    <row r="495" spans="1:11" x14ac:dyDescent="0.2">
      <c r="A495" s="4">
        <v>5.58</v>
      </c>
      <c r="B495" s="4">
        <v>16</v>
      </c>
      <c r="C495" s="4">
        <v>1</v>
      </c>
      <c r="D495" s="4">
        <v>1</v>
      </c>
      <c r="E495" s="4">
        <v>0</v>
      </c>
      <c r="F495" s="4">
        <v>1</v>
      </c>
      <c r="G495" s="4">
        <v>0</v>
      </c>
      <c r="H495" s="4">
        <v>0</v>
      </c>
      <c r="I495" s="4">
        <v>0</v>
      </c>
      <c r="J495" s="4">
        <v>0</v>
      </c>
      <c r="K495" s="2" t="s">
        <v>80</v>
      </c>
    </row>
    <row r="496" spans="1:11" x14ac:dyDescent="0.2">
      <c r="A496" s="4">
        <v>2.92</v>
      </c>
      <c r="B496" s="4">
        <v>9</v>
      </c>
      <c r="C496" s="9">
        <v>43.93</v>
      </c>
      <c r="D496" s="4">
        <v>0</v>
      </c>
      <c r="E496" s="4">
        <v>1</v>
      </c>
      <c r="F496" s="4">
        <v>0</v>
      </c>
      <c r="G496" s="4">
        <v>0</v>
      </c>
      <c r="H496" s="4">
        <v>1</v>
      </c>
      <c r="I496" s="4">
        <v>0</v>
      </c>
      <c r="J496" s="4">
        <v>0</v>
      </c>
      <c r="K496" s="2" t="s">
        <v>80</v>
      </c>
    </row>
    <row r="497" spans="1:11" x14ac:dyDescent="0.2">
      <c r="A497" s="4">
        <v>4.5</v>
      </c>
      <c r="B497" s="4">
        <v>12</v>
      </c>
      <c r="C497" s="4">
        <v>35</v>
      </c>
      <c r="D497" s="4">
        <v>0</v>
      </c>
      <c r="E497" s="4">
        <v>1</v>
      </c>
      <c r="F497" s="4">
        <v>1</v>
      </c>
      <c r="G497" s="4">
        <v>0</v>
      </c>
      <c r="H497" s="4">
        <v>1</v>
      </c>
      <c r="I497" s="4">
        <v>0</v>
      </c>
      <c r="J497" s="4">
        <v>0</v>
      </c>
      <c r="K497" s="2" t="s">
        <v>80</v>
      </c>
    </row>
    <row r="498" spans="1:11" x14ac:dyDescent="0.2">
      <c r="A498" s="4">
        <v>3.55</v>
      </c>
      <c r="B498" s="4">
        <v>12</v>
      </c>
      <c r="C498" s="4">
        <v>21</v>
      </c>
      <c r="D498" s="4">
        <v>0</v>
      </c>
      <c r="E498" s="4">
        <v>1</v>
      </c>
      <c r="F498" s="4">
        <v>1</v>
      </c>
      <c r="G498" s="4">
        <v>0</v>
      </c>
      <c r="H498" s="4">
        <v>1</v>
      </c>
      <c r="I498" s="4">
        <v>0</v>
      </c>
      <c r="J498" s="4">
        <v>0</v>
      </c>
      <c r="K498" s="2" t="s">
        <v>80</v>
      </c>
    </row>
    <row r="499" spans="1:11" x14ac:dyDescent="0.2">
      <c r="A499" s="4">
        <v>5.05</v>
      </c>
      <c r="B499" s="4">
        <v>12</v>
      </c>
      <c r="C499" s="4">
        <v>19</v>
      </c>
      <c r="D499" s="4">
        <v>0</v>
      </c>
      <c r="E499" s="4">
        <v>1</v>
      </c>
      <c r="F499" s="4">
        <v>1</v>
      </c>
      <c r="G499" s="4">
        <v>0</v>
      </c>
      <c r="H499" s="4">
        <v>1</v>
      </c>
      <c r="I499" s="4">
        <v>0</v>
      </c>
      <c r="J499" s="4">
        <v>0</v>
      </c>
      <c r="K499" s="2" t="s">
        <v>80</v>
      </c>
    </row>
    <row r="500" spans="1:11" x14ac:dyDescent="0.2">
      <c r="A500" s="4">
        <v>1.63</v>
      </c>
      <c r="B500" s="4">
        <v>12</v>
      </c>
      <c r="C500" s="4">
        <v>18</v>
      </c>
      <c r="D500" s="4">
        <v>0</v>
      </c>
      <c r="E500" s="10">
        <v>2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2" t="s">
        <v>80</v>
      </c>
    </row>
    <row r="501" spans="1:11" x14ac:dyDescent="0.2">
      <c r="A501" s="4">
        <v>5</v>
      </c>
      <c r="B501" s="10">
        <v>12</v>
      </c>
      <c r="C501" s="4">
        <v>18</v>
      </c>
      <c r="D501" s="4">
        <v>0</v>
      </c>
      <c r="E501" s="4">
        <v>1</v>
      </c>
      <c r="F501" s="4">
        <v>1</v>
      </c>
      <c r="G501" s="4">
        <v>0</v>
      </c>
      <c r="H501" s="4">
        <v>0</v>
      </c>
      <c r="I501" s="4">
        <v>1</v>
      </c>
      <c r="J501" s="4">
        <v>0</v>
      </c>
      <c r="K501" s="2" t="s">
        <v>80</v>
      </c>
    </row>
    <row r="502" spans="1:11" x14ac:dyDescent="0.2">
      <c r="A502" s="4">
        <v>3.71</v>
      </c>
      <c r="B502" s="4">
        <v>10</v>
      </c>
      <c r="C502" s="4">
        <v>13</v>
      </c>
      <c r="D502" s="4">
        <v>0</v>
      </c>
      <c r="E502" s="4">
        <v>1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2" t="s">
        <v>80</v>
      </c>
    </row>
    <row r="503" spans="1:11" x14ac:dyDescent="0.2">
      <c r="A503" s="4">
        <v>4.5</v>
      </c>
      <c r="B503" s="4">
        <v>12</v>
      </c>
      <c r="C503" s="4">
        <v>13</v>
      </c>
      <c r="D503" s="4">
        <v>0</v>
      </c>
      <c r="E503" s="4">
        <v>0</v>
      </c>
      <c r="F503" s="4">
        <v>1</v>
      </c>
      <c r="G503" s="4">
        <v>0</v>
      </c>
      <c r="H503" s="4">
        <v>0</v>
      </c>
      <c r="I503" s="4">
        <v>1</v>
      </c>
      <c r="J503" s="4">
        <v>0</v>
      </c>
      <c r="K503" s="2" t="s">
        <v>80</v>
      </c>
    </row>
    <row r="504" spans="1:11" x14ac:dyDescent="0.2">
      <c r="A504" s="4">
        <v>6.08</v>
      </c>
      <c r="B504" s="4">
        <v>16</v>
      </c>
      <c r="C504" s="4">
        <v>9</v>
      </c>
      <c r="D504" s="4">
        <v>0</v>
      </c>
      <c r="E504" s="4">
        <v>0</v>
      </c>
      <c r="F504" s="4">
        <v>0</v>
      </c>
      <c r="G504" s="4">
        <v>0</v>
      </c>
      <c r="H504" s="4">
        <v>1</v>
      </c>
      <c r="I504" s="4">
        <v>0</v>
      </c>
      <c r="J504" s="4">
        <v>0</v>
      </c>
      <c r="K504" s="2" t="s">
        <v>80</v>
      </c>
    </row>
    <row r="505" spans="1:11" x14ac:dyDescent="0.2">
      <c r="A505" s="4">
        <v>4</v>
      </c>
      <c r="B505" s="4">
        <v>12</v>
      </c>
      <c r="C505" s="4">
        <v>9</v>
      </c>
      <c r="D505" s="4">
        <v>0</v>
      </c>
      <c r="E505" s="4">
        <v>0</v>
      </c>
      <c r="F505" s="4">
        <v>0</v>
      </c>
      <c r="G505" s="4">
        <v>0</v>
      </c>
      <c r="H505" s="4">
        <v>1</v>
      </c>
      <c r="I505" s="4">
        <v>0</v>
      </c>
      <c r="J505" s="4">
        <v>0</v>
      </c>
      <c r="K505" s="2" t="s">
        <v>80</v>
      </c>
    </row>
    <row r="506" spans="1:11" x14ac:dyDescent="0.2">
      <c r="A506" s="4">
        <v>4</v>
      </c>
      <c r="B506" s="4">
        <v>12</v>
      </c>
      <c r="C506" s="4">
        <v>8</v>
      </c>
      <c r="D506" s="4">
        <v>0</v>
      </c>
      <c r="E506" s="4">
        <v>1</v>
      </c>
      <c r="F506" s="4">
        <v>1</v>
      </c>
      <c r="G506" s="4">
        <v>1</v>
      </c>
      <c r="H506" s="4">
        <v>0</v>
      </c>
      <c r="I506" s="4">
        <v>0</v>
      </c>
      <c r="J506" s="4">
        <v>0</v>
      </c>
      <c r="K506" s="2" t="s">
        <v>80</v>
      </c>
    </row>
    <row r="507" spans="1:11" x14ac:dyDescent="0.2">
      <c r="A507" s="4">
        <v>3.75</v>
      </c>
      <c r="B507" s="4">
        <v>12</v>
      </c>
      <c r="C507" s="4">
        <v>7</v>
      </c>
      <c r="D507" s="4">
        <v>0</v>
      </c>
      <c r="E507" s="4">
        <v>1</v>
      </c>
      <c r="F507" s="4">
        <v>1</v>
      </c>
      <c r="G507" s="4">
        <v>0</v>
      </c>
      <c r="H507" s="4">
        <v>0</v>
      </c>
      <c r="I507" s="4">
        <v>0</v>
      </c>
      <c r="J507" s="4">
        <v>1</v>
      </c>
      <c r="K507" s="2" t="s">
        <v>80</v>
      </c>
    </row>
    <row r="508" spans="1:11" x14ac:dyDescent="0.2">
      <c r="A508" s="4">
        <v>9.8000000000000007</v>
      </c>
      <c r="B508" s="4">
        <v>17</v>
      </c>
      <c r="C508" s="4">
        <v>7</v>
      </c>
      <c r="D508" s="4">
        <v>0</v>
      </c>
      <c r="E508" s="4">
        <v>0</v>
      </c>
      <c r="F508" s="4">
        <v>1</v>
      </c>
      <c r="G508" s="4">
        <v>0</v>
      </c>
      <c r="H508" s="4">
        <v>0</v>
      </c>
      <c r="I508" s="4">
        <v>0</v>
      </c>
      <c r="J508" s="4">
        <v>0</v>
      </c>
      <c r="K508" s="2" t="s">
        <v>80</v>
      </c>
    </row>
    <row r="509" spans="1:11" x14ac:dyDescent="0.2">
      <c r="A509" s="4">
        <v>3.55</v>
      </c>
      <c r="B509" s="4">
        <v>12</v>
      </c>
      <c r="C509" s="4">
        <v>6</v>
      </c>
      <c r="D509" s="4">
        <v>0</v>
      </c>
      <c r="E509" s="4">
        <v>1</v>
      </c>
      <c r="F509" s="4">
        <v>1</v>
      </c>
      <c r="G509" s="4">
        <v>0</v>
      </c>
      <c r="H509" s="4">
        <v>0</v>
      </c>
      <c r="I509" s="4">
        <v>0</v>
      </c>
      <c r="J509" s="4">
        <v>0</v>
      </c>
      <c r="K509" s="2" t="s">
        <v>80</v>
      </c>
    </row>
    <row r="510" spans="1:11" x14ac:dyDescent="0.2">
      <c r="A510" s="4">
        <v>6.25</v>
      </c>
      <c r="B510" s="4">
        <v>16</v>
      </c>
      <c r="C510" s="4">
        <v>5</v>
      </c>
      <c r="D510" s="4">
        <v>0</v>
      </c>
      <c r="E510" s="4">
        <v>0</v>
      </c>
      <c r="F510" s="4">
        <v>1</v>
      </c>
      <c r="G510" s="4">
        <v>0</v>
      </c>
      <c r="H510" s="4">
        <v>0</v>
      </c>
      <c r="I510" s="4">
        <v>0</v>
      </c>
      <c r="J510" s="4">
        <v>0</v>
      </c>
      <c r="K510" s="2" t="s">
        <v>80</v>
      </c>
    </row>
    <row r="511" spans="1:11" x14ac:dyDescent="0.2">
      <c r="A511" s="4">
        <v>2.38</v>
      </c>
      <c r="B511" s="4">
        <v>9</v>
      </c>
      <c r="C511" s="4">
        <v>5</v>
      </c>
      <c r="D511" s="4">
        <v>0</v>
      </c>
      <c r="E511" s="4">
        <v>0</v>
      </c>
      <c r="F511" s="4">
        <v>0</v>
      </c>
      <c r="G511" s="4">
        <v>0</v>
      </c>
      <c r="H511" s="4">
        <v>1</v>
      </c>
      <c r="I511" s="4">
        <v>0</v>
      </c>
      <c r="J511" s="4">
        <v>0</v>
      </c>
      <c r="K511" s="2" t="s">
        <v>80</v>
      </c>
    </row>
    <row r="512" spans="1:11" x14ac:dyDescent="0.2">
      <c r="A512" s="4">
        <v>4.0999999999999996</v>
      </c>
      <c r="B512" s="4">
        <v>16</v>
      </c>
      <c r="C512" s="4">
        <v>5</v>
      </c>
      <c r="D512" s="4">
        <v>0</v>
      </c>
      <c r="E512" s="4">
        <v>1</v>
      </c>
      <c r="F512" s="4">
        <v>1</v>
      </c>
      <c r="G512" s="4">
        <v>1</v>
      </c>
      <c r="H512" s="4">
        <v>0</v>
      </c>
      <c r="I512" s="4">
        <v>0</v>
      </c>
      <c r="J512" s="4">
        <v>0</v>
      </c>
      <c r="K512" s="2" t="s">
        <v>80</v>
      </c>
    </row>
    <row r="513" spans="1:11" x14ac:dyDescent="0.2">
      <c r="A513" s="4">
        <v>3.5</v>
      </c>
      <c r="B513" s="4">
        <v>8</v>
      </c>
      <c r="C513" s="4">
        <v>4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2" t="s">
        <v>80</v>
      </c>
    </row>
    <row r="514" spans="1:11" x14ac:dyDescent="0.2">
      <c r="A514" s="4">
        <v>2.6</v>
      </c>
      <c r="B514" s="4">
        <v>9</v>
      </c>
      <c r="C514" s="4">
        <v>4</v>
      </c>
      <c r="D514" s="4">
        <v>0</v>
      </c>
      <c r="E514" s="10">
        <v>2</v>
      </c>
      <c r="F514" s="4">
        <v>0</v>
      </c>
      <c r="G514" s="4">
        <v>0</v>
      </c>
      <c r="H514" s="4">
        <v>0</v>
      </c>
      <c r="I514" s="4">
        <v>1</v>
      </c>
      <c r="J514" s="4">
        <v>0</v>
      </c>
      <c r="K514" s="2" t="s">
        <v>80</v>
      </c>
    </row>
    <row r="515" spans="1:11" x14ac:dyDescent="0.2">
      <c r="A515" s="4">
        <v>2</v>
      </c>
      <c r="B515" s="4">
        <v>10</v>
      </c>
      <c r="C515" s="4">
        <v>3</v>
      </c>
      <c r="D515" s="4">
        <v>0</v>
      </c>
      <c r="E515" s="4">
        <v>1</v>
      </c>
      <c r="F515" s="4">
        <v>0</v>
      </c>
      <c r="G515" s="4">
        <v>0</v>
      </c>
      <c r="H515" s="4">
        <v>1</v>
      </c>
      <c r="I515" s="4">
        <v>0</v>
      </c>
      <c r="J515" s="4">
        <v>0</v>
      </c>
      <c r="K515" s="2" t="s">
        <v>80</v>
      </c>
    </row>
    <row r="516" spans="1:11" x14ac:dyDescent="0.2">
      <c r="A516" s="4">
        <v>7.81</v>
      </c>
      <c r="B516" s="4">
        <v>12</v>
      </c>
      <c r="C516" s="4">
        <v>3</v>
      </c>
      <c r="D516" s="4">
        <v>0</v>
      </c>
      <c r="E516" s="4">
        <v>1</v>
      </c>
      <c r="F516" s="4">
        <v>1</v>
      </c>
      <c r="G516" s="4">
        <v>0</v>
      </c>
      <c r="H516" s="4">
        <v>0</v>
      </c>
      <c r="I516" s="4">
        <v>1</v>
      </c>
      <c r="J516" s="4">
        <v>0</v>
      </c>
      <c r="K516" s="2" t="s">
        <v>80</v>
      </c>
    </row>
    <row r="517" spans="1:11" x14ac:dyDescent="0.2">
      <c r="A517" s="4">
        <v>3.5</v>
      </c>
      <c r="B517" s="4">
        <v>12</v>
      </c>
      <c r="C517" s="4">
        <v>3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2" t="s">
        <v>80</v>
      </c>
    </row>
    <row r="518" spans="1:11" x14ac:dyDescent="0.2">
      <c r="A518" s="4">
        <v>4.5</v>
      </c>
      <c r="B518" s="4">
        <v>12</v>
      </c>
      <c r="C518" s="4">
        <v>3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1</v>
      </c>
      <c r="J518" s="4">
        <v>0</v>
      </c>
      <c r="K518" s="2" t="s">
        <v>80</v>
      </c>
    </row>
    <row r="519" spans="1:11" x14ac:dyDescent="0.2">
      <c r="A519" s="4">
        <v>3</v>
      </c>
      <c r="B519" s="4">
        <v>11</v>
      </c>
      <c r="C519" s="4">
        <v>3</v>
      </c>
      <c r="D519" s="4">
        <v>0</v>
      </c>
      <c r="E519" s="4">
        <v>1</v>
      </c>
      <c r="F519" s="4">
        <v>0</v>
      </c>
      <c r="G519" s="4">
        <v>0</v>
      </c>
      <c r="H519" s="4">
        <v>0</v>
      </c>
      <c r="I519" s="4">
        <v>1</v>
      </c>
      <c r="J519" s="4">
        <v>0</v>
      </c>
      <c r="K519" s="2" t="s">
        <v>80</v>
      </c>
    </row>
    <row r="520" spans="1:11" x14ac:dyDescent="0.2">
      <c r="A520" s="4">
        <v>5.1100000000000003</v>
      </c>
      <c r="B520" s="4">
        <v>11</v>
      </c>
      <c r="C520" s="4">
        <v>3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1</v>
      </c>
      <c r="J520" s="4">
        <v>1</v>
      </c>
      <c r="K520" s="2" t="s">
        <v>80</v>
      </c>
    </row>
    <row r="521" spans="1:11" x14ac:dyDescent="0.2">
      <c r="A521" s="4">
        <v>2</v>
      </c>
      <c r="B521" s="4">
        <v>9</v>
      </c>
      <c r="C521" s="4">
        <v>2</v>
      </c>
      <c r="D521" s="4">
        <v>0</v>
      </c>
      <c r="E521" s="4">
        <v>0</v>
      </c>
      <c r="F521" s="4">
        <v>0</v>
      </c>
      <c r="G521" s="4">
        <v>1</v>
      </c>
      <c r="H521" s="4">
        <v>0</v>
      </c>
      <c r="I521" s="4">
        <v>0</v>
      </c>
      <c r="J521" s="4">
        <v>0</v>
      </c>
      <c r="K521" s="2" t="s">
        <v>80</v>
      </c>
    </row>
    <row r="522" spans="1:11" x14ac:dyDescent="0.2">
      <c r="A522" s="4">
        <v>3.1</v>
      </c>
      <c r="B522" s="4">
        <v>11</v>
      </c>
      <c r="C522" s="4">
        <v>2</v>
      </c>
      <c r="D522" s="4">
        <v>0</v>
      </c>
      <c r="E522" s="4">
        <v>1</v>
      </c>
      <c r="F522" s="4">
        <v>0</v>
      </c>
      <c r="G522" s="4">
        <v>0</v>
      </c>
      <c r="H522" s="4">
        <v>0</v>
      </c>
      <c r="I522" s="4">
        <v>1</v>
      </c>
      <c r="J522" s="4">
        <v>0</v>
      </c>
      <c r="K522" s="2" t="s">
        <v>80</v>
      </c>
    </row>
    <row r="523" spans="1:11" x14ac:dyDescent="0.2">
      <c r="A523" s="4">
        <v>5.65</v>
      </c>
      <c r="B523" s="4">
        <v>12</v>
      </c>
      <c r="C523" s="4">
        <v>2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1</v>
      </c>
      <c r="J523" s="4">
        <v>1</v>
      </c>
      <c r="K523" s="2" t="s">
        <v>80</v>
      </c>
    </row>
    <row r="524" spans="1:11" x14ac:dyDescent="0.2">
      <c r="A524" s="4">
        <v>2.54</v>
      </c>
      <c r="B524" s="4">
        <v>9</v>
      </c>
      <c r="C524" s="4">
        <v>2</v>
      </c>
      <c r="D524" s="4">
        <v>0</v>
      </c>
      <c r="E524" s="4">
        <v>1</v>
      </c>
      <c r="F524" s="4">
        <v>0</v>
      </c>
      <c r="G524" s="4">
        <v>0</v>
      </c>
      <c r="H524" s="4">
        <v>1</v>
      </c>
      <c r="I524" s="4">
        <v>0</v>
      </c>
      <c r="J524" s="4">
        <v>0</v>
      </c>
      <c r="K524" s="2" t="s">
        <v>80</v>
      </c>
    </row>
    <row r="525" spans="1:11" x14ac:dyDescent="0.2">
      <c r="A525" s="4">
        <v>2.9</v>
      </c>
      <c r="B525" s="4">
        <v>11</v>
      </c>
      <c r="C525" s="4">
        <v>2</v>
      </c>
      <c r="D525" s="4">
        <v>0</v>
      </c>
      <c r="E525" s="4">
        <v>1</v>
      </c>
      <c r="F525" s="4">
        <v>0</v>
      </c>
      <c r="G525" s="4">
        <v>0</v>
      </c>
      <c r="H525" s="4">
        <v>1</v>
      </c>
      <c r="I525" s="4">
        <v>0</v>
      </c>
      <c r="J525" s="4">
        <v>0</v>
      </c>
      <c r="K525" s="2" t="s">
        <v>80</v>
      </c>
    </row>
    <row r="526" spans="1:11" x14ac:dyDescent="0.2">
      <c r="A526" s="4">
        <v>2.92</v>
      </c>
      <c r="B526" s="4">
        <v>11</v>
      </c>
      <c r="C526" s="4">
        <v>1</v>
      </c>
      <c r="D526" s="4">
        <v>0</v>
      </c>
      <c r="E526" s="4">
        <v>1</v>
      </c>
      <c r="F526" s="4">
        <v>0</v>
      </c>
      <c r="G526" s="4">
        <v>1</v>
      </c>
      <c r="H526" s="4">
        <v>0</v>
      </c>
      <c r="I526" s="4">
        <v>0</v>
      </c>
      <c r="J526" s="4">
        <v>0</v>
      </c>
      <c r="K526" s="2" t="s">
        <v>80</v>
      </c>
    </row>
    <row r="527" spans="1:11" x14ac:dyDescent="0.2">
      <c r="A527" s="4">
        <v>3</v>
      </c>
      <c r="B527" s="4">
        <v>12</v>
      </c>
      <c r="C527" s="4">
        <v>1</v>
      </c>
      <c r="D527" s="4">
        <v>0</v>
      </c>
      <c r="E527" s="4">
        <v>1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2" t="s">
        <v>80</v>
      </c>
    </row>
  </sheetData>
  <mergeCells count="2">
    <mergeCell ref="M3:O3"/>
    <mergeCell ref="M26:R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B097D-9D5A-CA41-967A-368B1736F993}">
  <dimension ref="A1:T527"/>
  <sheetViews>
    <sheetView showGridLines="0" workbookViewId="0">
      <selection activeCell="P40" sqref="P40"/>
    </sheetView>
  </sheetViews>
  <sheetFormatPr baseColWidth="10" defaultRowHeight="14" x14ac:dyDescent="0.2"/>
  <cols>
    <col min="1" max="9" width="10.83203125" style="5"/>
    <col min="10" max="10" width="12.5" bestFit="1" customWidth="1"/>
    <col min="12" max="12" width="33.6640625" bestFit="1" customWidth="1"/>
    <col min="13" max="13" width="22.6640625" bestFit="1" customWidth="1"/>
    <col min="14" max="14" width="14.83203125" bestFit="1" customWidth="1"/>
    <col min="15" max="15" width="19.83203125" bestFit="1" customWidth="1"/>
    <col min="17" max="17" width="13" bestFit="1" customWidth="1"/>
  </cols>
  <sheetData>
    <row r="1" spans="1:14" x14ac:dyDescent="0.2">
      <c r="A1" s="4" t="s">
        <v>28</v>
      </c>
      <c r="B1" s="4" t="s">
        <v>0</v>
      </c>
      <c r="C1" s="4" t="s">
        <v>1</v>
      </c>
      <c r="D1" s="4" t="s">
        <v>49</v>
      </c>
      <c r="E1" s="4" t="s">
        <v>50</v>
      </c>
      <c r="F1" s="4" t="s">
        <v>51</v>
      </c>
      <c r="G1" s="4" t="s">
        <v>34</v>
      </c>
      <c r="H1" s="4" t="s">
        <v>35</v>
      </c>
      <c r="I1" s="4" t="s">
        <v>40</v>
      </c>
      <c r="J1" s="15" t="s">
        <v>81</v>
      </c>
    </row>
    <row r="2" spans="1:14" x14ac:dyDescent="0.2">
      <c r="A2" s="4">
        <v>8.75</v>
      </c>
      <c r="B2" s="4">
        <v>12</v>
      </c>
      <c r="C2" s="9">
        <v>43.93</v>
      </c>
      <c r="D2" s="9">
        <v>26.78</v>
      </c>
      <c r="E2" s="4">
        <v>0</v>
      </c>
      <c r="F2" s="4">
        <v>1</v>
      </c>
      <c r="G2" s="4">
        <v>0</v>
      </c>
      <c r="H2" s="4">
        <v>0</v>
      </c>
      <c r="I2" s="4">
        <v>0</v>
      </c>
      <c r="J2" s="2" t="s">
        <v>79</v>
      </c>
    </row>
    <row r="3" spans="1:14" x14ac:dyDescent="0.2">
      <c r="A3" s="4">
        <v>11.76</v>
      </c>
      <c r="B3" s="4">
        <v>14</v>
      </c>
      <c r="C3" s="4">
        <v>40</v>
      </c>
      <c r="D3" s="9">
        <v>26.78</v>
      </c>
      <c r="E3" s="4">
        <v>0</v>
      </c>
      <c r="F3" s="4">
        <v>1</v>
      </c>
      <c r="G3" s="4">
        <v>0</v>
      </c>
      <c r="H3" s="4">
        <v>0</v>
      </c>
      <c r="I3" s="4">
        <v>0</v>
      </c>
      <c r="J3" s="2" t="s">
        <v>79</v>
      </c>
      <c r="L3" s="37" t="s">
        <v>63</v>
      </c>
      <c r="M3" s="37"/>
      <c r="N3" s="37"/>
    </row>
    <row r="4" spans="1:14" x14ac:dyDescent="0.2">
      <c r="A4" s="4">
        <v>2.91</v>
      </c>
      <c r="B4" s="4">
        <v>12</v>
      </c>
      <c r="C4" s="4">
        <v>20</v>
      </c>
      <c r="D4" s="9">
        <v>26.78</v>
      </c>
      <c r="E4" s="4">
        <v>1</v>
      </c>
      <c r="F4" s="4">
        <v>1</v>
      </c>
      <c r="G4" s="4">
        <v>0</v>
      </c>
      <c r="H4" s="4">
        <v>0</v>
      </c>
      <c r="I4" s="4">
        <v>0</v>
      </c>
      <c r="J4" s="2" t="s">
        <v>79</v>
      </c>
      <c r="L4" s="17" t="s">
        <v>64</v>
      </c>
      <c r="M4" s="3"/>
      <c r="N4" s="3"/>
    </row>
    <row r="5" spans="1:14" x14ac:dyDescent="0.2">
      <c r="A5" s="4">
        <v>6.5</v>
      </c>
      <c r="B5" s="4">
        <v>14</v>
      </c>
      <c r="C5" s="4">
        <v>41</v>
      </c>
      <c r="D5" s="9">
        <v>26.78</v>
      </c>
      <c r="E5" s="4">
        <v>0</v>
      </c>
      <c r="F5" s="4">
        <v>1</v>
      </c>
      <c r="G5" s="4">
        <v>0</v>
      </c>
      <c r="H5" s="4">
        <v>0</v>
      </c>
      <c r="I5" s="4">
        <v>0</v>
      </c>
      <c r="J5" s="2" t="s">
        <v>79</v>
      </c>
      <c r="L5" s="3"/>
      <c r="M5" s="3" t="s">
        <v>65</v>
      </c>
      <c r="N5" s="3"/>
    </row>
    <row r="6" spans="1:14" x14ac:dyDescent="0.2">
      <c r="A6" s="4">
        <v>6.25</v>
      </c>
      <c r="B6" s="4">
        <v>11</v>
      </c>
      <c r="C6" s="4">
        <v>35</v>
      </c>
      <c r="D6" s="9">
        <v>26.78</v>
      </c>
      <c r="E6" s="4">
        <v>0</v>
      </c>
      <c r="F6" s="4">
        <v>1</v>
      </c>
      <c r="G6" s="4">
        <v>1</v>
      </c>
      <c r="H6" s="4">
        <v>0</v>
      </c>
      <c r="I6" s="4">
        <v>0</v>
      </c>
      <c r="J6" s="2" t="s">
        <v>79</v>
      </c>
      <c r="L6" s="3"/>
      <c r="M6" s="3" t="s">
        <v>66</v>
      </c>
      <c r="N6" s="3"/>
    </row>
    <row r="7" spans="1:14" x14ac:dyDescent="0.2">
      <c r="A7" s="4">
        <v>15</v>
      </c>
      <c r="B7" s="4">
        <v>11</v>
      </c>
      <c r="C7" s="4">
        <v>35</v>
      </c>
      <c r="D7" s="9">
        <v>26.78</v>
      </c>
      <c r="E7" s="10">
        <v>2</v>
      </c>
      <c r="F7" s="4">
        <v>1</v>
      </c>
      <c r="G7" s="4">
        <v>1</v>
      </c>
      <c r="H7" s="4">
        <v>0</v>
      </c>
      <c r="I7" s="4">
        <v>0</v>
      </c>
      <c r="J7" s="2" t="s">
        <v>79</v>
      </c>
      <c r="L7" s="17" t="s">
        <v>67</v>
      </c>
      <c r="M7" s="18"/>
      <c r="N7" s="17"/>
    </row>
    <row r="8" spans="1:14" x14ac:dyDescent="0.2">
      <c r="A8" s="4">
        <v>6</v>
      </c>
      <c r="B8" s="4">
        <v>8</v>
      </c>
      <c r="C8" s="9">
        <v>43.93</v>
      </c>
      <c r="D8" s="9">
        <v>26.78</v>
      </c>
      <c r="E8" s="4">
        <v>0</v>
      </c>
      <c r="F8" s="4">
        <v>1</v>
      </c>
      <c r="G8" s="4">
        <v>0</v>
      </c>
      <c r="H8" s="4">
        <v>1</v>
      </c>
      <c r="I8" s="4">
        <v>0</v>
      </c>
      <c r="J8" s="2" t="s">
        <v>79</v>
      </c>
      <c r="L8" s="17"/>
      <c r="M8" s="17" t="s">
        <v>68</v>
      </c>
      <c r="N8" s="17"/>
    </row>
    <row r="9" spans="1:14" x14ac:dyDescent="0.2">
      <c r="A9" s="4">
        <v>18.16</v>
      </c>
      <c r="B9" s="4">
        <v>16</v>
      </c>
      <c r="C9" s="4">
        <v>35</v>
      </c>
      <c r="D9" s="9">
        <v>26.78</v>
      </c>
      <c r="E9" s="4">
        <v>0</v>
      </c>
      <c r="F9" s="4">
        <v>1</v>
      </c>
      <c r="G9" s="4">
        <v>0</v>
      </c>
      <c r="H9" s="4">
        <v>0</v>
      </c>
      <c r="I9" s="4">
        <v>0</v>
      </c>
      <c r="J9" s="2" t="s">
        <v>79</v>
      </c>
      <c r="L9" s="17"/>
      <c r="M9" s="17" t="s">
        <v>69</v>
      </c>
      <c r="N9" s="17"/>
    </row>
    <row r="10" spans="1:14" x14ac:dyDescent="0.2">
      <c r="A10" s="4">
        <v>8.5</v>
      </c>
      <c r="B10" s="4">
        <v>8</v>
      </c>
      <c r="C10" s="4">
        <v>38</v>
      </c>
      <c r="D10" s="4">
        <v>26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2" t="s">
        <v>79</v>
      </c>
      <c r="L10" s="3" t="s">
        <v>70</v>
      </c>
      <c r="M10" s="3"/>
      <c r="N10" s="3"/>
    </row>
    <row r="11" spans="1:14" x14ac:dyDescent="0.2">
      <c r="A11" s="4">
        <v>3.6</v>
      </c>
      <c r="B11" s="4">
        <v>10</v>
      </c>
      <c r="C11" s="4">
        <v>34</v>
      </c>
      <c r="D11" s="4">
        <v>26</v>
      </c>
      <c r="E11" s="4">
        <v>1</v>
      </c>
      <c r="F11" s="4">
        <v>1</v>
      </c>
      <c r="G11" s="4">
        <v>1</v>
      </c>
      <c r="H11" s="4">
        <v>0</v>
      </c>
      <c r="I11" s="4">
        <v>0</v>
      </c>
      <c r="J11" s="2" t="s">
        <v>79</v>
      </c>
      <c r="L11" s="3" t="s">
        <v>71</v>
      </c>
      <c r="M11" s="3"/>
      <c r="N11" s="3"/>
    </row>
    <row r="12" spans="1:14" x14ac:dyDescent="0.2">
      <c r="A12" s="4">
        <v>8.33</v>
      </c>
      <c r="B12" s="4">
        <v>15</v>
      </c>
      <c r="C12" s="4">
        <v>33</v>
      </c>
      <c r="D12" s="4">
        <v>26</v>
      </c>
      <c r="E12" s="4">
        <v>0</v>
      </c>
      <c r="F12" s="4">
        <v>1</v>
      </c>
      <c r="G12" s="4">
        <v>0</v>
      </c>
      <c r="H12" s="4">
        <v>0</v>
      </c>
      <c r="I12" s="4">
        <v>0</v>
      </c>
      <c r="J12" s="2" t="s">
        <v>79</v>
      </c>
      <c r="L12" s="18" t="s">
        <v>72</v>
      </c>
      <c r="M12" s="3"/>
      <c r="N12" s="3"/>
    </row>
    <row r="13" spans="1:14" x14ac:dyDescent="0.2">
      <c r="A13" s="4">
        <v>4.29</v>
      </c>
      <c r="B13" s="4">
        <v>12</v>
      </c>
      <c r="C13" s="9">
        <v>43.93</v>
      </c>
      <c r="D13" s="4">
        <v>25</v>
      </c>
      <c r="E13" s="4">
        <v>1</v>
      </c>
      <c r="F13" s="4">
        <v>1</v>
      </c>
      <c r="G13" s="4">
        <v>1</v>
      </c>
      <c r="H13" s="4">
        <v>0</v>
      </c>
      <c r="I13" s="4">
        <v>0</v>
      </c>
      <c r="J13" s="2" t="s">
        <v>79</v>
      </c>
      <c r="L13" s="3" t="s">
        <v>73</v>
      </c>
      <c r="M13" s="3"/>
      <c r="N13" s="3"/>
    </row>
    <row r="14" spans="1:14" x14ac:dyDescent="0.2">
      <c r="A14" s="4">
        <v>4.05</v>
      </c>
      <c r="B14" s="4">
        <v>8</v>
      </c>
      <c r="C14" s="9">
        <v>43.93</v>
      </c>
      <c r="D14" s="4">
        <v>25</v>
      </c>
      <c r="E14" s="4">
        <v>0</v>
      </c>
      <c r="F14" s="4">
        <v>1</v>
      </c>
      <c r="G14" s="4">
        <v>0</v>
      </c>
      <c r="H14" s="4">
        <v>0</v>
      </c>
      <c r="I14" s="4">
        <v>0</v>
      </c>
      <c r="J14" s="2" t="s">
        <v>79</v>
      </c>
      <c r="L14" s="3" t="s">
        <v>74</v>
      </c>
      <c r="M14" s="3"/>
      <c r="N14" s="3"/>
    </row>
    <row r="15" spans="1:14" x14ac:dyDescent="0.2">
      <c r="A15" s="4">
        <v>18</v>
      </c>
      <c r="B15" s="4">
        <v>18</v>
      </c>
      <c r="C15" s="4">
        <v>29</v>
      </c>
      <c r="D15" s="4">
        <v>25</v>
      </c>
      <c r="E15" s="4">
        <v>0</v>
      </c>
      <c r="F15" s="4">
        <v>1</v>
      </c>
      <c r="G15" s="4">
        <v>0</v>
      </c>
      <c r="H15" s="4">
        <v>0</v>
      </c>
      <c r="I15" s="4">
        <v>0</v>
      </c>
      <c r="J15" s="2" t="s">
        <v>79</v>
      </c>
    </row>
    <row r="16" spans="1:14" x14ac:dyDescent="0.2">
      <c r="A16" s="4">
        <v>11.25</v>
      </c>
      <c r="B16" s="4">
        <v>17</v>
      </c>
      <c r="C16" s="4">
        <v>28</v>
      </c>
      <c r="D16" s="4">
        <v>25</v>
      </c>
      <c r="E16" s="4">
        <v>0</v>
      </c>
      <c r="F16" s="4">
        <v>1</v>
      </c>
      <c r="G16" s="4">
        <v>1</v>
      </c>
      <c r="H16" s="4">
        <v>0</v>
      </c>
      <c r="I16" s="4">
        <v>0</v>
      </c>
      <c r="J16" s="2" t="s">
        <v>79</v>
      </c>
    </row>
    <row r="17" spans="1:20" x14ac:dyDescent="0.2">
      <c r="A17" s="4">
        <v>3.05</v>
      </c>
      <c r="B17" s="4">
        <v>8</v>
      </c>
      <c r="C17" s="9">
        <v>43.93</v>
      </c>
      <c r="D17" s="4">
        <v>24</v>
      </c>
      <c r="E17" s="4">
        <v>1</v>
      </c>
      <c r="F17" s="4">
        <v>0</v>
      </c>
      <c r="G17" s="4">
        <v>1</v>
      </c>
      <c r="H17" s="4">
        <v>0</v>
      </c>
      <c r="I17" s="4">
        <v>0</v>
      </c>
      <c r="J17" s="2" t="s">
        <v>79</v>
      </c>
      <c r="L17" s="3" t="s">
        <v>2</v>
      </c>
      <c r="M17" s="3"/>
      <c r="N17" s="3"/>
      <c r="O17" s="3"/>
      <c r="P17" s="3"/>
      <c r="Q17" s="3"/>
      <c r="R17" s="3"/>
      <c r="S17" s="3"/>
      <c r="T17" s="3"/>
    </row>
    <row r="18" spans="1:20" x14ac:dyDescent="0.2">
      <c r="A18" s="4">
        <v>9.85</v>
      </c>
      <c r="B18" s="4">
        <v>8</v>
      </c>
      <c r="C18" s="4">
        <v>40</v>
      </c>
      <c r="D18" s="4">
        <v>24</v>
      </c>
      <c r="E18" s="4">
        <v>0</v>
      </c>
      <c r="F18" s="4">
        <v>1</v>
      </c>
      <c r="G18" s="4">
        <v>0</v>
      </c>
      <c r="H18" s="4">
        <v>0</v>
      </c>
      <c r="I18" s="4">
        <v>0</v>
      </c>
      <c r="J18" s="2" t="s">
        <v>79</v>
      </c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">
      <c r="A19" s="4">
        <v>7.36</v>
      </c>
      <c r="B19" s="4">
        <v>8</v>
      </c>
      <c r="C19" s="4">
        <v>36</v>
      </c>
      <c r="D19" s="4">
        <v>24</v>
      </c>
      <c r="E19" s="4">
        <v>0</v>
      </c>
      <c r="F19" s="4">
        <v>1</v>
      </c>
      <c r="G19" s="4">
        <v>0</v>
      </c>
      <c r="H19" s="4">
        <v>0</v>
      </c>
      <c r="I19" s="4">
        <v>0</v>
      </c>
      <c r="J19" s="2" t="s">
        <v>79</v>
      </c>
      <c r="L19" s="34" t="s">
        <v>3</v>
      </c>
      <c r="M19" s="34"/>
      <c r="N19" s="3"/>
      <c r="O19" s="3"/>
      <c r="P19" s="3"/>
      <c r="Q19" s="3"/>
      <c r="R19" s="3"/>
      <c r="S19" s="3"/>
      <c r="T19" s="3"/>
    </row>
    <row r="20" spans="1:20" x14ac:dyDescent="0.2">
      <c r="A20" s="4">
        <v>7.5</v>
      </c>
      <c r="B20" s="4">
        <v>14</v>
      </c>
      <c r="C20" s="4">
        <v>29</v>
      </c>
      <c r="D20" s="4">
        <v>24</v>
      </c>
      <c r="E20" s="4">
        <v>0</v>
      </c>
      <c r="F20" s="4">
        <v>1</v>
      </c>
      <c r="G20" s="4">
        <v>0</v>
      </c>
      <c r="H20" s="4">
        <v>0</v>
      </c>
      <c r="I20" s="4">
        <v>0</v>
      </c>
      <c r="J20" s="2" t="s">
        <v>79</v>
      </c>
      <c r="L20" s="2" t="s">
        <v>4</v>
      </c>
      <c r="M20" s="2">
        <v>0.5893714339629369</v>
      </c>
      <c r="N20" s="3"/>
      <c r="O20" s="3"/>
      <c r="P20" s="3"/>
      <c r="Q20" s="3"/>
      <c r="R20" s="3"/>
      <c r="S20" s="3"/>
      <c r="T20" s="3"/>
    </row>
    <row r="21" spans="1:20" x14ac:dyDescent="0.2">
      <c r="A21" s="4">
        <v>2.95</v>
      </c>
      <c r="B21" s="4">
        <v>14</v>
      </c>
      <c r="C21" s="4">
        <v>41</v>
      </c>
      <c r="D21" s="4">
        <v>23</v>
      </c>
      <c r="E21" s="4">
        <v>0</v>
      </c>
      <c r="F21" s="4">
        <v>1</v>
      </c>
      <c r="G21" s="4">
        <v>0</v>
      </c>
      <c r="H21" s="4">
        <v>0</v>
      </c>
      <c r="I21" s="4">
        <v>0</v>
      </c>
      <c r="J21" s="2" t="s">
        <v>79</v>
      </c>
      <c r="L21" s="29" t="s">
        <v>5</v>
      </c>
      <c r="M21" s="29">
        <v>0.34735868717152851</v>
      </c>
      <c r="N21" s="3"/>
      <c r="O21" s="3"/>
      <c r="P21" s="3"/>
      <c r="Q21" s="3"/>
      <c r="R21" s="3"/>
      <c r="S21" s="3"/>
      <c r="T21" s="3"/>
    </row>
    <row r="22" spans="1:20" x14ac:dyDescent="0.2">
      <c r="A22" s="4">
        <v>19.98</v>
      </c>
      <c r="B22" s="4">
        <v>14</v>
      </c>
      <c r="C22" s="4">
        <v>26</v>
      </c>
      <c r="D22" s="4">
        <v>23</v>
      </c>
      <c r="E22" s="4">
        <v>0</v>
      </c>
      <c r="F22" s="4">
        <v>1</v>
      </c>
      <c r="G22" s="4">
        <v>0</v>
      </c>
      <c r="H22" s="4">
        <v>0</v>
      </c>
      <c r="I22" s="4">
        <v>0</v>
      </c>
      <c r="J22" s="2" t="s">
        <v>79</v>
      </c>
      <c r="L22" s="29" t="s">
        <v>6</v>
      </c>
      <c r="M22" s="29">
        <v>0.33379730924262524</v>
      </c>
      <c r="N22" s="3"/>
      <c r="O22" s="3"/>
      <c r="P22" s="3"/>
      <c r="Q22" s="3"/>
      <c r="R22" s="3"/>
      <c r="S22" s="3"/>
      <c r="T22" s="3"/>
    </row>
    <row r="23" spans="1:20" x14ac:dyDescent="0.2">
      <c r="A23" s="4">
        <v>13.16</v>
      </c>
      <c r="B23" s="4">
        <v>12</v>
      </c>
      <c r="C23" s="4">
        <v>34</v>
      </c>
      <c r="D23" s="4">
        <v>22</v>
      </c>
      <c r="E23" s="4">
        <v>0</v>
      </c>
      <c r="F23" s="4">
        <v>1</v>
      </c>
      <c r="G23" s="4">
        <v>0</v>
      </c>
      <c r="H23" s="4">
        <v>0</v>
      </c>
      <c r="I23" s="4">
        <v>0</v>
      </c>
      <c r="J23" s="2" t="s">
        <v>79</v>
      </c>
      <c r="L23" s="2" t="s">
        <v>7</v>
      </c>
      <c r="M23" s="2">
        <v>2.9234576452139951</v>
      </c>
      <c r="N23" s="3"/>
      <c r="O23" s="3"/>
      <c r="P23" s="3"/>
      <c r="Q23" s="3"/>
      <c r="R23" s="3"/>
      <c r="S23" s="3"/>
      <c r="T23" s="3"/>
    </row>
    <row r="24" spans="1:20" x14ac:dyDescent="0.2">
      <c r="A24" s="4">
        <v>17.5</v>
      </c>
      <c r="B24" s="4">
        <v>16</v>
      </c>
      <c r="C24" s="4">
        <v>23</v>
      </c>
      <c r="D24" s="4">
        <v>22</v>
      </c>
      <c r="E24" s="4">
        <v>0</v>
      </c>
      <c r="F24" s="4">
        <v>1</v>
      </c>
      <c r="G24" s="4">
        <v>0</v>
      </c>
      <c r="H24" s="4">
        <v>1</v>
      </c>
      <c r="I24" s="4">
        <v>0</v>
      </c>
      <c r="J24" s="2" t="s">
        <v>79</v>
      </c>
      <c r="L24" s="2" t="s">
        <v>8</v>
      </c>
      <c r="M24" s="2">
        <v>394</v>
      </c>
      <c r="N24" s="3"/>
      <c r="O24" s="3"/>
      <c r="P24" s="3"/>
      <c r="Q24" s="3"/>
      <c r="R24" s="3"/>
      <c r="S24" s="3"/>
      <c r="T24" s="3"/>
    </row>
    <row r="25" spans="1:20" x14ac:dyDescent="0.2">
      <c r="A25" s="4">
        <v>5.15</v>
      </c>
      <c r="B25" s="4">
        <v>16</v>
      </c>
      <c r="C25" s="4">
        <v>39</v>
      </c>
      <c r="D25" s="4">
        <v>21</v>
      </c>
      <c r="E25" s="4">
        <v>1</v>
      </c>
      <c r="F25" s="4">
        <v>0</v>
      </c>
      <c r="G25" s="4">
        <v>0</v>
      </c>
      <c r="H25" s="4">
        <v>1</v>
      </c>
      <c r="I25" s="4">
        <v>0</v>
      </c>
      <c r="J25" s="2" t="s">
        <v>79</v>
      </c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">
      <c r="A26" s="4">
        <v>6.88</v>
      </c>
      <c r="B26" s="4">
        <v>13</v>
      </c>
      <c r="C26" s="4">
        <v>34</v>
      </c>
      <c r="D26" s="4">
        <v>21</v>
      </c>
      <c r="E26" s="4">
        <v>0</v>
      </c>
      <c r="F26" s="4">
        <v>1</v>
      </c>
      <c r="G26" s="4">
        <v>1</v>
      </c>
      <c r="H26" s="4">
        <v>0</v>
      </c>
      <c r="I26" s="4">
        <v>0</v>
      </c>
      <c r="J26" s="2" t="s">
        <v>79</v>
      </c>
      <c r="L26" s="38" t="s">
        <v>9</v>
      </c>
      <c r="M26" s="39"/>
      <c r="N26" s="39"/>
      <c r="O26" s="39"/>
      <c r="P26" s="39"/>
      <c r="Q26" s="40"/>
      <c r="R26" s="3"/>
      <c r="S26" s="3"/>
      <c r="T26" s="3"/>
    </row>
    <row r="27" spans="1:20" x14ac:dyDescent="0.2">
      <c r="A27" s="4">
        <v>18.18</v>
      </c>
      <c r="B27" s="4">
        <v>17</v>
      </c>
      <c r="C27" s="4">
        <v>22</v>
      </c>
      <c r="D27" s="4">
        <v>21</v>
      </c>
      <c r="E27" s="10">
        <v>2</v>
      </c>
      <c r="F27" s="4">
        <v>1</v>
      </c>
      <c r="G27" s="4">
        <v>0</v>
      </c>
      <c r="H27" s="4">
        <v>1</v>
      </c>
      <c r="I27" s="4">
        <v>0</v>
      </c>
      <c r="J27" s="2" t="s">
        <v>79</v>
      </c>
      <c r="L27" s="19"/>
      <c r="M27" s="19" t="s">
        <v>14</v>
      </c>
      <c r="N27" s="19" t="s">
        <v>15</v>
      </c>
      <c r="O27" s="19" t="s">
        <v>16</v>
      </c>
      <c r="P27" s="19" t="s">
        <v>17</v>
      </c>
      <c r="Q27" s="19" t="s">
        <v>18</v>
      </c>
      <c r="R27" s="3"/>
      <c r="S27" s="3"/>
      <c r="T27" s="3"/>
    </row>
    <row r="28" spans="1:20" x14ac:dyDescent="0.2">
      <c r="A28" s="4">
        <v>11.71</v>
      </c>
      <c r="B28" s="4">
        <v>13</v>
      </c>
      <c r="C28" s="4">
        <v>40</v>
      </c>
      <c r="D28" s="4">
        <v>20</v>
      </c>
      <c r="E28" s="4">
        <v>1</v>
      </c>
      <c r="F28" s="4">
        <v>0</v>
      </c>
      <c r="G28" s="4">
        <v>0</v>
      </c>
      <c r="H28" s="4">
        <v>0</v>
      </c>
      <c r="I28" s="4">
        <v>0</v>
      </c>
      <c r="J28" s="2" t="s">
        <v>79</v>
      </c>
      <c r="L28" s="2" t="s">
        <v>10</v>
      </c>
      <c r="M28" s="23">
        <v>8</v>
      </c>
      <c r="N28" s="23">
        <v>1751.2895048637024</v>
      </c>
      <c r="O28" s="23">
        <v>218.9111881079628</v>
      </c>
      <c r="P28" s="23">
        <v>25.61381955377886</v>
      </c>
      <c r="Q28" s="33">
        <v>1.1181331650668847E-31</v>
      </c>
      <c r="R28" s="3"/>
      <c r="S28" s="3"/>
      <c r="T28" s="3"/>
    </row>
    <row r="29" spans="1:20" x14ac:dyDescent="0.2">
      <c r="A29" s="4">
        <v>3.5</v>
      </c>
      <c r="B29" s="4">
        <v>12</v>
      </c>
      <c r="C29" s="4">
        <v>26</v>
      </c>
      <c r="D29" s="4">
        <v>20</v>
      </c>
      <c r="E29" s="4">
        <v>1</v>
      </c>
      <c r="F29" s="4">
        <v>1</v>
      </c>
      <c r="G29" s="4">
        <v>1</v>
      </c>
      <c r="H29" s="4">
        <v>0</v>
      </c>
      <c r="I29" s="4">
        <v>0</v>
      </c>
      <c r="J29" s="2" t="s">
        <v>79</v>
      </c>
      <c r="L29" s="2" t="s">
        <v>11</v>
      </c>
      <c r="M29" s="23">
        <v>385</v>
      </c>
      <c r="N29" s="23">
        <v>3290.4427722936603</v>
      </c>
      <c r="O29" s="23">
        <v>8.5466046033601568</v>
      </c>
      <c r="P29" s="23"/>
      <c r="Q29" s="23"/>
      <c r="R29" s="3"/>
      <c r="S29" s="3"/>
      <c r="T29" s="3"/>
    </row>
    <row r="30" spans="1:20" x14ac:dyDescent="0.2">
      <c r="A30" s="4">
        <v>10.95</v>
      </c>
      <c r="B30" s="4">
        <v>16</v>
      </c>
      <c r="C30" s="4">
        <v>23</v>
      </c>
      <c r="D30" s="4">
        <v>20</v>
      </c>
      <c r="E30" s="4">
        <v>0</v>
      </c>
      <c r="F30" s="4">
        <v>1</v>
      </c>
      <c r="G30" s="4">
        <v>1</v>
      </c>
      <c r="H30" s="4">
        <v>0</v>
      </c>
      <c r="I30" s="4">
        <v>0</v>
      </c>
      <c r="J30" s="2" t="s">
        <v>79</v>
      </c>
      <c r="L30" s="2" t="s">
        <v>12</v>
      </c>
      <c r="M30" s="23">
        <v>393</v>
      </c>
      <c r="N30" s="23">
        <v>5041.7322771573627</v>
      </c>
      <c r="O30" s="23"/>
      <c r="P30" s="23"/>
      <c r="Q30" s="23"/>
      <c r="R30" s="3"/>
      <c r="S30" s="3"/>
      <c r="T30" s="3"/>
    </row>
    <row r="31" spans="1:20" x14ac:dyDescent="0.2">
      <c r="A31" s="4">
        <v>6.88</v>
      </c>
      <c r="B31" s="4">
        <v>12</v>
      </c>
      <c r="C31" s="4">
        <v>31</v>
      </c>
      <c r="D31" s="4">
        <v>19</v>
      </c>
      <c r="E31" s="4">
        <v>0</v>
      </c>
      <c r="F31" s="4">
        <v>1</v>
      </c>
      <c r="G31" s="4">
        <v>0</v>
      </c>
      <c r="H31" s="4">
        <v>0</v>
      </c>
      <c r="I31" s="4">
        <v>0</v>
      </c>
      <c r="J31" s="2" t="s">
        <v>79</v>
      </c>
      <c r="L31" s="3"/>
      <c r="M31" s="3"/>
      <c r="N31" s="3"/>
      <c r="O31" s="3"/>
      <c r="P31" s="3"/>
      <c r="Q31" s="3"/>
      <c r="R31" s="3"/>
      <c r="S31" s="3"/>
      <c r="T31" s="3"/>
    </row>
    <row r="32" spans="1:20" x14ac:dyDescent="0.2">
      <c r="A32" s="4">
        <v>4.67</v>
      </c>
      <c r="B32" s="4">
        <v>15</v>
      </c>
      <c r="C32" s="4">
        <v>13</v>
      </c>
      <c r="D32" s="4">
        <v>18</v>
      </c>
      <c r="E32" s="4">
        <v>0</v>
      </c>
      <c r="F32" s="4">
        <v>1</v>
      </c>
      <c r="G32" s="4">
        <v>0</v>
      </c>
      <c r="H32" s="4">
        <v>1</v>
      </c>
      <c r="I32" s="4">
        <v>1</v>
      </c>
      <c r="J32" s="2" t="s">
        <v>79</v>
      </c>
      <c r="L32" s="19"/>
      <c r="M32" s="31" t="s">
        <v>19</v>
      </c>
      <c r="N32" s="19" t="s">
        <v>7</v>
      </c>
      <c r="O32" s="19" t="s">
        <v>20</v>
      </c>
      <c r="P32" s="31" t="s">
        <v>21</v>
      </c>
      <c r="Q32" s="19" t="s">
        <v>22</v>
      </c>
      <c r="R32" s="19" t="s">
        <v>23</v>
      </c>
      <c r="S32" s="19" t="s">
        <v>24</v>
      </c>
      <c r="T32" s="19" t="s">
        <v>25</v>
      </c>
    </row>
    <row r="33" spans="1:20" x14ac:dyDescent="0.2">
      <c r="A33" s="4">
        <v>4.08</v>
      </c>
      <c r="B33" s="4">
        <v>12</v>
      </c>
      <c r="C33" s="4">
        <v>43</v>
      </c>
      <c r="D33" s="4">
        <v>17</v>
      </c>
      <c r="E33" s="10">
        <v>2</v>
      </c>
      <c r="F33" s="4">
        <v>1</v>
      </c>
      <c r="G33" s="4">
        <v>0</v>
      </c>
      <c r="H33" s="4">
        <v>0</v>
      </c>
      <c r="I33" s="4">
        <v>0</v>
      </c>
      <c r="J33" s="2" t="s">
        <v>79</v>
      </c>
      <c r="L33" s="2" t="s">
        <v>13</v>
      </c>
      <c r="M33" s="32">
        <v>-1.3004293689423818</v>
      </c>
      <c r="N33" s="25">
        <v>0.87417142091273536</v>
      </c>
      <c r="O33" s="25">
        <v>-1.4876136851792572</v>
      </c>
      <c r="P33" s="30">
        <v>0.13767134560666069</v>
      </c>
      <c r="Q33" s="25">
        <v>-3.0191769754535054</v>
      </c>
      <c r="R33" s="25">
        <v>0.41831823756874154</v>
      </c>
      <c r="S33" s="25">
        <v>-3.0191769754535054</v>
      </c>
      <c r="T33" s="25">
        <v>0.41831823756874154</v>
      </c>
    </row>
    <row r="34" spans="1:20" x14ac:dyDescent="0.2">
      <c r="A34" s="4">
        <v>6.26</v>
      </c>
      <c r="B34" s="4">
        <v>13</v>
      </c>
      <c r="C34" s="4">
        <v>37</v>
      </c>
      <c r="D34" s="4">
        <v>17</v>
      </c>
      <c r="E34" s="4">
        <v>1</v>
      </c>
      <c r="F34" s="4">
        <v>1</v>
      </c>
      <c r="G34" s="4">
        <v>0</v>
      </c>
      <c r="H34" s="4">
        <v>0</v>
      </c>
      <c r="I34" s="4">
        <v>0</v>
      </c>
      <c r="J34" s="2" t="s">
        <v>79</v>
      </c>
      <c r="L34" s="2" t="s">
        <v>0</v>
      </c>
      <c r="M34" s="32">
        <v>0.5100053350107413</v>
      </c>
      <c r="N34" s="25">
        <v>5.8232543761605603E-2</v>
      </c>
      <c r="O34" s="25">
        <v>8.7580809984639991</v>
      </c>
      <c r="P34" s="30">
        <v>6.374295916744802E-17</v>
      </c>
      <c r="Q34" s="25">
        <v>0.39551172103876825</v>
      </c>
      <c r="R34" s="25">
        <v>0.6244989489827143</v>
      </c>
      <c r="S34" s="25">
        <v>0.39551172103876825</v>
      </c>
      <c r="T34" s="25">
        <v>0.6244989489827143</v>
      </c>
    </row>
    <row r="35" spans="1:20" x14ac:dyDescent="0.2">
      <c r="A35" s="4">
        <v>4.95</v>
      </c>
      <c r="B35" s="4">
        <v>7</v>
      </c>
      <c r="C35" s="4">
        <v>25</v>
      </c>
      <c r="D35" s="4">
        <v>17</v>
      </c>
      <c r="E35" s="4">
        <v>0</v>
      </c>
      <c r="F35" s="4">
        <v>1</v>
      </c>
      <c r="G35" s="4">
        <v>0</v>
      </c>
      <c r="H35" s="4">
        <v>0</v>
      </c>
      <c r="I35" s="4">
        <v>1</v>
      </c>
      <c r="J35" s="2" t="s">
        <v>79</v>
      </c>
      <c r="L35" s="2" t="s">
        <v>1</v>
      </c>
      <c r="M35" s="32">
        <v>1.9165736598738031E-2</v>
      </c>
      <c r="N35" s="25">
        <v>1.4188044720104771E-2</v>
      </c>
      <c r="O35" s="25">
        <v>1.3508370587230925</v>
      </c>
      <c r="P35" s="35">
        <v>0.17754100384669971</v>
      </c>
      <c r="Q35" s="25">
        <v>-8.7300139604502558E-3</v>
      </c>
      <c r="R35" s="25">
        <v>4.7061487157926317E-2</v>
      </c>
      <c r="S35" s="25">
        <v>-8.7300139604502558E-3</v>
      </c>
      <c r="T35" s="25">
        <v>4.7061487157926317E-2</v>
      </c>
    </row>
    <row r="36" spans="1:20" x14ac:dyDescent="0.2">
      <c r="A36" s="4">
        <v>13.95</v>
      </c>
      <c r="B36" s="4">
        <v>16</v>
      </c>
      <c r="C36" s="4">
        <v>41</v>
      </c>
      <c r="D36" s="4">
        <v>16</v>
      </c>
      <c r="E36" s="4">
        <v>0</v>
      </c>
      <c r="F36" s="4">
        <v>1</v>
      </c>
      <c r="G36" s="4">
        <v>0</v>
      </c>
      <c r="H36" s="4">
        <v>0</v>
      </c>
      <c r="I36" s="4">
        <v>0</v>
      </c>
      <c r="J36" s="2" t="s">
        <v>79</v>
      </c>
      <c r="L36" s="2" t="s">
        <v>49</v>
      </c>
      <c r="M36" s="32">
        <v>0.14479766194216609</v>
      </c>
      <c r="N36" s="25">
        <v>2.5836213621106174E-2</v>
      </c>
      <c r="O36" s="25">
        <v>5.604445917101323</v>
      </c>
      <c r="P36" s="30">
        <v>3.9879620360836639E-8</v>
      </c>
      <c r="Q36" s="25">
        <v>9.3999924495863585E-2</v>
      </c>
      <c r="R36" s="25">
        <v>0.19559539938846859</v>
      </c>
      <c r="S36" s="25">
        <v>9.3999924495863585E-2</v>
      </c>
      <c r="T36" s="25">
        <v>0.19559539938846859</v>
      </c>
    </row>
    <row r="37" spans="1:20" x14ac:dyDescent="0.2">
      <c r="A37" s="4">
        <v>4.2</v>
      </c>
      <c r="B37" s="4">
        <v>14</v>
      </c>
      <c r="C37" s="4">
        <v>33</v>
      </c>
      <c r="D37" s="4">
        <v>16</v>
      </c>
      <c r="E37" s="4">
        <v>1</v>
      </c>
      <c r="F37" s="4">
        <v>1</v>
      </c>
      <c r="G37" s="4">
        <v>0</v>
      </c>
      <c r="H37" s="4">
        <v>0</v>
      </c>
      <c r="I37" s="4">
        <v>0</v>
      </c>
      <c r="J37" s="2" t="s">
        <v>79</v>
      </c>
      <c r="L37" s="2" t="s">
        <v>50</v>
      </c>
      <c r="M37" s="32">
        <v>-1.203181130557389</v>
      </c>
      <c r="N37" s="25">
        <v>0.26245559254713752</v>
      </c>
      <c r="O37" s="25">
        <v>-4.584322699625063</v>
      </c>
      <c r="P37" s="30">
        <v>6.1658012238181171E-6</v>
      </c>
      <c r="Q37" s="25">
        <v>-1.7192068329703738</v>
      </c>
      <c r="R37" s="25">
        <v>-0.68715542814440422</v>
      </c>
      <c r="S37" s="25">
        <v>-1.7192068329703738</v>
      </c>
      <c r="T37" s="25">
        <v>-0.68715542814440422</v>
      </c>
    </row>
    <row r="38" spans="1:20" x14ac:dyDescent="0.2">
      <c r="A38" s="4">
        <v>18</v>
      </c>
      <c r="B38" s="4">
        <v>12</v>
      </c>
      <c r="C38" s="4">
        <v>24</v>
      </c>
      <c r="D38" s="4">
        <v>16</v>
      </c>
      <c r="E38" s="4">
        <v>0</v>
      </c>
      <c r="F38" s="4">
        <v>1</v>
      </c>
      <c r="G38" s="4">
        <v>0</v>
      </c>
      <c r="H38" s="4">
        <v>0</v>
      </c>
      <c r="I38" s="4">
        <v>0</v>
      </c>
      <c r="J38" s="2" t="s">
        <v>79</v>
      </c>
      <c r="L38" s="2" t="s">
        <v>51</v>
      </c>
      <c r="M38" s="32">
        <v>0.46839607834429536</v>
      </c>
      <c r="N38" s="25">
        <v>0.3346498598523106</v>
      </c>
      <c r="O38" s="25">
        <v>1.3996601658551726</v>
      </c>
      <c r="P38" s="35">
        <v>0.16242033779573586</v>
      </c>
      <c r="Q38" s="25">
        <v>-0.18957400839211286</v>
      </c>
      <c r="R38" s="25">
        <v>1.1263661650807035</v>
      </c>
      <c r="S38" s="25">
        <v>-0.18957400839211286</v>
      </c>
      <c r="T38" s="25">
        <v>1.1263661650807035</v>
      </c>
    </row>
    <row r="39" spans="1:20" x14ac:dyDescent="0.2">
      <c r="A39" s="4">
        <v>3.51</v>
      </c>
      <c r="B39" s="4">
        <v>4</v>
      </c>
      <c r="C39" s="4">
        <v>39</v>
      </c>
      <c r="D39" s="4">
        <v>15</v>
      </c>
      <c r="E39" s="4">
        <v>0</v>
      </c>
      <c r="F39" s="4">
        <v>1</v>
      </c>
      <c r="G39" s="4">
        <v>0</v>
      </c>
      <c r="H39" s="4">
        <v>1</v>
      </c>
      <c r="I39" s="4">
        <v>0</v>
      </c>
      <c r="J39" s="2" t="s">
        <v>79</v>
      </c>
      <c r="L39" s="2" t="s">
        <v>34</v>
      </c>
      <c r="M39" s="32">
        <v>-0.28223383140972996</v>
      </c>
      <c r="N39" s="25">
        <v>0.33038020871558205</v>
      </c>
      <c r="O39" s="25">
        <v>-0.85426978966739386</v>
      </c>
      <c r="P39" s="35">
        <v>0.39348675482475193</v>
      </c>
      <c r="Q39" s="25">
        <v>-0.93180916570247274</v>
      </c>
      <c r="R39" s="25">
        <v>0.36734150288301276</v>
      </c>
      <c r="S39" s="25">
        <v>-0.93180916570247274</v>
      </c>
      <c r="T39" s="25">
        <v>0.36734150288301276</v>
      </c>
    </row>
    <row r="40" spans="1:20" x14ac:dyDescent="0.2">
      <c r="A40" s="4">
        <v>5.83</v>
      </c>
      <c r="B40" s="4">
        <v>8</v>
      </c>
      <c r="C40" s="4">
        <v>36</v>
      </c>
      <c r="D40" s="4">
        <v>15</v>
      </c>
      <c r="E40" s="4">
        <v>1</v>
      </c>
      <c r="F40" s="4">
        <v>1</v>
      </c>
      <c r="G40" s="4">
        <v>0</v>
      </c>
      <c r="H40" s="4">
        <v>0</v>
      </c>
      <c r="I40" s="4">
        <v>0</v>
      </c>
      <c r="J40" s="2" t="s">
        <v>79</v>
      </c>
      <c r="L40" s="2" t="s">
        <v>35</v>
      </c>
      <c r="M40" s="32">
        <v>1.0164623036999452</v>
      </c>
      <c r="N40" s="25">
        <v>0.41901520750864107</v>
      </c>
      <c r="O40" s="25">
        <v>2.4258363073349392</v>
      </c>
      <c r="P40" s="30">
        <v>1.5731932722347419E-2</v>
      </c>
      <c r="Q40" s="25">
        <v>0.19261772611665329</v>
      </c>
      <c r="R40" s="25">
        <v>1.8403068812832371</v>
      </c>
      <c r="S40" s="25">
        <v>0.19261772611665329</v>
      </c>
      <c r="T40" s="25">
        <v>1.8403068812832371</v>
      </c>
    </row>
    <row r="41" spans="1:20" x14ac:dyDescent="0.2">
      <c r="A41" s="4">
        <v>2.14</v>
      </c>
      <c r="B41" s="4">
        <v>13</v>
      </c>
      <c r="C41" s="4">
        <v>34</v>
      </c>
      <c r="D41" s="4">
        <v>15</v>
      </c>
      <c r="E41" s="4">
        <v>1</v>
      </c>
      <c r="F41" s="4">
        <v>1</v>
      </c>
      <c r="G41" s="4">
        <v>1</v>
      </c>
      <c r="H41" s="4">
        <v>0</v>
      </c>
      <c r="I41" s="4">
        <v>0</v>
      </c>
      <c r="J41" s="2" t="s">
        <v>79</v>
      </c>
      <c r="L41" s="2" t="s">
        <v>40</v>
      </c>
      <c r="M41" s="32">
        <v>1.0125774942664598</v>
      </c>
      <c r="N41" s="25">
        <v>0.77707742442049577</v>
      </c>
      <c r="O41" s="25">
        <v>1.3030586945973728</v>
      </c>
      <c r="P41" s="35">
        <v>0.19333350473162531</v>
      </c>
      <c r="Q41" s="25">
        <v>-0.51526925448910532</v>
      </c>
      <c r="R41" s="25">
        <v>2.540424243022025</v>
      </c>
      <c r="S41" s="25">
        <v>-0.51526925448910532</v>
      </c>
      <c r="T41" s="25">
        <v>2.540424243022025</v>
      </c>
    </row>
    <row r="42" spans="1:20" x14ac:dyDescent="0.2">
      <c r="A42" s="4">
        <v>18</v>
      </c>
      <c r="B42" s="4">
        <v>12</v>
      </c>
      <c r="C42" s="4">
        <v>31</v>
      </c>
      <c r="D42" s="4">
        <v>15</v>
      </c>
      <c r="E42" s="4">
        <v>0</v>
      </c>
      <c r="F42" s="4">
        <v>1</v>
      </c>
      <c r="G42" s="4">
        <v>0</v>
      </c>
      <c r="H42" s="4">
        <v>1</v>
      </c>
      <c r="I42" s="4">
        <v>0</v>
      </c>
      <c r="J42" s="2" t="s">
        <v>79</v>
      </c>
    </row>
    <row r="43" spans="1:20" x14ac:dyDescent="0.2">
      <c r="A43" s="4">
        <v>4.5</v>
      </c>
      <c r="B43" s="4">
        <v>12</v>
      </c>
      <c r="C43" s="4">
        <v>37</v>
      </c>
      <c r="D43" s="4">
        <v>14</v>
      </c>
      <c r="E43" s="4">
        <v>1</v>
      </c>
      <c r="F43" s="4">
        <v>1</v>
      </c>
      <c r="G43" s="4">
        <v>0</v>
      </c>
      <c r="H43" s="4">
        <v>1</v>
      </c>
      <c r="I43" s="4">
        <v>0</v>
      </c>
      <c r="J43" s="2" t="s">
        <v>79</v>
      </c>
    </row>
    <row r="44" spans="1:20" x14ac:dyDescent="0.2">
      <c r="A44" s="4">
        <v>6.5</v>
      </c>
      <c r="B44" s="4">
        <v>12</v>
      </c>
      <c r="C44" s="4">
        <v>20</v>
      </c>
      <c r="D44" s="4">
        <v>14</v>
      </c>
      <c r="E44" s="4">
        <v>0</v>
      </c>
      <c r="F44" s="4">
        <v>1</v>
      </c>
      <c r="G44" s="4">
        <v>0</v>
      </c>
      <c r="H44" s="4">
        <v>1</v>
      </c>
      <c r="I44" s="4">
        <v>0</v>
      </c>
      <c r="J44" s="2" t="s">
        <v>79</v>
      </c>
    </row>
    <row r="45" spans="1:20" x14ac:dyDescent="0.2">
      <c r="A45" s="4">
        <v>11.82</v>
      </c>
      <c r="B45" s="4">
        <v>16</v>
      </c>
      <c r="C45" s="4">
        <v>35</v>
      </c>
      <c r="D45" s="4">
        <v>13</v>
      </c>
      <c r="E45" s="4">
        <v>0</v>
      </c>
      <c r="F45" s="4">
        <v>1</v>
      </c>
      <c r="G45" s="4">
        <v>0</v>
      </c>
      <c r="H45" s="4">
        <v>1</v>
      </c>
      <c r="I45" s="4">
        <v>0</v>
      </c>
      <c r="J45" s="2" t="s">
        <v>79</v>
      </c>
    </row>
    <row r="46" spans="1:20" x14ac:dyDescent="0.2">
      <c r="A46" s="4">
        <v>3.29</v>
      </c>
      <c r="B46" s="4">
        <v>14</v>
      </c>
      <c r="C46" s="4">
        <v>30</v>
      </c>
      <c r="D46" s="4">
        <v>13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2" t="s">
        <v>79</v>
      </c>
      <c r="L46" s="3"/>
      <c r="M46" s="3"/>
      <c r="N46" s="3"/>
      <c r="O46" s="3"/>
      <c r="P46" s="3"/>
      <c r="Q46" s="3"/>
      <c r="R46" s="3"/>
      <c r="S46" s="3"/>
      <c r="T46" s="3"/>
    </row>
    <row r="47" spans="1:20" x14ac:dyDescent="0.2">
      <c r="A47" s="4">
        <v>8.48</v>
      </c>
      <c r="B47" s="4">
        <v>12</v>
      </c>
      <c r="C47" s="4">
        <v>29</v>
      </c>
      <c r="D47" s="4">
        <v>13</v>
      </c>
      <c r="E47" s="4">
        <v>0</v>
      </c>
      <c r="F47" s="4">
        <v>1</v>
      </c>
      <c r="G47" s="4">
        <v>0</v>
      </c>
      <c r="H47" s="4">
        <v>1</v>
      </c>
      <c r="I47" s="4">
        <v>0</v>
      </c>
      <c r="J47" s="2" t="s">
        <v>79</v>
      </c>
    </row>
    <row r="48" spans="1:20" x14ac:dyDescent="0.2">
      <c r="A48" s="4">
        <v>6</v>
      </c>
      <c r="B48" s="4">
        <v>13</v>
      </c>
      <c r="C48" s="4">
        <v>21</v>
      </c>
      <c r="D48" s="4">
        <v>13</v>
      </c>
      <c r="E48" s="4">
        <v>0</v>
      </c>
      <c r="F48" s="4">
        <v>1</v>
      </c>
      <c r="G48" s="4">
        <v>1</v>
      </c>
      <c r="H48" s="4">
        <v>0</v>
      </c>
      <c r="I48" s="4">
        <v>0</v>
      </c>
      <c r="J48" s="2" t="s">
        <v>79</v>
      </c>
    </row>
    <row r="49" spans="1:10" x14ac:dyDescent="0.2">
      <c r="A49" s="4">
        <v>13.7</v>
      </c>
      <c r="B49" s="4">
        <v>15</v>
      </c>
      <c r="C49" s="4">
        <v>20</v>
      </c>
      <c r="D49" s="4">
        <v>13</v>
      </c>
      <c r="E49" s="4">
        <v>0</v>
      </c>
      <c r="F49" s="4">
        <v>1</v>
      </c>
      <c r="G49" s="4">
        <v>0</v>
      </c>
      <c r="H49" s="4">
        <v>1</v>
      </c>
      <c r="I49" s="4">
        <v>0</v>
      </c>
      <c r="J49" s="2" t="s">
        <v>79</v>
      </c>
    </row>
    <row r="50" spans="1:10" x14ac:dyDescent="0.2">
      <c r="A50" s="4">
        <v>4</v>
      </c>
      <c r="B50" s="4">
        <v>11</v>
      </c>
      <c r="C50" s="9">
        <v>43.93</v>
      </c>
      <c r="D50" s="4">
        <v>12</v>
      </c>
      <c r="E50" s="4">
        <v>1</v>
      </c>
      <c r="F50" s="4">
        <v>1</v>
      </c>
      <c r="G50" s="4">
        <v>0</v>
      </c>
      <c r="H50" s="4">
        <v>1</v>
      </c>
      <c r="I50" s="4">
        <v>0</v>
      </c>
      <c r="J50" s="2" t="s">
        <v>79</v>
      </c>
    </row>
    <row r="51" spans="1:10" x14ac:dyDescent="0.2">
      <c r="A51" s="4">
        <v>4.5</v>
      </c>
      <c r="B51" s="4">
        <v>12</v>
      </c>
      <c r="C51" s="4">
        <v>35</v>
      </c>
      <c r="D51" s="4">
        <v>12</v>
      </c>
      <c r="E51" s="4">
        <v>1</v>
      </c>
      <c r="F51" s="4">
        <v>1</v>
      </c>
      <c r="G51" s="4">
        <v>0</v>
      </c>
      <c r="H51" s="4">
        <v>0</v>
      </c>
      <c r="I51" s="4">
        <v>0</v>
      </c>
      <c r="J51" s="2" t="s">
        <v>79</v>
      </c>
    </row>
    <row r="52" spans="1:10" x14ac:dyDescent="0.2">
      <c r="A52" s="4">
        <v>6.15</v>
      </c>
      <c r="B52" s="4">
        <v>12</v>
      </c>
      <c r="C52" s="4">
        <v>35</v>
      </c>
      <c r="D52" s="4">
        <v>12</v>
      </c>
      <c r="E52" s="4">
        <v>1</v>
      </c>
      <c r="F52" s="4">
        <v>0</v>
      </c>
      <c r="G52" s="4">
        <v>0</v>
      </c>
      <c r="H52" s="4">
        <v>0</v>
      </c>
      <c r="I52" s="4">
        <v>0</v>
      </c>
      <c r="J52" s="2" t="s">
        <v>79</v>
      </c>
    </row>
    <row r="53" spans="1:10" x14ac:dyDescent="0.2">
      <c r="A53" s="4">
        <v>3</v>
      </c>
      <c r="B53" s="4">
        <v>8</v>
      </c>
      <c r="C53" s="4">
        <v>33</v>
      </c>
      <c r="D53" s="4">
        <v>12</v>
      </c>
      <c r="E53" s="4">
        <v>1</v>
      </c>
      <c r="F53" s="4">
        <v>1</v>
      </c>
      <c r="G53" s="4">
        <v>1</v>
      </c>
      <c r="H53" s="4">
        <v>0</v>
      </c>
      <c r="I53" s="4">
        <v>0</v>
      </c>
      <c r="J53" s="2" t="s">
        <v>79</v>
      </c>
    </row>
    <row r="54" spans="1:10" x14ac:dyDescent="0.2">
      <c r="A54" s="4">
        <v>9.1300000000000008</v>
      </c>
      <c r="B54" s="4">
        <v>12</v>
      </c>
      <c r="C54" s="4">
        <v>14</v>
      </c>
      <c r="D54" s="4">
        <v>12</v>
      </c>
      <c r="E54" s="4">
        <v>0</v>
      </c>
      <c r="F54" s="4">
        <v>1</v>
      </c>
      <c r="G54" s="4">
        <v>1</v>
      </c>
      <c r="H54" s="4">
        <v>0</v>
      </c>
      <c r="I54" s="4">
        <v>0</v>
      </c>
      <c r="J54" s="2" t="s">
        <v>79</v>
      </c>
    </row>
    <row r="55" spans="1:10" x14ac:dyDescent="0.2">
      <c r="A55" s="4">
        <v>9.09</v>
      </c>
      <c r="B55" s="4">
        <v>15</v>
      </c>
      <c r="C55" s="4">
        <v>11</v>
      </c>
      <c r="D55" s="4">
        <v>12</v>
      </c>
      <c r="E55" s="4">
        <v>0</v>
      </c>
      <c r="F55" s="4">
        <v>1</v>
      </c>
      <c r="G55" s="4">
        <v>0</v>
      </c>
      <c r="H55" s="4">
        <v>1</v>
      </c>
      <c r="I55" s="4">
        <v>0</v>
      </c>
      <c r="J55" s="2" t="s">
        <v>79</v>
      </c>
    </row>
    <row r="56" spans="1:10" x14ac:dyDescent="0.2">
      <c r="A56" s="4">
        <v>4.4400000000000004</v>
      </c>
      <c r="B56" s="4">
        <v>8</v>
      </c>
      <c r="C56" s="4">
        <v>29</v>
      </c>
      <c r="D56" s="4">
        <v>11</v>
      </c>
      <c r="E56" s="4">
        <v>0</v>
      </c>
      <c r="F56" s="4">
        <v>1</v>
      </c>
      <c r="G56" s="4">
        <v>1</v>
      </c>
      <c r="H56" s="4">
        <v>0</v>
      </c>
      <c r="I56" s="4">
        <v>0</v>
      </c>
      <c r="J56" s="2" t="s">
        <v>79</v>
      </c>
    </row>
    <row r="57" spans="1:10" x14ac:dyDescent="0.2">
      <c r="A57" s="4">
        <v>6.5</v>
      </c>
      <c r="B57" s="4">
        <v>10</v>
      </c>
      <c r="C57" s="4">
        <v>14</v>
      </c>
      <c r="D57" s="4">
        <v>11</v>
      </c>
      <c r="E57" s="4">
        <v>0</v>
      </c>
      <c r="F57" s="4">
        <v>1</v>
      </c>
      <c r="G57" s="4">
        <v>1</v>
      </c>
      <c r="H57" s="4">
        <v>0</v>
      </c>
      <c r="I57" s="4">
        <v>0</v>
      </c>
      <c r="J57" s="2" t="s">
        <v>79</v>
      </c>
    </row>
    <row r="58" spans="1:10" x14ac:dyDescent="0.2">
      <c r="A58" s="4">
        <v>5</v>
      </c>
      <c r="B58" s="4">
        <v>12</v>
      </c>
      <c r="C58" s="4">
        <v>14</v>
      </c>
      <c r="D58" s="4">
        <v>11</v>
      </c>
      <c r="E58" s="4">
        <v>1</v>
      </c>
      <c r="F58" s="4">
        <v>0</v>
      </c>
      <c r="G58" s="4">
        <v>0</v>
      </c>
      <c r="H58" s="4">
        <v>0</v>
      </c>
      <c r="I58" s="4">
        <v>0</v>
      </c>
      <c r="J58" s="2" t="s">
        <v>79</v>
      </c>
    </row>
    <row r="59" spans="1:10" x14ac:dyDescent="0.2">
      <c r="A59" s="4">
        <v>13.33</v>
      </c>
      <c r="B59" s="4">
        <v>12</v>
      </c>
      <c r="C59" s="4">
        <v>14</v>
      </c>
      <c r="D59" s="4">
        <v>11</v>
      </c>
      <c r="E59" s="4">
        <v>0</v>
      </c>
      <c r="F59" s="4">
        <v>1</v>
      </c>
      <c r="G59" s="4">
        <v>0</v>
      </c>
      <c r="H59" s="4">
        <v>0</v>
      </c>
      <c r="I59" s="4">
        <v>0</v>
      </c>
      <c r="J59" s="2" t="s">
        <v>79</v>
      </c>
    </row>
    <row r="60" spans="1:10" x14ac:dyDescent="0.2">
      <c r="A60" s="4">
        <v>5.25</v>
      </c>
      <c r="B60" s="4">
        <v>11</v>
      </c>
      <c r="C60" s="4">
        <v>13</v>
      </c>
      <c r="D60" s="4">
        <v>11</v>
      </c>
      <c r="E60" s="4">
        <v>0</v>
      </c>
      <c r="F60" s="4">
        <v>1</v>
      </c>
      <c r="G60" s="4">
        <v>1</v>
      </c>
      <c r="H60" s="4">
        <v>0</v>
      </c>
      <c r="I60" s="4">
        <v>0</v>
      </c>
      <c r="J60" s="2" t="s">
        <v>79</v>
      </c>
    </row>
    <row r="61" spans="1:10" x14ac:dyDescent="0.2">
      <c r="A61" s="4">
        <v>2.65</v>
      </c>
      <c r="B61" s="4">
        <v>12</v>
      </c>
      <c r="C61" s="4">
        <v>42</v>
      </c>
      <c r="D61" s="4">
        <v>10</v>
      </c>
      <c r="E61" s="4">
        <v>1</v>
      </c>
      <c r="F61" s="4">
        <v>1</v>
      </c>
      <c r="G61" s="4">
        <v>0</v>
      </c>
      <c r="H61" s="4">
        <v>1</v>
      </c>
      <c r="I61" s="4">
        <v>0</v>
      </c>
      <c r="J61" s="2" t="s">
        <v>79</v>
      </c>
    </row>
    <row r="62" spans="1:10" x14ac:dyDescent="0.2">
      <c r="A62" s="4">
        <v>4.5</v>
      </c>
      <c r="B62" s="4">
        <v>11</v>
      </c>
      <c r="C62" s="4">
        <v>37</v>
      </c>
      <c r="D62" s="4">
        <v>10</v>
      </c>
      <c r="E62" s="4">
        <v>0</v>
      </c>
      <c r="F62" s="4">
        <v>1</v>
      </c>
      <c r="G62" s="4">
        <v>1</v>
      </c>
      <c r="H62" s="4">
        <v>0</v>
      </c>
      <c r="I62" s="4">
        <v>0</v>
      </c>
      <c r="J62" s="2" t="s">
        <v>79</v>
      </c>
    </row>
    <row r="63" spans="1:10" x14ac:dyDescent="0.2">
      <c r="A63" s="4">
        <v>4.17</v>
      </c>
      <c r="B63" s="4">
        <v>0</v>
      </c>
      <c r="C63" s="4">
        <v>22</v>
      </c>
      <c r="D63" s="4">
        <v>10</v>
      </c>
      <c r="E63" s="4">
        <v>1</v>
      </c>
      <c r="F63" s="4">
        <v>0</v>
      </c>
      <c r="G63" s="4">
        <v>1</v>
      </c>
      <c r="H63" s="4">
        <v>0</v>
      </c>
      <c r="I63" s="4">
        <v>0</v>
      </c>
      <c r="J63" s="2" t="s">
        <v>79</v>
      </c>
    </row>
    <row r="64" spans="1:10" x14ac:dyDescent="0.2">
      <c r="A64" s="4">
        <v>3</v>
      </c>
      <c r="B64" s="4">
        <v>16</v>
      </c>
      <c r="C64" s="4">
        <v>19</v>
      </c>
      <c r="D64" s="4">
        <v>10</v>
      </c>
      <c r="E64" s="4">
        <v>1</v>
      </c>
      <c r="F64" s="4">
        <v>1</v>
      </c>
      <c r="G64" s="4">
        <v>0</v>
      </c>
      <c r="H64" s="4">
        <v>0</v>
      </c>
      <c r="I64" s="4">
        <v>0</v>
      </c>
      <c r="J64" s="2" t="s">
        <v>79</v>
      </c>
    </row>
    <row r="65" spans="1:10" x14ac:dyDescent="0.2">
      <c r="A65" s="4">
        <v>5.25</v>
      </c>
      <c r="B65" s="4">
        <v>12</v>
      </c>
      <c r="C65" s="4">
        <v>19</v>
      </c>
      <c r="D65" s="4">
        <v>10</v>
      </c>
      <c r="E65" s="4">
        <v>1</v>
      </c>
      <c r="F65" s="4">
        <v>1</v>
      </c>
      <c r="G65" s="4">
        <v>0</v>
      </c>
      <c r="H65" s="4">
        <v>0</v>
      </c>
      <c r="I65" s="4">
        <v>0</v>
      </c>
      <c r="J65" s="2" t="s">
        <v>79</v>
      </c>
    </row>
    <row r="66" spans="1:10" x14ac:dyDescent="0.2">
      <c r="A66" s="4">
        <v>10.63</v>
      </c>
      <c r="B66" s="4">
        <v>13</v>
      </c>
      <c r="C66" s="4">
        <v>16</v>
      </c>
      <c r="D66" s="4">
        <v>10</v>
      </c>
      <c r="E66" s="4">
        <v>1</v>
      </c>
      <c r="F66" s="4">
        <v>0</v>
      </c>
      <c r="G66" s="4">
        <v>0</v>
      </c>
      <c r="H66" s="4">
        <v>1</v>
      </c>
      <c r="I66" s="4">
        <v>0</v>
      </c>
      <c r="J66" s="2" t="s">
        <v>79</v>
      </c>
    </row>
    <row r="67" spans="1:10" x14ac:dyDescent="0.2">
      <c r="A67" s="4">
        <v>3.06</v>
      </c>
      <c r="B67" s="4">
        <v>12</v>
      </c>
      <c r="C67" s="4">
        <v>14</v>
      </c>
      <c r="D67" s="4">
        <v>10</v>
      </c>
      <c r="E67" s="4">
        <v>1</v>
      </c>
      <c r="F67" s="4">
        <v>0</v>
      </c>
      <c r="G67" s="4">
        <v>1</v>
      </c>
      <c r="H67" s="4">
        <v>0</v>
      </c>
      <c r="I67" s="4">
        <v>0</v>
      </c>
      <c r="J67" s="2" t="s">
        <v>79</v>
      </c>
    </row>
    <row r="68" spans="1:10" x14ac:dyDescent="0.2">
      <c r="A68" s="4">
        <v>7.78</v>
      </c>
      <c r="B68" s="4">
        <v>16</v>
      </c>
      <c r="C68" s="4">
        <v>11</v>
      </c>
      <c r="D68" s="4">
        <v>10</v>
      </c>
      <c r="E68" s="4">
        <v>0</v>
      </c>
      <c r="F68" s="4">
        <v>1</v>
      </c>
      <c r="G68" s="4">
        <v>0</v>
      </c>
      <c r="H68" s="4">
        <v>1</v>
      </c>
      <c r="I68" s="4">
        <v>0</v>
      </c>
      <c r="J68" s="2" t="s">
        <v>79</v>
      </c>
    </row>
    <row r="69" spans="1:10" x14ac:dyDescent="0.2">
      <c r="A69" s="4">
        <v>11.98</v>
      </c>
      <c r="B69" s="4">
        <v>18</v>
      </c>
      <c r="C69" s="4">
        <v>8</v>
      </c>
      <c r="D69" s="4">
        <v>10</v>
      </c>
      <c r="E69" s="4">
        <v>0</v>
      </c>
      <c r="F69" s="4">
        <v>1</v>
      </c>
      <c r="G69" s="4">
        <v>1</v>
      </c>
      <c r="H69" s="4">
        <v>0</v>
      </c>
      <c r="I69" s="4">
        <v>0</v>
      </c>
      <c r="J69" s="2" t="s">
        <v>79</v>
      </c>
    </row>
    <row r="70" spans="1:10" x14ac:dyDescent="0.2">
      <c r="A70" s="4">
        <v>5</v>
      </c>
      <c r="B70" s="10">
        <v>12</v>
      </c>
      <c r="C70" s="4">
        <v>31</v>
      </c>
      <c r="D70" s="4">
        <v>9</v>
      </c>
      <c r="E70" s="4">
        <v>0</v>
      </c>
      <c r="F70" s="4">
        <v>1</v>
      </c>
      <c r="G70" s="4">
        <v>1</v>
      </c>
      <c r="H70" s="4">
        <v>0</v>
      </c>
      <c r="I70" s="4">
        <v>0</v>
      </c>
      <c r="J70" s="2" t="s">
        <v>79</v>
      </c>
    </row>
    <row r="71" spans="1:10" x14ac:dyDescent="0.2">
      <c r="A71" s="4">
        <v>8.6300000000000008</v>
      </c>
      <c r="B71" s="4">
        <v>12</v>
      </c>
      <c r="C71" s="4">
        <v>23</v>
      </c>
      <c r="D71" s="4">
        <v>9</v>
      </c>
      <c r="E71" s="4">
        <v>0</v>
      </c>
      <c r="F71" s="4">
        <v>1</v>
      </c>
      <c r="G71" s="4">
        <v>1</v>
      </c>
      <c r="H71" s="4">
        <v>0</v>
      </c>
      <c r="I71" s="4">
        <v>0</v>
      </c>
      <c r="J71" s="2" t="s">
        <v>79</v>
      </c>
    </row>
    <row r="72" spans="1:10" x14ac:dyDescent="0.2">
      <c r="A72" s="4">
        <v>3.3</v>
      </c>
      <c r="B72" s="4">
        <v>12</v>
      </c>
      <c r="C72" s="4">
        <v>21</v>
      </c>
      <c r="D72" s="4">
        <v>9</v>
      </c>
      <c r="E72" s="4">
        <v>1</v>
      </c>
      <c r="F72" s="4">
        <v>1</v>
      </c>
      <c r="G72" s="4">
        <v>1</v>
      </c>
      <c r="H72" s="4">
        <v>0</v>
      </c>
      <c r="I72" s="4">
        <v>0</v>
      </c>
      <c r="J72" s="2" t="s">
        <v>79</v>
      </c>
    </row>
    <row r="73" spans="1:10" x14ac:dyDescent="0.2">
      <c r="A73" s="4">
        <v>6.33</v>
      </c>
      <c r="B73" s="4">
        <v>16</v>
      </c>
      <c r="C73" s="4">
        <v>9</v>
      </c>
      <c r="D73" s="4">
        <v>9</v>
      </c>
      <c r="E73" s="4">
        <v>1</v>
      </c>
      <c r="F73" s="4">
        <v>0</v>
      </c>
      <c r="G73" s="4">
        <v>0</v>
      </c>
      <c r="H73" s="4">
        <v>1</v>
      </c>
      <c r="I73" s="4">
        <v>0</v>
      </c>
      <c r="J73" s="2" t="s">
        <v>79</v>
      </c>
    </row>
    <row r="74" spans="1:10" x14ac:dyDescent="0.2">
      <c r="A74" s="4">
        <v>2.87</v>
      </c>
      <c r="B74" s="4">
        <v>12</v>
      </c>
      <c r="C74" s="9">
        <v>43.93</v>
      </c>
      <c r="D74" s="4">
        <v>8</v>
      </c>
      <c r="E74" s="4">
        <v>1</v>
      </c>
      <c r="F74" s="4">
        <v>1</v>
      </c>
      <c r="G74" s="4">
        <v>0</v>
      </c>
      <c r="H74" s="4">
        <v>0</v>
      </c>
      <c r="I74" s="4">
        <v>0</v>
      </c>
      <c r="J74" s="2" t="s">
        <v>79</v>
      </c>
    </row>
    <row r="75" spans="1:10" x14ac:dyDescent="0.2">
      <c r="A75" s="4">
        <v>4.79</v>
      </c>
      <c r="B75" s="4">
        <v>12</v>
      </c>
      <c r="C75" s="4">
        <v>41</v>
      </c>
      <c r="D75" s="4">
        <v>8</v>
      </c>
      <c r="E75" s="4">
        <v>0</v>
      </c>
      <c r="F75" s="4">
        <v>1</v>
      </c>
      <c r="G75" s="4">
        <v>0</v>
      </c>
      <c r="H75" s="4">
        <v>0</v>
      </c>
      <c r="I75" s="4">
        <v>0</v>
      </c>
      <c r="J75" s="2" t="s">
        <v>79</v>
      </c>
    </row>
    <row r="76" spans="1:10" x14ac:dyDescent="0.2">
      <c r="A76" s="4">
        <v>3.33</v>
      </c>
      <c r="B76" s="4">
        <v>12</v>
      </c>
      <c r="C76" s="4">
        <v>36</v>
      </c>
      <c r="D76" s="4">
        <v>8</v>
      </c>
      <c r="E76" s="4">
        <v>1</v>
      </c>
      <c r="F76" s="4">
        <v>1</v>
      </c>
      <c r="G76" s="4">
        <v>1</v>
      </c>
      <c r="H76" s="4">
        <v>0</v>
      </c>
      <c r="I76" s="4">
        <v>0</v>
      </c>
      <c r="J76" s="2" t="s">
        <v>79</v>
      </c>
    </row>
    <row r="77" spans="1:10" x14ac:dyDescent="0.2">
      <c r="A77" s="4">
        <v>6.25</v>
      </c>
      <c r="B77" s="4">
        <v>10</v>
      </c>
      <c r="C77" s="4">
        <v>36</v>
      </c>
      <c r="D77" s="4">
        <v>8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2" t="s">
        <v>79</v>
      </c>
    </row>
    <row r="78" spans="1:10" x14ac:dyDescent="0.2">
      <c r="A78" s="4">
        <v>11.11</v>
      </c>
      <c r="B78" s="4">
        <v>12</v>
      </c>
      <c r="C78" s="4">
        <v>30</v>
      </c>
      <c r="D78" s="4">
        <v>8</v>
      </c>
      <c r="E78" s="4">
        <v>0</v>
      </c>
      <c r="F78" s="4">
        <v>1</v>
      </c>
      <c r="G78" s="4">
        <v>0</v>
      </c>
      <c r="H78" s="4">
        <v>0</v>
      </c>
      <c r="I78" s="4">
        <v>0</v>
      </c>
      <c r="J78" s="2" t="s">
        <v>79</v>
      </c>
    </row>
    <row r="79" spans="1:10" x14ac:dyDescent="0.2">
      <c r="A79" s="4">
        <v>8.64</v>
      </c>
      <c r="B79" s="4">
        <v>12</v>
      </c>
      <c r="C79" s="4">
        <v>28</v>
      </c>
      <c r="D79" s="4">
        <v>8</v>
      </c>
      <c r="E79" s="4">
        <v>0</v>
      </c>
      <c r="F79" s="4">
        <v>1</v>
      </c>
      <c r="G79" s="4">
        <v>0</v>
      </c>
      <c r="H79" s="4">
        <v>0</v>
      </c>
      <c r="I79" s="4">
        <v>0</v>
      </c>
      <c r="J79" s="2" t="s">
        <v>79</v>
      </c>
    </row>
    <row r="80" spans="1:10" x14ac:dyDescent="0.2">
      <c r="A80" s="4">
        <v>3.3</v>
      </c>
      <c r="B80" s="4">
        <v>12</v>
      </c>
      <c r="C80" s="4">
        <v>25</v>
      </c>
      <c r="D80" s="4">
        <v>8</v>
      </c>
      <c r="E80" s="4">
        <v>0</v>
      </c>
      <c r="F80" s="4">
        <v>1</v>
      </c>
      <c r="G80" s="4">
        <v>0</v>
      </c>
      <c r="H80" s="4">
        <v>0</v>
      </c>
      <c r="I80" s="4">
        <v>0</v>
      </c>
      <c r="J80" s="2" t="s">
        <v>79</v>
      </c>
    </row>
    <row r="81" spans="1:10" x14ac:dyDescent="0.2">
      <c r="A81" s="4">
        <v>6.33</v>
      </c>
      <c r="B81" s="4">
        <v>12</v>
      </c>
      <c r="C81" s="4">
        <v>23</v>
      </c>
      <c r="D81" s="4">
        <v>8</v>
      </c>
      <c r="E81" s="4">
        <v>0</v>
      </c>
      <c r="F81" s="4">
        <v>1</v>
      </c>
      <c r="G81" s="4">
        <v>1</v>
      </c>
      <c r="H81" s="4">
        <v>0</v>
      </c>
      <c r="I81" s="4">
        <v>0</v>
      </c>
      <c r="J81" s="2" t="s">
        <v>79</v>
      </c>
    </row>
    <row r="82" spans="1:10" x14ac:dyDescent="0.2">
      <c r="A82" s="4">
        <v>4.91</v>
      </c>
      <c r="B82" s="4">
        <v>12</v>
      </c>
      <c r="C82" s="4">
        <v>17</v>
      </c>
      <c r="D82" s="4">
        <v>8</v>
      </c>
      <c r="E82" s="4">
        <v>0</v>
      </c>
      <c r="F82" s="4">
        <v>1</v>
      </c>
      <c r="G82" s="4">
        <v>0</v>
      </c>
      <c r="H82" s="4">
        <v>0</v>
      </c>
      <c r="I82" s="4">
        <v>0</v>
      </c>
      <c r="J82" s="2" t="s">
        <v>79</v>
      </c>
    </row>
    <row r="83" spans="1:10" x14ac:dyDescent="0.2">
      <c r="A83" s="4">
        <v>8.75</v>
      </c>
      <c r="B83" s="4">
        <v>16</v>
      </c>
      <c r="C83" s="4">
        <v>9</v>
      </c>
      <c r="D83" s="4">
        <v>8</v>
      </c>
      <c r="E83" s="4">
        <v>0</v>
      </c>
      <c r="F83" s="4">
        <v>1</v>
      </c>
      <c r="G83" s="4">
        <v>0</v>
      </c>
      <c r="H83" s="4">
        <v>1</v>
      </c>
      <c r="I83" s="4">
        <v>0</v>
      </c>
      <c r="J83" s="2" t="s">
        <v>79</v>
      </c>
    </row>
    <row r="84" spans="1:10" x14ac:dyDescent="0.2">
      <c r="A84" s="4">
        <v>10</v>
      </c>
      <c r="B84" s="4">
        <v>18</v>
      </c>
      <c r="C84" s="4">
        <v>9</v>
      </c>
      <c r="D84" s="4">
        <v>8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2" t="s">
        <v>79</v>
      </c>
    </row>
    <row r="85" spans="1:10" x14ac:dyDescent="0.2">
      <c r="A85" s="4">
        <v>21.63</v>
      </c>
      <c r="B85" s="4">
        <v>18</v>
      </c>
      <c r="C85" s="4">
        <v>8</v>
      </c>
      <c r="D85" s="4">
        <v>8</v>
      </c>
      <c r="E85" s="4">
        <v>1</v>
      </c>
      <c r="F85" s="4">
        <v>0</v>
      </c>
      <c r="G85" s="4">
        <v>0</v>
      </c>
      <c r="H85" s="4">
        <v>0</v>
      </c>
      <c r="I85" s="4">
        <v>0</v>
      </c>
      <c r="J85" s="2" t="s">
        <v>79</v>
      </c>
    </row>
    <row r="86" spans="1:10" x14ac:dyDescent="0.2">
      <c r="A86" s="4">
        <v>4.57</v>
      </c>
      <c r="B86" s="4">
        <v>14</v>
      </c>
      <c r="C86" s="4">
        <v>37</v>
      </c>
      <c r="D86" s="4">
        <v>7</v>
      </c>
      <c r="E86" s="4">
        <v>1</v>
      </c>
      <c r="F86" s="4">
        <v>1</v>
      </c>
      <c r="G86" s="4">
        <v>0</v>
      </c>
      <c r="H86" s="4">
        <v>0</v>
      </c>
      <c r="I86" s="4">
        <v>0</v>
      </c>
      <c r="J86" s="2" t="s">
        <v>79</v>
      </c>
    </row>
    <row r="87" spans="1:10" x14ac:dyDescent="0.2">
      <c r="A87" s="4">
        <v>18.16</v>
      </c>
      <c r="B87" s="4">
        <v>16</v>
      </c>
      <c r="C87" s="4">
        <v>29</v>
      </c>
      <c r="D87" s="4">
        <v>7</v>
      </c>
      <c r="E87" s="4">
        <v>0</v>
      </c>
      <c r="F87" s="4">
        <v>1</v>
      </c>
      <c r="G87" s="4">
        <v>1</v>
      </c>
      <c r="H87" s="4">
        <v>0</v>
      </c>
      <c r="I87" s="4">
        <v>0</v>
      </c>
      <c r="J87" s="2" t="s">
        <v>79</v>
      </c>
    </row>
    <row r="88" spans="1:10" x14ac:dyDescent="0.2">
      <c r="A88" s="4">
        <v>11.25</v>
      </c>
      <c r="B88" s="4">
        <v>18</v>
      </c>
      <c r="C88" s="4">
        <v>15</v>
      </c>
      <c r="D88" s="4">
        <v>7</v>
      </c>
      <c r="E88" s="4">
        <v>0</v>
      </c>
      <c r="F88" s="4">
        <v>0</v>
      </c>
      <c r="G88" s="4">
        <v>0</v>
      </c>
      <c r="H88" s="4">
        <v>1</v>
      </c>
      <c r="I88" s="4">
        <v>0</v>
      </c>
      <c r="J88" s="2" t="s">
        <v>79</v>
      </c>
    </row>
    <row r="89" spans="1:10" x14ac:dyDescent="0.2">
      <c r="A89" s="4">
        <v>5.9</v>
      </c>
      <c r="B89" s="4">
        <v>12</v>
      </c>
      <c r="C89" s="4">
        <v>14</v>
      </c>
      <c r="D89" s="4">
        <v>7</v>
      </c>
      <c r="E89" s="4">
        <v>0</v>
      </c>
      <c r="F89" s="4">
        <v>1</v>
      </c>
      <c r="G89" s="4">
        <v>1</v>
      </c>
      <c r="H89" s="4">
        <v>0</v>
      </c>
      <c r="I89" s="4">
        <v>0</v>
      </c>
      <c r="J89" s="2" t="s">
        <v>79</v>
      </c>
    </row>
    <row r="90" spans="1:10" x14ac:dyDescent="0.2">
      <c r="A90" s="4">
        <v>3.71</v>
      </c>
      <c r="B90" s="4">
        <v>9</v>
      </c>
      <c r="C90" s="4">
        <v>14</v>
      </c>
      <c r="D90" s="4">
        <v>7</v>
      </c>
      <c r="E90" s="4">
        <v>0</v>
      </c>
      <c r="F90" s="4">
        <v>1</v>
      </c>
      <c r="G90" s="4">
        <v>1</v>
      </c>
      <c r="H90" s="4">
        <v>0</v>
      </c>
      <c r="I90" s="4">
        <v>0</v>
      </c>
      <c r="J90" s="2" t="s">
        <v>79</v>
      </c>
    </row>
    <row r="91" spans="1:10" x14ac:dyDescent="0.2">
      <c r="A91" s="4">
        <v>7.5</v>
      </c>
      <c r="B91" s="4">
        <v>12</v>
      </c>
      <c r="C91" s="4">
        <v>11</v>
      </c>
      <c r="D91" s="4">
        <v>7</v>
      </c>
      <c r="E91" s="10">
        <v>2</v>
      </c>
      <c r="F91" s="4">
        <v>1</v>
      </c>
      <c r="G91" s="4">
        <v>0</v>
      </c>
      <c r="H91" s="4">
        <v>0</v>
      </c>
      <c r="I91" s="4">
        <v>0</v>
      </c>
      <c r="J91" s="2" t="s">
        <v>79</v>
      </c>
    </row>
    <row r="92" spans="1:10" x14ac:dyDescent="0.2">
      <c r="A92" s="4">
        <v>5.9</v>
      </c>
      <c r="B92" s="4">
        <v>12</v>
      </c>
      <c r="C92" s="4">
        <v>9</v>
      </c>
      <c r="D92" s="4">
        <v>7</v>
      </c>
      <c r="E92" s="4">
        <v>1</v>
      </c>
      <c r="F92" s="4">
        <v>1</v>
      </c>
      <c r="G92" s="4">
        <v>0</v>
      </c>
      <c r="H92" s="4">
        <v>0</v>
      </c>
      <c r="I92" s="4">
        <v>0</v>
      </c>
      <c r="J92" s="2" t="s">
        <v>79</v>
      </c>
    </row>
    <row r="93" spans="1:10" x14ac:dyDescent="0.2">
      <c r="A93" s="4">
        <v>4.6900000000000004</v>
      </c>
      <c r="B93" s="4">
        <v>10</v>
      </c>
      <c r="C93" s="4">
        <v>7</v>
      </c>
      <c r="D93" s="4">
        <v>7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2" t="s">
        <v>79</v>
      </c>
    </row>
    <row r="94" spans="1:10" x14ac:dyDescent="0.2">
      <c r="A94" s="4">
        <v>6</v>
      </c>
      <c r="B94" s="4">
        <v>12</v>
      </c>
      <c r="C94" s="4">
        <v>7</v>
      </c>
      <c r="D94" s="4">
        <v>7</v>
      </c>
      <c r="E94" s="4">
        <v>0</v>
      </c>
      <c r="F94" s="4">
        <v>1</v>
      </c>
      <c r="G94" s="4">
        <v>0</v>
      </c>
      <c r="H94" s="4">
        <v>0</v>
      </c>
      <c r="I94" s="4">
        <v>0</v>
      </c>
      <c r="J94" s="2" t="s">
        <v>79</v>
      </c>
    </row>
    <row r="95" spans="1:10" x14ac:dyDescent="0.2">
      <c r="A95" s="4">
        <v>15</v>
      </c>
      <c r="B95" s="4">
        <v>14</v>
      </c>
      <c r="C95" s="4">
        <v>7</v>
      </c>
      <c r="D95" s="4">
        <v>7</v>
      </c>
      <c r="E95" s="4">
        <v>0</v>
      </c>
      <c r="F95" s="4">
        <v>1</v>
      </c>
      <c r="G95" s="4">
        <v>0</v>
      </c>
      <c r="H95" s="4">
        <v>0</v>
      </c>
      <c r="I95" s="4">
        <v>0</v>
      </c>
      <c r="J95" s="2" t="s">
        <v>79</v>
      </c>
    </row>
    <row r="96" spans="1:10" x14ac:dyDescent="0.2">
      <c r="A96" s="4">
        <v>3.54</v>
      </c>
      <c r="B96" s="4">
        <v>13</v>
      </c>
      <c r="C96" s="4">
        <v>6</v>
      </c>
      <c r="D96" s="4">
        <v>7</v>
      </c>
      <c r="E96" s="4">
        <v>1</v>
      </c>
      <c r="F96" s="4">
        <v>1</v>
      </c>
      <c r="G96" s="4">
        <v>0</v>
      </c>
      <c r="H96" s="4">
        <v>0</v>
      </c>
      <c r="I96" s="4">
        <v>0</v>
      </c>
      <c r="J96" s="2" t="s">
        <v>79</v>
      </c>
    </row>
    <row r="97" spans="1:10" x14ac:dyDescent="0.2">
      <c r="A97" s="4">
        <v>2.9</v>
      </c>
      <c r="B97" s="4">
        <v>8</v>
      </c>
      <c r="C97" s="9">
        <v>43.93</v>
      </c>
      <c r="D97" s="4">
        <v>6</v>
      </c>
      <c r="E97" s="4">
        <v>1</v>
      </c>
      <c r="F97" s="4">
        <v>0</v>
      </c>
      <c r="G97" s="4">
        <v>0</v>
      </c>
      <c r="H97" s="4">
        <v>0</v>
      </c>
      <c r="I97" s="4">
        <v>0</v>
      </c>
      <c r="J97" s="2" t="s">
        <v>79</v>
      </c>
    </row>
    <row r="98" spans="1:10" x14ac:dyDescent="0.2">
      <c r="A98" s="4">
        <v>4</v>
      </c>
      <c r="B98" s="4">
        <v>12</v>
      </c>
      <c r="C98" s="4">
        <v>43</v>
      </c>
      <c r="D98" s="4">
        <v>6</v>
      </c>
      <c r="E98" s="4">
        <v>1</v>
      </c>
      <c r="F98" s="4">
        <v>1</v>
      </c>
      <c r="G98" s="4">
        <v>0</v>
      </c>
      <c r="H98" s="4">
        <v>0</v>
      </c>
      <c r="I98" s="4">
        <v>0</v>
      </c>
      <c r="J98" s="2" t="s">
        <v>79</v>
      </c>
    </row>
    <row r="99" spans="1:10" x14ac:dyDescent="0.2">
      <c r="A99" s="4">
        <v>6.25</v>
      </c>
      <c r="B99" s="4">
        <v>12</v>
      </c>
      <c r="C99" s="4">
        <v>21</v>
      </c>
      <c r="D99" s="4">
        <v>6</v>
      </c>
      <c r="E99" s="4">
        <v>0</v>
      </c>
      <c r="F99" s="4">
        <v>1</v>
      </c>
      <c r="G99" s="4">
        <v>1</v>
      </c>
      <c r="H99" s="4">
        <v>0</v>
      </c>
      <c r="I99" s="4">
        <v>0</v>
      </c>
      <c r="J99" s="2" t="s">
        <v>79</v>
      </c>
    </row>
    <row r="100" spans="1:10" x14ac:dyDescent="0.2">
      <c r="A100" s="4">
        <v>5.8</v>
      </c>
      <c r="B100" s="4">
        <v>12</v>
      </c>
      <c r="C100" s="4">
        <v>19</v>
      </c>
      <c r="D100" s="4">
        <v>6</v>
      </c>
      <c r="E100" s="4">
        <v>1</v>
      </c>
      <c r="F100" s="4">
        <v>1</v>
      </c>
      <c r="G100" s="4">
        <v>0</v>
      </c>
      <c r="H100" s="4">
        <v>0</v>
      </c>
      <c r="I100" s="4">
        <v>0</v>
      </c>
      <c r="J100" s="2" t="s">
        <v>79</v>
      </c>
    </row>
    <row r="101" spans="1:10" x14ac:dyDescent="0.2">
      <c r="A101" s="4">
        <v>8</v>
      </c>
      <c r="B101" s="4">
        <v>12</v>
      </c>
      <c r="C101" s="4">
        <v>17</v>
      </c>
      <c r="D101" s="4">
        <v>6</v>
      </c>
      <c r="E101" s="4">
        <v>0</v>
      </c>
      <c r="F101" s="4">
        <v>1</v>
      </c>
      <c r="G101" s="4">
        <v>1</v>
      </c>
      <c r="H101" s="4">
        <v>0</v>
      </c>
      <c r="I101" s="4">
        <v>0</v>
      </c>
      <c r="J101" s="2" t="s">
        <v>79</v>
      </c>
    </row>
    <row r="102" spans="1:10" x14ac:dyDescent="0.2">
      <c r="A102" s="4">
        <v>6.15</v>
      </c>
      <c r="B102" s="4">
        <v>12</v>
      </c>
      <c r="C102" s="4">
        <v>15</v>
      </c>
      <c r="D102" s="4">
        <v>6</v>
      </c>
      <c r="E102" s="4">
        <v>1</v>
      </c>
      <c r="F102" s="4">
        <v>1</v>
      </c>
      <c r="G102" s="4">
        <v>0</v>
      </c>
      <c r="H102" s="4">
        <v>1</v>
      </c>
      <c r="I102" s="4">
        <v>0</v>
      </c>
      <c r="J102" s="2" t="s">
        <v>79</v>
      </c>
    </row>
    <row r="103" spans="1:10" x14ac:dyDescent="0.2">
      <c r="A103" s="4">
        <v>5.91</v>
      </c>
      <c r="B103" s="4">
        <v>12</v>
      </c>
      <c r="C103" s="4">
        <v>14</v>
      </c>
      <c r="D103" s="4">
        <v>6</v>
      </c>
      <c r="E103" s="4">
        <v>0</v>
      </c>
      <c r="F103" s="4">
        <v>1</v>
      </c>
      <c r="G103" s="4">
        <v>0</v>
      </c>
      <c r="H103" s="4">
        <v>0</v>
      </c>
      <c r="I103" s="4">
        <v>0</v>
      </c>
      <c r="J103" s="2" t="s">
        <v>79</v>
      </c>
    </row>
    <row r="104" spans="1:10" x14ac:dyDescent="0.2">
      <c r="A104" s="4">
        <v>8.5299999999999994</v>
      </c>
      <c r="B104" s="4">
        <v>10</v>
      </c>
      <c r="C104" s="4">
        <v>14</v>
      </c>
      <c r="D104" s="4">
        <v>6</v>
      </c>
      <c r="E104" s="4">
        <v>0</v>
      </c>
      <c r="F104" s="4">
        <v>1</v>
      </c>
      <c r="G104" s="4">
        <v>1</v>
      </c>
      <c r="H104" s="4">
        <v>0</v>
      </c>
      <c r="I104" s="4">
        <v>0</v>
      </c>
      <c r="J104" s="2" t="s">
        <v>79</v>
      </c>
    </row>
    <row r="105" spans="1:10" x14ac:dyDescent="0.2">
      <c r="A105" s="4">
        <v>8.43</v>
      </c>
      <c r="B105" s="4">
        <v>16</v>
      </c>
      <c r="C105" s="4">
        <v>8</v>
      </c>
      <c r="D105" s="4">
        <v>6</v>
      </c>
      <c r="E105" s="4">
        <v>0</v>
      </c>
      <c r="F105" s="4">
        <v>1</v>
      </c>
      <c r="G105" s="4">
        <v>1</v>
      </c>
      <c r="H105" s="4">
        <v>0</v>
      </c>
      <c r="I105" s="4">
        <v>0</v>
      </c>
      <c r="J105" s="2" t="s">
        <v>79</v>
      </c>
    </row>
    <row r="106" spans="1:10" x14ac:dyDescent="0.2">
      <c r="A106" s="4">
        <v>6.45</v>
      </c>
      <c r="B106" s="4">
        <v>12</v>
      </c>
      <c r="C106" s="4">
        <v>7</v>
      </c>
      <c r="D106" s="4">
        <v>6</v>
      </c>
      <c r="E106" s="10">
        <v>2</v>
      </c>
      <c r="F106" s="4">
        <v>1</v>
      </c>
      <c r="G106" s="4">
        <v>1</v>
      </c>
      <c r="H106" s="4">
        <v>0</v>
      </c>
      <c r="I106" s="4">
        <v>0</v>
      </c>
      <c r="J106" s="2" t="s">
        <v>79</v>
      </c>
    </row>
    <row r="107" spans="1:10" x14ac:dyDescent="0.2">
      <c r="A107" s="4">
        <v>3.5</v>
      </c>
      <c r="B107" s="4">
        <v>12</v>
      </c>
      <c r="C107" s="4">
        <v>7</v>
      </c>
      <c r="D107" s="4">
        <v>6</v>
      </c>
      <c r="E107" s="4">
        <v>1</v>
      </c>
      <c r="F107" s="4">
        <v>1</v>
      </c>
      <c r="G107" s="4">
        <v>0</v>
      </c>
      <c r="H107" s="4">
        <v>0</v>
      </c>
      <c r="I107" s="4">
        <v>0</v>
      </c>
      <c r="J107" s="2" t="s">
        <v>79</v>
      </c>
    </row>
    <row r="108" spans="1:10" x14ac:dyDescent="0.2">
      <c r="A108" s="4">
        <v>5.13</v>
      </c>
      <c r="B108" s="4">
        <v>15</v>
      </c>
      <c r="C108" s="4">
        <v>6</v>
      </c>
      <c r="D108" s="4">
        <v>6</v>
      </c>
      <c r="E108" s="10">
        <v>2</v>
      </c>
      <c r="F108" s="4">
        <v>0</v>
      </c>
      <c r="G108" s="4">
        <v>0</v>
      </c>
      <c r="H108" s="4">
        <v>0</v>
      </c>
      <c r="I108" s="4">
        <v>0</v>
      </c>
      <c r="J108" s="2" t="s">
        <v>79</v>
      </c>
    </row>
    <row r="109" spans="1:10" x14ac:dyDescent="0.2">
      <c r="A109" s="4">
        <v>7.14</v>
      </c>
      <c r="B109" s="4">
        <v>12</v>
      </c>
      <c r="C109" s="4">
        <v>43</v>
      </c>
      <c r="D109" s="4">
        <v>5</v>
      </c>
      <c r="E109" s="4">
        <v>1</v>
      </c>
      <c r="F109" s="4">
        <v>0</v>
      </c>
      <c r="G109" s="4">
        <v>0</v>
      </c>
      <c r="H109" s="4">
        <v>0</v>
      </c>
      <c r="I109" s="4">
        <v>0</v>
      </c>
      <c r="J109" s="2" t="s">
        <v>79</v>
      </c>
    </row>
    <row r="110" spans="1:10" x14ac:dyDescent="0.2">
      <c r="A110" s="4">
        <v>12.39</v>
      </c>
      <c r="B110" s="4">
        <v>14</v>
      </c>
      <c r="C110" s="4">
        <v>42</v>
      </c>
      <c r="D110" s="4">
        <v>5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2" t="s">
        <v>79</v>
      </c>
    </row>
    <row r="111" spans="1:10" x14ac:dyDescent="0.2">
      <c r="A111" s="4">
        <v>8</v>
      </c>
      <c r="B111" s="4">
        <v>13</v>
      </c>
      <c r="C111" s="4">
        <v>28</v>
      </c>
      <c r="D111" s="4">
        <v>5</v>
      </c>
      <c r="E111" s="4">
        <v>0</v>
      </c>
      <c r="F111" s="4">
        <v>1</v>
      </c>
      <c r="G111" s="4">
        <v>0</v>
      </c>
      <c r="H111" s="4">
        <v>0</v>
      </c>
      <c r="I111" s="4">
        <v>0</v>
      </c>
      <c r="J111" s="2" t="s">
        <v>79</v>
      </c>
    </row>
    <row r="112" spans="1:10" x14ac:dyDescent="0.2">
      <c r="A112" s="4">
        <v>5</v>
      </c>
      <c r="B112" s="10">
        <v>12</v>
      </c>
      <c r="C112" s="4">
        <v>24</v>
      </c>
      <c r="D112" s="4">
        <v>5</v>
      </c>
      <c r="E112" s="4">
        <v>0</v>
      </c>
      <c r="F112" s="4">
        <v>1</v>
      </c>
      <c r="G112" s="4">
        <v>1</v>
      </c>
      <c r="H112" s="4">
        <v>0</v>
      </c>
      <c r="I112" s="4">
        <v>0</v>
      </c>
      <c r="J112" s="2" t="s">
        <v>79</v>
      </c>
    </row>
    <row r="113" spans="1:10" x14ac:dyDescent="0.2">
      <c r="A113" s="4">
        <v>13</v>
      </c>
      <c r="B113" s="4">
        <v>14</v>
      </c>
      <c r="C113" s="4">
        <v>23</v>
      </c>
      <c r="D113" s="4">
        <v>5</v>
      </c>
      <c r="E113" s="4">
        <v>0</v>
      </c>
      <c r="F113" s="4">
        <v>1</v>
      </c>
      <c r="G113" s="4">
        <v>0</v>
      </c>
      <c r="H113" s="4">
        <v>1</v>
      </c>
      <c r="I113" s="4">
        <v>0</v>
      </c>
      <c r="J113" s="2" t="s">
        <v>79</v>
      </c>
    </row>
    <row r="114" spans="1:10" x14ac:dyDescent="0.2">
      <c r="A114" s="4">
        <v>4.5</v>
      </c>
      <c r="B114" s="4">
        <v>9</v>
      </c>
      <c r="C114" s="4">
        <v>22</v>
      </c>
      <c r="D114" s="4">
        <v>5</v>
      </c>
      <c r="E114" s="4">
        <v>0</v>
      </c>
      <c r="F114" s="4">
        <v>1</v>
      </c>
      <c r="G114" s="4">
        <v>0</v>
      </c>
      <c r="H114" s="4">
        <v>0</v>
      </c>
      <c r="I114" s="4">
        <v>0</v>
      </c>
      <c r="J114" s="2" t="s">
        <v>79</v>
      </c>
    </row>
    <row r="115" spans="1:10" x14ac:dyDescent="0.2">
      <c r="A115" s="4">
        <v>8.18</v>
      </c>
      <c r="B115" s="4">
        <v>13</v>
      </c>
      <c r="C115" s="4">
        <v>21</v>
      </c>
      <c r="D115" s="4">
        <v>5</v>
      </c>
      <c r="E115" s="4">
        <v>0</v>
      </c>
      <c r="F115" s="4">
        <v>0</v>
      </c>
      <c r="G115" s="4">
        <v>0</v>
      </c>
      <c r="H115" s="4">
        <v>1</v>
      </c>
      <c r="I115" s="4">
        <v>0</v>
      </c>
      <c r="J115" s="2" t="s">
        <v>79</v>
      </c>
    </row>
    <row r="116" spans="1:10" x14ac:dyDescent="0.2">
      <c r="A116" s="4">
        <v>11.55</v>
      </c>
      <c r="B116" s="4">
        <v>16</v>
      </c>
      <c r="C116" s="4">
        <v>20</v>
      </c>
      <c r="D116" s="4">
        <v>5</v>
      </c>
      <c r="E116" s="4">
        <v>1</v>
      </c>
      <c r="F116" s="4">
        <v>1</v>
      </c>
      <c r="G116" s="4">
        <v>1</v>
      </c>
      <c r="H116" s="4">
        <v>0</v>
      </c>
      <c r="I116" s="4">
        <v>1</v>
      </c>
      <c r="J116" s="2" t="s">
        <v>79</v>
      </c>
    </row>
    <row r="117" spans="1:10" x14ac:dyDescent="0.2">
      <c r="A117" s="4">
        <v>5</v>
      </c>
      <c r="B117" s="4">
        <v>14</v>
      </c>
      <c r="C117" s="4">
        <v>19</v>
      </c>
      <c r="D117" s="4">
        <v>5</v>
      </c>
      <c r="E117" s="4">
        <v>0</v>
      </c>
      <c r="F117" s="4">
        <v>1</v>
      </c>
      <c r="G117" s="4">
        <v>1</v>
      </c>
      <c r="H117" s="4">
        <v>0</v>
      </c>
      <c r="I117" s="4">
        <v>0</v>
      </c>
      <c r="J117" s="2" t="s">
        <v>79</v>
      </c>
    </row>
    <row r="118" spans="1:10" x14ac:dyDescent="0.2">
      <c r="A118" s="4">
        <v>10</v>
      </c>
      <c r="B118" s="4">
        <v>14</v>
      </c>
      <c r="C118" s="4">
        <v>18</v>
      </c>
      <c r="D118" s="4">
        <v>5</v>
      </c>
      <c r="E118" s="4">
        <v>0</v>
      </c>
      <c r="F118" s="4">
        <v>1</v>
      </c>
      <c r="G118" s="4">
        <v>1</v>
      </c>
      <c r="H118" s="4">
        <v>0</v>
      </c>
      <c r="I118" s="4">
        <v>0</v>
      </c>
      <c r="J118" s="2" t="s">
        <v>79</v>
      </c>
    </row>
    <row r="119" spans="1:10" x14ac:dyDescent="0.2">
      <c r="A119" s="4">
        <v>12.5</v>
      </c>
      <c r="B119" s="4">
        <v>18</v>
      </c>
      <c r="C119" s="4">
        <v>16</v>
      </c>
      <c r="D119" s="4">
        <v>5</v>
      </c>
      <c r="E119" s="4">
        <v>0</v>
      </c>
      <c r="F119" s="4">
        <v>1</v>
      </c>
      <c r="G119" s="4">
        <v>0</v>
      </c>
      <c r="H119" s="4">
        <v>0</v>
      </c>
      <c r="I119" s="4">
        <v>0</v>
      </c>
      <c r="J119" s="2" t="s">
        <v>79</v>
      </c>
    </row>
    <row r="120" spans="1:10" x14ac:dyDescent="0.2">
      <c r="A120" s="4">
        <v>5</v>
      </c>
      <c r="B120" s="4">
        <v>12</v>
      </c>
      <c r="C120" s="4">
        <v>15</v>
      </c>
      <c r="D120" s="4">
        <v>5</v>
      </c>
      <c r="E120" s="4">
        <v>0</v>
      </c>
      <c r="F120" s="4">
        <v>1</v>
      </c>
      <c r="G120" s="4">
        <v>0</v>
      </c>
      <c r="H120" s="4">
        <v>0</v>
      </c>
      <c r="I120" s="4">
        <v>0</v>
      </c>
      <c r="J120" s="2" t="s">
        <v>79</v>
      </c>
    </row>
    <row r="121" spans="1:10" x14ac:dyDescent="0.2">
      <c r="A121" s="4">
        <v>5</v>
      </c>
      <c r="B121" s="10">
        <v>12</v>
      </c>
      <c r="C121" s="4">
        <v>15</v>
      </c>
      <c r="D121" s="4">
        <v>5</v>
      </c>
      <c r="E121" s="4">
        <v>0</v>
      </c>
      <c r="F121" s="4">
        <v>1</v>
      </c>
      <c r="G121" s="4">
        <v>1</v>
      </c>
      <c r="H121" s="4">
        <v>0</v>
      </c>
      <c r="I121" s="4">
        <v>0</v>
      </c>
      <c r="J121" s="2" t="s">
        <v>79</v>
      </c>
    </row>
    <row r="122" spans="1:10" x14ac:dyDescent="0.2">
      <c r="A122" s="4">
        <v>3.2</v>
      </c>
      <c r="B122" s="4">
        <v>12</v>
      </c>
      <c r="C122" s="4">
        <v>15</v>
      </c>
      <c r="D122" s="4">
        <v>5</v>
      </c>
      <c r="E122" s="4">
        <v>1</v>
      </c>
      <c r="F122" s="4">
        <v>1</v>
      </c>
      <c r="G122" s="4">
        <v>1</v>
      </c>
      <c r="H122" s="4">
        <v>0</v>
      </c>
      <c r="I122" s="4">
        <v>0</v>
      </c>
      <c r="J122" s="2" t="s">
        <v>79</v>
      </c>
    </row>
    <row r="123" spans="1:10" x14ac:dyDescent="0.2">
      <c r="A123" s="4">
        <v>3.26</v>
      </c>
      <c r="B123" s="4">
        <v>16</v>
      </c>
      <c r="C123" s="4">
        <v>15</v>
      </c>
      <c r="D123" s="4">
        <v>5</v>
      </c>
      <c r="E123" s="4">
        <v>1</v>
      </c>
      <c r="F123" s="4">
        <v>1</v>
      </c>
      <c r="G123" s="4">
        <v>1</v>
      </c>
      <c r="H123" s="4">
        <v>0</v>
      </c>
      <c r="I123" s="4">
        <v>0</v>
      </c>
      <c r="J123" s="2" t="s">
        <v>79</v>
      </c>
    </row>
    <row r="124" spans="1:10" x14ac:dyDescent="0.2">
      <c r="A124" s="4">
        <v>4.24</v>
      </c>
      <c r="B124" s="4">
        <v>10</v>
      </c>
      <c r="C124" s="4">
        <v>14</v>
      </c>
      <c r="D124" s="4">
        <v>5</v>
      </c>
      <c r="E124" s="10">
        <v>2</v>
      </c>
      <c r="F124" s="4">
        <v>1</v>
      </c>
      <c r="G124" s="4">
        <v>1</v>
      </c>
      <c r="H124" s="4">
        <v>0</v>
      </c>
      <c r="I124" s="4">
        <v>0</v>
      </c>
      <c r="J124" s="2" t="s">
        <v>79</v>
      </c>
    </row>
    <row r="125" spans="1:10" x14ac:dyDescent="0.2">
      <c r="A125" s="4">
        <v>9</v>
      </c>
      <c r="B125" s="4">
        <v>12</v>
      </c>
      <c r="C125" s="4">
        <v>11</v>
      </c>
      <c r="D125" s="4">
        <v>5</v>
      </c>
      <c r="E125" s="4">
        <v>1</v>
      </c>
      <c r="F125" s="4">
        <v>1</v>
      </c>
      <c r="G125" s="4">
        <v>0</v>
      </c>
      <c r="H125" s="4">
        <v>0</v>
      </c>
      <c r="I125" s="4">
        <v>0</v>
      </c>
      <c r="J125" s="2" t="s">
        <v>79</v>
      </c>
    </row>
    <row r="126" spans="1:10" x14ac:dyDescent="0.2">
      <c r="A126" s="4">
        <v>5.71</v>
      </c>
      <c r="B126" s="4">
        <v>16</v>
      </c>
      <c r="C126" s="4">
        <v>10</v>
      </c>
      <c r="D126" s="4">
        <v>5</v>
      </c>
      <c r="E126" s="4">
        <v>0</v>
      </c>
      <c r="F126" s="4">
        <v>1</v>
      </c>
      <c r="G126" s="4">
        <v>0</v>
      </c>
      <c r="H126" s="4">
        <v>0</v>
      </c>
      <c r="I126" s="4">
        <v>0</v>
      </c>
      <c r="J126" s="2" t="s">
        <v>79</v>
      </c>
    </row>
    <row r="127" spans="1:10" x14ac:dyDescent="0.2">
      <c r="A127" s="4">
        <v>6.5</v>
      </c>
      <c r="B127" s="4">
        <v>12</v>
      </c>
      <c r="C127" s="4">
        <v>8</v>
      </c>
      <c r="D127" s="4">
        <v>5</v>
      </c>
      <c r="E127" s="4">
        <v>1</v>
      </c>
      <c r="F127" s="4">
        <v>1</v>
      </c>
      <c r="G127" s="4">
        <v>1</v>
      </c>
      <c r="H127" s="4">
        <v>0</v>
      </c>
      <c r="I127" s="4">
        <v>0</v>
      </c>
      <c r="J127" s="2" t="s">
        <v>79</v>
      </c>
    </row>
    <row r="128" spans="1:10" x14ac:dyDescent="0.2">
      <c r="A128" s="4">
        <v>6.67</v>
      </c>
      <c r="B128" s="4">
        <v>12</v>
      </c>
      <c r="C128" s="4">
        <v>7</v>
      </c>
      <c r="D128" s="4">
        <v>5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2" t="s">
        <v>79</v>
      </c>
    </row>
    <row r="129" spans="1:10" x14ac:dyDescent="0.2">
      <c r="A129" s="4">
        <v>7</v>
      </c>
      <c r="B129" s="4">
        <v>12</v>
      </c>
      <c r="C129" s="4">
        <v>6</v>
      </c>
      <c r="D129" s="4">
        <v>5</v>
      </c>
      <c r="E129" s="4">
        <v>0</v>
      </c>
      <c r="F129" s="4">
        <v>1</v>
      </c>
      <c r="G129" s="4">
        <v>1</v>
      </c>
      <c r="H129" s="4">
        <v>0</v>
      </c>
      <c r="I129" s="4">
        <v>1</v>
      </c>
      <c r="J129" s="2" t="s">
        <v>79</v>
      </c>
    </row>
    <row r="130" spans="1:10" x14ac:dyDescent="0.2">
      <c r="A130" s="4">
        <v>3.13</v>
      </c>
      <c r="B130" s="4">
        <v>12</v>
      </c>
      <c r="C130" s="4">
        <v>6</v>
      </c>
      <c r="D130" s="4">
        <v>5</v>
      </c>
      <c r="E130" s="4">
        <v>1</v>
      </c>
      <c r="F130" s="4">
        <v>1</v>
      </c>
      <c r="G130" s="4">
        <v>1</v>
      </c>
      <c r="H130" s="4">
        <v>0</v>
      </c>
      <c r="I130" s="4">
        <v>0</v>
      </c>
      <c r="J130" s="2" t="s">
        <v>79</v>
      </c>
    </row>
    <row r="131" spans="1:10" x14ac:dyDescent="0.2">
      <c r="A131" s="4">
        <v>6.25</v>
      </c>
      <c r="B131" s="10">
        <v>12</v>
      </c>
      <c r="C131" s="4">
        <v>6</v>
      </c>
      <c r="D131" s="4">
        <v>5</v>
      </c>
      <c r="E131" s="4">
        <v>1</v>
      </c>
      <c r="F131" s="4">
        <v>1</v>
      </c>
      <c r="G131" s="4">
        <v>0</v>
      </c>
      <c r="H131" s="4">
        <v>0</v>
      </c>
      <c r="I131" s="4">
        <v>0</v>
      </c>
      <c r="J131" s="2" t="s">
        <v>79</v>
      </c>
    </row>
    <row r="132" spans="1:10" x14ac:dyDescent="0.2">
      <c r="A132" s="4">
        <v>5.75</v>
      </c>
      <c r="B132" s="4">
        <v>14</v>
      </c>
      <c r="C132" s="4">
        <v>6</v>
      </c>
      <c r="D132" s="4">
        <v>5</v>
      </c>
      <c r="E132" s="4">
        <v>0</v>
      </c>
      <c r="F132" s="4">
        <v>1</v>
      </c>
      <c r="G132" s="4">
        <v>0</v>
      </c>
      <c r="H132" s="4">
        <v>0</v>
      </c>
      <c r="I132" s="4">
        <v>0</v>
      </c>
      <c r="J132" s="2" t="s">
        <v>79</v>
      </c>
    </row>
    <row r="133" spans="1:10" x14ac:dyDescent="0.2">
      <c r="A133" s="4">
        <v>4.5</v>
      </c>
      <c r="B133" s="4">
        <v>14</v>
      </c>
      <c r="C133" s="4">
        <v>2</v>
      </c>
      <c r="D133" s="4">
        <v>5</v>
      </c>
      <c r="E133" s="4">
        <v>1</v>
      </c>
      <c r="F133" s="4">
        <v>0</v>
      </c>
      <c r="G133" s="4">
        <v>0</v>
      </c>
      <c r="H133" s="4">
        <v>1</v>
      </c>
      <c r="I133" s="4">
        <v>0</v>
      </c>
      <c r="J133" s="2" t="s">
        <v>79</v>
      </c>
    </row>
    <row r="134" spans="1:10" x14ac:dyDescent="0.2">
      <c r="A134" s="4">
        <v>4.5</v>
      </c>
      <c r="B134" s="4">
        <v>12</v>
      </c>
      <c r="C134" s="9">
        <v>43.93</v>
      </c>
      <c r="D134" s="4">
        <v>4</v>
      </c>
      <c r="E134" s="4">
        <v>1</v>
      </c>
      <c r="F134" s="4">
        <v>1</v>
      </c>
      <c r="G134" s="4">
        <v>0</v>
      </c>
      <c r="H134" s="4">
        <v>0</v>
      </c>
      <c r="I134" s="4">
        <v>0</v>
      </c>
      <c r="J134" s="2" t="s">
        <v>79</v>
      </c>
    </row>
    <row r="135" spans="1:10" x14ac:dyDescent="0.2">
      <c r="A135" s="4">
        <v>3.33</v>
      </c>
      <c r="B135" s="4">
        <v>12</v>
      </c>
      <c r="C135" s="9">
        <v>43.93</v>
      </c>
      <c r="D135" s="4">
        <v>4</v>
      </c>
      <c r="E135" s="4">
        <v>1</v>
      </c>
      <c r="F135" s="4">
        <v>1</v>
      </c>
      <c r="G135" s="4">
        <v>0</v>
      </c>
      <c r="H135" s="4">
        <v>0</v>
      </c>
      <c r="I135" s="4">
        <v>0</v>
      </c>
      <c r="J135" s="2" t="s">
        <v>79</v>
      </c>
    </row>
    <row r="136" spans="1:10" x14ac:dyDescent="0.2">
      <c r="A136" s="4">
        <v>10</v>
      </c>
      <c r="B136" s="4">
        <v>14</v>
      </c>
      <c r="C136" s="4">
        <v>43</v>
      </c>
      <c r="D136" s="4">
        <v>4</v>
      </c>
      <c r="E136" s="10">
        <v>2</v>
      </c>
      <c r="F136" s="4">
        <v>1</v>
      </c>
      <c r="G136" s="4">
        <v>0</v>
      </c>
      <c r="H136" s="4">
        <v>0</v>
      </c>
      <c r="I136" s="4">
        <v>0</v>
      </c>
      <c r="J136" s="2" t="s">
        <v>79</v>
      </c>
    </row>
    <row r="137" spans="1:10" x14ac:dyDescent="0.2">
      <c r="A137" s="4">
        <v>4.5</v>
      </c>
      <c r="B137" s="4">
        <v>12</v>
      </c>
      <c r="C137" s="4">
        <v>31</v>
      </c>
      <c r="D137" s="4">
        <v>4</v>
      </c>
      <c r="E137" s="4">
        <v>1</v>
      </c>
      <c r="F137" s="4">
        <v>1</v>
      </c>
      <c r="G137" s="4">
        <v>1</v>
      </c>
      <c r="H137" s="4">
        <v>0</v>
      </c>
      <c r="I137" s="4">
        <v>0</v>
      </c>
      <c r="J137" s="2" t="s">
        <v>79</v>
      </c>
    </row>
    <row r="138" spans="1:10" x14ac:dyDescent="0.2">
      <c r="A138" s="4">
        <v>4.2699999999999996</v>
      </c>
      <c r="B138" s="4">
        <v>16</v>
      </c>
      <c r="C138" s="4">
        <v>22</v>
      </c>
      <c r="D138" s="4">
        <v>4</v>
      </c>
      <c r="E138" s="4">
        <v>1</v>
      </c>
      <c r="F138" s="4">
        <v>1</v>
      </c>
      <c r="G138" s="4">
        <v>0</v>
      </c>
      <c r="H138" s="4">
        <v>1</v>
      </c>
      <c r="I138" s="4">
        <v>0</v>
      </c>
      <c r="J138" s="2" t="s">
        <v>79</v>
      </c>
    </row>
    <row r="139" spans="1:10" x14ac:dyDescent="0.2">
      <c r="A139" s="4">
        <v>20</v>
      </c>
      <c r="B139" s="4">
        <v>12</v>
      </c>
      <c r="C139" s="4">
        <v>22</v>
      </c>
      <c r="D139" s="4">
        <v>4</v>
      </c>
      <c r="E139" s="4">
        <v>0</v>
      </c>
      <c r="F139" s="4">
        <v>1</v>
      </c>
      <c r="G139" s="4">
        <v>1</v>
      </c>
      <c r="H139" s="4">
        <v>0</v>
      </c>
      <c r="I139" s="4">
        <v>0</v>
      </c>
      <c r="J139" s="2" t="s">
        <v>79</v>
      </c>
    </row>
    <row r="140" spans="1:10" x14ac:dyDescent="0.2">
      <c r="A140" s="4">
        <v>3.5</v>
      </c>
      <c r="B140" s="4">
        <v>12</v>
      </c>
      <c r="C140" s="4">
        <v>20</v>
      </c>
      <c r="D140" s="4">
        <v>4</v>
      </c>
      <c r="E140" s="4">
        <v>1</v>
      </c>
      <c r="F140" s="4">
        <v>1</v>
      </c>
      <c r="G140" s="4">
        <v>0</v>
      </c>
      <c r="H140" s="4">
        <v>0</v>
      </c>
      <c r="I140" s="4">
        <v>0</v>
      </c>
      <c r="J140" s="2" t="s">
        <v>79</v>
      </c>
    </row>
    <row r="141" spans="1:10" x14ac:dyDescent="0.2">
      <c r="A141" s="4">
        <v>6</v>
      </c>
      <c r="B141" s="4">
        <v>15</v>
      </c>
      <c r="C141" s="4">
        <v>19</v>
      </c>
      <c r="D141" s="4">
        <v>4</v>
      </c>
      <c r="E141" s="4">
        <v>1</v>
      </c>
      <c r="F141" s="4">
        <v>1</v>
      </c>
      <c r="G141" s="4">
        <v>1</v>
      </c>
      <c r="H141" s="4">
        <v>0</v>
      </c>
      <c r="I141" s="4">
        <v>0</v>
      </c>
      <c r="J141" s="2" t="s">
        <v>79</v>
      </c>
    </row>
    <row r="142" spans="1:10" x14ac:dyDescent="0.2">
      <c r="A142" s="4">
        <v>8</v>
      </c>
      <c r="B142" s="4">
        <v>12</v>
      </c>
      <c r="C142" s="4">
        <v>14</v>
      </c>
      <c r="D142" s="4">
        <v>4</v>
      </c>
      <c r="E142" s="4">
        <v>1</v>
      </c>
      <c r="F142" s="4">
        <v>0</v>
      </c>
      <c r="G142" s="4">
        <v>0</v>
      </c>
      <c r="H142" s="4">
        <v>0</v>
      </c>
      <c r="I142" s="4">
        <v>0</v>
      </c>
      <c r="J142" s="2" t="s">
        <v>79</v>
      </c>
    </row>
    <row r="143" spans="1:10" x14ac:dyDescent="0.2">
      <c r="A143" s="4">
        <v>6.25</v>
      </c>
      <c r="B143" s="4">
        <v>15</v>
      </c>
      <c r="C143" s="4">
        <v>12</v>
      </c>
      <c r="D143" s="4">
        <v>4</v>
      </c>
      <c r="E143" s="4">
        <v>1</v>
      </c>
      <c r="F143" s="4">
        <v>1</v>
      </c>
      <c r="G143" s="4">
        <v>0</v>
      </c>
      <c r="H143" s="4">
        <v>0</v>
      </c>
      <c r="I143" s="4">
        <v>0</v>
      </c>
      <c r="J143" s="2" t="s">
        <v>79</v>
      </c>
    </row>
    <row r="144" spans="1:10" x14ac:dyDescent="0.2">
      <c r="A144" s="4">
        <v>6.88</v>
      </c>
      <c r="B144" s="10">
        <v>12</v>
      </c>
      <c r="C144" s="4">
        <v>11</v>
      </c>
      <c r="D144" s="4">
        <v>4</v>
      </c>
      <c r="E144" s="4">
        <v>1</v>
      </c>
      <c r="F144" s="4">
        <v>0</v>
      </c>
      <c r="G144" s="4">
        <v>0</v>
      </c>
      <c r="H144" s="4">
        <v>1</v>
      </c>
      <c r="I144" s="4">
        <v>0</v>
      </c>
      <c r="J144" s="2" t="s">
        <v>79</v>
      </c>
    </row>
    <row r="145" spans="1:10" x14ac:dyDescent="0.2">
      <c r="A145" s="4">
        <v>6.25</v>
      </c>
      <c r="B145" s="4">
        <v>16</v>
      </c>
      <c r="C145" s="4">
        <v>11</v>
      </c>
      <c r="D145" s="4">
        <v>4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2" t="s">
        <v>79</v>
      </c>
    </row>
    <row r="146" spans="1:10" x14ac:dyDescent="0.2">
      <c r="A146" s="4">
        <v>6.38</v>
      </c>
      <c r="B146" s="4">
        <v>13</v>
      </c>
      <c r="C146" s="4">
        <v>11</v>
      </c>
      <c r="D146" s="4">
        <v>4</v>
      </c>
      <c r="E146" s="4">
        <v>1</v>
      </c>
      <c r="F146" s="4">
        <v>0</v>
      </c>
      <c r="G146" s="4">
        <v>0</v>
      </c>
      <c r="H146" s="4">
        <v>1</v>
      </c>
      <c r="I146" s="4">
        <v>0</v>
      </c>
      <c r="J146" s="2" t="s">
        <v>79</v>
      </c>
    </row>
    <row r="147" spans="1:10" x14ac:dyDescent="0.2">
      <c r="A147" s="4">
        <v>5.78</v>
      </c>
      <c r="B147" s="4">
        <v>16</v>
      </c>
      <c r="C147" s="4">
        <v>11</v>
      </c>
      <c r="D147" s="4">
        <v>4</v>
      </c>
      <c r="E147" s="4">
        <v>0</v>
      </c>
      <c r="F147" s="4">
        <v>1</v>
      </c>
      <c r="G147" s="4">
        <v>0</v>
      </c>
      <c r="H147" s="4">
        <v>0</v>
      </c>
      <c r="I147" s="4">
        <v>0</v>
      </c>
      <c r="J147" s="2" t="s">
        <v>79</v>
      </c>
    </row>
    <row r="148" spans="1:10" x14ac:dyDescent="0.2">
      <c r="A148" s="4">
        <v>7.63</v>
      </c>
      <c r="B148" s="4">
        <v>12</v>
      </c>
      <c r="C148" s="4">
        <v>8</v>
      </c>
      <c r="D148" s="4">
        <v>4</v>
      </c>
      <c r="E148" s="4">
        <v>1</v>
      </c>
      <c r="F148" s="4">
        <v>0</v>
      </c>
      <c r="G148" s="4">
        <v>0</v>
      </c>
      <c r="H148" s="4">
        <v>0</v>
      </c>
      <c r="I148" s="4">
        <v>0</v>
      </c>
      <c r="J148" s="2" t="s">
        <v>79</v>
      </c>
    </row>
    <row r="149" spans="1:10" x14ac:dyDescent="0.2">
      <c r="A149" s="4">
        <v>3.75</v>
      </c>
      <c r="B149" s="10">
        <v>12</v>
      </c>
      <c r="C149" s="4">
        <v>8</v>
      </c>
      <c r="D149" s="4">
        <v>4</v>
      </c>
      <c r="E149" s="4">
        <v>1</v>
      </c>
      <c r="F149" s="4">
        <v>1</v>
      </c>
      <c r="G149" s="4">
        <v>1</v>
      </c>
      <c r="H149" s="4">
        <v>0</v>
      </c>
      <c r="I149" s="4">
        <v>0</v>
      </c>
      <c r="J149" s="2" t="s">
        <v>79</v>
      </c>
    </row>
    <row r="150" spans="1:10" x14ac:dyDescent="0.2">
      <c r="A150" s="4">
        <v>6.25</v>
      </c>
      <c r="B150" s="10">
        <v>12</v>
      </c>
      <c r="C150" s="4">
        <v>7</v>
      </c>
      <c r="D150" s="4">
        <v>4</v>
      </c>
      <c r="E150" s="4">
        <v>1</v>
      </c>
      <c r="F150" s="4">
        <v>1</v>
      </c>
      <c r="G150" s="4">
        <v>0</v>
      </c>
      <c r="H150" s="4">
        <v>0</v>
      </c>
      <c r="I150" s="4">
        <v>0</v>
      </c>
      <c r="J150" s="2" t="s">
        <v>79</v>
      </c>
    </row>
    <row r="151" spans="1:10" x14ac:dyDescent="0.2">
      <c r="A151" s="4">
        <v>3.5</v>
      </c>
      <c r="B151" s="4">
        <v>14</v>
      </c>
      <c r="C151" s="4">
        <v>5</v>
      </c>
      <c r="D151" s="4">
        <v>4</v>
      </c>
      <c r="E151" s="4">
        <v>1</v>
      </c>
      <c r="F151" s="4">
        <v>0</v>
      </c>
      <c r="G151" s="4">
        <v>0</v>
      </c>
      <c r="H151" s="4">
        <v>1</v>
      </c>
      <c r="I151" s="4">
        <v>0</v>
      </c>
      <c r="J151" s="2" t="s">
        <v>79</v>
      </c>
    </row>
    <row r="152" spans="1:10" x14ac:dyDescent="0.2">
      <c r="A152" s="4">
        <v>3.35</v>
      </c>
      <c r="B152" s="4">
        <v>14</v>
      </c>
      <c r="C152" s="4">
        <v>5</v>
      </c>
      <c r="D152" s="4">
        <v>4</v>
      </c>
      <c r="E152" s="4">
        <v>1</v>
      </c>
      <c r="F152" s="4">
        <v>1</v>
      </c>
      <c r="G152" s="4">
        <v>0</v>
      </c>
      <c r="H152" s="4">
        <v>0</v>
      </c>
      <c r="I152" s="4">
        <v>0</v>
      </c>
      <c r="J152" s="2" t="s">
        <v>79</v>
      </c>
    </row>
    <row r="153" spans="1:10" x14ac:dyDescent="0.2">
      <c r="A153" s="4">
        <v>6.88</v>
      </c>
      <c r="B153" s="10">
        <v>12</v>
      </c>
      <c r="C153" s="4">
        <v>4</v>
      </c>
      <c r="D153" s="4">
        <v>4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2" t="s">
        <v>79</v>
      </c>
    </row>
    <row r="154" spans="1:10" x14ac:dyDescent="0.2">
      <c r="A154" s="4">
        <v>5.77</v>
      </c>
      <c r="B154" s="4">
        <v>10</v>
      </c>
      <c r="C154" s="9">
        <v>43.93</v>
      </c>
      <c r="D154" s="4">
        <v>3</v>
      </c>
      <c r="E154" s="4">
        <v>0</v>
      </c>
      <c r="F154" s="4">
        <v>1</v>
      </c>
      <c r="G154" s="4">
        <v>0</v>
      </c>
      <c r="H154" s="4">
        <v>0</v>
      </c>
      <c r="I154" s="4">
        <v>0</v>
      </c>
      <c r="J154" s="2" t="s">
        <v>79</v>
      </c>
    </row>
    <row r="155" spans="1:10" x14ac:dyDescent="0.2">
      <c r="A155" s="4">
        <v>8.1</v>
      </c>
      <c r="B155" s="4">
        <v>12</v>
      </c>
      <c r="C155" s="4">
        <v>38</v>
      </c>
      <c r="D155" s="4">
        <v>3</v>
      </c>
      <c r="E155" s="4">
        <v>1</v>
      </c>
      <c r="F155" s="4">
        <v>1</v>
      </c>
      <c r="G155" s="4">
        <v>0</v>
      </c>
      <c r="H155" s="4">
        <v>0</v>
      </c>
      <c r="I155" s="4">
        <v>0</v>
      </c>
      <c r="J155" s="2" t="s">
        <v>79</v>
      </c>
    </row>
    <row r="156" spans="1:10" x14ac:dyDescent="0.2">
      <c r="A156" s="4">
        <v>5.48</v>
      </c>
      <c r="B156" s="4">
        <v>10</v>
      </c>
      <c r="C156" s="4">
        <v>36</v>
      </c>
      <c r="D156" s="4">
        <v>3</v>
      </c>
      <c r="E156" s="4">
        <v>1</v>
      </c>
      <c r="F156" s="4">
        <v>1</v>
      </c>
      <c r="G156" s="4">
        <v>1</v>
      </c>
      <c r="H156" s="4">
        <v>0</v>
      </c>
      <c r="I156" s="4">
        <v>0</v>
      </c>
      <c r="J156" s="2" t="s">
        <v>79</v>
      </c>
    </row>
    <row r="157" spans="1:10" x14ac:dyDescent="0.2">
      <c r="A157" s="4">
        <v>3</v>
      </c>
      <c r="B157" s="4">
        <v>14</v>
      </c>
      <c r="C157" s="4">
        <v>33</v>
      </c>
      <c r="D157" s="4">
        <v>3</v>
      </c>
      <c r="E157" s="4">
        <v>1</v>
      </c>
      <c r="F157" s="4">
        <v>1</v>
      </c>
      <c r="G157" s="4">
        <v>0</v>
      </c>
      <c r="H157" s="4">
        <v>0</v>
      </c>
      <c r="I157" s="4">
        <v>0</v>
      </c>
      <c r="J157" s="2" t="s">
        <v>79</v>
      </c>
    </row>
    <row r="158" spans="1:10" x14ac:dyDescent="0.2">
      <c r="A158" s="4">
        <v>5.52</v>
      </c>
      <c r="B158" s="4">
        <v>13</v>
      </c>
      <c r="C158" s="4">
        <v>31</v>
      </c>
      <c r="D158" s="4">
        <v>3</v>
      </c>
      <c r="E158" s="4">
        <v>0</v>
      </c>
      <c r="F158" s="4">
        <v>0</v>
      </c>
      <c r="G158" s="4">
        <v>1</v>
      </c>
      <c r="H158" s="4">
        <v>0</v>
      </c>
      <c r="I158" s="4">
        <v>0</v>
      </c>
      <c r="J158" s="2" t="s">
        <v>79</v>
      </c>
    </row>
    <row r="159" spans="1:10" x14ac:dyDescent="0.2">
      <c r="A159" s="4">
        <v>3.5</v>
      </c>
      <c r="B159" s="4">
        <v>12</v>
      </c>
      <c r="C159" s="4">
        <v>31</v>
      </c>
      <c r="D159" s="4">
        <v>3</v>
      </c>
      <c r="E159" s="4">
        <v>1</v>
      </c>
      <c r="F159" s="4">
        <v>0</v>
      </c>
      <c r="G159" s="4">
        <v>0</v>
      </c>
      <c r="H159" s="4">
        <v>1</v>
      </c>
      <c r="I159" s="4">
        <v>0</v>
      </c>
      <c r="J159" s="2" t="s">
        <v>79</v>
      </c>
    </row>
    <row r="160" spans="1:10" x14ac:dyDescent="0.2">
      <c r="A160" s="4">
        <v>2.23</v>
      </c>
      <c r="B160" s="4">
        <v>8</v>
      </c>
      <c r="C160" s="4">
        <v>28</v>
      </c>
      <c r="D160" s="4">
        <v>3</v>
      </c>
      <c r="E160" s="4">
        <v>0</v>
      </c>
      <c r="F160" s="4">
        <v>1</v>
      </c>
      <c r="G160" s="4">
        <v>1</v>
      </c>
      <c r="H160" s="4">
        <v>0</v>
      </c>
      <c r="I160" s="4">
        <v>0</v>
      </c>
      <c r="J160" s="2" t="s">
        <v>79</v>
      </c>
    </row>
    <row r="161" spans="1:10" x14ac:dyDescent="0.2">
      <c r="A161" s="4">
        <v>8.43</v>
      </c>
      <c r="B161" s="4">
        <v>8</v>
      </c>
      <c r="C161" s="4">
        <v>27</v>
      </c>
      <c r="D161" s="4">
        <v>3</v>
      </c>
      <c r="E161" s="4">
        <v>0</v>
      </c>
      <c r="F161" s="4">
        <v>1</v>
      </c>
      <c r="G161" s="4">
        <v>1</v>
      </c>
      <c r="H161" s="4">
        <v>0</v>
      </c>
      <c r="I161" s="4">
        <v>0</v>
      </c>
      <c r="J161" s="2" t="s">
        <v>79</v>
      </c>
    </row>
    <row r="162" spans="1:10" x14ac:dyDescent="0.2">
      <c r="A162" s="4">
        <v>10</v>
      </c>
      <c r="B162" s="4">
        <v>12</v>
      </c>
      <c r="C162" s="4">
        <v>25</v>
      </c>
      <c r="D162" s="4">
        <v>3</v>
      </c>
      <c r="E162" s="4">
        <v>0</v>
      </c>
      <c r="F162" s="4">
        <v>1</v>
      </c>
      <c r="G162" s="4">
        <v>0</v>
      </c>
      <c r="H162" s="4">
        <v>0</v>
      </c>
      <c r="I162" s="4">
        <v>0</v>
      </c>
      <c r="J162" s="2" t="s">
        <v>79</v>
      </c>
    </row>
    <row r="163" spans="1:10" x14ac:dyDescent="0.2">
      <c r="A163" s="4">
        <v>8.02</v>
      </c>
      <c r="B163" s="4">
        <v>18</v>
      </c>
      <c r="C163" s="4">
        <v>23</v>
      </c>
      <c r="D163" s="4">
        <v>3</v>
      </c>
      <c r="E163" s="4">
        <v>1</v>
      </c>
      <c r="F163" s="4">
        <v>1</v>
      </c>
      <c r="G163" s="4">
        <v>1</v>
      </c>
      <c r="H163" s="4">
        <v>0</v>
      </c>
      <c r="I163" s="4">
        <v>0</v>
      </c>
      <c r="J163" s="2" t="s">
        <v>79</v>
      </c>
    </row>
    <row r="164" spans="1:10" x14ac:dyDescent="0.2">
      <c r="A164" s="4">
        <v>4</v>
      </c>
      <c r="B164" s="4">
        <v>14</v>
      </c>
      <c r="C164" s="4">
        <v>22</v>
      </c>
      <c r="D164" s="4">
        <v>3</v>
      </c>
      <c r="E164" s="4">
        <v>1</v>
      </c>
      <c r="F164" s="4">
        <v>0</v>
      </c>
      <c r="G164" s="4">
        <v>0</v>
      </c>
      <c r="H164" s="4">
        <v>0</v>
      </c>
      <c r="I164" s="4">
        <v>1</v>
      </c>
      <c r="J164" s="2" t="s">
        <v>79</v>
      </c>
    </row>
    <row r="165" spans="1:10" x14ac:dyDescent="0.2">
      <c r="A165" s="4">
        <v>6.63</v>
      </c>
      <c r="B165" s="4">
        <v>15</v>
      </c>
      <c r="C165" s="4">
        <v>21</v>
      </c>
      <c r="D165" s="4">
        <v>3</v>
      </c>
      <c r="E165" s="4">
        <v>1</v>
      </c>
      <c r="F165" s="4">
        <v>1</v>
      </c>
      <c r="G165" s="4">
        <v>0</v>
      </c>
      <c r="H165" s="4">
        <v>1</v>
      </c>
      <c r="I165" s="4">
        <v>0</v>
      </c>
      <c r="J165" s="2" t="s">
        <v>79</v>
      </c>
    </row>
    <row r="166" spans="1:10" x14ac:dyDescent="0.2">
      <c r="A166" s="4">
        <v>6.76</v>
      </c>
      <c r="B166" s="4">
        <v>12</v>
      </c>
      <c r="C166" s="4">
        <v>19</v>
      </c>
      <c r="D166" s="4">
        <v>3</v>
      </c>
      <c r="E166" s="4">
        <v>0</v>
      </c>
      <c r="F166" s="4">
        <v>1</v>
      </c>
      <c r="G166" s="4">
        <v>0</v>
      </c>
      <c r="H166" s="4">
        <v>0</v>
      </c>
      <c r="I166" s="4">
        <v>0</v>
      </c>
      <c r="J166" s="2" t="s">
        <v>79</v>
      </c>
    </row>
    <row r="167" spans="1:10" x14ac:dyDescent="0.2">
      <c r="A167" s="4">
        <v>3.26</v>
      </c>
      <c r="B167" s="4">
        <v>12</v>
      </c>
      <c r="C167" s="4">
        <v>13</v>
      </c>
      <c r="D167" s="4">
        <v>3</v>
      </c>
      <c r="E167" s="4">
        <v>1</v>
      </c>
      <c r="F167" s="4">
        <v>1</v>
      </c>
      <c r="G167" s="4">
        <v>0</v>
      </c>
      <c r="H167" s="4">
        <v>0</v>
      </c>
      <c r="I167" s="4">
        <v>0</v>
      </c>
      <c r="J167" s="2" t="s">
        <v>79</v>
      </c>
    </row>
    <row r="168" spans="1:10" x14ac:dyDescent="0.2">
      <c r="A168" s="4">
        <v>4.79</v>
      </c>
      <c r="B168" s="4">
        <v>12</v>
      </c>
      <c r="C168" s="4">
        <v>12</v>
      </c>
      <c r="D168" s="4">
        <v>3</v>
      </c>
      <c r="E168" s="4">
        <v>1</v>
      </c>
      <c r="F168" s="4">
        <v>1</v>
      </c>
      <c r="G168" s="4">
        <v>0</v>
      </c>
      <c r="H168" s="4">
        <v>0</v>
      </c>
      <c r="I168" s="4">
        <v>0</v>
      </c>
      <c r="J168" s="2" t="s">
        <v>79</v>
      </c>
    </row>
    <row r="169" spans="1:10" x14ac:dyDescent="0.2">
      <c r="A169" s="4">
        <v>3.88</v>
      </c>
      <c r="B169" s="4">
        <v>12</v>
      </c>
      <c r="C169" s="4">
        <v>12</v>
      </c>
      <c r="D169" s="4">
        <v>3</v>
      </c>
      <c r="E169" s="4">
        <v>0</v>
      </c>
      <c r="F169" s="4">
        <v>1</v>
      </c>
      <c r="G169" s="4">
        <v>1</v>
      </c>
      <c r="H169" s="4">
        <v>0</v>
      </c>
      <c r="I169" s="4">
        <v>0</v>
      </c>
      <c r="J169" s="2" t="s">
        <v>79</v>
      </c>
    </row>
    <row r="170" spans="1:10" x14ac:dyDescent="0.2">
      <c r="A170" s="4">
        <v>6</v>
      </c>
      <c r="B170" s="4">
        <v>14</v>
      </c>
      <c r="C170" s="4">
        <v>11</v>
      </c>
      <c r="D170" s="4">
        <v>3</v>
      </c>
      <c r="E170" s="4">
        <v>1</v>
      </c>
      <c r="F170" s="4">
        <v>1</v>
      </c>
      <c r="G170" s="4">
        <v>1</v>
      </c>
      <c r="H170" s="4">
        <v>0</v>
      </c>
      <c r="I170" s="4">
        <v>0</v>
      </c>
      <c r="J170" s="2" t="s">
        <v>79</v>
      </c>
    </row>
    <row r="171" spans="1:10" x14ac:dyDescent="0.2">
      <c r="A171" s="4">
        <v>4.2</v>
      </c>
      <c r="B171" s="4">
        <v>13</v>
      </c>
      <c r="C171" s="4">
        <v>11</v>
      </c>
      <c r="D171" s="4">
        <v>3</v>
      </c>
      <c r="E171" s="4">
        <v>1</v>
      </c>
      <c r="F171" s="4">
        <v>1</v>
      </c>
      <c r="G171" s="4">
        <v>0</v>
      </c>
      <c r="H171" s="4">
        <v>0</v>
      </c>
      <c r="I171" s="4">
        <v>0</v>
      </c>
      <c r="J171" s="2" t="s">
        <v>79</v>
      </c>
    </row>
    <row r="172" spans="1:10" x14ac:dyDescent="0.2">
      <c r="A172" s="4">
        <v>6.29</v>
      </c>
      <c r="B172" s="4">
        <v>17</v>
      </c>
      <c r="C172" s="4">
        <v>10</v>
      </c>
      <c r="D172" s="4">
        <v>3</v>
      </c>
      <c r="E172" s="4">
        <v>0</v>
      </c>
      <c r="F172" s="4">
        <v>1</v>
      </c>
      <c r="G172" s="4">
        <v>1</v>
      </c>
      <c r="H172" s="4">
        <v>0</v>
      </c>
      <c r="I172" s="4">
        <v>0</v>
      </c>
      <c r="J172" s="2" t="s">
        <v>79</v>
      </c>
    </row>
    <row r="173" spans="1:10" x14ac:dyDescent="0.2">
      <c r="A173" s="4">
        <v>5.43</v>
      </c>
      <c r="B173" s="4">
        <v>14</v>
      </c>
      <c r="C173" s="4">
        <v>10</v>
      </c>
      <c r="D173" s="4">
        <v>3</v>
      </c>
      <c r="E173" s="4">
        <v>0</v>
      </c>
      <c r="F173" s="4">
        <v>1</v>
      </c>
      <c r="G173" s="4">
        <v>1</v>
      </c>
      <c r="H173" s="4">
        <v>0</v>
      </c>
      <c r="I173" s="4">
        <v>0</v>
      </c>
      <c r="J173" s="2" t="s">
        <v>79</v>
      </c>
    </row>
    <row r="174" spans="1:10" x14ac:dyDescent="0.2">
      <c r="A174" s="4">
        <v>17.71</v>
      </c>
      <c r="B174" s="4">
        <v>16</v>
      </c>
      <c r="C174" s="4">
        <v>10</v>
      </c>
      <c r="D174" s="4">
        <v>3</v>
      </c>
      <c r="E174" s="4">
        <v>0</v>
      </c>
      <c r="F174" s="4">
        <v>1</v>
      </c>
      <c r="G174" s="4">
        <v>0</v>
      </c>
      <c r="H174" s="4">
        <v>1</v>
      </c>
      <c r="I174" s="4">
        <v>1</v>
      </c>
      <c r="J174" s="2" t="s">
        <v>79</v>
      </c>
    </row>
    <row r="175" spans="1:10" x14ac:dyDescent="0.2">
      <c r="A175" s="4">
        <v>7.78</v>
      </c>
      <c r="B175" s="4">
        <v>14</v>
      </c>
      <c r="C175" s="4">
        <v>9</v>
      </c>
      <c r="D175" s="4">
        <v>3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2" t="s">
        <v>79</v>
      </c>
    </row>
    <row r="176" spans="1:10" x14ac:dyDescent="0.2">
      <c r="A176" s="4">
        <v>10</v>
      </c>
      <c r="B176" s="4">
        <v>16</v>
      </c>
      <c r="C176" s="4">
        <v>9</v>
      </c>
      <c r="D176" s="4">
        <v>3</v>
      </c>
      <c r="E176" s="4">
        <v>0</v>
      </c>
      <c r="F176" s="4">
        <v>1</v>
      </c>
      <c r="G176" s="4">
        <v>1</v>
      </c>
      <c r="H176" s="4">
        <v>0</v>
      </c>
      <c r="I176" s="4">
        <v>0</v>
      </c>
      <c r="J176" s="2" t="s">
        <v>79</v>
      </c>
    </row>
    <row r="177" spans="1:10" x14ac:dyDescent="0.2">
      <c r="A177" s="4">
        <v>5</v>
      </c>
      <c r="B177" s="4">
        <v>12</v>
      </c>
      <c r="C177" s="4">
        <v>7</v>
      </c>
      <c r="D177" s="4">
        <v>3</v>
      </c>
      <c r="E177" s="4">
        <v>1</v>
      </c>
      <c r="F177" s="4">
        <v>0</v>
      </c>
      <c r="G177" s="4">
        <v>0</v>
      </c>
      <c r="H177" s="4">
        <v>1</v>
      </c>
      <c r="I177" s="4">
        <v>0</v>
      </c>
      <c r="J177" s="2" t="s">
        <v>79</v>
      </c>
    </row>
    <row r="178" spans="1:10" x14ac:dyDescent="0.2">
      <c r="A178" s="4">
        <v>5.4</v>
      </c>
      <c r="B178" s="4">
        <v>12</v>
      </c>
      <c r="C178" s="4">
        <v>6</v>
      </c>
      <c r="D178" s="4">
        <v>3</v>
      </c>
      <c r="E178" s="4">
        <v>0</v>
      </c>
      <c r="F178" s="4">
        <v>1</v>
      </c>
      <c r="G178" s="4">
        <v>0</v>
      </c>
      <c r="H178" s="4">
        <v>0</v>
      </c>
      <c r="I178" s="4">
        <v>0</v>
      </c>
      <c r="J178" s="2" t="s">
        <v>79</v>
      </c>
    </row>
    <row r="179" spans="1:10" x14ac:dyDescent="0.2">
      <c r="A179" s="4">
        <v>5</v>
      </c>
      <c r="B179" s="4">
        <v>12</v>
      </c>
      <c r="C179" s="4">
        <v>5</v>
      </c>
      <c r="D179" s="4">
        <v>3</v>
      </c>
      <c r="E179" s="4">
        <v>1</v>
      </c>
      <c r="F179" s="4">
        <v>0</v>
      </c>
      <c r="G179" s="4">
        <v>0</v>
      </c>
      <c r="H179" s="4">
        <v>1</v>
      </c>
      <c r="I179" s="4">
        <v>0</v>
      </c>
      <c r="J179" s="2" t="s">
        <v>79</v>
      </c>
    </row>
    <row r="180" spans="1:10" x14ac:dyDescent="0.2">
      <c r="A180" s="4">
        <v>10</v>
      </c>
      <c r="B180" s="4">
        <v>17</v>
      </c>
      <c r="C180" s="4">
        <v>5</v>
      </c>
      <c r="D180" s="4">
        <v>3</v>
      </c>
      <c r="E180" s="4">
        <v>0</v>
      </c>
      <c r="F180" s="4">
        <v>1</v>
      </c>
      <c r="G180" s="4">
        <v>0</v>
      </c>
      <c r="H180" s="4">
        <v>0</v>
      </c>
      <c r="I180" s="4">
        <v>0</v>
      </c>
      <c r="J180" s="2" t="s">
        <v>79</v>
      </c>
    </row>
    <row r="181" spans="1:10" x14ac:dyDescent="0.2">
      <c r="A181" s="4">
        <v>6.25</v>
      </c>
      <c r="B181" s="4">
        <v>16</v>
      </c>
      <c r="C181" s="4">
        <v>4</v>
      </c>
      <c r="D181" s="4">
        <v>3</v>
      </c>
      <c r="E181" s="4">
        <v>0</v>
      </c>
      <c r="F181" s="4">
        <v>1</v>
      </c>
      <c r="G181" s="4">
        <v>0</v>
      </c>
      <c r="H181" s="4">
        <v>1</v>
      </c>
      <c r="I181" s="4">
        <v>0</v>
      </c>
      <c r="J181" s="2" t="s">
        <v>79</v>
      </c>
    </row>
    <row r="182" spans="1:10" x14ac:dyDescent="0.2">
      <c r="A182" s="4">
        <v>8.92</v>
      </c>
      <c r="B182" s="4">
        <v>18</v>
      </c>
      <c r="C182" s="4">
        <v>3</v>
      </c>
      <c r="D182" s="4">
        <v>3</v>
      </c>
      <c r="E182" s="4">
        <v>0</v>
      </c>
      <c r="F182" s="4">
        <v>1</v>
      </c>
      <c r="G182" s="4">
        <v>1</v>
      </c>
      <c r="H182" s="4">
        <v>0</v>
      </c>
      <c r="I182" s="4">
        <v>0</v>
      </c>
      <c r="J182" s="2" t="s">
        <v>79</v>
      </c>
    </row>
    <row r="183" spans="1:10" x14ac:dyDescent="0.2">
      <c r="A183" s="4">
        <v>9.56</v>
      </c>
      <c r="B183" s="4">
        <v>16</v>
      </c>
      <c r="C183" s="4">
        <v>3</v>
      </c>
      <c r="D183" s="4">
        <v>3</v>
      </c>
      <c r="E183" s="4">
        <v>0</v>
      </c>
      <c r="F183" s="4">
        <v>1</v>
      </c>
      <c r="G183" s="4">
        <v>0</v>
      </c>
      <c r="H183" s="4">
        <v>1</v>
      </c>
      <c r="I183" s="4">
        <v>0</v>
      </c>
      <c r="J183" s="2" t="s">
        <v>79</v>
      </c>
    </row>
    <row r="184" spans="1:10" x14ac:dyDescent="0.2">
      <c r="A184" s="4">
        <v>3</v>
      </c>
      <c r="B184" s="4">
        <v>14</v>
      </c>
      <c r="C184" s="4">
        <v>3</v>
      </c>
      <c r="D184" s="4">
        <v>3</v>
      </c>
      <c r="E184" s="4">
        <v>1</v>
      </c>
      <c r="F184" s="4">
        <v>1</v>
      </c>
      <c r="G184" s="4">
        <v>0</v>
      </c>
      <c r="H184" s="4">
        <v>1</v>
      </c>
      <c r="I184" s="4">
        <v>0</v>
      </c>
      <c r="J184" s="2" t="s">
        <v>79</v>
      </c>
    </row>
    <row r="185" spans="1:10" x14ac:dyDescent="0.2">
      <c r="A185" s="4">
        <v>2.92</v>
      </c>
      <c r="B185" s="4">
        <v>14</v>
      </c>
      <c r="C185" s="4">
        <v>1</v>
      </c>
      <c r="D185" s="4">
        <v>3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2" t="s">
        <v>79</v>
      </c>
    </row>
    <row r="186" spans="1:10" x14ac:dyDescent="0.2">
      <c r="A186" s="4">
        <v>4.75</v>
      </c>
      <c r="B186" s="4">
        <v>12</v>
      </c>
      <c r="C186" s="9">
        <v>43.93</v>
      </c>
      <c r="D186" s="4">
        <v>2</v>
      </c>
      <c r="E186" s="4">
        <v>1</v>
      </c>
      <c r="F186" s="4">
        <v>1</v>
      </c>
      <c r="G186" s="4">
        <v>0</v>
      </c>
      <c r="H186" s="4">
        <v>0</v>
      </c>
      <c r="I186" s="4">
        <v>0</v>
      </c>
      <c r="J186" s="2" t="s">
        <v>79</v>
      </c>
    </row>
    <row r="187" spans="1:10" x14ac:dyDescent="0.2">
      <c r="A187" s="4">
        <v>5</v>
      </c>
      <c r="B187" s="10">
        <v>12</v>
      </c>
      <c r="C187" s="9">
        <v>43.93</v>
      </c>
      <c r="D187" s="4">
        <v>2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2" t="s">
        <v>79</v>
      </c>
    </row>
    <row r="188" spans="1:10" x14ac:dyDescent="0.2">
      <c r="A188" s="4">
        <v>3.25</v>
      </c>
      <c r="B188" s="4">
        <v>12</v>
      </c>
      <c r="C188" s="4">
        <v>40</v>
      </c>
      <c r="D188" s="4">
        <v>2</v>
      </c>
      <c r="E188" s="4">
        <v>1</v>
      </c>
      <c r="F188" s="4">
        <v>0</v>
      </c>
      <c r="G188" s="4">
        <v>0</v>
      </c>
      <c r="H188" s="4">
        <v>0</v>
      </c>
      <c r="I188" s="4">
        <v>0</v>
      </c>
      <c r="J188" s="2" t="s">
        <v>79</v>
      </c>
    </row>
    <row r="189" spans="1:10" x14ac:dyDescent="0.2">
      <c r="A189" s="4">
        <v>4.55</v>
      </c>
      <c r="B189" s="4">
        <v>16</v>
      </c>
      <c r="C189" s="4">
        <v>34</v>
      </c>
      <c r="D189" s="4">
        <v>2</v>
      </c>
      <c r="E189" s="4">
        <v>0</v>
      </c>
      <c r="F189" s="4">
        <v>1</v>
      </c>
      <c r="G189" s="4">
        <v>1</v>
      </c>
      <c r="H189" s="4">
        <v>0</v>
      </c>
      <c r="I189" s="4">
        <v>0</v>
      </c>
      <c r="J189" s="2" t="s">
        <v>79</v>
      </c>
    </row>
    <row r="190" spans="1:10" x14ac:dyDescent="0.2">
      <c r="A190" s="4">
        <v>3.73</v>
      </c>
      <c r="B190" s="4">
        <v>9</v>
      </c>
      <c r="C190" s="4">
        <v>33</v>
      </c>
      <c r="D190" s="4">
        <v>2</v>
      </c>
      <c r="E190" s="10">
        <v>2</v>
      </c>
      <c r="F190" s="4">
        <v>0</v>
      </c>
      <c r="G190" s="4">
        <v>0</v>
      </c>
      <c r="H190" s="4">
        <v>0</v>
      </c>
      <c r="I190" s="4">
        <v>0</v>
      </c>
      <c r="J190" s="2" t="s">
        <v>79</v>
      </c>
    </row>
    <row r="191" spans="1:10" x14ac:dyDescent="0.2">
      <c r="A191" s="4">
        <v>6.5</v>
      </c>
      <c r="B191" s="4">
        <v>12</v>
      </c>
      <c r="C191" s="4">
        <v>33</v>
      </c>
      <c r="D191" s="4">
        <v>2</v>
      </c>
      <c r="E191" s="4">
        <v>0</v>
      </c>
      <c r="F191" s="4">
        <v>1</v>
      </c>
      <c r="G191" s="4">
        <v>0</v>
      </c>
      <c r="H191" s="4">
        <v>0</v>
      </c>
      <c r="I191" s="4">
        <v>0</v>
      </c>
      <c r="J191" s="2" t="s">
        <v>79</v>
      </c>
    </row>
    <row r="192" spans="1:10" x14ac:dyDescent="0.2">
      <c r="A192" s="4">
        <v>4.6500000000000004</v>
      </c>
      <c r="B192" s="4">
        <v>12</v>
      </c>
      <c r="C192" s="4">
        <v>27</v>
      </c>
      <c r="D192" s="4">
        <v>2</v>
      </c>
      <c r="E192" s="4">
        <v>0</v>
      </c>
      <c r="F192" s="4">
        <v>1</v>
      </c>
      <c r="G192" s="4">
        <v>1</v>
      </c>
      <c r="H192" s="4">
        <v>0</v>
      </c>
      <c r="I192" s="4">
        <v>0</v>
      </c>
      <c r="J192" s="2" t="s">
        <v>79</v>
      </c>
    </row>
    <row r="193" spans="1:10" x14ac:dyDescent="0.2">
      <c r="A193" s="4">
        <v>8</v>
      </c>
      <c r="B193" s="4">
        <v>12</v>
      </c>
      <c r="C193" s="4">
        <v>26</v>
      </c>
      <c r="D193" s="4">
        <v>2</v>
      </c>
      <c r="E193" s="4">
        <v>0</v>
      </c>
      <c r="F193" s="4">
        <v>1</v>
      </c>
      <c r="G193" s="4">
        <v>0</v>
      </c>
      <c r="H193" s="4">
        <v>0</v>
      </c>
      <c r="I193" s="4">
        <v>0</v>
      </c>
      <c r="J193" s="2" t="s">
        <v>79</v>
      </c>
    </row>
    <row r="194" spans="1:10" x14ac:dyDescent="0.2">
      <c r="A194" s="4">
        <v>4.5</v>
      </c>
      <c r="B194" s="4">
        <v>13</v>
      </c>
      <c r="C194" s="4">
        <v>23</v>
      </c>
      <c r="D194" s="4">
        <v>2</v>
      </c>
      <c r="E194" s="4">
        <v>1</v>
      </c>
      <c r="F194" s="4">
        <v>0</v>
      </c>
      <c r="G194" s="4">
        <v>1</v>
      </c>
      <c r="H194" s="4">
        <v>0</v>
      </c>
      <c r="I194" s="4">
        <v>0</v>
      </c>
      <c r="J194" s="2" t="s">
        <v>79</v>
      </c>
    </row>
    <row r="195" spans="1:10" x14ac:dyDescent="0.2">
      <c r="A195" s="4">
        <v>3.5</v>
      </c>
      <c r="B195" s="4">
        <v>11</v>
      </c>
      <c r="C195" s="4">
        <v>23</v>
      </c>
      <c r="D195" s="4">
        <v>2</v>
      </c>
      <c r="E195" s="4">
        <v>1</v>
      </c>
      <c r="F195" s="4">
        <v>0</v>
      </c>
      <c r="G195" s="4">
        <v>1</v>
      </c>
      <c r="H195" s="4">
        <v>0</v>
      </c>
      <c r="I195" s="4">
        <v>0</v>
      </c>
      <c r="J195" s="2" t="s">
        <v>79</v>
      </c>
    </row>
    <row r="196" spans="1:10" x14ac:dyDescent="0.2">
      <c r="A196" s="4">
        <v>2.9</v>
      </c>
      <c r="B196" s="4">
        <v>10</v>
      </c>
      <c r="C196" s="4">
        <v>23</v>
      </c>
      <c r="D196" s="4">
        <v>2</v>
      </c>
      <c r="E196" s="4">
        <v>1</v>
      </c>
      <c r="F196" s="4">
        <v>0</v>
      </c>
      <c r="G196" s="4">
        <v>1</v>
      </c>
      <c r="H196" s="4">
        <v>0</v>
      </c>
      <c r="I196" s="4">
        <v>0</v>
      </c>
      <c r="J196" s="2" t="s">
        <v>79</v>
      </c>
    </row>
    <row r="197" spans="1:10" x14ac:dyDescent="0.2">
      <c r="A197" s="4">
        <v>3.24</v>
      </c>
      <c r="B197" s="4">
        <v>12</v>
      </c>
      <c r="C197" s="4">
        <v>22</v>
      </c>
      <c r="D197" s="4">
        <v>2</v>
      </c>
      <c r="E197" s="4">
        <v>1</v>
      </c>
      <c r="F197" s="4">
        <v>1</v>
      </c>
      <c r="G197" s="4">
        <v>0</v>
      </c>
      <c r="H197" s="4">
        <v>1</v>
      </c>
      <c r="I197" s="4">
        <v>0</v>
      </c>
      <c r="J197" s="2" t="s">
        <v>79</v>
      </c>
    </row>
    <row r="198" spans="1:10" x14ac:dyDescent="0.2">
      <c r="A198" s="4">
        <v>3.83</v>
      </c>
      <c r="B198" s="4">
        <v>12</v>
      </c>
      <c r="C198" s="4">
        <v>18</v>
      </c>
      <c r="D198" s="4">
        <v>2</v>
      </c>
      <c r="E198" s="4">
        <v>1</v>
      </c>
      <c r="F198" s="4">
        <v>0</v>
      </c>
      <c r="G198" s="4">
        <v>1</v>
      </c>
      <c r="H198" s="4">
        <v>0</v>
      </c>
      <c r="I198" s="4">
        <v>0</v>
      </c>
      <c r="J198" s="2" t="s">
        <v>79</v>
      </c>
    </row>
    <row r="199" spans="1:10" x14ac:dyDescent="0.2">
      <c r="A199" s="4">
        <v>3.5</v>
      </c>
      <c r="B199" s="4">
        <v>14</v>
      </c>
      <c r="C199" s="4">
        <v>18</v>
      </c>
      <c r="D199" s="4">
        <v>2</v>
      </c>
      <c r="E199" s="4">
        <v>0</v>
      </c>
      <c r="F199" s="4">
        <v>1</v>
      </c>
      <c r="G199" s="4">
        <v>0</v>
      </c>
      <c r="H199" s="4">
        <v>0</v>
      </c>
      <c r="I199" s="4">
        <v>0</v>
      </c>
      <c r="J199" s="2" t="s">
        <v>79</v>
      </c>
    </row>
    <row r="200" spans="1:10" x14ac:dyDescent="0.2">
      <c r="A200" s="4">
        <v>13.08</v>
      </c>
      <c r="B200" s="4">
        <v>17</v>
      </c>
      <c r="C200" s="4">
        <v>17</v>
      </c>
      <c r="D200" s="4">
        <v>2</v>
      </c>
      <c r="E200" s="4">
        <v>0</v>
      </c>
      <c r="F200" s="4">
        <v>1</v>
      </c>
      <c r="G200" s="4">
        <v>0</v>
      </c>
      <c r="H200" s="4">
        <v>0</v>
      </c>
      <c r="I200" s="4">
        <v>0</v>
      </c>
      <c r="J200" s="2" t="s">
        <v>79</v>
      </c>
    </row>
    <row r="201" spans="1:10" x14ac:dyDescent="0.2">
      <c r="A201" s="4">
        <v>10.38</v>
      </c>
      <c r="B201" s="4">
        <v>18</v>
      </c>
      <c r="C201" s="4">
        <v>16</v>
      </c>
      <c r="D201" s="4">
        <v>2</v>
      </c>
      <c r="E201" s="4">
        <v>0</v>
      </c>
      <c r="F201" s="4">
        <v>1</v>
      </c>
      <c r="G201" s="4">
        <v>0</v>
      </c>
      <c r="H201" s="4">
        <v>0</v>
      </c>
      <c r="I201" s="4">
        <v>0</v>
      </c>
      <c r="J201" s="2" t="s">
        <v>79</v>
      </c>
    </row>
    <row r="202" spans="1:10" x14ac:dyDescent="0.2">
      <c r="A202" s="4">
        <v>2.95</v>
      </c>
      <c r="B202" s="4">
        <v>8</v>
      </c>
      <c r="C202" s="4">
        <v>15</v>
      </c>
      <c r="D202" s="4">
        <v>2</v>
      </c>
      <c r="E202" s="4">
        <v>1</v>
      </c>
      <c r="F202" s="4">
        <v>1</v>
      </c>
      <c r="G202" s="4">
        <v>0</v>
      </c>
      <c r="H202" s="4">
        <v>0</v>
      </c>
      <c r="I202" s="4">
        <v>0</v>
      </c>
      <c r="J202" s="2" t="s">
        <v>79</v>
      </c>
    </row>
    <row r="203" spans="1:10" x14ac:dyDescent="0.2">
      <c r="A203" s="4">
        <v>3.25</v>
      </c>
      <c r="B203" s="4">
        <v>12</v>
      </c>
      <c r="C203" s="4">
        <v>14</v>
      </c>
      <c r="D203" s="4">
        <v>2</v>
      </c>
      <c r="E203" s="4">
        <v>1</v>
      </c>
      <c r="F203" s="4">
        <v>1</v>
      </c>
      <c r="G203" s="4">
        <v>1</v>
      </c>
      <c r="H203" s="4">
        <v>0</v>
      </c>
      <c r="I203" s="4">
        <v>0</v>
      </c>
      <c r="J203" s="2" t="s">
        <v>79</v>
      </c>
    </row>
    <row r="204" spans="1:10" x14ac:dyDescent="0.2">
      <c r="A204" s="4">
        <v>15</v>
      </c>
      <c r="B204" s="4">
        <v>16</v>
      </c>
      <c r="C204" s="4">
        <v>14</v>
      </c>
      <c r="D204" s="4">
        <v>2</v>
      </c>
      <c r="E204" s="4">
        <v>1</v>
      </c>
      <c r="F204" s="4">
        <v>1</v>
      </c>
      <c r="G204" s="4">
        <v>0</v>
      </c>
      <c r="H204" s="4">
        <v>1</v>
      </c>
      <c r="I204" s="4">
        <v>0</v>
      </c>
      <c r="J204" s="2" t="s">
        <v>79</v>
      </c>
    </row>
    <row r="205" spans="1:10" x14ac:dyDescent="0.2">
      <c r="A205" s="4">
        <v>6.25</v>
      </c>
      <c r="B205" s="10">
        <v>12</v>
      </c>
      <c r="C205" s="4">
        <v>9</v>
      </c>
      <c r="D205" s="4">
        <v>2</v>
      </c>
      <c r="E205" s="4">
        <v>0</v>
      </c>
      <c r="F205" s="4">
        <v>1</v>
      </c>
      <c r="G205" s="4">
        <v>0</v>
      </c>
      <c r="H205" s="4">
        <v>0</v>
      </c>
      <c r="I205" s="4">
        <v>0</v>
      </c>
      <c r="J205" s="2" t="s">
        <v>79</v>
      </c>
    </row>
    <row r="206" spans="1:10" x14ac:dyDescent="0.2">
      <c r="A206" s="4">
        <v>7.26</v>
      </c>
      <c r="B206" s="4">
        <v>13</v>
      </c>
      <c r="C206" s="4">
        <v>8</v>
      </c>
      <c r="D206" s="4">
        <v>2</v>
      </c>
      <c r="E206" s="4">
        <v>0</v>
      </c>
      <c r="F206" s="4">
        <v>0</v>
      </c>
      <c r="G206" s="4">
        <v>1</v>
      </c>
      <c r="H206" s="4">
        <v>0</v>
      </c>
      <c r="I206" s="4">
        <v>0</v>
      </c>
      <c r="J206" s="2" t="s">
        <v>79</v>
      </c>
    </row>
    <row r="207" spans="1:10" x14ac:dyDescent="0.2">
      <c r="A207" s="4">
        <v>6.25</v>
      </c>
      <c r="B207" s="4">
        <v>16</v>
      </c>
      <c r="C207" s="4">
        <v>8</v>
      </c>
      <c r="D207" s="4">
        <v>2</v>
      </c>
      <c r="E207" s="10">
        <v>2</v>
      </c>
      <c r="F207" s="4">
        <v>0</v>
      </c>
      <c r="G207" s="4">
        <v>0</v>
      </c>
      <c r="H207" s="4">
        <v>1</v>
      </c>
      <c r="I207" s="4">
        <v>0</v>
      </c>
      <c r="J207" s="2" t="s">
        <v>79</v>
      </c>
    </row>
    <row r="208" spans="1:10" x14ac:dyDescent="0.2">
      <c r="A208" s="4">
        <v>5.3</v>
      </c>
      <c r="B208" s="4">
        <v>12</v>
      </c>
      <c r="C208" s="4">
        <v>7</v>
      </c>
      <c r="D208" s="4">
        <v>2</v>
      </c>
      <c r="E208" s="4">
        <v>0</v>
      </c>
      <c r="F208" s="4">
        <v>1</v>
      </c>
      <c r="G208" s="4">
        <v>0</v>
      </c>
      <c r="H208" s="4">
        <v>1</v>
      </c>
      <c r="I208" s="4">
        <v>0</v>
      </c>
      <c r="J208" s="2" t="s">
        <v>79</v>
      </c>
    </row>
    <row r="209" spans="1:10" x14ac:dyDescent="0.2">
      <c r="A209" s="4">
        <v>3.51</v>
      </c>
      <c r="B209" s="4">
        <v>12</v>
      </c>
      <c r="C209" s="4">
        <v>7</v>
      </c>
      <c r="D209" s="4">
        <v>2</v>
      </c>
      <c r="E209" s="4">
        <v>1</v>
      </c>
      <c r="F209" s="4">
        <v>1</v>
      </c>
      <c r="G209" s="4">
        <v>0</v>
      </c>
      <c r="H209" s="4">
        <v>0</v>
      </c>
      <c r="I209" s="4">
        <v>0</v>
      </c>
      <c r="J209" s="2" t="s">
        <v>79</v>
      </c>
    </row>
    <row r="210" spans="1:10" x14ac:dyDescent="0.2">
      <c r="A210" s="4">
        <v>7.5</v>
      </c>
      <c r="B210" s="4">
        <v>16</v>
      </c>
      <c r="C210" s="4">
        <v>6</v>
      </c>
      <c r="D210" s="4">
        <v>2</v>
      </c>
      <c r="E210" s="4">
        <v>1</v>
      </c>
      <c r="F210" s="4">
        <v>1</v>
      </c>
      <c r="G210" s="4">
        <v>1</v>
      </c>
      <c r="H210" s="4">
        <v>0</v>
      </c>
      <c r="I210" s="4">
        <v>0</v>
      </c>
      <c r="J210" s="2" t="s">
        <v>79</v>
      </c>
    </row>
    <row r="211" spans="1:10" x14ac:dyDescent="0.2">
      <c r="A211" s="4">
        <v>3.5</v>
      </c>
      <c r="B211" s="4">
        <v>12</v>
      </c>
      <c r="C211" s="4">
        <v>6</v>
      </c>
      <c r="D211" s="4">
        <v>2</v>
      </c>
      <c r="E211" s="4">
        <v>1</v>
      </c>
      <c r="F211" s="4">
        <v>0</v>
      </c>
      <c r="G211" s="4">
        <v>0</v>
      </c>
      <c r="H211" s="4">
        <v>0</v>
      </c>
      <c r="I211" s="4">
        <v>0</v>
      </c>
      <c r="J211" s="2" t="s">
        <v>79</v>
      </c>
    </row>
    <row r="212" spans="1:10" x14ac:dyDescent="0.2">
      <c r="A212" s="4">
        <v>12.5</v>
      </c>
      <c r="B212" s="4">
        <v>18</v>
      </c>
      <c r="C212" s="4">
        <v>6</v>
      </c>
      <c r="D212" s="4">
        <v>2</v>
      </c>
      <c r="E212" s="4">
        <v>0</v>
      </c>
      <c r="F212" s="4">
        <v>0</v>
      </c>
      <c r="G212" s="4">
        <v>1</v>
      </c>
      <c r="H212" s="4">
        <v>0</v>
      </c>
      <c r="I212" s="4">
        <v>0</v>
      </c>
      <c r="J212" s="2" t="s">
        <v>79</v>
      </c>
    </row>
    <row r="213" spans="1:10" x14ac:dyDescent="0.2">
      <c r="A213" s="4">
        <v>8.33</v>
      </c>
      <c r="B213" s="4">
        <v>16</v>
      </c>
      <c r="C213" s="4">
        <v>6</v>
      </c>
      <c r="D213" s="4">
        <v>2</v>
      </c>
      <c r="E213" s="4">
        <v>0</v>
      </c>
      <c r="F213" s="4">
        <v>1</v>
      </c>
      <c r="G213" s="4">
        <v>0</v>
      </c>
      <c r="H213" s="4">
        <v>1</v>
      </c>
      <c r="I213" s="4">
        <v>0</v>
      </c>
      <c r="J213" s="2" t="s">
        <v>79</v>
      </c>
    </row>
    <row r="214" spans="1:10" x14ac:dyDescent="0.2">
      <c r="A214" s="4">
        <v>4.25</v>
      </c>
      <c r="B214" s="4">
        <v>14</v>
      </c>
      <c r="C214" s="4">
        <v>5</v>
      </c>
      <c r="D214" s="4">
        <v>2</v>
      </c>
      <c r="E214" s="4">
        <v>0</v>
      </c>
      <c r="F214" s="4">
        <v>1</v>
      </c>
      <c r="G214" s="4">
        <v>0</v>
      </c>
      <c r="H214" s="4">
        <v>0</v>
      </c>
      <c r="I214" s="4">
        <v>0</v>
      </c>
      <c r="J214" s="2" t="s">
        <v>79</v>
      </c>
    </row>
    <row r="215" spans="1:10" x14ac:dyDescent="0.2">
      <c r="A215" s="4">
        <v>4.34</v>
      </c>
      <c r="B215" s="4">
        <v>16</v>
      </c>
      <c r="C215" s="4">
        <v>5</v>
      </c>
      <c r="D215" s="4">
        <v>2</v>
      </c>
      <c r="E215" s="4">
        <v>1</v>
      </c>
      <c r="F215" s="4">
        <v>0</v>
      </c>
      <c r="G215" s="4">
        <v>1</v>
      </c>
      <c r="H215" s="4">
        <v>0</v>
      </c>
      <c r="I215" s="4">
        <v>0</v>
      </c>
      <c r="J215" s="2" t="s">
        <v>79</v>
      </c>
    </row>
    <row r="216" spans="1:10" x14ac:dyDescent="0.2">
      <c r="A216" s="4">
        <v>4.51</v>
      </c>
      <c r="B216" s="4">
        <v>12</v>
      </c>
      <c r="C216" s="4">
        <v>5</v>
      </c>
      <c r="D216" s="4">
        <v>2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2" t="s">
        <v>79</v>
      </c>
    </row>
    <row r="217" spans="1:10" x14ac:dyDescent="0.2">
      <c r="A217" s="4">
        <v>3.75</v>
      </c>
      <c r="B217" s="10">
        <v>12</v>
      </c>
      <c r="C217" s="4">
        <v>5</v>
      </c>
      <c r="D217" s="4">
        <v>2</v>
      </c>
      <c r="E217" s="4">
        <v>1</v>
      </c>
      <c r="F217" s="4">
        <v>1</v>
      </c>
      <c r="G217" s="4">
        <v>1</v>
      </c>
      <c r="H217" s="4">
        <v>0</v>
      </c>
      <c r="I217" s="4">
        <v>0</v>
      </c>
      <c r="J217" s="2" t="s">
        <v>79</v>
      </c>
    </row>
    <row r="218" spans="1:10" x14ac:dyDescent="0.2">
      <c r="A218" s="4">
        <v>6.53</v>
      </c>
      <c r="B218" s="4">
        <v>16</v>
      </c>
      <c r="C218" s="4">
        <v>3</v>
      </c>
      <c r="D218" s="4">
        <v>2</v>
      </c>
      <c r="E218" s="4">
        <v>1</v>
      </c>
      <c r="F218" s="4">
        <v>0</v>
      </c>
      <c r="G218" s="4">
        <v>0</v>
      </c>
      <c r="H218" s="4">
        <v>0</v>
      </c>
      <c r="I218" s="4">
        <v>0</v>
      </c>
      <c r="J218" s="2" t="s">
        <v>79</v>
      </c>
    </row>
    <row r="219" spans="1:10" x14ac:dyDescent="0.2">
      <c r="A219" s="4">
        <v>8.6</v>
      </c>
      <c r="B219" s="4">
        <v>16</v>
      </c>
      <c r="C219" s="4">
        <v>3</v>
      </c>
      <c r="D219" s="4">
        <v>2</v>
      </c>
      <c r="E219" s="4">
        <v>1</v>
      </c>
      <c r="F219" s="4">
        <v>0</v>
      </c>
      <c r="G219" s="4">
        <v>0</v>
      </c>
      <c r="H219" s="4">
        <v>0</v>
      </c>
      <c r="I219" s="4">
        <v>0</v>
      </c>
      <c r="J219" s="2" t="s">
        <v>79</v>
      </c>
    </row>
    <row r="220" spans="1:10" x14ac:dyDescent="0.2">
      <c r="A220" s="4">
        <v>8.75</v>
      </c>
      <c r="B220" s="4">
        <v>16</v>
      </c>
      <c r="C220" s="4">
        <v>3</v>
      </c>
      <c r="D220" s="4">
        <v>2</v>
      </c>
      <c r="E220" s="4">
        <v>0</v>
      </c>
      <c r="F220" s="4">
        <v>1</v>
      </c>
      <c r="G220" s="4">
        <v>0</v>
      </c>
      <c r="H220" s="4">
        <v>0</v>
      </c>
      <c r="I220" s="4">
        <v>0</v>
      </c>
      <c r="J220" s="2" t="s">
        <v>79</v>
      </c>
    </row>
    <row r="221" spans="1:10" x14ac:dyDescent="0.2">
      <c r="A221" s="4">
        <v>10</v>
      </c>
      <c r="B221" s="4">
        <v>16</v>
      </c>
      <c r="C221" s="4">
        <v>3</v>
      </c>
      <c r="D221" s="4">
        <v>2</v>
      </c>
      <c r="E221" s="4">
        <v>0</v>
      </c>
      <c r="F221" s="4">
        <v>1</v>
      </c>
      <c r="G221" s="4">
        <v>1</v>
      </c>
      <c r="H221" s="4">
        <v>0</v>
      </c>
      <c r="I221" s="4">
        <v>0</v>
      </c>
      <c r="J221" s="2" t="s">
        <v>79</v>
      </c>
    </row>
    <row r="222" spans="1:10" x14ac:dyDescent="0.2">
      <c r="A222" s="4">
        <v>5.63</v>
      </c>
      <c r="B222" s="4">
        <v>16</v>
      </c>
      <c r="C222" s="4">
        <v>2</v>
      </c>
      <c r="D222" s="4">
        <v>2</v>
      </c>
      <c r="E222" s="4">
        <v>0</v>
      </c>
      <c r="F222" s="4">
        <v>1</v>
      </c>
      <c r="G222" s="4">
        <v>0</v>
      </c>
      <c r="H222" s="4">
        <v>0</v>
      </c>
      <c r="I222" s="4">
        <v>0</v>
      </c>
      <c r="J222" s="2" t="s">
        <v>79</v>
      </c>
    </row>
    <row r="223" spans="1:10" x14ac:dyDescent="0.2">
      <c r="A223" s="4">
        <v>3.2</v>
      </c>
      <c r="B223" s="4">
        <v>15</v>
      </c>
      <c r="C223" s="4">
        <v>2</v>
      </c>
      <c r="D223" s="4">
        <v>2</v>
      </c>
      <c r="E223" s="4">
        <v>1</v>
      </c>
      <c r="F223" s="4">
        <v>0</v>
      </c>
      <c r="G223" s="4">
        <v>1</v>
      </c>
      <c r="H223" s="4">
        <v>0</v>
      </c>
      <c r="I223" s="4">
        <v>0</v>
      </c>
      <c r="J223" s="2" t="s">
        <v>79</v>
      </c>
    </row>
    <row r="224" spans="1:10" x14ac:dyDescent="0.2">
      <c r="A224" s="4">
        <v>2.9</v>
      </c>
      <c r="B224" s="4">
        <v>12</v>
      </c>
      <c r="C224" s="4">
        <v>2</v>
      </c>
      <c r="D224" s="4">
        <v>2</v>
      </c>
      <c r="E224" s="4">
        <v>1</v>
      </c>
      <c r="F224" s="4">
        <v>0</v>
      </c>
      <c r="G224" s="4">
        <v>0</v>
      </c>
      <c r="H224" s="4">
        <v>1</v>
      </c>
      <c r="I224" s="4">
        <v>0</v>
      </c>
      <c r="J224" s="2" t="s">
        <v>79</v>
      </c>
    </row>
    <row r="225" spans="1:10" x14ac:dyDescent="0.2">
      <c r="A225" s="4">
        <v>6</v>
      </c>
      <c r="B225" s="4">
        <v>16</v>
      </c>
      <c r="C225" s="4">
        <v>2</v>
      </c>
      <c r="D225" s="4">
        <v>2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2" t="s">
        <v>79</v>
      </c>
    </row>
    <row r="226" spans="1:10" x14ac:dyDescent="0.2">
      <c r="A226" s="4">
        <v>3.5</v>
      </c>
      <c r="B226" s="4">
        <v>13</v>
      </c>
      <c r="C226" s="4">
        <v>1</v>
      </c>
      <c r="D226" s="4">
        <v>2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2" t="s">
        <v>79</v>
      </c>
    </row>
    <row r="227" spans="1:10" x14ac:dyDescent="0.2">
      <c r="A227" s="4">
        <v>3.75</v>
      </c>
      <c r="B227" s="4">
        <v>18</v>
      </c>
      <c r="C227" s="4">
        <v>1</v>
      </c>
      <c r="D227" s="4">
        <v>2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2" t="s">
        <v>79</v>
      </c>
    </row>
    <row r="228" spans="1:10" x14ac:dyDescent="0.2">
      <c r="A228" s="4">
        <v>8.75</v>
      </c>
      <c r="B228" s="4">
        <v>16</v>
      </c>
      <c r="C228" s="4">
        <v>1</v>
      </c>
      <c r="D228" s="4">
        <v>2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2" t="s">
        <v>79</v>
      </c>
    </row>
    <row r="229" spans="1:10" x14ac:dyDescent="0.2">
      <c r="A229" s="4">
        <v>2.9</v>
      </c>
      <c r="B229" s="4">
        <v>11</v>
      </c>
      <c r="C229" s="4">
        <v>1</v>
      </c>
      <c r="D229" s="4">
        <v>2</v>
      </c>
      <c r="E229" s="4">
        <v>0</v>
      </c>
      <c r="F229" s="4">
        <v>0</v>
      </c>
      <c r="G229" s="4">
        <v>1</v>
      </c>
      <c r="H229" s="4">
        <v>0</v>
      </c>
      <c r="I229" s="4">
        <v>0</v>
      </c>
      <c r="J229" s="2" t="s">
        <v>79</v>
      </c>
    </row>
    <row r="230" spans="1:10" x14ac:dyDescent="0.2">
      <c r="A230" s="4">
        <v>3.52</v>
      </c>
      <c r="B230" s="4">
        <v>12</v>
      </c>
      <c r="C230" s="9">
        <v>43.93</v>
      </c>
      <c r="D230" s="4">
        <v>1</v>
      </c>
      <c r="E230" s="4">
        <v>0</v>
      </c>
      <c r="F230" s="4">
        <v>1</v>
      </c>
      <c r="G230" s="4">
        <v>1</v>
      </c>
      <c r="H230" s="4">
        <v>0</v>
      </c>
      <c r="I230" s="4">
        <v>0</v>
      </c>
      <c r="J230" s="2" t="s">
        <v>79</v>
      </c>
    </row>
    <row r="231" spans="1:10" x14ac:dyDescent="0.2">
      <c r="A231" s="4">
        <v>3</v>
      </c>
      <c r="B231" s="4">
        <v>8</v>
      </c>
      <c r="C231" s="9">
        <v>43.93</v>
      </c>
      <c r="D231" s="4">
        <v>1</v>
      </c>
      <c r="E231" s="4">
        <v>1</v>
      </c>
      <c r="F231" s="4">
        <v>1</v>
      </c>
      <c r="G231" s="4">
        <v>0</v>
      </c>
      <c r="H231" s="4">
        <v>0</v>
      </c>
      <c r="I231" s="4">
        <v>0</v>
      </c>
      <c r="J231" s="2" t="s">
        <v>79</v>
      </c>
    </row>
    <row r="232" spans="1:10" x14ac:dyDescent="0.2">
      <c r="A232" s="4">
        <v>2.9</v>
      </c>
      <c r="B232" s="4">
        <v>12</v>
      </c>
      <c r="C232" s="4">
        <v>39</v>
      </c>
      <c r="D232" s="4">
        <v>1</v>
      </c>
      <c r="E232" s="4">
        <v>1</v>
      </c>
      <c r="F232" s="4">
        <v>1</v>
      </c>
      <c r="G232" s="4">
        <v>1</v>
      </c>
      <c r="H232" s="4">
        <v>0</v>
      </c>
      <c r="I232" s="4">
        <v>0</v>
      </c>
      <c r="J232" s="2" t="s">
        <v>79</v>
      </c>
    </row>
    <row r="233" spans="1:10" x14ac:dyDescent="0.2">
      <c r="A233" s="4">
        <v>9</v>
      </c>
      <c r="B233" s="4">
        <v>12</v>
      </c>
      <c r="C233" s="4">
        <v>38</v>
      </c>
      <c r="D233" s="4">
        <v>1</v>
      </c>
      <c r="E233" s="4">
        <v>0</v>
      </c>
      <c r="F233" s="4">
        <v>1</v>
      </c>
      <c r="G233" s="4">
        <v>0</v>
      </c>
      <c r="H233" s="4">
        <v>0</v>
      </c>
      <c r="I233" s="4">
        <v>0</v>
      </c>
      <c r="J233" s="2" t="s">
        <v>79</v>
      </c>
    </row>
    <row r="234" spans="1:10" x14ac:dyDescent="0.2">
      <c r="A234" s="4">
        <v>3</v>
      </c>
      <c r="B234" s="4">
        <v>12</v>
      </c>
      <c r="C234" s="4">
        <v>36</v>
      </c>
      <c r="D234" s="4">
        <v>1</v>
      </c>
      <c r="E234" s="10">
        <v>2</v>
      </c>
      <c r="F234" s="4">
        <v>0</v>
      </c>
      <c r="G234" s="4">
        <v>0</v>
      </c>
      <c r="H234" s="4">
        <v>1</v>
      </c>
      <c r="I234" s="4">
        <v>0</v>
      </c>
      <c r="J234" s="2" t="s">
        <v>79</v>
      </c>
    </row>
    <row r="235" spans="1:10" x14ac:dyDescent="0.2">
      <c r="A235" s="4">
        <v>3.5</v>
      </c>
      <c r="B235" s="4">
        <v>13</v>
      </c>
      <c r="C235" s="4">
        <v>29</v>
      </c>
      <c r="D235" s="4">
        <v>1</v>
      </c>
      <c r="E235" s="4">
        <v>1</v>
      </c>
      <c r="F235" s="4">
        <v>1</v>
      </c>
      <c r="G235" s="4">
        <v>1</v>
      </c>
      <c r="H235" s="4">
        <v>0</v>
      </c>
      <c r="I235" s="4">
        <v>0</v>
      </c>
      <c r="J235" s="2" t="s">
        <v>79</v>
      </c>
    </row>
    <row r="236" spans="1:10" x14ac:dyDescent="0.2">
      <c r="A236" s="4">
        <v>3</v>
      </c>
      <c r="B236" s="4">
        <v>7</v>
      </c>
      <c r="C236" s="4">
        <v>26</v>
      </c>
      <c r="D236" s="4">
        <v>1</v>
      </c>
      <c r="E236" s="4">
        <v>1</v>
      </c>
      <c r="F236" s="4">
        <v>0</v>
      </c>
      <c r="G236" s="4">
        <v>1</v>
      </c>
      <c r="H236" s="4">
        <v>0</v>
      </c>
      <c r="I236" s="4">
        <v>0</v>
      </c>
      <c r="J236" s="2" t="s">
        <v>79</v>
      </c>
    </row>
    <row r="237" spans="1:10" x14ac:dyDescent="0.2">
      <c r="A237" s="4">
        <v>4</v>
      </c>
      <c r="B237" s="4">
        <v>9</v>
      </c>
      <c r="C237" s="4">
        <v>19</v>
      </c>
      <c r="D237" s="4">
        <v>1</v>
      </c>
      <c r="E237" s="4">
        <v>1</v>
      </c>
      <c r="F237" s="4">
        <v>1</v>
      </c>
      <c r="G237" s="4">
        <v>0</v>
      </c>
      <c r="H237" s="4">
        <v>0</v>
      </c>
      <c r="I237" s="4">
        <v>0</v>
      </c>
      <c r="J237" s="2" t="s">
        <v>79</v>
      </c>
    </row>
    <row r="238" spans="1:10" x14ac:dyDescent="0.2">
      <c r="A238" s="4">
        <v>2.9</v>
      </c>
      <c r="B238" s="4">
        <v>12</v>
      </c>
      <c r="C238" s="4">
        <v>17</v>
      </c>
      <c r="D238" s="4">
        <v>1</v>
      </c>
      <c r="E238" s="4">
        <v>1</v>
      </c>
      <c r="F238" s="4">
        <v>1</v>
      </c>
      <c r="G238" s="4">
        <v>0</v>
      </c>
      <c r="H238" s="4">
        <v>0</v>
      </c>
      <c r="I238" s="4">
        <v>0</v>
      </c>
      <c r="J238" s="2" t="s">
        <v>79</v>
      </c>
    </row>
    <row r="239" spans="1:10" x14ac:dyDescent="0.2">
      <c r="A239" s="4">
        <v>4.63</v>
      </c>
      <c r="B239" s="4">
        <v>12</v>
      </c>
      <c r="C239" s="4">
        <v>16</v>
      </c>
      <c r="D239" s="4">
        <v>1</v>
      </c>
      <c r="E239" s="4">
        <v>1</v>
      </c>
      <c r="F239" s="4">
        <v>0</v>
      </c>
      <c r="G239" s="4">
        <v>1</v>
      </c>
      <c r="H239" s="4">
        <v>0</v>
      </c>
      <c r="I239" s="4">
        <v>0</v>
      </c>
      <c r="J239" s="2" t="s">
        <v>79</v>
      </c>
    </row>
    <row r="240" spans="1:10" x14ac:dyDescent="0.2">
      <c r="A240" s="4">
        <v>4.72</v>
      </c>
      <c r="B240" s="4">
        <v>12</v>
      </c>
      <c r="C240" s="4">
        <v>15</v>
      </c>
      <c r="D240" s="4">
        <v>1</v>
      </c>
      <c r="E240" s="4">
        <v>1</v>
      </c>
      <c r="F240" s="4">
        <v>0</v>
      </c>
      <c r="G240" s="4">
        <v>1</v>
      </c>
      <c r="H240" s="4">
        <v>0</v>
      </c>
      <c r="I240" s="4">
        <v>0</v>
      </c>
      <c r="J240" s="2" t="s">
        <v>79</v>
      </c>
    </row>
    <row r="241" spans="1:10" x14ac:dyDescent="0.2">
      <c r="A241" s="4">
        <v>2.9</v>
      </c>
      <c r="B241" s="4">
        <v>12</v>
      </c>
      <c r="C241" s="4">
        <v>15</v>
      </c>
      <c r="D241" s="4">
        <v>1</v>
      </c>
      <c r="E241" s="4">
        <v>1</v>
      </c>
      <c r="F241" s="4">
        <v>1</v>
      </c>
      <c r="G241" s="4">
        <v>0</v>
      </c>
      <c r="H241" s="4">
        <v>1</v>
      </c>
      <c r="I241" s="4">
        <v>0</v>
      </c>
      <c r="J241" s="2" t="s">
        <v>79</v>
      </c>
    </row>
    <row r="242" spans="1:10" x14ac:dyDescent="0.2">
      <c r="A242" s="4">
        <v>5</v>
      </c>
      <c r="B242" s="4">
        <v>11</v>
      </c>
      <c r="C242" s="4">
        <v>13</v>
      </c>
      <c r="D242" s="4">
        <v>1</v>
      </c>
      <c r="E242" s="4">
        <v>0</v>
      </c>
      <c r="F242" s="4">
        <v>1</v>
      </c>
      <c r="G242" s="4">
        <v>1</v>
      </c>
      <c r="H242" s="4">
        <v>0</v>
      </c>
      <c r="I242" s="4">
        <v>0</v>
      </c>
      <c r="J242" s="2" t="s">
        <v>79</v>
      </c>
    </row>
    <row r="243" spans="1:10" x14ac:dyDescent="0.2">
      <c r="A243" s="4">
        <v>8.65</v>
      </c>
      <c r="B243" s="4">
        <v>18</v>
      </c>
      <c r="C243" s="4">
        <v>13</v>
      </c>
      <c r="D243" s="4">
        <v>1</v>
      </c>
      <c r="E243" s="4">
        <v>1</v>
      </c>
      <c r="F243" s="4">
        <v>0</v>
      </c>
      <c r="G243" s="4">
        <v>0</v>
      </c>
      <c r="H243" s="4">
        <v>0</v>
      </c>
      <c r="I243" s="4">
        <v>0</v>
      </c>
      <c r="J243" s="2" t="s">
        <v>79</v>
      </c>
    </row>
    <row r="244" spans="1:10" x14ac:dyDescent="0.2">
      <c r="A244" s="4">
        <v>1.5</v>
      </c>
      <c r="B244" s="4">
        <v>12</v>
      </c>
      <c r="C244" s="4">
        <v>11</v>
      </c>
      <c r="D244" s="4">
        <v>1</v>
      </c>
      <c r="E244" s="4">
        <v>1</v>
      </c>
      <c r="F244" s="4">
        <v>1</v>
      </c>
      <c r="G244" s="4">
        <v>0</v>
      </c>
      <c r="H244" s="4">
        <v>0</v>
      </c>
      <c r="I244" s="4">
        <v>0</v>
      </c>
      <c r="J244" s="2" t="s">
        <v>79</v>
      </c>
    </row>
    <row r="245" spans="1:10" x14ac:dyDescent="0.2">
      <c r="A245" s="4">
        <v>6.35</v>
      </c>
      <c r="B245" s="4">
        <v>14</v>
      </c>
      <c r="C245" s="4">
        <v>10</v>
      </c>
      <c r="D245" s="4">
        <v>1</v>
      </c>
      <c r="E245" s="4">
        <v>1</v>
      </c>
      <c r="F245" s="4">
        <v>1</v>
      </c>
      <c r="G245" s="4">
        <v>1</v>
      </c>
      <c r="H245" s="4">
        <v>0</v>
      </c>
      <c r="I245" s="4">
        <v>0</v>
      </c>
      <c r="J245" s="2" t="s">
        <v>79</v>
      </c>
    </row>
    <row r="246" spans="1:10" x14ac:dyDescent="0.2">
      <c r="A246" s="4">
        <v>3.25</v>
      </c>
      <c r="B246" s="4">
        <v>8</v>
      </c>
      <c r="C246" s="4">
        <v>9</v>
      </c>
      <c r="D246" s="4">
        <v>1</v>
      </c>
      <c r="E246" s="4">
        <v>1</v>
      </c>
      <c r="F246" s="4">
        <v>1</v>
      </c>
      <c r="G246" s="4">
        <v>0</v>
      </c>
      <c r="H246" s="4">
        <v>1</v>
      </c>
      <c r="I246" s="4">
        <v>0</v>
      </c>
      <c r="J246" s="2" t="s">
        <v>79</v>
      </c>
    </row>
    <row r="247" spans="1:10" x14ac:dyDescent="0.2">
      <c r="A247" s="4">
        <v>3.35</v>
      </c>
      <c r="B247" s="4">
        <v>12</v>
      </c>
      <c r="C247" s="4">
        <v>9</v>
      </c>
      <c r="D247" s="4">
        <v>1</v>
      </c>
      <c r="E247" s="4">
        <v>0</v>
      </c>
      <c r="F247" s="4">
        <v>1</v>
      </c>
      <c r="G247" s="4">
        <v>0</v>
      </c>
      <c r="H247" s="4">
        <v>0</v>
      </c>
      <c r="I247" s="4">
        <v>0</v>
      </c>
      <c r="J247" s="2" t="s">
        <v>79</v>
      </c>
    </row>
    <row r="248" spans="1:10" x14ac:dyDescent="0.2">
      <c r="A248" s="4">
        <v>8.8000000000000007</v>
      </c>
      <c r="B248" s="4">
        <v>16</v>
      </c>
      <c r="C248" s="4">
        <v>9</v>
      </c>
      <c r="D248" s="4">
        <v>1</v>
      </c>
      <c r="E248" s="4">
        <v>0</v>
      </c>
      <c r="F248" s="4">
        <v>1</v>
      </c>
      <c r="G248" s="4">
        <v>1</v>
      </c>
      <c r="H248" s="4">
        <v>0</v>
      </c>
      <c r="I248" s="4">
        <v>0</v>
      </c>
      <c r="J248" s="2" t="s">
        <v>79</v>
      </c>
    </row>
    <row r="249" spans="1:10" x14ac:dyDescent="0.2">
      <c r="A249" s="4">
        <v>12.5</v>
      </c>
      <c r="B249" s="4">
        <v>12</v>
      </c>
      <c r="C249" s="4">
        <v>8</v>
      </c>
      <c r="D249" s="4">
        <v>1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2" t="s">
        <v>79</v>
      </c>
    </row>
    <row r="250" spans="1:10" x14ac:dyDescent="0.2">
      <c r="A250" s="4">
        <v>6.36</v>
      </c>
      <c r="B250" s="4">
        <v>14</v>
      </c>
      <c r="C250" s="4">
        <v>8</v>
      </c>
      <c r="D250" s="4">
        <v>1</v>
      </c>
      <c r="E250" s="4">
        <v>0</v>
      </c>
      <c r="F250" s="4">
        <v>1</v>
      </c>
      <c r="G250" s="4">
        <v>1</v>
      </c>
      <c r="H250" s="4">
        <v>0</v>
      </c>
      <c r="I250" s="4">
        <v>0</v>
      </c>
      <c r="J250" s="2" t="s">
        <v>79</v>
      </c>
    </row>
    <row r="251" spans="1:10" x14ac:dyDescent="0.2">
      <c r="A251" s="4">
        <v>6.5</v>
      </c>
      <c r="B251" s="4">
        <v>12</v>
      </c>
      <c r="C251" s="4">
        <v>4</v>
      </c>
      <c r="D251" s="4">
        <v>1</v>
      </c>
      <c r="E251" s="4">
        <v>1</v>
      </c>
      <c r="F251" s="4">
        <v>0</v>
      </c>
      <c r="G251" s="4">
        <v>0</v>
      </c>
      <c r="H251" s="4">
        <v>0</v>
      </c>
      <c r="I251" s="4">
        <v>0</v>
      </c>
      <c r="J251" s="2" t="s">
        <v>79</v>
      </c>
    </row>
    <row r="252" spans="1:10" x14ac:dyDescent="0.2">
      <c r="A252" s="4">
        <v>2.31</v>
      </c>
      <c r="B252" s="4">
        <v>9</v>
      </c>
      <c r="C252" s="4">
        <v>4</v>
      </c>
      <c r="D252" s="4">
        <v>1</v>
      </c>
      <c r="E252" s="4">
        <v>1</v>
      </c>
      <c r="F252" s="4">
        <v>0</v>
      </c>
      <c r="G252" s="4">
        <v>0</v>
      </c>
      <c r="H252" s="4">
        <v>0</v>
      </c>
      <c r="I252" s="4">
        <v>0</v>
      </c>
      <c r="J252" s="2" t="s">
        <v>79</v>
      </c>
    </row>
    <row r="253" spans="1:10" x14ac:dyDescent="0.2">
      <c r="A253" s="4">
        <v>3.5</v>
      </c>
      <c r="B253" s="4">
        <v>18</v>
      </c>
      <c r="C253" s="4">
        <v>3</v>
      </c>
      <c r="D253" s="4">
        <v>1</v>
      </c>
      <c r="E253" s="4">
        <v>1</v>
      </c>
      <c r="F253" s="4">
        <v>0</v>
      </c>
      <c r="G253" s="4">
        <v>0</v>
      </c>
      <c r="H253" s="4">
        <v>0</v>
      </c>
      <c r="I253" s="4">
        <v>0</v>
      </c>
      <c r="J253" s="2" t="s">
        <v>79</v>
      </c>
    </row>
    <row r="254" spans="1:10" x14ac:dyDescent="0.2">
      <c r="A254" s="4">
        <v>0.53</v>
      </c>
      <c r="B254" s="4">
        <v>12</v>
      </c>
      <c r="C254" s="4">
        <v>3</v>
      </c>
      <c r="D254" s="4">
        <v>1</v>
      </c>
      <c r="E254" s="4">
        <v>1</v>
      </c>
      <c r="F254" s="4">
        <v>0</v>
      </c>
      <c r="G254" s="4">
        <v>0</v>
      </c>
      <c r="H254" s="4">
        <v>1</v>
      </c>
      <c r="I254" s="4">
        <v>0</v>
      </c>
      <c r="J254" s="2" t="s">
        <v>79</v>
      </c>
    </row>
    <row r="255" spans="1:10" x14ac:dyDescent="0.2">
      <c r="A255" s="4">
        <v>3</v>
      </c>
      <c r="B255" s="4">
        <v>13</v>
      </c>
      <c r="C255" s="4">
        <v>3</v>
      </c>
      <c r="D255" s="4">
        <v>1</v>
      </c>
      <c r="E255" s="4">
        <v>0</v>
      </c>
      <c r="F255" s="4">
        <v>0</v>
      </c>
      <c r="G255" s="4">
        <v>1</v>
      </c>
      <c r="H255" s="4">
        <v>0</v>
      </c>
      <c r="I255" s="4">
        <v>0</v>
      </c>
      <c r="J255" s="2" t="s">
        <v>79</v>
      </c>
    </row>
    <row r="256" spans="1:10" x14ac:dyDescent="0.2">
      <c r="A256" s="4">
        <v>4.68</v>
      </c>
      <c r="B256" s="4">
        <v>16</v>
      </c>
      <c r="C256" s="4">
        <v>3</v>
      </c>
      <c r="D256" s="4">
        <v>1</v>
      </c>
      <c r="E256" s="4">
        <v>1</v>
      </c>
      <c r="F256" s="4">
        <v>0</v>
      </c>
      <c r="G256" s="4">
        <v>0</v>
      </c>
      <c r="H256" s="4">
        <v>0</v>
      </c>
      <c r="I256" s="4">
        <v>0</v>
      </c>
      <c r="J256" s="2" t="s">
        <v>79</v>
      </c>
    </row>
    <row r="257" spans="1:10" x14ac:dyDescent="0.2">
      <c r="A257" s="4">
        <v>4.5</v>
      </c>
      <c r="B257" s="4">
        <v>12</v>
      </c>
      <c r="C257" s="4">
        <v>2</v>
      </c>
      <c r="D257" s="4">
        <v>1</v>
      </c>
      <c r="E257" s="4">
        <v>1</v>
      </c>
      <c r="F257" s="4">
        <v>0</v>
      </c>
      <c r="G257" s="4">
        <v>0</v>
      </c>
      <c r="H257" s="4">
        <v>0</v>
      </c>
      <c r="I257" s="4">
        <v>1</v>
      </c>
      <c r="J257" s="2" t="s">
        <v>79</v>
      </c>
    </row>
    <row r="258" spans="1:10" x14ac:dyDescent="0.2">
      <c r="A258" s="4">
        <v>3.1</v>
      </c>
      <c r="B258" s="4">
        <v>12</v>
      </c>
      <c r="C258" s="4">
        <v>2</v>
      </c>
      <c r="D258" s="4">
        <v>1</v>
      </c>
      <c r="E258" s="4">
        <v>1</v>
      </c>
      <c r="F258" s="4">
        <v>0</v>
      </c>
      <c r="G258" s="4">
        <v>0</v>
      </c>
      <c r="H258" s="4">
        <v>0</v>
      </c>
      <c r="I258" s="4">
        <v>0</v>
      </c>
      <c r="J258" s="2" t="s">
        <v>79</v>
      </c>
    </row>
    <row r="259" spans="1:10" x14ac:dyDescent="0.2">
      <c r="A259" s="4">
        <v>5</v>
      </c>
      <c r="B259" s="4">
        <v>16</v>
      </c>
      <c r="C259" s="4">
        <v>2</v>
      </c>
      <c r="D259" s="4">
        <v>1</v>
      </c>
      <c r="E259" s="4">
        <v>1</v>
      </c>
      <c r="F259" s="4">
        <v>1</v>
      </c>
      <c r="G259" s="4">
        <v>1</v>
      </c>
      <c r="H259" s="4">
        <v>0</v>
      </c>
      <c r="I259" s="4">
        <v>0</v>
      </c>
      <c r="J259" s="2" t="s">
        <v>79</v>
      </c>
    </row>
    <row r="260" spans="1:10" x14ac:dyDescent="0.2">
      <c r="A260" s="4">
        <v>3</v>
      </c>
      <c r="B260" s="4">
        <v>10</v>
      </c>
      <c r="C260" s="4">
        <v>2</v>
      </c>
      <c r="D260" s="4">
        <v>1</v>
      </c>
      <c r="E260" s="4">
        <v>1</v>
      </c>
      <c r="F260" s="4">
        <v>0</v>
      </c>
      <c r="G260" s="4">
        <v>1</v>
      </c>
      <c r="H260" s="4">
        <v>0</v>
      </c>
      <c r="I260" s="4">
        <v>0</v>
      </c>
      <c r="J260" s="2" t="s">
        <v>79</v>
      </c>
    </row>
    <row r="261" spans="1:10" x14ac:dyDescent="0.2">
      <c r="A261" s="4">
        <v>3.13</v>
      </c>
      <c r="B261" s="4">
        <v>10</v>
      </c>
      <c r="C261" s="4">
        <v>1</v>
      </c>
      <c r="D261" s="4">
        <v>1</v>
      </c>
      <c r="E261" s="4">
        <v>0</v>
      </c>
      <c r="F261" s="4">
        <v>0</v>
      </c>
      <c r="G261" s="4">
        <v>0</v>
      </c>
      <c r="H261" s="4">
        <v>1</v>
      </c>
      <c r="I261" s="4">
        <v>0</v>
      </c>
      <c r="J261" s="2" t="s">
        <v>79</v>
      </c>
    </row>
    <row r="262" spans="1:10" x14ac:dyDescent="0.2">
      <c r="A262" s="4">
        <v>3.4</v>
      </c>
      <c r="B262" s="4">
        <v>16</v>
      </c>
      <c r="C262" s="4">
        <v>1</v>
      </c>
      <c r="D262" s="4">
        <v>1</v>
      </c>
      <c r="E262" s="4">
        <v>1</v>
      </c>
      <c r="F262" s="4">
        <v>0</v>
      </c>
      <c r="G262" s="4">
        <v>0</v>
      </c>
      <c r="H262" s="4">
        <v>0</v>
      </c>
      <c r="I262" s="4">
        <v>0</v>
      </c>
      <c r="J262" s="2" t="s">
        <v>79</v>
      </c>
    </row>
    <row r="263" spans="1:10" x14ac:dyDescent="0.2">
      <c r="A263" s="4">
        <v>4.28</v>
      </c>
      <c r="B263" s="4">
        <v>13</v>
      </c>
      <c r="C263" s="4">
        <v>1</v>
      </c>
      <c r="D263" s="4">
        <v>1</v>
      </c>
      <c r="E263" s="4">
        <v>1</v>
      </c>
      <c r="F263" s="4">
        <v>0</v>
      </c>
      <c r="G263" s="4">
        <v>0</v>
      </c>
      <c r="H263" s="4">
        <v>0</v>
      </c>
      <c r="I263" s="4">
        <v>0</v>
      </c>
      <c r="J263" s="2" t="s">
        <v>79</v>
      </c>
    </row>
    <row r="264" spans="1:10" x14ac:dyDescent="0.2">
      <c r="A264" s="4">
        <v>3</v>
      </c>
      <c r="B264" s="4">
        <v>11</v>
      </c>
      <c r="C264" s="4">
        <v>1</v>
      </c>
      <c r="D264" s="4">
        <v>1</v>
      </c>
      <c r="E264" s="4">
        <v>1</v>
      </c>
      <c r="F264" s="4">
        <v>0</v>
      </c>
      <c r="G264" s="4">
        <v>1</v>
      </c>
      <c r="H264" s="4">
        <v>0</v>
      </c>
      <c r="I264" s="4">
        <v>0</v>
      </c>
      <c r="J264" s="2" t="s">
        <v>79</v>
      </c>
    </row>
    <row r="265" spans="1:10" x14ac:dyDescent="0.2">
      <c r="A265" s="4">
        <v>3</v>
      </c>
      <c r="B265" s="4">
        <v>4</v>
      </c>
      <c r="C265" s="9">
        <v>43.93</v>
      </c>
      <c r="D265" s="4">
        <v>0</v>
      </c>
      <c r="E265" s="4">
        <v>0</v>
      </c>
      <c r="F265" s="4">
        <v>1</v>
      </c>
      <c r="G265" s="4">
        <v>1</v>
      </c>
      <c r="H265" s="4">
        <v>0</v>
      </c>
      <c r="I265" s="4">
        <v>0</v>
      </c>
      <c r="J265" s="2" t="s">
        <v>79</v>
      </c>
    </row>
    <row r="266" spans="1:10" x14ac:dyDescent="0.2">
      <c r="A266" s="4">
        <v>3</v>
      </c>
      <c r="B266" s="4">
        <v>10</v>
      </c>
      <c r="C266" s="9">
        <v>43.93</v>
      </c>
      <c r="D266" s="4">
        <v>0</v>
      </c>
      <c r="E266" s="4">
        <v>0</v>
      </c>
      <c r="F266" s="4">
        <v>0</v>
      </c>
      <c r="G266" s="4">
        <v>1</v>
      </c>
      <c r="H266" s="4">
        <v>0</v>
      </c>
      <c r="I266" s="4">
        <v>0</v>
      </c>
      <c r="J266" s="2" t="s">
        <v>79</v>
      </c>
    </row>
    <row r="267" spans="1:10" x14ac:dyDescent="0.2">
      <c r="A267" s="4">
        <v>2.5299999999999998</v>
      </c>
      <c r="B267" s="4">
        <v>12</v>
      </c>
      <c r="C267" s="9">
        <v>43.93</v>
      </c>
      <c r="D267" s="4">
        <v>0</v>
      </c>
      <c r="E267" s="4">
        <v>1</v>
      </c>
      <c r="F267" s="4">
        <v>0</v>
      </c>
      <c r="G267" s="4">
        <v>0</v>
      </c>
      <c r="H267" s="4">
        <v>0</v>
      </c>
      <c r="I267" s="4">
        <v>0</v>
      </c>
      <c r="J267" s="2" t="s">
        <v>79</v>
      </c>
    </row>
    <row r="268" spans="1:10" x14ac:dyDescent="0.2">
      <c r="A268" s="4">
        <v>2.89</v>
      </c>
      <c r="B268" s="4">
        <v>0</v>
      </c>
      <c r="C268" s="4">
        <v>42</v>
      </c>
      <c r="D268" s="4">
        <v>0</v>
      </c>
      <c r="E268" s="4">
        <v>1</v>
      </c>
      <c r="F268" s="4">
        <v>1</v>
      </c>
      <c r="G268" s="4">
        <v>0</v>
      </c>
      <c r="H268" s="4">
        <v>1</v>
      </c>
      <c r="I268" s="4">
        <v>0</v>
      </c>
      <c r="J268" s="2" t="s">
        <v>79</v>
      </c>
    </row>
    <row r="269" spans="1:10" x14ac:dyDescent="0.2">
      <c r="A269" s="4">
        <v>3.25</v>
      </c>
      <c r="B269" s="4">
        <v>12</v>
      </c>
      <c r="C269" s="4">
        <v>42</v>
      </c>
      <c r="D269" s="4">
        <v>0</v>
      </c>
      <c r="E269" s="4">
        <v>1</v>
      </c>
      <c r="F269" s="4">
        <v>1</v>
      </c>
      <c r="G269" s="4">
        <v>0</v>
      </c>
      <c r="H269" s="4">
        <v>1</v>
      </c>
      <c r="I269" s="4">
        <v>0</v>
      </c>
      <c r="J269" s="2" t="s">
        <v>79</v>
      </c>
    </row>
    <row r="270" spans="1:10" x14ac:dyDescent="0.2">
      <c r="A270" s="4">
        <v>3</v>
      </c>
      <c r="B270" s="4">
        <v>12</v>
      </c>
      <c r="C270" s="4">
        <v>38</v>
      </c>
      <c r="D270" s="4">
        <v>0</v>
      </c>
      <c r="E270" s="4">
        <v>1</v>
      </c>
      <c r="F270" s="4">
        <v>1</v>
      </c>
      <c r="G270" s="4">
        <v>0</v>
      </c>
      <c r="H270" s="4">
        <v>0</v>
      </c>
      <c r="I270" s="4">
        <v>0</v>
      </c>
      <c r="J270" s="2" t="s">
        <v>79</v>
      </c>
    </row>
    <row r="271" spans="1:10" x14ac:dyDescent="0.2">
      <c r="A271" s="4">
        <v>2.9</v>
      </c>
      <c r="B271" s="4">
        <v>12</v>
      </c>
      <c r="C271" s="4">
        <v>37</v>
      </c>
      <c r="D271" s="4">
        <v>0</v>
      </c>
      <c r="E271" s="4">
        <v>1</v>
      </c>
      <c r="F271" s="4">
        <v>1</v>
      </c>
      <c r="G271" s="4">
        <v>1</v>
      </c>
      <c r="H271" s="4">
        <v>0</v>
      </c>
      <c r="I271" s="4">
        <v>0</v>
      </c>
      <c r="J271" s="2" t="s">
        <v>79</v>
      </c>
    </row>
    <row r="272" spans="1:10" x14ac:dyDescent="0.2">
      <c r="A272" s="4">
        <v>6.63</v>
      </c>
      <c r="B272" s="4">
        <v>12</v>
      </c>
      <c r="C272" s="4">
        <v>36</v>
      </c>
      <c r="D272" s="4">
        <v>0</v>
      </c>
      <c r="E272" s="4">
        <v>1</v>
      </c>
      <c r="F272" s="4">
        <v>0</v>
      </c>
      <c r="G272" s="4">
        <v>1</v>
      </c>
      <c r="H272" s="4">
        <v>0</v>
      </c>
      <c r="I272" s="4">
        <v>0</v>
      </c>
      <c r="J272" s="2" t="s">
        <v>79</v>
      </c>
    </row>
    <row r="273" spans="1:10" x14ac:dyDescent="0.2">
      <c r="A273" s="4">
        <v>3</v>
      </c>
      <c r="B273" s="4">
        <v>4</v>
      </c>
      <c r="C273" s="4">
        <v>36</v>
      </c>
      <c r="D273" s="4">
        <v>0</v>
      </c>
      <c r="E273" s="4">
        <v>0</v>
      </c>
      <c r="F273" s="4">
        <v>1</v>
      </c>
      <c r="G273" s="4">
        <v>1</v>
      </c>
      <c r="H273" s="4">
        <v>0</v>
      </c>
      <c r="I273" s="4">
        <v>1</v>
      </c>
      <c r="J273" s="2" t="s">
        <v>79</v>
      </c>
    </row>
    <row r="274" spans="1:10" x14ac:dyDescent="0.2">
      <c r="A274" s="4">
        <v>3.35</v>
      </c>
      <c r="B274" s="4">
        <v>7</v>
      </c>
      <c r="C274" s="4">
        <v>35</v>
      </c>
      <c r="D274" s="4">
        <v>0</v>
      </c>
      <c r="E274" s="4">
        <v>1</v>
      </c>
      <c r="F274" s="4">
        <v>0</v>
      </c>
      <c r="G274" s="4">
        <v>1</v>
      </c>
      <c r="H274" s="4">
        <v>0</v>
      </c>
      <c r="I274" s="4">
        <v>0</v>
      </c>
      <c r="J274" s="2" t="s">
        <v>79</v>
      </c>
    </row>
    <row r="275" spans="1:10" x14ac:dyDescent="0.2">
      <c r="A275" s="4">
        <v>2.9</v>
      </c>
      <c r="B275" s="4">
        <v>5</v>
      </c>
      <c r="C275" s="4">
        <v>34</v>
      </c>
      <c r="D275" s="4">
        <v>0</v>
      </c>
      <c r="E275" s="4">
        <v>1</v>
      </c>
      <c r="F275" s="4">
        <v>1</v>
      </c>
      <c r="G275" s="4">
        <v>0</v>
      </c>
      <c r="H275" s="4">
        <v>1</v>
      </c>
      <c r="I275" s="4">
        <v>0</v>
      </c>
      <c r="J275" s="2" t="s">
        <v>79</v>
      </c>
    </row>
    <row r="276" spans="1:10" x14ac:dyDescent="0.2">
      <c r="A276" s="4">
        <v>3</v>
      </c>
      <c r="B276" s="4">
        <v>8</v>
      </c>
      <c r="C276" s="4">
        <v>33</v>
      </c>
      <c r="D276" s="4">
        <v>0</v>
      </c>
      <c r="E276" s="4">
        <v>0</v>
      </c>
      <c r="F276" s="4">
        <v>1</v>
      </c>
      <c r="G276" s="4">
        <v>1</v>
      </c>
      <c r="H276" s="4">
        <v>0</v>
      </c>
      <c r="I276" s="4">
        <v>0</v>
      </c>
      <c r="J276" s="2" t="s">
        <v>79</v>
      </c>
    </row>
    <row r="277" spans="1:10" x14ac:dyDescent="0.2">
      <c r="A277" s="4">
        <v>3</v>
      </c>
      <c r="B277" s="4">
        <v>15</v>
      </c>
      <c r="C277" s="4">
        <v>32</v>
      </c>
      <c r="D277" s="4">
        <v>0</v>
      </c>
      <c r="E277" s="4">
        <v>0</v>
      </c>
      <c r="F277" s="4">
        <v>1</v>
      </c>
      <c r="G277" s="4">
        <v>1</v>
      </c>
      <c r="H277" s="4">
        <v>0</v>
      </c>
      <c r="I277" s="4">
        <v>0</v>
      </c>
      <c r="J277" s="2" t="s">
        <v>79</v>
      </c>
    </row>
    <row r="278" spans="1:10" x14ac:dyDescent="0.2">
      <c r="A278" s="4">
        <v>12.5</v>
      </c>
      <c r="B278" s="4">
        <v>16</v>
      </c>
      <c r="C278" s="4">
        <v>31</v>
      </c>
      <c r="D278" s="4">
        <v>0</v>
      </c>
      <c r="E278" s="4">
        <v>0</v>
      </c>
      <c r="F278" s="4">
        <v>1</v>
      </c>
      <c r="G278" s="4">
        <v>0</v>
      </c>
      <c r="H278" s="4">
        <v>1</v>
      </c>
      <c r="I278" s="4">
        <v>0</v>
      </c>
      <c r="J278" s="2" t="s">
        <v>79</v>
      </c>
    </row>
    <row r="279" spans="1:10" x14ac:dyDescent="0.2">
      <c r="A279" s="4">
        <v>12.5</v>
      </c>
      <c r="B279" s="4">
        <v>15</v>
      </c>
      <c r="C279" s="4">
        <v>30</v>
      </c>
      <c r="D279" s="4">
        <v>0</v>
      </c>
      <c r="E279" s="4">
        <v>0</v>
      </c>
      <c r="F279" s="4">
        <v>1</v>
      </c>
      <c r="G279" s="4">
        <v>0</v>
      </c>
      <c r="H279" s="4">
        <v>1</v>
      </c>
      <c r="I279" s="4">
        <v>0</v>
      </c>
      <c r="J279" s="2" t="s">
        <v>79</v>
      </c>
    </row>
    <row r="280" spans="1:10" x14ac:dyDescent="0.2">
      <c r="A280" s="4">
        <v>4.1399999999999997</v>
      </c>
      <c r="B280" s="4">
        <v>13</v>
      </c>
      <c r="C280" s="4">
        <v>29</v>
      </c>
      <c r="D280" s="4">
        <v>0</v>
      </c>
      <c r="E280" s="4">
        <v>1</v>
      </c>
      <c r="F280" s="4">
        <v>1</v>
      </c>
      <c r="G280" s="4">
        <v>1</v>
      </c>
      <c r="H280" s="4">
        <v>0</v>
      </c>
      <c r="I280" s="4">
        <v>0</v>
      </c>
      <c r="J280" s="2" t="s">
        <v>79</v>
      </c>
    </row>
    <row r="281" spans="1:10" x14ac:dyDescent="0.2">
      <c r="A281" s="4">
        <v>3.2</v>
      </c>
      <c r="B281" s="4">
        <v>12</v>
      </c>
      <c r="C281" s="4">
        <v>29</v>
      </c>
      <c r="D281" s="4">
        <v>0</v>
      </c>
      <c r="E281" s="4">
        <v>1</v>
      </c>
      <c r="F281" s="4">
        <v>0</v>
      </c>
      <c r="G281" s="4">
        <v>1</v>
      </c>
      <c r="H281" s="4">
        <v>0</v>
      </c>
      <c r="I281" s="4">
        <v>0</v>
      </c>
      <c r="J281" s="2" t="s">
        <v>79</v>
      </c>
    </row>
    <row r="282" spans="1:10" x14ac:dyDescent="0.2">
      <c r="A282" s="4">
        <v>3.25</v>
      </c>
      <c r="B282" s="4">
        <v>9</v>
      </c>
      <c r="C282" s="4">
        <v>29</v>
      </c>
      <c r="D282" s="4">
        <v>0</v>
      </c>
      <c r="E282" s="4">
        <v>0</v>
      </c>
      <c r="F282" s="4">
        <v>1</v>
      </c>
      <c r="G282" s="4">
        <v>0</v>
      </c>
      <c r="H282" s="4">
        <v>0</v>
      </c>
      <c r="I282" s="4">
        <v>0</v>
      </c>
      <c r="J282" s="2" t="s">
        <v>79</v>
      </c>
    </row>
    <row r="283" spans="1:10" x14ac:dyDescent="0.2">
      <c r="A283" s="4">
        <v>10</v>
      </c>
      <c r="B283" s="4">
        <v>12</v>
      </c>
      <c r="C283" s="4">
        <v>29</v>
      </c>
      <c r="D283" s="4">
        <v>0</v>
      </c>
      <c r="E283" s="4">
        <v>0</v>
      </c>
      <c r="F283" s="4">
        <v>1</v>
      </c>
      <c r="G283" s="4">
        <v>0</v>
      </c>
      <c r="H283" s="4">
        <v>0</v>
      </c>
      <c r="I283" s="4">
        <v>0</v>
      </c>
      <c r="J283" s="2" t="s">
        <v>79</v>
      </c>
    </row>
    <row r="284" spans="1:10" x14ac:dyDescent="0.2">
      <c r="A284" s="4">
        <v>4</v>
      </c>
      <c r="B284" s="4">
        <v>12</v>
      </c>
      <c r="C284" s="4">
        <v>28</v>
      </c>
      <c r="D284" s="4">
        <v>0</v>
      </c>
      <c r="E284" s="4">
        <v>1</v>
      </c>
      <c r="F284" s="4">
        <v>1</v>
      </c>
      <c r="G284" s="4">
        <v>0</v>
      </c>
      <c r="H284" s="4">
        <v>0</v>
      </c>
      <c r="I284" s="4">
        <v>0</v>
      </c>
      <c r="J284" s="2" t="s">
        <v>79</v>
      </c>
    </row>
    <row r="285" spans="1:10" x14ac:dyDescent="0.2">
      <c r="A285" s="4">
        <v>6.46</v>
      </c>
      <c r="B285" s="4">
        <v>12</v>
      </c>
      <c r="C285" s="4">
        <v>27</v>
      </c>
      <c r="D285" s="4">
        <v>0</v>
      </c>
      <c r="E285" s="4">
        <v>0</v>
      </c>
      <c r="F285" s="4">
        <v>1</v>
      </c>
      <c r="G285" s="4">
        <v>0</v>
      </c>
      <c r="H285" s="4">
        <v>0</v>
      </c>
      <c r="I285" s="4">
        <v>0</v>
      </c>
      <c r="J285" s="2" t="s">
        <v>79</v>
      </c>
    </row>
    <row r="286" spans="1:10" x14ac:dyDescent="0.2">
      <c r="A286" s="4">
        <v>6.36</v>
      </c>
      <c r="B286" s="4">
        <v>16</v>
      </c>
      <c r="C286" s="4">
        <v>25</v>
      </c>
      <c r="D286" s="4">
        <v>0</v>
      </c>
      <c r="E286" s="4">
        <v>0</v>
      </c>
      <c r="F286" s="4">
        <v>1</v>
      </c>
      <c r="G286" s="4">
        <v>1</v>
      </c>
      <c r="H286" s="4">
        <v>0</v>
      </c>
      <c r="I286" s="4">
        <v>0</v>
      </c>
      <c r="J286" s="2" t="s">
        <v>79</v>
      </c>
    </row>
    <row r="287" spans="1:10" x14ac:dyDescent="0.2">
      <c r="A287" s="4">
        <v>9.42</v>
      </c>
      <c r="B287" s="4">
        <v>14</v>
      </c>
      <c r="C287" s="4">
        <v>23</v>
      </c>
      <c r="D287" s="4">
        <v>0</v>
      </c>
      <c r="E287" s="4">
        <v>1</v>
      </c>
      <c r="F287" s="4">
        <v>1</v>
      </c>
      <c r="G287" s="4">
        <v>1</v>
      </c>
      <c r="H287" s="4">
        <v>0</v>
      </c>
      <c r="I287" s="4">
        <v>0</v>
      </c>
      <c r="J287" s="2" t="s">
        <v>79</v>
      </c>
    </row>
    <row r="288" spans="1:10" x14ac:dyDescent="0.2">
      <c r="A288" s="4">
        <v>3.35</v>
      </c>
      <c r="B288" s="4">
        <v>13</v>
      </c>
      <c r="C288" s="4">
        <v>22</v>
      </c>
      <c r="D288" s="4">
        <v>0</v>
      </c>
      <c r="E288" s="4">
        <v>1</v>
      </c>
      <c r="F288" s="4">
        <v>0</v>
      </c>
      <c r="G288" s="4">
        <v>0</v>
      </c>
      <c r="H288" s="4">
        <v>0</v>
      </c>
      <c r="I288" s="4">
        <v>0</v>
      </c>
      <c r="J288" s="2" t="s">
        <v>79</v>
      </c>
    </row>
    <row r="289" spans="1:10" x14ac:dyDescent="0.2">
      <c r="A289" s="4">
        <v>4.75</v>
      </c>
      <c r="B289" s="4">
        <v>12</v>
      </c>
      <c r="C289" s="4">
        <v>19</v>
      </c>
      <c r="D289" s="4">
        <v>0</v>
      </c>
      <c r="E289" s="4">
        <v>0</v>
      </c>
      <c r="F289" s="4">
        <v>1</v>
      </c>
      <c r="G289" s="4">
        <v>1</v>
      </c>
      <c r="H289" s="4">
        <v>0</v>
      </c>
      <c r="I289" s="4">
        <v>0</v>
      </c>
      <c r="J289" s="2" t="s">
        <v>79</v>
      </c>
    </row>
    <row r="290" spans="1:10" x14ac:dyDescent="0.2">
      <c r="A290" s="4">
        <v>2.9</v>
      </c>
      <c r="B290" s="4">
        <v>10</v>
      </c>
      <c r="C290" s="4">
        <v>18</v>
      </c>
      <c r="D290" s="4">
        <v>0</v>
      </c>
      <c r="E290" s="4">
        <v>1</v>
      </c>
      <c r="F290" s="4">
        <v>1</v>
      </c>
      <c r="G290" s="4">
        <v>1</v>
      </c>
      <c r="H290" s="4">
        <v>0</v>
      </c>
      <c r="I290" s="4">
        <v>0</v>
      </c>
      <c r="J290" s="2" t="s">
        <v>79</v>
      </c>
    </row>
    <row r="291" spans="1:10" x14ac:dyDescent="0.2">
      <c r="A291" s="4">
        <v>3.75</v>
      </c>
      <c r="B291" s="4">
        <v>12</v>
      </c>
      <c r="C291" s="4">
        <v>18</v>
      </c>
      <c r="D291" s="4">
        <v>0</v>
      </c>
      <c r="E291" s="4">
        <v>1</v>
      </c>
      <c r="F291" s="4">
        <v>1</v>
      </c>
      <c r="G291" s="4">
        <v>0</v>
      </c>
      <c r="H291" s="4">
        <v>0</v>
      </c>
      <c r="I291" s="4">
        <v>0</v>
      </c>
      <c r="J291" s="2" t="s">
        <v>79</v>
      </c>
    </row>
    <row r="292" spans="1:10" x14ac:dyDescent="0.2">
      <c r="A292" s="4">
        <v>1.43</v>
      </c>
      <c r="B292" s="4">
        <v>12</v>
      </c>
      <c r="C292" s="4">
        <v>17</v>
      </c>
      <c r="D292" s="4">
        <v>0</v>
      </c>
      <c r="E292" s="10">
        <v>2</v>
      </c>
      <c r="F292" s="4">
        <v>1</v>
      </c>
      <c r="G292" s="4">
        <v>0</v>
      </c>
      <c r="H292" s="4">
        <v>0</v>
      </c>
      <c r="I292" s="4">
        <v>0</v>
      </c>
      <c r="J292" s="2" t="s">
        <v>79</v>
      </c>
    </row>
    <row r="293" spans="1:10" x14ac:dyDescent="0.2">
      <c r="A293" s="4">
        <v>3</v>
      </c>
      <c r="B293" s="4">
        <v>14</v>
      </c>
      <c r="C293" s="4">
        <v>17</v>
      </c>
      <c r="D293" s="4">
        <v>0</v>
      </c>
      <c r="E293" s="4">
        <v>1</v>
      </c>
      <c r="F293" s="4">
        <v>1</v>
      </c>
      <c r="G293" s="4">
        <v>1</v>
      </c>
      <c r="H293" s="4">
        <v>0</v>
      </c>
      <c r="I293" s="4">
        <v>0</v>
      </c>
      <c r="J293" s="2" t="s">
        <v>79</v>
      </c>
    </row>
    <row r="294" spans="1:10" x14ac:dyDescent="0.2">
      <c r="A294" s="4">
        <v>4.5</v>
      </c>
      <c r="B294" s="4">
        <v>14</v>
      </c>
      <c r="C294" s="4">
        <v>16</v>
      </c>
      <c r="D294" s="4">
        <v>0</v>
      </c>
      <c r="E294" s="4">
        <v>1</v>
      </c>
      <c r="F294" s="4">
        <v>1</v>
      </c>
      <c r="G294" s="4">
        <v>0</v>
      </c>
      <c r="H294" s="4">
        <v>1</v>
      </c>
      <c r="I294" s="4">
        <v>0</v>
      </c>
      <c r="J294" s="2" t="s">
        <v>79</v>
      </c>
    </row>
    <row r="295" spans="1:10" x14ac:dyDescent="0.2">
      <c r="A295" s="4">
        <v>3.24</v>
      </c>
      <c r="B295" s="4">
        <v>12</v>
      </c>
      <c r="C295" s="4">
        <v>16</v>
      </c>
      <c r="D295" s="4">
        <v>0</v>
      </c>
      <c r="E295" s="4">
        <v>1</v>
      </c>
      <c r="F295" s="4">
        <v>1</v>
      </c>
      <c r="G295" s="4">
        <v>1</v>
      </c>
      <c r="H295" s="4">
        <v>0</v>
      </c>
      <c r="I295" s="4">
        <v>0</v>
      </c>
      <c r="J295" s="2" t="s">
        <v>79</v>
      </c>
    </row>
    <row r="296" spans="1:10" x14ac:dyDescent="0.2">
      <c r="A296" s="4">
        <v>6.11</v>
      </c>
      <c r="B296" s="4">
        <v>14</v>
      </c>
      <c r="C296" s="4">
        <v>15</v>
      </c>
      <c r="D296" s="4">
        <v>0</v>
      </c>
      <c r="E296" s="4">
        <v>0</v>
      </c>
      <c r="F296" s="4">
        <v>1</v>
      </c>
      <c r="G296" s="4">
        <v>0</v>
      </c>
      <c r="H296" s="4">
        <v>0</v>
      </c>
      <c r="I296" s="4">
        <v>0</v>
      </c>
      <c r="J296" s="2" t="s">
        <v>79</v>
      </c>
    </row>
    <row r="297" spans="1:10" x14ac:dyDescent="0.2">
      <c r="A297" s="4">
        <v>8.77</v>
      </c>
      <c r="B297" s="4">
        <v>12</v>
      </c>
      <c r="C297" s="4">
        <v>15</v>
      </c>
      <c r="D297" s="4">
        <v>0</v>
      </c>
      <c r="E297" s="4">
        <v>0</v>
      </c>
      <c r="F297" s="4">
        <v>1</v>
      </c>
      <c r="G297" s="4">
        <v>0</v>
      </c>
      <c r="H297" s="4">
        <v>1</v>
      </c>
      <c r="I297" s="4">
        <v>0</v>
      </c>
      <c r="J297" s="2" t="s">
        <v>79</v>
      </c>
    </row>
    <row r="298" spans="1:10" x14ac:dyDescent="0.2">
      <c r="A298" s="4">
        <v>10</v>
      </c>
      <c r="B298" s="4">
        <v>12</v>
      </c>
      <c r="C298" s="4">
        <v>15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2" t="s">
        <v>79</v>
      </c>
    </row>
    <row r="299" spans="1:10" x14ac:dyDescent="0.2">
      <c r="A299" s="4">
        <v>5</v>
      </c>
      <c r="B299" s="4">
        <v>15</v>
      </c>
      <c r="C299" s="4">
        <v>15</v>
      </c>
      <c r="D299" s="4">
        <v>0</v>
      </c>
      <c r="E299" s="4">
        <v>0</v>
      </c>
      <c r="F299" s="4">
        <v>0</v>
      </c>
      <c r="G299" s="4">
        <v>1</v>
      </c>
      <c r="H299" s="4">
        <v>0</v>
      </c>
      <c r="I299" s="4">
        <v>0</v>
      </c>
      <c r="J299" s="2" t="s">
        <v>79</v>
      </c>
    </row>
    <row r="300" spans="1:10" x14ac:dyDescent="0.2">
      <c r="A300" s="4">
        <v>3.75</v>
      </c>
      <c r="B300" s="4">
        <v>10</v>
      </c>
      <c r="C300" s="4">
        <v>15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2" t="s">
        <v>79</v>
      </c>
    </row>
    <row r="301" spans="1:10" x14ac:dyDescent="0.2">
      <c r="A301" s="4">
        <v>3.25</v>
      </c>
      <c r="B301" s="4">
        <v>12</v>
      </c>
      <c r="C301" s="4">
        <v>14</v>
      </c>
      <c r="D301" s="4">
        <v>0</v>
      </c>
      <c r="E301" s="4">
        <v>1</v>
      </c>
      <c r="F301" s="4">
        <v>1</v>
      </c>
      <c r="G301" s="4">
        <v>0</v>
      </c>
      <c r="H301" s="4">
        <v>0</v>
      </c>
      <c r="I301" s="4">
        <v>0</v>
      </c>
      <c r="J301" s="2" t="s">
        <v>79</v>
      </c>
    </row>
    <row r="302" spans="1:10" x14ac:dyDescent="0.2">
      <c r="A302" s="4">
        <v>3.75</v>
      </c>
      <c r="B302" s="4">
        <v>12</v>
      </c>
      <c r="C302" s="4">
        <v>14</v>
      </c>
      <c r="D302" s="4">
        <v>0</v>
      </c>
      <c r="E302" s="4">
        <v>1</v>
      </c>
      <c r="F302" s="4">
        <v>1</v>
      </c>
      <c r="G302" s="4">
        <v>0</v>
      </c>
      <c r="H302" s="4">
        <v>0</v>
      </c>
      <c r="I302" s="4">
        <v>0</v>
      </c>
      <c r="J302" s="2" t="s">
        <v>79</v>
      </c>
    </row>
    <row r="303" spans="1:10" x14ac:dyDescent="0.2">
      <c r="A303" s="4">
        <v>3.1</v>
      </c>
      <c r="B303" s="4">
        <v>6</v>
      </c>
      <c r="C303" s="4">
        <v>14</v>
      </c>
      <c r="D303" s="4">
        <v>0</v>
      </c>
      <c r="E303" s="4">
        <v>1</v>
      </c>
      <c r="F303" s="4">
        <v>0</v>
      </c>
      <c r="G303" s="4">
        <v>1</v>
      </c>
      <c r="H303" s="4">
        <v>0</v>
      </c>
      <c r="I303" s="4">
        <v>0</v>
      </c>
      <c r="J303" s="2" t="s">
        <v>79</v>
      </c>
    </row>
    <row r="304" spans="1:10" x14ac:dyDescent="0.2">
      <c r="A304" s="4">
        <v>3.5</v>
      </c>
      <c r="B304" s="4">
        <v>12</v>
      </c>
      <c r="C304" s="4">
        <v>14</v>
      </c>
      <c r="D304" s="4">
        <v>0</v>
      </c>
      <c r="E304" s="4">
        <v>1</v>
      </c>
      <c r="F304" s="4">
        <v>0</v>
      </c>
      <c r="G304" s="4">
        <v>1</v>
      </c>
      <c r="H304" s="4">
        <v>0</v>
      </c>
      <c r="I304" s="4">
        <v>1</v>
      </c>
      <c r="J304" s="2" t="s">
        <v>79</v>
      </c>
    </row>
    <row r="305" spans="1:10" x14ac:dyDescent="0.2">
      <c r="A305" s="4">
        <v>17.329999999999998</v>
      </c>
      <c r="B305" s="4">
        <v>16</v>
      </c>
      <c r="C305" s="4">
        <v>14</v>
      </c>
      <c r="D305" s="4">
        <v>0</v>
      </c>
      <c r="E305" s="4">
        <v>0</v>
      </c>
      <c r="F305" s="4">
        <v>1</v>
      </c>
      <c r="G305" s="4">
        <v>0</v>
      </c>
      <c r="H305" s="4">
        <v>1</v>
      </c>
      <c r="I305" s="4">
        <v>0</v>
      </c>
      <c r="J305" s="2" t="s">
        <v>79</v>
      </c>
    </row>
    <row r="306" spans="1:10" x14ac:dyDescent="0.2">
      <c r="A306" s="4">
        <v>3.58</v>
      </c>
      <c r="B306" s="4">
        <v>12</v>
      </c>
      <c r="C306" s="4">
        <v>13</v>
      </c>
      <c r="D306" s="4">
        <v>0</v>
      </c>
      <c r="E306" s="4">
        <v>0</v>
      </c>
      <c r="F306" s="4">
        <v>0</v>
      </c>
      <c r="G306" s="4">
        <v>1</v>
      </c>
      <c r="H306" s="4">
        <v>0</v>
      </c>
      <c r="I306" s="4">
        <v>0</v>
      </c>
      <c r="J306" s="2" t="s">
        <v>79</v>
      </c>
    </row>
    <row r="307" spans="1:10" x14ac:dyDescent="0.2">
      <c r="A307" s="4">
        <v>4.5</v>
      </c>
      <c r="B307" s="4">
        <v>12</v>
      </c>
      <c r="C307" s="4">
        <v>13</v>
      </c>
      <c r="D307" s="4">
        <v>0</v>
      </c>
      <c r="E307" s="4">
        <v>0</v>
      </c>
      <c r="F307" s="4">
        <v>1</v>
      </c>
      <c r="G307" s="4">
        <v>1</v>
      </c>
      <c r="H307" s="4">
        <v>0</v>
      </c>
      <c r="I307" s="4">
        <v>0</v>
      </c>
      <c r="J307" s="2" t="s">
        <v>79</v>
      </c>
    </row>
    <row r="308" spans="1:10" x14ac:dyDescent="0.2">
      <c r="A308" s="4">
        <v>3.6</v>
      </c>
      <c r="B308" s="4">
        <v>12</v>
      </c>
      <c r="C308" s="4">
        <v>13</v>
      </c>
      <c r="D308" s="4">
        <v>0</v>
      </c>
      <c r="E308" s="10">
        <v>2</v>
      </c>
      <c r="F308" s="4">
        <v>1</v>
      </c>
      <c r="G308" s="4">
        <v>0</v>
      </c>
      <c r="H308" s="4">
        <v>1</v>
      </c>
      <c r="I308" s="4">
        <v>0</v>
      </c>
      <c r="J308" s="2" t="s">
        <v>79</v>
      </c>
    </row>
    <row r="309" spans="1:10" x14ac:dyDescent="0.2">
      <c r="A309" s="4">
        <v>18</v>
      </c>
      <c r="B309" s="4">
        <v>18</v>
      </c>
      <c r="C309" s="4">
        <v>13</v>
      </c>
      <c r="D309" s="4">
        <v>0</v>
      </c>
      <c r="E309" s="4">
        <v>1</v>
      </c>
      <c r="F309" s="4">
        <v>0</v>
      </c>
      <c r="G309" s="4">
        <v>1</v>
      </c>
      <c r="H309" s="4">
        <v>0</v>
      </c>
      <c r="I309" s="4">
        <v>0</v>
      </c>
      <c r="J309" s="2" t="s">
        <v>79</v>
      </c>
    </row>
    <row r="310" spans="1:10" x14ac:dyDescent="0.2">
      <c r="A310" s="4">
        <v>6.25</v>
      </c>
      <c r="B310" s="10">
        <v>12</v>
      </c>
      <c r="C310" s="4">
        <v>13</v>
      </c>
      <c r="D310" s="4">
        <v>0</v>
      </c>
      <c r="E310" s="4">
        <v>1</v>
      </c>
      <c r="F310" s="4">
        <v>1</v>
      </c>
      <c r="G310" s="4">
        <v>0</v>
      </c>
      <c r="H310" s="4">
        <v>0</v>
      </c>
      <c r="I310" s="4">
        <v>0</v>
      </c>
      <c r="J310" s="2" t="s">
        <v>79</v>
      </c>
    </row>
    <row r="311" spans="1:10" x14ac:dyDescent="0.2">
      <c r="A311" s="4">
        <v>7.14</v>
      </c>
      <c r="B311" s="4">
        <v>18</v>
      </c>
      <c r="C311" s="4">
        <v>13</v>
      </c>
      <c r="D311" s="4">
        <v>0</v>
      </c>
      <c r="E311" s="4">
        <v>0</v>
      </c>
      <c r="F311" s="4">
        <v>1</v>
      </c>
      <c r="G311" s="4">
        <v>0</v>
      </c>
      <c r="H311" s="4">
        <v>0</v>
      </c>
      <c r="I311" s="4">
        <v>0</v>
      </c>
      <c r="J311" s="2" t="s">
        <v>79</v>
      </c>
    </row>
    <row r="312" spans="1:10" x14ac:dyDescent="0.2">
      <c r="A312" s="4">
        <v>3.75</v>
      </c>
      <c r="B312" s="10">
        <v>12</v>
      </c>
      <c r="C312" s="4">
        <v>13</v>
      </c>
      <c r="D312" s="4">
        <v>0</v>
      </c>
      <c r="E312" s="4">
        <v>1</v>
      </c>
      <c r="F312" s="4">
        <v>1</v>
      </c>
      <c r="G312" s="4">
        <v>0</v>
      </c>
      <c r="H312" s="4">
        <v>0</v>
      </c>
      <c r="I312" s="4">
        <v>0</v>
      </c>
      <c r="J312" s="2" t="s">
        <v>79</v>
      </c>
    </row>
    <row r="313" spans="1:10" x14ac:dyDescent="0.2">
      <c r="A313" s="4">
        <v>10</v>
      </c>
      <c r="B313" s="4">
        <v>8</v>
      </c>
      <c r="C313" s="4">
        <v>13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2" t="s">
        <v>79</v>
      </c>
    </row>
    <row r="314" spans="1:10" x14ac:dyDescent="0.2">
      <c r="A314" s="4">
        <v>4.5</v>
      </c>
      <c r="B314" s="4">
        <v>12</v>
      </c>
      <c r="C314" s="4">
        <v>12</v>
      </c>
      <c r="D314" s="4">
        <v>0</v>
      </c>
      <c r="E314" s="4">
        <v>0</v>
      </c>
      <c r="F314" s="4">
        <v>1</v>
      </c>
      <c r="G314" s="4">
        <v>1</v>
      </c>
      <c r="H314" s="4">
        <v>0</v>
      </c>
      <c r="I314" s="4">
        <v>0</v>
      </c>
      <c r="J314" s="2" t="s">
        <v>79</v>
      </c>
    </row>
    <row r="315" spans="1:10" x14ac:dyDescent="0.2">
      <c r="A315" s="4">
        <v>3.45</v>
      </c>
      <c r="B315" s="4">
        <v>10</v>
      </c>
      <c r="C315" s="4">
        <v>11</v>
      </c>
      <c r="D315" s="4">
        <v>0</v>
      </c>
      <c r="E315" s="4">
        <v>1</v>
      </c>
      <c r="F315" s="4">
        <v>0</v>
      </c>
      <c r="G315" s="4">
        <v>1</v>
      </c>
      <c r="H315" s="4">
        <v>0</v>
      </c>
      <c r="I315" s="4">
        <v>0</v>
      </c>
      <c r="J315" s="2" t="s">
        <v>79</v>
      </c>
    </row>
    <row r="316" spans="1:10" x14ac:dyDescent="0.2">
      <c r="A316" s="4">
        <v>3.75</v>
      </c>
      <c r="B316" s="4">
        <v>12</v>
      </c>
      <c r="C316" s="4">
        <v>11</v>
      </c>
      <c r="D316" s="4">
        <v>0</v>
      </c>
      <c r="E316" s="4">
        <v>0</v>
      </c>
      <c r="F316" s="4">
        <v>0</v>
      </c>
      <c r="G316" s="4">
        <v>1</v>
      </c>
      <c r="H316" s="4">
        <v>0</v>
      </c>
      <c r="I316" s="4">
        <v>0</v>
      </c>
      <c r="J316" s="2" t="s">
        <v>79</v>
      </c>
    </row>
    <row r="317" spans="1:10" x14ac:dyDescent="0.2">
      <c r="A317" s="4">
        <v>6</v>
      </c>
      <c r="B317" s="4">
        <v>14</v>
      </c>
      <c r="C317" s="4">
        <v>11</v>
      </c>
      <c r="D317" s="4">
        <v>0</v>
      </c>
      <c r="E317" s="4">
        <v>0</v>
      </c>
      <c r="F317" s="4">
        <v>1</v>
      </c>
      <c r="G317" s="4">
        <v>0</v>
      </c>
      <c r="H317" s="4">
        <v>0</v>
      </c>
      <c r="I317" s="4">
        <v>0</v>
      </c>
      <c r="J317" s="2" t="s">
        <v>79</v>
      </c>
    </row>
    <row r="318" spans="1:10" x14ac:dyDescent="0.2">
      <c r="A318" s="4">
        <v>6.25</v>
      </c>
      <c r="B318" s="4">
        <v>12</v>
      </c>
      <c r="C318" s="4">
        <v>11</v>
      </c>
      <c r="D318" s="4">
        <v>0</v>
      </c>
      <c r="E318" s="4">
        <v>1</v>
      </c>
      <c r="F318" s="4">
        <v>0</v>
      </c>
      <c r="G318" s="4">
        <v>0</v>
      </c>
      <c r="H318" s="4">
        <v>1</v>
      </c>
      <c r="I318" s="4">
        <v>0</v>
      </c>
      <c r="J318" s="2" t="s">
        <v>79</v>
      </c>
    </row>
    <row r="319" spans="1:10" x14ac:dyDescent="0.2">
      <c r="A319" s="4">
        <v>7.5</v>
      </c>
      <c r="B319" s="4">
        <v>16</v>
      </c>
      <c r="C319" s="4">
        <v>11</v>
      </c>
      <c r="D319" s="4">
        <v>0</v>
      </c>
      <c r="E319" s="4">
        <v>0</v>
      </c>
      <c r="F319" s="4">
        <v>1</v>
      </c>
      <c r="G319" s="4">
        <v>0</v>
      </c>
      <c r="H319" s="4">
        <v>0</v>
      </c>
      <c r="I319" s="4">
        <v>0</v>
      </c>
      <c r="J319" s="2" t="s">
        <v>79</v>
      </c>
    </row>
    <row r="320" spans="1:10" x14ac:dyDescent="0.2">
      <c r="A320" s="4">
        <v>3</v>
      </c>
      <c r="B320" s="4">
        <v>12</v>
      </c>
      <c r="C320" s="4">
        <v>11</v>
      </c>
      <c r="D320" s="4">
        <v>0</v>
      </c>
      <c r="E320" s="4">
        <v>1</v>
      </c>
      <c r="F320" s="4">
        <v>1</v>
      </c>
      <c r="G320" s="4">
        <v>1</v>
      </c>
      <c r="H320" s="4">
        <v>0</v>
      </c>
      <c r="I320" s="4">
        <v>0</v>
      </c>
      <c r="J320" s="2" t="s">
        <v>79</v>
      </c>
    </row>
    <row r="321" spans="1:10" x14ac:dyDescent="0.2">
      <c r="A321" s="4">
        <v>4.55</v>
      </c>
      <c r="B321" s="4">
        <v>12</v>
      </c>
      <c r="C321" s="4">
        <v>11</v>
      </c>
      <c r="D321" s="4">
        <v>0</v>
      </c>
      <c r="E321" s="10">
        <v>2</v>
      </c>
      <c r="F321" s="4">
        <v>1</v>
      </c>
      <c r="G321" s="4">
        <v>0</v>
      </c>
      <c r="H321" s="4">
        <v>0</v>
      </c>
      <c r="I321" s="4">
        <v>0</v>
      </c>
      <c r="J321" s="2" t="s">
        <v>79</v>
      </c>
    </row>
    <row r="322" spans="1:10" x14ac:dyDescent="0.2">
      <c r="A322" s="4">
        <v>7.5</v>
      </c>
      <c r="B322" s="4">
        <v>12</v>
      </c>
      <c r="C322" s="4">
        <v>10</v>
      </c>
      <c r="D322" s="4">
        <v>0</v>
      </c>
      <c r="E322" s="4">
        <v>1</v>
      </c>
      <c r="F322" s="4">
        <v>1</v>
      </c>
      <c r="G322" s="4">
        <v>0</v>
      </c>
      <c r="H322" s="4">
        <v>1</v>
      </c>
      <c r="I322" s="4">
        <v>0</v>
      </c>
      <c r="J322" s="2" t="s">
        <v>79</v>
      </c>
    </row>
    <row r="323" spans="1:10" x14ac:dyDescent="0.2">
      <c r="A323" s="4">
        <v>3.05</v>
      </c>
      <c r="B323" s="4">
        <v>12</v>
      </c>
      <c r="C323" s="4">
        <v>10</v>
      </c>
      <c r="D323" s="4">
        <v>0</v>
      </c>
      <c r="E323" s="4">
        <v>1</v>
      </c>
      <c r="F323" s="4">
        <v>1</v>
      </c>
      <c r="G323" s="4">
        <v>0</v>
      </c>
      <c r="H323" s="4">
        <v>0</v>
      </c>
      <c r="I323" s="4">
        <v>0</v>
      </c>
      <c r="J323" s="2" t="s">
        <v>79</v>
      </c>
    </row>
    <row r="324" spans="1:10" x14ac:dyDescent="0.2">
      <c r="A324" s="4">
        <v>6.25</v>
      </c>
      <c r="B324" s="4">
        <v>12</v>
      </c>
      <c r="C324" s="4">
        <v>10</v>
      </c>
      <c r="D324" s="4">
        <v>0</v>
      </c>
      <c r="E324" s="4">
        <v>0</v>
      </c>
      <c r="F324" s="4">
        <v>1</v>
      </c>
      <c r="G324" s="4">
        <v>1</v>
      </c>
      <c r="H324" s="4">
        <v>0</v>
      </c>
      <c r="I324" s="4">
        <v>1</v>
      </c>
      <c r="J324" s="2" t="s">
        <v>79</v>
      </c>
    </row>
    <row r="325" spans="1:10" x14ac:dyDescent="0.2">
      <c r="A325" s="4">
        <v>4.5</v>
      </c>
      <c r="B325" s="4">
        <v>14</v>
      </c>
      <c r="C325" s="4">
        <v>10</v>
      </c>
      <c r="D325" s="4">
        <v>0</v>
      </c>
      <c r="E325" s="4">
        <v>0</v>
      </c>
      <c r="F325" s="4">
        <v>1</v>
      </c>
      <c r="G325" s="4">
        <v>0</v>
      </c>
      <c r="H325" s="4">
        <v>0</v>
      </c>
      <c r="I325" s="4">
        <v>0</v>
      </c>
      <c r="J325" s="2" t="s">
        <v>79</v>
      </c>
    </row>
    <row r="326" spans="1:10" x14ac:dyDescent="0.2">
      <c r="A326" s="4">
        <v>3</v>
      </c>
      <c r="B326" s="4">
        <v>15</v>
      </c>
      <c r="C326" s="4">
        <v>9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2" t="s">
        <v>79</v>
      </c>
    </row>
    <row r="327" spans="1:10" x14ac:dyDescent="0.2">
      <c r="A327" s="4">
        <v>10</v>
      </c>
      <c r="B327" s="4">
        <v>8</v>
      </c>
      <c r="C327" s="4">
        <v>9</v>
      </c>
      <c r="D327" s="4">
        <v>0</v>
      </c>
      <c r="E327" s="4">
        <v>0</v>
      </c>
      <c r="F327" s="4">
        <v>1</v>
      </c>
      <c r="G327" s="4">
        <v>0</v>
      </c>
      <c r="H327" s="4">
        <v>0</v>
      </c>
      <c r="I327" s="4">
        <v>1</v>
      </c>
      <c r="J327" s="2" t="s">
        <v>79</v>
      </c>
    </row>
    <row r="328" spans="1:10" x14ac:dyDescent="0.2">
      <c r="A328" s="4">
        <v>6</v>
      </c>
      <c r="B328" s="4">
        <v>13</v>
      </c>
      <c r="C328" s="4">
        <v>8</v>
      </c>
      <c r="D328" s="4">
        <v>0</v>
      </c>
      <c r="E328" s="4">
        <v>0</v>
      </c>
      <c r="F328" s="4">
        <v>1</v>
      </c>
      <c r="G328" s="4">
        <v>0</v>
      </c>
      <c r="H328" s="4">
        <v>0</v>
      </c>
      <c r="I328" s="4">
        <v>0</v>
      </c>
      <c r="J328" s="2" t="s">
        <v>79</v>
      </c>
    </row>
    <row r="329" spans="1:10" x14ac:dyDescent="0.2">
      <c r="A329" s="4">
        <v>2.89</v>
      </c>
      <c r="B329" s="4">
        <v>10</v>
      </c>
      <c r="C329" s="4">
        <v>8</v>
      </c>
      <c r="D329" s="4">
        <v>0</v>
      </c>
      <c r="E329" s="4">
        <v>1</v>
      </c>
      <c r="F329" s="4">
        <v>0</v>
      </c>
      <c r="G329" s="4">
        <v>0</v>
      </c>
      <c r="H329" s="4">
        <v>0</v>
      </c>
      <c r="I329" s="4">
        <v>0</v>
      </c>
      <c r="J329" s="2" t="s">
        <v>79</v>
      </c>
    </row>
    <row r="330" spans="1:10" x14ac:dyDescent="0.2">
      <c r="A330" s="4">
        <v>4.2</v>
      </c>
      <c r="B330" s="4">
        <v>16</v>
      </c>
      <c r="C330" s="4">
        <v>8</v>
      </c>
      <c r="D330" s="4">
        <v>0</v>
      </c>
      <c r="E330" s="4">
        <v>1</v>
      </c>
      <c r="F330" s="4">
        <v>1</v>
      </c>
      <c r="G330" s="4">
        <v>0</v>
      </c>
      <c r="H330" s="4">
        <v>0</v>
      </c>
      <c r="I330" s="4">
        <v>0</v>
      </c>
      <c r="J330" s="2" t="s">
        <v>79</v>
      </c>
    </row>
    <row r="331" spans="1:10" x14ac:dyDescent="0.2">
      <c r="A331" s="4">
        <v>4.5999999999999996</v>
      </c>
      <c r="B331" s="4">
        <v>14</v>
      </c>
      <c r="C331" s="4">
        <v>7</v>
      </c>
      <c r="D331" s="4">
        <v>0</v>
      </c>
      <c r="E331" s="4">
        <v>1</v>
      </c>
      <c r="F331" s="4">
        <v>1</v>
      </c>
      <c r="G331" s="4">
        <v>0</v>
      </c>
      <c r="H331" s="4">
        <v>0</v>
      </c>
      <c r="I331" s="4">
        <v>0</v>
      </c>
      <c r="J331" s="2" t="s">
        <v>79</v>
      </c>
    </row>
    <row r="332" spans="1:10" x14ac:dyDescent="0.2">
      <c r="A332" s="4">
        <v>4.38</v>
      </c>
      <c r="B332" s="4">
        <v>16</v>
      </c>
      <c r="C332" s="4">
        <v>7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2" t="s">
        <v>79</v>
      </c>
    </row>
    <row r="333" spans="1:10" x14ac:dyDescent="0.2">
      <c r="A333" s="4">
        <v>9</v>
      </c>
      <c r="B333" s="4">
        <v>17</v>
      </c>
      <c r="C333" s="4">
        <v>7</v>
      </c>
      <c r="D333" s="4">
        <v>0</v>
      </c>
      <c r="E333" s="4">
        <v>1</v>
      </c>
      <c r="F333" s="4">
        <v>1</v>
      </c>
      <c r="G333" s="4">
        <v>0</v>
      </c>
      <c r="H333" s="4">
        <v>0</v>
      </c>
      <c r="I333" s="4">
        <v>0</v>
      </c>
      <c r="J333" s="2" t="s">
        <v>79</v>
      </c>
    </row>
    <row r="334" spans="1:10" x14ac:dyDescent="0.2">
      <c r="A334" s="4">
        <v>3</v>
      </c>
      <c r="B334" s="4">
        <v>10</v>
      </c>
      <c r="C334" s="4">
        <v>7</v>
      </c>
      <c r="D334" s="4">
        <v>0</v>
      </c>
      <c r="E334" s="4">
        <v>1</v>
      </c>
      <c r="F334" s="4">
        <v>1</v>
      </c>
      <c r="G334" s="4">
        <v>0</v>
      </c>
      <c r="H334" s="4">
        <v>0</v>
      </c>
      <c r="I334" s="4">
        <v>0</v>
      </c>
      <c r="J334" s="2" t="s">
        <v>79</v>
      </c>
    </row>
    <row r="335" spans="1:10" x14ac:dyDescent="0.2">
      <c r="A335" s="4">
        <v>4.38</v>
      </c>
      <c r="B335" s="4">
        <v>13</v>
      </c>
      <c r="C335" s="4">
        <v>7</v>
      </c>
      <c r="D335" s="4">
        <v>0</v>
      </c>
      <c r="E335" s="4">
        <v>0</v>
      </c>
      <c r="F335" s="4">
        <v>1</v>
      </c>
      <c r="G335" s="4">
        <v>0</v>
      </c>
      <c r="H335" s="4">
        <v>1</v>
      </c>
      <c r="I335" s="4">
        <v>0</v>
      </c>
      <c r="J335" s="2" t="s">
        <v>79</v>
      </c>
    </row>
    <row r="336" spans="1:10" x14ac:dyDescent="0.2">
      <c r="A336" s="4">
        <v>4.0999999999999996</v>
      </c>
      <c r="B336" s="4">
        <v>14</v>
      </c>
      <c r="C336" s="4">
        <v>6</v>
      </c>
      <c r="D336" s="4">
        <v>0</v>
      </c>
      <c r="E336" s="4">
        <v>1</v>
      </c>
      <c r="F336" s="4">
        <v>1</v>
      </c>
      <c r="G336" s="4">
        <v>1</v>
      </c>
      <c r="H336" s="4">
        <v>0</v>
      </c>
      <c r="I336" s="4">
        <v>0</v>
      </c>
      <c r="J336" s="2" t="s">
        <v>79</v>
      </c>
    </row>
    <row r="337" spans="1:10" x14ac:dyDescent="0.2">
      <c r="A337" s="4">
        <v>2.9</v>
      </c>
      <c r="B337" s="4">
        <v>11</v>
      </c>
      <c r="C337" s="4">
        <v>6</v>
      </c>
      <c r="D337" s="4">
        <v>0</v>
      </c>
      <c r="E337" s="4">
        <v>1</v>
      </c>
      <c r="F337" s="4">
        <v>0</v>
      </c>
      <c r="G337" s="4">
        <v>1</v>
      </c>
      <c r="H337" s="4">
        <v>0</v>
      </c>
      <c r="I337" s="4">
        <v>0</v>
      </c>
      <c r="J337" s="2" t="s">
        <v>79</v>
      </c>
    </row>
    <row r="338" spans="1:10" x14ac:dyDescent="0.2">
      <c r="A338" s="4">
        <v>3.76</v>
      </c>
      <c r="B338" s="4">
        <v>6</v>
      </c>
      <c r="C338" s="4">
        <v>6</v>
      </c>
      <c r="D338" s="4">
        <v>0</v>
      </c>
      <c r="E338" s="4">
        <v>0</v>
      </c>
      <c r="F338" s="4">
        <v>0</v>
      </c>
      <c r="G338" s="4">
        <v>1</v>
      </c>
      <c r="H338" s="4">
        <v>0</v>
      </c>
      <c r="I338" s="4">
        <v>0</v>
      </c>
      <c r="J338" s="2" t="s">
        <v>79</v>
      </c>
    </row>
    <row r="339" spans="1:10" x14ac:dyDescent="0.2">
      <c r="A339" s="4">
        <v>4</v>
      </c>
      <c r="B339" s="4">
        <v>13</v>
      </c>
      <c r="C339" s="4">
        <v>6</v>
      </c>
      <c r="D339" s="4">
        <v>0</v>
      </c>
      <c r="E339" s="4">
        <v>1</v>
      </c>
      <c r="F339" s="4">
        <v>0</v>
      </c>
      <c r="G339" s="4">
        <v>0</v>
      </c>
      <c r="H339" s="4">
        <v>0</v>
      </c>
      <c r="I339" s="4">
        <v>1</v>
      </c>
      <c r="J339" s="2" t="s">
        <v>79</v>
      </c>
    </row>
    <row r="340" spans="1:10" x14ac:dyDescent="0.2">
      <c r="A340" s="4">
        <v>5.84</v>
      </c>
      <c r="B340" s="4">
        <v>13</v>
      </c>
      <c r="C340" s="4">
        <v>5</v>
      </c>
      <c r="D340" s="4">
        <v>0</v>
      </c>
      <c r="E340" s="4">
        <v>1</v>
      </c>
      <c r="F340" s="4">
        <v>1</v>
      </c>
      <c r="G340" s="4">
        <v>1</v>
      </c>
      <c r="H340" s="4">
        <v>0</v>
      </c>
      <c r="I340" s="4">
        <v>0</v>
      </c>
      <c r="J340" s="2" t="s">
        <v>79</v>
      </c>
    </row>
    <row r="341" spans="1:10" x14ac:dyDescent="0.2">
      <c r="A341" s="4">
        <v>3.3</v>
      </c>
      <c r="B341" s="4">
        <v>13</v>
      </c>
      <c r="C341" s="4">
        <v>5</v>
      </c>
      <c r="D341" s="4">
        <v>0</v>
      </c>
      <c r="E341" s="4">
        <v>1</v>
      </c>
      <c r="F341" s="4">
        <v>0</v>
      </c>
      <c r="G341" s="4">
        <v>0</v>
      </c>
      <c r="H341" s="4">
        <v>0</v>
      </c>
      <c r="I341" s="4">
        <v>0</v>
      </c>
      <c r="J341" s="2" t="s">
        <v>79</v>
      </c>
    </row>
    <row r="342" spans="1:10" x14ac:dyDescent="0.2">
      <c r="A342" s="4">
        <v>3.5</v>
      </c>
      <c r="B342" s="4">
        <v>14</v>
      </c>
      <c r="C342" s="4">
        <v>5</v>
      </c>
      <c r="D342" s="4">
        <v>0</v>
      </c>
      <c r="E342" s="4">
        <v>1</v>
      </c>
      <c r="F342" s="4">
        <v>1</v>
      </c>
      <c r="G342" s="4">
        <v>1</v>
      </c>
      <c r="H342" s="4">
        <v>0</v>
      </c>
      <c r="I342" s="4">
        <v>0</v>
      </c>
      <c r="J342" s="2" t="s">
        <v>79</v>
      </c>
    </row>
    <row r="343" spans="1:10" x14ac:dyDescent="0.2">
      <c r="A343" s="4">
        <v>3</v>
      </c>
      <c r="B343" s="4">
        <v>13</v>
      </c>
      <c r="C343" s="4">
        <v>5</v>
      </c>
      <c r="D343" s="4">
        <v>0</v>
      </c>
      <c r="E343" s="4">
        <v>1</v>
      </c>
      <c r="F343" s="4">
        <v>0</v>
      </c>
      <c r="G343" s="4">
        <v>1</v>
      </c>
      <c r="H343" s="4">
        <v>0</v>
      </c>
      <c r="I343" s="4">
        <v>0</v>
      </c>
      <c r="J343" s="2" t="s">
        <v>79</v>
      </c>
    </row>
    <row r="344" spans="1:10" x14ac:dyDescent="0.2">
      <c r="A344" s="4">
        <v>4.5</v>
      </c>
      <c r="B344" s="4">
        <v>14</v>
      </c>
      <c r="C344" s="4">
        <v>5</v>
      </c>
      <c r="D344" s="4">
        <v>0</v>
      </c>
      <c r="E344" s="4">
        <v>0</v>
      </c>
      <c r="F344" s="4">
        <v>1</v>
      </c>
      <c r="G344" s="4">
        <v>0</v>
      </c>
      <c r="H344" s="4">
        <v>0</v>
      </c>
      <c r="I344" s="4">
        <v>1</v>
      </c>
      <c r="J344" s="2" t="s">
        <v>79</v>
      </c>
    </row>
    <row r="345" spans="1:10" x14ac:dyDescent="0.2">
      <c r="A345" s="4">
        <v>3.85</v>
      </c>
      <c r="B345" s="4">
        <v>16</v>
      </c>
      <c r="C345" s="4">
        <v>5</v>
      </c>
      <c r="D345" s="4">
        <v>0</v>
      </c>
      <c r="E345" s="4">
        <v>0</v>
      </c>
      <c r="F345" s="4">
        <v>1</v>
      </c>
      <c r="G345" s="4">
        <v>0</v>
      </c>
      <c r="H345" s="4">
        <v>0</v>
      </c>
      <c r="I345" s="4">
        <v>0</v>
      </c>
      <c r="J345" s="2" t="s">
        <v>79</v>
      </c>
    </row>
    <row r="346" spans="1:10" x14ac:dyDescent="0.2">
      <c r="A346" s="4">
        <v>4.1100000000000003</v>
      </c>
      <c r="B346" s="4">
        <v>14</v>
      </c>
      <c r="C346" s="4">
        <v>5</v>
      </c>
      <c r="D346" s="4">
        <v>0</v>
      </c>
      <c r="E346" s="4">
        <v>0</v>
      </c>
      <c r="F346" s="4">
        <v>0</v>
      </c>
      <c r="G346" s="4">
        <v>1</v>
      </c>
      <c r="H346" s="4">
        <v>0</v>
      </c>
      <c r="I346" s="4">
        <v>0</v>
      </c>
      <c r="J346" s="2" t="s">
        <v>79</v>
      </c>
    </row>
    <row r="347" spans="1:10" x14ac:dyDescent="0.2">
      <c r="A347" s="4">
        <v>5</v>
      </c>
      <c r="B347" s="4">
        <v>14</v>
      </c>
      <c r="C347" s="4">
        <v>5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2" t="s">
        <v>79</v>
      </c>
    </row>
    <row r="348" spans="1:10" x14ac:dyDescent="0.2">
      <c r="A348" s="4">
        <v>2.25</v>
      </c>
      <c r="B348" s="4">
        <v>12</v>
      </c>
      <c r="C348" s="4">
        <v>5</v>
      </c>
      <c r="D348" s="4">
        <v>0</v>
      </c>
      <c r="E348" s="4">
        <v>1</v>
      </c>
      <c r="F348" s="4">
        <v>0</v>
      </c>
      <c r="G348" s="4">
        <v>1</v>
      </c>
      <c r="H348" s="4">
        <v>0</v>
      </c>
      <c r="I348" s="4">
        <v>0</v>
      </c>
      <c r="J348" s="2" t="s">
        <v>79</v>
      </c>
    </row>
    <row r="349" spans="1:10" x14ac:dyDescent="0.2">
      <c r="A349" s="4">
        <v>3.18</v>
      </c>
      <c r="B349" s="4">
        <v>12</v>
      </c>
      <c r="C349" s="4">
        <v>5</v>
      </c>
      <c r="D349" s="4">
        <v>0</v>
      </c>
      <c r="E349" s="4">
        <v>1</v>
      </c>
      <c r="F349" s="4">
        <v>1</v>
      </c>
      <c r="G349" s="4">
        <v>0</v>
      </c>
      <c r="H349" s="4">
        <v>0</v>
      </c>
      <c r="I349" s="4">
        <v>0</v>
      </c>
      <c r="J349" s="2" t="s">
        <v>79</v>
      </c>
    </row>
    <row r="350" spans="1:10" x14ac:dyDescent="0.2">
      <c r="A350" s="4">
        <v>5.05</v>
      </c>
      <c r="B350" s="10">
        <v>12</v>
      </c>
      <c r="C350" s="4">
        <v>5</v>
      </c>
      <c r="D350" s="4">
        <v>0</v>
      </c>
      <c r="E350" s="4">
        <v>1</v>
      </c>
      <c r="F350" s="4">
        <v>0</v>
      </c>
      <c r="G350" s="4">
        <v>0</v>
      </c>
      <c r="H350" s="4">
        <v>0</v>
      </c>
      <c r="I350" s="4">
        <v>0</v>
      </c>
      <c r="J350" s="2" t="s">
        <v>79</v>
      </c>
    </row>
    <row r="351" spans="1:10" x14ac:dyDescent="0.2">
      <c r="A351" s="4">
        <v>4.63</v>
      </c>
      <c r="B351" s="4">
        <v>14</v>
      </c>
      <c r="C351" s="4">
        <v>4</v>
      </c>
      <c r="D351" s="4">
        <v>0</v>
      </c>
      <c r="E351" s="4">
        <v>1</v>
      </c>
      <c r="F351" s="4">
        <v>1</v>
      </c>
      <c r="G351" s="4">
        <v>1</v>
      </c>
      <c r="H351" s="4">
        <v>0</v>
      </c>
      <c r="I351" s="4">
        <v>0</v>
      </c>
      <c r="J351" s="2" t="s">
        <v>79</v>
      </c>
    </row>
    <row r="352" spans="1:10" x14ac:dyDescent="0.2">
      <c r="A352" s="4">
        <v>2.91</v>
      </c>
      <c r="B352" s="4">
        <v>12</v>
      </c>
      <c r="C352" s="4">
        <v>4</v>
      </c>
      <c r="D352" s="4">
        <v>0</v>
      </c>
      <c r="E352" s="4">
        <v>0</v>
      </c>
      <c r="F352" s="4">
        <v>1</v>
      </c>
      <c r="G352" s="4">
        <v>1</v>
      </c>
      <c r="H352" s="4">
        <v>0</v>
      </c>
      <c r="I352" s="4">
        <v>0</v>
      </c>
      <c r="J352" s="2" t="s">
        <v>79</v>
      </c>
    </row>
    <row r="353" spans="1:10" x14ac:dyDescent="0.2">
      <c r="A353" s="4">
        <v>6.25</v>
      </c>
      <c r="B353" s="4">
        <v>17</v>
      </c>
      <c r="C353" s="4">
        <v>4</v>
      </c>
      <c r="D353" s="4">
        <v>0</v>
      </c>
      <c r="E353" s="4">
        <v>1</v>
      </c>
      <c r="F353" s="4">
        <v>0</v>
      </c>
      <c r="G353" s="4">
        <v>0</v>
      </c>
      <c r="H353" s="4">
        <v>1</v>
      </c>
      <c r="I353" s="4">
        <v>0</v>
      </c>
      <c r="J353" s="2" t="s">
        <v>79</v>
      </c>
    </row>
    <row r="354" spans="1:10" x14ac:dyDescent="0.2">
      <c r="A354" s="4">
        <v>5.25</v>
      </c>
      <c r="B354" s="4">
        <v>16</v>
      </c>
      <c r="C354" s="4">
        <v>4</v>
      </c>
      <c r="D354" s="4">
        <v>0</v>
      </c>
      <c r="E354" s="4">
        <v>0</v>
      </c>
      <c r="F354" s="4">
        <v>0</v>
      </c>
      <c r="G354" s="4">
        <v>1</v>
      </c>
      <c r="H354" s="4">
        <v>0</v>
      </c>
      <c r="I354" s="4">
        <v>0</v>
      </c>
      <c r="J354" s="2" t="s">
        <v>79</v>
      </c>
    </row>
    <row r="355" spans="1:10" x14ac:dyDescent="0.2">
      <c r="A355" s="4">
        <v>5.25</v>
      </c>
      <c r="B355" s="4">
        <v>12</v>
      </c>
      <c r="C355" s="4">
        <v>4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2" t="s">
        <v>79</v>
      </c>
    </row>
    <row r="356" spans="1:10" x14ac:dyDescent="0.2">
      <c r="A356" s="4">
        <v>2.9</v>
      </c>
      <c r="B356" s="4">
        <v>10</v>
      </c>
      <c r="C356" s="4">
        <v>4</v>
      </c>
      <c r="D356" s="4">
        <v>0</v>
      </c>
      <c r="E356" s="4">
        <v>1</v>
      </c>
      <c r="F356" s="4">
        <v>0</v>
      </c>
      <c r="G356" s="4">
        <v>0</v>
      </c>
      <c r="H356" s="4">
        <v>0</v>
      </c>
      <c r="I356" s="4">
        <v>0</v>
      </c>
      <c r="J356" s="2" t="s">
        <v>79</v>
      </c>
    </row>
    <row r="357" spans="1:10" x14ac:dyDescent="0.2">
      <c r="A357" s="4">
        <v>2.92</v>
      </c>
      <c r="B357" s="4">
        <v>12</v>
      </c>
      <c r="C357" s="4">
        <v>4</v>
      </c>
      <c r="D357" s="4">
        <v>0</v>
      </c>
      <c r="E357" s="4">
        <v>1</v>
      </c>
      <c r="F357" s="4">
        <v>0</v>
      </c>
      <c r="G357" s="4">
        <v>1</v>
      </c>
      <c r="H357" s="4">
        <v>0</v>
      </c>
      <c r="I357" s="4">
        <v>0</v>
      </c>
      <c r="J357" s="2" t="s">
        <v>79</v>
      </c>
    </row>
    <row r="358" spans="1:10" x14ac:dyDescent="0.2">
      <c r="A358" s="4">
        <v>3.25</v>
      </c>
      <c r="B358" s="4">
        <v>12</v>
      </c>
      <c r="C358" s="4">
        <v>4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2" t="s">
        <v>79</v>
      </c>
    </row>
    <row r="359" spans="1:10" x14ac:dyDescent="0.2">
      <c r="A359" s="4">
        <v>3.25</v>
      </c>
      <c r="B359" s="4">
        <v>15</v>
      </c>
      <c r="C359" s="4">
        <v>3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2" t="s">
        <v>79</v>
      </c>
    </row>
    <row r="360" spans="1:10" x14ac:dyDescent="0.2">
      <c r="A360" s="4">
        <v>4.29</v>
      </c>
      <c r="B360" s="4">
        <v>12</v>
      </c>
      <c r="C360" s="4">
        <v>3</v>
      </c>
      <c r="D360" s="4">
        <v>0</v>
      </c>
      <c r="E360" s="4">
        <v>1</v>
      </c>
      <c r="F360" s="4">
        <v>0</v>
      </c>
      <c r="G360" s="4">
        <v>1</v>
      </c>
      <c r="H360" s="4">
        <v>0</v>
      </c>
      <c r="I360" s="4">
        <v>0</v>
      </c>
      <c r="J360" s="2" t="s">
        <v>79</v>
      </c>
    </row>
    <row r="361" spans="1:10" x14ac:dyDescent="0.2">
      <c r="A361" s="4">
        <v>4.68</v>
      </c>
      <c r="B361" s="4">
        <v>12</v>
      </c>
      <c r="C361" s="4">
        <v>3</v>
      </c>
      <c r="D361" s="4">
        <v>0</v>
      </c>
      <c r="E361" s="4">
        <v>1</v>
      </c>
      <c r="F361" s="4">
        <v>0</v>
      </c>
      <c r="G361" s="4">
        <v>0</v>
      </c>
      <c r="H361" s="4">
        <v>1</v>
      </c>
      <c r="I361" s="4">
        <v>0</v>
      </c>
      <c r="J361" s="2" t="s">
        <v>79</v>
      </c>
    </row>
    <row r="362" spans="1:10" x14ac:dyDescent="0.2">
      <c r="A362" s="4">
        <v>6.63</v>
      </c>
      <c r="B362" s="4">
        <v>16</v>
      </c>
      <c r="C362" s="4">
        <v>3</v>
      </c>
      <c r="D362" s="4">
        <v>0</v>
      </c>
      <c r="E362" s="4">
        <v>0</v>
      </c>
      <c r="F362" s="4">
        <v>1</v>
      </c>
      <c r="G362" s="4">
        <v>1</v>
      </c>
      <c r="H362" s="4">
        <v>0</v>
      </c>
      <c r="I362" s="4">
        <v>0</v>
      </c>
      <c r="J362" s="2" t="s">
        <v>79</v>
      </c>
    </row>
    <row r="363" spans="1:10" x14ac:dyDescent="0.2">
      <c r="A363" s="4">
        <v>4.4400000000000004</v>
      </c>
      <c r="B363" s="4">
        <v>12</v>
      </c>
      <c r="C363" s="4">
        <v>3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2" t="s">
        <v>79</v>
      </c>
    </row>
    <row r="364" spans="1:10" x14ac:dyDescent="0.2">
      <c r="A364" s="4">
        <v>5.71</v>
      </c>
      <c r="B364" s="4">
        <v>16</v>
      </c>
      <c r="C364" s="4">
        <v>3</v>
      </c>
      <c r="D364" s="4">
        <v>0</v>
      </c>
      <c r="E364" s="4">
        <v>1</v>
      </c>
      <c r="F364" s="4">
        <v>0</v>
      </c>
      <c r="G364" s="4">
        <v>0</v>
      </c>
      <c r="H364" s="4">
        <v>0</v>
      </c>
      <c r="I364" s="4">
        <v>0</v>
      </c>
      <c r="J364" s="2" t="s">
        <v>79</v>
      </c>
    </row>
    <row r="365" spans="1:10" x14ac:dyDescent="0.2">
      <c r="A365" s="4">
        <v>4.57</v>
      </c>
      <c r="B365" s="4">
        <v>14</v>
      </c>
      <c r="C365" s="4">
        <v>3</v>
      </c>
      <c r="D365" s="4">
        <v>0</v>
      </c>
      <c r="E365" s="4">
        <v>0</v>
      </c>
      <c r="F365" s="4">
        <v>1</v>
      </c>
      <c r="G365" s="4">
        <v>1</v>
      </c>
      <c r="H365" s="4">
        <v>0</v>
      </c>
      <c r="I365" s="4">
        <v>0</v>
      </c>
      <c r="J365" s="2" t="s">
        <v>79</v>
      </c>
    </row>
    <row r="366" spans="1:10" x14ac:dyDescent="0.2">
      <c r="A366" s="4">
        <v>6.5</v>
      </c>
      <c r="B366" s="4">
        <v>17</v>
      </c>
      <c r="C366" s="4">
        <v>3</v>
      </c>
      <c r="D366" s="4">
        <v>0</v>
      </c>
      <c r="E366" s="4">
        <v>0</v>
      </c>
      <c r="F366" s="4">
        <v>1</v>
      </c>
      <c r="G366" s="4">
        <v>0</v>
      </c>
      <c r="H366" s="4">
        <v>0</v>
      </c>
      <c r="I366" s="4">
        <v>0</v>
      </c>
      <c r="J366" s="2" t="s">
        <v>79</v>
      </c>
    </row>
    <row r="367" spans="1:10" x14ac:dyDescent="0.2">
      <c r="A367" s="4">
        <v>8.1300000000000008</v>
      </c>
      <c r="B367" s="4">
        <v>13</v>
      </c>
      <c r="C367" s="4">
        <v>3</v>
      </c>
      <c r="D367" s="4">
        <v>0</v>
      </c>
      <c r="E367" s="10">
        <v>2</v>
      </c>
      <c r="F367" s="4">
        <v>0</v>
      </c>
      <c r="G367" s="4">
        <v>0</v>
      </c>
      <c r="H367" s="4">
        <v>1</v>
      </c>
      <c r="I367" s="4">
        <v>0</v>
      </c>
      <c r="J367" s="2" t="s">
        <v>79</v>
      </c>
    </row>
    <row r="368" spans="1:10" x14ac:dyDescent="0.2">
      <c r="A368" s="4">
        <v>3</v>
      </c>
      <c r="B368" s="4">
        <v>9</v>
      </c>
      <c r="C368" s="4">
        <v>3</v>
      </c>
      <c r="D368" s="4">
        <v>0</v>
      </c>
      <c r="E368" s="4">
        <v>1</v>
      </c>
      <c r="F368" s="4">
        <v>0</v>
      </c>
      <c r="G368" s="4">
        <v>0</v>
      </c>
      <c r="H368" s="4">
        <v>0</v>
      </c>
      <c r="I368" s="4">
        <v>0</v>
      </c>
      <c r="J368" s="2" t="s">
        <v>79</v>
      </c>
    </row>
    <row r="369" spans="1:10" x14ac:dyDescent="0.2">
      <c r="A369" s="4">
        <v>4</v>
      </c>
      <c r="B369" s="4">
        <v>10</v>
      </c>
      <c r="C369" s="4">
        <v>2</v>
      </c>
      <c r="D369" s="4">
        <v>0</v>
      </c>
      <c r="E369" s="4">
        <v>1</v>
      </c>
      <c r="F369" s="4">
        <v>0</v>
      </c>
      <c r="G369" s="4">
        <v>0</v>
      </c>
      <c r="H369" s="4">
        <v>1</v>
      </c>
      <c r="I369" s="4">
        <v>0</v>
      </c>
      <c r="J369" s="2" t="s">
        <v>79</v>
      </c>
    </row>
    <row r="370" spans="1:10" x14ac:dyDescent="0.2">
      <c r="A370" s="4">
        <v>2.7</v>
      </c>
      <c r="B370" s="4">
        <v>9</v>
      </c>
      <c r="C370" s="4">
        <v>2</v>
      </c>
      <c r="D370" s="4">
        <v>0</v>
      </c>
      <c r="E370" s="4">
        <v>1</v>
      </c>
      <c r="F370" s="4">
        <v>0</v>
      </c>
      <c r="G370" s="4">
        <v>0</v>
      </c>
      <c r="H370" s="4">
        <v>0</v>
      </c>
      <c r="I370" s="4">
        <v>0</v>
      </c>
      <c r="J370" s="2" t="s">
        <v>79</v>
      </c>
    </row>
    <row r="371" spans="1:10" x14ac:dyDescent="0.2">
      <c r="A371" s="4">
        <v>2.27</v>
      </c>
      <c r="B371" s="4">
        <v>10</v>
      </c>
      <c r="C371" s="4">
        <v>2</v>
      </c>
      <c r="D371" s="4">
        <v>0</v>
      </c>
      <c r="E371" s="10">
        <v>2</v>
      </c>
      <c r="F371" s="4">
        <v>0</v>
      </c>
      <c r="G371" s="4">
        <v>0</v>
      </c>
      <c r="H371" s="4">
        <v>1</v>
      </c>
      <c r="I371" s="4">
        <v>0</v>
      </c>
      <c r="J371" s="2" t="s">
        <v>79</v>
      </c>
    </row>
    <row r="372" spans="1:10" x14ac:dyDescent="0.2">
      <c r="A372" s="4">
        <v>3.05</v>
      </c>
      <c r="B372" s="4">
        <v>12</v>
      </c>
      <c r="C372" s="4">
        <v>2</v>
      </c>
      <c r="D372" s="4">
        <v>0</v>
      </c>
      <c r="E372" s="4">
        <v>1</v>
      </c>
      <c r="F372" s="4">
        <v>0</v>
      </c>
      <c r="G372" s="4">
        <v>0</v>
      </c>
      <c r="H372" s="4">
        <v>0</v>
      </c>
      <c r="I372" s="4">
        <v>0</v>
      </c>
      <c r="J372" s="2" t="s">
        <v>79</v>
      </c>
    </row>
    <row r="373" spans="1:10" x14ac:dyDescent="0.2">
      <c r="A373" s="4">
        <v>3.5</v>
      </c>
      <c r="B373" s="4">
        <v>13</v>
      </c>
      <c r="C373" s="4">
        <v>2</v>
      </c>
      <c r="D373" s="4">
        <v>0</v>
      </c>
      <c r="E373" s="4">
        <v>1</v>
      </c>
      <c r="F373" s="4">
        <v>0</v>
      </c>
      <c r="G373" s="4">
        <v>0</v>
      </c>
      <c r="H373" s="4">
        <v>0</v>
      </c>
      <c r="I373" s="4">
        <v>0</v>
      </c>
      <c r="J373" s="2" t="s">
        <v>79</v>
      </c>
    </row>
    <row r="374" spans="1:10" x14ac:dyDescent="0.2">
      <c r="A374" s="4">
        <v>4.8099999999999996</v>
      </c>
      <c r="B374" s="4">
        <v>12</v>
      </c>
      <c r="C374" s="4">
        <v>2</v>
      </c>
      <c r="D374" s="4">
        <v>0</v>
      </c>
      <c r="E374" s="4">
        <v>1</v>
      </c>
      <c r="F374" s="4">
        <v>0</v>
      </c>
      <c r="G374" s="4">
        <v>0</v>
      </c>
      <c r="H374" s="4">
        <v>0</v>
      </c>
      <c r="I374" s="4">
        <v>0</v>
      </c>
      <c r="J374" s="2" t="s">
        <v>79</v>
      </c>
    </row>
    <row r="375" spans="1:10" x14ac:dyDescent="0.2">
      <c r="A375" s="4">
        <v>2.2999999999999998</v>
      </c>
      <c r="B375" s="4">
        <v>10</v>
      </c>
      <c r="C375" s="4">
        <v>2</v>
      </c>
      <c r="D375" s="4">
        <v>0</v>
      </c>
      <c r="E375" s="4">
        <v>1</v>
      </c>
      <c r="F375" s="4">
        <v>0</v>
      </c>
      <c r="G375" s="4">
        <v>0</v>
      </c>
      <c r="H375" s="4">
        <v>0</v>
      </c>
      <c r="I375" s="4">
        <v>0</v>
      </c>
      <c r="J375" s="2" t="s">
        <v>79</v>
      </c>
    </row>
    <row r="376" spans="1:10" x14ac:dyDescent="0.2">
      <c r="A376" s="4">
        <v>3.5</v>
      </c>
      <c r="B376" s="4">
        <v>12</v>
      </c>
      <c r="C376" s="4">
        <v>2</v>
      </c>
      <c r="D376" s="4">
        <v>0</v>
      </c>
      <c r="E376" s="10">
        <v>2</v>
      </c>
      <c r="F376" s="4">
        <v>0</v>
      </c>
      <c r="G376" s="4">
        <v>1</v>
      </c>
      <c r="H376" s="4">
        <v>0</v>
      </c>
      <c r="I376" s="4">
        <v>0</v>
      </c>
      <c r="J376" s="2" t="s">
        <v>79</v>
      </c>
    </row>
    <row r="377" spans="1:10" x14ac:dyDescent="0.2">
      <c r="A377" s="4">
        <v>7.9</v>
      </c>
      <c r="B377" s="4">
        <v>12</v>
      </c>
      <c r="C377" s="4">
        <v>2</v>
      </c>
      <c r="D377" s="4">
        <v>0</v>
      </c>
      <c r="E377" s="4">
        <v>0</v>
      </c>
      <c r="F377" s="4">
        <v>0</v>
      </c>
      <c r="G377" s="4">
        <v>1</v>
      </c>
      <c r="H377" s="4">
        <v>0</v>
      </c>
      <c r="I377" s="4">
        <v>1</v>
      </c>
      <c r="J377" s="2" t="s">
        <v>79</v>
      </c>
    </row>
    <row r="378" spans="1:10" x14ac:dyDescent="0.2">
      <c r="A378" s="4">
        <v>3</v>
      </c>
      <c r="B378" s="4">
        <v>12</v>
      </c>
      <c r="C378" s="4">
        <v>2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1</v>
      </c>
      <c r="J378" s="2" t="s">
        <v>79</v>
      </c>
    </row>
    <row r="379" spans="1:10" x14ac:dyDescent="0.2">
      <c r="A379" s="4">
        <v>5.7</v>
      </c>
      <c r="B379" s="4">
        <v>16</v>
      </c>
      <c r="C379" s="4">
        <v>2</v>
      </c>
      <c r="D379" s="4">
        <v>0</v>
      </c>
      <c r="E379" s="4">
        <v>0</v>
      </c>
      <c r="F379" s="4">
        <v>0</v>
      </c>
      <c r="G379" s="4">
        <v>1</v>
      </c>
      <c r="H379" s="4">
        <v>0</v>
      </c>
      <c r="I379" s="4">
        <v>0</v>
      </c>
      <c r="J379" s="2" t="s">
        <v>79</v>
      </c>
    </row>
    <row r="380" spans="1:10" x14ac:dyDescent="0.2">
      <c r="A380" s="4">
        <v>2.5</v>
      </c>
      <c r="B380" s="10">
        <v>12</v>
      </c>
      <c r="C380" s="4">
        <v>2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2" t="s">
        <v>79</v>
      </c>
    </row>
    <row r="381" spans="1:10" x14ac:dyDescent="0.2">
      <c r="A381" s="4">
        <v>2.88</v>
      </c>
      <c r="B381" s="4">
        <v>10</v>
      </c>
      <c r="C381" s="4">
        <v>2</v>
      </c>
      <c r="D381" s="4">
        <v>0</v>
      </c>
      <c r="E381" s="4">
        <v>1</v>
      </c>
      <c r="F381" s="4">
        <v>0</v>
      </c>
      <c r="G381" s="4">
        <v>0</v>
      </c>
      <c r="H381" s="4">
        <v>0</v>
      </c>
      <c r="I381" s="4">
        <v>0</v>
      </c>
      <c r="J381" s="2" t="s">
        <v>79</v>
      </c>
    </row>
    <row r="382" spans="1:10" x14ac:dyDescent="0.2">
      <c r="A382" s="4">
        <v>3</v>
      </c>
      <c r="B382" s="4">
        <v>11</v>
      </c>
      <c r="C382" s="4">
        <v>2</v>
      </c>
      <c r="D382" s="4">
        <v>0</v>
      </c>
      <c r="E382" s="4">
        <v>0</v>
      </c>
      <c r="F382" s="4">
        <v>0</v>
      </c>
      <c r="G382" s="4">
        <v>0</v>
      </c>
      <c r="H382" s="4">
        <v>1</v>
      </c>
      <c r="I382" s="4">
        <v>0</v>
      </c>
      <c r="J382" s="2" t="s">
        <v>79</v>
      </c>
    </row>
    <row r="383" spans="1:10" x14ac:dyDescent="0.2">
      <c r="A383" s="4">
        <v>3</v>
      </c>
      <c r="B383" s="4">
        <v>11</v>
      </c>
      <c r="C383" s="4">
        <v>2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2" t="s">
        <v>79</v>
      </c>
    </row>
    <row r="384" spans="1:10" x14ac:dyDescent="0.2">
      <c r="A384" s="4">
        <v>3.5</v>
      </c>
      <c r="B384" s="4">
        <v>13</v>
      </c>
      <c r="C384" s="4">
        <v>1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2" t="s">
        <v>79</v>
      </c>
    </row>
    <row r="385" spans="1:10" x14ac:dyDescent="0.2">
      <c r="A385" s="4">
        <v>2.83</v>
      </c>
      <c r="B385" s="4">
        <v>10</v>
      </c>
      <c r="C385" s="4">
        <v>1</v>
      </c>
      <c r="D385" s="4">
        <v>0</v>
      </c>
      <c r="E385" s="10">
        <v>2</v>
      </c>
      <c r="F385" s="4">
        <v>0</v>
      </c>
      <c r="G385" s="4">
        <v>0</v>
      </c>
      <c r="H385" s="4">
        <v>0</v>
      </c>
      <c r="I385" s="4">
        <v>0</v>
      </c>
      <c r="J385" s="2" t="s">
        <v>79</v>
      </c>
    </row>
    <row r="386" spans="1:10" x14ac:dyDescent="0.2">
      <c r="A386" s="4">
        <v>1.67</v>
      </c>
      <c r="B386" s="4">
        <v>10</v>
      </c>
      <c r="C386" s="4">
        <v>1</v>
      </c>
      <c r="D386" s="4">
        <v>0</v>
      </c>
      <c r="E386" s="4">
        <v>0</v>
      </c>
      <c r="F386" s="4">
        <v>0</v>
      </c>
      <c r="G386" s="4">
        <v>0</v>
      </c>
      <c r="H386" s="4">
        <v>1</v>
      </c>
      <c r="I386" s="4">
        <v>0</v>
      </c>
      <c r="J386" s="2" t="s">
        <v>79</v>
      </c>
    </row>
    <row r="387" spans="1:10" x14ac:dyDescent="0.2">
      <c r="A387" s="4">
        <v>4.68</v>
      </c>
      <c r="B387" s="4">
        <v>16</v>
      </c>
      <c r="C387" s="4">
        <v>1</v>
      </c>
      <c r="D387" s="4">
        <v>0</v>
      </c>
      <c r="E387" s="4">
        <v>0</v>
      </c>
      <c r="F387" s="4">
        <v>0</v>
      </c>
      <c r="G387" s="4">
        <v>1</v>
      </c>
      <c r="H387" s="4">
        <v>0</v>
      </c>
      <c r="I387" s="4">
        <v>0</v>
      </c>
      <c r="J387" s="2" t="s">
        <v>79</v>
      </c>
    </row>
    <row r="388" spans="1:10" x14ac:dyDescent="0.2">
      <c r="A388" s="4">
        <v>3.13</v>
      </c>
      <c r="B388" s="4">
        <v>10</v>
      </c>
      <c r="C388" s="4">
        <v>1</v>
      </c>
      <c r="D388" s="4">
        <v>0</v>
      </c>
      <c r="E388" s="4">
        <v>1</v>
      </c>
      <c r="F388" s="4">
        <v>0</v>
      </c>
      <c r="G388" s="4">
        <v>0</v>
      </c>
      <c r="H388" s="4">
        <v>0</v>
      </c>
      <c r="I388" s="4">
        <v>0</v>
      </c>
      <c r="J388" s="2" t="s">
        <v>79</v>
      </c>
    </row>
    <row r="389" spans="1:10" x14ac:dyDescent="0.2">
      <c r="A389" s="4">
        <v>3.2</v>
      </c>
      <c r="B389" s="4">
        <v>11</v>
      </c>
      <c r="C389" s="4">
        <v>1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2" t="s">
        <v>79</v>
      </c>
    </row>
    <row r="390" spans="1:10" x14ac:dyDescent="0.2">
      <c r="A390" s="4">
        <v>4.33</v>
      </c>
      <c r="B390" s="4">
        <v>18</v>
      </c>
      <c r="C390" s="4">
        <v>1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2" t="s">
        <v>79</v>
      </c>
    </row>
    <row r="391" spans="1:10" x14ac:dyDescent="0.2">
      <c r="A391" s="4">
        <v>2.9</v>
      </c>
      <c r="B391" s="4">
        <v>11</v>
      </c>
      <c r="C391" s="4">
        <v>1</v>
      </c>
      <c r="D391" s="4">
        <v>0</v>
      </c>
      <c r="E391" s="4">
        <v>1</v>
      </c>
      <c r="F391" s="4">
        <v>0</v>
      </c>
      <c r="G391" s="4">
        <v>0</v>
      </c>
      <c r="H391" s="4">
        <v>0</v>
      </c>
      <c r="I391" s="4">
        <v>0</v>
      </c>
      <c r="J391" s="2" t="s">
        <v>79</v>
      </c>
    </row>
    <row r="392" spans="1:10" x14ac:dyDescent="0.2">
      <c r="A392" s="4">
        <v>2.91</v>
      </c>
      <c r="B392" s="4">
        <v>11</v>
      </c>
      <c r="C392" s="4">
        <v>1</v>
      </c>
      <c r="D392" s="4">
        <v>0</v>
      </c>
      <c r="E392" s="4">
        <v>1</v>
      </c>
      <c r="F392" s="4">
        <v>0</v>
      </c>
      <c r="G392" s="4">
        <v>0</v>
      </c>
      <c r="H392" s="4">
        <v>0</v>
      </c>
      <c r="I392" s="4">
        <v>0</v>
      </c>
      <c r="J392" s="2" t="s">
        <v>79</v>
      </c>
    </row>
    <row r="393" spans="1:10" x14ac:dyDescent="0.2">
      <c r="A393" s="4">
        <v>3</v>
      </c>
      <c r="B393" s="4">
        <v>15</v>
      </c>
      <c r="C393" s="4">
        <v>1</v>
      </c>
      <c r="D393" s="4">
        <v>0</v>
      </c>
      <c r="E393" s="4">
        <v>0</v>
      </c>
      <c r="F393" s="4">
        <v>0</v>
      </c>
      <c r="G393" s="4">
        <v>1</v>
      </c>
      <c r="H393" s="4">
        <v>0</v>
      </c>
      <c r="I393" s="4">
        <v>0</v>
      </c>
      <c r="J393" s="2" t="s">
        <v>79</v>
      </c>
    </row>
    <row r="394" spans="1:10" x14ac:dyDescent="0.2">
      <c r="A394" s="4">
        <v>3</v>
      </c>
      <c r="B394" s="4">
        <v>12</v>
      </c>
      <c r="C394" s="4">
        <v>1</v>
      </c>
      <c r="D394" s="4">
        <v>0</v>
      </c>
      <c r="E394" s="4">
        <v>0</v>
      </c>
      <c r="F394" s="4">
        <v>0</v>
      </c>
      <c r="G394" s="4">
        <v>1</v>
      </c>
      <c r="H394" s="4">
        <v>0</v>
      </c>
      <c r="I394" s="4">
        <v>0</v>
      </c>
      <c r="J394" s="2" t="s">
        <v>79</v>
      </c>
    </row>
    <row r="395" spans="1:10" x14ac:dyDescent="0.2">
      <c r="A395" s="4">
        <v>3.15</v>
      </c>
      <c r="B395" s="4">
        <v>13</v>
      </c>
      <c r="C395" s="4">
        <v>1</v>
      </c>
      <c r="D395" s="4">
        <v>0</v>
      </c>
      <c r="E395" s="4">
        <v>1</v>
      </c>
      <c r="F395" s="4">
        <v>0</v>
      </c>
      <c r="G395" s="4">
        <v>0</v>
      </c>
      <c r="H395" s="4">
        <v>0</v>
      </c>
      <c r="I395" s="4">
        <v>0</v>
      </c>
      <c r="J395" s="2" t="s">
        <v>79</v>
      </c>
    </row>
    <row r="396" spans="1:10" x14ac:dyDescent="0.2">
      <c r="A396" s="4">
        <v>12.5</v>
      </c>
      <c r="B396" s="4">
        <v>14</v>
      </c>
      <c r="C396" s="4">
        <v>40</v>
      </c>
      <c r="D396" s="9">
        <v>26.78</v>
      </c>
      <c r="E396" s="4">
        <v>0</v>
      </c>
      <c r="F396" s="4">
        <v>1</v>
      </c>
      <c r="G396" s="4">
        <v>0</v>
      </c>
      <c r="H396" s="4">
        <v>0</v>
      </c>
      <c r="I396" s="4">
        <v>0</v>
      </c>
      <c r="J396" s="2" t="s">
        <v>80</v>
      </c>
    </row>
    <row r="397" spans="1:10" x14ac:dyDescent="0.2">
      <c r="A397" s="4">
        <v>1.5</v>
      </c>
      <c r="B397" s="4">
        <v>8</v>
      </c>
      <c r="C397" s="4">
        <v>31</v>
      </c>
      <c r="D397" s="9">
        <v>26.78</v>
      </c>
      <c r="E397" s="10">
        <v>2</v>
      </c>
      <c r="F397" s="4">
        <v>0</v>
      </c>
      <c r="G397" s="4">
        <v>1</v>
      </c>
      <c r="H397" s="4">
        <v>0</v>
      </c>
      <c r="I397" s="4">
        <v>0</v>
      </c>
      <c r="J397" s="2" t="s">
        <v>80</v>
      </c>
    </row>
    <row r="398" spans="1:10" x14ac:dyDescent="0.2">
      <c r="A398" s="4">
        <v>2.92</v>
      </c>
      <c r="B398" s="4">
        <v>3</v>
      </c>
      <c r="C398" s="4">
        <v>11</v>
      </c>
      <c r="D398" s="9">
        <v>26.78</v>
      </c>
      <c r="E398" s="4">
        <v>0</v>
      </c>
      <c r="F398" s="4">
        <v>0</v>
      </c>
      <c r="G398" s="4">
        <v>1</v>
      </c>
      <c r="H398" s="4">
        <v>0</v>
      </c>
      <c r="I398" s="4">
        <v>0</v>
      </c>
      <c r="J398" s="2" t="s">
        <v>80</v>
      </c>
    </row>
    <row r="399" spans="1:10" x14ac:dyDescent="0.2">
      <c r="A399" s="4">
        <v>10</v>
      </c>
      <c r="B399" s="4">
        <v>12</v>
      </c>
      <c r="C399" s="4">
        <v>24</v>
      </c>
      <c r="D399" s="4">
        <v>24</v>
      </c>
      <c r="E399" s="4">
        <v>0</v>
      </c>
      <c r="F399" s="4">
        <v>1</v>
      </c>
      <c r="G399" s="4">
        <v>0</v>
      </c>
      <c r="H399" s="4">
        <v>0</v>
      </c>
      <c r="I399" s="4">
        <v>0</v>
      </c>
      <c r="J399" s="2" t="s">
        <v>80</v>
      </c>
    </row>
    <row r="400" spans="1:10" x14ac:dyDescent="0.2">
      <c r="A400" s="4">
        <v>10.91</v>
      </c>
      <c r="B400" s="4">
        <v>12</v>
      </c>
      <c r="C400" s="4">
        <v>25</v>
      </c>
      <c r="D400" s="4">
        <v>23</v>
      </c>
      <c r="E400" s="4">
        <v>0</v>
      </c>
      <c r="F400" s="4">
        <v>0</v>
      </c>
      <c r="G400" s="4">
        <v>1</v>
      </c>
      <c r="H400" s="4">
        <v>0</v>
      </c>
      <c r="I400" s="4">
        <v>0</v>
      </c>
      <c r="J400" s="2" t="s">
        <v>80</v>
      </c>
    </row>
    <row r="401" spans="1:10" x14ac:dyDescent="0.2">
      <c r="A401" s="4">
        <v>6.25</v>
      </c>
      <c r="B401" s="4">
        <v>7</v>
      </c>
      <c r="C401" s="4">
        <v>39</v>
      </c>
      <c r="D401" s="4">
        <v>21</v>
      </c>
      <c r="E401" s="4">
        <v>0</v>
      </c>
      <c r="F401" s="4">
        <v>1</v>
      </c>
      <c r="G401" s="4">
        <v>1</v>
      </c>
      <c r="H401" s="4">
        <v>0</v>
      </c>
      <c r="I401" s="4">
        <v>0</v>
      </c>
      <c r="J401" s="2" t="s">
        <v>80</v>
      </c>
    </row>
    <row r="402" spans="1:10" x14ac:dyDescent="0.2">
      <c r="A402" s="4">
        <v>15.38</v>
      </c>
      <c r="B402" s="4">
        <v>13</v>
      </c>
      <c r="C402" s="4">
        <v>25</v>
      </c>
      <c r="D402" s="4">
        <v>21</v>
      </c>
      <c r="E402" s="4">
        <v>0</v>
      </c>
      <c r="F402" s="4">
        <v>1</v>
      </c>
      <c r="G402" s="4">
        <v>0</v>
      </c>
      <c r="H402" s="4">
        <v>0</v>
      </c>
      <c r="I402" s="4">
        <v>0</v>
      </c>
      <c r="J402" s="2" t="s">
        <v>80</v>
      </c>
    </row>
    <row r="403" spans="1:10" x14ac:dyDescent="0.2">
      <c r="A403" s="4">
        <v>18.89</v>
      </c>
      <c r="B403" s="4">
        <v>17</v>
      </c>
      <c r="C403" s="4">
        <v>26</v>
      </c>
      <c r="D403" s="4">
        <v>20</v>
      </c>
      <c r="E403" s="4">
        <v>0</v>
      </c>
      <c r="F403" s="4">
        <v>1</v>
      </c>
      <c r="G403" s="4">
        <v>0</v>
      </c>
      <c r="H403" s="4">
        <v>0</v>
      </c>
      <c r="I403" s="4">
        <v>0</v>
      </c>
      <c r="J403" s="2" t="s">
        <v>80</v>
      </c>
    </row>
    <row r="404" spans="1:10" x14ac:dyDescent="0.2">
      <c r="A404" s="4">
        <v>3</v>
      </c>
      <c r="B404" s="4">
        <v>9</v>
      </c>
      <c r="C404" s="4">
        <v>23</v>
      </c>
      <c r="D404" s="4">
        <v>20</v>
      </c>
      <c r="E404" s="4">
        <v>1</v>
      </c>
      <c r="F404" s="4">
        <v>1</v>
      </c>
      <c r="G404" s="4">
        <v>1</v>
      </c>
      <c r="H404" s="4">
        <v>0</v>
      </c>
      <c r="I404" s="4">
        <v>0</v>
      </c>
      <c r="J404" s="2" t="s">
        <v>80</v>
      </c>
    </row>
    <row r="405" spans="1:10" x14ac:dyDescent="0.2">
      <c r="A405" s="4">
        <v>11.9</v>
      </c>
      <c r="B405" s="4">
        <v>13</v>
      </c>
      <c r="C405" s="4">
        <v>24</v>
      </c>
      <c r="D405" s="4">
        <v>19</v>
      </c>
      <c r="E405" s="4">
        <v>0</v>
      </c>
      <c r="F405" s="4">
        <v>1</v>
      </c>
      <c r="G405" s="4">
        <v>0</v>
      </c>
      <c r="H405" s="4">
        <v>0</v>
      </c>
      <c r="I405" s="4">
        <v>0</v>
      </c>
      <c r="J405" s="2" t="s">
        <v>80</v>
      </c>
    </row>
    <row r="406" spans="1:10" x14ac:dyDescent="0.2">
      <c r="A406" s="4">
        <v>4</v>
      </c>
      <c r="B406" s="4">
        <v>9</v>
      </c>
      <c r="C406" s="4">
        <v>22</v>
      </c>
      <c r="D406" s="4">
        <v>18</v>
      </c>
      <c r="E406" s="4">
        <v>0</v>
      </c>
      <c r="F406" s="4">
        <v>0</v>
      </c>
      <c r="G406" s="4">
        <v>1</v>
      </c>
      <c r="H406" s="4">
        <v>0</v>
      </c>
      <c r="I406" s="4">
        <v>0</v>
      </c>
      <c r="J406" s="2" t="s">
        <v>80</v>
      </c>
    </row>
    <row r="407" spans="1:10" x14ac:dyDescent="0.2">
      <c r="A407" s="4">
        <v>12.5</v>
      </c>
      <c r="B407" s="4">
        <v>17</v>
      </c>
      <c r="C407" s="4">
        <v>21</v>
      </c>
      <c r="D407" s="4">
        <v>18</v>
      </c>
      <c r="E407" s="4">
        <v>0</v>
      </c>
      <c r="F407" s="4">
        <v>1</v>
      </c>
      <c r="G407" s="4">
        <v>0</v>
      </c>
      <c r="H407" s="4">
        <v>0</v>
      </c>
      <c r="I407" s="4">
        <v>0</v>
      </c>
      <c r="J407" s="2" t="s">
        <v>80</v>
      </c>
    </row>
    <row r="408" spans="1:10" x14ac:dyDescent="0.2">
      <c r="A408" s="4">
        <v>9.68</v>
      </c>
      <c r="B408" s="4">
        <v>13</v>
      </c>
      <c r="C408" s="4">
        <v>16</v>
      </c>
      <c r="D408" s="4">
        <v>16</v>
      </c>
      <c r="E408" s="4">
        <v>1</v>
      </c>
      <c r="F408" s="4">
        <v>0</v>
      </c>
      <c r="G408" s="4">
        <v>0</v>
      </c>
      <c r="H408" s="4">
        <v>1</v>
      </c>
      <c r="I408" s="4">
        <v>0</v>
      </c>
      <c r="J408" s="2" t="s">
        <v>80</v>
      </c>
    </row>
    <row r="409" spans="1:10" x14ac:dyDescent="0.2">
      <c r="A409" s="4">
        <v>5.6</v>
      </c>
      <c r="B409" s="4">
        <v>15</v>
      </c>
      <c r="C409" s="4">
        <v>31</v>
      </c>
      <c r="D409" s="4">
        <v>15</v>
      </c>
      <c r="E409" s="4">
        <v>1</v>
      </c>
      <c r="F409" s="4">
        <v>0</v>
      </c>
      <c r="G409" s="4">
        <v>0</v>
      </c>
      <c r="H409" s="4">
        <v>0</v>
      </c>
      <c r="I409" s="4">
        <v>0</v>
      </c>
      <c r="J409" s="2" t="s">
        <v>80</v>
      </c>
    </row>
    <row r="410" spans="1:10" x14ac:dyDescent="0.2">
      <c r="A410" s="4">
        <v>3.4</v>
      </c>
      <c r="B410" s="4">
        <v>12</v>
      </c>
      <c r="C410" s="4">
        <v>26</v>
      </c>
      <c r="D410" s="4">
        <v>15</v>
      </c>
      <c r="E410" s="4">
        <v>1</v>
      </c>
      <c r="F410" s="4">
        <v>1</v>
      </c>
      <c r="G410" s="4">
        <v>0</v>
      </c>
      <c r="H410" s="4">
        <v>0</v>
      </c>
      <c r="I410" s="4">
        <v>1</v>
      </c>
      <c r="J410" s="2" t="s">
        <v>80</v>
      </c>
    </row>
    <row r="411" spans="1:10" x14ac:dyDescent="0.2">
      <c r="A411" s="4">
        <v>5.2</v>
      </c>
      <c r="B411" s="4">
        <v>6</v>
      </c>
      <c r="C411" s="9">
        <v>43.93</v>
      </c>
      <c r="D411" s="4">
        <v>13</v>
      </c>
      <c r="E411" s="4">
        <v>0</v>
      </c>
      <c r="F411" s="4">
        <v>1</v>
      </c>
      <c r="G411" s="4">
        <v>1</v>
      </c>
      <c r="H411" s="4">
        <v>0</v>
      </c>
      <c r="I411" s="4">
        <v>1</v>
      </c>
      <c r="J411" s="2" t="s">
        <v>80</v>
      </c>
    </row>
    <row r="412" spans="1:10" x14ac:dyDescent="0.2">
      <c r="A412" s="4">
        <v>3.75</v>
      </c>
      <c r="B412" s="4">
        <v>2</v>
      </c>
      <c r="C412" s="4">
        <v>39</v>
      </c>
      <c r="D412" s="4">
        <v>13</v>
      </c>
      <c r="E412" s="4">
        <v>0</v>
      </c>
      <c r="F412" s="4">
        <v>1</v>
      </c>
      <c r="G412" s="4">
        <v>1</v>
      </c>
      <c r="H412" s="4">
        <v>0</v>
      </c>
      <c r="I412" s="4">
        <v>0</v>
      </c>
      <c r="J412" s="2" t="s">
        <v>80</v>
      </c>
    </row>
    <row r="413" spans="1:10" x14ac:dyDescent="0.2">
      <c r="A413" s="4">
        <v>8.4499999999999993</v>
      </c>
      <c r="B413" s="4">
        <v>12</v>
      </c>
      <c r="C413" s="4">
        <v>19</v>
      </c>
      <c r="D413" s="4">
        <v>13</v>
      </c>
      <c r="E413" s="4">
        <v>0</v>
      </c>
      <c r="F413" s="4">
        <v>1</v>
      </c>
      <c r="G413" s="4">
        <v>0</v>
      </c>
      <c r="H413" s="4">
        <v>0</v>
      </c>
      <c r="I413" s="4">
        <v>0</v>
      </c>
      <c r="J413" s="2" t="s">
        <v>80</v>
      </c>
    </row>
    <row r="414" spans="1:10" x14ac:dyDescent="0.2">
      <c r="A414" s="4">
        <v>3.37</v>
      </c>
      <c r="B414" s="4">
        <v>11</v>
      </c>
      <c r="C414" s="9">
        <v>43.93</v>
      </c>
      <c r="D414" s="4">
        <v>12</v>
      </c>
      <c r="E414" s="4">
        <v>0</v>
      </c>
      <c r="F414" s="4">
        <v>1</v>
      </c>
      <c r="G414" s="4">
        <v>0</v>
      </c>
      <c r="H414" s="4">
        <v>0</v>
      </c>
      <c r="I414" s="4">
        <v>0</v>
      </c>
      <c r="J414" s="2" t="s">
        <v>80</v>
      </c>
    </row>
    <row r="415" spans="1:10" x14ac:dyDescent="0.2">
      <c r="A415" s="4">
        <v>4</v>
      </c>
      <c r="B415" s="4">
        <v>10</v>
      </c>
      <c r="C415" s="4">
        <v>34</v>
      </c>
      <c r="D415" s="4">
        <v>12</v>
      </c>
      <c r="E415" s="4">
        <v>0</v>
      </c>
      <c r="F415" s="4">
        <v>1</v>
      </c>
      <c r="G415" s="4">
        <v>0</v>
      </c>
      <c r="H415" s="4">
        <v>0</v>
      </c>
      <c r="I415" s="4">
        <v>0</v>
      </c>
      <c r="J415" s="2" t="s">
        <v>80</v>
      </c>
    </row>
    <row r="416" spans="1:10" x14ac:dyDescent="0.2">
      <c r="A416" s="4">
        <v>7.6</v>
      </c>
      <c r="B416" s="4">
        <v>12</v>
      </c>
      <c r="C416" s="4">
        <v>41</v>
      </c>
      <c r="D416" s="4">
        <v>11</v>
      </c>
      <c r="E416" s="4">
        <v>1</v>
      </c>
      <c r="F416" s="4">
        <v>0</v>
      </c>
      <c r="G416" s="4">
        <v>0</v>
      </c>
      <c r="H416" s="4">
        <v>0</v>
      </c>
      <c r="I416" s="4">
        <v>0</v>
      </c>
      <c r="J416" s="2" t="s">
        <v>80</v>
      </c>
    </row>
    <row r="417" spans="1:10" x14ac:dyDescent="0.2">
      <c r="A417" s="4">
        <v>10</v>
      </c>
      <c r="B417" s="4">
        <v>14</v>
      </c>
      <c r="C417" s="4">
        <v>28</v>
      </c>
      <c r="D417" s="4">
        <v>11</v>
      </c>
      <c r="E417" s="4">
        <v>1</v>
      </c>
      <c r="F417" s="4">
        <v>1</v>
      </c>
      <c r="G417" s="4">
        <v>1</v>
      </c>
      <c r="H417" s="4">
        <v>0</v>
      </c>
      <c r="I417" s="4">
        <v>0</v>
      </c>
      <c r="J417" s="2" t="s">
        <v>80</v>
      </c>
    </row>
    <row r="418" spans="1:10" x14ac:dyDescent="0.2">
      <c r="A418" s="4">
        <v>4</v>
      </c>
      <c r="B418" s="4">
        <v>12</v>
      </c>
      <c r="C418" s="4">
        <v>22</v>
      </c>
      <c r="D418" s="4">
        <v>11</v>
      </c>
      <c r="E418" s="4">
        <v>1</v>
      </c>
      <c r="F418" s="4">
        <v>1</v>
      </c>
      <c r="G418" s="4">
        <v>0</v>
      </c>
      <c r="H418" s="4">
        <v>0</v>
      </c>
      <c r="I418" s="4">
        <v>0</v>
      </c>
      <c r="J418" s="2" t="s">
        <v>80</v>
      </c>
    </row>
    <row r="419" spans="1:10" x14ac:dyDescent="0.2">
      <c r="A419" s="4">
        <v>9.33</v>
      </c>
      <c r="B419" s="4">
        <v>14</v>
      </c>
      <c r="C419" s="4">
        <v>12</v>
      </c>
      <c r="D419" s="4">
        <v>11</v>
      </c>
      <c r="E419" s="4">
        <v>0</v>
      </c>
      <c r="F419" s="4">
        <v>1</v>
      </c>
      <c r="G419" s="4">
        <v>0</v>
      </c>
      <c r="H419" s="4">
        <v>0</v>
      </c>
      <c r="I419" s="4">
        <v>0</v>
      </c>
      <c r="J419" s="2" t="s">
        <v>80</v>
      </c>
    </row>
    <row r="420" spans="1:10" x14ac:dyDescent="0.2">
      <c r="A420" s="4">
        <v>6.08</v>
      </c>
      <c r="B420" s="4">
        <v>16</v>
      </c>
      <c r="C420" s="4">
        <v>42</v>
      </c>
      <c r="D420" s="4">
        <v>10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2" t="s">
        <v>80</v>
      </c>
    </row>
    <row r="421" spans="1:10" x14ac:dyDescent="0.2">
      <c r="A421" s="4">
        <v>6.67</v>
      </c>
      <c r="B421" s="4">
        <v>12</v>
      </c>
      <c r="C421" s="4">
        <v>35</v>
      </c>
      <c r="D421" s="4">
        <v>10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2" t="s">
        <v>80</v>
      </c>
    </row>
    <row r="422" spans="1:10" x14ac:dyDescent="0.2">
      <c r="A422" s="4">
        <v>4.5</v>
      </c>
      <c r="B422" s="4">
        <v>16</v>
      </c>
      <c r="C422" s="4">
        <v>21</v>
      </c>
      <c r="D422" s="4">
        <v>10</v>
      </c>
      <c r="E422" s="4">
        <v>0</v>
      </c>
      <c r="F422" s="4">
        <v>1</v>
      </c>
      <c r="G422" s="4">
        <v>1</v>
      </c>
      <c r="H422" s="4">
        <v>0</v>
      </c>
      <c r="I422" s="4">
        <v>0</v>
      </c>
      <c r="J422" s="2" t="s">
        <v>80</v>
      </c>
    </row>
    <row r="423" spans="1:10" x14ac:dyDescent="0.2">
      <c r="A423" s="4">
        <v>6.8</v>
      </c>
      <c r="B423" s="4">
        <v>12</v>
      </c>
      <c r="C423" s="4">
        <v>14</v>
      </c>
      <c r="D423" s="4">
        <v>10</v>
      </c>
      <c r="E423" s="4">
        <v>0</v>
      </c>
      <c r="F423" s="4">
        <v>1</v>
      </c>
      <c r="G423" s="4">
        <v>1</v>
      </c>
      <c r="H423" s="4">
        <v>0</v>
      </c>
      <c r="I423" s="4">
        <v>0</v>
      </c>
      <c r="J423" s="2" t="s">
        <v>80</v>
      </c>
    </row>
    <row r="424" spans="1:10" x14ac:dyDescent="0.2">
      <c r="A424" s="4">
        <v>3</v>
      </c>
      <c r="B424" s="4">
        <v>12</v>
      </c>
      <c r="C424" s="4">
        <v>26</v>
      </c>
      <c r="D424" s="4">
        <v>9</v>
      </c>
      <c r="E424" s="4">
        <v>1</v>
      </c>
      <c r="F424" s="4">
        <v>1</v>
      </c>
      <c r="G424" s="4">
        <v>1</v>
      </c>
      <c r="H424" s="4">
        <v>0</v>
      </c>
      <c r="I424" s="4">
        <v>0</v>
      </c>
      <c r="J424" s="2" t="s">
        <v>80</v>
      </c>
    </row>
    <row r="425" spans="1:10" x14ac:dyDescent="0.2">
      <c r="A425" s="4">
        <v>6.22</v>
      </c>
      <c r="B425" s="4">
        <v>12</v>
      </c>
      <c r="C425" s="4">
        <v>19</v>
      </c>
      <c r="D425" s="4">
        <v>9</v>
      </c>
      <c r="E425" s="4">
        <v>1</v>
      </c>
      <c r="F425" s="4">
        <v>1</v>
      </c>
      <c r="G425" s="4">
        <v>0</v>
      </c>
      <c r="H425" s="4">
        <v>0</v>
      </c>
      <c r="I425" s="4">
        <v>0</v>
      </c>
      <c r="J425" s="2" t="s">
        <v>80</v>
      </c>
    </row>
    <row r="426" spans="1:10" x14ac:dyDescent="0.2">
      <c r="A426" s="4">
        <v>5.95</v>
      </c>
      <c r="B426" s="4">
        <v>11</v>
      </c>
      <c r="C426" s="4">
        <v>15</v>
      </c>
      <c r="D426" s="4">
        <v>9</v>
      </c>
      <c r="E426" s="4">
        <v>0</v>
      </c>
      <c r="F426" s="4">
        <v>1</v>
      </c>
      <c r="G426" s="4">
        <v>1</v>
      </c>
      <c r="H426" s="4">
        <v>0</v>
      </c>
      <c r="I426" s="4">
        <v>1</v>
      </c>
      <c r="J426" s="2" t="s">
        <v>80</v>
      </c>
    </row>
    <row r="427" spans="1:10" x14ac:dyDescent="0.2">
      <c r="A427" s="4">
        <v>14.38</v>
      </c>
      <c r="B427" s="4">
        <v>17</v>
      </c>
      <c r="C427" s="4">
        <v>10</v>
      </c>
      <c r="D427" s="4">
        <v>9</v>
      </c>
      <c r="E427" s="4">
        <v>0</v>
      </c>
      <c r="F427" s="4">
        <v>1</v>
      </c>
      <c r="G427" s="4">
        <v>1</v>
      </c>
      <c r="H427" s="4">
        <v>0</v>
      </c>
      <c r="I427" s="4">
        <v>0</v>
      </c>
      <c r="J427" s="2" t="s">
        <v>80</v>
      </c>
    </row>
    <row r="428" spans="1:10" x14ac:dyDescent="0.2">
      <c r="A428" s="4">
        <v>4.5</v>
      </c>
      <c r="B428" s="4">
        <v>11</v>
      </c>
      <c r="C428" s="4">
        <v>3</v>
      </c>
      <c r="D428" s="4">
        <v>9</v>
      </c>
      <c r="E428" s="4">
        <v>0</v>
      </c>
      <c r="F428" s="4">
        <v>0</v>
      </c>
      <c r="G428" s="4">
        <v>1</v>
      </c>
      <c r="H428" s="4">
        <v>0</v>
      </c>
      <c r="I428" s="4">
        <v>1</v>
      </c>
      <c r="J428" s="2" t="s">
        <v>80</v>
      </c>
    </row>
    <row r="429" spans="1:10" x14ac:dyDescent="0.2">
      <c r="A429" s="4">
        <v>6</v>
      </c>
      <c r="B429" s="4">
        <v>11</v>
      </c>
      <c r="C429" s="4">
        <v>37</v>
      </c>
      <c r="D429" s="4">
        <v>8</v>
      </c>
      <c r="E429" s="4">
        <v>1</v>
      </c>
      <c r="F429" s="4">
        <v>0</v>
      </c>
      <c r="G429" s="4">
        <v>0</v>
      </c>
      <c r="H429" s="4">
        <v>1</v>
      </c>
      <c r="I429" s="4">
        <v>0</v>
      </c>
      <c r="J429" s="2" t="s">
        <v>80</v>
      </c>
    </row>
    <row r="430" spans="1:10" x14ac:dyDescent="0.2">
      <c r="A430" s="4">
        <v>6</v>
      </c>
      <c r="B430" s="4">
        <v>12</v>
      </c>
      <c r="C430" s="4">
        <v>22</v>
      </c>
      <c r="D430" s="4">
        <v>8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2" t="s">
        <v>80</v>
      </c>
    </row>
    <row r="431" spans="1:10" x14ac:dyDescent="0.2">
      <c r="A431" s="4">
        <v>5.6</v>
      </c>
      <c r="B431" s="4">
        <v>11</v>
      </c>
      <c r="C431" s="4">
        <v>11</v>
      </c>
      <c r="D431" s="4">
        <v>8</v>
      </c>
      <c r="E431" s="4">
        <v>0</v>
      </c>
      <c r="F431" s="4">
        <v>1</v>
      </c>
      <c r="G431" s="4">
        <v>1</v>
      </c>
      <c r="H431" s="4">
        <v>0</v>
      </c>
      <c r="I431" s="4">
        <v>0</v>
      </c>
      <c r="J431" s="2" t="s">
        <v>80</v>
      </c>
    </row>
    <row r="432" spans="1:10" x14ac:dyDescent="0.2">
      <c r="A432" s="4">
        <v>2.9</v>
      </c>
      <c r="B432" s="4">
        <v>6</v>
      </c>
      <c r="C432" s="9">
        <v>43.93</v>
      </c>
      <c r="D432" s="4">
        <v>7</v>
      </c>
      <c r="E432" s="4">
        <v>0</v>
      </c>
      <c r="F432" s="4">
        <v>1</v>
      </c>
      <c r="G432" s="4">
        <v>1</v>
      </c>
      <c r="H432" s="4">
        <v>0</v>
      </c>
      <c r="I432" s="4">
        <v>0</v>
      </c>
      <c r="J432" s="2" t="s">
        <v>80</v>
      </c>
    </row>
    <row r="433" spans="1:10" x14ac:dyDescent="0.2">
      <c r="A433" s="4">
        <v>5.25</v>
      </c>
      <c r="B433" s="4">
        <v>10</v>
      </c>
      <c r="C433" s="9">
        <v>43.93</v>
      </c>
      <c r="D433" s="4">
        <v>7</v>
      </c>
      <c r="E433" s="4">
        <v>0</v>
      </c>
      <c r="F433" s="4">
        <v>1</v>
      </c>
      <c r="G433" s="4">
        <v>0</v>
      </c>
      <c r="H433" s="4">
        <v>0</v>
      </c>
      <c r="I433" s="4">
        <v>0</v>
      </c>
      <c r="J433" s="2" t="s">
        <v>80</v>
      </c>
    </row>
    <row r="434" spans="1:10" x14ac:dyDescent="0.2">
      <c r="A434" s="4">
        <v>18</v>
      </c>
      <c r="B434" s="4">
        <v>16</v>
      </c>
      <c r="C434" s="4">
        <v>16</v>
      </c>
      <c r="D434" s="4">
        <v>7</v>
      </c>
      <c r="E434" s="4">
        <v>0</v>
      </c>
      <c r="F434" s="4">
        <v>1</v>
      </c>
      <c r="G434" s="4">
        <v>0</v>
      </c>
      <c r="H434" s="4">
        <v>0</v>
      </c>
      <c r="I434" s="4">
        <v>0</v>
      </c>
      <c r="J434" s="2" t="s">
        <v>80</v>
      </c>
    </row>
    <row r="435" spans="1:10" x14ac:dyDescent="0.2">
      <c r="A435" s="4">
        <v>14.58</v>
      </c>
      <c r="B435" s="4">
        <v>18</v>
      </c>
      <c r="C435" s="4">
        <v>13</v>
      </c>
      <c r="D435" s="4">
        <v>7</v>
      </c>
      <c r="E435" s="4">
        <v>1</v>
      </c>
      <c r="F435" s="4">
        <v>0</v>
      </c>
      <c r="G435" s="4">
        <v>0</v>
      </c>
      <c r="H435" s="4">
        <v>0</v>
      </c>
      <c r="I435" s="4">
        <v>0</v>
      </c>
      <c r="J435" s="2" t="s">
        <v>80</v>
      </c>
    </row>
    <row r="436" spans="1:10" x14ac:dyDescent="0.2">
      <c r="A436" s="4">
        <v>3.95</v>
      </c>
      <c r="B436" s="4">
        <v>6</v>
      </c>
      <c r="C436" s="9">
        <v>43.93</v>
      </c>
      <c r="D436" s="4">
        <v>6</v>
      </c>
      <c r="E436" s="4">
        <v>0</v>
      </c>
      <c r="F436" s="4">
        <v>1</v>
      </c>
      <c r="G436" s="4">
        <v>1</v>
      </c>
      <c r="H436" s="4">
        <v>0</v>
      </c>
      <c r="I436" s="4">
        <v>0</v>
      </c>
      <c r="J436" s="2" t="s">
        <v>80</v>
      </c>
    </row>
    <row r="437" spans="1:10" x14ac:dyDescent="0.2">
      <c r="A437" s="4">
        <v>10.63</v>
      </c>
      <c r="B437" s="4">
        <v>12</v>
      </c>
      <c r="C437" s="4">
        <v>36</v>
      </c>
      <c r="D437" s="4">
        <v>6</v>
      </c>
      <c r="E437" s="4">
        <v>1</v>
      </c>
      <c r="F437" s="4">
        <v>1</v>
      </c>
      <c r="G437" s="4">
        <v>0</v>
      </c>
      <c r="H437" s="4">
        <v>1</v>
      </c>
      <c r="I437" s="4">
        <v>0</v>
      </c>
      <c r="J437" s="2" t="s">
        <v>80</v>
      </c>
    </row>
    <row r="438" spans="1:10" x14ac:dyDescent="0.2">
      <c r="A438" s="4">
        <v>2</v>
      </c>
      <c r="B438" s="4">
        <v>13</v>
      </c>
      <c r="C438" s="4">
        <v>2</v>
      </c>
      <c r="D438" s="4">
        <v>6</v>
      </c>
      <c r="E438" s="4">
        <v>1</v>
      </c>
      <c r="F438" s="4">
        <v>0</v>
      </c>
      <c r="G438" s="4">
        <v>0</v>
      </c>
      <c r="H438" s="4">
        <v>0</v>
      </c>
      <c r="I438" s="4">
        <v>0</v>
      </c>
      <c r="J438" s="2" t="s">
        <v>80</v>
      </c>
    </row>
    <row r="439" spans="1:10" x14ac:dyDescent="0.2">
      <c r="A439" s="4">
        <v>10.92</v>
      </c>
      <c r="B439" s="4">
        <v>12</v>
      </c>
      <c r="C439" s="4">
        <v>34</v>
      </c>
      <c r="D439" s="4">
        <v>5</v>
      </c>
      <c r="E439" s="4">
        <v>0</v>
      </c>
      <c r="F439" s="4">
        <v>1</v>
      </c>
      <c r="G439" s="4">
        <v>1</v>
      </c>
      <c r="H439" s="4">
        <v>0</v>
      </c>
      <c r="I439" s="4">
        <v>0</v>
      </c>
      <c r="J439" s="2" t="s">
        <v>80</v>
      </c>
    </row>
    <row r="440" spans="1:10" x14ac:dyDescent="0.2">
      <c r="A440" s="4">
        <v>10</v>
      </c>
      <c r="B440" s="4">
        <v>12</v>
      </c>
      <c r="C440" s="4">
        <v>20</v>
      </c>
      <c r="D440" s="4">
        <v>5</v>
      </c>
      <c r="E440" s="4">
        <v>1</v>
      </c>
      <c r="F440" s="4">
        <v>1</v>
      </c>
      <c r="G440" s="4">
        <v>0</v>
      </c>
      <c r="H440" s="4">
        <v>1</v>
      </c>
      <c r="I440" s="4">
        <v>0</v>
      </c>
      <c r="J440" s="2" t="s">
        <v>80</v>
      </c>
    </row>
    <row r="441" spans="1:10" x14ac:dyDescent="0.2">
      <c r="A441" s="4">
        <v>7.5</v>
      </c>
      <c r="B441" s="4">
        <v>12</v>
      </c>
      <c r="C441" s="4">
        <v>18</v>
      </c>
      <c r="D441" s="4">
        <v>5</v>
      </c>
      <c r="E441" s="4">
        <v>0</v>
      </c>
      <c r="F441" s="4">
        <v>1</v>
      </c>
      <c r="G441" s="4">
        <v>0</v>
      </c>
      <c r="H441" s="4">
        <v>1</v>
      </c>
      <c r="I441" s="4">
        <v>0</v>
      </c>
      <c r="J441" s="2" t="s">
        <v>80</v>
      </c>
    </row>
    <row r="442" spans="1:10" x14ac:dyDescent="0.2">
      <c r="A442" s="4">
        <v>7.25</v>
      </c>
      <c r="B442" s="4">
        <v>12</v>
      </c>
      <c r="C442" s="4">
        <v>14</v>
      </c>
      <c r="D442" s="4">
        <v>5</v>
      </c>
      <c r="E442" s="4">
        <v>0</v>
      </c>
      <c r="F442" s="4">
        <v>1</v>
      </c>
      <c r="G442" s="4">
        <v>0</v>
      </c>
      <c r="H442" s="4">
        <v>1</v>
      </c>
      <c r="I442" s="4">
        <v>0</v>
      </c>
      <c r="J442" s="2" t="s">
        <v>80</v>
      </c>
    </row>
    <row r="443" spans="1:10" x14ac:dyDescent="0.2">
      <c r="A443" s="4">
        <v>3.45</v>
      </c>
      <c r="B443" s="4">
        <v>12</v>
      </c>
      <c r="C443" s="4">
        <v>6</v>
      </c>
      <c r="D443" s="4">
        <v>5</v>
      </c>
      <c r="E443" s="4">
        <v>1</v>
      </c>
      <c r="F443" s="4">
        <v>1</v>
      </c>
      <c r="G443" s="4">
        <v>1</v>
      </c>
      <c r="H443" s="4">
        <v>0</v>
      </c>
      <c r="I443" s="4">
        <v>0</v>
      </c>
      <c r="J443" s="2" t="s">
        <v>80</v>
      </c>
    </row>
    <row r="444" spans="1:10" x14ac:dyDescent="0.2">
      <c r="A444" s="4">
        <v>3.6</v>
      </c>
      <c r="B444" s="4">
        <v>12</v>
      </c>
      <c r="C444" s="4">
        <v>26</v>
      </c>
      <c r="D444" s="4">
        <v>4</v>
      </c>
      <c r="E444" s="4">
        <v>1</v>
      </c>
      <c r="F444" s="4">
        <v>0</v>
      </c>
      <c r="G444" s="4">
        <v>0</v>
      </c>
      <c r="H444" s="4">
        <v>1</v>
      </c>
      <c r="I444" s="4">
        <v>0</v>
      </c>
      <c r="J444" s="2" t="s">
        <v>80</v>
      </c>
    </row>
    <row r="445" spans="1:10" x14ac:dyDescent="0.2">
      <c r="A445" s="4">
        <v>8</v>
      </c>
      <c r="B445" s="4">
        <v>16</v>
      </c>
      <c r="C445" s="4">
        <v>23</v>
      </c>
      <c r="D445" s="4">
        <v>4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2" t="s">
        <v>80</v>
      </c>
    </row>
    <row r="446" spans="1:10" x14ac:dyDescent="0.2">
      <c r="A446" s="4">
        <v>5.5</v>
      </c>
      <c r="B446" s="4">
        <v>12</v>
      </c>
      <c r="C446" s="4">
        <v>9</v>
      </c>
      <c r="D446" s="4">
        <v>4</v>
      </c>
      <c r="E446" s="4">
        <v>0</v>
      </c>
      <c r="F446" s="4">
        <v>1</v>
      </c>
      <c r="G446" s="4">
        <v>1</v>
      </c>
      <c r="H446" s="4">
        <v>0</v>
      </c>
      <c r="I446" s="4">
        <v>0</v>
      </c>
      <c r="J446" s="2" t="s">
        <v>80</v>
      </c>
    </row>
    <row r="447" spans="1:10" x14ac:dyDescent="0.2">
      <c r="A447" s="4">
        <v>4.05</v>
      </c>
      <c r="B447" s="4">
        <v>9</v>
      </c>
      <c r="C447" s="4">
        <v>7</v>
      </c>
      <c r="D447" s="4">
        <v>4</v>
      </c>
      <c r="E447" s="4">
        <v>1</v>
      </c>
      <c r="F447" s="4">
        <v>1</v>
      </c>
      <c r="G447" s="4">
        <v>1</v>
      </c>
      <c r="H447" s="4">
        <v>0</v>
      </c>
      <c r="I447" s="4">
        <v>0</v>
      </c>
      <c r="J447" s="2" t="s">
        <v>80</v>
      </c>
    </row>
    <row r="448" spans="1:10" x14ac:dyDescent="0.2">
      <c r="A448" s="4">
        <v>8.75</v>
      </c>
      <c r="B448" s="4">
        <v>12</v>
      </c>
      <c r="C448" s="4">
        <v>4</v>
      </c>
      <c r="D448" s="4">
        <v>4</v>
      </c>
      <c r="E448" s="4">
        <v>0</v>
      </c>
      <c r="F448" s="4">
        <v>1</v>
      </c>
      <c r="G448" s="4">
        <v>1</v>
      </c>
      <c r="H448" s="4">
        <v>0</v>
      </c>
      <c r="I448" s="4">
        <v>0</v>
      </c>
      <c r="J448" s="2" t="s">
        <v>80</v>
      </c>
    </row>
    <row r="449" spans="1:10" x14ac:dyDescent="0.2">
      <c r="A449" s="4">
        <v>2.17</v>
      </c>
      <c r="B449" s="4">
        <v>13</v>
      </c>
      <c r="C449" s="4">
        <v>1</v>
      </c>
      <c r="D449" s="4">
        <v>4</v>
      </c>
      <c r="E449" s="4">
        <v>1</v>
      </c>
      <c r="F449" s="4">
        <v>0</v>
      </c>
      <c r="G449" s="4">
        <v>0</v>
      </c>
      <c r="H449" s="4">
        <v>0</v>
      </c>
      <c r="I449" s="4">
        <v>0</v>
      </c>
      <c r="J449" s="2" t="s">
        <v>80</v>
      </c>
    </row>
    <row r="450" spans="1:10" x14ac:dyDescent="0.2">
      <c r="A450" s="4">
        <v>11.1</v>
      </c>
      <c r="B450" s="4">
        <v>15</v>
      </c>
      <c r="C450" s="4">
        <v>1</v>
      </c>
      <c r="D450" s="4">
        <v>4</v>
      </c>
      <c r="E450" s="4">
        <v>1</v>
      </c>
      <c r="F450" s="4">
        <v>0</v>
      </c>
      <c r="G450" s="4">
        <v>1</v>
      </c>
      <c r="H450" s="4">
        <v>0</v>
      </c>
      <c r="I450" s="4">
        <v>0</v>
      </c>
      <c r="J450" s="2" t="s">
        <v>80</v>
      </c>
    </row>
    <row r="451" spans="1:10" x14ac:dyDescent="0.2">
      <c r="A451" s="4">
        <v>1.96</v>
      </c>
      <c r="B451" s="4">
        <v>11</v>
      </c>
      <c r="C451" s="4">
        <v>38</v>
      </c>
      <c r="D451" s="4">
        <v>3</v>
      </c>
      <c r="E451" s="4">
        <v>1</v>
      </c>
      <c r="F451" s="4">
        <v>0</v>
      </c>
      <c r="G451" s="4">
        <v>1</v>
      </c>
      <c r="H451" s="4">
        <v>0</v>
      </c>
      <c r="I451" s="4">
        <v>0</v>
      </c>
      <c r="J451" s="2" t="s">
        <v>80</v>
      </c>
    </row>
    <row r="452" spans="1:10" x14ac:dyDescent="0.2">
      <c r="A452" s="4">
        <v>7</v>
      </c>
      <c r="B452" s="4">
        <v>16</v>
      </c>
      <c r="C452" s="4">
        <v>26</v>
      </c>
      <c r="D452" s="4">
        <v>3</v>
      </c>
      <c r="E452" s="4">
        <v>1</v>
      </c>
      <c r="F452" s="4">
        <v>1</v>
      </c>
      <c r="G452" s="4">
        <v>1</v>
      </c>
      <c r="H452" s="4">
        <v>0</v>
      </c>
      <c r="I452" s="4">
        <v>0</v>
      </c>
      <c r="J452" s="2" t="s">
        <v>80</v>
      </c>
    </row>
    <row r="453" spans="1:10" x14ac:dyDescent="0.2">
      <c r="A453" s="4">
        <v>4</v>
      </c>
      <c r="B453" s="4">
        <v>12</v>
      </c>
      <c r="C453" s="4">
        <v>22</v>
      </c>
      <c r="D453" s="4">
        <v>3</v>
      </c>
      <c r="E453" s="4">
        <v>0</v>
      </c>
      <c r="F453" s="4">
        <v>1</v>
      </c>
      <c r="G453" s="4">
        <v>1</v>
      </c>
      <c r="H453" s="4">
        <v>0</v>
      </c>
      <c r="I453" s="4">
        <v>0</v>
      </c>
      <c r="J453" s="2" t="s">
        <v>80</v>
      </c>
    </row>
    <row r="454" spans="1:10" x14ac:dyDescent="0.2">
      <c r="A454" s="4">
        <v>5.5</v>
      </c>
      <c r="B454" s="4">
        <v>12</v>
      </c>
      <c r="C454" s="4">
        <v>18</v>
      </c>
      <c r="D454" s="4">
        <v>3</v>
      </c>
      <c r="E454" s="4">
        <v>0</v>
      </c>
      <c r="F454" s="4">
        <v>0</v>
      </c>
      <c r="G454" s="4">
        <v>0</v>
      </c>
      <c r="H454" s="4">
        <v>1</v>
      </c>
      <c r="I454" s="4">
        <v>0</v>
      </c>
      <c r="J454" s="2" t="s">
        <v>80</v>
      </c>
    </row>
    <row r="455" spans="1:10" x14ac:dyDescent="0.2">
      <c r="A455" s="4">
        <v>3.91</v>
      </c>
      <c r="B455" s="4">
        <v>18</v>
      </c>
      <c r="C455" s="4">
        <v>17</v>
      </c>
      <c r="D455" s="4">
        <v>3</v>
      </c>
      <c r="E455" s="4">
        <v>0</v>
      </c>
      <c r="F455" s="4">
        <v>1</v>
      </c>
      <c r="G455" s="4">
        <v>1</v>
      </c>
      <c r="H455" s="4">
        <v>0</v>
      </c>
      <c r="I455" s="4">
        <v>0</v>
      </c>
      <c r="J455" s="2" t="s">
        <v>80</v>
      </c>
    </row>
    <row r="456" spans="1:10" x14ac:dyDescent="0.2">
      <c r="A456" s="4">
        <v>6.43</v>
      </c>
      <c r="B456" s="4">
        <v>16</v>
      </c>
      <c r="C456" s="4">
        <v>17</v>
      </c>
      <c r="D456" s="4">
        <v>3</v>
      </c>
      <c r="E456" s="4">
        <v>1</v>
      </c>
      <c r="F456" s="4">
        <v>1</v>
      </c>
      <c r="G456" s="4">
        <v>1</v>
      </c>
      <c r="H456" s="4">
        <v>0</v>
      </c>
      <c r="I456" s="4">
        <v>0</v>
      </c>
      <c r="J456" s="2" t="s">
        <v>80</v>
      </c>
    </row>
    <row r="457" spans="1:10" x14ac:dyDescent="0.2">
      <c r="A457" s="4">
        <v>8</v>
      </c>
      <c r="B457" s="4">
        <v>12</v>
      </c>
      <c r="C457" s="4">
        <v>12</v>
      </c>
      <c r="D457" s="4">
        <v>3</v>
      </c>
      <c r="E457" s="4">
        <v>1</v>
      </c>
      <c r="F457" s="4">
        <v>0</v>
      </c>
      <c r="G457" s="4">
        <v>1</v>
      </c>
      <c r="H457" s="4">
        <v>0</v>
      </c>
      <c r="I457" s="4">
        <v>0</v>
      </c>
      <c r="J457" s="2" t="s">
        <v>80</v>
      </c>
    </row>
    <row r="458" spans="1:10" x14ac:dyDescent="0.2">
      <c r="A458" s="4">
        <v>6.85</v>
      </c>
      <c r="B458" s="4">
        <v>15</v>
      </c>
      <c r="C458" s="4">
        <v>11</v>
      </c>
      <c r="D458" s="4">
        <v>3</v>
      </c>
      <c r="E458" s="4">
        <v>1</v>
      </c>
      <c r="F458" s="4">
        <v>1</v>
      </c>
      <c r="G458" s="4">
        <v>0</v>
      </c>
      <c r="H458" s="4">
        <v>0</v>
      </c>
      <c r="I458" s="4">
        <v>0</v>
      </c>
      <c r="J458" s="2" t="s">
        <v>80</v>
      </c>
    </row>
    <row r="459" spans="1:10" x14ac:dyDescent="0.2">
      <c r="A459" s="4">
        <v>8.75</v>
      </c>
      <c r="B459" s="4">
        <v>14</v>
      </c>
      <c r="C459" s="4">
        <v>9</v>
      </c>
      <c r="D459" s="4">
        <v>3</v>
      </c>
      <c r="E459" s="4">
        <v>0</v>
      </c>
      <c r="F459" s="4">
        <v>1</v>
      </c>
      <c r="G459" s="4">
        <v>0</v>
      </c>
      <c r="H459" s="4">
        <v>0</v>
      </c>
      <c r="I459" s="4">
        <v>0</v>
      </c>
      <c r="J459" s="2" t="s">
        <v>80</v>
      </c>
    </row>
    <row r="460" spans="1:10" x14ac:dyDescent="0.2">
      <c r="A460" s="4">
        <v>6.18</v>
      </c>
      <c r="B460" s="4">
        <v>14</v>
      </c>
      <c r="C460" s="4">
        <v>9</v>
      </c>
      <c r="D460" s="4">
        <v>3</v>
      </c>
      <c r="E460" s="4">
        <v>1</v>
      </c>
      <c r="F460" s="4">
        <v>1</v>
      </c>
      <c r="G460" s="4">
        <v>0</v>
      </c>
      <c r="H460" s="4">
        <v>0</v>
      </c>
      <c r="I460" s="4">
        <v>0</v>
      </c>
      <c r="J460" s="2" t="s">
        <v>80</v>
      </c>
    </row>
    <row r="461" spans="1:10" x14ac:dyDescent="0.2">
      <c r="A461" s="4">
        <v>3.75</v>
      </c>
      <c r="B461" s="4">
        <v>12</v>
      </c>
      <c r="C461" s="4">
        <v>39</v>
      </c>
      <c r="D461" s="4">
        <v>2</v>
      </c>
      <c r="E461" s="4">
        <v>1</v>
      </c>
      <c r="F461" s="4">
        <v>1</v>
      </c>
      <c r="G461" s="4">
        <v>0</v>
      </c>
      <c r="H461" s="4">
        <v>0</v>
      </c>
      <c r="I461" s="4">
        <v>0</v>
      </c>
      <c r="J461" s="2" t="s">
        <v>80</v>
      </c>
    </row>
    <row r="462" spans="1:10" x14ac:dyDescent="0.2">
      <c r="A462" s="4">
        <v>2.93</v>
      </c>
      <c r="B462" s="4">
        <v>12</v>
      </c>
      <c r="C462" s="4">
        <v>36</v>
      </c>
      <c r="D462" s="4">
        <v>2</v>
      </c>
      <c r="E462" s="4">
        <v>1</v>
      </c>
      <c r="F462" s="4">
        <v>1</v>
      </c>
      <c r="G462" s="4">
        <v>0</v>
      </c>
      <c r="H462" s="4">
        <v>1</v>
      </c>
      <c r="I462" s="4">
        <v>0</v>
      </c>
      <c r="J462" s="2" t="s">
        <v>80</v>
      </c>
    </row>
    <row r="463" spans="1:10" x14ac:dyDescent="0.2">
      <c r="A463" s="4">
        <v>3</v>
      </c>
      <c r="B463" s="4">
        <v>8</v>
      </c>
      <c r="C463" s="4">
        <v>33</v>
      </c>
      <c r="D463" s="4">
        <v>2</v>
      </c>
      <c r="E463" s="4">
        <v>0</v>
      </c>
      <c r="F463" s="4">
        <v>1</v>
      </c>
      <c r="G463" s="4">
        <v>1</v>
      </c>
      <c r="H463" s="4">
        <v>0</v>
      </c>
      <c r="I463" s="4">
        <v>0</v>
      </c>
      <c r="J463" s="2" t="s">
        <v>80</v>
      </c>
    </row>
    <row r="464" spans="1:10" x14ac:dyDescent="0.2">
      <c r="A464" s="4">
        <v>10</v>
      </c>
      <c r="B464" s="4">
        <v>12</v>
      </c>
      <c r="C464" s="4">
        <v>31</v>
      </c>
      <c r="D464" s="4">
        <v>2</v>
      </c>
      <c r="E464" s="4">
        <v>0</v>
      </c>
      <c r="F464" s="4">
        <v>1</v>
      </c>
      <c r="G464" s="4">
        <v>1</v>
      </c>
      <c r="H464" s="4">
        <v>0</v>
      </c>
      <c r="I464" s="4">
        <v>0</v>
      </c>
      <c r="J464" s="2" t="s">
        <v>80</v>
      </c>
    </row>
    <row r="465" spans="1:10" x14ac:dyDescent="0.2">
      <c r="A465" s="4">
        <v>6.25</v>
      </c>
      <c r="B465" s="4">
        <v>16</v>
      </c>
      <c r="C465" s="4">
        <v>24</v>
      </c>
      <c r="D465" s="4">
        <v>2</v>
      </c>
      <c r="E465" s="4">
        <v>1</v>
      </c>
      <c r="F465" s="4">
        <v>1</v>
      </c>
      <c r="G465" s="4">
        <v>0</v>
      </c>
      <c r="H465" s="4">
        <v>1</v>
      </c>
      <c r="I465" s="4">
        <v>0</v>
      </c>
      <c r="J465" s="2" t="s">
        <v>80</v>
      </c>
    </row>
    <row r="466" spans="1:10" x14ac:dyDescent="0.2">
      <c r="A466" s="4">
        <v>3.28</v>
      </c>
      <c r="B466" s="4">
        <v>12</v>
      </c>
      <c r="C466" s="4">
        <v>17</v>
      </c>
      <c r="D466" s="4">
        <v>2</v>
      </c>
      <c r="E466" s="4">
        <v>1</v>
      </c>
      <c r="F466" s="4">
        <v>0</v>
      </c>
      <c r="G466" s="4">
        <v>1</v>
      </c>
      <c r="H466" s="4">
        <v>0</v>
      </c>
      <c r="I466" s="4">
        <v>0</v>
      </c>
      <c r="J466" s="2" t="s">
        <v>80</v>
      </c>
    </row>
    <row r="467" spans="1:10" x14ac:dyDescent="0.2">
      <c r="A467" s="4">
        <v>9.0500000000000007</v>
      </c>
      <c r="B467" s="4">
        <v>12</v>
      </c>
      <c r="C467" s="4">
        <v>10</v>
      </c>
      <c r="D467" s="4">
        <v>2</v>
      </c>
      <c r="E467" s="4">
        <v>0</v>
      </c>
      <c r="F467" s="4">
        <v>1</v>
      </c>
      <c r="G467" s="4">
        <v>0</v>
      </c>
      <c r="H467" s="4">
        <v>0</v>
      </c>
      <c r="I467" s="4">
        <v>1</v>
      </c>
      <c r="J467" s="2" t="s">
        <v>80</v>
      </c>
    </row>
    <row r="468" spans="1:10" x14ac:dyDescent="0.2">
      <c r="A468" s="4">
        <v>12.22</v>
      </c>
      <c r="B468" s="4">
        <v>16</v>
      </c>
      <c r="C468" s="4">
        <v>10</v>
      </c>
      <c r="D468" s="4">
        <v>2</v>
      </c>
      <c r="E468" s="4">
        <v>0</v>
      </c>
      <c r="F468" s="4">
        <v>0</v>
      </c>
      <c r="G468" s="4">
        <v>1</v>
      </c>
      <c r="H468" s="4">
        <v>0</v>
      </c>
      <c r="I468" s="4">
        <v>0</v>
      </c>
      <c r="J468" s="2" t="s">
        <v>80</v>
      </c>
    </row>
    <row r="469" spans="1:10" x14ac:dyDescent="0.2">
      <c r="A469" s="4">
        <v>5.71</v>
      </c>
      <c r="B469" s="4">
        <v>13</v>
      </c>
      <c r="C469" s="4">
        <v>10</v>
      </c>
      <c r="D469" s="4">
        <v>2</v>
      </c>
      <c r="E469" s="4">
        <v>1</v>
      </c>
      <c r="F469" s="4">
        <v>1</v>
      </c>
      <c r="G469" s="4">
        <v>0</v>
      </c>
      <c r="H469" s="4">
        <v>0</v>
      </c>
      <c r="I469" s="4">
        <v>0</v>
      </c>
      <c r="J469" s="2" t="s">
        <v>80</v>
      </c>
    </row>
    <row r="470" spans="1:10" x14ac:dyDescent="0.2">
      <c r="A470" s="4">
        <v>3.65</v>
      </c>
      <c r="B470" s="4">
        <v>14</v>
      </c>
      <c r="C470" s="4">
        <v>9</v>
      </c>
      <c r="D470" s="4">
        <v>2</v>
      </c>
      <c r="E470" s="4">
        <v>0</v>
      </c>
      <c r="F470" s="4">
        <v>0</v>
      </c>
      <c r="G470" s="4">
        <v>0</v>
      </c>
      <c r="H470" s="4">
        <v>1</v>
      </c>
      <c r="I470" s="4">
        <v>0</v>
      </c>
      <c r="J470" s="2" t="s">
        <v>80</v>
      </c>
    </row>
    <row r="471" spans="1:10" x14ac:dyDescent="0.2">
      <c r="A471" s="4">
        <v>3.64</v>
      </c>
      <c r="B471" s="4">
        <v>12</v>
      </c>
      <c r="C471" s="4">
        <v>7</v>
      </c>
      <c r="D471" s="4">
        <v>2</v>
      </c>
      <c r="E471" s="4">
        <v>0</v>
      </c>
      <c r="F471" s="4">
        <v>0</v>
      </c>
      <c r="G471" s="4">
        <v>1</v>
      </c>
      <c r="H471" s="4">
        <v>0</v>
      </c>
      <c r="I471" s="4">
        <v>0</v>
      </c>
      <c r="J471" s="2" t="s">
        <v>80</v>
      </c>
    </row>
    <row r="472" spans="1:10" x14ac:dyDescent="0.2">
      <c r="A472" s="4">
        <v>4</v>
      </c>
      <c r="B472" s="4">
        <v>12</v>
      </c>
      <c r="C472" s="4">
        <v>5</v>
      </c>
      <c r="D472" s="4">
        <v>2</v>
      </c>
      <c r="E472" s="4">
        <v>0</v>
      </c>
      <c r="F472" s="4">
        <v>1</v>
      </c>
      <c r="G472" s="4">
        <v>1</v>
      </c>
      <c r="H472" s="4">
        <v>0</v>
      </c>
      <c r="I472" s="4">
        <v>1</v>
      </c>
      <c r="J472" s="2" t="s">
        <v>80</v>
      </c>
    </row>
    <row r="473" spans="1:10" x14ac:dyDescent="0.2">
      <c r="A473" s="4">
        <v>2</v>
      </c>
      <c r="B473" s="4">
        <v>12</v>
      </c>
      <c r="C473" s="4">
        <v>3</v>
      </c>
      <c r="D473" s="4">
        <v>2</v>
      </c>
      <c r="E473" s="4">
        <v>1</v>
      </c>
      <c r="F473" s="4">
        <v>0</v>
      </c>
      <c r="G473" s="4">
        <v>0</v>
      </c>
      <c r="H473" s="4">
        <v>0</v>
      </c>
      <c r="I473" s="4">
        <v>0</v>
      </c>
      <c r="J473" s="2" t="s">
        <v>80</v>
      </c>
    </row>
    <row r="474" spans="1:10" x14ac:dyDescent="0.2">
      <c r="A474" s="4">
        <v>4.0999999999999996</v>
      </c>
      <c r="B474" s="4">
        <v>12</v>
      </c>
      <c r="C474" s="4">
        <v>3</v>
      </c>
      <c r="D474" s="4">
        <v>2</v>
      </c>
      <c r="E474" s="4">
        <v>1</v>
      </c>
      <c r="F474" s="4">
        <v>0</v>
      </c>
      <c r="G474" s="4">
        <v>0</v>
      </c>
      <c r="H474" s="4">
        <v>0</v>
      </c>
      <c r="I474" s="4">
        <v>0</v>
      </c>
      <c r="J474" s="2" t="s">
        <v>80</v>
      </c>
    </row>
    <row r="475" spans="1:10" x14ac:dyDescent="0.2">
      <c r="A475" s="4">
        <v>3</v>
      </c>
      <c r="B475" s="4">
        <v>14</v>
      </c>
      <c r="C475" s="4">
        <v>3</v>
      </c>
      <c r="D475" s="4">
        <v>2</v>
      </c>
      <c r="E475" s="4">
        <v>1</v>
      </c>
      <c r="F475" s="4">
        <v>0</v>
      </c>
      <c r="G475" s="4">
        <v>0</v>
      </c>
      <c r="H475" s="4">
        <v>0</v>
      </c>
      <c r="I475" s="4">
        <v>0</v>
      </c>
      <c r="J475" s="2" t="s">
        <v>80</v>
      </c>
    </row>
    <row r="476" spans="1:10" x14ac:dyDescent="0.2">
      <c r="A476" s="4">
        <v>9.3000000000000007</v>
      </c>
      <c r="B476" s="4">
        <v>15</v>
      </c>
      <c r="C476" s="4">
        <v>2</v>
      </c>
      <c r="D476" s="4">
        <v>2</v>
      </c>
      <c r="E476" s="4">
        <v>0</v>
      </c>
      <c r="F476" s="4">
        <v>1</v>
      </c>
      <c r="G476" s="4">
        <v>1</v>
      </c>
      <c r="H476" s="4">
        <v>0</v>
      </c>
      <c r="I476" s="4">
        <v>0</v>
      </c>
      <c r="J476" s="2" t="s">
        <v>80</v>
      </c>
    </row>
    <row r="477" spans="1:10" x14ac:dyDescent="0.2">
      <c r="A477" s="4">
        <v>2.91</v>
      </c>
      <c r="B477" s="4">
        <v>11</v>
      </c>
      <c r="C477" s="4">
        <v>2</v>
      </c>
      <c r="D477" s="4">
        <v>2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2" t="s">
        <v>80</v>
      </c>
    </row>
    <row r="478" spans="1:10" x14ac:dyDescent="0.2">
      <c r="A478" s="4">
        <v>3.1</v>
      </c>
      <c r="B478" s="4">
        <v>12</v>
      </c>
      <c r="C478" s="4">
        <v>2</v>
      </c>
      <c r="D478" s="4">
        <v>2</v>
      </c>
      <c r="E478" s="4">
        <v>1</v>
      </c>
      <c r="F478" s="4">
        <v>0</v>
      </c>
      <c r="G478" s="4">
        <v>1</v>
      </c>
      <c r="H478" s="4">
        <v>0</v>
      </c>
      <c r="I478" s="4">
        <v>0</v>
      </c>
      <c r="J478" s="2" t="s">
        <v>80</v>
      </c>
    </row>
    <row r="479" spans="1:10" x14ac:dyDescent="0.2">
      <c r="A479" s="4">
        <v>2.75</v>
      </c>
      <c r="B479" s="4">
        <v>13</v>
      </c>
      <c r="C479" s="4">
        <v>1</v>
      </c>
      <c r="D479" s="4">
        <v>2</v>
      </c>
      <c r="E479" s="4">
        <v>1</v>
      </c>
      <c r="F479" s="4">
        <v>0</v>
      </c>
      <c r="G479" s="4">
        <v>0</v>
      </c>
      <c r="H479" s="4">
        <v>0</v>
      </c>
      <c r="I479" s="4">
        <v>0</v>
      </c>
      <c r="J479" s="2" t="s">
        <v>80</v>
      </c>
    </row>
    <row r="480" spans="1:10" x14ac:dyDescent="0.2">
      <c r="A480" s="4">
        <v>4.75</v>
      </c>
      <c r="B480" s="4">
        <v>13</v>
      </c>
      <c r="C480" s="9">
        <v>43.93</v>
      </c>
      <c r="D480" s="4">
        <v>1</v>
      </c>
      <c r="E480" s="4">
        <v>0</v>
      </c>
      <c r="F480" s="4">
        <v>1</v>
      </c>
      <c r="G480" s="4">
        <v>0</v>
      </c>
      <c r="H480" s="4">
        <v>1</v>
      </c>
      <c r="I480" s="4">
        <v>0</v>
      </c>
      <c r="J480" s="2" t="s">
        <v>80</v>
      </c>
    </row>
    <row r="481" spans="1:10" x14ac:dyDescent="0.2">
      <c r="A481" s="4">
        <v>2.9</v>
      </c>
      <c r="B481" s="4">
        <v>12</v>
      </c>
      <c r="C481" s="4">
        <v>26</v>
      </c>
      <c r="D481" s="4">
        <v>1</v>
      </c>
      <c r="E481" s="4">
        <v>1</v>
      </c>
      <c r="F481" s="4">
        <v>0</v>
      </c>
      <c r="G481" s="4">
        <v>1</v>
      </c>
      <c r="H481" s="4">
        <v>0</v>
      </c>
      <c r="I481" s="4">
        <v>0</v>
      </c>
      <c r="J481" s="2" t="s">
        <v>80</v>
      </c>
    </row>
    <row r="482" spans="1:10" x14ac:dyDescent="0.2">
      <c r="A482" s="4">
        <v>3.15</v>
      </c>
      <c r="B482" s="4">
        <v>12</v>
      </c>
      <c r="C482" s="4">
        <v>26</v>
      </c>
      <c r="D482" s="4">
        <v>1</v>
      </c>
      <c r="E482" s="4">
        <v>0</v>
      </c>
      <c r="F482" s="4">
        <v>1</v>
      </c>
      <c r="G482" s="4">
        <v>0</v>
      </c>
      <c r="H482" s="4">
        <v>0</v>
      </c>
      <c r="I482" s="4">
        <v>0</v>
      </c>
      <c r="J482" s="2" t="s">
        <v>80</v>
      </c>
    </row>
    <row r="483" spans="1:10" x14ac:dyDescent="0.2">
      <c r="A483" s="4">
        <v>8.75</v>
      </c>
      <c r="B483" s="4">
        <v>12</v>
      </c>
      <c r="C483" s="4">
        <v>24</v>
      </c>
      <c r="D483" s="4">
        <v>1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2" t="s">
        <v>80</v>
      </c>
    </row>
    <row r="484" spans="1:10" x14ac:dyDescent="0.2">
      <c r="A484" s="4">
        <v>3</v>
      </c>
      <c r="B484" s="4">
        <v>12</v>
      </c>
      <c r="C484" s="4">
        <v>11</v>
      </c>
      <c r="D484" s="4">
        <v>1</v>
      </c>
      <c r="E484" s="4">
        <v>1</v>
      </c>
      <c r="F484" s="4">
        <v>1</v>
      </c>
      <c r="G484" s="4">
        <v>0</v>
      </c>
      <c r="H484" s="4">
        <v>0</v>
      </c>
      <c r="I484" s="4">
        <v>0</v>
      </c>
      <c r="J484" s="2" t="s">
        <v>80</v>
      </c>
    </row>
    <row r="485" spans="1:10" x14ac:dyDescent="0.2">
      <c r="A485" s="4">
        <v>4</v>
      </c>
      <c r="B485" s="4">
        <v>12</v>
      </c>
      <c r="C485" s="4">
        <v>10</v>
      </c>
      <c r="D485" s="4">
        <v>1</v>
      </c>
      <c r="E485" s="4">
        <v>1</v>
      </c>
      <c r="F485" s="4">
        <v>0</v>
      </c>
      <c r="G485" s="4">
        <v>0</v>
      </c>
      <c r="H485" s="4">
        <v>0</v>
      </c>
      <c r="I485" s="4">
        <v>0</v>
      </c>
      <c r="J485" s="2" t="s">
        <v>80</v>
      </c>
    </row>
    <row r="486" spans="1:10" x14ac:dyDescent="0.2">
      <c r="A486" s="4">
        <v>3.81</v>
      </c>
      <c r="B486" s="4">
        <v>12</v>
      </c>
      <c r="C486" s="4">
        <v>8</v>
      </c>
      <c r="D486" s="4">
        <v>1</v>
      </c>
      <c r="E486" s="4">
        <v>1</v>
      </c>
      <c r="F486" s="4">
        <v>1</v>
      </c>
      <c r="G486" s="4">
        <v>0</v>
      </c>
      <c r="H486" s="4">
        <v>0</v>
      </c>
      <c r="I486" s="4">
        <v>0</v>
      </c>
      <c r="J486" s="2" t="s">
        <v>80</v>
      </c>
    </row>
    <row r="487" spans="1:10" x14ac:dyDescent="0.2">
      <c r="A487" s="4">
        <v>3.8</v>
      </c>
      <c r="B487" s="4">
        <v>15</v>
      </c>
      <c r="C487" s="4">
        <v>6</v>
      </c>
      <c r="D487" s="4">
        <v>1</v>
      </c>
      <c r="E487" s="4">
        <v>0</v>
      </c>
      <c r="F487" s="4">
        <v>1</v>
      </c>
      <c r="G487" s="4">
        <v>1</v>
      </c>
      <c r="H487" s="4">
        <v>0</v>
      </c>
      <c r="I487" s="4">
        <v>0</v>
      </c>
      <c r="J487" s="2" t="s">
        <v>80</v>
      </c>
    </row>
    <row r="488" spans="1:10" x14ac:dyDescent="0.2">
      <c r="A488" s="4">
        <v>11.56</v>
      </c>
      <c r="B488" s="4">
        <v>16</v>
      </c>
      <c r="C488" s="4">
        <v>5</v>
      </c>
      <c r="D488" s="4">
        <v>1</v>
      </c>
      <c r="E488" s="4">
        <v>0</v>
      </c>
      <c r="F488" s="4">
        <v>1</v>
      </c>
      <c r="G488" s="4">
        <v>0</v>
      </c>
      <c r="H488" s="4">
        <v>1</v>
      </c>
      <c r="I488" s="4">
        <v>0</v>
      </c>
      <c r="J488" s="2" t="s">
        <v>80</v>
      </c>
    </row>
    <row r="489" spans="1:10" x14ac:dyDescent="0.2">
      <c r="A489" s="4">
        <v>2.95</v>
      </c>
      <c r="B489" s="4">
        <v>12</v>
      </c>
      <c r="C489" s="4">
        <v>3</v>
      </c>
      <c r="D489" s="4">
        <v>1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2" t="s">
        <v>80</v>
      </c>
    </row>
    <row r="490" spans="1:10" x14ac:dyDescent="0.2">
      <c r="A490" s="4">
        <v>3.35</v>
      </c>
      <c r="B490" s="4">
        <v>15</v>
      </c>
      <c r="C490" s="4">
        <v>3</v>
      </c>
      <c r="D490" s="4">
        <v>1</v>
      </c>
      <c r="E490" s="4">
        <v>1</v>
      </c>
      <c r="F490" s="4">
        <v>1</v>
      </c>
      <c r="G490" s="4">
        <v>1</v>
      </c>
      <c r="H490" s="4">
        <v>0</v>
      </c>
      <c r="I490" s="4">
        <v>0</v>
      </c>
      <c r="J490" s="2" t="s">
        <v>80</v>
      </c>
    </row>
    <row r="491" spans="1:10" x14ac:dyDescent="0.2">
      <c r="A491" s="4">
        <v>4.6500000000000004</v>
      </c>
      <c r="B491" s="4">
        <v>16</v>
      </c>
      <c r="C491" s="4">
        <v>3</v>
      </c>
      <c r="D491" s="4">
        <v>1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2" t="s">
        <v>80</v>
      </c>
    </row>
    <row r="492" spans="1:10" x14ac:dyDescent="0.2">
      <c r="A492" s="4">
        <v>3.08</v>
      </c>
      <c r="B492" s="4">
        <v>12</v>
      </c>
      <c r="C492" s="4">
        <v>3</v>
      </c>
      <c r="D492" s="4">
        <v>1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2" t="s">
        <v>80</v>
      </c>
    </row>
    <row r="493" spans="1:10" x14ac:dyDescent="0.2">
      <c r="A493" s="4">
        <v>1.75</v>
      </c>
      <c r="B493" s="4">
        <v>11</v>
      </c>
      <c r="C493" s="4">
        <v>2</v>
      </c>
      <c r="D493" s="4">
        <v>1</v>
      </c>
      <c r="E493" s="4">
        <v>0</v>
      </c>
      <c r="F493" s="4">
        <v>0</v>
      </c>
      <c r="G493" s="4">
        <v>0</v>
      </c>
      <c r="H493" s="4">
        <v>1</v>
      </c>
      <c r="I493" s="4">
        <v>0</v>
      </c>
      <c r="J493" s="2" t="s">
        <v>80</v>
      </c>
    </row>
    <row r="494" spans="1:10" x14ac:dyDescent="0.2">
      <c r="A494" s="4">
        <v>6.25</v>
      </c>
      <c r="B494" s="10">
        <v>12</v>
      </c>
      <c r="C494" s="4">
        <v>2</v>
      </c>
      <c r="D494" s="4">
        <v>1</v>
      </c>
      <c r="E494" s="4">
        <v>1</v>
      </c>
      <c r="F494" s="4">
        <v>0</v>
      </c>
      <c r="G494" s="4">
        <v>0</v>
      </c>
      <c r="H494" s="4">
        <v>0</v>
      </c>
      <c r="I494" s="4">
        <v>0</v>
      </c>
      <c r="J494" s="2" t="s">
        <v>80</v>
      </c>
    </row>
    <row r="495" spans="1:10" x14ac:dyDescent="0.2">
      <c r="A495" s="4">
        <v>5.58</v>
      </c>
      <c r="B495" s="4">
        <v>16</v>
      </c>
      <c r="C495" s="4">
        <v>1</v>
      </c>
      <c r="D495" s="4">
        <v>1</v>
      </c>
      <c r="E495" s="4">
        <v>0</v>
      </c>
      <c r="F495" s="4">
        <v>1</v>
      </c>
      <c r="G495" s="4">
        <v>0</v>
      </c>
      <c r="H495" s="4">
        <v>0</v>
      </c>
      <c r="I495" s="4">
        <v>0</v>
      </c>
      <c r="J495" s="2" t="s">
        <v>80</v>
      </c>
    </row>
    <row r="496" spans="1:10" x14ac:dyDescent="0.2">
      <c r="A496" s="4">
        <v>2.92</v>
      </c>
      <c r="B496" s="4">
        <v>9</v>
      </c>
      <c r="C496" s="9">
        <v>43.93</v>
      </c>
      <c r="D496" s="4">
        <v>0</v>
      </c>
      <c r="E496" s="4">
        <v>1</v>
      </c>
      <c r="F496" s="4">
        <v>0</v>
      </c>
      <c r="G496" s="4">
        <v>1</v>
      </c>
      <c r="H496" s="4">
        <v>0</v>
      </c>
      <c r="I496" s="4">
        <v>0</v>
      </c>
      <c r="J496" s="2" t="s">
        <v>80</v>
      </c>
    </row>
    <row r="497" spans="1:10" x14ac:dyDescent="0.2">
      <c r="A497" s="4">
        <v>4.5</v>
      </c>
      <c r="B497" s="4">
        <v>12</v>
      </c>
      <c r="C497" s="4">
        <v>35</v>
      </c>
      <c r="D497" s="4">
        <v>0</v>
      </c>
      <c r="E497" s="4">
        <v>1</v>
      </c>
      <c r="F497" s="4">
        <v>1</v>
      </c>
      <c r="G497" s="4">
        <v>1</v>
      </c>
      <c r="H497" s="4">
        <v>0</v>
      </c>
      <c r="I497" s="4">
        <v>0</v>
      </c>
      <c r="J497" s="2" t="s">
        <v>80</v>
      </c>
    </row>
    <row r="498" spans="1:10" x14ac:dyDescent="0.2">
      <c r="A498" s="4">
        <v>3.55</v>
      </c>
      <c r="B498" s="4">
        <v>12</v>
      </c>
      <c r="C498" s="4">
        <v>21</v>
      </c>
      <c r="D498" s="4">
        <v>0</v>
      </c>
      <c r="E498" s="4">
        <v>1</v>
      </c>
      <c r="F498" s="4">
        <v>1</v>
      </c>
      <c r="G498" s="4">
        <v>1</v>
      </c>
      <c r="H498" s="4">
        <v>0</v>
      </c>
      <c r="I498" s="4">
        <v>0</v>
      </c>
      <c r="J498" s="2" t="s">
        <v>80</v>
      </c>
    </row>
    <row r="499" spans="1:10" x14ac:dyDescent="0.2">
      <c r="A499" s="4">
        <v>5.05</v>
      </c>
      <c r="B499" s="4">
        <v>12</v>
      </c>
      <c r="C499" s="4">
        <v>19</v>
      </c>
      <c r="D499" s="4">
        <v>0</v>
      </c>
      <c r="E499" s="4">
        <v>1</v>
      </c>
      <c r="F499" s="4">
        <v>1</v>
      </c>
      <c r="G499" s="4">
        <v>1</v>
      </c>
      <c r="H499" s="4">
        <v>0</v>
      </c>
      <c r="I499" s="4">
        <v>0</v>
      </c>
      <c r="J499" s="2" t="s">
        <v>80</v>
      </c>
    </row>
    <row r="500" spans="1:10" x14ac:dyDescent="0.2">
      <c r="A500" s="4">
        <v>1.63</v>
      </c>
      <c r="B500" s="4">
        <v>12</v>
      </c>
      <c r="C500" s="4">
        <v>18</v>
      </c>
      <c r="D500" s="4">
        <v>0</v>
      </c>
      <c r="E500" s="10">
        <v>2</v>
      </c>
      <c r="F500" s="4">
        <v>0</v>
      </c>
      <c r="G500" s="4">
        <v>0</v>
      </c>
      <c r="H500" s="4">
        <v>0</v>
      </c>
      <c r="I500" s="4">
        <v>0</v>
      </c>
      <c r="J500" s="2" t="s">
        <v>80</v>
      </c>
    </row>
    <row r="501" spans="1:10" x14ac:dyDescent="0.2">
      <c r="A501" s="4">
        <v>5</v>
      </c>
      <c r="B501" s="10">
        <v>12</v>
      </c>
      <c r="C501" s="4">
        <v>18</v>
      </c>
      <c r="D501" s="4">
        <v>0</v>
      </c>
      <c r="E501" s="4">
        <v>1</v>
      </c>
      <c r="F501" s="4">
        <v>1</v>
      </c>
      <c r="G501" s="4">
        <v>0</v>
      </c>
      <c r="H501" s="4">
        <v>1</v>
      </c>
      <c r="I501" s="4">
        <v>0</v>
      </c>
      <c r="J501" s="2" t="s">
        <v>80</v>
      </c>
    </row>
    <row r="502" spans="1:10" x14ac:dyDescent="0.2">
      <c r="A502" s="4">
        <v>3.71</v>
      </c>
      <c r="B502" s="4">
        <v>10</v>
      </c>
      <c r="C502" s="4">
        <v>13</v>
      </c>
      <c r="D502" s="4">
        <v>0</v>
      </c>
      <c r="E502" s="4">
        <v>1</v>
      </c>
      <c r="F502" s="4">
        <v>0</v>
      </c>
      <c r="G502" s="4">
        <v>0</v>
      </c>
      <c r="H502" s="4">
        <v>0</v>
      </c>
      <c r="I502" s="4">
        <v>0</v>
      </c>
      <c r="J502" s="2" t="s">
        <v>80</v>
      </c>
    </row>
    <row r="503" spans="1:10" x14ac:dyDescent="0.2">
      <c r="A503" s="4">
        <v>4.5</v>
      </c>
      <c r="B503" s="4">
        <v>12</v>
      </c>
      <c r="C503" s="4">
        <v>13</v>
      </c>
      <c r="D503" s="4">
        <v>0</v>
      </c>
      <c r="E503" s="4">
        <v>0</v>
      </c>
      <c r="F503" s="4">
        <v>1</v>
      </c>
      <c r="G503" s="4">
        <v>0</v>
      </c>
      <c r="H503" s="4">
        <v>1</v>
      </c>
      <c r="I503" s="4">
        <v>0</v>
      </c>
      <c r="J503" s="2" t="s">
        <v>80</v>
      </c>
    </row>
    <row r="504" spans="1:10" x14ac:dyDescent="0.2">
      <c r="A504" s="4">
        <v>6.08</v>
      </c>
      <c r="B504" s="4">
        <v>16</v>
      </c>
      <c r="C504" s="4">
        <v>9</v>
      </c>
      <c r="D504" s="4">
        <v>0</v>
      </c>
      <c r="E504" s="4">
        <v>0</v>
      </c>
      <c r="F504" s="4">
        <v>0</v>
      </c>
      <c r="G504" s="4">
        <v>1</v>
      </c>
      <c r="H504" s="4">
        <v>0</v>
      </c>
      <c r="I504" s="4">
        <v>0</v>
      </c>
      <c r="J504" s="2" t="s">
        <v>80</v>
      </c>
    </row>
    <row r="505" spans="1:10" x14ac:dyDescent="0.2">
      <c r="A505" s="4">
        <v>4</v>
      </c>
      <c r="B505" s="4">
        <v>12</v>
      </c>
      <c r="C505" s="4">
        <v>9</v>
      </c>
      <c r="D505" s="4">
        <v>0</v>
      </c>
      <c r="E505" s="4">
        <v>0</v>
      </c>
      <c r="F505" s="4">
        <v>0</v>
      </c>
      <c r="G505" s="4">
        <v>1</v>
      </c>
      <c r="H505" s="4">
        <v>0</v>
      </c>
      <c r="I505" s="4">
        <v>0</v>
      </c>
      <c r="J505" s="2" t="s">
        <v>80</v>
      </c>
    </row>
    <row r="506" spans="1:10" x14ac:dyDescent="0.2">
      <c r="A506" s="4">
        <v>4</v>
      </c>
      <c r="B506" s="4">
        <v>12</v>
      </c>
      <c r="C506" s="4">
        <v>8</v>
      </c>
      <c r="D506" s="4">
        <v>0</v>
      </c>
      <c r="E506" s="4">
        <v>1</v>
      </c>
      <c r="F506" s="4">
        <v>1</v>
      </c>
      <c r="G506" s="4">
        <v>0</v>
      </c>
      <c r="H506" s="4">
        <v>0</v>
      </c>
      <c r="I506" s="4">
        <v>0</v>
      </c>
      <c r="J506" s="2" t="s">
        <v>80</v>
      </c>
    </row>
    <row r="507" spans="1:10" x14ac:dyDescent="0.2">
      <c r="A507" s="4">
        <v>3.75</v>
      </c>
      <c r="B507" s="4">
        <v>12</v>
      </c>
      <c r="C507" s="4">
        <v>7</v>
      </c>
      <c r="D507" s="4">
        <v>0</v>
      </c>
      <c r="E507" s="4">
        <v>1</v>
      </c>
      <c r="F507" s="4">
        <v>1</v>
      </c>
      <c r="G507" s="4">
        <v>0</v>
      </c>
      <c r="H507" s="4">
        <v>0</v>
      </c>
      <c r="I507" s="4">
        <v>1</v>
      </c>
      <c r="J507" s="2" t="s">
        <v>80</v>
      </c>
    </row>
    <row r="508" spans="1:10" x14ac:dyDescent="0.2">
      <c r="A508" s="4">
        <v>9.8000000000000007</v>
      </c>
      <c r="B508" s="4">
        <v>17</v>
      </c>
      <c r="C508" s="4">
        <v>7</v>
      </c>
      <c r="D508" s="4">
        <v>0</v>
      </c>
      <c r="E508" s="4">
        <v>0</v>
      </c>
      <c r="F508" s="4">
        <v>1</v>
      </c>
      <c r="G508" s="4">
        <v>0</v>
      </c>
      <c r="H508" s="4">
        <v>0</v>
      </c>
      <c r="I508" s="4">
        <v>0</v>
      </c>
      <c r="J508" s="2" t="s">
        <v>80</v>
      </c>
    </row>
    <row r="509" spans="1:10" x14ac:dyDescent="0.2">
      <c r="A509" s="4">
        <v>3.55</v>
      </c>
      <c r="B509" s="4">
        <v>12</v>
      </c>
      <c r="C509" s="4">
        <v>6</v>
      </c>
      <c r="D509" s="4">
        <v>0</v>
      </c>
      <c r="E509" s="4">
        <v>1</v>
      </c>
      <c r="F509" s="4">
        <v>1</v>
      </c>
      <c r="G509" s="4">
        <v>0</v>
      </c>
      <c r="H509" s="4">
        <v>0</v>
      </c>
      <c r="I509" s="4">
        <v>0</v>
      </c>
      <c r="J509" s="2" t="s">
        <v>80</v>
      </c>
    </row>
    <row r="510" spans="1:10" x14ac:dyDescent="0.2">
      <c r="A510" s="4">
        <v>6.25</v>
      </c>
      <c r="B510" s="4">
        <v>16</v>
      </c>
      <c r="C510" s="4">
        <v>5</v>
      </c>
      <c r="D510" s="4">
        <v>0</v>
      </c>
      <c r="E510" s="4">
        <v>0</v>
      </c>
      <c r="F510" s="4">
        <v>1</v>
      </c>
      <c r="G510" s="4">
        <v>0</v>
      </c>
      <c r="H510" s="4">
        <v>0</v>
      </c>
      <c r="I510" s="4">
        <v>0</v>
      </c>
      <c r="J510" s="2" t="s">
        <v>80</v>
      </c>
    </row>
    <row r="511" spans="1:10" x14ac:dyDescent="0.2">
      <c r="A511" s="4">
        <v>2.38</v>
      </c>
      <c r="B511" s="4">
        <v>9</v>
      </c>
      <c r="C511" s="4">
        <v>5</v>
      </c>
      <c r="D511" s="4">
        <v>0</v>
      </c>
      <c r="E511" s="4">
        <v>0</v>
      </c>
      <c r="F511" s="4">
        <v>0</v>
      </c>
      <c r="G511" s="4">
        <v>1</v>
      </c>
      <c r="H511" s="4">
        <v>0</v>
      </c>
      <c r="I511" s="4">
        <v>0</v>
      </c>
      <c r="J511" s="2" t="s">
        <v>80</v>
      </c>
    </row>
    <row r="512" spans="1:10" x14ac:dyDescent="0.2">
      <c r="A512" s="4">
        <v>4.0999999999999996</v>
      </c>
      <c r="B512" s="4">
        <v>16</v>
      </c>
      <c r="C512" s="4">
        <v>5</v>
      </c>
      <c r="D512" s="4">
        <v>0</v>
      </c>
      <c r="E512" s="4">
        <v>1</v>
      </c>
      <c r="F512" s="4">
        <v>1</v>
      </c>
      <c r="G512" s="4">
        <v>0</v>
      </c>
      <c r="H512" s="4">
        <v>0</v>
      </c>
      <c r="I512" s="4">
        <v>0</v>
      </c>
      <c r="J512" s="2" t="s">
        <v>80</v>
      </c>
    </row>
    <row r="513" spans="1:10" x14ac:dyDescent="0.2">
      <c r="A513" s="4">
        <v>3.5</v>
      </c>
      <c r="B513" s="4">
        <v>8</v>
      </c>
      <c r="C513" s="4">
        <v>4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2" t="s">
        <v>80</v>
      </c>
    </row>
    <row r="514" spans="1:10" x14ac:dyDescent="0.2">
      <c r="A514" s="4">
        <v>2.6</v>
      </c>
      <c r="B514" s="4">
        <v>9</v>
      </c>
      <c r="C514" s="4">
        <v>4</v>
      </c>
      <c r="D514" s="4">
        <v>0</v>
      </c>
      <c r="E514" s="10">
        <v>2</v>
      </c>
      <c r="F514" s="4">
        <v>0</v>
      </c>
      <c r="G514" s="4">
        <v>0</v>
      </c>
      <c r="H514" s="4">
        <v>1</v>
      </c>
      <c r="I514" s="4">
        <v>0</v>
      </c>
      <c r="J514" s="2" t="s">
        <v>80</v>
      </c>
    </row>
    <row r="515" spans="1:10" x14ac:dyDescent="0.2">
      <c r="A515" s="4">
        <v>2</v>
      </c>
      <c r="B515" s="4">
        <v>10</v>
      </c>
      <c r="C515" s="4">
        <v>3</v>
      </c>
      <c r="D515" s="4">
        <v>0</v>
      </c>
      <c r="E515" s="4">
        <v>1</v>
      </c>
      <c r="F515" s="4">
        <v>0</v>
      </c>
      <c r="G515" s="4">
        <v>1</v>
      </c>
      <c r="H515" s="4">
        <v>0</v>
      </c>
      <c r="I515" s="4">
        <v>0</v>
      </c>
      <c r="J515" s="2" t="s">
        <v>80</v>
      </c>
    </row>
    <row r="516" spans="1:10" x14ac:dyDescent="0.2">
      <c r="A516" s="4">
        <v>7.81</v>
      </c>
      <c r="B516" s="4">
        <v>12</v>
      </c>
      <c r="C516" s="4">
        <v>3</v>
      </c>
      <c r="D516" s="4">
        <v>0</v>
      </c>
      <c r="E516" s="4">
        <v>1</v>
      </c>
      <c r="F516" s="4">
        <v>1</v>
      </c>
      <c r="G516" s="4">
        <v>0</v>
      </c>
      <c r="H516" s="4">
        <v>1</v>
      </c>
      <c r="I516" s="4">
        <v>0</v>
      </c>
      <c r="J516" s="2" t="s">
        <v>80</v>
      </c>
    </row>
    <row r="517" spans="1:10" x14ac:dyDescent="0.2">
      <c r="A517" s="4">
        <v>3.5</v>
      </c>
      <c r="B517" s="4">
        <v>12</v>
      </c>
      <c r="C517" s="4">
        <v>3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2" t="s">
        <v>80</v>
      </c>
    </row>
    <row r="518" spans="1:10" x14ac:dyDescent="0.2">
      <c r="A518" s="4">
        <v>4.5</v>
      </c>
      <c r="B518" s="4">
        <v>12</v>
      </c>
      <c r="C518" s="4">
        <v>3</v>
      </c>
      <c r="D518" s="4">
        <v>0</v>
      </c>
      <c r="E518" s="4">
        <v>0</v>
      </c>
      <c r="F518" s="4">
        <v>0</v>
      </c>
      <c r="G518" s="4">
        <v>0</v>
      </c>
      <c r="H518" s="4">
        <v>1</v>
      </c>
      <c r="I518" s="4">
        <v>0</v>
      </c>
      <c r="J518" s="2" t="s">
        <v>80</v>
      </c>
    </row>
    <row r="519" spans="1:10" x14ac:dyDescent="0.2">
      <c r="A519" s="4">
        <v>3</v>
      </c>
      <c r="B519" s="4">
        <v>11</v>
      </c>
      <c r="C519" s="4">
        <v>3</v>
      </c>
      <c r="D519" s="4">
        <v>0</v>
      </c>
      <c r="E519" s="4">
        <v>1</v>
      </c>
      <c r="F519" s="4">
        <v>0</v>
      </c>
      <c r="G519" s="4">
        <v>0</v>
      </c>
      <c r="H519" s="4">
        <v>1</v>
      </c>
      <c r="I519" s="4">
        <v>0</v>
      </c>
      <c r="J519" s="2" t="s">
        <v>80</v>
      </c>
    </row>
    <row r="520" spans="1:10" x14ac:dyDescent="0.2">
      <c r="A520" s="4">
        <v>5.1100000000000003</v>
      </c>
      <c r="B520" s="4">
        <v>11</v>
      </c>
      <c r="C520" s="4">
        <v>3</v>
      </c>
      <c r="D520" s="4">
        <v>0</v>
      </c>
      <c r="E520" s="4">
        <v>0</v>
      </c>
      <c r="F520" s="4">
        <v>0</v>
      </c>
      <c r="G520" s="4">
        <v>0</v>
      </c>
      <c r="H520" s="4">
        <v>1</v>
      </c>
      <c r="I520" s="4">
        <v>1</v>
      </c>
      <c r="J520" s="2" t="s">
        <v>80</v>
      </c>
    </row>
    <row r="521" spans="1:10" x14ac:dyDescent="0.2">
      <c r="A521" s="4">
        <v>2</v>
      </c>
      <c r="B521" s="4">
        <v>9</v>
      </c>
      <c r="C521" s="4">
        <v>2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2" t="s">
        <v>80</v>
      </c>
    </row>
    <row r="522" spans="1:10" x14ac:dyDescent="0.2">
      <c r="A522" s="4">
        <v>3.1</v>
      </c>
      <c r="B522" s="4">
        <v>11</v>
      </c>
      <c r="C522" s="4">
        <v>2</v>
      </c>
      <c r="D522" s="4">
        <v>0</v>
      </c>
      <c r="E522" s="4">
        <v>1</v>
      </c>
      <c r="F522" s="4">
        <v>0</v>
      </c>
      <c r="G522" s="4">
        <v>0</v>
      </c>
      <c r="H522" s="4">
        <v>1</v>
      </c>
      <c r="I522" s="4">
        <v>0</v>
      </c>
      <c r="J522" s="2" t="s">
        <v>80</v>
      </c>
    </row>
    <row r="523" spans="1:10" x14ac:dyDescent="0.2">
      <c r="A523" s="4">
        <v>5.65</v>
      </c>
      <c r="B523" s="4">
        <v>12</v>
      </c>
      <c r="C523" s="4">
        <v>2</v>
      </c>
      <c r="D523" s="4">
        <v>0</v>
      </c>
      <c r="E523" s="4">
        <v>0</v>
      </c>
      <c r="F523" s="4">
        <v>0</v>
      </c>
      <c r="G523" s="4">
        <v>0</v>
      </c>
      <c r="H523" s="4">
        <v>1</v>
      </c>
      <c r="I523" s="4">
        <v>1</v>
      </c>
      <c r="J523" s="2" t="s">
        <v>80</v>
      </c>
    </row>
    <row r="524" spans="1:10" x14ac:dyDescent="0.2">
      <c r="A524" s="4">
        <v>2.54</v>
      </c>
      <c r="B524" s="4">
        <v>9</v>
      </c>
      <c r="C524" s="4">
        <v>2</v>
      </c>
      <c r="D524" s="4">
        <v>0</v>
      </c>
      <c r="E524" s="4">
        <v>1</v>
      </c>
      <c r="F524" s="4">
        <v>0</v>
      </c>
      <c r="G524" s="4">
        <v>1</v>
      </c>
      <c r="H524" s="4">
        <v>0</v>
      </c>
      <c r="I524" s="4">
        <v>0</v>
      </c>
      <c r="J524" s="2" t="s">
        <v>80</v>
      </c>
    </row>
    <row r="525" spans="1:10" x14ac:dyDescent="0.2">
      <c r="A525" s="4">
        <v>2.9</v>
      </c>
      <c r="B525" s="4">
        <v>11</v>
      </c>
      <c r="C525" s="4">
        <v>2</v>
      </c>
      <c r="D525" s="4">
        <v>0</v>
      </c>
      <c r="E525" s="4">
        <v>1</v>
      </c>
      <c r="F525" s="4">
        <v>0</v>
      </c>
      <c r="G525" s="4">
        <v>1</v>
      </c>
      <c r="H525" s="4">
        <v>0</v>
      </c>
      <c r="I525" s="4">
        <v>0</v>
      </c>
      <c r="J525" s="2" t="s">
        <v>80</v>
      </c>
    </row>
    <row r="526" spans="1:10" x14ac:dyDescent="0.2">
      <c r="A526" s="4">
        <v>2.92</v>
      </c>
      <c r="B526" s="4">
        <v>11</v>
      </c>
      <c r="C526" s="4">
        <v>1</v>
      </c>
      <c r="D526" s="4">
        <v>0</v>
      </c>
      <c r="E526" s="4">
        <v>1</v>
      </c>
      <c r="F526" s="4">
        <v>0</v>
      </c>
      <c r="G526" s="4">
        <v>0</v>
      </c>
      <c r="H526" s="4">
        <v>0</v>
      </c>
      <c r="I526" s="4">
        <v>0</v>
      </c>
      <c r="J526" s="2" t="s">
        <v>80</v>
      </c>
    </row>
    <row r="527" spans="1:10" x14ac:dyDescent="0.2">
      <c r="A527" s="4">
        <v>3</v>
      </c>
      <c r="B527" s="4">
        <v>12</v>
      </c>
      <c r="C527" s="4">
        <v>1</v>
      </c>
      <c r="D527" s="4">
        <v>0</v>
      </c>
      <c r="E527" s="4">
        <v>1</v>
      </c>
      <c r="F527" s="4">
        <v>0</v>
      </c>
      <c r="G527" s="4">
        <v>0</v>
      </c>
      <c r="H527" s="4">
        <v>0</v>
      </c>
      <c r="I527" s="4">
        <v>0</v>
      </c>
      <c r="J527" s="2" t="s">
        <v>80</v>
      </c>
    </row>
  </sheetData>
  <mergeCells count="2">
    <mergeCell ref="L3:N3"/>
    <mergeCell ref="L26:Q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109E8-48FC-F84C-96E1-3B66ED21ECD2}">
  <dimension ref="A1:S527"/>
  <sheetViews>
    <sheetView showGridLines="0" workbookViewId="0">
      <selection activeCell="O39" sqref="O39"/>
    </sheetView>
  </sheetViews>
  <sheetFormatPr baseColWidth="10" defaultRowHeight="14" x14ac:dyDescent="0.2"/>
  <cols>
    <col min="1" max="8" width="10.83203125" style="5"/>
    <col min="9" max="9" width="12.5" bestFit="1" customWidth="1"/>
    <col min="11" max="11" width="33.6640625" bestFit="1" customWidth="1"/>
    <col min="12" max="12" width="22.6640625" bestFit="1" customWidth="1"/>
    <col min="13" max="13" width="14.83203125" bestFit="1" customWidth="1"/>
    <col min="14" max="14" width="19.83203125" bestFit="1" customWidth="1"/>
    <col min="16" max="16" width="13" bestFit="1" customWidth="1"/>
  </cols>
  <sheetData>
    <row r="1" spans="1:13" x14ac:dyDescent="0.2">
      <c r="A1" s="4" t="s">
        <v>28</v>
      </c>
      <c r="B1" s="4" t="s">
        <v>0</v>
      </c>
      <c r="C1" s="4" t="s">
        <v>1</v>
      </c>
      <c r="D1" s="4" t="s">
        <v>49</v>
      </c>
      <c r="E1" s="4" t="s">
        <v>50</v>
      </c>
      <c r="F1" s="4" t="s">
        <v>51</v>
      </c>
      <c r="G1" s="4" t="s">
        <v>35</v>
      </c>
      <c r="H1" s="4" t="s">
        <v>40</v>
      </c>
      <c r="I1" s="15" t="s">
        <v>81</v>
      </c>
    </row>
    <row r="2" spans="1:13" x14ac:dyDescent="0.2">
      <c r="A2" s="4">
        <v>8.75</v>
      </c>
      <c r="B2" s="4">
        <v>12</v>
      </c>
      <c r="C2" s="9">
        <v>43.93</v>
      </c>
      <c r="D2" s="9">
        <v>26.78</v>
      </c>
      <c r="E2" s="4">
        <v>0</v>
      </c>
      <c r="F2" s="4">
        <v>1</v>
      </c>
      <c r="G2" s="4">
        <v>0</v>
      </c>
      <c r="H2" s="4">
        <v>0</v>
      </c>
      <c r="I2" s="2" t="s">
        <v>79</v>
      </c>
    </row>
    <row r="3" spans="1:13" x14ac:dyDescent="0.2">
      <c r="A3" s="4">
        <v>11.76</v>
      </c>
      <c r="B3" s="4">
        <v>14</v>
      </c>
      <c r="C3" s="4">
        <v>40</v>
      </c>
      <c r="D3" s="9">
        <v>26.78</v>
      </c>
      <c r="E3" s="4">
        <v>0</v>
      </c>
      <c r="F3" s="4">
        <v>1</v>
      </c>
      <c r="G3" s="4">
        <v>0</v>
      </c>
      <c r="H3" s="4">
        <v>0</v>
      </c>
      <c r="I3" s="2" t="s">
        <v>79</v>
      </c>
      <c r="K3" s="37" t="s">
        <v>63</v>
      </c>
      <c r="L3" s="37"/>
      <c r="M3" s="37"/>
    </row>
    <row r="4" spans="1:13" x14ac:dyDescent="0.2">
      <c r="A4" s="4">
        <v>2.91</v>
      </c>
      <c r="B4" s="4">
        <v>12</v>
      </c>
      <c r="C4" s="4">
        <v>20</v>
      </c>
      <c r="D4" s="9">
        <v>26.78</v>
      </c>
      <c r="E4" s="4">
        <v>1</v>
      </c>
      <c r="F4" s="4">
        <v>1</v>
      </c>
      <c r="G4" s="4">
        <v>0</v>
      </c>
      <c r="H4" s="4">
        <v>0</v>
      </c>
      <c r="I4" s="2" t="s">
        <v>79</v>
      </c>
      <c r="K4" s="17" t="s">
        <v>64</v>
      </c>
      <c r="L4" s="3"/>
      <c r="M4" s="3"/>
    </row>
    <row r="5" spans="1:13" x14ac:dyDescent="0.2">
      <c r="A5" s="4">
        <v>6.5</v>
      </c>
      <c r="B5" s="4">
        <v>14</v>
      </c>
      <c r="C5" s="4">
        <v>41</v>
      </c>
      <c r="D5" s="9">
        <v>26.78</v>
      </c>
      <c r="E5" s="4">
        <v>0</v>
      </c>
      <c r="F5" s="4">
        <v>1</v>
      </c>
      <c r="G5" s="4">
        <v>0</v>
      </c>
      <c r="H5" s="4">
        <v>0</v>
      </c>
      <c r="I5" s="2" t="s">
        <v>79</v>
      </c>
      <c r="K5" s="3"/>
      <c r="L5" s="3" t="s">
        <v>65</v>
      </c>
      <c r="M5" s="3"/>
    </row>
    <row r="6" spans="1:13" x14ac:dyDescent="0.2">
      <c r="A6" s="4">
        <v>6.25</v>
      </c>
      <c r="B6" s="4">
        <v>11</v>
      </c>
      <c r="C6" s="4">
        <v>35</v>
      </c>
      <c r="D6" s="9">
        <v>26.78</v>
      </c>
      <c r="E6" s="4">
        <v>0</v>
      </c>
      <c r="F6" s="4">
        <v>1</v>
      </c>
      <c r="G6" s="4">
        <v>0</v>
      </c>
      <c r="H6" s="4">
        <v>0</v>
      </c>
      <c r="I6" s="2" t="s">
        <v>79</v>
      </c>
      <c r="K6" s="3"/>
      <c r="L6" s="3" t="s">
        <v>66</v>
      </c>
      <c r="M6" s="3"/>
    </row>
    <row r="7" spans="1:13" x14ac:dyDescent="0.2">
      <c r="A7" s="4">
        <v>15</v>
      </c>
      <c r="B7" s="4">
        <v>11</v>
      </c>
      <c r="C7" s="4">
        <v>35</v>
      </c>
      <c r="D7" s="9">
        <v>26.78</v>
      </c>
      <c r="E7" s="10">
        <v>2</v>
      </c>
      <c r="F7" s="4">
        <v>1</v>
      </c>
      <c r="G7" s="4">
        <v>0</v>
      </c>
      <c r="H7" s="4">
        <v>0</v>
      </c>
      <c r="I7" s="2" t="s">
        <v>79</v>
      </c>
      <c r="K7" s="17" t="s">
        <v>67</v>
      </c>
      <c r="L7" s="18"/>
      <c r="M7" s="17"/>
    </row>
    <row r="8" spans="1:13" x14ac:dyDescent="0.2">
      <c r="A8" s="4">
        <v>6</v>
      </c>
      <c r="B8" s="4">
        <v>8</v>
      </c>
      <c r="C8" s="9">
        <v>43.93</v>
      </c>
      <c r="D8" s="9">
        <v>26.78</v>
      </c>
      <c r="E8" s="4">
        <v>0</v>
      </c>
      <c r="F8" s="4">
        <v>1</v>
      </c>
      <c r="G8" s="4">
        <v>1</v>
      </c>
      <c r="H8" s="4">
        <v>0</v>
      </c>
      <c r="I8" s="2" t="s">
        <v>79</v>
      </c>
      <c r="K8" s="17"/>
      <c r="L8" s="17" t="s">
        <v>68</v>
      </c>
      <c r="M8" s="17"/>
    </row>
    <row r="9" spans="1:13" x14ac:dyDescent="0.2">
      <c r="A9" s="4">
        <v>18.16</v>
      </c>
      <c r="B9" s="4">
        <v>16</v>
      </c>
      <c r="C9" s="4">
        <v>35</v>
      </c>
      <c r="D9" s="9">
        <v>26.78</v>
      </c>
      <c r="E9" s="4">
        <v>0</v>
      </c>
      <c r="F9" s="4">
        <v>1</v>
      </c>
      <c r="G9" s="4">
        <v>0</v>
      </c>
      <c r="H9" s="4">
        <v>0</v>
      </c>
      <c r="I9" s="2" t="s">
        <v>79</v>
      </c>
      <c r="K9" s="17"/>
      <c r="L9" s="17" t="s">
        <v>69</v>
      </c>
      <c r="M9" s="17"/>
    </row>
    <row r="10" spans="1:13" x14ac:dyDescent="0.2">
      <c r="A10" s="4">
        <v>8.5</v>
      </c>
      <c r="B10" s="4">
        <v>8</v>
      </c>
      <c r="C10" s="4">
        <v>38</v>
      </c>
      <c r="D10" s="4">
        <v>26</v>
      </c>
      <c r="E10" s="4">
        <v>0</v>
      </c>
      <c r="F10" s="4">
        <v>0</v>
      </c>
      <c r="G10" s="4">
        <v>0</v>
      </c>
      <c r="H10" s="4">
        <v>0</v>
      </c>
      <c r="I10" s="2" t="s">
        <v>79</v>
      </c>
      <c r="K10" s="3" t="s">
        <v>70</v>
      </c>
      <c r="L10" s="3"/>
      <c r="M10" s="3"/>
    </row>
    <row r="11" spans="1:13" x14ac:dyDescent="0.2">
      <c r="A11" s="4">
        <v>3.6</v>
      </c>
      <c r="B11" s="4">
        <v>10</v>
      </c>
      <c r="C11" s="4">
        <v>34</v>
      </c>
      <c r="D11" s="4">
        <v>26</v>
      </c>
      <c r="E11" s="4">
        <v>1</v>
      </c>
      <c r="F11" s="4">
        <v>1</v>
      </c>
      <c r="G11" s="4">
        <v>0</v>
      </c>
      <c r="H11" s="4">
        <v>0</v>
      </c>
      <c r="I11" s="2" t="s">
        <v>79</v>
      </c>
      <c r="K11" s="3" t="s">
        <v>71</v>
      </c>
      <c r="L11" s="3"/>
      <c r="M11" s="3"/>
    </row>
    <row r="12" spans="1:13" x14ac:dyDescent="0.2">
      <c r="A12" s="4">
        <v>8.33</v>
      </c>
      <c r="B12" s="4">
        <v>15</v>
      </c>
      <c r="C12" s="4">
        <v>33</v>
      </c>
      <c r="D12" s="4">
        <v>26</v>
      </c>
      <c r="E12" s="4">
        <v>0</v>
      </c>
      <c r="F12" s="4">
        <v>1</v>
      </c>
      <c r="G12" s="4">
        <v>0</v>
      </c>
      <c r="H12" s="4">
        <v>0</v>
      </c>
      <c r="I12" s="2" t="s">
        <v>79</v>
      </c>
      <c r="K12" s="18" t="s">
        <v>72</v>
      </c>
      <c r="L12" s="3"/>
      <c r="M12" s="3"/>
    </row>
    <row r="13" spans="1:13" x14ac:dyDescent="0.2">
      <c r="A13" s="4">
        <v>4.29</v>
      </c>
      <c r="B13" s="4">
        <v>12</v>
      </c>
      <c r="C13" s="9">
        <v>43.93</v>
      </c>
      <c r="D13" s="4">
        <v>25</v>
      </c>
      <c r="E13" s="4">
        <v>1</v>
      </c>
      <c r="F13" s="4">
        <v>1</v>
      </c>
      <c r="G13" s="4">
        <v>0</v>
      </c>
      <c r="H13" s="4">
        <v>0</v>
      </c>
      <c r="I13" s="2" t="s">
        <v>79</v>
      </c>
      <c r="K13" s="3" t="s">
        <v>73</v>
      </c>
      <c r="L13" s="3"/>
      <c r="M13" s="3"/>
    </row>
    <row r="14" spans="1:13" x14ac:dyDescent="0.2">
      <c r="A14" s="4">
        <v>4.05</v>
      </c>
      <c r="B14" s="4">
        <v>8</v>
      </c>
      <c r="C14" s="9">
        <v>43.93</v>
      </c>
      <c r="D14" s="4">
        <v>25</v>
      </c>
      <c r="E14" s="4">
        <v>0</v>
      </c>
      <c r="F14" s="4">
        <v>1</v>
      </c>
      <c r="G14" s="4">
        <v>0</v>
      </c>
      <c r="H14" s="4">
        <v>0</v>
      </c>
      <c r="I14" s="2" t="s">
        <v>79</v>
      </c>
      <c r="K14" s="3" t="s">
        <v>74</v>
      </c>
      <c r="L14" s="3"/>
      <c r="M14" s="3"/>
    </row>
    <row r="15" spans="1:13" x14ac:dyDescent="0.2">
      <c r="A15" s="4">
        <v>18</v>
      </c>
      <c r="B15" s="4">
        <v>18</v>
      </c>
      <c r="C15" s="4">
        <v>29</v>
      </c>
      <c r="D15" s="4">
        <v>25</v>
      </c>
      <c r="E15" s="4">
        <v>0</v>
      </c>
      <c r="F15" s="4">
        <v>1</v>
      </c>
      <c r="G15" s="4">
        <v>0</v>
      </c>
      <c r="H15" s="4">
        <v>0</v>
      </c>
      <c r="I15" s="2" t="s">
        <v>79</v>
      </c>
    </row>
    <row r="16" spans="1:13" x14ac:dyDescent="0.2">
      <c r="A16" s="4">
        <v>11.25</v>
      </c>
      <c r="B16" s="4">
        <v>17</v>
      </c>
      <c r="C16" s="4">
        <v>28</v>
      </c>
      <c r="D16" s="4">
        <v>25</v>
      </c>
      <c r="E16" s="4">
        <v>0</v>
      </c>
      <c r="F16" s="4">
        <v>1</v>
      </c>
      <c r="G16" s="4">
        <v>0</v>
      </c>
      <c r="H16" s="4">
        <v>0</v>
      </c>
      <c r="I16" s="2" t="s">
        <v>79</v>
      </c>
    </row>
    <row r="17" spans="1:19" x14ac:dyDescent="0.2">
      <c r="A17" s="4">
        <v>3.05</v>
      </c>
      <c r="B17" s="4">
        <v>8</v>
      </c>
      <c r="C17" s="9">
        <v>43.93</v>
      </c>
      <c r="D17" s="4">
        <v>24</v>
      </c>
      <c r="E17" s="4">
        <v>1</v>
      </c>
      <c r="F17" s="4">
        <v>0</v>
      </c>
      <c r="G17" s="4">
        <v>0</v>
      </c>
      <c r="H17" s="4">
        <v>0</v>
      </c>
      <c r="I17" s="2" t="s">
        <v>79</v>
      </c>
      <c r="K17" s="3" t="s">
        <v>2</v>
      </c>
      <c r="L17" s="3"/>
      <c r="M17" s="3"/>
      <c r="N17" s="3"/>
      <c r="O17" s="3"/>
      <c r="P17" s="3"/>
      <c r="Q17" s="3"/>
      <c r="R17" s="3"/>
      <c r="S17" s="3"/>
    </row>
    <row r="18" spans="1:19" x14ac:dyDescent="0.2">
      <c r="A18" s="4">
        <v>9.85</v>
      </c>
      <c r="B18" s="4">
        <v>8</v>
      </c>
      <c r="C18" s="4">
        <v>40</v>
      </c>
      <c r="D18" s="4">
        <v>24</v>
      </c>
      <c r="E18" s="4">
        <v>0</v>
      </c>
      <c r="F18" s="4">
        <v>1</v>
      </c>
      <c r="G18" s="4">
        <v>0</v>
      </c>
      <c r="H18" s="4">
        <v>0</v>
      </c>
      <c r="I18" s="2" t="s">
        <v>79</v>
      </c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">
      <c r="A19" s="4">
        <v>7.36</v>
      </c>
      <c r="B19" s="4">
        <v>8</v>
      </c>
      <c r="C19" s="4">
        <v>36</v>
      </c>
      <c r="D19" s="4">
        <v>24</v>
      </c>
      <c r="E19" s="4">
        <v>0</v>
      </c>
      <c r="F19" s="4">
        <v>1</v>
      </c>
      <c r="G19" s="4">
        <v>0</v>
      </c>
      <c r="H19" s="4">
        <v>0</v>
      </c>
      <c r="I19" s="2" t="s">
        <v>79</v>
      </c>
      <c r="K19" s="34" t="s">
        <v>3</v>
      </c>
      <c r="L19" s="34"/>
      <c r="M19" s="3"/>
      <c r="N19" s="3"/>
      <c r="O19" s="3"/>
      <c r="P19" s="3"/>
      <c r="Q19" s="3"/>
      <c r="R19" s="3"/>
      <c r="S19" s="3"/>
    </row>
    <row r="20" spans="1:19" x14ac:dyDescent="0.2">
      <c r="A20" s="4">
        <v>7.5</v>
      </c>
      <c r="B20" s="4">
        <v>14</v>
      </c>
      <c r="C20" s="4">
        <v>29</v>
      </c>
      <c r="D20" s="4">
        <v>24</v>
      </c>
      <c r="E20" s="4">
        <v>0</v>
      </c>
      <c r="F20" s="4">
        <v>1</v>
      </c>
      <c r="G20" s="4">
        <v>0</v>
      </c>
      <c r="H20" s="4">
        <v>0</v>
      </c>
      <c r="I20" s="2" t="s">
        <v>79</v>
      </c>
      <c r="K20" s="2" t="s">
        <v>4</v>
      </c>
      <c r="L20" s="2">
        <v>0.58832099203861465</v>
      </c>
      <c r="M20" s="3"/>
      <c r="N20" s="3"/>
      <c r="O20" s="3"/>
      <c r="P20" s="3"/>
      <c r="Q20" s="3"/>
      <c r="R20" s="3"/>
      <c r="S20" s="3"/>
    </row>
    <row r="21" spans="1:19" x14ac:dyDescent="0.2">
      <c r="A21" s="4">
        <v>2.95</v>
      </c>
      <c r="B21" s="4">
        <v>14</v>
      </c>
      <c r="C21" s="4">
        <v>41</v>
      </c>
      <c r="D21" s="4">
        <v>23</v>
      </c>
      <c r="E21" s="4">
        <v>0</v>
      </c>
      <c r="F21" s="4">
        <v>1</v>
      </c>
      <c r="G21" s="4">
        <v>0</v>
      </c>
      <c r="H21" s="4">
        <v>0</v>
      </c>
      <c r="I21" s="2" t="s">
        <v>79</v>
      </c>
      <c r="K21" s="29" t="s">
        <v>5</v>
      </c>
      <c r="L21" s="29">
        <v>0.3461215896732997</v>
      </c>
      <c r="M21" s="3"/>
      <c r="N21" s="3"/>
      <c r="O21" s="3"/>
      <c r="P21" s="3"/>
      <c r="Q21" s="3"/>
      <c r="R21" s="3"/>
      <c r="S21" s="3"/>
    </row>
    <row r="22" spans="1:19" x14ac:dyDescent="0.2">
      <c r="A22" s="4">
        <v>19.98</v>
      </c>
      <c r="B22" s="4">
        <v>14</v>
      </c>
      <c r="C22" s="4">
        <v>26</v>
      </c>
      <c r="D22" s="4">
        <v>23</v>
      </c>
      <c r="E22" s="4">
        <v>0</v>
      </c>
      <c r="F22" s="4">
        <v>1</v>
      </c>
      <c r="G22" s="4">
        <v>0</v>
      </c>
      <c r="H22" s="4">
        <v>0</v>
      </c>
      <c r="I22" s="2" t="s">
        <v>79</v>
      </c>
      <c r="K22" s="29" t="s">
        <v>6</v>
      </c>
      <c r="L22" s="29">
        <v>0.33426369104043202</v>
      </c>
      <c r="M22" s="3"/>
      <c r="N22" s="3"/>
      <c r="O22" s="3"/>
      <c r="P22" s="3"/>
      <c r="Q22" s="3"/>
      <c r="R22" s="3"/>
      <c r="S22" s="3"/>
    </row>
    <row r="23" spans="1:19" x14ac:dyDescent="0.2">
      <c r="A23" s="4">
        <v>13.16</v>
      </c>
      <c r="B23" s="4">
        <v>12</v>
      </c>
      <c r="C23" s="4">
        <v>34</v>
      </c>
      <c r="D23" s="4">
        <v>22</v>
      </c>
      <c r="E23" s="4">
        <v>0</v>
      </c>
      <c r="F23" s="4">
        <v>1</v>
      </c>
      <c r="G23" s="4">
        <v>0</v>
      </c>
      <c r="H23" s="4">
        <v>0</v>
      </c>
      <c r="I23" s="2" t="s">
        <v>79</v>
      </c>
      <c r="K23" s="2" t="s">
        <v>7</v>
      </c>
      <c r="L23" s="2">
        <v>2.9224341683062978</v>
      </c>
      <c r="M23" s="3"/>
      <c r="N23" s="3"/>
      <c r="O23" s="3"/>
      <c r="P23" s="3"/>
      <c r="Q23" s="3"/>
      <c r="R23" s="3"/>
      <c r="S23" s="3"/>
    </row>
    <row r="24" spans="1:19" x14ac:dyDescent="0.2">
      <c r="A24" s="4">
        <v>17.5</v>
      </c>
      <c r="B24" s="4">
        <v>16</v>
      </c>
      <c r="C24" s="4">
        <v>23</v>
      </c>
      <c r="D24" s="4">
        <v>22</v>
      </c>
      <c r="E24" s="4">
        <v>0</v>
      </c>
      <c r="F24" s="4">
        <v>1</v>
      </c>
      <c r="G24" s="4">
        <v>1</v>
      </c>
      <c r="H24" s="4">
        <v>0</v>
      </c>
      <c r="I24" s="2" t="s">
        <v>79</v>
      </c>
      <c r="K24" s="2" t="s">
        <v>8</v>
      </c>
      <c r="L24" s="2">
        <v>394</v>
      </c>
      <c r="M24" s="3"/>
      <c r="N24" s="3"/>
      <c r="O24" s="3"/>
      <c r="P24" s="3"/>
      <c r="Q24" s="3"/>
      <c r="R24" s="3"/>
      <c r="S24" s="3"/>
    </row>
    <row r="25" spans="1:19" x14ac:dyDescent="0.2">
      <c r="A25" s="4">
        <v>5.15</v>
      </c>
      <c r="B25" s="4">
        <v>16</v>
      </c>
      <c r="C25" s="4">
        <v>39</v>
      </c>
      <c r="D25" s="4">
        <v>21</v>
      </c>
      <c r="E25" s="4">
        <v>1</v>
      </c>
      <c r="F25" s="4">
        <v>0</v>
      </c>
      <c r="G25" s="4">
        <v>1</v>
      </c>
      <c r="H25" s="4">
        <v>0</v>
      </c>
      <c r="I25" s="2" t="s">
        <v>79</v>
      </c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">
      <c r="A26" s="4">
        <v>6.88</v>
      </c>
      <c r="B26" s="4">
        <v>13</v>
      </c>
      <c r="C26" s="4">
        <v>34</v>
      </c>
      <c r="D26" s="4">
        <v>21</v>
      </c>
      <c r="E26" s="4">
        <v>0</v>
      </c>
      <c r="F26" s="4">
        <v>1</v>
      </c>
      <c r="G26" s="4">
        <v>0</v>
      </c>
      <c r="H26" s="4">
        <v>0</v>
      </c>
      <c r="I26" s="2" t="s">
        <v>79</v>
      </c>
      <c r="K26" s="38" t="s">
        <v>9</v>
      </c>
      <c r="L26" s="39"/>
      <c r="M26" s="39"/>
      <c r="N26" s="39"/>
      <c r="O26" s="39"/>
      <c r="P26" s="40"/>
      <c r="Q26" s="3"/>
      <c r="R26" s="3"/>
      <c r="S26" s="3"/>
    </row>
    <row r="27" spans="1:19" x14ac:dyDescent="0.2">
      <c r="A27" s="4">
        <v>18.18</v>
      </c>
      <c r="B27" s="4">
        <v>17</v>
      </c>
      <c r="C27" s="4">
        <v>22</v>
      </c>
      <c r="D27" s="4">
        <v>21</v>
      </c>
      <c r="E27" s="10">
        <v>2</v>
      </c>
      <c r="F27" s="4">
        <v>1</v>
      </c>
      <c r="G27" s="4">
        <v>1</v>
      </c>
      <c r="H27" s="4">
        <v>0</v>
      </c>
      <c r="I27" s="2" t="s">
        <v>79</v>
      </c>
      <c r="K27" s="19"/>
      <c r="L27" s="19" t="s">
        <v>14</v>
      </c>
      <c r="M27" s="19" t="s">
        <v>15</v>
      </c>
      <c r="N27" s="19" t="s">
        <v>16</v>
      </c>
      <c r="O27" s="19" t="s">
        <v>17</v>
      </c>
      <c r="P27" s="19" t="s">
        <v>18</v>
      </c>
      <c r="Q27" s="3"/>
      <c r="R27" s="3"/>
      <c r="S27" s="3"/>
    </row>
    <row r="28" spans="1:19" x14ac:dyDescent="0.2">
      <c r="A28" s="4">
        <v>11.71</v>
      </c>
      <c r="B28" s="4">
        <v>13</v>
      </c>
      <c r="C28" s="4">
        <v>40</v>
      </c>
      <c r="D28" s="4">
        <v>20</v>
      </c>
      <c r="E28" s="4">
        <v>1</v>
      </c>
      <c r="F28" s="4">
        <v>0</v>
      </c>
      <c r="G28" s="4">
        <v>0</v>
      </c>
      <c r="H28" s="4">
        <v>0</v>
      </c>
      <c r="I28" s="2" t="s">
        <v>79</v>
      </c>
      <c r="K28" s="2" t="s">
        <v>10</v>
      </c>
      <c r="L28" s="23">
        <v>7</v>
      </c>
      <c r="M28" s="23">
        <v>1745.0523904768916</v>
      </c>
      <c r="N28" s="23">
        <v>249.29319863955592</v>
      </c>
      <c r="O28" s="23">
        <v>29.189116924471154</v>
      </c>
      <c r="P28" s="33">
        <v>2.8294395422444866E-32</v>
      </c>
      <c r="Q28" s="3"/>
      <c r="R28" s="3"/>
      <c r="S28" s="3"/>
    </row>
    <row r="29" spans="1:19" x14ac:dyDescent="0.2">
      <c r="A29" s="4">
        <v>3.5</v>
      </c>
      <c r="B29" s="4">
        <v>12</v>
      </c>
      <c r="C29" s="4">
        <v>26</v>
      </c>
      <c r="D29" s="4">
        <v>20</v>
      </c>
      <c r="E29" s="4">
        <v>1</v>
      </c>
      <c r="F29" s="4">
        <v>1</v>
      </c>
      <c r="G29" s="4">
        <v>0</v>
      </c>
      <c r="H29" s="4">
        <v>0</v>
      </c>
      <c r="I29" s="2" t="s">
        <v>79</v>
      </c>
      <c r="K29" s="2" t="s">
        <v>11</v>
      </c>
      <c r="L29" s="23">
        <v>386</v>
      </c>
      <c r="M29" s="23">
        <v>3296.6798866804711</v>
      </c>
      <c r="N29" s="23">
        <v>8.5406214680841224</v>
      </c>
      <c r="O29" s="23"/>
      <c r="P29" s="23"/>
      <c r="Q29" s="3"/>
      <c r="R29" s="3"/>
      <c r="S29" s="3"/>
    </row>
    <row r="30" spans="1:19" x14ac:dyDescent="0.2">
      <c r="A30" s="4">
        <v>10.95</v>
      </c>
      <c r="B30" s="4">
        <v>16</v>
      </c>
      <c r="C30" s="4">
        <v>23</v>
      </c>
      <c r="D30" s="4">
        <v>20</v>
      </c>
      <c r="E30" s="4">
        <v>0</v>
      </c>
      <c r="F30" s="4">
        <v>1</v>
      </c>
      <c r="G30" s="4">
        <v>0</v>
      </c>
      <c r="H30" s="4">
        <v>0</v>
      </c>
      <c r="I30" s="2" t="s">
        <v>79</v>
      </c>
      <c r="K30" s="2" t="s">
        <v>12</v>
      </c>
      <c r="L30" s="23">
        <v>393</v>
      </c>
      <c r="M30" s="23">
        <v>5041.7322771573627</v>
      </c>
      <c r="N30" s="23"/>
      <c r="O30" s="23"/>
      <c r="P30" s="23"/>
      <c r="Q30" s="3"/>
      <c r="R30" s="3"/>
      <c r="S30" s="3"/>
    </row>
    <row r="31" spans="1:19" x14ac:dyDescent="0.2">
      <c r="A31" s="4">
        <v>6.88</v>
      </c>
      <c r="B31" s="4">
        <v>12</v>
      </c>
      <c r="C31" s="4">
        <v>31</v>
      </c>
      <c r="D31" s="4">
        <v>19</v>
      </c>
      <c r="E31" s="4">
        <v>0</v>
      </c>
      <c r="F31" s="4">
        <v>1</v>
      </c>
      <c r="G31" s="4">
        <v>0</v>
      </c>
      <c r="H31" s="4">
        <v>0</v>
      </c>
      <c r="I31" s="2" t="s">
        <v>79</v>
      </c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2">
      <c r="A32" s="4">
        <v>4.67</v>
      </c>
      <c r="B32" s="4">
        <v>15</v>
      </c>
      <c r="C32" s="4">
        <v>13</v>
      </c>
      <c r="D32" s="4">
        <v>18</v>
      </c>
      <c r="E32" s="4">
        <v>0</v>
      </c>
      <c r="F32" s="4">
        <v>1</v>
      </c>
      <c r="G32" s="4">
        <v>1</v>
      </c>
      <c r="H32" s="4">
        <v>1</v>
      </c>
      <c r="I32" s="2" t="s">
        <v>79</v>
      </c>
      <c r="K32" s="19"/>
      <c r="L32" s="31" t="s">
        <v>19</v>
      </c>
      <c r="M32" s="19" t="s">
        <v>7</v>
      </c>
      <c r="N32" s="19" t="s">
        <v>20</v>
      </c>
      <c r="O32" s="31" t="s">
        <v>21</v>
      </c>
      <c r="P32" s="19" t="s">
        <v>22</v>
      </c>
      <c r="Q32" s="19" t="s">
        <v>23</v>
      </c>
      <c r="R32" s="19" t="s">
        <v>24</v>
      </c>
      <c r="S32" s="19" t="s">
        <v>25</v>
      </c>
    </row>
    <row r="33" spans="1:19" x14ac:dyDescent="0.2">
      <c r="A33" s="4">
        <v>4.08</v>
      </c>
      <c r="B33" s="4">
        <v>12</v>
      </c>
      <c r="C33" s="4">
        <v>43</v>
      </c>
      <c r="D33" s="4">
        <v>17</v>
      </c>
      <c r="E33" s="10">
        <v>2</v>
      </c>
      <c r="F33" s="4">
        <v>1</v>
      </c>
      <c r="G33" s="4">
        <v>0</v>
      </c>
      <c r="H33" s="4">
        <v>0</v>
      </c>
      <c r="I33" s="2" t="s">
        <v>79</v>
      </c>
      <c r="K33" s="2" t="s">
        <v>13</v>
      </c>
      <c r="L33" s="32">
        <v>-1.4488729396785698</v>
      </c>
      <c r="M33" s="25">
        <v>0.85642688283858481</v>
      </c>
      <c r="N33" s="25">
        <v>-1.6917648998550252</v>
      </c>
      <c r="O33" s="30">
        <v>9.1497873625801335E-2</v>
      </c>
      <c r="P33" s="25">
        <v>-3.1327184587783248</v>
      </c>
      <c r="Q33" s="25">
        <v>0.23497257942118521</v>
      </c>
      <c r="R33" s="25">
        <v>-3.1327184587783248</v>
      </c>
      <c r="S33" s="25">
        <v>0.23497257942118521</v>
      </c>
    </row>
    <row r="34" spans="1:19" x14ac:dyDescent="0.2">
      <c r="A34" s="4">
        <v>6.26</v>
      </c>
      <c r="B34" s="4">
        <v>13</v>
      </c>
      <c r="C34" s="4">
        <v>37</v>
      </c>
      <c r="D34" s="4">
        <v>17</v>
      </c>
      <c r="E34" s="4">
        <v>1</v>
      </c>
      <c r="F34" s="4">
        <v>1</v>
      </c>
      <c r="G34" s="4">
        <v>0</v>
      </c>
      <c r="H34" s="4">
        <v>0</v>
      </c>
      <c r="I34" s="2" t="s">
        <v>79</v>
      </c>
      <c r="K34" s="2" t="s">
        <v>0</v>
      </c>
      <c r="L34" s="32">
        <v>0.51304992509551983</v>
      </c>
      <c r="M34" s="25">
        <v>5.810303137053343E-2</v>
      </c>
      <c r="N34" s="25">
        <v>8.8300027209201648</v>
      </c>
      <c r="O34" s="30">
        <v>3.7090448369506885E-17</v>
      </c>
      <c r="P34" s="25">
        <v>0.39881188448765048</v>
      </c>
      <c r="Q34" s="25">
        <v>0.62728796570338918</v>
      </c>
      <c r="R34" s="25">
        <v>0.39881188448765048</v>
      </c>
      <c r="S34" s="25">
        <v>0.62728796570338918</v>
      </c>
    </row>
    <row r="35" spans="1:19" x14ac:dyDescent="0.2">
      <c r="A35" s="4">
        <v>4.95</v>
      </c>
      <c r="B35" s="4">
        <v>7</v>
      </c>
      <c r="C35" s="4">
        <v>25</v>
      </c>
      <c r="D35" s="4">
        <v>17</v>
      </c>
      <c r="E35" s="4">
        <v>0</v>
      </c>
      <c r="F35" s="4">
        <v>1</v>
      </c>
      <c r="G35" s="4">
        <v>0</v>
      </c>
      <c r="H35" s="4">
        <v>1</v>
      </c>
      <c r="I35" s="2" t="s">
        <v>79</v>
      </c>
      <c r="K35" s="2" t="s">
        <v>1</v>
      </c>
      <c r="L35" s="32">
        <v>1.9108534727659592E-2</v>
      </c>
      <c r="M35" s="25">
        <v>1.4182919656848189E-2</v>
      </c>
      <c r="N35" s="25">
        <v>1.3472920378867888</v>
      </c>
      <c r="O35" s="35">
        <v>0.17867653130598374</v>
      </c>
      <c r="P35" s="25">
        <v>-8.7769114096457358E-3</v>
      </c>
      <c r="Q35" s="25">
        <v>4.6993980864964924E-2</v>
      </c>
      <c r="R35" s="25">
        <v>-8.7769114096457358E-3</v>
      </c>
      <c r="S35" s="25">
        <v>4.6993980864964924E-2</v>
      </c>
    </row>
    <row r="36" spans="1:19" x14ac:dyDescent="0.2">
      <c r="A36" s="4">
        <v>13.95</v>
      </c>
      <c r="B36" s="4">
        <v>16</v>
      </c>
      <c r="C36" s="4">
        <v>41</v>
      </c>
      <c r="D36" s="4">
        <v>16</v>
      </c>
      <c r="E36" s="4">
        <v>0</v>
      </c>
      <c r="F36" s="4">
        <v>1</v>
      </c>
      <c r="G36" s="4">
        <v>0</v>
      </c>
      <c r="H36" s="4">
        <v>0</v>
      </c>
      <c r="I36" s="2" t="s">
        <v>79</v>
      </c>
      <c r="K36" s="2" t="s">
        <v>49</v>
      </c>
      <c r="L36" s="32">
        <v>0.14639755711501962</v>
      </c>
      <c r="M36" s="25">
        <v>2.5759224190244713E-2</v>
      </c>
      <c r="N36" s="25">
        <v>5.6833061443854316</v>
      </c>
      <c r="O36" s="30">
        <v>2.6075102699914428E-8</v>
      </c>
      <c r="P36" s="25">
        <v>9.5751605782353894E-2</v>
      </c>
      <c r="Q36" s="25">
        <v>0.19704350844768534</v>
      </c>
      <c r="R36" s="25">
        <v>9.5751605782353894E-2</v>
      </c>
      <c r="S36" s="25">
        <v>0.19704350844768534</v>
      </c>
    </row>
    <row r="37" spans="1:19" x14ac:dyDescent="0.2">
      <c r="A37" s="4">
        <v>4.2</v>
      </c>
      <c r="B37" s="4">
        <v>14</v>
      </c>
      <c r="C37" s="4">
        <v>33</v>
      </c>
      <c r="D37" s="4">
        <v>16</v>
      </c>
      <c r="E37" s="4">
        <v>1</v>
      </c>
      <c r="F37" s="4">
        <v>1</v>
      </c>
      <c r="G37" s="4">
        <v>0</v>
      </c>
      <c r="H37" s="4">
        <v>0</v>
      </c>
      <c r="I37" s="2" t="s">
        <v>79</v>
      </c>
      <c r="K37" s="2" t="s">
        <v>50</v>
      </c>
      <c r="L37" s="32">
        <v>-1.1977397296681283</v>
      </c>
      <c r="M37" s="25">
        <v>0.26228643086887005</v>
      </c>
      <c r="N37" s="25">
        <v>-4.5665333341889029</v>
      </c>
      <c r="O37" s="30">
        <v>6.6782178862988855E-6</v>
      </c>
      <c r="P37" s="25">
        <v>-1.7134286228931841</v>
      </c>
      <c r="Q37" s="25">
        <v>-0.68205083644307229</v>
      </c>
      <c r="R37" s="25">
        <v>-1.7134286228931841</v>
      </c>
      <c r="S37" s="25">
        <v>-0.68205083644307229</v>
      </c>
    </row>
    <row r="38" spans="1:19" x14ac:dyDescent="0.2">
      <c r="A38" s="4">
        <v>18</v>
      </c>
      <c r="B38" s="4">
        <v>12</v>
      </c>
      <c r="C38" s="4">
        <v>24</v>
      </c>
      <c r="D38" s="4">
        <v>16</v>
      </c>
      <c r="E38" s="4">
        <v>0</v>
      </c>
      <c r="F38" s="4">
        <v>1</v>
      </c>
      <c r="G38" s="4">
        <v>0</v>
      </c>
      <c r="H38" s="4">
        <v>0</v>
      </c>
      <c r="I38" s="2" t="s">
        <v>79</v>
      </c>
      <c r="K38" s="2" t="s">
        <v>51</v>
      </c>
      <c r="L38" s="32">
        <v>0.44270399077649453</v>
      </c>
      <c r="M38" s="25">
        <v>0.33317902331190141</v>
      </c>
      <c r="N38" s="25">
        <v>1.328727080042079</v>
      </c>
      <c r="O38" s="35">
        <v>0.18472296843618044</v>
      </c>
      <c r="P38" s="25">
        <v>-0.21236886681795425</v>
      </c>
      <c r="Q38" s="25">
        <v>1.0977768483709434</v>
      </c>
      <c r="R38" s="25">
        <v>-0.21236886681795425</v>
      </c>
      <c r="S38" s="25">
        <v>1.0977768483709434</v>
      </c>
    </row>
    <row r="39" spans="1:19" x14ac:dyDescent="0.2">
      <c r="A39" s="4">
        <v>3.51</v>
      </c>
      <c r="B39" s="4">
        <v>4</v>
      </c>
      <c r="C39" s="4">
        <v>39</v>
      </c>
      <c r="D39" s="4">
        <v>15</v>
      </c>
      <c r="E39" s="4">
        <v>0</v>
      </c>
      <c r="F39" s="4">
        <v>1</v>
      </c>
      <c r="G39" s="4">
        <v>1</v>
      </c>
      <c r="H39" s="4">
        <v>0</v>
      </c>
      <c r="I39" s="2" t="s">
        <v>79</v>
      </c>
      <c r="K39" s="2" t="s">
        <v>35</v>
      </c>
      <c r="L39" s="32">
        <v>1.1302983322547102</v>
      </c>
      <c r="M39" s="25">
        <v>0.39712248980802717</v>
      </c>
      <c r="N39" s="25">
        <v>2.8462209047921392</v>
      </c>
      <c r="O39" s="30">
        <v>4.6602614694398218E-3</v>
      </c>
      <c r="P39" s="25">
        <v>0.34950438662255678</v>
      </c>
      <c r="Q39" s="25">
        <v>1.9110922778868638</v>
      </c>
      <c r="R39" s="25">
        <v>0.34950438662255678</v>
      </c>
      <c r="S39" s="25">
        <v>1.9110922778868638</v>
      </c>
    </row>
    <row r="40" spans="1:19" x14ac:dyDescent="0.2">
      <c r="A40" s="4">
        <v>5.83</v>
      </c>
      <c r="B40" s="4">
        <v>8</v>
      </c>
      <c r="C40" s="4">
        <v>36</v>
      </c>
      <c r="D40" s="4">
        <v>15</v>
      </c>
      <c r="E40" s="4">
        <v>1</v>
      </c>
      <c r="F40" s="4">
        <v>1</v>
      </c>
      <c r="G40" s="4">
        <v>0</v>
      </c>
      <c r="H40" s="4">
        <v>0</v>
      </c>
      <c r="I40" s="2" t="s">
        <v>79</v>
      </c>
      <c r="K40" s="2" t="s">
        <v>40</v>
      </c>
      <c r="L40" s="32">
        <v>1.0053664853005528</v>
      </c>
      <c r="M40" s="25">
        <v>0.77675954446264894</v>
      </c>
      <c r="N40" s="25">
        <v>1.2943085057243175</v>
      </c>
      <c r="O40" s="35">
        <v>0.19633266981402617</v>
      </c>
      <c r="P40" s="25">
        <v>-0.52184278915179183</v>
      </c>
      <c r="Q40" s="25">
        <v>2.5325757597528975</v>
      </c>
      <c r="R40" s="25">
        <v>-0.52184278915179183</v>
      </c>
      <c r="S40" s="25">
        <v>2.5325757597528975</v>
      </c>
    </row>
    <row r="41" spans="1:19" x14ac:dyDescent="0.2">
      <c r="A41" s="4">
        <v>2.14</v>
      </c>
      <c r="B41" s="4">
        <v>13</v>
      </c>
      <c r="C41" s="4">
        <v>34</v>
      </c>
      <c r="D41" s="4">
        <v>15</v>
      </c>
      <c r="E41" s="4">
        <v>1</v>
      </c>
      <c r="F41" s="4">
        <v>1</v>
      </c>
      <c r="G41" s="4">
        <v>0</v>
      </c>
      <c r="H41" s="4">
        <v>0</v>
      </c>
      <c r="I41" s="2" t="s">
        <v>79</v>
      </c>
    </row>
    <row r="42" spans="1:19" x14ac:dyDescent="0.2">
      <c r="A42" s="4">
        <v>18</v>
      </c>
      <c r="B42" s="4">
        <v>12</v>
      </c>
      <c r="C42" s="4">
        <v>31</v>
      </c>
      <c r="D42" s="4">
        <v>15</v>
      </c>
      <c r="E42" s="4">
        <v>0</v>
      </c>
      <c r="F42" s="4">
        <v>1</v>
      </c>
      <c r="G42" s="4">
        <v>1</v>
      </c>
      <c r="H42" s="4">
        <v>0</v>
      </c>
      <c r="I42" s="2" t="s">
        <v>79</v>
      </c>
    </row>
    <row r="43" spans="1:19" x14ac:dyDescent="0.2">
      <c r="A43" s="4">
        <v>4.5</v>
      </c>
      <c r="B43" s="4">
        <v>12</v>
      </c>
      <c r="C43" s="4">
        <v>37</v>
      </c>
      <c r="D43" s="4">
        <v>14</v>
      </c>
      <c r="E43" s="4">
        <v>1</v>
      </c>
      <c r="F43" s="4">
        <v>1</v>
      </c>
      <c r="G43" s="4">
        <v>1</v>
      </c>
      <c r="H43" s="4">
        <v>0</v>
      </c>
      <c r="I43" s="2" t="s">
        <v>79</v>
      </c>
    </row>
    <row r="44" spans="1:19" x14ac:dyDescent="0.2">
      <c r="A44" s="4">
        <v>6.5</v>
      </c>
      <c r="B44" s="4">
        <v>12</v>
      </c>
      <c r="C44" s="4">
        <v>20</v>
      </c>
      <c r="D44" s="4">
        <v>14</v>
      </c>
      <c r="E44" s="4">
        <v>0</v>
      </c>
      <c r="F44" s="4">
        <v>1</v>
      </c>
      <c r="G44" s="4">
        <v>1</v>
      </c>
      <c r="H44" s="4">
        <v>0</v>
      </c>
      <c r="I44" s="2" t="s">
        <v>79</v>
      </c>
    </row>
    <row r="45" spans="1:19" x14ac:dyDescent="0.2">
      <c r="A45" s="4">
        <v>11.82</v>
      </c>
      <c r="B45" s="4">
        <v>16</v>
      </c>
      <c r="C45" s="4">
        <v>35</v>
      </c>
      <c r="D45" s="4">
        <v>13</v>
      </c>
      <c r="E45" s="4">
        <v>0</v>
      </c>
      <c r="F45" s="4">
        <v>1</v>
      </c>
      <c r="G45" s="4">
        <v>1</v>
      </c>
      <c r="H45" s="4">
        <v>0</v>
      </c>
      <c r="I45" s="2" t="s">
        <v>79</v>
      </c>
    </row>
    <row r="46" spans="1:19" x14ac:dyDescent="0.2">
      <c r="A46" s="4">
        <v>3.29</v>
      </c>
      <c r="B46" s="4">
        <v>14</v>
      </c>
      <c r="C46" s="4">
        <v>30</v>
      </c>
      <c r="D46" s="4">
        <v>13</v>
      </c>
      <c r="E46" s="4">
        <v>0</v>
      </c>
      <c r="F46" s="4">
        <v>0</v>
      </c>
      <c r="G46" s="4">
        <v>0</v>
      </c>
      <c r="H46" s="4">
        <v>0</v>
      </c>
      <c r="I46" s="2" t="s">
        <v>79</v>
      </c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2">
      <c r="A47" s="4">
        <v>8.48</v>
      </c>
      <c r="B47" s="4">
        <v>12</v>
      </c>
      <c r="C47" s="4">
        <v>29</v>
      </c>
      <c r="D47" s="4">
        <v>13</v>
      </c>
      <c r="E47" s="4">
        <v>0</v>
      </c>
      <c r="F47" s="4">
        <v>1</v>
      </c>
      <c r="G47" s="4">
        <v>1</v>
      </c>
      <c r="H47" s="4">
        <v>0</v>
      </c>
      <c r="I47" s="2" t="s">
        <v>79</v>
      </c>
    </row>
    <row r="48" spans="1:19" x14ac:dyDescent="0.2">
      <c r="A48" s="4">
        <v>6</v>
      </c>
      <c r="B48" s="4">
        <v>13</v>
      </c>
      <c r="C48" s="4">
        <v>21</v>
      </c>
      <c r="D48" s="4">
        <v>13</v>
      </c>
      <c r="E48" s="4">
        <v>0</v>
      </c>
      <c r="F48" s="4">
        <v>1</v>
      </c>
      <c r="G48" s="4">
        <v>0</v>
      </c>
      <c r="H48" s="4">
        <v>0</v>
      </c>
      <c r="I48" s="2" t="s">
        <v>79</v>
      </c>
    </row>
    <row r="49" spans="1:9" x14ac:dyDescent="0.2">
      <c r="A49" s="4">
        <v>13.7</v>
      </c>
      <c r="B49" s="4">
        <v>15</v>
      </c>
      <c r="C49" s="4">
        <v>20</v>
      </c>
      <c r="D49" s="4">
        <v>13</v>
      </c>
      <c r="E49" s="4">
        <v>0</v>
      </c>
      <c r="F49" s="4">
        <v>1</v>
      </c>
      <c r="G49" s="4">
        <v>1</v>
      </c>
      <c r="H49" s="4">
        <v>0</v>
      </c>
      <c r="I49" s="2" t="s">
        <v>79</v>
      </c>
    </row>
    <row r="50" spans="1:9" x14ac:dyDescent="0.2">
      <c r="A50" s="4">
        <v>4</v>
      </c>
      <c r="B50" s="4">
        <v>11</v>
      </c>
      <c r="C50" s="9">
        <v>43.93</v>
      </c>
      <c r="D50" s="4">
        <v>12</v>
      </c>
      <c r="E50" s="4">
        <v>1</v>
      </c>
      <c r="F50" s="4">
        <v>1</v>
      </c>
      <c r="G50" s="4">
        <v>1</v>
      </c>
      <c r="H50" s="4">
        <v>0</v>
      </c>
      <c r="I50" s="2" t="s">
        <v>79</v>
      </c>
    </row>
    <row r="51" spans="1:9" x14ac:dyDescent="0.2">
      <c r="A51" s="4">
        <v>4.5</v>
      </c>
      <c r="B51" s="4">
        <v>12</v>
      </c>
      <c r="C51" s="4">
        <v>35</v>
      </c>
      <c r="D51" s="4">
        <v>12</v>
      </c>
      <c r="E51" s="4">
        <v>1</v>
      </c>
      <c r="F51" s="4">
        <v>1</v>
      </c>
      <c r="G51" s="4">
        <v>0</v>
      </c>
      <c r="H51" s="4">
        <v>0</v>
      </c>
      <c r="I51" s="2" t="s">
        <v>79</v>
      </c>
    </row>
    <row r="52" spans="1:9" x14ac:dyDescent="0.2">
      <c r="A52" s="4">
        <v>6.15</v>
      </c>
      <c r="B52" s="4">
        <v>12</v>
      </c>
      <c r="C52" s="4">
        <v>35</v>
      </c>
      <c r="D52" s="4">
        <v>12</v>
      </c>
      <c r="E52" s="4">
        <v>1</v>
      </c>
      <c r="F52" s="4">
        <v>0</v>
      </c>
      <c r="G52" s="4">
        <v>0</v>
      </c>
      <c r="H52" s="4">
        <v>0</v>
      </c>
      <c r="I52" s="2" t="s">
        <v>79</v>
      </c>
    </row>
    <row r="53" spans="1:9" x14ac:dyDescent="0.2">
      <c r="A53" s="4">
        <v>3</v>
      </c>
      <c r="B53" s="4">
        <v>8</v>
      </c>
      <c r="C53" s="4">
        <v>33</v>
      </c>
      <c r="D53" s="4">
        <v>12</v>
      </c>
      <c r="E53" s="4">
        <v>1</v>
      </c>
      <c r="F53" s="4">
        <v>1</v>
      </c>
      <c r="G53" s="4">
        <v>0</v>
      </c>
      <c r="H53" s="4">
        <v>0</v>
      </c>
      <c r="I53" s="2" t="s">
        <v>79</v>
      </c>
    </row>
    <row r="54" spans="1:9" x14ac:dyDescent="0.2">
      <c r="A54" s="4">
        <v>9.1300000000000008</v>
      </c>
      <c r="B54" s="4">
        <v>12</v>
      </c>
      <c r="C54" s="4">
        <v>14</v>
      </c>
      <c r="D54" s="4">
        <v>12</v>
      </c>
      <c r="E54" s="4">
        <v>0</v>
      </c>
      <c r="F54" s="4">
        <v>1</v>
      </c>
      <c r="G54" s="4">
        <v>0</v>
      </c>
      <c r="H54" s="4">
        <v>0</v>
      </c>
      <c r="I54" s="2" t="s">
        <v>79</v>
      </c>
    </row>
    <row r="55" spans="1:9" x14ac:dyDescent="0.2">
      <c r="A55" s="4">
        <v>9.09</v>
      </c>
      <c r="B55" s="4">
        <v>15</v>
      </c>
      <c r="C55" s="4">
        <v>11</v>
      </c>
      <c r="D55" s="4">
        <v>12</v>
      </c>
      <c r="E55" s="4">
        <v>0</v>
      </c>
      <c r="F55" s="4">
        <v>1</v>
      </c>
      <c r="G55" s="4">
        <v>1</v>
      </c>
      <c r="H55" s="4">
        <v>0</v>
      </c>
      <c r="I55" s="2" t="s">
        <v>79</v>
      </c>
    </row>
    <row r="56" spans="1:9" x14ac:dyDescent="0.2">
      <c r="A56" s="4">
        <v>4.4400000000000004</v>
      </c>
      <c r="B56" s="4">
        <v>8</v>
      </c>
      <c r="C56" s="4">
        <v>29</v>
      </c>
      <c r="D56" s="4">
        <v>11</v>
      </c>
      <c r="E56" s="4">
        <v>0</v>
      </c>
      <c r="F56" s="4">
        <v>1</v>
      </c>
      <c r="G56" s="4">
        <v>0</v>
      </c>
      <c r="H56" s="4">
        <v>0</v>
      </c>
      <c r="I56" s="2" t="s">
        <v>79</v>
      </c>
    </row>
    <row r="57" spans="1:9" x14ac:dyDescent="0.2">
      <c r="A57" s="4">
        <v>6.5</v>
      </c>
      <c r="B57" s="4">
        <v>10</v>
      </c>
      <c r="C57" s="4">
        <v>14</v>
      </c>
      <c r="D57" s="4">
        <v>11</v>
      </c>
      <c r="E57" s="4">
        <v>0</v>
      </c>
      <c r="F57" s="4">
        <v>1</v>
      </c>
      <c r="G57" s="4">
        <v>0</v>
      </c>
      <c r="H57" s="4">
        <v>0</v>
      </c>
      <c r="I57" s="2" t="s">
        <v>79</v>
      </c>
    </row>
    <row r="58" spans="1:9" x14ac:dyDescent="0.2">
      <c r="A58" s="4">
        <v>5</v>
      </c>
      <c r="B58" s="4">
        <v>12</v>
      </c>
      <c r="C58" s="4">
        <v>14</v>
      </c>
      <c r="D58" s="4">
        <v>11</v>
      </c>
      <c r="E58" s="4">
        <v>1</v>
      </c>
      <c r="F58" s="4">
        <v>0</v>
      </c>
      <c r="G58" s="4">
        <v>0</v>
      </c>
      <c r="H58" s="4">
        <v>0</v>
      </c>
      <c r="I58" s="2" t="s">
        <v>79</v>
      </c>
    </row>
    <row r="59" spans="1:9" x14ac:dyDescent="0.2">
      <c r="A59" s="4">
        <v>13.33</v>
      </c>
      <c r="B59" s="4">
        <v>12</v>
      </c>
      <c r="C59" s="4">
        <v>14</v>
      </c>
      <c r="D59" s="4">
        <v>11</v>
      </c>
      <c r="E59" s="4">
        <v>0</v>
      </c>
      <c r="F59" s="4">
        <v>1</v>
      </c>
      <c r="G59" s="4">
        <v>0</v>
      </c>
      <c r="H59" s="4">
        <v>0</v>
      </c>
      <c r="I59" s="2" t="s">
        <v>79</v>
      </c>
    </row>
    <row r="60" spans="1:9" x14ac:dyDescent="0.2">
      <c r="A60" s="4">
        <v>5.25</v>
      </c>
      <c r="B60" s="4">
        <v>11</v>
      </c>
      <c r="C60" s="4">
        <v>13</v>
      </c>
      <c r="D60" s="4">
        <v>11</v>
      </c>
      <c r="E60" s="4">
        <v>0</v>
      </c>
      <c r="F60" s="4">
        <v>1</v>
      </c>
      <c r="G60" s="4">
        <v>0</v>
      </c>
      <c r="H60" s="4">
        <v>0</v>
      </c>
      <c r="I60" s="2" t="s">
        <v>79</v>
      </c>
    </row>
    <row r="61" spans="1:9" x14ac:dyDescent="0.2">
      <c r="A61" s="4">
        <v>2.65</v>
      </c>
      <c r="B61" s="4">
        <v>12</v>
      </c>
      <c r="C61" s="4">
        <v>42</v>
      </c>
      <c r="D61" s="4">
        <v>10</v>
      </c>
      <c r="E61" s="4">
        <v>1</v>
      </c>
      <c r="F61" s="4">
        <v>1</v>
      </c>
      <c r="G61" s="4">
        <v>1</v>
      </c>
      <c r="H61" s="4">
        <v>0</v>
      </c>
      <c r="I61" s="2" t="s">
        <v>79</v>
      </c>
    </row>
    <row r="62" spans="1:9" x14ac:dyDescent="0.2">
      <c r="A62" s="4">
        <v>4.5</v>
      </c>
      <c r="B62" s="4">
        <v>11</v>
      </c>
      <c r="C62" s="4">
        <v>37</v>
      </c>
      <c r="D62" s="4">
        <v>10</v>
      </c>
      <c r="E62" s="4">
        <v>0</v>
      </c>
      <c r="F62" s="4">
        <v>1</v>
      </c>
      <c r="G62" s="4">
        <v>0</v>
      </c>
      <c r="H62" s="4">
        <v>0</v>
      </c>
      <c r="I62" s="2" t="s">
        <v>79</v>
      </c>
    </row>
    <row r="63" spans="1:9" x14ac:dyDescent="0.2">
      <c r="A63" s="4">
        <v>4.17</v>
      </c>
      <c r="B63" s="4">
        <v>0</v>
      </c>
      <c r="C63" s="4">
        <v>22</v>
      </c>
      <c r="D63" s="4">
        <v>10</v>
      </c>
      <c r="E63" s="4">
        <v>1</v>
      </c>
      <c r="F63" s="4">
        <v>0</v>
      </c>
      <c r="G63" s="4">
        <v>0</v>
      </c>
      <c r="H63" s="4">
        <v>0</v>
      </c>
      <c r="I63" s="2" t="s">
        <v>79</v>
      </c>
    </row>
    <row r="64" spans="1:9" x14ac:dyDescent="0.2">
      <c r="A64" s="4">
        <v>3</v>
      </c>
      <c r="B64" s="4">
        <v>16</v>
      </c>
      <c r="C64" s="4">
        <v>19</v>
      </c>
      <c r="D64" s="4">
        <v>10</v>
      </c>
      <c r="E64" s="4">
        <v>1</v>
      </c>
      <c r="F64" s="4">
        <v>1</v>
      </c>
      <c r="G64" s="4">
        <v>0</v>
      </c>
      <c r="H64" s="4">
        <v>0</v>
      </c>
      <c r="I64" s="2" t="s">
        <v>79</v>
      </c>
    </row>
    <row r="65" spans="1:9" x14ac:dyDescent="0.2">
      <c r="A65" s="4">
        <v>5.25</v>
      </c>
      <c r="B65" s="4">
        <v>12</v>
      </c>
      <c r="C65" s="4">
        <v>19</v>
      </c>
      <c r="D65" s="4">
        <v>10</v>
      </c>
      <c r="E65" s="4">
        <v>1</v>
      </c>
      <c r="F65" s="4">
        <v>1</v>
      </c>
      <c r="G65" s="4">
        <v>0</v>
      </c>
      <c r="H65" s="4">
        <v>0</v>
      </c>
      <c r="I65" s="2" t="s">
        <v>79</v>
      </c>
    </row>
    <row r="66" spans="1:9" x14ac:dyDescent="0.2">
      <c r="A66" s="4">
        <v>10.63</v>
      </c>
      <c r="B66" s="4">
        <v>13</v>
      </c>
      <c r="C66" s="4">
        <v>16</v>
      </c>
      <c r="D66" s="4">
        <v>10</v>
      </c>
      <c r="E66" s="4">
        <v>1</v>
      </c>
      <c r="F66" s="4">
        <v>0</v>
      </c>
      <c r="G66" s="4">
        <v>1</v>
      </c>
      <c r="H66" s="4">
        <v>0</v>
      </c>
      <c r="I66" s="2" t="s">
        <v>79</v>
      </c>
    </row>
    <row r="67" spans="1:9" x14ac:dyDescent="0.2">
      <c r="A67" s="4">
        <v>3.06</v>
      </c>
      <c r="B67" s="4">
        <v>12</v>
      </c>
      <c r="C67" s="4">
        <v>14</v>
      </c>
      <c r="D67" s="4">
        <v>10</v>
      </c>
      <c r="E67" s="4">
        <v>1</v>
      </c>
      <c r="F67" s="4">
        <v>0</v>
      </c>
      <c r="G67" s="4">
        <v>0</v>
      </c>
      <c r="H67" s="4">
        <v>0</v>
      </c>
      <c r="I67" s="2" t="s">
        <v>79</v>
      </c>
    </row>
    <row r="68" spans="1:9" x14ac:dyDescent="0.2">
      <c r="A68" s="4">
        <v>7.78</v>
      </c>
      <c r="B68" s="4">
        <v>16</v>
      </c>
      <c r="C68" s="4">
        <v>11</v>
      </c>
      <c r="D68" s="4">
        <v>10</v>
      </c>
      <c r="E68" s="4">
        <v>0</v>
      </c>
      <c r="F68" s="4">
        <v>1</v>
      </c>
      <c r="G68" s="4">
        <v>1</v>
      </c>
      <c r="H68" s="4">
        <v>0</v>
      </c>
      <c r="I68" s="2" t="s">
        <v>79</v>
      </c>
    </row>
    <row r="69" spans="1:9" x14ac:dyDescent="0.2">
      <c r="A69" s="4">
        <v>11.98</v>
      </c>
      <c r="B69" s="4">
        <v>18</v>
      </c>
      <c r="C69" s="4">
        <v>8</v>
      </c>
      <c r="D69" s="4">
        <v>10</v>
      </c>
      <c r="E69" s="4">
        <v>0</v>
      </c>
      <c r="F69" s="4">
        <v>1</v>
      </c>
      <c r="G69" s="4">
        <v>0</v>
      </c>
      <c r="H69" s="4">
        <v>0</v>
      </c>
      <c r="I69" s="2" t="s">
        <v>79</v>
      </c>
    </row>
    <row r="70" spans="1:9" x14ac:dyDescent="0.2">
      <c r="A70" s="4">
        <v>5</v>
      </c>
      <c r="B70" s="10">
        <v>12</v>
      </c>
      <c r="C70" s="4">
        <v>31</v>
      </c>
      <c r="D70" s="4">
        <v>9</v>
      </c>
      <c r="E70" s="4">
        <v>0</v>
      </c>
      <c r="F70" s="4">
        <v>1</v>
      </c>
      <c r="G70" s="4">
        <v>0</v>
      </c>
      <c r="H70" s="4">
        <v>0</v>
      </c>
      <c r="I70" s="2" t="s">
        <v>79</v>
      </c>
    </row>
    <row r="71" spans="1:9" x14ac:dyDescent="0.2">
      <c r="A71" s="4">
        <v>8.6300000000000008</v>
      </c>
      <c r="B71" s="4">
        <v>12</v>
      </c>
      <c r="C71" s="4">
        <v>23</v>
      </c>
      <c r="D71" s="4">
        <v>9</v>
      </c>
      <c r="E71" s="4">
        <v>0</v>
      </c>
      <c r="F71" s="4">
        <v>1</v>
      </c>
      <c r="G71" s="4">
        <v>0</v>
      </c>
      <c r="H71" s="4">
        <v>0</v>
      </c>
      <c r="I71" s="2" t="s">
        <v>79</v>
      </c>
    </row>
    <row r="72" spans="1:9" x14ac:dyDescent="0.2">
      <c r="A72" s="4">
        <v>3.3</v>
      </c>
      <c r="B72" s="4">
        <v>12</v>
      </c>
      <c r="C72" s="4">
        <v>21</v>
      </c>
      <c r="D72" s="4">
        <v>9</v>
      </c>
      <c r="E72" s="4">
        <v>1</v>
      </c>
      <c r="F72" s="4">
        <v>1</v>
      </c>
      <c r="G72" s="4">
        <v>0</v>
      </c>
      <c r="H72" s="4">
        <v>0</v>
      </c>
      <c r="I72" s="2" t="s">
        <v>79</v>
      </c>
    </row>
    <row r="73" spans="1:9" x14ac:dyDescent="0.2">
      <c r="A73" s="4">
        <v>6.33</v>
      </c>
      <c r="B73" s="4">
        <v>16</v>
      </c>
      <c r="C73" s="4">
        <v>9</v>
      </c>
      <c r="D73" s="4">
        <v>9</v>
      </c>
      <c r="E73" s="4">
        <v>1</v>
      </c>
      <c r="F73" s="4">
        <v>0</v>
      </c>
      <c r="G73" s="4">
        <v>1</v>
      </c>
      <c r="H73" s="4">
        <v>0</v>
      </c>
      <c r="I73" s="2" t="s">
        <v>79</v>
      </c>
    </row>
    <row r="74" spans="1:9" x14ac:dyDescent="0.2">
      <c r="A74" s="4">
        <v>2.87</v>
      </c>
      <c r="B74" s="4">
        <v>12</v>
      </c>
      <c r="C74" s="9">
        <v>43.93</v>
      </c>
      <c r="D74" s="4">
        <v>8</v>
      </c>
      <c r="E74" s="4">
        <v>1</v>
      </c>
      <c r="F74" s="4">
        <v>1</v>
      </c>
      <c r="G74" s="4">
        <v>0</v>
      </c>
      <c r="H74" s="4">
        <v>0</v>
      </c>
      <c r="I74" s="2" t="s">
        <v>79</v>
      </c>
    </row>
    <row r="75" spans="1:9" x14ac:dyDescent="0.2">
      <c r="A75" s="4">
        <v>4.79</v>
      </c>
      <c r="B75" s="4">
        <v>12</v>
      </c>
      <c r="C75" s="4">
        <v>41</v>
      </c>
      <c r="D75" s="4">
        <v>8</v>
      </c>
      <c r="E75" s="4">
        <v>0</v>
      </c>
      <c r="F75" s="4">
        <v>1</v>
      </c>
      <c r="G75" s="4">
        <v>0</v>
      </c>
      <c r="H75" s="4">
        <v>0</v>
      </c>
      <c r="I75" s="2" t="s">
        <v>79</v>
      </c>
    </row>
    <row r="76" spans="1:9" x14ac:dyDescent="0.2">
      <c r="A76" s="4">
        <v>3.33</v>
      </c>
      <c r="B76" s="4">
        <v>12</v>
      </c>
      <c r="C76" s="4">
        <v>36</v>
      </c>
      <c r="D76" s="4">
        <v>8</v>
      </c>
      <c r="E76" s="4">
        <v>1</v>
      </c>
      <c r="F76" s="4">
        <v>1</v>
      </c>
      <c r="G76" s="4">
        <v>0</v>
      </c>
      <c r="H76" s="4">
        <v>0</v>
      </c>
      <c r="I76" s="2" t="s">
        <v>79</v>
      </c>
    </row>
    <row r="77" spans="1:9" x14ac:dyDescent="0.2">
      <c r="A77" s="4">
        <v>6.25</v>
      </c>
      <c r="B77" s="4">
        <v>10</v>
      </c>
      <c r="C77" s="4">
        <v>36</v>
      </c>
      <c r="D77" s="4">
        <v>8</v>
      </c>
      <c r="E77" s="4">
        <v>0</v>
      </c>
      <c r="F77" s="4">
        <v>0</v>
      </c>
      <c r="G77" s="4">
        <v>0</v>
      </c>
      <c r="H77" s="4">
        <v>0</v>
      </c>
      <c r="I77" s="2" t="s">
        <v>79</v>
      </c>
    </row>
    <row r="78" spans="1:9" x14ac:dyDescent="0.2">
      <c r="A78" s="4">
        <v>11.11</v>
      </c>
      <c r="B78" s="4">
        <v>12</v>
      </c>
      <c r="C78" s="4">
        <v>30</v>
      </c>
      <c r="D78" s="4">
        <v>8</v>
      </c>
      <c r="E78" s="4">
        <v>0</v>
      </c>
      <c r="F78" s="4">
        <v>1</v>
      </c>
      <c r="G78" s="4">
        <v>0</v>
      </c>
      <c r="H78" s="4">
        <v>0</v>
      </c>
      <c r="I78" s="2" t="s">
        <v>79</v>
      </c>
    </row>
    <row r="79" spans="1:9" x14ac:dyDescent="0.2">
      <c r="A79" s="4">
        <v>8.64</v>
      </c>
      <c r="B79" s="4">
        <v>12</v>
      </c>
      <c r="C79" s="4">
        <v>28</v>
      </c>
      <c r="D79" s="4">
        <v>8</v>
      </c>
      <c r="E79" s="4">
        <v>0</v>
      </c>
      <c r="F79" s="4">
        <v>1</v>
      </c>
      <c r="G79" s="4">
        <v>0</v>
      </c>
      <c r="H79" s="4">
        <v>0</v>
      </c>
      <c r="I79" s="2" t="s">
        <v>79</v>
      </c>
    </row>
    <row r="80" spans="1:9" x14ac:dyDescent="0.2">
      <c r="A80" s="4">
        <v>3.3</v>
      </c>
      <c r="B80" s="4">
        <v>12</v>
      </c>
      <c r="C80" s="4">
        <v>25</v>
      </c>
      <c r="D80" s="4">
        <v>8</v>
      </c>
      <c r="E80" s="4">
        <v>0</v>
      </c>
      <c r="F80" s="4">
        <v>1</v>
      </c>
      <c r="G80" s="4">
        <v>0</v>
      </c>
      <c r="H80" s="4">
        <v>0</v>
      </c>
      <c r="I80" s="2" t="s">
        <v>79</v>
      </c>
    </row>
    <row r="81" spans="1:9" x14ac:dyDescent="0.2">
      <c r="A81" s="4">
        <v>6.33</v>
      </c>
      <c r="B81" s="4">
        <v>12</v>
      </c>
      <c r="C81" s="4">
        <v>23</v>
      </c>
      <c r="D81" s="4">
        <v>8</v>
      </c>
      <c r="E81" s="4">
        <v>0</v>
      </c>
      <c r="F81" s="4">
        <v>1</v>
      </c>
      <c r="G81" s="4">
        <v>0</v>
      </c>
      <c r="H81" s="4">
        <v>0</v>
      </c>
      <c r="I81" s="2" t="s">
        <v>79</v>
      </c>
    </row>
    <row r="82" spans="1:9" x14ac:dyDescent="0.2">
      <c r="A82" s="4">
        <v>4.91</v>
      </c>
      <c r="B82" s="4">
        <v>12</v>
      </c>
      <c r="C82" s="4">
        <v>17</v>
      </c>
      <c r="D82" s="4">
        <v>8</v>
      </c>
      <c r="E82" s="4">
        <v>0</v>
      </c>
      <c r="F82" s="4">
        <v>1</v>
      </c>
      <c r="G82" s="4">
        <v>0</v>
      </c>
      <c r="H82" s="4">
        <v>0</v>
      </c>
      <c r="I82" s="2" t="s">
        <v>79</v>
      </c>
    </row>
    <row r="83" spans="1:9" x14ac:dyDescent="0.2">
      <c r="A83" s="4">
        <v>8.75</v>
      </c>
      <c r="B83" s="4">
        <v>16</v>
      </c>
      <c r="C83" s="4">
        <v>9</v>
      </c>
      <c r="D83" s="4">
        <v>8</v>
      </c>
      <c r="E83" s="4">
        <v>0</v>
      </c>
      <c r="F83" s="4">
        <v>1</v>
      </c>
      <c r="G83" s="4">
        <v>1</v>
      </c>
      <c r="H83" s="4">
        <v>0</v>
      </c>
      <c r="I83" s="2" t="s">
        <v>79</v>
      </c>
    </row>
    <row r="84" spans="1:9" x14ac:dyDescent="0.2">
      <c r="A84" s="4">
        <v>10</v>
      </c>
      <c r="B84" s="4">
        <v>18</v>
      </c>
      <c r="C84" s="4">
        <v>9</v>
      </c>
      <c r="D84" s="4">
        <v>8</v>
      </c>
      <c r="E84" s="4">
        <v>0</v>
      </c>
      <c r="F84" s="4">
        <v>0</v>
      </c>
      <c r="G84" s="4">
        <v>0</v>
      </c>
      <c r="H84" s="4">
        <v>0</v>
      </c>
      <c r="I84" s="2" t="s">
        <v>79</v>
      </c>
    </row>
    <row r="85" spans="1:9" x14ac:dyDescent="0.2">
      <c r="A85" s="4">
        <v>21.63</v>
      </c>
      <c r="B85" s="4">
        <v>18</v>
      </c>
      <c r="C85" s="4">
        <v>8</v>
      </c>
      <c r="D85" s="4">
        <v>8</v>
      </c>
      <c r="E85" s="4">
        <v>1</v>
      </c>
      <c r="F85" s="4">
        <v>0</v>
      </c>
      <c r="G85" s="4">
        <v>0</v>
      </c>
      <c r="H85" s="4">
        <v>0</v>
      </c>
      <c r="I85" s="2" t="s">
        <v>79</v>
      </c>
    </row>
    <row r="86" spans="1:9" x14ac:dyDescent="0.2">
      <c r="A86" s="4">
        <v>4.57</v>
      </c>
      <c r="B86" s="4">
        <v>14</v>
      </c>
      <c r="C86" s="4">
        <v>37</v>
      </c>
      <c r="D86" s="4">
        <v>7</v>
      </c>
      <c r="E86" s="4">
        <v>1</v>
      </c>
      <c r="F86" s="4">
        <v>1</v>
      </c>
      <c r="G86" s="4">
        <v>0</v>
      </c>
      <c r="H86" s="4">
        <v>0</v>
      </c>
      <c r="I86" s="2" t="s">
        <v>79</v>
      </c>
    </row>
    <row r="87" spans="1:9" x14ac:dyDescent="0.2">
      <c r="A87" s="4">
        <v>18.16</v>
      </c>
      <c r="B87" s="4">
        <v>16</v>
      </c>
      <c r="C87" s="4">
        <v>29</v>
      </c>
      <c r="D87" s="4">
        <v>7</v>
      </c>
      <c r="E87" s="4">
        <v>0</v>
      </c>
      <c r="F87" s="4">
        <v>1</v>
      </c>
      <c r="G87" s="4">
        <v>0</v>
      </c>
      <c r="H87" s="4">
        <v>0</v>
      </c>
      <c r="I87" s="2" t="s">
        <v>79</v>
      </c>
    </row>
    <row r="88" spans="1:9" x14ac:dyDescent="0.2">
      <c r="A88" s="4">
        <v>11.25</v>
      </c>
      <c r="B88" s="4">
        <v>18</v>
      </c>
      <c r="C88" s="4">
        <v>15</v>
      </c>
      <c r="D88" s="4">
        <v>7</v>
      </c>
      <c r="E88" s="4">
        <v>0</v>
      </c>
      <c r="F88" s="4">
        <v>0</v>
      </c>
      <c r="G88" s="4">
        <v>1</v>
      </c>
      <c r="H88" s="4">
        <v>0</v>
      </c>
      <c r="I88" s="2" t="s">
        <v>79</v>
      </c>
    </row>
    <row r="89" spans="1:9" x14ac:dyDescent="0.2">
      <c r="A89" s="4">
        <v>5.9</v>
      </c>
      <c r="B89" s="4">
        <v>12</v>
      </c>
      <c r="C89" s="4">
        <v>14</v>
      </c>
      <c r="D89" s="4">
        <v>7</v>
      </c>
      <c r="E89" s="4">
        <v>0</v>
      </c>
      <c r="F89" s="4">
        <v>1</v>
      </c>
      <c r="G89" s="4">
        <v>0</v>
      </c>
      <c r="H89" s="4">
        <v>0</v>
      </c>
      <c r="I89" s="2" t="s">
        <v>79</v>
      </c>
    </row>
    <row r="90" spans="1:9" x14ac:dyDescent="0.2">
      <c r="A90" s="4">
        <v>3.71</v>
      </c>
      <c r="B90" s="4">
        <v>9</v>
      </c>
      <c r="C90" s="4">
        <v>14</v>
      </c>
      <c r="D90" s="4">
        <v>7</v>
      </c>
      <c r="E90" s="4">
        <v>0</v>
      </c>
      <c r="F90" s="4">
        <v>1</v>
      </c>
      <c r="G90" s="4">
        <v>0</v>
      </c>
      <c r="H90" s="4">
        <v>0</v>
      </c>
      <c r="I90" s="2" t="s">
        <v>79</v>
      </c>
    </row>
    <row r="91" spans="1:9" x14ac:dyDescent="0.2">
      <c r="A91" s="4">
        <v>7.5</v>
      </c>
      <c r="B91" s="4">
        <v>12</v>
      </c>
      <c r="C91" s="4">
        <v>11</v>
      </c>
      <c r="D91" s="4">
        <v>7</v>
      </c>
      <c r="E91" s="10">
        <v>2</v>
      </c>
      <c r="F91" s="4">
        <v>1</v>
      </c>
      <c r="G91" s="4">
        <v>0</v>
      </c>
      <c r="H91" s="4">
        <v>0</v>
      </c>
      <c r="I91" s="2" t="s">
        <v>79</v>
      </c>
    </row>
    <row r="92" spans="1:9" x14ac:dyDescent="0.2">
      <c r="A92" s="4">
        <v>5.9</v>
      </c>
      <c r="B92" s="4">
        <v>12</v>
      </c>
      <c r="C92" s="4">
        <v>9</v>
      </c>
      <c r="D92" s="4">
        <v>7</v>
      </c>
      <c r="E92" s="4">
        <v>1</v>
      </c>
      <c r="F92" s="4">
        <v>1</v>
      </c>
      <c r="G92" s="4">
        <v>0</v>
      </c>
      <c r="H92" s="4">
        <v>0</v>
      </c>
      <c r="I92" s="2" t="s">
        <v>79</v>
      </c>
    </row>
    <row r="93" spans="1:9" x14ac:dyDescent="0.2">
      <c r="A93" s="4">
        <v>4.6900000000000004</v>
      </c>
      <c r="B93" s="4">
        <v>10</v>
      </c>
      <c r="C93" s="4">
        <v>7</v>
      </c>
      <c r="D93" s="4">
        <v>7</v>
      </c>
      <c r="E93" s="4">
        <v>0</v>
      </c>
      <c r="F93" s="4">
        <v>0</v>
      </c>
      <c r="G93" s="4">
        <v>0</v>
      </c>
      <c r="H93" s="4">
        <v>0</v>
      </c>
      <c r="I93" s="2" t="s">
        <v>79</v>
      </c>
    </row>
    <row r="94" spans="1:9" x14ac:dyDescent="0.2">
      <c r="A94" s="4">
        <v>6</v>
      </c>
      <c r="B94" s="4">
        <v>12</v>
      </c>
      <c r="C94" s="4">
        <v>7</v>
      </c>
      <c r="D94" s="4">
        <v>7</v>
      </c>
      <c r="E94" s="4">
        <v>0</v>
      </c>
      <c r="F94" s="4">
        <v>1</v>
      </c>
      <c r="G94" s="4">
        <v>0</v>
      </c>
      <c r="H94" s="4">
        <v>0</v>
      </c>
      <c r="I94" s="2" t="s">
        <v>79</v>
      </c>
    </row>
    <row r="95" spans="1:9" x14ac:dyDescent="0.2">
      <c r="A95" s="4">
        <v>15</v>
      </c>
      <c r="B95" s="4">
        <v>14</v>
      </c>
      <c r="C95" s="4">
        <v>7</v>
      </c>
      <c r="D95" s="4">
        <v>7</v>
      </c>
      <c r="E95" s="4">
        <v>0</v>
      </c>
      <c r="F95" s="4">
        <v>1</v>
      </c>
      <c r="G95" s="4">
        <v>0</v>
      </c>
      <c r="H95" s="4">
        <v>0</v>
      </c>
      <c r="I95" s="2" t="s">
        <v>79</v>
      </c>
    </row>
    <row r="96" spans="1:9" x14ac:dyDescent="0.2">
      <c r="A96" s="4">
        <v>3.54</v>
      </c>
      <c r="B96" s="4">
        <v>13</v>
      </c>
      <c r="C96" s="4">
        <v>6</v>
      </c>
      <c r="D96" s="4">
        <v>7</v>
      </c>
      <c r="E96" s="4">
        <v>1</v>
      </c>
      <c r="F96" s="4">
        <v>1</v>
      </c>
      <c r="G96" s="4">
        <v>0</v>
      </c>
      <c r="H96" s="4">
        <v>0</v>
      </c>
      <c r="I96" s="2" t="s">
        <v>79</v>
      </c>
    </row>
    <row r="97" spans="1:9" x14ac:dyDescent="0.2">
      <c r="A97" s="4">
        <v>2.9</v>
      </c>
      <c r="B97" s="4">
        <v>8</v>
      </c>
      <c r="C97" s="9">
        <v>43.93</v>
      </c>
      <c r="D97" s="4">
        <v>6</v>
      </c>
      <c r="E97" s="4">
        <v>1</v>
      </c>
      <c r="F97" s="4">
        <v>0</v>
      </c>
      <c r="G97" s="4">
        <v>0</v>
      </c>
      <c r="H97" s="4">
        <v>0</v>
      </c>
      <c r="I97" s="2" t="s">
        <v>79</v>
      </c>
    </row>
    <row r="98" spans="1:9" x14ac:dyDescent="0.2">
      <c r="A98" s="4">
        <v>4</v>
      </c>
      <c r="B98" s="4">
        <v>12</v>
      </c>
      <c r="C98" s="4">
        <v>43</v>
      </c>
      <c r="D98" s="4">
        <v>6</v>
      </c>
      <c r="E98" s="4">
        <v>1</v>
      </c>
      <c r="F98" s="4">
        <v>1</v>
      </c>
      <c r="G98" s="4">
        <v>0</v>
      </c>
      <c r="H98" s="4">
        <v>0</v>
      </c>
      <c r="I98" s="2" t="s">
        <v>79</v>
      </c>
    </row>
    <row r="99" spans="1:9" x14ac:dyDescent="0.2">
      <c r="A99" s="4">
        <v>6.25</v>
      </c>
      <c r="B99" s="4">
        <v>12</v>
      </c>
      <c r="C99" s="4">
        <v>21</v>
      </c>
      <c r="D99" s="4">
        <v>6</v>
      </c>
      <c r="E99" s="4">
        <v>0</v>
      </c>
      <c r="F99" s="4">
        <v>1</v>
      </c>
      <c r="G99" s="4">
        <v>0</v>
      </c>
      <c r="H99" s="4">
        <v>0</v>
      </c>
      <c r="I99" s="2" t="s">
        <v>79</v>
      </c>
    </row>
    <row r="100" spans="1:9" x14ac:dyDescent="0.2">
      <c r="A100" s="4">
        <v>5.8</v>
      </c>
      <c r="B100" s="4">
        <v>12</v>
      </c>
      <c r="C100" s="4">
        <v>19</v>
      </c>
      <c r="D100" s="4">
        <v>6</v>
      </c>
      <c r="E100" s="4">
        <v>1</v>
      </c>
      <c r="F100" s="4">
        <v>1</v>
      </c>
      <c r="G100" s="4">
        <v>0</v>
      </c>
      <c r="H100" s="4">
        <v>0</v>
      </c>
      <c r="I100" s="2" t="s">
        <v>79</v>
      </c>
    </row>
    <row r="101" spans="1:9" x14ac:dyDescent="0.2">
      <c r="A101" s="4">
        <v>8</v>
      </c>
      <c r="B101" s="4">
        <v>12</v>
      </c>
      <c r="C101" s="4">
        <v>17</v>
      </c>
      <c r="D101" s="4">
        <v>6</v>
      </c>
      <c r="E101" s="4">
        <v>0</v>
      </c>
      <c r="F101" s="4">
        <v>1</v>
      </c>
      <c r="G101" s="4">
        <v>0</v>
      </c>
      <c r="H101" s="4">
        <v>0</v>
      </c>
      <c r="I101" s="2" t="s">
        <v>79</v>
      </c>
    </row>
    <row r="102" spans="1:9" x14ac:dyDescent="0.2">
      <c r="A102" s="4">
        <v>6.15</v>
      </c>
      <c r="B102" s="4">
        <v>12</v>
      </c>
      <c r="C102" s="4">
        <v>15</v>
      </c>
      <c r="D102" s="4">
        <v>6</v>
      </c>
      <c r="E102" s="4">
        <v>1</v>
      </c>
      <c r="F102" s="4">
        <v>1</v>
      </c>
      <c r="G102" s="4">
        <v>1</v>
      </c>
      <c r="H102" s="4">
        <v>0</v>
      </c>
      <c r="I102" s="2" t="s">
        <v>79</v>
      </c>
    </row>
    <row r="103" spans="1:9" x14ac:dyDescent="0.2">
      <c r="A103" s="4">
        <v>5.91</v>
      </c>
      <c r="B103" s="4">
        <v>12</v>
      </c>
      <c r="C103" s="4">
        <v>14</v>
      </c>
      <c r="D103" s="4">
        <v>6</v>
      </c>
      <c r="E103" s="4">
        <v>0</v>
      </c>
      <c r="F103" s="4">
        <v>1</v>
      </c>
      <c r="G103" s="4">
        <v>0</v>
      </c>
      <c r="H103" s="4">
        <v>0</v>
      </c>
      <c r="I103" s="2" t="s">
        <v>79</v>
      </c>
    </row>
    <row r="104" spans="1:9" x14ac:dyDescent="0.2">
      <c r="A104" s="4">
        <v>8.5299999999999994</v>
      </c>
      <c r="B104" s="4">
        <v>10</v>
      </c>
      <c r="C104" s="4">
        <v>14</v>
      </c>
      <c r="D104" s="4">
        <v>6</v>
      </c>
      <c r="E104" s="4">
        <v>0</v>
      </c>
      <c r="F104" s="4">
        <v>1</v>
      </c>
      <c r="G104" s="4">
        <v>0</v>
      </c>
      <c r="H104" s="4">
        <v>0</v>
      </c>
      <c r="I104" s="2" t="s">
        <v>79</v>
      </c>
    </row>
    <row r="105" spans="1:9" x14ac:dyDescent="0.2">
      <c r="A105" s="4">
        <v>8.43</v>
      </c>
      <c r="B105" s="4">
        <v>16</v>
      </c>
      <c r="C105" s="4">
        <v>8</v>
      </c>
      <c r="D105" s="4">
        <v>6</v>
      </c>
      <c r="E105" s="4">
        <v>0</v>
      </c>
      <c r="F105" s="4">
        <v>1</v>
      </c>
      <c r="G105" s="4">
        <v>0</v>
      </c>
      <c r="H105" s="4">
        <v>0</v>
      </c>
      <c r="I105" s="2" t="s">
        <v>79</v>
      </c>
    </row>
    <row r="106" spans="1:9" x14ac:dyDescent="0.2">
      <c r="A106" s="4">
        <v>6.45</v>
      </c>
      <c r="B106" s="4">
        <v>12</v>
      </c>
      <c r="C106" s="4">
        <v>7</v>
      </c>
      <c r="D106" s="4">
        <v>6</v>
      </c>
      <c r="E106" s="10">
        <v>2</v>
      </c>
      <c r="F106" s="4">
        <v>1</v>
      </c>
      <c r="G106" s="4">
        <v>0</v>
      </c>
      <c r="H106" s="4">
        <v>0</v>
      </c>
      <c r="I106" s="2" t="s">
        <v>79</v>
      </c>
    </row>
    <row r="107" spans="1:9" x14ac:dyDescent="0.2">
      <c r="A107" s="4">
        <v>3.5</v>
      </c>
      <c r="B107" s="4">
        <v>12</v>
      </c>
      <c r="C107" s="4">
        <v>7</v>
      </c>
      <c r="D107" s="4">
        <v>6</v>
      </c>
      <c r="E107" s="4">
        <v>1</v>
      </c>
      <c r="F107" s="4">
        <v>1</v>
      </c>
      <c r="G107" s="4">
        <v>0</v>
      </c>
      <c r="H107" s="4">
        <v>0</v>
      </c>
      <c r="I107" s="2" t="s">
        <v>79</v>
      </c>
    </row>
    <row r="108" spans="1:9" x14ac:dyDescent="0.2">
      <c r="A108" s="4">
        <v>5.13</v>
      </c>
      <c r="B108" s="4">
        <v>15</v>
      </c>
      <c r="C108" s="4">
        <v>6</v>
      </c>
      <c r="D108" s="4">
        <v>6</v>
      </c>
      <c r="E108" s="10">
        <v>2</v>
      </c>
      <c r="F108" s="4">
        <v>0</v>
      </c>
      <c r="G108" s="4">
        <v>0</v>
      </c>
      <c r="H108" s="4">
        <v>0</v>
      </c>
      <c r="I108" s="2" t="s">
        <v>79</v>
      </c>
    </row>
    <row r="109" spans="1:9" x14ac:dyDescent="0.2">
      <c r="A109" s="4">
        <v>7.14</v>
      </c>
      <c r="B109" s="4">
        <v>12</v>
      </c>
      <c r="C109" s="4">
        <v>43</v>
      </c>
      <c r="D109" s="4">
        <v>5</v>
      </c>
      <c r="E109" s="4">
        <v>1</v>
      </c>
      <c r="F109" s="4">
        <v>0</v>
      </c>
      <c r="G109" s="4">
        <v>0</v>
      </c>
      <c r="H109" s="4">
        <v>0</v>
      </c>
      <c r="I109" s="2" t="s">
        <v>79</v>
      </c>
    </row>
    <row r="110" spans="1:9" x14ac:dyDescent="0.2">
      <c r="A110" s="4">
        <v>12.39</v>
      </c>
      <c r="B110" s="4">
        <v>14</v>
      </c>
      <c r="C110" s="4">
        <v>42</v>
      </c>
      <c r="D110" s="4">
        <v>5</v>
      </c>
      <c r="E110" s="4">
        <v>0</v>
      </c>
      <c r="F110" s="4">
        <v>0</v>
      </c>
      <c r="G110" s="4">
        <v>0</v>
      </c>
      <c r="H110" s="4">
        <v>0</v>
      </c>
      <c r="I110" s="2" t="s">
        <v>79</v>
      </c>
    </row>
    <row r="111" spans="1:9" x14ac:dyDescent="0.2">
      <c r="A111" s="4">
        <v>8</v>
      </c>
      <c r="B111" s="4">
        <v>13</v>
      </c>
      <c r="C111" s="4">
        <v>28</v>
      </c>
      <c r="D111" s="4">
        <v>5</v>
      </c>
      <c r="E111" s="4">
        <v>0</v>
      </c>
      <c r="F111" s="4">
        <v>1</v>
      </c>
      <c r="G111" s="4">
        <v>0</v>
      </c>
      <c r="H111" s="4">
        <v>0</v>
      </c>
      <c r="I111" s="2" t="s">
        <v>79</v>
      </c>
    </row>
    <row r="112" spans="1:9" x14ac:dyDescent="0.2">
      <c r="A112" s="4">
        <v>5</v>
      </c>
      <c r="B112" s="10">
        <v>12</v>
      </c>
      <c r="C112" s="4">
        <v>24</v>
      </c>
      <c r="D112" s="4">
        <v>5</v>
      </c>
      <c r="E112" s="4">
        <v>0</v>
      </c>
      <c r="F112" s="4">
        <v>1</v>
      </c>
      <c r="G112" s="4">
        <v>0</v>
      </c>
      <c r="H112" s="4">
        <v>0</v>
      </c>
      <c r="I112" s="2" t="s">
        <v>79</v>
      </c>
    </row>
    <row r="113" spans="1:9" x14ac:dyDescent="0.2">
      <c r="A113" s="4">
        <v>13</v>
      </c>
      <c r="B113" s="4">
        <v>14</v>
      </c>
      <c r="C113" s="4">
        <v>23</v>
      </c>
      <c r="D113" s="4">
        <v>5</v>
      </c>
      <c r="E113" s="4">
        <v>0</v>
      </c>
      <c r="F113" s="4">
        <v>1</v>
      </c>
      <c r="G113" s="4">
        <v>1</v>
      </c>
      <c r="H113" s="4">
        <v>0</v>
      </c>
      <c r="I113" s="2" t="s">
        <v>79</v>
      </c>
    </row>
    <row r="114" spans="1:9" x14ac:dyDescent="0.2">
      <c r="A114" s="4">
        <v>4.5</v>
      </c>
      <c r="B114" s="4">
        <v>9</v>
      </c>
      <c r="C114" s="4">
        <v>22</v>
      </c>
      <c r="D114" s="4">
        <v>5</v>
      </c>
      <c r="E114" s="4">
        <v>0</v>
      </c>
      <c r="F114" s="4">
        <v>1</v>
      </c>
      <c r="G114" s="4">
        <v>0</v>
      </c>
      <c r="H114" s="4">
        <v>0</v>
      </c>
      <c r="I114" s="2" t="s">
        <v>79</v>
      </c>
    </row>
    <row r="115" spans="1:9" x14ac:dyDescent="0.2">
      <c r="A115" s="4">
        <v>8.18</v>
      </c>
      <c r="B115" s="4">
        <v>13</v>
      </c>
      <c r="C115" s="4">
        <v>21</v>
      </c>
      <c r="D115" s="4">
        <v>5</v>
      </c>
      <c r="E115" s="4">
        <v>0</v>
      </c>
      <c r="F115" s="4">
        <v>0</v>
      </c>
      <c r="G115" s="4">
        <v>1</v>
      </c>
      <c r="H115" s="4">
        <v>0</v>
      </c>
      <c r="I115" s="2" t="s">
        <v>79</v>
      </c>
    </row>
    <row r="116" spans="1:9" x14ac:dyDescent="0.2">
      <c r="A116" s="4">
        <v>11.55</v>
      </c>
      <c r="B116" s="4">
        <v>16</v>
      </c>
      <c r="C116" s="4">
        <v>20</v>
      </c>
      <c r="D116" s="4">
        <v>5</v>
      </c>
      <c r="E116" s="4">
        <v>1</v>
      </c>
      <c r="F116" s="4">
        <v>1</v>
      </c>
      <c r="G116" s="4">
        <v>0</v>
      </c>
      <c r="H116" s="4">
        <v>1</v>
      </c>
      <c r="I116" s="2" t="s">
        <v>79</v>
      </c>
    </row>
    <row r="117" spans="1:9" x14ac:dyDescent="0.2">
      <c r="A117" s="4">
        <v>5</v>
      </c>
      <c r="B117" s="4">
        <v>14</v>
      </c>
      <c r="C117" s="4">
        <v>19</v>
      </c>
      <c r="D117" s="4">
        <v>5</v>
      </c>
      <c r="E117" s="4">
        <v>0</v>
      </c>
      <c r="F117" s="4">
        <v>1</v>
      </c>
      <c r="G117" s="4">
        <v>0</v>
      </c>
      <c r="H117" s="4">
        <v>0</v>
      </c>
      <c r="I117" s="2" t="s">
        <v>79</v>
      </c>
    </row>
    <row r="118" spans="1:9" x14ac:dyDescent="0.2">
      <c r="A118" s="4">
        <v>10</v>
      </c>
      <c r="B118" s="4">
        <v>14</v>
      </c>
      <c r="C118" s="4">
        <v>18</v>
      </c>
      <c r="D118" s="4">
        <v>5</v>
      </c>
      <c r="E118" s="4">
        <v>0</v>
      </c>
      <c r="F118" s="4">
        <v>1</v>
      </c>
      <c r="G118" s="4">
        <v>0</v>
      </c>
      <c r="H118" s="4">
        <v>0</v>
      </c>
      <c r="I118" s="2" t="s">
        <v>79</v>
      </c>
    </row>
    <row r="119" spans="1:9" x14ac:dyDescent="0.2">
      <c r="A119" s="4">
        <v>12.5</v>
      </c>
      <c r="B119" s="4">
        <v>18</v>
      </c>
      <c r="C119" s="4">
        <v>16</v>
      </c>
      <c r="D119" s="4">
        <v>5</v>
      </c>
      <c r="E119" s="4">
        <v>0</v>
      </c>
      <c r="F119" s="4">
        <v>1</v>
      </c>
      <c r="G119" s="4">
        <v>0</v>
      </c>
      <c r="H119" s="4">
        <v>0</v>
      </c>
      <c r="I119" s="2" t="s">
        <v>79</v>
      </c>
    </row>
    <row r="120" spans="1:9" x14ac:dyDescent="0.2">
      <c r="A120" s="4">
        <v>5</v>
      </c>
      <c r="B120" s="4">
        <v>12</v>
      </c>
      <c r="C120" s="4">
        <v>15</v>
      </c>
      <c r="D120" s="4">
        <v>5</v>
      </c>
      <c r="E120" s="4">
        <v>0</v>
      </c>
      <c r="F120" s="4">
        <v>1</v>
      </c>
      <c r="G120" s="4">
        <v>0</v>
      </c>
      <c r="H120" s="4">
        <v>0</v>
      </c>
      <c r="I120" s="2" t="s">
        <v>79</v>
      </c>
    </row>
    <row r="121" spans="1:9" x14ac:dyDescent="0.2">
      <c r="A121" s="4">
        <v>5</v>
      </c>
      <c r="B121" s="10">
        <v>12</v>
      </c>
      <c r="C121" s="4">
        <v>15</v>
      </c>
      <c r="D121" s="4">
        <v>5</v>
      </c>
      <c r="E121" s="4">
        <v>0</v>
      </c>
      <c r="F121" s="4">
        <v>1</v>
      </c>
      <c r="G121" s="4">
        <v>0</v>
      </c>
      <c r="H121" s="4">
        <v>0</v>
      </c>
      <c r="I121" s="2" t="s">
        <v>79</v>
      </c>
    </row>
    <row r="122" spans="1:9" x14ac:dyDescent="0.2">
      <c r="A122" s="4">
        <v>3.2</v>
      </c>
      <c r="B122" s="4">
        <v>12</v>
      </c>
      <c r="C122" s="4">
        <v>15</v>
      </c>
      <c r="D122" s="4">
        <v>5</v>
      </c>
      <c r="E122" s="4">
        <v>1</v>
      </c>
      <c r="F122" s="4">
        <v>1</v>
      </c>
      <c r="G122" s="4">
        <v>0</v>
      </c>
      <c r="H122" s="4">
        <v>0</v>
      </c>
      <c r="I122" s="2" t="s">
        <v>79</v>
      </c>
    </row>
    <row r="123" spans="1:9" x14ac:dyDescent="0.2">
      <c r="A123" s="4">
        <v>3.26</v>
      </c>
      <c r="B123" s="4">
        <v>16</v>
      </c>
      <c r="C123" s="4">
        <v>15</v>
      </c>
      <c r="D123" s="4">
        <v>5</v>
      </c>
      <c r="E123" s="4">
        <v>1</v>
      </c>
      <c r="F123" s="4">
        <v>1</v>
      </c>
      <c r="G123" s="4">
        <v>0</v>
      </c>
      <c r="H123" s="4">
        <v>0</v>
      </c>
      <c r="I123" s="2" t="s">
        <v>79</v>
      </c>
    </row>
    <row r="124" spans="1:9" x14ac:dyDescent="0.2">
      <c r="A124" s="4">
        <v>4.24</v>
      </c>
      <c r="B124" s="4">
        <v>10</v>
      </c>
      <c r="C124" s="4">
        <v>14</v>
      </c>
      <c r="D124" s="4">
        <v>5</v>
      </c>
      <c r="E124" s="10">
        <v>2</v>
      </c>
      <c r="F124" s="4">
        <v>1</v>
      </c>
      <c r="G124" s="4">
        <v>0</v>
      </c>
      <c r="H124" s="4">
        <v>0</v>
      </c>
      <c r="I124" s="2" t="s">
        <v>79</v>
      </c>
    </row>
    <row r="125" spans="1:9" x14ac:dyDescent="0.2">
      <c r="A125" s="4">
        <v>9</v>
      </c>
      <c r="B125" s="4">
        <v>12</v>
      </c>
      <c r="C125" s="4">
        <v>11</v>
      </c>
      <c r="D125" s="4">
        <v>5</v>
      </c>
      <c r="E125" s="4">
        <v>1</v>
      </c>
      <c r="F125" s="4">
        <v>1</v>
      </c>
      <c r="G125" s="4">
        <v>0</v>
      </c>
      <c r="H125" s="4">
        <v>0</v>
      </c>
      <c r="I125" s="2" t="s">
        <v>79</v>
      </c>
    </row>
    <row r="126" spans="1:9" x14ac:dyDescent="0.2">
      <c r="A126" s="4">
        <v>5.71</v>
      </c>
      <c r="B126" s="4">
        <v>16</v>
      </c>
      <c r="C126" s="4">
        <v>10</v>
      </c>
      <c r="D126" s="4">
        <v>5</v>
      </c>
      <c r="E126" s="4">
        <v>0</v>
      </c>
      <c r="F126" s="4">
        <v>1</v>
      </c>
      <c r="G126" s="4">
        <v>0</v>
      </c>
      <c r="H126" s="4">
        <v>0</v>
      </c>
      <c r="I126" s="2" t="s">
        <v>79</v>
      </c>
    </row>
    <row r="127" spans="1:9" x14ac:dyDescent="0.2">
      <c r="A127" s="4">
        <v>6.5</v>
      </c>
      <c r="B127" s="4">
        <v>12</v>
      </c>
      <c r="C127" s="4">
        <v>8</v>
      </c>
      <c r="D127" s="4">
        <v>5</v>
      </c>
      <c r="E127" s="4">
        <v>1</v>
      </c>
      <c r="F127" s="4">
        <v>1</v>
      </c>
      <c r="G127" s="4">
        <v>0</v>
      </c>
      <c r="H127" s="4">
        <v>0</v>
      </c>
      <c r="I127" s="2" t="s">
        <v>79</v>
      </c>
    </row>
    <row r="128" spans="1:9" x14ac:dyDescent="0.2">
      <c r="A128" s="4">
        <v>6.67</v>
      </c>
      <c r="B128" s="4">
        <v>12</v>
      </c>
      <c r="C128" s="4">
        <v>7</v>
      </c>
      <c r="D128" s="4">
        <v>5</v>
      </c>
      <c r="E128" s="4">
        <v>0</v>
      </c>
      <c r="F128" s="4">
        <v>0</v>
      </c>
      <c r="G128" s="4">
        <v>0</v>
      </c>
      <c r="H128" s="4">
        <v>0</v>
      </c>
      <c r="I128" s="2" t="s">
        <v>79</v>
      </c>
    </row>
    <row r="129" spans="1:9" x14ac:dyDescent="0.2">
      <c r="A129" s="4">
        <v>7</v>
      </c>
      <c r="B129" s="4">
        <v>12</v>
      </c>
      <c r="C129" s="4">
        <v>6</v>
      </c>
      <c r="D129" s="4">
        <v>5</v>
      </c>
      <c r="E129" s="4">
        <v>0</v>
      </c>
      <c r="F129" s="4">
        <v>1</v>
      </c>
      <c r="G129" s="4">
        <v>0</v>
      </c>
      <c r="H129" s="4">
        <v>1</v>
      </c>
      <c r="I129" s="2" t="s">
        <v>79</v>
      </c>
    </row>
    <row r="130" spans="1:9" x14ac:dyDescent="0.2">
      <c r="A130" s="4">
        <v>3.13</v>
      </c>
      <c r="B130" s="4">
        <v>12</v>
      </c>
      <c r="C130" s="4">
        <v>6</v>
      </c>
      <c r="D130" s="4">
        <v>5</v>
      </c>
      <c r="E130" s="4">
        <v>1</v>
      </c>
      <c r="F130" s="4">
        <v>1</v>
      </c>
      <c r="G130" s="4">
        <v>0</v>
      </c>
      <c r="H130" s="4">
        <v>0</v>
      </c>
      <c r="I130" s="2" t="s">
        <v>79</v>
      </c>
    </row>
    <row r="131" spans="1:9" x14ac:dyDescent="0.2">
      <c r="A131" s="4">
        <v>6.25</v>
      </c>
      <c r="B131" s="10">
        <v>12</v>
      </c>
      <c r="C131" s="4">
        <v>6</v>
      </c>
      <c r="D131" s="4">
        <v>5</v>
      </c>
      <c r="E131" s="4">
        <v>1</v>
      </c>
      <c r="F131" s="4">
        <v>1</v>
      </c>
      <c r="G131" s="4">
        <v>0</v>
      </c>
      <c r="H131" s="4">
        <v>0</v>
      </c>
      <c r="I131" s="2" t="s">
        <v>79</v>
      </c>
    </row>
    <row r="132" spans="1:9" x14ac:dyDescent="0.2">
      <c r="A132" s="4">
        <v>5.75</v>
      </c>
      <c r="B132" s="4">
        <v>14</v>
      </c>
      <c r="C132" s="4">
        <v>6</v>
      </c>
      <c r="D132" s="4">
        <v>5</v>
      </c>
      <c r="E132" s="4">
        <v>0</v>
      </c>
      <c r="F132" s="4">
        <v>1</v>
      </c>
      <c r="G132" s="4">
        <v>0</v>
      </c>
      <c r="H132" s="4">
        <v>0</v>
      </c>
      <c r="I132" s="2" t="s">
        <v>79</v>
      </c>
    </row>
    <row r="133" spans="1:9" x14ac:dyDescent="0.2">
      <c r="A133" s="4">
        <v>4.5</v>
      </c>
      <c r="B133" s="4">
        <v>14</v>
      </c>
      <c r="C133" s="4">
        <v>2</v>
      </c>
      <c r="D133" s="4">
        <v>5</v>
      </c>
      <c r="E133" s="4">
        <v>1</v>
      </c>
      <c r="F133" s="4">
        <v>0</v>
      </c>
      <c r="G133" s="4">
        <v>1</v>
      </c>
      <c r="H133" s="4">
        <v>0</v>
      </c>
      <c r="I133" s="2" t="s">
        <v>79</v>
      </c>
    </row>
    <row r="134" spans="1:9" x14ac:dyDescent="0.2">
      <c r="A134" s="4">
        <v>4.5</v>
      </c>
      <c r="B134" s="4">
        <v>12</v>
      </c>
      <c r="C134" s="9">
        <v>43.93</v>
      </c>
      <c r="D134" s="4">
        <v>4</v>
      </c>
      <c r="E134" s="4">
        <v>1</v>
      </c>
      <c r="F134" s="4">
        <v>1</v>
      </c>
      <c r="G134" s="4">
        <v>0</v>
      </c>
      <c r="H134" s="4">
        <v>0</v>
      </c>
      <c r="I134" s="2" t="s">
        <v>79</v>
      </c>
    </row>
    <row r="135" spans="1:9" x14ac:dyDescent="0.2">
      <c r="A135" s="4">
        <v>3.33</v>
      </c>
      <c r="B135" s="4">
        <v>12</v>
      </c>
      <c r="C135" s="9">
        <v>43.93</v>
      </c>
      <c r="D135" s="4">
        <v>4</v>
      </c>
      <c r="E135" s="4">
        <v>1</v>
      </c>
      <c r="F135" s="4">
        <v>1</v>
      </c>
      <c r="G135" s="4">
        <v>0</v>
      </c>
      <c r="H135" s="4">
        <v>0</v>
      </c>
      <c r="I135" s="2" t="s">
        <v>79</v>
      </c>
    </row>
    <row r="136" spans="1:9" x14ac:dyDescent="0.2">
      <c r="A136" s="4">
        <v>10</v>
      </c>
      <c r="B136" s="4">
        <v>14</v>
      </c>
      <c r="C136" s="4">
        <v>43</v>
      </c>
      <c r="D136" s="4">
        <v>4</v>
      </c>
      <c r="E136" s="10">
        <v>2</v>
      </c>
      <c r="F136" s="4">
        <v>1</v>
      </c>
      <c r="G136" s="4">
        <v>0</v>
      </c>
      <c r="H136" s="4">
        <v>0</v>
      </c>
      <c r="I136" s="2" t="s">
        <v>79</v>
      </c>
    </row>
    <row r="137" spans="1:9" x14ac:dyDescent="0.2">
      <c r="A137" s="4">
        <v>4.5</v>
      </c>
      <c r="B137" s="4">
        <v>12</v>
      </c>
      <c r="C137" s="4">
        <v>31</v>
      </c>
      <c r="D137" s="4">
        <v>4</v>
      </c>
      <c r="E137" s="4">
        <v>1</v>
      </c>
      <c r="F137" s="4">
        <v>1</v>
      </c>
      <c r="G137" s="4">
        <v>0</v>
      </c>
      <c r="H137" s="4">
        <v>0</v>
      </c>
      <c r="I137" s="2" t="s">
        <v>79</v>
      </c>
    </row>
    <row r="138" spans="1:9" x14ac:dyDescent="0.2">
      <c r="A138" s="4">
        <v>4.2699999999999996</v>
      </c>
      <c r="B138" s="4">
        <v>16</v>
      </c>
      <c r="C138" s="4">
        <v>22</v>
      </c>
      <c r="D138" s="4">
        <v>4</v>
      </c>
      <c r="E138" s="4">
        <v>1</v>
      </c>
      <c r="F138" s="4">
        <v>1</v>
      </c>
      <c r="G138" s="4">
        <v>1</v>
      </c>
      <c r="H138" s="4">
        <v>0</v>
      </c>
      <c r="I138" s="2" t="s">
        <v>79</v>
      </c>
    </row>
    <row r="139" spans="1:9" x14ac:dyDescent="0.2">
      <c r="A139" s="4">
        <v>20</v>
      </c>
      <c r="B139" s="4">
        <v>12</v>
      </c>
      <c r="C139" s="4">
        <v>22</v>
      </c>
      <c r="D139" s="4">
        <v>4</v>
      </c>
      <c r="E139" s="4">
        <v>0</v>
      </c>
      <c r="F139" s="4">
        <v>1</v>
      </c>
      <c r="G139" s="4">
        <v>0</v>
      </c>
      <c r="H139" s="4">
        <v>0</v>
      </c>
      <c r="I139" s="2" t="s">
        <v>79</v>
      </c>
    </row>
    <row r="140" spans="1:9" x14ac:dyDescent="0.2">
      <c r="A140" s="4">
        <v>3.5</v>
      </c>
      <c r="B140" s="4">
        <v>12</v>
      </c>
      <c r="C140" s="4">
        <v>20</v>
      </c>
      <c r="D140" s="4">
        <v>4</v>
      </c>
      <c r="E140" s="4">
        <v>1</v>
      </c>
      <c r="F140" s="4">
        <v>1</v>
      </c>
      <c r="G140" s="4">
        <v>0</v>
      </c>
      <c r="H140" s="4">
        <v>0</v>
      </c>
      <c r="I140" s="2" t="s">
        <v>79</v>
      </c>
    </row>
    <row r="141" spans="1:9" x14ac:dyDescent="0.2">
      <c r="A141" s="4">
        <v>6</v>
      </c>
      <c r="B141" s="4">
        <v>15</v>
      </c>
      <c r="C141" s="4">
        <v>19</v>
      </c>
      <c r="D141" s="4">
        <v>4</v>
      </c>
      <c r="E141" s="4">
        <v>1</v>
      </c>
      <c r="F141" s="4">
        <v>1</v>
      </c>
      <c r="G141" s="4">
        <v>0</v>
      </c>
      <c r="H141" s="4">
        <v>0</v>
      </c>
      <c r="I141" s="2" t="s">
        <v>79</v>
      </c>
    </row>
    <row r="142" spans="1:9" x14ac:dyDescent="0.2">
      <c r="A142" s="4">
        <v>8</v>
      </c>
      <c r="B142" s="4">
        <v>12</v>
      </c>
      <c r="C142" s="4">
        <v>14</v>
      </c>
      <c r="D142" s="4">
        <v>4</v>
      </c>
      <c r="E142" s="4">
        <v>1</v>
      </c>
      <c r="F142" s="4">
        <v>0</v>
      </c>
      <c r="G142" s="4">
        <v>0</v>
      </c>
      <c r="H142" s="4">
        <v>0</v>
      </c>
      <c r="I142" s="2" t="s">
        <v>79</v>
      </c>
    </row>
    <row r="143" spans="1:9" x14ac:dyDescent="0.2">
      <c r="A143" s="4">
        <v>6.25</v>
      </c>
      <c r="B143" s="4">
        <v>15</v>
      </c>
      <c r="C143" s="4">
        <v>12</v>
      </c>
      <c r="D143" s="4">
        <v>4</v>
      </c>
      <c r="E143" s="4">
        <v>1</v>
      </c>
      <c r="F143" s="4">
        <v>1</v>
      </c>
      <c r="G143" s="4">
        <v>0</v>
      </c>
      <c r="H143" s="4">
        <v>0</v>
      </c>
      <c r="I143" s="2" t="s">
        <v>79</v>
      </c>
    </row>
    <row r="144" spans="1:9" x14ac:dyDescent="0.2">
      <c r="A144" s="4">
        <v>6.88</v>
      </c>
      <c r="B144" s="10">
        <v>12</v>
      </c>
      <c r="C144" s="4">
        <v>11</v>
      </c>
      <c r="D144" s="4">
        <v>4</v>
      </c>
      <c r="E144" s="4">
        <v>1</v>
      </c>
      <c r="F144" s="4">
        <v>0</v>
      </c>
      <c r="G144" s="4">
        <v>1</v>
      </c>
      <c r="H144" s="4">
        <v>0</v>
      </c>
      <c r="I144" s="2" t="s">
        <v>79</v>
      </c>
    </row>
    <row r="145" spans="1:9" x14ac:dyDescent="0.2">
      <c r="A145" s="4">
        <v>6.25</v>
      </c>
      <c r="B145" s="4">
        <v>16</v>
      </c>
      <c r="C145" s="4">
        <v>11</v>
      </c>
      <c r="D145" s="4">
        <v>4</v>
      </c>
      <c r="E145" s="4">
        <v>0</v>
      </c>
      <c r="F145" s="4">
        <v>0</v>
      </c>
      <c r="G145" s="4">
        <v>0</v>
      </c>
      <c r="H145" s="4">
        <v>0</v>
      </c>
      <c r="I145" s="2" t="s">
        <v>79</v>
      </c>
    </row>
    <row r="146" spans="1:9" x14ac:dyDescent="0.2">
      <c r="A146" s="4">
        <v>6.38</v>
      </c>
      <c r="B146" s="4">
        <v>13</v>
      </c>
      <c r="C146" s="4">
        <v>11</v>
      </c>
      <c r="D146" s="4">
        <v>4</v>
      </c>
      <c r="E146" s="4">
        <v>1</v>
      </c>
      <c r="F146" s="4">
        <v>0</v>
      </c>
      <c r="G146" s="4">
        <v>1</v>
      </c>
      <c r="H146" s="4">
        <v>0</v>
      </c>
      <c r="I146" s="2" t="s">
        <v>79</v>
      </c>
    </row>
    <row r="147" spans="1:9" x14ac:dyDescent="0.2">
      <c r="A147" s="4">
        <v>5.78</v>
      </c>
      <c r="B147" s="4">
        <v>16</v>
      </c>
      <c r="C147" s="4">
        <v>11</v>
      </c>
      <c r="D147" s="4">
        <v>4</v>
      </c>
      <c r="E147" s="4">
        <v>0</v>
      </c>
      <c r="F147" s="4">
        <v>1</v>
      </c>
      <c r="G147" s="4">
        <v>0</v>
      </c>
      <c r="H147" s="4">
        <v>0</v>
      </c>
      <c r="I147" s="2" t="s">
        <v>79</v>
      </c>
    </row>
    <row r="148" spans="1:9" x14ac:dyDescent="0.2">
      <c r="A148" s="4">
        <v>7.63</v>
      </c>
      <c r="B148" s="4">
        <v>12</v>
      </c>
      <c r="C148" s="4">
        <v>8</v>
      </c>
      <c r="D148" s="4">
        <v>4</v>
      </c>
      <c r="E148" s="4">
        <v>1</v>
      </c>
      <c r="F148" s="4">
        <v>0</v>
      </c>
      <c r="G148" s="4">
        <v>0</v>
      </c>
      <c r="H148" s="4">
        <v>0</v>
      </c>
      <c r="I148" s="2" t="s">
        <v>79</v>
      </c>
    </row>
    <row r="149" spans="1:9" x14ac:dyDescent="0.2">
      <c r="A149" s="4">
        <v>3.75</v>
      </c>
      <c r="B149" s="10">
        <v>12</v>
      </c>
      <c r="C149" s="4">
        <v>8</v>
      </c>
      <c r="D149" s="4">
        <v>4</v>
      </c>
      <c r="E149" s="4">
        <v>1</v>
      </c>
      <c r="F149" s="4">
        <v>1</v>
      </c>
      <c r="G149" s="4">
        <v>0</v>
      </c>
      <c r="H149" s="4">
        <v>0</v>
      </c>
      <c r="I149" s="2" t="s">
        <v>79</v>
      </c>
    </row>
    <row r="150" spans="1:9" x14ac:dyDescent="0.2">
      <c r="A150" s="4">
        <v>6.25</v>
      </c>
      <c r="B150" s="10">
        <v>12</v>
      </c>
      <c r="C150" s="4">
        <v>7</v>
      </c>
      <c r="D150" s="4">
        <v>4</v>
      </c>
      <c r="E150" s="4">
        <v>1</v>
      </c>
      <c r="F150" s="4">
        <v>1</v>
      </c>
      <c r="G150" s="4">
        <v>0</v>
      </c>
      <c r="H150" s="4">
        <v>0</v>
      </c>
      <c r="I150" s="2" t="s">
        <v>79</v>
      </c>
    </row>
    <row r="151" spans="1:9" x14ac:dyDescent="0.2">
      <c r="A151" s="4">
        <v>3.5</v>
      </c>
      <c r="B151" s="4">
        <v>14</v>
      </c>
      <c r="C151" s="4">
        <v>5</v>
      </c>
      <c r="D151" s="4">
        <v>4</v>
      </c>
      <c r="E151" s="4">
        <v>1</v>
      </c>
      <c r="F151" s="4">
        <v>0</v>
      </c>
      <c r="G151" s="4">
        <v>1</v>
      </c>
      <c r="H151" s="4">
        <v>0</v>
      </c>
      <c r="I151" s="2" t="s">
        <v>79</v>
      </c>
    </row>
    <row r="152" spans="1:9" x14ac:dyDescent="0.2">
      <c r="A152" s="4">
        <v>3.35</v>
      </c>
      <c r="B152" s="4">
        <v>14</v>
      </c>
      <c r="C152" s="4">
        <v>5</v>
      </c>
      <c r="D152" s="4">
        <v>4</v>
      </c>
      <c r="E152" s="4">
        <v>1</v>
      </c>
      <c r="F152" s="4">
        <v>1</v>
      </c>
      <c r="G152" s="4">
        <v>0</v>
      </c>
      <c r="H152" s="4">
        <v>0</v>
      </c>
      <c r="I152" s="2" t="s">
        <v>79</v>
      </c>
    </row>
    <row r="153" spans="1:9" x14ac:dyDescent="0.2">
      <c r="A153" s="4">
        <v>6.88</v>
      </c>
      <c r="B153" s="10">
        <v>12</v>
      </c>
      <c r="C153" s="4">
        <v>4</v>
      </c>
      <c r="D153" s="4">
        <v>4</v>
      </c>
      <c r="E153" s="4">
        <v>0</v>
      </c>
      <c r="F153" s="4">
        <v>0</v>
      </c>
      <c r="G153" s="4">
        <v>0</v>
      </c>
      <c r="H153" s="4">
        <v>0</v>
      </c>
      <c r="I153" s="2" t="s">
        <v>79</v>
      </c>
    </row>
    <row r="154" spans="1:9" x14ac:dyDescent="0.2">
      <c r="A154" s="4">
        <v>5.77</v>
      </c>
      <c r="B154" s="4">
        <v>10</v>
      </c>
      <c r="C154" s="9">
        <v>43.93</v>
      </c>
      <c r="D154" s="4">
        <v>3</v>
      </c>
      <c r="E154" s="4">
        <v>0</v>
      </c>
      <c r="F154" s="4">
        <v>1</v>
      </c>
      <c r="G154" s="4">
        <v>0</v>
      </c>
      <c r="H154" s="4">
        <v>0</v>
      </c>
      <c r="I154" s="2" t="s">
        <v>79</v>
      </c>
    </row>
    <row r="155" spans="1:9" x14ac:dyDescent="0.2">
      <c r="A155" s="4">
        <v>8.1</v>
      </c>
      <c r="B155" s="4">
        <v>12</v>
      </c>
      <c r="C155" s="4">
        <v>38</v>
      </c>
      <c r="D155" s="4">
        <v>3</v>
      </c>
      <c r="E155" s="4">
        <v>1</v>
      </c>
      <c r="F155" s="4">
        <v>1</v>
      </c>
      <c r="G155" s="4">
        <v>0</v>
      </c>
      <c r="H155" s="4">
        <v>0</v>
      </c>
      <c r="I155" s="2" t="s">
        <v>79</v>
      </c>
    </row>
    <row r="156" spans="1:9" x14ac:dyDescent="0.2">
      <c r="A156" s="4">
        <v>5.48</v>
      </c>
      <c r="B156" s="4">
        <v>10</v>
      </c>
      <c r="C156" s="4">
        <v>36</v>
      </c>
      <c r="D156" s="4">
        <v>3</v>
      </c>
      <c r="E156" s="4">
        <v>1</v>
      </c>
      <c r="F156" s="4">
        <v>1</v>
      </c>
      <c r="G156" s="4">
        <v>0</v>
      </c>
      <c r="H156" s="4">
        <v>0</v>
      </c>
      <c r="I156" s="2" t="s">
        <v>79</v>
      </c>
    </row>
    <row r="157" spans="1:9" x14ac:dyDescent="0.2">
      <c r="A157" s="4">
        <v>3</v>
      </c>
      <c r="B157" s="4">
        <v>14</v>
      </c>
      <c r="C157" s="4">
        <v>33</v>
      </c>
      <c r="D157" s="4">
        <v>3</v>
      </c>
      <c r="E157" s="4">
        <v>1</v>
      </c>
      <c r="F157" s="4">
        <v>1</v>
      </c>
      <c r="G157" s="4">
        <v>0</v>
      </c>
      <c r="H157" s="4">
        <v>0</v>
      </c>
      <c r="I157" s="2" t="s">
        <v>79</v>
      </c>
    </row>
    <row r="158" spans="1:9" x14ac:dyDescent="0.2">
      <c r="A158" s="4">
        <v>5.52</v>
      </c>
      <c r="B158" s="4">
        <v>13</v>
      </c>
      <c r="C158" s="4">
        <v>31</v>
      </c>
      <c r="D158" s="4">
        <v>3</v>
      </c>
      <c r="E158" s="4">
        <v>0</v>
      </c>
      <c r="F158" s="4">
        <v>0</v>
      </c>
      <c r="G158" s="4">
        <v>0</v>
      </c>
      <c r="H158" s="4">
        <v>0</v>
      </c>
      <c r="I158" s="2" t="s">
        <v>79</v>
      </c>
    </row>
    <row r="159" spans="1:9" x14ac:dyDescent="0.2">
      <c r="A159" s="4">
        <v>3.5</v>
      </c>
      <c r="B159" s="4">
        <v>12</v>
      </c>
      <c r="C159" s="4">
        <v>31</v>
      </c>
      <c r="D159" s="4">
        <v>3</v>
      </c>
      <c r="E159" s="4">
        <v>1</v>
      </c>
      <c r="F159" s="4">
        <v>0</v>
      </c>
      <c r="G159" s="4">
        <v>1</v>
      </c>
      <c r="H159" s="4">
        <v>0</v>
      </c>
      <c r="I159" s="2" t="s">
        <v>79</v>
      </c>
    </row>
    <row r="160" spans="1:9" x14ac:dyDescent="0.2">
      <c r="A160" s="4">
        <v>2.23</v>
      </c>
      <c r="B160" s="4">
        <v>8</v>
      </c>
      <c r="C160" s="4">
        <v>28</v>
      </c>
      <c r="D160" s="4">
        <v>3</v>
      </c>
      <c r="E160" s="4">
        <v>0</v>
      </c>
      <c r="F160" s="4">
        <v>1</v>
      </c>
      <c r="G160" s="4">
        <v>0</v>
      </c>
      <c r="H160" s="4">
        <v>0</v>
      </c>
      <c r="I160" s="2" t="s">
        <v>79</v>
      </c>
    </row>
    <row r="161" spans="1:9" x14ac:dyDescent="0.2">
      <c r="A161" s="4">
        <v>8.43</v>
      </c>
      <c r="B161" s="4">
        <v>8</v>
      </c>
      <c r="C161" s="4">
        <v>27</v>
      </c>
      <c r="D161" s="4">
        <v>3</v>
      </c>
      <c r="E161" s="4">
        <v>0</v>
      </c>
      <c r="F161" s="4">
        <v>1</v>
      </c>
      <c r="G161" s="4">
        <v>0</v>
      </c>
      <c r="H161" s="4">
        <v>0</v>
      </c>
      <c r="I161" s="2" t="s">
        <v>79</v>
      </c>
    </row>
    <row r="162" spans="1:9" x14ac:dyDescent="0.2">
      <c r="A162" s="4">
        <v>10</v>
      </c>
      <c r="B162" s="4">
        <v>12</v>
      </c>
      <c r="C162" s="4">
        <v>25</v>
      </c>
      <c r="D162" s="4">
        <v>3</v>
      </c>
      <c r="E162" s="4">
        <v>0</v>
      </c>
      <c r="F162" s="4">
        <v>1</v>
      </c>
      <c r="G162" s="4">
        <v>0</v>
      </c>
      <c r="H162" s="4">
        <v>0</v>
      </c>
      <c r="I162" s="2" t="s">
        <v>79</v>
      </c>
    </row>
    <row r="163" spans="1:9" x14ac:dyDescent="0.2">
      <c r="A163" s="4">
        <v>8.02</v>
      </c>
      <c r="B163" s="4">
        <v>18</v>
      </c>
      <c r="C163" s="4">
        <v>23</v>
      </c>
      <c r="D163" s="4">
        <v>3</v>
      </c>
      <c r="E163" s="4">
        <v>1</v>
      </c>
      <c r="F163" s="4">
        <v>1</v>
      </c>
      <c r="G163" s="4">
        <v>0</v>
      </c>
      <c r="H163" s="4">
        <v>0</v>
      </c>
      <c r="I163" s="2" t="s">
        <v>79</v>
      </c>
    </row>
    <row r="164" spans="1:9" x14ac:dyDescent="0.2">
      <c r="A164" s="4">
        <v>4</v>
      </c>
      <c r="B164" s="4">
        <v>14</v>
      </c>
      <c r="C164" s="4">
        <v>22</v>
      </c>
      <c r="D164" s="4">
        <v>3</v>
      </c>
      <c r="E164" s="4">
        <v>1</v>
      </c>
      <c r="F164" s="4">
        <v>0</v>
      </c>
      <c r="G164" s="4">
        <v>0</v>
      </c>
      <c r="H164" s="4">
        <v>1</v>
      </c>
      <c r="I164" s="2" t="s">
        <v>79</v>
      </c>
    </row>
    <row r="165" spans="1:9" x14ac:dyDescent="0.2">
      <c r="A165" s="4">
        <v>6.63</v>
      </c>
      <c r="B165" s="4">
        <v>15</v>
      </c>
      <c r="C165" s="4">
        <v>21</v>
      </c>
      <c r="D165" s="4">
        <v>3</v>
      </c>
      <c r="E165" s="4">
        <v>1</v>
      </c>
      <c r="F165" s="4">
        <v>1</v>
      </c>
      <c r="G165" s="4">
        <v>1</v>
      </c>
      <c r="H165" s="4">
        <v>0</v>
      </c>
      <c r="I165" s="2" t="s">
        <v>79</v>
      </c>
    </row>
    <row r="166" spans="1:9" x14ac:dyDescent="0.2">
      <c r="A166" s="4">
        <v>6.76</v>
      </c>
      <c r="B166" s="4">
        <v>12</v>
      </c>
      <c r="C166" s="4">
        <v>19</v>
      </c>
      <c r="D166" s="4">
        <v>3</v>
      </c>
      <c r="E166" s="4">
        <v>0</v>
      </c>
      <c r="F166" s="4">
        <v>1</v>
      </c>
      <c r="G166" s="4">
        <v>0</v>
      </c>
      <c r="H166" s="4">
        <v>0</v>
      </c>
      <c r="I166" s="2" t="s">
        <v>79</v>
      </c>
    </row>
    <row r="167" spans="1:9" x14ac:dyDescent="0.2">
      <c r="A167" s="4">
        <v>3.26</v>
      </c>
      <c r="B167" s="4">
        <v>12</v>
      </c>
      <c r="C167" s="4">
        <v>13</v>
      </c>
      <c r="D167" s="4">
        <v>3</v>
      </c>
      <c r="E167" s="4">
        <v>1</v>
      </c>
      <c r="F167" s="4">
        <v>1</v>
      </c>
      <c r="G167" s="4">
        <v>0</v>
      </c>
      <c r="H167" s="4">
        <v>0</v>
      </c>
      <c r="I167" s="2" t="s">
        <v>79</v>
      </c>
    </row>
    <row r="168" spans="1:9" x14ac:dyDescent="0.2">
      <c r="A168" s="4">
        <v>4.79</v>
      </c>
      <c r="B168" s="4">
        <v>12</v>
      </c>
      <c r="C168" s="4">
        <v>12</v>
      </c>
      <c r="D168" s="4">
        <v>3</v>
      </c>
      <c r="E168" s="4">
        <v>1</v>
      </c>
      <c r="F168" s="4">
        <v>1</v>
      </c>
      <c r="G168" s="4">
        <v>0</v>
      </c>
      <c r="H168" s="4">
        <v>0</v>
      </c>
      <c r="I168" s="2" t="s">
        <v>79</v>
      </c>
    </row>
    <row r="169" spans="1:9" x14ac:dyDescent="0.2">
      <c r="A169" s="4">
        <v>3.88</v>
      </c>
      <c r="B169" s="4">
        <v>12</v>
      </c>
      <c r="C169" s="4">
        <v>12</v>
      </c>
      <c r="D169" s="4">
        <v>3</v>
      </c>
      <c r="E169" s="4">
        <v>0</v>
      </c>
      <c r="F169" s="4">
        <v>1</v>
      </c>
      <c r="G169" s="4">
        <v>0</v>
      </c>
      <c r="H169" s="4">
        <v>0</v>
      </c>
      <c r="I169" s="2" t="s">
        <v>79</v>
      </c>
    </row>
    <row r="170" spans="1:9" x14ac:dyDescent="0.2">
      <c r="A170" s="4">
        <v>6</v>
      </c>
      <c r="B170" s="4">
        <v>14</v>
      </c>
      <c r="C170" s="4">
        <v>11</v>
      </c>
      <c r="D170" s="4">
        <v>3</v>
      </c>
      <c r="E170" s="4">
        <v>1</v>
      </c>
      <c r="F170" s="4">
        <v>1</v>
      </c>
      <c r="G170" s="4">
        <v>0</v>
      </c>
      <c r="H170" s="4">
        <v>0</v>
      </c>
      <c r="I170" s="2" t="s">
        <v>79</v>
      </c>
    </row>
    <row r="171" spans="1:9" x14ac:dyDescent="0.2">
      <c r="A171" s="4">
        <v>4.2</v>
      </c>
      <c r="B171" s="4">
        <v>13</v>
      </c>
      <c r="C171" s="4">
        <v>11</v>
      </c>
      <c r="D171" s="4">
        <v>3</v>
      </c>
      <c r="E171" s="4">
        <v>1</v>
      </c>
      <c r="F171" s="4">
        <v>1</v>
      </c>
      <c r="G171" s="4">
        <v>0</v>
      </c>
      <c r="H171" s="4">
        <v>0</v>
      </c>
      <c r="I171" s="2" t="s">
        <v>79</v>
      </c>
    </row>
    <row r="172" spans="1:9" x14ac:dyDescent="0.2">
      <c r="A172" s="4">
        <v>6.29</v>
      </c>
      <c r="B172" s="4">
        <v>17</v>
      </c>
      <c r="C172" s="4">
        <v>10</v>
      </c>
      <c r="D172" s="4">
        <v>3</v>
      </c>
      <c r="E172" s="4">
        <v>0</v>
      </c>
      <c r="F172" s="4">
        <v>1</v>
      </c>
      <c r="G172" s="4">
        <v>0</v>
      </c>
      <c r="H172" s="4">
        <v>0</v>
      </c>
      <c r="I172" s="2" t="s">
        <v>79</v>
      </c>
    </row>
    <row r="173" spans="1:9" x14ac:dyDescent="0.2">
      <c r="A173" s="4">
        <v>5.43</v>
      </c>
      <c r="B173" s="4">
        <v>14</v>
      </c>
      <c r="C173" s="4">
        <v>10</v>
      </c>
      <c r="D173" s="4">
        <v>3</v>
      </c>
      <c r="E173" s="4">
        <v>0</v>
      </c>
      <c r="F173" s="4">
        <v>1</v>
      </c>
      <c r="G173" s="4">
        <v>0</v>
      </c>
      <c r="H173" s="4">
        <v>0</v>
      </c>
      <c r="I173" s="2" t="s">
        <v>79</v>
      </c>
    </row>
    <row r="174" spans="1:9" x14ac:dyDescent="0.2">
      <c r="A174" s="4">
        <v>17.71</v>
      </c>
      <c r="B174" s="4">
        <v>16</v>
      </c>
      <c r="C174" s="4">
        <v>10</v>
      </c>
      <c r="D174" s="4">
        <v>3</v>
      </c>
      <c r="E174" s="4">
        <v>0</v>
      </c>
      <c r="F174" s="4">
        <v>1</v>
      </c>
      <c r="G174" s="4">
        <v>1</v>
      </c>
      <c r="H174" s="4">
        <v>1</v>
      </c>
      <c r="I174" s="2" t="s">
        <v>79</v>
      </c>
    </row>
    <row r="175" spans="1:9" x14ac:dyDescent="0.2">
      <c r="A175" s="4">
        <v>7.78</v>
      </c>
      <c r="B175" s="4">
        <v>14</v>
      </c>
      <c r="C175" s="4">
        <v>9</v>
      </c>
      <c r="D175" s="4">
        <v>3</v>
      </c>
      <c r="E175" s="4">
        <v>0</v>
      </c>
      <c r="F175" s="4">
        <v>0</v>
      </c>
      <c r="G175" s="4">
        <v>0</v>
      </c>
      <c r="H175" s="4">
        <v>0</v>
      </c>
      <c r="I175" s="2" t="s">
        <v>79</v>
      </c>
    </row>
    <row r="176" spans="1:9" x14ac:dyDescent="0.2">
      <c r="A176" s="4">
        <v>10</v>
      </c>
      <c r="B176" s="4">
        <v>16</v>
      </c>
      <c r="C176" s="4">
        <v>9</v>
      </c>
      <c r="D176" s="4">
        <v>3</v>
      </c>
      <c r="E176" s="4">
        <v>0</v>
      </c>
      <c r="F176" s="4">
        <v>1</v>
      </c>
      <c r="G176" s="4">
        <v>0</v>
      </c>
      <c r="H176" s="4">
        <v>0</v>
      </c>
      <c r="I176" s="2" t="s">
        <v>79</v>
      </c>
    </row>
    <row r="177" spans="1:9" x14ac:dyDescent="0.2">
      <c r="A177" s="4">
        <v>5</v>
      </c>
      <c r="B177" s="4">
        <v>12</v>
      </c>
      <c r="C177" s="4">
        <v>7</v>
      </c>
      <c r="D177" s="4">
        <v>3</v>
      </c>
      <c r="E177" s="4">
        <v>1</v>
      </c>
      <c r="F177" s="4">
        <v>0</v>
      </c>
      <c r="G177" s="4">
        <v>1</v>
      </c>
      <c r="H177" s="4">
        <v>0</v>
      </c>
      <c r="I177" s="2" t="s">
        <v>79</v>
      </c>
    </row>
    <row r="178" spans="1:9" x14ac:dyDescent="0.2">
      <c r="A178" s="4">
        <v>5.4</v>
      </c>
      <c r="B178" s="4">
        <v>12</v>
      </c>
      <c r="C178" s="4">
        <v>6</v>
      </c>
      <c r="D178" s="4">
        <v>3</v>
      </c>
      <c r="E178" s="4">
        <v>0</v>
      </c>
      <c r="F178" s="4">
        <v>1</v>
      </c>
      <c r="G178" s="4">
        <v>0</v>
      </c>
      <c r="H178" s="4">
        <v>0</v>
      </c>
      <c r="I178" s="2" t="s">
        <v>79</v>
      </c>
    </row>
    <row r="179" spans="1:9" x14ac:dyDescent="0.2">
      <c r="A179" s="4">
        <v>5</v>
      </c>
      <c r="B179" s="4">
        <v>12</v>
      </c>
      <c r="C179" s="4">
        <v>5</v>
      </c>
      <c r="D179" s="4">
        <v>3</v>
      </c>
      <c r="E179" s="4">
        <v>1</v>
      </c>
      <c r="F179" s="4">
        <v>0</v>
      </c>
      <c r="G179" s="4">
        <v>1</v>
      </c>
      <c r="H179" s="4">
        <v>0</v>
      </c>
      <c r="I179" s="2" t="s">
        <v>79</v>
      </c>
    </row>
    <row r="180" spans="1:9" x14ac:dyDescent="0.2">
      <c r="A180" s="4">
        <v>10</v>
      </c>
      <c r="B180" s="4">
        <v>17</v>
      </c>
      <c r="C180" s="4">
        <v>5</v>
      </c>
      <c r="D180" s="4">
        <v>3</v>
      </c>
      <c r="E180" s="4">
        <v>0</v>
      </c>
      <c r="F180" s="4">
        <v>1</v>
      </c>
      <c r="G180" s="4">
        <v>0</v>
      </c>
      <c r="H180" s="4">
        <v>0</v>
      </c>
      <c r="I180" s="2" t="s">
        <v>79</v>
      </c>
    </row>
    <row r="181" spans="1:9" x14ac:dyDescent="0.2">
      <c r="A181" s="4">
        <v>6.25</v>
      </c>
      <c r="B181" s="4">
        <v>16</v>
      </c>
      <c r="C181" s="4">
        <v>4</v>
      </c>
      <c r="D181" s="4">
        <v>3</v>
      </c>
      <c r="E181" s="4">
        <v>0</v>
      </c>
      <c r="F181" s="4">
        <v>1</v>
      </c>
      <c r="G181" s="4">
        <v>1</v>
      </c>
      <c r="H181" s="4">
        <v>0</v>
      </c>
      <c r="I181" s="2" t="s">
        <v>79</v>
      </c>
    </row>
    <row r="182" spans="1:9" x14ac:dyDescent="0.2">
      <c r="A182" s="4">
        <v>8.92</v>
      </c>
      <c r="B182" s="4">
        <v>18</v>
      </c>
      <c r="C182" s="4">
        <v>3</v>
      </c>
      <c r="D182" s="4">
        <v>3</v>
      </c>
      <c r="E182" s="4">
        <v>0</v>
      </c>
      <c r="F182" s="4">
        <v>1</v>
      </c>
      <c r="G182" s="4">
        <v>0</v>
      </c>
      <c r="H182" s="4">
        <v>0</v>
      </c>
      <c r="I182" s="2" t="s">
        <v>79</v>
      </c>
    </row>
    <row r="183" spans="1:9" x14ac:dyDescent="0.2">
      <c r="A183" s="4">
        <v>9.56</v>
      </c>
      <c r="B183" s="4">
        <v>16</v>
      </c>
      <c r="C183" s="4">
        <v>3</v>
      </c>
      <c r="D183" s="4">
        <v>3</v>
      </c>
      <c r="E183" s="4">
        <v>0</v>
      </c>
      <c r="F183" s="4">
        <v>1</v>
      </c>
      <c r="G183" s="4">
        <v>1</v>
      </c>
      <c r="H183" s="4">
        <v>0</v>
      </c>
      <c r="I183" s="2" t="s">
        <v>79</v>
      </c>
    </row>
    <row r="184" spans="1:9" x14ac:dyDescent="0.2">
      <c r="A184" s="4">
        <v>3</v>
      </c>
      <c r="B184" s="4">
        <v>14</v>
      </c>
      <c r="C184" s="4">
        <v>3</v>
      </c>
      <c r="D184" s="4">
        <v>3</v>
      </c>
      <c r="E184" s="4">
        <v>1</v>
      </c>
      <c r="F184" s="4">
        <v>1</v>
      </c>
      <c r="G184" s="4">
        <v>1</v>
      </c>
      <c r="H184" s="4">
        <v>0</v>
      </c>
      <c r="I184" s="2" t="s">
        <v>79</v>
      </c>
    </row>
    <row r="185" spans="1:9" x14ac:dyDescent="0.2">
      <c r="A185" s="4">
        <v>2.92</v>
      </c>
      <c r="B185" s="4">
        <v>14</v>
      </c>
      <c r="C185" s="4">
        <v>1</v>
      </c>
      <c r="D185" s="4">
        <v>3</v>
      </c>
      <c r="E185" s="4">
        <v>0</v>
      </c>
      <c r="F185" s="4">
        <v>0</v>
      </c>
      <c r="G185" s="4">
        <v>0</v>
      </c>
      <c r="H185" s="4">
        <v>0</v>
      </c>
      <c r="I185" s="2" t="s">
        <v>79</v>
      </c>
    </row>
    <row r="186" spans="1:9" x14ac:dyDescent="0.2">
      <c r="A186" s="4">
        <v>4.75</v>
      </c>
      <c r="B186" s="4">
        <v>12</v>
      </c>
      <c r="C186" s="9">
        <v>43.93</v>
      </c>
      <c r="D186" s="4">
        <v>2</v>
      </c>
      <c r="E186" s="4">
        <v>1</v>
      </c>
      <c r="F186" s="4">
        <v>1</v>
      </c>
      <c r="G186" s="4">
        <v>0</v>
      </c>
      <c r="H186" s="4">
        <v>0</v>
      </c>
      <c r="I186" s="2" t="s">
        <v>79</v>
      </c>
    </row>
    <row r="187" spans="1:9" x14ac:dyDescent="0.2">
      <c r="A187" s="4">
        <v>5</v>
      </c>
      <c r="B187" s="10">
        <v>12</v>
      </c>
      <c r="C187" s="9">
        <v>43.93</v>
      </c>
      <c r="D187" s="4">
        <v>2</v>
      </c>
      <c r="E187" s="4">
        <v>0</v>
      </c>
      <c r="F187" s="4">
        <v>0</v>
      </c>
      <c r="G187" s="4">
        <v>0</v>
      </c>
      <c r="H187" s="4">
        <v>0</v>
      </c>
      <c r="I187" s="2" t="s">
        <v>79</v>
      </c>
    </row>
    <row r="188" spans="1:9" x14ac:dyDescent="0.2">
      <c r="A188" s="4">
        <v>3.25</v>
      </c>
      <c r="B188" s="4">
        <v>12</v>
      </c>
      <c r="C188" s="4">
        <v>40</v>
      </c>
      <c r="D188" s="4">
        <v>2</v>
      </c>
      <c r="E188" s="4">
        <v>1</v>
      </c>
      <c r="F188" s="4">
        <v>0</v>
      </c>
      <c r="G188" s="4">
        <v>0</v>
      </c>
      <c r="H188" s="4">
        <v>0</v>
      </c>
      <c r="I188" s="2" t="s">
        <v>79</v>
      </c>
    </row>
    <row r="189" spans="1:9" x14ac:dyDescent="0.2">
      <c r="A189" s="4">
        <v>4.55</v>
      </c>
      <c r="B189" s="4">
        <v>16</v>
      </c>
      <c r="C189" s="4">
        <v>34</v>
      </c>
      <c r="D189" s="4">
        <v>2</v>
      </c>
      <c r="E189" s="4">
        <v>0</v>
      </c>
      <c r="F189" s="4">
        <v>1</v>
      </c>
      <c r="G189" s="4">
        <v>0</v>
      </c>
      <c r="H189" s="4">
        <v>0</v>
      </c>
      <c r="I189" s="2" t="s">
        <v>79</v>
      </c>
    </row>
    <row r="190" spans="1:9" x14ac:dyDescent="0.2">
      <c r="A190" s="4">
        <v>3.73</v>
      </c>
      <c r="B190" s="4">
        <v>9</v>
      </c>
      <c r="C190" s="4">
        <v>33</v>
      </c>
      <c r="D190" s="4">
        <v>2</v>
      </c>
      <c r="E190" s="10">
        <v>2</v>
      </c>
      <c r="F190" s="4">
        <v>0</v>
      </c>
      <c r="G190" s="4">
        <v>0</v>
      </c>
      <c r="H190" s="4">
        <v>0</v>
      </c>
      <c r="I190" s="2" t="s">
        <v>79</v>
      </c>
    </row>
    <row r="191" spans="1:9" x14ac:dyDescent="0.2">
      <c r="A191" s="4">
        <v>6.5</v>
      </c>
      <c r="B191" s="4">
        <v>12</v>
      </c>
      <c r="C191" s="4">
        <v>33</v>
      </c>
      <c r="D191" s="4">
        <v>2</v>
      </c>
      <c r="E191" s="4">
        <v>0</v>
      </c>
      <c r="F191" s="4">
        <v>1</v>
      </c>
      <c r="G191" s="4">
        <v>0</v>
      </c>
      <c r="H191" s="4">
        <v>0</v>
      </c>
      <c r="I191" s="2" t="s">
        <v>79</v>
      </c>
    </row>
    <row r="192" spans="1:9" x14ac:dyDescent="0.2">
      <c r="A192" s="4">
        <v>4.6500000000000004</v>
      </c>
      <c r="B192" s="4">
        <v>12</v>
      </c>
      <c r="C192" s="4">
        <v>27</v>
      </c>
      <c r="D192" s="4">
        <v>2</v>
      </c>
      <c r="E192" s="4">
        <v>0</v>
      </c>
      <c r="F192" s="4">
        <v>1</v>
      </c>
      <c r="G192" s="4">
        <v>0</v>
      </c>
      <c r="H192" s="4">
        <v>0</v>
      </c>
      <c r="I192" s="2" t="s">
        <v>79</v>
      </c>
    </row>
    <row r="193" spans="1:9" x14ac:dyDescent="0.2">
      <c r="A193" s="4">
        <v>8</v>
      </c>
      <c r="B193" s="4">
        <v>12</v>
      </c>
      <c r="C193" s="4">
        <v>26</v>
      </c>
      <c r="D193" s="4">
        <v>2</v>
      </c>
      <c r="E193" s="4">
        <v>0</v>
      </c>
      <c r="F193" s="4">
        <v>1</v>
      </c>
      <c r="G193" s="4">
        <v>0</v>
      </c>
      <c r="H193" s="4">
        <v>0</v>
      </c>
      <c r="I193" s="2" t="s">
        <v>79</v>
      </c>
    </row>
    <row r="194" spans="1:9" x14ac:dyDescent="0.2">
      <c r="A194" s="4">
        <v>4.5</v>
      </c>
      <c r="B194" s="4">
        <v>13</v>
      </c>
      <c r="C194" s="4">
        <v>23</v>
      </c>
      <c r="D194" s="4">
        <v>2</v>
      </c>
      <c r="E194" s="4">
        <v>1</v>
      </c>
      <c r="F194" s="4">
        <v>0</v>
      </c>
      <c r="G194" s="4">
        <v>0</v>
      </c>
      <c r="H194" s="4">
        <v>0</v>
      </c>
      <c r="I194" s="2" t="s">
        <v>79</v>
      </c>
    </row>
    <row r="195" spans="1:9" x14ac:dyDescent="0.2">
      <c r="A195" s="4">
        <v>3.5</v>
      </c>
      <c r="B195" s="4">
        <v>11</v>
      </c>
      <c r="C195" s="4">
        <v>23</v>
      </c>
      <c r="D195" s="4">
        <v>2</v>
      </c>
      <c r="E195" s="4">
        <v>1</v>
      </c>
      <c r="F195" s="4">
        <v>0</v>
      </c>
      <c r="G195" s="4">
        <v>0</v>
      </c>
      <c r="H195" s="4">
        <v>0</v>
      </c>
      <c r="I195" s="2" t="s">
        <v>79</v>
      </c>
    </row>
    <row r="196" spans="1:9" x14ac:dyDescent="0.2">
      <c r="A196" s="4">
        <v>2.9</v>
      </c>
      <c r="B196" s="4">
        <v>10</v>
      </c>
      <c r="C196" s="4">
        <v>23</v>
      </c>
      <c r="D196" s="4">
        <v>2</v>
      </c>
      <c r="E196" s="4">
        <v>1</v>
      </c>
      <c r="F196" s="4">
        <v>0</v>
      </c>
      <c r="G196" s="4">
        <v>0</v>
      </c>
      <c r="H196" s="4">
        <v>0</v>
      </c>
      <c r="I196" s="2" t="s">
        <v>79</v>
      </c>
    </row>
    <row r="197" spans="1:9" x14ac:dyDescent="0.2">
      <c r="A197" s="4">
        <v>3.24</v>
      </c>
      <c r="B197" s="4">
        <v>12</v>
      </c>
      <c r="C197" s="4">
        <v>22</v>
      </c>
      <c r="D197" s="4">
        <v>2</v>
      </c>
      <c r="E197" s="4">
        <v>1</v>
      </c>
      <c r="F197" s="4">
        <v>1</v>
      </c>
      <c r="G197" s="4">
        <v>1</v>
      </c>
      <c r="H197" s="4">
        <v>0</v>
      </c>
      <c r="I197" s="2" t="s">
        <v>79</v>
      </c>
    </row>
    <row r="198" spans="1:9" x14ac:dyDescent="0.2">
      <c r="A198" s="4">
        <v>3.83</v>
      </c>
      <c r="B198" s="4">
        <v>12</v>
      </c>
      <c r="C198" s="4">
        <v>18</v>
      </c>
      <c r="D198" s="4">
        <v>2</v>
      </c>
      <c r="E198" s="4">
        <v>1</v>
      </c>
      <c r="F198" s="4">
        <v>0</v>
      </c>
      <c r="G198" s="4">
        <v>0</v>
      </c>
      <c r="H198" s="4">
        <v>0</v>
      </c>
      <c r="I198" s="2" t="s">
        <v>79</v>
      </c>
    </row>
    <row r="199" spans="1:9" x14ac:dyDescent="0.2">
      <c r="A199" s="4">
        <v>3.5</v>
      </c>
      <c r="B199" s="4">
        <v>14</v>
      </c>
      <c r="C199" s="4">
        <v>18</v>
      </c>
      <c r="D199" s="4">
        <v>2</v>
      </c>
      <c r="E199" s="4">
        <v>0</v>
      </c>
      <c r="F199" s="4">
        <v>1</v>
      </c>
      <c r="G199" s="4">
        <v>0</v>
      </c>
      <c r="H199" s="4">
        <v>0</v>
      </c>
      <c r="I199" s="2" t="s">
        <v>79</v>
      </c>
    </row>
    <row r="200" spans="1:9" x14ac:dyDescent="0.2">
      <c r="A200" s="4">
        <v>13.08</v>
      </c>
      <c r="B200" s="4">
        <v>17</v>
      </c>
      <c r="C200" s="4">
        <v>17</v>
      </c>
      <c r="D200" s="4">
        <v>2</v>
      </c>
      <c r="E200" s="4">
        <v>0</v>
      </c>
      <c r="F200" s="4">
        <v>1</v>
      </c>
      <c r="G200" s="4">
        <v>0</v>
      </c>
      <c r="H200" s="4">
        <v>0</v>
      </c>
      <c r="I200" s="2" t="s">
        <v>79</v>
      </c>
    </row>
    <row r="201" spans="1:9" x14ac:dyDescent="0.2">
      <c r="A201" s="4">
        <v>10.38</v>
      </c>
      <c r="B201" s="4">
        <v>18</v>
      </c>
      <c r="C201" s="4">
        <v>16</v>
      </c>
      <c r="D201" s="4">
        <v>2</v>
      </c>
      <c r="E201" s="4">
        <v>0</v>
      </c>
      <c r="F201" s="4">
        <v>1</v>
      </c>
      <c r="G201" s="4">
        <v>0</v>
      </c>
      <c r="H201" s="4">
        <v>0</v>
      </c>
      <c r="I201" s="2" t="s">
        <v>79</v>
      </c>
    </row>
    <row r="202" spans="1:9" x14ac:dyDescent="0.2">
      <c r="A202" s="4">
        <v>2.95</v>
      </c>
      <c r="B202" s="4">
        <v>8</v>
      </c>
      <c r="C202" s="4">
        <v>15</v>
      </c>
      <c r="D202" s="4">
        <v>2</v>
      </c>
      <c r="E202" s="4">
        <v>1</v>
      </c>
      <c r="F202" s="4">
        <v>1</v>
      </c>
      <c r="G202" s="4">
        <v>0</v>
      </c>
      <c r="H202" s="4">
        <v>0</v>
      </c>
      <c r="I202" s="2" t="s">
        <v>79</v>
      </c>
    </row>
    <row r="203" spans="1:9" x14ac:dyDescent="0.2">
      <c r="A203" s="4">
        <v>3.25</v>
      </c>
      <c r="B203" s="4">
        <v>12</v>
      </c>
      <c r="C203" s="4">
        <v>14</v>
      </c>
      <c r="D203" s="4">
        <v>2</v>
      </c>
      <c r="E203" s="4">
        <v>1</v>
      </c>
      <c r="F203" s="4">
        <v>1</v>
      </c>
      <c r="G203" s="4">
        <v>0</v>
      </c>
      <c r="H203" s="4">
        <v>0</v>
      </c>
      <c r="I203" s="2" t="s">
        <v>79</v>
      </c>
    </row>
    <row r="204" spans="1:9" x14ac:dyDescent="0.2">
      <c r="A204" s="4">
        <v>15</v>
      </c>
      <c r="B204" s="4">
        <v>16</v>
      </c>
      <c r="C204" s="4">
        <v>14</v>
      </c>
      <c r="D204" s="4">
        <v>2</v>
      </c>
      <c r="E204" s="4">
        <v>1</v>
      </c>
      <c r="F204" s="4">
        <v>1</v>
      </c>
      <c r="G204" s="4">
        <v>1</v>
      </c>
      <c r="H204" s="4">
        <v>0</v>
      </c>
      <c r="I204" s="2" t="s">
        <v>79</v>
      </c>
    </row>
    <row r="205" spans="1:9" x14ac:dyDescent="0.2">
      <c r="A205" s="4">
        <v>6.25</v>
      </c>
      <c r="B205" s="10">
        <v>12</v>
      </c>
      <c r="C205" s="4">
        <v>9</v>
      </c>
      <c r="D205" s="4">
        <v>2</v>
      </c>
      <c r="E205" s="4">
        <v>0</v>
      </c>
      <c r="F205" s="4">
        <v>1</v>
      </c>
      <c r="G205" s="4">
        <v>0</v>
      </c>
      <c r="H205" s="4">
        <v>0</v>
      </c>
      <c r="I205" s="2" t="s">
        <v>79</v>
      </c>
    </row>
    <row r="206" spans="1:9" x14ac:dyDescent="0.2">
      <c r="A206" s="4">
        <v>7.26</v>
      </c>
      <c r="B206" s="4">
        <v>13</v>
      </c>
      <c r="C206" s="4">
        <v>8</v>
      </c>
      <c r="D206" s="4">
        <v>2</v>
      </c>
      <c r="E206" s="4">
        <v>0</v>
      </c>
      <c r="F206" s="4">
        <v>0</v>
      </c>
      <c r="G206" s="4">
        <v>0</v>
      </c>
      <c r="H206" s="4">
        <v>0</v>
      </c>
      <c r="I206" s="2" t="s">
        <v>79</v>
      </c>
    </row>
    <row r="207" spans="1:9" x14ac:dyDescent="0.2">
      <c r="A207" s="4">
        <v>6.25</v>
      </c>
      <c r="B207" s="4">
        <v>16</v>
      </c>
      <c r="C207" s="4">
        <v>8</v>
      </c>
      <c r="D207" s="4">
        <v>2</v>
      </c>
      <c r="E207" s="10">
        <v>2</v>
      </c>
      <c r="F207" s="4">
        <v>0</v>
      </c>
      <c r="G207" s="4">
        <v>1</v>
      </c>
      <c r="H207" s="4">
        <v>0</v>
      </c>
      <c r="I207" s="2" t="s">
        <v>79</v>
      </c>
    </row>
    <row r="208" spans="1:9" x14ac:dyDescent="0.2">
      <c r="A208" s="4">
        <v>5.3</v>
      </c>
      <c r="B208" s="4">
        <v>12</v>
      </c>
      <c r="C208" s="4">
        <v>7</v>
      </c>
      <c r="D208" s="4">
        <v>2</v>
      </c>
      <c r="E208" s="4">
        <v>0</v>
      </c>
      <c r="F208" s="4">
        <v>1</v>
      </c>
      <c r="G208" s="4">
        <v>1</v>
      </c>
      <c r="H208" s="4">
        <v>0</v>
      </c>
      <c r="I208" s="2" t="s">
        <v>79</v>
      </c>
    </row>
    <row r="209" spans="1:9" x14ac:dyDescent="0.2">
      <c r="A209" s="4">
        <v>3.51</v>
      </c>
      <c r="B209" s="4">
        <v>12</v>
      </c>
      <c r="C209" s="4">
        <v>7</v>
      </c>
      <c r="D209" s="4">
        <v>2</v>
      </c>
      <c r="E209" s="4">
        <v>1</v>
      </c>
      <c r="F209" s="4">
        <v>1</v>
      </c>
      <c r="G209" s="4">
        <v>0</v>
      </c>
      <c r="H209" s="4">
        <v>0</v>
      </c>
      <c r="I209" s="2" t="s">
        <v>79</v>
      </c>
    </row>
    <row r="210" spans="1:9" x14ac:dyDescent="0.2">
      <c r="A210" s="4">
        <v>7.5</v>
      </c>
      <c r="B210" s="4">
        <v>16</v>
      </c>
      <c r="C210" s="4">
        <v>6</v>
      </c>
      <c r="D210" s="4">
        <v>2</v>
      </c>
      <c r="E210" s="4">
        <v>1</v>
      </c>
      <c r="F210" s="4">
        <v>1</v>
      </c>
      <c r="G210" s="4">
        <v>0</v>
      </c>
      <c r="H210" s="4">
        <v>0</v>
      </c>
      <c r="I210" s="2" t="s">
        <v>79</v>
      </c>
    </row>
    <row r="211" spans="1:9" x14ac:dyDescent="0.2">
      <c r="A211" s="4">
        <v>3.5</v>
      </c>
      <c r="B211" s="4">
        <v>12</v>
      </c>
      <c r="C211" s="4">
        <v>6</v>
      </c>
      <c r="D211" s="4">
        <v>2</v>
      </c>
      <c r="E211" s="4">
        <v>1</v>
      </c>
      <c r="F211" s="4">
        <v>0</v>
      </c>
      <c r="G211" s="4">
        <v>0</v>
      </c>
      <c r="H211" s="4">
        <v>0</v>
      </c>
      <c r="I211" s="2" t="s">
        <v>79</v>
      </c>
    </row>
    <row r="212" spans="1:9" x14ac:dyDescent="0.2">
      <c r="A212" s="4">
        <v>12.5</v>
      </c>
      <c r="B212" s="4">
        <v>18</v>
      </c>
      <c r="C212" s="4">
        <v>6</v>
      </c>
      <c r="D212" s="4">
        <v>2</v>
      </c>
      <c r="E212" s="4">
        <v>0</v>
      </c>
      <c r="F212" s="4">
        <v>0</v>
      </c>
      <c r="G212" s="4">
        <v>0</v>
      </c>
      <c r="H212" s="4">
        <v>0</v>
      </c>
      <c r="I212" s="2" t="s">
        <v>79</v>
      </c>
    </row>
    <row r="213" spans="1:9" x14ac:dyDescent="0.2">
      <c r="A213" s="4">
        <v>8.33</v>
      </c>
      <c r="B213" s="4">
        <v>16</v>
      </c>
      <c r="C213" s="4">
        <v>6</v>
      </c>
      <c r="D213" s="4">
        <v>2</v>
      </c>
      <c r="E213" s="4">
        <v>0</v>
      </c>
      <c r="F213" s="4">
        <v>1</v>
      </c>
      <c r="G213" s="4">
        <v>1</v>
      </c>
      <c r="H213" s="4">
        <v>0</v>
      </c>
      <c r="I213" s="2" t="s">
        <v>79</v>
      </c>
    </row>
    <row r="214" spans="1:9" x14ac:dyDescent="0.2">
      <c r="A214" s="4">
        <v>4.25</v>
      </c>
      <c r="B214" s="4">
        <v>14</v>
      </c>
      <c r="C214" s="4">
        <v>5</v>
      </c>
      <c r="D214" s="4">
        <v>2</v>
      </c>
      <c r="E214" s="4">
        <v>0</v>
      </c>
      <c r="F214" s="4">
        <v>1</v>
      </c>
      <c r="G214" s="4">
        <v>0</v>
      </c>
      <c r="H214" s="4">
        <v>0</v>
      </c>
      <c r="I214" s="2" t="s">
        <v>79</v>
      </c>
    </row>
    <row r="215" spans="1:9" x14ac:dyDescent="0.2">
      <c r="A215" s="4">
        <v>4.34</v>
      </c>
      <c r="B215" s="4">
        <v>16</v>
      </c>
      <c r="C215" s="4">
        <v>5</v>
      </c>
      <c r="D215" s="4">
        <v>2</v>
      </c>
      <c r="E215" s="4">
        <v>1</v>
      </c>
      <c r="F215" s="4">
        <v>0</v>
      </c>
      <c r="G215" s="4">
        <v>0</v>
      </c>
      <c r="H215" s="4">
        <v>0</v>
      </c>
      <c r="I215" s="2" t="s">
        <v>79</v>
      </c>
    </row>
    <row r="216" spans="1:9" x14ac:dyDescent="0.2">
      <c r="A216" s="4">
        <v>4.51</v>
      </c>
      <c r="B216" s="4">
        <v>12</v>
      </c>
      <c r="C216" s="4">
        <v>5</v>
      </c>
      <c r="D216" s="4">
        <v>2</v>
      </c>
      <c r="E216" s="4">
        <v>0</v>
      </c>
      <c r="F216" s="4">
        <v>0</v>
      </c>
      <c r="G216" s="4">
        <v>0</v>
      </c>
      <c r="H216" s="4">
        <v>0</v>
      </c>
      <c r="I216" s="2" t="s">
        <v>79</v>
      </c>
    </row>
    <row r="217" spans="1:9" x14ac:dyDescent="0.2">
      <c r="A217" s="4">
        <v>3.75</v>
      </c>
      <c r="B217" s="10">
        <v>12</v>
      </c>
      <c r="C217" s="4">
        <v>5</v>
      </c>
      <c r="D217" s="4">
        <v>2</v>
      </c>
      <c r="E217" s="4">
        <v>1</v>
      </c>
      <c r="F217" s="4">
        <v>1</v>
      </c>
      <c r="G217" s="4">
        <v>0</v>
      </c>
      <c r="H217" s="4">
        <v>0</v>
      </c>
      <c r="I217" s="2" t="s">
        <v>79</v>
      </c>
    </row>
    <row r="218" spans="1:9" x14ac:dyDescent="0.2">
      <c r="A218" s="4">
        <v>6.53</v>
      </c>
      <c r="B218" s="4">
        <v>16</v>
      </c>
      <c r="C218" s="4">
        <v>3</v>
      </c>
      <c r="D218" s="4">
        <v>2</v>
      </c>
      <c r="E218" s="4">
        <v>1</v>
      </c>
      <c r="F218" s="4">
        <v>0</v>
      </c>
      <c r="G218" s="4">
        <v>0</v>
      </c>
      <c r="H218" s="4">
        <v>0</v>
      </c>
      <c r="I218" s="2" t="s">
        <v>79</v>
      </c>
    </row>
    <row r="219" spans="1:9" x14ac:dyDescent="0.2">
      <c r="A219" s="4">
        <v>8.6</v>
      </c>
      <c r="B219" s="4">
        <v>16</v>
      </c>
      <c r="C219" s="4">
        <v>3</v>
      </c>
      <c r="D219" s="4">
        <v>2</v>
      </c>
      <c r="E219" s="4">
        <v>1</v>
      </c>
      <c r="F219" s="4">
        <v>0</v>
      </c>
      <c r="G219" s="4">
        <v>0</v>
      </c>
      <c r="H219" s="4">
        <v>0</v>
      </c>
      <c r="I219" s="2" t="s">
        <v>79</v>
      </c>
    </row>
    <row r="220" spans="1:9" x14ac:dyDescent="0.2">
      <c r="A220" s="4">
        <v>8.75</v>
      </c>
      <c r="B220" s="4">
        <v>16</v>
      </c>
      <c r="C220" s="4">
        <v>3</v>
      </c>
      <c r="D220" s="4">
        <v>2</v>
      </c>
      <c r="E220" s="4">
        <v>0</v>
      </c>
      <c r="F220" s="4">
        <v>1</v>
      </c>
      <c r="G220" s="4">
        <v>0</v>
      </c>
      <c r="H220" s="4">
        <v>0</v>
      </c>
      <c r="I220" s="2" t="s">
        <v>79</v>
      </c>
    </row>
    <row r="221" spans="1:9" x14ac:dyDescent="0.2">
      <c r="A221" s="4">
        <v>10</v>
      </c>
      <c r="B221" s="4">
        <v>16</v>
      </c>
      <c r="C221" s="4">
        <v>3</v>
      </c>
      <c r="D221" s="4">
        <v>2</v>
      </c>
      <c r="E221" s="4">
        <v>0</v>
      </c>
      <c r="F221" s="4">
        <v>1</v>
      </c>
      <c r="G221" s="4">
        <v>0</v>
      </c>
      <c r="H221" s="4">
        <v>0</v>
      </c>
      <c r="I221" s="2" t="s">
        <v>79</v>
      </c>
    </row>
    <row r="222" spans="1:9" x14ac:dyDescent="0.2">
      <c r="A222" s="4">
        <v>5.63</v>
      </c>
      <c r="B222" s="4">
        <v>16</v>
      </c>
      <c r="C222" s="4">
        <v>2</v>
      </c>
      <c r="D222" s="4">
        <v>2</v>
      </c>
      <c r="E222" s="4">
        <v>0</v>
      </c>
      <c r="F222" s="4">
        <v>1</v>
      </c>
      <c r="G222" s="4">
        <v>0</v>
      </c>
      <c r="H222" s="4">
        <v>0</v>
      </c>
      <c r="I222" s="2" t="s">
        <v>79</v>
      </c>
    </row>
    <row r="223" spans="1:9" x14ac:dyDescent="0.2">
      <c r="A223" s="4">
        <v>3.2</v>
      </c>
      <c r="B223" s="4">
        <v>15</v>
      </c>
      <c r="C223" s="4">
        <v>2</v>
      </c>
      <c r="D223" s="4">
        <v>2</v>
      </c>
      <c r="E223" s="4">
        <v>1</v>
      </c>
      <c r="F223" s="4">
        <v>0</v>
      </c>
      <c r="G223" s="4">
        <v>0</v>
      </c>
      <c r="H223" s="4">
        <v>0</v>
      </c>
      <c r="I223" s="2" t="s">
        <v>79</v>
      </c>
    </row>
    <row r="224" spans="1:9" x14ac:dyDescent="0.2">
      <c r="A224" s="4">
        <v>2.9</v>
      </c>
      <c r="B224" s="4">
        <v>12</v>
      </c>
      <c r="C224" s="4">
        <v>2</v>
      </c>
      <c r="D224" s="4">
        <v>2</v>
      </c>
      <c r="E224" s="4">
        <v>1</v>
      </c>
      <c r="F224" s="4">
        <v>0</v>
      </c>
      <c r="G224" s="4">
        <v>1</v>
      </c>
      <c r="H224" s="4">
        <v>0</v>
      </c>
      <c r="I224" s="2" t="s">
        <v>79</v>
      </c>
    </row>
    <row r="225" spans="1:9" x14ac:dyDescent="0.2">
      <c r="A225" s="4">
        <v>6</v>
      </c>
      <c r="B225" s="4">
        <v>16</v>
      </c>
      <c r="C225" s="4">
        <v>2</v>
      </c>
      <c r="D225" s="4">
        <v>2</v>
      </c>
      <c r="E225" s="4">
        <v>0</v>
      </c>
      <c r="F225" s="4">
        <v>0</v>
      </c>
      <c r="G225" s="4">
        <v>0</v>
      </c>
      <c r="H225" s="4">
        <v>0</v>
      </c>
      <c r="I225" s="2" t="s">
        <v>79</v>
      </c>
    </row>
    <row r="226" spans="1:9" x14ac:dyDescent="0.2">
      <c r="A226" s="4">
        <v>3.5</v>
      </c>
      <c r="B226" s="4">
        <v>13</v>
      </c>
      <c r="C226" s="4">
        <v>1</v>
      </c>
      <c r="D226" s="4">
        <v>2</v>
      </c>
      <c r="E226" s="4">
        <v>0</v>
      </c>
      <c r="F226" s="4">
        <v>0</v>
      </c>
      <c r="G226" s="4">
        <v>0</v>
      </c>
      <c r="H226" s="4">
        <v>0</v>
      </c>
      <c r="I226" s="2" t="s">
        <v>79</v>
      </c>
    </row>
    <row r="227" spans="1:9" x14ac:dyDescent="0.2">
      <c r="A227" s="4">
        <v>3.75</v>
      </c>
      <c r="B227" s="4">
        <v>18</v>
      </c>
      <c r="C227" s="4">
        <v>1</v>
      </c>
      <c r="D227" s="4">
        <v>2</v>
      </c>
      <c r="E227" s="4">
        <v>0</v>
      </c>
      <c r="F227" s="4">
        <v>0</v>
      </c>
      <c r="G227" s="4">
        <v>0</v>
      </c>
      <c r="H227" s="4">
        <v>0</v>
      </c>
      <c r="I227" s="2" t="s">
        <v>79</v>
      </c>
    </row>
    <row r="228" spans="1:9" x14ac:dyDescent="0.2">
      <c r="A228" s="4">
        <v>8.75</v>
      </c>
      <c r="B228" s="4">
        <v>16</v>
      </c>
      <c r="C228" s="4">
        <v>1</v>
      </c>
      <c r="D228" s="4">
        <v>2</v>
      </c>
      <c r="E228" s="4">
        <v>0</v>
      </c>
      <c r="F228" s="4">
        <v>0</v>
      </c>
      <c r="G228" s="4">
        <v>0</v>
      </c>
      <c r="H228" s="4">
        <v>0</v>
      </c>
      <c r="I228" s="2" t="s">
        <v>79</v>
      </c>
    </row>
    <row r="229" spans="1:9" x14ac:dyDescent="0.2">
      <c r="A229" s="4">
        <v>2.9</v>
      </c>
      <c r="B229" s="4">
        <v>11</v>
      </c>
      <c r="C229" s="4">
        <v>1</v>
      </c>
      <c r="D229" s="4">
        <v>2</v>
      </c>
      <c r="E229" s="4">
        <v>0</v>
      </c>
      <c r="F229" s="4">
        <v>0</v>
      </c>
      <c r="G229" s="4">
        <v>0</v>
      </c>
      <c r="H229" s="4">
        <v>0</v>
      </c>
      <c r="I229" s="2" t="s">
        <v>79</v>
      </c>
    </row>
    <row r="230" spans="1:9" x14ac:dyDescent="0.2">
      <c r="A230" s="4">
        <v>3.52</v>
      </c>
      <c r="B230" s="4">
        <v>12</v>
      </c>
      <c r="C230" s="9">
        <v>43.93</v>
      </c>
      <c r="D230" s="4">
        <v>1</v>
      </c>
      <c r="E230" s="4">
        <v>0</v>
      </c>
      <c r="F230" s="4">
        <v>1</v>
      </c>
      <c r="G230" s="4">
        <v>0</v>
      </c>
      <c r="H230" s="4">
        <v>0</v>
      </c>
      <c r="I230" s="2" t="s">
        <v>79</v>
      </c>
    </row>
    <row r="231" spans="1:9" x14ac:dyDescent="0.2">
      <c r="A231" s="4">
        <v>3</v>
      </c>
      <c r="B231" s="4">
        <v>8</v>
      </c>
      <c r="C231" s="9">
        <v>43.93</v>
      </c>
      <c r="D231" s="4">
        <v>1</v>
      </c>
      <c r="E231" s="4">
        <v>1</v>
      </c>
      <c r="F231" s="4">
        <v>1</v>
      </c>
      <c r="G231" s="4">
        <v>0</v>
      </c>
      <c r="H231" s="4">
        <v>0</v>
      </c>
      <c r="I231" s="2" t="s">
        <v>79</v>
      </c>
    </row>
    <row r="232" spans="1:9" x14ac:dyDescent="0.2">
      <c r="A232" s="4">
        <v>2.9</v>
      </c>
      <c r="B232" s="4">
        <v>12</v>
      </c>
      <c r="C232" s="4">
        <v>39</v>
      </c>
      <c r="D232" s="4">
        <v>1</v>
      </c>
      <c r="E232" s="4">
        <v>1</v>
      </c>
      <c r="F232" s="4">
        <v>1</v>
      </c>
      <c r="G232" s="4">
        <v>0</v>
      </c>
      <c r="H232" s="4">
        <v>0</v>
      </c>
      <c r="I232" s="2" t="s">
        <v>79</v>
      </c>
    </row>
    <row r="233" spans="1:9" x14ac:dyDescent="0.2">
      <c r="A233" s="4">
        <v>9</v>
      </c>
      <c r="B233" s="4">
        <v>12</v>
      </c>
      <c r="C233" s="4">
        <v>38</v>
      </c>
      <c r="D233" s="4">
        <v>1</v>
      </c>
      <c r="E233" s="4">
        <v>0</v>
      </c>
      <c r="F233" s="4">
        <v>1</v>
      </c>
      <c r="G233" s="4">
        <v>0</v>
      </c>
      <c r="H233" s="4">
        <v>0</v>
      </c>
      <c r="I233" s="2" t="s">
        <v>79</v>
      </c>
    </row>
    <row r="234" spans="1:9" x14ac:dyDescent="0.2">
      <c r="A234" s="4">
        <v>3</v>
      </c>
      <c r="B234" s="4">
        <v>12</v>
      </c>
      <c r="C234" s="4">
        <v>36</v>
      </c>
      <c r="D234" s="4">
        <v>1</v>
      </c>
      <c r="E234" s="10">
        <v>2</v>
      </c>
      <c r="F234" s="4">
        <v>0</v>
      </c>
      <c r="G234" s="4">
        <v>1</v>
      </c>
      <c r="H234" s="4">
        <v>0</v>
      </c>
      <c r="I234" s="2" t="s">
        <v>79</v>
      </c>
    </row>
    <row r="235" spans="1:9" x14ac:dyDescent="0.2">
      <c r="A235" s="4">
        <v>3.5</v>
      </c>
      <c r="B235" s="4">
        <v>13</v>
      </c>
      <c r="C235" s="4">
        <v>29</v>
      </c>
      <c r="D235" s="4">
        <v>1</v>
      </c>
      <c r="E235" s="4">
        <v>1</v>
      </c>
      <c r="F235" s="4">
        <v>1</v>
      </c>
      <c r="G235" s="4">
        <v>0</v>
      </c>
      <c r="H235" s="4">
        <v>0</v>
      </c>
      <c r="I235" s="2" t="s">
        <v>79</v>
      </c>
    </row>
    <row r="236" spans="1:9" x14ac:dyDescent="0.2">
      <c r="A236" s="4">
        <v>3</v>
      </c>
      <c r="B236" s="4">
        <v>7</v>
      </c>
      <c r="C236" s="4">
        <v>26</v>
      </c>
      <c r="D236" s="4">
        <v>1</v>
      </c>
      <c r="E236" s="4">
        <v>1</v>
      </c>
      <c r="F236" s="4">
        <v>0</v>
      </c>
      <c r="G236" s="4">
        <v>0</v>
      </c>
      <c r="H236" s="4">
        <v>0</v>
      </c>
      <c r="I236" s="2" t="s">
        <v>79</v>
      </c>
    </row>
    <row r="237" spans="1:9" x14ac:dyDescent="0.2">
      <c r="A237" s="4">
        <v>4</v>
      </c>
      <c r="B237" s="4">
        <v>9</v>
      </c>
      <c r="C237" s="4">
        <v>19</v>
      </c>
      <c r="D237" s="4">
        <v>1</v>
      </c>
      <c r="E237" s="4">
        <v>1</v>
      </c>
      <c r="F237" s="4">
        <v>1</v>
      </c>
      <c r="G237" s="4">
        <v>0</v>
      </c>
      <c r="H237" s="4">
        <v>0</v>
      </c>
      <c r="I237" s="2" t="s">
        <v>79</v>
      </c>
    </row>
    <row r="238" spans="1:9" x14ac:dyDescent="0.2">
      <c r="A238" s="4">
        <v>2.9</v>
      </c>
      <c r="B238" s="4">
        <v>12</v>
      </c>
      <c r="C238" s="4">
        <v>17</v>
      </c>
      <c r="D238" s="4">
        <v>1</v>
      </c>
      <c r="E238" s="4">
        <v>1</v>
      </c>
      <c r="F238" s="4">
        <v>1</v>
      </c>
      <c r="G238" s="4">
        <v>0</v>
      </c>
      <c r="H238" s="4">
        <v>0</v>
      </c>
      <c r="I238" s="2" t="s">
        <v>79</v>
      </c>
    </row>
    <row r="239" spans="1:9" x14ac:dyDescent="0.2">
      <c r="A239" s="4">
        <v>4.63</v>
      </c>
      <c r="B239" s="4">
        <v>12</v>
      </c>
      <c r="C239" s="4">
        <v>16</v>
      </c>
      <c r="D239" s="4">
        <v>1</v>
      </c>
      <c r="E239" s="4">
        <v>1</v>
      </c>
      <c r="F239" s="4">
        <v>0</v>
      </c>
      <c r="G239" s="4">
        <v>0</v>
      </c>
      <c r="H239" s="4">
        <v>0</v>
      </c>
      <c r="I239" s="2" t="s">
        <v>79</v>
      </c>
    </row>
    <row r="240" spans="1:9" x14ac:dyDescent="0.2">
      <c r="A240" s="4">
        <v>4.72</v>
      </c>
      <c r="B240" s="4">
        <v>12</v>
      </c>
      <c r="C240" s="4">
        <v>15</v>
      </c>
      <c r="D240" s="4">
        <v>1</v>
      </c>
      <c r="E240" s="4">
        <v>1</v>
      </c>
      <c r="F240" s="4">
        <v>0</v>
      </c>
      <c r="G240" s="4">
        <v>0</v>
      </c>
      <c r="H240" s="4">
        <v>0</v>
      </c>
      <c r="I240" s="2" t="s">
        <v>79</v>
      </c>
    </row>
    <row r="241" spans="1:9" x14ac:dyDescent="0.2">
      <c r="A241" s="4">
        <v>2.9</v>
      </c>
      <c r="B241" s="4">
        <v>12</v>
      </c>
      <c r="C241" s="4">
        <v>15</v>
      </c>
      <c r="D241" s="4">
        <v>1</v>
      </c>
      <c r="E241" s="4">
        <v>1</v>
      </c>
      <c r="F241" s="4">
        <v>1</v>
      </c>
      <c r="G241" s="4">
        <v>1</v>
      </c>
      <c r="H241" s="4">
        <v>0</v>
      </c>
      <c r="I241" s="2" t="s">
        <v>79</v>
      </c>
    </row>
    <row r="242" spans="1:9" x14ac:dyDescent="0.2">
      <c r="A242" s="4">
        <v>5</v>
      </c>
      <c r="B242" s="4">
        <v>11</v>
      </c>
      <c r="C242" s="4">
        <v>13</v>
      </c>
      <c r="D242" s="4">
        <v>1</v>
      </c>
      <c r="E242" s="4">
        <v>0</v>
      </c>
      <c r="F242" s="4">
        <v>1</v>
      </c>
      <c r="G242" s="4">
        <v>0</v>
      </c>
      <c r="H242" s="4">
        <v>0</v>
      </c>
      <c r="I242" s="2" t="s">
        <v>79</v>
      </c>
    </row>
    <row r="243" spans="1:9" x14ac:dyDescent="0.2">
      <c r="A243" s="4">
        <v>8.65</v>
      </c>
      <c r="B243" s="4">
        <v>18</v>
      </c>
      <c r="C243" s="4">
        <v>13</v>
      </c>
      <c r="D243" s="4">
        <v>1</v>
      </c>
      <c r="E243" s="4">
        <v>1</v>
      </c>
      <c r="F243" s="4">
        <v>0</v>
      </c>
      <c r="G243" s="4">
        <v>0</v>
      </c>
      <c r="H243" s="4">
        <v>0</v>
      </c>
      <c r="I243" s="2" t="s">
        <v>79</v>
      </c>
    </row>
    <row r="244" spans="1:9" x14ac:dyDescent="0.2">
      <c r="A244" s="4">
        <v>1.5</v>
      </c>
      <c r="B244" s="4">
        <v>12</v>
      </c>
      <c r="C244" s="4">
        <v>11</v>
      </c>
      <c r="D244" s="4">
        <v>1</v>
      </c>
      <c r="E244" s="4">
        <v>1</v>
      </c>
      <c r="F244" s="4">
        <v>1</v>
      </c>
      <c r="G244" s="4">
        <v>0</v>
      </c>
      <c r="H244" s="4">
        <v>0</v>
      </c>
      <c r="I244" s="2" t="s">
        <v>79</v>
      </c>
    </row>
    <row r="245" spans="1:9" x14ac:dyDescent="0.2">
      <c r="A245" s="4">
        <v>6.35</v>
      </c>
      <c r="B245" s="4">
        <v>14</v>
      </c>
      <c r="C245" s="4">
        <v>10</v>
      </c>
      <c r="D245" s="4">
        <v>1</v>
      </c>
      <c r="E245" s="4">
        <v>1</v>
      </c>
      <c r="F245" s="4">
        <v>1</v>
      </c>
      <c r="G245" s="4">
        <v>0</v>
      </c>
      <c r="H245" s="4">
        <v>0</v>
      </c>
      <c r="I245" s="2" t="s">
        <v>79</v>
      </c>
    </row>
    <row r="246" spans="1:9" x14ac:dyDescent="0.2">
      <c r="A246" s="4">
        <v>3.25</v>
      </c>
      <c r="B246" s="4">
        <v>8</v>
      </c>
      <c r="C246" s="4">
        <v>9</v>
      </c>
      <c r="D246" s="4">
        <v>1</v>
      </c>
      <c r="E246" s="4">
        <v>1</v>
      </c>
      <c r="F246" s="4">
        <v>1</v>
      </c>
      <c r="G246" s="4">
        <v>1</v>
      </c>
      <c r="H246" s="4">
        <v>0</v>
      </c>
      <c r="I246" s="2" t="s">
        <v>79</v>
      </c>
    </row>
    <row r="247" spans="1:9" x14ac:dyDescent="0.2">
      <c r="A247" s="4">
        <v>3.35</v>
      </c>
      <c r="B247" s="4">
        <v>12</v>
      </c>
      <c r="C247" s="4">
        <v>9</v>
      </c>
      <c r="D247" s="4">
        <v>1</v>
      </c>
      <c r="E247" s="4">
        <v>0</v>
      </c>
      <c r="F247" s="4">
        <v>1</v>
      </c>
      <c r="G247" s="4">
        <v>0</v>
      </c>
      <c r="H247" s="4">
        <v>0</v>
      </c>
      <c r="I247" s="2" t="s">
        <v>79</v>
      </c>
    </row>
    <row r="248" spans="1:9" x14ac:dyDescent="0.2">
      <c r="A248" s="4">
        <v>8.8000000000000007</v>
      </c>
      <c r="B248" s="4">
        <v>16</v>
      </c>
      <c r="C248" s="4">
        <v>9</v>
      </c>
      <c r="D248" s="4">
        <v>1</v>
      </c>
      <c r="E248" s="4">
        <v>0</v>
      </c>
      <c r="F248" s="4">
        <v>1</v>
      </c>
      <c r="G248" s="4">
        <v>0</v>
      </c>
      <c r="H248" s="4">
        <v>0</v>
      </c>
      <c r="I248" s="2" t="s">
        <v>79</v>
      </c>
    </row>
    <row r="249" spans="1:9" x14ac:dyDescent="0.2">
      <c r="A249" s="4">
        <v>12.5</v>
      </c>
      <c r="B249" s="4">
        <v>12</v>
      </c>
      <c r="C249" s="4">
        <v>8</v>
      </c>
      <c r="D249" s="4">
        <v>1</v>
      </c>
      <c r="E249" s="4">
        <v>0</v>
      </c>
      <c r="F249" s="4">
        <v>0</v>
      </c>
      <c r="G249" s="4">
        <v>0</v>
      </c>
      <c r="H249" s="4">
        <v>0</v>
      </c>
      <c r="I249" s="2" t="s">
        <v>79</v>
      </c>
    </row>
    <row r="250" spans="1:9" x14ac:dyDescent="0.2">
      <c r="A250" s="4">
        <v>6.36</v>
      </c>
      <c r="B250" s="4">
        <v>14</v>
      </c>
      <c r="C250" s="4">
        <v>8</v>
      </c>
      <c r="D250" s="4">
        <v>1</v>
      </c>
      <c r="E250" s="4">
        <v>0</v>
      </c>
      <c r="F250" s="4">
        <v>1</v>
      </c>
      <c r="G250" s="4">
        <v>0</v>
      </c>
      <c r="H250" s="4">
        <v>0</v>
      </c>
      <c r="I250" s="2" t="s">
        <v>79</v>
      </c>
    </row>
    <row r="251" spans="1:9" x14ac:dyDescent="0.2">
      <c r="A251" s="4">
        <v>6.5</v>
      </c>
      <c r="B251" s="4">
        <v>12</v>
      </c>
      <c r="C251" s="4">
        <v>4</v>
      </c>
      <c r="D251" s="4">
        <v>1</v>
      </c>
      <c r="E251" s="4">
        <v>1</v>
      </c>
      <c r="F251" s="4">
        <v>0</v>
      </c>
      <c r="G251" s="4">
        <v>0</v>
      </c>
      <c r="H251" s="4">
        <v>0</v>
      </c>
      <c r="I251" s="2" t="s">
        <v>79</v>
      </c>
    </row>
    <row r="252" spans="1:9" x14ac:dyDescent="0.2">
      <c r="A252" s="4">
        <v>2.31</v>
      </c>
      <c r="B252" s="4">
        <v>9</v>
      </c>
      <c r="C252" s="4">
        <v>4</v>
      </c>
      <c r="D252" s="4">
        <v>1</v>
      </c>
      <c r="E252" s="4">
        <v>1</v>
      </c>
      <c r="F252" s="4">
        <v>0</v>
      </c>
      <c r="G252" s="4">
        <v>0</v>
      </c>
      <c r="H252" s="4">
        <v>0</v>
      </c>
      <c r="I252" s="2" t="s">
        <v>79</v>
      </c>
    </row>
    <row r="253" spans="1:9" x14ac:dyDescent="0.2">
      <c r="A253" s="4">
        <v>3.5</v>
      </c>
      <c r="B253" s="4">
        <v>18</v>
      </c>
      <c r="C253" s="4">
        <v>3</v>
      </c>
      <c r="D253" s="4">
        <v>1</v>
      </c>
      <c r="E253" s="4">
        <v>1</v>
      </c>
      <c r="F253" s="4">
        <v>0</v>
      </c>
      <c r="G253" s="4">
        <v>0</v>
      </c>
      <c r="H253" s="4">
        <v>0</v>
      </c>
      <c r="I253" s="2" t="s">
        <v>79</v>
      </c>
    </row>
    <row r="254" spans="1:9" x14ac:dyDescent="0.2">
      <c r="A254" s="4">
        <v>0.53</v>
      </c>
      <c r="B254" s="4">
        <v>12</v>
      </c>
      <c r="C254" s="4">
        <v>3</v>
      </c>
      <c r="D254" s="4">
        <v>1</v>
      </c>
      <c r="E254" s="4">
        <v>1</v>
      </c>
      <c r="F254" s="4">
        <v>0</v>
      </c>
      <c r="G254" s="4">
        <v>1</v>
      </c>
      <c r="H254" s="4">
        <v>0</v>
      </c>
      <c r="I254" s="2" t="s">
        <v>79</v>
      </c>
    </row>
    <row r="255" spans="1:9" x14ac:dyDescent="0.2">
      <c r="A255" s="4">
        <v>3</v>
      </c>
      <c r="B255" s="4">
        <v>13</v>
      </c>
      <c r="C255" s="4">
        <v>3</v>
      </c>
      <c r="D255" s="4">
        <v>1</v>
      </c>
      <c r="E255" s="4">
        <v>0</v>
      </c>
      <c r="F255" s="4">
        <v>0</v>
      </c>
      <c r="G255" s="4">
        <v>0</v>
      </c>
      <c r="H255" s="4">
        <v>0</v>
      </c>
      <c r="I255" s="2" t="s">
        <v>79</v>
      </c>
    </row>
    <row r="256" spans="1:9" x14ac:dyDescent="0.2">
      <c r="A256" s="4">
        <v>4.68</v>
      </c>
      <c r="B256" s="4">
        <v>16</v>
      </c>
      <c r="C256" s="4">
        <v>3</v>
      </c>
      <c r="D256" s="4">
        <v>1</v>
      </c>
      <c r="E256" s="4">
        <v>1</v>
      </c>
      <c r="F256" s="4">
        <v>0</v>
      </c>
      <c r="G256" s="4">
        <v>0</v>
      </c>
      <c r="H256" s="4">
        <v>0</v>
      </c>
      <c r="I256" s="2" t="s">
        <v>79</v>
      </c>
    </row>
    <row r="257" spans="1:9" x14ac:dyDescent="0.2">
      <c r="A257" s="4">
        <v>4.5</v>
      </c>
      <c r="B257" s="4">
        <v>12</v>
      </c>
      <c r="C257" s="4">
        <v>2</v>
      </c>
      <c r="D257" s="4">
        <v>1</v>
      </c>
      <c r="E257" s="4">
        <v>1</v>
      </c>
      <c r="F257" s="4">
        <v>0</v>
      </c>
      <c r="G257" s="4">
        <v>0</v>
      </c>
      <c r="H257" s="4">
        <v>1</v>
      </c>
      <c r="I257" s="2" t="s">
        <v>79</v>
      </c>
    </row>
    <row r="258" spans="1:9" x14ac:dyDescent="0.2">
      <c r="A258" s="4">
        <v>3.1</v>
      </c>
      <c r="B258" s="4">
        <v>12</v>
      </c>
      <c r="C258" s="4">
        <v>2</v>
      </c>
      <c r="D258" s="4">
        <v>1</v>
      </c>
      <c r="E258" s="4">
        <v>1</v>
      </c>
      <c r="F258" s="4">
        <v>0</v>
      </c>
      <c r="G258" s="4">
        <v>0</v>
      </c>
      <c r="H258" s="4">
        <v>0</v>
      </c>
      <c r="I258" s="2" t="s">
        <v>79</v>
      </c>
    </row>
    <row r="259" spans="1:9" x14ac:dyDescent="0.2">
      <c r="A259" s="4">
        <v>5</v>
      </c>
      <c r="B259" s="4">
        <v>16</v>
      </c>
      <c r="C259" s="4">
        <v>2</v>
      </c>
      <c r="D259" s="4">
        <v>1</v>
      </c>
      <c r="E259" s="4">
        <v>1</v>
      </c>
      <c r="F259" s="4">
        <v>1</v>
      </c>
      <c r="G259" s="4">
        <v>0</v>
      </c>
      <c r="H259" s="4">
        <v>0</v>
      </c>
      <c r="I259" s="2" t="s">
        <v>79</v>
      </c>
    </row>
    <row r="260" spans="1:9" x14ac:dyDescent="0.2">
      <c r="A260" s="4">
        <v>3</v>
      </c>
      <c r="B260" s="4">
        <v>10</v>
      </c>
      <c r="C260" s="4">
        <v>2</v>
      </c>
      <c r="D260" s="4">
        <v>1</v>
      </c>
      <c r="E260" s="4">
        <v>1</v>
      </c>
      <c r="F260" s="4">
        <v>0</v>
      </c>
      <c r="G260" s="4">
        <v>0</v>
      </c>
      <c r="H260" s="4">
        <v>0</v>
      </c>
      <c r="I260" s="2" t="s">
        <v>79</v>
      </c>
    </row>
    <row r="261" spans="1:9" x14ac:dyDescent="0.2">
      <c r="A261" s="4">
        <v>3.13</v>
      </c>
      <c r="B261" s="4">
        <v>10</v>
      </c>
      <c r="C261" s="4">
        <v>1</v>
      </c>
      <c r="D261" s="4">
        <v>1</v>
      </c>
      <c r="E261" s="4">
        <v>0</v>
      </c>
      <c r="F261" s="4">
        <v>0</v>
      </c>
      <c r="G261" s="4">
        <v>1</v>
      </c>
      <c r="H261" s="4">
        <v>0</v>
      </c>
      <c r="I261" s="2" t="s">
        <v>79</v>
      </c>
    </row>
    <row r="262" spans="1:9" x14ac:dyDescent="0.2">
      <c r="A262" s="4">
        <v>3.4</v>
      </c>
      <c r="B262" s="4">
        <v>16</v>
      </c>
      <c r="C262" s="4">
        <v>1</v>
      </c>
      <c r="D262" s="4">
        <v>1</v>
      </c>
      <c r="E262" s="4">
        <v>1</v>
      </c>
      <c r="F262" s="4">
        <v>0</v>
      </c>
      <c r="G262" s="4">
        <v>0</v>
      </c>
      <c r="H262" s="4">
        <v>0</v>
      </c>
      <c r="I262" s="2" t="s">
        <v>79</v>
      </c>
    </row>
    <row r="263" spans="1:9" x14ac:dyDescent="0.2">
      <c r="A263" s="4">
        <v>4.28</v>
      </c>
      <c r="B263" s="4">
        <v>13</v>
      </c>
      <c r="C263" s="4">
        <v>1</v>
      </c>
      <c r="D263" s="4">
        <v>1</v>
      </c>
      <c r="E263" s="4">
        <v>1</v>
      </c>
      <c r="F263" s="4">
        <v>0</v>
      </c>
      <c r="G263" s="4">
        <v>0</v>
      </c>
      <c r="H263" s="4">
        <v>0</v>
      </c>
      <c r="I263" s="2" t="s">
        <v>79</v>
      </c>
    </row>
    <row r="264" spans="1:9" x14ac:dyDescent="0.2">
      <c r="A264" s="4">
        <v>3</v>
      </c>
      <c r="B264" s="4">
        <v>11</v>
      </c>
      <c r="C264" s="4">
        <v>1</v>
      </c>
      <c r="D264" s="4">
        <v>1</v>
      </c>
      <c r="E264" s="4">
        <v>1</v>
      </c>
      <c r="F264" s="4">
        <v>0</v>
      </c>
      <c r="G264" s="4">
        <v>0</v>
      </c>
      <c r="H264" s="4">
        <v>0</v>
      </c>
      <c r="I264" s="2" t="s">
        <v>79</v>
      </c>
    </row>
    <row r="265" spans="1:9" x14ac:dyDescent="0.2">
      <c r="A265" s="4">
        <v>3</v>
      </c>
      <c r="B265" s="4">
        <v>4</v>
      </c>
      <c r="C265" s="9">
        <v>43.93</v>
      </c>
      <c r="D265" s="4">
        <v>0</v>
      </c>
      <c r="E265" s="4">
        <v>0</v>
      </c>
      <c r="F265" s="4">
        <v>1</v>
      </c>
      <c r="G265" s="4">
        <v>0</v>
      </c>
      <c r="H265" s="4">
        <v>0</v>
      </c>
      <c r="I265" s="2" t="s">
        <v>79</v>
      </c>
    </row>
    <row r="266" spans="1:9" x14ac:dyDescent="0.2">
      <c r="A266" s="4">
        <v>3</v>
      </c>
      <c r="B266" s="4">
        <v>10</v>
      </c>
      <c r="C266" s="9">
        <v>43.93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2" t="s">
        <v>79</v>
      </c>
    </row>
    <row r="267" spans="1:9" x14ac:dyDescent="0.2">
      <c r="A267" s="4">
        <v>2.5299999999999998</v>
      </c>
      <c r="B267" s="4">
        <v>12</v>
      </c>
      <c r="C267" s="9">
        <v>43.93</v>
      </c>
      <c r="D267" s="4">
        <v>0</v>
      </c>
      <c r="E267" s="4">
        <v>1</v>
      </c>
      <c r="F267" s="4">
        <v>0</v>
      </c>
      <c r="G267" s="4">
        <v>0</v>
      </c>
      <c r="H267" s="4">
        <v>0</v>
      </c>
      <c r="I267" s="2" t="s">
        <v>79</v>
      </c>
    </row>
    <row r="268" spans="1:9" x14ac:dyDescent="0.2">
      <c r="A268" s="4">
        <v>2.89</v>
      </c>
      <c r="B268" s="4">
        <v>0</v>
      </c>
      <c r="C268" s="4">
        <v>42</v>
      </c>
      <c r="D268" s="4">
        <v>0</v>
      </c>
      <c r="E268" s="4">
        <v>1</v>
      </c>
      <c r="F268" s="4">
        <v>1</v>
      </c>
      <c r="G268" s="4">
        <v>1</v>
      </c>
      <c r="H268" s="4">
        <v>0</v>
      </c>
      <c r="I268" s="2" t="s">
        <v>79</v>
      </c>
    </row>
    <row r="269" spans="1:9" x14ac:dyDescent="0.2">
      <c r="A269" s="4">
        <v>3.25</v>
      </c>
      <c r="B269" s="4">
        <v>12</v>
      </c>
      <c r="C269" s="4">
        <v>42</v>
      </c>
      <c r="D269" s="4">
        <v>0</v>
      </c>
      <c r="E269" s="4">
        <v>1</v>
      </c>
      <c r="F269" s="4">
        <v>1</v>
      </c>
      <c r="G269" s="4">
        <v>1</v>
      </c>
      <c r="H269" s="4">
        <v>0</v>
      </c>
      <c r="I269" s="2" t="s">
        <v>79</v>
      </c>
    </row>
    <row r="270" spans="1:9" x14ac:dyDescent="0.2">
      <c r="A270" s="4">
        <v>3</v>
      </c>
      <c r="B270" s="4">
        <v>12</v>
      </c>
      <c r="C270" s="4">
        <v>38</v>
      </c>
      <c r="D270" s="4">
        <v>0</v>
      </c>
      <c r="E270" s="4">
        <v>1</v>
      </c>
      <c r="F270" s="4">
        <v>1</v>
      </c>
      <c r="G270" s="4">
        <v>0</v>
      </c>
      <c r="H270" s="4">
        <v>0</v>
      </c>
      <c r="I270" s="2" t="s">
        <v>79</v>
      </c>
    </row>
    <row r="271" spans="1:9" x14ac:dyDescent="0.2">
      <c r="A271" s="4">
        <v>2.9</v>
      </c>
      <c r="B271" s="4">
        <v>12</v>
      </c>
      <c r="C271" s="4">
        <v>37</v>
      </c>
      <c r="D271" s="4">
        <v>0</v>
      </c>
      <c r="E271" s="4">
        <v>1</v>
      </c>
      <c r="F271" s="4">
        <v>1</v>
      </c>
      <c r="G271" s="4">
        <v>0</v>
      </c>
      <c r="H271" s="4">
        <v>0</v>
      </c>
      <c r="I271" s="2" t="s">
        <v>79</v>
      </c>
    </row>
    <row r="272" spans="1:9" x14ac:dyDescent="0.2">
      <c r="A272" s="4">
        <v>6.63</v>
      </c>
      <c r="B272" s="4">
        <v>12</v>
      </c>
      <c r="C272" s="4">
        <v>36</v>
      </c>
      <c r="D272" s="4">
        <v>0</v>
      </c>
      <c r="E272" s="4">
        <v>1</v>
      </c>
      <c r="F272" s="4">
        <v>0</v>
      </c>
      <c r="G272" s="4">
        <v>0</v>
      </c>
      <c r="H272" s="4">
        <v>0</v>
      </c>
      <c r="I272" s="2" t="s">
        <v>79</v>
      </c>
    </row>
    <row r="273" spans="1:9" x14ac:dyDescent="0.2">
      <c r="A273" s="4">
        <v>3</v>
      </c>
      <c r="B273" s="4">
        <v>4</v>
      </c>
      <c r="C273" s="4">
        <v>36</v>
      </c>
      <c r="D273" s="4">
        <v>0</v>
      </c>
      <c r="E273" s="4">
        <v>0</v>
      </c>
      <c r="F273" s="4">
        <v>1</v>
      </c>
      <c r="G273" s="4">
        <v>0</v>
      </c>
      <c r="H273" s="4">
        <v>1</v>
      </c>
      <c r="I273" s="2" t="s">
        <v>79</v>
      </c>
    </row>
    <row r="274" spans="1:9" x14ac:dyDescent="0.2">
      <c r="A274" s="4">
        <v>3.35</v>
      </c>
      <c r="B274" s="4">
        <v>7</v>
      </c>
      <c r="C274" s="4">
        <v>35</v>
      </c>
      <c r="D274" s="4">
        <v>0</v>
      </c>
      <c r="E274" s="4">
        <v>1</v>
      </c>
      <c r="F274" s="4">
        <v>0</v>
      </c>
      <c r="G274" s="4">
        <v>0</v>
      </c>
      <c r="H274" s="4">
        <v>0</v>
      </c>
      <c r="I274" s="2" t="s">
        <v>79</v>
      </c>
    </row>
    <row r="275" spans="1:9" x14ac:dyDescent="0.2">
      <c r="A275" s="4">
        <v>2.9</v>
      </c>
      <c r="B275" s="4">
        <v>5</v>
      </c>
      <c r="C275" s="4">
        <v>34</v>
      </c>
      <c r="D275" s="4">
        <v>0</v>
      </c>
      <c r="E275" s="4">
        <v>1</v>
      </c>
      <c r="F275" s="4">
        <v>1</v>
      </c>
      <c r="G275" s="4">
        <v>1</v>
      </c>
      <c r="H275" s="4">
        <v>0</v>
      </c>
      <c r="I275" s="2" t="s">
        <v>79</v>
      </c>
    </row>
    <row r="276" spans="1:9" x14ac:dyDescent="0.2">
      <c r="A276" s="4">
        <v>3</v>
      </c>
      <c r="B276" s="4">
        <v>8</v>
      </c>
      <c r="C276" s="4">
        <v>33</v>
      </c>
      <c r="D276" s="4">
        <v>0</v>
      </c>
      <c r="E276" s="4">
        <v>0</v>
      </c>
      <c r="F276" s="4">
        <v>1</v>
      </c>
      <c r="G276" s="4">
        <v>0</v>
      </c>
      <c r="H276" s="4">
        <v>0</v>
      </c>
      <c r="I276" s="2" t="s">
        <v>79</v>
      </c>
    </row>
    <row r="277" spans="1:9" x14ac:dyDescent="0.2">
      <c r="A277" s="4">
        <v>3</v>
      </c>
      <c r="B277" s="4">
        <v>15</v>
      </c>
      <c r="C277" s="4">
        <v>32</v>
      </c>
      <c r="D277" s="4">
        <v>0</v>
      </c>
      <c r="E277" s="4">
        <v>0</v>
      </c>
      <c r="F277" s="4">
        <v>1</v>
      </c>
      <c r="G277" s="4">
        <v>0</v>
      </c>
      <c r="H277" s="4">
        <v>0</v>
      </c>
      <c r="I277" s="2" t="s">
        <v>79</v>
      </c>
    </row>
    <row r="278" spans="1:9" x14ac:dyDescent="0.2">
      <c r="A278" s="4">
        <v>12.5</v>
      </c>
      <c r="B278" s="4">
        <v>16</v>
      </c>
      <c r="C278" s="4">
        <v>31</v>
      </c>
      <c r="D278" s="4">
        <v>0</v>
      </c>
      <c r="E278" s="4">
        <v>0</v>
      </c>
      <c r="F278" s="4">
        <v>1</v>
      </c>
      <c r="G278" s="4">
        <v>1</v>
      </c>
      <c r="H278" s="4">
        <v>0</v>
      </c>
      <c r="I278" s="2" t="s">
        <v>79</v>
      </c>
    </row>
    <row r="279" spans="1:9" x14ac:dyDescent="0.2">
      <c r="A279" s="4">
        <v>12.5</v>
      </c>
      <c r="B279" s="4">
        <v>15</v>
      </c>
      <c r="C279" s="4">
        <v>30</v>
      </c>
      <c r="D279" s="4">
        <v>0</v>
      </c>
      <c r="E279" s="4">
        <v>0</v>
      </c>
      <c r="F279" s="4">
        <v>1</v>
      </c>
      <c r="G279" s="4">
        <v>1</v>
      </c>
      <c r="H279" s="4">
        <v>0</v>
      </c>
      <c r="I279" s="2" t="s">
        <v>79</v>
      </c>
    </row>
    <row r="280" spans="1:9" x14ac:dyDescent="0.2">
      <c r="A280" s="4">
        <v>4.1399999999999997</v>
      </c>
      <c r="B280" s="4">
        <v>13</v>
      </c>
      <c r="C280" s="4">
        <v>29</v>
      </c>
      <c r="D280" s="4">
        <v>0</v>
      </c>
      <c r="E280" s="4">
        <v>1</v>
      </c>
      <c r="F280" s="4">
        <v>1</v>
      </c>
      <c r="G280" s="4">
        <v>0</v>
      </c>
      <c r="H280" s="4">
        <v>0</v>
      </c>
      <c r="I280" s="2" t="s">
        <v>79</v>
      </c>
    </row>
    <row r="281" spans="1:9" x14ac:dyDescent="0.2">
      <c r="A281" s="4">
        <v>3.2</v>
      </c>
      <c r="B281" s="4">
        <v>12</v>
      </c>
      <c r="C281" s="4">
        <v>29</v>
      </c>
      <c r="D281" s="4">
        <v>0</v>
      </c>
      <c r="E281" s="4">
        <v>1</v>
      </c>
      <c r="F281" s="4">
        <v>0</v>
      </c>
      <c r="G281" s="4">
        <v>0</v>
      </c>
      <c r="H281" s="4">
        <v>0</v>
      </c>
      <c r="I281" s="2" t="s">
        <v>79</v>
      </c>
    </row>
    <row r="282" spans="1:9" x14ac:dyDescent="0.2">
      <c r="A282" s="4">
        <v>3.25</v>
      </c>
      <c r="B282" s="4">
        <v>9</v>
      </c>
      <c r="C282" s="4">
        <v>29</v>
      </c>
      <c r="D282" s="4">
        <v>0</v>
      </c>
      <c r="E282" s="4">
        <v>0</v>
      </c>
      <c r="F282" s="4">
        <v>1</v>
      </c>
      <c r="G282" s="4">
        <v>0</v>
      </c>
      <c r="H282" s="4">
        <v>0</v>
      </c>
      <c r="I282" s="2" t="s">
        <v>79</v>
      </c>
    </row>
    <row r="283" spans="1:9" x14ac:dyDescent="0.2">
      <c r="A283" s="4">
        <v>10</v>
      </c>
      <c r="B283" s="4">
        <v>12</v>
      </c>
      <c r="C283" s="4">
        <v>29</v>
      </c>
      <c r="D283" s="4">
        <v>0</v>
      </c>
      <c r="E283" s="4">
        <v>0</v>
      </c>
      <c r="F283" s="4">
        <v>1</v>
      </c>
      <c r="G283" s="4">
        <v>0</v>
      </c>
      <c r="H283" s="4">
        <v>0</v>
      </c>
      <c r="I283" s="2" t="s">
        <v>79</v>
      </c>
    </row>
    <row r="284" spans="1:9" x14ac:dyDescent="0.2">
      <c r="A284" s="4">
        <v>4</v>
      </c>
      <c r="B284" s="4">
        <v>12</v>
      </c>
      <c r="C284" s="4">
        <v>28</v>
      </c>
      <c r="D284" s="4">
        <v>0</v>
      </c>
      <c r="E284" s="4">
        <v>1</v>
      </c>
      <c r="F284" s="4">
        <v>1</v>
      </c>
      <c r="G284" s="4">
        <v>0</v>
      </c>
      <c r="H284" s="4">
        <v>0</v>
      </c>
      <c r="I284" s="2" t="s">
        <v>79</v>
      </c>
    </row>
    <row r="285" spans="1:9" x14ac:dyDescent="0.2">
      <c r="A285" s="4">
        <v>6.46</v>
      </c>
      <c r="B285" s="4">
        <v>12</v>
      </c>
      <c r="C285" s="4">
        <v>27</v>
      </c>
      <c r="D285" s="4">
        <v>0</v>
      </c>
      <c r="E285" s="4">
        <v>0</v>
      </c>
      <c r="F285" s="4">
        <v>1</v>
      </c>
      <c r="G285" s="4">
        <v>0</v>
      </c>
      <c r="H285" s="4">
        <v>0</v>
      </c>
      <c r="I285" s="2" t="s">
        <v>79</v>
      </c>
    </row>
    <row r="286" spans="1:9" x14ac:dyDescent="0.2">
      <c r="A286" s="4">
        <v>6.36</v>
      </c>
      <c r="B286" s="4">
        <v>16</v>
      </c>
      <c r="C286" s="4">
        <v>25</v>
      </c>
      <c r="D286" s="4">
        <v>0</v>
      </c>
      <c r="E286" s="4">
        <v>0</v>
      </c>
      <c r="F286" s="4">
        <v>1</v>
      </c>
      <c r="G286" s="4">
        <v>0</v>
      </c>
      <c r="H286" s="4">
        <v>0</v>
      </c>
      <c r="I286" s="2" t="s">
        <v>79</v>
      </c>
    </row>
    <row r="287" spans="1:9" x14ac:dyDescent="0.2">
      <c r="A287" s="4">
        <v>9.42</v>
      </c>
      <c r="B287" s="4">
        <v>14</v>
      </c>
      <c r="C287" s="4">
        <v>23</v>
      </c>
      <c r="D287" s="4">
        <v>0</v>
      </c>
      <c r="E287" s="4">
        <v>1</v>
      </c>
      <c r="F287" s="4">
        <v>1</v>
      </c>
      <c r="G287" s="4">
        <v>0</v>
      </c>
      <c r="H287" s="4">
        <v>0</v>
      </c>
      <c r="I287" s="2" t="s">
        <v>79</v>
      </c>
    </row>
    <row r="288" spans="1:9" x14ac:dyDescent="0.2">
      <c r="A288" s="4">
        <v>3.35</v>
      </c>
      <c r="B288" s="4">
        <v>13</v>
      </c>
      <c r="C288" s="4">
        <v>22</v>
      </c>
      <c r="D288" s="4">
        <v>0</v>
      </c>
      <c r="E288" s="4">
        <v>1</v>
      </c>
      <c r="F288" s="4">
        <v>0</v>
      </c>
      <c r="G288" s="4">
        <v>0</v>
      </c>
      <c r="H288" s="4">
        <v>0</v>
      </c>
      <c r="I288" s="2" t="s">
        <v>79</v>
      </c>
    </row>
    <row r="289" spans="1:9" x14ac:dyDescent="0.2">
      <c r="A289" s="4">
        <v>4.75</v>
      </c>
      <c r="B289" s="4">
        <v>12</v>
      </c>
      <c r="C289" s="4">
        <v>19</v>
      </c>
      <c r="D289" s="4">
        <v>0</v>
      </c>
      <c r="E289" s="4">
        <v>0</v>
      </c>
      <c r="F289" s="4">
        <v>1</v>
      </c>
      <c r="G289" s="4">
        <v>0</v>
      </c>
      <c r="H289" s="4">
        <v>0</v>
      </c>
      <c r="I289" s="2" t="s">
        <v>79</v>
      </c>
    </row>
    <row r="290" spans="1:9" x14ac:dyDescent="0.2">
      <c r="A290" s="4">
        <v>2.9</v>
      </c>
      <c r="B290" s="4">
        <v>10</v>
      </c>
      <c r="C290" s="4">
        <v>18</v>
      </c>
      <c r="D290" s="4">
        <v>0</v>
      </c>
      <c r="E290" s="4">
        <v>1</v>
      </c>
      <c r="F290" s="4">
        <v>1</v>
      </c>
      <c r="G290" s="4">
        <v>0</v>
      </c>
      <c r="H290" s="4">
        <v>0</v>
      </c>
      <c r="I290" s="2" t="s">
        <v>79</v>
      </c>
    </row>
    <row r="291" spans="1:9" x14ac:dyDescent="0.2">
      <c r="A291" s="4">
        <v>3.75</v>
      </c>
      <c r="B291" s="4">
        <v>12</v>
      </c>
      <c r="C291" s="4">
        <v>18</v>
      </c>
      <c r="D291" s="4">
        <v>0</v>
      </c>
      <c r="E291" s="4">
        <v>1</v>
      </c>
      <c r="F291" s="4">
        <v>1</v>
      </c>
      <c r="G291" s="4">
        <v>0</v>
      </c>
      <c r="H291" s="4">
        <v>0</v>
      </c>
      <c r="I291" s="2" t="s">
        <v>79</v>
      </c>
    </row>
    <row r="292" spans="1:9" x14ac:dyDescent="0.2">
      <c r="A292" s="4">
        <v>1.43</v>
      </c>
      <c r="B292" s="4">
        <v>12</v>
      </c>
      <c r="C292" s="4">
        <v>17</v>
      </c>
      <c r="D292" s="4">
        <v>0</v>
      </c>
      <c r="E292" s="10">
        <v>2</v>
      </c>
      <c r="F292" s="4">
        <v>1</v>
      </c>
      <c r="G292" s="4">
        <v>0</v>
      </c>
      <c r="H292" s="4">
        <v>0</v>
      </c>
      <c r="I292" s="2" t="s">
        <v>79</v>
      </c>
    </row>
    <row r="293" spans="1:9" x14ac:dyDescent="0.2">
      <c r="A293" s="4">
        <v>3</v>
      </c>
      <c r="B293" s="4">
        <v>14</v>
      </c>
      <c r="C293" s="4">
        <v>17</v>
      </c>
      <c r="D293" s="4">
        <v>0</v>
      </c>
      <c r="E293" s="4">
        <v>1</v>
      </c>
      <c r="F293" s="4">
        <v>1</v>
      </c>
      <c r="G293" s="4">
        <v>0</v>
      </c>
      <c r="H293" s="4">
        <v>0</v>
      </c>
      <c r="I293" s="2" t="s">
        <v>79</v>
      </c>
    </row>
    <row r="294" spans="1:9" x14ac:dyDescent="0.2">
      <c r="A294" s="4">
        <v>4.5</v>
      </c>
      <c r="B294" s="4">
        <v>14</v>
      </c>
      <c r="C294" s="4">
        <v>16</v>
      </c>
      <c r="D294" s="4">
        <v>0</v>
      </c>
      <c r="E294" s="4">
        <v>1</v>
      </c>
      <c r="F294" s="4">
        <v>1</v>
      </c>
      <c r="G294" s="4">
        <v>1</v>
      </c>
      <c r="H294" s="4">
        <v>0</v>
      </c>
      <c r="I294" s="2" t="s">
        <v>79</v>
      </c>
    </row>
    <row r="295" spans="1:9" x14ac:dyDescent="0.2">
      <c r="A295" s="4">
        <v>3.24</v>
      </c>
      <c r="B295" s="4">
        <v>12</v>
      </c>
      <c r="C295" s="4">
        <v>16</v>
      </c>
      <c r="D295" s="4">
        <v>0</v>
      </c>
      <c r="E295" s="4">
        <v>1</v>
      </c>
      <c r="F295" s="4">
        <v>1</v>
      </c>
      <c r="G295" s="4">
        <v>0</v>
      </c>
      <c r="H295" s="4">
        <v>0</v>
      </c>
      <c r="I295" s="2" t="s">
        <v>79</v>
      </c>
    </row>
    <row r="296" spans="1:9" x14ac:dyDescent="0.2">
      <c r="A296" s="4">
        <v>6.11</v>
      </c>
      <c r="B296" s="4">
        <v>14</v>
      </c>
      <c r="C296" s="4">
        <v>15</v>
      </c>
      <c r="D296" s="4">
        <v>0</v>
      </c>
      <c r="E296" s="4">
        <v>0</v>
      </c>
      <c r="F296" s="4">
        <v>1</v>
      </c>
      <c r="G296" s="4">
        <v>0</v>
      </c>
      <c r="H296" s="4">
        <v>0</v>
      </c>
      <c r="I296" s="2" t="s">
        <v>79</v>
      </c>
    </row>
    <row r="297" spans="1:9" x14ac:dyDescent="0.2">
      <c r="A297" s="4">
        <v>8.77</v>
      </c>
      <c r="B297" s="4">
        <v>12</v>
      </c>
      <c r="C297" s="4">
        <v>15</v>
      </c>
      <c r="D297" s="4">
        <v>0</v>
      </c>
      <c r="E297" s="4">
        <v>0</v>
      </c>
      <c r="F297" s="4">
        <v>1</v>
      </c>
      <c r="G297" s="4">
        <v>1</v>
      </c>
      <c r="H297" s="4">
        <v>0</v>
      </c>
      <c r="I297" s="2" t="s">
        <v>79</v>
      </c>
    </row>
    <row r="298" spans="1:9" x14ac:dyDescent="0.2">
      <c r="A298" s="4">
        <v>10</v>
      </c>
      <c r="B298" s="4">
        <v>12</v>
      </c>
      <c r="C298" s="4">
        <v>15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2" t="s">
        <v>79</v>
      </c>
    </row>
    <row r="299" spans="1:9" x14ac:dyDescent="0.2">
      <c r="A299" s="4">
        <v>5</v>
      </c>
      <c r="B299" s="4">
        <v>15</v>
      </c>
      <c r="C299" s="4">
        <v>15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2" t="s">
        <v>79</v>
      </c>
    </row>
    <row r="300" spans="1:9" x14ac:dyDescent="0.2">
      <c r="A300" s="4">
        <v>3.75</v>
      </c>
      <c r="B300" s="4">
        <v>10</v>
      </c>
      <c r="C300" s="4">
        <v>15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2" t="s">
        <v>79</v>
      </c>
    </row>
    <row r="301" spans="1:9" x14ac:dyDescent="0.2">
      <c r="A301" s="4">
        <v>3.25</v>
      </c>
      <c r="B301" s="4">
        <v>12</v>
      </c>
      <c r="C301" s="4">
        <v>14</v>
      </c>
      <c r="D301" s="4">
        <v>0</v>
      </c>
      <c r="E301" s="4">
        <v>1</v>
      </c>
      <c r="F301" s="4">
        <v>1</v>
      </c>
      <c r="G301" s="4">
        <v>0</v>
      </c>
      <c r="H301" s="4">
        <v>0</v>
      </c>
      <c r="I301" s="2" t="s">
        <v>79</v>
      </c>
    </row>
    <row r="302" spans="1:9" x14ac:dyDescent="0.2">
      <c r="A302" s="4">
        <v>3.75</v>
      </c>
      <c r="B302" s="4">
        <v>12</v>
      </c>
      <c r="C302" s="4">
        <v>14</v>
      </c>
      <c r="D302" s="4">
        <v>0</v>
      </c>
      <c r="E302" s="4">
        <v>1</v>
      </c>
      <c r="F302" s="4">
        <v>1</v>
      </c>
      <c r="G302" s="4">
        <v>0</v>
      </c>
      <c r="H302" s="4">
        <v>0</v>
      </c>
      <c r="I302" s="2" t="s">
        <v>79</v>
      </c>
    </row>
    <row r="303" spans="1:9" x14ac:dyDescent="0.2">
      <c r="A303" s="4">
        <v>3.1</v>
      </c>
      <c r="B303" s="4">
        <v>6</v>
      </c>
      <c r="C303" s="4">
        <v>14</v>
      </c>
      <c r="D303" s="4">
        <v>0</v>
      </c>
      <c r="E303" s="4">
        <v>1</v>
      </c>
      <c r="F303" s="4">
        <v>0</v>
      </c>
      <c r="G303" s="4">
        <v>0</v>
      </c>
      <c r="H303" s="4">
        <v>0</v>
      </c>
      <c r="I303" s="2" t="s">
        <v>79</v>
      </c>
    </row>
    <row r="304" spans="1:9" x14ac:dyDescent="0.2">
      <c r="A304" s="4">
        <v>3.5</v>
      </c>
      <c r="B304" s="4">
        <v>12</v>
      </c>
      <c r="C304" s="4">
        <v>14</v>
      </c>
      <c r="D304" s="4">
        <v>0</v>
      </c>
      <c r="E304" s="4">
        <v>1</v>
      </c>
      <c r="F304" s="4">
        <v>0</v>
      </c>
      <c r="G304" s="4">
        <v>0</v>
      </c>
      <c r="H304" s="4">
        <v>1</v>
      </c>
      <c r="I304" s="2" t="s">
        <v>79</v>
      </c>
    </row>
    <row r="305" spans="1:9" x14ac:dyDescent="0.2">
      <c r="A305" s="4">
        <v>17.329999999999998</v>
      </c>
      <c r="B305" s="4">
        <v>16</v>
      </c>
      <c r="C305" s="4">
        <v>14</v>
      </c>
      <c r="D305" s="4">
        <v>0</v>
      </c>
      <c r="E305" s="4">
        <v>0</v>
      </c>
      <c r="F305" s="4">
        <v>1</v>
      </c>
      <c r="G305" s="4">
        <v>1</v>
      </c>
      <c r="H305" s="4">
        <v>0</v>
      </c>
      <c r="I305" s="2" t="s">
        <v>79</v>
      </c>
    </row>
    <row r="306" spans="1:9" x14ac:dyDescent="0.2">
      <c r="A306" s="4">
        <v>3.58</v>
      </c>
      <c r="B306" s="4">
        <v>12</v>
      </c>
      <c r="C306" s="4">
        <v>13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2" t="s">
        <v>79</v>
      </c>
    </row>
    <row r="307" spans="1:9" x14ac:dyDescent="0.2">
      <c r="A307" s="4">
        <v>4.5</v>
      </c>
      <c r="B307" s="4">
        <v>12</v>
      </c>
      <c r="C307" s="4">
        <v>13</v>
      </c>
      <c r="D307" s="4">
        <v>0</v>
      </c>
      <c r="E307" s="4">
        <v>0</v>
      </c>
      <c r="F307" s="4">
        <v>1</v>
      </c>
      <c r="G307" s="4">
        <v>0</v>
      </c>
      <c r="H307" s="4">
        <v>0</v>
      </c>
      <c r="I307" s="2" t="s">
        <v>79</v>
      </c>
    </row>
    <row r="308" spans="1:9" x14ac:dyDescent="0.2">
      <c r="A308" s="4">
        <v>3.6</v>
      </c>
      <c r="B308" s="4">
        <v>12</v>
      </c>
      <c r="C308" s="4">
        <v>13</v>
      </c>
      <c r="D308" s="4">
        <v>0</v>
      </c>
      <c r="E308" s="10">
        <v>2</v>
      </c>
      <c r="F308" s="4">
        <v>1</v>
      </c>
      <c r="G308" s="4">
        <v>1</v>
      </c>
      <c r="H308" s="4">
        <v>0</v>
      </c>
      <c r="I308" s="2" t="s">
        <v>79</v>
      </c>
    </row>
    <row r="309" spans="1:9" x14ac:dyDescent="0.2">
      <c r="A309" s="4">
        <v>18</v>
      </c>
      <c r="B309" s="4">
        <v>18</v>
      </c>
      <c r="C309" s="4">
        <v>13</v>
      </c>
      <c r="D309" s="4">
        <v>0</v>
      </c>
      <c r="E309" s="4">
        <v>1</v>
      </c>
      <c r="F309" s="4">
        <v>0</v>
      </c>
      <c r="G309" s="4">
        <v>0</v>
      </c>
      <c r="H309" s="4">
        <v>0</v>
      </c>
      <c r="I309" s="2" t="s">
        <v>79</v>
      </c>
    </row>
    <row r="310" spans="1:9" x14ac:dyDescent="0.2">
      <c r="A310" s="4">
        <v>6.25</v>
      </c>
      <c r="B310" s="10">
        <v>12</v>
      </c>
      <c r="C310" s="4">
        <v>13</v>
      </c>
      <c r="D310" s="4">
        <v>0</v>
      </c>
      <c r="E310" s="4">
        <v>1</v>
      </c>
      <c r="F310" s="4">
        <v>1</v>
      </c>
      <c r="G310" s="4">
        <v>0</v>
      </c>
      <c r="H310" s="4">
        <v>0</v>
      </c>
      <c r="I310" s="2" t="s">
        <v>79</v>
      </c>
    </row>
    <row r="311" spans="1:9" x14ac:dyDescent="0.2">
      <c r="A311" s="4">
        <v>7.14</v>
      </c>
      <c r="B311" s="4">
        <v>18</v>
      </c>
      <c r="C311" s="4">
        <v>13</v>
      </c>
      <c r="D311" s="4">
        <v>0</v>
      </c>
      <c r="E311" s="4">
        <v>0</v>
      </c>
      <c r="F311" s="4">
        <v>1</v>
      </c>
      <c r="G311" s="4">
        <v>0</v>
      </c>
      <c r="H311" s="4">
        <v>0</v>
      </c>
      <c r="I311" s="2" t="s">
        <v>79</v>
      </c>
    </row>
    <row r="312" spans="1:9" x14ac:dyDescent="0.2">
      <c r="A312" s="4">
        <v>3.75</v>
      </c>
      <c r="B312" s="10">
        <v>12</v>
      </c>
      <c r="C312" s="4">
        <v>13</v>
      </c>
      <c r="D312" s="4">
        <v>0</v>
      </c>
      <c r="E312" s="4">
        <v>1</v>
      </c>
      <c r="F312" s="4">
        <v>1</v>
      </c>
      <c r="G312" s="4">
        <v>0</v>
      </c>
      <c r="H312" s="4">
        <v>0</v>
      </c>
      <c r="I312" s="2" t="s">
        <v>79</v>
      </c>
    </row>
    <row r="313" spans="1:9" x14ac:dyDescent="0.2">
      <c r="A313" s="4">
        <v>10</v>
      </c>
      <c r="B313" s="4">
        <v>8</v>
      </c>
      <c r="C313" s="4">
        <v>13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2" t="s">
        <v>79</v>
      </c>
    </row>
    <row r="314" spans="1:9" x14ac:dyDescent="0.2">
      <c r="A314" s="4">
        <v>4.5</v>
      </c>
      <c r="B314" s="4">
        <v>12</v>
      </c>
      <c r="C314" s="4">
        <v>12</v>
      </c>
      <c r="D314" s="4">
        <v>0</v>
      </c>
      <c r="E314" s="4">
        <v>0</v>
      </c>
      <c r="F314" s="4">
        <v>1</v>
      </c>
      <c r="G314" s="4">
        <v>0</v>
      </c>
      <c r="H314" s="4">
        <v>0</v>
      </c>
      <c r="I314" s="2" t="s">
        <v>79</v>
      </c>
    </row>
    <row r="315" spans="1:9" x14ac:dyDescent="0.2">
      <c r="A315" s="4">
        <v>3.45</v>
      </c>
      <c r="B315" s="4">
        <v>10</v>
      </c>
      <c r="C315" s="4">
        <v>11</v>
      </c>
      <c r="D315" s="4">
        <v>0</v>
      </c>
      <c r="E315" s="4">
        <v>1</v>
      </c>
      <c r="F315" s="4">
        <v>0</v>
      </c>
      <c r="G315" s="4">
        <v>0</v>
      </c>
      <c r="H315" s="4">
        <v>0</v>
      </c>
      <c r="I315" s="2" t="s">
        <v>79</v>
      </c>
    </row>
    <row r="316" spans="1:9" x14ac:dyDescent="0.2">
      <c r="A316" s="4">
        <v>3.75</v>
      </c>
      <c r="B316" s="4">
        <v>12</v>
      </c>
      <c r="C316" s="4">
        <v>11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2" t="s">
        <v>79</v>
      </c>
    </row>
    <row r="317" spans="1:9" x14ac:dyDescent="0.2">
      <c r="A317" s="4">
        <v>6</v>
      </c>
      <c r="B317" s="4">
        <v>14</v>
      </c>
      <c r="C317" s="4">
        <v>11</v>
      </c>
      <c r="D317" s="4">
        <v>0</v>
      </c>
      <c r="E317" s="4">
        <v>0</v>
      </c>
      <c r="F317" s="4">
        <v>1</v>
      </c>
      <c r="G317" s="4">
        <v>0</v>
      </c>
      <c r="H317" s="4">
        <v>0</v>
      </c>
      <c r="I317" s="2" t="s">
        <v>79</v>
      </c>
    </row>
    <row r="318" spans="1:9" x14ac:dyDescent="0.2">
      <c r="A318" s="4">
        <v>6.25</v>
      </c>
      <c r="B318" s="4">
        <v>12</v>
      </c>
      <c r="C318" s="4">
        <v>11</v>
      </c>
      <c r="D318" s="4">
        <v>0</v>
      </c>
      <c r="E318" s="4">
        <v>1</v>
      </c>
      <c r="F318" s="4">
        <v>0</v>
      </c>
      <c r="G318" s="4">
        <v>1</v>
      </c>
      <c r="H318" s="4">
        <v>0</v>
      </c>
      <c r="I318" s="2" t="s">
        <v>79</v>
      </c>
    </row>
    <row r="319" spans="1:9" x14ac:dyDescent="0.2">
      <c r="A319" s="4">
        <v>7.5</v>
      </c>
      <c r="B319" s="4">
        <v>16</v>
      </c>
      <c r="C319" s="4">
        <v>11</v>
      </c>
      <c r="D319" s="4">
        <v>0</v>
      </c>
      <c r="E319" s="4">
        <v>0</v>
      </c>
      <c r="F319" s="4">
        <v>1</v>
      </c>
      <c r="G319" s="4">
        <v>0</v>
      </c>
      <c r="H319" s="4">
        <v>0</v>
      </c>
      <c r="I319" s="2" t="s">
        <v>79</v>
      </c>
    </row>
    <row r="320" spans="1:9" x14ac:dyDescent="0.2">
      <c r="A320" s="4">
        <v>3</v>
      </c>
      <c r="B320" s="4">
        <v>12</v>
      </c>
      <c r="C320" s="4">
        <v>11</v>
      </c>
      <c r="D320" s="4">
        <v>0</v>
      </c>
      <c r="E320" s="4">
        <v>1</v>
      </c>
      <c r="F320" s="4">
        <v>1</v>
      </c>
      <c r="G320" s="4">
        <v>0</v>
      </c>
      <c r="H320" s="4">
        <v>0</v>
      </c>
      <c r="I320" s="2" t="s">
        <v>79</v>
      </c>
    </row>
    <row r="321" spans="1:9" x14ac:dyDescent="0.2">
      <c r="A321" s="4">
        <v>4.55</v>
      </c>
      <c r="B321" s="4">
        <v>12</v>
      </c>
      <c r="C321" s="4">
        <v>11</v>
      </c>
      <c r="D321" s="4">
        <v>0</v>
      </c>
      <c r="E321" s="10">
        <v>2</v>
      </c>
      <c r="F321" s="4">
        <v>1</v>
      </c>
      <c r="G321" s="4">
        <v>0</v>
      </c>
      <c r="H321" s="4">
        <v>0</v>
      </c>
      <c r="I321" s="2" t="s">
        <v>79</v>
      </c>
    </row>
    <row r="322" spans="1:9" x14ac:dyDescent="0.2">
      <c r="A322" s="4">
        <v>7.5</v>
      </c>
      <c r="B322" s="4">
        <v>12</v>
      </c>
      <c r="C322" s="4">
        <v>10</v>
      </c>
      <c r="D322" s="4">
        <v>0</v>
      </c>
      <c r="E322" s="4">
        <v>1</v>
      </c>
      <c r="F322" s="4">
        <v>1</v>
      </c>
      <c r="G322" s="4">
        <v>1</v>
      </c>
      <c r="H322" s="4">
        <v>0</v>
      </c>
      <c r="I322" s="2" t="s">
        <v>79</v>
      </c>
    </row>
    <row r="323" spans="1:9" x14ac:dyDescent="0.2">
      <c r="A323" s="4">
        <v>3.05</v>
      </c>
      <c r="B323" s="4">
        <v>12</v>
      </c>
      <c r="C323" s="4">
        <v>10</v>
      </c>
      <c r="D323" s="4">
        <v>0</v>
      </c>
      <c r="E323" s="4">
        <v>1</v>
      </c>
      <c r="F323" s="4">
        <v>1</v>
      </c>
      <c r="G323" s="4">
        <v>0</v>
      </c>
      <c r="H323" s="4">
        <v>0</v>
      </c>
      <c r="I323" s="2" t="s">
        <v>79</v>
      </c>
    </row>
    <row r="324" spans="1:9" x14ac:dyDescent="0.2">
      <c r="A324" s="4">
        <v>6.25</v>
      </c>
      <c r="B324" s="4">
        <v>12</v>
      </c>
      <c r="C324" s="4">
        <v>10</v>
      </c>
      <c r="D324" s="4">
        <v>0</v>
      </c>
      <c r="E324" s="4">
        <v>0</v>
      </c>
      <c r="F324" s="4">
        <v>1</v>
      </c>
      <c r="G324" s="4">
        <v>0</v>
      </c>
      <c r="H324" s="4">
        <v>1</v>
      </c>
      <c r="I324" s="2" t="s">
        <v>79</v>
      </c>
    </row>
    <row r="325" spans="1:9" x14ac:dyDescent="0.2">
      <c r="A325" s="4">
        <v>4.5</v>
      </c>
      <c r="B325" s="4">
        <v>14</v>
      </c>
      <c r="C325" s="4">
        <v>10</v>
      </c>
      <c r="D325" s="4">
        <v>0</v>
      </c>
      <c r="E325" s="4">
        <v>0</v>
      </c>
      <c r="F325" s="4">
        <v>1</v>
      </c>
      <c r="G325" s="4">
        <v>0</v>
      </c>
      <c r="H325" s="4">
        <v>0</v>
      </c>
      <c r="I325" s="2" t="s">
        <v>79</v>
      </c>
    </row>
    <row r="326" spans="1:9" x14ac:dyDescent="0.2">
      <c r="A326" s="4">
        <v>3</v>
      </c>
      <c r="B326" s="4">
        <v>15</v>
      </c>
      <c r="C326" s="4">
        <v>9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2" t="s">
        <v>79</v>
      </c>
    </row>
    <row r="327" spans="1:9" x14ac:dyDescent="0.2">
      <c r="A327" s="4">
        <v>10</v>
      </c>
      <c r="B327" s="4">
        <v>8</v>
      </c>
      <c r="C327" s="4">
        <v>9</v>
      </c>
      <c r="D327" s="4">
        <v>0</v>
      </c>
      <c r="E327" s="4">
        <v>0</v>
      </c>
      <c r="F327" s="4">
        <v>1</v>
      </c>
      <c r="G327" s="4">
        <v>0</v>
      </c>
      <c r="H327" s="4">
        <v>1</v>
      </c>
      <c r="I327" s="2" t="s">
        <v>79</v>
      </c>
    </row>
    <row r="328" spans="1:9" x14ac:dyDescent="0.2">
      <c r="A328" s="4">
        <v>6</v>
      </c>
      <c r="B328" s="4">
        <v>13</v>
      </c>
      <c r="C328" s="4">
        <v>8</v>
      </c>
      <c r="D328" s="4">
        <v>0</v>
      </c>
      <c r="E328" s="4">
        <v>0</v>
      </c>
      <c r="F328" s="4">
        <v>1</v>
      </c>
      <c r="G328" s="4">
        <v>0</v>
      </c>
      <c r="H328" s="4">
        <v>0</v>
      </c>
      <c r="I328" s="2" t="s">
        <v>79</v>
      </c>
    </row>
    <row r="329" spans="1:9" x14ac:dyDescent="0.2">
      <c r="A329" s="4">
        <v>2.89</v>
      </c>
      <c r="B329" s="4">
        <v>10</v>
      </c>
      <c r="C329" s="4">
        <v>8</v>
      </c>
      <c r="D329" s="4">
        <v>0</v>
      </c>
      <c r="E329" s="4">
        <v>1</v>
      </c>
      <c r="F329" s="4">
        <v>0</v>
      </c>
      <c r="G329" s="4">
        <v>0</v>
      </c>
      <c r="H329" s="4">
        <v>0</v>
      </c>
      <c r="I329" s="2" t="s">
        <v>79</v>
      </c>
    </row>
    <row r="330" spans="1:9" x14ac:dyDescent="0.2">
      <c r="A330" s="4">
        <v>4.2</v>
      </c>
      <c r="B330" s="4">
        <v>16</v>
      </c>
      <c r="C330" s="4">
        <v>8</v>
      </c>
      <c r="D330" s="4">
        <v>0</v>
      </c>
      <c r="E330" s="4">
        <v>1</v>
      </c>
      <c r="F330" s="4">
        <v>1</v>
      </c>
      <c r="G330" s="4">
        <v>0</v>
      </c>
      <c r="H330" s="4">
        <v>0</v>
      </c>
      <c r="I330" s="2" t="s">
        <v>79</v>
      </c>
    </row>
    <row r="331" spans="1:9" x14ac:dyDescent="0.2">
      <c r="A331" s="4">
        <v>4.5999999999999996</v>
      </c>
      <c r="B331" s="4">
        <v>14</v>
      </c>
      <c r="C331" s="4">
        <v>7</v>
      </c>
      <c r="D331" s="4">
        <v>0</v>
      </c>
      <c r="E331" s="4">
        <v>1</v>
      </c>
      <c r="F331" s="4">
        <v>1</v>
      </c>
      <c r="G331" s="4">
        <v>0</v>
      </c>
      <c r="H331" s="4">
        <v>0</v>
      </c>
      <c r="I331" s="2" t="s">
        <v>79</v>
      </c>
    </row>
    <row r="332" spans="1:9" x14ac:dyDescent="0.2">
      <c r="A332" s="4">
        <v>4.38</v>
      </c>
      <c r="B332" s="4">
        <v>16</v>
      </c>
      <c r="C332" s="4">
        <v>7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2" t="s">
        <v>79</v>
      </c>
    </row>
    <row r="333" spans="1:9" x14ac:dyDescent="0.2">
      <c r="A333" s="4">
        <v>9</v>
      </c>
      <c r="B333" s="4">
        <v>17</v>
      </c>
      <c r="C333" s="4">
        <v>7</v>
      </c>
      <c r="D333" s="4">
        <v>0</v>
      </c>
      <c r="E333" s="4">
        <v>1</v>
      </c>
      <c r="F333" s="4">
        <v>1</v>
      </c>
      <c r="G333" s="4">
        <v>0</v>
      </c>
      <c r="H333" s="4">
        <v>0</v>
      </c>
      <c r="I333" s="2" t="s">
        <v>79</v>
      </c>
    </row>
    <row r="334" spans="1:9" x14ac:dyDescent="0.2">
      <c r="A334" s="4">
        <v>3</v>
      </c>
      <c r="B334" s="4">
        <v>10</v>
      </c>
      <c r="C334" s="4">
        <v>7</v>
      </c>
      <c r="D334" s="4">
        <v>0</v>
      </c>
      <c r="E334" s="4">
        <v>1</v>
      </c>
      <c r="F334" s="4">
        <v>1</v>
      </c>
      <c r="G334" s="4">
        <v>0</v>
      </c>
      <c r="H334" s="4">
        <v>0</v>
      </c>
      <c r="I334" s="2" t="s">
        <v>79</v>
      </c>
    </row>
    <row r="335" spans="1:9" x14ac:dyDescent="0.2">
      <c r="A335" s="4">
        <v>4.38</v>
      </c>
      <c r="B335" s="4">
        <v>13</v>
      </c>
      <c r="C335" s="4">
        <v>7</v>
      </c>
      <c r="D335" s="4">
        <v>0</v>
      </c>
      <c r="E335" s="4">
        <v>0</v>
      </c>
      <c r="F335" s="4">
        <v>1</v>
      </c>
      <c r="G335" s="4">
        <v>1</v>
      </c>
      <c r="H335" s="4">
        <v>0</v>
      </c>
      <c r="I335" s="2" t="s">
        <v>79</v>
      </c>
    </row>
    <row r="336" spans="1:9" x14ac:dyDescent="0.2">
      <c r="A336" s="4">
        <v>4.0999999999999996</v>
      </c>
      <c r="B336" s="4">
        <v>14</v>
      </c>
      <c r="C336" s="4">
        <v>6</v>
      </c>
      <c r="D336" s="4">
        <v>0</v>
      </c>
      <c r="E336" s="4">
        <v>1</v>
      </c>
      <c r="F336" s="4">
        <v>1</v>
      </c>
      <c r="G336" s="4">
        <v>0</v>
      </c>
      <c r="H336" s="4">
        <v>0</v>
      </c>
      <c r="I336" s="2" t="s">
        <v>79</v>
      </c>
    </row>
    <row r="337" spans="1:9" x14ac:dyDescent="0.2">
      <c r="A337" s="4">
        <v>2.9</v>
      </c>
      <c r="B337" s="4">
        <v>11</v>
      </c>
      <c r="C337" s="4">
        <v>6</v>
      </c>
      <c r="D337" s="4">
        <v>0</v>
      </c>
      <c r="E337" s="4">
        <v>1</v>
      </c>
      <c r="F337" s="4">
        <v>0</v>
      </c>
      <c r="G337" s="4">
        <v>0</v>
      </c>
      <c r="H337" s="4">
        <v>0</v>
      </c>
      <c r="I337" s="2" t="s">
        <v>79</v>
      </c>
    </row>
    <row r="338" spans="1:9" x14ac:dyDescent="0.2">
      <c r="A338" s="4">
        <v>3.76</v>
      </c>
      <c r="B338" s="4">
        <v>6</v>
      </c>
      <c r="C338" s="4">
        <v>6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2" t="s">
        <v>79</v>
      </c>
    </row>
    <row r="339" spans="1:9" x14ac:dyDescent="0.2">
      <c r="A339" s="4">
        <v>4</v>
      </c>
      <c r="B339" s="4">
        <v>13</v>
      </c>
      <c r="C339" s="4">
        <v>6</v>
      </c>
      <c r="D339" s="4">
        <v>0</v>
      </c>
      <c r="E339" s="4">
        <v>1</v>
      </c>
      <c r="F339" s="4">
        <v>0</v>
      </c>
      <c r="G339" s="4">
        <v>0</v>
      </c>
      <c r="H339" s="4">
        <v>1</v>
      </c>
      <c r="I339" s="2" t="s">
        <v>79</v>
      </c>
    </row>
    <row r="340" spans="1:9" x14ac:dyDescent="0.2">
      <c r="A340" s="4">
        <v>5.84</v>
      </c>
      <c r="B340" s="4">
        <v>13</v>
      </c>
      <c r="C340" s="4">
        <v>5</v>
      </c>
      <c r="D340" s="4">
        <v>0</v>
      </c>
      <c r="E340" s="4">
        <v>1</v>
      </c>
      <c r="F340" s="4">
        <v>1</v>
      </c>
      <c r="G340" s="4">
        <v>0</v>
      </c>
      <c r="H340" s="4">
        <v>0</v>
      </c>
      <c r="I340" s="2" t="s">
        <v>79</v>
      </c>
    </row>
    <row r="341" spans="1:9" x14ac:dyDescent="0.2">
      <c r="A341" s="4">
        <v>3.3</v>
      </c>
      <c r="B341" s="4">
        <v>13</v>
      </c>
      <c r="C341" s="4">
        <v>5</v>
      </c>
      <c r="D341" s="4">
        <v>0</v>
      </c>
      <c r="E341" s="4">
        <v>1</v>
      </c>
      <c r="F341" s="4">
        <v>0</v>
      </c>
      <c r="G341" s="4">
        <v>0</v>
      </c>
      <c r="H341" s="4">
        <v>0</v>
      </c>
      <c r="I341" s="2" t="s">
        <v>79</v>
      </c>
    </row>
    <row r="342" spans="1:9" x14ac:dyDescent="0.2">
      <c r="A342" s="4">
        <v>3.5</v>
      </c>
      <c r="B342" s="4">
        <v>14</v>
      </c>
      <c r="C342" s="4">
        <v>5</v>
      </c>
      <c r="D342" s="4">
        <v>0</v>
      </c>
      <c r="E342" s="4">
        <v>1</v>
      </c>
      <c r="F342" s="4">
        <v>1</v>
      </c>
      <c r="G342" s="4">
        <v>0</v>
      </c>
      <c r="H342" s="4">
        <v>0</v>
      </c>
      <c r="I342" s="2" t="s">
        <v>79</v>
      </c>
    </row>
    <row r="343" spans="1:9" x14ac:dyDescent="0.2">
      <c r="A343" s="4">
        <v>3</v>
      </c>
      <c r="B343" s="4">
        <v>13</v>
      </c>
      <c r="C343" s="4">
        <v>5</v>
      </c>
      <c r="D343" s="4">
        <v>0</v>
      </c>
      <c r="E343" s="4">
        <v>1</v>
      </c>
      <c r="F343" s="4">
        <v>0</v>
      </c>
      <c r="G343" s="4">
        <v>0</v>
      </c>
      <c r="H343" s="4">
        <v>0</v>
      </c>
      <c r="I343" s="2" t="s">
        <v>79</v>
      </c>
    </row>
    <row r="344" spans="1:9" x14ac:dyDescent="0.2">
      <c r="A344" s="4">
        <v>4.5</v>
      </c>
      <c r="B344" s="4">
        <v>14</v>
      </c>
      <c r="C344" s="4">
        <v>5</v>
      </c>
      <c r="D344" s="4">
        <v>0</v>
      </c>
      <c r="E344" s="4">
        <v>0</v>
      </c>
      <c r="F344" s="4">
        <v>1</v>
      </c>
      <c r="G344" s="4">
        <v>0</v>
      </c>
      <c r="H344" s="4">
        <v>1</v>
      </c>
      <c r="I344" s="2" t="s">
        <v>79</v>
      </c>
    </row>
    <row r="345" spans="1:9" x14ac:dyDescent="0.2">
      <c r="A345" s="4">
        <v>3.85</v>
      </c>
      <c r="B345" s="4">
        <v>16</v>
      </c>
      <c r="C345" s="4">
        <v>5</v>
      </c>
      <c r="D345" s="4">
        <v>0</v>
      </c>
      <c r="E345" s="4">
        <v>0</v>
      </c>
      <c r="F345" s="4">
        <v>1</v>
      </c>
      <c r="G345" s="4">
        <v>0</v>
      </c>
      <c r="H345" s="4">
        <v>0</v>
      </c>
      <c r="I345" s="2" t="s">
        <v>79</v>
      </c>
    </row>
    <row r="346" spans="1:9" x14ac:dyDescent="0.2">
      <c r="A346" s="4">
        <v>4.1100000000000003</v>
      </c>
      <c r="B346" s="4">
        <v>14</v>
      </c>
      <c r="C346" s="4">
        <v>5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2" t="s">
        <v>79</v>
      </c>
    </row>
    <row r="347" spans="1:9" x14ac:dyDescent="0.2">
      <c r="A347" s="4">
        <v>5</v>
      </c>
      <c r="B347" s="4">
        <v>14</v>
      </c>
      <c r="C347" s="4">
        <v>5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2" t="s">
        <v>79</v>
      </c>
    </row>
    <row r="348" spans="1:9" x14ac:dyDescent="0.2">
      <c r="A348" s="4">
        <v>2.25</v>
      </c>
      <c r="B348" s="4">
        <v>12</v>
      </c>
      <c r="C348" s="4">
        <v>5</v>
      </c>
      <c r="D348" s="4">
        <v>0</v>
      </c>
      <c r="E348" s="4">
        <v>1</v>
      </c>
      <c r="F348" s="4">
        <v>0</v>
      </c>
      <c r="G348" s="4">
        <v>0</v>
      </c>
      <c r="H348" s="4">
        <v>0</v>
      </c>
      <c r="I348" s="2" t="s">
        <v>79</v>
      </c>
    </row>
    <row r="349" spans="1:9" x14ac:dyDescent="0.2">
      <c r="A349" s="4">
        <v>3.18</v>
      </c>
      <c r="B349" s="4">
        <v>12</v>
      </c>
      <c r="C349" s="4">
        <v>5</v>
      </c>
      <c r="D349" s="4">
        <v>0</v>
      </c>
      <c r="E349" s="4">
        <v>1</v>
      </c>
      <c r="F349" s="4">
        <v>1</v>
      </c>
      <c r="G349" s="4">
        <v>0</v>
      </c>
      <c r="H349" s="4">
        <v>0</v>
      </c>
      <c r="I349" s="2" t="s">
        <v>79</v>
      </c>
    </row>
    <row r="350" spans="1:9" x14ac:dyDescent="0.2">
      <c r="A350" s="4">
        <v>5.05</v>
      </c>
      <c r="B350" s="10">
        <v>12</v>
      </c>
      <c r="C350" s="4">
        <v>5</v>
      </c>
      <c r="D350" s="4">
        <v>0</v>
      </c>
      <c r="E350" s="4">
        <v>1</v>
      </c>
      <c r="F350" s="4">
        <v>0</v>
      </c>
      <c r="G350" s="4">
        <v>0</v>
      </c>
      <c r="H350" s="4">
        <v>0</v>
      </c>
      <c r="I350" s="2" t="s">
        <v>79</v>
      </c>
    </row>
    <row r="351" spans="1:9" x14ac:dyDescent="0.2">
      <c r="A351" s="4">
        <v>4.63</v>
      </c>
      <c r="B351" s="4">
        <v>14</v>
      </c>
      <c r="C351" s="4">
        <v>4</v>
      </c>
      <c r="D351" s="4">
        <v>0</v>
      </c>
      <c r="E351" s="4">
        <v>1</v>
      </c>
      <c r="F351" s="4">
        <v>1</v>
      </c>
      <c r="G351" s="4">
        <v>0</v>
      </c>
      <c r="H351" s="4">
        <v>0</v>
      </c>
      <c r="I351" s="2" t="s">
        <v>79</v>
      </c>
    </row>
    <row r="352" spans="1:9" x14ac:dyDescent="0.2">
      <c r="A352" s="4">
        <v>2.91</v>
      </c>
      <c r="B352" s="4">
        <v>12</v>
      </c>
      <c r="C352" s="4">
        <v>4</v>
      </c>
      <c r="D352" s="4">
        <v>0</v>
      </c>
      <c r="E352" s="4">
        <v>0</v>
      </c>
      <c r="F352" s="4">
        <v>1</v>
      </c>
      <c r="G352" s="4">
        <v>0</v>
      </c>
      <c r="H352" s="4">
        <v>0</v>
      </c>
      <c r="I352" s="2" t="s">
        <v>79</v>
      </c>
    </row>
    <row r="353" spans="1:9" x14ac:dyDescent="0.2">
      <c r="A353" s="4">
        <v>6.25</v>
      </c>
      <c r="B353" s="4">
        <v>17</v>
      </c>
      <c r="C353" s="4">
        <v>4</v>
      </c>
      <c r="D353" s="4">
        <v>0</v>
      </c>
      <c r="E353" s="4">
        <v>1</v>
      </c>
      <c r="F353" s="4">
        <v>0</v>
      </c>
      <c r="G353" s="4">
        <v>1</v>
      </c>
      <c r="H353" s="4">
        <v>0</v>
      </c>
      <c r="I353" s="2" t="s">
        <v>79</v>
      </c>
    </row>
    <row r="354" spans="1:9" x14ac:dyDescent="0.2">
      <c r="A354" s="4">
        <v>5.25</v>
      </c>
      <c r="B354" s="4">
        <v>16</v>
      </c>
      <c r="C354" s="4">
        <v>4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2" t="s">
        <v>79</v>
      </c>
    </row>
    <row r="355" spans="1:9" x14ac:dyDescent="0.2">
      <c r="A355" s="4">
        <v>5.25</v>
      </c>
      <c r="B355" s="4">
        <v>12</v>
      </c>
      <c r="C355" s="4">
        <v>4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2" t="s">
        <v>79</v>
      </c>
    </row>
    <row r="356" spans="1:9" x14ac:dyDescent="0.2">
      <c r="A356" s="4">
        <v>2.9</v>
      </c>
      <c r="B356" s="4">
        <v>10</v>
      </c>
      <c r="C356" s="4">
        <v>4</v>
      </c>
      <c r="D356" s="4">
        <v>0</v>
      </c>
      <c r="E356" s="4">
        <v>1</v>
      </c>
      <c r="F356" s="4">
        <v>0</v>
      </c>
      <c r="G356" s="4">
        <v>0</v>
      </c>
      <c r="H356" s="4">
        <v>0</v>
      </c>
      <c r="I356" s="2" t="s">
        <v>79</v>
      </c>
    </row>
    <row r="357" spans="1:9" x14ac:dyDescent="0.2">
      <c r="A357" s="4">
        <v>2.92</v>
      </c>
      <c r="B357" s="4">
        <v>12</v>
      </c>
      <c r="C357" s="4">
        <v>4</v>
      </c>
      <c r="D357" s="4">
        <v>0</v>
      </c>
      <c r="E357" s="4">
        <v>1</v>
      </c>
      <c r="F357" s="4">
        <v>0</v>
      </c>
      <c r="G357" s="4">
        <v>0</v>
      </c>
      <c r="H357" s="4">
        <v>0</v>
      </c>
      <c r="I357" s="2" t="s">
        <v>79</v>
      </c>
    </row>
    <row r="358" spans="1:9" x14ac:dyDescent="0.2">
      <c r="A358" s="4">
        <v>3.25</v>
      </c>
      <c r="B358" s="4">
        <v>12</v>
      </c>
      <c r="C358" s="4">
        <v>4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2" t="s">
        <v>79</v>
      </c>
    </row>
    <row r="359" spans="1:9" x14ac:dyDescent="0.2">
      <c r="A359" s="4">
        <v>3.25</v>
      </c>
      <c r="B359" s="4">
        <v>15</v>
      </c>
      <c r="C359" s="4">
        <v>3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2" t="s">
        <v>79</v>
      </c>
    </row>
    <row r="360" spans="1:9" x14ac:dyDescent="0.2">
      <c r="A360" s="4">
        <v>4.29</v>
      </c>
      <c r="B360" s="4">
        <v>12</v>
      </c>
      <c r="C360" s="4">
        <v>3</v>
      </c>
      <c r="D360" s="4">
        <v>0</v>
      </c>
      <c r="E360" s="4">
        <v>1</v>
      </c>
      <c r="F360" s="4">
        <v>0</v>
      </c>
      <c r="G360" s="4">
        <v>0</v>
      </c>
      <c r="H360" s="4">
        <v>0</v>
      </c>
      <c r="I360" s="2" t="s">
        <v>79</v>
      </c>
    </row>
    <row r="361" spans="1:9" x14ac:dyDescent="0.2">
      <c r="A361" s="4">
        <v>4.68</v>
      </c>
      <c r="B361" s="4">
        <v>12</v>
      </c>
      <c r="C361" s="4">
        <v>3</v>
      </c>
      <c r="D361" s="4">
        <v>0</v>
      </c>
      <c r="E361" s="4">
        <v>1</v>
      </c>
      <c r="F361" s="4">
        <v>0</v>
      </c>
      <c r="G361" s="4">
        <v>1</v>
      </c>
      <c r="H361" s="4">
        <v>0</v>
      </c>
      <c r="I361" s="2" t="s">
        <v>79</v>
      </c>
    </row>
    <row r="362" spans="1:9" x14ac:dyDescent="0.2">
      <c r="A362" s="4">
        <v>6.63</v>
      </c>
      <c r="B362" s="4">
        <v>16</v>
      </c>
      <c r="C362" s="4">
        <v>3</v>
      </c>
      <c r="D362" s="4">
        <v>0</v>
      </c>
      <c r="E362" s="4">
        <v>0</v>
      </c>
      <c r="F362" s="4">
        <v>1</v>
      </c>
      <c r="G362" s="4">
        <v>0</v>
      </c>
      <c r="H362" s="4">
        <v>0</v>
      </c>
      <c r="I362" s="2" t="s">
        <v>79</v>
      </c>
    </row>
    <row r="363" spans="1:9" x14ac:dyDescent="0.2">
      <c r="A363" s="4">
        <v>4.4400000000000004</v>
      </c>
      <c r="B363" s="4">
        <v>12</v>
      </c>
      <c r="C363" s="4">
        <v>3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2" t="s">
        <v>79</v>
      </c>
    </row>
    <row r="364" spans="1:9" x14ac:dyDescent="0.2">
      <c r="A364" s="4">
        <v>5.71</v>
      </c>
      <c r="B364" s="4">
        <v>16</v>
      </c>
      <c r="C364" s="4">
        <v>3</v>
      </c>
      <c r="D364" s="4">
        <v>0</v>
      </c>
      <c r="E364" s="4">
        <v>1</v>
      </c>
      <c r="F364" s="4">
        <v>0</v>
      </c>
      <c r="G364" s="4">
        <v>0</v>
      </c>
      <c r="H364" s="4">
        <v>0</v>
      </c>
      <c r="I364" s="2" t="s">
        <v>79</v>
      </c>
    </row>
    <row r="365" spans="1:9" x14ac:dyDescent="0.2">
      <c r="A365" s="4">
        <v>4.57</v>
      </c>
      <c r="B365" s="4">
        <v>14</v>
      </c>
      <c r="C365" s="4">
        <v>3</v>
      </c>
      <c r="D365" s="4">
        <v>0</v>
      </c>
      <c r="E365" s="4">
        <v>0</v>
      </c>
      <c r="F365" s="4">
        <v>1</v>
      </c>
      <c r="G365" s="4">
        <v>0</v>
      </c>
      <c r="H365" s="4">
        <v>0</v>
      </c>
      <c r="I365" s="2" t="s">
        <v>79</v>
      </c>
    </row>
    <row r="366" spans="1:9" x14ac:dyDescent="0.2">
      <c r="A366" s="4">
        <v>6.5</v>
      </c>
      <c r="B366" s="4">
        <v>17</v>
      </c>
      <c r="C366" s="4">
        <v>3</v>
      </c>
      <c r="D366" s="4">
        <v>0</v>
      </c>
      <c r="E366" s="4">
        <v>0</v>
      </c>
      <c r="F366" s="4">
        <v>1</v>
      </c>
      <c r="G366" s="4">
        <v>0</v>
      </c>
      <c r="H366" s="4">
        <v>0</v>
      </c>
      <c r="I366" s="2" t="s">
        <v>79</v>
      </c>
    </row>
    <row r="367" spans="1:9" x14ac:dyDescent="0.2">
      <c r="A367" s="4">
        <v>8.1300000000000008</v>
      </c>
      <c r="B367" s="4">
        <v>13</v>
      </c>
      <c r="C367" s="4">
        <v>3</v>
      </c>
      <c r="D367" s="4">
        <v>0</v>
      </c>
      <c r="E367" s="10">
        <v>2</v>
      </c>
      <c r="F367" s="4">
        <v>0</v>
      </c>
      <c r="G367" s="4">
        <v>1</v>
      </c>
      <c r="H367" s="4">
        <v>0</v>
      </c>
      <c r="I367" s="2" t="s">
        <v>79</v>
      </c>
    </row>
    <row r="368" spans="1:9" x14ac:dyDescent="0.2">
      <c r="A368" s="4">
        <v>3</v>
      </c>
      <c r="B368" s="4">
        <v>9</v>
      </c>
      <c r="C368" s="4">
        <v>3</v>
      </c>
      <c r="D368" s="4">
        <v>0</v>
      </c>
      <c r="E368" s="4">
        <v>1</v>
      </c>
      <c r="F368" s="4">
        <v>0</v>
      </c>
      <c r="G368" s="4">
        <v>0</v>
      </c>
      <c r="H368" s="4">
        <v>0</v>
      </c>
      <c r="I368" s="2" t="s">
        <v>79</v>
      </c>
    </row>
    <row r="369" spans="1:9" x14ac:dyDescent="0.2">
      <c r="A369" s="4">
        <v>4</v>
      </c>
      <c r="B369" s="4">
        <v>10</v>
      </c>
      <c r="C369" s="4">
        <v>2</v>
      </c>
      <c r="D369" s="4">
        <v>0</v>
      </c>
      <c r="E369" s="4">
        <v>1</v>
      </c>
      <c r="F369" s="4">
        <v>0</v>
      </c>
      <c r="G369" s="4">
        <v>1</v>
      </c>
      <c r="H369" s="4">
        <v>0</v>
      </c>
      <c r="I369" s="2" t="s">
        <v>79</v>
      </c>
    </row>
    <row r="370" spans="1:9" x14ac:dyDescent="0.2">
      <c r="A370" s="4">
        <v>2.7</v>
      </c>
      <c r="B370" s="4">
        <v>9</v>
      </c>
      <c r="C370" s="4">
        <v>2</v>
      </c>
      <c r="D370" s="4">
        <v>0</v>
      </c>
      <c r="E370" s="4">
        <v>1</v>
      </c>
      <c r="F370" s="4">
        <v>0</v>
      </c>
      <c r="G370" s="4">
        <v>0</v>
      </c>
      <c r="H370" s="4">
        <v>0</v>
      </c>
      <c r="I370" s="2" t="s">
        <v>79</v>
      </c>
    </row>
    <row r="371" spans="1:9" x14ac:dyDescent="0.2">
      <c r="A371" s="4">
        <v>2.27</v>
      </c>
      <c r="B371" s="4">
        <v>10</v>
      </c>
      <c r="C371" s="4">
        <v>2</v>
      </c>
      <c r="D371" s="4">
        <v>0</v>
      </c>
      <c r="E371" s="10">
        <v>2</v>
      </c>
      <c r="F371" s="4">
        <v>0</v>
      </c>
      <c r="G371" s="4">
        <v>1</v>
      </c>
      <c r="H371" s="4">
        <v>0</v>
      </c>
      <c r="I371" s="2" t="s">
        <v>79</v>
      </c>
    </row>
    <row r="372" spans="1:9" x14ac:dyDescent="0.2">
      <c r="A372" s="4">
        <v>3.05</v>
      </c>
      <c r="B372" s="4">
        <v>12</v>
      </c>
      <c r="C372" s="4">
        <v>2</v>
      </c>
      <c r="D372" s="4">
        <v>0</v>
      </c>
      <c r="E372" s="4">
        <v>1</v>
      </c>
      <c r="F372" s="4">
        <v>0</v>
      </c>
      <c r="G372" s="4">
        <v>0</v>
      </c>
      <c r="H372" s="4">
        <v>0</v>
      </c>
      <c r="I372" s="2" t="s">
        <v>79</v>
      </c>
    </row>
    <row r="373" spans="1:9" x14ac:dyDescent="0.2">
      <c r="A373" s="4">
        <v>3.5</v>
      </c>
      <c r="B373" s="4">
        <v>13</v>
      </c>
      <c r="C373" s="4">
        <v>2</v>
      </c>
      <c r="D373" s="4">
        <v>0</v>
      </c>
      <c r="E373" s="4">
        <v>1</v>
      </c>
      <c r="F373" s="4">
        <v>0</v>
      </c>
      <c r="G373" s="4">
        <v>0</v>
      </c>
      <c r="H373" s="4">
        <v>0</v>
      </c>
      <c r="I373" s="2" t="s">
        <v>79</v>
      </c>
    </row>
    <row r="374" spans="1:9" x14ac:dyDescent="0.2">
      <c r="A374" s="4">
        <v>4.8099999999999996</v>
      </c>
      <c r="B374" s="4">
        <v>12</v>
      </c>
      <c r="C374" s="4">
        <v>2</v>
      </c>
      <c r="D374" s="4">
        <v>0</v>
      </c>
      <c r="E374" s="4">
        <v>1</v>
      </c>
      <c r="F374" s="4">
        <v>0</v>
      </c>
      <c r="G374" s="4">
        <v>0</v>
      </c>
      <c r="H374" s="4">
        <v>0</v>
      </c>
      <c r="I374" s="2" t="s">
        <v>79</v>
      </c>
    </row>
    <row r="375" spans="1:9" x14ac:dyDescent="0.2">
      <c r="A375" s="4">
        <v>2.2999999999999998</v>
      </c>
      <c r="B375" s="4">
        <v>10</v>
      </c>
      <c r="C375" s="4">
        <v>2</v>
      </c>
      <c r="D375" s="4">
        <v>0</v>
      </c>
      <c r="E375" s="4">
        <v>1</v>
      </c>
      <c r="F375" s="4">
        <v>0</v>
      </c>
      <c r="G375" s="4">
        <v>0</v>
      </c>
      <c r="H375" s="4">
        <v>0</v>
      </c>
      <c r="I375" s="2" t="s">
        <v>79</v>
      </c>
    </row>
    <row r="376" spans="1:9" x14ac:dyDescent="0.2">
      <c r="A376" s="4">
        <v>3.5</v>
      </c>
      <c r="B376" s="4">
        <v>12</v>
      </c>
      <c r="C376" s="4">
        <v>2</v>
      </c>
      <c r="D376" s="4">
        <v>0</v>
      </c>
      <c r="E376" s="10">
        <v>2</v>
      </c>
      <c r="F376" s="4">
        <v>0</v>
      </c>
      <c r="G376" s="4">
        <v>0</v>
      </c>
      <c r="H376" s="4">
        <v>0</v>
      </c>
      <c r="I376" s="2" t="s">
        <v>79</v>
      </c>
    </row>
    <row r="377" spans="1:9" x14ac:dyDescent="0.2">
      <c r="A377" s="4">
        <v>7.9</v>
      </c>
      <c r="B377" s="4">
        <v>12</v>
      </c>
      <c r="C377" s="4">
        <v>2</v>
      </c>
      <c r="D377" s="4">
        <v>0</v>
      </c>
      <c r="E377" s="4">
        <v>0</v>
      </c>
      <c r="F377" s="4">
        <v>0</v>
      </c>
      <c r="G377" s="4">
        <v>0</v>
      </c>
      <c r="H377" s="4">
        <v>1</v>
      </c>
      <c r="I377" s="2" t="s">
        <v>79</v>
      </c>
    </row>
    <row r="378" spans="1:9" x14ac:dyDescent="0.2">
      <c r="A378" s="4">
        <v>3</v>
      </c>
      <c r="B378" s="4">
        <v>12</v>
      </c>
      <c r="C378" s="4">
        <v>2</v>
      </c>
      <c r="D378" s="4">
        <v>0</v>
      </c>
      <c r="E378" s="4">
        <v>0</v>
      </c>
      <c r="F378" s="4">
        <v>0</v>
      </c>
      <c r="G378" s="4">
        <v>0</v>
      </c>
      <c r="H378" s="4">
        <v>1</v>
      </c>
      <c r="I378" s="2" t="s">
        <v>79</v>
      </c>
    </row>
    <row r="379" spans="1:9" x14ac:dyDescent="0.2">
      <c r="A379" s="4">
        <v>5.7</v>
      </c>
      <c r="B379" s="4">
        <v>16</v>
      </c>
      <c r="C379" s="4">
        <v>2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2" t="s">
        <v>79</v>
      </c>
    </row>
    <row r="380" spans="1:9" x14ac:dyDescent="0.2">
      <c r="A380" s="4">
        <v>2.5</v>
      </c>
      <c r="B380" s="10">
        <v>12</v>
      </c>
      <c r="C380" s="4">
        <v>2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2" t="s">
        <v>79</v>
      </c>
    </row>
    <row r="381" spans="1:9" x14ac:dyDescent="0.2">
      <c r="A381" s="4">
        <v>2.88</v>
      </c>
      <c r="B381" s="4">
        <v>10</v>
      </c>
      <c r="C381" s="4">
        <v>2</v>
      </c>
      <c r="D381" s="4">
        <v>0</v>
      </c>
      <c r="E381" s="4">
        <v>1</v>
      </c>
      <c r="F381" s="4">
        <v>0</v>
      </c>
      <c r="G381" s="4">
        <v>0</v>
      </c>
      <c r="H381" s="4">
        <v>0</v>
      </c>
      <c r="I381" s="2" t="s">
        <v>79</v>
      </c>
    </row>
    <row r="382" spans="1:9" x14ac:dyDescent="0.2">
      <c r="A382" s="4">
        <v>3</v>
      </c>
      <c r="B382" s="4">
        <v>11</v>
      </c>
      <c r="C382" s="4">
        <v>2</v>
      </c>
      <c r="D382" s="4">
        <v>0</v>
      </c>
      <c r="E382" s="4">
        <v>0</v>
      </c>
      <c r="F382" s="4">
        <v>0</v>
      </c>
      <c r="G382" s="4">
        <v>1</v>
      </c>
      <c r="H382" s="4">
        <v>0</v>
      </c>
      <c r="I382" s="2" t="s">
        <v>79</v>
      </c>
    </row>
    <row r="383" spans="1:9" x14ac:dyDescent="0.2">
      <c r="A383" s="4">
        <v>3</v>
      </c>
      <c r="B383" s="4">
        <v>11</v>
      </c>
      <c r="C383" s="4">
        <v>2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2" t="s">
        <v>79</v>
      </c>
    </row>
    <row r="384" spans="1:9" x14ac:dyDescent="0.2">
      <c r="A384" s="4">
        <v>3.5</v>
      </c>
      <c r="B384" s="4">
        <v>13</v>
      </c>
      <c r="C384" s="4">
        <v>1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2" t="s">
        <v>79</v>
      </c>
    </row>
    <row r="385" spans="1:9" x14ac:dyDescent="0.2">
      <c r="A385" s="4">
        <v>2.83</v>
      </c>
      <c r="B385" s="4">
        <v>10</v>
      </c>
      <c r="C385" s="4">
        <v>1</v>
      </c>
      <c r="D385" s="4">
        <v>0</v>
      </c>
      <c r="E385" s="10">
        <v>2</v>
      </c>
      <c r="F385" s="4">
        <v>0</v>
      </c>
      <c r="G385" s="4">
        <v>0</v>
      </c>
      <c r="H385" s="4">
        <v>0</v>
      </c>
      <c r="I385" s="2" t="s">
        <v>79</v>
      </c>
    </row>
    <row r="386" spans="1:9" x14ac:dyDescent="0.2">
      <c r="A386" s="4">
        <v>1.67</v>
      </c>
      <c r="B386" s="4">
        <v>10</v>
      </c>
      <c r="C386" s="4">
        <v>1</v>
      </c>
      <c r="D386" s="4">
        <v>0</v>
      </c>
      <c r="E386" s="4">
        <v>0</v>
      </c>
      <c r="F386" s="4">
        <v>0</v>
      </c>
      <c r="G386" s="4">
        <v>1</v>
      </c>
      <c r="H386" s="4">
        <v>0</v>
      </c>
      <c r="I386" s="2" t="s">
        <v>79</v>
      </c>
    </row>
    <row r="387" spans="1:9" x14ac:dyDescent="0.2">
      <c r="A387" s="4">
        <v>4.68</v>
      </c>
      <c r="B387" s="4">
        <v>16</v>
      </c>
      <c r="C387" s="4">
        <v>1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2" t="s">
        <v>79</v>
      </c>
    </row>
    <row r="388" spans="1:9" x14ac:dyDescent="0.2">
      <c r="A388" s="4">
        <v>3.13</v>
      </c>
      <c r="B388" s="4">
        <v>10</v>
      </c>
      <c r="C388" s="4">
        <v>1</v>
      </c>
      <c r="D388" s="4">
        <v>0</v>
      </c>
      <c r="E388" s="4">
        <v>1</v>
      </c>
      <c r="F388" s="4">
        <v>0</v>
      </c>
      <c r="G388" s="4">
        <v>0</v>
      </c>
      <c r="H388" s="4">
        <v>0</v>
      </c>
      <c r="I388" s="2" t="s">
        <v>79</v>
      </c>
    </row>
    <row r="389" spans="1:9" x14ac:dyDescent="0.2">
      <c r="A389" s="4">
        <v>3.2</v>
      </c>
      <c r="B389" s="4">
        <v>11</v>
      </c>
      <c r="C389" s="4">
        <v>1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2" t="s">
        <v>79</v>
      </c>
    </row>
    <row r="390" spans="1:9" x14ac:dyDescent="0.2">
      <c r="A390" s="4">
        <v>4.33</v>
      </c>
      <c r="B390" s="4">
        <v>18</v>
      </c>
      <c r="C390" s="4">
        <v>1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2" t="s">
        <v>79</v>
      </c>
    </row>
    <row r="391" spans="1:9" x14ac:dyDescent="0.2">
      <c r="A391" s="4">
        <v>2.9</v>
      </c>
      <c r="B391" s="4">
        <v>11</v>
      </c>
      <c r="C391" s="4">
        <v>1</v>
      </c>
      <c r="D391" s="4">
        <v>0</v>
      </c>
      <c r="E391" s="4">
        <v>1</v>
      </c>
      <c r="F391" s="4">
        <v>0</v>
      </c>
      <c r="G391" s="4">
        <v>0</v>
      </c>
      <c r="H391" s="4">
        <v>0</v>
      </c>
      <c r="I391" s="2" t="s">
        <v>79</v>
      </c>
    </row>
    <row r="392" spans="1:9" x14ac:dyDescent="0.2">
      <c r="A392" s="4">
        <v>2.91</v>
      </c>
      <c r="B392" s="4">
        <v>11</v>
      </c>
      <c r="C392" s="4">
        <v>1</v>
      </c>
      <c r="D392" s="4">
        <v>0</v>
      </c>
      <c r="E392" s="4">
        <v>1</v>
      </c>
      <c r="F392" s="4">
        <v>0</v>
      </c>
      <c r="G392" s="4">
        <v>0</v>
      </c>
      <c r="H392" s="4">
        <v>0</v>
      </c>
      <c r="I392" s="2" t="s">
        <v>79</v>
      </c>
    </row>
    <row r="393" spans="1:9" x14ac:dyDescent="0.2">
      <c r="A393" s="4">
        <v>3</v>
      </c>
      <c r="B393" s="4">
        <v>15</v>
      </c>
      <c r="C393" s="4">
        <v>1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2" t="s">
        <v>79</v>
      </c>
    </row>
    <row r="394" spans="1:9" x14ac:dyDescent="0.2">
      <c r="A394" s="4">
        <v>3</v>
      </c>
      <c r="B394" s="4">
        <v>12</v>
      </c>
      <c r="C394" s="4">
        <v>1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2" t="s">
        <v>79</v>
      </c>
    </row>
    <row r="395" spans="1:9" x14ac:dyDescent="0.2">
      <c r="A395" s="4">
        <v>3.15</v>
      </c>
      <c r="B395" s="4">
        <v>13</v>
      </c>
      <c r="C395" s="4">
        <v>1</v>
      </c>
      <c r="D395" s="4">
        <v>0</v>
      </c>
      <c r="E395" s="4">
        <v>1</v>
      </c>
      <c r="F395" s="4">
        <v>0</v>
      </c>
      <c r="G395" s="4">
        <v>0</v>
      </c>
      <c r="H395" s="4">
        <v>0</v>
      </c>
      <c r="I395" s="2" t="s">
        <v>79</v>
      </c>
    </row>
    <row r="396" spans="1:9" x14ac:dyDescent="0.2">
      <c r="A396" s="4">
        <v>12.5</v>
      </c>
      <c r="B396" s="4">
        <v>14</v>
      </c>
      <c r="C396" s="4">
        <v>40</v>
      </c>
      <c r="D396" s="9">
        <v>26.78</v>
      </c>
      <c r="E396" s="4">
        <v>0</v>
      </c>
      <c r="F396" s="4">
        <v>1</v>
      </c>
      <c r="G396" s="4">
        <v>0</v>
      </c>
      <c r="H396" s="4">
        <v>0</v>
      </c>
      <c r="I396" s="2" t="s">
        <v>80</v>
      </c>
    </row>
    <row r="397" spans="1:9" x14ac:dyDescent="0.2">
      <c r="A397" s="4">
        <v>1.5</v>
      </c>
      <c r="B397" s="4">
        <v>8</v>
      </c>
      <c r="C397" s="4">
        <v>31</v>
      </c>
      <c r="D397" s="9">
        <v>26.78</v>
      </c>
      <c r="E397" s="10">
        <v>2</v>
      </c>
      <c r="F397" s="4">
        <v>0</v>
      </c>
      <c r="G397" s="4">
        <v>0</v>
      </c>
      <c r="H397" s="4">
        <v>0</v>
      </c>
      <c r="I397" s="2" t="s">
        <v>80</v>
      </c>
    </row>
    <row r="398" spans="1:9" x14ac:dyDescent="0.2">
      <c r="A398" s="4">
        <v>2.92</v>
      </c>
      <c r="B398" s="4">
        <v>3</v>
      </c>
      <c r="C398" s="4">
        <v>11</v>
      </c>
      <c r="D398" s="9">
        <v>26.78</v>
      </c>
      <c r="E398" s="4">
        <v>0</v>
      </c>
      <c r="F398" s="4">
        <v>0</v>
      </c>
      <c r="G398" s="4">
        <v>0</v>
      </c>
      <c r="H398" s="4">
        <v>0</v>
      </c>
      <c r="I398" s="2" t="s">
        <v>80</v>
      </c>
    </row>
    <row r="399" spans="1:9" x14ac:dyDescent="0.2">
      <c r="A399" s="4">
        <v>10</v>
      </c>
      <c r="B399" s="4">
        <v>12</v>
      </c>
      <c r="C399" s="4">
        <v>24</v>
      </c>
      <c r="D399" s="4">
        <v>24</v>
      </c>
      <c r="E399" s="4">
        <v>0</v>
      </c>
      <c r="F399" s="4">
        <v>1</v>
      </c>
      <c r="G399" s="4">
        <v>0</v>
      </c>
      <c r="H399" s="4">
        <v>0</v>
      </c>
      <c r="I399" s="2" t="s">
        <v>80</v>
      </c>
    </row>
    <row r="400" spans="1:9" x14ac:dyDescent="0.2">
      <c r="A400" s="4">
        <v>10.91</v>
      </c>
      <c r="B400" s="4">
        <v>12</v>
      </c>
      <c r="C400" s="4">
        <v>25</v>
      </c>
      <c r="D400" s="4">
        <v>23</v>
      </c>
      <c r="E400" s="4">
        <v>0</v>
      </c>
      <c r="F400" s="4">
        <v>0</v>
      </c>
      <c r="G400" s="4">
        <v>0</v>
      </c>
      <c r="H400" s="4">
        <v>0</v>
      </c>
      <c r="I400" s="2" t="s">
        <v>80</v>
      </c>
    </row>
    <row r="401" spans="1:9" x14ac:dyDescent="0.2">
      <c r="A401" s="4">
        <v>6.25</v>
      </c>
      <c r="B401" s="4">
        <v>7</v>
      </c>
      <c r="C401" s="4">
        <v>39</v>
      </c>
      <c r="D401" s="4">
        <v>21</v>
      </c>
      <c r="E401" s="4">
        <v>0</v>
      </c>
      <c r="F401" s="4">
        <v>1</v>
      </c>
      <c r="G401" s="4">
        <v>0</v>
      </c>
      <c r="H401" s="4">
        <v>0</v>
      </c>
      <c r="I401" s="2" t="s">
        <v>80</v>
      </c>
    </row>
    <row r="402" spans="1:9" x14ac:dyDescent="0.2">
      <c r="A402" s="4">
        <v>15.38</v>
      </c>
      <c r="B402" s="4">
        <v>13</v>
      </c>
      <c r="C402" s="4">
        <v>25</v>
      </c>
      <c r="D402" s="4">
        <v>21</v>
      </c>
      <c r="E402" s="4">
        <v>0</v>
      </c>
      <c r="F402" s="4">
        <v>1</v>
      </c>
      <c r="G402" s="4">
        <v>0</v>
      </c>
      <c r="H402" s="4">
        <v>0</v>
      </c>
      <c r="I402" s="2" t="s">
        <v>80</v>
      </c>
    </row>
    <row r="403" spans="1:9" x14ac:dyDescent="0.2">
      <c r="A403" s="4">
        <v>18.89</v>
      </c>
      <c r="B403" s="4">
        <v>17</v>
      </c>
      <c r="C403" s="4">
        <v>26</v>
      </c>
      <c r="D403" s="4">
        <v>20</v>
      </c>
      <c r="E403" s="4">
        <v>0</v>
      </c>
      <c r="F403" s="4">
        <v>1</v>
      </c>
      <c r="G403" s="4">
        <v>0</v>
      </c>
      <c r="H403" s="4">
        <v>0</v>
      </c>
      <c r="I403" s="2" t="s">
        <v>80</v>
      </c>
    </row>
    <row r="404" spans="1:9" x14ac:dyDescent="0.2">
      <c r="A404" s="4">
        <v>3</v>
      </c>
      <c r="B404" s="4">
        <v>9</v>
      </c>
      <c r="C404" s="4">
        <v>23</v>
      </c>
      <c r="D404" s="4">
        <v>20</v>
      </c>
      <c r="E404" s="4">
        <v>1</v>
      </c>
      <c r="F404" s="4">
        <v>1</v>
      </c>
      <c r="G404" s="4">
        <v>0</v>
      </c>
      <c r="H404" s="4">
        <v>0</v>
      </c>
      <c r="I404" s="2" t="s">
        <v>80</v>
      </c>
    </row>
    <row r="405" spans="1:9" x14ac:dyDescent="0.2">
      <c r="A405" s="4">
        <v>11.9</v>
      </c>
      <c r="B405" s="4">
        <v>13</v>
      </c>
      <c r="C405" s="4">
        <v>24</v>
      </c>
      <c r="D405" s="4">
        <v>19</v>
      </c>
      <c r="E405" s="4">
        <v>0</v>
      </c>
      <c r="F405" s="4">
        <v>1</v>
      </c>
      <c r="G405" s="4">
        <v>0</v>
      </c>
      <c r="H405" s="4">
        <v>0</v>
      </c>
      <c r="I405" s="2" t="s">
        <v>80</v>
      </c>
    </row>
    <row r="406" spans="1:9" x14ac:dyDescent="0.2">
      <c r="A406" s="4">
        <v>4</v>
      </c>
      <c r="B406" s="4">
        <v>9</v>
      </c>
      <c r="C406" s="4">
        <v>22</v>
      </c>
      <c r="D406" s="4">
        <v>18</v>
      </c>
      <c r="E406" s="4">
        <v>0</v>
      </c>
      <c r="F406" s="4">
        <v>0</v>
      </c>
      <c r="G406" s="4">
        <v>0</v>
      </c>
      <c r="H406" s="4">
        <v>0</v>
      </c>
      <c r="I406" s="2" t="s">
        <v>80</v>
      </c>
    </row>
    <row r="407" spans="1:9" x14ac:dyDescent="0.2">
      <c r="A407" s="4">
        <v>12.5</v>
      </c>
      <c r="B407" s="4">
        <v>17</v>
      </c>
      <c r="C407" s="4">
        <v>21</v>
      </c>
      <c r="D407" s="4">
        <v>18</v>
      </c>
      <c r="E407" s="4">
        <v>0</v>
      </c>
      <c r="F407" s="4">
        <v>1</v>
      </c>
      <c r="G407" s="4">
        <v>0</v>
      </c>
      <c r="H407" s="4">
        <v>0</v>
      </c>
      <c r="I407" s="2" t="s">
        <v>80</v>
      </c>
    </row>
    <row r="408" spans="1:9" x14ac:dyDescent="0.2">
      <c r="A408" s="4">
        <v>9.68</v>
      </c>
      <c r="B408" s="4">
        <v>13</v>
      </c>
      <c r="C408" s="4">
        <v>16</v>
      </c>
      <c r="D408" s="4">
        <v>16</v>
      </c>
      <c r="E408" s="4">
        <v>1</v>
      </c>
      <c r="F408" s="4">
        <v>0</v>
      </c>
      <c r="G408" s="4">
        <v>1</v>
      </c>
      <c r="H408" s="4">
        <v>0</v>
      </c>
      <c r="I408" s="2" t="s">
        <v>80</v>
      </c>
    </row>
    <row r="409" spans="1:9" x14ac:dyDescent="0.2">
      <c r="A409" s="4">
        <v>5.6</v>
      </c>
      <c r="B409" s="4">
        <v>15</v>
      </c>
      <c r="C409" s="4">
        <v>31</v>
      </c>
      <c r="D409" s="4">
        <v>15</v>
      </c>
      <c r="E409" s="4">
        <v>1</v>
      </c>
      <c r="F409" s="4">
        <v>0</v>
      </c>
      <c r="G409" s="4">
        <v>0</v>
      </c>
      <c r="H409" s="4">
        <v>0</v>
      </c>
      <c r="I409" s="2" t="s">
        <v>80</v>
      </c>
    </row>
    <row r="410" spans="1:9" x14ac:dyDescent="0.2">
      <c r="A410" s="4">
        <v>3.4</v>
      </c>
      <c r="B410" s="4">
        <v>12</v>
      </c>
      <c r="C410" s="4">
        <v>26</v>
      </c>
      <c r="D410" s="4">
        <v>15</v>
      </c>
      <c r="E410" s="4">
        <v>1</v>
      </c>
      <c r="F410" s="4">
        <v>1</v>
      </c>
      <c r="G410" s="4">
        <v>0</v>
      </c>
      <c r="H410" s="4">
        <v>1</v>
      </c>
      <c r="I410" s="2" t="s">
        <v>80</v>
      </c>
    </row>
    <row r="411" spans="1:9" x14ac:dyDescent="0.2">
      <c r="A411" s="4">
        <v>5.2</v>
      </c>
      <c r="B411" s="4">
        <v>6</v>
      </c>
      <c r="C411" s="9">
        <v>43.93</v>
      </c>
      <c r="D411" s="4">
        <v>13</v>
      </c>
      <c r="E411" s="4">
        <v>0</v>
      </c>
      <c r="F411" s="4">
        <v>1</v>
      </c>
      <c r="G411" s="4">
        <v>0</v>
      </c>
      <c r="H411" s="4">
        <v>1</v>
      </c>
      <c r="I411" s="2" t="s">
        <v>80</v>
      </c>
    </row>
    <row r="412" spans="1:9" x14ac:dyDescent="0.2">
      <c r="A412" s="4">
        <v>3.75</v>
      </c>
      <c r="B412" s="4">
        <v>2</v>
      </c>
      <c r="C412" s="4">
        <v>39</v>
      </c>
      <c r="D412" s="4">
        <v>13</v>
      </c>
      <c r="E412" s="4">
        <v>0</v>
      </c>
      <c r="F412" s="4">
        <v>1</v>
      </c>
      <c r="G412" s="4">
        <v>0</v>
      </c>
      <c r="H412" s="4">
        <v>0</v>
      </c>
      <c r="I412" s="2" t="s">
        <v>80</v>
      </c>
    </row>
    <row r="413" spans="1:9" x14ac:dyDescent="0.2">
      <c r="A413" s="4">
        <v>8.4499999999999993</v>
      </c>
      <c r="B413" s="4">
        <v>12</v>
      </c>
      <c r="C413" s="4">
        <v>19</v>
      </c>
      <c r="D413" s="4">
        <v>13</v>
      </c>
      <c r="E413" s="4">
        <v>0</v>
      </c>
      <c r="F413" s="4">
        <v>1</v>
      </c>
      <c r="G413" s="4">
        <v>0</v>
      </c>
      <c r="H413" s="4">
        <v>0</v>
      </c>
      <c r="I413" s="2" t="s">
        <v>80</v>
      </c>
    </row>
    <row r="414" spans="1:9" x14ac:dyDescent="0.2">
      <c r="A414" s="4">
        <v>3.37</v>
      </c>
      <c r="B414" s="4">
        <v>11</v>
      </c>
      <c r="C414" s="9">
        <v>43.93</v>
      </c>
      <c r="D414" s="4">
        <v>12</v>
      </c>
      <c r="E414" s="4">
        <v>0</v>
      </c>
      <c r="F414" s="4">
        <v>1</v>
      </c>
      <c r="G414" s="4">
        <v>0</v>
      </c>
      <c r="H414" s="4">
        <v>0</v>
      </c>
      <c r="I414" s="2" t="s">
        <v>80</v>
      </c>
    </row>
    <row r="415" spans="1:9" x14ac:dyDescent="0.2">
      <c r="A415" s="4">
        <v>4</v>
      </c>
      <c r="B415" s="4">
        <v>10</v>
      </c>
      <c r="C415" s="4">
        <v>34</v>
      </c>
      <c r="D415" s="4">
        <v>12</v>
      </c>
      <c r="E415" s="4">
        <v>0</v>
      </c>
      <c r="F415" s="4">
        <v>1</v>
      </c>
      <c r="G415" s="4">
        <v>0</v>
      </c>
      <c r="H415" s="4">
        <v>0</v>
      </c>
      <c r="I415" s="2" t="s">
        <v>80</v>
      </c>
    </row>
    <row r="416" spans="1:9" x14ac:dyDescent="0.2">
      <c r="A416" s="4">
        <v>7.6</v>
      </c>
      <c r="B416" s="4">
        <v>12</v>
      </c>
      <c r="C416" s="4">
        <v>41</v>
      </c>
      <c r="D416" s="4">
        <v>11</v>
      </c>
      <c r="E416" s="4">
        <v>1</v>
      </c>
      <c r="F416" s="4">
        <v>0</v>
      </c>
      <c r="G416" s="4">
        <v>0</v>
      </c>
      <c r="H416" s="4">
        <v>0</v>
      </c>
      <c r="I416" s="2" t="s">
        <v>80</v>
      </c>
    </row>
    <row r="417" spans="1:9" x14ac:dyDescent="0.2">
      <c r="A417" s="4">
        <v>10</v>
      </c>
      <c r="B417" s="4">
        <v>14</v>
      </c>
      <c r="C417" s="4">
        <v>28</v>
      </c>
      <c r="D417" s="4">
        <v>11</v>
      </c>
      <c r="E417" s="4">
        <v>1</v>
      </c>
      <c r="F417" s="4">
        <v>1</v>
      </c>
      <c r="G417" s="4">
        <v>0</v>
      </c>
      <c r="H417" s="4">
        <v>0</v>
      </c>
      <c r="I417" s="2" t="s">
        <v>80</v>
      </c>
    </row>
    <row r="418" spans="1:9" x14ac:dyDescent="0.2">
      <c r="A418" s="4">
        <v>4</v>
      </c>
      <c r="B418" s="4">
        <v>12</v>
      </c>
      <c r="C418" s="4">
        <v>22</v>
      </c>
      <c r="D418" s="4">
        <v>11</v>
      </c>
      <c r="E418" s="4">
        <v>1</v>
      </c>
      <c r="F418" s="4">
        <v>1</v>
      </c>
      <c r="G418" s="4">
        <v>0</v>
      </c>
      <c r="H418" s="4">
        <v>0</v>
      </c>
      <c r="I418" s="2" t="s">
        <v>80</v>
      </c>
    </row>
    <row r="419" spans="1:9" x14ac:dyDescent="0.2">
      <c r="A419" s="4">
        <v>9.33</v>
      </c>
      <c r="B419" s="4">
        <v>14</v>
      </c>
      <c r="C419" s="4">
        <v>12</v>
      </c>
      <c r="D419" s="4">
        <v>11</v>
      </c>
      <c r="E419" s="4">
        <v>0</v>
      </c>
      <c r="F419" s="4">
        <v>1</v>
      </c>
      <c r="G419" s="4">
        <v>0</v>
      </c>
      <c r="H419" s="4">
        <v>0</v>
      </c>
      <c r="I419" s="2" t="s">
        <v>80</v>
      </c>
    </row>
    <row r="420" spans="1:9" x14ac:dyDescent="0.2">
      <c r="A420" s="4">
        <v>6.08</v>
      </c>
      <c r="B420" s="4">
        <v>16</v>
      </c>
      <c r="C420" s="4">
        <v>42</v>
      </c>
      <c r="D420" s="4">
        <v>10</v>
      </c>
      <c r="E420" s="4">
        <v>0</v>
      </c>
      <c r="F420" s="4">
        <v>0</v>
      </c>
      <c r="G420" s="4">
        <v>0</v>
      </c>
      <c r="H420" s="4">
        <v>0</v>
      </c>
      <c r="I420" s="2" t="s">
        <v>80</v>
      </c>
    </row>
    <row r="421" spans="1:9" x14ac:dyDescent="0.2">
      <c r="A421" s="4">
        <v>6.67</v>
      </c>
      <c r="B421" s="4">
        <v>12</v>
      </c>
      <c r="C421" s="4">
        <v>35</v>
      </c>
      <c r="D421" s="4">
        <v>10</v>
      </c>
      <c r="E421" s="4">
        <v>0</v>
      </c>
      <c r="F421" s="4">
        <v>0</v>
      </c>
      <c r="G421" s="4">
        <v>0</v>
      </c>
      <c r="H421" s="4">
        <v>0</v>
      </c>
      <c r="I421" s="2" t="s">
        <v>80</v>
      </c>
    </row>
    <row r="422" spans="1:9" x14ac:dyDescent="0.2">
      <c r="A422" s="4">
        <v>4.5</v>
      </c>
      <c r="B422" s="4">
        <v>16</v>
      </c>
      <c r="C422" s="4">
        <v>21</v>
      </c>
      <c r="D422" s="4">
        <v>10</v>
      </c>
      <c r="E422" s="4">
        <v>0</v>
      </c>
      <c r="F422" s="4">
        <v>1</v>
      </c>
      <c r="G422" s="4">
        <v>0</v>
      </c>
      <c r="H422" s="4">
        <v>0</v>
      </c>
      <c r="I422" s="2" t="s">
        <v>80</v>
      </c>
    </row>
    <row r="423" spans="1:9" x14ac:dyDescent="0.2">
      <c r="A423" s="4">
        <v>6.8</v>
      </c>
      <c r="B423" s="4">
        <v>12</v>
      </c>
      <c r="C423" s="4">
        <v>14</v>
      </c>
      <c r="D423" s="4">
        <v>10</v>
      </c>
      <c r="E423" s="4">
        <v>0</v>
      </c>
      <c r="F423" s="4">
        <v>1</v>
      </c>
      <c r="G423" s="4">
        <v>0</v>
      </c>
      <c r="H423" s="4">
        <v>0</v>
      </c>
      <c r="I423" s="2" t="s">
        <v>80</v>
      </c>
    </row>
    <row r="424" spans="1:9" x14ac:dyDescent="0.2">
      <c r="A424" s="4">
        <v>3</v>
      </c>
      <c r="B424" s="4">
        <v>12</v>
      </c>
      <c r="C424" s="4">
        <v>26</v>
      </c>
      <c r="D424" s="4">
        <v>9</v>
      </c>
      <c r="E424" s="4">
        <v>1</v>
      </c>
      <c r="F424" s="4">
        <v>1</v>
      </c>
      <c r="G424" s="4">
        <v>0</v>
      </c>
      <c r="H424" s="4">
        <v>0</v>
      </c>
      <c r="I424" s="2" t="s">
        <v>80</v>
      </c>
    </row>
    <row r="425" spans="1:9" x14ac:dyDescent="0.2">
      <c r="A425" s="4">
        <v>6.22</v>
      </c>
      <c r="B425" s="4">
        <v>12</v>
      </c>
      <c r="C425" s="4">
        <v>19</v>
      </c>
      <c r="D425" s="4">
        <v>9</v>
      </c>
      <c r="E425" s="4">
        <v>1</v>
      </c>
      <c r="F425" s="4">
        <v>1</v>
      </c>
      <c r="G425" s="4">
        <v>0</v>
      </c>
      <c r="H425" s="4">
        <v>0</v>
      </c>
      <c r="I425" s="2" t="s">
        <v>80</v>
      </c>
    </row>
    <row r="426" spans="1:9" x14ac:dyDescent="0.2">
      <c r="A426" s="4">
        <v>5.95</v>
      </c>
      <c r="B426" s="4">
        <v>11</v>
      </c>
      <c r="C426" s="4">
        <v>15</v>
      </c>
      <c r="D426" s="4">
        <v>9</v>
      </c>
      <c r="E426" s="4">
        <v>0</v>
      </c>
      <c r="F426" s="4">
        <v>1</v>
      </c>
      <c r="G426" s="4">
        <v>0</v>
      </c>
      <c r="H426" s="4">
        <v>1</v>
      </c>
      <c r="I426" s="2" t="s">
        <v>80</v>
      </c>
    </row>
    <row r="427" spans="1:9" x14ac:dyDescent="0.2">
      <c r="A427" s="4">
        <v>14.38</v>
      </c>
      <c r="B427" s="4">
        <v>17</v>
      </c>
      <c r="C427" s="4">
        <v>10</v>
      </c>
      <c r="D427" s="4">
        <v>9</v>
      </c>
      <c r="E427" s="4">
        <v>0</v>
      </c>
      <c r="F427" s="4">
        <v>1</v>
      </c>
      <c r="G427" s="4">
        <v>0</v>
      </c>
      <c r="H427" s="4">
        <v>0</v>
      </c>
      <c r="I427" s="2" t="s">
        <v>80</v>
      </c>
    </row>
    <row r="428" spans="1:9" x14ac:dyDescent="0.2">
      <c r="A428" s="4">
        <v>4.5</v>
      </c>
      <c r="B428" s="4">
        <v>11</v>
      </c>
      <c r="C428" s="4">
        <v>3</v>
      </c>
      <c r="D428" s="4">
        <v>9</v>
      </c>
      <c r="E428" s="4">
        <v>0</v>
      </c>
      <c r="F428" s="4">
        <v>0</v>
      </c>
      <c r="G428" s="4">
        <v>0</v>
      </c>
      <c r="H428" s="4">
        <v>1</v>
      </c>
      <c r="I428" s="2" t="s">
        <v>80</v>
      </c>
    </row>
    <row r="429" spans="1:9" x14ac:dyDescent="0.2">
      <c r="A429" s="4">
        <v>6</v>
      </c>
      <c r="B429" s="4">
        <v>11</v>
      </c>
      <c r="C429" s="4">
        <v>37</v>
      </c>
      <c r="D429" s="4">
        <v>8</v>
      </c>
      <c r="E429" s="4">
        <v>1</v>
      </c>
      <c r="F429" s="4">
        <v>0</v>
      </c>
      <c r="G429" s="4">
        <v>1</v>
      </c>
      <c r="H429" s="4">
        <v>0</v>
      </c>
      <c r="I429" s="2" t="s">
        <v>80</v>
      </c>
    </row>
    <row r="430" spans="1:9" x14ac:dyDescent="0.2">
      <c r="A430" s="4">
        <v>6</v>
      </c>
      <c r="B430" s="4">
        <v>12</v>
      </c>
      <c r="C430" s="4">
        <v>22</v>
      </c>
      <c r="D430" s="4">
        <v>8</v>
      </c>
      <c r="E430" s="4">
        <v>0</v>
      </c>
      <c r="F430" s="4">
        <v>0</v>
      </c>
      <c r="G430" s="4">
        <v>0</v>
      </c>
      <c r="H430" s="4">
        <v>0</v>
      </c>
      <c r="I430" s="2" t="s">
        <v>80</v>
      </c>
    </row>
    <row r="431" spans="1:9" x14ac:dyDescent="0.2">
      <c r="A431" s="4">
        <v>5.6</v>
      </c>
      <c r="B431" s="4">
        <v>11</v>
      </c>
      <c r="C431" s="4">
        <v>11</v>
      </c>
      <c r="D431" s="4">
        <v>8</v>
      </c>
      <c r="E431" s="4">
        <v>0</v>
      </c>
      <c r="F431" s="4">
        <v>1</v>
      </c>
      <c r="G431" s="4">
        <v>0</v>
      </c>
      <c r="H431" s="4">
        <v>0</v>
      </c>
      <c r="I431" s="2" t="s">
        <v>80</v>
      </c>
    </row>
    <row r="432" spans="1:9" x14ac:dyDescent="0.2">
      <c r="A432" s="4">
        <v>2.9</v>
      </c>
      <c r="B432" s="4">
        <v>6</v>
      </c>
      <c r="C432" s="9">
        <v>43.93</v>
      </c>
      <c r="D432" s="4">
        <v>7</v>
      </c>
      <c r="E432" s="4">
        <v>0</v>
      </c>
      <c r="F432" s="4">
        <v>1</v>
      </c>
      <c r="G432" s="4">
        <v>0</v>
      </c>
      <c r="H432" s="4">
        <v>0</v>
      </c>
      <c r="I432" s="2" t="s">
        <v>80</v>
      </c>
    </row>
    <row r="433" spans="1:9" x14ac:dyDescent="0.2">
      <c r="A433" s="4">
        <v>5.25</v>
      </c>
      <c r="B433" s="4">
        <v>10</v>
      </c>
      <c r="C433" s="9">
        <v>43.93</v>
      </c>
      <c r="D433" s="4">
        <v>7</v>
      </c>
      <c r="E433" s="4">
        <v>0</v>
      </c>
      <c r="F433" s="4">
        <v>1</v>
      </c>
      <c r="G433" s="4">
        <v>0</v>
      </c>
      <c r="H433" s="4">
        <v>0</v>
      </c>
      <c r="I433" s="2" t="s">
        <v>80</v>
      </c>
    </row>
    <row r="434" spans="1:9" x14ac:dyDescent="0.2">
      <c r="A434" s="4">
        <v>18</v>
      </c>
      <c r="B434" s="4">
        <v>16</v>
      </c>
      <c r="C434" s="4">
        <v>16</v>
      </c>
      <c r="D434" s="4">
        <v>7</v>
      </c>
      <c r="E434" s="4">
        <v>0</v>
      </c>
      <c r="F434" s="4">
        <v>1</v>
      </c>
      <c r="G434" s="4">
        <v>0</v>
      </c>
      <c r="H434" s="4">
        <v>0</v>
      </c>
      <c r="I434" s="2" t="s">
        <v>80</v>
      </c>
    </row>
    <row r="435" spans="1:9" x14ac:dyDescent="0.2">
      <c r="A435" s="4">
        <v>14.58</v>
      </c>
      <c r="B435" s="4">
        <v>18</v>
      </c>
      <c r="C435" s="4">
        <v>13</v>
      </c>
      <c r="D435" s="4">
        <v>7</v>
      </c>
      <c r="E435" s="4">
        <v>1</v>
      </c>
      <c r="F435" s="4">
        <v>0</v>
      </c>
      <c r="G435" s="4">
        <v>0</v>
      </c>
      <c r="H435" s="4">
        <v>0</v>
      </c>
      <c r="I435" s="2" t="s">
        <v>80</v>
      </c>
    </row>
    <row r="436" spans="1:9" x14ac:dyDescent="0.2">
      <c r="A436" s="4">
        <v>3.95</v>
      </c>
      <c r="B436" s="4">
        <v>6</v>
      </c>
      <c r="C436" s="9">
        <v>43.93</v>
      </c>
      <c r="D436" s="4">
        <v>6</v>
      </c>
      <c r="E436" s="4">
        <v>0</v>
      </c>
      <c r="F436" s="4">
        <v>1</v>
      </c>
      <c r="G436" s="4">
        <v>0</v>
      </c>
      <c r="H436" s="4">
        <v>0</v>
      </c>
      <c r="I436" s="2" t="s">
        <v>80</v>
      </c>
    </row>
    <row r="437" spans="1:9" x14ac:dyDescent="0.2">
      <c r="A437" s="4">
        <v>10.63</v>
      </c>
      <c r="B437" s="4">
        <v>12</v>
      </c>
      <c r="C437" s="4">
        <v>36</v>
      </c>
      <c r="D437" s="4">
        <v>6</v>
      </c>
      <c r="E437" s="4">
        <v>1</v>
      </c>
      <c r="F437" s="4">
        <v>1</v>
      </c>
      <c r="G437" s="4">
        <v>1</v>
      </c>
      <c r="H437" s="4">
        <v>0</v>
      </c>
      <c r="I437" s="2" t="s">
        <v>80</v>
      </c>
    </row>
    <row r="438" spans="1:9" x14ac:dyDescent="0.2">
      <c r="A438" s="4">
        <v>2</v>
      </c>
      <c r="B438" s="4">
        <v>13</v>
      </c>
      <c r="C438" s="4">
        <v>2</v>
      </c>
      <c r="D438" s="4">
        <v>6</v>
      </c>
      <c r="E438" s="4">
        <v>1</v>
      </c>
      <c r="F438" s="4">
        <v>0</v>
      </c>
      <c r="G438" s="4">
        <v>0</v>
      </c>
      <c r="H438" s="4">
        <v>0</v>
      </c>
      <c r="I438" s="2" t="s">
        <v>80</v>
      </c>
    </row>
    <row r="439" spans="1:9" x14ac:dyDescent="0.2">
      <c r="A439" s="4">
        <v>10.92</v>
      </c>
      <c r="B439" s="4">
        <v>12</v>
      </c>
      <c r="C439" s="4">
        <v>34</v>
      </c>
      <c r="D439" s="4">
        <v>5</v>
      </c>
      <c r="E439" s="4">
        <v>0</v>
      </c>
      <c r="F439" s="4">
        <v>1</v>
      </c>
      <c r="G439" s="4">
        <v>0</v>
      </c>
      <c r="H439" s="4">
        <v>0</v>
      </c>
      <c r="I439" s="2" t="s">
        <v>80</v>
      </c>
    </row>
    <row r="440" spans="1:9" x14ac:dyDescent="0.2">
      <c r="A440" s="4">
        <v>10</v>
      </c>
      <c r="B440" s="4">
        <v>12</v>
      </c>
      <c r="C440" s="4">
        <v>20</v>
      </c>
      <c r="D440" s="4">
        <v>5</v>
      </c>
      <c r="E440" s="4">
        <v>1</v>
      </c>
      <c r="F440" s="4">
        <v>1</v>
      </c>
      <c r="G440" s="4">
        <v>1</v>
      </c>
      <c r="H440" s="4">
        <v>0</v>
      </c>
      <c r="I440" s="2" t="s">
        <v>80</v>
      </c>
    </row>
    <row r="441" spans="1:9" x14ac:dyDescent="0.2">
      <c r="A441" s="4">
        <v>7.5</v>
      </c>
      <c r="B441" s="4">
        <v>12</v>
      </c>
      <c r="C441" s="4">
        <v>18</v>
      </c>
      <c r="D441" s="4">
        <v>5</v>
      </c>
      <c r="E441" s="4">
        <v>0</v>
      </c>
      <c r="F441" s="4">
        <v>1</v>
      </c>
      <c r="G441" s="4">
        <v>1</v>
      </c>
      <c r="H441" s="4">
        <v>0</v>
      </c>
      <c r="I441" s="2" t="s">
        <v>80</v>
      </c>
    </row>
    <row r="442" spans="1:9" x14ac:dyDescent="0.2">
      <c r="A442" s="4">
        <v>7.25</v>
      </c>
      <c r="B442" s="4">
        <v>12</v>
      </c>
      <c r="C442" s="4">
        <v>14</v>
      </c>
      <c r="D442" s="4">
        <v>5</v>
      </c>
      <c r="E442" s="4">
        <v>0</v>
      </c>
      <c r="F442" s="4">
        <v>1</v>
      </c>
      <c r="G442" s="4">
        <v>1</v>
      </c>
      <c r="H442" s="4">
        <v>0</v>
      </c>
      <c r="I442" s="2" t="s">
        <v>80</v>
      </c>
    </row>
    <row r="443" spans="1:9" x14ac:dyDescent="0.2">
      <c r="A443" s="4">
        <v>3.45</v>
      </c>
      <c r="B443" s="4">
        <v>12</v>
      </c>
      <c r="C443" s="4">
        <v>6</v>
      </c>
      <c r="D443" s="4">
        <v>5</v>
      </c>
      <c r="E443" s="4">
        <v>1</v>
      </c>
      <c r="F443" s="4">
        <v>1</v>
      </c>
      <c r="G443" s="4">
        <v>0</v>
      </c>
      <c r="H443" s="4">
        <v>0</v>
      </c>
      <c r="I443" s="2" t="s">
        <v>80</v>
      </c>
    </row>
    <row r="444" spans="1:9" x14ac:dyDescent="0.2">
      <c r="A444" s="4">
        <v>3.6</v>
      </c>
      <c r="B444" s="4">
        <v>12</v>
      </c>
      <c r="C444" s="4">
        <v>26</v>
      </c>
      <c r="D444" s="4">
        <v>4</v>
      </c>
      <c r="E444" s="4">
        <v>1</v>
      </c>
      <c r="F444" s="4">
        <v>0</v>
      </c>
      <c r="G444" s="4">
        <v>1</v>
      </c>
      <c r="H444" s="4">
        <v>0</v>
      </c>
      <c r="I444" s="2" t="s">
        <v>80</v>
      </c>
    </row>
    <row r="445" spans="1:9" x14ac:dyDescent="0.2">
      <c r="A445" s="4">
        <v>8</v>
      </c>
      <c r="B445" s="4">
        <v>16</v>
      </c>
      <c r="C445" s="4">
        <v>23</v>
      </c>
      <c r="D445" s="4">
        <v>4</v>
      </c>
      <c r="E445" s="4">
        <v>0</v>
      </c>
      <c r="F445" s="4">
        <v>0</v>
      </c>
      <c r="G445" s="4">
        <v>0</v>
      </c>
      <c r="H445" s="4">
        <v>0</v>
      </c>
      <c r="I445" s="2" t="s">
        <v>80</v>
      </c>
    </row>
    <row r="446" spans="1:9" x14ac:dyDescent="0.2">
      <c r="A446" s="4">
        <v>5.5</v>
      </c>
      <c r="B446" s="4">
        <v>12</v>
      </c>
      <c r="C446" s="4">
        <v>9</v>
      </c>
      <c r="D446" s="4">
        <v>4</v>
      </c>
      <c r="E446" s="4">
        <v>0</v>
      </c>
      <c r="F446" s="4">
        <v>1</v>
      </c>
      <c r="G446" s="4">
        <v>0</v>
      </c>
      <c r="H446" s="4">
        <v>0</v>
      </c>
      <c r="I446" s="2" t="s">
        <v>80</v>
      </c>
    </row>
    <row r="447" spans="1:9" x14ac:dyDescent="0.2">
      <c r="A447" s="4">
        <v>4.05</v>
      </c>
      <c r="B447" s="4">
        <v>9</v>
      </c>
      <c r="C447" s="4">
        <v>7</v>
      </c>
      <c r="D447" s="4">
        <v>4</v>
      </c>
      <c r="E447" s="4">
        <v>1</v>
      </c>
      <c r="F447" s="4">
        <v>1</v>
      </c>
      <c r="G447" s="4">
        <v>0</v>
      </c>
      <c r="H447" s="4">
        <v>0</v>
      </c>
      <c r="I447" s="2" t="s">
        <v>80</v>
      </c>
    </row>
    <row r="448" spans="1:9" x14ac:dyDescent="0.2">
      <c r="A448" s="4">
        <v>8.75</v>
      </c>
      <c r="B448" s="4">
        <v>12</v>
      </c>
      <c r="C448" s="4">
        <v>4</v>
      </c>
      <c r="D448" s="4">
        <v>4</v>
      </c>
      <c r="E448" s="4">
        <v>0</v>
      </c>
      <c r="F448" s="4">
        <v>1</v>
      </c>
      <c r="G448" s="4">
        <v>0</v>
      </c>
      <c r="H448" s="4">
        <v>0</v>
      </c>
      <c r="I448" s="2" t="s">
        <v>80</v>
      </c>
    </row>
    <row r="449" spans="1:9" x14ac:dyDescent="0.2">
      <c r="A449" s="4">
        <v>2.17</v>
      </c>
      <c r="B449" s="4">
        <v>13</v>
      </c>
      <c r="C449" s="4">
        <v>1</v>
      </c>
      <c r="D449" s="4">
        <v>4</v>
      </c>
      <c r="E449" s="4">
        <v>1</v>
      </c>
      <c r="F449" s="4">
        <v>0</v>
      </c>
      <c r="G449" s="4">
        <v>0</v>
      </c>
      <c r="H449" s="4">
        <v>0</v>
      </c>
      <c r="I449" s="2" t="s">
        <v>80</v>
      </c>
    </row>
    <row r="450" spans="1:9" x14ac:dyDescent="0.2">
      <c r="A450" s="4">
        <v>11.1</v>
      </c>
      <c r="B450" s="4">
        <v>15</v>
      </c>
      <c r="C450" s="4">
        <v>1</v>
      </c>
      <c r="D450" s="4">
        <v>4</v>
      </c>
      <c r="E450" s="4">
        <v>1</v>
      </c>
      <c r="F450" s="4">
        <v>0</v>
      </c>
      <c r="G450" s="4">
        <v>0</v>
      </c>
      <c r="H450" s="4">
        <v>0</v>
      </c>
      <c r="I450" s="2" t="s">
        <v>80</v>
      </c>
    </row>
    <row r="451" spans="1:9" x14ac:dyDescent="0.2">
      <c r="A451" s="4">
        <v>1.96</v>
      </c>
      <c r="B451" s="4">
        <v>11</v>
      </c>
      <c r="C451" s="4">
        <v>38</v>
      </c>
      <c r="D451" s="4">
        <v>3</v>
      </c>
      <c r="E451" s="4">
        <v>1</v>
      </c>
      <c r="F451" s="4">
        <v>0</v>
      </c>
      <c r="G451" s="4">
        <v>0</v>
      </c>
      <c r="H451" s="4">
        <v>0</v>
      </c>
      <c r="I451" s="2" t="s">
        <v>80</v>
      </c>
    </row>
    <row r="452" spans="1:9" x14ac:dyDescent="0.2">
      <c r="A452" s="4">
        <v>7</v>
      </c>
      <c r="B452" s="4">
        <v>16</v>
      </c>
      <c r="C452" s="4">
        <v>26</v>
      </c>
      <c r="D452" s="4">
        <v>3</v>
      </c>
      <c r="E452" s="4">
        <v>1</v>
      </c>
      <c r="F452" s="4">
        <v>1</v>
      </c>
      <c r="G452" s="4">
        <v>0</v>
      </c>
      <c r="H452" s="4">
        <v>0</v>
      </c>
      <c r="I452" s="2" t="s">
        <v>80</v>
      </c>
    </row>
    <row r="453" spans="1:9" x14ac:dyDescent="0.2">
      <c r="A453" s="4">
        <v>4</v>
      </c>
      <c r="B453" s="4">
        <v>12</v>
      </c>
      <c r="C453" s="4">
        <v>22</v>
      </c>
      <c r="D453" s="4">
        <v>3</v>
      </c>
      <c r="E453" s="4">
        <v>0</v>
      </c>
      <c r="F453" s="4">
        <v>1</v>
      </c>
      <c r="G453" s="4">
        <v>0</v>
      </c>
      <c r="H453" s="4">
        <v>0</v>
      </c>
      <c r="I453" s="2" t="s">
        <v>80</v>
      </c>
    </row>
    <row r="454" spans="1:9" x14ac:dyDescent="0.2">
      <c r="A454" s="4">
        <v>5.5</v>
      </c>
      <c r="B454" s="4">
        <v>12</v>
      </c>
      <c r="C454" s="4">
        <v>18</v>
      </c>
      <c r="D454" s="4">
        <v>3</v>
      </c>
      <c r="E454" s="4">
        <v>0</v>
      </c>
      <c r="F454" s="4">
        <v>0</v>
      </c>
      <c r="G454" s="4">
        <v>1</v>
      </c>
      <c r="H454" s="4">
        <v>0</v>
      </c>
      <c r="I454" s="2" t="s">
        <v>80</v>
      </c>
    </row>
    <row r="455" spans="1:9" x14ac:dyDescent="0.2">
      <c r="A455" s="4">
        <v>3.91</v>
      </c>
      <c r="B455" s="4">
        <v>18</v>
      </c>
      <c r="C455" s="4">
        <v>17</v>
      </c>
      <c r="D455" s="4">
        <v>3</v>
      </c>
      <c r="E455" s="4">
        <v>0</v>
      </c>
      <c r="F455" s="4">
        <v>1</v>
      </c>
      <c r="G455" s="4">
        <v>0</v>
      </c>
      <c r="H455" s="4">
        <v>0</v>
      </c>
      <c r="I455" s="2" t="s">
        <v>80</v>
      </c>
    </row>
    <row r="456" spans="1:9" x14ac:dyDescent="0.2">
      <c r="A456" s="4">
        <v>6.43</v>
      </c>
      <c r="B456" s="4">
        <v>16</v>
      </c>
      <c r="C456" s="4">
        <v>17</v>
      </c>
      <c r="D456" s="4">
        <v>3</v>
      </c>
      <c r="E456" s="4">
        <v>1</v>
      </c>
      <c r="F456" s="4">
        <v>1</v>
      </c>
      <c r="G456" s="4">
        <v>0</v>
      </c>
      <c r="H456" s="4">
        <v>0</v>
      </c>
      <c r="I456" s="2" t="s">
        <v>80</v>
      </c>
    </row>
    <row r="457" spans="1:9" x14ac:dyDescent="0.2">
      <c r="A457" s="4">
        <v>8</v>
      </c>
      <c r="B457" s="4">
        <v>12</v>
      </c>
      <c r="C457" s="4">
        <v>12</v>
      </c>
      <c r="D457" s="4">
        <v>3</v>
      </c>
      <c r="E457" s="4">
        <v>1</v>
      </c>
      <c r="F457" s="4">
        <v>0</v>
      </c>
      <c r="G457" s="4">
        <v>0</v>
      </c>
      <c r="H457" s="4">
        <v>0</v>
      </c>
      <c r="I457" s="2" t="s">
        <v>80</v>
      </c>
    </row>
    <row r="458" spans="1:9" x14ac:dyDescent="0.2">
      <c r="A458" s="4">
        <v>6.85</v>
      </c>
      <c r="B458" s="4">
        <v>15</v>
      </c>
      <c r="C458" s="4">
        <v>11</v>
      </c>
      <c r="D458" s="4">
        <v>3</v>
      </c>
      <c r="E458" s="4">
        <v>1</v>
      </c>
      <c r="F458" s="4">
        <v>1</v>
      </c>
      <c r="G458" s="4">
        <v>0</v>
      </c>
      <c r="H458" s="4">
        <v>0</v>
      </c>
      <c r="I458" s="2" t="s">
        <v>80</v>
      </c>
    </row>
    <row r="459" spans="1:9" x14ac:dyDescent="0.2">
      <c r="A459" s="4">
        <v>8.75</v>
      </c>
      <c r="B459" s="4">
        <v>14</v>
      </c>
      <c r="C459" s="4">
        <v>9</v>
      </c>
      <c r="D459" s="4">
        <v>3</v>
      </c>
      <c r="E459" s="4">
        <v>0</v>
      </c>
      <c r="F459" s="4">
        <v>1</v>
      </c>
      <c r="G459" s="4">
        <v>0</v>
      </c>
      <c r="H459" s="4">
        <v>0</v>
      </c>
      <c r="I459" s="2" t="s">
        <v>80</v>
      </c>
    </row>
    <row r="460" spans="1:9" x14ac:dyDescent="0.2">
      <c r="A460" s="4">
        <v>6.18</v>
      </c>
      <c r="B460" s="4">
        <v>14</v>
      </c>
      <c r="C460" s="4">
        <v>9</v>
      </c>
      <c r="D460" s="4">
        <v>3</v>
      </c>
      <c r="E460" s="4">
        <v>1</v>
      </c>
      <c r="F460" s="4">
        <v>1</v>
      </c>
      <c r="G460" s="4">
        <v>0</v>
      </c>
      <c r="H460" s="4">
        <v>0</v>
      </c>
      <c r="I460" s="2" t="s">
        <v>80</v>
      </c>
    </row>
    <row r="461" spans="1:9" x14ac:dyDescent="0.2">
      <c r="A461" s="4">
        <v>3.75</v>
      </c>
      <c r="B461" s="4">
        <v>12</v>
      </c>
      <c r="C461" s="4">
        <v>39</v>
      </c>
      <c r="D461" s="4">
        <v>2</v>
      </c>
      <c r="E461" s="4">
        <v>1</v>
      </c>
      <c r="F461" s="4">
        <v>1</v>
      </c>
      <c r="G461" s="4">
        <v>0</v>
      </c>
      <c r="H461" s="4">
        <v>0</v>
      </c>
      <c r="I461" s="2" t="s">
        <v>80</v>
      </c>
    </row>
    <row r="462" spans="1:9" x14ac:dyDescent="0.2">
      <c r="A462" s="4">
        <v>2.93</v>
      </c>
      <c r="B462" s="4">
        <v>12</v>
      </c>
      <c r="C462" s="4">
        <v>36</v>
      </c>
      <c r="D462" s="4">
        <v>2</v>
      </c>
      <c r="E462" s="4">
        <v>1</v>
      </c>
      <c r="F462" s="4">
        <v>1</v>
      </c>
      <c r="G462" s="4">
        <v>1</v>
      </c>
      <c r="H462" s="4">
        <v>0</v>
      </c>
      <c r="I462" s="2" t="s">
        <v>80</v>
      </c>
    </row>
    <row r="463" spans="1:9" x14ac:dyDescent="0.2">
      <c r="A463" s="4">
        <v>3</v>
      </c>
      <c r="B463" s="4">
        <v>8</v>
      </c>
      <c r="C463" s="4">
        <v>33</v>
      </c>
      <c r="D463" s="4">
        <v>2</v>
      </c>
      <c r="E463" s="4">
        <v>0</v>
      </c>
      <c r="F463" s="4">
        <v>1</v>
      </c>
      <c r="G463" s="4">
        <v>0</v>
      </c>
      <c r="H463" s="4">
        <v>0</v>
      </c>
      <c r="I463" s="2" t="s">
        <v>80</v>
      </c>
    </row>
    <row r="464" spans="1:9" x14ac:dyDescent="0.2">
      <c r="A464" s="4">
        <v>10</v>
      </c>
      <c r="B464" s="4">
        <v>12</v>
      </c>
      <c r="C464" s="4">
        <v>31</v>
      </c>
      <c r="D464" s="4">
        <v>2</v>
      </c>
      <c r="E464" s="4">
        <v>0</v>
      </c>
      <c r="F464" s="4">
        <v>1</v>
      </c>
      <c r="G464" s="4">
        <v>0</v>
      </c>
      <c r="H464" s="4">
        <v>0</v>
      </c>
      <c r="I464" s="2" t="s">
        <v>80</v>
      </c>
    </row>
    <row r="465" spans="1:9" x14ac:dyDescent="0.2">
      <c r="A465" s="4">
        <v>6.25</v>
      </c>
      <c r="B465" s="4">
        <v>16</v>
      </c>
      <c r="C465" s="4">
        <v>24</v>
      </c>
      <c r="D465" s="4">
        <v>2</v>
      </c>
      <c r="E465" s="4">
        <v>1</v>
      </c>
      <c r="F465" s="4">
        <v>1</v>
      </c>
      <c r="G465" s="4">
        <v>1</v>
      </c>
      <c r="H465" s="4">
        <v>0</v>
      </c>
      <c r="I465" s="2" t="s">
        <v>80</v>
      </c>
    </row>
    <row r="466" spans="1:9" x14ac:dyDescent="0.2">
      <c r="A466" s="4">
        <v>3.28</v>
      </c>
      <c r="B466" s="4">
        <v>12</v>
      </c>
      <c r="C466" s="4">
        <v>17</v>
      </c>
      <c r="D466" s="4">
        <v>2</v>
      </c>
      <c r="E466" s="4">
        <v>1</v>
      </c>
      <c r="F466" s="4">
        <v>0</v>
      </c>
      <c r="G466" s="4">
        <v>0</v>
      </c>
      <c r="H466" s="4">
        <v>0</v>
      </c>
      <c r="I466" s="2" t="s">
        <v>80</v>
      </c>
    </row>
    <row r="467" spans="1:9" x14ac:dyDescent="0.2">
      <c r="A467" s="4">
        <v>9.0500000000000007</v>
      </c>
      <c r="B467" s="4">
        <v>12</v>
      </c>
      <c r="C467" s="4">
        <v>10</v>
      </c>
      <c r="D467" s="4">
        <v>2</v>
      </c>
      <c r="E467" s="4">
        <v>0</v>
      </c>
      <c r="F467" s="4">
        <v>1</v>
      </c>
      <c r="G467" s="4">
        <v>0</v>
      </c>
      <c r="H467" s="4">
        <v>1</v>
      </c>
      <c r="I467" s="2" t="s">
        <v>80</v>
      </c>
    </row>
    <row r="468" spans="1:9" x14ac:dyDescent="0.2">
      <c r="A468" s="4">
        <v>12.22</v>
      </c>
      <c r="B468" s="4">
        <v>16</v>
      </c>
      <c r="C468" s="4">
        <v>10</v>
      </c>
      <c r="D468" s="4">
        <v>2</v>
      </c>
      <c r="E468" s="4">
        <v>0</v>
      </c>
      <c r="F468" s="4">
        <v>0</v>
      </c>
      <c r="G468" s="4">
        <v>0</v>
      </c>
      <c r="H468" s="4">
        <v>0</v>
      </c>
      <c r="I468" s="2" t="s">
        <v>80</v>
      </c>
    </row>
    <row r="469" spans="1:9" x14ac:dyDescent="0.2">
      <c r="A469" s="4">
        <v>5.71</v>
      </c>
      <c r="B469" s="4">
        <v>13</v>
      </c>
      <c r="C469" s="4">
        <v>10</v>
      </c>
      <c r="D469" s="4">
        <v>2</v>
      </c>
      <c r="E469" s="4">
        <v>1</v>
      </c>
      <c r="F469" s="4">
        <v>1</v>
      </c>
      <c r="G469" s="4">
        <v>0</v>
      </c>
      <c r="H469" s="4">
        <v>0</v>
      </c>
      <c r="I469" s="2" t="s">
        <v>80</v>
      </c>
    </row>
    <row r="470" spans="1:9" x14ac:dyDescent="0.2">
      <c r="A470" s="4">
        <v>3.65</v>
      </c>
      <c r="B470" s="4">
        <v>14</v>
      </c>
      <c r="C470" s="4">
        <v>9</v>
      </c>
      <c r="D470" s="4">
        <v>2</v>
      </c>
      <c r="E470" s="4">
        <v>0</v>
      </c>
      <c r="F470" s="4">
        <v>0</v>
      </c>
      <c r="G470" s="4">
        <v>1</v>
      </c>
      <c r="H470" s="4">
        <v>0</v>
      </c>
      <c r="I470" s="2" t="s">
        <v>80</v>
      </c>
    </row>
    <row r="471" spans="1:9" x14ac:dyDescent="0.2">
      <c r="A471" s="4">
        <v>3.64</v>
      </c>
      <c r="B471" s="4">
        <v>12</v>
      </c>
      <c r="C471" s="4">
        <v>7</v>
      </c>
      <c r="D471" s="4">
        <v>2</v>
      </c>
      <c r="E471" s="4">
        <v>0</v>
      </c>
      <c r="F471" s="4">
        <v>0</v>
      </c>
      <c r="G471" s="4">
        <v>0</v>
      </c>
      <c r="H471" s="4">
        <v>0</v>
      </c>
      <c r="I471" s="2" t="s">
        <v>80</v>
      </c>
    </row>
    <row r="472" spans="1:9" x14ac:dyDescent="0.2">
      <c r="A472" s="4">
        <v>4</v>
      </c>
      <c r="B472" s="4">
        <v>12</v>
      </c>
      <c r="C472" s="4">
        <v>5</v>
      </c>
      <c r="D472" s="4">
        <v>2</v>
      </c>
      <c r="E472" s="4">
        <v>0</v>
      </c>
      <c r="F472" s="4">
        <v>1</v>
      </c>
      <c r="G472" s="4">
        <v>0</v>
      </c>
      <c r="H472" s="4">
        <v>1</v>
      </c>
      <c r="I472" s="2" t="s">
        <v>80</v>
      </c>
    </row>
    <row r="473" spans="1:9" x14ac:dyDescent="0.2">
      <c r="A473" s="4">
        <v>2</v>
      </c>
      <c r="B473" s="4">
        <v>12</v>
      </c>
      <c r="C473" s="4">
        <v>3</v>
      </c>
      <c r="D473" s="4">
        <v>2</v>
      </c>
      <c r="E473" s="4">
        <v>1</v>
      </c>
      <c r="F473" s="4">
        <v>0</v>
      </c>
      <c r="G473" s="4">
        <v>0</v>
      </c>
      <c r="H473" s="4">
        <v>0</v>
      </c>
      <c r="I473" s="2" t="s">
        <v>80</v>
      </c>
    </row>
    <row r="474" spans="1:9" x14ac:dyDescent="0.2">
      <c r="A474" s="4">
        <v>4.0999999999999996</v>
      </c>
      <c r="B474" s="4">
        <v>12</v>
      </c>
      <c r="C474" s="4">
        <v>3</v>
      </c>
      <c r="D474" s="4">
        <v>2</v>
      </c>
      <c r="E474" s="4">
        <v>1</v>
      </c>
      <c r="F474" s="4">
        <v>0</v>
      </c>
      <c r="G474" s="4">
        <v>0</v>
      </c>
      <c r="H474" s="4">
        <v>0</v>
      </c>
      <c r="I474" s="2" t="s">
        <v>80</v>
      </c>
    </row>
    <row r="475" spans="1:9" x14ac:dyDescent="0.2">
      <c r="A475" s="4">
        <v>3</v>
      </c>
      <c r="B475" s="4">
        <v>14</v>
      </c>
      <c r="C475" s="4">
        <v>3</v>
      </c>
      <c r="D475" s="4">
        <v>2</v>
      </c>
      <c r="E475" s="4">
        <v>1</v>
      </c>
      <c r="F475" s="4">
        <v>0</v>
      </c>
      <c r="G475" s="4">
        <v>0</v>
      </c>
      <c r="H475" s="4">
        <v>0</v>
      </c>
      <c r="I475" s="2" t="s">
        <v>80</v>
      </c>
    </row>
    <row r="476" spans="1:9" x14ac:dyDescent="0.2">
      <c r="A476" s="4">
        <v>9.3000000000000007</v>
      </c>
      <c r="B476" s="4">
        <v>15</v>
      </c>
      <c r="C476" s="4">
        <v>2</v>
      </c>
      <c r="D476" s="4">
        <v>2</v>
      </c>
      <c r="E476" s="4">
        <v>0</v>
      </c>
      <c r="F476" s="4">
        <v>1</v>
      </c>
      <c r="G476" s="4">
        <v>0</v>
      </c>
      <c r="H476" s="4">
        <v>0</v>
      </c>
      <c r="I476" s="2" t="s">
        <v>80</v>
      </c>
    </row>
    <row r="477" spans="1:9" x14ac:dyDescent="0.2">
      <c r="A477" s="4">
        <v>2.91</v>
      </c>
      <c r="B477" s="4">
        <v>11</v>
      </c>
      <c r="C477" s="4">
        <v>2</v>
      </c>
      <c r="D477" s="4">
        <v>2</v>
      </c>
      <c r="E477" s="4">
        <v>0</v>
      </c>
      <c r="F477" s="4">
        <v>0</v>
      </c>
      <c r="G477" s="4">
        <v>0</v>
      </c>
      <c r="H477" s="4">
        <v>0</v>
      </c>
      <c r="I477" s="2" t="s">
        <v>80</v>
      </c>
    </row>
    <row r="478" spans="1:9" x14ac:dyDescent="0.2">
      <c r="A478" s="4">
        <v>3.1</v>
      </c>
      <c r="B478" s="4">
        <v>12</v>
      </c>
      <c r="C478" s="4">
        <v>2</v>
      </c>
      <c r="D478" s="4">
        <v>2</v>
      </c>
      <c r="E478" s="4">
        <v>1</v>
      </c>
      <c r="F478" s="4">
        <v>0</v>
      </c>
      <c r="G478" s="4">
        <v>0</v>
      </c>
      <c r="H478" s="4">
        <v>0</v>
      </c>
      <c r="I478" s="2" t="s">
        <v>80</v>
      </c>
    </row>
    <row r="479" spans="1:9" x14ac:dyDescent="0.2">
      <c r="A479" s="4">
        <v>2.75</v>
      </c>
      <c r="B479" s="4">
        <v>13</v>
      </c>
      <c r="C479" s="4">
        <v>1</v>
      </c>
      <c r="D479" s="4">
        <v>2</v>
      </c>
      <c r="E479" s="4">
        <v>1</v>
      </c>
      <c r="F479" s="4">
        <v>0</v>
      </c>
      <c r="G479" s="4">
        <v>0</v>
      </c>
      <c r="H479" s="4">
        <v>0</v>
      </c>
      <c r="I479" s="2" t="s">
        <v>80</v>
      </c>
    </row>
    <row r="480" spans="1:9" x14ac:dyDescent="0.2">
      <c r="A480" s="4">
        <v>4.75</v>
      </c>
      <c r="B480" s="4">
        <v>13</v>
      </c>
      <c r="C480" s="9">
        <v>43.93</v>
      </c>
      <c r="D480" s="4">
        <v>1</v>
      </c>
      <c r="E480" s="4">
        <v>0</v>
      </c>
      <c r="F480" s="4">
        <v>1</v>
      </c>
      <c r="G480" s="4">
        <v>1</v>
      </c>
      <c r="H480" s="4">
        <v>0</v>
      </c>
      <c r="I480" s="2" t="s">
        <v>80</v>
      </c>
    </row>
    <row r="481" spans="1:9" x14ac:dyDescent="0.2">
      <c r="A481" s="4">
        <v>2.9</v>
      </c>
      <c r="B481" s="4">
        <v>12</v>
      </c>
      <c r="C481" s="4">
        <v>26</v>
      </c>
      <c r="D481" s="4">
        <v>1</v>
      </c>
      <c r="E481" s="4">
        <v>1</v>
      </c>
      <c r="F481" s="4">
        <v>0</v>
      </c>
      <c r="G481" s="4">
        <v>0</v>
      </c>
      <c r="H481" s="4">
        <v>0</v>
      </c>
      <c r="I481" s="2" t="s">
        <v>80</v>
      </c>
    </row>
    <row r="482" spans="1:9" x14ac:dyDescent="0.2">
      <c r="A482" s="4">
        <v>3.15</v>
      </c>
      <c r="B482" s="4">
        <v>12</v>
      </c>
      <c r="C482" s="4">
        <v>26</v>
      </c>
      <c r="D482" s="4">
        <v>1</v>
      </c>
      <c r="E482" s="4">
        <v>0</v>
      </c>
      <c r="F482" s="4">
        <v>1</v>
      </c>
      <c r="G482" s="4">
        <v>0</v>
      </c>
      <c r="H482" s="4">
        <v>0</v>
      </c>
      <c r="I482" s="2" t="s">
        <v>80</v>
      </c>
    </row>
    <row r="483" spans="1:9" x14ac:dyDescent="0.2">
      <c r="A483" s="4">
        <v>8.75</v>
      </c>
      <c r="B483" s="4">
        <v>12</v>
      </c>
      <c r="C483" s="4">
        <v>24</v>
      </c>
      <c r="D483" s="4">
        <v>1</v>
      </c>
      <c r="E483" s="4">
        <v>0</v>
      </c>
      <c r="F483" s="4">
        <v>0</v>
      </c>
      <c r="G483" s="4">
        <v>0</v>
      </c>
      <c r="H483" s="4">
        <v>0</v>
      </c>
      <c r="I483" s="2" t="s">
        <v>80</v>
      </c>
    </row>
    <row r="484" spans="1:9" x14ac:dyDescent="0.2">
      <c r="A484" s="4">
        <v>3</v>
      </c>
      <c r="B484" s="4">
        <v>12</v>
      </c>
      <c r="C484" s="4">
        <v>11</v>
      </c>
      <c r="D484" s="4">
        <v>1</v>
      </c>
      <c r="E484" s="4">
        <v>1</v>
      </c>
      <c r="F484" s="4">
        <v>1</v>
      </c>
      <c r="G484" s="4">
        <v>0</v>
      </c>
      <c r="H484" s="4">
        <v>0</v>
      </c>
      <c r="I484" s="2" t="s">
        <v>80</v>
      </c>
    </row>
    <row r="485" spans="1:9" x14ac:dyDescent="0.2">
      <c r="A485" s="4">
        <v>4</v>
      </c>
      <c r="B485" s="4">
        <v>12</v>
      </c>
      <c r="C485" s="4">
        <v>10</v>
      </c>
      <c r="D485" s="4">
        <v>1</v>
      </c>
      <c r="E485" s="4">
        <v>1</v>
      </c>
      <c r="F485" s="4">
        <v>0</v>
      </c>
      <c r="G485" s="4">
        <v>0</v>
      </c>
      <c r="H485" s="4">
        <v>0</v>
      </c>
      <c r="I485" s="2" t="s">
        <v>80</v>
      </c>
    </row>
    <row r="486" spans="1:9" x14ac:dyDescent="0.2">
      <c r="A486" s="4">
        <v>3.81</v>
      </c>
      <c r="B486" s="4">
        <v>12</v>
      </c>
      <c r="C486" s="4">
        <v>8</v>
      </c>
      <c r="D486" s="4">
        <v>1</v>
      </c>
      <c r="E486" s="4">
        <v>1</v>
      </c>
      <c r="F486" s="4">
        <v>1</v>
      </c>
      <c r="G486" s="4">
        <v>0</v>
      </c>
      <c r="H486" s="4">
        <v>0</v>
      </c>
      <c r="I486" s="2" t="s">
        <v>80</v>
      </c>
    </row>
    <row r="487" spans="1:9" x14ac:dyDescent="0.2">
      <c r="A487" s="4">
        <v>3.8</v>
      </c>
      <c r="B487" s="4">
        <v>15</v>
      </c>
      <c r="C487" s="4">
        <v>6</v>
      </c>
      <c r="D487" s="4">
        <v>1</v>
      </c>
      <c r="E487" s="4">
        <v>0</v>
      </c>
      <c r="F487" s="4">
        <v>1</v>
      </c>
      <c r="G487" s="4">
        <v>0</v>
      </c>
      <c r="H487" s="4">
        <v>0</v>
      </c>
      <c r="I487" s="2" t="s">
        <v>80</v>
      </c>
    </row>
    <row r="488" spans="1:9" x14ac:dyDescent="0.2">
      <c r="A488" s="4">
        <v>11.56</v>
      </c>
      <c r="B488" s="4">
        <v>16</v>
      </c>
      <c r="C488" s="4">
        <v>5</v>
      </c>
      <c r="D488" s="4">
        <v>1</v>
      </c>
      <c r="E488" s="4">
        <v>0</v>
      </c>
      <c r="F488" s="4">
        <v>1</v>
      </c>
      <c r="G488" s="4">
        <v>1</v>
      </c>
      <c r="H488" s="4">
        <v>0</v>
      </c>
      <c r="I488" s="2" t="s">
        <v>80</v>
      </c>
    </row>
    <row r="489" spans="1:9" x14ac:dyDescent="0.2">
      <c r="A489" s="4">
        <v>2.95</v>
      </c>
      <c r="B489" s="4">
        <v>12</v>
      </c>
      <c r="C489" s="4">
        <v>3</v>
      </c>
      <c r="D489" s="4">
        <v>1</v>
      </c>
      <c r="E489" s="4">
        <v>0</v>
      </c>
      <c r="F489" s="4">
        <v>0</v>
      </c>
      <c r="G489" s="4">
        <v>0</v>
      </c>
      <c r="H489" s="4">
        <v>0</v>
      </c>
      <c r="I489" s="2" t="s">
        <v>80</v>
      </c>
    </row>
    <row r="490" spans="1:9" x14ac:dyDescent="0.2">
      <c r="A490" s="4">
        <v>3.35</v>
      </c>
      <c r="B490" s="4">
        <v>15</v>
      </c>
      <c r="C490" s="4">
        <v>3</v>
      </c>
      <c r="D490" s="4">
        <v>1</v>
      </c>
      <c r="E490" s="4">
        <v>1</v>
      </c>
      <c r="F490" s="4">
        <v>1</v>
      </c>
      <c r="G490" s="4">
        <v>0</v>
      </c>
      <c r="H490" s="4">
        <v>0</v>
      </c>
      <c r="I490" s="2" t="s">
        <v>80</v>
      </c>
    </row>
    <row r="491" spans="1:9" x14ac:dyDescent="0.2">
      <c r="A491" s="4">
        <v>4.6500000000000004</v>
      </c>
      <c r="B491" s="4">
        <v>16</v>
      </c>
      <c r="C491" s="4">
        <v>3</v>
      </c>
      <c r="D491" s="4">
        <v>1</v>
      </c>
      <c r="E491" s="4">
        <v>0</v>
      </c>
      <c r="F491" s="4">
        <v>0</v>
      </c>
      <c r="G491" s="4">
        <v>0</v>
      </c>
      <c r="H491" s="4">
        <v>0</v>
      </c>
      <c r="I491" s="2" t="s">
        <v>80</v>
      </c>
    </row>
    <row r="492" spans="1:9" x14ac:dyDescent="0.2">
      <c r="A492" s="4">
        <v>3.08</v>
      </c>
      <c r="B492" s="4">
        <v>12</v>
      </c>
      <c r="C492" s="4">
        <v>3</v>
      </c>
      <c r="D492" s="4">
        <v>1</v>
      </c>
      <c r="E492" s="4">
        <v>0</v>
      </c>
      <c r="F492" s="4">
        <v>0</v>
      </c>
      <c r="G492" s="4">
        <v>0</v>
      </c>
      <c r="H492" s="4">
        <v>0</v>
      </c>
      <c r="I492" s="2" t="s">
        <v>80</v>
      </c>
    </row>
    <row r="493" spans="1:9" x14ac:dyDescent="0.2">
      <c r="A493" s="4">
        <v>1.75</v>
      </c>
      <c r="B493" s="4">
        <v>11</v>
      </c>
      <c r="C493" s="4">
        <v>2</v>
      </c>
      <c r="D493" s="4">
        <v>1</v>
      </c>
      <c r="E493" s="4">
        <v>0</v>
      </c>
      <c r="F493" s="4">
        <v>0</v>
      </c>
      <c r="G493" s="4">
        <v>1</v>
      </c>
      <c r="H493" s="4">
        <v>0</v>
      </c>
      <c r="I493" s="2" t="s">
        <v>80</v>
      </c>
    </row>
    <row r="494" spans="1:9" x14ac:dyDescent="0.2">
      <c r="A494" s="4">
        <v>6.25</v>
      </c>
      <c r="B494" s="10">
        <v>12</v>
      </c>
      <c r="C494" s="4">
        <v>2</v>
      </c>
      <c r="D494" s="4">
        <v>1</v>
      </c>
      <c r="E494" s="4">
        <v>1</v>
      </c>
      <c r="F494" s="4">
        <v>0</v>
      </c>
      <c r="G494" s="4">
        <v>0</v>
      </c>
      <c r="H494" s="4">
        <v>0</v>
      </c>
      <c r="I494" s="2" t="s">
        <v>80</v>
      </c>
    </row>
    <row r="495" spans="1:9" x14ac:dyDescent="0.2">
      <c r="A495" s="4">
        <v>5.58</v>
      </c>
      <c r="B495" s="4">
        <v>16</v>
      </c>
      <c r="C495" s="4">
        <v>1</v>
      </c>
      <c r="D495" s="4">
        <v>1</v>
      </c>
      <c r="E495" s="4">
        <v>0</v>
      </c>
      <c r="F495" s="4">
        <v>1</v>
      </c>
      <c r="G495" s="4">
        <v>0</v>
      </c>
      <c r="H495" s="4">
        <v>0</v>
      </c>
      <c r="I495" s="2" t="s">
        <v>80</v>
      </c>
    </row>
    <row r="496" spans="1:9" x14ac:dyDescent="0.2">
      <c r="A496" s="4">
        <v>2.92</v>
      </c>
      <c r="B496" s="4">
        <v>9</v>
      </c>
      <c r="C496" s="9">
        <v>43.93</v>
      </c>
      <c r="D496" s="4">
        <v>0</v>
      </c>
      <c r="E496" s="4">
        <v>1</v>
      </c>
      <c r="F496" s="4">
        <v>0</v>
      </c>
      <c r="G496" s="4">
        <v>0</v>
      </c>
      <c r="H496" s="4">
        <v>0</v>
      </c>
      <c r="I496" s="2" t="s">
        <v>80</v>
      </c>
    </row>
    <row r="497" spans="1:9" x14ac:dyDescent="0.2">
      <c r="A497" s="4">
        <v>4.5</v>
      </c>
      <c r="B497" s="4">
        <v>12</v>
      </c>
      <c r="C497" s="4">
        <v>35</v>
      </c>
      <c r="D497" s="4">
        <v>0</v>
      </c>
      <c r="E497" s="4">
        <v>1</v>
      </c>
      <c r="F497" s="4">
        <v>1</v>
      </c>
      <c r="G497" s="4">
        <v>0</v>
      </c>
      <c r="H497" s="4">
        <v>0</v>
      </c>
      <c r="I497" s="2" t="s">
        <v>80</v>
      </c>
    </row>
    <row r="498" spans="1:9" x14ac:dyDescent="0.2">
      <c r="A498" s="4">
        <v>3.55</v>
      </c>
      <c r="B498" s="4">
        <v>12</v>
      </c>
      <c r="C498" s="4">
        <v>21</v>
      </c>
      <c r="D498" s="4">
        <v>0</v>
      </c>
      <c r="E498" s="4">
        <v>1</v>
      </c>
      <c r="F498" s="4">
        <v>1</v>
      </c>
      <c r="G498" s="4">
        <v>0</v>
      </c>
      <c r="H498" s="4">
        <v>0</v>
      </c>
      <c r="I498" s="2" t="s">
        <v>80</v>
      </c>
    </row>
    <row r="499" spans="1:9" x14ac:dyDescent="0.2">
      <c r="A499" s="4">
        <v>5.05</v>
      </c>
      <c r="B499" s="4">
        <v>12</v>
      </c>
      <c r="C499" s="4">
        <v>19</v>
      </c>
      <c r="D499" s="4">
        <v>0</v>
      </c>
      <c r="E499" s="4">
        <v>1</v>
      </c>
      <c r="F499" s="4">
        <v>1</v>
      </c>
      <c r="G499" s="4">
        <v>0</v>
      </c>
      <c r="H499" s="4">
        <v>0</v>
      </c>
      <c r="I499" s="2" t="s">
        <v>80</v>
      </c>
    </row>
    <row r="500" spans="1:9" x14ac:dyDescent="0.2">
      <c r="A500" s="4">
        <v>1.63</v>
      </c>
      <c r="B500" s="4">
        <v>12</v>
      </c>
      <c r="C500" s="4">
        <v>18</v>
      </c>
      <c r="D500" s="4">
        <v>0</v>
      </c>
      <c r="E500" s="10">
        <v>2</v>
      </c>
      <c r="F500" s="4">
        <v>0</v>
      </c>
      <c r="G500" s="4">
        <v>0</v>
      </c>
      <c r="H500" s="4">
        <v>0</v>
      </c>
      <c r="I500" s="2" t="s">
        <v>80</v>
      </c>
    </row>
    <row r="501" spans="1:9" x14ac:dyDescent="0.2">
      <c r="A501" s="4">
        <v>5</v>
      </c>
      <c r="B501" s="10">
        <v>12</v>
      </c>
      <c r="C501" s="4">
        <v>18</v>
      </c>
      <c r="D501" s="4">
        <v>0</v>
      </c>
      <c r="E501" s="4">
        <v>1</v>
      </c>
      <c r="F501" s="4">
        <v>1</v>
      </c>
      <c r="G501" s="4">
        <v>1</v>
      </c>
      <c r="H501" s="4">
        <v>0</v>
      </c>
      <c r="I501" s="2" t="s">
        <v>80</v>
      </c>
    </row>
    <row r="502" spans="1:9" x14ac:dyDescent="0.2">
      <c r="A502" s="4">
        <v>3.71</v>
      </c>
      <c r="B502" s="4">
        <v>10</v>
      </c>
      <c r="C502" s="4">
        <v>13</v>
      </c>
      <c r="D502" s="4">
        <v>0</v>
      </c>
      <c r="E502" s="4">
        <v>1</v>
      </c>
      <c r="F502" s="4">
        <v>0</v>
      </c>
      <c r="G502" s="4">
        <v>0</v>
      </c>
      <c r="H502" s="4">
        <v>0</v>
      </c>
      <c r="I502" s="2" t="s">
        <v>80</v>
      </c>
    </row>
    <row r="503" spans="1:9" x14ac:dyDescent="0.2">
      <c r="A503" s="4">
        <v>4.5</v>
      </c>
      <c r="B503" s="4">
        <v>12</v>
      </c>
      <c r="C503" s="4">
        <v>13</v>
      </c>
      <c r="D503" s="4">
        <v>0</v>
      </c>
      <c r="E503" s="4">
        <v>0</v>
      </c>
      <c r="F503" s="4">
        <v>1</v>
      </c>
      <c r="G503" s="4">
        <v>1</v>
      </c>
      <c r="H503" s="4">
        <v>0</v>
      </c>
      <c r="I503" s="2" t="s">
        <v>80</v>
      </c>
    </row>
    <row r="504" spans="1:9" x14ac:dyDescent="0.2">
      <c r="A504" s="4">
        <v>6.08</v>
      </c>
      <c r="B504" s="4">
        <v>16</v>
      </c>
      <c r="C504" s="4">
        <v>9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2" t="s">
        <v>80</v>
      </c>
    </row>
    <row r="505" spans="1:9" x14ac:dyDescent="0.2">
      <c r="A505" s="4">
        <v>4</v>
      </c>
      <c r="B505" s="4">
        <v>12</v>
      </c>
      <c r="C505" s="4">
        <v>9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2" t="s">
        <v>80</v>
      </c>
    </row>
    <row r="506" spans="1:9" x14ac:dyDescent="0.2">
      <c r="A506" s="4">
        <v>4</v>
      </c>
      <c r="B506" s="4">
        <v>12</v>
      </c>
      <c r="C506" s="4">
        <v>8</v>
      </c>
      <c r="D506" s="4">
        <v>0</v>
      </c>
      <c r="E506" s="4">
        <v>1</v>
      </c>
      <c r="F506" s="4">
        <v>1</v>
      </c>
      <c r="G506" s="4">
        <v>0</v>
      </c>
      <c r="H506" s="4">
        <v>0</v>
      </c>
      <c r="I506" s="2" t="s">
        <v>80</v>
      </c>
    </row>
    <row r="507" spans="1:9" x14ac:dyDescent="0.2">
      <c r="A507" s="4">
        <v>3.75</v>
      </c>
      <c r="B507" s="4">
        <v>12</v>
      </c>
      <c r="C507" s="4">
        <v>7</v>
      </c>
      <c r="D507" s="4">
        <v>0</v>
      </c>
      <c r="E507" s="4">
        <v>1</v>
      </c>
      <c r="F507" s="4">
        <v>1</v>
      </c>
      <c r="G507" s="4">
        <v>0</v>
      </c>
      <c r="H507" s="4">
        <v>1</v>
      </c>
      <c r="I507" s="2" t="s">
        <v>80</v>
      </c>
    </row>
    <row r="508" spans="1:9" x14ac:dyDescent="0.2">
      <c r="A508" s="4">
        <v>9.8000000000000007</v>
      </c>
      <c r="B508" s="4">
        <v>17</v>
      </c>
      <c r="C508" s="4">
        <v>7</v>
      </c>
      <c r="D508" s="4">
        <v>0</v>
      </c>
      <c r="E508" s="4">
        <v>0</v>
      </c>
      <c r="F508" s="4">
        <v>1</v>
      </c>
      <c r="G508" s="4">
        <v>0</v>
      </c>
      <c r="H508" s="4">
        <v>0</v>
      </c>
      <c r="I508" s="2" t="s">
        <v>80</v>
      </c>
    </row>
    <row r="509" spans="1:9" x14ac:dyDescent="0.2">
      <c r="A509" s="4">
        <v>3.55</v>
      </c>
      <c r="B509" s="4">
        <v>12</v>
      </c>
      <c r="C509" s="4">
        <v>6</v>
      </c>
      <c r="D509" s="4">
        <v>0</v>
      </c>
      <c r="E509" s="4">
        <v>1</v>
      </c>
      <c r="F509" s="4">
        <v>1</v>
      </c>
      <c r="G509" s="4">
        <v>0</v>
      </c>
      <c r="H509" s="4">
        <v>0</v>
      </c>
      <c r="I509" s="2" t="s">
        <v>80</v>
      </c>
    </row>
    <row r="510" spans="1:9" x14ac:dyDescent="0.2">
      <c r="A510" s="4">
        <v>6.25</v>
      </c>
      <c r="B510" s="4">
        <v>16</v>
      </c>
      <c r="C510" s="4">
        <v>5</v>
      </c>
      <c r="D510" s="4">
        <v>0</v>
      </c>
      <c r="E510" s="4">
        <v>0</v>
      </c>
      <c r="F510" s="4">
        <v>1</v>
      </c>
      <c r="G510" s="4">
        <v>0</v>
      </c>
      <c r="H510" s="4">
        <v>0</v>
      </c>
      <c r="I510" s="2" t="s">
        <v>80</v>
      </c>
    </row>
    <row r="511" spans="1:9" x14ac:dyDescent="0.2">
      <c r="A511" s="4">
        <v>2.38</v>
      </c>
      <c r="B511" s="4">
        <v>9</v>
      </c>
      <c r="C511" s="4">
        <v>5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2" t="s">
        <v>80</v>
      </c>
    </row>
    <row r="512" spans="1:9" x14ac:dyDescent="0.2">
      <c r="A512" s="4">
        <v>4.0999999999999996</v>
      </c>
      <c r="B512" s="4">
        <v>16</v>
      </c>
      <c r="C512" s="4">
        <v>5</v>
      </c>
      <c r="D512" s="4">
        <v>0</v>
      </c>
      <c r="E512" s="4">
        <v>1</v>
      </c>
      <c r="F512" s="4">
        <v>1</v>
      </c>
      <c r="G512" s="4">
        <v>0</v>
      </c>
      <c r="H512" s="4">
        <v>0</v>
      </c>
      <c r="I512" s="2" t="s">
        <v>80</v>
      </c>
    </row>
    <row r="513" spans="1:9" x14ac:dyDescent="0.2">
      <c r="A513" s="4">
        <v>3.5</v>
      </c>
      <c r="B513" s="4">
        <v>8</v>
      </c>
      <c r="C513" s="4">
        <v>4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2" t="s">
        <v>80</v>
      </c>
    </row>
    <row r="514" spans="1:9" x14ac:dyDescent="0.2">
      <c r="A514" s="4">
        <v>2.6</v>
      </c>
      <c r="B514" s="4">
        <v>9</v>
      </c>
      <c r="C514" s="4">
        <v>4</v>
      </c>
      <c r="D514" s="4">
        <v>0</v>
      </c>
      <c r="E514" s="10">
        <v>2</v>
      </c>
      <c r="F514" s="4">
        <v>0</v>
      </c>
      <c r="G514" s="4">
        <v>1</v>
      </c>
      <c r="H514" s="4">
        <v>0</v>
      </c>
      <c r="I514" s="2" t="s">
        <v>80</v>
      </c>
    </row>
    <row r="515" spans="1:9" x14ac:dyDescent="0.2">
      <c r="A515" s="4">
        <v>2</v>
      </c>
      <c r="B515" s="4">
        <v>10</v>
      </c>
      <c r="C515" s="4">
        <v>3</v>
      </c>
      <c r="D515" s="4">
        <v>0</v>
      </c>
      <c r="E515" s="4">
        <v>1</v>
      </c>
      <c r="F515" s="4">
        <v>0</v>
      </c>
      <c r="G515" s="4">
        <v>0</v>
      </c>
      <c r="H515" s="4">
        <v>0</v>
      </c>
      <c r="I515" s="2" t="s">
        <v>80</v>
      </c>
    </row>
    <row r="516" spans="1:9" x14ac:dyDescent="0.2">
      <c r="A516" s="4">
        <v>7.81</v>
      </c>
      <c r="B516" s="4">
        <v>12</v>
      </c>
      <c r="C516" s="4">
        <v>3</v>
      </c>
      <c r="D516" s="4">
        <v>0</v>
      </c>
      <c r="E516" s="4">
        <v>1</v>
      </c>
      <c r="F516" s="4">
        <v>1</v>
      </c>
      <c r="G516" s="4">
        <v>1</v>
      </c>
      <c r="H516" s="4">
        <v>0</v>
      </c>
      <c r="I516" s="2" t="s">
        <v>80</v>
      </c>
    </row>
    <row r="517" spans="1:9" x14ac:dyDescent="0.2">
      <c r="A517" s="4">
        <v>3.5</v>
      </c>
      <c r="B517" s="4">
        <v>12</v>
      </c>
      <c r="C517" s="4">
        <v>3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2" t="s">
        <v>80</v>
      </c>
    </row>
    <row r="518" spans="1:9" x14ac:dyDescent="0.2">
      <c r="A518" s="4">
        <v>4.5</v>
      </c>
      <c r="B518" s="4">
        <v>12</v>
      </c>
      <c r="C518" s="4">
        <v>3</v>
      </c>
      <c r="D518" s="4">
        <v>0</v>
      </c>
      <c r="E518" s="4">
        <v>0</v>
      </c>
      <c r="F518" s="4">
        <v>0</v>
      </c>
      <c r="G518" s="4">
        <v>1</v>
      </c>
      <c r="H518" s="4">
        <v>0</v>
      </c>
      <c r="I518" s="2" t="s">
        <v>80</v>
      </c>
    </row>
    <row r="519" spans="1:9" x14ac:dyDescent="0.2">
      <c r="A519" s="4">
        <v>3</v>
      </c>
      <c r="B519" s="4">
        <v>11</v>
      </c>
      <c r="C519" s="4">
        <v>3</v>
      </c>
      <c r="D519" s="4">
        <v>0</v>
      </c>
      <c r="E519" s="4">
        <v>1</v>
      </c>
      <c r="F519" s="4">
        <v>0</v>
      </c>
      <c r="G519" s="4">
        <v>1</v>
      </c>
      <c r="H519" s="4">
        <v>0</v>
      </c>
      <c r="I519" s="2" t="s">
        <v>80</v>
      </c>
    </row>
    <row r="520" spans="1:9" x14ac:dyDescent="0.2">
      <c r="A520" s="4">
        <v>5.1100000000000003</v>
      </c>
      <c r="B520" s="4">
        <v>11</v>
      </c>
      <c r="C520" s="4">
        <v>3</v>
      </c>
      <c r="D520" s="4">
        <v>0</v>
      </c>
      <c r="E520" s="4">
        <v>0</v>
      </c>
      <c r="F520" s="4">
        <v>0</v>
      </c>
      <c r="G520" s="4">
        <v>1</v>
      </c>
      <c r="H520" s="4">
        <v>1</v>
      </c>
      <c r="I520" s="2" t="s">
        <v>80</v>
      </c>
    </row>
    <row r="521" spans="1:9" x14ac:dyDescent="0.2">
      <c r="A521" s="4">
        <v>2</v>
      </c>
      <c r="B521" s="4">
        <v>9</v>
      </c>
      <c r="C521" s="4">
        <v>2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2" t="s">
        <v>80</v>
      </c>
    </row>
    <row r="522" spans="1:9" x14ac:dyDescent="0.2">
      <c r="A522" s="4">
        <v>3.1</v>
      </c>
      <c r="B522" s="4">
        <v>11</v>
      </c>
      <c r="C522" s="4">
        <v>2</v>
      </c>
      <c r="D522" s="4">
        <v>0</v>
      </c>
      <c r="E522" s="4">
        <v>1</v>
      </c>
      <c r="F522" s="4">
        <v>0</v>
      </c>
      <c r="G522" s="4">
        <v>1</v>
      </c>
      <c r="H522" s="4">
        <v>0</v>
      </c>
      <c r="I522" s="2" t="s">
        <v>80</v>
      </c>
    </row>
    <row r="523" spans="1:9" x14ac:dyDescent="0.2">
      <c r="A523" s="4">
        <v>5.65</v>
      </c>
      <c r="B523" s="4">
        <v>12</v>
      </c>
      <c r="C523" s="4">
        <v>2</v>
      </c>
      <c r="D523" s="4">
        <v>0</v>
      </c>
      <c r="E523" s="4">
        <v>0</v>
      </c>
      <c r="F523" s="4">
        <v>0</v>
      </c>
      <c r="G523" s="4">
        <v>1</v>
      </c>
      <c r="H523" s="4">
        <v>1</v>
      </c>
      <c r="I523" s="2" t="s">
        <v>80</v>
      </c>
    </row>
    <row r="524" spans="1:9" x14ac:dyDescent="0.2">
      <c r="A524" s="4">
        <v>2.54</v>
      </c>
      <c r="B524" s="4">
        <v>9</v>
      </c>
      <c r="C524" s="4">
        <v>2</v>
      </c>
      <c r="D524" s="4">
        <v>0</v>
      </c>
      <c r="E524" s="4">
        <v>1</v>
      </c>
      <c r="F524" s="4">
        <v>0</v>
      </c>
      <c r="G524" s="4">
        <v>0</v>
      </c>
      <c r="H524" s="4">
        <v>0</v>
      </c>
      <c r="I524" s="2" t="s">
        <v>80</v>
      </c>
    </row>
    <row r="525" spans="1:9" x14ac:dyDescent="0.2">
      <c r="A525" s="4">
        <v>2.9</v>
      </c>
      <c r="B525" s="4">
        <v>11</v>
      </c>
      <c r="C525" s="4">
        <v>2</v>
      </c>
      <c r="D525" s="4">
        <v>0</v>
      </c>
      <c r="E525" s="4">
        <v>1</v>
      </c>
      <c r="F525" s="4">
        <v>0</v>
      </c>
      <c r="G525" s="4">
        <v>0</v>
      </c>
      <c r="H525" s="4">
        <v>0</v>
      </c>
      <c r="I525" s="2" t="s">
        <v>80</v>
      </c>
    </row>
    <row r="526" spans="1:9" x14ac:dyDescent="0.2">
      <c r="A526" s="4">
        <v>2.92</v>
      </c>
      <c r="B526" s="4">
        <v>11</v>
      </c>
      <c r="C526" s="4">
        <v>1</v>
      </c>
      <c r="D526" s="4">
        <v>0</v>
      </c>
      <c r="E526" s="4">
        <v>1</v>
      </c>
      <c r="F526" s="4">
        <v>0</v>
      </c>
      <c r="G526" s="4">
        <v>0</v>
      </c>
      <c r="H526" s="4">
        <v>0</v>
      </c>
      <c r="I526" s="2" t="s">
        <v>80</v>
      </c>
    </row>
    <row r="527" spans="1:9" x14ac:dyDescent="0.2">
      <c r="A527" s="4">
        <v>3</v>
      </c>
      <c r="B527" s="4">
        <v>12</v>
      </c>
      <c r="C527" s="4">
        <v>1</v>
      </c>
      <c r="D527" s="4">
        <v>0</v>
      </c>
      <c r="E527" s="4">
        <v>1</v>
      </c>
      <c r="F527" s="4">
        <v>0</v>
      </c>
      <c r="G527" s="4">
        <v>0</v>
      </c>
      <c r="H527" s="4">
        <v>0</v>
      </c>
      <c r="I527" s="2" t="s">
        <v>80</v>
      </c>
    </row>
  </sheetData>
  <mergeCells count="2">
    <mergeCell ref="K3:M3"/>
    <mergeCell ref="K26:P2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25CF-D7E0-A04A-9231-776989A86E03}">
  <dimension ref="A1:Q527"/>
  <sheetViews>
    <sheetView showGridLines="0" workbookViewId="0">
      <selection activeCell="I26" sqref="I26:N26"/>
    </sheetView>
  </sheetViews>
  <sheetFormatPr baseColWidth="10" defaultRowHeight="14" x14ac:dyDescent="0.2"/>
  <cols>
    <col min="1" max="6" width="10.83203125" style="5"/>
    <col min="7" max="7" width="12.5" bestFit="1" customWidth="1"/>
    <col min="9" max="9" width="33.6640625" bestFit="1" customWidth="1"/>
    <col min="10" max="10" width="22.6640625" bestFit="1" customWidth="1"/>
    <col min="11" max="11" width="14.83203125" bestFit="1" customWidth="1"/>
    <col min="12" max="12" width="19.83203125" bestFit="1" customWidth="1"/>
    <col min="14" max="14" width="13" bestFit="1" customWidth="1"/>
  </cols>
  <sheetData>
    <row r="1" spans="1:11" x14ac:dyDescent="0.2">
      <c r="A1" s="4" t="s">
        <v>28</v>
      </c>
      <c r="B1" s="4" t="s">
        <v>0</v>
      </c>
      <c r="C1" s="4" t="s">
        <v>49</v>
      </c>
      <c r="D1" s="4" t="s">
        <v>50</v>
      </c>
      <c r="E1" s="4" t="s">
        <v>51</v>
      </c>
      <c r="F1" s="4" t="s">
        <v>35</v>
      </c>
      <c r="G1" s="15" t="s">
        <v>81</v>
      </c>
    </row>
    <row r="2" spans="1:11" x14ac:dyDescent="0.2">
      <c r="A2" s="4">
        <v>8.75</v>
      </c>
      <c r="B2" s="4">
        <v>12</v>
      </c>
      <c r="C2" s="9">
        <v>26.78</v>
      </c>
      <c r="D2" s="4">
        <v>0</v>
      </c>
      <c r="E2" s="4">
        <v>1</v>
      </c>
      <c r="F2" s="4">
        <v>0</v>
      </c>
      <c r="G2" s="2" t="s">
        <v>79</v>
      </c>
    </row>
    <row r="3" spans="1:11" x14ac:dyDescent="0.2">
      <c r="A3" s="4">
        <v>11.76</v>
      </c>
      <c r="B3" s="4">
        <v>14</v>
      </c>
      <c r="C3" s="9">
        <v>26.78</v>
      </c>
      <c r="D3" s="4">
        <v>0</v>
      </c>
      <c r="E3" s="4">
        <v>1</v>
      </c>
      <c r="F3" s="4">
        <v>0</v>
      </c>
      <c r="G3" s="2" t="s">
        <v>79</v>
      </c>
      <c r="I3" s="37" t="s">
        <v>63</v>
      </c>
      <c r="J3" s="37"/>
      <c r="K3" s="37"/>
    </row>
    <row r="4" spans="1:11" x14ac:dyDescent="0.2">
      <c r="A4" s="4">
        <v>2.91</v>
      </c>
      <c r="B4" s="4">
        <v>12</v>
      </c>
      <c r="C4" s="9">
        <v>26.78</v>
      </c>
      <c r="D4" s="4">
        <v>1</v>
      </c>
      <c r="E4" s="4">
        <v>1</v>
      </c>
      <c r="F4" s="4">
        <v>0</v>
      </c>
      <c r="G4" s="2" t="s">
        <v>79</v>
      </c>
      <c r="I4" s="17" t="s">
        <v>64</v>
      </c>
      <c r="J4" s="3"/>
      <c r="K4" s="3"/>
    </row>
    <row r="5" spans="1:11" x14ac:dyDescent="0.2">
      <c r="A5" s="4">
        <v>6.5</v>
      </c>
      <c r="B5" s="4">
        <v>14</v>
      </c>
      <c r="C5" s="9">
        <v>26.78</v>
      </c>
      <c r="D5" s="4">
        <v>0</v>
      </c>
      <c r="E5" s="4">
        <v>1</v>
      </c>
      <c r="F5" s="4">
        <v>0</v>
      </c>
      <c r="G5" s="2" t="s">
        <v>79</v>
      </c>
      <c r="I5" s="3"/>
      <c r="J5" s="3" t="s">
        <v>65</v>
      </c>
      <c r="K5" s="3"/>
    </row>
    <row r="6" spans="1:11" x14ac:dyDescent="0.2">
      <c r="A6" s="4">
        <v>6.25</v>
      </c>
      <c r="B6" s="4">
        <v>11</v>
      </c>
      <c r="C6" s="9">
        <v>26.78</v>
      </c>
      <c r="D6" s="4">
        <v>0</v>
      </c>
      <c r="E6" s="4">
        <v>1</v>
      </c>
      <c r="F6" s="4">
        <v>0</v>
      </c>
      <c r="G6" s="2" t="s">
        <v>79</v>
      </c>
      <c r="I6" s="3"/>
      <c r="J6" s="3" t="s">
        <v>66</v>
      </c>
      <c r="K6" s="3"/>
    </row>
    <row r="7" spans="1:11" x14ac:dyDescent="0.2">
      <c r="A7" s="4">
        <v>15</v>
      </c>
      <c r="B7" s="4">
        <v>11</v>
      </c>
      <c r="C7" s="9">
        <v>26.78</v>
      </c>
      <c r="D7" s="10">
        <v>2</v>
      </c>
      <c r="E7" s="4">
        <v>1</v>
      </c>
      <c r="F7" s="4">
        <v>0</v>
      </c>
      <c r="G7" s="2" t="s">
        <v>79</v>
      </c>
      <c r="I7" s="17" t="s">
        <v>67</v>
      </c>
      <c r="J7" s="18"/>
      <c r="K7" s="17"/>
    </row>
    <row r="8" spans="1:11" x14ac:dyDescent="0.2">
      <c r="A8" s="4">
        <v>6</v>
      </c>
      <c r="B8" s="4">
        <v>8</v>
      </c>
      <c r="C8" s="9">
        <v>26.78</v>
      </c>
      <c r="D8" s="4">
        <v>0</v>
      </c>
      <c r="E8" s="4">
        <v>1</v>
      </c>
      <c r="F8" s="4">
        <v>1</v>
      </c>
      <c r="G8" s="2" t="s">
        <v>79</v>
      </c>
      <c r="I8" s="17"/>
      <c r="J8" s="17" t="s">
        <v>68</v>
      </c>
      <c r="K8" s="17"/>
    </row>
    <row r="9" spans="1:11" x14ac:dyDescent="0.2">
      <c r="A9" s="4">
        <v>18.16</v>
      </c>
      <c r="B9" s="4">
        <v>16</v>
      </c>
      <c r="C9" s="9">
        <v>26.78</v>
      </c>
      <c r="D9" s="4">
        <v>0</v>
      </c>
      <c r="E9" s="4">
        <v>1</v>
      </c>
      <c r="F9" s="4">
        <v>0</v>
      </c>
      <c r="G9" s="2" t="s">
        <v>79</v>
      </c>
      <c r="I9" s="17"/>
      <c r="J9" s="17" t="s">
        <v>69</v>
      </c>
      <c r="K9" s="17"/>
    </row>
    <row r="10" spans="1:11" x14ac:dyDescent="0.2">
      <c r="A10" s="4">
        <v>8.5</v>
      </c>
      <c r="B10" s="4">
        <v>8</v>
      </c>
      <c r="C10" s="4">
        <v>26</v>
      </c>
      <c r="D10" s="4">
        <v>0</v>
      </c>
      <c r="E10" s="4">
        <v>0</v>
      </c>
      <c r="F10" s="4">
        <v>0</v>
      </c>
      <c r="G10" s="2" t="s">
        <v>79</v>
      </c>
      <c r="I10" s="3" t="s">
        <v>70</v>
      </c>
      <c r="J10" s="3"/>
      <c r="K10" s="3"/>
    </row>
    <row r="11" spans="1:11" x14ac:dyDescent="0.2">
      <c r="A11" s="4">
        <v>3.6</v>
      </c>
      <c r="B11" s="4">
        <v>10</v>
      </c>
      <c r="C11" s="4">
        <v>26</v>
      </c>
      <c r="D11" s="4">
        <v>1</v>
      </c>
      <c r="E11" s="4">
        <v>1</v>
      </c>
      <c r="F11" s="4">
        <v>0</v>
      </c>
      <c r="G11" s="2" t="s">
        <v>79</v>
      </c>
      <c r="I11" s="3" t="s">
        <v>71</v>
      </c>
      <c r="J11" s="3"/>
      <c r="K11" s="3"/>
    </row>
    <row r="12" spans="1:11" x14ac:dyDescent="0.2">
      <c r="A12" s="4">
        <v>8.33</v>
      </c>
      <c r="B12" s="4">
        <v>15</v>
      </c>
      <c r="C12" s="4">
        <v>26</v>
      </c>
      <c r="D12" s="4">
        <v>0</v>
      </c>
      <c r="E12" s="4">
        <v>1</v>
      </c>
      <c r="F12" s="4">
        <v>0</v>
      </c>
      <c r="G12" s="2" t="s">
        <v>79</v>
      </c>
      <c r="I12" s="18" t="s">
        <v>72</v>
      </c>
      <c r="J12" s="3"/>
      <c r="K12" s="3"/>
    </row>
    <row r="13" spans="1:11" x14ac:dyDescent="0.2">
      <c r="A13" s="4">
        <v>4.29</v>
      </c>
      <c r="B13" s="4">
        <v>12</v>
      </c>
      <c r="C13" s="4">
        <v>25</v>
      </c>
      <c r="D13" s="4">
        <v>1</v>
      </c>
      <c r="E13" s="4">
        <v>1</v>
      </c>
      <c r="F13" s="4">
        <v>0</v>
      </c>
      <c r="G13" s="2" t="s">
        <v>79</v>
      </c>
      <c r="I13" s="3" t="s">
        <v>73</v>
      </c>
      <c r="J13" s="3"/>
      <c r="K13" s="3"/>
    </row>
    <row r="14" spans="1:11" x14ac:dyDescent="0.2">
      <c r="A14" s="4">
        <v>4.05</v>
      </c>
      <c r="B14" s="4">
        <v>8</v>
      </c>
      <c r="C14" s="4">
        <v>25</v>
      </c>
      <c r="D14" s="4">
        <v>0</v>
      </c>
      <c r="E14" s="4">
        <v>1</v>
      </c>
      <c r="F14" s="4">
        <v>0</v>
      </c>
      <c r="G14" s="2" t="s">
        <v>79</v>
      </c>
      <c r="I14" s="3" t="s">
        <v>74</v>
      </c>
      <c r="J14" s="3"/>
      <c r="K14" s="3"/>
    </row>
    <row r="15" spans="1:11" x14ac:dyDescent="0.2">
      <c r="A15" s="4">
        <v>18</v>
      </c>
      <c r="B15" s="4">
        <v>18</v>
      </c>
      <c r="C15" s="4">
        <v>25</v>
      </c>
      <c r="D15" s="4">
        <v>0</v>
      </c>
      <c r="E15" s="4">
        <v>1</v>
      </c>
      <c r="F15" s="4">
        <v>0</v>
      </c>
      <c r="G15" s="2" t="s">
        <v>79</v>
      </c>
    </row>
    <row r="16" spans="1:11" x14ac:dyDescent="0.2">
      <c r="A16" s="4">
        <v>11.25</v>
      </c>
      <c r="B16" s="4">
        <v>17</v>
      </c>
      <c r="C16" s="4">
        <v>25</v>
      </c>
      <c r="D16" s="4">
        <v>0</v>
      </c>
      <c r="E16" s="4">
        <v>1</v>
      </c>
      <c r="F16" s="4">
        <v>0</v>
      </c>
      <c r="G16" s="2" t="s">
        <v>79</v>
      </c>
    </row>
    <row r="17" spans="1:17" x14ac:dyDescent="0.2">
      <c r="A17" s="4">
        <v>3.05</v>
      </c>
      <c r="B17" s="4">
        <v>8</v>
      </c>
      <c r="C17" s="4">
        <v>24</v>
      </c>
      <c r="D17" s="4">
        <v>1</v>
      </c>
      <c r="E17" s="4">
        <v>0</v>
      </c>
      <c r="F17" s="4">
        <v>0</v>
      </c>
      <c r="G17" s="2" t="s">
        <v>79</v>
      </c>
      <c r="I17" s="3" t="s">
        <v>2</v>
      </c>
      <c r="J17" s="3"/>
      <c r="K17" s="3"/>
      <c r="L17" s="3"/>
      <c r="M17" s="3"/>
      <c r="N17" s="3"/>
      <c r="O17" s="3"/>
      <c r="P17" s="3"/>
      <c r="Q17" s="3"/>
    </row>
    <row r="18" spans="1:17" x14ac:dyDescent="0.2">
      <c r="A18" s="4">
        <v>9.85</v>
      </c>
      <c r="B18" s="4">
        <v>8</v>
      </c>
      <c r="C18" s="4">
        <v>24</v>
      </c>
      <c r="D18" s="4">
        <v>0</v>
      </c>
      <c r="E18" s="4">
        <v>1</v>
      </c>
      <c r="F18" s="4">
        <v>0</v>
      </c>
      <c r="G18" s="2" t="s">
        <v>79</v>
      </c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">
      <c r="A19" s="4">
        <v>7.36</v>
      </c>
      <c r="B19" s="4">
        <v>8</v>
      </c>
      <c r="C19" s="4">
        <v>24</v>
      </c>
      <c r="D19" s="4">
        <v>0</v>
      </c>
      <c r="E19" s="4">
        <v>1</v>
      </c>
      <c r="F19" s="4">
        <v>0</v>
      </c>
      <c r="G19" s="2" t="s">
        <v>79</v>
      </c>
      <c r="I19" s="34" t="s">
        <v>3</v>
      </c>
      <c r="J19" s="34"/>
      <c r="K19" s="3"/>
      <c r="L19" s="3"/>
      <c r="M19" s="3"/>
      <c r="N19" s="3"/>
      <c r="O19" s="3"/>
      <c r="P19" s="3"/>
      <c r="Q19" s="3"/>
    </row>
    <row r="20" spans="1:17" x14ac:dyDescent="0.2">
      <c r="A20" s="4">
        <v>7.5</v>
      </c>
      <c r="B20" s="4">
        <v>14</v>
      </c>
      <c r="C20" s="4">
        <v>24</v>
      </c>
      <c r="D20" s="4">
        <v>0</v>
      </c>
      <c r="E20" s="4">
        <v>1</v>
      </c>
      <c r="F20" s="4">
        <v>0</v>
      </c>
      <c r="G20" s="2" t="s">
        <v>79</v>
      </c>
      <c r="I20" s="2" t="s">
        <v>4</v>
      </c>
      <c r="J20" s="2">
        <v>0.58365076916091263</v>
      </c>
      <c r="K20" s="3"/>
      <c r="L20" s="3"/>
      <c r="M20" s="3"/>
      <c r="N20" s="3"/>
      <c r="O20" s="3"/>
      <c r="P20" s="3"/>
      <c r="Q20" s="3"/>
    </row>
    <row r="21" spans="1:17" x14ac:dyDescent="0.2">
      <c r="A21" s="4">
        <v>2.95</v>
      </c>
      <c r="B21" s="4">
        <v>14</v>
      </c>
      <c r="C21" s="4">
        <v>23</v>
      </c>
      <c r="D21" s="4">
        <v>0</v>
      </c>
      <c r="E21" s="4">
        <v>1</v>
      </c>
      <c r="F21" s="4">
        <v>0</v>
      </c>
      <c r="G21" s="2" t="s">
        <v>79</v>
      </c>
      <c r="I21" s="29" t="s">
        <v>5</v>
      </c>
      <c r="J21" s="29">
        <v>0.34064822034212494</v>
      </c>
      <c r="K21" s="3"/>
      <c r="L21" s="3"/>
      <c r="M21" s="3"/>
      <c r="N21" s="3"/>
      <c r="O21" s="3"/>
      <c r="P21" s="3"/>
      <c r="Q21" s="3"/>
    </row>
    <row r="22" spans="1:17" x14ac:dyDescent="0.2">
      <c r="A22" s="4">
        <v>19.98</v>
      </c>
      <c r="B22" s="4">
        <v>14</v>
      </c>
      <c r="C22" s="4">
        <v>23</v>
      </c>
      <c r="D22" s="4">
        <v>0</v>
      </c>
      <c r="E22" s="4">
        <v>1</v>
      </c>
      <c r="F22" s="4">
        <v>0</v>
      </c>
      <c r="G22" s="2" t="s">
        <v>79</v>
      </c>
      <c r="I22" s="29" t="s">
        <v>6</v>
      </c>
      <c r="J22" s="29">
        <v>0.33215141905787393</v>
      </c>
      <c r="K22" s="3"/>
      <c r="L22" s="3"/>
      <c r="M22" s="3"/>
      <c r="N22" s="3"/>
      <c r="O22" s="3"/>
      <c r="P22" s="3"/>
      <c r="Q22" s="3"/>
    </row>
    <row r="23" spans="1:17" x14ac:dyDescent="0.2">
      <c r="A23" s="4">
        <v>13.16</v>
      </c>
      <c r="B23" s="4">
        <v>12</v>
      </c>
      <c r="C23" s="4">
        <v>22</v>
      </c>
      <c r="D23" s="4">
        <v>0</v>
      </c>
      <c r="E23" s="4">
        <v>1</v>
      </c>
      <c r="F23" s="4">
        <v>0</v>
      </c>
      <c r="G23" s="2" t="s">
        <v>79</v>
      </c>
      <c r="I23" s="2" t="s">
        <v>7</v>
      </c>
      <c r="J23" s="2">
        <v>2.9270666985021108</v>
      </c>
      <c r="K23" s="3"/>
      <c r="L23" s="3"/>
      <c r="M23" s="3"/>
      <c r="N23" s="3"/>
      <c r="O23" s="3"/>
      <c r="P23" s="3"/>
      <c r="Q23" s="3"/>
    </row>
    <row r="24" spans="1:17" x14ac:dyDescent="0.2">
      <c r="A24" s="4">
        <v>17.5</v>
      </c>
      <c r="B24" s="4">
        <v>16</v>
      </c>
      <c r="C24" s="4">
        <v>22</v>
      </c>
      <c r="D24" s="4">
        <v>0</v>
      </c>
      <c r="E24" s="4">
        <v>1</v>
      </c>
      <c r="F24" s="4">
        <v>1</v>
      </c>
      <c r="G24" s="2" t="s">
        <v>79</v>
      </c>
      <c r="I24" s="2" t="s">
        <v>8</v>
      </c>
      <c r="J24" s="2">
        <v>394</v>
      </c>
      <c r="K24" s="3"/>
      <c r="L24" s="3"/>
      <c r="M24" s="3"/>
      <c r="N24" s="3"/>
      <c r="O24" s="3"/>
      <c r="P24" s="3"/>
      <c r="Q24" s="3"/>
    </row>
    <row r="25" spans="1:17" x14ac:dyDescent="0.2">
      <c r="A25" s="4">
        <v>5.15</v>
      </c>
      <c r="B25" s="4">
        <v>16</v>
      </c>
      <c r="C25" s="4">
        <v>21</v>
      </c>
      <c r="D25" s="4">
        <v>1</v>
      </c>
      <c r="E25" s="4">
        <v>0</v>
      </c>
      <c r="F25" s="4">
        <v>1</v>
      </c>
      <c r="G25" s="2" t="s">
        <v>79</v>
      </c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">
      <c r="A26" s="4">
        <v>6.88</v>
      </c>
      <c r="B26" s="4">
        <v>13</v>
      </c>
      <c r="C26" s="4">
        <v>21</v>
      </c>
      <c r="D26" s="4">
        <v>0</v>
      </c>
      <c r="E26" s="4">
        <v>1</v>
      </c>
      <c r="F26" s="4">
        <v>0</v>
      </c>
      <c r="G26" s="2" t="s">
        <v>79</v>
      </c>
      <c r="I26" s="38" t="s">
        <v>9</v>
      </c>
      <c r="J26" s="39"/>
      <c r="K26" s="39"/>
      <c r="L26" s="39"/>
      <c r="M26" s="39"/>
      <c r="N26" s="40"/>
      <c r="O26" s="3"/>
      <c r="P26" s="3"/>
      <c r="Q26" s="3"/>
    </row>
    <row r="27" spans="1:17" x14ac:dyDescent="0.2">
      <c r="A27" s="4">
        <v>18.18</v>
      </c>
      <c r="B27" s="4">
        <v>17</v>
      </c>
      <c r="C27" s="4">
        <v>21</v>
      </c>
      <c r="D27" s="10">
        <v>2</v>
      </c>
      <c r="E27" s="4">
        <v>1</v>
      </c>
      <c r="F27" s="4">
        <v>1</v>
      </c>
      <c r="G27" s="2" t="s">
        <v>79</v>
      </c>
      <c r="I27" s="19"/>
      <c r="J27" s="19" t="s">
        <v>14</v>
      </c>
      <c r="K27" s="19" t="s">
        <v>15</v>
      </c>
      <c r="L27" s="19" t="s">
        <v>16</v>
      </c>
      <c r="M27" s="19" t="s">
        <v>17</v>
      </c>
      <c r="N27" s="19" t="s">
        <v>18</v>
      </c>
      <c r="O27" s="3"/>
      <c r="P27" s="3"/>
      <c r="Q27" s="3"/>
    </row>
    <row r="28" spans="1:17" x14ac:dyDescent="0.2">
      <c r="A28" s="4">
        <v>11.71</v>
      </c>
      <c r="B28" s="4">
        <v>13</v>
      </c>
      <c r="C28" s="4">
        <v>20</v>
      </c>
      <c r="D28" s="4">
        <v>1</v>
      </c>
      <c r="E28" s="4">
        <v>0</v>
      </c>
      <c r="F28" s="4">
        <v>0</v>
      </c>
      <c r="G28" s="2" t="s">
        <v>79</v>
      </c>
      <c r="I28" s="2" t="s">
        <v>10</v>
      </c>
      <c r="J28" s="23">
        <v>5</v>
      </c>
      <c r="K28" s="23">
        <v>1717.4571276551046</v>
      </c>
      <c r="L28" s="23">
        <v>343.49142553102092</v>
      </c>
      <c r="M28" s="23">
        <v>40.091348372890032</v>
      </c>
      <c r="N28" s="33">
        <v>3.3565412923971276E-33</v>
      </c>
      <c r="O28" s="3"/>
      <c r="P28" s="3"/>
      <c r="Q28" s="3"/>
    </row>
    <row r="29" spans="1:17" x14ac:dyDescent="0.2">
      <c r="A29" s="4">
        <v>3.5</v>
      </c>
      <c r="B29" s="4">
        <v>12</v>
      </c>
      <c r="C29" s="4">
        <v>20</v>
      </c>
      <c r="D29" s="4">
        <v>1</v>
      </c>
      <c r="E29" s="4">
        <v>1</v>
      </c>
      <c r="F29" s="4">
        <v>0</v>
      </c>
      <c r="G29" s="2" t="s">
        <v>79</v>
      </c>
      <c r="I29" s="2" t="s">
        <v>11</v>
      </c>
      <c r="J29" s="23">
        <v>388</v>
      </c>
      <c r="K29" s="23">
        <v>3324.275149502258</v>
      </c>
      <c r="L29" s="23">
        <v>8.567719457480047</v>
      </c>
      <c r="M29" s="23"/>
      <c r="N29" s="23"/>
      <c r="O29" s="3"/>
      <c r="P29" s="3"/>
      <c r="Q29" s="3"/>
    </row>
    <row r="30" spans="1:17" x14ac:dyDescent="0.2">
      <c r="A30" s="4">
        <v>10.95</v>
      </c>
      <c r="B30" s="4">
        <v>16</v>
      </c>
      <c r="C30" s="4">
        <v>20</v>
      </c>
      <c r="D30" s="4">
        <v>0</v>
      </c>
      <c r="E30" s="4">
        <v>1</v>
      </c>
      <c r="F30" s="4">
        <v>0</v>
      </c>
      <c r="G30" s="2" t="s">
        <v>79</v>
      </c>
      <c r="I30" s="2" t="s">
        <v>12</v>
      </c>
      <c r="J30" s="23">
        <v>393</v>
      </c>
      <c r="K30" s="23">
        <v>5041.7322771573627</v>
      </c>
      <c r="L30" s="23"/>
      <c r="M30" s="23"/>
      <c r="N30" s="23"/>
      <c r="O30" s="3"/>
      <c r="P30" s="3"/>
      <c r="Q30" s="3"/>
    </row>
    <row r="31" spans="1:17" x14ac:dyDescent="0.2">
      <c r="A31" s="4">
        <v>6.88</v>
      </c>
      <c r="B31" s="4">
        <v>12</v>
      </c>
      <c r="C31" s="4">
        <v>19</v>
      </c>
      <c r="D31" s="4">
        <v>0</v>
      </c>
      <c r="E31" s="4">
        <v>1</v>
      </c>
      <c r="F31" s="4">
        <v>0</v>
      </c>
      <c r="G31" s="2" t="s">
        <v>79</v>
      </c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2">
      <c r="A32" s="4">
        <v>4.67</v>
      </c>
      <c r="B32" s="4">
        <v>15</v>
      </c>
      <c r="C32" s="4">
        <v>18</v>
      </c>
      <c r="D32" s="4">
        <v>0</v>
      </c>
      <c r="E32" s="4">
        <v>1</v>
      </c>
      <c r="F32" s="4">
        <v>1</v>
      </c>
      <c r="G32" s="2" t="s">
        <v>79</v>
      </c>
      <c r="I32" s="19"/>
      <c r="J32" s="31" t="s">
        <v>19</v>
      </c>
      <c r="K32" s="19" t="s">
        <v>7</v>
      </c>
      <c r="L32" s="19" t="s">
        <v>20</v>
      </c>
      <c r="M32" s="31" t="s">
        <v>21</v>
      </c>
      <c r="N32" s="19" t="s">
        <v>22</v>
      </c>
      <c r="O32" s="19" t="s">
        <v>23</v>
      </c>
      <c r="P32" s="19" t="s">
        <v>24</v>
      </c>
      <c r="Q32" s="19" t="s">
        <v>25</v>
      </c>
    </row>
    <row r="33" spans="1:17" x14ac:dyDescent="0.2">
      <c r="A33" s="4">
        <v>4.08</v>
      </c>
      <c r="B33" s="4">
        <v>12</v>
      </c>
      <c r="C33" s="4">
        <v>17</v>
      </c>
      <c r="D33" s="10">
        <v>2</v>
      </c>
      <c r="E33" s="4">
        <v>1</v>
      </c>
      <c r="F33" s="4">
        <v>0</v>
      </c>
      <c r="G33" s="2" t="s">
        <v>79</v>
      </c>
      <c r="I33" s="2" t="s">
        <v>13</v>
      </c>
      <c r="J33" s="32">
        <v>-0.85266268743554208</v>
      </c>
      <c r="K33" s="25">
        <v>0.7730817670585437</v>
      </c>
      <c r="L33" s="25">
        <v>-1.1029398490146669</v>
      </c>
      <c r="M33" s="30">
        <v>0.27073690510680731</v>
      </c>
      <c r="N33" s="25">
        <v>-2.3726163361946222</v>
      </c>
      <c r="O33" s="25">
        <v>0.66729096132353827</v>
      </c>
      <c r="P33" s="25">
        <v>-2.3726163361946222</v>
      </c>
      <c r="Q33" s="25">
        <v>0.66729096132353827</v>
      </c>
    </row>
    <row r="34" spans="1:17" x14ac:dyDescent="0.2">
      <c r="A34" s="4">
        <v>6.26</v>
      </c>
      <c r="B34" s="4">
        <v>13</v>
      </c>
      <c r="C34" s="4">
        <v>17</v>
      </c>
      <c r="D34" s="4">
        <v>1</v>
      </c>
      <c r="E34" s="4">
        <v>1</v>
      </c>
      <c r="F34" s="4">
        <v>0</v>
      </c>
      <c r="G34" s="2" t="s">
        <v>79</v>
      </c>
      <c r="I34" s="2" t="s">
        <v>0</v>
      </c>
      <c r="J34" s="32">
        <v>0.48335670561998806</v>
      </c>
      <c r="K34" s="25">
        <v>5.4917667378186756E-2</v>
      </c>
      <c r="L34" s="25">
        <v>8.8014791722923196</v>
      </c>
      <c r="M34" s="30">
        <v>4.5113481947621028E-17</v>
      </c>
      <c r="N34" s="25">
        <v>0.37538325123312333</v>
      </c>
      <c r="O34" s="25">
        <v>0.59133016000685279</v>
      </c>
      <c r="P34" s="25">
        <v>0.37538325123312333</v>
      </c>
      <c r="Q34" s="25">
        <v>0.59133016000685279</v>
      </c>
    </row>
    <row r="35" spans="1:17" x14ac:dyDescent="0.2">
      <c r="A35" s="4">
        <v>4.95</v>
      </c>
      <c r="B35" s="4">
        <v>7</v>
      </c>
      <c r="C35" s="4">
        <v>17</v>
      </c>
      <c r="D35" s="4">
        <v>0</v>
      </c>
      <c r="E35" s="4">
        <v>1</v>
      </c>
      <c r="F35" s="4">
        <v>0</v>
      </c>
      <c r="G35" s="2" t="s">
        <v>79</v>
      </c>
      <c r="I35" s="2" t="s">
        <v>49</v>
      </c>
      <c r="J35" s="32">
        <v>0.16135220648845439</v>
      </c>
      <c r="K35" s="25">
        <v>2.2757776601016501E-2</v>
      </c>
      <c r="L35" s="25">
        <v>7.0899811223758746</v>
      </c>
      <c r="M35" s="30">
        <v>6.3845999029569203E-12</v>
      </c>
      <c r="N35" s="25">
        <v>0.11660821295983767</v>
      </c>
      <c r="O35" s="25">
        <v>0.2060962000170711</v>
      </c>
      <c r="P35" s="25">
        <v>0.11660821295983767</v>
      </c>
      <c r="Q35" s="25">
        <v>0.2060962000170711</v>
      </c>
    </row>
    <row r="36" spans="1:17" x14ac:dyDescent="0.2">
      <c r="A36" s="4">
        <v>13.95</v>
      </c>
      <c r="B36" s="4">
        <v>16</v>
      </c>
      <c r="C36" s="4">
        <v>16</v>
      </c>
      <c r="D36" s="4">
        <v>0</v>
      </c>
      <c r="E36" s="4">
        <v>1</v>
      </c>
      <c r="F36" s="4">
        <v>0</v>
      </c>
      <c r="G36" s="2" t="s">
        <v>79</v>
      </c>
      <c r="I36" s="2" t="s">
        <v>50</v>
      </c>
      <c r="J36" s="32">
        <v>-1.2075697602005131</v>
      </c>
      <c r="K36" s="25">
        <v>0.26132630323722339</v>
      </c>
      <c r="L36" s="25">
        <v>-4.6209269608207837</v>
      </c>
      <c r="M36" s="30">
        <v>5.2073756513249788E-6</v>
      </c>
      <c r="N36" s="25">
        <v>-1.721362589170518</v>
      </c>
      <c r="O36" s="25">
        <v>-0.69377693123050821</v>
      </c>
      <c r="P36" s="25">
        <v>-1.721362589170518</v>
      </c>
      <c r="Q36" s="25">
        <v>-0.69377693123050821</v>
      </c>
    </row>
    <row r="37" spans="1:17" x14ac:dyDescent="0.2">
      <c r="A37" s="4">
        <v>4.2</v>
      </c>
      <c r="B37" s="4">
        <v>14</v>
      </c>
      <c r="C37" s="4">
        <v>16</v>
      </c>
      <c r="D37" s="4">
        <v>1</v>
      </c>
      <c r="E37" s="4">
        <v>1</v>
      </c>
      <c r="F37" s="4">
        <v>0</v>
      </c>
      <c r="G37" s="2" t="s">
        <v>79</v>
      </c>
      <c r="I37" s="2" t="s">
        <v>51</v>
      </c>
      <c r="J37" s="32">
        <v>0.56508297744780678</v>
      </c>
      <c r="K37" s="25">
        <v>0.32040385726673631</v>
      </c>
      <c r="L37" s="25">
        <v>1.7636584723678124</v>
      </c>
      <c r="M37" s="30">
        <v>7.8576479758999854E-2</v>
      </c>
      <c r="N37" s="25">
        <v>-6.4862046067642565E-2</v>
      </c>
      <c r="O37" s="25">
        <v>1.1950280009632561</v>
      </c>
      <c r="P37" s="25">
        <v>-6.4862046067642565E-2</v>
      </c>
      <c r="Q37" s="25">
        <v>1.1950280009632561</v>
      </c>
    </row>
    <row r="38" spans="1:17" x14ac:dyDescent="0.2">
      <c r="A38" s="4">
        <v>18</v>
      </c>
      <c r="B38" s="4">
        <v>12</v>
      </c>
      <c r="C38" s="4">
        <v>16</v>
      </c>
      <c r="D38" s="4">
        <v>0</v>
      </c>
      <c r="E38" s="4">
        <v>1</v>
      </c>
      <c r="F38" s="4">
        <v>0</v>
      </c>
      <c r="G38" s="2" t="s">
        <v>79</v>
      </c>
      <c r="I38" s="2" t="s">
        <v>35</v>
      </c>
      <c r="J38" s="32">
        <v>1.1176232361661447</v>
      </c>
      <c r="K38" s="25">
        <v>0.39767419980053664</v>
      </c>
      <c r="L38" s="25">
        <v>2.8103991577193499</v>
      </c>
      <c r="M38" s="30">
        <v>5.1987416272643097E-3</v>
      </c>
      <c r="N38" s="25">
        <v>0.33575723342234975</v>
      </c>
      <c r="O38" s="25">
        <v>1.8994892389099396</v>
      </c>
      <c r="P38" s="25">
        <v>0.33575723342234975</v>
      </c>
      <c r="Q38" s="25">
        <v>1.8994892389099396</v>
      </c>
    </row>
    <row r="39" spans="1:17" x14ac:dyDescent="0.2">
      <c r="A39" s="4">
        <v>3.51</v>
      </c>
      <c r="B39" s="4">
        <v>4</v>
      </c>
      <c r="C39" s="4">
        <v>15</v>
      </c>
      <c r="D39" s="4">
        <v>0</v>
      </c>
      <c r="E39" s="4">
        <v>1</v>
      </c>
      <c r="F39" s="4">
        <v>1</v>
      </c>
      <c r="G39" s="2" t="s">
        <v>79</v>
      </c>
    </row>
    <row r="40" spans="1:17" x14ac:dyDescent="0.2">
      <c r="A40" s="4">
        <v>5.83</v>
      </c>
      <c r="B40" s="4">
        <v>8</v>
      </c>
      <c r="C40" s="4">
        <v>15</v>
      </c>
      <c r="D40" s="4">
        <v>1</v>
      </c>
      <c r="E40" s="4">
        <v>1</v>
      </c>
      <c r="F40" s="4">
        <v>0</v>
      </c>
      <c r="G40" s="2" t="s">
        <v>79</v>
      </c>
    </row>
    <row r="41" spans="1:17" x14ac:dyDescent="0.2">
      <c r="A41" s="4">
        <v>2.14</v>
      </c>
      <c r="B41" s="4">
        <v>13</v>
      </c>
      <c r="C41" s="4">
        <v>15</v>
      </c>
      <c r="D41" s="4">
        <v>1</v>
      </c>
      <c r="E41" s="4">
        <v>1</v>
      </c>
      <c r="F41" s="4">
        <v>0</v>
      </c>
      <c r="G41" s="2" t="s">
        <v>79</v>
      </c>
    </row>
    <row r="42" spans="1:17" x14ac:dyDescent="0.2">
      <c r="A42" s="4">
        <v>18</v>
      </c>
      <c r="B42" s="4">
        <v>12</v>
      </c>
      <c r="C42" s="4">
        <v>15</v>
      </c>
      <c r="D42" s="4">
        <v>0</v>
      </c>
      <c r="E42" s="4">
        <v>1</v>
      </c>
      <c r="F42" s="4">
        <v>1</v>
      </c>
      <c r="G42" s="2" t="s">
        <v>79</v>
      </c>
    </row>
    <row r="43" spans="1:17" x14ac:dyDescent="0.2">
      <c r="A43" s="4">
        <v>4.5</v>
      </c>
      <c r="B43" s="4">
        <v>12</v>
      </c>
      <c r="C43" s="4">
        <v>14</v>
      </c>
      <c r="D43" s="4">
        <v>1</v>
      </c>
      <c r="E43" s="4">
        <v>1</v>
      </c>
      <c r="F43" s="4">
        <v>1</v>
      </c>
      <c r="G43" s="2" t="s">
        <v>79</v>
      </c>
    </row>
    <row r="44" spans="1:17" x14ac:dyDescent="0.2">
      <c r="A44" s="4">
        <v>6.5</v>
      </c>
      <c r="B44" s="4">
        <v>12</v>
      </c>
      <c r="C44" s="4">
        <v>14</v>
      </c>
      <c r="D44" s="4">
        <v>0</v>
      </c>
      <c r="E44" s="4">
        <v>1</v>
      </c>
      <c r="F44" s="4">
        <v>1</v>
      </c>
      <c r="G44" s="2" t="s">
        <v>79</v>
      </c>
    </row>
    <row r="45" spans="1:17" x14ac:dyDescent="0.2">
      <c r="A45" s="4">
        <v>11.82</v>
      </c>
      <c r="B45" s="4">
        <v>16</v>
      </c>
      <c r="C45" s="4">
        <v>13</v>
      </c>
      <c r="D45" s="4">
        <v>0</v>
      </c>
      <c r="E45" s="4">
        <v>1</v>
      </c>
      <c r="F45" s="4">
        <v>1</v>
      </c>
      <c r="G45" s="2" t="s">
        <v>79</v>
      </c>
    </row>
    <row r="46" spans="1:17" x14ac:dyDescent="0.2">
      <c r="A46" s="4">
        <v>3.29</v>
      </c>
      <c r="B46" s="4">
        <v>14</v>
      </c>
      <c r="C46" s="4">
        <v>13</v>
      </c>
      <c r="D46" s="4">
        <v>0</v>
      </c>
      <c r="E46" s="4">
        <v>0</v>
      </c>
      <c r="F46" s="4">
        <v>0</v>
      </c>
      <c r="G46" s="2" t="s">
        <v>79</v>
      </c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">
      <c r="A47" s="4">
        <v>8.48</v>
      </c>
      <c r="B47" s="4">
        <v>12</v>
      </c>
      <c r="C47" s="4">
        <v>13</v>
      </c>
      <c r="D47" s="4">
        <v>0</v>
      </c>
      <c r="E47" s="4">
        <v>1</v>
      </c>
      <c r="F47" s="4">
        <v>1</v>
      </c>
      <c r="G47" s="2" t="s">
        <v>79</v>
      </c>
    </row>
    <row r="48" spans="1:17" x14ac:dyDescent="0.2">
      <c r="A48" s="4">
        <v>6</v>
      </c>
      <c r="B48" s="4">
        <v>13</v>
      </c>
      <c r="C48" s="4">
        <v>13</v>
      </c>
      <c r="D48" s="4">
        <v>0</v>
      </c>
      <c r="E48" s="4">
        <v>1</v>
      </c>
      <c r="F48" s="4">
        <v>0</v>
      </c>
      <c r="G48" s="2" t="s">
        <v>79</v>
      </c>
    </row>
    <row r="49" spans="1:7" x14ac:dyDescent="0.2">
      <c r="A49" s="4">
        <v>13.7</v>
      </c>
      <c r="B49" s="4">
        <v>15</v>
      </c>
      <c r="C49" s="4">
        <v>13</v>
      </c>
      <c r="D49" s="4">
        <v>0</v>
      </c>
      <c r="E49" s="4">
        <v>1</v>
      </c>
      <c r="F49" s="4">
        <v>1</v>
      </c>
      <c r="G49" s="2" t="s">
        <v>79</v>
      </c>
    </row>
    <row r="50" spans="1:7" x14ac:dyDescent="0.2">
      <c r="A50" s="4">
        <v>4</v>
      </c>
      <c r="B50" s="4">
        <v>11</v>
      </c>
      <c r="C50" s="4">
        <v>12</v>
      </c>
      <c r="D50" s="4">
        <v>1</v>
      </c>
      <c r="E50" s="4">
        <v>1</v>
      </c>
      <c r="F50" s="4">
        <v>1</v>
      </c>
      <c r="G50" s="2" t="s">
        <v>79</v>
      </c>
    </row>
    <row r="51" spans="1:7" x14ac:dyDescent="0.2">
      <c r="A51" s="4">
        <v>4.5</v>
      </c>
      <c r="B51" s="4">
        <v>12</v>
      </c>
      <c r="C51" s="4">
        <v>12</v>
      </c>
      <c r="D51" s="4">
        <v>1</v>
      </c>
      <c r="E51" s="4">
        <v>1</v>
      </c>
      <c r="F51" s="4">
        <v>0</v>
      </c>
      <c r="G51" s="2" t="s">
        <v>79</v>
      </c>
    </row>
    <row r="52" spans="1:7" x14ac:dyDescent="0.2">
      <c r="A52" s="4">
        <v>6.15</v>
      </c>
      <c r="B52" s="4">
        <v>12</v>
      </c>
      <c r="C52" s="4">
        <v>12</v>
      </c>
      <c r="D52" s="4">
        <v>1</v>
      </c>
      <c r="E52" s="4">
        <v>0</v>
      </c>
      <c r="F52" s="4">
        <v>0</v>
      </c>
      <c r="G52" s="2" t="s">
        <v>79</v>
      </c>
    </row>
    <row r="53" spans="1:7" x14ac:dyDescent="0.2">
      <c r="A53" s="4">
        <v>3</v>
      </c>
      <c r="B53" s="4">
        <v>8</v>
      </c>
      <c r="C53" s="4">
        <v>12</v>
      </c>
      <c r="D53" s="4">
        <v>1</v>
      </c>
      <c r="E53" s="4">
        <v>1</v>
      </c>
      <c r="F53" s="4">
        <v>0</v>
      </c>
      <c r="G53" s="2" t="s">
        <v>79</v>
      </c>
    </row>
    <row r="54" spans="1:7" x14ac:dyDescent="0.2">
      <c r="A54" s="4">
        <v>9.1300000000000008</v>
      </c>
      <c r="B54" s="4">
        <v>12</v>
      </c>
      <c r="C54" s="4">
        <v>12</v>
      </c>
      <c r="D54" s="4">
        <v>0</v>
      </c>
      <c r="E54" s="4">
        <v>1</v>
      </c>
      <c r="F54" s="4">
        <v>0</v>
      </c>
      <c r="G54" s="2" t="s">
        <v>79</v>
      </c>
    </row>
    <row r="55" spans="1:7" x14ac:dyDescent="0.2">
      <c r="A55" s="4">
        <v>9.09</v>
      </c>
      <c r="B55" s="4">
        <v>15</v>
      </c>
      <c r="C55" s="4">
        <v>12</v>
      </c>
      <c r="D55" s="4">
        <v>0</v>
      </c>
      <c r="E55" s="4">
        <v>1</v>
      </c>
      <c r="F55" s="4">
        <v>1</v>
      </c>
      <c r="G55" s="2" t="s">
        <v>79</v>
      </c>
    </row>
    <row r="56" spans="1:7" x14ac:dyDescent="0.2">
      <c r="A56" s="4">
        <v>4.4400000000000004</v>
      </c>
      <c r="B56" s="4">
        <v>8</v>
      </c>
      <c r="C56" s="4">
        <v>11</v>
      </c>
      <c r="D56" s="4">
        <v>0</v>
      </c>
      <c r="E56" s="4">
        <v>1</v>
      </c>
      <c r="F56" s="4">
        <v>0</v>
      </c>
      <c r="G56" s="2" t="s">
        <v>79</v>
      </c>
    </row>
    <row r="57" spans="1:7" x14ac:dyDescent="0.2">
      <c r="A57" s="4">
        <v>6.5</v>
      </c>
      <c r="B57" s="4">
        <v>10</v>
      </c>
      <c r="C57" s="4">
        <v>11</v>
      </c>
      <c r="D57" s="4">
        <v>0</v>
      </c>
      <c r="E57" s="4">
        <v>1</v>
      </c>
      <c r="F57" s="4">
        <v>0</v>
      </c>
      <c r="G57" s="2" t="s">
        <v>79</v>
      </c>
    </row>
    <row r="58" spans="1:7" x14ac:dyDescent="0.2">
      <c r="A58" s="4">
        <v>5</v>
      </c>
      <c r="B58" s="4">
        <v>12</v>
      </c>
      <c r="C58" s="4">
        <v>11</v>
      </c>
      <c r="D58" s="4">
        <v>1</v>
      </c>
      <c r="E58" s="4">
        <v>0</v>
      </c>
      <c r="F58" s="4">
        <v>0</v>
      </c>
      <c r="G58" s="2" t="s">
        <v>79</v>
      </c>
    </row>
    <row r="59" spans="1:7" x14ac:dyDescent="0.2">
      <c r="A59" s="4">
        <v>13.33</v>
      </c>
      <c r="B59" s="4">
        <v>12</v>
      </c>
      <c r="C59" s="4">
        <v>11</v>
      </c>
      <c r="D59" s="4">
        <v>0</v>
      </c>
      <c r="E59" s="4">
        <v>1</v>
      </c>
      <c r="F59" s="4">
        <v>0</v>
      </c>
      <c r="G59" s="2" t="s">
        <v>79</v>
      </c>
    </row>
    <row r="60" spans="1:7" x14ac:dyDescent="0.2">
      <c r="A60" s="4">
        <v>5.25</v>
      </c>
      <c r="B60" s="4">
        <v>11</v>
      </c>
      <c r="C60" s="4">
        <v>11</v>
      </c>
      <c r="D60" s="4">
        <v>0</v>
      </c>
      <c r="E60" s="4">
        <v>1</v>
      </c>
      <c r="F60" s="4">
        <v>0</v>
      </c>
      <c r="G60" s="2" t="s">
        <v>79</v>
      </c>
    </row>
    <row r="61" spans="1:7" x14ac:dyDescent="0.2">
      <c r="A61" s="4">
        <v>2.65</v>
      </c>
      <c r="B61" s="4">
        <v>12</v>
      </c>
      <c r="C61" s="4">
        <v>10</v>
      </c>
      <c r="D61" s="4">
        <v>1</v>
      </c>
      <c r="E61" s="4">
        <v>1</v>
      </c>
      <c r="F61" s="4">
        <v>1</v>
      </c>
      <c r="G61" s="2" t="s">
        <v>79</v>
      </c>
    </row>
    <row r="62" spans="1:7" x14ac:dyDescent="0.2">
      <c r="A62" s="4">
        <v>4.5</v>
      </c>
      <c r="B62" s="4">
        <v>11</v>
      </c>
      <c r="C62" s="4">
        <v>10</v>
      </c>
      <c r="D62" s="4">
        <v>0</v>
      </c>
      <c r="E62" s="4">
        <v>1</v>
      </c>
      <c r="F62" s="4">
        <v>0</v>
      </c>
      <c r="G62" s="2" t="s">
        <v>79</v>
      </c>
    </row>
    <row r="63" spans="1:7" x14ac:dyDescent="0.2">
      <c r="A63" s="4">
        <v>4.17</v>
      </c>
      <c r="B63" s="4">
        <v>0</v>
      </c>
      <c r="C63" s="4">
        <v>10</v>
      </c>
      <c r="D63" s="4">
        <v>1</v>
      </c>
      <c r="E63" s="4">
        <v>0</v>
      </c>
      <c r="F63" s="4">
        <v>0</v>
      </c>
      <c r="G63" s="2" t="s">
        <v>79</v>
      </c>
    </row>
    <row r="64" spans="1:7" x14ac:dyDescent="0.2">
      <c r="A64" s="4">
        <v>3</v>
      </c>
      <c r="B64" s="4">
        <v>16</v>
      </c>
      <c r="C64" s="4">
        <v>10</v>
      </c>
      <c r="D64" s="4">
        <v>1</v>
      </c>
      <c r="E64" s="4">
        <v>1</v>
      </c>
      <c r="F64" s="4">
        <v>0</v>
      </c>
      <c r="G64" s="2" t="s">
        <v>79</v>
      </c>
    </row>
    <row r="65" spans="1:7" x14ac:dyDescent="0.2">
      <c r="A65" s="4">
        <v>5.25</v>
      </c>
      <c r="B65" s="4">
        <v>12</v>
      </c>
      <c r="C65" s="4">
        <v>10</v>
      </c>
      <c r="D65" s="4">
        <v>1</v>
      </c>
      <c r="E65" s="4">
        <v>1</v>
      </c>
      <c r="F65" s="4">
        <v>0</v>
      </c>
      <c r="G65" s="2" t="s">
        <v>79</v>
      </c>
    </row>
    <row r="66" spans="1:7" x14ac:dyDescent="0.2">
      <c r="A66" s="4">
        <v>10.63</v>
      </c>
      <c r="B66" s="4">
        <v>13</v>
      </c>
      <c r="C66" s="4">
        <v>10</v>
      </c>
      <c r="D66" s="4">
        <v>1</v>
      </c>
      <c r="E66" s="4">
        <v>0</v>
      </c>
      <c r="F66" s="4">
        <v>1</v>
      </c>
      <c r="G66" s="2" t="s">
        <v>79</v>
      </c>
    </row>
    <row r="67" spans="1:7" x14ac:dyDescent="0.2">
      <c r="A67" s="4">
        <v>3.06</v>
      </c>
      <c r="B67" s="4">
        <v>12</v>
      </c>
      <c r="C67" s="4">
        <v>10</v>
      </c>
      <c r="D67" s="4">
        <v>1</v>
      </c>
      <c r="E67" s="4">
        <v>0</v>
      </c>
      <c r="F67" s="4">
        <v>0</v>
      </c>
      <c r="G67" s="2" t="s">
        <v>79</v>
      </c>
    </row>
    <row r="68" spans="1:7" x14ac:dyDescent="0.2">
      <c r="A68" s="4">
        <v>7.78</v>
      </c>
      <c r="B68" s="4">
        <v>16</v>
      </c>
      <c r="C68" s="4">
        <v>10</v>
      </c>
      <c r="D68" s="4">
        <v>0</v>
      </c>
      <c r="E68" s="4">
        <v>1</v>
      </c>
      <c r="F68" s="4">
        <v>1</v>
      </c>
      <c r="G68" s="2" t="s">
        <v>79</v>
      </c>
    </row>
    <row r="69" spans="1:7" x14ac:dyDescent="0.2">
      <c r="A69" s="4">
        <v>11.98</v>
      </c>
      <c r="B69" s="4">
        <v>18</v>
      </c>
      <c r="C69" s="4">
        <v>10</v>
      </c>
      <c r="D69" s="4">
        <v>0</v>
      </c>
      <c r="E69" s="4">
        <v>1</v>
      </c>
      <c r="F69" s="4">
        <v>0</v>
      </c>
      <c r="G69" s="2" t="s">
        <v>79</v>
      </c>
    </row>
    <row r="70" spans="1:7" x14ac:dyDescent="0.2">
      <c r="A70" s="4">
        <v>5</v>
      </c>
      <c r="B70" s="10">
        <v>12</v>
      </c>
      <c r="C70" s="4">
        <v>9</v>
      </c>
      <c r="D70" s="4">
        <v>0</v>
      </c>
      <c r="E70" s="4">
        <v>1</v>
      </c>
      <c r="F70" s="4">
        <v>0</v>
      </c>
      <c r="G70" s="2" t="s">
        <v>79</v>
      </c>
    </row>
    <row r="71" spans="1:7" x14ac:dyDescent="0.2">
      <c r="A71" s="4">
        <v>8.6300000000000008</v>
      </c>
      <c r="B71" s="4">
        <v>12</v>
      </c>
      <c r="C71" s="4">
        <v>9</v>
      </c>
      <c r="D71" s="4">
        <v>0</v>
      </c>
      <c r="E71" s="4">
        <v>1</v>
      </c>
      <c r="F71" s="4">
        <v>0</v>
      </c>
      <c r="G71" s="2" t="s">
        <v>79</v>
      </c>
    </row>
    <row r="72" spans="1:7" x14ac:dyDescent="0.2">
      <c r="A72" s="4">
        <v>3.3</v>
      </c>
      <c r="B72" s="4">
        <v>12</v>
      </c>
      <c r="C72" s="4">
        <v>9</v>
      </c>
      <c r="D72" s="4">
        <v>1</v>
      </c>
      <c r="E72" s="4">
        <v>1</v>
      </c>
      <c r="F72" s="4">
        <v>0</v>
      </c>
      <c r="G72" s="2" t="s">
        <v>79</v>
      </c>
    </row>
    <row r="73" spans="1:7" x14ac:dyDescent="0.2">
      <c r="A73" s="4">
        <v>6.33</v>
      </c>
      <c r="B73" s="4">
        <v>16</v>
      </c>
      <c r="C73" s="4">
        <v>9</v>
      </c>
      <c r="D73" s="4">
        <v>1</v>
      </c>
      <c r="E73" s="4">
        <v>0</v>
      </c>
      <c r="F73" s="4">
        <v>1</v>
      </c>
      <c r="G73" s="2" t="s">
        <v>79</v>
      </c>
    </row>
    <row r="74" spans="1:7" x14ac:dyDescent="0.2">
      <c r="A74" s="4">
        <v>2.87</v>
      </c>
      <c r="B74" s="4">
        <v>12</v>
      </c>
      <c r="C74" s="4">
        <v>8</v>
      </c>
      <c r="D74" s="4">
        <v>1</v>
      </c>
      <c r="E74" s="4">
        <v>1</v>
      </c>
      <c r="F74" s="4">
        <v>0</v>
      </c>
      <c r="G74" s="2" t="s">
        <v>79</v>
      </c>
    </row>
    <row r="75" spans="1:7" x14ac:dyDescent="0.2">
      <c r="A75" s="4">
        <v>4.79</v>
      </c>
      <c r="B75" s="4">
        <v>12</v>
      </c>
      <c r="C75" s="4">
        <v>8</v>
      </c>
      <c r="D75" s="4">
        <v>0</v>
      </c>
      <c r="E75" s="4">
        <v>1</v>
      </c>
      <c r="F75" s="4">
        <v>0</v>
      </c>
      <c r="G75" s="2" t="s">
        <v>79</v>
      </c>
    </row>
    <row r="76" spans="1:7" x14ac:dyDescent="0.2">
      <c r="A76" s="4">
        <v>3.33</v>
      </c>
      <c r="B76" s="4">
        <v>12</v>
      </c>
      <c r="C76" s="4">
        <v>8</v>
      </c>
      <c r="D76" s="4">
        <v>1</v>
      </c>
      <c r="E76" s="4">
        <v>1</v>
      </c>
      <c r="F76" s="4">
        <v>0</v>
      </c>
      <c r="G76" s="2" t="s">
        <v>79</v>
      </c>
    </row>
    <row r="77" spans="1:7" x14ac:dyDescent="0.2">
      <c r="A77" s="4">
        <v>6.25</v>
      </c>
      <c r="B77" s="4">
        <v>10</v>
      </c>
      <c r="C77" s="4">
        <v>8</v>
      </c>
      <c r="D77" s="4">
        <v>0</v>
      </c>
      <c r="E77" s="4">
        <v>0</v>
      </c>
      <c r="F77" s="4">
        <v>0</v>
      </c>
      <c r="G77" s="2" t="s">
        <v>79</v>
      </c>
    </row>
    <row r="78" spans="1:7" x14ac:dyDescent="0.2">
      <c r="A78" s="4">
        <v>11.11</v>
      </c>
      <c r="B78" s="4">
        <v>12</v>
      </c>
      <c r="C78" s="4">
        <v>8</v>
      </c>
      <c r="D78" s="4">
        <v>0</v>
      </c>
      <c r="E78" s="4">
        <v>1</v>
      </c>
      <c r="F78" s="4">
        <v>0</v>
      </c>
      <c r="G78" s="2" t="s">
        <v>79</v>
      </c>
    </row>
    <row r="79" spans="1:7" x14ac:dyDescent="0.2">
      <c r="A79" s="4">
        <v>8.64</v>
      </c>
      <c r="B79" s="4">
        <v>12</v>
      </c>
      <c r="C79" s="4">
        <v>8</v>
      </c>
      <c r="D79" s="4">
        <v>0</v>
      </c>
      <c r="E79" s="4">
        <v>1</v>
      </c>
      <c r="F79" s="4">
        <v>0</v>
      </c>
      <c r="G79" s="2" t="s">
        <v>79</v>
      </c>
    </row>
    <row r="80" spans="1:7" x14ac:dyDescent="0.2">
      <c r="A80" s="4">
        <v>3.3</v>
      </c>
      <c r="B80" s="4">
        <v>12</v>
      </c>
      <c r="C80" s="4">
        <v>8</v>
      </c>
      <c r="D80" s="4">
        <v>0</v>
      </c>
      <c r="E80" s="4">
        <v>1</v>
      </c>
      <c r="F80" s="4">
        <v>0</v>
      </c>
      <c r="G80" s="2" t="s">
        <v>79</v>
      </c>
    </row>
    <row r="81" spans="1:7" x14ac:dyDescent="0.2">
      <c r="A81" s="4">
        <v>6.33</v>
      </c>
      <c r="B81" s="4">
        <v>12</v>
      </c>
      <c r="C81" s="4">
        <v>8</v>
      </c>
      <c r="D81" s="4">
        <v>0</v>
      </c>
      <c r="E81" s="4">
        <v>1</v>
      </c>
      <c r="F81" s="4">
        <v>0</v>
      </c>
      <c r="G81" s="2" t="s">
        <v>79</v>
      </c>
    </row>
    <row r="82" spans="1:7" x14ac:dyDescent="0.2">
      <c r="A82" s="4">
        <v>4.91</v>
      </c>
      <c r="B82" s="4">
        <v>12</v>
      </c>
      <c r="C82" s="4">
        <v>8</v>
      </c>
      <c r="D82" s="4">
        <v>0</v>
      </c>
      <c r="E82" s="4">
        <v>1</v>
      </c>
      <c r="F82" s="4">
        <v>0</v>
      </c>
      <c r="G82" s="2" t="s">
        <v>79</v>
      </c>
    </row>
    <row r="83" spans="1:7" x14ac:dyDescent="0.2">
      <c r="A83" s="4">
        <v>8.75</v>
      </c>
      <c r="B83" s="4">
        <v>16</v>
      </c>
      <c r="C83" s="4">
        <v>8</v>
      </c>
      <c r="D83" s="4">
        <v>0</v>
      </c>
      <c r="E83" s="4">
        <v>1</v>
      </c>
      <c r="F83" s="4">
        <v>1</v>
      </c>
      <c r="G83" s="2" t="s">
        <v>79</v>
      </c>
    </row>
    <row r="84" spans="1:7" x14ac:dyDescent="0.2">
      <c r="A84" s="4">
        <v>10</v>
      </c>
      <c r="B84" s="4">
        <v>18</v>
      </c>
      <c r="C84" s="4">
        <v>8</v>
      </c>
      <c r="D84" s="4">
        <v>0</v>
      </c>
      <c r="E84" s="4">
        <v>0</v>
      </c>
      <c r="F84" s="4">
        <v>0</v>
      </c>
      <c r="G84" s="2" t="s">
        <v>79</v>
      </c>
    </row>
    <row r="85" spans="1:7" x14ac:dyDescent="0.2">
      <c r="A85" s="4">
        <v>21.63</v>
      </c>
      <c r="B85" s="4">
        <v>18</v>
      </c>
      <c r="C85" s="4">
        <v>8</v>
      </c>
      <c r="D85" s="4">
        <v>1</v>
      </c>
      <c r="E85" s="4">
        <v>0</v>
      </c>
      <c r="F85" s="4">
        <v>0</v>
      </c>
      <c r="G85" s="2" t="s">
        <v>79</v>
      </c>
    </row>
    <row r="86" spans="1:7" x14ac:dyDescent="0.2">
      <c r="A86" s="4">
        <v>4.57</v>
      </c>
      <c r="B86" s="4">
        <v>14</v>
      </c>
      <c r="C86" s="4">
        <v>7</v>
      </c>
      <c r="D86" s="4">
        <v>1</v>
      </c>
      <c r="E86" s="4">
        <v>1</v>
      </c>
      <c r="F86" s="4">
        <v>0</v>
      </c>
      <c r="G86" s="2" t="s">
        <v>79</v>
      </c>
    </row>
    <row r="87" spans="1:7" x14ac:dyDescent="0.2">
      <c r="A87" s="4">
        <v>18.16</v>
      </c>
      <c r="B87" s="4">
        <v>16</v>
      </c>
      <c r="C87" s="4">
        <v>7</v>
      </c>
      <c r="D87" s="4">
        <v>0</v>
      </c>
      <c r="E87" s="4">
        <v>1</v>
      </c>
      <c r="F87" s="4">
        <v>0</v>
      </c>
      <c r="G87" s="2" t="s">
        <v>79</v>
      </c>
    </row>
    <row r="88" spans="1:7" x14ac:dyDescent="0.2">
      <c r="A88" s="4">
        <v>11.25</v>
      </c>
      <c r="B88" s="4">
        <v>18</v>
      </c>
      <c r="C88" s="4">
        <v>7</v>
      </c>
      <c r="D88" s="4">
        <v>0</v>
      </c>
      <c r="E88" s="4">
        <v>0</v>
      </c>
      <c r="F88" s="4">
        <v>1</v>
      </c>
      <c r="G88" s="2" t="s">
        <v>79</v>
      </c>
    </row>
    <row r="89" spans="1:7" x14ac:dyDescent="0.2">
      <c r="A89" s="4">
        <v>5.9</v>
      </c>
      <c r="B89" s="4">
        <v>12</v>
      </c>
      <c r="C89" s="4">
        <v>7</v>
      </c>
      <c r="D89" s="4">
        <v>0</v>
      </c>
      <c r="E89" s="4">
        <v>1</v>
      </c>
      <c r="F89" s="4">
        <v>0</v>
      </c>
      <c r="G89" s="2" t="s">
        <v>79</v>
      </c>
    </row>
    <row r="90" spans="1:7" x14ac:dyDescent="0.2">
      <c r="A90" s="4">
        <v>3.71</v>
      </c>
      <c r="B90" s="4">
        <v>9</v>
      </c>
      <c r="C90" s="4">
        <v>7</v>
      </c>
      <c r="D90" s="4">
        <v>0</v>
      </c>
      <c r="E90" s="4">
        <v>1</v>
      </c>
      <c r="F90" s="4">
        <v>0</v>
      </c>
      <c r="G90" s="2" t="s">
        <v>79</v>
      </c>
    </row>
    <row r="91" spans="1:7" x14ac:dyDescent="0.2">
      <c r="A91" s="4">
        <v>7.5</v>
      </c>
      <c r="B91" s="4">
        <v>12</v>
      </c>
      <c r="C91" s="4">
        <v>7</v>
      </c>
      <c r="D91" s="10">
        <v>2</v>
      </c>
      <c r="E91" s="4">
        <v>1</v>
      </c>
      <c r="F91" s="4">
        <v>0</v>
      </c>
      <c r="G91" s="2" t="s">
        <v>79</v>
      </c>
    </row>
    <row r="92" spans="1:7" x14ac:dyDescent="0.2">
      <c r="A92" s="4">
        <v>5.9</v>
      </c>
      <c r="B92" s="4">
        <v>12</v>
      </c>
      <c r="C92" s="4">
        <v>7</v>
      </c>
      <c r="D92" s="4">
        <v>1</v>
      </c>
      <c r="E92" s="4">
        <v>1</v>
      </c>
      <c r="F92" s="4">
        <v>0</v>
      </c>
      <c r="G92" s="2" t="s">
        <v>79</v>
      </c>
    </row>
    <row r="93" spans="1:7" x14ac:dyDescent="0.2">
      <c r="A93" s="4">
        <v>4.6900000000000004</v>
      </c>
      <c r="B93" s="4">
        <v>10</v>
      </c>
      <c r="C93" s="4">
        <v>7</v>
      </c>
      <c r="D93" s="4">
        <v>0</v>
      </c>
      <c r="E93" s="4">
        <v>0</v>
      </c>
      <c r="F93" s="4">
        <v>0</v>
      </c>
      <c r="G93" s="2" t="s">
        <v>79</v>
      </c>
    </row>
    <row r="94" spans="1:7" x14ac:dyDescent="0.2">
      <c r="A94" s="4">
        <v>6</v>
      </c>
      <c r="B94" s="4">
        <v>12</v>
      </c>
      <c r="C94" s="4">
        <v>7</v>
      </c>
      <c r="D94" s="4">
        <v>0</v>
      </c>
      <c r="E94" s="4">
        <v>1</v>
      </c>
      <c r="F94" s="4">
        <v>0</v>
      </c>
      <c r="G94" s="2" t="s">
        <v>79</v>
      </c>
    </row>
    <row r="95" spans="1:7" x14ac:dyDescent="0.2">
      <c r="A95" s="4">
        <v>15</v>
      </c>
      <c r="B95" s="4">
        <v>14</v>
      </c>
      <c r="C95" s="4">
        <v>7</v>
      </c>
      <c r="D95" s="4">
        <v>0</v>
      </c>
      <c r="E95" s="4">
        <v>1</v>
      </c>
      <c r="F95" s="4">
        <v>0</v>
      </c>
      <c r="G95" s="2" t="s">
        <v>79</v>
      </c>
    </row>
    <row r="96" spans="1:7" x14ac:dyDescent="0.2">
      <c r="A96" s="4">
        <v>3.54</v>
      </c>
      <c r="B96" s="4">
        <v>13</v>
      </c>
      <c r="C96" s="4">
        <v>7</v>
      </c>
      <c r="D96" s="4">
        <v>1</v>
      </c>
      <c r="E96" s="4">
        <v>1</v>
      </c>
      <c r="F96" s="4">
        <v>0</v>
      </c>
      <c r="G96" s="2" t="s">
        <v>79</v>
      </c>
    </row>
    <row r="97" spans="1:7" x14ac:dyDescent="0.2">
      <c r="A97" s="4">
        <v>2.9</v>
      </c>
      <c r="B97" s="4">
        <v>8</v>
      </c>
      <c r="C97" s="4">
        <v>6</v>
      </c>
      <c r="D97" s="4">
        <v>1</v>
      </c>
      <c r="E97" s="4">
        <v>0</v>
      </c>
      <c r="F97" s="4">
        <v>0</v>
      </c>
      <c r="G97" s="2" t="s">
        <v>79</v>
      </c>
    </row>
    <row r="98" spans="1:7" x14ac:dyDescent="0.2">
      <c r="A98" s="4">
        <v>4</v>
      </c>
      <c r="B98" s="4">
        <v>12</v>
      </c>
      <c r="C98" s="4">
        <v>6</v>
      </c>
      <c r="D98" s="4">
        <v>1</v>
      </c>
      <c r="E98" s="4">
        <v>1</v>
      </c>
      <c r="F98" s="4">
        <v>0</v>
      </c>
      <c r="G98" s="2" t="s">
        <v>79</v>
      </c>
    </row>
    <row r="99" spans="1:7" x14ac:dyDescent="0.2">
      <c r="A99" s="4">
        <v>6.25</v>
      </c>
      <c r="B99" s="4">
        <v>12</v>
      </c>
      <c r="C99" s="4">
        <v>6</v>
      </c>
      <c r="D99" s="4">
        <v>0</v>
      </c>
      <c r="E99" s="4">
        <v>1</v>
      </c>
      <c r="F99" s="4">
        <v>0</v>
      </c>
      <c r="G99" s="2" t="s">
        <v>79</v>
      </c>
    </row>
    <row r="100" spans="1:7" x14ac:dyDescent="0.2">
      <c r="A100" s="4">
        <v>5.8</v>
      </c>
      <c r="B100" s="4">
        <v>12</v>
      </c>
      <c r="C100" s="4">
        <v>6</v>
      </c>
      <c r="D100" s="4">
        <v>1</v>
      </c>
      <c r="E100" s="4">
        <v>1</v>
      </c>
      <c r="F100" s="4">
        <v>0</v>
      </c>
      <c r="G100" s="2" t="s">
        <v>79</v>
      </c>
    </row>
    <row r="101" spans="1:7" x14ac:dyDescent="0.2">
      <c r="A101" s="4">
        <v>8</v>
      </c>
      <c r="B101" s="4">
        <v>12</v>
      </c>
      <c r="C101" s="4">
        <v>6</v>
      </c>
      <c r="D101" s="4">
        <v>0</v>
      </c>
      <c r="E101" s="4">
        <v>1</v>
      </c>
      <c r="F101" s="4">
        <v>0</v>
      </c>
      <c r="G101" s="2" t="s">
        <v>79</v>
      </c>
    </row>
    <row r="102" spans="1:7" x14ac:dyDescent="0.2">
      <c r="A102" s="4">
        <v>6.15</v>
      </c>
      <c r="B102" s="4">
        <v>12</v>
      </c>
      <c r="C102" s="4">
        <v>6</v>
      </c>
      <c r="D102" s="4">
        <v>1</v>
      </c>
      <c r="E102" s="4">
        <v>1</v>
      </c>
      <c r="F102" s="4">
        <v>1</v>
      </c>
      <c r="G102" s="2" t="s">
        <v>79</v>
      </c>
    </row>
    <row r="103" spans="1:7" x14ac:dyDescent="0.2">
      <c r="A103" s="4">
        <v>5.91</v>
      </c>
      <c r="B103" s="4">
        <v>12</v>
      </c>
      <c r="C103" s="4">
        <v>6</v>
      </c>
      <c r="D103" s="4">
        <v>0</v>
      </c>
      <c r="E103" s="4">
        <v>1</v>
      </c>
      <c r="F103" s="4">
        <v>0</v>
      </c>
      <c r="G103" s="2" t="s">
        <v>79</v>
      </c>
    </row>
    <row r="104" spans="1:7" x14ac:dyDescent="0.2">
      <c r="A104" s="4">
        <v>8.5299999999999994</v>
      </c>
      <c r="B104" s="4">
        <v>10</v>
      </c>
      <c r="C104" s="4">
        <v>6</v>
      </c>
      <c r="D104" s="4">
        <v>0</v>
      </c>
      <c r="E104" s="4">
        <v>1</v>
      </c>
      <c r="F104" s="4">
        <v>0</v>
      </c>
      <c r="G104" s="2" t="s">
        <v>79</v>
      </c>
    </row>
    <row r="105" spans="1:7" x14ac:dyDescent="0.2">
      <c r="A105" s="4">
        <v>8.43</v>
      </c>
      <c r="B105" s="4">
        <v>16</v>
      </c>
      <c r="C105" s="4">
        <v>6</v>
      </c>
      <c r="D105" s="4">
        <v>0</v>
      </c>
      <c r="E105" s="4">
        <v>1</v>
      </c>
      <c r="F105" s="4">
        <v>0</v>
      </c>
      <c r="G105" s="2" t="s">
        <v>79</v>
      </c>
    </row>
    <row r="106" spans="1:7" x14ac:dyDescent="0.2">
      <c r="A106" s="4">
        <v>6.45</v>
      </c>
      <c r="B106" s="4">
        <v>12</v>
      </c>
      <c r="C106" s="4">
        <v>6</v>
      </c>
      <c r="D106" s="10">
        <v>2</v>
      </c>
      <c r="E106" s="4">
        <v>1</v>
      </c>
      <c r="F106" s="4">
        <v>0</v>
      </c>
      <c r="G106" s="2" t="s">
        <v>79</v>
      </c>
    </row>
    <row r="107" spans="1:7" x14ac:dyDescent="0.2">
      <c r="A107" s="4">
        <v>3.5</v>
      </c>
      <c r="B107" s="4">
        <v>12</v>
      </c>
      <c r="C107" s="4">
        <v>6</v>
      </c>
      <c r="D107" s="4">
        <v>1</v>
      </c>
      <c r="E107" s="4">
        <v>1</v>
      </c>
      <c r="F107" s="4">
        <v>0</v>
      </c>
      <c r="G107" s="2" t="s">
        <v>79</v>
      </c>
    </row>
    <row r="108" spans="1:7" x14ac:dyDescent="0.2">
      <c r="A108" s="4">
        <v>5.13</v>
      </c>
      <c r="B108" s="4">
        <v>15</v>
      </c>
      <c r="C108" s="4">
        <v>6</v>
      </c>
      <c r="D108" s="10">
        <v>2</v>
      </c>
      <c r="E108" s="4">
        <v>0</v>
      </c>
      <c r="F108" s="4">
        <v>0</v>
      </c>
      <c r="G108" s="2" t="s">
        <v>79</v>
      </c>
    </row>
    <row r="109" spans="1:7" x14ac:dyDescent="0.2">
      <c r="A109" s="4">
        <v>7.14</v>
      </c>
      <c r="B109" s="4">
        <v>12</v>
      </c>
      <c r="C109" s="4">
        <v>5</v>
      </c>
      <c r="D109" s="4">
        <v>1</v>
      </c>
      <c r="E109" s="4">
        <v>0</v>
      </c>
      <c r="F109" s="4">
        <v>0</v>
      </c>
      <c r="G109" s="2" t="s">
        <v>79</v>
      </c>
    </row>
    <row r="110" spans="1:7" x14ac:dyDescent="0.2">
      <c r="A110" s="4">
        <v>12.39</v>
      </c>
      <c r="B110" s="4">
        <v>14</v>
      </c>
      <c r="C110" s="4">
        <v>5</v>
      </c>
      <c r="D110" s="4">
        <v>0</v>
      </c>
      <c r="E110" s="4">
        <v>0</v>
      </c>
      <c r="F110" s="4">
        <v>0</v>
      </c>
      <c r="G110" s="2" t="s">
        <v>79</v>
      </c>
    </row>
    <row r="111" spans="1:7" x14ac:dyDescent="0.2">
      <c r="A111" s="4">
        <v>8</v>
      </c>
      <c r="B111" s="4">
        <v>13</v>
      </c>
      <c r="C111" s="4">
        <v>5</v>
      </c>
      <c r="D111" s="4">
        <v>0</v>
      </c>
      <c r="E111" s="4">
        <v>1</v>
      </c>
      <c r="F111" s="4">
        <v>0</v>
      </c>
      <c r="G111" s="2" t="s">
        <v>79</v>
      </c>
    </row>
    <row r="112" spans="1:7" x14ac:dyDescent="0.2">
      <c r="A112" s="4">
        <v>5</v>
      </c>
      <c r="B112" s="10">
        <v>12</v>
      </c>
      <c r="C112" s="4">
        <v>5</v>
      </c>
      <c r="D112" s="4">
        <v>0</v>
      </c>
      <c r="E112" s="4">
        <v>1</v>
      </c>
      <c r="F112" s="4">
        <v>0</v>
      </c>
      <c r="G112" s="2" t="s">
        <v>79</v>
      </c>
    </row>
    <row r="113" spans="1:7" x14ac:dyDescent="0.2">
      <c r="A113" s="4">
        <v>13</v>
      </c>
      <c r="B113" s="4">
        <v>14</v>
      </c>
      <c r="C113" s="4">
        <v>5</v>
      </c>
      <c r="D113" s="4">
        <v>0</v>
      </c>
      <c r="E113" s="4">
        <v>1</v>
      </c>
      <c r="F113" s="4">
        <v>1</v>
      </c>
      <c r="G113" s="2" t="s">
        <v>79</v>
      </c>
    </row>
    <row r="114" spans="1:7" x14ac:dyDescent="0.2">
      <c r="A114" s="4">
        <v>4.5</v>
      </c>
      <c r="B114" s="4">
        <v>9</v>
      </c>
      <c r="C114" s="4">
        <v>5</v>
      </c>
      <c r="D114" s="4">
        <v>0</v>
      </c>
      <c r="E114" s="4">
        <v>1</v>
      </c>
      <c r="F114" s="4">
        <v>0</v>
      </c>
      <c r="G114" s="2" t="s">
        <v>79</v>
      </c>
    </row>
    <row r="115" spans="1:7" x14ac:dyDescent="0.2">
      <c r="A115" s="4">
        <v>8.18</v>
      </c>
      <c r="B115" s="4">
        <v>13</v>
      </c>
      <c r="C115" s="4">
        <v>5</v>
      </c>
      <c r="D115" s="4">
        <v>0</v>
      </c>
      <c r="E115" s="4">
        <v>0</v>
      </c>
      <c r="F115" s="4">
        <v>1</v>
      </c>
      <c r="G115" s="2" t="s">
        <v>79</v>
      </c>
    </row>
    <row r="116" spans="1:7" x14ac:dyDescent="0.2">
      <c r="A116" s="4">
        <v>11.55</v>
      </c>
      <c r="B116" s="4">
        <v>16</v>
      </c>
      <c r="C116" s="4">
        <v>5</v>
      </c>
      <c r="D116" s="4">
        <v>1</v>
      </c>
      <c r="E116" s="4">
        <v>1</v>
      </c>
      <c r="F116" s="4">
        <v>0</v>
      </c>
      <c r="G116" s="2" t="s">
        <v>79</v>
      </c>
    </row>
    <row r="117" spans="1:7" x14ac:dyDescent="0.2">
      <c r="A117" s="4">
        <v>5</v>
      </c>
      <c r="B117" s="4">
        <v>14</v>
      </c>
      <c r="C117" s="4">
        <v>5</v>
      </c>
      <c r="D117" s="4">
        <v>0</v>
      </c>
      <c r="E117" s="4">
        <v>1</v>
      </c>
      <c r="F117" s="4">
        <v>0</v>
      </c>
      <c r="G117" s="2" t="s">
        <v>79</v>
      </c>
    </row>
    <row r="118" spans="1:7" x14ac:dyDescent="0.2">
      <c r="A118" s="4">
        <v>10</v>
      </c>
      <c r="B118" s="4">
        <v>14</v>
      </c>
      <c r="C118" s="4">
        <v>5</v>
      </c>
      <c r="D118" s="4">
        <v>0</v>
      </c>
      <c r="E118" s="4">
        <v>1</v>
      </c>
      <c r="F118" s="4">
        <v>0</v>
      </c>
      <c r="G118" s="2" t="s">
        <v>79</v>
      </c>
    </row>
    <row r="119" spans="1:7" x14ac:dyDescent="0.2">
      <c r="A119" s="4">
        <v>12.5</v>
      </c>
      <c r="B119" s="4">
        <v>18</v>
      </c>
      <c r="C119" s="4">
        <v>5</v>
      </c>
      <c r="D119" s="4">
        <v>0</v>
      </c>
      <c r="E119" s="4">
        <v>1</v>
      </c>
      <c r="F119" s="4">
        <v>0</v>
      </c>
      <c r="G119" s="2" t="s">
        <v>79</v>
      </c>
    </row>
    <row r="120" spans="1:7" x14ac:dyDescent="0.2">
      <c r="A120" s="4">
        <v>5</v>
      </c>
      <c r="B120" s="4">
        <v>12</v>
      </c>
      <c r="C120" s="4">
        <v>5</v>
      </c>
      <c r="D120" s="4">
        <v>0</v>
      </c>
      <c r="E120" s="4">
        <v>1</v>
      </c>
      <c r="F120" s="4">
        <v>0</v>
      </c>
      <c r="G120" s="2" t="s">
        <v>79</v>
      </c>
    </row>
    <row r="121" spans="1:7" x14ac:dyDescent="0.2">
      <c r="A121" s="4">
        <v>5</v>
      </c>
      <c r="B121" s="10">
        <v>12</v>
      </c>
      <c r="C121" s="4">
        <v>5</v>
      </c>
      <c r="D121" s="4">
        <v>0</v>
      </c>
      <c r="E121" s="4">
        <v>1</v>
      </c>
      <c r="F121" s="4">
        <v>0</v>
      </c>
      <c r="G121" s="2" t="s">
        <v>79</v>
      </c>
    </row>
    <row r="122" spans="1:7" x14ac:dyDescent="0.2">
      <c r="A122" s="4">
        <v>3.2</v>
      </c>
      <c r="B122" s="4">
        <v>12</v>
      </c>
      <c r="C122" s="4">
        <v>5</v>
      </c>
      <c r="D122" s="4">
        <v>1</v>
      </c>
      <c r="E122" s="4">
        <v>1</v>
      </c>
      <c r="F122" s="4">
        <v>0</v>
      </c>
      <c r="G122" s="2" t="s">
        <v>79</v>
      </c>
    </row>
    <row r="123" spans="1:7" x14ac:dyDescent="0.2">
      <c r="A123" s="4">
        <v>3.26</v>
      </c>
      <c r="B123" s="4">
        <v>16</v>
      </c>
      <c r="C123" s="4">
        <v>5</v>
      </c>
      <c r="D123" s="4">
        <v>1</v>
      </c>
      <c r="E123" s="4">
        <v>1</v>
      </c>
      <c r="F123" s="4">
        <v>0</v>
      </c>
      <c r="G123" s="2" t="s">
        <v>79</v>
      </c>
    </row>
    <row r="124" spans="1:7" x14ac:dyDescent="0.2">
      <c r="A124" s="4">
        <v>4.24</v>
      </c>
      <c r="B124" s="4">
        <v>10</v>
      </c>
      <c r="C124" s="4">
        <v>5</v>
      </c>
      <c r="D124" s="10">
        <v>2</v>
      </c>
      <c r="E124" s="4">
        <v>1</v>
      </c>
      <c r="F124" s="4">
        <v>0</v>
      </c>
      <c r="G124" s="2" t="s">
        <v>79</v>
      </c>
    </row>
    <row r="125" spans="1:7" x14ac:dyDescent="0.2">
      <c r="A125" s="4">
        <v>9</v>
      </c>
      <c r="B125" s="4">
        <v>12</v>
      </c>
      <c r="C125" s="4">
        <v>5</v>
      </c>
      <c r="D125" s="4">
        <v>1</v>
      </c>
      <c r="E125" s="4">
        <v>1</v>
      </c>
      <c r="F125" s="4">
        <v>0</v>
      </c>
      <c r="G125" s="2" t="s">
        <v>79</v>
      </c>
    </row>
    <row r="126" spans="1:7" x14ac:dyDescent="0.2">
      <c r="A126" s="4">
        <v>5.71</v>
      </c>
      <c r="B126" s="4">
        <v>16</v>
      </c>
      <c r="C126" s="4">
        <v>5</v>
      </c>
      <c r="D126" s="4">
        <v>0</v>
      </c>
      <c r="E126" s="4">
        <v>1</v>
      </c>
      <c r="F126" s="4">
        <v>0</v>
      </c>
      <c r="G126" s="2" t="s">
        <v>79</v>
      </c>
    </row>
    <row r="127" spans="1:7" x14ac:dyDescent="0.2">
      <c r="A127" s="4">
        <v>6.5</v>
      </c>
      <c r="B127" s="4">
        <v>12</v>
      </c>
      <c r="C127" s="4">
        <v>5</v>
      </c>
      <c r="D127" s="4">
        <v>1</v>
      </c>
      <c r="E127" s="4">
        <v>1</v>
      </c>
      <c r="F127" s="4">
        <v>0</v>
      </c>
      <c r="G127" s="2" t="s">
        <v>79</v>
      </c>
    </row>
    <row r="128" spans="1:7" x14ac:dyDescent="0.2">
      <c r="A128" s="4">
        <v>6.67</v>
      </c>
      <c r="B128" s="4">
        <v>12</v>
      </c>
      <c r="C128" s="4">
        <v>5</v>
      </c>
      <c r="D128" s="4">
        <v>0</v>
      </c>
      <c r="E128" s="4">
        <v>0</v>
      </c>
      <c r="F128" s="4">
        <v>0</v>
      </c>
      <c r="G128" s="2" t="s">
        <v>79</v>
      </c>
    </row>
    <row r="129" spans="1:7" x14ac:dyDescent="0.2">
      <c r="A129" s="4">
        <v>7</v>
      </c>
      <c r="B129" s="4">
        <v>12</v>
      </c>
      <c r="C129" s="4">
        <v>5</v>
      </c>
      <c r="D129" s="4">
        <v>0</v>
      </c>
      <c r="E129" s="4">
        <v>1</v>
      </c>
      <c r="F129" s="4">
        <v>0</v>
      </c>
      <c r="G129" s="2" t="s">
        <v>79</v>
      </c>
    </row>
    <row r="130" spans="1:7" x14ac:dyDescent="0.2">
      <c r="A130" s="4">
        <v>3.13</v>
      </c>
      <c r="B130" s="4">
        <v>12</v>
      </c>
      <c r="C130" s="4">
        <v>5</v>
      </c>
      <c r="D130" s="4">
        <v>1</v>
      </c>
      <c r="E130" s="4">
        <v>1</v>
      </c>
      <c r="F130" s="4">
        <v>0</v>
      </c>
      <c r="G130" s="2" t="s">
        <v>79</v>
      </c>
    </row>
    <row r="131" spans="1:7" x14ac:dyDescent="0.2">
      <c r="A131" s="4">
        <v>6.25</v>
      </c>
      <c r="B131" s="10">
        <v>12</v>
      </c>
      <c r="C131" s="4">
        <v>5</v>
      </c>
      <c r="D131" s="4">
        <v>1</v>
      </c>
      <c r="E131" s="4">
        <v>1</v>
      </c>
      <c r="F131" s="4">
        <v>0</v>
      </c>
      <c r="G131" s="2" t="s">
        <v>79</v>
      </c>
    </row>
    <row r="132" spans="1:7" x14ac:dyDescent="0.2">
      <c r="A132" s="4">
        <v>5.75</v>
      </c>
      <c r="B132" s="4">
        <v>14</v>
      </c>
      <c r="C132" s="4">
        <v>5</v>
      </c>
      <c r="D132" s="4">
        <v>0</v>
      </c>
      <c r="E132" s="4">
        <v>1</v>
      </c>
      <c r="F132" s="4">
        <v>0</v>
      </c>
      <c r="G132" s="2" t="s">
        <v>79</v>
      </c>
    </row>
    <row r="133" spans="1:7" x14ac:dyDescent="0.2">
      <c r="A133" s="4">
        <v>4.5</v>
      </c>
      <c r="B133" s="4">
        <v>14</v>
      </c>
      <c r="C133" s="4">
        <v>5</v>
      </c>
      <c r="D133" s="4">
        <v>1</v>
      </c>
      <c r="E133" s="4">
        <v>0</v>
      </c>
      <c r="F133" s="4">
        <v>1</v>
      </c>
      <c r="G133" s="2" t="s">
        <v>79</v>
      </c>
    </row>
    <row r="134" spans="1:7" x14ac:dyDescent="0.2">
      <c r="A134" s="4">
        <v>4.5</v>
      </c>
      <c r="B134" s="4">
        <v>12</v>
      </c>
      <c r="C134" s="4">
        <v>4</v>
      </c>
      <c r="D134" s="4">
        <v>1</v>
      </c>
      <c r="E134" s="4">
        <v>1</v>
      </c>
      <c r="F134" s="4">
        <v>0</v>
      </c>
      <c r="G134" s="2" t="s">
        <v>79</v>
      </c>
    </row>
    <row r="135" spans="1:7" x14ac:dyDescent="0.2">
      <c r="A135" s="4">
        <v>3.33</v>
      </c>
      <c r="B135" s="4">
        <v>12</v>
      </c>
      <c r="C135" s="4">
        <v>4</v>
      </c>
      <c r="D135" s="4">
        <v>1</v>
      </c>
      <c r="E135" s="4">
        <v>1</v>
      </c>
      <c r="F135" s="4">
        <v>0</v>
      </c>
      <c r="G135" s="2" t="s">
        <v>79</v>
      </c>
    </row>
    <row r="136" spans="1:7" x14ac:dyDescent="0.2">
      <c r="A136" s="4">
        <v>10</v>
      </c>
      <c r="B136" s="4">
        <v>14</v>
      </c>
      <c r="C136" s="4">
        <v>4</v>
      </c>
      <c r="D136" s="10">
        <v>2</v>
      </c>
      <c r="E136" s="4">
        <v>1</v>
      </c>
      <c r="F136" s="4">
        <v>0</v>
      </c>
      <c r="G136" s="2" t="s">
        <v>79</v>
      </c>
    </row>
    <row r="137" spans="1:7" x14ac:dyDescent="0.2">
      <c r="A137" s="4">
        <v>4.5</v>
      </c>
      <c r="B137" s="4">
        <v>12</v>
      </c>
      <c r="C137" s="4">
        <v>4</v>
      </c>
      <c r="D137" s="4">
        <v>1</v>
      </c>
      <c r="E137" s="4">
        <v>1</v>
      </c>
      <c r="F137" s="4">
        <v>0</v>
      </c>
      <c r="G137" s="2" t="s">
        <v>79</v>
      </c>
    </row>
    <row r="138" spans="1:7" x14ac:dyDescent="0.2">
      <c r="A138" s="4">
        <v>4.2699999999999996</v>
      </c>
      <c r="B138" s="4">
        <v>16</v>
      </c>
      <c r="C138" s="4">
        <v>4</v>
      </c>
      <c r="D138" s="4">
        <v>1</v>
      </c>
      <c r="E138" s="4">
        <v>1</v>
      </c>
      <c r="F138" s="4">
        <v>1</v>
      </c>
      <c r="G138" s="2" t="s">
        <v>79</v>
      </c>
    </row>
    <row r="139" spans="1:7" x14ac:dyDescent="0.2">
      <c r="A139" s="4">
        <v>20</v>
      </c>
      <c r="B139" s="4">
        <v>12</v>
      </c>
      <c r="C139" s="4">
        <v>4</v>
      </c>
      <c r="D139" s="4">
        <v>0</v>
      </c>
      <c r="E139" s="4">
        <v>1</v>
      </c>
      <c r="F139" s="4">
        <v>0</v>
      </c>
      <c r="G139" s="2" t="s">
        <v>79</v>
      </c>
    </row>
    <row r="140" spans="1:7" x14ac:dyDescent="0.2">
      <c r="A140" s="4">
        <v>3.5</v>
      </c>
      <c r="B140" s="4">
        <v>12</v>
      </c>
      <c r="C140" s="4">
        <v>4</v>
      </c>
      <c r="D140" s="4">
        <v>1</v>
      </c>
      <c r="E140" s="4">
        <v>1</v>
      </c>
      <c r="F140" s="4">
        <v>0</v>
      </c>
      <c r="G140" s="2" t="s">
        <v>79</v>
      </c>
    </row>
    <row r="141" spans="1:7" x14ac:dyDescent="0.2">
      <c r="A141" s="4">
        <v>6</v>
      </c>
      <c r="B141" s="4">
        <v>15</v>
      </c>
      <c r="C141" s="4">
        <v>4</v>
      </c>
      <c r="D141" s="4">
        <v>1</v>
      </c>
      <c r="E141" s="4">
        <v>1</v>
      </c>
      <c r="F141" s="4">
        <v>0</v>
      </c>
      <c r="G141" s="2" t="s">
        <v>79</v>
      </c>
    </row>
    <row r="142" spans="1:7" x14ac:dyDescent="0.2">
      <c r="A142" s="4">
        <v>8</v>
      </c>
      <c r="B142" s="4">
        <v>12</v>
      </c>
      <c r="C142" s="4">
        <v>4</v>
      </c>
      <c r="D142" s="4">
        <v>1</v>
      </c>
      <c r="E142" s="4">
        <v>0</v>
      </c>
      <c r="F142" s="4">
        <v>0</v>
      </c>
      <c r="G142" s="2" t="s">
        <v>79</v>
      </c>
    </row>
    <row r="143" spans="1:7" x14ac:dyDescent="0.2">
      <c r="A143" s="4">
        <v>6.25</v>
      </c>
      <c r="B143" s="4">
        <v>15</v>
      </c>
      <c r="C143" s="4">
        <v>4</v>
      </c>
      <c r="D143" s="4">
        <v>1</v>
      </c>
      <c r="E143" s="4">
        <v>1</v>
      </c>
      <c r="F143" s="4">
        <v>0</v>
      </c>
      <c r="G143" s="2" t="s">
        <v>79</v>
      </c>
    </row>
    <row r="144" spans="1:7" x14ac:dyDescent="0.2">
      <c r="A144" s="4">
        <v>6.88</v>
      </c>
      <c r="B144" s="10">
        <v>12</v>
      </c>
      <c r="C144" s="4">
        <v>4</v>
      </c>
      <c r="D144" s="4">
        <v>1</v>
      </c>
      <c r="E144" s="4">
        <v>0</v>
      </c>
      <c r="F144" s="4">
        <v>1</v>
      </c>
      <c r="G144" s="2" t="s">
        <v>79</v>
      </c>
    </row>
    <row r="145" spans="1:7" x14ac:dyDescent="0.2">
      <c r="A145" s="4">
        <v>6.25</v>
      </c>
      <c r="B145" s="4">
        <v>16</v>
      </c>
      <c r="C145" s="4">
        <v>4</v>
      </c>
      <c r="D145" s="4">
        <v>0</v>
      </c>
      <c r="E145" s="4">
        <v>0</v>
      </c>
      <c r="F145" s="4">
        <v>0</v>
      </c>
      <c r="G145" s="2" t="s">
        <v>79</v>
      </c>
    </row>
    <row r="146" spans="1:7" x14ac:dyDescent="0.2">
      <c r="A146" s="4">
        <v>6.38</v>
      </c>
      <c r="B146" s="4">
        <v>13</v>
      </c>
      <c r="C146" s="4">
        <v>4</v>
      </c>
      <c r="D146" s="4">
        <v>1</v>
      </c>
      <c r="E146" s="4">
        <v>0</v>
      </c>
      <c r="F146" s="4">
        <v>1</v>
      </c>
      <c r="G146" s="2" t="s">
        <v>79</v>
      </c>
    </row>
    <row r="147" spans="1:7" x14ac:dyDescent="0.2">
      <c r="A147" s="4">
        <v>5.78</v>
      </c>
      <c r="B147" s="4">
        <v>16</v>
      </c>
      <c r="C147" s="4">
        <v>4</v>
      </c>
      <c r="D147" s="4">
        <v>0</v>
      </c>
      <c r="E147" s="4">
        <v>1</v>
      </c>
      <c r="F147" s="4">
        <v>0</v>
      </c>
      <c r="G147" s="2" t="s">
        <v>79</v>
      </c>
    </row>
    <row r="148" spans="1:7" x14ac:dyDescent="0.2">
      <c r="A148" s="4">
        <v>7.63</v>
      </c>
      <c r="B148" s="4">
        <v>12</v>
      </c>
      <c r="C148" s="4">
        <v>4</v>
      </c>
      <c r="D148" s="4">
        <v>1</v>
      </c>
      <c r="E148" s="4">
        <v>0</v>
      </c>
      <c r="F148" s="4">
        <v>0</v>
      </c>
      <c r="G148" s="2" t="s">
        <v>79</v>
      </c>
    </row>
    <row r="149" spans="1:7" x14ac:dyDescent="0.2">
      <c r="A149" s="4">
        <v>3.75</v>
      </c>
      <c r="B149" s="10">
        <v>12</v>
      </c>
      <c r="C149" s="4">
        <v>4</v>
      </c>
      <c r="D149" s="4">
        <v>1</v>
      </c>
      <c r="E149" s="4">
        <v>1</v>
      </c>
      <c r="F149" s="4">
        <v>0</v>
      </c>
      <c r="G149" s="2" t="s">
        <v>79</v>
      </c>
    </row>
    <row r="150" spans="1:7" x14ac:dyDescent="0.2">
      <c r="A150" s="4">
        <v>6.25</v>
      </c>
      <c r="B150" s="10">
        <v>12</v>
      </c>
      <c r="C150" s="4">
        <v>4</v>
      </c>
      <c r="D150" s="4">
        <v>1</v>
      </c>
      <c r="E150" s="4">
        <v>1</v>
      </c>
      <c r="F150" s="4">
        <v>0</v>
      </c>
      <c r="G150" s="2" t="s">
        <v>79</v>
      </c>
    </row>
    <row r="151" spans="1:7" x14ac:dyDescent="0.2">
      <c r="A151" s="4">
        <v>3.5</v>
      </c>
      <c r="B151" s="4">
        <v>14</v>
      </c>
      <c r="C151" s="4">
        <v>4</v>
      </c>
      <c r="D151" s="4">
        <v>1</v>
      </c>
      <c r="E151" s="4">
        <v>0</v>
      </c>
      <c r="F151" s="4">
        <v>1</v>
      </c>
      <c r="G151" s="2" t="s">
        <v>79</v>
      </c>
    </row>
    <row r="152" spans="1:7" x14ac:dyDescent="0.2">
      <c r="A152" s="4">
        <v>3.35</v>
      </c>
      <c r="B152" s="4">
        <v>14</v>
      </c>
      <c r="C152" s="4">
        <v>4</v>
      </c>
      <c r="D152" s="4">
        <v>1</v>
      </c>
      <c r="E152" s="4">
        <v>1</v>
      </c>
      <c r="F152" s="4">
        <v>0</v>
      </c>
      <c r="G152" s="2" t="s">
        <v>79</v>
      </c>
    </row>
    <row r="153" spans="1:7" x14ac:dyDescent="0.2">
      <c r="A153" s="4">
        <v>6.88</v>
      </c>
      <c r="B153" s="10">
        <v>12</v>
      </c>
      <c r="C153" s="4">
        <v>4</v>
      </c>
      <c r="D153" s="4">
        <v>0</v>
      </c>
      <c r="E153" s="4">
        <v>0</v>
      </c>
      <c r="F153" s="4">
        <v>0</v>
      </c>
      <c r="G153" s="2" t="s">
        <v>79</v>
      </c>
    </row>
    <row r="154" spans="1:7" x14ac:dyDescent="0.2">
      <c r="A154" s="4">
        <v>5.77</v>
      </c>
      <c r="B154" s="4">
        <v>10</v>
      </c>
      <c r="C154" s="4">
        <v>3</v>
      </c>
      <c r="D154" s="4">
        <v>0</v>
      </c>
      <c r="E154" s="4">
        <v>1</v>
      </c>
      <c r="F154" s="4">
        <v>0</v>
      </c>
      <c r="G154" s="2" t="s">
        <v>79</v>
      </c>
    </row>
    <row r="155" spans="1:7" x14ac:dyDescent="0.2">
      <c r="A155" s="4">
        <v>8.1</v>
      </c>
      <c r="B155" s="4">
        <v>12</v>
      </c>
      <c r="C155" s="4">
        <v>3</v>
      </c>
      <c r="D155" s="4">
        <v>1</v>
      </c>
      <c r="E155" s="4">
        <v>1</v>
      </c>
      <c r="F155" s="4">
        <v>0</v>
      </c>
      <c r="G155" s="2" t="s">
        <v>79</v>
      </c>
    </row>
    <row r="156" spans="1:7" x14ac:dyDescent="0.2">
      <c r="A156" s="4">
        <v>5.48</v>
      </c>
      <c r="B156" s="4">
        <v>10</v>
      </c>
      <c r="C156" s="4">
        <v>3</v>
      </c>
      <c r="D156" s="4">
        <v>1</v>
      </c>
      <c r="E156" s="4">
        <v>1</v>
      </c>
      <c r="F156" s="4">
        <v>0</v>
      </c>
      <c r="G156" s="2" t="s">
        <v>79</v>
      </c>
    </row>
    <row r="157" spans="1:7" x14ac:dyDescent="0.2">
      <c r="A157" s="4">
        <v>3</v>
      </c>
      <c r="B157" s="4">
        <v>14</v>
      </c>
      <c r="C157" s="4">
        <v>3</v>
      </c>
      <c r="D157" s="4">
        <v>1</v>
      </c>
      <c r="E157" s="4">
        <v>1</v>
      </c>
      <c r="F157" s="4">
        <v>0</v>
      </c>
      <c r="G157" s="2" t="s">
        <v>79</v>
      </c>
    </row>
    <row r="158" spans="1:7" x14ac:dyDescent="0.2">
      <c r="A158" s="4">
        <v>5.52</v>
      </c>
      <c r="B158" s="4">
        <v>13</v>
      </c>
      <c r="C158" s="4">
        <v>3</v>
      </c>
      <c r="D158" s="4">
        <v>0</v>
      </c>
      <c r="E158" s="4">
        <v>0</v>
      </c>
      <c r="F158" s="4">
        <v>0</v>
      </c>
      <c r="G158" s="2" t="s">
        <v>79</v>
      </c>
    </row>
    <row r="159" spans="1:7" x14ac:dyDescent="0.2">
      <c r="A159" s="4">
        <v>3.5</v>
      </c>
      <c r="B159" s="4">
        <v>12</v>
      </c>
      <c r="C159" s="4">
        <v>3</v>
      </c>
      <c r="D159" s="4">
        <v>1</v>
      </c>
      <c r="E159" s="4">
        <v>0</v>
      </c>
      <c r="F159" s="4">
        <v>1</v>
      </c>
      <c r="G159" s="2" t="s">
        <v>79</v>
      </c>
    </row>
    <row r="160" spans="1:7" x14ac:dyDescent="0.2">
      <c r="A160" s="4">
        <v>2.23</v>
      </c>
      <c r="B160" s="4">
        <v>8</v>
      </c>
      <c r="C160" s="4">
        <v>3</v>
      </c>
      <c r="D160" s="4">
        <v>0</v>
      </c>
      <c r="E160" s="4">
        <v>1</v>
      </c>
      <c r="F160" s="4">
        <v>0</v>
      </c>
      <c r="G160" s="2" t="s">
        <v>79</v>
      </c>
    </row>
    <row r="161" spans="1:7" x14ac:dyDescent="0.2">
      <c r="A161" s="4">
        <v>8.43</v>
      </c>
      <c r="B161" s="4">
        <v>8</v>
      </c>
      <c r="C161" s="4">
        <v>3</v>
      </c>
      <c r="D161" s="4">
        <v>0</v>
      </c>
      <c r="E161" s="4">
        <v>1</v>
      </c>
      <c r="F161" s="4">
        <v>0</v>
      </c>
      <c r="G161" s="2" t="s">
        <v>79</v>
      </c>
    </row>
    <row r="162" spans="1:7" x14ac:dyDescent="0.2">
      <c r="A162" s="4">
        <v>10</v>
      </c>
      <c r="B162" s="4">
        <v>12</v>
      </c>
      <c r="C162" s="4">
        <v>3</v>
      </c>
      <c r="D162" s="4">
        <v>0</v>
      </c>
      <c r="E162" s="4">
        <v>1</v>
      </c>
      <c r="F162" s="4">
        <v>0</v>
      </c>
      <c r="G162" s="2" t="s">
        <v>79</v>
      </c>
    </row>
    <row r="163" spans="1:7" x14ac:dyDescent="0.2">
      <c r="A163" s="4">
        <v>8.02</v>
      </c>
      <c r="B163" s="4">
        <v>18</v>
      </c>
      <c r="C163" s="4">
        <v>3</v>
      </c>
      <c r="D163" s="4">
        <v>1</v>
      </c>
      <c r="E163" s="4">
        <v>1</v>
      </c>
      <c r="F163" s="4">
        <v>0</v>
      </c>
      <c r="G163" s="2" t="s">
        <v>79</v>
      </c>
    </row>
    <row r="164" spans="1:7" x14ac:dyDescent="0.2">
      <c r="A164" s="4">
        <v>4</v>
      </c>
      <c r="B164" s="4">
        <v>14</v>
      </c>
      <c r="C164" s="4">
        <v>3</v>
      </c>
      <c r="D164" s="4">
        <v>1</v>
      </c>
      <c r="E164" s="4">
        <v>0</v>
      </c>
      <c r="F164" s="4">
        <v>0</v>
      </c>
      <c r="G164" s="2" t="s">
        <v>79</v>
      </c>
    </row>
    <row r="165" spans="1:7" x14ac:dyDescent="0.2">
      <c r="A165" s="4">
        <v>6.63</v>
      </c>
      <c r="B165" s="4">
        <v>15</v>
      </c>
      <c r="C165" s="4">
        <v>3</v>
      </c>
      <c r="D165" s="4">
        <v>1</v>
      </c>
      <c r="E165" s="4">
        <v>1</v>
      </c>
      <c r="F165" s="4">
        <v>1</v>
      </c>
      <c r="G165" s="2" t="s">
        <v>79</v>
      </c>
    </row>
    <row r="166" spans="1:7" x14ac:dyDescent="0.2">
      <c r="A166" s="4">
        <v>6.76</v>
      </c>
      <c r="B166" s="4">
        <v>12</v>
      </c>
      <c r="C166" s="4">
        <v>3</v>
      </c>
      <c r="D166" s="4">
        <v>0</v>
      </c>
      <c r="E166" s="4">
        <v>1</v>
      </c>
      <c r="F166" s="4">
        <v>0</v>
      </c>
      <c r="G166" s="2" t="s">
        <v>79</v>
      </c>
    </row>
    <row r="167" spans="1:7" x14ac:dyDescent="0.2">
      <c r="A167" s="4">
        <v>3.26</v>
      </c>
      <c r="B167" s="4">
        <v>12</v>
      </c>
      <c r="C167" s="4">
        <v>3</v>
      </c>
      <c r="D167" s="4">
        <v>1</v>
      </c>
      <c r="E167" s="4">
        <v>1</v>
      </c>
      <c r="F167" s="4">
        <v>0</v>
      </c>
      <c r="G167" s="2" t="s">
        <v>79</v>
      </c>
    </row>
    <row r="168" spans="1:7" x14ac:dyDescent="0.2">
      <c r="A168" s="4">
        <v>4.79</v>
      </c>
      <c r="B168" s="4">
        <v>12</v>
      </c>
      <c r="C168" s="4">
        <v>3</v>
      </c>
      <c r="D168" s="4">
        <v>1</v>
      </c>
      <c r="E168" s="4">
        <v>1</v>
      </c>
      <c r="F168" s="4">
        <v>0</v>
      </c>
      <c r="G168" s="2" t="s">
        <v>79</v>
      </c>
    </row>
    <row r="169" spans="1:7" x14ac:dyDescent="0.2">
      <c r="A169" s="4">
        <v>3.88</v>
      </c>
      <c r="B169" s="4">
        <v>12</v>
      </c>
      <c r="C169" s="4">
        <v>3</v>
      </c>
      <c r="D169" s="4">
        <v>0</v>
      </c>
      <c r="E169" s="4">
        <v>1</v>
      </c>
      <c r="F169" s="4">
        <v>0</v>
      </c>
      <c r="G169" s="2" t="s">
        <v>79</v>
      </c>
    </row>
    <row r="170" spans="1:7" x14ac:dyDescent="0.2">
      <c r="A170" s="4">
        <v>6</v>
      </c>
      <c r="B170" s="4">
        <v>14</v>
      </c>
      <c r="C170" s="4">
        <v>3</v>
      </c>
      <c r="D170" s="4">
        <v>1</v>
      </c>
      <c r="E170" s="4">
        <v>1</v>
      </c>
      <c r="F170" s="4">
        <v>0</v>
      </c>
      <c r="G170" s="2" t="s">
        <v>79</v>
      </c>
    </row>
    <row r="171" spans="1:7" x14ac:dyDescent="0.2">
      <c r="A171" s="4">
        <v>4.2</v>
      </c>
      <c r="B171" s="4">
        <v>13</v>
      </c>
      <c r="C171" s="4">
        <v>3</v>
      </c>
      <c r="D171" s="4">
        <v>1</v>
      </c>
      <c r="E171" s="4">
        <v>1</v>
      </c>
      <c r="F171" s="4">
        <v>0</v>
      </c>
      <c r="G171" s="2" t="s">
        <v>79</v>
      </c>
    </row>
    <row r="172" spans="1:7" x14ac:dyDescent="0.2">
      <c r="A172" s="4">
        <v>6.29</v>
      </c>
      <c r="B172" s="4">
        <v>17</v>
      </c>
      <c r="C172" s="4">
        <v>3</v>
      </c>
      <c r="D172" s="4">
        <v>0</v>
      </c>
      <c r="E172" s="4">
        <v>1</v>
      </c>
      <c r="F172" s="4">
        <v>0</v>
      </c>
      <c r="G172" s="2" t="s">
        <v>79</v>
      </c>
    </row>
    <row r="173" spans="1:7" x14ac:dyDescent="0.2">
      <c r="A173" s="4">
        <v>5.43</v>
      </c>
      <c r="B173" s="4">
        <v>14</v>
      </c>
      <c r="C173" s="4">
        <v>3</v>
      </c>
      <c r="D173" s="4">
        <v>0</v>
      </c>
      <c r="E173" s="4">
        <v>1</v>
      </c>
      <c r="F173" s="4">
        <v>0</v>
      </c>
      <c r="G173" s="2" t="s">
        <v>79</v>
      </c>
    </row>
    <row r="174" spans="1:7" x14ac:dyDescent="0.2">
      <c r="A174" s="4">
        <v>17.71</v>
      </c>
      <c r="B174" s="4">
        <v>16</v>
      </c>
      <c r="C174" s="4">
        <v>3</v>
      </c>
      <c r="D174" s="4">
        <v>0</v>
      </c>
      <c r="E174" s="4">
        <v>1</v>
      </c>
      <c r="F174" s="4">
        <v>1</v>
      </c>
      <c r="G174" s="2" t="s">
        <v>79</v>
      </c>
    </row>
    <row r="175" spans="1:7" x14ac:dyDescent="0.2">
      <c r="A175" s="4">
        <v>7.78</v>
      </c>
      <c r="B175" s="4">
        <v>14</v>
      </c>
      <c r="C175" s="4">
        <v>3</v>
      </c>
      <c r="D175" s="4">
        <v>0</v>
      </c>
      <c r="E175" s="4">
        <v>0</v>
      </c>
      <c r="F175" s="4">
        <v>0</v>
      </c>
      <c r="G175" s="2" t="s">
        <v>79</v>
      </c>
    </row>
    <row r="176" spans="1:7" x14ac:dyDescent="0.2">
      <c r="A176" s="4">
        <v>10</v>
      </c>
      <c r="B176" s="4">
        <v>16</v>
      </c>
      <c r="C176" s="4">
        <v>3</v>
      </c>
      <c r="D176" s="4">
        <v>0</v>
      </c>
      <c r="E176" s="4">
        <v>1</v>
      </c>
      <c r="F176" s="4">
        <v>0</v>
      </c>
      <c r="G176" s="2" t="s">
        <v>79</v>
      </c>
    </row>
    <row r="177" spans="1:7" x14ac:dyDescent="0.2">
      <c r="A177" s="4">
        <v>5</v>
      </c>
      <c r="B177" s="4">
        <v>12</v>
      </c>
      <c r="C177" s="4">
        <v>3</v>
      </c>
      <c r="D177" s="4">
        <v>1</v>
      </c>
      <c r="E177" s="4">
        <v>0</v>
      </c>
      <c r="F177" s="4">
        <v>1</v>
      </c>
      <c r="G177" s="2" t="s">
        <v>79</v>
      </c>
    </row>
    <row r="178" spans="1:7" x14ac:dyDescent="0.2">
      <c r="A178" s="4">
        <v>5.4</v>
      </c>
      <c r="B178" s="4">
        <v>12</v>
      </c>
      <c r="C178" s="4">
        <v>3</v>
      </c>
      <c r="D178" s="4">
        <v>0</v>
      </c>
      <c r="E178" s="4">
        <v>1</v>
      </c>
      <c r="F178" s="4">
        <v>0</v>
      </c>
      <c r="G178" s="2" t="s">
        <v>79</v>
      </c>
    </row>
    <row r="179" spans="1:7" x14ac:dyDescent="0.2">
      <c r="A179" s="4">
        <v>5</v>
      </c>
      <c r="B179" s="4">
        <v>12</v>
      </c>
      <c r="C179" s="4">
        <v>3</v>
      </c>
      <c r="D179" s="4">
        <v>1</v>
      </c>
      <c r="E179" s="4">
        <v>0</v>
      </c>
      <c r="F179" s="4">
        <v>1</v>
      </c>
      <c r="G179" s="2" t="s">
        <v>79</v>
      </c>
    </row>
    <row r="180" spans="1:7" x14ac:dyDescent="0.2">
      <c r="A180" s="4">
        <v>10</v>
      </c>
      <c r="B180" s="4">
        <v>17</v>
      </c>
      <c r="C180" s="4">
        <v>3</v>
      </c>
      <c r="D180" s="4">
        <v>0</v>
      </c>
      <c r="E180" s="4">
        <v>1</v>
      </c>
      <c r="F180" s="4">
        <v>0</v>
      </c>
      <c r="G180" s="2" t="s">
        <v>79</v>
      </c>
    </row>
    <row r="181" spans="1:7" x14ac:dyDescent="0.2">
      <c r="A181" s="4">
        <v>6.25</v>
      </c>
      <c r="B181" s="4">
        <v>16</v>
      </c>
      <c r="C181" s="4">
        <v>3</v>
      </c>
      <c r="D181" s="4">
        <v>0</v>
      </c>
      <c r="E181" s="4">
        <v>1</v>
      </c>
      <c r="F181" s="4">
        <v>1</v>
      </c>
      <c r="G181" s="2" t="s">
        <v>79</v>
      </c>
    </row>
    <row r="182" spans="1:7" x14ac:dyDescent="0.2">
      <c r="A182" s="4">
        <v>8.92</v>
      </c>
      <c r="B182" s="4">
        <v>18</v>
      </c>
      <c r="C182" s="4">
        <v>3</v>
      </c>
      <c r="D182" s="4">
        <v>0</v>
      </c>
      <c r="E182" s="4">
        <v>1</v>
      </c>
      <c r="F182" s="4">
        <v>0</v>
      </c>
      <c r="G182" s="2" t="s">
        <v>79</v>
      </c>
    </row>
    <row r="183" spans="1:7" x14ac:dyDescent="0.2">
      <c r="A183" s="4">
        <v>9.56</v>
      </c>
      <c r="B183" s="4">
        <v>16</v>
      </c>
      <c r="C183" s="4">
        <v>3</v>
      </c>
      <c r="D183" s="4">
        <v>0</v>
      </c>
      <c r="E183" s="4">
        <v>1</v>
      </c>
      <c r="F183" s="4">
        <v>1</v>
      </c>
      <c r="G183" s="2" t="s">
        <v>79</v>
      </c>
    </row>
    <row r="184" spans="1:7" x14ac:dyDescent="0.2">
      <c r="A184" s="4">
        <v>3</v>
      </c>
      <c r="B184" s="4">
        <v>14</v>
      </c>
      <c r="C184" s="4">
        <v>3</v>
      </c>
      <c r="D184" s="4">
        <v>1</v>
      </c>
      <c r="E184" s="4">
        <v>1</v>
      </c>
      <c r="F184" s="4">
        <v>1</v>
      </c>
      <c r="G184" s="2" t="s">
        <v>79</v>
      </c>
    </row>
    <row r="185" spans="1:7" x14ac:dyDescent="0.2">
      <c r="A185" s="4">
        <v>2.92</v>
      </c>
      <c r="B185" s="4">
        <v>14</v>
      </c>
      <c r="C185" s="4">
        <v>3</v>
      </c>
      <c r="D185" s="4">
        <v>0</v>
      </c>
      <c r="E185" s="4">
        <v>0</v>
      </c>
      <c r="F185" s="4">
        <v>0</v>
      </c>
      <c r="G185" s="2" t="s">
        <v>79</v>
      </c>
    </row>
    <row r="186" spans="1:7" x14ac:dyDescent="0.2">
      <c r="A186" s="4">
        <v>4.75</v>
      </c>
      <c r="B186" s="4">
        <v>12</v>
      </c>
      <c r="C186" s="4">
        <v>2</v>
      </c>
      <c r="D186" s="4">
        <v>1</v>
      </c>
      <c r="E186" s="4">
        <v>1</v>
      </c>
      <c r="F186" s="4">
        <v>0</v>
      </c>
      <c r="G186" s="2" t="s">
        <v>79</v>
      </c>
    </row>
    <row r="187" spans="1:7" x14ac:dyDescent="0.2">
      <c r="A187" s="4">
        <v>5</v>
      </c>
      <c r="B187" s="10">
        <v>12</v>
      </c>
      <c r="C187" s="4">
        <v>2</v>
      </c>
      <c r="D187" s="4">
        <v>0</v>
      </c>
      <c r="E187" s="4">
        <v>0</v>
      </c>
      <c r="F187" s="4">
        <v>0</v>
      </c>
      <c r="G187" s="2" t="s">
        <v>79</v>
      </c>
    </row>
    <row r="188" spans="1:7" x14ac:dyDescent="0.2">
      <c r="A188" s="4">
        <v>3.25</v>
      </c>
      <c r="B188" s="4">
        <v>12</v>
      </c>
      <c r="C188" s="4">
        <v>2</v>
      </c>
      <c r="D188" s="4">
        <v>1</v>
      </c>
      <c r="E188" s="4">
        <v>0</v>
      </c>
      <c r="F188" s="4">
        <v>0</v>
      </c>
      <c r="G188" s="2" t="s">
        <v>79</v>
      </c>
    </row>
    <row r="189" spans="1:7" x14ac:dyDescent="0.2">
      <c r="A189" s="4">
        <v>4.55</v>
      </c>
      <c r="B189" s="4">
        <v>16</v>
      </c>
      <c r="C189" s="4">
        <v>2</v>
      </c>
      <c r="D189" s="4">
        <v>0</v>
      </c>
      <c r="E189" s="4">
        <v>1</v>
      </c>
      <c r="F189" s="4">
        <v>0</v>
      </c>
      <c r="G189" s="2" t="s">
        <v>79</v>
      </c>
    </row>
    <row r="190" spans="1:7" x14ac:dyDescent="0.2">
      <c r="A190" s="4">
        <v>3.73</v>
      </c>
      <c r="B190" s="4">
        <v>9</v>
      </c>
      <c r="C190" s="4">
        <v>2</v>
      </c>
      <c r="D190" s="10">
        <v>2</v>
      </c>
      <c r="E190" s="4">
        <v>0</v>
      </c>
      <c r="F190" s="4">
        <v>0</v>
      </c>
      <c r="G190" s="2" t="s">
        <v>79</v>
      </c>
    </row>
    <row r="191" spans="1:7" x14ac:dyDescent="0.2">
      <c r="A191" s="4">
        <v>6.5</v>
      </c>
      <c r="B191" s="4">
        <v>12</v>
      </c>
      <c r="C191" s="4">
        <v>2</v>
      </c>
      <c r="D191" s="4">
        <v>0</v>
      </c>
      <c r="E191" s="4">
        <v>1</v>
      </c>
      <c r="F191" s="4">
        <v>0</v>
      </c>
      <c r="G191" s="2" t="s">
        <v>79</v>
      </c>
    </row>
    <row r="192" spans="1:7" x14ac:dyDescent="0.2">
      <c r="A192" s="4">
        <v>4.6500000000000004</v>
      </c>
      <c r="B192" s="4">
        <v>12</v>
      </c>
      <c r="C192" s="4">
        <v>2</v>
      </c>
      <c r="D192" s="4">
        <v>0</v>
      </c>
      <c r="E192" s="4">
        <v>1</v>
      </c>
      <c r="F192" s="4">
        <v>0</v>
      </c>
      <c r="G192" s="2" t="s">
        <v>79</v>
      </c>
    </row>
    <row r="193" spans="1:7" x14ac:dyDescent="0.2">
      <c r="A193" s="4">
        <v>8</v>
      </c>
      <c r="B193" s="4">
        <v>12</v>
      </c>
      <c r="C193" s="4">
        <v>2</v>
      </c>
      <c r="D193" s="4">
        <v>0</v>
      </c>
      <c r="E193" s="4">
        <v>1</v>
      </c>
      <c r="F193" s="4">
        <v>0</v>
      </c>
      <c r="G193" s="2" t="s">
        <v>79</v>
      </c>
    </row>
    <row r="194" spans="1:7" x14ac:dyDescent="0.2">
      <c r="A194" s="4">
        <v>4.5</v>
      </c>
      <c r="B194" s="4">
        <v>13</v>
      </c>
      <c r="C194" s="4">
        <v>2</v>
      </c>
      <c r="D194" s="4">
        <v>1</v>
      </c>
      <c r="E194" s="4">
        <v>0</v>
      </c>
      <c r="F194" s="4">
        <v>0</v>
      </c>
      <c r="G194" s="2" t="s">
        <v>79</v>
      </c>
    </row>
    <row r="195" spans="1:7" x14ac:dyDescent="0.2">
      <c r="A195" s="4">
        <v>3.5</v>
      </c>
      <c r="B195" s="4">
        <v>11</v>
      </c>
      <c r="C195" s="4">
        <v>2</v>
      </c>
      <c r="D195" s="4">
        <v>1</v>
      </c>
      <c r="E195" s="4">
        <v>0</v>
      </c>
      <c r="F195" s="4">
        <v>0</v>
      </c>
      <c r="G195" s="2" t="s">
        <v>79</v>
      </c>
    </row>
    <row r="196" spans="1:7" x14ac:dyDescent="0.2">
      <c r="A196" s="4">
        <v>2.9</v>
      </c>
      <c r="B196" s="4">
        <v>10</v>
      </c>
      <c r="C196" s="4">
        <v>2</v>
      </c>
      <c r="D196" s="4">
        <v>1</v>
      </c>
      <c r="E196" s="4">
        <v>0</v>
      </c>
      <c r="F196" s="4">
        <v>0</v>
      </c>
      <c r="G196" s="2" t="s">
        <v>79</v>
      </c>
    </row>
    <row r="197" spans="1:7" x14ac:dyDescent="0.2">
      <c r="A197" s="4">
        <v>3.24</v>
      </c>
      <c r="B197" s="4">
        <v>12</v>
      </c>
      <c r="C197" s="4">
        <v>2</v>
      </c>
      <c r="D197" s="4">
        <v>1</v>
      </c>
      <c r="E197" s="4">
        <v>1</v>
      </c>
      <c r="F197" s="4">
        <v>1</v>
      </c>
      <c r="G197" s="2" t="s">
        <v>79</v>
      </c>
    </row>
    <row r="198" spans="1:7" x14ac:dyDescent="0.2">
      <c r="A198" s="4">
        <v>3.83</v>
      </c>
      <c r="B198" s="4">
        <v>12</v>
      </c>
      <c r="C198" s="4">
        <v>2</v>
      </c>
      <c r="D198" s="4">
        <v>1</v>
      </c>
      <c r="E198" s="4">
        <v>0</v>
      </c>
      <c r="F198" s="4">
        <v>0</v>
      </c>
      <c r="G198" s="2" t="s">
        <v>79</v>
      </c>
    </row>
    <row r="199" spans="1:7" x14ac:dyDescent="0.2">
      <c r="A199" s="4">
        <v>3.5</v>
      </c>
      <c r="B199" s="4">
        <v>14</v>
      </c>
      <c r="C199" s="4">
        <v>2</v>
      </c>
      <c r="D199" s="4">
        <v>0</v>
      </c>
      <c r="E199" s="4">
        <v>1</v>
      </c>
      <c r="F199" s="4">
        <v>0</v>
      </c>
      <c r="G199" s="2" t="s">
        <v>79</v>
      </c>
    </row>
    <row r="200" spans="1:7" x14ac:dyDescent="0.2">
      <c r="A200" s="4">
        <v>13.08</v>
      </c>
      <c r="B200" s="4">
        <v>17</v>
      </c>
      <c r="C200" s="4">
        <v>2</v>
      </c>
      <c r="D200" s="4">
        <v>0</v>
      </c>
      <c r="E200" s="4">
        <v>1</v>
      </c>
      <c r="F200" s="4">
        <v>0</v>
      </c>
      <c r="G200" s="2" t="s">
        <v>79</v>
      </c>
    </row>
    <row r="201" spans="1:7" x14ac:dyDescent="0.2">
      <c r="A201" s="4">
        <v>10.38</v>
      </c>
      <c r="B201" s="4">
        <v>18</v>
      </c>
      <c r="C201" s="4">
        <v>2</v>
      </c>
      <c r="D201" s="4">
        <v>0</v>
      </c>
      <c r="E201" s="4">
        <v>1</v>
      </c>
      <c r="F201" s="4">
        <v>0</v>
      </c>
      <c r="G201" s="2" t="s">
        <v>79</v>
      </c>
    </row>
    <row r="202" spans="1:7" x14ac:dyDescent="0.2">
      <c r="A202" s="4">
        <v>2.95</v>
      </c>
      <c r="B202" s="4">
        <v>8</v>
      </c>
      <c r="C202" s="4">
        <v>2</v>
      </c>
      <c r="D202" s="4">
        <v>1</v>
      </c>
      <c r="E202" s="4">
        <v>1</v>
      </c>
      <c r="F202" s="4">
        <v>0</v>
      </c>
      <c r="G202" s="2" t="s">
        <v>79</v>
      </c>
    </row>
    <row r="203" spans="1:7" x14ac:dyDescent="0.2">
      <c r="A203" s="4">
        <v>3.25</v>
      </c>
      <c r="B203" s="4">
        <v>12</v>
      </c>
      <c r="C203" s="4">
        <v>2</v>
      </c>
      <c r="D203" s="4">
        <v>1</v>
      </c>
      <c r="E203" s="4">
        <v>1</v>
      </c>
      <c r="F203" s="4">
        <v>0</v>
      </c>
      <c r="G203" s="2" t="s">
        <v>79</v>
      </c>
    </row>
    <row r="204" spans="1:7" x14ac:dyDescent="0.2">
      <c r="A204" s="4">
        <v>15</v>
      </c>
      <c r="B204" s="4">
        <v>16</v>
      </c>
      <c r="C204" s="4">
        <v>2</v>
      </c>
      <c r="D204" s="4">
        <v>1</v>
      </c>
      <c r="E204" s="4">
        <v>1</v>
      </c>
      <c r="F204" s="4">
        <v>1</v>
      </c>
      <c r="G204" s="2" t="s">
        <v>79</v>
      </c>
    </row>
    <row r="205" spans="1:7" x14ac:dyDescent="0.2">
      <c r="A205" s="4">
        <v>6.25</v>
      </c>
      <c r="B205" s="10">
        <v>12</v>
      </c>
      <c r="C205" s="4">
        <v>2</v>
      </c>
      <c r="D205" s="4">
        <v>0</v>
      </c>
      <c r="E205" s="4">
        <v>1</v>
      </c>
      <c r="F205" s="4">
        <v>0</v>
      </c>
      <c r="G205" s="2" t="s">
        <v>79</v>
      </c>
    </row>
    <row r="206" spans="1:7" x14ac:dyDescent="0.2">
      <c r="A206" s="4">
        <v>7.26</v>
      </c>
      <c r="B206" s="4">
        <v>13</v>
      </c>
      <c r="C206" s="4">
        <v>2</v>
      </c>
      <c r="D206" s="4">
        <v>0</v>
      </c>
      <c r="E206" s="4">
        <v>0</v>
      </c>
      <c r="F206" s="4">
        <v>0</v>
      </c>
      <c r="G206" s="2" t="s">
        <v>79</v>
      </c>
    </row>
    <row r="207" spans="1:7" x14ac:dyDescent="0.2">
      <c r="A207" s="4">
        <v>6.25</v>
      </c>
      <c r="B207" s="4">
        <v>16</v>
      </c>
      <c r="C207" s="4">
        <v>2</v>
      </c>
      <c r="D207" s="10">
        <v>2</v>
      </c>
      <c r="E207" s="4">
        <v>0</v>
      </c>
      <c r="F207" s="4">
        <v>1</v>
      </c>
      <c r="G207" s="2" t="s">
        <v>79</v>
      </c>
    </row>
    <row r="208" spans="1:7" x14ac:dyDescent="0.2">
      <c r="A208" s="4">
        <v>5.3</v>
      </c>
      <c r="B208" s="4">
        <v>12</v>
      </c>
      <c r="C208" s="4">
        <v>2</v>
      </c>
      <c r="D208" s="4">
        <v>0</v>
      </c>
      <c r="E208" s="4">
        <v>1</v>
      </c>
      <c r="F208" s="4">
        <v>1</v>
      </c>
      <c r="G208" s="2" t="s">
        <v>79</v>
      </c>
    </row>
    <row r="209" spans="1:7" x14ac:dyDescent="0.2">
      <c r="A209" s="4">
        <v>3.51</v>
      </c>
      <c r="B209" s="4">
        <v>12</v>
      </c>
      <c r="C209" s="4">
        <v>2</v>
      </c>
      <c r="D209" s="4">
        <v>1</v>
      </c>
      <c r="E209" s="4">
        <v>1</v>
      </c>
      <c r="F209" s="4">
        <v>0</v>
      </c>
      <c r="G209" s="2" t="s">
        <v>79</v>
      </c>
    </row>
    <row r="210" spans="1:7" x14ac:dyDescent="0.2">
      <c r="A210" s="4">
        <v>7.5</v>
      </c>
      <c r="B210" s="4">
        <v>16</v>
      </c>
      <c r="C210" s="4">
        <v>2</v>
      </c>
      <c r="D210" s="4">
        <v>1</v>
      </c>
      <c r="E210" s="4">
        <v>1</v>
      </c>
      <c r="F210" s="4">
        <v>0</v>
      </c>
      <c r="G210" s="2" t="s">
        <v>79</v>
      </c>
    </row>
    <row r="211" spans="1:7" x14ac:dyDescent="0.2">
      <c r="A211" s="4">
        <v>3.5</v>
      </c>
      <c r="B211" s="4">
        <v>12</v>
      </c>
      <c r="C211" s="4">
        <v>2</v>
      </c>
      <c r="D211" s="4">
        <v>1</v>
      </c>
      <c r="E211" s="4">
        <v>0</v>
      </c>
      <c r="F211" s="4">
        <v>0</v>
      </c>
      <c r="G211" s="2" t="s">
        <v>79</v>
      </c>
    </row>
    <row r="212" spans="1:7" x14ac:dyDescent="0.2">
      <c r="A212" s="4">
        <v>12.5</v>
      </c>
      <c r="B212" s="4">
        <v>18</v>
      </c>
      <c r="C212" s="4">
        <v>2</v>
      </c>
      <c r="D212" s="4">
        <v>0</v>
      </c>
      <c r="E212" s="4">
        <v>0</v>
      </c>
      <c r="F212" s="4">
        <v>0</v>
      </c>
      <c r="G212" s="2" t="s">
        <v>79</v>
      </c>
    </row>
    <row r="213" spans="1:7" x14ac:dyDescent="0.2">
      <c r="A213" s="4">
        <v>8.33</v>
      </c>
      <c r="B213" s="4">
        <v>16</v>
      </c>
      <c r="C213" s="4">
        <v>2</v>
      </c>
      <c r="D213" s="4">
        <v>0</v>
      </c>
      <c r="E213" s="4">
        <v>1</v>
      </c>
      <c r="F213" s="4">
        <v>1</v>
      </c>
      <c r="G213" s="2" t="s">
        <v>79</v>
      </c>
    </row>
    <row r="214" spans="1:7" x14ac:dyDescent="0.2">
      <c r="A214" s="4">
        <v>4.25</v>
      </c>
      <c r="B214" s="4">
        <v>14</v>
      </c>
      <c r="C214" s="4">
        <v>2</v>
      </c>
      <c r="D214" s="4">
        <v>0</v>
      </c>
      <c r="E214" s="4">
        <v>1</v>
      </c>
      <c r="F214" s="4">
        <v>0</v>
      </c>
      <c r="G214" s="2" t="s">
        <v>79</v>
      </c>
    </row>
    <row r="215" spans="1:7" x14ac:dyDescent="0.2">
      <c r="A215" s="4">
        <v>4.34</v>
      </c>
      <c r="B215" s="4">
        <v>16</v>
      </c>
      <c r="C215" s="4">
        <v>2</v>
      </c>
      <c r="D215" s="4">
        <v>1</v>
      </c>
      <c r="E215" s="4">
        <v>0</v>
      </c>
      <c r="F215" s="4">
        <v>0</v>
      </c>
      <c r="G215" s="2" t="s">
        <v>79</v>
      </c>
    </row>
    <row r="216" spans="1:7" x14ac:dyDescent="0.2">
      <c r="A216" s="4">
        <v>4.51</v>
      </c>
      <c r="B216" s="4">
        <v>12</v>
      </c>
      <c r="C216" s="4">
        <v>2</v>
      </c>
      <c r="D216" s="4">
        <v>0</v>
      </c>
      <c r="E216" s="4">
        <v>0</v>
      </c>
      <c r="F216" s="4">
        <v>0</v>
      </c>
      <c r="G216" s="2" t="s">
        <v>79</v>
      </c>
    </row>
    <row r="217" spans="1:7" x14ac:dyDescent="0.2">
      <c r="A217" s="4">
        <v>3.75</v>
      </c>
      <c r="B217" s="10">
        <v>12</v>
      </c>
      <c r="C217" s="4">
        <v>2</v>
      </c>
      <c r="D217" s="4">
        <v>1</v>
      </c>
      <c r="E217" s="4">
        <v>1</v>
      </c>
      <c r="F217" s="4">
        <v>0</v>
      </c>
      <c r="G217" s="2" t="s">
        <v>79</v>
      </c>
    </row>
    <row r="218" spans="1:7" x14ac:dyDescent="0.2">
      <c r="A218" s="4">
        <v>6.53</v>
      </c>
      <c r="B218" s="4">
        <v>16</v>
      </c>
      <c r="C218" s="4">
        <v>2</v>
      </c>
      <c r="D218" s="4">
        <v>1</v>
      </c>
      <c r="E218" s="4">
        <v>0</v>
      </c>
      <c r="F218" s="4">
        <v>0</v>
      </c>
      <c r="G218" s="2" t="s">
        <v>79</v>
      </c>
    </row>
    <row r="219" spans="1:7" x14ac:dyDescent="0.2">
      <c r="A219" s="4">
        <v>8.6</v>
      </c>
      <c r="B219" s="4">
        <v>16</v>
      </c>
      <c r="C219" s="4">
        <v>2</v>
      </c>
      <c r="D219" s="4">
        <v>1</v>
      </c>
      <c r="E219" s="4">
        <v>0</v>
      </c>
      <c r="F219" s="4">
        <v>0</v>
      </c>
      <c r="G219" s="2" t="s">
        <v>79</v>
      </c>
    </row>
    <row r="220" spans="1:7" x14ac:dyDescent="0.2">
      <c r="A220" s="4">
        <v>8.75</v>
      </c>
      <c r="B220" s="4">
        <v>16</v>
      </c>
      <c r="C220" s="4">
        <v>2</v>
      </c>
      <c r="D220" s="4">
        <v>0</v>
      </c>
      <c r="E220" s="4">
        <v>1</v>
      </c>
      <c r="F220" s="4">
        <v>0</v>
      </c>
      <c r="G220" s="2" t="s">
        <v>79</v>
      </c>
    </row>
    <row r="221" spans="1:7" x14ac:dyDescent="0.2">
      <c r="A221" s="4">
        <v>10</v>
      </c>
      <c r="B221" s="4">
        <v>16</v>
      </c>
      <c r="C221" s="4">
        <v>2</v>
      </c>
      <c r="D221" s="4">
        <v>0</v>
      </c>
      <c r="E221" s="4">
        <v>1</v>
      </c>
      <c r="F221" s="4">
        <v>0</v>
      </c>
      <c r="G221" s="2" t="s">
        <v>79</v>
      </c>
    </row>
    <row r="222" spans="1:7" x14ac:dyDescent="0.2">
      <c r="A222" s="4">
        <v>5.63</v>
      </c>
      <c r="B222" s="4">
        <v>16</v>
      </c>
      <c r="C222" s="4">
        <v>2</v>
      </c>
      <c r="D222" s="4">
        <v>0</v>
      </c>
      <c r="E222" s="4">
        <v>1</v>
      </c>
      <c r="F222" s="4">
        <v>0</v>
      </c>
      <c r="G222" s="2" t="s">
        <v>79</v>
      </c>
    </row>
    <row r="223" spans="1:7" x14ac:dyDescent="0.2">
      <c r="A223" s="4">
        <v>3.2</v>
      </c>
      <c r="B223" s="4">
        <v>15</v>
      </c>
      <c r="C223" s="4">
        <v>2</v>
      </c>
      <c r="D223" s="4">
        <v>1</v>
      </c>
      <c r="E223" s="4">
        <v>0</v>
      </c>
      <c r="F223" s="4">
        <v>0</v>
      </c>
      <c r="G223" s="2" t="s">
        <v>79</v>
      </c>
    </row>
    <row r="224" spans="1:7" x14ac:dyDescent="0.2">
      <c r="A224" s="4">
        <v>2.9</v>
      </c>
      <c r="B224" s="4">
        <v>12</v>
      </c>
      <c r="C224" s="4">
        <v>2</v>
      </c>
      <c r="D224" s="4">
        <v>1</v>
      </c>
      <c r="E224" s="4">
        <v>0</v>
      </c>
      <c r="F224" s="4">
        <v>1</v>
      </c>
      <c r="G224" s="2" t="s">
        <v>79</v>
      </c>
    </row>
    <row r="225" spans="1:7" x14ac:dyDescent="0.2">
      <c r="A225" s="4">
        <v>6</v>
      </c>
      <c r="B225" s="4">
        <v>16</v>
      </c>
      <c r="C225" s="4">
        <v>2</v>
      </c>
      <c r="D225" s="4">
        <v>0</v>
      </c>
      <c r="E225" s="4">
        <v>0</v>
      </c>
      <c r="F225" s="4">
        <v>0</v>
      </c>
      <c r="G225" s="2" t="s">
        <v>79</v>
      </c>
    </row>
    <row r="226" spans="1:7" x14ac:dyDescent="0.2">
      <c r="A226" s="4">
        <v>3.5</v>
      </c>
      <c r="B226" s="4">
        <v>13</v>
      </c>
      <c r="C226" s="4">
        <v>2</v>
      </c>
      <c r="D226" s="4">
        <v>0</v>
      </c>
      <c r="E226" s="4">
        <v>0</v>
      </c>
      <c r="F226" s="4">
        <v>0</v>
      </c>
      <c r="G226" s="2" t="s">
        <v>79</v>
      </c>
    </row>
    <row r="227" spans="1:7" x14ac:dyDescent="0.2">
      <c r="A227" s="4">
        <v>3.75</v>
      </c>
      <c r="B227" s="4">
        <v>18</v>
      </c>
      <c r="C227" s="4">
        <v>2</v>
      </c>
      <c r="D227" s="4">
        <v>0</v>
      </c>
      <c r="E227" s="4">
        <v>0</v>
      </c>
      <c r="F227" s="4">
        <v>0</v>
      </c>
      <c r="G227" s="2" t="s">
        <v>79</v>
      </c>
    </row>
    <row r="228" spans="1:7" x14ac:dyDescent="0.2">
      <c r="A228" s="4">
        <v>8.75</v>
      </c>
      <c r="B228" s="4">
        <v>16</v>
      </c>
      <c r="C228" s="4">
        <v>2</v>
      </c>
      <c r="D228" s="4">
        <v>0</v>
      </c>
      <c r="E228" s="4">
        <v>0</v>
      </c>
      <c r="F228" s="4">
        <v>0</v>
      </c>
      <c r="G228" s="2" t="s">
        <v>79</v>
      </c>
    </row>
    <row r="229" spans="1:7" x14ac:dyDescent="0.2">
      <c r="A229" s="4">
        <v>2.9</v>
      </c>
      <c r="B229" s="4">
        <v>11</v>
      </c>
      <c r="C229" s="4">
        <v>2</v>
      </c>
      <c r="D229" s="4">
        <v>0</v>
      </c>
      <c r="E229" s="4">
        <v>0</v>
      </c>
      <c r="F229" s="4">
        <v>0</v>
      </c>
      <c r="G229" s="2" t="s">
        <v>79</v>
      </c>
    </row>
    <row r="230" spans="1:7" x14ac:dyDescent="0.2">
      <c r="A230" s="4">
        <v>3.52</v>
      </c>
      <c r="B230" s="4">
        <v>12</v>
      </c>
      <c r="C230" s="4">
        <v>1</v>
      </c>
      <c r="D230" s="4">
        <v>0</v>
      </c>
      <c r="E230" s="4">
        <v>1</v>
      </c>
      <c r="F230" s="4">
        <v>0</v>
      </c>
      <c r="G230" s="2" t="s">
        <v>79</v>
      </c>
    </row>
    <row r="231" spans="1:7" x14ac:dyDescent="0.2">
      <c r="A231" s="4">
        <v>3</v>
      </c>
      <c r="B231" s="4">
        <v>8</v>
      </c>
      <c r="C231" s="4">
        <v>1</v>
      </c>
      <c r="D231" s="4">
        <v>1</v>
      </c>
      <c r="E231" s="4">
        <v>1</v>
      </c>
      <c r="F231" s="4">
        <v>0</v>
      </c>
      <c r="G231" s="2" t="s">
        <v>79</v>
      </c>
    </row>
    <row r="232" spans="1:7" x14ac:dyDescent="0.2">
      <c r="A232" s="4">
        <v>2.9</v>
      </c>
      <c r="B232" s="4">
        <v>12</v>
      </c>
      <c r="C232" s="4">
        <v>1</v>
      </c>
      <c r="D232" s="4">
        <v>1</v>
      </c>
      <c r="E232" s="4">
        <v>1</v>
      </c>
      <c r="F232" s="4">
        <v>0</v>
      </c>
      <c r="G232" s="2" t="s">
        <v>79</v>
      </c>
    </row>
    <row r="233" spans="1:7" x14ac:dyDescent="0.2">
      <c r="A233" s="4">
        <v>9</v>
      </c>
      <c r="B233" s="4">
        <v>12</v>
      </c>
      <c r="C233" s="4">
        <v>1</v>
      </c>
      <c r="D233" s="4">
        <v>0</v>
      </c>
      <c r="E233" s="4">
        <v>1</v>
      </c>
      <c r="F233" s="4">
        <v>0</v>
      </c>
      <c r="G233" s="2" t="s">
        <v>79</v>
      </c>
    </row>
    <row r="234" spans="1:7" x14ac:dyDescent="0.2">
      <c r="A234" s="4">
        <v>3</v>
      </c>
      <c r="B234" s="4">
        <v>12</v>
      </c>
      <c r="C234" s="4">
        <v>1</v>
      </c>
      <c r="D234" s="10">
        <v>2</v>
      </c>
      <c r="E234" s="4">
        <v>0</v>
      </c>
      <c r="F234" s="4">
        <v>1</v>
      </c>
      <c r="G234" s="2" t="s">
        <v>79</v>
      </c>
    </row>
    <row r="235" spans="1:7" x14ac:dyDescent="0.2">
      <c r="A235" s="4">
        <v>3.5</v>
      </c>
      <c r="B235" s="4">
        <v>13</v>
      </c>
      <c r="C235" s="4">
        <v>1</v>
      </c>
      <c r="D235" s="4">
        <v>1</v>
      </c>
      <c r="E235" s="4">
        <v>1</v>
      </c>
      <c r="F235" s="4">
        <v>0</v>
      </c>
      <c r="G235" s="2" t="s">
        <v>79</v>
      </c>
    </row>
    <row r="236" spans="1:7" x14ac:dyDescent="0.2">
      <c r="A236" s="4">
        <v>3</v>
      </c>
      <c r="B236" s="4">
        <v>7</v>
      </c>
      <c r="C236" s="4">
        <v>1</v>
      </c>
      <c r="D236" s="4">
        <v>1</v>
      </c>
      <c r="E236" s="4">
        <v>0</v>
      </c>
      <c r="F236" s="4">
        <v>0</v>
      </c>
      <c r="G236" s="2" t="s">
        <v>79</v>
      </c>
    </row>
    <row r="237" spans="1:7" x14ac:dyDescent="0.2">
      <c r="A237" s="4">
        <v>4</v>
      </c>
      <c r="B237" s="4">
        <v>9</v>
      </c>
      <c r="C237" s="4">
        <v>1</v>
      </c>
      <c r="D237" s="4">
        <v>1</v>
      </c>
      <c r="E237" s="4">
        <v>1</v>
      </c>
      <c r="F237" s="4">
        <v>0</v>
      </c>
      <c r="G237" s="2" t="s">
        <v>79</v>
      </c>
    </row>
    <row r="238" spans="1:7" x14ac:dyDescent="0.2">
      <c r="A238" s="4">
        <v>2.9</v>
      </c>
      <c r="B238" s="4">
        <v>12</v>
      </c>
      <c r="C238" s="4">
        <v>1</v>
      </c>
      <c r="D238" s="4">
        <v>1</v>
      </c>
      <c r="E238" s="4">
        <v>1</v>
      </c>
      <c r="F238" s="4">
        <v>0</v>
      </c>
      <c r="G238" s="2" t="s">
        <v>79</v>
      </c>
    </row>
    <row r="239" spans="1:7" x14ac:dyDescent="0.2">
      <c r="A239" s="4">
        <v>4.63</v>
      </c>
      <c r="B239" s="4">
        <v>12</v>
      </c>
      <c r="C239" s="4">
        <v>1</v>
      </c>
      <c r="D239" s="4">
        <v>1</v>
      </c>
      <c r="E239" s="4">
        <v>0</v>
      </c>
      <c r="F239" s="4">
        <v>0</v>
      </c>
      <c r="G239" s="2" t="s">
        <v>79</v>
      </c>
    </row>
    <row r="240" spans="1:7" x14ac:dyDescent="0.2">
      <c r="A240" s="4">
        <v>4.72</v>
      </c>
      <c r="B240" s="4">
        <v>12</v>
      </c>
      <c r="C240" s="4">
        <v>1</v>
      </c>
      <c r="D240" s="4">
        <v>1</v>
      </c>
      <c r="E240" s="4">
        <v>0</v>
      </c>
      <c r="F240" s="4">
        <v>0</v>
      </c>
      <c r="G240" s="2" t="s">
        <v>79</v>
      </c>
    </row>
    <row r="241" spans="1:7" x14ac:dyDescent="0.2">
      <c r="A241" s="4">
        <v>2.9</v>
      </c>
      <c r="B241" s="4">
        <v>12</v>
      </c>
      <c r="C241" s="4">
        <v>1</v>
      </c>
      <c r="D241" s="4">
        <v>1</v>
      </c>
      <c r="E241" s="4">
        <v>1</v>
      </c>
      <c r="F241" s="4">
        <v>1</v>
      </c>
      <c r="G241" s="2" t="s">
        <v>79</v>
      </c>
    </row>
    <row r="242" spans="1:7" x14ac:dyDescent="0.2">
      <c r="A242" s="4">
        <v>5</v>
      </c>
      <c r="B242" s="4">
        <v>11</v>
      </c>
      <c r="C242" s="4">
        <v>1</v>
      </c>
      <c r="D242" s="4">
        <v>0</v>
      </c>
      <c r="E242" s="4">
        <v>1</v>
      </c>
      <c r="F242" s="4">
        <v>0</v>
      </c>
      <c r="G242" s="2" t="s">
        <v>79</v>
      </c>
    </row>
    <row r="243" spans="1:7" x14ac:dyDescent="0.2">
      <c r="A243" s="4">
        <v>8.65</v>
      </c>
      <c r="B243" s="4">
        <v>18</v>
      </c>
      <c r="C243" s="4">
        <v>1</v>
      </c>
      <c r="D243" s="4">
        <v>1</v>
      </c>
      <c r="E243" s="4">
        <v>0</v>
      </c>
      <c r="F243" s="4">
        <v>0</v>
      </c>
      <c r="G243" s="2" t="s">
        <v>79</v>
      </c>
    </row>
    <row r="244" spans="1:7" x14ac:dyDescent="0.2">
      <c r="A244" s="4">
        <v>1.5</v>
      </c>
      <c r="B244" s="4">
        <v>12</v>
      </c>
      <c r="C244" s="4">
        <v>1</v>
      </c>
      <c r="D244" s="4">
        <v>1</v>
      </c>
      <c r="E244" s="4">
        <v>1</v>
      </c>
      <c r="F244" s="4">
        <v>0</v>
      </c>
      <c r="G244" s="2" t="s">
        <v>79</v>
      </c>
    </row>
    <row r="245" spans="1:7" x14ac:dyDescent="0.2">
      <c r="A245" s="4">
        <v>6.35</v>
      </c>
      <c r="B245" s="4">
        <v>14</v>
      </c>
      <c r="C245" s="4">
        <v>1</v>
      </c>
      <c r="D245" s="4">
        <v>1</v>
      </c>
      <c r="E245" s="4">
        <v>1</v>
      </c>
      <c r="F245" s="4">
        <v>0</v>
      </c>
      <c r="G245" s="2" t="s">
        <v>79</v>
      </c>
    </row>
    <row r="246" spans="1:7" x14ac:dyDescent="0.2">
      <c r="A246" s="4">
        <v>3.25</v>
      </c>
      <c r="B246" s="4">
        <v>8</v>
      </c>
      <c r="C246" s="4">
        <v>1</v>
      </c>
      <c r="D246" s="4">
        <v>1</v>
      </c>
      <c r="E246" s="4">
        <v>1</v>
      </c>
      <c r="F246" s="4">
        <v>1</v>
      </c>
      <c r="G246" s="2" t="s">
        <v>79</v>
      </c>
    </row>
    <row r="247" spans="1:7" x14ac:dyDescent="0.2">
      <c r="A247" s="4">
        <v>3.35</v>
      </c>
      <c r="B247" s="4">
        <v>12</v>
      </c>
      <c r="C247" s="4">
        <v>1</v>
      </c>
      <c r="D247" s="4">
        <v>0</v>
      </c>
      <c r="E247" s="4">
        <v>1</v>
      </c>
      <c r="F247" s="4">
        <v>0</v>
      </c>
      <c r="G247" s="2" t="s">
        <v>79</v>
      </c>
    </row>
    <row r="248" spans="1:7" x14ac:dyDescent="0.2">
      <c r="A248" s="4">
        <v>8.8000000000000007</v>
      </c>
      <c r="B248" s="4">
        <v>16</v>
      </c>
      <c r="C248" s="4">
        <v>1</v>
      </c>
      <c r="D248" s="4">
        <v>0</v>
      </c>
      <c r="E248" s="4">
        <v>1</v>
      </c>
      <c r="F248" s="4">
        <v>0</v>
      </c>
      <c r="G248" s="2" t="s">
        <v>79</v>
      </c>
    </row>
    <row r="249" spans="1:7" x14ac:dyDescent="0.2">
      <c r="A249" s="4">
        <v>12.5</v>
      </c>
      <c r="B249" s="4">
        <v>12</v>
      </c>
      <c r="C249" s="4">
        <v>1</v>
      </c>
      <c r="D249" s="4">
        <v>0</v>
      </c>
      <c r="E249" s="4">
        <v>0</v>
      </c>
      <c r="F249" s="4">
        <v>0</v>
      </c>
      <c r="G249" s="2" t="s">
        <v>79</v>
      </c>
    </row>
    <row r="250" spans="1:7" x14ac:dyDescent="0.2">
      <c r="A250" s="4">
        <v>6.36</v>
      </c>
      <c r="B250" s="4">
        <v>14</v>
      </c>
      <c r="C250" s="4">
        <v>1</v>
      </c>
      <c r="D250" s="4">
        <v>0</v>
      </c>
      <c r="E250" s="4">
        <v>1</v>
      </c>
      <c r="F250" s="4">
        <v>0</v>
      </c>
      <c r="G250" s="2" t="s">
        <v>79</v>
      </c>
    </row>
    <row r="251" spans="1:7" x14ac:dyDescent="0.2">
      <c r="A251" s="4">
        <v>6.5</v>
      </c>
      <c r="B251" s="4">
        <v>12</v>
      </c>
      <c r="C251" s="4">
        <v>1</v>
      </c>
      <c r="D251" s="4">
        <v>1</v>
      </c>
      <c r="E251" s="4">
        <v>0</v>
      </c>
      <c r="F251" s="4">
        <v>0</v>
      </c>
      <c r="G251" s="2" t="s">
        <v>79</v>
      </c>
    </row>
    <row r="252" spans="1:7" x14ac:dyDescent="0.2">
      <c r="A252" s="4">
        <v>2.31</v>
      </c>
      <c r="B252" s="4">
        <v>9</v>
      </c>
      <c r="C252" s="4">
        <v>1</v>
      </c>
      <c r="D252" s="4">
        <v>1</v>
      </c>
      <c r="E252" s="4">
        <v>0</v>
      </c>
      <c r="F252" s="4">
        <v>0</v>
      </c>
      <c r="G252" s="2" t="s">
        <v>79</v>
      </c>
    </row>
    <row r="253" spans="1:7" x14ac:dyDescent="0.2">
      <c r="A253" s="4">
        <v>3.5</v>
      </c>
      <c r="B253" s="4">
        <v>18</v>
      </c>
      <c r="C253" s="4">
        <v>1</v>
      </c>
      <c r="D253" s="4">
        <v>1</v>
      </c>
      <c r="E253" s="4">
        <v>0</v>
      </c>
      <c r="F253" s="4">
        <v>0</v>
      </c>
      <c r="G253" s="2" t="s">
        <v>79</v>
      </c>
    </row>
    <row r="254" spans="1:7" x14ac:dyDescent="0.2">
      <c r="A254" s="4">
        <v>0.53</v>
      </c>
      <c r="B254" s="4">
        <v>12</v>
      </c>
      <c r="C254" s="4">
        <v>1</v>
      </c>
      <c r="D254" s="4">
        <v>1</v>
      </c>
      <c r="E254" s="4">
        <v>0</v>
      </c>
      <c r="F254" s="4">
        <v>1</v>
      </c>
      <c r="G254" s="2" t="s">
        <v>79</v>
      </c>
    </row>
    <row r="255" spans="1:7" x14ac:dyDescent="0.2">
      <c r="A255" s="4">
        <v>3</v>
      </c>
      <c r="B255" s="4">
        <v>13</v>
      </c>
      <c r="C255" s="4">
        <v>1</v>
      </c>
      <c r="D255" s="4">
        <v>0</v>
      </c>
      <c r="E255" s="4">
        <v>0</v>
      </c>
      <c r="F255" s="4">
        <v>0</v>
      </c>
      <c r="G255" s="2" t="s">
        <v>79</v>
      </c>
    </row>
    <row r="256" spans="1:7" x14ac:dyDescent="0.2">
      <c r="A256" s="4">
        <v>4.68</v>
      </c>
      <c r="B256" s="4">
        <v>16</v>
      </c>
      <c r="C256" s="4">
        <v>1</v>
      </c>
      <c r="D256" s="4">
        <v>1</v>
      </c>
      <c r="E256" s="4">
        <v>0</v>
      </c>
      <c r="F256" s="4">
        <v>0</v>
      </c>
      <c r="G256" s="2" t="s">
        <v>79</v>
      </c>
    </row>
    <row r="257" spans="1:7" x14ac:dyDescent="0.2">
      <c r="A257" s="4">
        <v>4.5</v>
      </c>
      <c r="B257" s="4">
        <v>12</v>
      </c>
      <c r="C257" s="4">
        <v>1</v>
      </c>
      <c r="D257" s="4">
        <v>1</v>
      </c>
      <c r="E257" s="4">
        <v>0</v>
      </c>
      <c r="F257" s="4">
        <v>0</v>
      </c>
      <c r="G257" s="2" t="s">
        <v>79</v>
      </c>
    </row>
    <row r="258" spans="1:7" x14ac:dyDescent="0.2">
      <c r="A258" s="4">
        <v>3.1</v>
      </c>
      <c r="B258" s="4">
        <v>12</v>
      </c>
      <c r="C258" s="4">
        <v>1</v>
      </c>
      <c r="D258" s="4">
        <v>1</v>
      </c>
      <c r="E258" s="4">
        <v>0</v>
      </c>
      <c r="F258" s="4">
        <v>0</v>
      </c>
      <c r="G258" s="2" t="s">
        <v>79</v>
      </c>
    </row>
    <row r="259" spans="1:7" x14ac:dyDescent="0.2">
      <c r="A259" s="4">
        <v>5</v>
      </c>
      <c r="B259" s="4">
        <v>16</v>
      </c>
      <c r="C259" s="4">
        <v>1</v>
      </c>
      <c r="D259" s="4">
        <v>1</v>
      </c>
      <c r="E259" s="4">
        <v>1</v>
      </c>
      <c r="F259" s="4">
        <v>0</v>
      </c>
      <c r="G259" s="2" t="s">
        <v>79</v>
      </c>
    </row>
    <row r="260" spans="1:7" x14ac:dyDescent="0.2">
      <c r="A260" s="4">
        <v>3</v>
      </c>
      <c r="B260" s="4">
        <v>10</v>
      </c>
      <c r="C260" s="4">
        <v>1</v>
      </c>
      <c r="D260" s="4">
        <v>1</v>
      </c>
      <c r="E260" s="4">
        <v>0</v>
      </c>
      <c r="F260" s="4">
        <v>0</v>
      </c>
      <c r="G260" s="2" t="s">
        <v>79</v>
      </c>
    </row>
    <row r="261" spans="1:7" x14ac:dyDescent="0.2">
      <c r="A261" s="4">
        <v>3.13</v>
      </c>
      <c r="B261" s="4">
        <v>10</v>
      </c>
      <c r="C261" s="4">
        <v>1</v>
      </c>
      <c r="D261" s="4">
        <v>0</v>
      </c>
      <c r="E261" s="4">
        <v>0</v>
      </c>
      <c r="F261" s="4">
        <v>1</v>
      </c>
      <c r="G261" s="2" t="s">
        <v>79</v>
      </c>
    </row>
    <row r="262" spans="1:7" x14ac:dyDescent="0.2">
      <c r="A262" s="4">
        <v>3.4</v>
      </c>
      <c r="B262" s="4">
        <v>16</v>
      </c>
      <c r="C262" s="4">
        <v>1</v>
      </c>
      <c r="D262" s="4">
        <v>1</v>
      </c>
      <c r="E262" s="4">
        <v>0</v>
      </c>
      <c r="F262" s="4">
        <v>0</v>
      </c>
      <c r="G262" s="2" t="s">
        <v>79</v>
      </c>
    </row>
    <row r="263" spans="1:7" x14ac:dyDescent="0.2">
      <c r="A263" s="4">
        <v>4.28</v>
      </c>
      <c r="B263" s="4">
        <v>13</v>
      </c>
      <c r="C263" s="4">
        <v>1</v>
      </c>
      <c r="D263" s="4">
        <v>1</v>
      </c>
      <c r="E263" s="4">
        <v>0</v>
      </c>
      <c r="F263" s="4">
        <v>0</v>
      </c>
      <c r="G263" s="2" t="s">
        <v>79</v>
      </c>
    </row>
    <row r="264" spans="1:7" x14ac:dyDescent="0.2">
      <c r="A264" s="4">
        <v>3</v>
      </c>
      <c r="B264" s="4">
        <v>11</v>
      </c>
      <c r="C264" s="4">
        <v>1</v>
      </c>
      <c r="D264" s="4">
        <v>1</v>
      </c>
      <c r="E264" s="4">
        <v>0</v>
      </c>
      <c r="F264" s="4">
        <v>0</v>
      </c>
      <c r="G264" s="2" t="s">
        <v>79</v>
      </c>
    </row>
    <row r="265" spans="1:7" x14ac:dyDescent="0.2">
      <c r="A265" s="4">
        <v>3</v>
      </c>
      <c r="B265" s="4">
        <v>4</v>
      </c>
      <c r="C265" s="4">
        <v>0</v>
      </c>
      <c r="D265" s="4">
        <v>0</v>
      </c>
      <c r="E265" s="4">
        <v>1</v>
      </c>
      <c r="F265" s="4">
        <v>0</v>
      </c>
      <c r="G265" s="2" t="s">
        <v>79</v>
      </c>
    </row>
    <row r="266" spans="1:7" x14ac:dyDescent="0.2">
      <c r="A266" s="4">
        <v>3</v>
      </c>
      <c r="B266" s="4">
        <v>10</v>
      </c>
      <c r="C266" s="4">
        <v>0</v>
      </c>
      <c r="D266" s="4">
        <v>0</v>
      </c>
      <c r="E266" s="4">
        <v>0</v>
      </c>
      <c r="F266" s="4">
        <v>0</v>
      </c>
      <c r="G266" s="2" t="s">
        <v>79</v>
      </c>
    </row>
    <row r="267" spans="1:7" x14ac:dyDescent="0.2">
      <c r="A267" s="4">
        <v>2.5299999999999998</v>
      </c>
      <c r="B267" s="4">
        <v>12</v>
      </c>
      <c r="C267" s="4">
        <v>0</v>
      </c>
      <c r="D267" s="4">
        <v>1</v>
      </c>
      <c r="E267" s="4">
        <v>0</v>
      </c>
      <c r="F267" s="4">
        <v>0</v>
      </c>
      <c r="G267" s="2" t="s">
        <v>79</v>
      </c>
    </row>
    <row r="268" spans="1:7" x14ac:dyDescent="0.2">
      <c r="A268" s="4">
        <v>2.89</v>
      </c>
      <c r="B268" s="4">
        <v>0</v>
      </c>
      <c r="C268" s="4">
        <v>0</v>
      </c>
      <c r="D268" s="4">
        <v>1</v>
      </c>
      <c r="E268" s="4">
        <v>1</v>
      </c>
      <c r="F268" s="4">
        <v>1</v>
      </c>
      <c r="G268" s="2" t="s">
        <v>79</v>
      </c>
    </row>
    <row r="269" spans="1:7" x14ac:dyDescent="0.2">
      <c r="A269" s="4">
        <v>3.25</v>
      </c>
      <c r="B269" s="4">
        <v>12</v>
      </c>
      <c r="C269" s="4">
        <v>0</v>
      </c>
      <c r="D269" s="4">
        <v>1</v>
      </c>
      <c r="E269" s="4">
        <v>1</v>
      </c>
      <c r="F269" s="4">
        <v>1</v>
      </c>
      <c r="G269" s="2" t="s">
        <v>79</v>
      </c>
    </row>
    <row r="270" spans="1:7" x14ac:dyDescent="0.2">
      <c r="A270" s="4">
        <v>3</v>
      </c>
      <c r="B270" s="4">
        <v>12</v>
      </c>
      <c r="C270" s="4">
        <v>0</v>
      </c>
      <c r="D270" s="4">
        <v>1</v>
      </c>
      <c r="E270" s="4">
        <v>1</v>
      </c>
      <c r="F270" s="4">
        <v>0</v>
      </c>
      <c r="G270" s="2" t="s">
        <v>79</v>
      </c>
    </row>
    <row r="271" spans="1:7" x14ac:dyDescent="0.2">
      <c r="A271" s="4">
        <v>2.9</v>
      </c>
      <c r="B271" s="4">
        <v>12</v>
      </c>
      <c r="C271" s="4">
        <v>0</v>
      </c>
      <c r="D271" s="4">
        <v>1</v>
      </c>
      <c r="E271" s="4">
        <v>1</v>
      </c>
      <c r="F271" s="4">
        <v>0</v>
      </c>
      <c r="G271" s="2" t="s">
        <v>79</v>
      </c>
    </row>
    <row r="272" spans="1:7" x14ac:dyDescent="0.2">
      <c r="A272" s="4">
        <v>6.63</v>
      </c>
      <c r="B272" s="4">
        <v>12</v>
      </c>
      <c r="C272" s="4">
        <v>0</v>
      </c>
      <c r="D272" s="4">
        <v>1</v>
      </c>
      <c r="E272" s="4">
        <v>0</v>
      </c>
      <c r="F272" s="4">
        <v>0</v>
      </c>
      <c r="G272" s="2" t="s">
        <v>79</v>
      </c>
    </row>
    <row r="273" spans="1:7" x14ac:dyDescent="0.2">
      <c r="A273" s="4">
        <v>3</v>
      </c>
      <c r="B273" s="4">
        <v>4</v>
      </c>
      <c r="C273" s="4">
        <v>0</v>
      </c>
      <c r="D273" s="4">
        <v>0</v>
      </c>
      <c r="E273" s="4">
        <v>1</v>
      </c>
      <c r="F273" s="4">
        <v>0</v>
      </c>
      <c r="G273" s="2" t="s">
        <v>79</v>
      </c>
    </row>
    <row r="274" spans="1:7" x14ac:dyDescent="0.2">
      <c r="A274" s="4">
        <v>3.35</v>
      </c>
      <c r="B274" s="4">
        <v>7</v>
      </c>
      <c r="C274" s="4">
        <v>0</v>
      </c>
      <c r="D274" s="4">
        <v>1</v>
      </c>
      <c r="E274" s="4">
        <v>0</v>
      </c>
      <c r="F274" s="4">
        <v>0</v>
      </c>
      <c r="G274" s="2" t="s">
        <v>79</v>
      </c>
    </row>
    <row r="275" spans="1:7" x14ac:dyDescent="0.2">
      <c r="A275" s="4">
        <v>2.9</v>
      </c>
      <c r="B275" s="4">
        <v>5</v>
      </c>
      <c r="C275" s="4">
        <v>0</v>
      </c>
      <c r="D275" s="4">
        <v>1</v>
      </c>
      <c r="E275" s="4">
        <v>1</v>
      </c>
      <c r="F275" s="4">
        <v>1</v>
      </c>
      <c r="G275" s="2" t="s">
        <v>79</v>
      </c>
    </row>
    <row r="276" spans="1:7" x14ac:dyDescent="0.2">
      <c r="A276" s="4">
        <v>3</v>
      </c>
      <c r="B276" s="4">
        <v>8</v>
      </c>
      <c r="C276" s="4">
        <v>0</v>
      </c>
      <c r="D276" s="4">
        <v>0</v>
      </c>
      <c r="E276" s="4">
        <v>1</v>
      </c>
      <c r="F276" s="4">
        <v>0</v>
      </c>
      <c r="G276" s="2" t="s">
        <v>79</v>
      </c>
    </row>
    <row r="277" spans="1:7" x14ac:dyDescent="0.2">
      <c r="A277" s="4">
        <v>3</v>
      </c>
      <c r="B277" s="4">
        <v>15</v>
      </c>
      <c r="C277" s="4">
        <v>0</v>
      </c>
      <c r="D277" s="4">
        <v>0</v>
      </c>
      <c r="E277" s="4">
        <v>1</v>
      </c>
      <c r="F277" s="4">
        <v>0</v>
      </c>
      <c r="G277" s="2" t="s">
        <v>79</v>
      </c>
    </row>
    <row r="278" spans="1:7" x14ac:dyDescent="0.2">
      <c r="A278" s="4">
        <v>12.5</v>
      </c>
      <c r="B278" s="4">
        <v>16</v>
      </c>
      <c r="C278" s="4">
        <v>0</v>
      </c>
      <c r="D278" s="4">
        <v>0</v>
      </c>
      <c r="E278" s="4">
        <v>1</v>
      </c>
      <c r="F278" s="4">
        <v>1</v>
      </c>
      <c r="G278" s="2" t="s">
        <v>79</v>
      </c>
    </row>
    <row r="279" spans="1:7" x14ac:dyDescent="0.2">
      <c r="A279" s="4">
        <v>12.5</v>
      </c>
      <c r="B279" s="4">
        <v>15</v>
      </c>
      <c r="C279" s="4">
        <v>0</v>
      </c>
      <c r="D279" s="4">
        <v>0</v>
      </c>
      <c r="E279" s="4">
        <v>1</v>
      </c>
      <c r="F279" s="4">
        <v>1</v>
      </c>
      <c r="G279" s="2" t="s">
        <v>79</v>
      </c>
    </row>
    <row r="280" spans="1:7" x14ac:dyDescent="0.2">
      <c r="A280" s="4">
        <v>4.1399999999999997</v>
      </c>
      <c r="B280" s="4">
        <v>13</v>
      </c>
      <c r="C280" s="4">
        <v>0</v>
      </c>
      <c r="D280" s="4">
        <v>1</v>
      </c>
      <c r="E280" s="4">
        <v>1</v>
      </c>
      <c r="F280" s="4">
        <v>0</v>
      </c>
      <c r="G280" s="2" t="s">
        <v>79</v>
      </c>
    </row>
    <row r="281" spans="1:7" x14ac:dyDescent="0.2">
      <c r="A281" s="4">
        <v>3.2</v>
      </c>
      <c r="B281" s="4">
        <v>12</v>
      </c>
      <c r="C281" s="4">
        <v>0</v>
      </c>
      <c r="D281" s="4">
        <v>1</v>
      </c>
      <c r="E281" s="4">
        <v>0</v>
      </c>
      <c r="F281" s="4">
        <v>0</v>
      </c>
      <c r="G281" s="2" t="s">
        <v>79</v>
      </c>
    </row>
    <row r="282" spans="1:7" x14ac:dyDescent="0.2">
      <c r="A282" s="4">
        <v>3.25</v>
      </c>
      <c r="B282" s="4">
        <v>9</v>
      </c>
      <c r="C282" s="4">
        <v>0</v>
      </c>
      <c r="D282" s="4">
        <v>0</v>
      </c>
      <c r="E282" s="4">
        <v>1</v>
      </c>
      <c r="F282" s="4">
        <v>0</v>
      </c>
      <c r="G282" s="2" t="s">
        <v>79</v>
      </c>
    </row>
    <row r="283" spans="1:7" x14ac:dyDescent="0.2">
      <c r="A283" s="4">
        <v>10</v>
      </c>
      <c r="B283" s="4">
        <v>12</v>
      </c>
      <c r="C283" s="4">
        <v>0</v>
      </c>
      <c r="D283" s="4">
        <v>0</v>
      </c>
      <c r="E283" s="4">
        <v>1</v>
      </c>
      <c r="F283" s="4">
        <v>0</v>
      </c>
      <c r="G283" s="2" t="s">
        <v>79</v>
      </c>
    </row>
    <row r="284" spans="1:7" x14ac:dyDescent="0.2">
      <c r="A284" s="4">
        <v>4</v>
      </c>
      <c r="B284" s="4">
        <v>12</v>
      </c>
      <c r="C284" s="4">
        <v>0</v>
      </c>
      <c r="D284" s="4">
        <v>1</v>
      </c>
      <c r="E284" s="4">
        <v>1</v>
      </c>
      <c r="F284" s="4">
        <v>0</v>
      </c>
      <c r="G284" s="2" t="s">
        <v>79</v>
      </c>
    </row>
    <row r="285" spans="1:7" x14ac:dyDescent="0.2">
      <c r="A285" s="4">
        <v>6.46</v>
      </c>
      <c r="B285" s="4">
        <v>12</v>
      </c>
      <c r="C285" s="4">
        <v>0</v>
      </c>
      <c r="D285" s="4">
        <v>0</v>
      </c>
      <c r="E285" s="4">
        <v>1</v>
      </c>
      <c r="F285" s="4">
        <v>0</v>
      </c>
      <c r="G285" s="2" t="s">
        <v>79</v>
      </c>
    </row>
    <row r="286" spans="1:7" x14ac:dyDescent="0.2">
      <c r="A286" s="4">
        <v>6.36</v>
      </c>
      <c r="B286" s="4">
        <v>16</v>
      </c>
      <c r="C286" s="4">
        <v>0</v>
      </c>
      <c r="D286" s="4">
        <v>0</v>
      </c>
      <c r="E286" s="4">
        <v>1</v>
      </c>
      <c r="F286" s="4">
        <v>0</v>
      </c>
      <c r="G286" s="2" t="s">
        <v>79</v>
      </c>
    </row>
    <row r="287" spans="1:7" x14ac:dyDescent="0.2">
      <c r="A287" s="4">
        <v>9.42</v>
      </c>
      <c r="B287" s="4">
        <v>14</v>
      </c>
      <c r="C287" s="4">
        <v>0</v>
      </c>
      <c r="D287" s="4">
        <v>1</v>
      </c>
      <c r="E287" s="4">
        <v>1</v>
      </c>
      <c r="F287" s="4">
        <v>0</v>
      </c>
      <c r="G287" s="2" t="s">
        <v>79</v>
      </c>
    </row>
    <row r="288" spans="1:7" x14ac:dyDescent="0.2">
      <c r="A288" s="4">
        <v>3.35</v>
      </c>
      <c r="B288" s="4">
        <v>13</v>
      </c>
      <c r="C288" s="4">
        <v>0</v>
      </c>
      <c r="D288" s="4">
        <v>1</v>
      </c>
      <c r="E288" s="4">
        <v>0</v>
      </c>
      <c r="F288" s="4">
        <v>0</v>
      </c>
      <c r="G288" s="2" t="s">
        <v>79</v>
      </c>
    </row>
    <row r="289" spans="1:7" x14ac:dyDescent="0.2">
      <c r="A289" s="4">
        <v>4.75</v>
      </c>
      <c r="B289" s="4">
        <v>12</v>
      </c>
      <c r="C289" s="4">
        <v>0</v>
      </c>
      <c r="D289" s="4">
        <v>0</v>
      </c>
      <c r="E289" s="4">
        <v>1</v>
      </c>
      <c r="F289" s="4">
        <v>0</v>
      </c>
      <c r="G289" s="2" t="s">
        <v>79</v>
      </c>
    </row>
    <row r="290" spans="1:7" x14ac:dyDescent="0.2">
      <c r="A290" s="4">
        <v>2.9</v>
      </c>
      <c r="B290" s="4">
        <v>10</v>
      </c>
      <c r="C290" s="4">
        <v>0</v>
      </c>
      <c r="D290" s="4">
        <v>1</v>
      </c>
      <c r="E290" s="4">
        <v>1</v>
      </c>
      <c r="F290" s="4">
        <v>0</v>
      </c>
      <c r="G290" s="2" t="s">
        <v>79</v>
      </c>
    </row>
    <row r="291" spans="1:7" x14ac:dyDescent="0.2">
      <c r="A291" s="4">
        <v>3.75</v>
      </c>
      <c r="B291" s="4">
        <v>12</v>
      </c>
      <c r="C291" s="4">
        <v>0</v>
      </c>
      <c r="D291" s="4">
        <v>1</v>
      </c>
      <c r="E291" s="4">
        <v>1</v>
      </c>
      <c r="F291" s="4">
        <v>0</v>
      </c>
      <c r="G291" s="2" t="s">
        <v>79</v>
      </c>
    </row>
    <row r="292" spans="1:7" x14ac:dyDescent="0.2">
      <c r="A292" s="4">
        <v>1.43</v>
      </c>
      <c r="B292" s="4">
        <v>12</v>
      </c>
      <c r="C292" s="4">
        <v>0</v>
      </c>
      <c r="D292" s="10">
        <v>2</v>
      </c>
      <c r="E292" s="4">
        <v>1</v>
      </c>
      <c r="F292" s="4">
        <v>0</v>
      </c>
      <c r="G292" s="2" t="s">
        <v>79</v>
      </c>
    </row>
    <row r="293" spans="1:7" x14ac:dyDescent="0.2">
      <c r="A293" s="4">
        <v>3</v>
      </c>
      <c r="B293" s="4">
        <v>14</v>
      </c>
      <c r="C293" s="4">
        <v>0</v>
      </c>
      <c r="D293" s="4">
        <v>1</v>
      </c>
      <c r="E293" s="4">
        <v>1</v>
      </c>
      <c r="F293" s="4">
        <v>0</v>
      </c>
      <c r="G293" s="2" t="s">
        <v>79</v>
      </c>
    </row>
    <row r="294" spans="1:7" x14ac:dyDescent="0.2">
      <c r="A294" s="4">
        <v>4.5</v>
      </c>
      <c r="B294" s="4">
        <v>14</v>
      </c>
      <c r="C294" s="4">
        <v>0</v>
      </c>
      <c r="D294" s="4">
        <v>1</v>
      </c>
      <c r="E294" s="4">
        <v>1</v>
      </c>
      <c r="F294" s="4">
        <v>1</v>
      </c>
      <c r="G294" s="2" t="s">
        <v>79</v>
      </c>
    </row>
    <row r="295" spans="1:7" x14ac:dyDescent="0.2">
      <c r="A295" s="4">
        <v>3.24</v>
      </c>
      <c r="B295" s="4">
        <v>12</v>
      </c>
      <c r="C295" s="4">
        <v>0</v>
      </c>
      <c r="D295" s="4">
        <v>1</v>
      </c>
      <c r="E295" s="4">
        <v>1</v>
      </c>
      <c r="F295" s="4">
        <v>0</v>
      </c>
      <c r="G295" s="2" t="s">
        <v>79</v>
      </c>
    </row>
    <row r="296" spans="1:7" x14ac:dyDescent="0.2">
      <c r="A296" s="4">
        <v>6.11</v>
      </c>
      <c r="B296" s="4">
        <v>14</v>
      </c>
      <c r="C296" s="4">
        <v>0</v>
      </c>
      <c r="D296" s="4">
        <v>0</v>
      </c>
      <c r="E296" s="4">
        <v>1</v>
      </c>
      <c r="F296" s="4">
        <v>0</v>
      </c>
      <c r="G296" s="2" t="s">
        <v>79</v>
      </c>
    </row>
    <row r="297" spans="1:7" x14ac:dyDescent="0.2">
      <c r="A297" s="4">
        <v>8.77</v>
      </c>
      <c r="B297" s="4">
        <v>12</v>
      </c>
      <c r="C297" s="4">
        <v>0</v>
      </c>
      <c r="D297" s="4">
        <v>0</v>
      </c>
      <c r="E297" s="4">
        <v>1</v>
      </c>
      <c r="F297" s="4">
        <v>1</v>
      </c>
      <c r="G297" s="2" t="s">
        <v>79</v>
      </c>
    </row>
    <row r="298" spans="1:7" x14ac:dyDescent="0.2">
      <c r="A298" s="4">
        <v>10</v>
      </c>
      <c r="B298" s="4">
        <v>12</v>
      </c>
      <c r="C298" s="4">
        <v>0</v>
      </c>
      <c r="D298" s="4">
        <v>0</v>
      </c>
      <c r="E298" s="4">
        <v>0</v>
      </c>
      <c r="F298" s="4">
        <v>0</v>
      </c>
      <c r="G298" s="2" t="s">
        <v>79</v>
      </c>
    </row>
    <row r="299" spans="1:7" x14ac:dyDescent="0.2">
      <c r="A299" s="4">
        <v>5</v>
      </c>
      <c r="B299" s="4">
        <v>15</v>
      </c>
      <c r="C299" s="4">
        <v>0</v>
      </c>
      <c r="D299" s="4">
        <v>0</v>
      </c>
      <c r="E299" s="4">
        <v>0</v>
      </c>
      <c r="F299" s="4">
        <v>0</v>
      </c>
      <c r="G299" s="2" t="s">
        <v>79</v>
      </c>
    </row>
    <row r="300" spans="1:7" x14ac:dyDescent="0.2">
      <c r="A300" s="4">
        <v>3.75</v>
      </c>
      <c r="B300" s="4">
        <v>10</v>
      </c>
      <c r="C300" s="4">
        <v>0</v>
      </c>
      <c r="D300" s="4">
        <v>0</v>
      </c>
      <c r="E300" s="4">
        <v>0</v>
      </c>
      <c r="F300" s="4">
        <v>0</v>
      </c>
      <c r="G300" s="2" t="s">
        <v>79</v>
      </c>
    </row>
    <row r="301" spans="1:7" x14ac:dyDescent="0.2">
      <c r="A301" s="4">
        <v>3.25</v>
      </c>
      <c r="B301" s="4">
        <v>12</v>
      </c>
      <c r="C301" s="4">
        <v>0</v>
      </c>
      <c r="D301" s="4">
        <v>1</v>
      </c>
      <c r="E301" s="4">
        <v>1</v>
      </c>
      <c r="F301" s="4">
        <v>0</v>
      </c>
      <c r="G301" s="2" t="s">
        <v>79</v>
      </c>
    </row>
    <row r="302" spans="1:7" x14ac:dyDescent="0.2">
      <c r="A302" s="4">
        <v>3.75</v>
      </c>
      <c r="B302" s="4">
        <v>12</v>
      </c>
      <c r="C302" s="4">
        <v>0</v>
      </c>
      <c r="D302" s="4">
        <v>1</v>
      </c>
      <c r="E302" s="4">
        <v>1</v>
      </c>
      <c r="F302" s="4">
        <v>0</v>
      </c>
      <c r="G302" s="2" t="s">
        <v>79</v>
      </c>
    </row>
    <row r="303" spans="1:7" x14ac:dyDescent="0.2">
      <c r="A303" s="4">
        <v>3.1</v>
      </c>
      <c r="B303" s="4">
        <v>6</v>
      </c>
      <c r="C303" s="4">
        <v>0</v>
      </c>
      <c r="D303" s="4">
        <v>1</v>
      </c>
      <c r="E303" s="4">
        <v>0</v>
      </c>
      <c r="F303" s="4">
        <v>0</v>
      </c>
      <c r="G303" s="2" t="s">
        <v>79</v>
      </c>
    </row>
    <row r="304" spans="1:7" x14ac:dyDescent="0.2">
      <c r="A304" s="4">
        <v>3.5</v>
      </c>
      <c r="B304" s="4">
        <v>12</v>
      </c>
      <c r="C304" s="4">
        <v>0</v>
      </c>
      <c r="D304" s="4">
        <v>1</v>
      </c>
      <c r="E304" s="4">
        <v>0</v>
      </c>
      <c r="F304" s="4">
        <v>0</v>
      </c>
      <c r="G304" s="2" t="s">
        <v>79</v>
      </c>
    </row>
    <row r="305" spans="1:7" x14ac:dyDescent="0.2">
      <c r="A305" s="4">
        <v>17.329999999999998</v>
      </c>
      <c r="B305" s="4">
        <v>16</v>
      </c>
      <c r="C305" s="4">
        <v>0</v>
      </c>
      <c r="D305" s="4">
        <v>0</v>
      </c>
      <c r="E305" s="4">
        <v>1</v>
      </c>
      <c r="F305" s="4">
        <v>1</v>
      </c>
      <c r="G305" s="2" t="s">
        <v>79</v>
      </c>
    </row>
    <row r="306" spans="1:7" x14ac:dyDescent="0.2">
      <c r="A306" s="4">
        <v>3.58</v>
      </c>
      <c r="B306" s="4">
        <v>12</v>
      </c>
      <c r="C306" s="4">
        <v>0</v>
      </c>
      <c r="D306" s="4">
        <v>0</v>
      </c>
      <c r="E306" s="4">
        <v>0</v>
      </c>
      <c r="F306" s="4">
        <v>0</v>
      </c>
      <c r="G306" s="2" t="s">
        <v>79</v>
      </c>
    </row>
    <row r="307" spans="1:7" x14ac:dyDescent="0.2">
      <c r="A307" s="4">
        <v>4.5</v>
      </c>
      <c r="B307" s="4">
        <v>12</v>
      </c>
      <c r="C307" s="4">
        <v>0</v>
      </c>
      <c r="D307" s="4">
        <v>0</v>
      </c>
      <c r="E307" s="4">
        <v>1</v>
      </c>
      <c r="F307" s="4">
        <v>0</v>
      </c>
      <c r="G307" s="2" t="s">
        <v>79</v>
      </c>
    </row>
    <row r="308" spans="1:7" x14ac:dyDescent="0.2">
      <c r="A308" s="4">
        <v>3.6</v>
      </c>
      <c r="B308" s="4">
        <v>12</v>
      </c>
      <c r="C308" s="4">
        <v>0</v>
      </c>
      <c r="D308" s="10">
        <v>2</v>
      </c>
      <c r="E308" s="4">
        <v>1</v>
      </c>
      <c r="F308" s="4">
        <v>1</v>
      </c>
      <c r="G308" s="2" t="s">
        <v>79</v>
      </c>
    </row>
    <row r="309" spans="1:7" x14ac:dyDescent="0.2">
      <c r="A309" s="4">
        <v>18</v>
      </c>
      <c r="B309" s="4">
        <v>18</v>
      </c>
      <c r="C309" s="4">
        <v>0</v>
      </c>
      <c r="D309" s="4">
        <v>1</v>
      </c>
      <c r="E309" s="4">
        <v>0</v>
      </c>
      <c r="F309" s="4">
        <v>0</v>
      </c>
      <c r="G309" s="2" t="s">
        <v>79</v>
      </c>
    </row>
    <row r="310" spans="1:7" x14ac:dyDescent="0.2">
      <c r="A310" s="4">
        <v>6.25</v>
      </c>
      <c r="B310" s="10">
        <v>12</v>
      </c>
      <c r="C310" s="4">
        <v>0</v>
      </c>
      <c r="D310" s="4">
        <v>1</v>
      </c>
      <c r="E310" s="4">
        <v>1</v>
      </c>
      <c r="F310" s="4">
        <v>0</v>
      </c>
      <c r="G310" s="2" t="s">
        <v>79</v>
      </c>
    </row>
    <row r="311" spans="1:7" x14ac:dyDescent="0.2">
      <c r="A311" s="4">
        <v>7.14</v>
      </c>
      <c r="B311" s="4">
        <v>18</v>
      </c>
      <c r="C311" s="4">
        <v>0</v>
      </c>
      <c r="D311" s="4">
        <v>0</v>
      </c>
      <c r="E311" s="4">
        <v>1</v>
      </c>
      <c r="F311" s="4">
        <v>0</v>
      </c>
      <c r="G311" s="2" t="s">
        <v>79</v>
      </c>
    </row>
    <row r="312" spans="1:7" x14ac:dyDescent="0.2">
      <c r="A312" s="4">
        <v>3.75</v>
      </c>
      <c r="B312" s="10">
        <v>12</v>
      </c>
      <c r="C312" s="4">
        <v>0</v>
      </c>
      <c r="D312" s="4">
        <v>1</v>
      </c>
      <c r="E312" s="4">
        <v>1</v>
      </c>
      <c r="F312" s="4">
        <v>0</v>
      </c>
      <c r="G312" s="2" t="s">
        <v>79</v>
      </c>
    </row>
    <row r="313" spans="1:7" x14ac:dyDescent="0.2">
      <c r="A313" s="4">
        <v>10</v>
      </c>
      <c r="B313" s="4">
        <v>8</v>
      </c>
      <c r="C313" s="4">
        <v>0</v>
      </c>
      <c r="D313" s="4">
        <v>0</v>
      </c>
      <c r="E313" s="4">
        <v>0</v>
      </c>
      <c r="F313" s="4">
        <v>0</v>
      </c>
      <c r="G313" s="2" t="s">
        <v>79</v>
      </c>
    </row>
    <row r="314" spans="1:7" x14ac:dyDescent="0.2">
      <c r="A314" s="4">
        <v>4.5</v>
      </c>
      <c r="B314" s="4">
        <v>12</v>
      </c>
      <c r="C314" s="4">
        <v>0</v>
      </c>
      <c r="D314" s="4">
        <v>0</v>
      </c>
      <c r="E314" s="4">
        <v>1</v>
      </c>
      <c r="F314" s="4">
        <v>0</v>
      </c>
      <c r="G314" s="2" t="s">
        <v>79</v>
      </c>
    </row>
    <row r="315" spans="1:7" x14ac:dyDescent="0.2">
      <c r="A315" s="4">
        <v>3.45</v>
      </c>
      <c r="B315" s="4">
        <v>10</v>
      </c>
      <c r="C315" s="4">
        <v>0</v>
      </c>
      <c r="D315" s="4">
        <v>1</v>
      </c>
      <c r="E315" s="4">
        <v>0</v>
      </c>
      <c r="F315" s="4">
        <v>0</v>
      </c>
      <c r="G315" s="2" t="s">
        <v>79</v>
      </c>
    </row>
    <row r="316" spans="1:7" x14ac:dyDescent="0.2">
      <c r="A316" s="4">
        <v>3.75</v>
      </c>
      <c r="B316" s="4">
        <v>12</v>
      </c>
      <c r="C316" s="4">
        <v>0</v>
      </c>
      <c r="D316" s="4">
        <v>0</v>
      </c>
      <c r="E316" s="4">
        <v>0</v>
      </c>
      <c r="F316" s="4">
        <v>0</v>
      </c>
      <c r="G316" s="2" t="s">
        <v>79</v>
      </c>
    </row>
    <row r="317" spans="1:7" x14ac:dyDescent="0.2">
      <c r="A317" s="4">
        <v>6</v>
      </c>
      <c r="B317" s="4">
        <v>14</v>
      </c>
      <c r="C317" s="4">
        <v>0</v>
      </c>
      <c r="D317" s="4">
        <v>0</v>
      </c>
      <c r="E317" s="4">
        <v>1</v>
      </c>
      <c r="F317" s="4">
        <v>0</v>
      </c>
      <c r="G317" s="2" t="s">
        <v>79</v>
      </c>
    </row>
    <row r="318" spans="1:7" x14ac:dyDescent="0.2">
      <c r="A318" s="4">
        <v>6.25</v>
      </c>
      <c r="B318" s="4">
        <v>12</v>
      </c>
      <c r="C318" s="4">
        <v>0</v>
      </c>
      <c r="D318" s="4">
        <v>1</v>
      </c>
      <c r="E318" s="4">
        <v>0</v>
      </c>
      <c r="F318" s="4">
        <v>1</v>
      </c>
      <c r="G318" s="2" t="s">
        <v>79</v>
      </c>
    </row>
    <row r="319" spans="1:7" x14ac:dyDescent="0.2">
      <c r="A319" s="4">
        <v>7.5</v>
      </c>
      <c r="B319" s="4">
        <v>16</v>
      </c>
      <c r="C319" s="4">
        <v>0</v>
      </c>
      <c r="D319" s="4">
        <v>0</v>
      </c>
      <c r="E319" s="4">
        <v>1</v>
      </c>
      <c r="F319" s="4">
        <v>0</v>
      </c>
      <c r="G319" s="2" t="s">
        <v>79</v>
      </c>
    </row>
    <row r="320" spans="1:7" x14ac:dyDescent="0.2">
      <c r="A320" s="4">
        <v>3</v>
      </c>
      <c r="B320" s="4">
        <v>12</v>
      </c>
      <c r="C320" s="4">
        <v>0</v>
      </c>
      <c r="D320" s="4">
        <v>1</v>
      </c>
      <c r="E320" s="4">
        <v>1</v>
      </c>
      <c r="F320" s="4">
        <v>0</v>
      </c>
      <c r="G320" s="2" t="s">
        <v>79</v>
      </c>
    </row>
    <row r="321" spans="1:7" x14ac:dyDescent="0.2">
      <c r="A321" s="4">
        <v>4.55</v>
      </c>
      <c r="B321" s="4">
        <v>12</v>
      </c>
      <c r="C321" s="4">
        <v>0</v>
      </c>
      <c r="D321" s="10">
        <v>2</v>
      </c>
      <c r="E321" s="4">
        <v>1</v>
      </c>
      <c r="F321" s="4">
        <v>0</v>
      </c>
      <c r="G321" s="2" t="s">
        <v>79</v>
      </c>
    </row>
    <row r="322" spans="1:7" x14ac:dyDescent="0.2">
      <c r="A322" s="4">
        <v>7.5</v>
      </c>
      <c r="B322" s="4">
        <v>12</v>
      </c>
      <c r="C322" s="4">
        <v>0</v>
      </c>
      <c r="D322" s="4">
        <v>1</v>
      </c>
      <c r="E322" s="4">
        <v>1</v>
      </c>
      <c r="F322" s="4">
        <v>1</v>
      </c>
      <c r="G322" s="2" t="s">
        <v>79</v>
      </c>
    </row>
    <row r="323" spans="1:7" x14ac:dyDescent="0.2">
      <c r="A323" s="4">
        <v>3.05</v>
      </c>
      <c r="B323" s="4">
        <v>12</v>
      </c>
      <c r="C323" s="4">
        <v>0</v>
      </c>
      <c r="D323" s="4">
        <v>1</v>
      </c>
      <c r="E323" s="4">
        <v>1</v>
      </c>
      <c r="F323" s="4">
        <v>0</v>
      </c>
      <c r="G323" s="2" t="s">
        <v>79</v>
      </c>
    </row>
    <row r="324" spans="1:7" x14ac:dyDescent="0.2">
      <c r="A324" s="4">
        <v>6.25</v>
      </c>
      <c r="B324" s="4">
        <v>12</v>
      </c>
      <c r="C324" s="4">
        <v>0</v>
      </c>
      <c r="D324" s="4">
        <v>0</v>
      </c>
      <c r="E324" s="4">
        <v>1</v>
      </c>
      <c r="F324" s="4">
        <v>0</v>
      </c>
      <c r="G324" s="2" t="s">
        <v>79</v>
      </c>
    </row>
    <row r="325" spans="1:7" x14ac:dyDescent="0.2">
      <c r="A325" s="4">
        <v>4.5</v>
      </c>
      <c r="B325" s="4">
        <v>14</v>
      </c>
      <c r="C325" s="4">
        <v>0</v>
      </c>
      <c r="D325" s="4">
        <v>0</v>
      </c>
      <c r="E325" s="4">
        <v>1</v>
      </c>
      <c r="F325" s="4">
        <v>0</v>
      </c>
      <c r="G325" s="2" t="s">
        <v>79</v>
      </c>
    </row>
    <row r="326" spans="1:7" x14ac:dyDescent="0.2">
      <c r="A326" s="4">
        <v>3</v>
      </c>
      <c r="B326" s="4">
        <v>15</v>
      </c>
      <c r="C326" s="4">
        <v>0</v>
      </c>
      <c r="D326" s="4">
        <v>0</v>
      </c>
      <c r="E326" s="4">
        <v>0</v>
      </c>
      <c r="F326" s="4">
        <v>0</v>
      </c>
      <c r="G326" s="2" t="s">
        <v>79</v>
      </c>
    </row>
    <row r="327" spans="1:7" x14ac:dyDescent="0.2">
      <c r="A327" s="4">
        <v>10</v>
      </c>
      <c r="B327" s="4">
        <v>8</v>
      </c>
      <c r="C327" s="4">
        <v>0</v>
      </c>
      <c r="D327" s="4">
        <v>0</v>
      </c>
      <c r="E327" s="4">
        <v>1</v>
      </c>
      <c r="F327" s="4">
        <v>0</v>
      </c>
      <c r="G327" s="2" t="s">
        <v>79</v>
      </c>
    </row>
    <row r="328" spans="1:7" x14ac:dyDescent="0.2">
      <c r="A328" s="4">
        <v>6</v>
      </c>
      <c r="B328" s="4">
        <v>13</v>
      </c>
      <c r="C328" s="4">
        <v>0</v>
      </c>
      <c r="D328" s="4">
        <v>0</v>
      </c>
      <c r="E328" s="4">
        <v>1</v>
      </c>
      <c r="F328" s="4">
        <v>0</v>
      </c>
      <c r="G328" s="2" t="s">
        <v>79</v>
      </c>
    </row>
    <row r="329" spans="1:7" x14ac:dyDescent="0.2">
      <c r="A329" s="4">
        <v>2.89</v>
      </c>
      <c r="B329" s="4">
        <v>10</v>
      </c>
      <c r="C329" s="4">
        <v>0</v>
      </c>
      <c r="D329" s="4">
        <v>1</v>
      </c>
      <c r="E329" s="4">
        <v>0</v>
      </c>
      <c r="F329" s="4">
        <v>0</v>
      </c>
      <c r="G329" s="2" t="s">
        <v>79</v>
      </c>
    </row>
    <row r="330" spans="1:7" x14ac:dyDescent="0.2">
      <c r="A330" s="4">
        <v>4.2</v>
      </c>
      <c r="B330" s="4">
        <v>16</v>
      </c>
      <c r="C330" s="4">
        <v>0</v>
      </c>
      <c r="D330" s="4">
        <v>1</v>
      </c>
      <c r="E330" s="4">
        <v>1</v>
      </c>
      <c r="F330" s="4">
        <v>0</v>
      </c>
      <c r="G330" s="2" t="s">
        <v>79</v>
      </c>
    </row>
    <row r="331" spans="1:7" x14ac:dyDescent="0.2">
      <c r="A331" s="4">
        <v>4.5999999999999996</v>
      </c>
      <c r="B331" s="4">
        <v>14</v>
      </c>
      <c r="C331" s="4">
        <v>0</v>
      </c>
      <c r="D331" s="4">
        <v>1</v>
      </c>
      <c r="E331" s="4">
        <v>1</v>
      </c>
      <c r="F331" s="4">
        <v>0</v>
      </c>
      <c r="G331" s="2" t="s">
        <v>79</v>
      </c>
    </row>
    <row r="332" spans="1:7" x14ac:dyDescent="0.2">
      <c r="A332" s="4">
        <v>4.38</v>
      </c>
      <c r="B332" s="4">
        <v>16</v>
      </c>
      <c r="C332" s="4">
        <v>0</v>
      </c>
      <c r="D332" s="4">
        <v>0</v>
      </c>
      <c r="E332" s="4">
        <v>0</v>
      </c>
      <c r="F332" s="4">
        <v>0</v>
      </c>
      <c r="G332" s="2" t="s">
        <v>79</v>
      </c>
    </row>
    <row r="333" spans="1:7" x14ac:dyDescent="0.2">
      <c r="A333" s="4">
        <v>9</v>
      </c>
      <c r="B333" s="4">
        <v>17</v>
      </c>
      <c r="C333" s="4">
        <v>0</v>
      </c>
      <c r="D333" s="4">
        <v>1</v>
      </c>
      <c r="E333" s="4">
        <v>1</v>
      </c>
      <c r="F333" s="4">
        <v>0</v>
      </c>
      <c r="G333" s="2" t="s">
        <v>79</v>
      </c>
    </row>
    <row r="334" spans="1:7" x14ac:dyDescent="0.2">
      <c r="A334" s="4">
        <v>3</v>
      </c>
      <c r="B334" s="4">
        <v>10</v>
      </c>
      <c r="C334" s="4">
        <v>0</v>
      </c>
      <c r="D334" s="4">
        <v>1</v>
      </c>
      <c r="E334" s="4">
        <v>1</v>
      </c>
      <c r="F334" s="4">
        <v>0</v>
      </c>
      <c r="G334" s="2" t="s">
        <v>79</v>
      </c>
    </row>
    <row r="335" spans="1:7" x14ac:dyDescent="0.2">
      <c r="A335" s="4">
        <v>4.38</v>
      </c>
      <c r="B335" s="4">
        <v>13</v>
      </c>
      <c r="C335" s="4">
        <v>0</v>
      </c>
      <c r="D335" s="4">
        <v>0</v>
      </c>
      <c r="E335" s="4">
        <v>1</v>
      </c>
      <c r="F335" s="4">
        <v>1</v>
      </c>
      <c r="G335" s="2" t="s">
        <v>79</v>
      </c>
    </row>
    <row r="336" spans="1:7" x14ac:dyDescent="0.2">
      <c r="A336" s="4">
        <v>4.0999999999999996</v>
      </c>
      <c r="B336" s="4">
        <v>14</v>
      </c>
      <c r="C336" s="4">
        <v>0</v>
      </c>
      <c r="D336" s="4">
        <v>1</v>
      </c>
      <c r="E336" s="4">
        <v>1</v>
      </c>
      <c r="F336" s="4">
        <v>0</v>
      </c>
      <c r="G336" s="2" t="s">
        <v>79</v>
      </c>
    </row>
    <row r="337" spans="1:7" x14ac:dyDescent="0.2">
      <c r="A337" s="4">
        <v>2.9</v>
      </c>
      <c r="B337" s="4">
        <v>11</v>
      </c>
      <c r="C337" s="4">
        <v>0</v>
      </c>
      <c r="D337" s="4">
        <v>1</v>
      </c>
      <c r="E337" s="4">
        <v>0</v>
      </c>
      <c r="F337" s="4">
        <v>0</v>
      </c>
      <c r="G337" s="2" t="s">
        <v>79</v>
      </c>
    </row>
    <row r="338" spans="1:7" x14ac:dyDescent="0.2">
      <c r="A338" s="4">
        <v>3.76</v>
      </c>
      <c r="B338" s="4">
        <v>6</v>
      </c>
      <c r="C338" s="4">
        <v>0</v>
      </c>
      <c r="D338" s="4">
        <v>0</v>
      </c>
      <c r="E338" s="4">
        <v>0</v>
      </c>
      <c r="F338" s="4">
        <v>0</v>
      </c>
      <c r="G338" s="2" t="s">
        <v>79</v>
      </c>
    </row>
    <row r="339" spans="1:7" x14ac:dyDescent="0.2">
      <c r="A339" s="4">
        <v>4</v>
      </c>
      <c r="B339" s="4">
        <v>13</v>
      </c>
      <c r="C339" s="4">
        <v>0</v>
      </c>
      <c r="D339" s="4">
        <v>1</v>
      </c>
      <c r="E339" s="4">
        <v>0</v>
      </c>
      <c r="F339" s="4">
        <v>0</v>
      </c>
      <c r="G339" s="2" t="s">
        <v>79</v>
      </c>
    </row>
    <row r="340" spans="1:7" x14ac:dyDescent="0.2">
      <c r="A340" s="4">
        <v>5.84</v>
      </c>
      <c r="B340" s="4">
        <v>13</v>
      </c>
      <c r="C340" s="4">
        <v>0</v>
      </c>
      <c r="D340" s="4">
        <v>1</v>
      </c>
      <c r="E340" s="4">
        <v>1</v>
      </c>
      <c r="F340" s="4">
        <v>0</v>
      </c>
      <c r="G340" s="2" t="s">
        <v>79</v>
      </c>
    </row>
    <row r="341" spans="1:7" x14ac:dyDescent="0.2">
      <c r="A341" s="4">
        <v>3.3</v>
      </c>
      <c r="B341" s="4">
        <v>13</v>
      </c>
      <c r="C341" s="4">
        <v>0</v>
      </c>
      <c r="D341" s="4">
        <v>1</v>
      </c>
      <c r="E341" s="4">
        <v>0</v>
      </c>
      <c r="F341" s="4">
        <v>0</v>
      </c>
      <c r="G341" s="2" t="s">
        <v>79</v>
      </c>
    </row>
    <row r="342" spans="1:7" x14ac:dyDescent="0.2">
      <c r="A342" s="4">
        <v>3.5</v>
      </c>
      <c r="B342" s="4">
        <v>14</v>
      </c>
      <c r="C342" s="4">
        <v>0</v>
      </c>
      <c r="D342" s="4">
        <v>1</v>
      </c>
      <c r="E342" s="4">
        <v>1</v>
      </c>
      <c r="F342" s="4">
        <v>0</v>
      </c>
      <c r="G342" s="2" t="s">
        <v>79</v>
      </c>
    </row>
    <row r="343" spans="1:7" x14ac:dyDescent="0.2">
      <c r="A343" s="4">
        <v>3</v>
      </c>
      <c r="B343" s="4">
        <v>13</v>
      </c>
      <c r="C343" s="4">
        <v>0</v>
      </c>
      <c r="D343" s="4">
        <v>1</v>
      </c>
      <c r="E343" s="4">
        <v>0</v>
      </c>
      <c r="F343" s="4">
        <v>0</v>
      </c>
      <c r="G343" s="2" t="s">
        <v>79</v>
      </c>
    </row>
    <row r="344" spans="1:7" x14ac:dyDescent="0.2">
      <c r="A344" s="4">
        <v>4.5</v>
      </c>
      <c r="B344" s="4">
        <v>14</v>
      </c>
      <c r="C344" s="4">
        <v>0</v>
      </c>
      <c r="D344" s="4">
        <v>0</v>
      </c>
      <c r="E344" s="4">
        <v>1</v>
      </c>
      <c r="F344" s="4">
        <v>0</v>
      </c>
      <c r="G344" s="2" t="s">
        <v>79</v>
      </c>
    </row>
    <row r="345" spans="1:7" x14ac:dyDescent="0.2">
      <c r="A345" s="4">
        <v>3.85</v>
      </c>
      <c r="B345" s="4">
        <v>16</v>
      </c>
      <c r="C345" s="4">
        <v>0</v>
      </c>
      <c r="D345" s="4">
        <v>0</v>
      </c>
      <c r="E345" s="4">
        <v>1</v>
      </c>
      <c r="F345" s="4">
        <v>0</v>
      </c>
      <c r="G345" s="2" t="s">
        <v>79</v>
      </c>
    </row>
    <row r="346" spans="1:7" x14ac:dyDescent="0.2">
      <c r="A346" s="4">
        <v>4.1100000000000003</v>
      </c>
      <c r="B346" s="4">
        <v>14</v>
      </c>
      <c r="C346" s="4">
        <v>0</v>
      </c>
      <c r="D346" s="4">
        <v>0</v>
      </c>
      <c r="E346" s="4">
        <v>0</v>
      </c>
      <c r="F346" s="4">
        <v>0</v>
      </c>
      <c r="G346" s="2" t="s">
        <v>79</v>
      </c>
    </row>
    <row r="347" spans="1:7" x14ac:dyDescent="0.2">
      <c r="A347" s="4">
        <v>5</v>
      </c>
      <c r="B347" s="4">
        <v>14</v>
      </c>
      <c r="C347" s="4">
        <v>0</v>
      </c>
      <c r="D347" s="4">
        <v>0</v>
      </c>
      <c r="E347" s="4">
        <v>0</v>
      </c>
      <c r="F347" s="4">
        <v>0</v>
      </c>
      <c r="G347" s="2" t="s">
        <v>79</v>
      </c>
    </row>
    <row r="348" spans="1:7" x14ac:dyDescent="0.2">
      <c r="A348" s="4">
        <v>2.25</v>
      </c>
      <c r="B348" s="4">
        <v>12</v>
      </c>
      <c r="C348" s="4">
        <v>0</v>
      </c>
      <c r="D348" s="4">
        <v>1</v>
      </c>
      <c r="E348" s="4">
        <v>0</v>
      </c>
      <c r="F348" s="4">
        <v>0</v>
      </c>
      <c r="G348" s="2" t="s">
        <v>79</v>
      </c>
    </row>
    <row r="349" spans="1:7" x14ac:dyDescent="0.2">
      <c r="A349" s="4">
        <v>3.18</v>
      </c>
      <c r="B349" s="4">
        <v>12</v>
      </c>
      <c r="C349" s="4">
        <v>0</v>
      </c>
      <c r="D349" s="4">
        <v>1</v>
      </c>
      <c r="E349" s="4">
        <v>1</v>
      </c>
      <c r="F349" s="4">
        <v>0</v>
      </c>
      <c r="G349" s="2" t="s">
        <v>79</v>
      </c>
    </row>
    <row r="350" spans="1:7" x14ac:dyDescent="0.2">
      <c r="A350" s="4">
        <v>5.05</v>
      </c>
      <c r="B350" s="10">
        <v>12</v>
      </c>
      <c r="C350" s="4">
        <v>0</v>
      </c>
      <c r="D350" s="4">
        <v>1</v>
      </c>
      <c r="E350" s="4">
        <v>0</v>
      </c>
      <c r="F350" s="4">
        <v>0</v>
      </c>
      <c r="G350" s="2" t="s">
        <v>79</v>
      </c>
    </row>
    <row r="351" spans="1:7" x14ac:dyDescent="0.2">
      <c r="A351" s="4">
        <v>4.63</v>
      </c>
      <c r="B351" s="4">
        <v>14</v>
      </c>
      <c r="C351" s="4">
        <v>0</v>
      </c>
      <c r="D351" s="4">
        <v>1</v>
      </c>
      <c r="E351" s="4">
        <v>1</v>
      </c>
      <c r="F351" s="4">
        <v>0</v>
      </c>
      <c r="G351" s="2" t="s">
        <v>79</v>
      </c>
    </row>
    <row r="352" spans="1:7" x14ac:dyDescent="0.2">
      <c r="A352" s="4">
        <v>2.91</v>
      </c>
      <c r="B352" s="4">
        <v>12</v>
      </c>
      <c r="C352" s="4">
        <v>0</v>
      </c>
      <c r="D352" s="4">
        <v>0</v>
      </c>
      <c r="E352" s="4">
        <v>1</v>
      </c>
      <c r="F352" s="4">
        <v>0</v>
      </c>
      <c r="G352" s="2" t="s">
        <v>79</v>
      </c>
    </row>
    <row r="353" spans="1:7" x14ac:dyDescent="0.2">
      <c r="A353" s="4">
        <v>6.25</v>
      </c>
      <c r="B353" s="4">
        <v>17</v>
      </c>
      <c r="C353" s="4">
        <v>0</v>
      </c>
      <c r="D353" s="4">
        <v>1</v>
      </c>
      <c r="E353" s="4">
        <v>0</v>
      </c>
      <c r="F353" s="4">
        <v>1</v>
      </c>
      <c r="G353" s="2" t="s">
        <v>79</v>
      </c>
    </row>
    <row r="354" spans="1:7" x14ac:dyDescent="0.2">
      <c r="A354" s="4">
        <v>5.25</v>
      </c>
      <c r="B354" s="4">
        <v>16</v>
      </c>
      <c r="C354" s="4">
        <v>0</v>
      </c>
      <c r="D354" s="4">
        <v>0</v>
      </c>
      <c r="E354" s="4">
        <v>0</v>
      </c>
      <c r="F354" s="4">
        <v>0</v>
      </c>
      <c r="G354" s="2" t="s">
        <v>79</v>
      </c>
    </row>
    <row r="355" spans="1:7" x14ac:dyDescent="0.2">
      <c r="A355" s="4">
        <v>5.25</v>
      </c>
      <c r="B355" s="4">
        <v>12</v>
      </c>
      <c r="C355" s="4">
        <v>0</v>
      </c>
      <c r="D355" s="4">
        <v>0</v>
      </c>
      <c r="E355" s="4">
        <v>0</v>
      </c>
      <c r="F355" s="4">
        <v>0</v>
      </c>
      <c r="G355" s="2" t="s">
        <v>79</v>
      </c>
    </row>
    <row r="356" spans="1:7" x14ac:dyDescent="0.2">
      <c r="A356" s="4">
        <v>2.9</v>
      </c>
      <c r="B356" s="4">
        <v>10</v>
      </c>
      <c r="C356" s="4">
        <v>0</v>
      </c>
      <c r="D356" s="4">
        <v>1</v>
      </c>
      <c r="E356" s="4">
        <v>0</v>
      </c>
      <c r="F356" s="4">
        <v>0</v>
      </c>
      <c r="G356" s="2" t="s">
        <v>79</v>
      </c>
    </row>
    <row r="357" spans="1:7" x14ac:dyDescent="0.2">
      <c r="A357" s="4">
        <v>2.92</v>
      </c>
      <c r="B357" s="4">
        <v>12</v>
      </c>
      <c r="C357" s="4">
        <v>0</v>
      </c>
      <c r="D357" s="4">
        <v>1</v>
      </c>
      <c r="E357" s="4">
        <v>0</v>
      </c>
      <c r="F357" s="4">
        <v>0</v>
      </c>
      <c r="G357" s="2" t="s">
        <v>79</v>
      </c>
    </row>
    <row r="358" spans="1:7" x14ac:dyDescent="0.2">
      <c r="A358" s="4">
        <v>3.25</v>
      </c>
      <c r="B358" s="4">
        <v>12</v>
      </c>
      <c r="C358" s="4">
        <v>0</v>
      </c>
      <c r="D358" s="4">
        <v>0</v>
      </c>
      <c r="E358" s="4">
        <v>0</v>
      </c>
      <c r="F358" s="4">
        <v>0</v>
      </c>
      <c r="G358" s="2" t="s">
        <v>79</v>
      </c>
    </row>
    <row r="359" spans="1:7" x14ac:dyDescent="0.2">
      <c r="A359" s="4">
        <v>3.25</v>
      </c>
      <c r="B359" s="4">
        <v>15</v>
      </c>
      <c r="C359" s="4">
        <v>0</v>
      </c>
      <c r="D359" s="4">
        <v>0</v>
      </c>
      <c r="E359" s="4">
        <v>0</v>
      </c>
      <c r="F359" s="4">
        <v>0</v>
      </c>
      <c r="G359" s="2" t="s">
        <v>79</v>
      </c>
    </row>
    <row r="360" spans="1:7" x14ac:dyDescent="0.2">
      <c r="A360" s="4">
        <v>4.29</v>
      </c>
      <c r="B360" s="4">
        <v>12</v>
      </c>
      <c r="C360" s="4">
        <v>0</v>
      </c>
      <c r="D360" s="4">
        <v>1</v>
      </c>
      <c r="E360" s="4">
        <v>0</v>
      </c>
      <c r="F360" s="4">
        <v>0</v>
      </c>
      <c r="G360" s="2" t="s">
        <v>79</v>
      </c>
    </row>
    <row r="361" spans="1:7" x14ac:dyDescent="0.2">
      <c r="A361" s="4">
        <v>4.68</v>
      </c>
      <c r="B361" s="4">
        <v>12</v>
      </c>
      <c r="C361" s="4">
        <v>0</v>
      </c>
      <c r="D361" s="4">
        <v>1</v>
      </c>
      <c r="E361" s="4">
        <v>0</v>
      </c>
      <c r="F361" s="4">
        <v>1</v>
      </c>
      <c r="G361" s="2" t="s">
        <v>79</v>
      </c>
    </row>
    <row r="362" spans="1:7" x14ac:dyDescent="0.2">
      <c r="A362" s="4">
        <v>6.63</v>
      </c>
      <c r="B362" s="4">
        <v>16</v>
      </c>
      <c r="C362" s="4">
        <v>0</v>
      </c>
      <c r="D362" s="4">
        <v>0</v>
      </c>
      <c r="E362" s="4">
        <v>1</v>
      </c>
      <c r="F362" s="4">
        <v>0</v>
      </c>
      <c r="G362" s="2" t="s">
        <v>79</v>
      </c>
    </row>
    <row r="363" spans="1:7" x14ac:dyDescent="0.2">
      <c r="A363" s="4">
        <v>4.4400000000000004</v>
      </c>
      <c r="B363" s="4">
        <v>12</v>
      </c>
      <c r="C363" s="4">
        <v>0</v>
      </c>
      <c r="D363" s="4">
        <v>0</v>
      </c>
      <c r="E363" s="4">
        <v>0</v>
      </c>
      <c r="F363" s="4">
        <v>0</v>
      </c>
      <c r="G363" s="2" t="s">
        <v>79</v>
      </c>
    </row>
    <row r="364" spans="1:7" x14ac:dyDescent="0.2">
      <c r="A364" s="4">
        <v>5.71</v>
      </c>
      <c r="B364" s="4">
        <v>16</v>
      </c>
      <c r="C364" s="4">
        <v>0</v>
      </c>
      <c r="D364" s="4">
        <v>1</v>
      </c>
      <c r="E364" s="4">
        <v>0</v>
      </c>
      <c r="F364" s="4">
        <v>0</v>
      </c>
      <c r="G364" s="2" t="s">
        <v>79</v>
      </c>
    </row>
    <row r="365" spans="1:7" x14ac:dyDescent="0.2">
      <c r="A365" s="4">
        <v>4.57</v>
      </c>
      <c r="B365" s="4">
        <v>14</v>
      </c>
      <c r="C365" s="4">
        <v>0</v>
      </c>
      <c r="D365" s="4">
        <v>0</v>
      </c>
      <c r="E365" s="4">
        <v>1</v>
      </c>
      <c r="F365" s="4">
        <v>0</v>
      </c>
      <c r="G365" s="2" t="s">
        <v>79</v>
      </c>
    </row>
    <row r="366" spans="1:7" x14ac:dyDescent="0.2">
      <c r="A366" s="4">
        <v>6.5</v>
      </c>
      <c r="B366" s="4">
        <v>17</v>
      </c>
      <c r="C366" s="4">
        <v>0</v>
      </c>
      <c r="D366" s="4">
        <v>0</v>
      </c>
      <c r="E366" s="4">
        <v>1</v>
      </c>
      <c r="F366" s="4">
        <v>0</v>
      </c>
      <c r="G366" s="2" t="s">
        <v>79</v>
      </c>
    </row>
    <row r="367" spans="1:7" x14ac:dyDescent="0.2">
      <c r="A367" s="4">
        <v>8.1300000000000008</v>
      </c>
      <c r="B367" s="4">
        <v>13</v>
      </c>
      <c r="C367" s="4">
        <v>0</v>
      </c>
      <c r="D367" s="10">
        <v>2</v>
      </c>
      <c r="E367" s="4">
        <v>0</v>
      </c>
      <c r="F367" s="4">
        <v>1</v>
      </c>
      <c r="G367" s="2" t="s">
        <v>79</v>
      </c>
    </row>
    <row r="368" spans="1:7" x14ac:dyDescent="0.2">
      <c r="A368" s="4">
        <v>3</v>
      </c>
      <c r="B368" s="4">
        <v>9</v>
      </c>
      <c r="C368" s="4">
        <v>0</v>
      </c>
      <c r="D368" s="4">
        <v>1</v>
      </c>
      <c r="E368" s="4">
        <v>0</v>
      </c>
      <c r="F368" s="4">
        <v>0</v>
      </c>
      <c r="G368" s="2" t="s">
        <v>79</v>
      </c>
    </row>
    <row r="369" spans="1:7" x14ac:dyDescent="0.2">
      <c r="A369" s="4">
        <v>4</v>
      </c>
      <c r="B369" s="4">
        <v>10</v>
      </c>
      <c r="C369" s="4">
        <v>0</v>
      </c>
      <c r="D369" s="4">
        <v>1</v>
      </c>
      <c r="E369" s="4">
        <v>0</v>
      </c>
      <c r="F369" s="4">
        <v>1</v>
      </c>
      <c r="G369" s="2" t="s">
        <v>79</v>
      </c>
    </row>
    <row r="370" spans="1:7" x14ac:dyDescent="0.2">
      <c r="A370" s="4">
        <v>2.7</v>
      </c>
      <c r="B370" s="4">
        <v>9</v>
      </c>
      <c r="C370" s="4">
        <v>0</v>
      </c>
      <c r="D370" s="4">
        <v>1</v>
      </c>
      <c r="E370" s="4">
        <v>0</v>
      </c>
      <c r="F370" s="4">
        <v>0</v>
      </c>
      <c r="G370" s="2" t="s">
        <v>79</v>
      </c>
    </row>
    <row r="371" spans="1:7" x14ac:dyDescent="0.2">
      <c r="A371" s="4">
        <v>2.27</v>
      </c>
      <c r="B371" s="4">
        <v>10</v>
      </c>
      <c r="C371" s="4">
        <v>0</v>
      </c>
      <c r="D371" s="10">
        <v>2</v>
      </c>
      <c r="E371" s="4">
        <v>0</v>
      </c>
      <c r="F371" s="4">
        <v>1</v>
      </c>
      <c r="G371" s="2" t="s">
        <v>79</v>
      </c>
    </row>
    <row r="372" spans="1:7" x14ac:dyDescent="0.2">
      <c r="A372" s="4">
        <v>3.05</v>
      </c>
      <c r="B372" s="4">
        <v>12</v>
      </c>
      <c r="C372" s="4">
        <v>0</v>
      </c>
      <c r="D372" s="4">
        <v>1</v>
      </c>
      <c r="E372" s="4">
        <v>0</v>
      </c>
      <c r="F372" s="4">
        <v>0</v>
      </c>
      <c r="G372" s="2" t="s">
        <v>79</v>
      </c>
    </row>
    <row r="373" spans="1:7" x14ac:dyDescent="0.2">
      <c r="A373" s="4">
        <v>3.5</v>
      </c>
      <c r="B373" s="4">
        <v>13</v>
      </c>
      <c r="C373" s="4">
        <v>0</v>
      </c>
      <c r="D373" s="4">
        <v>1</v>
      </c>
      <c r="E373" s="4">
        <v>0</v>
      </c>
      <c r="F373" s="4">
        <v>0</v>
      </c>
      <c r="G373" s="2" t="s">
        <v>79</v>
      </c>
    </row>
    <row r="374" spans="1:7" x14ac:dyDescent="0.2">
      <c r="A374" s="4">
        <v>4.8099999999999996</v>
      </c>
      <c r="B374" s="4">
        <v>12</v>
      </c>
      <c r="C374" s="4">
        <v>0</v>
      </c>
      <c r="D374" s="4">
        <v>1</v>
      </c>
      <c r="E374" s="4">
        <v>0</v>
      </c>
      <c r="F374" s="4">
        <v>0</v>
      </c>
      <c r="G374" s="2" t="s">
        <v>79</v>
      </c>
    </row>
    <row r="375" spans="1:7" x14ac:dyDescent="0.2">
      <c r="A375" s="4">
        <v>2.2999999999999998</v>
      </c>
      <c r="B375" s="4">
        <v>10</v>
      </c>
      <c r="C375" s="4">
        <v>0</v>
      </c>
      <c r="D375" s="4">
        <v>1</v>
      </c>
      <c r="E375" s="4">
        <v>0</v>
      </c>
      <c r="F375" s="4">
        <v>0</v>
      </c>
      <c r="G375" s="2" t="s">
        <v>79</v>
      </c>
    </row>
    <row r="376" spans="1:7" x14ac:dyDescent="0.2">
      <c r="A376" s="4">
        <v>3.5</v>
      </c>
      <c r="B376" s="4">
        <v>12</v>
      </c>
      <c r="C376" s="4">
        <v>0</v>
      </c>
      <c r="D376" s="10">
        <v>2</v>
      </c>
      <c r="E376" s="4">
        <v>0</v>
      </c>
      <c r="F376" s="4">
        <v>0</v>
      </c>
      <c r="G376" s="2" t="s">
        <v>79</v>
      </c>
    </row>
    <row r="377" spans="1:7" x14ac:dyDescent="0.2">
      <c r="A377" s="4">
        <v>7.9</v>
      </c>
      <c r="B377" s="4">
        <v>12</v>
      </c>
      <c r="C377" s="4">
        <v>0</v>
      </c>
      <c r="D377" s="4">
        <v>0</v>
      </c>
      <c r="E377" s="4">
        <v>0</v>
      </c>
      <c r="F377" s="4">
        <v>0</v>
      </c>
      <c r="G377" s="2" t="s">
        <v>79</v>
      </c>
    </row>
    <row r="378" spans="1:7" x14ac:dyDescent="0.2">
      <c r="A378" s="4">
        <v>3</v>
      </c>
      <c r="B378" s="4">
        <v>12</v>
      </c>
      <c r="C378" s="4">
        <v>0</v>
      </c>
      <c r="D378" s="4">
        <v>0</v>
      </c>
      <c r="E378" s="4">
        <v>0</v>
      </c>
      <c r="F378" s="4">
        <v>0</v>
      </c>
      <c r="G378" s="2" t="s">
        <v>79</v>
      </c>
    </row>
    <row r="379" spans="1:7" x14ac:dyDescent="0.2">
      <c r="A379" s="4">
        <v>5.7</v>
      </c>
      <c r="B379" s="4">
        <v>16</v>
      </c>
      <c r="C379" s="4">
        <v>0</v>
      </c>
      <c r="D379" s="4">
        <v>0</v>
      </c>
      <c r="E379" s="4">
        <v>0</v>
      </c>
      <c r="F379" s="4">
        <v>0</v>
      </c>
      <c r="G379" s="2" t="s">
        <v>79</v>
      </c>
    </row>
    <row r="380" spans="1:7" x14ac:dyDescent="0.2">
      <c r="A380" s="4">
        <v>2.5</v>
      </c>
      <c r="B380" s="10">
        <v>12</v>
      </c>
      <c r="C380" s="4">
        <v>0</v>
      </c>
      <c r="D380" s="4">
        <v>0</v>
      </c>
      <c r="E380" s="4">
        <v>0</v>
      </c>
      <c r="F380" s="4">
        <v>0</v>
      </c>
      <c r="G380" s="2" t="s">
        <v>79</v>
      </c>
    </row>
    <row r="381" spans="1:7" x14ac:dyDescent="0.2">
      <c r="A381" s="4">
        <v>2.88</v>
      </c>
      <c r="B381" s="4">
        <v>10</v>
      </c>
      <c r="C381" s="4">
        <v>0</v>
      </c>
      <c r="D381" s="4">
        <v>1</v>
      </c>
      <c r="E381" s="4">
        <v>0</v>
      </c>
      <c r="F381" s="4">
        <v>0</v>
      </c>
      <c r="G381" s="2" t="s">
        <v>79</v>
      </c>
    </row>
    <row r="382" spans="1:7" x14ac:dyDescent="0.2">
      <c r="A382" s="4">
        <v>3</v>
      </c>
      <c r="B382" s="4">
        <v>11</v>
      </c>
      <c r="C382" s="4">
        <v>0</v>
      </c>
      <c r="D382" s="4">
        <v>0</v>
      </c>
      <c r="E382" s="4">
        <v>0</v>
      </c>
      <c r="F382" s="4">
        <v>1</v>
      </c>
      <c r="G382" s="2" t="s">
        <v>79</v>
      </c>
    </row>
    <row r="383" spans="1:7" x14ac:dyDescent="0.2">
      <c r="A383" s="4">
        <v>3</v>
      </c>
      <c r="B383" s="4">
        <v>11</v>
      </c>
      <c r="C383" s="4">
        <v>0</v>
      </c>
      <c r="D383" s="4">
        <v>0</v>
      </c>
      <c r="E383" s="4">
        <v>0</v>
      </c>
      <c r="F383" s="4">
        <v>0</v>
      </c>
      <c r="G383" s="2" t="s">
        <v>79</v>
      </c>
    </row>
    <row r="384" spans="1:7" x14ac:dyDescent="0.2">
      <c r="A384" s="4">
        <v>3.5</v>
      </c>
      <c r="B384" s="4">
        <v>13</v>
      </c>
      <c r="C384" s="4">
        <v>0</v>
      </c>
      <c r="D384" s="4">
        <v>0</v>
      </c>
      <c r="E384" s="4">
        <v>0</v>
      </c>
      <c r="F384" s="4">
        <v>0</v>
      </c>
      <c r="G384" s="2" t="s">
        <v>79</v>
      </c>
    </row>
    <row r="385" spans="1:7" x14ac:dyDescent="0.2">
      <c r="A385" s="4">
        <v>2.83</v>
      </c>
      <c r="B385" s="4">
        <v>10</v>
      </c>
      <c r="C385" s="4">
        <v>0</v>
      </c>
      <c r="D385" s="10">
        <v>2</v>
      </c>
      <c r="E385" s="4">
        <v>0</v>
      </c>
      <c r="F385" s="4">
        <v>0</v>
      </c>
      <c r="G385" s="2" t="s">
        <v>79</v>
      </c>
    </row>
    <row r="386" spans="1:7" x14ac:dyDescent="0.2">
      <c r="A386" s="4">
        <v>1.67</v>
      </c>
      <c r="B386" s="4">
        <v>10</v>
      </c>
      <c r="C386" s="4">
        <v>0</v>
      </c>
      <c r="D386" s="4">
        <v>0</v>
      </c>
      <c r="E386" s="4">
        <v>0</v>
      </c>
      <c r="F386" s="4">
        <v>1</v>
      </c>
      <c r="G386" s="2" t="s">
        <v>79</v>
      </c>
    </row>
    <row r="387" spans="1:7" x14ac:dyDescent="0.2">
      <c r="A387" s="4">
        <v>4.68</v>
      </c>
      <c r="B387" s="4">
        <v>16</v>
      </c>
      <c r="C387" s="4">
        <v>0</v>
      </c>
      <c r="D387" s="4">
        <v>0</v>
      </c>
      <c r="E387" s="4">
        <v>0</v>
      </c>
      <c r="F387" s="4">
        <v>0</v>
      </c>
      <c r="G387" s="2" t="s">
        <v>79</v>
      </c>
    </row>
    <row r="388" spans="1:7" x14ac:dyDescent="0.2">
      <c r="A388" s="4">
        <v>3.13</v>
      </c>
      <c r="B388" s="4">
        <v>10</v>
      </c>
      <c r="C388" s="4">
        <v>0</v>
      </c>
      <c r="D388" s="4">
        <v>1</v>
      </c>
      <c r="E388" s="4">
        <v>0</v>
      </c>
      <c r="F388" s="4">
        <v>0</v>
      </c>
      <c r="G388" s="2" t="s">
        <v>79</v>
      </c>
    </row>
    <row r="389" spans="1:7" x14ac:dyDescent="0.2">
      <c r="A389" s="4">
        <v>3.2</v>
      </c>
      <c r="B389" s="4">
        <v>11</v>
      </c>
      <c r="C389" s="4">
        <v>0</v>
      </c>
      <c r="D389" s="4">
        <v>0</v>
      </c>
      <c r="E389" s="4">
        <v>0</v>
      </c>
      <c r="F389" s="4">
        <v>0</v>
      </c>
      <c r="G389" s="2" t="s">
        <v>79</v>
      </c>
    </row>
    <row r="390" spans="1:7" x14ac:dyDescent="0.2">
      <c r="A390" s="4">
        <v>4.33</v>
      </c>
      <c r="B390" s="4">
        <v>18</v>
      </c>
      <c r="C390" s="4">
        <v>0</v>
      </c>
      <c r="D390" s="4">
        <v>0</v>
      </c>
      <c r="E390" s="4">
        <v>0</v>
      </c>
      <c r="F390" s="4">
        <v>0</v>
      </c>
      <c r="G390" s="2" t="s">
        <v>79</v>
      </c>
    </row>
    <row r="391" spans="1:7" x14ac:dyDescent="0.2">
      <c r="A391" s="4">
        <v>2.9</v>
      </c>
      <c r="B391" s="4">
        <v>11</v>
      </c>
      <c r="C391" s="4">
        <v>0</v>
      </c>
      <c r="D391" s="4">
        <v>1</v>
      </c>
      <c r="E391" s="4">
        <v>0</v>
      </c>
      <c r="F391" s="4">
        <v>0</v>
      </c>
      <c r="G391" s="2" t="s">
        <v>79</v>
      </c>
    </row>
    <row r="392" spans="1:7" x14ac:dyDescent="0.2">
      <c r="A392" s="4">
        <v>2.91</v>
      </c>
      <c r="B392" s="4">
        <v>11</v>
      </c>
      <c r="C392" s="4">
        <v>0</v>
      </c>
      <c r="D392" s="4">
        <v>1</v>
      </c>
      <c r="E392" s="4">
        <v>0</v>
      </c>
      <c r="F392" s="4">
        <v>0</v>
      </c>
      <c r="G392" s="2" t="s">
        <v>79</v>
      </c>
    </row>
    <row r="393" spans="1:7" x14ac:dyDescent="0.2">
      <c r="A393" s="4">
        <v>3</v>
      </c>
      <c r="B393" s="4">
        <v>15</v>
      </c>
      <c r="C393" s="4">
        <v>0</v>
      </c>
      <c r="D393" s="4">
        <v>0</v>
      </c>
      <c r="E393" s="4">
        <v>0</v>
      </c>
      <c r="F393" s="4">
        <v>0</v>
      </c>
      <c r="G393" s="2" t="s">
        <v>79</v>
      </c>
    </row>
    <row r="394" spans="1:7" x14ac:dyDescent="0.2">
      <c r="A394" s="4">
        <v>3</v>
      </c>
      <c r="B394" s="4">
        <v>12</v>
      </c>
      <c r="C394" s="4">
        <v>0</v>
      </c>
      <c r="D394" s="4">
        <v>0</v>
      </c>
      <c r="E394" s="4">
        <v>0</v>
      </c>
      <c r="F394" s="4">
        <v>0</v>
      </c>
      <c r="G394" s="2" t="s">
        <v>79</v>
      </c>
    </row>
    <row r="395" spans="1:7" x14ac:dyDescent="0.2">
      <c r="A395" s="4">
        <v>3.15</v>
      </c>
      <c r="B395" s="4">
        <v>13</v>
      </c>
      <c r="C395" s="4">
        <v>0</v>
      </c>
      <c r="D395" s="4">
        <v>1</v>
      </c>
      <c r="E395" s="4">
        <v>0</v>
      </c>
      <c r="F395" s="4">
        <v>0</v>
      </c>
      <c r="G395" s="2" t="s">
        <v>79</v>
      </c>
    </row>
    <row r="396" spans="1:7" x14ac:dyDescent="0.2">
      <c r="A396" s="4">
        <v>12.5</v>
      </c>
      <c r="B396" s="4">
        <v>14</v>
      </c>
      <c r="C396" s="9">
        <v>26.78</v>
      </c>
      <c r="D396" s="4">
        <v>0</v>
      </c>
      <c r="E396" s="4">
        <v>1</v>
      </c>
      <c r="F396" s="4">
        <v>0</v>
      </c>
      <c r="G396" s="2" t="s">
        <v>80</v>
      </c>
    </row>
    <row r="397" spans="1:7" x14ac:dyDescent="0.2">
      <c r="A397" s="4">
        <v>1.5</v>
      </c>
      <c r="B397" s="4">
        <v>8</v>
      </c>
      <c r="C397" s="9">
        <v>26.78</v>
      </c>
      <c r="D397" s="10">
        <v>2</v>
      </c>
      <c r="E397" s="4">
        <v>0</v>
      </c>
      <c r="F397" s="4">
        <v>0</v>
      </c>
      <c r="G397" s="2" t="s">
        <v>80</v>
      </c>
    </row>
    <row r="398" spans="1:7" x14ac:dyDescent="0.2">
      <c r="A398" s="4">
        <v>2.92</v>
      </c>
      <c r="B398" s="4">
        <v>3</v>
      </c>
      <c r="C398" s="9">
        <v>26.78</v>
      </c>
      <c r="D398" s="4">
        <v>0</v>
      </c>
      <c r="E398" s="4">
        <v>0</v>
      </c>
      <c r="F398" s="4">
        <v>0</v>
      </c>
      <c r="G398" s="2" t="s">
        <v>80</v>
      </c>
    </row>
    <row r="399" spans="1:7" x14ac:dyDescent="0.2">
      <c r="A399" s="4">
        <v>10</v>
      </c>
      <c r="B399" s="4">
        <v>12</v>
      </c>
      <c r="C399" s="4">
        <v>24</v>
      </c>
      <c r="D399" s="4">
        <v>0</v>
      </c>
      <c r="E399" s="4">
        <v>1</v>
      </c>
      <c r="F399" s="4">
        <v>0</v>
      </c>
      <c r="G399" s="2" t="s">
        <v>80</v>
      </c>
    </row>
    <row r="400" spans="1:7" x14ac:dyDescent="0.2">
      <c r="A400" s="4">
        <v>10.91</v>
      </c>
      <c r="B400" s="4">
        <v>12</v>
      </c>
      <c r="C400" s="4">
        <v>23</v>
      </c>
      <c r="D400" s="4">
        <v>0</v>
      </c>
      <c r="E400" s="4">
        <v>0</v>
      </c>
      <c r="F400" s="4">
        <v>0</v>
      </c>
      <c r="G400" s="2" t="s">
        <v>80</v>
      </c>
    </row>
    <row r="401" spans="1:7" x14ac:dyDescent="0.2">
      <c r="A401" s="4">
        <v>6.25</v>
      </c>
      <c r="B401" s="4">
        <v>7</v>
      </c>
      <c r="C401" s="4">
        <v>21</v>
      </c>
      <c r="D401" s="4">
        <v>0</v>
      </c>
      <c r="E401" s="4">
        <v>1</v>
      </c>
      <c r="F401" s="4">
        <v>0</v>
      </c>
      <c r="G401" s="2" t="s">
        <v>80</v>
      </c>
    </row>
    <row r="402" spans="1:7" x14ac:dyDescent="0.2">
      <c r="A402" s="4">
        <v>15.38</v>
      </c>
      <c r="B402" s="4">
        <v>13</v>
      </c>
      <c r="C402" s="4">
        <v>21</v>
      </c>
      <c r="D402" s="4">
        <v>0</v>
      </c>
      <c r="E402" s="4">
        <v>1</v>
      </c>
      <c r="F402" s="4">
        <v>0</v>
      </c>
      <c r="G402" s="2" t="s">
        <v>80</v>
      </c>
    </row>
    <row r="403" spans="1:7" x14ac:dyDescent="0.2">
      <c r="A403" s="4">
        <v>18.89</v>
      </c>
      <c r="B403" s="4">
        <v>17</v>
      </c>
      <c r="C403" s="4">
        <v>20</v>
      </c>
      <c r="D403" s="4">
        <v>0</v>
      </c>
      <c r="E403" s="4">
        <v>1</v>
      </c>
      <c r="F403" s="4">
        <v>0</v>
      </c>
      <c r="G403" s="2" t="s">
        <v>80</v>
      </c>
    </row>
    <row r="404" spans="1:7" x14ac:dyDescent="0.2">
      <c r="A404" s="4">
        <v>3</v>
      </c>
      <c r="B404" s="4">
        <v>9</v>
      </c>
      <c r="C404" s="4">
        <v>20</v>
      </c>
      <c r="D404" s="4">
        <v>1</v>
      </c>
      <c r="E404" s="4">
        <v>1</v>
      </c>
      <c r="F404" s="4">
        <v>0</v>
      </c>
      <c r="G404" s="2" t="s">
        <v>80</v>
      </c>
    </row>
    <row r="405" spans="1:7" x14ac:dyDescent="0.2">
      <c r="A405" s="4">
        <v>11.9</v>
      </c>
      <c r="B405" s="4">
        <v>13</v>
      </c>
      <c r="C405" s="4">
        <v>19</v>
      </c>
      <c r="D405" s="4">
        <v>0</v>
      </c>
      <c r="E405" s="4">
        <v>1</v>
      </c>
      <c r="F405" s="4">
        <v>0</v>
      </c>
      <c r="G405" s="2" t="s">
        <v>80</v>
      </c>
    </row>
    <row r="406" spans="1:7" x14ac:dyDescent="0.2">
      <c r="A406" s="4">
        <v>4</v>
      </c>
      <c r="B406" s="4">
        <v>9</v>
      </c>
      <c r="C406" s="4">
        <v>18</v>
      </c>
      <c r="D406" s="4">
        <v>0</v>
      </c>
      <c r="E406" s="4">
        <v>0</v>
      </c>
      <c r="F406" s="4">
        <v>0</v>
      </c>
      <c r="G406" s="2" t="s">
        <v>80</v>
      </c>
    </row>
    <row r="407" spans="1:7" x14ac:dyDescent="0.2">
      <c r="A407" s="4">
        <v>12.5</v>
      </c>
      <c r="B407" s="4">
        <v>17</v>
      </c>
      <c r="C407" s="4">
        <v>18</v>
      </c>
      <c r="D407" s="4">
        <v>0</v>
      </c>
      <c r="E407" s="4">
        <v>1</v>
      </c>
      <c r="F407" s="4">
        <v>0</v>
      </c>
      <c r="G407" s="2" t="s">
        <v>80</v>
      </c>
    </row>
    <row r="408" spans="1:7" x14ac:dyDescent="0.2">
      <c r="A408" s="4">
        <v>9.68</v>
      </c>
      <c r="B408" s="4">
        <v>13</v>
      </c>
      <c r="C408" s="4">
        <v>16</v>
      </c>
      <c r="D408" s="4">
        <v>1</v>
      </c>
      <c r="E408" s="4">
        <v>0</v>
      </c>
      <c r="F408" s="4">
        <v>1</v>
      </c>
      <c r="G408" s="2" t="s">
        <v>80</v>
      </c>
    </row>
    <row r="409" spans="1:7" x14ac:dyDescent="0.2">
      <c r="A409" s="4">
        <v>5.6</v>
      </c>
      <c r="B409" s="4">
        <v>15</v>
      </c>
      <c r="C409" s="4">
        <v>15</v>
      </c>
      <c r="D409" s="4">
        <v>1</v>
      </c>
      <c r="E409" s="4">
        <v>0</v>
      </c>
      <c r="F409" s="4">
        <v>0</v>
      </c>
      <c r="G409" s="2" t="s">
        <v>80</v>
      </c>
    </row>
    <row r="410" spans="1:7" x14ac:dyDescent="0.2">
      <c r="A410" s="4">
        <v>3.4</v>
      </c>
      <c r="B410" s="4">
        <v>12</v>
      </c>
      <c r="C410" s="4">
        <v>15</v>
      </c>
      <c r="D410" s="4">
        <v>1</v>
      </c>
      <c r="E410" s="4">
        <v>1</v>
      </c>
      <c r="F410" s="4">
        <v>0</v>
      </c>
      <c r="G410" s="2" t="s">
        <v>80</v>
      </c>
    </row>
    <row r="411" spans="1:7" x14ac:dyDescent="0.2">
      <c r="A411" s="4">
        <v>5.2</v>
      </c>
      <c r="B411" s="4">
        <v>6</v>
      </c>
      <c r="C411" s="4">
        <v>13</v>
      </c>
      <c r="D411" s="4">
        <v>0</v>
      </c>
      <c r="E411" s="4">
        <v>1</v>
      </c>
      <c r="F411" s="4">
        <v>0</v>
      </c>
      <c r="G411" s="2" t="s">
        <v>80</v>
      </c>
    </row>
    <row r="412" spans="1:7" x14ac:dyDescent="0.2">
      <c r="A412" s="4">
        <v>3.75</v>
      </c>
      <c r="B412" s="4">
        <v>2</v>
      </c>
      <c r="C412" s="4">
        <v>13</v>
      </c>
      <c r="D412" s="4">
        <v>0</v>
      </c>
      <c r="E412" s="4">
        <v>1</v>
      </c>
      <c r="F412" s="4">
        <v>0</v>
      </c>
      <c r="G412" s="2" t="s">
        <v>80</v>
      </c>
    </row>
    <row r="413" spans="1:7" x14ac:dyDescent="0.2">
      <c r="A413" s="4">
        <v>8.4499999999999993</v>
      </c>
      <c r="B413" s="4">
        <v>12</v>
      </c>
      <c r="C413" s="4">
        <v>13</v>
      </c>
      <c r="D413" s="4">
        <v>0</v>
      </c>
      <c r="E413" s="4">
        <v>1</v>
      </c>
      <c r="F413" s="4">
        <v>0</v>
      </c>
      <c r="G413" s="2" t="s">
        <v>80</v>
      </c>
    </row>
    <row r="414" spans="1:7" x14ac:dyDescent="0.2">
      <c r="A414" s="4">
        <v>3.37</v>
      </c>
      <c r="B414" s="4">
        <v>11</v>
      </c>
      <c r="C414" s="4">
        <v>12</v>
      </c>
      <c r="D414" s="4">
        <v>0</v>
      </c>
      <c r="E414" s="4">
        <v>1</v>
      </c>
      <c r="F414" s="4">
        <v>0</v>
      </c>
      <c r="G414" s="2" t="s">
        <v>80</v>
      </c>
    </row>
    <row r="415" spans="1:7" x14ac:dyDescent="0.2">
      <c r="A415" s="4">
        <v>4</v>
      </c>
      <c r="B415" s="4">
        <v>10</v>
      </c>
      <c r="C415" s="4">
        <v>12</v>
      </c>
      <c r="D415" s="4">
        <v>0</v>
      </c>
      <c r="E415" s="4">
        <v>1</v>
      </c>
      <c r="F415" s="4">
        <v>0</v>
      </c>
      <c r="G415" s="2" t="s">
        <v>80</v>
      </c>
    </row>
    <row r="416" spans="1:7" x14ac:dyDescent="0.2">
      <c r="A416" s="4">
        <v>7.6</v>
      </c>
      <c r="B416" s="4">
        <v>12</v>
      </c>
      <c r="C416" s="4">
        <v>11</v>
      </c>
      <c r="D416" s="4">
        <v>1</v>
      </c>
      <c r="E416" s="4">
        <v>0</v>
      </c>
      <c r="F416" s="4">
        <v>0</v>
      </c>
      <c r="G416" s="2" t="s">
        <v>80</v>
      </c>
    </row>
    <row r="417" spans="1:7" x14ac:dyDescent="0.2">
      <c r="A417" s="4">
        <v>10</v>
      </c>
      <c r="B417" s="4">
        <v>14</v>
      </c>
      <c r="C417" s="4">
        <v>11</v>
      </c>
      <c r="D417" s="4">
        <v>1</v>
      </c>
      <c r="E417" s="4">
        <v>1</v>
      </c>
      <c r="F417" s="4">
        <v>0</v>
      </c>
      <c r="G417" s="2" t="s">
        <v>80</v>
      </c>
    </row>
    <row r="418" spans="1:7" x14ac:dyDescent="0.2">
      <c r="A418" s="4">
        <v>4</v>
      </c>
      <c r="B418" s="4">
        <v>12</v>
      </c>
      <c r="C418" s="4">
        <v>11</v>
      </c>
      <c r="D418" s="4">
        <v>1</v>
      </c>
      <c r="E418" s="4">
        <v>1</v>
      </c>
      <c r="F418" s="4">
        <v>0</v>
      </c>
      <c r="G418" s="2" t="s">
        <v>80</v>
      </c>
    </row>
    <row r="419" spans="1:7" x14ac:dyDescent="0.2">
      <c r="A419" s="4">
        <v>9.33</v>
      </c>
      <c r="B419" s="4">
        <v>14</v>
      </c>
      <c r="C419" s="4">
        <v>11</v>
      </c>
      <c r="D419" s="4">
        <v>0</v>
      </c>
      <c r="E419" s="4">
        <v>1</v>
      </c>
      <c r="F419" s="4">
        <v>0</v>
      </c>
      <c r="G419" s="2" t="s">
        <v>80</v>
      </c>
    </row>
    <row r="420" spans="1:7" x14ac:dyDescent="0.2">
      <c r="A420" s="4">
        <v>6.08</v>
      </c>
      <c r="B420" s="4">
        <v>16</v>
      </c>
      <c r="C420" s="4">
        <v>10</v>
      </c>
      <c r="D420" s="4">
        <v>0</v>
      </c>
      <c r="E420" s="4">
        <v>0</v>
      </c>
      <c r="F420" s="4">
        <v>0</v>
      </c>
      <c r="G420" s="2" t="s">
        <v>80</v>
      </c>
    </row>
    <row r="421" spans="1:7" x14ac:dyDescent="0.2">
      <c r="A421" s="4">
        <v>6.67</v>
      </c>
      <c r="B421" s="4">
        <v>12</v>
      </c>
      <c r="C421" s="4">
        <v>10</v>
      </c>
      <c r="D421" s="4">
        <v>0</v>
      </c>
      <c r="E421" s="4">
        <v>0</v>
      </c>
      <c r="F421" s="4">
        <v>0</v>
      </c>
      <c r="G421" s="2" t="s">
        <v>80</v>
      </c>
    </row>
    <row r="422" spans="1:7" x14ac:dyDescent="0.2">
      <c r="A422" s="4">
        <v>4.5</v>
      </c>
      <c r="B422" s="4">
        <v>16</v>
      </c>
      <c r="C422" s="4">
        <v>10</v>
      </c>
      <c r="D422" s="4">
        <v>0</v>
      </c>
      <c r="E422" s="4">
        <v>1</v>
      </c>
      <c r="F422" s="4">
        <v>0</v>
      </c>
      <c r="G422" s="2" t="s">
        <v>80</v>
      </c>
    </row>
    <row r="423" spans="1:7" x14ac:dyDescent="0.2">
      <c r="A423" s="4">
        <v>6.8</v>
      </c>
      <c r="B423" s="4">
        <v>12</v>
      </c>
      <c r="C423" s="4">
        <v>10</v>
      </c>
      <c r="D423" s="4">
        <v>0</v>
      </c>
      <c r="E423" s="4">
        <v>1</v>
      </c>
      <c r="F423" s="4">
        <v>0</v>
      </c>
      <c r="G423" s="2" t="s">
        <v>80</v>
      </c>
    </row>
    <row r="424" spans="1:7" x14ac:dyDescent="0.2">
      <c r="A424" s="4">
        <v>3</v>
      </c>
      <c r="B424" s="4">
        <v>12</v>
      </c>
      <c r="C424" s="4">
        <v>9</v>
      </c>
      <c r="D424" s="4">
        <v>1</v>
      </c>
      <c r="E424" s="4">
        <v>1</v>
      </c>
      <c r="F424" s="4">
        <v>0</v>
      </c>
      <c r="G424" s="2" t="s">
        <v>80</v>
      </c>
    </row>
    <row r="425" spans="1:7" x14ac:dyDescent="0.2">
      <c r="A425" s="4">
        <v>6.22</v>
      </c>
      <c r="B425" s="4">
        <v>12</v>
      </c>
      <c r="C425" s="4">
        <v>9</v>
      </c>
      <c r="D425" s="4">
        <v>1</v>
      </c>
      <c r="E425" s="4">
        <v>1</v>
      </c>
      <c r="F425" s="4">
        <v>0</v>
      </c>
      <c r="G425" s="2" t="s">
        <v>80</v>
      </c>
    </row>
    <row r="426" spans="1:7" x14ac:dyDescent="0.2">
      <c r="A426" s="4">
        <v>5.95</v>
      </c>
      <c r="B426" s="4">
        <v>11</v>
      </c>
      <c r="C426" s="4">
        <v>9</v>
      </c>
      <c r="D426" s="4">
        <v>0</v>
      </c>
      <c r="E426" s="4">
        <v>1</v>
      </c>
      <c r="F426" s="4">
        <v>0</v>
      </c>
      <c r="G426" s="2" t="s">
        <v>80</v>
      </c>
    </row>
    <row r="427" spans="1:7" x14ac:dyDescent="0.2">
      <c r="A427" s="4">
        <v>14.38</v>
      </c>
      <c r="B427" s="4">
        <v>17</v>
      </c>
      <c r="C427" s="4">
        <v>9</v>
      </c>
      <c r="D427" s="4">
        <v>0</v>
      </c>
      <c r="E427" s="4">
        <v>1</v>
      </c>
      <c r="F427" s="4">
        <v>0</v>
      </c>
      <c r="G427" s="2" t="s">
        <v>80</v>
      </c>
    </row>
    <row r="428" spans="1:7" x14ac:dyDescent="0.2">
      <c r="A428" s="4">
        <v>4.5</v>
      </c>
      <c r="B428" s="4">
        <v>11</v>
      </c>
      <c r="C428" s="4">
        <v>9</v>
      </c>
      <c r="D428" s="4">
        <v>0</v>
      </c>
      <c r="E428" s="4">
        <v>0</v>
      </c>
      <c r="F428" s="4">
        <v>0</v>
      </c>
      <c r="G428" s="2" t="s">
        <v>80</v>
      </c>
    </row>
    <row r="429" spans="1:7" x14ac:dyDescent="0.2">
      <c r="A429" s="4">
        <v>6</v>
      </c>
      <c r="B429" s="4">
        <v>11</v>
      </c>
      <c r="C429" s="4">
        <v>8</v>
      </c>
      <c r="D429" s="4">
        <v>1</v>
      </c>
      <c r="E429" s="4">
        <v>0</v>
      </c>
      <c r="F429" s="4">
        <v>1</v>
      </c>
      <c r="G429" s="2" t="s">
        <v>80</v>
      </c>
    </row>
    <row r="430" spans="1:7" x14ac:dyDescent="0.2">
      <c r="A430" s="4">
        <v>6</v>
      </c>
      <c r="B430" s="4">
        <v>12</v>
      </c>
      <c r="C430" s="4">
        <v>8</v>
      </c>
      <c r="D430" s="4">
        <v>0</v>
      </c>
      <c r="E430" s="4">
        <v>0</v>
      </c>
      <c r="F430" s="4">
        <v>0</v>
      </c>
      <c r="G430" s="2" t="s">
        <v>80</v>
      </c>
    </row>
    <row r="431" spans="1:7" x14ac:dyDescent="0.2">
      <c r="A431" s="4">
        <v>5.6</v>
      </c>
      <c r="B431" s="4">
        <v>11</v>
      </c>
      <c r="C431" s="4">
        <v>8</v>
      </c>
      <c r="D431" s="4">
        <v>0</v>
      </c>
      <c r="E431" s="4">
        <v>1</v>
      </c>
      <c r="F431" s="4">
        <v>0</v>
      </c>
      <c r="G431" s="2" t="s">
        <v>80</v>
      </c>
    </row>
    <row r="432" spans="1:7" x14ac:dyDescent="0.2">
      <c r="A432" s="4">
        <v>2.9</v>
      </c>
      <c r="B432" s="4">
        <v>6</v>
      </c>
      <c r="C432" s="4">
        <v>7</v>
      </c>
      <c r="D432" s="4">
        <v>0</v>
      </c>
      <c r="E432" s="4">
        <v>1</v>
      </c>
      <c r="F432" s="4">
        <v>0</v>
      </c>
      <c r="G432" s="2" t="s">
        <v>80</v>
      </c>
    </row>
    <row r="433" spans="1:7" x14ac:dyDescent="0.2">
      <c r="A433" s="4">
        <v>5.25</v>
      </c>
      <c r="B433" s="4">
        <v>10</v>
      </c>
      <c r="C433" s="4">
        <v>7</v>
      </c>
      <c r="D433" s="4">
        <v>0</v>
      </c>
      <c r="E433" s="4">
        <v>1</v>
      </c>
      <c r="F433" s="4">
        <v>0</v>
      </c>
      <c r="G433" s="2" t="s">
        <v>80</v>
      </c>
    </row>
    <row r="434" spans="1:7" x14ac:dyDescent="0.2">
      <c r="A434" s="4">
        <v>18</v>
      </c>
      <c r="B434" s="4">
        <v>16</v>
      </c>
      <c r="C434" s="4">
        <v>7</v>
      </c>
      <c r="D434" s="4">
        <v>0</v>
      </c>
      <c r="E434" s="4">
        <v>1</v>
      </c>
      <c r="F434" s="4">
        <v>0</v>
      </c>
      <c r="G434" s="2" t="s">
        <v>80</v>
      </c>
    </row>
    <row r="435" spans="1:7" x14ac:dyDescent="0.2">
      <c r="A435" s="4">
        <v>14.58</v>
      </c>
      <c r="B435" s="4">
        <v>18</v>
      </c>
      <c r="C435" s="4">
        <v>7</v>
      </c>
      <c r="D435" s="4">
        <v>1</v>
      </c>
      <c r="E435" s="4">
        <v>0</v>
      </c>
      <c r="F435" s="4">
        <v>0</v>
      </c>
      <c r="G435" s="2" t="s">
        <v>80</v>
      </c>
    </row>
    <row r="436" spans="1:7" x14ac:dyDescent="0.2">
      <c r="A436" s="4">
        <v>3.95</v>
      </c>
      <c r="B436" s="4">
        <v>6</v>
      </c>
      <c r="C436" s="4">
        <v>6</v>
      </c>
      <c r="D436" s="4">
        <v>0</v>
      </c>
      <c r="E436" s="4">
        <v>1</v>
      </c>
      <c r="F436" s="4">
        <v>0</v>
      </c>
      <c r="G436" s="2" t="s">
        <v>80</v>
      </c>
    </row>
    <row r="437" spans="1:7" x14ac:dyDescent="0.2">
      <c r="A437" s="4">
        <v>10.63</v>
      </c>
      <c r="B437" s="4">
        <v>12</v>
      </c>
      <c r="C437" s="4">
        <v>6</v>
      </c>
      <c r="D437" s="4">
        <v>1</v>
      </c>
      <c r="E437" s="4">
        <v>1</v>
      </c>
      <c r="F437" s="4">
        <v>1</v>
      </c>
      <c r="G437" s="2" t="s">
        <v>80</v>
      </c>
    </row>
    <row r="438" spans="1:7" x14ac:dyDescent="0.2">
      <c r="A438" s="4">
        <v>2</v>
      </c>
      <c r="B438" s="4">
        <v>13</v>
      </c>
      <c r="C438" s="4">
        <v>6</v>
      </c>
      <c r="D438" s="4">
        <v>1</v>
      </c>
      <c r="E438" s="4">
        <v>0</v>
      </c>
      <c r="F438" s="4">
        <v>0</v>
      </c>
      <c r="G438" s="2" t="s">
        <v>80</v>
      </c>
    </row>
    <row r="439" spans="1:7" x14ac:dyDescent="0.2">
      <c r="A439" s="4">
        <v>10.92</v>
      </c>
      <c r="B439" s="4">
        <v>12</v>
      </c>
      <c r="C439" s="4">
        <v>5</v>
      </c>
      <c r="D439" s="4">
        <v>0</v>
      </c>
      <c r="E439" s="4">
        <v>1</v>
      </c>
      <c r="F439" s="4">
        <v>0</v>
      </c>
      <c r="G439" s="2" t="s">
        <v>80</v>
      </c>
    </row>
    <row r="440" spans="1:7" x14ac:dyDescent="0.2">
      <c r="A440" s="4">
        <v>10</v>
      </c>
      <c r="B440" s="4">
        <v>12</v>
      </c>
      <c r="C440" s="4">
        <v>5</v>
      </c>
      <c r="D440" s="4">
        <v>1</v>
      </c>
      <c r="E440" s="4">
        <v>1</v>
      </c>
      <c r="F440" s="4">
        <v>1</v>
      </c>
      <c r="G440" s="2" t="s">
        <v>80</v>
      </c>
    </row>
    <row r="441" spans="1:7" x14ac:dyDescent="0.2">
      <c r="A441" s="4">
        <v>7.5</v>
      </c>
      <c r="B441" s="4">
        <v>12</v>
      </c>
      <c r="C441" s="4">
        <v>5</v>
      </c>
      <c r="D441" s="4">
        <v>0</v>
      </c>
      <c r="E441" s="4">
        <v>1</v>
      </c>
      <c r="F441" s="4">
        <v>1</v>
      </c>
      <c r="G441" s="2" t="s">
        <v>80</v>
      </c>
    </row>
    <row r="442" spans="1:7" x14ac:dyDescent="0.2">
      <c r="A442" s="4">
        <v>7.25</v>
      </c>
      <c r="B442" s="4">
        <v>12</v>
      </c>
      <c r="C442" s="4">
        <v>5</v>
      </c>
      <c r="D442" s="4">
        <v>0</v>
      </c>
      <c r="E442" s="4">
        <v>1</v>
      </c>
      <c r="F442" s="4">
        <v>1</v>
      </c>
      <c r="G442" s="2" t="s">
        <v>80</v>
      </c>
    </row>
    <row r="443" spans="1:7" x14ac:dyDescent="0.2">
      <c r="A443" s="4">
        <v>3.45</v>
      </c>
      <c r="B443" s="4">
        <v>12</v>
      </c>
      <c r="C443" s="4">
        <v>5</v>
      </c>
      <c r="D443" s="4">
        <v>1</v>
      </c>
      <c r="E443" s="4">
        <v>1</v>
      </c>
      <c r="F443" s="4">
        <v>0</v>
      </c>
      <c r="G443" s="2" t="s">
        <v>80</v>
      </c>
    </row>
    <row r="444" spans="1:7" x14ac:dyDescent="0.2">
      <c r="A444" s="4">
        <v>3.6</v>
      </c>
      <c r="B444" s="4">
        <v>12</v>
      </c>
      <c r="C444" s="4">
        <v>4</v>
      </c>
      <c r="D444" s="4">
        <v>1</v>
      </c>
      <c r="E444" s="4">
        <v>0</v>
      </c>
      <c r="F444" s="4">
        <v>1</v>
      </c>
      <c r="G444" s="2" t="s">
        <v>80</v>
      </c>
    </row>
    <row r="445" spans="1:7" x14ac:dyDescent="0.2">
      <c r="A445" s="4">
        <v>8</v>
      </c>
      <c r="B445" s="4">
        <v>16</v>
      </c>
      <c r="C445" s="4">
        <v>4</v>
      </c>
      <c r="D445" s="4">
        <v>0</v>
      </c>
      <c r="E445" s="4">
        <v>0</v>
      </c>
      <c r="F445" s="4">
        <v>0</v>
      </c>
      <c r="G445" s="2" t="s">
        <v>80</v>
      </c>
    </row>
    <row r="446" spans="1:7" x14ac:dyDescent="0.2">
      <c r="A446" s="4">
        <v>5.5</v>
      </c>
      <c r="B446" s="4">
        <v>12</v>
      </c>
      <c r="C446" s="4">
        <v>4</v>
      </c>
      <c r="D446" s="4">
        <v>0</v>
      </c>
      <c r="E446" s="4">
        <v>1</v>
      </c>
      <c r="F446" s="4">
        <v>0</v>
      </c>
      <c r="G446" s="2" t="s">
        <v>80</v>
      </c>
    </row>
    <row r="447" spans="1:7" x14ac:dyDescent="0.2">
      <c r="A447" s="4">
        <v>4.05</v>
      </c>
      <c r="B447" s="4">
        <v>9</v>
      </c>
      <c r="C447" s="4">
        <v>4</v>
      </c>
      <c r="D447" s="4">
        <v>1</v>
      </c>
      <c r="E447" s="4">
        <v>1</v>
      </c>
      <c r="F447" s="4">
        <v>0</v>
      </c>
      <c r="G447" s="2" t="s">
        <v>80</v>
      </c>
    </row>
    <row r="448" spans="1:7" x14ac:dyDescent="0.2">
      <c r="A448" s="4">
        <v>8.75</v>
      </c>
      <c r="B448" s="4">
        <v>12</v>
      </c>
      <c r="C448" s="4">
        <v>4</v>
      </c>
      <c r="D448" s="4">
        <v>0</v>
      </c>
      <c r="E448" s="4">
        <v>1</v>
      </c>
      <c r="F448" s="4">
        <v>0</v>
      </c>
      <c r="G448" s="2" t="s">
        <v>80</v>
      </c>
    </row>
    <row r="449" spans="1:7" x14ac:dyDescent="0.2">
      <c r="A449" s="4">
        <v>2.17</v>
      </c>
      <c r="B449" s="4">
        <v>13</v>
      </c>
      <c r="C449" s="4">
        <v>4</v>
      </c>
      <c r="D449" s="4">
        <v>1</v>
      </c>
      <c r="E449" s="4">
        <v>0</v>
      </c>
      <c r="F449" s="4">
        <v>0</v>
      </c>
      <c r="G449" s="2" t="s">
        <v>80</v>
      </c>
    </row>
    <row r="450" spans="1:7" x14ac:dyDescent="0.2">
      <c r="A450" s="4">
        <v>11.1</v>
      </c>
      <c r="B450" s="4">
        <v>15</v>
      </c>
      <c r="C450" s="4">
        <v>4</v>
      </c>
      <c r="D450" s="4">
        <v>1</v>
      </c>
      <c r="E450" s="4">
        <v>0</v>
      </c>
      <c r="F450" s="4">
        <v>0</v>
      </c>
      <c r="G450" s="2" t="s">
        <v>80</v>
      </c>
    </row>
    <row r="451" spans="1:7" x14ac:dyDescent="0.2">
      <c r="A451" s="4">
        <v>1.96</v>
      </c>
      <c r="B451" s="4">
        <v>11</v>
      </c>
      <c r="C451" s="4">
        <v>3</v>
      </c>
      <c r="D451" s="4">
        <v>1</v>
      </c>
      <c r="E451" s="4">
        <v>0</v>
      </c>
      <c r="F451" s="4">
        <v>0</v>
      </c>
      <c r="G451" s="2" t="s">
        <v>80</v>
      </c>
    </row>
    <row r="452" spans="1:7" x14ac:dyDescent="0.2">
      <c r="A452" s="4">
        <v>7</v>
      </c>
      <c r="B452" s="4">
        <v>16</v>
      </c>
      <c r="C452" s="4">
        <v>3</v>
      </c>
      <c r="D452" s="4">
        <v>1</v>
      </c>
      <c r="E452" s="4">
        <v>1</v>
      </c>
      <c r="F452" s="4">
        <v>0</v>
      </c>
      <c r="G452" s="2" t="s">
        <v>80</v>
      </c>
    </row>
    <row r="453" spans="1:7" x14ac:dyDescent="0.2">
      <c r="A453" s="4">
        <v>4</v>
      </c>
      <c r="B453" s="4">
        <v>12</v>
      </c>
      <c r="C453" s="4">
        <v>3</v>
      </c>
      <c r="D453" s="4">
        <v>0</v>
      </c>
      <c r="E453" s="4">
        <v>1</v>
      </c>
      <c r="F453" s="4">
        <v>0</v>
      </c>
      <c r="G453" s="2" t="s">
        <v>80</v>
      </c>
    </row>
    <row r="454" spans="1:7" x14ac:dyDescent="0.2">
      <c r="A454" s="4">
        <v>5.5</v>
      </c>
      <c r="B454" s="4">
        <v>12</v>
      </c>
      <c r="C454" s="4">
        <v>3</v>
      </c>
      <c r="D454" s="4">
        <v>0</v>
      </c>
      <c r="E454" s="4">
        <v>0</v>
      </c>
      <c r="F454" s="4">
        <v>1</v>
      </c>
      <c r="G454" s="2" t="s">
        <v>80</v>
      </c>
    </row>
    <row r="455" spans="1:7" x14ac:dyDescent="0.2">
      <c r="A455" s="4">
        <v>3.91</v>
      </c>
      <c r="B455" s="4">
        <v>18</v>
      </c>
      <c r="C455" s="4">
        <v>3</v>
      </c>
      <c r="D455" s="4">
        <v>0</v>
      </c>
      <c r="E455" s="4">
        <v>1</v>
      </c>
      <c r="F455" s="4">
        <v>0</v>
      </c>
      <c r="G455" s="2" t="s">
        <v>80</v>
      </c>
    </row>
    <row r="456" spans="1:7" x14ac:dyDescent="0.2">
      <c r="A456" s="4">
        <v>6.43</v>
      </c>
      <c r="B456" s="4">
        <v>16</v>
      </c>
      <c r="C456" s="4">
        <v>3</v>
      </c>
      <c r="D456" s="4">
        <v>1</v>
      </c>
      <c r="E456" s="4">
        <v>1</v>
      </c>
      <c r="F456" s="4">
        <v>0</v>
      </c>
      <c r="G456" s="2" t="s">
        <v>80</v>
      </c>
    </row>
    <row r="457" spans="1:7" x14ac:dyDescent="0.2">
      <c r="A457" s="4">
        <v>8</v>
      </c>
      <c r="B457" s="4">
        <v>12</v>
      </c>
      <c r="C457" s="4">
        <v>3</v>
      </c>
      <c r="D457" s="4">
        <v>1</v>
      </c>
      <c r="E457" s="4">
        <v>0</v>
      </c>
      <c r="F457" s="4">
        <v>0</v>
      </c>
      <c r="G457" s="2" t="s">
        <v>80</v>
      </c>
    </row>
    <row r="458" spans="1:7" x14ac:dyDescent="0.2">
      <c r="A458" s="4">
        <v>6.85</v>
      </c>
      <c r="B458" s="4">
        <v>15</v>
      </c>
      <c r="C458" s="4">
        <v>3</v>
      </c>
      <c r="D458" s="4">
        <v>1</v>
      </c>
      <c r="E458" s="4">
        <v>1</v>
      </c>
      <c r="F458" s="4">
        <v>0</v>
      </c>
      <c r="G458" s="2" t="s">
        <v>80</v>
      </c>
    </row>
    <row r="459" spans="1:7" x14ac:dyDescent="0.2">
      <c r="A459" s="4">
        <v>8.75</v>
      </c>
      <c r="B459" s="4">
        <v>14</v>
      </c>
      <c r="C459" s="4">
        <v>3</v>
      </c>
      <c r="D459" s="4">
        <v>0</v>
      </c>
      <c r="E459" s="4">
        <v>1</v>
      </c>
      <c r="F459" s="4">
        <v>0</v>
      </c>
      <c r="G459" s="2" t="s">
        <v>80</v>
      </c>
    </row>
    <row r="460" spans="1:7" x14ac:dyDescent="0.2">
      <c r="A460" s="4">
        <v>6.18</v>
      </c>
      <c r="B460" s="4">
        <v>14</v>
      </c>
      <c r="C460" s="4">
        <v>3</v>
      </c>
      <c r="D460" s="4">
        <v>1</v>
      </c>
      <c r="E460" s="4">
        <v>1</v>
      </c>
      <c r="F460" s="4">
        <v>0</v>
      </c>
      <c r="G460" s="2" t="s">
        <v>80</v>
      </c>
    </row>
    <row r="461" spans="1:7" x14ac:dyDescent="0.2">
      <c r="A461" s="4">
        <v>3.75</v>
      </c>
      <c r="B461" s="4">
        <v>12</v>
      </c>
      <c r="C461" s="4">
        <v>2</v>
      </c>
      <c r="D461" s="4">
        <v>1</v>
      </c>
      <c r="E461" s="4">
        <v>1</v>
      </c>
      <c r="F461" s="4">
        <v>0</v>
      </c>
      <c r="G461" s="2" t="s">
        <v>80</v>
      </c>
    </row>
    <row r="462" spans="1:7" x14ac:dyDescent="0.2">
      <c r="A462" s="4">
        <v>2.93</v>
      </c>
      <c r="B462" s="4">
        <v>12</v>
      </c>
      <c r="C462" s="4">
        <v>2</v>
      </c>
      <c r="D462" s="4">
        <v>1</v>
      </c>
      <c r="E462" s="4">
        <v>1</v>
      </c>
      <c r="F462" s="4">
        <v>1</v>
      </c>
      <c r="G462" s="2" t="s">
        <v>80</v>
      </c>
    </row>
    <row r="463" spans="1:7" x14ac:dyDescent="0.2">
      <c r="A463" s="4">
        <v>3</v>
      </c>
      <c r="B463" s="4">
        <v>8</v>
      </c>
      <c r="C463" s="4">
        <v>2</v>
      </c>
      <c r="D463" s="4">
        <v>0</v>
      </c>
      <c r="E463" s="4">
        <v>1</v>
      </c>
      <c r="F463" s="4">
        <v>0</v>
      </c>
      <c r="G463" s="2" t="s">
        <v>80</v>
      </c>
    </row>
    <row r="464" spans="1:7" x14ac:dyDescent="0.2">
      <c r="A464" s="4">
        <v>10</v>
      </c>
      <c r="B464" s="4">
        <v>12</v>
      </c>
      <c r="C464" s="4">
        <v>2</v>
      </c>
      <c r="D464" s="4">
        <v>0</v>
      </c>
      <c r="E464" s="4">
        <v>1</v>
      </c>
      <c r="F464" s="4">
        <v>0</v>
      </c>
      <c r="G464" s="2" t="s">
        <v>80</v>
      </c>
    </row>
    <row r="465" spans="1:7" x14ac:dyDescent="0.2">
      <c r="A465" s="4">
        <v>6.25</v>
      </c>
      <c r="B465" s="4">
        <v>16</v>
      </c>
      <c r="C465" s="4">
        <v>2</v>
      </c>
      <c r="D465" s="4">
        <v>1</v>
      </c>
      <c r="E465" s="4">
        <v>1</v>
      </c>
      <c r="F465" s="4">
        <v>1</v>
      </c>
      <c r="G465" s="2" t="s">
        <v>80</v>
      </c>
    </row>
    <row r="466" spans="1:7" x14ac:dyDescent="0.2">
      <c r="A466" s="4">
        <v>3.28</v>
      </c>
      <c r="B466" s="4">
        <v>12</v>
      </c>
      <c r="C466" s="4">
        <v>2</v>
      </c>
      <c r="D466" s="4">
        <v>1</v>
      </c>
      <c r="E466" s="4">
        <v>0</v>
      </c>
      <c r="F466" s="4">
        <v>0</v>
      </c>
      <c r="G466" s="2" t="s">
        <v>80</v>
      </c>
    </row>
    <row r="467" spans="1:7" x14ac:dyDescent="0.2">
      <c r="A467" s="4">
        <v>9.0500000000000007</v>
      </c>
      <c r="B467" s="4">
        <v>12</v>
      </c>
      <c r="C467" s="4">
        <v>2</v>
      </c>
      <c r="D467" s="4">
        <v>0</v>
      </c>
      <c r="E467" s="4">
        <v>1</v>
      </c>
      <c r="F467" s="4">
        <v>0</v>
      </c>
      <c r="G467" s="2" t="s">
        <v>80</v>
      </c>
    </row>
    <row r="468" spans="1:7" x14ac:dyDescent="0.2">
      <c r="A468" s="4">
        <v>12.22</v>
      </c>
      <c r="B468" s="4">
        <v>16</v>
      </c>
      <c r="C468" s="4">
        <v>2</v>
      </c>
      <c r="D468" s="4">
        <v>0</v>
      </c>
      <c r="E468" s="4">
        <v>0</v>
      </c>
      <c r="F468" s="4">
        <v>0</v>
      </c>
      <c r="G468" s="2" t="s">
        <v>80</v>
      </c>
    </row>
    <row r="469" spans="1:7" x14ac:dyDescent="0.2">
      <c r="A469" s="4">
        <v>5.71</v>
      </c>
      <c r="B469" s="4">
        <v>13</v>
      </c>
      <c r="C469" s="4">
        <v>2</v>
      </c>
      <c r="D469" s="4">
        <v>1</v>
      </c>
      <c r="E469" s="4">
        <v>1</v>
      </c>
      <c r="F469" s="4">
        <v>0</v>
      </c>
      <c r="G469" s="2" t="s">
        <v>80</v>
      </c>
    </row>
    <row r="470" spans="1:7" x14ac:dyDescent="0.2">
      <c r="A470" s="4">
        <v>3.65</v>
      </c>
      <c r="B470" s="4">
        <v>14</v>
      </c>
      <c r="C470" s="4">
        <v>2</v>
      </c>
      <c r="D470" s="4">
        <v>0</v>
      </c>
      <c r="E470" s="4">
        <v>0</v>
      </c>
      <c r="F470" s="4">
        <v>1</v>
      </c>
      <c r="G470" s="2" t="s">
        <v>80</v>
      </c>
    </row>
    <row r="471" spans="1:7" x14ac:dyDescent="0.2">
      <c r="A471" s="4">
        <v>3.64</v>
      </c>
      <c r="B471" s="4">
        <v>12</v>
      </c>
      <c r="C471" s="4">
        <v>2</v>
      </c>
      <c r="D471" s="4">
        <v>0</v>
      </c>
      <c r="E471" s="4">
        <v>0</v>
      </c>
      <c r="F471" s="4">
        <v>0</v>
      </c>
      <c r="G471" s="2" t="s">
        <v>80</v>
      </c>
    </row>
    <row r="472" spans="1:7" x14ac:dyDescent="0.2">
      <c r="A472" s="4">
        <v>4</v>
      </c>
      <c r="B472" s="4">
        <v>12</v>
      </c>
      <c r="C472" s="4">
        <v>2</v>
      </c>
      <c r="D472" s="4">
        <v>0</v>
      </c>
      <c r="E472" s="4">
        <v>1</v>
      </c>
      <c r="F472" s="4">
        <v>0</v>
      </c>
      <c r="G472" s="2" t="s">
        <v>80</v>
      </c>
    </row>
    <row r="473" spans="1:7" x14ac:dyDescent="0.2">
      <c r="A473" s="4">
        <v>2</v>
      </c>
      <c r="B473" s="4">
        <v>12</v>
      </c>
      <c r="C473" s="4">
        <v>2</v>
      </c>
      <c r="D473" s="4">
        <v>1</v>
      </c>
      <c r="E473" s="4">
        <v>0</v>
      </c>
      <c r="F473" s="4">
        <v>0</v>
      </c>
      <c r="G473" s="2" t="s">
        <v>80</v>
      </c>
    </row>
    <row r="474" spans="1:7" x14ac:dyDescent="0.2">
      <c r="A474" s="4">
        <v>4.0999999999999996</v>
      </c>
      <c r="B474" s="4">
        <v>12</v>
      </c>
      <c r="C474" s="4">
        <v>2</v>
      </c>
      <c r="D474" s="4">
        <v>1</v>
      </c>
      <c r="E474" s="4">
        <v>0</v>
      </c>
      <c r="F474" s="4">
        <v>0</v>
      </c>
      <c r="G474" s="2" t="s">
        <v>80</v>
      </c>
    </row>
    <row r="475" spans="1:7" x14ac:dyDescent="0.2">
      <c r="A475" s="4">
        <v>3</v>
      </c>
      <c r="B475" s="4">
        <v>14</v>
      </c>
      <c r="C475" s="4">
        <v>2</v>
      </c>
      <c r="D475" s="4">
        <v>1</v>
      </c>
      <c r="E475" s="4">
        <v>0</v>
      </c>
      <c r="F475" s="4">
        <v>0</v>
      </c>
      <c r="G475" s="2" t="s">
        <v>80</v>
      </c>
    </row>
    <row r="476" spans="1:7" x14ac:dyDescent="0.2">
      <c r="A476" s="4">
        <v>9.3000000000000007</v>
      </c>
      <c r="B476" s="4">
        <v>15</v>
      </c>
      <c r="C476" s="4">
        <v>2</v>
      </c>
      <c r="D476" s="4">
        <v>0</v>
      </c>
      <c r="E476" s="4">
        <v>1</v>
      </c>
      <c r="F476" s="4">
        <v>0</v>
      </c>
      <c r="G476" s="2" t="s">
        <v>80</v>
      </c>
    </row>
    <row r="477" spans="1:7" x14ac:dyDescent="0.2">
      <c r="A477" s="4">
        <v>2.91</v>
      </c>
      <c r="B477" s="4">
        <v>11</v>
      </c>
      <c r="C477" s="4">
        <v>2</v>
      </c>
      <c r="D477" s="4">
        <v>0</v>
      </c>
      <c r="E477" s="4">
        <v>0</v>
      </c>
      <c r="F477" s="4">
        <v>0</v>
      </c>
      <c r="G477" s="2" t="s">
        <v>80</v>
      </c>
    </row>
    <row r="478" spans="1:7" x14ac:dyDescent="0.2">
      <c r="A478" s="4">
        <v>3.1</v>
      </c>
      <c r="B478" s="4">
        <v>12</v>
      </c>
      <c r="C478" s="4">
        <v>2</v>
      </c>
      <c r="D478" s="4">
        <v>1</v>
      </c>
      <c r="E478" s="4">
        <v>0</v>
      </c>
      <c r="F478" s="4">
        <v>0</v>
      </c>
      <c r="G478" s="2" t="s">
        <v>80</v>
      </c>
    </row>
    <row r="479" spans="1:7" x14ac:dyDescent="0.2">
      <c r="A479" s="4">
        <v>2.75</v>
      </c>
      <c r="B479" s="4">
        <v>13</v>
      </c>
      <c r="C479" s="4">
        <v>2</v>
      </c>
      <c r="D479" s="4">
        <v>1</v>
      </c>
      <c r="E479" s="4">
        <v>0</v>
      </c>
      <c r="F479" s="4">
        <v>0</v>
      </c>
      <c r="G479" s="2" t="s">
        <v>80</v>
      </c>
    </row>
    <row r="480" spans="1:7" x14ac:dyDescent="0.2">
      <c r="A480" s="4">
        <v>4.75</v>
      </c>
      <c r="B480" s="4">
        <v>13</v>
      </c>
      <c r="C480" s="4">
        <v>1</v>
      </c>
      <c r="D480" s="4">
        <v>0</v>
      </c>
      <c r="E480" s="4">
        <v>1</v>
      </c>
      <c r="F480" s="4">
        <v>1</v>
      </c>
      <c r="G480" s="2" t="s">
        <v>80</v>
      </c>
    </row>
    <row r="481" spans="1:7" x14ac:dyDescent="0.2">
      <c r="A481" s="4">
        <v>2.9</v>
      </c>
      <c r="B481" s="4">
        <v>12</v>
      </c>
      <c r="C481" s="4">
        <v>1</v>
      </c>
      <c r="D481" s="4">
        <v>1</v>
      </c>
      <c r="E481" s="4">
        <v>0</v>
      </c>
      <c r="F481" s="4">
        <v>0</v>
      </c>
      <c r="G481" s="2" t="s">
        <v>80</v>
      </c>
    </row>
    <row r="482" spans="1:7" x14ac:dyDescent="0.2">
      <c r="A482" s="4">
        <v>3.15</v>
      </c>
      <c r="B482" s="4">
        <v>12</v>
      </c>
      <c r="C482" s="4">
        <v>1</v>
      </c>
      <c r="D482" s="4">
        <v>0</v>
      </c>
      <c r="E482" s="4">
        <v>1</v>
      </c>
      <c r="F482" s="4">
        <v>0</v>
      </c>
      <c r="G482" s="2" t="s">
        <v>80</v>
      </c>
    </row>
    <row r="483" spans="1:7" x14ac:dyDescent="0.2">
      <c r="A483" s="4">
        <v>8.75</v>
      </c>
      <c r="B483" s="4">
        <v>12</v>
      </c>
      <c r="C483" s="4">
        <v>1</v>
      </c>
      <c r="D483" s="4">
        <v>0</v>
      </c>
      <c r="E483" s="4">
        <v>0</v>
      </c>
      <c r="F483" s="4">
        <v>0</v>
      </c>
      <c r="G483" s="2" t="s">
        <v>80</v>
      </c>
    </row>
    <row r="484" spans="1:7" x14ac:dyDescent="0.2">
      <c r="A484" s="4">
        <v>3</v>
      </c>
      <c r="B484" s="4">
        <v>12</v>
      </c>
      <c r="C484" s="4">
        <v>1</v>
      </c>
      <c r="D484" s="4">
        <v>1</v>
      </c>
      <c r="E484" s="4">
        <v>1</v>
      </c>
      <c r="F484" s="4">
        <v>0</v>
      </c>
      <c r="G484" s="2" t="s">
        <v>80</v>
      </c>
    </row>
    <row r="485" spans="1:7" x14ac:dyDescent="0.2">
      <c r="A485" s="4">
        <v>4</v>
      </c>
      <c r="B485" s="4">
        <v>12</v>
      </c>
      <c r="C485" s="4">
        <v>1</v>
      </c>
      <c r="D485" s="4">
        <v>1</v>
      </c>
      <c r="E485" s="4">
        <v>0</v>
      </c>
      <c r="F485" s="4">
        <v>0</v>
      </c>
      <c r="G485" s="2" t="s">
        <v>80</v>
      </c>
    </row>
    <row r="486" spans="1:7" x14ac:dyDescent="0.2">
      <c r="A486" s="4">
        <v>3.81</v>
      </c>
      <c r="B486" s="4">
        <v>12</v>
      </c>
      <c r="C486" s="4">
        <v>1</v>
      </c>
      <c r="D486" s="4">
        <v>1</v>
      </c>
      <c r="E486" s="4">
        <v>1</v>
      </c>
      <c r="F486" s="4">
        <v>0</v>
      </c>
      <c r="G486" s="2" t="s">
        <v>80</v>
      </c>
    </row>
    <row r="487" spans="1:7" x14ac:dyDescent="0.2">
      <c r="A487" s="4">
        <v>3.8</v>
      </c>
      <c r="B487" s="4">
        <v>15</v>
      </c>
      <c r="C487" s="4">
        <v>1</v>
      </c>
      <c r="D487" s="4">
        <v>0</v>
      </c>
      <c r="E487" s="4">
        <v>1</v>
      </c>
      <c r="F487" s="4">
        <v>0</v>
      </c>
      <c r="G487" s="2" t="s">
        <v>80</v>
      </c>
    </row>
    <row r="488" spans="1:7" x14ac:dyDescent="0.2">
      <c r="A488" s="4">
        <v>11.56</v>
      </c>
      <c r="B488" s="4">
        <v>16</v>
      </c>
      <c r="C488" s="4">
        <v>1</v>
      </c>
      <c r="D488" s="4">
        <v>0</v>
      </c>
      <c r="E488" s="4">
        <v>1</v>
      </c>
      <c r="F488" s="4">
        <v>1</v>
      </c>
      <c r="G488" s="2" t="s">
        <v>80</v>
      </c>
    </row>
    <row r="489" spans="1:7" x14ac:dyDescent="0.2">
      <c r="A489" s="4">
        <v>2.95</v>
      </c>
      <c r="B489" s="4">
        <v>12</v>
      </c>
      <c r="C489" s="4">
        <v>1</v>
      </c>
      <c r="D489" s="4">
        <v>0</v>
      </c>
      <c r="E489" s="4">
        <v>0</v>
      </c>
      <c r="F489" s="4">
        <v>0</v>
      </c>
      <c r="G489" s="2" t="s">
        <v>80</v>
      </c>
    </row>
    <row r="490" spans="1:7" x14ac:dyDescent="0.2">
      <c r="A490" s="4">
        <v>3.35</v>
      </c>
      <c r="B490" s="4">
        <v>15</v>
      </c>
      <c r="C490" s="4">
        <v>1</v>
      </c>
      <c r="D490" s="4">
        <v>1</v>
      </c>
      <c r="E490" s="4">
        <v>1</v>
      </c>
      <c r="F490" s="4">
        <v>0</v>
      </c>
      <c r="G490" s="2" t="s">
        <v>80</v>
      </c>
    </row>
    <row r="491" spans="1:7" x14ac:dyDescent="0.2">
      <c r="A491" s="4">
        <v>4.6500000000000004</v>
      </c>
      <c r="B491" s="4">
        <v>16</v>
      </c>
      <c r="C491" s="4">
        <v>1</v>
      </c>
      <c r="D491" s="4">
        <v>0</v>
      </c>
      <c r="E491" s="4">
        <v>0</v>
      </c>
      <c r="F491" s="4">
        <v>0</v>
      </c>
      <c r="G491" s="2" t="s">
        <v>80</v>
      </c>
    </row>
    <row r="492" spans="1:7" x14ac:dyDescent="0.2">
      <c r="A492" s="4">
        <v>3.08</v>
      </c>
      <c r="B492" s="4">
        <v>12</v>
      </c>
      <c r="C492" s="4">
        <v>1</v>
      </c>
      <c r="D492" s="4">
        <v>0</v>
      </c>
      <c r="E492" s="4">
        <v>0</v>
      </c>
      <c r="F492" s="4">
        <v>0</v>
      </c>
      <c r="G492" s="2" t="s">
        <v>80</v>
      </c>
    </row>
    <row r="493" spans="1:7" x14ac:dyDescent="0.2">
      <c r="A493" s="4">
        <v>1.75</v>
      </c>
      <c r="B493" s="4">
        <v>11</v>
      </c>
      <c r="C493" s="4">
        <v>1</v>
      </c>
      <c r="D493" s="4">
        <v>0</v>
      </c>
      <c r="E493" s="4">
        <v>0</v>
      </c>
      <c r="F493" s="4">
        <v>1</v>
      </c>
      <c r="G493" s="2" t="s">
        <v>80</v>
      </c>
    </row>
    <row r="494" spans="1:7" x14ac:dyDescent="0.2">
      <c r="A494" s="4">
        <v>6.25</v>
      </c>
      <c r="B494" s="10">
        <v>12</v>
      </c>
      <c r="C494" s="4">
        <v>1</v>
      </c>
      <c r="D494" s="4">
        <v>1</v>
      </c>
      <c r="E494" s="4">
        <v>0</v>
      </c>
      <c r="F494" s="4">
        <v>0</v>
      </c>
      <c r="G494" s="2" t="s">
        <v>80</v>
      </c>
    </row>
    <row r="495" spans="1:7" x14ac:dyDescent="0.2">
      <c r="A495" s="4">
        <v>5.58</v>
      </c>
      <c r="B495" s="4">
        <v>16</v>
      </c>
      <c r="C495" s="4">
        <v>1</v>
      </c>
      <c r="D495" s="4">
        <v>0</v>
      </c>
      <c r="E495" s="4">
        <v>1</v>
      </c>
      <c r="F495" s="4">
        <v>0</v>
      </c>
      <c r="G495" s="2" t="s">
        <v>80</v>
      </c>
    </row>
    <row r="496" spans="1:7" x14ac:dyDescent="0.2">
      <c r="A496" s="4">
        <v>2.92</v>
      </c>
      <c r="B496" s="4">
        <v>9</v>
      </c>
      <c r="C496" s="4">
        <v>0</v>
      </c>
      <c r="D496" s="4">
        <v>1</v>
      </c>
      <c r="E496" s="4">
        <v>0</v>
      </c>
      <c r="F496" s="4">
        <v>0</v>
      </c>
      <c r="G496" s="2" t="s">
        <v>80</v>
      </c>
    </row>
    <row r="497" spans="1:7" x14ac:dyDescent="0.2">
      <c r="A497" s="4">
        <v>4.5</v>
      </c>
      <c r="B497" s="4">
        <v>12</v>
      </c>
      <c r="C497" s="4">
        <v>0</v>
      </c>
      <c r="D497" s="4">
        <v>1</v>
      </c>
      <c r="E497" s="4">
        <v>1</v>
      </c>
      <c r="F497" s="4">
        <v>0</v>
      </c>
      <c r="G497" s="2" t="s">
        <v>80</v>
      </c>
    </row>
    <row r="498" spans="1:7" x14ac:dyDescent="0.2">
      <c r="A498" s="4">
        <v>3.55</v>
      </c>
      <c r="B498" s="4">
        <v>12</v>
      </c>
      <c r="C498" s="4">
        <v>0</v>
      </c>
      <c r="D498" s="4">
        <v>1</v>
      </c>
      <c r="E498" s="4">
        <v>1</v>
      </c>
      <c r="F498" s="4">
        <v>0</v>
      </c>
      <c r="G498" s="2" t="s">
        <v>80</v>
      </c>
    </row>
    <row r="499" spans="1:7" x14ac:dyDescent="0.2">
      <c r="A499" s="4">
        <v>5.05</v>
      </c>
      <c r="B499" s="4">
        <v>12</v>
      </c>
      <c r="C499" s="4">
        <v>0</v>
      </c>
      <c r="D499" s="4">
        <v>1</v>
      </c>
      <c r="E499" s="4">
        <v>1</v>
      </c>
      <c r="F499" s="4">
        <v>0</v>
      </c>
      <c r="G499" s="2" t="s">
        <v>80</v>
      </c>
    </row>
    <row r="500" spans="1:7" x14ac:dyDescent="0.2">
      <c r="A500" s="4">
        <v>1.63</v>
      </c>
      <c r="B500" s="4">
        <v>12</v>
      </c>
      <c r="C500" s="4">
        <v>0</v>
      </c>
      <c r="D500" s="10">
        <v>2</v>
      </c>
      <c r="E500" s="4">
        <v>0</v>
      </c>
      <c r="F500" s="4">
        <v>0</v>
      </c>
      <c r="G500" s="2" t="s">
        <v>80</v>
      </c>
    </row>
    <row r="501" spans="1:7" x14ac:dyDescent="0.2">
      <c r="A501" s="4">
        <v>5</v>
      </c>
      <c r="B501" s="10">
        <v>12</v>
      </c>
      <c r="C501" s="4">
        <v>0</v>
      </c>
      <c r="D501" s="4">
        <v>1</v>
      </c>
      <c r="E501" s="4">
        <v>1</v>
      </c>
      <c r="F501" s="4">
        <v>1</v>
      </c>
      <c r="G501" s="2" t="s">
        <v>80</v>
      </c>
    </row>
    <row r="502" spans="1:7" x14ac:dyDescent="0.2">
      <c r="A502" s="4">
        <v>3.71</v>
      </c>
      <c r="B502" s="4">
        <v>10</v>
      </c>
      <c r="C502" s="4">
        <v>0</v>
      </c>
      <c r="D502" s="4">
        <v>1</v>
      </c>
      <c r="E502" s="4">
        <v>0</v>
      </c>
      <c r="F502" s="4">
        <v>0</v>
      </c>
      <c r="G502" s="2" t="s">
        <v>80</v>
      </c>
    </row>
    <row r="503" spans="1:7" x14ac:dyDescent="0.2">
      <c r="A503" s="4">
        <v>4.5</v>
      </c>
      <c r="B503" s="4">
        <v>12</v>
      </c>
      <c r="C503" s="4">
        <v>0</v>
      </c>
      <c r="D503" s="4">
        <v>0</v>
      </c>
      <c r="E503" s="4">
        <v>1</v>
      </c>
      <c r="F503" s="4">
        <v>1</v>
      </c>
      <c r="G503" s="2" t="s">
        <v>80</v>
      </c>
    </row>
    <row r="504" spans="1:7" x14ac:dyDescent="0.2">
      <c r="A504" s="4">
        <v>6.08</v>
      </c>
      <c r="B504" s="4">
        <v>16</v>
      </c>
      <c r="C504" s="4">
        <v>0</v>
      </c>
      <c r="D504" s="4">
        <v>0</v>
      </c>
      <c r="E504" s="4">
        <v>0</v>
      </c>
      <c r="F504" s="4">
        <v>0</v>
      </c>
      <c r="G504" s="2" t="s">
        <v>80</v>
      </c>
    </row>
    <row r="505" spans="1:7" x14ac:dyDescent="0.2">
      <c r="A505" s="4">
        <v>4</v>
      </c>
      <c r="B505" s="4">
        <v>12</v>
      </c>
      <c r="C505" s="4">
        <v>0</v>
      </c>
      <c r="D505" s="4">
        <v>0</v>
      </c>
      <c r="E505" s="4">
        <v>0</v>
      </c>
      <c r="F505" s="4">
        <v>0</v>
      </c>
      <c r="G505" s="2" t="s">
        <v>80</v>
      </c>
    </row>
    <row r="506" spans="1:7" x14ac:dyDescent="0.2">
      <c r="A506" s="4">
        <v>4</v>
      </c>
      <c r="B506" s="4">
        <v>12</v>
      </c>
      <c r="C506" s="4">
        <v>0</v>
      </c>
      <c r="D506" s="4">
        <v>1</v>
      </c>
      <c r="E506" s="4">
        <v>1</v>
      </c>
      <c r="F506" s="4">
        <v>0</v>
      </c>
      <c r="G506" s="2" t="s">
        <v>80</v>
      </c>
    </row>
    <row r="507" spans="1:7" x14ac:dyDescent="0.2">
      <c r="A507" s="4">
        <v>3.75</v>
      </c>
      <c r="B507" s="4">
        <v>12</v>
      </c>
      <c r="C507" s="4">
        <v>0</v>
      </c>
      <c r="D507" s="4">
        <v>1</v>
      </c>
      <c r="E507" s="4">
        <v>1</v>
      </c>
      <c r="F507" s="4">
        <v>0</v>
      </c>
      <c r="G507" s="2" t="s">
        <v>80</v>
      </c>
    </row>
    <row r="508" spans="1:7" x14ac:dyDescent="0.2">
      <c r="A508" s="4">
        <v>9.8000000000000007</v>
      </c>
      <c r="B508" s="4">
        <v>17</v>
      </c>
      <c r="C508" s="4">
        <v>0</v>
      </c>
      <c r="D508" s="4">
        <v>0</v>
      </c>
      <c r="E508" s="4">
        <v>1</v>
      </c>
      <c r="F508" s="4">
        <v>0</v>
      </c>
      <c r="G508" s="2" t="s">
        <v>80</v>
      </c>
    </row>
    <row r="509" spans="1:7" x14ac:dyDescent="0.2">
      <c r="A509" s="4">
        <v>3.55</v>
      </c>
      <c r="B509" s="4">
        <v>12</v>
      </c>
      <c r="C509" s="4">
        <v>0</v>
      </c>
      <c r="D509" s="4">
        <v>1</v>
      </c>
      <c r="E509" s="4">
        <v>1</v>
      </c>
      <c r="F509" s="4">
        <v>0</v>
      </c>
      <c r="G509" s="2" t="s">
        <v>80</v>
      </c>
    </row>
    <row r="510" spans="1:7" x14ac:dyDescent="0.2">
      <c r="A510" s="4">
        <v>6.25</v>
      </c>
      <c r="B510" s="4">
        <v>16</v>
      </c>
      <c r="C510" s="4">
        <v>0</v>
      </c>
      <c r="D510" s="4">
        <v>0</v>
      </c>
      <c r="E510" s="4">
        <v>1</v>
      </c>
      <c r="F510" s="4">
        <v>0</v>
      </c>
      <c r="G510" s="2" t="s">
        <v>80</v>
      </c>
    </row>
    <row r="511" spans="1:7" x14ac:dyDescent="0.2">
      <c r="A511" s="4">
        <v>2.38</v>
      </c>
      <c r="B511" s="4">
        <v>9</v>
      </c>
      <c r="C511" s="4">
        <v>0</v>
      </c>
      <c r="D511" s="4">
        <v>0</v>
      </c>
      <c r="E511" s="4">
        <v>0</v>
      </c>
      <c r="F511" s="4">
        <v>0</v>
      </c>
      <c r="G511" s="2" t="s">
        <v>80</v>
      </c>
    </row>
    <row r="512" spans="1:7" x14ac:dyDescent="0.2">
      <c r="A512" s="4">
        <v>4.0999999999999996</v>
      </c>
      <c r="B512" s="4">
        <v>16</v>
      </c>
      <c r="C512" s="4">
        <v>0</v>
      </c>
      <c r="D512" s="4">
        <v>1</v>
      </c>
      <c r="E512" s="4">
        <v>1</v>
      </c>
      <c r="F512" s="4">
        <v>0</v>
      </c>
      <c r="G512" s="2" t="s">
        <v>80</v>
      </c>
    </row>
    <row r="513" spans="1:7" x14ac:dyDescent="0.2">
      <c r="A513" s="4">
        <v>3.5</v>
      </c>
      <c r="B513" s="4">
        <v>8</v>
      </c>
      <c r="C513" s="4">
        <v>0</v>
      </c>
      <c r="D513" s="4">
        <v>0</v>
      </c>
      <c r="E513" s="4">
        <v>0</v>
      </c>
      <c r="F513" s="4">
        <v>0</v>
      </c>
      <c r="G513" s="2" t="s">
        <v>80</v>
      </c>
    </row>
    <row r="514" spans="1:7" x14ac:dyDescent="0.2">
      <c r="A514" s="4">
        <v>2.6</v>
      </c>
      <c r="B514" s="4">
        <v>9</v>
      </c>
      <c r="C514" s="4">
        <v>0</v>
      </c>
      <c r="D514" s="10">
        <v>2</v>
      </c>
      <c r="E514" s="4">
        <v>0</v>
      </c>
      <c r="F514" s="4">
        <v>1</v>
      </c>
      <c r="G514" s="2" t="s">
        <v>80</v>
      </c>
    </row>
    <row r="515" spans="1:7" x14ac:dyDescent="0.2">
      <c r="A515" s="4">
        <v>2</v>
      </c>
      <c r="B515" s="4">
        <v>10</v>
      </c>
      <c r="C515" s="4">
        <v>0</v>
      </c>
      <c r="D515" s="4">
        <v>1</v>
      </c>
      <c r="E515" s="4">
        <v>0</v>
      </c>
      <c r="F515" s="4">
        <v>0</v>
      </c>
      <c r="G515" s="2" t="s">
        <v>80</v>
      </c>
    </row>
    <row r="516" spans="1:7" x14ac:dyDescent="0.2">
      <c r="A516" s="4">
        <v>7.81</v>
      </c>
      <c r="B516" s="4">
        <v>12</v>
      </c>
      <c r="C516" s="4">
        <v>0</v>
      </c>
      <c r="D516" s="4">
        <v>1</v>
      </c>
      <c r="E516" s="4">
        <v>1</v>
      </c>
      <c r="F516" s="4">
        <v>1</v>
      </c>
      <c r="G516" s="2" t="s">
        <v>80</v>
      </c>
    </row>
    <row r="517" spans="1:7" x14ac:dyDescent="0.2">
      <c r="A517" s="4">
        <v>3.5</v>
      </c>
      <c r="B517" s="4">
        <v>12</v>
      </c>
      <c r="C517" s="4">
        <v>0</v>
      </c>
      <c r="D517" s="4">
        <v>0</v>
      </c>
      <c r="E517" s="4">
        <v>0</v>
      </c>
      <c r="F517" s="4">
        <v>0</v>
      </c>
      <c r="G517" s="2" t="s">
        <v>80</v>
      </c>
    </row>
    <row r="518" spans="1:7" x14ac:dyDescent="0.2">
      <c r="A518" s="4">
        <v>4.5</v>
      </c>
      <c r="B518" s="4">
        <v>12</v>
      </c>
      <c r="C518" s="4">
        <v>0</v>
      </c>
      <c r="D518" s="4">
        <v>0</v>
      </c>
      <c r="E518" s="4">
        <v>0</v>
      </c>
      <c r="F518" s="4">
        <v>1</v>
      </c>
      <c r="G518" s="2" t="s">
        <v>80</v>
      </c>
    </row>
    <row r="519" spans="1:7" x14ac:dyDescent="0.2">
      <c r="A519" s="4">
        <v>3</v>
      </c>
      <c r="B519" s="4">
        <v>11</v>
      </c>
      <c r="C519" s="4">
        <v>0</v>
      </c>
      <c r="D519" s="4">
        <v>1</v>
      </c>
      <c r="E519" s="4">
        <v>0</v>
      </c>
      <c r="F519" s="4">
        <v>1</v>
      </c>
      <c r="G519" s="2" t="s">
        <v>80</v>
      </c>
    </row>
    <row r="520" spans="1:7" x14ac:dyDescent="0.2">
      <c r="A520" s="4">
        <v>5.1100000000000003</v>
      </c>
      <c r="B520" s="4">
        <v>11</v>
      </c>
      <c r="C520" s="4">
        <v>0</v>
      </c>
      <c r="D520" s="4">
        <v>0</v>
      </c>
      <c r="E520" s="4">
        <v>0</v>
      </c>
      <c r="F520" s="4">
        <v>1</v>
      </c>
      <c r="G520" s="2" t="s">
        <v>80</v>
      </c>
    </row>
    <row r="521" spans="1:7" x14ac:dyDescent="0.2">
      <c r="A521" s="4">
        <v>2</v>
      </c>
      <c r="B521" s="4">
        <v>9</v>
      </c>
      <c r="C521" s="4">
        <v>0</v>
      </c>
      <c r="D521" s="4">
        <v>0</v>
      </c>
      <c r="E521" s="4">
        <v>0</v>
      </c>
      <c r="F521" s="4">
        <v>0</v>
      </c>
      <c r="G521" s="2" t="s">
        <v>80</v>
      </c>
    </row>
    <row r="522" spans="1:7" x14ac:dyDescent="0.2">
      <c r="A522" s="4">
        <v>3.1</v>
      </c>
      <c r="B522" s="4">
        <v>11</v>
      </c>
      <c r="C522" s="4">
        <v>0</v>
      </c>
      <c r="D522" s="4">
        <v>1</v>
      </c>
      <c r="E522" s="4">
        <v>0</v>
      </c>
      <c r="F522" s="4">
        <v>1</v>
      </c>
      <c r="G522" s="2" t="s">
        <v>80</v>
      </c>
    </row>
    <row r="523" spans="1:7" x14ac:dyDescent="0.2">
      <c r="A523" s="4">
        <v>5.65</v>
      </c>
      <c r="B523" s="4">
        <v>12</v>
      </c>
      <c r="C523" s="4">
        <v>0</v>
      </c>
      <c r="D523" s="4">
        <v>0</v>
      </c>
      <c r="E523" s="4">
        <v>0</v>
      </c>
      <c r="F523" s="4">
        <v>1</v>
      </c>
      <c r="G523" s="2" t="s">
        <v>80</v>
      </c>
    </row>
    <row r="524" spans="1:7" x14ac:dyDescent="0.2">
      <c r="A524" s="4">
        <v>2.54</v>
      </c>
      <c r="B524" s="4">
        <v>9</v>
      </c>
      <c r="C524" s="4">
        <v>0</v>
      </c>
      <c r="D524" s="4">
        <v>1</v>
      </c>
      <c r="E524" s="4">
        <v>0</v>
      </c>
      <c r="F524" s="4">
        <v>0</v>
      </c>
      <c r="G524" s="2" t="s">
        <v>80</v>
      </c>
    </row>
    <row r="525" spans="1:7" x14ac:dyDescent="0.2">
      <c r="A525" s="4">
        <v>2.9</v>
      </c>
      <c r="B525" s="4">
        <v>11</v>
      </c>
      <c r="C525" s="4">
        <v>0</v>
      </c>
      <c r="D525" s="4">
        <v>1</v>
      </c>
      <c r="E525" s="4">
        <v>0</v>
      </c>
      <c r="F525" s="4">
        <v>0</v>
      </c>
      <c r="G525" s="2" t="s">
        <v>80</v>
      </c>
    </row>
    <row r="526" spans="1:7" x14ac:dyDescent="0.2">
      <c r="A526" s="4">
        <v>2.92</v>
      </c>
      <c r="B526" s="4">
        <v>11</v>
      </c>
      <c r="C526" s="4">
        <v>0</v>
      </c>
      <c r="D526" s="4">
        <v>1</v>
      </c>
      <c r="E526" s="4">
        <v>0</v>
      </c>
      <c r="F526" s="4">
        <v>0</v>
      </c>
      <c r="G526" s="2" t="s">
        <v>80</v>
      </c>
    </row>
    <row r="527" spans="1:7" x14ac:dyDescent="0.2">
      <c r="A527" s="4">
        <v>3</v>
      </c>
      <c r="B527" s="4">
        <v>12</v>
      </c>
      <c r="C527" s="4">
        <v>0</v>
      </c>
      <c r="D527" s="4">
        <v>1</v>
      </c>
      <c r="E527" s="4">
        <v>0</v>
      </c>
      <c r="F527" s="4">
        <v>0</v>
      </c>
      <c r="G527" s="2" t="s">
        <v>80</v>
      </c>
    </row>
  </sheetData>
  <mergeCells count="2">
    <mergeCell ref="I3:K3"/>
    <mergeCell ref="I26:N2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CCE50-7BA5-D443-BF13-46A83EC2D991}">
  <dimension ref="A1:W527"/>
  <sheetViews>
    <sheetView showGridLines="0" topLeftCell="D1" workbookViewId="0">
      <selection activeCell="H6" sqref="H6"/>
    </sheetView>
  </sheetViews>
  <sheetFormatPr baseColWidth="10" defaultRowHeight="14" x14ac:dyDescent="0.2"/>
  <cols>
    <col min="1" max="6" width="10.83203125" style="5"/>
    <col min="7" max="7" width="12.5" bestFit="1" customWidth="1"/>
    <col min="8" max="11" width="12.5" customWidth="1"/>
    <col min="15" max="15" width="15" customWidth="1"/>
    <col min="16" max="16" width="22.5" bestFit="1" customWidth="1"/>
    <col min="17" max="17" width="17.33203125" bestFit="1" customWidth="1"/>
    <col min="18" max="18" width="19.83203125" bestFit="1" customWidth="1"/>
    <col min="20" max="20" width="13" bestFit="1" customWidth="1"/>
  </cols>
  <sheetData>
    <row r="1" spans="1:17" x14ac:dyDescent="0.2">
      <c r="A1" s="4" t="s">
        <v>28</v>
      </c>
      <c r="B1" s="4" t="s">
        <v>0</v>
      </c>
      <c r="C1" s="4" t="s">
        <v>49</v>
      </c>
      <c r="D1" s="4" t="s">
        <v>50</v>
      </c>
      <c r="E1" s="4" t="s">
        <v>51</v>
      </c>
      <c r="F1" s="4" t="s">
        <v>35</v>
      </c>
      <c r="G1" s="15" t="s">
        <v>81</v>
      </c>
      <c r="H1" s="4" t="s">
        <v>86</v>
      </c>
      <c r="I1" s="4" t="s">
        <v>88</v>
      </c>
      <c r="J1" s="4" t="s">
        <v>93</v>
      </c>
      <c r="K1" s="4" t="s">
        <v>95</v>
      </c>
      <c r="L1" s="4" t="s">
        <v>96</v>
      </c>
      <c r="M1" s="4" t="s">
        <v>94</v>
      </c>
      <c r="N1" s="5"/>
    </row>
    <row r="2" spans="1:17" x14ac:dyDescent="0.2">
      <c r="A2" s="4">
        <v>8.75</v>
      </c>
      <c r="B2" s="4">
        <v>12</v>
      </c>
      <c r="C2" s="9">
        <v>26.78</v>
      </c>
      <c r="D2" s="4">
        <v>0</v>
      </c>
      <c r="E2" s="4">
        <v>1</v>
      </c>
      <c r="F2" s="4">
        <v>0</v>
      </c>
      <c r="G2" s="2" t="s">
        <v>79</v>
      </c>
      <c r="H2" s="25">
        <f>$P$33+($P$34*B2)+($P$35*C2)+($P$36*D2)+($P$37*E2)+($P$38*F2)</f>
        <v>9.8337128472129312</v>
      </c>
      <c r="I2" s="25">
        <f>(A2-H2)</f>
        <v>-1.0837128472129312</v>
      </c>
      <c r="J2" s="25">
        <f>I2^2</f>
        <v>1.1744335352143578</v>
      </c>
      <c r="K2" s="25">
        <f t="shared" ref="K2:K65" si="0">A2*(1-$Q$41)</f>
        <v>6.5625</v>
      </c>
      <c r="L2" s="25">
        <f t="shared" ref="L2:L65" si="1">A2*(1+$Q$41)</f>
        <v>10.9375</v>
      </c>
      <c r="M2" s="25">
        <f>IF(AND(H2&gt;=K2,H2&lt;=L2),1,0)</f>
        <v>1</v>
      </c>
      <c r="N2" s="22"/>
    </row>
    <row r="3" spans="1:17" x14ac:dyDescent="0.2">
      <c r="A3" s="4">
        <v>11.76</v>
      </c>
      <c r="B3" s="4">
        <v>14</v>
      </c>
      <c r="C3" s="9">
        <v>26.78</v>
      </c>
      <c r="D3" s="4">
        <v>0</v>
      </c>
      <c r="E3" s="4">
        <v>1</v>
      </c>
      <c r="F3" s="4">
        <v>0</v>
      </c>
      <c r="G3" s="2" t="s">
        <v>79</v>
      </c>
      <c r="H3" s="25">
        <f t="shared" ref="H3:H66" si="2">$P$33+($P$34*B3)+($P$35*C3)+($P$36*D3)+($P$37*E3)+($P$38*F3)</f>
        <v>10.800426258452907</v>
      </c>
      <c r="I3" s="25">
        <f t="shared" ref="I3:I66" si="3">(A3-H3)</f>
        <v>0.95957374154709285</v>
      </c>
      <c r="J3" s="25">
        <f t="shared" ref="J3:J66" si="4">I3^2</f>
        <v>0.920781765466687</v>
      </c>
      <c r="K3" s="25">
        <f t="shared" si="0"/>
        <v>8.82</v>
      </c>
      <c r="L3" s="25">
        <f t="shared" si="1"/>
        <v>14.7</v>
      </c>
      <c r="M3" s="25">
        <f t="shared" ref="M3:M66" si="5">IF(AND(H3&gt;=K3,H3&lt;=L3),1,0)</f>
        <v>1</v>
      </c>
      <c r="O3" s="37" t="s">
        <v>63</v>
      </c>
      <c r="P3" s="37"/>
      <c r="Q3" s="37"/>
    </row>
    <row r="4" spans="1:17" x14ac:dyDescent="0.2">
      <c r="A4" s="4">
        <v>2.91</v>
      </c>
      <c r="B4" s="4">
        <v>12</v>
      </c>
      <c r="C4" s="9">
        <v>26.78</v>
      </c>
      <c r="D4" s="4">
        <v>1</v>
      </c>
      <c r="E4" s="4">
        <v>1</v>
      </c>
      <c r="F4" s="4">
        <v>0</v>
      </c>
      <c r="G4" s="2" t="s">
        <v>79</v>
      </c>
      <c r="H4" s="25">
        <f t="shared" si="2"/>
        <v>8.6261430870124176</v>
      </c>
      <c r="I4" s="25">
        <f t="shared" si="3"/>
        <v>-5.7161430870124175</v>
      </c>
      <c r="J4" s="25">
        <f t="shared" si="4"/>
        <v>32.674291791199849</v>
      </c>
      <c r="K4" s="25">
        <f t="shared" si="0"/>
        <v>2.1825000000000001</v>
      </c>
      <c r="L4" s="25">
        <f t="shared" si="1"/>
        <v>3.6375000000000002</v>
      </c>
      <c r="M4" s="25">
        <f t="shared" si="5"/>
        <v>0</v>
      </c>
      <c r="O4" s="17" t="s">
        <v>64</v>
      </c>
      <c r="P4" s="3"/>
      <c r="Q4" s="3"/>
    </row>
    <row r="5" spans="1:17" x14ac:dyDescent="0.2">
      <c r="A5" s="4">
        <v>6.5</v>
      </c>
      <c r="B5" s="4">
        <v>14</v>
      </c>
      <c r="C5" s="9">
        <v>26.78</v>
      </c>
      <c r="D5" s="4">
        <v>0</v>
      </c>
      <c r="E5" s="4">
        <v>1</v>
      </c>
      <c r="F5" s="4">
        <v>0</v>
      </c>
      <c r="G5" s="2" t="s">
        <v>79</v>
      </c>
      <c r="H5" s="25">
        <f t="shared" si="2"/>
        <v>10.800426258452907</v>
      </c>
      <c r="I5" s="25">
        <f t="shared" si="3"/>
        <v>-4.3004262584529069</v>
      </c>
      <c r="J5" s="25">
        <f t="shared" si="4"/>
        <v>18.493666004391269</v>
      </c>
      <c r="K5" s="25">
        <f t="shared" si="0"/>
        <v>4.875</v>
      </c>
      <c r="L5" s="25">
        <f t="shared" si="1"/>
        <v>8.125</v>
      </c>
      <c r="M5" s="25">
        <f t="shared" si="5"/>
        <v>0</v>
      </c>
      <c r="O5" s="3"/>
      <c r="P5" s="3" t="s">
        <v>65</v>
      </c>
      <c r="Q5" s="3"/>
    </row>
    <row r="6" spans="1:17" x14ac:dyDescent="0.2">
      <c r="A6" s="4">
        <v>6.25</v>
      </c>
      <c r="B6" s="4">
        <v>11</v>
      </c>
      <c r="C6" s="9">
        <v>26.78</v>
      </c>
      <c r="D6" s="4">
        <v>0</v>
      </c>
      <c r="E6" s="4">
        <v>1</v>
      </c>
      <c r="F6" s="4">
        <v>0</v>
      </c>
      <c r="G6" s="2" t="s">
        <v>79</v>
      </c>
      <c r="H6" s="25">
        <f t="shared" si="2"/>
        <v>9.3503561415929415</v>
      </c>
      <c r="I6" s="25">
        <f t="shared" si="3"/>
        <v>-3.1003561415929415</v>
      </c>
      <c r="J6" s="25">
        <f t="shared" si="4"/>
        <v>9.6122082047130721</v>
      </c>
      <c r="K6" s="25">
        <f t="shared" si="0"/>
        <v>4.6875</v>
      </c>
      <c r="L6" s="25">
        <f t="shared" si="1"/>
        <v>7.8125</v>
      </c>
      <c r="M6" s="25">
        <f t="shared" si="5"/>
        <v>0</v>
      </c>
      <c r="O6" s="3"/>
      <c r="P6" s="3" t="s">
        <v>66</v>
      </c>
      <c r="Q6" s="3"/>
    </row>
    <row r="7" spans="1:17" x14ac:dyDescent="0.2">
      <c r="A7" s="4">
        <v>15</v>
      </c>
      <c r="B7" s="4">
        <v>11</v>
      </c>
      <c r="C7" s="9">
        <v>26.78</v>
      </c>
      <c r="D7" s="10">
        <v>2</v>
      </c>
      <c r="E7" s="4">
        <v>1</v>
      </c>
      <c r="F7" s="4">
        <v>0</v>
      </c>
      <c r="G7" s="2" t="s">
        <v>79</v>
      </c>
      <c r="H7" s="25">
        <f t="shared" si="2"/>
        <v>6.9352166211919153</v>
      </c>
      <c r="I7" s="25">
        <f t="shared" si="3"/>
        <v>8.0647833788080838</v>
      </c>
      <c r="J7" s="25">
        <f t="shared" si="4"/>
        <v>65.040730947099135</v>
      </c>
      <c r="K7" s="25">
        <f t="shared" si="0"/>
        <v>11.25</v>
      </c>
      <c r="L7" s="25">
        <f t="shared" si="1"/>
        <v>18.75</v>
      </c>
      <c r="M7" s="25">
        <f t="shared" si="5"/>
        <v>0</v>
      </c>
      <c r="O7" s="17" t="s">
        <v>67</v>
      </c>
      <c r="P7" s="18"/>
      <c r="Q7" s="17"/>
    </row>
    <row r="8" spans="1:17" x14ac:dyDescent="0.2">
      <c r="A8" s="4">
        <v>6</v>
      </c>
      <c r="B8" s="4">
        <v>8</v>
      </c>
      <c r="C8" s="9">
        <v>26.78</v>
      </c>
      <c r="D8" s="4">
        <v>0</v>
      </c>
      <c r="E8" s="4">
        <v>1</v>
      </c>
      <c r="F8" s="4">
        <v>1</v>
      </c>
      <c r="G8" s="2" t="s">
        <v>79</v>
      </c>
      <c r="H8" s="25">
        <f t="shared" si="2"/>
        <v>9.0179092608991223</v>
      </c>
      <c r="I8" s="25">
        <f t="shared" si="3"/>
        <v>-3.0179092608991223</v>
      </c>
      <c r="J8" s="25">
        <f t="shared" si="4"/>
        <v>9.1077763070206856</v>
      </c>
      <c r="K8" s="25">
        <f t="shared" si="0"/>
        <v>4.5</v>
      </c>
      <c r="L8" s="25">
        <f t="shared" si="1"/>
        <v>7.5</v>
      </c>
      <c r="M8" s="25">
        <f t="shared" si="5"/>
        <v>0</v>
      </c>
      <c r="O8" s="17"/>
      <c r="P8" s="17" t="s">
        <v>68</v>
      </c>
      <c r="Q8" s="17"/>
    </row>
    <row r="9" spans="1:17" x14ac:dyDescent="0.2">
      <c r="A9" s="4">
        <v>18.16</v>
      </c>
      <c r="B9" s="4">
        <v>16</v>
      </c>
      <c r="C9" s="9">
        <v>26.78</v>
      </c>
      <c r="D9" s="4">
        <v>0</v>
      </c>
      <c r="E9" s="4">
        <v>1</v>
      </c>
      <c r="F9" s="4">
        <v>0</v>
      </c>
      <c r="G9" s="2" t="s">
        <v>79</v>
      </c>
      <c r="H9" s="25">
        <f t="shared" si="2"/>
        <v>11.767139669692883</v>
      </c>
      <c r="I9" s="25">
        <f t="shared" si="3"/>
        <v>6.3928603303071174</v>
      </c>
      <c r="J9" s="25">
        <f t="shared" si="4"/>
        <v>40.868663202814425</v>
      </c>
      <c r="K9" s="25">
        <f t="shared" si="0"/>
        <v>13.620000000000001</v>
      </c>
      <c r="L9" s="25">
        <f t="shared" si="1"/>
        <v>22.7</v>
      </c>
      <c r="M9" s="25">
        <f t="shared" si="5"/>
        <v>0</v>
      </c>
      <c r="O9" s="17"/>
      <c r="P9" s="17" t="s">
        <v>69</v>
      </c>
      <c r="Q9" s="17"/>
    </row>
    <row r="10" spans="1:17" x14ac:dyDescent="0.2">
      <c r="A10" s="4">
        <v>8.5</v>
      </c>
      <c r="B10" s="4">
        <v>8</v>
      </c>
      <c r="C10" s="4">
        <v>26</v>
      </c>
      <c r="D10" s="4">
        <v>0</v>
      </c>
      <c r="E10" s="4">
        <v>0</v>
      </c>
      <c r="F10" s="4">
        <v>0</v>
      </c>
      <c r="G10" s="2" t="s">
        <v>79</v>
      </c>
      <c r="H10" s="25">
        <f t="shared" si="2"/>
        <v>7.209348326224176</v>
      </c>
      <c r="I10" s="25">
        <f t="shared" si="3"/>
        <v>1.290651673775824</v>
      </c>
      <c r="J10" s="25">
        <f t="shared" si="4"/>
        <v>1.6657817430203361</v>
      </c>
      <c r="K10" s="25">
        <f t="shared" si="0"/>
        <v>6.375</v>
      </c>
      <c r="L10" s="25">
        <f t="shared" si="1"/>
        <v>10.625</v>
      </c>
      <c r="M10" s="25">
        <f t="shared" si="5"/>
        <v>1</v>
      </c>
      <c r="O10" s="3" t="s">
        <v>70</v>
      </c>
      <c r="P10" s="3"/>
      <c r="Q10" s="3"/>
    </row>
    <row r="11" spans="1:17" x14ac:dyDescent="0.2">
      <c r="A11" s="4">
        <v>3.6</v>
      </c>
      <c r="B11" s="4">
        <v>10</v>
      </c>
      <c r="C11" s="4">
        <v>26</v>
      </c>
      <c r="D11" s="4">
        <v>1</v>
      </c>
      <c r="E11" s="4">
        <v>1</v>
      </c>
      <c r="F11" s="4">
        <v>0</v>
      </c>
      <c r="G11" s="2" t="s">
        <v>79</v>
      </c>
      <c r="H11" s="25">
        <f t="shared" si="2"/>
        <v>7.5335749547114457</v>
      </c>
      <c r="I11" s="25">
        <f t="shared" si="3"/>
        <v>-3.9335749547114456</v>
      </c>
      <c r="J11" s="25">
        <f t="shared" si="4"/>
        <v>15.473011924333152</v>
      </c>
      <c r="K11" s="25">
        <f t="shared" si="0"/>
        <v>2.7</v>
      </c>
      <c r="L11" s="25">
        <f t="shared" si="1"/>
        <v>4.5</v>
      </c>
      <c r="M11" s="25">
        <f t="shared" si="5"/>
        <v>0</v>
      </c>
      <c r="O11" s="3" t="s">
        <v>71</v>
      </c>
      <c r="P11" s="3"/>
      <c r="Q11" s="3"/>
    </row>
    <row r="12" spans="1:17" x14ac:dyDescent="0.2">
      <c r="A12" s="4">
        <v>8.33</v>
      </c>
      <c r="B12" s="4">
        <v>15</v>
      </c>
      <c r="C12" s="4">
        <v>26</v>
      </c>
      <c r="D12" s="4">
        <v>0</v>
      </c>
      <c r="E12" s="4">
        <v>1</v>
      </c>
      <c r="F12" s="4">
        <v>0</v>
      </c>
      <c r="G12" s="2" t="s">
        <v>79</v>
      </c>
      <c r="H12" s="25">
        <f t="shared" si="2"/>
        <v>11.1579282430119</v>
      </c>
      <c r="I12" s="25">
        <f t="shared" si="3"/>
        <v>-2.8279282430119004</v>
      </c>
      <c r="J12" s="25">
        <f t="shared" si="4"/>
        <v>7.997178147624374</v>
      </c>
      <c r="K12" s="25">
        <f t="shared" si="0"/>
        <v>6.2475000000000005</v>
      </c>
      <c r="L12" s="25">
        <f t="shared" si="1"/>
        <v>10.4125</v>
      </c>
      <c r="M12" s="25">
        <f t="shared" si="5"/>
        <v>0</v>
      </c>
      <c r="O12" s="3" t="s">
        <v>72</v>
      </c>
      <c r="P12" s="3"/>
      <c r="Q12" s="3"/>
    </row>
    <row r="13" spans="1:17" x14ac:dyDescent="0.2">
      <c r="A13" s="4">
        <v>4.29</v>
      </c>
      <c r="B13" s="4">
        <v>12</v>
      </c>
      <c r="C13" s="4">
        <v>25</v>
      </c>
      <c r="D13" s="4">
        <v>1</v>
      </c>
      <c r="E13" s="4">
        <v>1</v>
      </c>
      <c r="F13" s="4">
        <v>0</v>
      </c>
      <c r="G13" s="2" t="s">
        <v>79</v>
      </c>
      <c r="H13" s="25">
        <f t="shared" si="2"/>
        <v>8.3389361594629676</v>
      </c>
      <c r="I13" s="25">
        <f t="shared" si="3"/>
        <v>-4.0489361594629676</v>
      </c>
      <c r="J13" s="25">
        <f t="shared" si="4"/>
        <v>16.393884023406727</v>
      </c>
      <c r="K13" s="25">
        <f t="shared" si="0"/>
        <v>3.2175000000000002</v>
      </c>
      <c r="L13" s="25">
        <f t="shared" si="1"/>
        <v>5.3624999999999998</v>
      </c>
      <c r="M13" s="25">
        <f t="shared" si="5"/>
        <v>0</v>
      </c>
      <c r="O13" s="18" t="s">
        <v>73</v>
      </c>
      <c r="P13" s="3"/>
      <c r="Q13" s="3"/>
    </row>
    <row r="14" spans="1:17" x14ac:dyDescent="0.2">
      <c r="A14" s="4">
        <v>4.05</v>
      </c>
      <c r="B14" s="4">
        <v>8</v>
      </c>
      <c r="C14" s="4">
        <v>25</v>
      </c>
      <c r="D14" s="4">
        <v>0</v>
      </c>
      <c r="E14" s="4">
        <v>1</v>
      </c>
      <c r="F14" s="4">
        <v>0</v>
      </c>
      <c r="G14" s="2" t="s">
        <v>79</v>
      </c>
      <c r="H14" s="25">
        <f t="shared" si="2"/>
        <v>7.6130790971835287</v>
      </c>
      <c r="I14" s="25">
        <f t="shared" si="3"/>
        <v>-3.5630790971835289</v>
      </c>
      <c r="J14" s="25">
        <f t="shared" si="4"/>
        <v>12.695532652786191</v>
      </c>
      <c r="K14" s="25">
        <f t="shared" si="0"/>
        <v>3.0374999999999996</v>
      </c>
      <c r="L14" s="25">
        <f t="shared" si="1"/>
        <v>5.0625</v>
      </c>
      <c r="M14" s="25">
        <f t="shared" si="5"/>
        <v>0</v>
      </c>
      <c r="O14" s="3" t="s">
        <v>74</v>
      </c>
      <c r="P14" s="3"/>
      <c r="Q14" s="3"/>
    </row>
    <row r="15" spans="1:17" x14ac:dyDescent="0.2">
      <c r="A15" s="4">
        <v>18</v>
      </c>
      <c r="B15" s="4">
        <v>18</v>
      </c>
      <c r="C15" s="4">
        <v>25</v>
      </c>
      <c r="D15" s="4">
        <v>0</v>
      </c>
      <c r="E15" s="4">
        <v>1</v>
      </c>
      <c r="F15" s="4">
        <v>0</v>
      </c>
      <c r="G15" s="2" t="s">
        <v>79</v>
      </c>
      <c r="H15" s="25">
        <f t="shared" si="2"/>
        <v>12.44664615338341</v>
      </c>
      <c r="I15" s="25">
        <f t="shared" si="3"/>
        <v>5.5533538466165897</v>
      </c>
      <c r="J15" s="25">
        <f t="shared" si="4"/>
        <v>30.839738945731273</v>
      </c>
      <c r="K15" s="25">
        <f t="shared" si="0"/>
        <v>13.5</v>
      </c>
      <c r="L15" s="25">
        <f t="shared" si="1"/>
        <v>22.5</v>
      </c>
      <c r="M15" s="25">
        <f t="shared" si="5"/>
        <v>0</v>
      </c>
    </row>
    <row r="16" spans="1:17" x14ac:dyDescent="0.2">
      <c r="A16" s="4">
        <v>11.25</v>
      </c>
      <c r="B16" s="4">
        <v>17</v>
      </c>
      <c r="C16" s="4">
        <v>25</v>
      </c>
      <c r="D16" s="4">
        <v>0</v>
      </c>
      <c r="E16" s="4">
        <v>1</v>
      </c>
      <c r="F16" s="4">
        <v>0</v>
      </c>
      <c r="G16" s="2" t="s">
        <v>79</v>
      </c>
      <c r="H16" s="25">
        <f t="shared" si="2"/>
        <v>11.963289447763422</v>
      </c>
      <c r="I16" s="25">
        <f t="shared" si="3"/>
        <v>-0.7132894477634224</v>
      </c>
      <c r="J16" s="25">
        <f t="shared" si="4"/>
        <v>0.5087818362906481</v>
      </c>
      <c r="K16" s="25">
        <f t="shared" si="0"/>
        <v>8.4375</v>
      </c>
      <c r="L16" s="25">
        <f t="shared" si="1"/>
        <v>14.0625</v>
      </c>
      <c r="M16" s="25">
        <f t="shared" si="5"/>
        <v>1</v>
      </c>
    </row>
    <row r="17" spans="1:23" x14ac:dyDescent="0.2">
      <c r="A17" s="4">
        <v>3.05</v>
      </c>
      <c r="B17" s="4">
        <v>8</v>
      </c>
      <c r="C17" s="4">
        <v>24</v>
      </c>
      <c r="D17" s="4">
        <v>1</v>
      </c>
      <c r="E17" s="4">
        <v>0</v>
      </c>
      <c r="F17" s="4">
        <v>0</v>
      </c>
      <c r="G17" s="2" t="s">
        <v>79</v>
      </c>
      <c r="H17" s="25">
        <f t="shared" si="2"/>
        <v>5.6790741530467539</v>
      </c>
      <c r="I17" s="25">
        <f t="shared" si="3"/>
        <v>-2.6290741530467541</v>
      </c>
      <c r="J17" s="25">
        <f t="shared" si="4"/>
        <v>6.9120309022185076</v>
      </c>
      <c r="K17" s="25">
        <f t="shared" si="0"/>
        <v>2.2874999999999996</v>
      </c>
      <c r="L17" s="25">
        <f t="shared" si="1"/>
        <v>3.8125</v>
      </c>
      <c r="M17" s="25">
        <f t="shared" si="5"/>
        <v>0</v>
      </c>
      <c r="O17" s="3" t="s">
        <v>2</v>
      </c>
      <c r="P17" s="3"/>
      <c r="Q17" s="3"/>
      <c r="R17" s="3"/>
      <c r="S17" s="3"/>
      <c r="T17" s="3"/>
      <c r="U17" s="3"/>
      <c r="V17" s="3"/>
      <c r="W17" s="3"/>
    </row>
    <row r="18" spans="1:23" x14ac:dyDescent="0.2">
      <c r="A18" s="4">
        <v>9.85</v>
      </c>
      <c r="B18" s="4">
        <v>8</v>
      </c>
      <c r="C18" s="4">
        <v>24</v>
      </c>
      <c r="D18" s="4">
        <v>0</v>
      </c>
      <c r="E18" s="4">
        <v>1</v>
      </c>
      <c r="F18" s="4">
        <v>0</v>
      </c>
      <c r="G18" s="2" t="s">
        <v>79</v>
      </c>
      <c r="H18" s="25">
        <f t="shared" si="2"/>
        <v>7.451726890695074</v>
      </c>
      <c r="I18" s="25">
        <f t="shared" si="3"/>
        <v>2.3982731093049257</v>
      </c>
      <c r="J18" s="25">
        <f t="shared" si="4"/>
        <v>5.751713906815116</v>
      </c>
      <c r="K18" s="25">
        <f t="shared" si="0"/>
        <v>7.3874999999999993</v>
      </c>
      <c r="L18" s="25">
        <f t="shared" si="1"/>
        <v>12.3125</v>
      </c>
      <c r="M18" s="25">
        <f t="shared" si="5"/>
        <v>1</v>
      </c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">
      <c r="A19" s="4">
        <v>7.36</v>
      </c>
      <c r="B19" s="4">
        <v>8</v>
      </c>
      <c r="C19" s="4">
        <v>24</v>
      </c>
      <c r="D19" s="4">
        <v>0</v>
      </c>
      <c r="E19" s="4">
        <v>1</v>
      </c>
      <c r="F19" s="4">
        <v>0</v>
      </c>
      <c r="G19" s="2" t="s">
        <v>79</v>
      </c>
      <c r="H19" s="25">
        <f t="shared" si="2"/>
        <v>7.451726890695074</v>
      </c>
      <c r="I19" s="25">
        <f t="shared" si="3"/>
        <v>-9.1726890695073671E-2</v>
      </c>
      <c r="J19" s="25">
        <f t="shared" si="4"/>
        <v>8.4138224765859925E-3</v>
      </c>
      <c r="K19" s="25">
        <f t="shared" si="0"/>
        <v>5.5200000000000005</v>
      </c>
      <c r="L19" s="25">
        <f t="shared" si="1"/>
        <v>9.2000000000000011</v>
      </c>
      <c r="M19" s="25">
        <f t="shared" si="5"/>
        <v>1</v>
      </c>
      <c r="O19" s="34" t="s">
        <v>3</v>
      </c>
      <c r="P19" s="34"/>
      <c r="Q19" s="3"/>
      <c r="R19" s="3"/>
      <c r="S19" s="3"/>
      <c r="T19" s="3"/>
      <c r="U19" s="3"/>
      <c r="V19" s="3"/>
      <c r="W19" s="3"/>
    </row>
    <row r="20" spans="1:23" x14ac:dyDescent="0.2">
      <c r="A20" s="4">
        <v>7.5</v>
      </c>
      <c r="B20" s="4">
        <v>14</v>
      </c>
      <c r="C20" s="4">
        <v>24</v>
      </c>
      <c r="D20" s="4">
        <v>0</v>
      </c>
      <c r="E20" s="4">
        <v>1</v>
      </c>
      <c r="F20" s="4">
        <v>0</v>
      </c>
      <c r="G20" s="2" t="s">
        <v>79</v>
      </c>
      <c r="H20" s="25">
        <f t="shared" si="2"/>
        <v>10.351867124415003</v>
      </c>
      <c r="I20" s="25">
        <f t="shared" si="3"/>
        <v>-2.8518671244150031</v>
      </c>
      <c r="J20" s="25">
        <f t="shared" si="4"/>
        <v>8.1331460953190984</v>
      </c>
      <c r="K20" s="25">
        <f t="shared" si="0"/>
        <v>5.625</v>
      </c>
      <c r="L20" s="25">
        <f t="shared" si="1"/>
        <v>9.375</v>
      </c>
      <c r="M20" s="25">
        <f t="shared" si="5"/>
        <v>0</v>
      </c>
      <c r="O20" s="2" t="s">
        <v>4</v>
      </c>
      <c r="P20" s="2">
        <v>0.58365076916091263</v>
      </c>
      <c r="Q20" s="3"/>
      <c r="R20" s="3"/>
      <c r="S20" s="3"/>
      <c r="T20" s="3"/>
      <c r="U20" s="3"/>
      <c r="V20" s="3"/>
      <c r="W20" s="3"/>
    </row>
    <row r="21" spans="1:23" x14ac:dyDescent="0.2">
      <c r="A21" s="4">
        <v>2.95</v>
      </c>
      <c r="B21" s="4">
        <v>14</v>
      </c>
      <c r="C21" s="4">
        <v>23</v>
      </c>
      <c r="D21" s="4">
        <v>0</v>
      </c>
      <c r="E21" s="4">
        <v>1</v>
      </c>
      <c r="F21" s="4">
        <v>0</v>
      </c>
      <c r="G21" s="2" t="s">
        <v>79</v>
      </c>
      <c r="H21" s="25">
        <f t="shared" si="2"/>
        <v>10.190514917926549</v>
      </c>
      <c r="I21" s="25">
        <f t="shared" si="3"/>
        <v>-7.2405149179265491</v>
      </c>
      <c r="J21" s="25">
        <f t="shared" si="4"/>
        <v>52.425056276716901</v>
      </c>
      <c r="K21" s="25">
        <f t="shared" si="0"/>
        <v>2.2125000000000004</v>
      </c>
      <c r="L21" s="25">
        <f t="shared" si="1"/>
        <v>3.6875</v>
      </c>
      <c r="M21" s="25">
        <f t="shared" si="5"/>
        <v>0</v>
      </c>
      <c r="O21" s="29" t="s">
        <v>5</v>
      </c>
      <c r="P21" s="29">
        <v>0.34064822034212494</v>
      </c>
      <c r="Q21" s="3"/>
      <c r="R21" s="3"/>
      <c r="S21" s="3"/>
      <c r="T21" s="3"/>
      <c r="U21" s="3"/>
      <c r="V21" s="3"/>
      <c r="W21" s="3"/>
    </row>
    <row r="22" spans="1:23" x14ac:dyDescent="0.2">
      <c r="A22" s="4">
        <v>19.98</v>
      </c>
      <c r="B22" s="4">
        <v>14</v>
      </c>
      <c r="C22" s="4">
        <v>23</v>
      </c>
      <c r="D22" s="4">
        <v>0</v>
      </c>
      <c r="E22" s="4">
        <v>1</v>
      </c>
      <c r="F22" s="4">
        <v>0</v>
      </c>
      <c r="G22" s="2" t="s">
        <v>79</v>
      </c>
      <c r="H22" s="25">
        <f t="shared" si="2"/>
        <v>10.190514917926549</v>
      </c>
      <c r="I22" s="25">
        <f t="shared" si="3"/>
        <v>9.7894850820734511</v>
      </c>
      <c r="J22" s="25">
        <f t="shared" si="4"/>
        <v>95.834018172138641</v>
      </c>
      <c r="K22" s="25">
        <f t="shared" si="0"/>
        <v>14.984999999999999</v>
      </c>
      <c r="L22" s="25">
        <f t="shared" si="1"/>
        <v>24.975000000000001</v>
      </c>
      <c r="M22" s="25">
        <f t="shared" si="5"/>
        <v>0</v>
      </c>
      <c r="O22" s="29" t="s">
        <v>6</v>
      </c>
      <c r="P22" s="29">
        <v>0.33215141905787393</v>
      </c>
      <c r="Q22" s="3"/>
      <c r="R22" s="3"/>
      <c r="S22" s="3"/>
      <c r="T22" s="3"/>
      <c r="U22" s="3"/>
      <c r="V22" s="3"/>
      <c r="W22" s="3"/>
    </row>
    <row r="23" spans="1:23" x14ac:dyDescent="0.2">
      <c r="A23" s="4">
        <v>13.16</v>
      </c>
      <c r="B23" s="4">
        <v>12</v>
      </c>
      <c r="C23" s="4">
        <v>22</v>
      </c>
      <c r="D23" s="4">
        <v>0</v>
      </c>
      <c r="E23" s="4">
        <v>1</v>
      </c>
      <c r="F23" s="4">
        <v>0</v>
      </c>
      <c r="G23" s="2" t="s">
        <v>79</v>
      </c>
      <c r="H23" s="25">
        <f t="shared" si="2"/>
        <v>9.0624493001981179</v>
      </c>
      <c r="I23" s="25">
        <f t="shared" si="3"/>
        <v>4.0975506998018822</v>
      </c>
      <c r="J23" s="25">
        <f t="shared" si="4"/>
        <v>16.789921737446896</v>
      </c>
      <c r="K23" s="25">
        <f t="shared" si="0"/>
        <v>9.870000000000001</v>
      </c>
      <c r="L23" s="25">
        <f t="shared" si="1"/>
        <v>16.45</v>
      </c>
      <c r="M23" s="25">
        <f t="shared" si="5"/>
        <v>0</v>
      </c>
      <c r="O23" s="2" t="s">
        <v>7</v>
      </c>
      <c r="P23" s="2">
        <v>2.9270666985021108</v>
      </c>
      <c r="Q23" s="3"/>
      <c r="R23" s="3"/>
      <c r="S23" s="3"/>
      <c r="T23" s="3"/>
      <c r="U23" s="3"/>
      <c r="V23" s="3"/>
      <c r="W23" s="3"/>
    </row>
    <row r="24" spans="1:23" x14ac:dyDescent="0.2">
      <c r="A24" s="4">
        <v>17.5</v>
      </c>
      <c r="B24" s="4">
        <v>16</v>
      </c>
      <c r="C24" s="4">
        <v>22</v>
      </c>
      <c r="D24" s="4">
        <v>0</v>
      </c>
      <c r="E24" s="4">
        <v>1</v>
      </c>
      <c r="F24" s="4">
        <v>1</v>
      </c>
      <c r="G24" s="2" t="s">
        <v>79</v>
      </c>
      <c r="H24" s="25">
        <f t="shared" si="2"/>
        <v>12.113499358844216</v>
      </c>
      <c r="I24" s="25">
        <f t="shared" si="3"/>
        <v>5.3865006411557843</v>
      </c>
      <c r="J24" s="25">
        <f t="shared" si="4"/>
        <v>29.014389157171674</v>
      </c>
      <c r="K24" s="25">
        <f t="shared" si="0"/>
        <v>13.125</v>
      </c>
      <c r="L24" s="25">
        <f t="shared" si="1"/>
        <v>21.875</v>
      </c>
      <c r="M24" s="25">
        <f t="shared" si="5"/>
        <v>0</v>
      </c>
      <c r="O24" s="2" t="s">
        <v>8</v>
      </c>
      <c r="P24" s="2">
        <v>394</v>
      </c>
      <c r="Q24" s="3"/>
      <c r="R24" s="3"/>
      <c r="S24" s="3"/>
      <c r="T24" s="3"/>
      <c r="U24" s="3"/>
      <c r="V24" s="3"/>
      <c r="W24" s="3"/>
    </row>
    <row r="25" spans="1:23" x14ac:dyDescent="0.2">
      <c r="A25" s="4">
        <v>5.15</v>
      </c>
      <c r="B25" s="4">
        <v>16</v>
      </c>
      <c r="C25" s="4">
        <v>21</v>
      </c>
      <c r="D25" s="4">
        <v>1</v>
      </c>
      <c r="E25" s="4">
        <v>0</v>
      </c>
      <c r="F25" s="4">
        <v>1</v>
      </c>
      <c r="G25" s="2" t="s">
        <v>79</v>
      </c>
      <c r="H25" s="25">
        <f t="shared" si="2"/>
        <v>10.17949441470744</v>
      </c>
      <c r="I25" s="25">
        <f t="shared" si="3"/>
        <v>-5.0294944147074396</v>
      </c>
      <c r="J25" s="25">
        <f t="shared" si="4"/>
        <v>25.295814067573332</v>
      </c>
      <c r="K25" s="25">
        <f t="shared" si="0"/>
        <v>3.8625000000000003</v>
      </c>
      <c r="L25" s="25">
        <f t="shared" si="1"/>
        <v>6.4375</v>
      </c>
      <c r="M25" s="25">
        <f t="shared" si="5"/>
        <v>0</v>
      </c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">
      <c r="A26" s="4">
        <v>6.88</v>
      </c>
      <c r="B26" s="4">
        <v>13</v>
      </c>
      <c r="C26" s="4">
        <v>21</v>
      </c>
      <c r="D26" s="4">
        <v>0</v>
      </c>
      <c r="E26" s="4">
        <v>1</v>
      </c>
      <c r="F26" s="4">
        <v>0</v>
      </c>
      <c r="G26" s="2" t="s">
        <v>79</v>
      </c>
      <c r="H26" s="25">
        <f t="shared" si="2"/>
        <v>9.3844537993296502</v>
      </c>
      <c r="I26" s="25">
        <f t="shared" si="3"/>
        <v>-2.5044537993296503</v>
      </c>
      <c r="J26" s="25">
        <f t="shared" si="4"/>
        <v>6.2722888329767201</v>
      </c>
      <c r="K26" s="25">
        <f t="shared" si="0"/>
        <v>5.16</v>
      </c>
      <c r="L26" s="25">
        <f t="shared" si="1"/>
        <v>8.6</v>
      </c>
      <c r="M26" s="25">
        <f t="shared" si="5"/>
        <v>0</v>
      </c>
      <c r="O26" s="38" t="s">
        <v>9</v>
      </c>
      <c r="P26" s="39"/>
      <c r="Q26" s="39"/>
      <c r="R26" s="39"/>
      <c r="S26" s="39"/>
      <c r="T26" s="40"/>
      <c r="U26" s="3"/>
      <c r="V26" s="3"/>
      <c r="W26" s="3"/>
    </row>
    <row r="27" spans="1:23" x14ac:dyDescent="0.2">
      <c r="A27" s="4">
        <v>18.18</v>
      </c>
      <c r="B27" s="4">
        <v>17</v>
      </c>
      <c r="C27" s="4">
        <v>21</v>
      </c>
      <c r="D27" s="10">
        <v>2</v>
      </c>
      <c r="E27" s="4">
        <v>1</v>
      </c>
      <c r="F27" s="4">
        <v>1</v>
      </c>
      <c r="G27" s="2" t="s">
        <v>79</v>
      </c>
      <c r="H27" s="25">
        <f t="shared" si="2"/>
        <v>10.020364337574723</v>
      </c>
      <c r="I27" s="25">
        <f t="shared" si="3"/>
        <v>8.159635662425277</v>
      </c>
      <c r="J27" s="25">
        <f t="shared" si="4"/>
        <v>66.57965414352239</v>
      </c>
      <c r="K27" s="25">
        <f t="shared" si="0"/>
        <v>13.635</v>
      </c>
      <c r="L27" s="25">
        <f t="shared" si="1"/>
        <v>22.725000000000001</v>
      </c>
      <c r="M27" s="25">
        <f t="shared" si="5"/>
        <v>0</v>
      </c>
      <c r="O27" s="19"/>
      <c r="P27" s="19" t="s">
        <v>14</v>
      </c>
      <c r="Q27" s="19" t="s">
        <v>15</v>
      </c>
      <c r="R27" s="19" t="s">
        <v>16</v>
      </c>
      <c r="S27" s="19" t="s">
        <v>17</v>
      </c>
      <c r="T27" s="19" t="s">
        <v>18</v>
      </c>
      <c r="U27" s="3"/>
      <c r="V27" s="3"/>
      <c r="W27" s="3"/>
    </row>
    <row r="28" spans="1:23" x14ac:dyDescent="0.2">
      <c r="A28" s="4">
        <v>11.71</v>
      </c>
      <c r="B28" s="4">
        <v>13</v>
      </c>
      <c r="C28" s="4">
        <v>20</v>
      </c>
      <c r="D28" s="4">
        <v>1</v>
      </c>
      <c r="E28" s="4">
        <v>0</v>
      </c>
      <c r="F28" s="4">
        <v>0</v>
      </c>
      <c r="G28" s="2" t="s">
        <v>79</v>
      </c>
      <c r="H28" s="25">
        <f t="shared" si="2"/>
        <v>7.4504488551928763</v>
      </c>
      <c r="I28" s="25">
        <f t="shared" si="3"/>
        <v>4.2595511448071246</v>
      </c>
      <c r="J28" s="25">
        <f t="shared" si="4"/>
        <v>18.143775955227685</v>
      </c>
      <c r="K28" s="25">
        <f t="shared" si="0"/>
        <v>8.7825000000000006</v>
      </c>
      <c r="L28" s="25">
        <f t="shared" si="1"/>
        <v>14.637500000000001</v>
      </c>
      <c r="M28" s="25">
        <f t="shared" si="5"/>
        <v>0</v>
      </c>
      <c r="O28" s="2" t="s">
        <v>10</v>
      </c>
      <c r="P28" s="23">
        <v>5</v>
      </c>
      <c r="Q28" s="23">
        <v>1717.4571276551046</v>
      </c>
      <c r="R28" s="23">
        <v>343.49142553102092</v>
      </c>
      <c r="S28" s="23">
        <v>40.091348372890032</v>
      </c>
      <c r="T28" s="33">
        <v>3.3565412923971276E-33</v>
      </c>
      <c r="U28" s="3"/>
      <c r="V28" s="3"/>
      <c r="W28" s="3"/>
    </row>
    <row r="29" spans="1:23" x14ac:dyDescent="0.2">
      <c r="A29" s="4">
        <v>3.5</v>
      </c>
      <c r="B29" s="4">
        <v>12</v>
      </c>
      <c r="C29" s="4">
        <v>20</v>
      </c>
      <c r="D29" s="4">
        <v>1</v>
      </c>
      <c r="E29" s="4">
        <v>1</v>
      </c>
      <c r="F29" s="4">
        <v>0</v>
      </c>
      <c r="G29" s="2" t="s">
        <v>79</v>
      </c>
      <c r="H29" s="25">
        <f t="shared" si="2"/>
        <v>7.5321751270206949</v>
      </c>
      <c r="I29" s="25">
        <f t="shared" si="3"/>
        <v>-4.0321751270206949</v>
      </c>
      <c r="J29" s="25">
        <f t="shared" si="4"/>
        <v>16.258436254964359</v>
      </c>
      <c r="K29" s="25">
        <f t="shared" si="0"/>
        <v>2.625</v>
      </c>
      <c r="L29" s="25">
        <f t="shared" si="1"/>
        <v>4.375</v>
      </c>
      <c r="M29" s="25">
        <f t="shared" si="5"/>
        <v>0</v>
      </c>
      <c r="O29" s="2" t="s">
        <v>11</v>
      </c>
      <c r="P29" s="23">
        <v>388</v>
      </c>
      <c r="Q29" s="23">
        <v>3324.275149502258</v>
      </c>
      <c r="R29" s="23">
        <v>8.567719457480047</v>
      </c>
      <c r="S29" s="3"/>
      <c r="T29" s="3"/>
      <c r="U29" s="3"/>
      <c r="V29" s="3"/>
      <c r="W29" s="3"/>
    </row>
    <row r="30" spans="1:23" x14ac:dyDescent="0.2">
      <c r="A30" s="4">
        <v>10.95</v>
      </c>
      <c r="B30" s="4">
        <v>16</v>
      </c>
      <c r="C30" s="4">
        <v>20</v>
      </c>
      <c r="D30" s="4">
        <v>0</v>
      </c>
      <c r="E30" s="4">
        <v>1</v>
      </c>
      <c r="F30" s="4">
        <v>0</v>
      </c>
      <c r="G30" s="2" t="s">
        <v>79</v>
      </c>
      <c r="H30" s="25">
        <f t="shared" si="2"/>
        <v>10.673171709701162</v>
      </c>
      <c r="I30" s="25">
        <f t="shared" si="3"/>
        <v>0.27682829029883749</v>
      </c>
      <c r="J30" s="25">
        <f t="shared" si="4"/>
        <v>7.6633902309777444E-2</v>
      </c>
      <c r="K30" s="25">
        <f t="shared" si="0"/>
        <v>8.2124999999999986</v>
      </c>
      <c r="L30" s="25">
        <f t="shared" si="1"/>
        <v>13.6875</v>
      </c>
      <c r="M30" s="25">
        <f t="shared" si="5"/>
        <v>1</v>
      </c>
      <c r="O30" s="2" t="s">
        <v>12</v>
      </c>
      <c r="P30" s="23">
        <v>393</v>
      </c>
      <c r="Q30" s="23">
        <v>5041.7322771573627</v>
      </c>
      <c r="R30" s="3"/>
      <c r="S30" s="3"/>
      <c r="T30" s="3"/>
      <c r="U30" s="3"/>
      <c r="V30" s="3"/>
      <c r="W30" s="3"/>
    </row>
    <row r="31" spans="1:23" x14ac:dyDescent="0.2">
      <c r="A31" s="4">
        <v>6.88</v>
      </c>
      <c r="B31" s="4">
        <v>12</v>
      </c>
      <c r="C31" s="4">
        <v>19</v>
      </c>
      <c r="D31" s="4">
        <v>0</v>
      </c>
      <c r="E31" s="4">
        <v>1</v>
      </c>
      <c r="F31" s="4">
        <v>0</v>
      </c>
      <c r="G31" s="2" t="s">
        <v>79</v>
      </c>
      <c r="H31" s="25">
        <f t="shared" si="2"/>
        <v>8.5783926807327546</v>
      </c>
      <c r="I31" s="25">
        <f t="shared" si="3"/>
        <v>-1.6983926807327547</v>
      </c>
      <c r="J31" s="25">
        <f t="shared" si="4"/>
        <v>2.8845376979665929</v>
      </c>
      <c r="K31" s="25">
        <f t="shared" si="0"/>
        <v>5.16</v>
      </c>
      <c r="L31" s="25">
        <f t="shared" si="1"/>
        <v>8.6</v>
      </c>
      <c r="M31" s="25">
        <f t="shared" si="5"/>
        <v>1</v>
      </c>
      <c r="O31" s="3"/>
      <c r="P31" s="3"/>
      <c r="Q31" s="3"/>
      <c r="R31" s="3"/>
      <c r="S31" s="3"/>
      <c r="T31" s="3"/>
      <c r="U31" s="3"/>
      <c r="V31" s="3"/>
      <c r="W31" s="3"/>
    </row>
    <row r="32" spans="1:23" x14ac:dyDescent="0.2">
      <c r="A32" s="4">
        <v>4.67</v>
      </c>
      <c r="B32" s="4">
        <v>15</v>
      </c>
      <c r="C32" s="4">
        <v>18</v>
      </c>
      <c r="D32" s="4">
        <v>0</v>
      </c>
      <c r="E32" s="4">
        <v>1</v>
      </c>
      <c r="F32" s="4">
        <v>1</v>
      </c>
      <c r="G32" s="2" t="s">
        <v>79</v>
      </c>
      <c r="H32" s="25">
        <f t="shared" si="2"/>
        <v>10.984733827270409</v>
      </c>
      <c r="I32" s="25">
        <f t="shared" si="3"/>
        <v>-6.314733827270409</v>
      </c>
      <c r="J32" s="25">
        <f t="shared" si="4"/>
        <v>39.875863309273186</v>
      </c>
      <c r="K32" s="25">
        <f t="shared" si="0"/>
        <v>3.5024999999999999</v>
      </c>
      <c r="L32" s="25">
        <f t="shared" si="1"/>
        <v>5.8375000000000004</v>
      </c>
      <c r="M32" s="25">
        <f t="shared" si="5"/>
        <v>0</v>
      </c>
      <c r="O32" s="19"/>
      <c r="P32" s="31" t="s">
        <v>19</v>
      </c>
      <c r="Q32" s="19" t="s">
        <v>7</v>
      </c>
      <c r="R32" s="19" t="s">
        <v>20</v>
      </c>
      <c r="S32" s="31" t="s">
        <v>21</v>
      </c>
      <c r="T32" s="19" t="s">
        <v>22</v>
      </c>
      <c r="U32" s="19" t="s">
        <v>23</v>
      </c>
      <c r="V32" s="19" t="s">
        <v>24</v>
      </c>
      <c r="W32" s="19" t="s">
        <v>25</v>
      </c>
    </row>
    <row r="33" spans="1:23" x14ac:dyDescent="0.2">
      <c r="A33" s="4">
        <v>4.08</v>
      </c>
      <c r="B33" s="4">
        <v>12</v>
      </c>
      <c r="C33" s="4">
        <v>17</v>
      </c>
      <c r="D33" s="10">
        <v>2</v>
      </c>
      <c r="E33" s="4">
        <v>1</v>
      </c>
      <c r="F33" s="4">
        <v>0</v>
      </c>
      <c r="G33" s="2" t="s">
        <v>79</v>
      </c>
      <c r="H33" s="25">
        <f t="shared" si="2"/>
        <v>5.840548747354819</v>
      </c>
      <c r="I33" s="25">
        <f t="shared" si="3"/>
        <v>-1.7605487473548189</v>
      </c>
      <c r="J33" s="25">
        <f t="shared" si="4"/>
        <v>3.0995318918126222</v>
      </c>
      <c r="K33" s="25">
        <f t="shared" si="0"/>
        <v>3.06</v>
      </c>
      <c r="L33" s="25">
        <f t="shared" si="1"/>
        <v>5.0999999999999996</v>
      </c>
      <c r="M33" s="25">
        <f t="shared" si="5"/>
        <v>0</v>
      </c>
      <c r="O33" s="2" t="s">
        <v>13</v>
      </c>
      <c r="P33" s="32">
        <v>-0.85266268743554208</v>
      </c>
      <c r="Q33" s="25">
        <v>0.7730817670585437</v>
      </c>
      <c r="R33" s="25">
        <v>-1.1029398490146669</v>
      </c>
      <c r="S33" s="30">
        <v>0.27073690510680731</v>
      </c>
      <c r="T33" s="25">
        <v>-2.3726163361946222</v>
      </c>
      <c r="U33" s="25">
        <v>0.66729096132353827</v>
      </c>
      <c r="V33" s="25">
        <v>-2.3726163361946222</v>
      </c>
      <c r="W33" s="25">
        <v>0.66729096132353827</v>
      </c>
    </row>
    <row r="34" spans="1:23" x14ac:dyDescent="0.2">
      <c r="A34" s="4">
        <v>6.26</v>
      </c>
      <c r="B34" s="4">
        <v>13</v>
      </c>
      <c r="C34" s="4">
        <v>17</v>
      </c>
      <c r="D34" s="4">
        <v>1</v>
      </c>
      <c r="E34" s="4">
        <v>1</v>
      </c>
      <c r="F34" s="4">
        <v>0</v>
      </c>
      <c r="G34" s="2" t="s">
        <v>79</v>
      </c>
      <c r="H34" s="25">
        <f t="shared" si="2"/>
        <v>7.5314752131753195</v>
      </c>
      <c r="I34" s="25">
        <f t="shared" si="3"/>
        <v>-1.2714752131753198</v>
      </c>
      <c r="J34" s="25">
        <f t="shared" si="4"/>
        <v>1.6166492177192249</v>
      </c>
      <c r="K34" s="25">
        <f t="shared" si="0"/>
        <v>4.6950000000000003</v>
      </c>
      <c r="L34" s="25">
        <f t="shared" si="1"/>
        <v>7.8249999999999993</v>
      </c>
      <c r="M34" s="25">
        <f t="shared" si="5"/>
        <v>1</v>
      </c>
      <c r="O34" s="2" t="s">
        <v>0</v>
      </c>
      <c r="P34" s="32">
        <v>0.48335670561998806</v>
      </c>
      <c r="Q34" s="25">
        <v>5.4917667378186756E-2</v>
      </c>
      <c r="R34" s="25">
        <v>8.8014791722923196</v>
      </c>
      <c r="S34" s="30">
        <v>4.5113481947621028E-17</v>
      </c>
      <c r="T34" s="25">
        <v>0.37538325123312333</v>
      </c>
      <c r="U34" s="25">
        <v>0.59133016000685279</v>
      </c>
      <c r="V34" s="25">
        <v>0.37538325123312333</v>
      </c>
      <c r="W34" s="25">
        <v>0.59133016000685279</v>
      </c>
    </row>
    <row r="35" spans="1:23" x14ac:dyDescent="0.2">
      <c r="A35" s="4">
        <v>4.95</v>
      </c>
      <c r="B35" s="4">
        <v>7</v>
      </c>
      <c r="C35" s="4">
        <v>17</v>
      </c>
      <c r="D35" s="4">
        <v>0</v>
      </c>
      <c r="E35" s="4">
        <v>1</v>
      </c>
      <c r="F35" s="4">
        <v>0</v>
      </c>
      <c r="G35" s="2" t="s">
        <v>79</v>
      </c>
      <c r="H35" s="25">
        <f t="shared" si="2"/>
        <v>5.8389047396559057</v>
      </c>
      <c r="I35" s="25">
        <f t="shared" si="3"/>
        <v>-0.88890473965590555</v>
      </c>
      <c r="J35" s="25">
        <f t="shared" si="4"/>
        <v>0.79015163618273321</v>
      </c>
      <c r="K35" s="25">
        <f t="shared" si="0"/>
        <v>3.7125000000000004</v>
      </c>
      <c r="L35" s="25">
        <f t="shared" si="1"/>
        <v>6.1875</v>
      </c>
      <c r="M35" s="25">
        <f t="shared" si="5"/>
        <v>1</v>
      </c>
      <c r="O35" s="2" t="s">
        <v>49</v>
      </c>
      <c r="P35" s="32">
        <v>0.16135220648845439</v>
      </c>
      <c r="Q35" s="25">
        <v>2.2757776601016501E-2</v>
      </c>
      <c r="R35" s="25">
        <v>7.0899811223758746</v>
      </c>
      <c r="S35" s="30">
        <v>6.3845999029569203E-12</v>
      </c>
      <c r="T35" s="25">
        <v>0.11660821295983767</v>
      </c>
      <c r="U35" s="25">
        <v>0.2060962000170711</v>
      </c>
      <c r="V35" s="25">
        <v>0.11660821295983767</v>
      </c>
      <c r="W35" s="25">
        <v>0.2060962000170711</v>
      </c>
    </row>
    <row r="36" spans="1:23" x14ac:dyDescent="0.2">
      <c r="A36" s="4">
        <v>13.95</v>
      </c>
      <c r="B36" s="4">
        <v>16</v>
      </c>
      <c r="C36" s="4">
        <v>16</v>
      </c>
      <c r="D36" s="4">
        <v>0</v>
      </c>
      <c r="E36" s="4">
        <v>1</v>
      </c>
      <c r="F36" s="4">
        <v>0</v>
      </c>
      <c r="G36" s="2" t="s">
        <v>79</v>
      </c>
      <c r="H36" s="25">
        <f t="shared" si="2"/>
        <v>10.027762883747345</v>
      </c>
      <c r="I36" s="25">
        <f t="shared" si="3"/>
        <v>3.9222371162526546</v>
      </c>
      <c r="J36" s="25">
        <f t="shared" si="4"/>
        <v>15.38394399610994</v>
      </c>
      <c r="K36" s="25">
        <f t="shared" si="0"/>
        <v>10.462499999999999</v>
      </c>
      <c r="L36" s="25">
        <f t="shared" si="1"/>
        <v>17.4375</v>
      </c>
      <c r="M36" s="25">
        <f t="shared" si="5"/>
        <v>0</v>
      </c>
      <c r="O36" s="2" t="s">
        <v>50</v>
      </c>
      <c r="P36" s="32">
        <v>-1.2075697602005131</v>
      </c>
      <c r="Q36" s="25">
        <v>0.26132630323722339</v>
      </c>
      <c r="R36" s="25">
        <v>-4.6209269608207837</v>
      </c>
      <c r="S36" s="30">
        <v>5.2073756513249788E-6</v>
      </c>
      <c r="T36" s="25">
        <v>-1.721362589170518</v>
      </c>
      <c r="U36" s="25">
        <v>-0.69377693123050821</v>
      </c>
      <c r="V36" s="25">
        <v>-1.721362589170518</v>
      </c>
      <c r="W36" s="25">
        <v>-0.69377693123050821</v>
      </c>
    </row>
    <row r="37" spans="1:23" x14ac:dyDescent="0.2">
      <c r="A37" s="4">
        <v>4.2</v>
      </c>
      <c r="B37" s="4">
        <v>14</v>
      </c>
      <c r="C37" s="4">
        <v>16</v>
      </c>
      <c r="D37" s="4">
        <v>1</v>
      </c>
      <c r="E37" s="4">
        <v>1</v>
      </c>
      <c r="F37" s="4">
        <v>0</v>
      </c>
      <c r="G37" s="2" t="s">
        <v>79</v>
      </c>
      <c r="H37" s="25">
        <f t="shared" si="2"/>
        <v>7.8534797123068554</v>
      </c>
      <c r="I37" s="25">
        <f t="shared" si="3"/>
        <v>-3.6534797123068552</v>
      </c>
      <c r="J37" s="25">
        <f t="shared" si="4"/>
        <v>13.347914008237781</v>
      </c>
      <c r="K37" s="25">
        <f t="shared" si="0"/>
        <v>3.1500000000000004</v>
      </c>
      <c r="L37" s="25">
        <f t="shared" si="1"/>
        <v>5.25</v>
      </c>
      <c r="M37" s="25">
        <f t="shared" si="5"/>
        <v>0</v>
      </c>
      <c r="O37" s="2" t="s">
        <v>51</v>
      </c>
      <c r="P37" s="32">
        <v>0.56508297744780678</v>
      </c>
      <c r="Q37" s="25">
        <v>0.32040385726673631</v>
      </c>
      <c r="R37" s="25">
        <v>1.7636584723678124</v>
      </c>
      <c r="S37" s="30">
        <v>7.8576479758999854E-2</v>
      </c>
      <c r="T37" s="25">
        <v>-6.4862046067642565E-2</v>
      </c>
      <c r="U37" s="25">
        <v>1.1950280009632561</v>
      </c>
      <c r="V37" s="25">
        <v>-6.4862046067642565E-2</v>
      </c>
      <c r="W37" s="25">
        <v>1.1950280009632561</v>
      </c>
    </row>
    <row r="38" spans="1:23" x14ac:dyDescent="0.2">
      <c r="A38" s="4">
        <v>18</v>
      </c>
      <c r="B38" s="4">
        <v>12</v>
      </c>
      <c r="C38" s="4">
        <v>16</v>
      </c>
      <c r="D38" s="4">
        <v>0</v>
      </c>
      <c r="E38" s="4">
        <v>1</v>
      </c>
      <c r="F38" s="4">
        <v>0</v>
      </c>
      <c r="G38" s="2" t="s">
        <v>79</v>
      </c>
      <c r="H38" s="25">
        <f t="shared" si="2"/>
        <v>8.0943360612673914</v>
      </c>
      <c r="I38" s="25">
        <f t="shared" si="3"/>
        <v>9.9056639387326086</v>
      </c>
      <c r="J38" s="25">
        <f t="shared" si="4"/>
        <v>98.122178067107612</v>
      </c>
      <c r="K38" s="25">
        <f t="shared" si="0"/>
        <v>13.5</v>
      </c>
      <c r="L38" s="25">
        <f t="shared" si="1"/>
        <v>22.5</v>
      </c>
      <c r="M38" s="25">
        <f t="shared" si="5"/>
        <v>0</v>
      </c>
      <c r="O38" s="2" t="s">
        <v>35</v>
      </c>
      <c r="P38" s="32">
        <v>1.1176232361661447</v>
      </c>
      <c r="Q38" s="25">
        <v>0.39767419980053664</v>
      </c>
      <c r="R38" s="25">
        <v>2.8103991577193499</v>
      </c>
      <c r="S38" s="30">
        <v>5.1987416272643097E-3</v>
      </c>
      <c r="T38" s="25">
        <v>0.33575723342234975</v>
      </c>
      <c r="U38" s="25">
        <v>1.8994892389099396</v>
      </c>
      <c r="V38" s="25">
        <v>0.33575723342234975</v>
      </c>
      <c r="W38" s="25">
        <v>1.8994892389099396</v>
      </c>
    </row>
    <row r="39" spans="1:23" x14ac:dyDescent="0.2">
      <c r="A39" s="4">
        <v>3.51</v>
      </c>
      <c r="B39" s="4">
        <v>4</v>
      </c>
      <c r="C39" s="4">
        <v>15</v>
      </c>
      <c r="D39" s="4">
        <v>0</v>
      </c>
      <c r="E39" s="4">
        <v>1</v>
      </c>
      <c r="F39" s="4">
        <v>1</v>
      </c>
      <c r="G39" s="2" t="s">
        <v>79</v>
      </c>
      <c r="H39" s="25">
        <f t="shared" si="2"/>
        <v>5.1837534459851771</v>
      </c>
      <c r="I39" s="25">
        <f t="shared" si="3"/>
        <v>-1.6737534459851773</v>
      </c>
      <c r="J39" s="25">
        <f t="shared" si="4"/>
        <v>2.8014505979472557</v>
      </c>
      <c r="K39" s="25">
        <f t="shared" si="0"/>
        <v>2.6324999999999998</v>
      </c>
      <c r="L39" s="25">
        <f t="shared" si="1"/>
        <v>4.3874999999999993</v>
      </c>
      <c r="M39" s="25">
        <f t="shared" si="5"/>
        <v>0</v>
      </c>
      <c r="O39" s="3"/>
      <c r="P39" s="3"/>
      <c r="Q39" s="3"/>
      <c r="R39" s="3"/>
    </row>
    <row r="40" spans="1:23" x14ac:dyDescent="0.2">
      <c r="A40" s="4">
        <v>5.83</v>
      </c>
      <c r="B40" s="4">
        <v>8</v>
      </c>
      <c r="C40" s="4">
        <v>15</v>
      </c>
      <c r="D40" s="4">
        <v>1</v>
      </c>
      <c r="E40" s="4">
        <v>1</v>
      </c>
      <c r="F40" s="4">
        <v>0</v>
      </c>
      <c r="G40" s="2" t="s">
        <v>79</v>
      </c>
      <c r="H40" s="25">
        <f t="shared" si="2"/>
        <v>4.7919872720984706</v>
      </c>
      <c r="I40" s="25">
        <f t="shared" si="3"/>
        <v>1.0380127279015294</v>
      </c>
      <c r="J40" s="25">
        <f t="shared" si="4"/>
        <v>1.0774704232855745</v>
      </c>
      <c r="K40" s="25">
        <f t="shared" si="0"/>
        <v>4.3725000000000005</v>
      </c>
      <c r="L40" s="25">
        <f t="shared" si="1"/>
        <v>7.2874999999999996</v>
      </c>
      <c r="M40" s="25">
        <f t="shared" si="5"/>
        <v>1</v>
      </c>
      <c r="O40" s="3"/>
      <c r="P40" s="3"/>
      <c r="Q40" s="3"/>
      <c r="R40" s="3"/>
    </row>
    <row r="41" spans="1:23" x14ac:dyDescent="0.2">
      <c r="A41" s="4">
        <v>2.14</v>
      </c>
      <c r="B41" s="4">
        <v>13</v>
      </c>
      <c r="C41" s="4">
        <v>15</v>
      </c>
      <c r="D41" s="4">
        <v>1</v>
      </c>
      <c r="E41" s="4">
        <v>1</v>
      </c>
      <c r="F41" s="4">
        <v>0</v>
      </c>
      <c r="G41" s="2" t="s">
        <v>79</v>
      </c>
      <c r="H41" s="25">
        <f t="shared" si="2"/>
        <v>7.2087708001984119</v>
      </c>
      <c r="I41" s="25">
        <f t="shared" si="3"/>
        <v>-5.0687708001984113</v>
      </c>
      <c r="J41" s="25">
        <f t="shared" si="4"/>
        <v>25.692437424944043</v>
      </c>
      <c r="K41" s="25">
        <f t="shared" si="0"/>
        <v>1.605</v>
      </c>
      <c r="L41" s="25">
        <f t="shared" si="1"/>
        <v>2.6750000000000003</v>
      </c>
      <c r="M41" s="25">
        <f t="shared" si="5"/>
        <v>0</v>
      </c>
      <c r="O41" s="3"/>
      <c r="P41" s="4" t="s">
        <v>97</v>
      </c>
      <c r="Q41" s="36">
        <v>0.25</v>
      </c>
      <c r="R41" s="3"/>
    </row>
    <row r="42" spans="1:23" x14ac:dyDescent="0.2">
      <c r="A42" s="4">
        <v>18</v>
      </c>
      <c r="B42" s="4">
        <v>12</v>
      </c>
      <c r="C42" s="4">
        <v>15</v>
      </c>
      <c r="D42" s="4">
        <v>0</v>
      </c>
      <c r="E42" s="4">
        <v>1</v>
      </c>
      <c r="F42" s="4">
        <v>1</v>
      </c>
      <c r="G42" s="2" t="s">
        <v>79</v>
      </c>
      <c r="H42" s="25">
        <f t="shared" si="2"/>
        <v>9.050607090945082</v>
      </c>
      <c r="I42" s="25">
        <f t="shared" si="3"/>
        <v>8.949392909054918</v>
      </c>
      <c r="J42" s="25">
        <f t="shared" si="4"/>
        <v>80.091633440642454</v>
      </c>
      <c r="K42" s="25">
        <f t="shared" si="0"/>
        <v>13.5</v>
      </c>
      <c r="L42" s="25">
        <f t="shared" si="1"/>
        <v>22.5</v>
      </c>
      <c r="M42" s="25">
        <f t="shared" si="5"/>
        <v>0</v>
      </c>
      <c r="O42" s="3"/>
      <c r="P42" s="4" t="str">
        <f>O22</f>
        <v>R^2  ajustado</v>
      </c>
      <c r="Q42" s="4" t="s">
        <v>87</v>
      </c>
      <c r="R42" s="4" t="s">
        <v>94</v>
      </c>
    </row>
    <row r="43" spans="1:23" x14ac:dyDescent="0.2">
      <c r="A43" s="4">
        <v>4.5</v>
      </c>
      <c r="B43" s="4">
        <v>12</v>
      </c>
      <c r="C43" s="4">
        <v>14</v>
      </c>
      <c r="D43" s="4">
        <v>1</v>
      </c>
      <c r="E43" s="4">
        <v>1</v>
      </c>
      <c r="F43" s="4">
        <v>1</v>
      </c>
      <c r="G43" s="2" t="s">
        <v>79</v>
      </c>
      <c r="H43" s="25">
        <f t="shared" si="2"/>
        <v>7.6816851242561146</v>
      </c>
      <c r="I43" s="25">
        <f t="shared" si="3"/>
        <v>-3.1816851242561146</v>
      </c>
      <c r="J43" s="25">
        <f t="shared" si="4"/>
        <v>10.123120229912647</v>
      </c>
      <c r="K43" s="25">
        <f t="shared" si="0"/>
        <v>3.375</v>
      </c>
      <c r="L43" s="25">
        <f t="shared" si="1"/>
        <v>5.625</v>
      </c>
      <c r="M43" s="25">
        <f t="shared" si="5"/>
        <v>0</v>
      </c>
      <c r="O43" s="4" t="s">
        <v>79</v>
      </c>
      <c r="P43" s="41">
        <f>P22</f>
        <v>0.33215141905787393</v>
      </c>
      <c r="Q43" s="25">
        <f>SQRT(AVERAGEIF($G$2:$G$527,O43,$J$2:$J$527))</f>
        <v>2.9046938861678271</v>
      </c>
      <c r="R43" s="16">
        <f>AVERAGEIF($G$2:$G$527,O43,$M$2:$M$527)</f>
        <v>0.41624365482233505</v>
      </c>
    </row>
    <row r="44" spans="1:23" x14ac:dyDescent="0.2">
      <c r="A44" s="4">
        <v>6.5</v>
      </c>
      <c r="B44" s="4">
        <v>12</v>
      </c>
      <c r="C44" s="4">
        <v>14</v>
      </c>
      <c r="D44" s="4">
        <v>0</v>
      </c>
      <c r="E44" s="4">
        <v>1</v>
      </c>
      <c r="F44" s="4">
        <v>1</v>
      </c>
      <c r="G44" s="2" t="s">
        <v>79</v>
      </c>
      <c r="H44" s="25">
        <f t="shared" si="2"/>
        <v>8.8892548844566281</v>
      </c>
      <c r="I44" s="25">
        <f t="shared" si="3"/>
        <v>-2.3892548844566281</v>
      </c>
      <c r="J44" s="25">
        <f t="shared" si="4"/>
        <v>5.7085389028998552</v>
      </c>
      <c r="K44" s="25">
        <f t="shared" si="0"/>
        <v>4.875</v>
      </c>
      <c r="L44" s="25">
        <f t="shared" si="1"/>
        <v>8.125</v>
      </c>
      <c r="M44" s="25">
        <f t="shared" si="5"/>
        <v>0</v>
      </c>
      <c r="O44" s="4" t="s">
        <v>80</v>
      </c>
      <c r="P44" s="42"/>
      <c r="Q44" s="25">
        <f>SQRT(AVERAGEIF($G$2:$G$527,O44,$J$2:$J$527))</f>
        <v>2.4716099501871556</v>
      </c>
      <c r="R44" s="16">
        <f>AVERAGEIF($G$2:$G$527,O44,$M$2:$M$527)</f>
        <v>0.44696969696969696</v>
      </c>
    </row>
    <row r="45" spans="1:23" x14ac:dyDescent="0.2">
      <c r="A45" s="4">
        <v>11.82</v>
      </c>
      <c r="B45" s="4">
        <v>16</v>
      </c>
      <c r="C45" s="4">
        <v>13</v>
      </c>
      <c r="D45" s="4">
        <v>0</v>
      </c>
      <c r="E45" s="4">
        <v>1</v>
      </c>
      <c r="F45" s="4">
        <v>1</v>
      </c>
      <c r="G45" s="2" t="s">
        <v>79</v>
      </c>
      <c r="H45" s="25">
        <f t="shared" si="2"/>
        <v>10.661329500448126</v>
      </c>
      <c r="I45" s="25">
        <f t="shared" si="3"/>
        <v>1.1586704995518744</v>
      </c>
      <c r="J45" s="25">
        <f t="shared" si="4"/>
        <v>1.3425173265317902</v>
      </c>
      <c r="K45" s="25">
        <f t="shared" si="0"/>
        <v>8.8650000000000002</v>
      </c>
      <c r="L45" s="25">
        <f t="shared" si="1"/>
        <v>14.775</v>
      </c>
      <c r="M45" s="25">
        <f t="shared" si="5"/>
        <v>1</v>
      </c>
    </row>
    <row r="46" spans="1:23" x14ac:dyDescent="0.2">
      <c r="A46" s="4">
        <v>3.29</v>
      </c>
      <c r="B46" s="4">
        <v>14</v>
      </c>
      <c r="C46" s="4">
        <v>13</v>
      </c>
      <c r="D46" s="4">
        <v>0</v>
      </c>
      <c r="E46" s="4">
        <v>0</v>
      </c>
      <c r="F46" s="4">
        <v>0</v>
      </c>
      <c r="G46" s="2" t="s">
        <v>79</v>
      </c>
      <c r="H46" s="25">
        <f t="shared" si="2"/>
        <v>8.0119098755941991</v>
      </c>
      <c r="I46" s="25">
        <f t="shared" si="3"/>
        <v>-4.7219098755941991</v>
      </c>
      <c r="J46" s="25">
        <f t="shared" si="4"/>
        <v>22.296432873234025</v>
      </c>
      <c r="K46" s="25">
        <f t="shared" si="0"/>
        <v>2.4675000000000002</v>
      </c>
      <c r="L46" s="25">
        <f t="shared" si="1"/>
        <v>4.1124999999999998</v>
      </c>
      <c r="M46" s="25">
        <f t="shared" si="5"/>
        <v>0</v>
      </c>
      <c r="O46" s="3"/>
      <c r="P46" s="3"/>
      <c r="Q46" s="3"/>
      <c r="R46" s="3"/>
      <c r="S46" s="3"/>
      <c r="T46" s="3"/>
      <c r="U46" s="3"/>
      <c r="V46" s="3"/>
      <c r="W46" s="3"/>
    </row>
    <row r="47" spans="1:23" x14ac:dyDescent="0.2">
      <c r="A47" s="4">
        <v>8.48</v>
      </c>
      <c r="B47" s="4">
        <v>12</v>
      </c>
      <c r="C47" s="4">
        <v>13</v>
      </c>
      <c r="D47" s="4">
        <v>0</v>
      </c>
      <c r="E47" s="4">
        <v>1</v>
      </c>
      <c r="F47" s="4">
        <v>1</v>
      </c>
      <c r="G47" s="2" t="s">
        <v>79</v>
      </c>
      <c r="H47" s="25">
        <f t="shared" si="2"/>
        <v>8.7279026779681725</v>
      </c>
      <c r="I47" s="25">
        <f t="shared" si="3"/>
        <v>-0.24790267796817211</v>
      </c>
      <c r="J47" s="25">
        <f t="shared" si="4"/>
        <v>6.1455737743791247E-2</v>
      </c>
      <c r="K47" s="25">
        <f t="shared" si="0"/>
        <v>6.36</v>
      </c>
      <c r="L47" s="25">
        <f t="shared" si="1"/>
        <v>10.600000000000001</v>
      </c>
      <c r="M47" s="25">
        <f t="shared" si="5"/>
        <v>1</v>
      </c>
    </row>
    <row r="48" spans="1:23" x14ac:dyDescent="0.2">
      <c r="A48" s="4">
        <v>6</v>
      </c>
      <c r="B48" s="4">
        <v>13</v>
      </c>
      <c r="C48" s="4">
        <v>13</v>
      </c>
      <c r="D48" s="4">
        <v>0</v>
      </c>
      <c r="E48" s="4">
        <v>1</v>
      </c>
      <c r="F48" s="4">
        <v>0</v>
      </c>
      <c r="G48" s="2" t="s">
        <v>79</v>
      </c>
      <c r="H48" s="25">
        <f t="shared" si="2"/>
        <v>8.093636147422016</v>
      </c>
      <c r="I48" s="25">
        <f t="shared" si="3"/>
        <v>-2.093636147422016</v>
      </c>
      <c r="J48" s="25">
        <f t="shared" si="4"/>
        <v>4.3833123177921012</v>
      </c>
      <c r="K48" s="25">
        <f t="shared" si="0"/>
        <v>4.5</v>
      </c>
      <c r="L48" s="25">
        <f t="shared" si="1"/>
        <v>7.5</v>
      </c>
      <c r="M48" s="25">
        <f t="shared" si="5"/>
        <v>0</v>
      </c>
    </row>
    <row r="49" spans="1:13" x14ac:dyDescent="0.2">
      <c r="A49" s="4">
        <v>13.7</v>
      </c>
      <c r="B49" s="4">
        <v>15</v>
      </c>
      <c r="C49" s="4">
        <v>13</v>
      </c>
      <c r="D49" s="4">
        <v>0</v>
      </c>
      <c r="E49" s="4">
        <v>1</v>
      </c>
      <c r="F49" s="4">
        <v>1</v>
      </c>
      <c r="G49" s="2" t="s">
        <v>79</v>
      </c>
      <c r="H49" s="25">
        <f t="shared" si="2"/>
        <v>10.177972794828136</v>
      </c>
      <c r="I49" s="25">
        <f t="shared" si="3"/>
        <v>3.5220272051718631</v>
      </c>
      <c r="J49" s="25">
        <f t="shared" si="4"/>
        <v>12.404675633970724</v>
      </c>
      <c r="K49" s="25">
        <f t="shared" si="0"/>
        <v>10.274999999999999</v>
      </c>
      <c r="L49" s="25">
        <f t="shared" si="1"/>
        <v>17.125</v>
      </c>
      <c r="M49" s="25">
        <f t="shared" si="5"/>
        <v>0</v>
      </c>
    </row>
    <row r="50" spans="1:13" x14ac:dyDescent="0.2">
      <c r="A50" s="4">
        <v>4</v>
      </c>
      <c r="B50" s="4">
        <v>11</v>
      </c>
      <c r="C50" s="4">
        <v>12</v>
      </c>
      <c r="D50" s="4">
        <v>1</v>
      </c>
      <c r="E50" s="4">
        <v>1</v>
      </c>
      <c r="F50" s="4">
        <v>1</v>
      </c>
      <c r="G50" s="2" t="s">
        <v>79</v>
      </c>
      <c r="H50" s="25">
        <f t="shared" si="2"/>
        <v>6.8756240056592173</v>
      </c>
      <c r="I50" s="25">
        <f t="shared" si="3"/>
        <v>-2.8756240056592173</v>
      </c>
      <c r="J50" s="25">
        <f t="shared" si="4"/>
        <v>8.2692134219235616</v>
      </c>
      <c r="K50" s="25">
        <f t="shared" si="0"/>
        <v>3</v>
      </c>
      <c r="L50" s="25">
        <f t="shared" si="1"/>
        <v>5</v>
      </c>
      <c r="M50" s="25">
        <f t="shared" si="5"/>
        <v>0</v>
      </c>
    </row>
    <row r="51" spans="1:13" x14ac:dyDescent="0.2">
      <c r="A51" s="4">
        <v>4.5</v>
      </c>
      <c r="B51" s="4">
        <v>12</v>
      </c>
      <c r="C51" s="4">
        <v>12</v>
      </c>
      <c r="D51" s="4">
        <v>1</v>
      </c>
      <c r="E51" s="4">
        <v>1</v>
      </c>
      <c r="F51" s="4">
        <v>0</v>
      </c>
      <c r="G51" s="2" t="s">
        <v>79</v>
      </c>
      <c r="H51" s="25">
        <f t="shared" si="2"/>
        <v>6.2413574751130607</v>
      </c>
      <c r="I51" s="25">
        <f t="shared" si="3"/>
        <v>-1.7413574751130607</v>
      </c>
      <c r="J51" s="25">
        <f t="shared" si="4"/>
        <v>3.0323258561321338</v>
      </c>
      <c r="K51" s="25">
        <f t="shared" si="0"/>
        <v>3.375</v>
      </c>
      <c r="L51" s="25">
        <f t="shared" si="1"/>
        <v>5.625</v>
      </c>
      <c r="M51" s="25">
        <f t="shared" si="5"/>
        <v>0</v>
      </c>
    </row>
    <row r="52" spans="1:13" x14ac:dyDescent="0.2">
      <c r="A52" s="4">
        <v>6.15</v>
      </c>
      <c r="B52" s="4">
        <v>12</v>
      </c>
      <c r="C52" s="4">
        <v>12</v>
      </c>
      <c r="D52" s="4">
        <v>1</v>
      </c>
      <c r="E52" s="4">
        <v>0</v>
      </c>
      <c r="F52" s="4">
        <v>0</v>
      </c>
      <c r="G52" s="2" t="s">
        <v>79</v>
      </c>
      <c r="H52" s="25">
        <f t="shared" si="2"/>
        <v>5.6762744976652542</v>
      </c>
      <c r="I52" s="25">
        <f t="shared" si="3"/>
        <v>0.4737255023347462</v>
      </c>
      <c r="J52" s="25">
        <f t="shared" si="4"/>
        <v>0.22441585156230762</v>
      </c>
      <c r="K52" s="25">
        <f t="shared" si="0"/>
        <v>4.6125000000000007</v>
      </c>
      <c r="L52" s="25">
        <f t="shared" si="1"/>
        <v>7.6875</v>
      </c>
      <c r="M52" s="25">
        <f t="shared" si="5"/>
        <v>1</v>
      </c>
    </row>
    <row r="53" spans="1:13" x14ac:dyDescent="0.2">
      <c r="A53" s="4">
        <v>3</v>
      </c>
      <c r="B53" s="4">
        <v>8</v>
      </c>
      <c r="C53" s="4">
        <v>12</v>
      </c>
      <c r="D53" s="4">
        <v>1</v>
      </c>
      <c r="E53" s="4">
        <v>1</v>
      </c>
      <c r="F53" s="4">
        <v>0</v>
      </c>
      <c r="G53" s="2" t="s">
        <v>79</v>
      </c>
      <c r="H53" s="25">
        <f t="shared" si="2"/>
        <v>4.3079306526331083</v>
      </c>
      <c r="I53" s="25">
        <f t="shared" si="3"/>
        <v>-1.3079306526331083</v>
      </c>
      <c r="J53" s="25">
        <f t="shared" si="4"/>
        <v>1.7106825920972686</v>
      </c>
      <c r="K53" s="25">
        <f t="shared" si="0"/>
        <v>2.25</v>
      </c>
      <c r="L53" s="25">
        <f t="shared" si="1"/>
        <v>3.75</v>
      </c>
      <c r="M53" s="25">
        <f t="shared" si="5"/>
        <v>0</v>
      </c>
    </row>
    <row r="54" spans="1:13" x14ac:dyDescent="0.2">
      <c r="A54" s="4">
        <v>9.1300000000000008</v>
      </c>
      <c r="B54" s="4">
        <v>12</v>
      </c>
      <c r="C54" s="4">
        <v>12</v>
      </c>
      <c r="D54" s="4">
        <v>0</v>
      </c>
      <c r="E54" s="4">
        <v>1</v>
      </c>
      <c r="F54" s="4">
        <v>0</v>
      </c>
      <c r="G54" s="2" t="s">
        <v>79</v>
      </c>
      <c r="H54" s="25">
        <f t="shared" si="2"/>
        <v>7.4489272353135743</v>
      </c>
      <c r="I54" s="25">
        <f t="shared" si="3"/>
        <v>1.6810727646864265</v>
      </c>
      <c r="J54" s="25">
        <f t="shared" si="4"/>
        <v>2.8260056401704654</v>
      </c>
      <c r="K54" s="25">
        <f t="shared" si="0"/>
        <v>6.8475000000000001</v>
      </c>
      <c r="L54" s="25">
        <f t="shared" si="1"/>
        <v>11.412500000000001</v>
      </c>
      <c r="M54" s="25">
        <f t="shared" si="5"/>
        <v>1</v>
      </c>
    </row>
    <row r="55" spans="1:13" x14ac:dyDescent="0.2">
      <c r="A55" s="4">
        <v>9.09</v>
      </c>
      <c r="B55" s="4">
        <v>15</v>
      </c>
      <c r="C55" s="4">
        <v>12</v>
      </c>
      <c r="D55" s="4">
        <v>0</v>
      </c>
      <c r="E55" s="4">
        <v>1</v>
      </c>
      <c r="F55" s="4">
        <v>1</v>
      </c>
      <c r="G55" s="2" t="s">
        <v>79</v>
      </c>
      <c r="H55" s="25">
        <f t="shared" si="2"/>
        <v>10.016620588339682</v>
      </c>
      <c r="I55" s="25">
        <f t="shared" si="3"/>
        <v>-0.92662058833968253</v>
      </c>
      <c r="J55" s="25">
        <f t="shared" si="4"/>
        <v>0.8586257147349794</v>
      </c>
      <c r="K55" s="25">
        <f t="shared" si="0"/>
        <v>6.8174999999999999</v>
      </c>
      <c r="L55" s="25">
        <f t="shared" si="1"/>
        <v>11.362500000000001</v>
      </c>
      <c r="M55" s="25">
        <f t="shared" si="5"/>
        <v>1</v>
      </c>
    </row>
    <row r="56" spans="1:13" x14ac:dyDescent="0.2">
      <c r="A56" s="4">
        <v>4.4400000000000004</v>
      </c>
      <c r="B56" s="4">
        <v>8</v>
      </c>
      <c r="C56" s="4">
        <v>11</v>
      </c>
      <c r="D56" s="4">
        <v>0</v>
      </c>
      <c r="E56" s="4">
        <v>1</v>
      </c>
      <c r="F56" s="4">
        <v>0</v>
      </c>
      <c r="G56" s="2" t="s">
        <v>79</v>
      </c>
      <c r="H56" s="25">
        <f t="shared" si="2"/>
        <v>5.3541482063451671</v>
      </c>
      <c r="I56" s="25">
        <f t="shared" si="3"/>
        <v>-0.91414820634516669</v>
      </c>
      <c r="J56" s="25">
        <f t="shared" si="4"/>
        <v>0.83566694316408541</v>
      </c>
      <c r="K56" s="25">
        <f t="shared" si="0"/>
        <v>3.33</v>
      </c>
      <c r="L56" s="25">
        <f t="shared" si="1"/>
        <v>5.5500000000000007</v>
      </c>
      <c r="M56" s="25">
        <f t="shared" si="5"/>
        <v>1</v>
      </c>
    </row>
    <row r="57" spans="1:13" x14ac:dyDescent="0.2">
      <c r="A57" s="4">
        <v>6.5</v>
      </c>
      <c r="B57" s="4">
        <v>10</v>
      </c>
      <c r="C57" s="4">
        <v>11</v>
      </c>
      <c r="D57" s="4">
        <v>0</v>
      </c>
      <c r="E57" s="4">
        <v>1</v>
      </c>
      <c r="F57" s="4">
        <v>0</v>
      </c>
      <c r="G57" s="2" t="s">
        <v>79</v>
      </c>
      <c r="H57" s="25">
        <f t="shared" si="2"/>
        <v>6.3208616175851438</v>
      </c>
      <c r="I57" s="25">
        <f t="shared" si="3"/>
        <v>0.17913838241485625</v>
      </c>
      <c r="J57" s="25">
        <f t="shared" si="4"/>
        <v>3.2090560054211278E-2</v>
      </c>
      <c r="K57" s="25">
        <f t="shared" si="0"/>
        <v>4.875</v>
      </c>
      <c r="L57" s="25">
        <f t="shared" si="1"/>
        <v>8.125</v>
      </c>
      <c r="M57" s="25">
        <f t="shared" si="5"/>
        <v>1</v>
      </c>
    </row>
    <row r="58" spans="1:13" x14ac:dyDescent="0.2">
      <c r="A58" s="4">
        <v>5</v>
      </c>
      <c r="B58" s="4">
        <v>12</v>
      </c>
      <c r="C58" s="4">
        <v>11</v>
      </c>
      <c r="D58" s="4">
        <v>1</v>
      </c>
      <c r="E58" s="4">
        <v>0</v>
      </c>
      <c r="F58" s="4">
        <v>0</v>
      </c>
      <c r="G58" s="2" t="s">
        <v>79</v>
      </c>
      <c r="H58" s="25">
        <f t="shared" si="2"/>
        <v>5.5149222911768003</v>
      </c>
      <c r="I58" s="25">
        <f t="shared" si="3"/>
        <v>-0.51492229117680033</v>
      </c>
      <c r="J58" s="25">
        <f t="shared" si="4"/>
        <v>0.26514496595076553</v>
      </c>
      <c r="K58" s="25">
        <f t="shared" si="0"/>
        <v>3.75</v>
      </c>
      <c r="L58" s="25">
        <f t="shared" si="1"/>
        <v>6.25</v>
      </c>
      <c r="M58" s="25">
        <f t="shared" si="5"/>
        <v>1</v>
      </c>
    </row>
    <row r="59" spans="1:13" x14ac:dyDescent="0.2">
      <c r="A59" s="4">
        <v>13.33</v>
      </c>
      <c r="B59" s="4">
        <v>12</v>
      </c>
      <c r="C59" s="4">
        <v>11</v>
      </c>
      <c r="D59" s="4">
        <v>0</v>
      </c>
      <c r="E59" s="4">
        <v>1</v>
      </c>
      <c r="F59" s="4">
        <v>0</v>
      </c>
      <c r="G59" s="2" t="s">
        <v>79</v>
      </c>
      <c r="H59" s="25">
        <f t="shared" si="2"/>
        <v>7.2875750288251195</v>
      </c>
      <c r="I59" s="25">
        <f t="shared" si="3"/>
        <v>6.0424249711748805</v>
      </c>
      <c r="J59" s="25">
        <f t="shared" si="4"/>
        <v>36.510899532277755</v>
      </c>
      <c r="K59" s="25">
        <f t="shared" si="0"/>
        <v>9.9975000000000005</v>
      </c>
      <c r="L59" s="25">
        <f t="shared" si="1"/>
        <v>16.662500000000001</v>
      </c>
      <c r="M59" s="25">
        <f t="shared" si="5"/>
        <v>0</v>
      </c>
    </row>
    <row r="60" spans="1:13" x14ac:dyDescent="0.2">
      <c r="A60" s="4">
        <v>5.25</v>
      </c>
      <c r="B60" s="4">
        <v>11</v>
      </c>
      <c r="C60" s="4">
        <v>11</v>
      </c>
      <c r="D60" s="4">
        <v>0</v>
      </c>
      <c r="E60" s="4">
        <v>1</v>
      </c>
      <c r="F60" s="4">
        <v>0</v>
      </c>
      <c r="G60" s="2" t="s">
        <v>79</v>
      </c>
      <c r="H60" s="25">
        <f t="shared" si="2"/>
        <v>6.8042183232051316</v>
      </c>
      <c r="I60" s="25">
        <f t="shared" si="3"/>
        <v>-1.5542183232051316</v>
      </c>
      <c r="J60" s="25">
        <f t="shared" si="4"/>
        <v>2.4155945961865712</v>
      </c>
      <c r="K60" s="25">
        <f t="shared" si="0"/>
        <v>3.9375</v>
      </c>
      <c r="L60" s="25">
        <f t="shared" si="1"/>
        <v>6.5625</v>
      </c>
      <c r="M60" s="25">
        <f t="shared" si="5"/>
        <v>0</v>
      </c>
    </row>
    <row r="61" spans="1:13" x14ac:dyDescent="0.2">
      <c r="A61" s="4">
        <v>2.65</v>
      </c>
      <c r="B61" s="4">
        <v>12</v>
      </c>
      <c r="C61" s="4">
        <v>10</v>
      </c>
      <c r="D61" s="4">
        <v>1</v>
      </c>
      <c r="E61" s="4">
        <v>1</v>
      </c>
      <c r="F61" s="4">
        <v>1</v>
      </c>
      <c r="G61" s="2" t="s">
        <v>79</v>
      </c>
      <c r="H61" s="25">
        <f t="shared" si="2"/>
        <v>7.0362762983022957</v>
      </c>
      <c r="I61" s="25">
        <f t="shared" si="3"/>
        <v>-4.3862762983022954</v>
      </c>
      <c r="J61" s="25">
        <f t="shared" si="4"/>
        <v>19.239419765048488</v>
      </c>
      <c r="K61" s="25">
        <f t="shared" si="0"/>
        <v>1.9874999999999998</v>
      </c>
      <c r="L61" s="25">
        <f t="shared" si="1"/>
        <v>3.3125</v>
      </c>
      <c r="M61" s="25">
        <f t="shared" si="5"/>
        <v>0</v>
      </c>
    </row>
    <row r="62" spans="1:13" x14ac:dyDescent="0.2">
      <c r="A62" s="4">
        <v>4.5</v>
      </c>
      <c r="B62" s="4">
        <v>11</v>
      </c>
      <c r="C62" s="4">
        <v>10</v>
      </c>
      <c r="D62" s="4">
        <v>0</v>
      </c>
      <c r="E62" s="4">
        <v>1</v>
      </c>
      <c r="F62" s="4">
        <v>0</v>
      </c>
      <c r="G62" s="2" t="s">
        <v>79</v>
      </c>
      <c r="H62" s="25">
        <f t="shared" si="2"/>
        <v>6.6428661167166769</v>
      </c>
      <c r="I62" s="25">
        <f t="shared" si="3"/>
        <v>-2.1428661167166769</v>
      </c>
      <c r="J62" s="25">
        <f t="shared" si="4"/>
        <v>4.5918751941724105</v>
      </c>
      <c r="K62" s="25">
        <f t="shared" si="0"/>
        <v>3.375</v>
      </c>
      <c r="L62" s="25">
        <f t="shared" si="1"/>
        <v>5.625</v>
      </c>
      <c r="M62" s="25">
        <f t="shared" si="5"/>
        <v>0</v>
      </c>
    </row>
    <row r="63" spans="1:13" x14ac:dyDescent="0.2">
      <c r="A63" s="4">
        <v>4.17</v>
      </c>
      <c r="B63" s="4">
        <v>0</v>
      </c>
      <c r="C63" s="4">
        <v>10</v>
      </c>
      <c r="D63" s="4">
        <v>1</v>
      </c>
      <c r="E63" s="4">
        <v>0</v>
      </c>
      <c r="F63" s="4">
        <v>0</v>
      </c>
      <c r="G63" s="2" t="s">
        <v>79</v>
      </c>
      <c r="H63" s="25">
        <f t="shared" si="2"/>
        <v>-0.44671038275151131</v>
      </c>
      <c r="I63" s="25">
        <f t="shared" si="3"/>
        <v>4.6167103827515117</v>
      </c>
      <c r="J63" s="25">
        <f t="shared" si="4"/>
        <v>21.314014758205609</v>
      </c>
      <c r="K63" s="25">
        <f t="shared" si="0"/>
        <v>3.1274999999999999</v>
      </c>
      <c r="L63" s="25">
        <f t="shared" si="1"/>
        <v>5.2125000000000004</v>
      </c>
      <c r="M63" s="25">
        <f t="shared" si="5"/>
        <v>0</v>
      </c>
    </row>
    <row r="64" spans="1:13" x14ac:dyDescent="0.2">
      <c r="A64" s="4">
        <v>3</v>
      </c>
      <c r="B64" s="4">
        <v>16</v>
      </c>
      <c r="C64" s="4">
        <v>10</v>
      </c>
      <c r="D64" s="4">
        <v>1</v>
      </c>
      <c r="E64" s="4">
        <v>1</v>
      </c>
      <c r="F64" s="4">
        <v>0</v>
      </c>
      <c r="G64" s="2" t="s">
        <v>79</v>
      </c>
      <c r="H64" s="25">
        <f t="shared" si="2"/>
        <v>7.8520798846161046</v>
      </c>
      <c r="I64" s="25">
        <f t="shared" si="3"/>
        <v>-4.8520798846161046</v>
      </c>
      <c r="J64" s="25">
        <f t="shared" si="4"/>
        <v>23.542679206696231</v>
      </c>
      <c r="K64" s="25">
        <f t="shared" si="0"/>
        <v>2.25</v>
      </c>
      <c r="L64" s="25">
        <f t="shared" si="1"/>
        <v>3.75</v>
      </c>
      <c r="M64" s="25">
        <f t="shared" si="5"/>
        <v>0</v>
      </c>
    </row>
    <row r="65" spans="1:13" x14ac:dyDescent="0.2">
      <c r="A65" s="4">
        <v>5.25</v>
      </c>
      <c r="B65" s="4">
        <v>12</v>
      </c>
      <c r="C65" s="4">
        <v>10</v>
      </c>
      <c r="D65" s="4">
        <v>1</v>
      </c>
      <c r="E65" s="4">
        <v>1</v>
      </c>
      <c r="F65" s="4">
        <v>0</v>
      </c>
      <c r="G65" s="2" t="s">
        <v>79</v>
      </c>
      <c r="H65" s="25">
        <f t="shared" si="2"/>
        <v>5.9186530621361513</v>
      </c>
      <c r="I65" s="25">
        <f t="shared" si="3"/>
        <v>-0.66865306213615128</v>
      </c>
      <c r="J65" s="25">
        <f t="shared" si="4"/>
        <v>0.44709691750405178</v>
      </c>
      <c r="K65" s="25">
        <f t="shared" si="0"/>
        <v>3.9375</v>
      </c>
      <c r="L65" s="25">
        <f t="shared" si="1"/>
        <v>6.5625</v>
      </c>
      <c r="M65" s="25">
        <f t="shared" si="5"/>
        <v>1</v>
      </c>
    </row>
    <row r="66" spans="1:13" x14ac:dyDescent="0.2">
      <c r="A66" s="4">
        <v>10.63</v>
      </c>
      <c r="B66" s="4">
        <v>13</v>
      </c>
      <c r="C66" s="4">
        <v>10</v>
      </c>
      <c r="D66" s="4">
        <v>1</v>
      </c>
      <c r="E66" s="4">
        <v>0</v>
      </c>
      <c r="F66" s="4">
        <v>1</v>
      </c>
      <c r="G66" s="2" t="s">
        <v>79</v>
      </c>
      <c r="H66" s="25">
        <f t="shared" si="2"/>
        <v>6.9545500264744771</v>
      </c>
      <c r="I66" s="25">
        <f t="shared" si="3"/>
        <v>3.6754499735255237</v>
      </c>
      <c r="J66" s="25">
        <f t="shared" si="4"/>
        <v>13.508932507888773</v>
      </c>
      <c r="K66" s="25">
        <f t="shared" ref="K66:K129" si="6">A66*(1-$Q$41)</f>
        <v>7.9725000000000001</v>
      </c>
      <c r="L66" s="25">
        <f t="shared" ref="L66:L129" si="7">A66*(1+$Q$41)</f>
        <v>13.287500000000001</v>
      </c>
      <c r="M66" s="25">
        <f t="shared" si="5"/>
        <v>0</v>
      </c>
    </row>
    <row r="67" spans="1:13" x14ac:dyDescent="0.2">
      <c r="A67" s="4">
        <v>3.06</v>
      </c>
      <c r="B67" s="4">
        <v>12</v>
      </c>
      <c r="C67" s="4">
        <v>10</v>
      </c>
      <c r="D67" s="4">
        <v>1</v>
      </c>
      <c r="E67" s="4">
        <v>0</v>
      </c>
      <c r="F67" s="4">
        <v>0</v>
      </c>
      <c r="G67" s="2" t="s">
        <v>79</v>
      </c>
      <c r="H67" s="25">
        <f t="shared" ref="H67:H130" si="8">$P$33+($P$34*B67)+($P$35*C67)+($P$36*D67)+($P$37*E67)+($P$38*F67)</f>
        <v>5.3535700846883447</v>
      </c>
      <c r="I67" s="25">
        <f t="shared" ref="I67:I130" si="9">(A67-H67)</f>
        <v>-2.2935700846883447</v>
      </c>
      <c r="J67" s="25">
        <f t="shared" ref="J67:J130" si="10">I67^2</f>
        <v>5.2604637333773008</v>
      </c>
      <c r="K67" s="25">
        <f t="shared" si="6"/>
        <v>2.2949999999999999</v>
      </c>
      <c r="L67" s="25">
        <f t="shared" si="7"/>
        <v>3.8250000000000002</v>
      </c>
      <c r="M67" s="25">
        <f t="shared" ref="M67:M130" si="11">IF(AND(H67&gt;=K67,H67&lt;=L67),1,0)</f>
        <v>0</v>
      </c>
    </row>
    <row r="68" spans="1:13" x14ac:dyDescent="0.2">
      <c r="A68" s="4">
        <v>7.78</v>
      </c>
      <c r="B68" s="4">
        <v>16</v>
      </c>
      <c r="C68" s="4">
        <v>10</v>
      </c>
      <c r="D68" s="4">
        <v>0</v>
      </c>
      <c r="E68" s="4">
        <v>1</v>
      </c>
      <c r="F68" s="4">
        <v>1</v>
      </c>
      <c r="G68" s="2" t="s">
        <v>79</v>
      </c>
      <c r="H68" s="25">
        <f t="shared" si="8"/>
        <v>10.177272880982763</v>
      </c>
      <c r="I68" s="25">
        <f t="shared" si="9"/>
        <v>-2.3972728809827624</v>
      </c>
      <c r="J68" s="25">
        <f t="shared" si="10"/>
        <v>5.7469172658953935</v>
      </c>
      <c r="K68" s="25">
        <f t="shared" si="6"/>
        <v>5.835</v>
      </c>
      <c r="L68" s="25">
        <f t="shared" si="7"/>
        <v>9.7249999999999996</v>
      </c>
      <c r="M68" s="25">
        <f t="shared" si="11"/>
        <v>0</v>
      </c>
    </row>
    <row r="69" spans="1:13" x14ac:dyDescent="0.2">
      <c r="A69" s="4">
        <v>11.98</v>
      </c>
      <c r="B69" s="4">
        <v>18</v>
      </c>
      <c r="C69" s="4">
        <v>10</v>
      </c>
      <c r="D69" s="4">
        <v>0</v>
      </c>
      <c r="E69" s="4">
        <v>1</v>
      </c>
      <c r="F69" s="4">
        <v>0</v>
      </c>
      <c r="G69" s="2" t="s">
        <v>79</v>
      </c>
      <c r="H69" s="25">
        <f t="shared" si="8"/>
        <v>10.026363056056594</v>
      </c>
      <c r="I69" s="25">
        <f t="shared" si="9"/>
        <v>1.9536369439434065</v>
      </c>
      <c r="J69" s="25">
        <f t="shared" si="10"/>
        <v>3.8166973087405327</v>
      </c>
      <c r="K69" s="25">
        <f t="shared" si="6"/>
        <v>8.9849999999999994</v>
      </c>
      <c r="L69" s="25">
        <f t="shared" si="7"/>
        <v>14.975000000000001</v>
      </c>
      <c r="M69" s="25">
        <f t="shared" si="11"/>
        <v>1</v>
      </c>
    </row>
    <row r="70" spans="1:13" x14ac:dyDescent="0.2">
      <c r="A70" s="4">
        <v>5</v>
      </c>
      <c r="B70" s="10">
        <v>12</v>
      </c>
      <c r="C70" s="4">
        <v>9</v>
      </c>
      <c r="D70" s="4">
        <v>0</v>
      </c>
      <c r="E70" s="4">
        <v>1</v>
      </c>
      <c r="F70" s="4">
        <v>0</v>
      </c>
      <c r="G70" s="2" t="s">
        <v>79</v>
      </c>
      <c r="H70" s="25">
        <f t="shared" si="8"/>
        <v>6.964870615848211</v>
      </c>
      <c r="I70" s="25">
        <f t="shared" si="9"/>
        <v>-1.964870615848211</v>
      </c>
      <c r="J70" s="25">
        <f t="shared" si="10"/>
        <v>3.8607165370237277</v>
      </c>
      <c r="K70" s="25">
        <f t="shared" si="6"/>
        <v>3.75</v>
      </c>
      <c r="L70" s="25">
        <f t="shared" si="7"/>
        <v>6.25</v>
      </c>
      <c r="M70" s="25">
        <f t="shared" si="11"/>
        <v>0</v>
      </c>
    </row>
    <row r="71" spans="1:13" x14ac:dyDescent="0.2">
      <c r="A71" s="4">
        <v>8.6300000000000008</v>
      </c>
      <c r="B71" s="4">
        <v>12</v>
      </c>
      <c r="C71" s="4">
        <v>9</v>
      </c>
      <c r="D71" s="4">
        <v>0</v>
      </c>
      <c r="E71" s="4">
        <v>1</v>
      </c>
      <c r="F71" s="4">
        <v>0</v>
      </c>
      <c r="G71" s="2" t="s">
        <v>79</v>
      </c>
      <c r="H71" s="25">
        <f t="shared" si="8"/>
        <v>6.964870615848211</v>
      </c>
      <c r="I71" s="25">
        <f t="shared" si="9"/>
        <v>1.6651293841517898</v>
      </c>
      <c r="J71" s="25">
        <f t="shared" si="10"/>
        <v>2.7726558659657186</v>
      </c>
      <c r="K71" s="25">
        <f t="shared" si="6"/>
        <v>6.4725000000000001</v>
      </c>
      <c r="L71" s="25">
        <f t="shared" si="7"/>
        <v>10.787500000000001</v>
      </c>
      <c r="M71" s="25">
        <f t="shared" si="11"/>
        <v>1</v>
      </c>
    </row>
    <row r="72" spans="1:13" x14ac:dyDescent="0.2">
      <c r="A72" s="4">
        <v>3.3</v>
      </c>
      <c r="B72" s="4">
        <v>12</v>
      </c>
      <c r="C72" s="4">
        <v>9</v>
      </c>
      <c r="D72" s="4">
        <v>1</v>
      </c>
      <c r="E72" s="4">
        <v>1</v>
      </c>
      <c r="F72" s="4">
        <v>0</v>
      </c>
      <c r="G72" s="2" t="s">
        <v>79</v>
      </c>
      <c r="H72" s="25">
        <f t="shared" si="8"/>
        <v>5.7573008556476974</v>
      </c>
      <c r="I72" s="25">
        <f t="shared" si="9"/>
        <v>-2.4573008556476976</v>
      </c>
      <c r="J72" s="25">
        <f t="shared" si="10"/>
        <v>6.0383274951669073</v>
      </c>
      <c r="K72" s="25">
        <f t="shared" si="6"/>
        <v>2.4749999999999996</v>
      </c>
      <c r="L72" s="25">
        <f t="shared" si="7"/>
        <v>4.125</v>
      </c>
      <c r="M72" s="25">
        <f t="shared" si="11"/>
        <v>0</v>
      </c>
    </row>
    <row r="73" spans="1:13" x14ac:dyDescent="0.2">
      <c r="A73" s="4">
        <v>6.33</v>
      </c>
      <c r="B73" s="4">
        <v>16</v>
      </c>
      <c r="C73" s="4">
        <v>9</v>
      </c>
      <c r="D73" s="4">
        <v>1</v>
      </c>
      <c r="E73" s="4">
        <v>0</v>
      </c>
      <c r="F73" s="4">
        <v>1</v>
      </c>
      <c r="G73" s="2" t="s">
        <v>79</v>
      </c>
      <c r="H73" s="25">
        <f t="shared" si="8"/>
        <v>8.2432679368459869</v>
      </c>
      <c r="I73" s="25">
        <f t="shared" si="9"/>
        <v>-1.9132679368459868</v>
      </c>
      <c r="J73" s="25">
        <f t="shared" si="10"/>
        <v>3.6605941981628991</v>
      </c>
      <c r="K73" s="25">
        <f t="shared" si="6"/>
        <v>4.7475000000000005</v>
      </c>
      <c r="L73" s="25">
        <f t="shared" si="7"/>
        <v>7.9124999999999996</v>
      </c>
      <c r="M73" s="25">
        <f t="shared" si="11"/>
        <v>0</v>
      </c>
    </row>
    <row r="74" spans="1:13" x14ac:dyDescent="0.2">
      <c r="A74" s="4">
        <v>2.87</v>
      </c>
      <c r="B74" s="4">
        <v>12</v>
      </c>
      <c r="C74" s="4">
        <v>8</v>
      </c>
      <c r="D74" s="4">
        <v>1</v>
      </c>
      <c r="E74" s="4">
        <v>1</v>
      </c>
      <c r="F74" s="4">
        <v>0</v>
      </c>
      <c r="G74" s="2" t="s">
        <v>79</v>
      </c>
      <c r="H74" s="25">
        <f t="shared" si="8"/>
        <v>5.5959486491592436</v>
      </c>
      <c r="I74" s="25">
        <f t="shared" si="9"/>
        <v>-2.7259486491592435</v>
      </c>
      <c r="J74" s="25">
        <f t="shared" si="10"/>
        <v>7.4307960378531046</v>
      </c>
      <c r="K74" s="25">
        <f t="shared" si="6"/>
        <v>2.1524999999999999</v>
      </c>
      <c r="L74" s="25">
        <f t="shared" si="7"/>
        <v>3.5875000000000004</v>
      </c>
      <c r="M74" s="25">
        <f t="shared" si="11"/>
        <v>0</v>
      </c>
    </row>
    <row r="75" spans="1:13" x14ac:dyDescent="0.2">
      <c r="A75" s="4">
        <v>4.79</v>
      </c>
      <c r="B75" s="4">
        <v>12</v>
      </c>
      <c r="C75" s="4">
        <v>8</v>
      </c>
      <c r="D75" s="4">
        <v>0</v>
      </c>
      <c r="E75" s="4">
        <v>1</v>
      </c>
      <c r="F75" s="4">
        <v>0</v>
      </c>
      <c r="G75" s="2" t="s">
        <v>79</v>
      </c>
      <c r="H75" s="25">
        <f t="shared" si="8"/>
        <v>6.8035184093597563</v>
      </c>
      <c r="I75" s="25">
        <f t="shared" si="9"/>
        <v>-2.0135184093597562</v>
      </c>
      <c r="J75" s="25">
        <f t="shared" si="10"/>
        <v>4.0542563848306425</v>
      </c>
      <c r="K75" s="25">
        <f t="shared" si="6"/>
        <v>3.5925000000000002</v>
      </c>
      <c r="L75" s="25">
        <f t="shared" si="7"/>
        <v>5.9874999999999998</v>
      </c>
      <c r="M75" s="25">
        <f t="shared" si="11"/>
        <v>0</v>
      </c>
    </row>
    <row r="76" spans="1:13" x14ac:dyDescent="0.2">
      <c r="A76" s="4">
        <v>3.33</v>
      </c>
      <c r="B76" s="4">
        <v>12</v>
      </c>
      <c r="C76" s="4">
        <v>8</v>
      </c>
      <c r="D76" s="4">
        <v>1</v>
      </c>
      <c r="E76" s="4">
        <v>1</v>
      </c>
      <c r="F76" s="4">
        <v>0</v>
      </c>
      <c r="G76" s="2" t="s">
        <v>79</v>
      </c>
      <c r="H76" s="25">
        <f t="shared" si="8"/>
        <v>5.5959486491592436</v>
      </c>
      <c r="I76" s="25">
        <f t="shared" si="9"/>
        <v>-2.2659486491592435</v>
      </c>
      <c r="J76" s="25">
        <f t="shared" si="10"/>
        <v>5.1345232806266008</v>
      </c>
      <c r="K76" s="25">
        <f t="shared" si="6"/>
        <v>2.4975000000000001</v>
      </c>
      <c r="L76" s="25">
        <f t="shared" si="7"/>
        <v>4.1624999999999996</v>
      </c>
      <c r="M76" s="25">
        <f t="shared" si="11"/>
        <v>0</v>
      </c>
    </row>
    <row r="77" spans="1:13" x14ac:dyDescent="0.2">
      <c r="A77" s="4">
        <v>6.25</v>
      </c>
      <c r="B77" s="4">
        <v>10</v>
      </c>
      <c r="C77" s="4">
        <v>8</v>
      </c>
      <c r="D77" s="4">
        <v>0</v>
      </c>
      <c r="E77" s="4">
        <v>0</v>
      </c>
      <c r="F77" s="4">
        <v>0</v>
      </c>
      <c r="G77" s="2" t="s">
        <v>79</v>
      </c>
      <c r="H77" s="25">
        <f t="shared" si="8"/>
        <v>5.2717220206719739</v>
      </c>
      <c r="I77" s="25">
        <f t="shared" si="9"/>
        <v>0.97827797932802607</v>
      </c>
      <c r="J77" s="25">
        <f t="shared" si="10"/>
        <v>0.95702780483812577</v>
      </c>
      <c r="K77" s="25">
        <f t="shared" si="6"/>
        <v>4.6875</v>
      </c>
      <c r="L77" s="25">
        <f t="shared" si="7"/>
        <v>7.8125</v>
      </c>
      <c r="M77" s="25">
        <f t="shared" si="11"/>
        <v>1</v>
      </c>
    </row>
    <row r="78" spans="1:13" x14ac:dyDescent="0.2">
      <c r="A78" s="4">
        <v>11.11</v>
      </c>
      <c r="B78" s="4">
        <v>12</v>
      </c>
      <c r="C78" s="4">
        <v>8</v>
      </c>
      <c r="D78" s="4">
        <v>0</v>
      </c>
      <c r="E78" s="4">
        <v>1</v>
      </c>
      <c r="F78" s="4">
        <v>0</v>
      </c>
      <c r="G78" s="2" t="s">
        <v>79</v>
      </c>
      <c r="H78" s="25">
        <f t="shared" si="8"/>
        <v>6.8035184093597563</v>
      </c>
      <c r="I78" s="25">
        <f t="shared" si="9"/>
        <v>4.3064815906402432</v>
      </c>
      <c r="J78" s="25">
        <f t="shared" si="10"/>
        <v>18.545783690523319</v>
      </c>
      <c r="K78" s="25">
        <f t="shared" si="6"/>
        <v>8.3324999999999996</v>
      </c>
      <c r="L78" s="25">
        <f t="shared" si="7"/>
        <v>13.887499999999999</v>
      </c>
      <c r="M78" s="25">
        <f t="shared" si="11"/>
        <v>0</v>
      </c>
    </row>
    <row r="79" spans="1:13" x14ac:dyDescent="0.2">
      <c r="A79" s="4">
        <v>8.64</v>
      </c>
      <c r="B79" s="4">
        <v>12</v>
      </c>
      <c r="C79" s="4">
        <v>8</v>
      </c>
      <c r="D79" s="4">
        <v>0</v>
      </c>
      <c r="E79" s="4">
        <v>1</v>
      </c>
      <c r="F79" s="4">
        <v>0</v>
      </c>
      <c r="G79" s="2" t="s">
        <v>79</v>
      </c>
      <c r="H79" s="25">
        <f t="shared" si="8"/>
        <v>6.8035184093597563</v>
      </c>
      <c r="I79" s="25">
        <f t="shared" si="9"/>
        <v>1.8364815906402443</v>
      </c>
      <c r="J79" s="25">
        <f t="shared" si="10"/>
        <v>3.3726646327605216</v>
      </c>
      <c r="K79" s="25">
        <f t="shared" si="6"/>
        <v>6.48</v>
      </c>
      <c r="L79" s="25">
        <f t="shared" si="7"/>
        <v>10.8</v>
      </c>
      <c r="M79" s="25">
        <f t="shared" si="11"/>
        <v>1</v>
      </c>
    </row>
    <row r="80" spans="1:13" x14ac:dyDescent="0.2">
      <c r="A80" s="4">
        <v>3.3</v>
      </c>
      <c r="B80" s="4">
        <v>12</v>
      </c>
      <c r="C80" s="4">
        <v>8</v>
      </c>
      <c r="D80" s="4">
        <v>0</v>
      </c>
      <c r="E80" s="4">
        <v>1</v>
      </c>
      <c r="F80" s="4">
        <v>0</v>
      </c>
      <c r="G80" s="2" t="s">
        <v>79</v>
      </c>
      <c r="H80" s="25">
        <f t="shared" si="8"/>
        <v>6.8035184093597563</v>
      </c>
      <c r="I80" s="25">
        <f t="shared" si="9"/>
        <v>-3.5035184093597564</v>
      </c>
      <c r="J80" s="25">
        <f t="shared" si="10"/>
        <v>12.274641244722718</v>
      </c>
      <c r="K80" s="25">
        <f t="shared" si="6"/>
        <v>2.4749999999999996</v>
      </c>
      <c r="L80" s="25">
        <f t="shared" si="7"/>
        <v>4.125</v>
      </c>
      <c r="M80" s="25">
        <f t="shared" si="11"/>
        <v>0</v>
      </c>
    </row>
    <row r="81" spans="1:13" x14ac:dyDescent="0.2">
      <c r="A81" s="4">
        <v>6.33</v>
      </c>
      <c r="B81" s="4">
        <v>12</v>
      </c>
      <c r="C81" s="4">
        <v>8</v>
      </c>
      <c r="D81" s="4">
        <v>0</v>
      </c>
      <c r="E81" s="4">
        <v>1</v>
      </c>
      <c r="F81" s="4">
        <v>0</v>
      </c>
      <c r="G81" s="2" t="s">
        <v>79</v>
      </c>
      <c r="H81" s="25">
        <f t="shared" si="8"/>
        <v>6.8035184093597563</v>
      </c>
      <c r="I81" s="25">
        <f t="shared" si="9"/>
        <v>-0.4735184093597562</v>
      </c>
      <c r="J81" s="25">
        <f t="shared" si="10"/>
        <v>0.22421968400259365</v>
      </c>
      <c r="K81" s="25">
        <f t="shared" si="6"/>
        <v>4.7475000000000005</v>
      </c>
      <c r="L81" s="25">
        <f t="shared" si="7"/>
        <v>7.9124999999999996</v>
      </c>
      <c r="M81" s="25">
        <f t="shared" si="11"/>
        <v>1</v>
      </c>
    </row>
    <row r="82" spans="1:13" x14ac:dyDescent="0.2">
      <c r="A82" s="4">
        <v>4.91</v>
      </c>
      <c r="B82" s="4">
        <v>12</v>
      </c>
      <c r="C82" s="4">
        <v>8</v>
      </c>
      <c r="D82" s="4">
        <v>0</v>
      </c>
      <c r="E82" s="4">
        <v>1</v>
      </c>
      <c r="F82" s="4">
        <v>0</v>
      </c>
      <c r="G82" s="2" t="s">
        <v>79</v>
      </c>
      <c r="H82" s="25">
        <f t="shared" si="8"/>
        <v>6.8035184093597563</v>
      </c>
      <c r="I82" s="25">
        <f t="shared" si="9"/>
        <v>-1.8935184093597561</v>
      </c>
      <c r="J82" s="25">
        <f t="shared" si="10"/>
        <v>3.5854119665843012</v>
      </c>
      <c r="K82" s="25">
        <f t="shared" si="6"/>
        <v>3.6825000000000001</v>
      </c>
      <c r="L82" s="25">
        <f t="shared" si="7"/>
        <v>6.1375000000000002</v>
      </c>
      <c r="M82" s="25">
        <f t="shared" si="11"/>
        <v>0</v>
      </c>
    </row>
    <row r="83" spans="1:13" x14ac:dyDescent="0.2">
      <c r="A83" s="4">
        <v>8.75</v>
      </c>
      <c r="B83" s="4">
        <v>16</v>
      </c>
      <c r="C83" s="4">
        <v>8</v>
      </c>
      <c r="D83" s="4">
        <v>0</v>
      </c>
      <c r="E83" s="4">
        <v>1</v>
      </c>
      <c r="F83" s="4">
        <v>1</v>
      </c>
      <c r="G83" s="2" t="s">
        <v>79</v>
      </c>
      <c r="H83" s="25">
        <f t="shared" si="8"/>
        <v>9.8545684680058532</v>
      </c>
      <c r="I83" s="25">
        <f t="shared" si="9"/>
        <v>-1.1045684680058532</v>
      </c>
      <c r="J83" s="25">
        <f t="shared" si="10"/>
        <v>1.2200715005127976</v>
      </c>
      <c r="K83" s="25">
        <f t="shared" si="6"/>
        <v>6.5625</v>
      </c>
      <c r="L83" s="25">
        <f t="shared" si="7"/>
        <v>10.9375</v>
      </c>
      <c r="M83" s="25">
        <f t="shared" si="11"/>
        <v>1</v>
      </c>
    </row>
    <row r="84" spans="1:13" x14ac:dyDescent="0.2">
      <c r="A84" s="4">
        <v>10</v>
      </c>
      <c r="B84" s="4">
        <v>18</v>
      </c>
      <c r="C84" s="4">
        <v>8</v>
      </c>
      <c r="D84" s="4">
        <v>0</v>
      </c>
      <c r="E84" s="4">
        <v>0</v>
      </c>
      <c r="F84" s="4">
        <v>0</v>
      </c>
      <c r="G84" s="2" t="s">
        <v>79</v>
      </c>
      <c r="H84" s="25">
        <f t="shared" si="8"/>
        <v>9.1385756656318797</v>
      </c>
      <c r="I84" s="25">
        <f t="shared" si="9"/>
        <v>0.86142433436812027</v>
      </c>
      <c r="J84" s="25">
        <f t="shared" si="10"/>
        <v>0.74205188384155907</v>
      </c>
      <c r="K84" s="25">
        <f t="shared" si="6"/>
        <v>7.5</v>
      </c>
      <c r="L84" s="25">
        <f t="shared" si="7"/>
        <v>12.5</v>
      </c>
      <c r="M84" s="25">
        <f t="shared" si="11"/>
        <v>1</v>
      </c>
    </row>
    <row r="85" spans="1:13" x14ac:dyDescent="0.2">
      <c r="A85" s="4">
        <v>21.63</v>
      </c>
      <c r="B85" s="4">
        <v>18</v>
      </c>
      <c r="C85" s="4">
        <v>8</v>
      </c>
      <c r="D85" s="4">
        <v>1</v>
      </c>
      <c r="E85" s="4">
        <v>0</v>
      </c>
      <c r="F85" s="4">
        <v>0</v>
      </c>
      <c r="G85" s="2" t="s">
        <v>79</v>
      </c>
      <c r="H85" s="25">
        <f t="shared" si="8"/>
        <v>7.9310059054313662</v>
      </c>
      <c r="I85" s="25">
        <f t="shared" si="9"/>
        <v>13.698994094568633</v>
      </c>
      <c r="J85" s="25">
        <f t="shared" si="10"/>
        <v>187.66243920302628</v>
      </c>
      <c r="K85" s="25">
        <f t="shared" si="6"/>
        <v>16.2225</v>
      </c>
      <c r="L85" s="25">
        <f t="shared" si="7"/>
        <v>27.037499999999998</v>
      </c>
      <c r="M85" s="25">
        <f t="shared" si="11"/>
        <v>0</v>
      </c>
    </row>
    <row r="86" spans="1:13" x14ac:dyDescent="0.2">
      <c r="A86" s="4">
        <v>4.57</v>
      </c>
      <c r="B86" s="4">
        <v>14</v>
      </c>
      <c r="C86" s="4">
        <v>7</v>
      </c>
      <c r="D86" s="4">
        <v>1</v>
      </c>
      <c r="E86" s="4">
        <v>1</v>
      </c>
      <c r="F86" s="4">
        <v>0</v>
      </c>
      <c r="G86" s="2" t="s">
        <v>79</v>
      </c>
      <c r="H86" s="25">
        <f t="shared" si="8"/>
        <v>6.4013098539107656</v>
      </c>
      <c r="I86" s="25">
        <f t="shared" si="9"/>
        <v>-1.8313098539107653</v>
      </c>
      <c r="J86" s="25">
        <f t="shared" si="10"/>
        <v>3.3536957810306687</v>
      </c>
      <c r="K86" s="25">
        <f t="shared" si="6"/>
        <v>3.4275000000000002</v>
      </c>
      <c r="L86" s="25">
        <f t="shared" si="7"/>
        <v>5.7125000000000004</v>
      </c>
      <c r="M86" s="25">
        <f t="shared" si="11"/>
        <v>0</v>
      </c>
    </row>
    <row r="87" spans="1:13" x14ac:dyDescent="0.2">
      <c r="A87" s="4">
        <v>18.16</v>
      </c>
      <c r="B87" s="4">
        <v>16</v>
      </c>
      <c r="C87" s="4">
        <v>7</v>
      </c>
      <c r="D87" s="4">
        <v>0</v>
      </c>
      <c r="E87" s="4">
        <v>1</v>
      </c>
      <c r="F87" s="4">
        <v>0</v>
      </c>
      <c r="G87" s="2" t="s">
        <v>79</v>
      </c>
      <c r="H87" s="25">
        <f t="shared" si="8"/>
        <v>8.5755930253512549</v>
      </c>
      <c r="I87" s="25">
        <f t="shared" si="9"/>
        <v>9.5844069746487452</v>
      </c>
      <c r="J87" s="25">
        <f t="shared" si="10"/>
        <v>91.860857055695519</v>
      </c>
      <c r="K87" s="25">
        <f t="shared" si="6"/>
        <v>13.620000000000001</v>
      </c>
      <c r="L87" s="25">
        <f t="shared" si="7"/>
        <v>22.7</v>
      </c>
      <c r="M87" s="25">
        <f t="shared" si="11"/>
        <v>0</v>
      </c>
    </row>
    <row r="88" spans="1:13" x14ac:dyDescent="0.2">
      <c r="A88" s="4">
        <v>11.25</v>
      </c>
      <c r="B88" s="4">
        <v>18</v>
      </c>
      <c r="C88" s="4">
        <v>7</v>
      </c>
      <c r="D88" s="4">
        <v>0</v>
      </c>
      <c r="E88" s="4">
        <v>0</v>
      </c>
      <c r="F88" s="4">
        <v>1</v>
      </c>
      <c r="G88" s="2" t="s">
        <v>79</v>
      </c>
      <c r="H88" s="25">
        <f t="shared" si="8"/>
        <v>10.094846695309569</v>
      </c>
      <c r="I88" s="25">
        <f t="shared" si="9"/>
        <v>1.1551533046904314</v>
      </c>
      <c r="J88" s="25">
        <f t="shared" si="10"/>
        <v>1.3343791573372248</v>
      </c>
      <c r="K88" s="25">
        <f t="shared" si="6"/>
        <v>8.4375</v>
      </c>
      <c r="L88" s="25">
        <f t="shared" si="7"/>
        <v>14.0625</v>
      </c>
      <c r="M88" s="25">
        <f t="shared" si="11"/>
        <v>1</v>
      </c>
    </row>
    <row r="89" spans="1:13" x14ac:dyDescent="0.2">
      <c r="A89" s="4">
        <v>5.9</v>
      </c>
      <c r="B89" s="4">
        <v>12</v>
      </c>
      <c r="C89" s="4">
        <v>7</v>
      </c>
      <c r="D89" s="4">
        <v>0</v>
      </c>
      <c r="E89" s="4">
        <v>1</v>
      </c>
      <c r="F89" s="4">
        <v>0</v>
      </c>
      <c r="G89" s="2" t="s">
        <v>79</v>
      </c>
      <c r="H89" s="25">
        <f t="shared" si="8"/>
        <v>6.6421662028713016</v>
      </c>
      <c r="I89" s="25">
        <f t="shared" si="9"/>
        <v>-0.74216620287130119</v>
      </c>
      <c r="J89" s="25">
        <f t="shared" si="10"/>
        <v>0.55081067268440542</v>
      </c>
      <c r="K89" s="25">
        <f t="shared" si="6"/>
        <v>4.4250000000000007</v>
      </c>
      <c r="L89" s="25">
        <f t="shared" si="7"/>
        <v>7.375</v>
      </c>
      <c r="M89" s="25">
        <f t="shared" si="11"/>
        <v>1</v>
      </c>
    </row>
    <row r="90" spans="1:13" x14ac:dyDescent="0.2">
      <c r="A90" s="4">
        <v>3.71</v>
      </c>
      <c r="B90" s="4">
        <v>9</v>
      </c>
      <c r="C90" s="4">
        <v>7</v>
      </c>
      <c r="D90" s="4">
        <v>0</v>
      </c>
      <c r="E90" s="4">
        <v>1</v>
      </c>
      <c r="F90" s="4">
        <v>0</v>
      </c>
      <c r="G90" s="2" t="s">
        <v>79</v>
      </c>
      <c r="H90" s="25">
        <f t="shared" si="8"/>
        <v>5.1920960860113379</v>
      </c>
      <c r="I90" s="25">
        <f t="shared" si="9"/>
        <v>-1.4820960860113379</v>
      </c>
      <c r="J90" s="25">
        <f t="shared" si="10"/>
        <v>2.1966088081701272</v>
      </c>
      <c r="K90" s="25">
        <f t="shared" si="6"/>
        <v>2.7824999999999998</v>
      </c>
      <c r="L90" s="25">
        <f t="shared" si="7"/>
        <v>4.6375000000000002</v>
      </c>
      <c r="M90" s="25">
        <f t="shared" si="11"/>
        <v>0</v>
      </c>
    </row>
    <row r="91" spans="1:13" x14ac:dyDescent="0.2">
      <c r="A91" s="4">
        <v>7.5</v>
      </c>
      <c r="B91" s="4">
        <v>12</v>
      </c>
      <c r="C91" s="4">
        <v>7</v>
      </c>
      <c r="D91" s="10">
        <v>2</v>
      </c>
      <c r="E91" s="4">
        <v>1</v>
      </c>
      <c r="F91" s="4">
        <v>0</v>
      </c>
      <c r="G91" s="2" t="s">
        <v>79</v>
      </c>
      <c r="H91" s="25">
        <f t="shared" si="8"/>
        <v>4.2270266824702754</v>
      </c>
      <c r="I91" s="25">
        <f t="shared" si="9"/>
        <v>3.2729733175297246</v>
      </c>
      <c r="J91" s="25">
        <f t="shared" si="10"/>
        <v>10.712354337261532</v>
      </c>
      <c r="K91" s="25">
        <f t="shared" si="6"/>
        <v>5.625</v>
      </c>
      <c r="L91" s="25">
        <f t="shared" si="7"/>
        <v>9.375</v>
      </c>
      <c r="M91" s="25">
        <f t="shared" si="11"/>
        <v>0</v>
      </c>
    </row>
    <row r="92" spans="1:13" x14ac:dyDescent="0.2">
      <c r="A92" s="4">
        <v>5.9</v>
      </c>
      <c r="B92" s="4">
        <v>12</v>
      </c>
      <c r="C92" s="4">
        <v>7</v>
      </c>
      <c r="D92" s="4">
        <v>1</v>
      </c>
      <c r="E92" s="4">
        <v>1</v>
      </c>
      <c r="F92" s="4">
        <v>0</v>
      </c>
      <c r="G92" s="2" t="s">
        <v>79</v>
      </c>
      <c r="H92" s="25">
        <f t="shared" si="8"/>
        <v>5.434596442670788</v>
      </c>
      <c r="I92" s="25">
        <f t="shared" si="9"/>
        <v>0.46540355732921235</v>
      </c>
      <c r="J92" s="25">
        <f t="shared" si="10"/>
        <v>0.21660047117468545</v>
      </c>
      <c r="K92" s="25">
        <f t="shared" si="6"/>
        <v>4.4250000000000007</v>
      </c>
      <c r="L92" s="25">
        <f t="shared" si="7"/>
        <v>7.375</v>
      </c>
      <c r="M92" s="25">
        <f t="shared" si="11"/>
        <v>1</v>
      </c>
    </row>
    <row r="93" spans="1:13" x14ac:dyDescent="0.2">
      <c r="A93" s="4">
        <v>4.6900000000000004</v>
      </c>
      <c r="B93" s="4">
        <v>10</v>
      </c>
      <c r="C93" s="4">
        <v>7</v>
      </c>
      <c r="D93" s="4">
        <v>0</v>
      </c>
      <c r="E93" s="4">
        <v>0</v>
      </c>
      <c r="F93" s="4">
        <v>0</v>
      </c>
      <c r="G93" s="2" t="s">
        <v>79</v>
      </c>
      <c r="H93" s="25">
        <f t="shared" si="8"/>
        <v>5.1103698141835192</v>
      </c>
      <c r="I93" s="25">
        <f t="shared" si="9"/>
        <v>-0.42036981418351882</v>
      </c>
      <c r="J93" s="25">
        <f t="shared" si="10"/>
        <v>0.17671078067668614</v>
      </c>
      <c r="K93" s="25">
        <f t="shared" si="6"/>
        <v>3.5175000000000001</v>
      </c>
      <c r="L93" s="25">
        <f t="shared" si="7"/>
        <v>5.8625000000000007</v>
      </c>
      <c r="M93" s="25">
        <f t="shared" si="11"/>
        <v>1</v>
      </c>
    </row>
    <row r="94" spans="1:13" x14ac:dyDescent="0.2">
      <c r="A94" s="4">
        <v>6</v>
      </c>
      <c r="B94" s="4">
        <v>12</v>
      </c>
      <c r="C94" s="4">
        <v>7</v>
      </c>
      <c r="D94" s="4">
        <v>0</v>
      </c>
      <c r="E94" s="4">
        <v>1</v>
      </c>
      <c r="F94" s="4">
        <v>0</v>
      </c>
      <c r="G94" s="2" t="s">
        <v>79</v>
      </c>
      <c r="H94" s="25">
        <f t="shared" si="8"/>
        <v>6.6421662028713016</v>
      </c>
      <c r="I94" s="25">
        <f t="shared" si="9"/>
        <v>-0.64216620287130155</v>
      </c>
      <c r="J94" s="25">
        <f t="shared" si="10"/>
        <v>0.4123774321101456</v>
      </c>
      <c r="K94" s="25">
        <f t="shared" si="6"/>
        <v>4.5</v>
      </c>
      <c r="L94" s="25">
        <f t="shared" si="7"/>
        <v>7.5</v>
      </c>
      <c r="M94" s="25">
        <f t="shared" si="11"/>
        <v>1</v>
      </c>
    </row>
    <row r="95" spans="1:13" x14ac:dyDescent="0.2">
      <c r="A95" s="4">
        <v>15</v>
      </c>
      <c r="B95" s="4">
        <v>14</v>
      </c>
      <c r="C95" s="4">
        <v>7</v>
      </c>
      <c r="D95" s="4">
        <v>0</v>
      </c>
      <c r="E95" s="4">
        <v>1</v>
      </c>
      <c r="F95" s="4">
        <v>0</v>
      </c>
      <c r="G95" s="2" t="s">
        <v>79</v>
      </c>
      <c r="H95" s="25">
        <f t="shared" si="8"/>
        <v>7.6088796141112791</v>
      </c>
      <c r="I95" s="25">
        <f t="shared" si="9"/>
        <v>7.3911203858887209</v>
      </c>
      <c r="J95" s="25">
        <f t="shared" si="10"/>
        <v>54.628660558699835</v>
      </c>
      <c r="K95" s="25">
        <f t="shared" si="6"/>
        <v>11.25</v>
      </c>
      <c r="L95" s="25">
        <f t="shared" si="7"/>
        <v>18.75</v>
      </c>
      <c r="M95" s="25">
        <f t="shared" si="11"/>
        <v>0</v>
      </c>
    </row>
    <row r="96" spans="1:13" x14ac:dyDescent="0.2">
      <c r="A96" s="4">
        <v>3.54</v>
      </c>
      <c r="B96" s="4">
        <v>13</v>
      </c>
      <c r="C96" s="4">
        <v>7</v>
      </c>
      <c r="D96" s="4">
        <v>1</v>
      </c>
      <c r="E96" s="4">
        <v>1</v>
      </c>
      <c r="F96" s="4">
        <v>0</v>
      </c>
      <c r="G96" s="2" t="s">
        <v>79</v>
      </c>
      <c r="H96" s="25">
        <f t="shared" si="8"/>
        <v>5.9179531482907759</v>
      </c>
      <c r="I96" s="25">
        <f t="shared" si="9"/>
        <v>-2.3779531482907759</v>
      </c>
      <c r="J96" s="25">
        <f t="shared" si="10"/>
        <v>5.6546611754660123</v>
      </c>
      <c r="K96" s="25">
        <f t="shared" si="6"/>
        <v>2.6550000000000002</v>
      </c>
      <c r="L96" s="25">
        <f t="shared" si="7"/>
        <v>4.4249999999999998</v>
      </c>
      <c r="M96" s="25">
        <f t="shared" si="11"/>
        <v>0</v>
      </c>
    </row>
    <row r="97" spans="1:13" x14ac:dyDescent="0.2">
      <c r="A97" s="4">
        <v>2.9</v>
      </c>
      <c r="B97" s="4">
        <v>8</v>
      </c>
      <c r="C97" s="4">
        <v>6</v>
      </c>
      <c r="D97" s="4">
        <v>1</v>
      </c>
      <c r="E97" s="4">
        <v>0</v>
      </c>
      <c r="F97" s="4">
        <v>0</v>
      </c>
      <c r="G97" s="2" t="s">
        <v>79</v>
      </c>
      <c r="H97" s="25">
        <f t="shared" si="8"/>
        <v>2.7747344362545756</v>
      </c>
      <c r="I97" s="25">
        <f t="shared" si="9"/>
        <v>0.1252655637454243</v>
      </c>
      <c r="J97" s="25">
        <f t="shared" si="10"/>
        <v>1.5691461460458959E-2</v>
      </c>
      <c r="K97" s="25">
        <f t="shared" si="6"/>
        <v>2.1749999999999998</v>
      </c>
      <c r="L97" s="25">
        <f t="shared" si="7"/>
        <v>3.625</v>
      </c>
      <c r="M97" s="25">
        <f t="shared" si="11"/>
        <v>1</v>
      </c>
    </row>
    <row r="98" spans="1:13" x14ac:dyDescent="0.2">
      <c r="A98" s="4">
        <v>4</v>
      </c>
      <c r="B98" s="4">
        <v>12</v>
      </c>
      <c r="C98" s="4">
        <v>6</v>
      </c>
      <c r="D98" s="4">
        <v>1</v>
      </c>
      <c r="E98" s="4">
        <v>1</v>
      </c>
      <c r="F98" s="4">
        <v>0</v>
      </c>
      <c r="G98" s="2" t="s">
        <v>79</v>
      </c>
      <c r="H98" s="25">
        <f t="shared" si="8"/>
        <v>5.2732442361823342</v>
      </c>
      <c r="I98" s="25">
        <f t="shared" si="9"/>
        <v>-1.2732442361823342</v>
      </c>
      <c r="J98" s="25">
        <f t="shared" si="10"/>
        <v>1.6211508849715355</v>
      </c>
      <c r="K98" s="25">
        <f t="shared" si="6"/>
        <v>3</v>
      </c>
      <c r="L98" s="25">
        <f t="shared" si="7"/>
        <v>5</v>
      </c>
      <c r="M98" s="25">
        <f t="shared" si="11"/>
        <v>0</v>
      </c>
    </row>
    <row r="99" spans="1:13" x14ac:dyDescent="0.2">
      <c r="A99" s="4">
        <v>6.25</v>
      </c>
      <c r="B99" s="4">
        <v>12</v>
      </c>
      <c r="C99" s="4">
        <v>6</v>
      </c>
      <c r="D99" s="4">
        <v>0</v>
      </c>
      <c r="E99" s="4">
        <v>1</v>
      </c>
      <c r="F99" s="4">
        <v>0</v>
      </c>
      <c r="G99" s="2" t="s">
        <v>79</v>
      </c>
      <c r="H99" s="25">
        <f t="shared" si="8"/>
        <v>6.4808139963828477</v>
      </c>
      <c r="I99" s="25">
        <f t="shared" si="9"/>
        <v>-0.23081399638284772</v>
      </c>
      <c r="J99" s="25">
        <f t="shared" si="10"/>
        <v>5.3275100926221237E-2</v>
      </c>
      <c r="K99" s="25">
        <f t="shared" si="6"/>
        <v>4.6875</v>
      </c>
      <c r="L99" s="25">
        <f t="shared" si="7"/>
        <v>7.8125</v>
      </c>
      <c r="M99" s="25">
        <f t="shared" si="11"/>
        <v>1</v>
      </c>
    </row>
    <row r="100" spans="1:13" x14ac:dyDescent="0.2">
      <c r="A100" s="4">
        <v>5.8</v>
      </c>
      <c r="B100" s="4">
        <v>12</v>
      </c>
      <c r="C100" s="4">
        <v>6</v>
      </c>
      <c r="D100" s="4">
        <v>1</v>
      </c>
      <c r="E100" s="4">
        <v>1</v>
      </c>
      <c r="F100" s="4">
        <v>0</v>
      </c>
      <c r="G100" s="2" t="s">
        <v>79</v>
      </c>
      <c r="H100" s="25">
        <f t="shared" si="8"/>
        <v>5.2732442361823342</v>
      </c>
      <c r="I100" s="25">
        <f t="shared" si="9"/>
        <v>0.52675576381766565</v>
      </c>
      <c r="J100" s="25">
        <f t="shared" si="10"/>
        <v>0.27747163471513236</v>
      </c>
      <c r="K100" s="25">
        <f t="shared" si="6"/>
        <v>4.3499999999999996</v>
      </c>
      <c r="L100" s="25">
        <f t="shared" si="7"/>
        <v>7.25</v>
      </c>
      <c r="M100" s="25">
        <f t="shared" si="11"/>
        <v>1</v>
      </c>
    </row>
    <row r="101" spans="1:13" x14ac:dyDescent="0.2">
      <c r="A101" s="4">
        <v>8</v>
      </c>
      <c r="B101" s="4">
        <v>12</v>
      </c>
      <c r="C101" s="4">
        <v>6</v>
      </c>
      <c r="D101" s="4">
        <v>0</v>
      </c>
      <c r="E101" s="4">
        <v>1</v>
      </c>
      <c r="F101" s="4">
        <v>0</v>
      </c>
      <c r="G101" s="2" t="s">
        <v>79</v>
      </c>
      <c r="H101" s="25">
        <f t="shared" si="8"/>
        <v>6.4808139963828477</v>
      </c>
      <c r="I101" s="25">
        <f t="shared" si="9"/>
        <v>1.5191860036171523</v>
      </c>
      <c r="J101" s="25">
        <f t="shared" si="10"/>
        <v>2.3079261135862543</v>
      </c>
      <c r="K101" s="25">
        <f t="shared" si="6"/>
        <v>6</v>
      </c>
      <c r="L101" s="25">
        <f t="shared" si="7"/>
        <v>10</v>
      </c>
      <c r="M101" s="25">
        <f t="shared" si="11"/>
        <v>1</v>
      </c>
    </row>
    <row r="102" spans="1:13" x14ac:dyDescent="0.2">
      <c r="A102" s="4">
        <v>6.15</v>
      </c>
      <c r="B102" s="4">
        <v>12</v>
      </c>
      <c r="C102" s="4">
        <v>6</v>
      </c>
      <c r="D102" s="4">
        <v>1</v>
      </c>
      <c r="E102" s="4">
        <v>1</v>
      </c>
      <c r="F102" s="4">
        <v>1</v>
      </c>
      <c r="G102" s="2" t="s">
        <v>79</v>
      </c>
      <c r="H102" s="25">
        <f t="shared" si="8"/>
        <v>6.3908674723484786</v>
      </c>
      <c r="I102" s="25">
        <f t="shared" si="9"/>
        <v>-0.24086747234847827</v>
      </c>
      <c r="J102" s="25">
        <f t="shared" si="10"/>
        <v>5.8017139235544947E-2</v>
      </c>
      <c r="K102" s="25">
        <f t="shared" si="6"/>
        <v>4.6125000000000007</v>
      </c>
      <c r="L102" s="25">
        <f t="shared" si="7"/>
        <v>7.6875</v>
      </c>
      <c r="M102" s="25">
        <f t="shared" si="11"/>
        <v>1</v>
      </c>
    </row>
    <row r="103" spans="1:13" x14ac:dyDescent="0.2">
      <c r="A103" s="4">
        <v>5.91</v>
      </c>
      <c r="B103" s="4">
        <v>12</v>
      </c>
      <c r="C103" s="4">
        <v>6</v>
      </c>
      <c r="D103" s="4">
        <v>0</v>
      </c>
      <c r="E103" s="4">
        <v>1</v>
      </c>
      <c r="F103" s="4">
        <v>0</v>
      </c>
      <c r="G103" s="2" t="s">
        <v>79</v>
      </c>
      <c r="H103" s="25">
        <f t="shared" si="8"/>
        <v>6.4808139963828477</v>
      </c>
      <c r="I103" s="25">
        <f t="shared" si="9"/>
        <v>-0.57081399638284758</v>
      </c>
      <c r="J103" s="25">
        <f t="shared" si="10"/>
        <v>0.32582861846655753</v>
      </c>
      <c r="K103" s="25">
        <f t="shared" si="6"/>
        <v>4.4325000000000001</v>
      </c>
      <c r="L103" s="25">
        <f t="shared" si="7"/>
        <v>7.3875000000000002</v>
      </c>
      <c r="M103" s="25">
        <f t="shared" si="11"/>
        <v>1</v>
      </c>
    </row>
    <row r="104" spans="1:13" x14ac:dyDescent="0.2">
      <c r="A104" s="4">
        <v>8.5299999999999994</v>
      </c>
      <c r="B104" s="4">
        <v>10</v>
      </c>
      <c r="C104" s="4">
        <v>6</v>
      </c>
      <c r="D104" s="4">
        <v>0</v>
      </c>
      <c r="E104" s="4">
        <v>1</v>
      </c>
      <c r="F104" s="4">
        <v>0</v>
      </c>
      <c r="G104" s="2" t="s">
        <v>79</v>
      </c>
      <c r="H104" s="25">
        <f t="shared" si="8"/>
        <v>5.5141005851428719</v>
      </c>
      <c r="I104" s="25">
        <f t="shared" si="9"/>
        <v>3.0158994148571274</v>
      </c>
      <c r="J104" s="25">
        <f t="shared" si="10"/>
        <v>9.0956492805355644</v>
      </c>
      <c r="K104" s="25">
        <f t="shared" si="6"/>
        <v>6.3974999999999991</v>
      </c>
      <c r="L104" s="25">
        <f t="shared" si="7"/>
        <v>10.6625</v>
      </c>
      <c r="M104" s="25">
        <f t="shared" si="11"/>
        <v>0</v>
      </c>
    </row>
    <row r="105" spans="1:13" x14ac:dyDescent="0.2">
      <c r="A105" s="4">
        <v>8.43</v>
      </c>
      <c r="B105" s="4">
        <v>16</v>
      </c>
      <c r="C105" s="4">
        <v>6</v>
      </c>
      <c r="D105" s="4">
        <v>0</v>
      </c>
      <c r="E105" s="4">
        <v>1</v>
      </c>
      <c r="F105" s="4">
        <v>0</v>
      </c>
      <c r="G105" s="2" t="s">
        <v>79</v>
      </c>
      <c r="H105" s="25">
        <f t="shared" si="8"/>
        <v>8.4142408188628011</v>
      </c>
      <c r="I105" s="25">
        <f t="shared" si="9"/>
        <v>1.5759181137198652E-2</v>
      </c>
      <c r="J105" s="25">
        <f t="shared" si="10"/>
        <v>2.483517901150378E-4</v>
      </c>
      <c r="K105" s="25">
        <f t="shared" si="6"/>
        <v>6.3224999999999998</v>
      </c>
      <c r="L105" s="25">
        <f t="shared" si="7"/>
        <v>10.5375</v>
      </c>
      <c r="M105" s="25">
        <f t="shared" si="11"/>
        <v>1</v>
      </c>
    </row>
    <row r="106" spans="1:13" x14ac:dyDescent="0.2">
      <c r="A106" s="4">
        <v>6.45</v>
      </c>
      <c r="B106" s="4">
        <v>12</v>
      </c>
      <c r="C106" s="4">
        <v>6</v>
      </c>
      <c r="D106" s="10">
        <v>2</v>
      </c>
      <c r="E106" s="4">
        <v>1</v>
      </c>
      <c r="F106" s="4">
        <v>0</v>
      </c>
      <c r="G106" s="2" t="s">
        <v>79</v>
      </c>
      <c r="H106" s="25">
        <f t="shared" si="8"/>
        <v>4.0656744759818215</v>
      </c>
      <c r="I106" s="25">
        <f t="shared" si="9"/>
        <v>2.3843255240181787</v>
      </c>
      <c r="J106" s="25">
        <f t="shared" si="10"/>
        <v>5.6850082044845625</v>
      </c>
      <c r="K106" s="25">
        <f t="shared" si="6"/>
        <v>4.8375000000000004</v>
      </c>
      <c r="L106" s="25">
        <f t="shared" si="7"/>
        <v>8.0625</v>
      </c>
      <c r="M106" s="25">
        <f t="shared" si="11"/>
        <v>0</v>
      </c>
    </row>
    <row r="107" spans="1:13" x14ac:dyDescent="0.2">
      <c r="A107" s="4">
        <v>3.5</v>
      </c>
      <c r="B107" s="4">
        <v>12</v>
      </c>
      <c r="C107" s="4">
        <v>6</v>
      </c>
      <c r="D107" s="4">
        <v>1</v>
      </c>
      <c r="E107" s="4">
        <v>1</v>
      </c>
      <c r="F107" s="4">
        <v>0</v>
      </c>
      <c r="G107" s="2" t="s">
        <v>79</v>
      </c>
      <c r="H107" s="25">
        <f t="shared" si="8"/>
        <v>5.2732442361823342</v>
      </c>
      <c r="I107" s="25">
        <f t="shared" si="9"/>
        <v>-1.7732442361823342</v>
      </c>
      <c r="J107" s="25">
        <f t="shared" si="10"/>
        <v>3.1443951211538699</v>
      </c>
      <c r="K107" s="25">
        <f t="shared" si="6"/>
        <v>2.625</v>
      </c>
      <c r="L107" s="25">
        <f t="shared" si="7"/>
        <v>4.375</v>
      </c>
      <c r="M107" s="25">
        <f t="shared" si="11"/>
        <v>0</v>
      </c>
    </row>
    <row r="108" spans="1:13" x14ac:dyDescent="0.2">
      <c r="A108" s="4">
        <v>5.13</v>
      </c>
      <c r="B108" s="4">
        <v>15</v>
      </c>
      <c r="C108" s="4">
        <v>6</v>
      </c>
      <c r="D108" s="10">
        <v>2</v>
      </c>
      <c r="E108" s="4">
        <v>0</v>
      </c>
      <c r="F108" s="4">
        <v>0</v>
      </c>
      <c r="G108" s="2" t="s">
        <v>79</v>
      </c>
      <c r="H108" s="25">
        <f t="shared" si="8"/>
        <v>4.9506616153939795</v>
      </c>
      <c r="I108" s="25">
        <f t="shared" si="9"/>
        <v>0.17933838460602036</v>
      </c>
      <c r="J108" s="25">
        <f t="shared" si="10"/>
        <v>3.2162256193096879E-2</v>
      </c>
      <c r="K108" s="25">
        <f t="shared" si="6"/>
        <v>3.8475000000000001</v>
      </c>
      <c r="L108" s="25">
        <f t="shared" si="7"/>
        <v>6.4124999999999996</v>
      </c>
      <c r="M108" s="25">
        <f t="shared" si="11"/>
        <v>1</v>
      </c>
    </row>
    <row r="109" spans="1:13" x14ac:dyDescent="0.2">
      <c r="A109" s="4">
        <v>7.14</v>
      </c>
      <c r="B109" s="4">
        <v>12</v>
      </c>
      <c r="C109" s="4">
        <v>5</v>
      </c>
      <c r="D109" s="4">
        <v>1</v>
      </c>
      <c r="E109" s="4">
        <v>0</v>
      </c>
      <c r="F109" s="4">
        <v>0</v>
      </c>
      <c r="G109" s="2" t="s">
        <v>79</v>
      </c>
      <c r="H109" s="25">
        <f t="shared" si="8"/>
        <v>4.5468090522460738</v>
      </c>
      <c r="I109" s="25">
        <f t="shared" si="9"/>
        <v>2.5931909477539259</v>
      </c>
      <c r="J109" s="25">
        <f t="shared" si="10"/>
        <v>6.7246392915129043</v>
      </c>
      <c r="K109" s="25">
        <f t="shared" si="6"/>
        <v>5.3549999999999995</v>
      </c>
      <c r="L109" s="25">
        <f t="shared" si="7"/>
        <v>8.9249999999999989</v>
      </c>
      <c r="M109" s="25">
        <f t="shared" si="11"/>
        <v>0</v>
      </c>
    </row>
    <row r="110" spans="1:13" x14ac:dyDescent="0.2">
      <c r="A110" s="4">
        <v>12.39</v>
      </c>
      <c r="B110" s="4">
        <v>14</v>
      </c>
      <c r="C110" s="4">
        <v>5</v>
      </c>
      <c r="D110" s="4">
        <v>0</v>
      </c>
      <c r="E110" s="4">
        <v>0</v>
      </c>
      <c r="F110" s="4">
        <v>0</v>
      </c>
      <c r="G110" s="2" t="s">
        <v>79</v>
      </c>
      <c r="H110" s="25">
        <f t="shared" si="8"/>
        <v>6.7210922236865631</v>
      </c>
      <c r="I110" s="25">
        <f t="shared" si="9"/>
        <v>5.6689077763134375</v>
      </c>
      <c r="J110" s="25">
        <f t="shared" si="10"/>
        <v>32.136515376346964</v>
      </c>
      <c r="K110" s="25">
        <f t="shared" si="6"/>
        <v>9.2925000000000004</v>
      </c>
      <c r="L110" s="25">
        <f t="shared" si="7"/>
        <v>15.487500000000001</v>
      </c>
      <c r="M110" s="25">
        <f t="shared" si="11"/>
        <v>0</v>
      </c>
    </row>
    <row r="111" spans="1:13" x14ac:dyDescent="0.2">
      <c r="A111" s="4">
        <v>8</v>
      </c>
      <c r="B111" s="4">
        <v>13</v>
      </c>
      <c r="C111" s="4">
        <v>5</v>
      </c>
      <c r="D111" s="4">
        <v>0</v>
      </c>
      <c r="E111" s="4">
        <v>1</v>
      </c>
      <c r="F111" s="4">
        <v>0</v>
      </c>
      <c r="G111" s="2" t="s">
        <v>79</v>
      </c>
      <c r="H111" s="25">
        <f t="shared" si="8"/>
        <v>6.8028184955143809</v>
      </c>
      <c r="I111" s="25">
        <f t="shared" si="9"/>
        <v>1.1971815044856191</v>
      </c>
      <c r="J111" s="25">
        <f t="shared" si="10"/>
        <v>1.4332435546824505</v>
      </c>
      <c r="K111" s="25">
        <f t="shared" si="6"/>
        <v>6</v>
      </c>
      <c r="L111" s="25">
        <f t="shared" si="7"/>
        <v>10</v>
      </c>
      <c r="M111" s="25">
        <f t="shared" si="11"/>
        <v>1</v>
      </c>
    </row>
    <row r="112" spans="1:13" x14ac:dyDescent="0.2">
      <c r="A112" s="4">
        <v>5</v>
      </c>
      <c r="B112" s="10">
        <v>12</v>
      </c>
      <c r="C112" s="4">
        <v>5</v>
      </c>
      <c r="D112" s="4">
        <v>0</v>
      </c>
      <c r="E112" s="4">
        <v>1</v>
      </c>
      <c r="F112" s="4">
        <v>0</v>
      </c>
      <c r="G112" s="2" t="s">
        <v>79</v>
      </c>
      <c r="H112" s="25">
        <f t="shared" si="8"/>
        <v>6.319461789894393</v>
      </c>
      <c r="I112" s="25">
        <f t="shared" si="9"/>
        <v>-1.319461789894393</v>
      </c>
      <c r="J112" s="25">
        <f t="shared" si="10"/>
        <v>1.7409794149913154</v>
      </c>
      <c r="K112" s="25">
        <f t="shared" si="6"/>
        <v>3.75</v>
      </c>
      <c r="L112" s="25">
        <f t="shared" si="7"/>
        <v>6.25</v>
      </c>
      <c r="M112" s="25">
        <f t="shared" si="11"/>
        <v>0</v>
      </c>
    </row>
    <row r="113" spans="1:13" x14ac:dyDescent="0.2">
      <c r="A113" s="4">
        <v>13</v>
      </c>
      <c r="B113" s="4">
        <v>14</v>
      </c>
      <c r="C113" s="4">
        <v>5</v>
      </c>
      <c r="D113" s="4">
        <v>0</v>
      </c>
      <c r="E113" s="4">
        <v>1</v>
      </c>
      <c r="F113" s="4">
        <v>1</v>
      </c>
      <c r="G113" s="2" t="s">
        <v>79</v>
      </c>
      <c r="H113" s="25">
        <f t="shared" si="8"/>
        <v>8.4037984373005141</v>
      </c>
      <c r="I113" s="25">
        <f t="shared" si="9"/>
        <v>4.5962015626994859</v>
      </c>
      <c r="J113" s="25">
        <f t="shared" si="10"/>
        <v>21.125068804961195</v>
      </c>
      <c r="K113" s="25">
        <f t="shared" si="6"/>
        <v>9.75</v>
      </c>
      <c r="L113" s="25">
        <f t="shared" si="7"/>
        <v>16.25</v>
      </c>
      <c r="M113" s="25">
        <f t="shared" si="11"/>
        <v>0</v>
      </c>
    </row>
    <row r="114" spans="1:13" x14ac:dyDescent="0.2">
      <c r="A114" s="4">
        <v>4.5</v>
      </c>
      <c r="B114" s="4">
        <v>9</v>
      </c>
      <c r="C114" s="4">
        <v>5</v>
      </c>
      <c r="D114" s="4">
        <v>0</v>
      </c>
      <c r="E114" s="4">
        <v>1</v>
      </c>
      <c r="F114" s="4">
        <v>0</v>
      </c>
      <c r="G114" s="2" t="s">
        <v>79</v>
      </c>
      <c r="H114" s="25">
        <f t="shared" si="8"/>
        <v>4.8693916730344293</v>
      </c>
      <c r="I114" s="25">
        <f t="shared" si="9"/>
        <v>-0.36939167303442932</v>
      </c>
      <c r="J114" s="25">
        <f t="shared" si="10"/>
        <v>0.13645020810717473</v>
      </c>
      <c r="K114" s="25">
        <f t="shared" si="6"/>
        <v>3.375</v>
      </c>
      <c r="L114" s="25">
        <f t="shared" si="7"/>
        <v>5.625</v>
      </c>
      <c r="M114" s="25">
        <f t="shared" si="11"/>
        <v>1</v>
      </c>
    </row>
    <row r="115" spans="1:13" x14ac:dyDescent="0.2">
      <c r="A115" s="4">
        <v>8.18</v>
      </c>
      <c r="B115" s="4">
        <v>13</v>
      </c>
      <c r="C115" s="4">
        <v>5</v>
      </c>
      <c r="D115" s="4">
        <v>0</v>
      </c>
      <c r="E115" s="4">
        <v>0</v>
      </c>
      <c r="F115" s="4">
        <v>1</v>
      </c>
      <c r="G115" s="2" t="s">
        <v>79</v>
      </c>
      <c r="H115" s="25">
        <f t="shared" si="8"/>
        <v>7.3553587542327188</v>
      </c>
      <c r="I115" s="25">
        <f t="shared" si="9"/>
        <v>0.82464124576728093</v>
      </c>
      <c r="J115" s="25">
        <f t="shared" si="10"/>
        <v>0.68003318422061299</v>
      </c>
      <c r="K115" s="25">
        <f t="shared" si="6"/>
        <v>6.1349999999999998</v>
      </c>
      <c r="L115" s="25">
        <f t="shared" si="7"/>
        <v>10.225</v>
      </c>
      <c r="M115" s="25">
        <f t="shared" si="11"/>
        <v>1</v>
      </c>
    </row>
    <row r="116" spans="1:13" x14ac:dyDescent="0.2">
      <c r="A116" s="4">
        <v>11.55</v>
      </c>
      <c r="B116" s="4">
        <v>16</v>
      </c>
      <c r="C116" s="4">
        <v>5</v>
      </c>
      <c r="D116" s="4">
        <v>1</v>
      </c>
      <c r="E116" s="4">
        <v>1</v>
      </c>
      <c r="F116" s="4">
        <v>0</v>
      </c>
      <c r="G116" s="2" t="s">
        <v>79</v>
      </c>
      <c r="H116" s="25">
        <f t="shared" si="8"/>
        <v>7.0453188521738319</v>
      </c>
      <c r="I116" s="25">
        <f t="shared" si="9"/>
        <v>4.5046811478261688</v>
      </c>
      <c r="J116" s="25">
        <f t="shared" si="10"/>
        <v>20.292152243580489</v>
      </c>
      <c r="K116" s="25">
        <f t="shared" si="6"/>
        <v>8.6625000000000014</v>
      </c>
      <c r="L116" s="25">
        <f t="shared" si="7"/>
        <v>14.4375</v>
      </c>
      <c r="M116" s="25">
        <f t="shared" si="11"/>
        <v>0</v>
      </c>
    </row>
    <row r="117" spans="1:13" x14ac:dyDescent="0.2">
      <c r="A117" s="4">
        <v>5</v>
      </c>
      <c r="B117" s="4">
        <v>14</v>
      </c>
      <c r="C117" s="4">
        <v>5</v>
      </c>
      <c r="D117" s="4">
        <v>0</v>
      </c>
      <c r="E117" s="4">
        <v>1</v>
      </c>
      <c r="F117" s="4">
        <v>0</v>
      </c>
      <c r="G117" s="2" t="s">
        <v>79</v>
      </c>
      <c r="H117" s="25">
        <f t="shared" si="8"/>
        <v>7.2861752011343697</v>
      </c>
      <c r="I117" s="25">
        <f t="shared" si="9"/>
        <v>-2.2861752011343697</v>
      </c>
      <c r="J117" s="25">
        <f t="shared" si="10"/>
        <v>5.226597050281776</v>
      </c>
      <c r="K117" s="25">
        <f t="shared" si="6"/>
        <v>3.75</v>
      </c>
      <c r="L117" s="25">
        <f t="shared" si="7"/>
        <v>6.25</v>
      </c>
      <c r="M117" s="25">
        <f t="shared" si="11"/>
        <v>0</v>
      </c>
    </row>
    <row r="118" spans="1:13" x14ac:dyDescent="0.2">
      <c r="A118" s="4">
        <v>10</v>
      </c>
      <c r="B118" s="4">
        <v>14</v>
      </c>
      <c r="C118" s="4">
        <v>5</v>
      </c>
      <c r="D118" s="4">
        <v>0</v>
      </c>
      <c r="E118" s="4">
        <v>1</v>
      </c>
      <c r="F118" s="4">
        <v>0</v>
      </c>
      <c r="G118" s="2" t="s">
        <v>79</v>
      </c>
      <c r="H118" s="25">
        <f t="shared" si="8"/>
        <v>7.2861752011343697</v>
      </c>
      <c r="I118" s="25">
        <f t="shared" si="9"/>
        <v>2.7138247988656303</v>
      </c>
      <c r="J118" s="25">
        <f t="shared" si="10"/>
        <v>7.3648450389380793</v>
      </c>
      <c r="K118" s="25">
        <f t="shared" si="6"/>
        <v>7.5</v>
      </c>
      <c r="L118" s="25">
        <f t="shared" si="7"/>
        <v>12.5</v>
      </c>
      <c r="M118" s="25">
        <f t="shared" si="11"/>
        <v>0</v>
      </c>
    </row>
    <row r="119" spans="1:13" x14ac:dyDescent="0.2">
      <c r="A119" s="4">
        <v>12.5</v>
      </c>
      <c r="B119" s="4">
        <v>18</v>
      </c>
      <c r="C119" s="4">
        <v>5</v>
      </c>
      <c r="D119" s="4">
        <v>0</v>
      </c>
      <c r="E119" s="4">
        <v>1</v>
      </c>
      <c r="F119" s="4">
        <v>0</v>
      </c>
      <c r="G119" s="2" t="s">
        <v>79</v>
      </c>
      <c r="H119" s="25">
        <f t="shared" si="8"/>
        <v>9.219602023614323</v>
      </c>
      <c r="I119" s="25">
        <f t="shared" si="9"/>
        <v>3.280397976385677</v>
      </c>
      <c r="J119" s="25">
        <f t="shared" si="10"/>
        <v>10.761010883475244</v>
      </c>
      <c r="K119" s="25">
        <f t="shared" si="6"/>
        <v>9.375</v>
      </c>
      <c r="L119" s="25">
        <f t="shared" si="7"/>
        <v>15.625</v>
      </c>
      <c r="M119" s="25">
        <f t="shared" si="11"/>
        <v>0</v>
      </c>
    </row>
    <row r="120" spans="1:13" x14ac:dyDescent="0.2">
      <c r="A120" s="4">
        <v>5</v>
      </c>
      <c r="B120" s="4">
        <v>12</v>
      </c>
      <c r="C120" s="4">
        <v>5</v>
      </c>
      <c r="D120" s="4">
        <v>0</v>
      </c>
      <c r="E120" s="4">
        <v>1</v>
      </c>
      <c r="F120" s="4">
        <v>0</v>
      </c>
      <c r="G120" s="2" t="s">
        <v>79</v>
      </c>
      <c r="H120" s="25">
        <f t="shared" si="8"/>
        <v>6.319461789894393</v>
      </c>
      <c r="I120" s="25">
        <f t="shared" si="9"/>
        <v>-1.319461789894393</v>
      </c>
      <c r="J120" s="25">
        <f t="shared" si="10"/>
        <v>1.7409794149913154</v>
      </c>
      <c r="K120" s="25">
        <f t="shared" si="6"/>
        <v>3.75</v>
      </c>
      <c r="L120" s="25">
        <f t="shared" si="7"/>
        <v>6.25</v>
      </c>
      <c r="M120" s="25">
        <f t="shared" si="11"/>
        <v>0</v>
      </c>
    </row>
    <row r="121" spans="1:13" x14ac:dyDescent="0.2">
      <c r="A121" s="4">
        <v>5</v>
      </c>
      <c r="B121" s="10">
        <v>12</v>
      </c>
      <c r="C121" s="4">
        <v>5</v>
      </c>
      <c r="D121" s="4">
        <v>0</v>
      </c>
      <c r="E121" s="4">
        <v>1</v>
      </c>
      <c r="F121" s="4">
        <v>0</v>
      </c>
      <c r="G121" s="2" t="s">
        <v>79</v>
      </c>
      <c r="H121" s="25">
        <f t="shared" si="8"/>
        <v>6.319461789894393</v>
      </c>
      <c r="I121" s="25">
        <f t="shared" si="9"/>
        <v>-1.319461789894393</v>
      </c>
      <c r="J121" s="25">
        <f t="shared" si="10"/>
        <v>1.7409794149913154</v>
      </c>
      <c r="K121" s="25">
        <f t="shared" si="6"/>
        <v>3.75</v>
      </c>
      <c r="L121" s="25">
        <f t="shared" si="7"/>
        <v>6.25</v>
      </c>
      <c r="M121" s="25">
        <f t="shared" si="11"/>
        <v>0</v>
      </c>
    </row>
    <row r="122" spans="1:13" x14ac:dyDescent="0.2">
      <c r="A122" s="4">
        <v>3.2</v>
      </c>
      <c r="B122" s="4">
        <v>12</v>
      </c>
      <c r="C122" s="4">
        <v>5</v>
      </c>
      <c r="D122" s="4">
        <v>1</v>
      </c>
      <c r="E122" s="4">
        <v>1</v>
      </c>
      <c r="F122" s="4">
        <v>0</v>
      </c>
      <c r="G122" s="2" t="s">
        <v>79</v>
      </c>
      <c r="H122" s="25">
        <f t="shared" si="8"/>
        <v>5.1118920296938803</v>
      </c>
      <c r="I122" s="25">
        <f t="shared" si="9"/>
        <v>-1.9118920296938802</v>
      </c>
      <c r="J122" s="25">
        <f t="shared" si="10"/>
        <v>3.6553311332069849</v>
      </c>
      <c r="K122" s="25">
        <f t="shared" si="6"/>
        <v>2.4000000000000004</v>
      </c>
      <c r="L122" s="25">
        <f t="shared" si="7"/>
        <v>4</v>
      </c>
      <c r="M122" s="25">
        <f t="shared" si="11"/>
        <v>0</v>
      </c>
    </row>
    <row r="123" spans="1:13" x14ac:dyDescent="0.2">
      <c r="A123" s="4">
        <v>3.26</v>
      </c>
      <c r="B123" s="4">
        <v>16</v>
      </c>
      <c r="C123" s="4">
        <v>5</v>
      </c>
      <c r="D123" s="4">
        <v>1</v>
      </c>
      <c r="E123" s="4">
        <v>1</v>
      </c>
      <c r="F123" s="4">
        <v>0</v>
      </c>
      <c r="G123" s="2" t="s">
        <v>79</v>
      </c>
      <c r="H123" s="25">
        <f t="shared" si="8"/>
        <v>7.0453188521738319</v>
      </c>
      <c r="I123" s="25">
        <f t="shared" si="9"/>
        <v>-3.7853188521738321</v>
      </c>
      <c r="J123" s="25">
        <f t="shared" si="10"/>
        <v>14.328638812622618</v>
      </c>
      <c r="K123" s="25">
        <f t="shared" si="6"/>
        <v>2.4449999999999998</v>
      </c>
      <c r="L123" s="25">
        <f t="shared" si="7"/>
        <v>4.0749999999999993</v>
      </c>
      <c r="M123" s="25">
        <f t="shared" si="11"/>
        <v>0</v>
      </c>
    </row>
    <row r="124" spans="1:13" x14ac:dyDescent="0.2">
      <c r="A124" s="4">
        <v>4.24</v>
      </c>
      <c r="B124" s="4">
        <v>10</v>
      </c>
      <c r="C124" s="4">
        <v>5</v>
      </c>
      <c r="D124" s="10">
        <v>2</v>
      </c>
      <c r="E124" s="4">
        <v>1</v>
      </c>
      <c r="F124" s="4">
        <v>0</v>
      </c>
      <c r="G124" s="2" t="s">
        <v>79</v>
      </c>
      <c r="H124" s="25">
        <f t="shared" si="8"/>
        <v>2.937608858253391</v>
      </c>
      <c r="I124" s="25">
        <f t="shared" si="9"/>
        <v>1.3023911417466092</v>
      </c>
      <c r="J124" s="25">
        <f t="shared" si="10"/>
        <v>1.6962226861000362</v>
      </c>
      <c r="K124" s="25">
        <f t="shared" si="6"/>
        <v>3.18</v>
      </c>
      <c r="L124" s="25">
        <f t="shared" si="7"/>
        <v>5.3000000000000007</v>
      </c>
      <c r="M124" s="25">
        <f t="shared" si="11"/>
        <v>0</v>
      </c>
    </row>
    <row r="125" spans="1:13" x14ac:dyDescent="0.2">
      <c r="A125" s="4">
        <v>9</v>
      </c>
      <c r="B125" s="4">
        <v>12</v>
      </c>
      <c r="C125" s="4">
        <v>5</v>
      </c>
      <c r="D125" s="4">
        <v>1</v>
      </c>
      <c r="E125" s="4">
        <v>1</v>
      </c>
      <c r="F125" s="4">
        <v>0</v>
      </c>
      <c r="G125" s="2" t="s">
        <v>79</v>
      </c>
      <c r="H125" s="25">
        <f t="shared" si="8"/>
        <v>5.1118920296938803</v>
      </c>
      <c r="I125" s="25">
        <f t="shared" si="9"/>
        <v>3.8881079703061197</v>
      </c>
      <c r="J125" s="25">
        <f t="shared" si="10"/>
        <v>15.117383588757974</v>
      </c>
      <c r="K125" s="25">
        <f t="shared" si="6"/>
        <v>6.75</v>
      </c>
      <c r="L125" s="25">
        <f t="shared" si="7"/>
        <v>11.25</v>
      </c>
      <c r="M125" s="25">
        <f t="shared" si="11"/>
        <v>0</v>
      </c>
    </row>
    <row r="126" spans="1:13" x14ac:dyDescent="0.2">
      <c r="A126" s="4">
        <v>5.71</v>
      </c>
      <c r="B126" s="4">
        <v>16</v>
      </c>
      <c r="C126" s="4">
        <v>5</v>
      </c>
      <c r="D126" s="4">
        <v>0</v>
      </c>
      <c r="E126" s="4">
        <v>1</v>
      </c>
      <c r="F126" s="4">
        <v>0</v>
      </c>
      <c r="G126" s="2" t="s">
        <v>79</v>
      </c>
      <c r="H126" s="25">
        <f t="shared" si="8"/>
        <v>8.2528886123743455</v>
      </c>
      <c r="I126" s="25">
        <f t="shared" si="9"/>
        <v>-2.5428886123743455</v>
      </c>
      <c r="J126" s="25">
        <f t="shared" si="10"/>
        <v>6.4662824949431243</v>
      </c>
      <c r="K126" s="25">
        <f t="shared" si="6"/>
        <v>4.2824999999999998</v>
      </c>
      <c r="L126" s="25">
        <f t="shared" si="7"/>
        <v>7.1375000000000002</v>
      </c>
      <c r="M126" s="25">
        <f t="shared" si="11"/>
        <v>0</v>
      </c>
    </row>
    <row r="127" spans="1:13" x14ac:dyDescent="0.2">
      <c r="A127" s="4">
        <v>6.5</v>
      </c>
      <c r="B127" s="4">
        <v>12</v>
      </c>
      <c r="C127" s="4">
        <v>5</v>
      </c>
      <c r="D127" s="4">
        <v>1</v>
      </c>
      <c r="E127" s="4">
        <v>1</v>
      </c>
      <c r="F127" s="4">
        <v>0</v>
      </c>
      <c r="G127" s="2" t="s">
        <v>79</v>
      </c>
      <c r="H127" s="25">
        <f t="shared" si="8"/>
        <v>5.1118920296938803</v>
      </c>
      <c r="I127" s="25">
        <f t="shared" si="9"/>
        <v>1.3881079703061197</v>
      </c>
      <c r="J127" s="25">
        <f t="shared" si="10"/>
        <v>1.9268437372273752</v>
      </c>
      <c r="K127" s="25">
        <f t="shared" si="6"/>
        <v>4.875</v>
      </c>
      <c r="L127" s="25">
        <f t="shared" si="7"/>
        <v>8.125</v>
      </c>
      <c r="M127" s="25">
        <f t="shared" si="11"/>
        <v>1</v>
      </c>
    </row>
    <row r="128" spans="1:13" x14ac:dyDescent="0.2">
      <c r="A128" s="4">
        <v>6.67</v>
      </c>
      <c r="B128" s="4">
        <v>12</v>
      </c>
      <c r="C128" s="4">
        <v>5</v>
      </c>
      <c r="D128" s="4">
        <v>0</v>
      </c>
      <c r="E128" s="4">
        <v>0</v>
      </c>
      <c r="F128" s="4">
        <v>0</v>
      </c>
      <c r="G128" s="2" t="s">
        <v>79</v>
      </c>
      <c r="H128" s="25">
        <f t="shared" si="8"/>
        <v>5.7543788124465864</v>
      </c>
      <c r="I128" s="25">
        <f t="shared" si="9"/>
        <v>0.91562118755341348</v>
      </c>
      <c r="J128" s="25">
        <f t="shared" si="10"/>
        <v>0.83836215909672318</v>
      </c>
      <c r="K128" s="25">
        <f t="shared" si="6"/>
        <v>5.0024999999999995</v>
      </c>
      <c r="L128" s="25">
        <f t="shared" si="7"/>
        <v>8.3375000000000004</v>
      </c>
      <c r="M128" s="25">
        <f t="shared" si="11"/>
        <v>1</v>
      </c>
    </row>
    <row r="129" spans="1:13" x14ac:dyDescent="0.2">
      <c r="A129" s="4">
        <v>7</v>
      </c>
      <c r="B129" s="4">
        <v>12</v>
      </c>
      <c r="C129" s="4">
        <v>5</v>
      </c>
      <c r="D129" s="4">
        <v>0</v>
      </c>
      <c r="E129" s="4">
        <v>1</v>
      </c>
      <c r="F129" s="4">
        <v>0</v>
      </c>
      <c r="G129" s="2" t="s">
        <v>79</v>
      </c>
      <c r="H129" s="25">
        <f t="shared" si="8"/>
        <v>6.319461789894393</v>
      </c>
      <c r="I129" s="25">
        <f t="shared" si="9"/>
        <v>0.680538210105607</v>
      </c>
      <c r="J129" s="25">
        <f t="shared" si="10"/>
        <v>0.46313225541374331</v>
      </c>
      <c r="K129" s="25">
        <f t="shared" si="6"/>
        <v>5.25</v>
      </c>
      <c r="L129" s="25">
        <f t="shared" si="7"/>
        <v>8.75</v>
      </c>
      <c r="M129" s="25">
        <f t="shared" si="11"/>
        <v>1</v>
      </c>
    </row>
    <row r="130" spans="1:13" x14ac:dyDescent="0.2">
      <c r="A130" s="4">
        <v>3.13</v>
      </c>
      <c r="B130" s="4">
        <v>12</v>
      </c>
      <c r="C130" s="4">
        <v>5</v>
      </c>
      <c r="D130" s="4">
        <v>1</v>
      </c>
      <c r="E130" s="4">
        <v>1</v>
      </c>
      <c r="F130" s="4">
        <v>0</v>
      </c>
      <c r="G130" s="2" t="s">
        <v>79</v>
      </c>
      <c r="H130" s="25">
        <f t="shared" si="8"/>
        <v>5.1118920296938803</v>
      </c>
      <c r="I130" s="25">
        <f t="shared" si="9"/>
        <v>-1.9818920296938805</v>
      </c>
      <c r="J130" s="25">
        <f t="shared" si="10"/>
        <v>3.9278960173641293</v>
      </c>
      <c r="K130" s="25">
        <f t="shared" ref="K130:K193" si="12">A130*(1-$Q$41)</f>
        <v>2.3475000000000001</v>
      </c>
      <c r="L130" s="25">
        <f t="shared" ref="L130:L193" si="13">A130*(1+$Q$41)</f>
        <v>3.9124999999999996</v>
      </c>
      <c r="M130" s="25">
        <f t="shared" si="11"/>
        <v>0</v>
      </c>
    </row>
    <row r="131" spans="1:13" x14ac:dyDescent="0.2">
      <c r="A131" s="4">
        <v>6.25</v>
      </c>
      <c r="B131" s="10">
        <v>12</v>
      </c>
      <c r="C131" s="4">
        <v>5</v>
      </c>
      <c r="D131" s="4">
        <v>1</v>
      </c>
      <c r="E131" s="4">
        <v>1</v>
      </c>
      <c r="F131" s="4">
        <v>0</v>
      </c>
      <c r="G131" s="2" t="s">
        <v>79</v>
      </c>
      <c r="H131" s="25">
        <f t="shared" ref="H131:H194" si="14">$P$33+($P$34*B131)+($P$35*C131)+($P$36*D131)+($P$37*E131)+($P$38*F131)</f>
        <v>5.1118920296938803</v>
      </c>
      <c r="I131" s="25">
        <f t="shared" ref="I131:I194" si="15">(A131-H131)</f>
        <v>1.1381079703061197</v>
      </c>
      <c r="J131" s="25">
        <f t="shared" ref="J131:J194" si="16">I131^2</f>
        <v>1.2952897520743154</v>
      </c>
      <c r="K131" s="25">
        <f t="shared" si="12"/>
        <v>4.6875</v>
      </c>
      <c r="L131" s="25">
        <f t="shared" si="13"/>
        <v>7.8125</v>
      </c>
      <c r="M131" s="25">
        <f t="shared" ref="M131:M194" si="17">IF(AND(H131&gt;=K131,H131&lt;=L131),1,0)</f>
        <v>1</v>
      </c>
    </row>
    <row r="132" spans="1:13" x14ac:dyDescent="0.2">
      <c r="A132" s="4">
        <v>5.75</v>
      </c>
      <c r="B132" s="4">
        <v>14</v>
      </c>
      <c r="C132" s="4">
        <v>5</v>
      </c>
      <c r="D132" s="4">
        <v>0</v>
      </c>
      <c r="E132" s="4">
        <v>1</v>
      </c>
      <c r="F132" s="4">
        <v>0</v>
      </c>
      <c r="G132" s="2" t="s">
        <v>79</v>
      </c>
      <c r="H132" s="25">
        <f t="shared" si="14"/>
        <v>7.2861752011343697</v>
      </c>
      <c r="I132" s="25">
        <f t="shared" si="15"/>
        <v>-1.5361752011343697</v>
      </c>
      <c r="J132" s="25">
        <f t="shared" si="16"/>
        <v>2.3598342485802211</v>
      </c>
      <c r="K132" s="25">
        <f t="shared" si="12"/>
        <v>4.3125</v>
      </c>
      <c r="L132" s="25">
        <f t="shared" si="13"/>
        <v>7.1875</v>
      </c>
      <c r="M132" s="25">
        <f t="shared" si="17"/>
        <v>0</v>
      </c>
    </row>
    <row r="133" spans="1:13" x14ac:dyDescent="0.2">
      <c r="A133" s="4">
        <v>4.5</v>
      </c>
      <c r="B133" s="4">
        <v>14</v>
      </c>
      <c r="C133" s="4">
        <v>5</v>
      </c>
      <c r="D133" s="4">
        <v>1</v>
      </c>
      <c r="E133" s="4">
        <v>0</v>
      </c>
      <c r="F133" s="4">
        <v>1</v>
      </c>
      <c r="G133" s="2" t="s">
        <v>79</v>
      </c>
      <c r="H133" s="25">
        <f t="shared" si="14"/>
        <v>6.631145699652194</v>
      </c>
      <c r="I133" s="25">
        <f t="shared" si="15"/>
        <v>-2.131145699652194</v>
      </c>
      <c r="J133" s="25">
        <f t="shared" si="16"/>
        <v>4.5417819931460395</v>
      </c>
      <c r="K133" s="25">
        <f t="shared" si="12"/>
        <v>3.375</v>
      </c>
      <c r="L133" s="25">
        <f t="shared" si="13"/>
        <v>5.625</v>
      </c>
      <c r="M133" s="25">
        <f t="shared" si="17"/>
        <v>0</v>
      </c>
    </row>
    <row r="134" spans="1:13" x14ac:dyDescent="0.2">
      <c r="A134" s="4">
        <v>4.5</v>
      </c>
      <c r="B134" s="4">
        <v>12</v>
      </c>
      <c r="C134" s="4">
        <v>4</v>
      </c>
      <c r="D134" s="4">
        <v>1</v>
      </c>
      <c r="E134" s="4">
        <v>1</v>
      </c>
      <c r="F134" s="4">
        <v>0</v>
      </c>
      <c r="G134" s="2" t="s">
        <v>79</v>
      </c>
      <c r="H134" s="25">
        <f t="shared" si="14"/>
        <v>4.9505398232054247</v>
      </c>
      <c r="I134" s="25">
        <f t="shared" si="15"/>
        <v>-0.45053982320542474</v>
      </c>
      <c r="J134" s="25">
        <f t="shared" si="16"/>
        <v>0.20298613229397539</v>
      </c>
      <c r="K134" s="25">
        <f t="shared" si="12"/>
        <v>3.375</v>
      </c>
      <c r="L134" s="25">
        <f t="shared" si="13"/>
        <v>5.625</v>
      </c>
      <c r="M134" s="25">
        <f t="shared" si="17"/>
        <v>1</v>
      </c>
    </row>
    <row r="135" spans="1:13" x14ac:dyDescent="0.2">
      <c r="A135" s="4">
        <v>3.33</v>
      </c>
      <c r="B135" s="4">
        <v>12</v>
      </c>
      <c r="C135" s="4">
        <v>4</v>
      </c>
      <c r="D135" s="4">
        <v>1</v>
      </c>
      <c r="E135" s="4">
        <v>1</v>
      </c>
      <c r="F135" s="4">
        <v>0</v>
      </c>
      <c r="G135" s="2" t="s">
        <v>79</v>
      </c>
      <c r="H135" s="25">
        <f t="shared" si="14"/>
        <v>4.9505398232054247</v>
      </c>
      <c r="I135" s="25">
        <f t="shared" si="15"/>
        <v>-1.6205398232054247</v>
      </c>
      <c r="J135" s="25">
        <f t="shared" si="16"/>
        <v>2.6261493185946692</v>
      </c>
      <c r="K135" s="25">
        <f t="shared" si="12"/>
        <v>2.4975000000000001</v>
      </c>
      <c r="L135" s="25">
        <f t="shared" si="13"/>
        <v>4.1624999999999996</v>
      </c>
      <c r="M135" s="25">
        <f t="shared" si="17"/>
        <v>0</v>
      </c>
    </row>
    <row r="136" spans="1:13" x14ac:dyDescent="0.2">
      <c r="A136" s="4">
        <v>10</v>
      </c>
      <c r="B136" s="4">
        <v>14</v>
      </c>
      <c r="C136" s="4">
        <v>4</v>
      </c>
      <c r="D136" s="10">
        <v>2</v>
      </c>
      <c r="E136" s="4">
        <v>1</v>
      </c>
      <c r="F136" s="4">
        <v>0</v>
      </c>
      <c r="G136" s="2" t="s">
        <v>79</v>
      </c>
      <c r="H136" s="25">
        <f t="shared" si="14"/>
        <v>4.7096834742448896</v>
      </c>
      <c r="I136" s="25">
        <f t="shared" si="15"/>
        <v>5.2903165257551104</v>
      </c>
      <c r="J136" s="25">
        <f t="shared" si="16"/>
        <v>27.98744894267762</v>
      </c>
      <c r="K136" s="25">
        <f t="shared" si="12"/>
        <v>7.5</v>
      </c>
      <c r="L136" s="25">
        <f t="shared" si="13"/>
        <v>12.5</v>
      </c>
      <c r="M136" s="25">
        <f t="shared" si="17"/>
        <v>0</v>
      </c>
    </row>
    <row r="137" spans="1:13" x14ac:dyDescent="0.2">
      <c r="A137" s="4">
        <v>4.5</v>
      </c>
      <c r="B137" s="4">
        <v>12</v>
      </c>
      <c r="C137" s="4">
        <v>4</v>
      </c>
      <c r="D137" s="4">
        <v>1</v>
      </c>
      <c r="E137" s="4">
        <v>1</v>
      </c>
      <c r="F137" s="4">
        <v>0</v>
      </c>
      <c r="G137" s="2" t="s">
        <v>79</v>
      </c>
      <c r="H137" s="25">
        <f t="shared" si="14"/>
        <v>4.9505398232054247</v>
      </c>
      <c r="I137" s="25">
        <f t="shared" si="15"/>
        <v>-0.45053982320542474</v>
      </c>
      <c r="J137" s="25">
        <f t="shared" si="16"/>
        <v>0.20298613229397539</v>
      </c>
      <c r="K137" s="25">
        <f t="shared" si="12"/>
        <v>3.375</v>
      </c>
      <c r="L137" s="25">
        <f t="shared" si="13"/>
        <v>5.625</v>
      </c>
      <c r="M137" s="25">
        <f t="shared" si="17"/>
        <v>1</v>
      </c>
    </row>
    <row r="138" spans="1:13" x14ac:dyDescent="0.2">
      <c r="A138" s="4">
        <v>4.2699999999999996</v>
      </c>
      <c r="B138" s="4">
        <v>16</v>
      </c>
      <c r="C138" s="4">
        <v>4</v>
      </c>
      <c r="D138" s="4">
        <v>1</v>
      </c>
      <c r="E138" s="4">
        <v>1</v>
      </c>
      <c r="F138" s="4">
        <v>1</v>
      </c>
      <c r="G138" s="2" t="s">
        <v>79</v>
      </c>
      <c r="H138" s="25">
        <f t="shared" si="14"/>
        <v>8.0015898818515225</v>
      </c>
      <c r="I138" s="25">
        <f t="shared" si="15"/>
        <v>-3.731589881851523</v>
      </c>
      <c r="J138" s="25">
        <f t="shared" si="16"/>
        <v>13.924763046336663</v>
      </c>
      <c r="K138" s="25">
        <f t="shared" si="12"/>
        <v>3.2024999999999997</v>
      </c>
      <c r="L138" s="25">
        <f t="shared" si="13"/>
        <v>5.3374999999999995</v>
      </c>
      <c r="M138" s="25">
        <f t="shared" si="17"/>
        <v>0</v>
      </c>
    </row>
    <row r="139" spans="1:13" x14ac:dyDescent="0.2">
      <c r="A139" s="4">
        <v>20</v>
      </c>
      <c r="B139" s="4">
        <v>12</v>
      </c>
      <c r="C139" s="4">
        <v>4</v>
      </c>
      <c r="D139" s="4">
        <v>0</v>
      </c>
      <c r="E139" s="4">
        <v>1</v>
      </c>
      <c r="F139" s="4">
        <v>0</v>
      </c>
      <c r="G139" s="2" t="s">
        <v>79</v>
      </c>
      <c r="H139" s="25">
        <f t="shared" si="14"/>
        <v>6.1581095834059383</v>
      </c>
      <c r="I139" s="25">
        <f t="shared" si="15"/>
        <v>13.841890416594062</v>
      </c>
      <c r="J139" s="25">
        <f t="shared" si="16"/>
        <v>191.59793030499853</v>
      </c>
      <c r="K139" s="25">
        <f t="shared" si="12"/>
        <v>15</v>
      </c>
      <c r="L139" s="25">
        <f t="shared" si="13"/>
        <v>25</v>
      </c>
      <c r="M139" s="25">
        <f t="shared" si="17"/>
        <v>0</v>
      </c>
    </row>
    <row r="140" spans="1:13" x14ac:dyDescent="0.2">
      <c r="A140" s="4">
        <v>3.5</v>
      </c>
      <c r="B140" s="4">
        <v>12</v>
      </c>
      <c r="C140" s="4">
        <v>4</v>
      </c>
      <c r="D140" s="4">
        <v>1</v>
      </c>
      <c r="E140" s="4">
        <v>1</v>
      </c>
      <c r="F140" s="4">
        <v>0</v>
      </c>
      <c r="G140" s="2" t="s">
        <v>79</v>
      </c>
      <c r="H140" s="25">
        <f t="shared" si="14"/>
        <v>4.9505398232054247</v>
      </c>
      <c r="I140" s="25">
        <f t="shared" si="15"/>
        <v>-1.4505398232054247</v>
      </c>
      <c r="J140" s="25">
        <f t="shared" si="16"/>
        <v>2.1040657787048249</v>
      </c>
      <c r="K140" s="25">
        <f t="shared" si="12"/>
        <v>2.625</v>
      </c>
      <c r="L140" s="25">
        <f t="shared" si="13"/>
        <v>4.375</v>
      </c>
      <c r="M140" s="25">
        <f t="shared" si="17"/>
        <v>0</v>
      </c>
    </row>
    <row r="141" spans="1:13" x14ac:dyDescent="0.2">
      <c r="A141" s="4">
        <v>6</v>
      </c>
      <c r="B141" s="4">
        <v>15</v>
      </c>
      <c r="C141" s="4">
        <v>4</v>
      </c>
      <c r="D141" s="4">
        <v>1</v>
      </c>
      <c r="E141" s="4">
        <v>1</v>
      </c>
      <c r="F141" s="4">
        <v>0</v>
      </c>
      <c r="G141" s="2" t="s">
        <v>79</v>
      </c>
      <c r="H141" s="25">
        <f t="shared" si="14"/>
        <v>6.4006099400653902</v>
      </c>
      <c r="I141" s="25">
        <f t="shared" si="15"/>
        <v>-0.40060994006539019</v>
      </c>
      <c r="J141" s="25">
        <f t="shared" si="16"/>
        <v>0.16048832407919553</v>
      </c>
      <c r="K141" s="25">
        <f t="shared" si="12"/>
        <v>4.5</v>
      </c>
      <c r="L141" s="25">
        <f t="shared" si="13"/>
        <v>7.5</v>
      </c>
      <c r="M141" s="25">
        <f t="shared" si="17"/>
        <v>1</v>
      </c>
    </row>
    <row r="142" spans="1:13" x14ac:dyDescent="0.2">
      <c r="A142" s="4">
        <v>8</v>
      </c>
      <c r="B142" s="4">
        <v>12</v>
      </c>
      <c r="C142" s="4">
        <v>4</v>
      </c>
      <c r="D142" s="4">
        <v>1</v>
      </c>
      <c r="E142" s="4">
        <v>0</v>
      </c>
      <c r="F142" s="4">
        <v>0</v>
      </c>
      <c r="G142" s="2" t="s">
        <v>79</v>
      </c>
      <c r="H142" s="25">
        <f t="shared" si="14"/>
        <v>4.3854568457576182</v>
      </c>
      <c r="I142" s="25">
        <f t="shared" si="15"/>
        <v>3.6145431542423818</v>
      </c>
      <c r="J142" s="25">
        <f t="shared" si="16"/>
        <v>13.064922213880466</v>
      </c>
      <c r="K142" s="25">
        <f t="shared" si="12"/>
        <v>6</v>
      </c>
      <c r="L142" s="25">
        <f t="shared" si="13"/>
        <v>10</v>
      </c>
      <c r="M142" s="25">
        <f t="shared" si="17"/>
        <v>0</v>
      </c>
    </row>
    <row r="143" spans="1:13" x14ac:dyDescent="0.2">
      <c r="A143" s="4">
        <v>6.25</v>
      </c>
      <c r="B143" s="4">
        <v>15</v>
      </c>
      <c r="C143" s="4">
        <v>4</v>
      </c>
      <c r="D143" s="4">
        <v>1</v>
      </c>
      <c r="E143" s="4">
        <v>1</v>
      </c>
      <c r="F143" s="4">
        <v>0</v>
      </c>
      <c r="G143" s="2" t="s">
        <v>79</v>
      </c>
      <c r="H143" s="25">
        <f t="shared" si="14"/>
        <v>6.4006099400653902</v>
      </c>
      <c r="I143" s="25">
        <f t="shared" si="15"/>
        <v>-0.15060994006539019</v>
      </c>
      <c r="J143" s="25">
        <f t="shared" si="16"/>
        <v>2.2683354046500424E-2</v>
      </c>
      <c r="K143" s="25">
        <f t="shared" si="12"/>
        <v>4.6875</v>
      </c>
      <c r="L143" s="25">
        <f t="shared" si="13"/>
        <v>7.8125</v>
      </c>
      <c r="M143" s="25">
        <f t="shared" si="17"/>
        <v>1</v>
      </c>
    </row>
    <row r="144" spans="1:13" x14ac:dyDescent="0.2">
      <c r="A144" s="4">
        <v>6.88</v>
      </c>
      <c r="B144" s="10">
        <v>12</v>
      </c>
      <c r="C144" s="4">
        <v>4</v>
      </c>
      <c r="D144" s="4">
        <v>1</v>
      </c>
      <c r="E144" s="4">
        <v>0</v>
      </c>
      <c r="F144" s="4">
        <v>1</v>
      </c>
      <c r="G144" s="2" t="s">
        <v>79</v>
      </c>
      <c r="H144" s="25">
        <f t="shared" si="14"/>
        <v>5.5030800819237626</v>
      </c>
      <c r="I144" s="25">
        <f t="shared" si="15"/>
        <v>1.3769199180762373</v>
      </c>
      <c r="J144" s="25">
        <f t="shared" si="16"/>
        <v>1.895908460795072</v>
      </c>
      <c r="K144" s="25">
        <f t="shared" si="12"/>
        <v>5.16</v>
      </c>
      <c r="L144" s="25">
        <f t="shared" si="13"/>
        <v>8.6</v>
      </c>
      <c r="M144" s="25">
        <f t="shared" si="17"/>
        <v>1</v>
      </c>
    </row>
    <row r="145" spans="1:13" x14ac:dyDescent="0.2">
      <c r="A145" s="4">
        <v>6.25</v>
      </c>
      <c r="B145" s="4">
        <v>16</v>
      </c>
      <c r="C145" s="4">
        <v>4</v>
      </c>
      <c r="D145" s="4">
        <v>0</v>
      </c>
      <c r="E145" s="4">
        <v>0</v>
      </c>
      <c r="F145" s="4">
        <v>0</v>
      </c>
      <c r="G145" s="2" t="s">
        <v>79</v>
      </c>
      <c r="H145" s="25">
        <f t="shared" si="14"/>
        <v>7.5264534284380851</v>
      </c>
      <c r="I145" s="25">
        <f t="shared" si="15"/>
        <v>-1.2764534284380851</v>
      </c>
      <c r="J145" s="25">
        <f t="shared" si="16"/>
        <v>1.6293333549713416</v>
      </c>
      <c r="K145" s="25">
        <f t="shared" si="12"/>
        <v>4.6875</v>
      </c>
      <c r="L145" s="25">
        <f t="shared" si="13"/>
        <v>7.8125</v>
      </c>
      <c r="M145" s="25">
        <f t="shared" si="17"/>
        <v>1</v>
      </c>
    </row>
    <row r="146" spans="1:13" x14ac:dyDescent="0.2">
      <c r="A146" s="4">
        <v>6.38</v>
      </c>
      <c r="B146" s="4">
        <v>13</v>
      </c>
      <c r="C146" s="4">
        <v>4</v>
      </c>
      <c r="D146" s="4">
        <v>1</v>
      </c>
      <c r="E146" s="4">
        <v>0</v>
      </c>
      <c r="F146" s="4">
        <v>1</v>
      </c>
      <c r="G146" s="2" t="s">
        <v>79</v>
      </c>
      <c r="H146" s="25">
        <f t="shared" si="14"/>
        <v>5.9864367875437505</v>
      </c>
      <c r="I146" s="25">
        <f t="shared" si="15"/>
        <v>0.39356321245624937</v>
      </c>
      <c r="J146" s="25">
        <f t="shared" si="16"/>
        <v>0.15489200219888288</v>
      </c>
      <c r="K146" s="25">
        <f t="shared" si="12"/>
        <v>4.7850000000000001</v>
      </c>
      <c r="L146" s="25">
        <f t="shared" si="13"/>
        <v>7.9749999999999996</v>
      </c>
      <c r="M146" s="25">
        <f t="shared" si="17"/>
        <v>1</v>
      </c>
    </row>
    <row r="147" spans="1:13" x14ac:dyDescent="0.2">
      <c r="A147" s="4">
        <v>5.78</v>
      </c>
      <c r="B147" s="4">
        <v>16</v>
      </c>
      <c r="C147" s="4">
        <v>4</v>
      </c>
      <c r="D147" s="4">
        <v>0</v>
      </c>
      <c r="E147" s="4">
        <v>1</v>
      </c>
      <c r="F147" s="4">
        <v>0</v>
      </c>
      <c r="G147" s="2" t="s">
        <v>79</v>
      </c>
      <c r="H147" s="25">
        <f t="shared" si="14"/>
        <v>8.0915364058858916</v>
      </c>
      <c r="I147" s="25">
        <f t="shared" si="15"/>
        <v>-2.3115364058858914</v>
      </c>
      <c r="J147" s="25">
        <f t="shared" si="16"/>
        <v>5.3432005557358639</v>
      </c>
      <c r="K147" s="25">
        <f t="shared" si="12"/>
        <v>4.335</v>
      </c>
      <c r="L147" s="25">
        <f t="shared" si="13"/>
        <v>7.2250000000000005</v>
      </c>
      <c r="M147" s="25">
        <f t="shared" si="17"/>
        <v>0</v>
      </c>
    </row>
    <row r="148" spans="1:13" x14ac:dyDescent="0.2">
      <c r="A148" s="4">
        <v>7.63</v>
      </c>
      <c r="B148" s="4">
        <v>12</v>
      </c>
      <c r="C148" s="4">
        <v>4</v>
      </c>
      <c r="D148" s="4">
        <v>1</v>
      </c>
      <c r="E148" s="4">
        <v>0</v>
      </c>
      <c r="F148" s="4">
        <v>0</v>
      </c>
      <c r="G148" s="2" t="s">
        <v>79</v>
      </c>
      <c r="H148" s="25">
        <f t="shared" si="14"/>
        <v>4.3854568457576182</v>
      </c>
      <c r="I148" s="25">
        <f t="shared" si="15"/>
        <v>3.2445431542423817</v>
      </c>
      <c r="J148" s="25">
        <f t="shared" si="16"/>
        <v>10.527060279741104</v>
      </c>
      <c r="K148" s="25">
        <f t="shared" si="12"/>
        <v>5.7225000000000001</v>
      </c>
      <c r="L148" s="25">
        <f t="shared" si="13"/>
        <v>9.5374999999999996</v>
      </c>
      <c r="M148" s="25">
        <f t="shared" si="17"/>
        <v>0</v>
      </c>
    </row>
    <row r="149" spans="1:13" x14ac:dyDescent="0.2">
      <c r="A149" s="4">
        <v>3.75</v>
      </c>
      <c r="B149" s="10">
        <v>12</v>
      </c>
      <c r="C149" s="4">
        <v>4</v>
      </c>
      <c r="D149" s="4">
        <v>1</v>
      </c>
      <c r="E149" s="4">
        <v>1</v>
      </c>
      <c r="F149" s="4">
        <v>0</v>
      </c>
      <c r="G149" s="2" t="s">
        <v>79</v>
      </c>
      <c r="H149" s="25">
        <f t="shared" si="14"/>
        <v>4.9505398232054247</v>
      </c>
      <c r="I149" s="25">
        <f t="shared" si="15"/>
        <v>-1.2005398232054247</v>
      </c>
      <c r="J149" s="25">
        <f t="shared" si="16"/>
        <v>1.4412958671021125</v>
      </c>
      <c r="K149" s="25">
        <f t="shared" si="12"/>
        <v>2.8125</v>
      </c>
      <c r="L149" s="25">
        <f t="shared" si="13"/>
        <v>4.6875</v>
      </c>
      <c r="M149" s="25">
        <f t="shared" si="17"/>
        <v>0</v>
      </c>
    </row>
    <row r="150" spans="1:13" x14ac:dyDescent="0.2">
      <c r="A150" s="4">
        <v>6.25</v>
      </c>
      <c r="B150" s="10">
        <v>12</v>
      </c>
      <c r="C150" s="4">
        <v>4</v>
      </c>
      <c r="D150" s="4">
        <v>1</v>
      </c>
      <c r="E150" s="4">
        <v>1</v>
      </c>
      <c r="F150" s="4">
        <v>0</v>
      </c>
      <c r="G150" s="2" t="s">
        <v>79</v>
      </c>
      <c r="H150" s="25">
        <f t="shared" si="14"/>
        <v>4.9505398232054247</v>
      </c>
      <c r="I150" s="25">
        <f t="shared" si="15"/>
        <v>1.2994601767945753</v>
      </c>
      <c r="J150" s="25">
        <f t="shared" si="16"/>
        <v>1.6885967510749889</v>
      </c>
      <c r="K150" s="25">
        <f t="shared" si="12"/>
        <v>4.6875</v>
      </c>
      <c r="L150" s="25">
        <f t="shared" si="13"/>
        <v>7.8125</v>
      </c>
      <c r="M150" s="25">
        <f t="shared" si="17"/>
        <v>1</v>
      </c>
    </row>
    <row r="151" spans="1:13" x14ac:dyDescent="0.2">
      <c r="A151" s="4">
        <v>3.5</v>
      </c>
      <c r="B151" s="4">
        <v>14</v>
      </c>
      <c r="C151" s="4">
        <v>4</v>
      </c>
      <c r="D151" s="4">
        <v>1</v>
      </c>
      <c r="E151" s="4">
        <v>0</v>
      </c>
      <c r="F151" s="4">
        <v>1</v>
      </c>
      <c r="G151" s="2" t="s">
        <v>79</v>
      </c>
      <c r="H151" s="25">
        <f t="shared" si="14"/>
        <v>6.4697934931637402</v>
      </c>
      <c r="I151" s="25">
        <f t="shared" si="15"/>
        <v>-2.9697934931637402</v>
      </c>
      <c r="J151" s="25">
        <f t="shared" si="16"/>
        <v>8.8196733920376893</v>
      </c>
      <c r="K151" s="25">
        <f t="shared" si="12"/>
        <v>2.625</v>
      </c>
      <c r="L151" s="25">
        <f t="shared" si="13"/>
        <v>4.375</v>
      </c>
      <c r="M151" s="25">
        <f t="shared" si="17"/>
        <v>0</v>
      </c>
    </row>
    <row r="152" spans="1:13" x14ac:dyDescent="0.2">
      <c r="A152" s="4">
        <v>3.35</v>
      </c>
      <c r="B152" s="4">
        <v>14</v>
      </c>
      <c r="C152" s="4">
        <v>4</v>
      </c>
      <c r="D152" s="4">
        <v>1</v>
      </c>
      <c r="E152" s="4">
        <v>1</v>
      </c>
      <c r="F152" s="4">
        <v>0</v>
      </c>
      <c r="G152" s="2" t="s">
        <v>79</v>
      </c>
      <c r="H152" s="25">
        <f t="shared" si="14"/>
        <v>5.9172532344454023</v>
      </c>
      <c r="I152" s="25">
        <f t="shared" si="15"/>
        <v>-2.5672532344454022</v>
      </c>
      <c r="J152" s="25">
        <f t="shared" si="16"/>
        <v>6.5907891697703791</v>
      </c>
      <c r="K152" s="25">
        <f t="shared" si="12"/>
        <v>2.5125000000000002</v>
      </c>
      <c r="L152" s="25">
        <f t="shared" si="13"/>
        <v>4.1875</v>
      </c>
      <c r="M152" s="25">
        <f t="shared" si="17"/>
        <v>0</v>
      </c>
    </row>
    <row r="153" spans="1:13" x14ac:dyDescent="0.2">
      <c r="A153" s="4">
        <v>6.88</v>
      </c>
      <c r="B153" s="10">
        <v>12</v>
      </c>
      <c r="C153" s="4">
        <v>4</v>
      </c>
      <c r="D153" s="4">
        <v>0</v>
      </c>
      <c r="E153" s="4">
        <v>0</v>
      </c>
      <c r="F153" s="4">
        <v>0</v>
      </c>
      <c r="G153" s="2" t="s">
        <v>79</v>
      </c>
      <c r="H153" s="25">
        <f t="shared" si="14"/>
        <v>5.5930266059581317</v>
      </c>
      <c r="I153" s="25">
        <f t="shared" si="15"/>
        <v>1.2869733940418682</v>
      </c>
      <c r="J153" s="25">
        <f t="shared" si="16"/>
        <v>1.6563005169716456</v>
      </c>
      <c r="K153" s="25">
        <f t="shared" si="12"/>
        <v>5.16</v>
      </c>
      <c r="L153" s="25">
        <f t="shared" si="13"/>
        <v>8.6</v>
      </c>
      <c r="M153" s="25">
        <f t="shared" si="17"/>
        <v>1</v>
      </c>
    </row>
    <row r="154" spans="1:13" x14ac:dyDescent="0.2">
      <c r="A154" s="4">
        <v>5.77</v>
      </c>
      <c r="B154" s="4">
        <v>10</v>
      </c>
      <c r="C154" s="4">
        <v>3</v>
      </c>
      <c r="D154" s="4">
        <v>0</v>
      </c>
      <c r="E154" s="4">
        <v>1</v>
      </c>
      <c r="F154" s="4">
        <v>0</v>
      </c>
      <c r="G154" s="2" t="s">
        <v>79</v>
      </c>
      <c r="H154" s="25">
        <f t="shared" si="14"/>
        <v>5.0300439656775087</v>
      </c>
      <c r="I154" s="25">
        <f t="shared" si="15"/>
        <v>0.73995603432249091</v>
      </c>
      <c r="J154" s="25">
        <f t="shared" si="16"/>
        <v>0.54753493273026732</v>
      </c>
      <c r="K154" s="25">
        <f t="shared" si="12"/>
        <v>4.3274999999999997</v>
      </c>
      <c r="L154" s="25">
        <f t="shared" si="13"/>
        <v>7.2124999999999995</v>
      </c>
      <c r="M154" s="25">
        <f t="shared" si="17"/>
        <v>1</v>
      </c>
    </row>
    <row r="155" spans="1:13" x14ac:dyDescent="0.2">
      <c r="A155" s="4">
        <v>8.1</v>
      </c>
      <c r="B155" s="4">
        <v>12</v>
      </c>
      <c r="C155" s="4">
        <v>3</v>
      </c>
      <c r="D155" s="4">
        <v>1</v>
      </c>
      <c r="E155" s="4">
        <v>1</v>
      </c>
      <c r="F155" s="4">
        <v>0</v>
      </c>
      <c r="G155" s="2" t="s">
        <v>79</v>
      </c>
      <c r="H155" s="25">
        <f t="shared" si="14"/>
        <v>4.7891876167169709</v>
      </c>
      <c r="I155" s="25">
        <f t="shared" si="15"/>
        <v>3.3108123832830287</v>
      </c>
      <c r="J155" s="25">
        <f t="shared" si="16"/>
        <v>10.96147863730025</v>
      </c>
      <c r="K155" s="25">
        <f t="shared" si="12"/>
        <v>6.0749999999999993</v>
      </c>
      <c r="L155" s="25">
        <f t="shared" si="13"/>
        <v>10.125</v>
      </c>
      <c r="M155" s="25">
        <f t="shared" si="17"/>
        <v>0</v>
      </c>
    </row>
    <row r="156" spans="1:13" x14ac:dyDescent="0.2">
      <c r="A156" s="4">
        <v>5.48</v>
      </c>
      <c r="B156" s="4">
        <v>10</v>
      </c>
      <c r="C156" s="4">
        <v>3</v>
      </c>
      <c r="D156" s="4">
        <v>1</v>
      </c>
      <c r="E156" s="4">
        <v>1</v>
      </c>
      <c r="F156" s="4">
        <v>0</v>
      </c>
      <c r="G156" s="2" t="s">
        <v>79</v>
      </c>
      <c r="H156" s="25">
        <f t="shared" si="14"/>
        <v>3.822474205476996</v>
      </c>
      <c r="I156" s="25">
        <f t="shared" si="15"/>
        <v>1.6575257945230044</v>
      </c>
      <c r="J156" s="25">
        <f t="shared" si="16"/>
        <v>2.7473917595091168</v>
      </c>
      <c r="K156" s="25">
        <f t="shared" si="12"/>
        <v>4.1100000000000003</v>
      </c>
      <c r="L156" s="25">
        <f t="shared" si="13"/>
        <v>6.8500000000000005</v>
      </c>
      <c r="M156" s="25">
        <f t="shared" si="17"/>
        <v>0</v>
      </c>
    </row>
    <row r="157" spans="1:13" x14ac:dyDescent="0.2">
      <c r="A157" s="4">
        <v>3</v>
      </c>
      <c r="B157" s="4">
        <v>14</v>
      </c>
      <c r="C157" s="4">
        <v>3</v>
      </c>
      <c r="D157" s="4">
        <v>1</v>
      </c>
      <c r="E157" s="4">
        <v>1</v>
      </c>
      <c r="F157" s="4">
        <v>0</v>
      </c>
      <c r="G157" s="2" t="s">
        <v>79</v>
      </c>
      <c r="H157" s="25">
        <f t="shared" si="14"/>
        <v>5.7559010279569485</v>
      </c>
      <c r="I157" s="25">
        <f t="shared" si="15"/>
        <v>-2.7559010279569485</v>
      </c>
      <c r="J157" s="25">
        <f t="shared" si="16"/>
        <v>7.5949904758941651</v>
      </c>
      <c r="K157" s="25">
        <f t="shared" si="12"/>
        <v>2.25</v>
      </c>
      <c r="L157" s="25">
        <f t="shared" si="13"/>
        <v>3.75</v>
      </c>
      <c r="M157" s="25">
        <f t="shared" si="17"/>
        <v>0</v>
      </c>
    </row>
    <row r="158" spans="1:13" x14ac:dyDescent="0.2">
      <c r="A158" s="4">
        <v>5.52</v>
      </c>
      <c r="B158" s="4">
        <v>13</v>
      </c>
      <c r="C158" s="4">
        <v>3</v>
      </c>
      <c r="D158" s="4">
        <v>0</v>
      </c>
      <c r="E158" s="4">
        <v>0</v>
      </c>
      <c r="F158" s="4">
        <v>0</v>
      </c>
      <c r="G158" s="2" t="s">
        <v>79</v>
      </c>
      <c r="H158" s="25">
        <f t="shared" si="14"/>
        <v>5.9150311050896658</v>
      </c>
      <c r="I158" s="25">
        <f t="shared" si="15"/>
        <v>-0.39503110508966621</v>
      </c>
      <c r="J158" s="25">
        <f t="shared" si="16"/>
        <v>0.15604957398836292</v>
      </c>
      <c r="K158" s="25">
        <f t="shared" si="12"/>
        <v>4.1399999999999997</v>
      </c>
      <c r="L158" s="25">
        <f t="shared" si="13"/>
        <v>6.8999999999999995</v>
      </c>
      <c r="M158" s="25">
        <f t="shared" si="17"/>
        <v>1</v>
      </c>
    </row>
    <row r="159" spans="1:13" x14ac:dyDescent="0.2">
      <c r="A159" s="4">
        <v>3.5</v>
      </c>
      <c r="B159" s="4">
        <v>12</v>
      </c>
      <c r="C159" s="4">
        <v>3</v>
      </c>
      <c r="D159" s="4">
        <v>1</v>
      </c>
      <c r="E159" s="4">
        <v>0</v>
      </c>
      <c r="F159" s="4">
        <v>1</v>
      </c>
      <c r="G159" s="2" t="s">
        <v>79</v>
      </c>
      <c r="H159" s="25">
        <f t="shared" si="14"/>
        <v>5.3417278754353088</v>
      </c>
      <c r="I159" s="25">
        <f t="shared" si="15"/>
        <v>-1.8417278754353088</v>
      </c>
      <c r="J159" s="25">
        <f t="shared" si="16"/>
        <v>3.3919615671554562</v>
      </c>
      <c r="K159" s="25">
        <f t="shared" si="12"/>
        <v>2.625</v>
      </c>
      <c r="L159" s="25">
        <f t="shared" si="13"/>
        <v>4.375</v>
      </c>
      <c r="M159" s="25">
        <f t="shared" si="17"/>
        <v>0</v>
      </c>
    </row>
    <row r="160" spans="1:13" x14ac:dyDescent="0.2">
      <c r="A160" s="4">
        <v>2.23</v>
      </c>
      <c r="B160" s="4">
        <v>8</v>
      </c>
      <c r="C160" s="4">
        <v>3</v>
      </c>
      <c r="D160" s="4">
        <v>0</v>
      </c>
      <c r="E160" s="4">
        <v>1</v>
      </c>
      <c r="F160" s="4">
        <v>0</v>
      </c>
      <c r="G160" s="2" t="s">
        <v>79</v>
      </c>
      <c r="H160" s="25">
        <f t="shared" si="14"/>
        <v>4.063330554437532</v>
      </c>
      <c r="I160" s="25">
        <f t="shared" si="15"/>
        <v>-1.833330554437532</v>
      </c>
      <c r="J160" s="25">
        <f t="shared" si="16"/>
        <v>3.3611009218342285</v>
      </c>
      <c r="K160" s="25">
        <f t="shared" si="12"/>
        <v>1.6724999999999999</v>
      </c>
      <c r="L160" s="25">
        <f t="shared" si="13"/>
        <v>2.7875000000000001</v>
      </c>
      <c r="M160" s="25">
        <f t="shared" si="17"/>
        <v>0</v>
      </c>
    </row>
    <row r="161" spans="1:13" x14ac:dyDescent="0.2">
      <c r="A161" s="4">
        <v>8.43</v>
      </c>
      <c r="B161" s="4">
        <v>8</v>
      </c>
      <c r="C161" s="4">
        <v>3</v>
      </c>
      <c r="D161" s="4">
        <v>0</v>
      </c>
      <c r="E161" s="4">
        <v>1</v>
      </c>
      <c r="F161" s="4">
        <v>0</v>
      </c>
      <c r="G161" s="2" t="s">
        <v>79</v>
      </c>
      <c r="H161" s="25">
        <f t="shared" si="14"/>
        <v>4.063330554437532</v>
      </c>
      <c r="I161" s="25">
        <f t="shared" si="15"/>
        <v>4.3666694455624677</v>
      </c>
      <c r="J161" s="25">
        <f t="shared" si="16"/>
        <v>19.067802046808829</v>
      </c>
      <c r="K161" s="25">
        <f t="shared" si="12"/>
        <v>6.3224999999999998</v>
      </c>
      <c r="L161" s="25">
        <f t="shared" si="13"/>
        <v>10.5375</v>
      </c>
      <c r="M161" s="25">
        <f t="shared" si="17"/>
        <v>0</v>
      </c>
    </row>
    <row r="162" spans="1:13" x14ac:dyDescent="0.2">
      <c r="A162" s="4">
        <v>10</v>
      </c>
      <c r="B162" s="4">
        <v>12</v>
      </c>
      <c r="C162" s="4">
        <v>3</v>
      </c>
      <c r="D162" s="4">
        <v>0</v>
      </c>
      <c r="E162" s="4">
        <v>1</v>
      </c>
      <c r="F162" s="4">
        <v>0</v>
      </c>
      <c r="G162" s="2" t="s">
        <v>79</v>
      </c>
      <c r="H162" s="25">
        <f t="shared" si="14"/>
        <v>5.9967573769174845</v>
      </c>
      <c r="I162" s="25">
        <f t="shared" si="15"/>
        <v>4.0032426230825155</v>
      </c>
      <c r="J162" s="25">
        <f t="shared" si="16"/>
        <v>16.025951499264579</v>
      </c>
      <c r="K162" s="25">
        <f t="shared" si="12"/>
        <v>7.5</v>
      </c>
      <c r="L162" s="25">
        <f t="shared" si="13"/>
        <v>12.5</v>
      </c>
      <c r="M162" s="25">
        <f t="shared" si="17"/>
        <v>0</v>
      </c>
    </row>
    <row r="163" spans="1:13" x14ac:dyDescent="0.2">
      <c r="A163" s="4">
        <v>8.02</v>
      </c>
      <c r="B163" s="4">
        <v>18</v>
      </c>
      <c r="C163" s="4">
        <v>3</v>
      </c>
      <c r="D163" s="4">
        <v>1</v>
      </c>
      <c r="E163" s="4">
        <v>1</v>
      </c>
      <c r="F163" s="4">
        <v>0</v>
      </c>
      <c r="G163" s="2" t="s">
        <v>79</v>
      </c>
      <c r="H163" s="25">
        <f t="shared" si="14"/>
        <v>7.6893278504369</v>
      </c>
      <c r="I163" s="25">
        <f t="shared" si="15"/>
        <v>0.33067214956309954</v>
      </c>
      <c r="J163" s="25">
        <f t="shared" si="16"/>
        <v>0.10934407049668086</v>
      </c>
      <c r="K163" s="25">
        <f t="shared" si="12"/>
        <v>6.0149999999999997</v>
      </c>
      <c r="L163" s="25">
        <f t="shared" si="13"/>
        <v>10.024999999999999</v>
      </c>
      <c r="M163" s="25">
        <f t="shared" si="17"/>
        <v>1</v>
      </c>
    </row>
    <row r="164" spans="1:13" x14ac:dyDescent="0.2">
      <c r="A164" s="4">
        <v>4</v>
      </c>
      <c r="B164" s="4">
        <v>14</v>
      </c>
      <c r="C164" s="4">
        <v>3</v>
      </c>
      <c r="D164" s="4">
        <v>1</v>
      </c>
      <c r="E164" s="4">
        <v>0</v>
      </c>
      <c r="F164" s="4">
        <v>0</v>
      </c>
      <c r="G164" s="2" t="s">
        <v>79</v>
      </c>
      <c r="H164" s="25">
        <f t="shared" si="14"/>
        <v>5.1908180505091419</v>
      </c>
      <c r="I164" s="25">
        <f t="shared" si="15"/>
        <v>-1.1908180505091419</v>
      </c>
      <c r="J164" s="25">
        <f t="shared" si="16"/>
        <v>1.4180476294183932</v>
      </c>
      <c r="K164" s="25">
        <f t="shared" si="12"/>
        <v>3</v>
      </c>
      <c r="L164" s="25">
        <f t="shared" si="13"/>
        <v>5</v>
      </c>
      <c r="M164" s="25">
        <f t="shared" si="17"/>
        <v>0</v>
      </c>
    </row>
    <row r="165" spans="1:13" x14ac:dyDescent="0.2">
      <c r="A165" s="4">
        <v>6.63</v>
      </c>
      <c r="B165" s="4">
        <v>15</v>
      </c>
      <c r="C165" s="4">
        <v>3</v>
      </c>
      <c r="D165" s="4">
        <v>1</v>
      </c>
      <c r="E165" s="4">
        <v>1</v>
      </c>
      <c r="F165" s="4">
        <v>1</v>
      </c>
      <c r="G165" s="2" t="s">
        <v>79</v>
      </c>
      <c r="H165" s="25">
        <f t="shared" si="14"/>
        <v>7.3568809697430808</v>
      </c>
      <c r="I165" s="25">
        <f t="shared" si="15"/>
        <v>-0.72688096974308092</v>
      </c>
      <c r="J165" s="25">
        <f t="shared" si="16"/>
        <v>0.52835594417464171</v>
      </c>
      <c r="K165" s="25">
        <f t="shared" si="12"/>
        <v>4.9725000000000001</v>
      </c>
      <c r="L165" s="25">
        <f t="shared" si="13"/>
        <v>8.2874999999999996</v>
      </c>
      <c r="M165" s="25">
        <f t="shared" si="17"/>
        <v>1</v>
      </c>
    </row>
    <row r="166" spans="1:13" x14ac:dyDescent="0.2">
      <c r="A166" s="4">
        <v>6.76</v>
      </c>
      <c r="B166" s="4">
        <v>12</v>
      </c>
      <c r="C166" s="4">
        <v>3</v>
      </c>
      <c r="D166" s="4">
        <v>0</v>
      </c>
      <c r="E166" s="4">
        <v>1</v>
      </c>
      <c r="F166" s="4">
        <v>0</v>
      </c>
      <c r="G166" s="2" t="s">
        <v>79</v>
      </c>
      <c r="H166" s="25">
        <f t="shared" si="14"/>
        <v>5.9967573769174845</v>
      </c>
      <c r="I166" s="25">
        <f t="shared" si="15"/>
        <v>0.76324262308251534</v>
      </c>
      <c r="J166" s="25">
        <f t="shared" si="16"/>
        <v>0.58253930168987855</v>
      </c>
      <c r="K166" s="25">
        <f t="shared" si="12"/>
        <v>5.07</v>
      </c>
      <c r="L166" s="25">
        <f t="shared" si="13"/>
        <v>8.4499999999999993</v>
      </c>
      <c r="M166" s="25">
        <f t="shared" si="17"/>
        <v>1</v>
      </c>
    </row>
    <row r="167" spans="1:13" x14ac:dyDescent="0.2">
      <c r="A167" s="4">
        <v>3.26</v>
      </c>
      <c r="B167" s="4">
        <v>12</v>
      </c>
      <c r="C167" s="4">
        <v>3</v>
      </c>
      <c r="D167" s="4">
        <v>1</v>
      </c>
      <c r="E167" s="4">
        <v>1</v>
      </c>
      <c r="F167" s="4">
        <v>0</v>
      </c>
      <c r="G167" s="2" t="s">
        <v>79</v>
      </c>
      <c r="H167" s="25">
        <f t="shared" si="14"/>
        <v>4.7891876167169709</v>
      </c>
      <c r="I167" s="25">
        <f t="shared" si="15"/>
        <v>-1.5291876167169711</v>
      </c>
      <c r="J167" s="25">
        <f t="shared" si="16"/>
        <v>2.33841476712053</v>
      </c>
      <c r="K167" s="25">
        <f t="shared" si="12"/>
        <v>2.4449999999999998</v>
      </c>
      <c r="L167" s="25">
        <f t="shared" si="13"/>
        <v>4.0749999999999993</v>
      </c>
      <c r="M167" s="25">
        <f t="shared" si="17"/>
        <v>0</v>
      </c>
    </row>
    <row r="168" spans="1:13" x14ac:dyDescent="0.2">
      <c r="A168" s="4">
        <v>4.79</v>
      </c>
      <c r="B168" s="4">
        <v>12</v>
      </c>
      <c r="C168" s="4">
        <v>3</v>
      </c>
      <c r="D168" s="4">
        <v>1</v>
      </c>
      <c r="E168" s="4">
        <v>1</v>
      </c>
      <c r="F168" s="4">
        <v>0</v>
      </c>
      <c r="G168" s="2" t="s">
        <v>79</v>
      </c>
      <c r="H168" s="25">
        <f t="shared" si="14"/>
        <v>4.7891876167169709</v>
      </c>
      <c r="I168" s="25">
        <f t="shared" si="15"/>
        <v>8.1238328302912777E-4</v>
      </c>
      <c r="J168" s="25">
        <f t="shared" si="16"/>
        <v>6.5996659854518396E-7</v>
      </c>
      <c r="K168" s="25">
        <f t="shared" si="12"/>
        <v>3.5925000000000002</v>
      </c>
      <c r="L168" s="25">
        <f t="shared" si="13"/>
        <v>5.9874999999999998</v>
      </c>
      <c r="M168" s="25">
        <f t="shared" si="17"/>
        <v>1</v>
      </c>
    </row>
    <row r="169" spans="1:13" x14ac:dyDescent="0.2">
      <c r="A169" s="4">
        <v>3.88</v>
      </c>
      <c r="B169" s="4">
        <v>12</v>
      </c>
      <c r="C169" s="4">
        <v>3</v>
      </c>
      <c r="D169" s="4">
        <v>0</v>
      </c>
      <c r="E169" s="4">
        <v>1</v>
      </c>
      <c r="F169" s="4">
        <v>0</v>
      </c>
      <c r="G169" s="2" t="s">
        <v>79</v>
      </c>
      <c r="H169" s="25">
        <f t="shared" si="14"/>
        <v>5.9967573769174845</v>
      </c>
      <c r="I169" s="25">
        <f t="shared" si="15"/>
        <v>-2.1167573769174846</v>
      </c>
      <c r="J169" s="25">
        <f t="shared" si="16"/>
        <v>4.4806617927345895</v>
      </c>
      <c r="K169" s="25">
        <f t="shared" si="12"/>
        <v>2.91</v>
      </c>
      <c r="L169" s="25">
        <f t="shared" si="13"/>
        <v>4.8499999999999996</v>
      </c>
      <c r="M169" s="25">
        <f t="shared" si="17"/>
        <v>0</v>
      </c>
    </row>
    <row r="170" spans="1:13" x14ac:dyDescent="0.2">
      <c r="A170" s="4">
        <v>6</v>
      </c>
      <c r="B170" s="4">
        <v>14</v>
      </c>
      <c r="C170" s="4">
        <v>3</v>
      </c>
      <c r="D170" s="4">
        <v>1</v>
      </c>
      <c r="E170" s="4">
        <v>1</v>
      </c>
      <c r="F170" s="4">
        <v>0</v>
      </c>
      <c r="G170" s="2" t="s">
        <v>79</v>
      </c>
      <c r="H170" s="25">
        <f t="shared" si="14"/>
        <v>5.7559010279569485</v>
      </c>
      <c r="I170" s="25">
        <f t="shared" si="15"/>
        <v>0.24409897204305153</v>
      </c>
      <c r="J170" s="25">
        <f t="shared" si="16"/>
        <v>5.9584308152474452E-2</v>
      </c>
      <c r="K170" s="25">
        <f t="shared" si="12"/>
        <v>4.5</v>
      </c>
      <c r="L170" s="25">
        <f t="shared" si="13"/>
        <v>7.5</v>
      </c>
      <c r="M170" s="25">
        <f t="shared" si="17"/>
        <v>1</v>
      </c>
    </row>
    <row r="171" spans="1:13" x14ac:dyDescent="0.2">
      <c r="A171" s="4">
        <v>4.2</v>
      </c>
      <c r="B171" s="4">
        <v>13</v>
      </c>
      <c r="C171" s="4">
        <v>3</v>
      </c>
      <c r="D171" s="4">
        <v>1</v>
      </c>
      <c r="E171" s="4">
        <v>1</v>
      </c>
      <c r="F171" s="4">
        <v>0</v>
      </c>
      <c r="G171" s="2" t="s">
        <v>79</v>
      </c>
      <c r="H171" s="25">
        <f t="shared" si="14"/>
        <v>5.2725443223369588</v>
      </c>
      <c r="I171" s="25">
        <f t="shared" si="15"/>
        <v>-1.0725443223369586</v>
      </c>
      <c r="J171" s="25">
        <f t="shared" si="16"/>
        <v>1.1503513233772458</v>
      </c>
      <c r="K171" s="25">
        <f t="shared" si="12"/>
        <v>3.1500000000000004</v>
      </c>
      <c r="L171" s="25">
        <f t="shared" si="13"/>
        <v>5.25</v>
      </c>
      <c r="M171" s="25">
        <f t="shared" si="17"/>
        <v>0</v>
      </c>
    </row>
    <row r="172" spans="1:13" x14ac:dyDescent="0.2">
      <c r="A172" s="4">
        <v>6.29</v>
      </c>
      <c r="B172" s="4">
        <v>17</v>
      </c>
      <c r="C172" s="4">
        <v>3</v>
      </c>
      <c r="D172" s="4">
        <v>0</v>
      </c>
      <c r="E172" s="4">
        <v>1</v>
      </c>
      <c r="F172" s="4">
        <v>0</v>
      </c>
      <c r="G172" s="2" t="s">
        <v>79</v>
      </c>
      <c r="H172" s="25">
        <f t="shared" si="14"/>
        <v>8.4135409050174257</v>
      </c>
      <c r="I172" s="25">
        <f t="shared" si="15"/>
        <v>-2.1235409050174257</v>
      </c>
      <c r="J172" s="25">
        <f t="shared" si="16"/>
        <v>4.5094259752822268</v>
      </c>
      <c r="K172" s="25">
        <f t="shared" si="12"/>
        <v>4.7175000000000002</v>
      </c>
      <c r="L172" s="25">
        <f t="shared" si="13"/>
        <v>7.8624999999999998</v>
      </c>
      <c r="M172" s="25">
        <f t="shared" si="17"/>
        <v>0</v>
      </c>
    </row>
    <row r="173" spans="1:13" x14ac:dyDescent="0.2">
      <c r="A173" s="4">
        <v>5.43</v>
      </c>
      <c r="B173" s="4">
        <v>14</v>
      </c>
      <c r="C173" s="4">
        <v>3</v>
      </c>
      <c r="D173" s="4">
        <v>0</v>
      </c>
      <c r="E173" s="4">
        <v>1</v>
      </c>
      <c r="F173" s="4">
        <v>0</v>
      </c>
      <c r="G173" s="2" t="s">
        <v>79</v>
      </c>
      <c r="H173" s="25">
        <f t="shared" si="14"/>
        <v>6.9634707881574611</v>
      </c>
      <c r="I173" s="25">
        <f t="shared" si="15"/>
        <v>-1.5334707881574614</v>
      </c>
      <c r="J173" s="25">
        <f t="shared" si="16"/>
        <v>2.3515326581322658</v>
      </c>
      <c r="K173" s="25">
        <f t="shared" si="12"/>
        <v>4.0724999999999998</v>
      </c>
      <c r="L173" s="25">
        <f t="shared" si="13"/>
        <v>6.7874999999999996</v>
      </c>
      <c r="M173" s="25">
        <f t="shared" si="17"/>
        <v>0</v>
      </c>
    </row>
    <row r="174" spans="1:13" x14ac:dyDescent="0.2">
      <c r="A174" s="4">
        <v>17.71</v>
      </c>
      <c r="B174" s="4">
        <v>16</v>
      </c>
      <c r="C174" s="4">
        <v>3</v>
      </c>
      <c r="D174" s="4">
        <v>0</v>
      </c>
      <c r="E174" s="4">
        <v>1</v>
      </c>
      <c r="F174" s="4">
        <v>1</v>
      </c>
      <c r="G174" s="2" t="s">
        <v>79</v>
      </c>
      <c r="H174" s="25">
        <f t="shared" si="14"/>
        <v>9.0478074355635822</v>
      </c>
      <c r="I174" s="25">
        <f t="shared" si="15"/>
        <v>8.6621925644364186</v>
      </c>
      <c r="J174" s="25">
        <f t="shared" si="16"/>
        <v>75.033580023377581</v>
      </c>
      <c r="K174" s="25">
        <f t="shared" si="12"/>
        <v>13.282500000000001</v>
      </c>
      <c r="L174" s="25">
        <f t="shared" si="13"/>
        <v>22.137500000000003</v>
      </c>
      <c r="M174" s="25">
        <f t="shared" si="17"/>
        <v>0</v>
      </c>
    </row>
    <row r="175" spans="1:13" x14ac:dyDescent="0.2">
      <c r="A175" s="4">
        <v>7.78</v>
      </c>
      <c r="B175" s="4">
        <v>14</v>
      </c>
      <c r="C175" s="4">
        <v>3</v>
      </c>
      <c r="D175" s="4">
        <v>0</v>
      </c>
      <c r="E175" s="4">
        <v>0</v>
      </c>
      <c r="F175" s="4">
        <v>0</v>
      </c>
      <c r="G175" s="2" t="s">
        <v>79</v>
      </c>
      <c r="H175" s="25">
        <f t="shared" si="14"/>
        <v>6.3983878107096546</v>
      </c>
      <c r="I175" s="25">
        <f t="shared" si="15"/>
        <v>1.3816121892903457</v>
      </c>
      <c r="J175" s="25">
        <f t="shared" si="16"/>
        <v>1.9088522415956619</v>
      </c>
      <c r="K175" s="25">
        <f t="shared" si="12"/>
        <v>5.835</v>
      </c>
      <c r="L175" s="25">
        <f t="shared" si="13"/>
        <v>9.7249999999999996</v>
      </c>
      <c r="M175" s="25">
        <f t="shared" si="17"/>
        <v>1</v>
      </c>
    </row>
    <row r="176" spans="1:13" x14ac:dyDescent="0.2">
      <c r="A176" s="4">
        <v>10</v>
      </c>
      <c r="B176" s="4">
        <v>16</v>
      </c>
      <c r="C176" s="4">
        <v>3</v>
      </c>
      <c r="D176" s="4">
        <v>0</v>
      </c>
      <c r="E176" s="4">
        <v>1</v>
      </c>
      <c r="F176" s="4">
        <v>0</v>
      </c>
      <c r="G176" s="2" t="s">
        <v>79</v>
      </c>
      <c r="H176" s="25">
        <f t="shared" si="14"/>
        <v>7.9301841993974369</v>
      </c>
      <c r="I176" s="25">
        <f t="shared" si="15"/>
        <v>2.0698158006025631</v>
      </c>
      <c r="J176" s="25">
        <f t="shared" si="16"/>
        <v>4.2841374484240289</v>
      </c>
      <c r="K176" s="25">
        <f t="shared" si="12"/>
        <v>7.5</v>
      </c>
      <c r="L176" s="25">
        <f t="shared" si="13"/>
        <v>12.5</v>
      </c>
      <c r="M176" s="25">
        <f t="shared" si="17"/>
        <v>1</v>
      </c>
    </row>
    <row r="177" spans="1:13" x14ac:dyDescent="0.2">
      <c r="A177" s="4">
        <v>5</v>
      </c>
      <c r="B177" s="4">
        <v>12</v>
      </c>
      <c r="C177" s="4">
        <v>3</v>
      </c>
      <c r="D177" s="4">
        <v>1</v>
      </c>
      <c r="E177" s="4">
        <v>0</v>
      </c>
      <c r="F177" s="4">
        <v>1</v>
      </c>
      <c r="G177" s="2" t="s">
        <v>79</v>
      </c>
      <c r="H177" s="25">
        <f t="shared" si="14"/>
        <v>5.3417278754353088</v>
      </c>
      <c r="I177" s="25">
        <f t="shared" si="15"/>
        <v>-0.3417278754353088</v>
      </c>
      <c r="J177" s="25">
        <f t="shared" si="16"/>
        <v>0.11677794084952993</v>
      </c>
      <c r="K177" s="25">
        <f t="shared" si="12"/>
        <v>3.75</v>
      </c>
      <c r="L177" s="25">
        <f t="shared" si="13"/>
        <v>6.25</v>
      </c>
      <c r="M177" s="25">
        <f t="shared" si="17"/>
        <v>1</v>
      </c>
    </row>
    <row r="178" spans="1:13" x14ac:dyDescent="0.2">
      <c r="A178" s="4">
        <v>5.4</v>
      </c>
      <c r="B178" s="4">
        <v>12</v>
      </c>
      <c r="C178" s="4">
        <v>3</v>
      </c>
      <c r="D178" s="4">
        <v>0</v>
      </c>
      <c r="E178" s="4">
        <v>1</v>
      </c>
      <c r="F178" s="4">
        <v>0</v>
      </c>
      <c r="G178" s="2" t="s">
        <v>79</v>
      </c>
      <c r="H178" s="25">
        <f t="shared" si="14"/>
        <v>5.9967573769174845</v>
      </c>
      <c r="I178" s="25">
        <f t="shared" si="15"/>
        <v>-0.59675737691748409</v>
      </c>
      <c r="J178" s="25">
        <f t="shared" si="16"/>
        <v>0.35611936690543616</v>
      </c>
      <c r="K178" s="25">
        <f t="shared" si="12"/>
        <v>4.0500000000000007</v>
      </c>
      <c r="L178" s="25">
        <f t="shared" si="13"/>
        <v>6.75</v>
      </c>
      <c r="M178" s="25">
        <f t="shared" si="17"/>
        <v>1</v>
      </c>
    </row>
    <row r="179" spans="1:13" x14ac:dyDescent="0.2">
      <c r="A179" s="4">
        <v>5</v>
      </c>
      <c r="B179" s="4">
        <v>12</v>
      </c>
      <c r="C179" s="4">
        <v>3</v>
      </c>
      <c r="D179" s="4">
        <v>1</v>
      </c>
      <c r="E179" s="4">
        <v>0</v>
      </c>
      <c r="F179" s="4">
        <v>1</v>
      </c>
      <c r="G179" s="2" t="s">
        <v>79</v>
      </c>
      <c r="H179" s="25">
        <f t="shared" si="14"/>
        <v>5.3417278754353088</v>
      </c>
      <c r="I179" s="25">
        <f t="shared" si="15"/>
        <v>-0.3417278754353088</v>
      </c>
      <c r="J179" s="25">
        <f t="shared" si="16"/>
        <v>0.11677794084952993</v>
      </c>
      <c r="K179" s="25">
        <f t="shared" si="12"/>
        <v>3.75</v>
      </c>
      <c r="L179" s="25">
        <f t="shared" si="13"/>
        <v>6.25</v>
      </c>
      <c r="M179" s="25">
        <f t="shared" si="17"/>
        <v>1</v>
      </c>
    </row>
    <row r="180" spans="1:13" x14ac:dyDescent="0.2">
      <c r="A180" s="4">
        <v>10</v>
      </c>
      <c r="B180" s="4">
        <v>17</v>
      </c>
      <c r="C180" s="4">
        <v>3</v>
      </c>
      <c r="D180" s="4">
        <v>0</v>
      </c>
      <c r="E180" s="4">
        <v>1</v>
      </c>
      <c r="F180" s="4">
        <v>0</v>
      </c>
      <c r="G180" s="2" t="s">
        <v>79</v>
      </c>
      <c r="H180" s="25">
        <f t="shared" si="14"/>
        <v>8.4135409050174257</v>
      </c>
      <c r="I180" s="25">
        <f t="shared" si="15"/>
        <v>1.5864590949825743</v>
      </c>
      <c r="J180" s="25">
        <f t="shared" si="16"/>
        <v>2.5168524600529287</v>
      </c>
      <c r="K180" s="25">
        <f t="shared" si="12"/>
        <v>7.5</v>
      </c>
      <c r="L180" s="25">
        <f t="shared" si="13"/>
        <v>12.5</v>
      </c>
      <c r="M180" s="25">
        <f t="shared" si="17"/>
        <v>1</v>
      </c>
    </row>
    <row r="181" spans="1:13" x14ac:dyDescent="0.2">
      <c r="A181" s="4">
        <v>6.25</v>
      </c>
      <c r="B181" s="4">
        <v>16</v>
      </c>
      <c r="C181" s="4">
        <v>3</v>
      </c>
      <c r="D181" s="4">
        <v>0</v>
      </c>
      <c r="E181" s="4">
        <v>1</v>
      </c>
      <c r="F181" s="4">
        <v>1</v>
      </c>
      <c r="G181" s="2" t="s">
        <v>79</v>
      </c>
      <c r="H181" s="25">
        <f t="shared" si="14"/>
        <v>9.0478074355635822</v>
      </c>
      <c r="I181" s="25">
        <f t="shared" si="15"/>
        <v>-2.7978074355635822</v>
      </c>
      <c r="J181" s="25">
        <f t="shared" si="16"/>
        <v>7.8277264464948688</v>
      </c>
      <c r="K181" s="25">
        <f t="shared" si="12"/>
        <v>4.6875</v>
      </c>
      <c r="L181" s="25">
        <f t="shared" si="13"/>
        <v>7.8125</v>
      </c>
      <c r="M181" s="25">
        <f t="shared" si="17"/>
        <v>0</v>
      </c>
    </row>
    <row r="182" spans="1:13" x14ac:dyDescent="0.2">
      <c r="A182" s="4">
        <v>8.92</v>
      </c>
      <c r="B182" s="4">
        <v>18</v>
      </c>
      <c r="C182" s="4">
        <v>3</v>
      </c>
      <c r="D182" s="4">
        <v>0</v>
      </c>
      <c r="E182" s="4">
        <v>1</v>
      </c>
      <c r="F182" s="4">
        <v>0</v>
      </c>
      <c r="G182" s="2" t="s">
        <v>79</v>
      </c>
      <c r="H182" s="25">
        <f t="shared" si="14"/>
        <v>8.8968976106374136</v>
      </c>
      <c r="I182" s="25">
        <f t="shared" si="15"/>
        <v>2.3102389362586351E-2</v>
      </c>
      <c r="J182" s="25">
        <f t="shared" si="16"/>
        <v>5.3372039426054295E-4</v>
      </c>
      <c r="K182" s="25">
        <f t="shared" si="12"/>
        <v>6.6899999999999995</v>
      </c>
      <c r="L182" s="25">
        <f t="shared" si="13"/>
        <v>11.15</v>
      </c>
      <c r="M182" s="25">
        <f t="shared" si="17"/>
        <v>1</v>
      </c>
    </row>
    <row r="183" spans="1:13" x14ac:dyDescent="0.2">
      <c r="A183" s="4">
        <v>9.56</v>
      </c>
      <c r="B183" s="4">
        <v>16</v>
      </c>
      <c r="C183" s="4">
        <v>3</v>
      </c>
      <c r="D183" s="4">
        <v>0</v>
      </c>
      <c r="E183" s="4">
        <v>1</v>
      </c>
      <c r="F183" s="4">
        <v>1</v>
      </c>
      <c r="G183" s="2" t="s">
        <v>79</v>
      </c>
      <c r="H183" s="25">
        <f t="shared" si="14"/>
        <v>9.0478074355635822</v>
      </c>
      <c r="I183" s="25">
        <f t="shared" si="15"/>
        <v>0.51219256443641825</v>
      </c>
      <c r="J183" s="25">
        <f t="shared" si="16"/>
        <v>0.26234122306395447</v>
      </c>
      <c r="K183" s="25">
        <f t="shared" si="12"/>
        <v>7.17</v>
      </c>
      <c r="L183" s="25">
        <f t="shared" si="13"/>
        <v>11.950000000000001</v>
      </c>
      <c r="M183" s="25">
        <f t="shared" si="17"/>
        <v>1</v>
      </c>
    </row>
    <row r="184" spans="1:13" x14ac:dyDescent="0.2">
      <c r="A184" s="4">
        <v>3</v>
      </c>
      <c r="B184" s="4">
        <v>14</v>
      </c>
      <c r="C184" s="4">
        <v>3</v>
      </c>
      <c r="D184" s="4">
        <v>1</v>
      </c>
      <c r="E184" s="4">
        <v>1</v>
      </c>
      <c r="F184" s="4">
        <v>1</v>
      </c>
      <c r="G184" s="2" t="s">
        <v>79</v>
      </c>
      <c r="H184" s="25">
        <f t="shared" si="14"/>
        <v>6.8735242641230929</v>
      </c>
      <c r="I184" s="25">
        <f t="shared" si="15"/>
        <v>-3.8735242641230929</v>
      </c>
      <c r="J184" s="25">
        <f t="shared" si="16"/>
        <v>15.004190224750349</v>
      </c>
      <c r="K184" s="25">
        <f t="shared" si="12"/>
        <v>2.25</v>
      </c>
      <c r="L184" s="25">
        <f t="shared" si="13"/>
        <v>3.75</v>
      </c>
      <c r="M184" s="25">
        <f t="shared" si="17"/>
        <v>0</v>
      </c>
    </row>
    <row r="185" spans="1:13" x14ac:dyDescent="0.2">
      <c r="A185" s="4">
        <v>2.92</v>
      </c>
      <c r="B185" s="4">
        <v>14</v>
      </c>
      <c r="C185" s="4">
        <v>3</v>
      </c>
      <c r="D185" s="4">
        <v>0</v>
      </c>
      <c r="E185" s="4">
        <v>0</v>
      </c>
      <c r="F185" s="4">
        <v>0</v>
      </c>
      <c r="G185" s="2" t="s">
        <v>79</v>
      </c>
      <c r="H185" s="25">
        <f t="shared" si="14"/>
        <v>6.3983878107096546</v>
      </c>
      <c r="I185" s="25">
        <f t="shared" si="15"/>
        <v>-3.4783878107096546</v>
      </c>
      <c r="J185" s="25">
        <f t="shared" si="16"/>
        <v>12.099181761693504</v>
      </c>
      <c r="K185" s="25">
        <f t="shared" si="12"/>
        <v>2.19</v>
      </c>
      <c r="L185" s="25">
        <f t="shared" si="13"/>
        <v>3.65</v>
      </c>
      <c r="M185" s="25">
        <f t="shared" si="17"/>
        <v>0</v>
      </c>
    </row>
    <row r="186" spans="1:13" x14ac:dyDescent="0.2">
      <c r="A186" s="4">
        <v>4.75</v>
      </c>
      <c r="B186" s="4">
        <v>12</v>
      </c>
      <c r="C186" s="4">
        <v>2</v>
      </c>
      <c r="D186" s="4">
        <v>1</v>
      </c>
      <c r="E186" s="4">
        <v>1</v>
      </c>
      <c r="F186" s="4">
        <v>0</v>
      </c>
      <c r="G186" s="2" t="s">
        <v>79</v>
      </c>
      <c r="H186" s="25">
        <f t="shared" si="14"/>
        <v>4.6278354102285171</v>
      </c>
      <c r="I186" s="25">
        <f t="shared" si="15"/>
        <v>0.12216458977148292</v>
      </c>
      <c r="J186" s="25">
        <f t="shared" si="16"/>
        <v>1.4924186994034709E-2</v>
      </c>
      <c r="K186" s="25">
        <f t="shared" si="12"/>
        <v>3.5625</v>
      </c>
      <c r="L186" s="25">
        <f t="shared" si="13"/>
        <v>5.9375</v>
      </c>
      <c r="M186" s="25">
        <f t="shared" si="17"/>
        <v>1</v>
      </c>
    </row>
    <row r="187" spans="1:13" x14ac:dyDescent="0.2">
      <c r="A187" s="4">
        <v>5</v>
      </c>
      <c r="B187" s="10">
        <v>12</v>
      </c>
      <c r="C187" s="4">
        <v>2</v>
      </c>
      <c r="D187" s="4">
        <v>0</v>
      </c>
      <c r="E187" s="4">
        <v>0</v>
      </c>
      <c r="F187" s="4">
        <v>0</v>
      </c>
      <c r="G187" s="2" t="s">
        <v>79</v>
      </c>
      <c r="H187" s="25">
        <f t="shared" si="14"/>
        <v>5.2703221929812232</v>
      </c>
      <c r="I187" s="25">
        <f t="shared" si="15"/>
        <v>-0.27032219298122317</v>
      </c>
      <c r="J187" s="25">
        <f t="shared" si="16"/>
        <v>7.3074088018177663E-2</v>
      </c>
      <c r="K187" s="25">
        <f t="shared" si="12"/>
        <v>3.75</v>
      </c>
      <c r="L187" s="25">
        <f t="shared" si="13"/>
        <v>6.25</v>
      </c>
      <c r="M187" s="25">
        <f t="shared" si="17"/>
        <v>1</v>
      </c>
    </row>
    <row r="188" spans="1:13" x14ac:dyDescent="0.2">
      <c r="A188" s="4">
        <v>3.25</v>
      </c>
      <c r="B188" s="4">
        <v>12</v>
      </c>
      <c r="C188" s="4">
        <v>2</v>
      </c>
      <c r="D188" s="4">
        <v>1</v>
      </c>
      <c r="E188" s="4">
        <v>0</v>
      </c>
      <c r="F188" s="4">
        <v>0</v>
      </c>
      <c r="G188" s="2" t="s">
        <v>79</v>
      </c>
      <c r="H188" s="25">
        <f t="shared" si="14"/>
        <v>4.0627524327807105</v>
      </c>
      <c r="I188" s="25">
        <f t="shared" si="15"/>
        <v>-0.81275243278071052</v>
      </c>
      <c r="J188" s="25">
        <f t="shared" si="16"/>
        <v>0.66056651699096336</v>
      </c>
      <c r="K188" s="25">
        <f t="shared" si="12"/>
        <v>2.4375</v>
      </c>
      <c r="L188" s="25">
        <f t="shared" si="13"/>
        <v>4.0625</v>
      </c>
      <c r="M188" s="25">
        <f t="shared" si="17"/>
        <v>0</v>
      </c>
    </row>
    <row r="189" spans="1:13" x14ac:dyDescent="0.2">
      <c r="A189" s="4">
        <v>4.55</v>
      </c>
      <c r="B189" s="4">
        <v>16</v>
      </c>
      <c r="C189" s="4">
        <v>2</v>
      </c>
      <c r="D189" s="4">
        <v>0</v>
      </c>
      <c r="E189" s="4">
        <v>1</v>
      </c>
      <c r="F189" s="4">
        <v>0</v>
      </c>
      <c r="G189" s="2" t="s">
        <v>79</v>
      </c>
      <c r="H189" s="25">
        <f t="shared" si="14"/>
        <v>7.7688319929089822</v>
      </c>
      <c r="I189" s="25">
        <f t="shared" si="15"/>
        <v>-3.2188319929089824</v>
      </c>
      <c r="J189" s="25">
        <f t="shared" si="16"/>
        <v>10.360879398574411</v>
      </c>
      <c r="K189" s="25">
        <f t="shared" si="12"/>
        <v>3.4124999999999996</v>
      </c>
      <c r="L189" s="25">
        <f t="shared" si="13"/>
        <v>5.6875</v>
      </c>
      <c r="M189" s="25">
        <f t="shared" si="17"/>
        <v>0</v>
      </c>
    </row>
    <row r="190" spans="1:13" x14ac:dyDescent="0.2">
      <c r="A190" s="4">
        <v>3.73</v>
      </c>
      <c r="B190" s="4">
        <v>9</v>
      </c>
      <c r="C190" s="4">
        <v>2</v>
      </c>
      <c r="D190" s="10">
        <v>2</v>
      </c>
      <c r="E190" s="4">
        <v>0</v>
      </c>
      <c r="F190" s="4">
        <v>0</v>
      </c>
      <c r="G190" s="2" t="s">
        <v>79</v>
      </c>
      <c r="H190" s="25">
        <f t="shared" si="14"/>
        <v>1.4051125557202333</v>
      </c>
      <c r="I190" s="25">
        <f t="shared" si="15"/>
        <v>2.3248874442797667</v>
      </c>
      <c r="J190" s="25">
        <f t="shared" si="16"/>
        <v>5.4051016285697049</v>
      </c>
      <c r="K190" s="25">
        <f t="shared" si="12"/>
        <v>2.7974999999999999</v>
      </c>
      <c r="L190" s="25">
        <f t="shared" si="13"/>
        <v>4.6624999999999996</v>
      </c>
      <c r="M190" s="25">
        <f t="shared" si="17"/>
        <v>0</v>
      </c>
    </row>
    <row r="191" spans="1:13" x14ac:dyDescent="0.2">
      <c r="A191" s="4">
        <v>6.5</v>
      </c>
      <c r="B191" s="4">
        <v>12</v>
      </c>
      <c r="C191" s="4">
        <v>2</v>
      </c>
      <c r="D191" s="4">
        <v>0</v>
      </c>
      <c r="E191" s="4">
        <v>1</v>
      </c>
      <c r="F191" s="4">
        <v>0</v>
      </c>
      <c r="G191" s="2" t="s">
        <v>79</v>
      </c>
      <c r="H191" s="25">
        <f t="shared" si="14"/>
        <v>5.8354051704290297</v>
      </c>
      <c r="I191" s="25">
        <f t="shared" si="15"/>
        <v>0.66459482957097027</v>
      </c>
      <c r="J191" s="25">
        <f t="shared" si="16"/>
        <v>0.44168628749246702</v>
      </c>
      <c r="K191" s="25">
        <f t="shared" si="12"/>
        <v>4.875</v>
      </c>
      <c r="L191" s="25">
        <f t="shared" si="13"/>
        <v>8.125</v>
      </c>
      <c r="M191" s="25">
        <f t="shared" si="17"/>
        <v>1</v>
      </c>
    </row>
    <row r="192" spans="1:13" x14ac:dyDescent="0.2">
      <c r="A192" s="4">
        <v>4.6500000000000004</v>
      </c>
      <c r="B192" s="4">
        <v>12</v>
      </c>
      <c r="C192" s="4">
        <v>2</v>
      </c>
      <c r="D192" s="4">
        <v>0</v>
      </c>
      <c r="E192" s="4">
        <v>1</v>
      </c>
      <c r="F192" s="4">
        <v>0</v>
      </c>
      <c r="G192" s="2" t="s">
        <v>79</v>
      </c>
      <c r="H192" s="25">
        <f t="shared" si="14"/>
        <v>5.8354051704290297</v>
      </c>
      <c r="I192" s="25">
        <f t="shared" si="15"/>
        <v>-1.1854051704290294</v>
      </c>
      <c r="J192" s="25">
        <f t="shared" si="16"/>
        <v>1.4051854180798762</v>
      </c>
      <c r="K192" s="25">
        <f t="shared" si="12"/>
        <v>3.4875000000000003</v>
      </c>
      <c r="L192" s="25">
        <f t="shared" si="13"/>
        <v>5.8125</v>
      </c>
      <c r="M192" s="25">
        <f t="shared" si="17"/>
        <v>0</v>
      </c>
    </row>
    <row r="193" spans="1:13" x14ac:dyDescent="0.2">
      <c r="A193" s="4">
        <v>8</v>
      </c>
      <c r="B193" s="4">
        <v>12</v>
      </c>
      <c r="C193" s="4">
        <v>2</v>
      </c>
      <c r="D193" s="4">
        <v>0</v>
      </c>
      <c r="E193" s="4">
        <v>1</v>
      </c>
      <c r="F193" s="4">
        <v>0</v>
      </c>
      <c r="G193" s="2" t="s">
        <v>79</v>
      </c>
      <c r="H193" s="25">
        <f t="shared" si="14"/>
        <v>5.8354051704290297</v>
      </c>
      <c r="I193" s="25">
        <f t="shared" si="15"/>
        <v>2.1645948295709703</v>
      </c>
      <c r="J193" s="25">
        <f t="shared" si="16"/>
        <v>4.6854707762053778</v>
      </c>
      <c r="K193" s="25">
        <f t="shared" si="12"/>
        <v>6</v>
      </c>
      <c r="L193" s="25">
        <f t="shared" si="13"/>
        <v>10</v>
      </c>
      <c r="M193" s="25">
        <f t="shared" si="17"/>
        <v>0</v>
      </c>
    </row>
    <row r="194" spans="1:13" x14ac:dyDescent="0.2">
      <c r="A194" s="4">
        <v>4.5</v>
      </c>
      <c r="B194" s="4">
        <v>13</v>
      </c>
      <c r="C194" s="4">
        <v>2</v>
      </c>
      <c r="D194" s="4">
        <v>1</v>
      </c>
      <c r="E194" s="4">
        <v>0</v>
      </c>
      <c r="F194" s="4">
        <v>0</v>
      </c>
      <c r="G194" s="2" t="s">
        <v>79</v>
      </c>
      <c r="H194" s="25">
        <f t="shared" si="14"/>
        <v>4.5461091384006984</v>
      </c>
      <c r="I194" s="25">
        <f t="shared" si="15"/>
        <v>-4.6109138400698413E-2</v>
      </c>
      <c r="J194" s="25">
        <f t="shared" si="16"/>
        <v>2.1260526440547611E-3</v>
      </c>
      <c r="K194" s="25">
        <f t="shared" ref="K194:K257" si="18">A194*(1-$Q$41)</f>
        <v>3.375</v>
      </c>
      <c r="L194" s="25">
        <f t="shared" ref="L194:L257" si="19">A194*(1+$Q$41)</f>
        <v>5.625</v>
      </c>
      <c r="M194" s="25">
        <f t="shared" si="17"/>
        <v>1</v>
      </c>
    </row>
    <row r="195" spans="1:13" x14ac:dyDescent="0.2">
      <c r="A195" s="4">
        <v>3.5</v>
      </c>
      <c r="B195" s="4">
        <v>11</v>
      </c>
      <c r="C195" s="4">
        <v>2</v>
      </c>
      <c r="D195" s="4">
        <v>1</v>
      </c>
      <c r="E195" s="4">
        <v>0</v>
      </c>
      <c r="F195" s="4">
        <v>0</v>
      </c>
      <c r="G195" s="2" t="s">
        <v>79</v>
      </c>
      <c r="H195" s="25">
        <f t="shared" ref="H195:H258" si="20">$P$33+($P$34*B195)+($P$35*C195)+($P$36*D195)+($P$37*E195)+($P$38*F195)</f>
        <v>3.5793957271607222</v>
      </c>
      <c r="I195" s="25">
        <f t="shared" ref="I195:I258" si="21">(A195-H195)</f>
        <v>-7.9395727160722185E-2</v>
      </c>
      <c r="J195" s="25">
        <f t="shared" ref="J195:J258" si="22">I195^2</f>
        <v>6.3036814913798381E-3</v>
      </c>
      <c r="K195" s="25">
        <f t="shared" si="18"/>
        <v>2.625</v>
      </c>
      <c r="L195" s="25">
        <f t="shared" si="19"/>
        <v>4.375</v>
      </c>
      <c r="M195" s="25">
        <f t="shared" ref="M195:M258" si="23">IF(AND(H195&gt;=K195,H195&lt;=L195),1,0)</f>
        <v>1</v>
      </c>
    </row>
    <row r="196" spans="1:13" x14ac:dyDescent="0.2">
      <c r="A196" s="4">
        <v>2.9</v>
      </c>
      <c r="B196" s="4">
        <v>10</v>
      </c>
      <c r="C196" s="4">
        <v>2</v>
      </c>
      <c r="D196" s="4">
        <v>1</v>
      </c>
      <c r="E196" s="4">
        <v>0</v>
      </c>
      <c r="F196" s="4">
        <v>0</v>
      </c>
      <c r="G196" s="2" t="s">
        <v>79</v>
      </c>
      <c r="H196" s="25">
        <f t="shared" si="20"/>
        <v>3.0960390215407343</v>
      </c>
      <c r="I196" s="25">
        <f t="shared" si="21"/>
        <v>-0.19603902154073438</v>
      </c>
      <c r="J196" s="25">
        <f t="shared" si="22"/>
        <v>3.8431297966648521E-2</v>
      </c>
      <c r="K196" s="25">
        <f t="shared" si="18"/>
        <v>2.1749999999999998</v>
      </c>
      <c r="L196" s="25">
        <f t="shared" si="19"/>
        <v>3.625</v>
      </c>
      <c r="M196" s="25">
        <f t="shared" si="23"/>
        <v>1</v>
      </c>
    </row>
    <row r="197" spans="1:13" x14ac:dyDescent="0.2">
      <c r="A197" s="4">
        <v>3.24</v>
      </c>
      <c r="B197" s="4">
        <v>12</v>
      </c>
      <c r="C197" s="4">
        <v>2</v>
      </c>
      <c r="D197" s="4">
        <v>1</v>
      </c>
      <c r="E197" s="4">
        <v>1</v>
      </c>
      <c r="F197" s="4">
        <v>1</v>
      </c>
      <c r="G197" s="2" t="s">
        <v>79</v>
      </c>
      <c r="H197" s="25">
        <f t="shared" si="20"/>
        <v>5.7454586463946615</v>
      </c>
      <c r="I197" s="25">
        <f t="shared" si="21"/>
        <v>-2.5054586463946613</v>
      </c>
      <c r="J197" s="25">
        <f t="shared" si="22"/>
        <v>6.2773230287937682</v>
      </c>
      <c r="K197" s="25">
        <f t="shared" si="18"/>
        <v>2.4300000000000002</v>
      </c>
      <c r="L197" s="25">
        <f t="shared" si="19"/>
        <v>4.0500000000000007</v>
      </c>
      <c r="M197" s="25">
        <f t="shared" si="23"/>
        <v>0</v>
      </c>
    </row>
    <row r="198" spans="1:13" x14ac:dyDescent="0.2">
      <c r="A198" s="4">
        <v>3.83</v>
      </c>
      <c r="B198" s="4">
        <v>12</v>
      </c>
      <c r="C198" s="4">
        <v>2</v>
      </c>
      <c r="D198" s="4">
        <v>1</v>
      </c>
      <c r="E198" s="4">
        <v>0</v>
      </c>
      <c r="F198" s="4">
        <v>0</v>
      </c>
      <c r="G198" s="2" t="s">
        <v>79</v>
      </c>
      <c r="H198" s="25">
        <f t="shared" si="20"/>
        <v>4.0627524327807105</v>
      </c>
      <c r="I198" s="25">
        <f t="shared" si="21"/>
        <v>-0.23275243278071045</v>
      </c>
      <c r="J198" s="25">
        <f t="shared" si="22"/>
        <v>5.4173694965339136E-2</v>
      </c>
      <c r="K198" s="25">
        <f t="shared" si="18"/>
        <v>2.8725000000000001</v>
      </c>
      <c r="L198" s="25">
        <f t="shared" si="19"/>
        <v>4.7874999999999996</v>
      </c>
      <c r="M198" s="25">
        <f t="shared" si="23"/>
        <v>1</v>
      </c>
    </row>
    <row r="199" spans="1:13" x14ac:dyDescent="0.2">
      <c r="A199" s="4">
        <v>3.5</v>
      </c>
      <c r="B199" s="4">
        <v>14</v>
      </c>
      <c r="C199" s="4">
        <v>2</v>
      </c>
      <c r="D199" s="4">
        <v>0</v>
      </c>
      <c r="E199" s="4">
        <v>1</v>
      </c>
      <c r="F199" s="4">
        <v>0</v>
      </c>
      <c r="G199" s="2" t="s">
        <v>79</v>
      </c>
      <c r="H199" s="25">
        <f t="shared" si="20"/>
        <v>6.8021185816690064</v>
      </c>
      <c r="I199" s="25">
        <f t="shared" si="21"/>
        <v>-3.3021185816690064</v>
      </c>
      <c r="J199" s="25">
        <f t="shared" si="22"/>
        <v>10.903987127403731</v>
      </c>
      <c r="K199" s="25">
        <f t="shared" si="18"/>
        <v>2.625</v>
      </c>
      <c r="L199" s="25">
        <f t="shared" si="19"/>
        <v>4.375</v>
      </c>
      <c r="M199" s="25">
        <f t="shared" si="23"/>
        <v>0</v>
      </c>
    </row>
    <row r="200" spans="1:13" x14ac:dyDescent="0.2">
      <c r="A200" s="4">
        <v>13.08</v>
      </c>
      <c r="B200" s="4">
        <v>17</v>
      </c>
      <c r="C200" s="4">
        <v>2</v>
      </c>
      <c r="D200" s="4">
        <v>0</v>
      </c>
      <c r="E200" s="4">
        <v>1</v>
      </c>
      <c r="F200" s="4">
        <v>0</v>
      </c>
      <c r="G200" s="2" t="s">
        <v>79</v>
      </c>
      <c r="H200" s="25">
        <f t="shared" si="20"/>
        <v>8.2521886985289719</v>
      </c>
      <c r="I200" s="25">
        <f t="shared" si="21"/>
        <v>4.8278113014710282</v>
      </c>
      <c r="J200" s="25">
        <f t="shared" si="22"/>
        <v>23.307761962611384</v>
      </c>
      <c r="K200" s="25">
        <f t="shared" si="18"/>
        <v>9.81</v>
      </c>
      <c r="L200" s="25">
        <f t="shared" si="19"/>
        <v>16.350000000000001</v>
      </c>
      <c r="M200" s="25">
        <f t="shared" si="23"/>
        <v>0</v>
      </c>
    </row>
    <row r="201" spans="1:13" x14ac:dyDescent="0.2">
      <c r="A201" s="4">
        <v>10.38</v>
      </c>
      <c r="B201" s="4">
        <v>18</v>
      </c>
      <c r="C201" s="4">
        <v>2</v>
      </c>
      <c r="D201" s="4">
        <v>0</v>
      </c>
      <c r="E201" s="4">
        <v>1</v>
      </c>
      <c r="F201" s="4">
        <v>0</v>
      </c>
      <c r="G201" s="2" t="s">
        <v>79</v>
      </c>
      <c r="H201" s="25">
        <f t="shared" si="20"/>
        <v>8.7355454041489597</v>
      </c>
      <c r="I201" s="25">
        <f t="shared" si="21"/>
        <v>1.644454595851041</v>
      </c>
      <c r="J201" s="25">
        <f t="shared" si="22"/>
        <v>2.7042309178156105</v>
      </c>
      <c r="K201" s="25">
        <f t="shared" si="18"/>
        <v>7.7850000000000001</v>
      </c>
      <c r="L201" s="25">
        <f t="shared" si="19"/>
        <v>12.975000000000001</v>
      </c>
      <c r="M201" s="25">
        <f t="shared" si="23"/>
        <v>1</v>
      </c>
    </row>
    <row r="202" spans="1:13" x14ac:dyDescent="0.2">
      <c r="A202" s="4">
        <v>2.95</v>
      </c>
      <c r="B202" s="4">
        <v>8</v>
      </c>
      <c r="C202" s="4">
        <v>2</v>
      </c>
      <c r="D202" s="4">
        <v>1</v>
      </c>
      <c r="E202" s="4">
        <v>1</v>
      </c>
      <c r="F202" s="4">
        <v>0</v>
      </c>
      <c r="G202" s="2" t="s">
        <v>79</v>
      </c>
      <c r="H202" s="25">
        <f t="shared" si="20"/>
        <v>2.6944085877485646</v>
      </c>
      <c r="I202" s="25">
        <f t="shared" si="21"/>
        <v>0.25559141225143556</v>
      </c>
      <c r="J202" s="25">
        <f t="shared" si="22"/>
        <v>6.5326970016683278E-2</v>
      </c>
      <c r="K202" s="25">
        <f t="shared" si="18"/>
        <v>2.2125000000000004</v>
      </c>
      <c r="L202" s="25">
        <f t="shared" si="19"/>
        <v>3.6875</v>
      </c>
      <c r="M202" s="25">
        <f t="shared" si="23"/>
        <v>1</v>
      </c>
    </row>
    <row r="203" spans="1:13" x14ac:dyDescent="0.2">
      <c r="A203" s="4">
        <v>3.25</v>
      </c>
      <c r="B203" s="4">
        <v>12</v>
      </c>
      <c r="C203" s="4">
        <v>2</v>
      </c>
      <c r="D203" s="4">
        <v>1</v>
      </c>
      <c r="E203" s="4">
        <v>1</v>
      </c>
      <c r="F203" s="4">
        <v>0</v>
      </c>
      <c r="G203" s="2" t="s">
        <v>79</v>
      </c>
      <c r="H203" s="25">
        <f t="shared" si="20"/>
        <v>4.6278354102285171</v>
      </c>
      <c r="I203" s="25">
        <f t="shared" si="21"/>
        <v>-1.3778354102285171</v>
      </c>
      <c r="J203" s="25">
        <f t="shared" si="22"/>
        <v>1.8984304176795859</v>
      </c>
      <c r="K203" s="25">
        <f t="shared" si="18"/>
        <v>2.4375</v>
      </c>
      <c r="L203" s="25">
        <f t="shared" si="19"/>
        <v>4.0625</v>
      </c>
      <c r="M203" s="25">
        <f t="shared" si="23"/>
        <v>0</v>
      </c>
    </row>
    <row r="204" spans="1:13" x14ac:dyDescent="0.2">
      <c r="A204" s="4">
        <v>15</v>
      </c>
      <c r="B204" s="4">
        <v>16</v>
      </c>
      <c r="C204" s="4">
        <v>2</v>
      </c>
      <c r="D204" s="4">
        <v>1</v>
      </c>
      <c r="E204" s="4">
        <v>1</v>
      </c>
      <c r="F204" s="4">
        <v>1</v>
      </c>
      <c r="G204" s="2" t="s">
        <v>79</v>
      </c>
      <c r="H204" s="25">
        <f t="shared" si="20"/>
        <v>7.6788854688746131</v>
      </c>
      <c r="I204" s="25">
        <f t="shared" si="21"/>
        <v>7.3211145311253869</v>
      </c>
      <c r="J204" s="25">
        <f t="shared" si="22"/>
        <v>53.598717977855294</v>
      </c>
      <c r="K204" s="25">
        <f t="shared" si="18"/>
        <v>11.25</v>
      </c>
      <c r="L204" s="25">
        <f t="shared" si="19"/>
        <v>18.75</v>
      </c>
      <c r="M204" s="25">
        <f t="shared" si="23"/>
        <v>0</v>
      </c>
    </row>
    <row r="205" spans="1:13" x14ac:dyDescent="0.2">
      <c r="A205" s="4">
        <v>6.25</v>
      </c>
      <c r="B205" s="10">
        <v>12</v>
      </c>
      <c r="C205" s="4">
        <v>2</v>
      </c>
      <c r="D205" s="4">
        <v>0</v>
      </c>
      <c r="E205" s="4">
        <v>1</v>
      </c>
      <c r="F205" s="4">
        <v>0</v>
      </c>
      <c r="G205" s="2" t="s">
        <v>79</v>
      </c>
      <c r="H205" s="25">
        <f t="shared" si="20"/>
        <v>5.8354051704290297</v>
      </c>
      <c r="I205" s="25">
        <f t="shared" si="21"/>
        <v>0.41459482957097027</v>
      </c>
      <c r="J205" s="25">
        <f t="shared" si="22"/>
        <v>0.17188887270698189</v>
      </c>
      <c r="K205" s="25">
        <f t="shared" si="18"/>
        <v>4.6875</v>
      </c>
      <c r="L205" s="25">
        <f t="shared" si="19"/>
        <v>7.8125</v>
      </c>
      <c r="M205" s="25">
        <f t="shared" si="23"/>
        <v>1</v>
      </c>
    </row>
    <row r="206" spans="1:13" x14ac:dyDescent="0.2">
      <c r="A206" s="4">
        <v>7.26</v>
      </c>
      <c r="B206" s="4">
        <v>13</v>
      </c>
      <c r="C206" s="4">
        <v>2</v>
      </c>
      <c r="D206" s="4">
        <v>0</v>
      </c>
      <c r="E206" s="4">
        <v>0</v>
      </c>
      <c r="F206" s="4">
        <v>0</v>
      </c>
      <c r="G206" s="2" t="s">
        <v>79</v>
      </c>
      <c r="H206" s="25">
        <f t="shared" si="20"/>
        <v>5.7536788986012111</v>
      </c>
      <c r="I206" s="25">
        <f t="shared" si="21"/>
        <v>1.5063211013987887</v>
      </c>
      <c r="J206" s="25">
        <f t="shared" si="22"/>
        <v>2.26900326051926</v>
      </c>
      <c r="K206" s="25">
        <f t="shared" si="18"/>
        <v>5.4450000000000003</v>
      </c>
      <c r="L206" s="25">
        <f t="shared" si="19"/>
        <v>9.0749999999999993</v>
      </c>
      <c r="M206" s="25">
        <f t="shared" si="23"/>
        <v>1</v>
      </c>
    </row>
    <row r="207" spans="1:13" x14ac:dyDescent="0.2">
      <c r="A207" s="4">
        <v>6.25</v>
      </c>
      <c r="B207" s="4">
        <v>16</v>
      </c>
      <c r="C207" s="4">
        <v>2</v>
      </c>
      <c r="D207" s="10">
        <v>2</v>
      </c>
      <c r="E207" s="4">
        <v>0</v>
      </c>
      <c r="F207" s="4">
        <v>1</v>
      </c>
      <c r="G207" s="2" t="s">
        <v>79</v>
      </c>
      <c r="H207" s="25">
        <f t="shared" si="20"/>
        <v>5.9062327312262939</v>
      </c>
      <c r="I207" s="25">
        <f t="shared" si="21"/>
        <v>0.34376726877370611</v>
      </c>
      <c r="J207" s="25">
        <f t="shared" si="22"/>
        <v>0.11817593508013349</v>
      </c>
      <c r="K207" s="25">
        <f t="shared" si="18"/>
        <v>4.6875</v>
      </c>
      <c r="L207" s="25">
        <f t="shared" si="19"/>
        <v>7.8125</v>
      </c>
      <c r="M207" s="25">
        <f t="shared" si="23"/>
        <v>1</v>
      </c>
    </row>
    <row r="208" spans="1:13" x14ac:dyDescent="0.2">
      <c r="A208" s="4">
        <v>5.3</v>
      </c>
      <c r="B208" s="4">
        <v>12</v>
      </c>
      <c r="C208" s="4">
        <v>2</v>
      </c>
      <c r="D208" s="4">
        <v>0</v>
      </c>
      <c r="E208" s="4">
        <v>1</v>
      </c>
      <c r="F208" s="4">
        <v>1</v>
      </c>
      <c r="G208" s="2" t="s">
        <v>79</v>
      </c>
      <c r="H208" s="25">
        <f t="shared" si="20"/>
        <v>6.9530284065951742</v>
      </c>
      <c r="I208" s="25">
        <f t="shared" si="21"/>
        <v>-1.6530284065951744</v>
      </c>
      <c r="J208" s="25">
        <f t="shared" si="22"/>
        <v>2.7325029130105811</v>
      </c>
      <c r="K208" s="25">
        <f t="shared" si="18"/>
        <v>3.9749999999999996</v>
      </c>
      <c r="L208" s="25">
        <f t="shared" si="19"/>
        <v>6.625</v>
      </c>
      <c r="M208" s="25">
        <f t="shared" si="23"/>
        <v>0</v>
      </c>
    </row>
    <row r="209" spans="1:13" x14ac:dyDescent="0.2">
      <c r="A209" s="4">
        <v>3.51</v>
      </c>
      <c r="B209" s="4">
        <v>12</v>
      </c>
      <c r="C209" s="4">
        <v>2</v>
      </c>
      <c r="D209" s="4">
        <v>1</v>
      </c>
      <c r="E209" s="4">
        <v>1</v>
      </c>
      <c r="F209" s="4">
        <v>0</v>
      </c>
      <c r="G209" s="2" t="s">
        <v>79</v>
      </c>
      <c r="H209" s="25">
        <f t="shared" si="20"/>
        <v>4.6278354102285171</v>
      </c>
      <c r="I209" s="25">
        <f t="shared" si="21"/>
        <v>-1.1178354102285173</v>
      </c>
      <c r="J209" s="25">
        <f t="shared" si="22"/>
        <v>1.2495560043607576</v>
      </c>
      <c r="K209" s="25">
        <f t="shared" si="18"/>
        <v>2.6324999999999998</v>
      </c>
      <c r="L209" s="25">
        <f t="shared" si="19"/>
        <v>4.3874999999999993</v>
      </c>
      <c r="M209" s="25">
        <f t="shared" si="23"/>
        <v>0</v>
      </c>
    </row>
    <row r="210" spans="1:13" x14ac:dyDescent="0.2">
      <c r="A210" s="4">
        <v>7.5</v>
      </c>
      <c r="B210" s="4">
        <v>16</v>
      </c>
      <c r="C210" s="4">
        <v>2</v>
      </c>
      <c r="D210" s="4">
        <v>1</v>
      </c>
      <c r="E210" s="4">
        <v>1</v>
      </c>
      <c r="F210" s="4">
        <v>0</v>
      </c>
      <c r="G210" s="2" t="s">
        <v>79</v>
      </c>
      <c r="H210" s="25">
        <f t="shared" si="20"/>
        <v>6.5612622327084686</v>
      </c>
      <c r="I210" s="25">
        <f t="shared" si="21"/>
        <v>0.93873776729153136</v>
      </c>
      <c r="J210" s="25">
        <f t="shared" si="22"/>
        <v>0.88122859573948931</v>
      </c>
      <c r="K210" s="25">
        <f t="shared" si="18"/>
        <v>5.625</v>
      </c>
      <c r="L210" s="25">
        <f t="shared" si="19"/>
        <v>9.375</v>
      </c>
      <c r="M210" s="25">
        <f t="shared" si="23"/>
        <v>1</v>
      </c>
    </row>
    <row r="211" spans="1:13" x14ac:dyDescent="0.2">
      <c r="A211" s="4">
        <v>3.5</v>
      </c>
      <c r="B211" s="4">
        <v>12</v>
      </c>
      <c r="C211" s="4">
        <v>2</v>
      </c>
      <c r="D211" s="4">
        <v>1</v>
      </c>
      <c r="E211" s="4">
        <v>0</v>
      </c>
      <c r="F211" s="4">
        <v>0</v>
      </c>
      <c r="G211" s="2" t="s">
        <v>79</v>
      </c>
      <c r="H211" s="25">
        <f t="shared" si="20"/>
        <v>4.0627524327807105</v>
      </c>
      <c r="I211" s="25">
        <f t="shared" si="21"/>
        <v>-0.56275243278071052</v>
      </c>
      <c r="J211" s="25">
        <f t="shared" si="22"/>
        <v>0.3166903006006081</v>
      </c>
      <c r="K211" s="25">
        <f t="shared" si="18"/>
        <v>2.625</v>
      </c>
      <c r="L211" s="25">
        <f t="shared" si="19"/>
        <v>4.375</v>
      </c>
      <c r="M211" s="25">
        <f t="shared" si="23"/>
        <v>1</v>
      </c>
    </row>
    <row r="212" spans="1:13" x14ac:dyDescent="0.2">
      <c r="A212" s="4">
        <v>12.5</v>
      </c>
      <c r="B212" s="4">
        <v>18</v>
      </c>
      <c r="C212" s="4">
        <v>2</v>
      </c>
      <c r="D212" s="4">
        <v>0</v>
      </c>
      <c r="E212" s="4">
        <v>0</v>
      </c>
      <c r="F212" s="4">
        <v>0</v>
      </c>
      <c r="G212" s="2" t="s">
        <v>79</v>
      </c>
      <c r="H212" s="25">
        <f t="shared" si="20"/>
        <v>8.1704624267011532</v>
      </c>
      <c r="I212" s="25">
        <f t="shared" si="21"/>
        <v>4.3295375732988468</v>
      </c>
      <c r="J212" s="25">
        <f t="shared" si="22"/>
        <v>18.744895598606469</v>
      </c>
      <c r="K212" s="25">
        <f t="shared" si="18"/>
        <v>9.375</v>
      </c>
      <c r="L212" s="25">
        <f t="shared" si="19"/>
        <v>15.625</v>
      </c>
      <c r="M212" s="25">
        <f t="shared" si="23"/>
        <v>0</v>
      </c>
    </row>
    <row r="213" spans="1:13" x14ac:dyDescent="0.2">
      <c r="A213" s="4">
        <v>8.33</v>
      </c>
      <c r="B213" s="4">
        <v>16</v>
      </c>
      <c r="C213" s="4">
        <v>2</v>
      </c>
      <c r="D213" s="4">
        <v>0</v>
      </c>
      <c r="E213" s="4">
        <v>1</v>
      </c>
      <c r="F213" s="4">
        <v>1</v>
      </c>
      <c r="G213" s="2" t="s">
        <v>79</v>
      </c>
      <c r="H213" s="25">
        <f t="shared" si="20"/>
        <v>8.8864552290751266</v>
      </c>
      <c r="I213" s="25">
        <f t="shared" si="21"/>
        <v>-0.55645522907512657</v>
      </c>
      <c r="J213" s="25">
        <f t="shared" si="22"/>
        <v>0.3096424219650516</v>
      </c>
      <c r="K213" s="25">
        <f t="shared" si="18"/>
        <v>6.2475000000000005</v>
      </c>
      <c r="L213" s="25">
        <f t="shared" si="19"/>
        <v>10.4125</v>
      </c>
      <c r="M213" s="25">
        <f t="shared" si="23"/>
        <v>1</v>
      </c>
    </row>
    <row r="214" spans="1:13" x14ac:dyDescent="0.2">
      <c r="A214" s="4">
        <v>4.25</v>
      </c>
      <c r="B214" s="4">
        <v>14</v>
      </c>
      <c r="C214" s="4">
        <v>2</v>
      </c>
      <c r="D214" s="4">
        <v>0</v>
      </c>
      <c r="E214" s="4">
        <v>1</v>
      </c>
      <c r="F214" s="4">
        <v>0</v>
      </c>
      <c r="G214" s="2" t="s">
        <v>79</v>
      </c>
      <c r="H214" s="25">
        <f t="shared" si="20"/>
        <v>6.8021185816690064</v>
      </c>
      <c r="I214" s="25">
        <f t="shared" si="21"/>
        <v>-2.5521185816690064</v>
      </c>
      <c r="J214" s="25">
        <f t="shared" si="22"/>
        <v>6.5133092549002205</v>
      </c>
      <c r="K214" s="25">
        <f t="shared" si="18"/>
        <v>3.1875</v>
      </c>
      <c r="L214" s="25">
        <f t="shared" si="19"/>
        <v>5.3125</v>
      </c>
      <c r="M214" s="25">
        <f t="shared" si="23"/>
        <v>0</v>
      </c>
    </row>
    <row r="215" spans="1:13" x14ac:dyDescent="0.2">
      <c r="A215" s="4">
        <v>4.34</v>
      </c>
      <c r="B215" s="4">
        <v>16</v>
      </c>
      <c r="C215" s="4">
        <v>2</v>
      </c>
      <c r="D215" s="4">
        <v>1</v>
      </c>
      <c r="E215" s="4">
        <v>0</v>
      </c>
      <c r="F215" s="4">
        <v>0</v>
      </c>
      <c r="G215" s="2" t="s">
        <v>79</v>
      </c>
      <c r="H215" s="25">
        <f t="shared" si="20"/>
        <v>5.9961792552606621</v>
      </c>
      <c r="I215" s="25">
        <f t="shared" si="21"/>
        <v>-1.6561792552606622</v>
      </c>
      <c r="J215" s="25">
        <f t="shared" si="22"/>
        <v>2.7429297255557619</v>
      </c>
      <c r="K215" s="25">
        <f t="shared" si="18"/>
        <v>3.2549999999999999</v>
      </c>
      <c r="L215" s="25">
        <f t="shared" si="19"/>
        <v>5.4249999999999998</v>
      </c>
      <c r="M215" s="25">
        <f t="shared" si="23"/>
        <v>0</v>
      </c>
    </row>
    <row r="216" spans="1:13" x14ac:dyDescent="0.2">
      <c r="A216" s="4">
        <v>4.51</v>
      </c>
      <c r="B216" s="4">
        <v>12</v>
      </c>
      <c r="C216" s="4">
        <v>2</v>
      </c>
      <c r="D216" s="4">
        <v>0</v>
      </c>
      <c r="E216" s="4">
        <v>0</v>
      </c>
      <c r="F216" s="4">
        <v>0</v>
      </c>
      <c r="G216" s="2" t="s">
        <v>79</v>
      </c>
      <c r="H216" s="25">
        <f t="shared" si="20"/>
        <v>5.2703221929812232</v>
      </c>
      <c r="I216" s="25">
        <f t="shared" si="21"/>
        <v>-0.76032219298122339</v>
      </c>
      <c r="J216" s="25">
        <f t="shared" si="22"/>
        <v>0.57808983713977669</v>
      </c>
      <c r="K216" s="25">
        <f t="shared" si="18"/>
        <v>3.3824999999999998</v>
      </c>
      <c r="L216" s="25">
        <f t="shared" si="19"/>
        <v>5.6374999999999993</v>
      </c>
      <c r="M216" s="25">
        <f t="shared" si="23"/>
        <v>1</v>
      </c>
    </row>
    <row r="217" spans="1:13" x14ac:dyDescent="0.2">
      <c r="A217" s="4">
        <v>3.75</v>
      </c>
      <c r="B217" s="10">
        <v>12</v>
      </c>
      <c r="C217" s="4">
        <v>2</v>
      </c>
      <c r="D217" s="4">
        <v>1</v>
      </c>
      <c r="E217" s="4">
        <v>1</v>
      </c>
      <c r="F217" s="4">
        <v>0</v>
      </c>
      <c r="G217" s="2" t="s">
        <v>79</v>
      </c>
      <c r="H217" s="25">
        <f t="shared" si="20"/>
        <v>4.6278354102285171</v>
      </c>
      <c r="I217" s="25">
        <f t="shared" si="21"/>
        <v>-0.87783541022851708</v>
      </c>
      <c r="J217" s="25">
        <f t="shared" si="22"/>
        <v>0.7705950074510689</v>
      </c>
      <c r="K217" s="25">
        <f t="shared" si="18"/>
        <v>2.8125</v>
      </c>
      <c r="L217" s="25">
        <f t="shared" si="19"/>
        <v>4.6875</v>
      </c>
      <c r="M217" s="25">
        <f t="shared" si="23"/>
        <v>1</v>
      </c>
    </row>
    <row r="218" spans="1:13" x14ac:dyDescent="0.2">
      <c r="A218" s="4">
        <v>6.53</v>
      </c>
      <c r="B218" s="4">
        <v>16</v>
      </c>
      <c r="C218" s="4">
        <v>2</v>
      </c>
      <c r="D218" s="4">
        <v>1</v>
      </c>
      <c r="E218" s="4">
        <v>0</v>
      </c>
      <c r="F218" s="4">
        <v>0</v>
      </c>
      <c r="G218" s="2" t="s">
        <v>79</v>
      </c>
      <c r="H218" s="25">
        <f t="shared" si="20"/>
        <v>5.9961792552606621</v>
      </c>
      <c r="I218" s="25">
        <f t="shared" si="21"/>
        <v>0.53382074473933816</v>
      </c>
      <c r="J218" s="25">
        <f t="shared" si="22"/>
        <v>0.28496458751406162</v>
      </c>
      <c r="K218" s="25">
        <f t="shared" si="18"/>
        <v>4.8975</v>
      </c>
      <c r="L218" s="25">
        <f t="shared" si="19"/>
        <v>8.1624999999999996</v>
      </c>
      <c r="M218" s="25">
        <f t="shared" si="23"/>
        <v>1</v>
      </c>
    </row>
    <row r="219" spans="1:13" x14ac:dyDescent="0.2">
      <c r="A219" s="4">
        <v>8.6</v>
      </c>
      <c r="B219" s="4">
        <v>16</v>
      </c>
      <c r="C219" s="4">
        <v>2</v>
      </c>
      <c r="D219" s="4">
        <v>1</v>
      </c>
      <c r="E219" s="4">
        <v>0</v>
      </c>
      <c r="F219" s="4">
        <v>0</v>
      </c>
      <c r="G219" s="2" t="s">
        <v>79</v>
      </c>
      <c r="H219" s="25">
        <f t="shared" si="20"/>
        <v>5.9961792552606621</v>
      </c>
      <c r="I219" s="25">
        <f t="shared" si="21"/>
        <v>2.6038207447393376</v>
      </c>
      <c r="J219" s="25">
        <f t="shared" si="22"/>
        <v>6.7798824707349183</v>
      </c>
      <c r="K219" s="25">
        <f t="shared" si="18"/>
        <v>6.4499999999999993</v>
      </c>
      <c r="L219" s="25">
        <f t="shared" si="19"/>
        <v>10.75</v>
      </c>
      <c r="M219" s="25">
        <f t="shared" si="23"/>
        <v>0</v>
      </c>
    </row>
    <row r="220" spans="1:13" x14ac:dyDescent="0.2">
      <c r="A220" s="4">
        <v>8.75</v>
      </c>
      <c r="B220" s="4">
        <v>16</v>
      </c>
      <c r="C220" s="4">
        <v>2</v>
      </c>
      <c r="D220" s="4">
        <v>0</v>
      </c>
      <c r="E220" s="4">
        <v>1</v>
      </c>
      <c r="F220" s="4">
        <v>0</v>
      </c>
      <c r="G220" s="2" t="s">
        <v>79</v>
      </c>
      <c r="H220" s="25">
        <f t="shared" si="20"/>
        <v>7.7688319929089822</v>
      </c>
      <c r="I220" s="25">
        <f t="shared" si="21"/>
        <v>0.98116800709101781</v>
      </c>
      <c r="J220" s="25">
        <f t="shared" si="22"/>
        <v>0.9626906581389596</v>
      </c>
      <c r="K220" s="25">
        <f t="shared" si="18"/>
        <v>6.5625</v>
      </c>
      <c r="L220" s="25">
        <f t="shared" si="19"/>
        <v>10.9375</v>
      </c>
      <c r="M220" s="25">
        <f t="shared" si="23"/>
        <v>1</v>
      </c>
    </row>
    <row r="221" spans="1:13" x14ac:dyDescent="0.2">
      <c r="A221" s="4">
        <v>10</v>
      </c>
      <c r="B221" s="4">
        <v>16</v>
      </c>
      <c r="C221" s="4">
        <v>2</v>
      </c>
      <c r="D221" s="4">
        <v>0</v>
      </c>
      <c r="E221" s="4">
        <v>1</v>
      </c>
      <c r="F221" s="4">
        <v>0</v>
      </c>
      <c r="G221" s="2" t="s">
        <v>79</v>
      </c>
      <c r="H221" s="25">
        <f t="shared" si="20"/>
        <v>7.7688319929089822</v>
      </c>
      <c r="I221" s="25">
        <f t="shared" si="21"/>
        <v>2.2311680070910178</v>
      </c>
      <c r="J221" s="25">
        <f t="shared" si="22"/>
        <v>4.9781106758665041</v>
      </c>
      <c r="K221" s="25">
        <f t="shared" si="18"/>
        <v>7.5</v>
      </c>
      <c r="L221" s="25">
        <f t="shared" si="19"/>
        <v>12.5</v>
      </c>
      <c r="M221" s="25">
        <f t="shared" si="23"/>
        <v>1</v>
      </c>
    </row>
    <row r="222" spans="1:13" x14ac:dyDescent="0.2">
      <c r="A222" s="4">
        <v>5.63</v>
      </c>
      <c r="B222" s="4">
        <v>16</v>
      </c>
      <c r="C222" s="4">
        <v>2</v>
      </c>
      <c r="D222" s="4">
        <v>0</v>
      </c>
      <c r="E222" s="4">
        <v>1</v>
      </c>
      <c r="F222" s="4">
        <v>0</v>
      </c>
      <c r="G222" s="2" t="s">
        <v>79</v>
      </c>
      <c r="H222" s="25">
        <f t="shared" si="20"/>
        <v>7.7688319929089822</v>
      </c>
      <c r="I222" s="25">
        <f t="shared" si="21"/>
        <v>-2.1388319929089823</v>
      </c>
      <c r="J222" s="25">
        <f t="shared" si="22"/>
        <v>4.5746022938910089</v>
      </c>
      <c r="K222" s="25">
        <f t="shared" si="18"/>
        <v>4.2225000000000001</v>
      </c>
      <c r="L222" s="25">
        <f t="shared" si="19"/>
        <v>7.0374999999999996</v>
      </c>
      <c r="M222" s="25">
        <f t="shared" si="23"/>
        <v>0</v>
      </c>
    </row>
    <row r="223" spans="1:13" x14ac:dyDescent="0.2">
      <c r="A223" s="4">
        <v>3.2</v>
      </c>
      <c r="B223" s="4">
        <v>15</v>
      </c>
      <c r="C223" s="4">
        <v>2</v>
      </c>
      <c r="D223" s="4">
        <v>1</v>
      </c>
      <c r="E223" s="4">
        <v>0</v>
      </c>
      <c r="F223" s="4">
        <v>0</v>
      </c>
      <c r="G223" s="2" t="s">
        <v>79</v>
      </c>
      <c r="H223" s="25">
        <f t="shared" si="20"/>
        <v>5.5128225496406742</v>
      </c>
      <c r="I223" s="25">
        <f t="shared" si="21"/>
        <v>-2.312822549640674</v>
      </c>
      <c r="J223" s="25">
        <f t="shared" si="22"/>
        <v>5.3491481461263879</v>
      </c>
      <c r="K223" s="25">
        <f t="shared" si="18"/>
        <v>2.4000000000000004</v>
      </c>
      <c r="L223" s="25">
        <f t="shared" si="19"/>
        <v>4</v>
      </c>
      <c r="M223" s="25">
        <f t="shared" si="23"/>
        <v>0</v>
      </c>
    </row>
    <row r="224" spans="1:13" x14ac:dyDescent="0.2">
      <c r="A224" s="4">
        <v>2.9</v>
      </c>
      <c r="B224" s="4">
        <v>12</v>
      </c>
      <c r="C224" s="4">
        <v>2</v>
      </c>
      <c r="D224" s="4">
        <v>1</v>
      </c>
      <c r="E224" s="4">
        <v>0</v>
      </c>
      <c r="F224" s="4">
        <v>1</v>
      </c>
      <c r="G224" s="2" t="s">
        <v>79</v>
      </c>
      <c r="H224" s="25">
        <f t="shared" si="20"/>
        <v>5.180375668946855</v>
      </c>
      <c r="I224" s="25">
        <f t="shared" si="21"/>
        <v>-2.2803756689468551</v>
      </c>
      <c r="J224" s="25">
        <f t="shared" si="22"/>
        <v>5.2001131915248164</v>
      </c>
      <c r="K224" s="25">
        <f t="shared" si="18"/>
        <v>2.1749999999999998</v>
      </c>
      <c r="L224" s="25">
        <f t="shared" si="19"/>
        <v>3.625</v>
      </c>
      <c r="M224" s="25">
        <f t="shared" si="23"/>
        <v>0</v>
      </c>
    </row>
    <row r="225" spans="1:13" x14ac:dyDescent="0.2">
      <c r="A225" s="4">
        <v>6</v>
      </c>
      <c r="B225" s="4">
        <v>16</v>
      </c>
      <c r="C225" s="4">
        <v>2</v>
      </c>
      <c r="D225" s="4">
        <v>0</v>
      </c>
      <c r="E225" s="4">
        <v>0</v>
      </c>
      <c r="F225" s="4">
        <v>0</v>
      </c>
      <c r="G225" s="2" t="s">
        <v>79</v>
      </c>
      <c r="H225" s="25">
        <f t="shared" si="20"/>
        <v>7.2037490154611756</v>
      </c>
      <c r="I225" s="25">
        <f t="shared" si="21"/>
        <v>-1.2037490154611756</v>
      </c>
      <c r="J225" s="25">
        <f t="shared" si="22"/>
        <v>1.4490116922237497</v>
      </c>
      <c r="K225" s="25">
        <f t="shared" si="18"/>
        <v>4.5</v>
      </c>
      <c r="L225" s="25">
        <f t="shared" si="19"/>
        <v>7.5</v>
      </c>
      <c r="M225" s="25">
        <f t="shared" si="23"/>
        <v>1</v>
      </c>
    </row>
    <row r="226" spans="1:13" x14ac:dyDescent="0.2">
      <c r="A226" s="4">
        <v>3.5</v>
      </c>
      <c r="B226" s="4">
        <v>13</v>
      </c>
      <c r="C226" s="4">
        <v>2</v>
      </c>
      <c r="D226" s="4">
        <v>0</v>
      </c>
      <c r="E226" s="4">
        <v>0</v>
      </c>
      <c r="F226" s="4">
        <v>0</v>
      </c>
      <c r="G226" s="2" t="s">
        <v>79</v>
      </c>
      <c r="H226" s="25">
        <f t="shared" si="20"/>
        <v>5.7536788986012111</v>
      </c>
      <c r="I226" s="25">
        <f t="shared" si="21"/>
        <v>-2.2536788986012111</v>
      </c>
      <c r="J226" s="25">
        <f t="shared" si="22"/>
        <v>5.0790685780003679</v>
      </c>
      <c r="K226" s="25">
        <f t="shared" si="18"/>
        <v>2.625</v>
      </c>
      <c r="L226" s="25">
        <f t="shared" si="19"/>
        <v>4.375</v>
      </c>
      <c r="M226" s="25">
        <f t="shared" si="23"/>
        <v>0</v>
      </c>
    </row>
    <row r="227" spans="1:13" x14ac:dyDescent="0.2">
      <c r="A227" s="4">
        <v>3.75</v>
      </c>
      <c r="B227" s="4">
        <v>18</v>
      </c>
      <c r="C227" s="4">
        <v>2</v>
      </c>
      <c r="D227" s="4">
        <v>0</v>
      </c>
      <c r="E227" s="4">
        <v>0</v>
      </c>
      <c r="F227" s="4">
        <v>0</v>
      </c>
      <c r="G227" s="2" t="s">
        <v>79</v>
      </c>
      <c r="H227" s="25">
        <f t="shared" si="20"/>
        <v>8.1704624267011532</v>
      </c>
      <c r="I227" s="25">
        <f t="shared" si="21"/>
        <v>-4.4204624267011532</v>
      </c>
      <c r="J227" s="25">
        <f t="shared" si="22"/>
        <v>19.540488065876648</v>
      </c>
      <c r="K227" s="25">
        <f t="shared" si="18"/>
        <v>2.8125</v>
      </c>
      <c r="L227" s="25">
        <f t="shared" si="19"/>
        <v>4.6875</v>
      </c>
      <c r="M227" s="25">
        <f t="shared" si="23"/>
        <v>0</v>
      </c>
    </row>
    <row r="228" spans="1:13" x14ac:dyDescent="0.2">
      <c r="A228" s="4">
        <v>8.75</v>
      </c>
      <c r="B228" s="4">
        <v>16</v>
      </c>
      <c r="C228" s="4">
        <v>2</v>
      </c>
      <c r="D228" s="4">
        <v>0</v>
      </c>
      <c r="E228" s="4">
        <v>0</v>
      </c>
      <c r="F228" s="4">
        <v>0</v>
      </c>
      <c r="G228" s="2" t="s">
        <v>79</v>
      </c>
      <c r="H228" s="25">
        <f t="shared" si="20"/>
        <v>7.2037490154611756</v>
      </c>
      <c r="I228" s="25">
        <f t="shared" si="21"/>
        <v>1.5462509845388244</v>
      </c>
      <c r="J228" s="25">
        <f t="shared" si="22"/>
        <v>2.3908921071872835</v>
      </c>
      <c r="K228" s="25">
        <f t="shared" si="18"/>
        <v>6.5625</v>
      </c>
      <c r="L228" s="25">
        <f t="shared" si="19"/>
        <v>10.9375</v>
      </c>
      <c r="M228" s="25">
        <f t="shared" si="23"/>
        <v>1</v>
      </c>
    </row>
    <row r="229" spans="1:13" x14ac:dyDescent="0.2">
      <c r="A229" s="4">
        <v>2.9</v>
      </c>
      <c r="B229" s="4">
        <v>11</v>
      </c>
      <c r="C229" s="4">
        <v>2</v>
      </c>
      <c r="D229" s="4">
        <v>0</v>
      </c>
      <c r="E229" s="4">
        <v>0</v>
      </c>
      <c r="F229" s="4">
        <v>0</v>
      </c>
      <c r="G229" s="2" t="s">
        <v>79</v>
      </c>
      <c r="H229" s="25">
        <f t="shared" si="20"/>
        <v>4.7869654873612353</v>
      </c>
      <c r="I229" s="25">
        <f t="shared" si="21"/>
        <v>-1.8869654873612354</v>
      </c>
      <c r="J229" s="25">
        <f t="shared" si="22"/>
        <v>3.5606387504924246</v>
      </c>
      <c r="K229" s="25">
        <f t="shared" si="18"/>
        <v>2.1749999999999998</v>
      </c>
      <c r="L229" s="25">
        <f t="shared" si="19"/>
        <v>3.625</v>
      </c>
      <c r="M229" s="25">
        <f t="shared" si="23"/>
        <v>0</v>
      </c>
    </row>
    <row r="230" spans="1:13" x14ac:dyDescent="0.2">
      <c r="A230" s="4">
        <v>3.52</v>
      </c>
      <c r="B230" s="4">
        <v>12</v>
      </c>
      <c r="C230" s="4">
        <v>1</v>
      </c>
      <c r="D230" s="4">
        <v>0</v>
      </c>
      <c r="E230" s="4">
        <v>1</v>
      </c>
      <c r="F230" s="4">
        <v>0</v>
      </c>
      <c r="G230" s="2" t="s">
        <v>79</v>
      </c>
      <c r="H230" s="25">
        <f t="shared" si="20"/>
        <v>5.6740529639405759</v>
      </c>
      <c r="I230" s="25">
        <f t="shared" si="21"/>
        <v>-2.1540529639405759</v>
      </c>
      <c r="J230" s="25">
        <f t="shared" si="22"/>
        <v>4.6399441714611802</v>
      </c>
      <c r="K230" s="25">
        <f t="shared" si="18"/>
        <v>2.64</v>
      </c>
      <c r="L230" s="25">
        <f t="shared" si="19"/>
        <v>4.4000000000000004</v>
      </c>
      <c r="M230" s="25">
        <f t="shared" si="23"/>
        <v>0</v>
      </c>
    </row>
    <row r="231" spans="1:13" x14ac:dyDescent="0.2">
      <c r="A231" s="4">
        <v>3</v>
      </c>
      <c r="B231" s="4">
        <v>8</v>
      </c>
      <c r="C231" s="4">
        <v>1</v>
      </c>
      <c r="D231" s="4">
        <v>1</v>
      </c>
      <c r="E231" s="4">
        <v>1</v>
      </c>
      <c r="F231" s="4">
        <v>0</v>
      </c>
      <c r="G231" s="2" t="s">
        <v>79</v>
      </c>
      <c r="H231" s="25">
        <f t="shared" si="20"/>
        <v>2.5330563812601099</v>
      </c>
      <c r="I231" s="25">
        <f t="shared" si="21"/>
        <v>0.4669436187398901</v>
      </c>
      <c r="J231" s="25">
        <f t="shared" si="22"/>
        <v>0.21803634308190384</v>
      </c>
      <c r="K231" s="25">
        <f t="shared" si="18"/>
        <v>2.25</v>
      </c>
      <c r="L231" s="25">
        <f t="shared" si="19"/>
        <v>3.75</v>
      </c>
      <c r="M231" s="25">
        <f t="shared" si="23"/>
        <v>1</v>
      </c>
    </row>
    <row r="232" spans="1:13" x14ac:dyDescent="0.2">
      <c r="A232" s="4">
        <v>2.9</v>
      </c>
      <c r="B232" s="4">
        <v>12</v>
      </c>
      <c r="C232" s="4">
        <v>1</v>
      </c>
      <c r="D232" s="4">
        <v>1</v>
      </c>
      <c r="E232" s="4">
        <v>1</v>
      </c>
      <c r="F232" s="4">
        <v>0</v>
      </c>
      <c r="G232" s="2" t="s">
        <v>79</v>
      </c>
      <c r="H232" s="25">
        <f t="shared" si="20"/>
        <v>4.4664832037400632</v>
      </c>
      <c r="I232" s="25">
        <f t="shared" si="21"/>
        <v>-1.5664832037400633</v>
      </c>
      <c r="J232" s="25">
        <f t="shared" si="22"/>
        <v>2.4538696275997327</v>
      </c>
      <c r="K232" s="25">
        <f t="shared" si="18"/>
        <v>2.1749999999999998</v>
      </c>
      <c r="L232" s="25">
        <f t="shared" si="19"/>
        <v>3.625</v>
      </c>
      <c r="M232" s="25">
        <f t="shared" si="23"/>
        <v>0</v>
      </c>
    </row>
    <row r="233" spans="1:13" x14ac:dyDescent="0.2">
      <c r="A233" s="4">
        <v>9</v>
      </c>
      <c r="B233" s="4">
        <v>12</v>
      </c>
      <c r="C233" s="4">
        <v>1</v>
      </c>
      <c r="D233" s="4">
        <v>0</v>
      </c>
      <c r="E233" s="4">
        <v>1</v>
      </c>
      <c r="F233" s="4">
        <v>0</v>
      </c>
      <c r="G233" s="2" t="s">
        <v>79</v>
      </c>
      <c r="H233" s="25">
        <f t="shared" si="20"/>
        <v>5.6740529639405759</v>
      </c>
      <c r="I233" s="25">
        <f t="shared" si="21"/>
        <v>3.3259470360594241</v>
      </c>
      <c r="J233" s="25">
        <f t="shared" si="22"/>
        <v>11.061923686672468</v>
      </c>
      <c r="K233" s="25">
        <f t="shared" si="18"/>
        <v>6.75</v>
      </c>
      <c r="L233" s="25">
        <f t="shared" si="19"/>
        <v>11.25</v>
      </c>
      <c r="M233" s="25">
        <f t="shared" si="23"/>
        <v>0</v>
      </c>
    </row>
    <row r="234" spans="1:13" x14ac:dyDescent="0.2">
      <c r="A234" s="4">
        <v>3</v>
      </c>
      <c r="B234" s="4">
        <v>12</v>
      </c>
      <c r="C234" s="4">
        <v>1</v>
      </c>
      <c r="D234" s="10">
        <v>2</v>
      </c>
      <c r="E234" s="4">
        <v>0</v>
      </c>
      <c r="F234" s="4">
        <v>1</v>
      </c>
      <c r="G234" s="2" t="s">
        <v>79</v>
      </c>
      <c r="H234" s="25">
        <f t="shared" si="20"/>
        <v>3.8114537022578876</v>
      </c>
      <c r="I234" s="25">
        <f t="shared" si="21"/>
        <v>-0.8114537022578876</v>
      </c>
      <c r="J234" s="25">
        <f t="shared" si="22"/>
        <v>0.65845711090803249</v>
      </c>
      <c r="K234" s="25">
        <f t="shared" si="18"/>
        <v>2.25</v>
      </c>
      <c r="L234" s="25">
        <f t="shared" si="19"/>
        <v>3.75</v>
      </c>
      <c r="M234" s="25">
        <f t="shared" si="23"/>
        <v>0</v>
      </c>
    </row>
    <row r="235" spans="1:13" x14ac:dyDescent="0.2">
      <c r="A235" s="4">
        <v>3.5</v>
      </c>
      <c r="B235" s="4">
        <v>13</v>
      </c>
      <c r="C235" s="4">
        <v>1</v>
      </c>
      <c r="D235" s="4">
        <v>1</v>
      </c>
      <c r="E235" s="4">
        <v>1</v>
      </c>
      <c r="F235" s="4">
        <v>0</v>
      </c>
      <c r="G235" s="2" t="s">
        <v>79</v>
      </c>
      <c r="H235" s="25">
        <f t="shared" si="20"/>
        <v>4.9498399093600511</v>
      </c>
      <c r="I235" s="25">
        <f t="shared" si="21"/>
        <v>-1.4498399093600511</v>
      </c>
      <c r="J235" s="25">
        <f t="shared" si="22"/>
        <v>2.1020357627731614</v>
      </c>
      <c r="K235" s="25">
        <f t="shared" si="18"/>
        <v>2.625</v>
      </c>
      <c r="L235" s="25">
        <f t="shared" si="19"/>
        <v>4.375</v>
      </c>
      <c r="M235" s="25">
        <f t="shared" si="23"/>
        <v>0</v>
      </c>
    </row>
    <row r="236" spans="1:13" x14ac:dyDescent="0.2">
      <c r="A236" s="4">
        <v>3</v>
      </c>
      <c r="B236" s="4">
        <v>7</v>
      </c>
      <c r="C236" s="4">
        <v>1</v>
      </c>
      <c r="D236" s="4">
        <v>1</v>
      </c>
      <c r="E236" s="4">
        <v>0</v>
      </c>
      <c r="F236" s="4">
        <v>0</v>
      </c>
      <c r="G236" s="2" t="s">
        <v>79</v>
      </c>
      <c r="H236" s="25">
        <f t="shared" si="20"/>
        <v>1.4846166981923155</v>
      </c>
      <c r="I236" s="25">
        <f t="shared" si="21"/>
        <v>1.5153833018076845</v>
      </c>
      <c r="J236" s="25">
        <f t="shared" si="22"/>
        <v>2.2963865513975601</v>
      </c>
      <c r="K236" s="25">
        <f t="shared" si="18"/>
        <v>2.25</v>
      </c>
      <c r="L236" s="25">
        <f t="shared" si="19"/>
        <v>3.75</v>
      </c>
      <c r="M236" s="25">
        <f t="shared" si="23"/>
        <v>0</v>
      </c>
    </row>
    <row r="237" spans="1:13" x14ac:dyDescent="0.2">
      <c r="A237" s="4">
        <v>4</v>
      </c>
      <c r="B237" s="4">
        <v>9</v>
      </c>
      <c r="C237" s="4">
        <v>1</v>
      </c>
      <c r="D237" s="4">
        <v>1</v>
      </c>
      <c r="E237" s="4">
        <v>1</v>
      </c>
      <c r="F237" s="4">
        <v>0</v>
      </c>
      <c r="G237" s="2" t="s">
        <v>79</v>
      </c>
      <c r="H237" s="25">
        <f t="shared" si="20"/>
        <v>3.0164130868800987</v>
      </c>
      <c r="I237" s="25">
        <f t="shared" si="21"/>
        <v>0.98358691311990132</v>
      </c>
      <c r="J237" s="25">
        <f t="shared" si="22"/>
        <v>0.96744321566073632</v>
      </c>
      <c r="K237" s="25">
        <f t="shared" si="18"/>
        <v>3</v>
      </c>
      <c r="L237" s="25">
        <f t="shared" si="19"/>
        <v>5</v>
      </c>
      <c r="M237" s="25">
        <f t="shared" si="23"/>
        <v>1</v>
      </c>
    </row>
    <row r="238" spans="1:13" x14ac:dyDescent="0.2">
      <c r="A238" s="4">
        <v>2.9</v>
      </c>
      <c r="B238" s="4">
        <v>12</v>
      </c>
      <c r="C238" s="4">
        <v>1</v>
      </c>
      <c r="D238" s="4">
        <v>1</v>
      </c>
      <c r="E238" s="4">
        <v>1</v>
      </c>
      <c r="F238" s="4">
        <v>0</v>
      </c>
      <c r="G238" s="2" t="s">
        <v>79</v>
      </c>
      <c r="H238" s="25">
        <f t="shared" si="20"/>
        <v>4.4664832037400632</v>
      </c>
      <c r="I238" s="25">
        <f t="shared" si="21"/>
        <v>-1.5664832037400633</v>
      </c>
      <c r="J238" s="25">
        <f t="shared" si="22"/>
        <v>2.4538696275997327</v>
      </c>
      <c r="K238" s="25">
        <f t="shared" si="18"/>
        <v>2.1749999999999998</v>
      </c>
      <c r="L238" s="25">
        <f t="shared" si="19"/>
        <v>3.625</v>
      </c>
      <c r="M238" s="25">
        <f t="shared" si="23"/>
        <v>0</v>
      </c>
    </row>
    <row r="239" spans="1:13" x14ac:dyDescent="0.2">
      <c r="A239" s="4">
        <v>4.63</v>
      </c>
      <c r="B239" s="4">
        <v>12</v>
      </c>
      <c r="C239" s="4">
        <v>1</v>
      </c>
      <c r="D239" s="4">
        <v>1</v>
      </c>
      <c r="E239" s="4">
        <v>0</v>
      </c>
      <c r="F239" s="4">
        <v>0</v>
      </c>
      <c r="G239" s="2" t="s">
        <v>79</v>
      </c>
      <c r="H239" s="25">
        <f t="shared" si="20"/>
        <v>3.9014002262922562</v>
      </c>
      <c r="I239" s="25">
        <f t="shared" si="21"/>
        <v>0.72859977370774365</v>
      </c>
      <c r="J239" s="25">
        <f t="shared" si="22"/>
        <v>0.5308576302469753</v>
      </c>
      <c r="K239" s="25">
        <f t="shared" si="18"/>
        <v>3.4725000000000001</v>
      </c>
      <c r="L239" s="25">
        <f t="shared" si="19"/>
        <v>5.7874999999999996</v>
      </c>
      <c r="M239" s="25">
        <f t="shared" si="23"/>
        <v>1</v>
      </c>
    </row>
    <row r="240" spans="1:13" x14ac:dyDescent="0.2">
      <c r="A240" s="4">
        <v>4.72</v>
      </c>
      <c r="B240" s="4">
        <v>12</v>
      </c>
      <c r="C240" s="4">
        <v>1</v>
      </c>
      <c r="D240" s="4">
        <v>1</v>
      </c>
      <c r="E240" s="4">
        <v>0</v>
      </c>
      <c r="F240" s="4">
        <v>0</v>
      </c>
      <c r="G240" s="2" t="s">
        <v>79</v>
      </c>
      <c r="H240" s="25">
        <f t="shared" si="20"/>
        <v>3.9014002262922562</v>
      </c>
      <c r="I240" s="25">
        <f t="shared" si="21"/>
        <v>0.81859977370774351</v>
      </c>
      <c r="J240" s="25">
        <f t="shared" si="22"/>
        <v>0.67010558951436883</v>
      </c>
      <c r="K240" s="25">
        <f t="shared" si="18"/>
        <v>3.54</v>
      </c>
      <c r="L240" s="25">
        <f t="shared" si="19"/>
        <v>5.8999999999999995</v>
      </c>
      <c r="M240" s="25">
        <f t="shared" si="23"/>
        <v>1</v>
      </c>
    </row>
    <row r="241" spans="1:13" x14ac:dyDescent="0.2">
      <c r="A241" s="4">
        <v>2.9</v>
      </c>
      <c r="B241" s="4">
        <v>12</v>
      </c>
      <c r="C241" s="4">
        <v>1</v>
      </c>
      <c r="D241" s="4">
        <v>1</v>
      </c>
      <c r="E241" s="4">
        <v>1</v>
      </c>
      <c r="F241" s="4">
        <v>1</v>
      </c>
      <c r="G241" s="2" t="s">
        <v>79</v>
      </c>
      <c r="H241" s="25">
        <f t="shared" si="20"/>
        <v>5.5841064399062077</v>
      </c>
      <c r="I241" s="25">
        <f t="shared" si="21"/>
        <v>-2.6841064399062078</v>
      </c>
      <c r="J241" s="25">
        <f t="shared" si="22"/>
        <v>7.2044273807459769</v>
      </c>
      <c r="K241" s="25">
        <f t="shared" si="18"/>
        <v>2.1749999999999998</v>
      </c>
      <c r="L241" s="25">
        <f t="shared" si="19"/>
        <v>3.625</v>
      </c>
      <c r="M241" s="25">
        <f t="shared" si="23"/>
        <v>0</v>
      </c>
    </row>
    <row r="242" spans="1:13" x14ac:dyDescent="0.2">
      <c r="A242" s="4">
        <v>5</v>
      </c>
      <c r="B242" s="4">
        <v>11</v>
      </c>
      <c r="C242" s="4">
        <v>1</v>
      </c>
      <c r="D242" s="4">
        <v>0</v>
      </c>
      <c r="E242" s="4">
        <v>1</v>
      </c>
      <c r="F242" s="4">
        <v>0</v>
      </c>
      <c r="G242" s="2" t="s">
        <v>79</v>
      </c>
      <c r="H242" s="25">
        <f t="shared" si="20"/>
        <v>5.190696258320588</v>
      </c>
      <c r="I242" s="25">
        <f t="shared" si="21"/>
        <v>-0.19069625832058801</v>
      </c>
      <c r="J242" s="25">
        <f t="shared" si="22"/>
        <v>3.636506293747243E-2</v>
      </c>
      <c r="K242" s="25">
        <f t="shared" si="18"/>
        <v>3.75</v>
      </c>
      <c r="L242" s="25">
        <f t="shared" si="19"/>
        <v>6.25</v>
      </c>
      <c r="M242" s="25">
        <f t="shared" si="23"/>
        <v>1</v>
      </c>
    </row>
    <row r="243" spans="1:13" x14ac:dyDescent="0.2">
      <c r="A243" s="4">
        <v>8.65</v>
      </c>
      <c r="B243" s="4">
        <v>18</v>
      </c>
      <c r="C243" s="4">
        <v>1</v>
      </c>
      <c r="D243" s="4">
        <v>1</v>
      </c>
      <c r="E243" s="4">
        <v>0</v>
      </c>
      <c r="F243" s="4">
        <v>0</v>
      </c>
      <c r="G243" s="2" t="s">
        <v>79</v>
      </c>
      <c r="H243" s="25">
        <f t="shared" si="20"/>
        <v>6.801540460012184</v>
      </c>
      <c r="I243" s="25">
        <f t="shared" si="21"/>
        <v>1.8484595399878163</v>
      </c>
      <c r="J243" s="25">
        <f t="shared" si="22"/>
        <v>3.4168026709719697</v>
      </c>
      <c r="K243" s="25">
        <f t="shared" si="18"/>
        <v>6.4875000000000007</v>
      </c>
      <c r="L243" s="25">
        <f t="shared" si="19"/>
        <v>10.8125</v>
      </c>
      <c r="M243" s="25">
        <f t="shared" si="23"/>
        <v>1</v>
      </c>
    </row>
    <row r="244" spans="1:13" x14ac:dyDescent="0.2">
      <c r="A244" s="4">
        <v>1.5</v>
      </c>
      <c r="B244" s="4">
        <v>12</v>
      </c>
      <c r="C244" s="4">
        <v>1</v>
      </c>
      <c r="D244" s="4">
        <v>1</v>
      </c>
      <c r="E244" s="4">
        <v>1</v>
      </c>
      <c r="F244" s="4">
        <v>0</v>
      </c>
      <c r="G244" s="2" t="s">
        <v>79</v>
      </c>
      <c r="H244" s="25">
        <f t="shared" si="20"/>
        <v>4.4664832037400632</v>
      </c>
      <c r="I244" s="25">
        <f t="shared" si="21"/>
        <v>-2.9664832037400632</v>
      </c>
      <c r="J244" s="25">
        <f t="shared" si="22"/>
        <v>8.8000225980719105</v>
      </c>
      <c r="K244" s="25">
        <f t="shared" si="18"/>
        <v>1.125</v>
      </c>
      <c r="L244" s="25">
        <f t="shared" si="19"/>
        <v>1.875</v>
      </c>
      <c r="M244" s="25">
        <f t="shared" si="23"/>
        <v>0</v>
      </c>
    </row>
    <row r="245" spans="1:13" x14ac:dyDescent="0.2">
      <c r="A245" s="4">
        <v>6.35</v>
      </c>
      <c r="B245" s="4">
        <v>14</v>
      </c>
      <c r="C245" s="4">
        <v>1</v>
      </c>
      <c r="D245" s="4">
        <v>1</v>
      </c>
      <c r="E245" s="4">
        <v>1</v>
      </c>
      <c r="F245" s="4">
        <v>0</v>
      </c>
      <c r="G245" s="2" t="s">
        <v>79</v>
      </c>
      <c r="H245" s="25">
        <f t="shared" si="20"/>
        <v>5.433196614980039</v>
      </c>
      <c r="I245" s="25">
        <f t="shared" si="21"/>
        <v>0.91680338501996061</v>
      </c>
      <c r="J245" s="25">
        <f t="shared" si="22"/>
        <v>0.84052844678405814</v>
      </c>
      <c r="K245" s="25">
        <f t="shared" si="18"/>
        <v>4.7624999999999993</v>
      </c>
      <c r="L245" s="25">
        <f t="shared" si="19"/>
        <v>7.9375</v>
      </c>
      <c r="M245" s="25">
        <f t="shared" si="23"/>
        <v>1</v>
      </c>
    </row>
    <row r="246" spans="1:13" x14ac:dyDescent="0.2">
      <c r="A246" s="4">
        <v>3.25</v>
      </c>
      <c r="B246" s="4">
        <v>8</v>
      </c>
      <c r="C246" s="4">
        <v>1</v>
      </c>
      <c r="D246" s="4">
        <v>1</v>
      </c>
      <c r="E246" s="4">
        <v>1</v>
      </c>
      <c r="F246" s="4">
        <v>1</v>
      </c>
      <c r="G246" s="2" t="s">
        <v>79</v>
      </c>
      <c r="H246" s="25">
        <f t="shared" si="20"/>
        <v>3.6506796174262544</v>
      </c>
      <c r="I246" s="25">
        <f t="shared" si="21"/>
        <v>-0.40067961742625435</v>
      </c>
      <c r="J246" s="25">
        <f t="shared" si="22"/>
        <v>0.16054415582084955</v>
      </c>
      <c r="K246" s="25">
        <f t="shared" si="18"/>
        <v>2.4375</v>
      </c>
      <c r="L246" s="25">
        <f t="shared" si="19"/>
        <v>4.0625</v>
      </c>
      <c r="M246" s="25">
        <f t="shared" si="23"/>
        <v>1</v>
      </c>
    </row>
    <row r="247" spans="1:13" x14ac:dyDescent="0.2">
      <c r="A247" s="4">
        <v>3.35</v>
      </c>
      <c r="B247" s="4">
        <v>12</v>
      </c>
      <c r="C247" s="4">
        <v>1</v>
      </c>
      <c r="D247" s="4">
        <v>0</v>
      </c>
      <c r="E247" s="4">
        <v>1</v>
      </c>
      <c r="F247" s="4">
        <v>0</v>
      </c>
      <c r="G247" s="2" t="s">
        <v>79</v>
      </c>
      <c r="H247" s="25">
        <f t="shared" si="20"/>
        <v>5.6740529639405759</v>
      </c>
      <c r="I247" s="25">
        <f t="shared" si="21"/>
        <v>-2.3240529639405758</v>
      </c>
      <c r="J247" s="25">
        <f t="shared" si="22"/>
        <v>5.4012221792009756</v>
      </c>
      <c r="K247" s="25">
        <f t="shared" si="18"/>
        <v>2.5125000000000002</v>
      </c>
      <c r="L247" s="25">
        <f t="shared" si="19"/>
        <v>4.1875</v>
      </c>
      <c r="M247" s="25">
        <f t="shared" si="23"/>
        <v>0</v>
      </c>
    </row>
    <row r="248" spans="1:13" x14ac:dyDescent="0.2">
      <c r="A248" s="4">
        <v>8.8000000000000007</v>
      </c>
      <c r="B248" s="4">
        <v>16</v>
      </c>
      <c r="C248" s="4">
        <v>1</v>
      </c>
      <c r="D248" s="4">
        <v>0</v>
      </c>
      <c r="E248" s="4">
        <v>1</v>
      </c>
      <c r="F248" s="4">
        <v>0</v>
      </c>
      <c r="G248" s="2" t="s">
        <v>79</v>
      </c>
      <c r="H248" s="25">
        <f t="shared" si="20"/>
        <v>7.6074797864205284</v>
      </c>
      <c r="I248" s="25">
        <f t="shared" si="21"/>
        <v>1.1925202135794724</v>
      </c>
      <c r="J248" s="25">
        <f t="shared" si="22"/>
        <v>1.4221044597956303</v>
      </c>
      <c r="K248" s="25">
        <f t="shared" si="18"/>
        <v>6.6000000000000005</v>
      </c>
      <c r="L248" s="25">
        <f t="shared" si="19"/>
        <v>11</v>
      </c>
      <c r="M248" s="25">
        <f t="shared" si="23"/>
        <v>1</v>
      </c>
    </row>
    <row r="249" spans="1:13" x14ac:dyDescent="0.2">
      <c r="A249" s="4">
        <v>12.5</v>
      </c>
      <c r="B249" s="4">
        <v>12</v>
      </c>
      <c r="C249" s="4">
        <v>1</v>
      </c>
      <c r="D249" s="4">
        <v>0</v>
      </c>
      <c r="E249" s="4">
        <v>0</v>
      </c>
      <c r="F249" s="4">
        <v>0</v>
      </c>
      <c r="G249" s="2" t="s">
        <v>79</v>
      </c>
      <c r="H249" s="25">
        <f t="shared" si="20"/>
        <v>5.1089699864927693</v>
      </c>
      <c r="I249" s="25">
        <f t="shared" si="21"/>
        <v>7.3910300135072307</v>
      </c>
      <c r="J249" s="25">
        <f t="shared" si="22"/>
        <v>54.627324660564696</v>
      </c>
      <c r="K249" s="25">
        <f t="shared" si="18"/>
        <v>9.375</v>
      </c>
      <c r="L249" s="25">
        <f t="shared" si="19"/>
        <v>15.625</v>
      </c>
      <c r="M249" s="25">
        <f t="shared" si="23"/>
        <v>0</v>
      </c>
    </row>
    <row r="250" spans="1:13" x14ac:dyDescent="0.2">
      <c r="A250" s="4">
        <v>6.36</v>
      </c>
      <c r="B250" s="4">
        <v>14</v>
      </c>
      <c r="C250" s="4">
        <v>1</v>
      </c>
      <c r="D250" s="4">
        <v>0</v>
      </c>
      <c r="E250" s="4">
        <v>1</v>
      </c>
      <c r="F250" s="4">
        <v>0</v>
      </c>
      <c r="G250" s="2" t="s">
        <v>79</v>
      </c>
      <c r="H250" s="25">
        <f t="shared" si="20"/>
        <v>6.6407663751805526</v>
      </c>
      <c r="I250" s="25">
        <f t="shared" si="21"/>
        <v>-0.28076637518055225</v>
      </c>
      <c r="J250" s="25">
        <f t="shared" si="22"/>
        <v>7.8829757432026623E-2</v>
      </c>
      <c r="K250" s="25">
        <f t="shared" si="18"/>
        <v>4.7700000000000005</v>
      </c>
      <c r="L250" s="25">
        <f t="shared" si="19"/>
        <v>7.95</v>
      </c>
      <c r="M250" s="25">
        <f t="shared" si="23"/>
        <v>1</v>
      </c>
    </row>
    <row r="251" spans="1:13" x14ac:dyDescent="0.2">
      <c r="A251" s="4">
        <v>6.5</v>
      </c>
      <c r="B251" s="4">
        <v>12</v>
      </c>
      <c r="C251" s="4">
        <v>1</v>
      </c>
      <c r="D251" s="4">
        <v>1</v>
      </c>
      <c r="E251" s="4">
        <v>0</v>
      </c>
      <c r="F251" s="4">
        <v>0</v>
      </c>
      <c r="G251" s="2" t="s">
        <v>79</v>
      </c>
      <c r="H251" s="25">
        <f t="shared" si="20"/>
        <v>3.9014002262922562</v>
      </c>
      <c r="I251" s="25">
        <f t="shared" si="21"/>
        <v>2.5985997737077438</v>
      </c>
      <c r="J251" s="25">
        <f t="shared" si="22"/>
        <v>6.7527207839139374</v>
      </c>
      <c r="K251" s="25">
        <f t="shared" si="18"/>
        <v>4.875</v>
      </c>
      <c r="L251" s="25">
        <f t="shared" si="19"/>
        <v>8.125</v>
      </c>
      <c r="M251" s="25">
        <f t="shared" si="23"/>
        <v>0</v>
      </c>
    </row>
    <row r="252" spans="1:13" x14ac:dyDescent="0.2">
      <c r="A252" s="4">
        <v>2.31</v>
      </c>
      <c r="B252" s="4">
        <v>9</v>
      </c>
      <c r="C252" s="4">
        <v>1</v>
      </c>
      <c r="D252" s="4">
        <v>1</v>
      </c>
      <c r="E252" s="4">
        <v>0</v>
      </c>
      <c r="F252" s="4">
        <v>0</v>
      </c>
      <c r="G252" s="2" t="s">
        <v>79</v>
      </c>
      <c r="H252" s="25">
        <f t="shared" si="20"/>
        <v>2.4513301094322921</v>
      </c>
      <c r="I252" s="25">
        <f t="shared" si="21"/>
        <v>-0.14133010943229207</v>
      </c>
      <c r="J252" s="25">
        <f t="shared" si="22"/>
        <v>1.9974199832143654E-2</v>
      </c>
      <c r="K252" s="25">
        <f t="shared" si="18"/>
        <v>1.7324999999999999</v>
      </c>
      <c r="L252" s="25">
        <f t="shared" si="19"/>
        <v>2.8875000000000002</v>
      </c>
      <c r="M252" s="25">
        <f t="shared" si="23"/>
        <v>1</v>
      </c>
    </row>
    <row r="253" spans="1:13" x14ac:dyDescent="0.2">
      <c r="A253" s="4">
        <v>3.5</v>
      </c>
      <c r="B253" s="4">
        <v>18</v>
      </c>
      <c r="C253" s="4">
        <v>1</v>
      </c>
      <c r="D253" s="4">
        <v>1</v>
      </c>
      <c r="E253" s="4">
        <v>0</v>
      </c>
      <c r="F253" s="4">
        <v>0</v>
      </c>
      <c r="G253" s="2" t="s">
        <v>79</v>
      </c>
      <c r="H253" s="25">
        <f t="shared" si="20"/>
        <v>6.801540460012184</v>
      </c>
      <c r="I253" s="25">
        <f t="shared" si="21"/>
        <v>-3.301540460012184</v>
      </c>
      <c r="J253" s="25">
        <f t="shared" si="22"/>
        <v>10.900169409097463</v>
      </c>
      <c r="K253" s="25">
        <f t="shared" si="18"/>
        <v>2.625</v>
      </c>
      <c r="L253" s="25">
        <f t="shared" si="19"/>
        <v>4.375</v>
      </c>
      <c r="M253" s="25">
        <f t="shared" si="23"/>
        <v>0</v>
      </c>
    </row>
    <row r="254" spans="1:13" x14ac:dyDescent="0.2">
      <c r="A254" s="4">
        <v>0.53</v>
      </c>
      <c r="B254" s="4">
        <v>12</v>
      </c>
      <c r="C254" s="4">
        <v>1</v>
      </c>
      <c r="D254" s="4">
        <v>1</v>
      </c>
      <c r="E254" s="4">
        <v>0</v>
      </c>
      <c r="F254" s="4">
        <v>1</v>
      </c>
      <c r="G254" s="2" t="s">
        <v>79</v>
      </c>
      <c r="H254" s="25">
        <f t="shared" si="20"/>
        <v>5.0190234624584011</v>
      </c>
      <c r="I254" s="25">
        <f t="shared" si="21"/>
        <v>-4.4890234624584009</v>
      </c>
      <c r="J254" s="25">
        <f t="shared" si="22"/>
        <v>20.151331646502012</v>
      </c>
      <c r="K254" s="25">
        <f t="shared" si="18"/>
        <v>0.39750000000000002</v>
      </c>
      <c r="L254" s="25">
        <f t="shared" si="19"/>
        <v>0.66250000000000009</v>
      </c>
      <c r="M254" s="25">
        <f t="shared" si="23"/>
        <v>0</v>
      </c>
    </row>
    <row r="255" spans="1:13" x14ac:dyDescent="0.2">
      <c r="A255" s="4">
        <v>3</v>
      </c>
      <c r="B255" s="4">
        <v>13</v>
      </c>
      <c r="C255" s="4">
        <v>1</v>
      </c>
      <c r="D255" s="4">
        <v>0</v>
      </c>
      <c r="E255" s="4">
        <v>0</v>
      </c>
      <c r="F255" s="4">
        <v>0</v>
      </c>
      <c r="G255" s="2" t="s">
        <v>79</v>
      </c>
      <c r="H255" s="25">
        <f t="shared" si="20"/>
        <v>5.5923266921127572</v>
      </c>
      <c r="I255" s="25">
        <f t="shared" si="21"/>
        <v>-2.5923266921127572</v>
      </c>
      <c r="J255" s="25">
        <f t="shared" si="22"/>
        <v>6.7201576786402697</v>
      </c>
      <c r="K255" s="25">
        <f t="shared" si="18"/>
        <v>2.25</v>
      </c>
      <c r="L255" s="25">
        <f t="shared" si="19"/>
        <v>3.75</v>
      </c>
      <c r="M255" s="25">
        <f t="shared" si="23"/>
        <v>0</v>
      </c>
    </row>
    <row r="256" spans="1:13" x14ac:dyDescent="0.2">
      <c r="A256" s="4">
        <v>4.68</v>
      </c>
      <c r="B256" s="4">
        <v>16</v>
      </c>
      <c r="C256" s="4">
        <v>1</v>
      </c>
      <c r="D256" s="4">
        <v>1</v>
      </c>
      <c r="E256" s="4">
        <v>0</v>
      </c>
      <c r="F256" s="4">
        <v>0</v>
      </c>
      <c r="G256" s="2" t="s">
        <v>79</v>
      </c>
      <c r="H256" s="25">
        <f t="shared" si="20"/>
        <v>5.8348270487722083</v>
      </c>
      <c r="I256" s="25">
        <f t="shared" si="21"/>
        <v>-1.1548270487722085</v>
      </c>
      <c r="J256" s="25">
        <f t="shared" si="22"/>
        <v>1.3336255125759289</v>
      </c>
      <c r="K256" s="25">
        <f t="shared" si="18"/>
        <v>3.51</v>
      </c>
      <c r="L256" s="25">
        <f t="shared" si="19"/>
        <v>5.85</v>
      </c>
      <c r="M256" s="25">
        <f t="shared" si="23"/>
        <v>1</v>
      </c>
    </row>
    <row r="257" spans="1:13" x14ac:dyDescent="0.2">
      <c r="A257" s="4">
        <v>4.5</v>
      </c>
      <c r="B257" s="4">
        <v>12</v>
      </c>
      <c r="C257" s="4">
        <v>1</v>
      </c>
      <c r="D257" s="4">
        <v>1</v>
      </c>
      <c r="E257" s="4">
        <v>0</v>
      </c>
      <c r="F257" s="4">
        <v>0</v>
      </c>
      <c r="G257" s="2" t="s">
        <v>79</v>
      </c>
      <c r="H257" s="25">
        <f t="shared" si="20"/>
        <v>3.9014002262922562</v>
      </c>
      <c r="I257" s="25">
        <f t="shared" si="21"/>
        <v>0.59859977370774375</v>
      </c>
      <c r="J257" s="25">
        <f t="shared" si="22"/>
        <v>0.35832168908296202</v>
      </c>
      <c r="K257" s="25">
        <f t="shared" si="18"/>
        <v>3.375</v>
      </c>
      <c r="L257" s="25">
        <f t="shared" si="19"/>
        <v>5.625</v>
      </c>
      <c r="M257" s="25">
        <f t="shared" si="23"/>
        <v>1</v>
      </c>
    </row>
    <row r="258" spans="1:13" x14ac:dyDescent="0.2">
      <c r="A258" s="4">
        <v>3.1</v>
      </c>
      <c r="B258" s="4">
        <v>12</v>
      </c>
      <c r="C258" s="4">
        <v>1</v>
      </c>
      <c r="D258" s="4">
        <v>1</v>
      </c>
      <c r="E258" s="4">
        <v>0</v>
      </c>
      <c r="F258" s="4">
        <v>0</v>
      </c>
      <c r="G258" s="2" t="s">
        <v>79</v>
      </c>
      <c r="H258" s="25">
        <f t="shared" si="20"/>
        <v>3.9014002262922562</v>
      </c>
      <c r="I258" s="25">
        <f t="shared" si="21"/>
        <v>-0.80140022629225616</v>
      </c>
      <c r="J258" s="25">
        <f t="shared" si="22"/>
        <v>0.64224232270127934</v>
      </c>
      <c r="K258" s="25">
        <f t="shared" ref="K258:K321" si="24">A258*(1-$Q$41)</f>
        <v>2.3250000000000002</v>
      </c>
      <c r="L258" s="25">
        <f t="shared" ref="L258:L321" si="25">A258*(1+$Q$41)</f>
        <v>3.875</v>
      </c>
      <c r="M258" s="25">
        <f t="shared" si="23"/>
        <v>0</v>
      </c>
    </row>
    <row r="259" spans="1:13" x14ac:dyDescent="0.2">
      <c r="A259" s="4">
        <v>5</v>
      </c>
      <c r="B259" s="4">
        <v>16</v>
      </c>
      <c r="C259" s="4">
        <v>1</v>
      </c>
      <c r="D259" s="4">
        <v>1</v>
      </c>
      <c r="E259" s="4">
        <v>1</v>
      </c>
      <c r="F259" s="4">
        <v>0</v>
      </c>
      <c r="G259" s="2" t="s">
        <v>79</v>
      </c>
      <c r="H259" s="25">
        <f t="shared" ref="H259:H322" si="26">$P$33+($P$34*B259)+($P$35*C259)+($P$36*D259)+($P$37*E259)+($P$38*F259)</f>
        <v>6.3999100262200148</v>
      </c>
      <c r="I259" s="25">
        <f t="shared" ref="I259:I322" si="27">(A259-H259)</f>
        <v>-1.3999100262200148</v>
      </c>
      <c r="J259" s="25">
        <f t="shared" ref="J259:J322" si="28">I259^2</f>
        <v>1.9597480815113226</v>
      </c>
      <c r="K259" s="25">
        <f t="shared" si="24"/>
        <v>3.75</v>
      </c>
      <c r="L259" s="25">
        <f t="shared" si="25"/>
        <v>6.25</v>
      </c>
      <c r="M259" s="25">
        <f t="shared" ref="M259:M322" si="29">IF(AND(H259&gt;=K259,H259&lt;=L259),1,0)</f>
        <v>0</v>
      </c>
    </row>
    <row r="260" spans="1:13" x14ac:dyDescent="0.2">
      <c r="A260" s="4">
        <v>3</v>
      </c>
      <c r="B260" s="4">
        <v>10</v>
      </c>
      <c r="C260" s="4">
        <v>1</v>
      </c>
      <c r="D260" s="4">
        <v>1</v>
      </c>
      <c r="E260" s="4">
        <v>0</v>
      </c>
      <c r="F260" s="4">
        <v>0</v>
      </c>
      <c r="G260" s="2" t="s">
        <v>79</v>
      </c>
      <c r="H260" s="25">
        <f t="shared" si="26"/>
        <v>2.9346868150522805</v>
      </c>
      <c r="I260" s="25">
        <f t="shared" si="27"/>
        <v>6.5313184947719538E-2</v>
      </c>
      <c r="J260" s="25">
        <f t="shared" si="28"/>
        <v>4.2658121280150178E-3</v>
      </c>
      <c r="K260" s="25">
        <f t="shared" si="24"/>
        <v>2.25</v>
      </c>
      <c r="L260" s="25">
        <f t="shared" si="25"/>
        <v>3.75</v>
      </c>
      <c r="M260" s="25">
        <f t="shared" si="29"/>
        <v>1</v>
      </c>
    </row>
    <row r="261" spans="1:13" x14ac:dyDescent="0.2">
      <c r="A261" s="4">
        <v>3.13</v>
      </c>
      <c r="B261" s="4">
        <v>10</v>
      </c>
      <c r="C261" s="4">
        <v>1</v>
      </c>
      <c r="D261" s="4">
        <v>0</v>
      </c>
      <c r="E261" s="4">
        <v>0</v>
      </c>
      <c r="F261" s="4">
        <v>1</v>
      </c>
      <c r="G261" s="2" t="s">
        <v>79</v>
      </c>
      <c r="H261" s="25">
        <f t="shared" si="26"/>
        <v>5.259879811418938</v>
      </c>
      <c r="I261" s="25">
        <f t="shared" si="27"/>
        <v>-2.1298798114189381</v>
      </c>
      <c r="J261" s="25">
        <f t="shared" si="28"/>
        <v>4.5363880110899713</v>
      </c>
      <c r="K261" s="25">
        <f t="shared" si="24"/>
        <v>2.3475000000000001</v>
      </c>
      <c r="L261" s="25">
        <f t="shared" si="25"/>
        <v>3.9124999999999996</v>
      </c>
      <c r="M261" s="25">
        <f t="shared" si="29"/>
        <v>0</v>
      </c>
    </row>
    <row r="262" spans="1:13" x14ac:dyDescent="0.2">
      <c r="A262" s="4">
        <v>3.4</v>
      </c>
      <c r="B262" s="4">
        <v>16</v>
      </c>
      <c r="C262" s="4">
        <v>1</v>
      </c>
      <c r="D262" s="4">
        <v>1</v>
      </c>
      <c r="E262" s="4">
        <v>0</v>
      </c>
      <c r="F262" s="4">
        <v>0</v>
      </c>
      <c r="G262" s="2" t="s">
        <v>79</v>
      </c>
      <c r="H262" s="25">
        <f t="shared" si="26"/>
        <v>5.8348270487722083</v>
      </c>
      <c r="I262" s="25">
        <f t="shared" si="27"/>
        <v>-2.4348270487722083</v>
      </c>
      <c r="J262" s="25">
        <f t="shared" si="28"/>
        <v>5.9283827574327814</v>
      </c>
      <c r="K262" s="25">
        <f t="shared" si="24"/>
        <v>2.5499999999999998</v>
      </c>
      <c r="L262" s="25">
        <f t="shared" si="25"/>
        <v>4.25</v>
      </c>
      <c r="M262" s="25">
        <f t="shared" si="29"/>
        <v>0</v>
      </c>
    </row>
    <row r="263" spans="1:13" x14ac:dyDescent="0.2">
      <c r="A263" s="4">
        <v>4.28</v>
      </c>
      <c r="B263" s="4">
        <v>13</v>
      </c>
      <c r="C263" s="4">
        <v>1</v>
      </c>
      <c r="D263" s="4">
        <v>1</v>
      </c>
      <c r="E263" s="4">
        <v>0</v>
      </c>
      <c r="F263" s="4">
        <v>0</v>
      </c>
      <c r="G263" s="2" t="s">
        <v>79</v>
      </c>
      <c r="H263" s="25">
        <f t="shared" si="26"/>
        <v>4.3847569319122446</v>
      </c>
      <c r="I263" s="25">
        <f t="shared" si="27"/>
        <v>-0.10475693191224433</v>
      </c>
      <c r="J263" s="25">
        <f t="shared" si="28"/>
        <v>1.0974014783666596E-2</v>
      </c>
      <c r="K263" s="25">
        <f t="shared" si="24"/>
        <v>3.21</v>
      </c>
      <c r="L263" s="25">
        <f t="shared" si="25"/>
        <v>5.3500000000000005</v>
      </c>
      <c r="M263" s="25">
        <f t="shared" si="29"/>
        <v>1</v>
      </c>
    </row>
    <row r="264" spans="1:13" x14ac:dyDescent="0.2">
      <c r="A264" s="4">
        <v>3</v>
      </c>
      <c r="B264" s="4">
        <v>11</v>
      </c>
      <c r="C264" s="4">
        <v>1</v>
      </c>
      <c r="D264" s="4">
        <v>1</v>
      </c>
      <c r="E264" s="4">
        <v>0</v>
      </c>
      <c r="F264" s="4">
        <v>0</v>
      </c>
      <c r="G264" s="2" t="s">
        <v>79</v>
      </c>
      <c r="H264" s="25">
        <f t="shared" si="26"/>
        <v>3.4180435206722684</v>
      </c>
      <c r="I264" s="25">
        <f t="shared" si="27"/>
        <v>-0.41804352067226835</v>
      </c>
      <c r="J264" s="25">
        <f t="shared" si="28"/>
        <v>0.17476038517606526</v>
      </c>
      <c r="K264" s="25">
        <f t="shared" si="24"/>
        <v>2.25</v>
      </c>
      <c r="L264" s="25">
        <f t="shared" si="25"/>
        <v>3.75</v>
      </c>
      <c r="M264" s="25">
        <f t="shared" si="29"/>
        <v>1</v>
      </c>
    </row>
    <row r="265" spans="1:13" x14ac:dyDescent="0.2">
      <c r="A265" s="4">
        <v>3</v>
      </c>
      <c r="B265" s="4">
        <v>4</v>
      </c>
      <c r="C265" s="4">
        <v>0</v>
      </c>
      <c r="D265" s="4">
        <v>0</v>
      </c>
      <c r="E265" s="4">
        <v>1</v>
      </c>
      <c r="F265" s="4">
        <v>0</v>
      </c>
      <c r="G265" s="2" t="s">
        <v>79</v>
      </c>
      <c r="H265" s="25">
        <f t="shared" si="26"/>
        <v>1.6458471124922169</v>
      </c>
      <c r="I265" s="25">
        <f t="shared" si="27"/>
        <v>1.3541528875077831</v>
      </c>
      <c r="J265" s="25">
        <f t="shared" si="28"/>
        <v>1.8337300427456666</v>
      </c>
      <c r="K265" s="25">
        <f t="shared" si="24"/>
        <v>2.25</v>
      </c>
      <c r="L265" s="25">
        <f t="shared" si="25"/>
        <v>3.75</v>
      </c>
      <c r="M265" s="25">
        <f t="shared" si="29"/>
        <v>0</v>
      </c>
    </row>
    <row r="266" spans="1:13" x14ac:dyDescent="0.2">
      <c r="A266" s="4">
        <v>3</v>
      </c>
      <c r="B266" s="4">
        <v>10</v>
      </c>
      <c r="C266" s="4">
        <v>0</v>
      </c>
      <c r="D266" s="4">
        <v>0</v>
      </c>
      <c r="E266" s="4">
        <v>0</v>
      </c>
      <c r="F266" s="4">
        <v>0</v>
      </c>
      <c r="G266" s="2" t="s">
        <v>79</v>
      </c>
      <c r="H266" s="25">
        <f t="shared" si="26"/>
        <v>3.9809043687643388</v>
      </c>
      <c r="I266" s="25">
        <f t="shared" si="27"/>
        <v>-0.98090436876433884</v>
      </c>
      <c r="J266" s="25">
        <f t="shared" si="28"/>
        <v>0.96217338066096603</v>
      </c>
      <c r="K266" s="25">
        <f t="shared" si="24"/>
        <v>2.25</v>
      </c>
      <c r="L266" s="25">
        <f t="shared" si="25"/>
        <v>3.75</v>
      </c>
      <c r="M266" s="25">
        <f t="shared" si="29"/>
        <v>0</v>
      </c>
    </row>
    <row r="267" spans="1:13" x14ac:dyDescent="0.2">
      <c r="A267" s="4">
        <v>2.5299999999999998</v>
      </c>
      <c r="B267" s="4">
        <v>12</v>
      </c>
      <c r="C267" s="4">
        <v>0</v>
      </c>
      <c r="D267" s="4">
        <v>1</v>
      </c>
      <c r="E267" s="4">
        <v>0</v>
      </c>
      <c r="F267" s="4">
        <v>0</v>
      </c>
      <c r="G267" s="2" t="s">
        <v>79</v>
      </c>
      <c r="H267" s="25">
        <f t="shared" si="26"/>
        <v>3.7400480198038015</v>
      </c>
      <c r="I267" s="25">
        <f t="shared" si="27"/>
        <v>-1.2100480198038017</v>
      </c>
      <c r="J267" s="25">
        <f t="shared" si="28"/>
        <v>1.4642162102311018</v>
      </c>
      <c r="K267" s="25">
        <f t="shared" si="24"/>
        <v>1.8975</v>
      </c>
      <c r="L267" s="25">
        <f t="shared" si="25"/>
        <v>3.1624999999999996</v>
      </c>
      <c r="M267" s="25">
        <f t="shared" si="29"/>
        <v>0</v>
      </c>
    </row>
    <row r="268" spans="1:13" x14ac:dyDescent="0.2">
      <c r="A268" s="4">
        <v>2.89</v>
      </c>
      <c r="B268" s="4">
        <v>0</v>
      </c>
      <c r="C268" s="4">
        <v>0</v>
      </c>
      <c r="D268" s="4">
        <v>1</v>
      </c>
      <c r="E268" s="4">
        <v>1</v>
      </c>
      <c r="F268" s="4">
        <v>1</v>
      </c>
      <c r="G268" s="2" t="s">
        <v>79</v>
      </c>
      <c r="H268" s="25">
        <f t="shared" si="26"/>
        <v>-0.37752623402210395</v>
      </c>
      <c r="I268" s="25">
        <f t="shared" si="27"/>
        <v>3.2675262340221041</v>
      </c>
      <c r="J268" s="25">
        <f t="shared" si="28"/>
        <v>10.676727690022673</v>
      </c>
      <c r="K268" s="25">
        <f t="shared" si="24"/>
        <v>2.1675</v>
      </c>
      <c r="L268" s="25">
        <f t="shared" si="25"/>
        <v>3.6125000000000003</v>
      </c>
      <c r="M268" s="25">
        <f t="shared" si="29"/>
        <v>0</v>
      </c>
    </row>
    <row r="269" spans="1:13" x14ac:dyDescent="0.2">
      <c r="A269" s="4">
        <v>3.25</v>
      </c>
      <c r="B269" s="4">
        <v>12</v>
      </c>
      <c r="C269" s="4">
        <v>0</v>
      </c>
      <c r="D269" s="4">
        <v>1</v>
      </c>
      <c r="E269" s="4">
        <v>1</v>
      </c>
      <c r="F269" s="4">
        <v>1</v>
      </c>
      <c r="G269" s="2" t="s">
        <v>79</v>
      </c>
      <c r="H269" s="25">
        <f t="shared" si="26"/>
        <v>5.422754233417753</v>
      </c>
      <c r="I269" s="25">
        <f t="shared" si="27"/>
        <v>-2.172754233417753</v>
      </c>
      <c r="J269" s="25">
        <f t="shared" si="28"/>
        <v>4.7208609588347672</v>
      </c>
      <c r="K269" s="25">
        <f t="shared" si="24"/>
        <v>2.4375</v>
      </c>
      <c r="L269" s="25">
        <f t="shared" si="25"/>
        <v>4.0625</v>
      </c>
      <c r="M269" s="25">
        <f t="shared" si="29"/>
        <v>0</v>
      </c>
    </row>
    <row r="270" spans="1:13" x14ac:dyDescent="0.2">
      <c r="A270" s="4">
        <v>3</v>
      </c>
      <c r="B270" s="4">
        <v>12</v>
      </c>
      <c r="C270" s="4">
        <v>0</v>
      </c>
      <c r="D270" s="4">
        <v>1</v>
      </c>
      <c r="E270" s="4">
        <v>1</v>
      </c>
      <c r="F270" s="4">
        <v>0</v>
      </c>
      <c r="G270" s="2" t="s">
        <v>79</v>
      </c>
      <c r="H270" s="25">
        <f t="shared" si="26"/>
        <v>4.3051309972516085</v>
      </c>
      <c r="I270" s="25">
        <f t="shared" si="27"/>
        <v>-1.3051309972516085</v>
      </c>
      <c r="J270" s="25">
        <f t="shared" si="28"/>
        <v>1.7033669199869781</v>
      </c>
      <c r="K270" s="25">
        <f t="shared" si="24"/>
        <v>2.25</v>
      </c>
      <c r="L270" s="25">
        <f t="shared" si="25"/>
        <v>3.75</v>
      </c>
      <c r="M270" s="25">
        <f t="shared" si="29"/>
        <v>0</v>
      </c>
    </row>
    <row r="271" spans="1:13" x14ac:dyDescent="0.2">
      <c r="A271" s="4">
        <v>2.9</v>
      </c>
      <c r="B271" s="4">
        <v>12</v>
      </c>
      <c r="C271" s="4">
        <v>0</v>
      </c>
      <c r="D271" s="4">
        <v>1</v>
      </c>
      <c r="E271" s="4">
        <v>1</v>
      </c>
      <c r="F271" s="4">
        <v>0</v>
      </c>
      <c r="G271" s="2" t="s">
        <v>79</v>
      </c>
      <c r="H271" s="25">
        <f t="shared" si="26"/>
        <v>4.3051309972516085</v>
      </c>
      <c r="I271" s="25">
        <f t="shared" si="27"/>
        <v>-1.4051309972516086</v>
      </c>
      <c r="J271" s="25">
        <f t="shared" si="28"/>
        <v>1.9743931194373001</v>
      </c>
      <c r="K271" s="25">
        <f t="shared" si="24"/>
        <v>2.1749999999999998</v>
      </c>
      <c r="L271" s="25">
        <f t="shared" si="25"/>
        <v>3.625</v>
      </c>
      <c r="M271" s="25">
        <f t="shared" si="29"/>
        <v>0</v>
      </c>
    </row>
    <row r="272" spans="1:13" x14ac:dyDescent="0.2">
      <c r="A272" s="4">
        <v>6.63</v>
      </c>
      <c r="B272" s="4">
        <v>12</v>
      </c>
      <c r="C272" s="4">
        <v>0</v>
      </c>
      <c r="D272" s="4">
        <v>1</v>
      </c>
      <c r="E272" s="4">
        <v>0</v>
      </c>
      <c r="F272" s="4">
        <v>0</v>
      </c>
      <c r="G272" s="2" t="s">
        <v>79</v>
      </c>
      <c r="H272" s="25">
        <f t="shared" si="26"/>
        <v>3.7400480198038015</v>
      </c>
      <c r="I272" s="25">
        <f t="shared" si="27"/>
        <v>2.8899519801961984</v>
      </c>
      <c r="J272" s="25">
        <f t="shared" si="28"/>
        <v>8.351822447839929</v>
      </c>
      <c r="K272" s="25">
        <f t="shared" si="24"/>
        <v>4.9725000000000001</v>
      </c>
      <c r="L272" s="25">
        <f t="shared" si="25"/>
        <v>8.2874999999999996</v>
      </c>
      <c r="M272" s="25">
        <f t="shared" si="29"/>
        <v>0</v>
      </c>
    </row>
    <row r="273" spans="1:13" x14ac:dyDescent="0.2">
      <c r="A273" s="4">
        <v>3</v>
      </c>
      <c r="B273" s="4">
        <v>4</v>
      </c>
      <c r="C273" s="4">
        <v>0</v>
      </c>
      <c r="D273" s="4">
        <v>0</v>
      </c>
      <c r="E273" s="4">
        <v>1</v>
      </c>
      <c r="F273" s="4">
        <v>0</v>
      </c>
      <c r="G273" s="2" t="s">
        <v>79</v>
      </c>
      <c r="H273" s="25">
        <f t="shared" si="26"/>
        <v>1.6458471124922169</v>
      </c>
      <c r="I273" s="25">
        <f t="shared" si="27"/>
        <v>1.3541528875077831</v>
      </c>
      <c r="J273" s="25">
        <f t="shared" si="28"/>
        <v>1.8337300427456666</v>
      </c>
      <c r="K273" s="25">
        <f t="shared" si="24"/>
        <v>2.25</v>
      </c>
      <c r="L273" s="25">
        <f t="shared" si="25"/>
        <v>3.75</v>
      </c>
      <c r="M273" s="25">
        <f t="shared" si="29"/>
        <v>0</v>
      </c>
    </row>
    <row r="274" spans="1:13" x14ac:dyDescent="0.2">
      <c r="A274" s="4">
        <v>3.35</v>
      </c>
      <c r="B274" s="4">
        <v>7</v>
      </c>
      <c r="C274" s="4">
        <v>0</v>
      </c>
      <c r="D274" s="4">
        <v>1</v>
      </c>
      <c r="E274" s="4">
        <v>0</v>
      </c>
      <c r="F274" s="4">
        <v>0</v>
      </c>
      <c r="G274" s="2" t="s">
        <v>79</v>
      </c>
      <c r="H274" s="25">
        <f t="shared" si="26"/>
        <v>1.3232644917038612</v>
      </c>
      <c r="I274" s="25">
        <f t="shared" si="27"/>
        <v>2.0267355082961389</v>
      </c>
      <c r="J274" s="25">
        <f t="shared" si="28"/>
        <v>4.1076568205884083</v>
      </c>
      <c r="K274" s="25">
        <f t="shared" si="24"/>
        <v>2.5125000000000002</v>
      </c>
      <c r="L274" s="25">
        <f t="shared" si="25"/>
        <v>4.1875</v>
      </c>
      <c r="M274" s="25">
        <f t="shared" si="29"/>
        <v>0</v>
      </c>
    </row>
    <row r="275" spans="1:13" x14ac:dyDescent="0.2">
      <c r="A275" s="4">
        <v>2.9</v>
      </c>
      <c r="B275" s="4">
        <v>5</v>
      </c>
      <c r="C275" s="4">
        <v>0</v>
      </c>
      <c r="D275" s="4">
        <v>1</v>
      </c>
      <c r="E275" s="4">
        <v>1</v>
      </c>
      <c r="F275" s="4">
        <v>1</v>
      </c>
      <c r="G275" s="2" t="s">
        <v>79</v>
      </c>
      <c r="H275" s="25">
        <f t="shared" si="26"/>
        <v>2.0392572940778368</v>
      </c>
      <c r="I275" s="25">
        <f t="shared" si="27"/>
        <v>0.86074270592216306</v>
      </c>
      <c r="J275" s="25">
        <f t="shared" si="28"/>
        <v>0.74087800579820728</v>
      </c>
      <c r="K275" s="25">
        <f t="shared" si="24"/>
        <v>2.1749999999999998</v>
      </c>
      <c r="L275" s="25">
        <f t="shared" si="25"/>
        <v>3.625</v>
      </c>
      <c r="M275" s="25">
        <f t="shared" si="29"/>
        <v>0</v>
      </c>
    </row>
    <row r="276" spans="1:13" x14ac:dyDescent="0.2">
      <c r="A276" s="4">
        <v>3</v>
      </c>
      <c r="B276" s="4">
        <v>8</v>
      </c>
      <c r="C276" s="4">
        <v>0</v>
      </c>
      <c r="D276" s="4">
        <v>0</v>
      </c>
      <c r="E276" s="4">
        <v>1</v>
      </c>
      <c r="F276" s="4">
        <v>0</v>
      </c>
      <c r="G276" s="2" t="s">
        <v>79</v>
      </c>
      <c r="H276" s="25">
        <f t="shared" si="26"/>
        <v>3.5792739349721687</v>
      </c>
      <c r="I276" s="25">
        <f t="shared" si="27"/>
        <v>-0.57927393497216872</v>
      </c>
      <c r="J276" s="25">
        <f t="shared" si="28"/>
        <v>0.33555829173814034</v>
      </c>
      <c r="K276" s="25">
        <f t="shared" si="24"/>
        <v>2.25</v>
      </c>
      <c r="L276" s="25">
        <f t="shared" si="25"/>
        <v>3.75</v>
      </c>
      <c r="M276" s="25">
        <f t="shared" si="29"/>
        <v>1</v>
      </c>
    </row>
    <row r="277" spans="1:13" x14ac:dyDescent="0.2">
      <c r="A277" s="4">
        <v>3</v>
      </c>
      <c r="B277" s="4">
        <v>15</v>
      </c>
      <c r="C277" s="4">
        <v>0</v>
      </c>
      <c r="D277" s="4">
        <v>0</v>
      </c>
      <c r="E277" s="4">
        <v>1</v>
      </c>
      <c r="F277" s="4">
        <v>0</v>
      </c>
      <c r="G277" s="2" t="s">
        <v>79</v>
      </c>
      <c r="H277" s="25">
        <f t="shared" si="26"/>
        <v>6.9627708743120857</v>
      </c>
      <c r="I277" s="25">
        <f t="shared" si="27"/>
        <v>-3.9627708743120857</v>
      </c>
      <c r="J277" s="25">
        <f t="shared" si="28"/>
        <v>15.703553002296173</v>
      </c>
      <c r="K277" s="25">
        <f t="shared" si="24"/>
        <v>2.25</v>
      </c>
      <c r="L277" s="25">
        <f t="shared" si="25"/>
        <v>3.75</v>
      </c>
      <c r="M277" s="25">
        <f t="shared" si="29"/>
        <v>0</v>
      </c>
    </row>
    <row r="278" spans="1:13" x14ac:dyDescent="0.2">
      <c r="A278" s="4">
        <v>12.5</v>
      </c>
      <c r="B278" s="4">
        <v>16</v>
      </c>
      <c r="C278" s="4">
        <v>0</v>
      </c>
      <c r="D278" s="4">
        <v>0</v>
      </c>
      <c r="E278" s="4">
        <v>1</v>
      </c>
      <c r="F278" s="4">
        <v>1</v>
      </c>
      <c r="G278" s="2" t="s">
        <v>79</v>
      </c>
      <c r="H278" s="25">
        <f t="shared" si="26"/>
        <v>8.563750816098219</v>
      </c>
      <c r="I278" s="25">
        <f t="shared" si="27"/>
        <v>3.936249183901781</v>
      </c>
      <c r="J278" s="25">
        <f t="shared" si="28"/>
        <v>15.494057637767437</v>
      </c>
      <c r="K278" s="25">
        <f t="shared" si="24"/>
        <v>9.375</v>
      </c>
      <c r="L278" s="25">
        <f t="shared" si="25"/>
        <v>15.625</v>
      </c>
      <c r="M278" s="25">
        <f t="shared" si="29"/>
        <v>0</v>
      </c>
    </row>
    <row r="279" spans="1:13" x14ac:dyDescent="0.2">
      <c r="A279" s="4">
        <v>12.5</v>
      </c>
      <c r="B279" s="4">
        <v>15</v>
      </c>
      <c r="C279" s="4">
        <v>0</v>
      </c>
      <c r="D279" s="4">
        <v>0</v>
      </c>
      <c r="E279" s="4">
        <v>1</v>
      </c>
      <c r="F279" s="4">
        <v>1</v>
      </c>
      <c r="G279" s="2" t="s">
        <v>79</v>
      </c>
      <c r="H279" s="25">
        <f t="shared" si="26"/>
        <v>8.0803941104782311</v>
      </c>
      <c r="I279" s="25">
        <f t="shared" si="27"/>
        <v>4.4196058895217689</v>
      </c>
      <c r="J279" s="25">
        <f t="shared" si="28"/>
        <v>19.532916218695505</v>
      </c>
      <c r="K279" s="25">
        <f t="shared" si="24"/>
        <v>9.375</v>
      </c>
      <c r="L279" s="25">
        <f t="shared" si="25"/>
        <v>15.625</v>
      </c>
      <c r="M279" s="25">
        <f t="shared" si="29"/>
        <v>0</v>
      </c>
    </row>
    <row r="280" spans="1:13" x14ac:dyDescent="0.2">
      <c r="A280" s="4">
        <v>4.1399999999999997</v>
      </c>
      <c r="B280" s="4">
        <v>13</v>
      </c>
      <c r="C280" s="4">
        <v>0</v>
      </c>
      <c r="D280" s="4">
        <v>1</v>
      </c>
      <c r="E280" s="4">
        <v>1</v>
      </c>
      <c r="F280" s="4">
        <v>0</v>
      </c>
      <c r="G280" s="2" t="s">
        <v>79</v>
      </c>
      <c r="H280" s="25">
        <f t="shared" si="26"/>
        <v>4.7884877028715955</v>
      </c>
      <c r="I280" s="25">
        <f t="shared" si="27"/>
        <v>-0.64848770287159585</v>
      </c>
      <c r="J280" s="25">
        <f t="shared" si="28"/>
        <v>0.42053630077567916</v>
      </c>
      <c r="K280" s="25">
        <f t="shared" si="24"/>
        <v>3.1049999999999995</v>
      </c>
      <c r="L280" s="25">
        <f t="shared" si="25"/>
        <v>5.1749999999999998</v>
      </c>
      <c r="M280" s="25">
        <f t="shared" si="29"/>
        <v>1</v>
      </c>
    </row>
    <row r="281" spans="1:13" x14ac:dyDescent="0.2">
      <c r="A281" s="4">
        <v>3.2</v>
      </c>
      <c r="B281" s="4">
        <v>12</v>
      </c>
      <c r="C281" s="4">
        <v>0</v>
      </c>
      <c r="D281" s="4">
        <v>1</v>
      </c>
      <c r="E281" s="4">
        <v>0</v>
      </c>
      <c r="F281" s="4">
        <v>0</v>
      </c>
      <c r="G281" s="2" t="s">
        <v>79</v>
      </c>
      <c r="H281" s="25">
        <f t="shared" si="26"/>
        <v>3.7400480198038015</v>
      </c>
      <c r="I281" s="25">
        <f t="shared" si="27"/>
        <v>-0.54004801980380135</v>
      </c>
      <c r="J281" s="25">
        <f t="shared" si="28"/>
        <v>0.29165186369400703</v>
      </c>
      <c r="K281" s="25">
        <f t="shared" si="24"/>
        <v>2.4000000000000004</v>
      </c>
      <c r="L281" s="25">
        <f t="shared" si="25"/>
        <v>4</v>
      </c>
      <c r="M281" s="25">
        <f t="shared" si="29"/>
        <v>1</v>
      </c>
    </row>
    <row r="282" spans="1:13" x14ac:dyDescent="0.2">
      <c r="A282" s="4">
        <v>3.25</v>
      </c>
      <c r="B282" s="4">
        <v>9</v>
      </c>
      <c r="C282" s="4">
        <v>0</v>
      </c>
      <c r="D282" s="4">
        <v>0</v>
      </c>
      <c r="E282" s="4">
        <v>1</v>
      </c>
      <c r="F282" s="4">
        <v>0</v>
      </c>
      <c r="G282" s="2" t="s">
        <v>79</v>
      </c>
      <c r="H282" s="25">
        <f t="shared" si="26"/>
        <v>4.0626306405921575</v>
      </c>
      <c r="I282" s="25">
        <f t="shared" si="27"/>
        <v>-0.8126306405921575</v>
      </c>
      <c r="J282" s="25">
        <f t="shared" si="28"/>
        <v>0.66036855802922023</v>
      </c>
      <c r="K282" s="25">
        <f t="shared" si="24"/>
        <v>2.4375</v>
      </c>
      <c r="L282" s="25">
        <f t="shared" si="25"/>
        <v>4.0625</v>
      </c>
      <c r="M282" s="25">
        <f t="shared" si="29"/>
        <v>0</v>
      </c>
    </row>
    <row r="283" spans="1:13" x14ac:dyDescent="0.2">
      <c r="A283" s="4">
        <v>10</v>
      </c>
      <c r="B283" s="4">
        <v>12</v>
      </c>
      <c r="C283" s="4">
        <v>0</v>
      </c>
      <c r="D283" s="4">
        <v>0</v>
      </c>
      <c r="E283" s="4">
        <v>1</v>
      </c>
      <c r="F283" s="4">
        <v>0</v>
      </c>
      <c r="G283" s="2" t="s">
        <v>79</v>
      </c>
      <c r="H283" s="25">
        <f t="shared" si="26"/>
        <v>5.5127007574521212</v>
      </c>
      <c r="I283" s="25">
        <f t="shared" si="27"/>
        <v>4.4872992425478788</v>
      </c>
      <c r="J283" s="25">
        <f t="shared" si="28"/>
        <v>20.135854492170768</v>
      </c>
      <c r="K283" s="25">
        <f t="shared" si="24"/>
        <v>7.5</v>
      </c>
      <c r="L283" s="25">
        <f t="shared" si="25"/>
        <v>12.5</v>
      </c>
      <c r="M283" s="25">
        <f t="shared" si="29"/>
        <v>0</v>
      </c>
    </row>
    <row r="284" spans="1:13" x14ac:dyDescent="0.2">
      <c r="A284" s="4">
        <v>4</v>
      </c>
      <c r="B284" s="4">
        <v>12</v>
      </c>
      <c r="C284" s="4">
        <v>0</v>
      </c>
      <c r="D284" s="4">
        <v>1</v>
      </c>
      <c r="E284" s="4">
        <v>1</v>
      </c>
      <c r="F284" s="4">
        <v>0</v>
      </c>
      <c r="G284" s="2" t="s">
        <v>79</v>
      </c>
      <c r="H284" s="25">
        <f t="shared" si="26"/>
        <v>4.3051309972516085</v>
      </c>
      <c r="I284" s="25">
        <f t="shared" si="27"/>
        <v>-0.30513099725160853</v>
      </c>
      <c r="J284" s="25">
        <f t="shared" si="28"/>
        <v>9.3104925483761133E-2</v>
      </c>
      <c r="K284" s="25">
        <f t="shared" si="24"/>
        <v>3</v>
      </c>
      <c r="L284" s="25">
        <f t="shared" si="25"/>
        <v>5</v>
      </c>
      <c r="M284" s="25">
        <f t="shared" si="29"/>
        <v>1</v>
      </c>
    </row>
    <row r="285" spans="1:13" x14ac:dyDescent="0.2">
      <c r="A285" s="4">
        <v>6.46</v>
      </c>
      <c r="B285" s="4">
        <v>12</v>
      </c>
      <c r="C285" s="4">
        <v>0</v>
      </c>
      <c r="D285" s="4">
        <v>0</v>
      </c>
      <c r="E285" s="4">
        <v>1</v>
      </c>
      <c r="F285" s="4">
        <v>0</v>
      </c>
      <c r="G285" s="2" t="s">
        <v>79</v>
      </c>
      <c r="H285" s="25">
        <f t="shared" si="26"/>
        <v>5.5127007574521212</v>
      </c>
      <c r="I285" s="25">
        <f t="shared" si="27"/>
        <v>0.94729924254787878</v>
      </c>
      <c r="J285" s="25">
        <f t="shared" si="28"/>
        <v>0.89737585493178484</v>
      </c>
      <c r="K285" s="25">
        <f t="shared" si="24"/>
        <v>4.8449999999999998</v>
      </c>
      <c r="L285" s="25">
        <f t="shared" si="25"/>
        <v>8.0749999999999993</v>
      </c>
      <c r="M285" s="25">
        <f t="shared" si="29"/>
        <v>1</v>
      </c>
    </row>
    <row r="286" spans="1:13" x14ac:dyDescent="0.2">
      <c r="A286" s="4">
        <v>6.36</v>
      </c>
      <c r="B286" s="4">
        <v>16</v>
      </c>
      <c r="C286" s="4">
        <v>0</v>
      </c>
      <c r="D286" s="4">
        <v>0</v>
      </c>
      <c r="E286" s="4">
        <v>1</v>
      </c>
      <c r="F286" s="4">
        <v>0</v>
      </c>
      <c r="G286" s="2" t="s">
        <v>79</v>
      </c>
      <c r="H286" s="25">
        <f t="shared" si="26"/>
        <v>7.4461275799320736</v>
      </c>
      <c r="I286" s="25">
        <f t="shared" si="27"/>
        <v>-1.0861275799320733</v>
      </c>
      <c r="J286" s="25">
        <f t="shared" si="28"/>
        <v>1.1796731198891024</v>
      </c>
      <c r="K286" s="25">
        <f t="shared" si="24"/>
        <v>4.7700000000000005</v>
      </c>
      <c r="L286" s="25">
        <f t="shared" si="25"/>
        <v>7.95</v>
      </c>
      <c r="M286" s="25">
        <f t="shared" si="29"/>
        <v>1</v>
      </c>
    </row>
    <row r="287" spans="1:13" x14ac:dyDescent="0.2">
      <c r="A287" s="4">
        <v>9.42</v>
      </c>
      <c r="B287" s="4">
        <v>14</v>
      </c>
      <c r="C287" s="4">
        <v>0</v>
      </c>
      <c r="D287" s="4">
        <v>1</v>
      </c>
      <c r="E287" s="4">
        <v>1</v>
      </c>
      <c r="F287" s="4">
        <v>0</v>
      </c>
      <c r="G287" s="2" t="s">
        <v>79</v>
      </c>
      <c r="H287" s="25">
        <f t="shared" si="26"/>
        <v>5.2718444084915852</v>
      </c>
      <c r="I287" s="25">
        <f t="shared" si="27"/>
        <v>4.1481555915084147</v>
      </c>
      <c r="J287" s="25">
        <f t="shared" si="28"/>
        <v>17.207194811362527</v>
      </c>
      <c r="K287" s="25">
        <f t="shared" si="24"/>
        <v>7.0649999999999995</v>
      </c>
      <c r="L287" s="25">
        <f t="shared" si="25"/>
        <v>11.775</v>
      </c>
      <c r="M287" s="25">
        <f t="shared" si="29"/>
        <v>0</v>
      </c>
    </row>
    <row r="288" spans="1:13" x14ac:dyDescent="0.2">
      <c r="A288" s="4">
        <v>3.35</v>
      </c>
      <c r="B288" s="4">
        <v>13</v>
      </c>
      <c r="C288" s="4">
        <v>0</v>
      </c>
      <c r="D288" s="4">
        <v>1</v>
      </c>
      <c r="E288" s="4">
        <v>0</v>
      </c>
      <c r="F288" s="4">
        <v>0</v>
      </c>
      <c r="G288" s="2" t="s">
        <v>79</v>
      </c>
      <c r="H288" s="25">
        <f t="shared" si="26"/>
        <v>4.223404725423789</v>
      </c>
      <c r="I288" s="25">
        <f t="shared" si="27"/>
        <v>-0.87340472542378889</v>
      </c>
      <c r="J288" s="25">
        <f t="shared" si="28"/>
        <v>0.76283581439260406</v>
      </c>
      <c r="K288" s="25">
        <f t="shared" si="24"/>
        <v>2.5125000000000002</v>
      </c>
      <c r="L288" s="25">
        <f t="shared" si="25"/>
        <v>4.1875</v>
      </c>
      <c r="M288" s="25">
        <f t="shared" si="29"/>
        <v>0</v>
      </c>
    </row>
    <row r="289" spans="1:13" x14ac:dyDescent="0.2">
      <c r="A289" s="4">
        <v>4.75</v>
      </c>
      <c r="B289" s="4">
        <v>12</v>
      </c>
      <c r="C289" s="4">
        <v>0</v>
      </c>
      <c r="D289" s="4">
        <v>0</v>
      </c>
      <c r="E289" s="4">
        <v>1</v>
      </c>
      <c r="F289" s="4">
        <v>0</v>
      </c>
      <c r="G289" s="2" t="s">
        <v>79</v>
      </c>
      <c r="H289" s="25">
        <f t="shared" si="26"/>
        <v>5.5127007574521212</v>
      </c>
      <c r="I289" s="25">
        <f t="shared" si="27"/>
        <v>-0.76270075745212118</v>
      </c>
      <c r="J289" s="25">
        <f t="shared" si="28"/>
        <v>0.58171244541803935</v>
      </c>
      <c r="K289" s="25">
        <f t="shared" si="24"/>
        <v>3.5625</v>
      </c>
      <c r="L289" s="25">
        <f t="shared" si="25"/>
        <v>5.9375</v>
      </c>
      <c r="M289" s="25">
        <f t="shared" si="29"/>
        <v>1</v>
      </c>
    </row>
    <row r="290" spans="1:13" x14ac:dyDescent="0.2">
      <c r="A290" s="4">
        <v>2.9</v>
      </c>
      <c r="B290" s="4">
        <v>10</v>
      </c>
      <c r="C290" s="4">
        <v>0</v>
      </c>
      <c r="D290" s="4">
        <v>1</v>
      </c>
      <c r="E290" s="4">
        <v>1</v>
      </c>
      <c r="F290" s="4">
        <v>0</v>
      </c>
      <c r="G290" s="2" t="s">
        <v>79</v>
      </c>
      <c r="H290" s="25">
        <f t="shared" si="26"/>
        <v>3.3384175860116327</v>
      </c>
      <c r="I290" s="25">
        <f t="shared" si="27"/>
        <v>-0.43841758601163283</v>
      </c>
      <c r="J290" s="25">
        <f t="shared" si="28"/>
        <v>0.19220997972426748</v>
      </c>
      <c r="K290" s="25">
        <f t="shared" si="24"/>
        <v>2.1749999999999998</v>
      </c>
      <c r="L290" s="25">
        <f t="shared" si="25"/>
        <v>3.625</v>
      </c>
      <c r="M290" s="25">
        <f t="shared" si="29"/>
        <v>1</v>
      </c>
    </row>
    <row r="291" spans="1:13" x14ac:dyDescent="0.2">
      <c r="A291" s="4">
        <v>3.75</v>
      </c>
      <c r="B291" s="4">
        <v>12</v>
      </c>
      <c r="C291" s="4">
        <v>0</v>
      </c>
      <c r="D291" s="4">
        <v>1</v>
      </c>
      <c r="E291" s="4">
        <v>1</v>
      </c>
      <c r="F291" s="4">
        <v>0</v>
      </c>
      <c r="G291" s="2" t="s">
        <v>79</v>
      </c>
      <c r="H291" s="25">
        <f t="shared" si="26"/>
        <v>4.3051309972516085</v>
      </c>
      <c r="I291" s="25">
        <f t="shared" si="27"/>
        <v>-0.55513099725160853</v>
      </c>
      <c r="J291" s="25">
        <f t="shared" si="28"/>
        <v>0.30817042410956541</v>
      </c>
      <c r="K291" s="25">
        <f t="shared" si="24"/>
        <v>2.8125</v>
      </c>
      <c r="L291" s="25">
        <f t="shared" si="25"/>
        <v>4.6875</v>
      </c>
      <c r="M291" s="25">
        <f t="shared" si="29"/>
        <v>1</v>
      </c>
    </row>
    <row r="292" spans="1:13" x14ac:dyDescent="0.2">
      <c r="A292" s="4">
        <v>1.43</v>
      </c>
      <c r="B292" s="4">
        <v>12</v>
      </c>
      <c r="C292" s="4">
        <v>0</v>
      </c>
      <c r="D292" s="10">
        <v>2</v>
      </c>
      <c r="E292" s="4">
        <v>1</v>
      </c>
      <c r="F292" s="4">
        <v>0</v>
      </c>
      <c r="G292" s="2" t="s">
        <v>79</v>
      </c>
      <c r="H292" s="25">
        <f t="shared" si="26"/>
        <v>3.097561237051095</v>
      </c>
      <c r="I292" s="25">
        <f t="shared" si="27"/>
        <v>-1.667561237051095</v>
      </c>
      <c r="J292" s="25">
        <f t="shared" si="28"/>
        <v>2.7807604793153784</v>
      </c>
      <c r="K292" s="25">
        <f t="shared" si="24"/>
        <v>1.0725</v>
      </c>
      <c r="L292" s="25">
        <f t="shared" si="25"/>
        <v>1.7874999999999999</v>
      </c>
      <c r="M292" s="25">
        <f t="shared" si="29"/>
        <v>0</v>
      </c>
    </row>
    <row r="293" spans="1:13" x14ac:dyDescent="0.2">
      <c r="A293" s="4">
        <v>3</v>
      </c>
      <c r="B293" s="4">
        <v>14</v>
      </c>
      <c r="C293" s="4">
        <v>0</v>
      </c>
      <c r="D293" s="4">
        <v>1</v>
      </c>
      <c r="E293" s="4">
        <v>1</v>
      </c>
      <c r="F293" s="4">
        <v>0</v>
      </c>
      <c r="G293" s="2" t="s">
        <v>79</v>
      </c>
      <c r="H293" s="25">
        <f t="shared" si="26"/>
        <v>5.2718444084915852</v>
      </c>
      <c r="I293" s="25">
        <f t="shared" si="27"/>
        <v>-2.2718444084915852</v>
      </c>
      <c r="J293" s="25">
        <f t="shared" si="28"/>
        <v>5.1612770163944806</v>
      </c>
      <c r="K293" s="25">
        <f t="shared" si="24"/>
        <v>2.25</v>
      </c>
      <c r="L293" s="25">
        <f t="shared" si="25"/>
        <v>3.75</v>
      </c>
      <c r="M293" s="25">
        <f t="shared" si="29"/>
        <v>0</v>
      </c>
    </row>
    <row r="294" spans="1:13" x14ac:dyDescent="0.2">
      <c r="A294" s="4">
        <v>4.5</v>
      </c>
      <c r="B294" s="4">
        <v>14</v>
      </c>
      <c r="C294" s="4">
        <v>0</v>
      </c>
      <c r="D294" s="4">
        <v>1</v>
      </c>
      <c r="E294" s="4">
        <v>1</v>
      </c>
      <c r="F294" s="4">
        <v>1</v>
      </c>
      <c r="G294" s="2" t="s">
        <v>79</v>
      </c>
      <c r="H294" s="25">
        <f t="shared" si="26"/>
        <v>6.3894676446577297</v>
      </c>
      <c r="I294" s="25">
        <f t="shared" si="27"/>
        <v>-1.8894676446577297</v>
      </c>
      <c r="J294" s="25">
        <f t="shared" si="28"/>
        <v>3.5700879802084287</v>
      </c>
      <c r="K294" s="25">
        <f t="shared" si="24"/>
        <v>3.375</v>
      </c>
      <c r="L294" s="25">
        <f t="shared" si="25"/>
        <v>5.625</v>
      </c>
      <c r="M294" s="25">
        <f t="shared" si="29"/>
        <v>0</v>
      </c>
    </row>
    <row r="295" spans="1:13" x14ac:dyDescent="0.2">
      <c r="A295" s="4">
        <v>3.24</v>
      </c>
      <c r="B295" s="4">
        <v>12</v>
      </c>
      <c r="C295" s="4">
        <v>0</v>
      </c>
      <c r="D295" s="4">
        <v>1</v>
      </c>
      <c r="E295" s="4">
        <v>1</v>
      </c>
      <c r="F295" s="4">
        <v>0</v>
      </c>
      <c r="G295" s="2" t="s">
        <v>79</v>
      </c>
      <c r="H295" s="25">
        <f t="shared" si="26"/>
        <v>4.3051309972516085</v>
      </c>
      <c r="I295" s="25">
        <f t="shared" si="27"/>
        <v>-1.0651309972516083</v>
      </c>
      <c r="J295" s="25">
        <f t="shared" si="28"/>
        <v>1.1345040413062057</v>
      </c>
      <c r="K295" s="25">
        <f t="shared" si="24"/>
        <v>2.4300000000000002</v>
      </c>
      <c r="L295" s="25">
        <f t="shared" si="25"/>
        <v>4.0500000000000007</v>
      </c>
      <c r="M295" s="25">
        <f t="shared" si="29"/>
        <v>0</v>
      </c>
    </row>
    <row r="296" spans="1:13" x14ac:dyDescent="0.2">
      <c r="A296" s="4">
        <v>6.11</v>
      </c>
      <c r="B296" s="4">
        <v>14</v>
      </c>
      <c r="C296" s="4">
        <v>0</v>
      </c>
      <c r="D296" s="4">
        <v>0</v>
      </c>
      <c r="E296" s="4">
        <v>1</v>
      </c>
      <c r="F296" s="4">
        <v>0</v>
      </c>
      <c r="G296" s="2" t="s">
        <v>79</v>
      </c>
      <c r="H296" s="25">
        <f t="shared" si="26"/>
        <v>6.4794141686920979</v>
      </c>
      <c r="I296" s="25">
        <f t="shared" si="27"/>
        <v>-0.36941416869209753</v>
      </c>
      <c r="J296" s="25">
        <f t="shared" si="28"/>
        <v>0.1364668280304735</v>
      </c>
      <c r="K296" s="25">
        <f t="shared" si="24"/>
        <v>4.5825000000000005</v>
      </c>
      <c r="L296" s="25">
        <f t="shared" si="25"/>
        <v>7.6375000000000002</v>
      </c>
      <c r="M296" s="25">
        <f t="shared" si="29"/>
        <v>1</v>
      </c>
    </row>
    <row r="297" spans="1:13" x14ac:dyDescent="0.2">
      <c r="A297" s="4">
        <v>8.77</v>
      </c>
      <c r="B297" s="4">
        <v>12</v>
      </c>
      <c r="C297" s="4">
        <v>0</v>
      </c>
      <c r="D297" s="4">
        <v>0</v>
      </c>
      <c r="E297" s="4">
        <v>1</v>
      </c>
      <c r="F297" s="4">
        <v>1</v>
      </c>
      <c r="G297" s="2" t="s">
        <v>79</v>
      </c>
      <c r="H297" s="25">
        <f t="shared" si="26"/>
        <v>6.6303239936182656</v>
      </c>
      <c r="I297" s="25">
        <f t="shared" si="27"/>
        <v>2.1396760063817339</v>
      </c>
      <c r="J297" s="25">
        <f t="shared" si="28"/>
        <v>4.5782134122856863</v>
      </c>
      <c r="K297" s="25">
        <f t="shared" si="24"/>
        <v>6.5774999999999997</v>
      </c>
      <c r="L297" s="25">
        <f t="shared" si="25"/>
        <v>10.962499999999999</v>
      </c>
      <c r="M297" s="25">
        <f t="shared" si="29"/>
        <v>1</v>
      </c>
    </row>
    <row r="298" spans="1:13" x14ac:dyDescent="0.2">
      <c r="A298" s="4">
        <v>10</v>
      </c>
      <c r="B298" s="4">
        <v>12</v>
      </c>
      <c r="C298" s="4">
        <v>0</v>
      </c>
      <c r="D298" s="4">
        <v>0</v>
      </c>
      <c r="E298" s="4">
        <v>0</v>
      </c>
      <c r="F298" s="4">
        <v>0</v>
      </c>
      <c r="G298" s="2" t="s">
        <v>79</v>
      </c>
      <c r="H298" s="25">
        <f t="shared" si="26"/>
        <v>4.9476177800043146</v>
      </c>
      <c r="I298" s="25">
        <f t="shared" si="27"/>
        <v>5.0523822199956854</v>
      </c>
      <c r="J298" s="25">
        <f t="shared" si="28"/>
        <v>25.52656609692853</v>
      </c>
      <c r="K298" s="25">
        <f t="shared" si="24"/>
        <v>7.5</v>
      </c>
      <c r="L298" s="25">
        <f t="shared" si="25"/>
        <v>12.5</v>
      </c>
      <c r="M298" s="25">
        <f t="shared" si="29"/>
        <v>0</v>
      </c>
    </row>
    <row r="299" spans="1:13" x14ac:dyDescent="0.2">
      <c r="A299" s="4">
        <v>5</v>
      </c>
      <c r="B299" s="4">
        <v>15</v>
      </c>
      <c r="C299" s="4">
        <v>0</v>
      </c>
      <c r="D299" s="4">
        <v>0</v>
      </c>
      <c r="E299" s="4">
        <v>0</v>
      </c>
      <c r="F299" s="4">
        <v>0</v>
      </c>
      <c r="G299" s="2" t="s">
        <v>79</v>
      </c>
      <c r="H299" s="25">
        <f t="shared" si="26"/>
        <v>6.3976878968642792</v>
      </c>
      <c r="I299" s="25">
        <f t="shared" si="27"/>
        <v>-1.3976878968642792</v>
      </c>
      <c r="J299" s="25">
        <f t="shared" si="28"/>
        <v>1.9535314570408919</v>
      </c>
      <c r="K299" s="25">
        <f t="shared" si="24"/>
        <v>3.75</v>
      </c>
      <c r="L299" s="25">
        <f t="shared" si="25"/>
        <v>6.25</v>
      </c>
      <c r="M299" s="25">
        <f t="shared" si="29"/>
        <v>0</v>
      </c>
    </row>
    <row r="300" spans="1:13" x14ac:dyDescent="0.2">
      <c r="A300" s="4">
        <v>3.75</v>
      </c>
      <c r="B300" s="4">
        <v>10</v>
      </c>
      <c r="C300" s="4">
        <v>0</v>
      </c>
      <c r="D300" s="4">
        <v>0</v>
      </c>
      <c r="E300" s="4">
        <v>0</v>
      </c>
      <c r="F300" s="4">
        <v>0</v>
      </c>
      <c r="G300" s="2" t="s">
        <v>79</v>
      </c>
      <c r="H300" s="25">
        <f t="shared" si="26"/>
        <v>3.9809043687643388</v>
      </c>
      <c r="I300" s="25">
        <f t="shared" si="27"/>
        <v>-0.23090436876433884</v>
      </c>
      <c r="J300" s="25">
        <f t="shared" si="28"/>
        <v>5.3316827514457779E-2</v>
      </c>
      <c r="K300" s="25">
        <f t="shared" si="24"/>
        <v>2.8125</v>
      </c>
      <c r="L300" s="25">
        <f t="shared" si="25"/>
        <v>4.6875</v>
      </c>
      <c r="M300" s="25">
        <f t="shared" si="29"/>
        <v>1</v>
      </c>
    </row>
    <row r="301" spans="1:13" x14ac:dyDescent="0.2">
      <c r="A301" s="4">
        <v>3.25</v>
      </c>
      <c r="B301" s="4">
        <v>12</v>
      </c>
      <c r="C301" s="4">
        <v>0</v>
      </c>
      <c r="D301" s="4">
        <v>1</v>
      </c>
      <c r="E301" s="4">
        <v>1</v>
      </c>
      <c r="F301" s="4">
        <v>0</v>
      </c>
      <c r="G301" s="2" t="s">
        <v>79</v>
      </c>
      <c r="H301" s="25">
        <f t="shared" si="26"/>
        <v>4.3051309972516085</v>
      </c>
      <c r="I301" s="25">
        <f t="shared" si="27"/>
        <v>-1.0551309972516085</v>
      </c>
      <c r="J301" s="25">
        <f t="shared" si="28"/>
        <v>1.1133014213611738</v>
      </c>
      <c r="K301" s="25">
        <f t="shared" si="24"/>
        <v>2.4375</v>
      </c>
      <c r="L301" s="25">
        <f t="shared" si="25"/>
        <v>4.0625</v>
      </c>
      <c r="M301" s="25">
        <f t="shared" si="29"/>
        <v>0</v>
      </c>
    </row>
    <row r="302" spans="1:13" x14ac:dyDescent="0.2">
      <c r="A302" s="4">
        <v>3.75</v>
      </c>
      <c r="B302" s="4">
        <v>12</v>
      </c>
      <c r="C302" s="4">
        <v>0</v>
      </c>
      <c r="D302" s="4">
        <v>1</v>
      </c>
      <c r="E302" s="4">
        <v>1</v>
      </c>
      <c r="F302" s="4">
        <v>0</v>
      </c>
      <c r="G302" s="2" t="s">
        <v>79</v>
      </c>
      <c r="H302" s="25">
        <f t="shared" si="26"/>
        <v>4.3051309972516085</v>
      </c>
      <c r="I302" s="25">
        <f t="shared" si="27"/>
        <v>-0.55513099725160853</v>
      </c>
      <c r="J302" s="25">
        <f t="shared" si="28"/>
        <v>0.30817042410956541</v>
      </c>
      <c r="K302" s="25">
        <f t="shared" si="24"/>
        <v>2.8125</v>
      </c>
      <c r="L302" s="25">
        <f t="shared" si="25"/>
        <v>4.6875</v>
      </c>
      <c r="M302" s="25">
        <f t="shared" si="29"/>
        <v>1</v>
      </c>
    </row>
    <row r="303" spans="1:13" x14ac:dyDescent="0.2">
      <c r="A303" s="4">
        <v>3.1</v>
      </c>
      <c r="B303" s="4">
        <v>6</v>
      </c>
      <c r="C303" s="4">
        <v>0</v>
      </c>
      <c r="D303" s="4">
        <v>1</v>
      </c>
      <c r="E303" s="4">
        <v>0</v>
      </c>
      <c r="F303" s="4">
        <v>0</v>
      </c>
      <c r="G303" s="2" t="s">
        <v>79</v>
      </c>
      <c r="H303" s="25">
        <f t="shared" si="26"/>
        <v>0.83990778608387329</v>
      </c>
      <c r="I303" s="25">
        <f t="shared" si="27"/>
        <v>2.2600922139161268</v>
      </c>
      <c r="J303" s="25">
        <f t="shared" si="28"/>
        <v>5.1080168154042997</v>
      </c>
      <c r="K303" s="25">
        <f t="shared" si="24"/>
        <v>2.3250000000000002</v>
      </c>
      <c r="L303" s="25">
        <f t="shared" si="25"/>
        <v>3.875</v>
      </c>
      <c r="M303" s="25">
        <f t="shared" si="29"/>
        <v>0</v>
      </c>
    </row>
    <row r="304" spans="1:13" x14ac:dyDescent="0.2">
      <c r="A304" s="4">
        <v>3.5</v>
      </c>
      <c r="B304" s="4">
        <v>12</v>
      </c>
      <c r="C304" s="4">
        <v>0</v>
      </c>
      <c r="D304" s="4">
        <v>1</v>
      </c>
      <c r="E304" s="4">
        <v>0</v>
      </c>
      <c r="F304" s="4">
        <v>0</v>
      </c>
      <c r="G304" s="2" t="s">
        <v>79</v>
      </c>
      <c r="H304" s="25">
        <f t="shared" si="26"/>
        <v>3.7400480198038015</v>
      </c>
      <c r="I304" s="25">
        <f t="shared" si="27"/>
        <v>-0.24004801980380153</v>
      </c>
      <c r="J304" s="25">
        <f t="shared" si="28"/>
        <v>5.7623051811726292E-2</v>
      </c>
      <c r="K304" s="25">
        <f t="shared" si="24"/>
        <v>2.625</v>
      </c>
      <c r="L304" s="25">
        <f t="shared" si="25"/>
        <v>4.375</v>
      </c>
      <c r="M304" s="25">
        <f t="shared" si="29"/>
        <v>1</v>
      </c>
    </row>
    <row r="305" spans="1:13" x14ac:dyDescent="0.2">
      <c r="A305" s="4">
        <v>17.329999999999998</v>
      </c>
      <c r="B305" s="4">
        <v>16</v>
      </c>
      <c r="C305" s="4">
        <v>0</v>
      </c>
      <c r="D305" s="4">
        <v>0</v>
      </c>
      <c r="E305" s="4">
        <v>1</v>
      </c>
      <c r="F305" s="4">
        <v>1</v>
      </c>
      <c r="G305" s="2" t="s">
        <v>79</v>
      </c>
      <c r="H305" s="25">
        <f t="shared" si="26"/>
        <v>8.563750816098219</v>
      </c>
      <c r="I305" s="25">
        <f t="shared" si="27"/>
        <v>8.7662491839017793</v>
      </c>
      <c r="J305" s="25">
        <f t="shared" si="28"/>
        <v>76.847124754258616</v>
      </c>
      <c r="K305" s="25">
        <f t="shared" si="24"/>
        <v>12.997499999999999</v>
      </c>
      <c r="L305" s="25">
        <f t="shared" si="25"/>
        <v>21.662499999999998</v>
      </c>
      <c r="M305" s="25">
        <f t="shared" si="29"/>
        <v>0</v>
      </c>
    </row>
    <row r="306" spans="1:13" x14ac:dyDescent="0.2">
      <c r="A306" s="4">
        <v>3.58</v>
      </c>
      <c r="B306" s="4">
        <v>12</v>
      </c>
      <c r="C306" s="4">
        <v>0</v>
      </c>
      <c r="D306" s="4">
        <v>0</v>
      </c>
      <c r="E306" s="4">
        <v>0</v>
      </c>
      <c r="F306" s="4">
        <v>0</v>
      </c>
      <c r="G306" s="2" t="s">
        <v>79</v>
      </c>
      <c r="H306" s="25">
        <f t="shared" si="26"/>
        <v>4.9476177800043146</v>
      </c>
      <c r="I306" s="25">
        <f t="shared" si="27"/>
        <v>-1.3676177800043146</v>
      </c>
      <c r="J306" s="25">
        <f t="shared" si="28"/>
        <v>1.8703783921839297</v>
      </c>
      <c r="K306" s="25">
        <f t="shared" si="24"/>
        <v>2.6850000000000001</v>
      </c>
      <c r="L306" s="25">
        <f t="shared" si="25"/>
        <v>4.4749999999999996</v>
      </c>
      <c r="M306" s="25">
        <f t="shared" si="29"/>
        <v>0</v>
      </c>
    </row>
    <row r="307" spans="1:13" x14ac:dyDescent="0.2">
      <c r="A307" s="4">
        <v>4.5</v>
      </c>
      <c r="B307" s="4">
        <v>12</v>
      </c>
      <c r="C307" s="4">
        <v>0</v>
      </c>
      <c r="D307" s="4">
        <v>0</v>
      </c>
      <c r="E307" s="4">
        <v>1</v>
      </c>
      <c r="F307" s="4">
        <v>0</v>
      </c>
      <c r="G307" s="2" t="s">
        <v>79</v>
      </c>
      <c r="H307" s="25">
        <f t="shared" si="26"/>
        <v>5.5127007574521212</v>
      </c>
      <c r="I307" s="25">
        <f t="shared" si="27"/>
        <v>-1.0127007574521212</v>
      </c>
      <c r="J307" s="25">
        <f t="shared" si="28"/>
        <v>1.0255628241440999</v>
      </c>
      <c r="K307" s="25">
        <f t="shared" si="24"/>
        <v>3.375</v>
      </c>
      <c r="L307" s="25">
        <f t="shared" si="25"/>
        <v>5.625</v>
      </c>
      <c r="M307" s="25">
        <f t="shared" si="29"/>
        <v>1</v>
      </c>
    </row>
    <row r="308" spans="1:13" x14ac:dyDescent="0.2">
      <c r="A308" s="4">
        <v>3.6</v>
      </c>
      <c r="B308" s="4">
        <v>12</v>
      </c>
      <c r="C308" s="4">
        <v>0</v>
      </c>
      <c r="D308" s="10">
        <v>2</v>
      </c>
      <c r="E308" s="4">
        <v>1</v>
      </c>
      <c r="F308" s="4">
        <v>1</v>
      </c>
      <c r="G308" s="2" t="s">
        <v>79</v>
      </c>
      <c r="H308" s="25">
        <f t="shared" si="26"/>
        <v>4.2151844732172394</v>
      </c>
      <c r="I308" s="25">
        <f t="shared" si="27"/>
        <v>-0.61518447321723935</v>
      </c>
      <c r="J308" s="25">
        <f t="shared" si="28"/>
        <v>0.37845193608757227</v>
      </c>
      <c r="K308" s="25">
        <f t="shared" si="24"/>
        <v>2.7</v>
      </c>
      <c r="L308" s="25">
        <f t="shared" si="25"/>
        <v>4.5</v>
      </c>
      <c r="M308" s="25">
        <f t="shared" si="29"/>
        <v>1</v>
      </c>
    </row>
    <row r="309" spans="1:13" x14ac:dyDescent="0.2">
      <c r="A309" s="4">
        <v>18</v>
      </c>
      <c r="B309" s="4">
        <v>18</v>
      </c>
      <c r="C309" s="4">
        <v>0</v>
      </c>
      <c r="D309" s="4">
        <v>1</v>
      </c>
      <c r="E309" s="4">
        <v>0</v>
      </c>
      <c r="F309" s="4">
        <v>0</v>
      </c>
      <c r="G309" s="2" t="s">
        <v>79</v>
      </c>
      <c r="H309" s="25">
        <f t="shared" si="26"/>
        <v>6.6401882535237302</v>
      </c>
      <c r="I309" s="25">
        <f t="shared" si="27"/>
        <v>11.35981174647627</v>
      </c>
      <c r="J309" s="25">
        <f t="shared" si="28"/>
        <v>129.04532291538024</v>
      </c>
      <c r="K309" s="25">
        <f t="shared" si="24"/>
        <v>13.5</v>
      </c>
      <c r="L309" s="25">
        <f t="shared" si="25"/>
        <v>22.5</v>
      </c>
      <c r="M309" s="25">
        <f t="shared" si="29"/>
        <v>0</v>
      </c>
    </row>
    <row r="310" spans="1:13" x14ac:dyDescent="0.2">
      <c r="A310" s="4">
        <v>6.25</v>
      </c>
      <c r="B310" s="10">
        <v>12</v>
      </c>
      <c r="C310" s="4">
        <v>0</v>
      </c>
      <c r="D310" s="4">
        <v>1</v>
      </c>
      <c r="E310" s="4">
        <v>1</v>
      </c>
      <c r="F310" s="4">
        <v>0</v>
      </c>
      <c r="G310" s="2" t="s">
        <v>79</v>
      </c>
      <c r="H310" s="25">
        <f t="shared" si="26"/>
        <v>4.3051309972516085</v>
      </c>
      <c r="I310" s="25">
        <f t="shared" si="27"/>
        <v>1.9448690027483915</v>
      </c>
      <c r="J310" s="25">
        <f t="shared" si="28"/>
        <v>3.7825154378515227</v>
      </c>
      <c r="K310" s="25">
        <f t="shared" si="24"/>
        <v>4.6875</v>
      </c>
      <c r="L310" s="25">
        <f t="shared" si="25"/>
        <v>7.8125</v>
      </c>
      <c r="M310" s="25">
        <f t="shared" si="29"/>
        <v>0</v>
      </c>
    </row>
    <row r="311" spans="1:13" x14ac:dyDescent="0.2">
      <c r="A311" s="4">
        <v>7.14</v>
      </c>
      <c r="B311" s="4">
        <v>18</v>
      </c>
      <c r="C311" s="4">
        <v>0</v>
      </c>
      <c r="D311" s="4">
        <v>0</v>
      </c>
      <c r="E311" s="4">
        <v>1</v>
      </c>
      <c r="F311" s="4">
        <v>0</v>
      </c>
      <c r="G311" s="2" t="s">
        <v>79</v>
      </c>
      <c r="H311" s="25">
        <f t="shared" si="26"/>
        <v>8.4128409911720503</v>
      </c>
      <c r="I311" s="25">
        <f t="shared" si="27"/>
        <v>-1.2728409911720506</v>
      </c>
      <c r="J311" s="25">
        <f t="shared" si="28"/>
        <v>1.6201241888078484</v>
      </c>
      <c r="K311" s="25">
        <f t="shared" si="24"/>
        <v>5.3549999999999995</v>
      </c>
      <c r="L311" s="25">
        <f t="shared" si="25"/>
        <v>8.9249999999999989</v>
      </c>
      <c r="M311" s="25">
        <f t="shared" si="29"/>
        <v>1</v>
      </c>
    </row>
    <row r="312" spans="1:13" x14ac:dyDescent="0.2">
      <c r="A312" s="4">
        <v>3.75</v>
      </c>
      <c r="B312" s="10">
        <v>12</v>
      </c>
      <c r="C312" s="4">
        <v>0</v>
      </c>
      <c r="D312" s="4">
        <v>1</v>
      </c>
      <c r="E312" s="4">
        <v>1</v>
      </c>
      <c r="F312" s="4">
        <v>0</v>
      </c>
      <c r="G312" s="2" t="s">
        <v>79</v>
      </c>
      <c r="H312" s="25">
        <f t="shared" si="26"/>
        <v>4.3051309972516085</v>
      </c>
      <c r="I312" s="25">
        <f t="shared" si="27"/>
        <v>-0.55513099725160853</v>
      </c>
      <c r="J312" s="25">
        <f t="shared" si="28"/>
        <v>0.30817042410956541</v>
      </c>
      <c r="K312" s="25">
        <f t="shared" si="24"/>
        <v>2.8125</v>
      </c>
      <c r="L312" s="25">
        <f t="shared" si="25"/>
        <v>4.6875</v>
      </c>
      <c r="M312" s="25">
        <f t="shared" si="29"/>
        <v>1</v>
      </c>
    </row>
    <row r="313" spans="1:13" x14ac:dyDescent="0.2">
      <c r="A313" s="4">
        <v>10</v>
      </c>
      <c r="B313" s="4">
        <v>8</v>
      </c>
      <c r="C313" s="4">
        <v>0</v>
      </c>
      <c r="D313" s="4">
        <v>0</v>
      </c>
      <c r="E313" s="4">
        <v>0</v>
      </c>
      <c r="F313" s="4">
        <v>0</v>
      </c>
      <c r="G313" s="2" t="s">
        <v>79</v>
      </c>
      <c r="H313" s="25">
        <f t="shared" si="26"/>
        <v>3.0141909575243622</v>
      </c>
      <c r="I313" s="25">
        <f t="shared" si="27"/>
        <v>6.9858090424756378</v>
      </c>
      <c r="J313" s="25">
        <f t="shared" si="28"/>
        <v>48.801527977934391</v>
      </c>
      <c r="K313" s="25">
        <f t="shared" si="24"/>
        <v>7.5</v>
      </c>
      <c r="L313" s="25">
        <f t="shared" si="25"/>
        <v>12.5</v>
      </c>
      <c r="M313" s="25">
        <f t="shared" si="29"/>
        <v>0</v>
      </c>
    </row>
    <row r="314" spans="1:13" x14ac:dyDescent="0.2">
      <c r="A314" s="4">
        <v>4.5</v>
      </c>
      <c r="B314" s="4">
        <v>12</v>
      </c>
      <c r="C314" s="4">
        <v>0</v>
      </c>
      <c r="D314" s="4">
        <v>0</v>
      </c>
      <c r="E314" s="4">
        <v>1</v>
      </c>
      <c r="F314" s="4">
        <v>0</v>
      </c>
      <c r="G314" s="2" t="s">
        <v>79</v>
      </c>
      <c r="H314" s="25">
        <f t="shared" si="26"/>
        <v>5.5127007574521212</v>
      </c>
      <c r="I314" s="25">
        <f t="shared" si="27"/>
        <v>-1.0127007574521212</v>
      </c>
      <c r="J314" s="25">
        <f t="shared" si="28"/>
        <v>1.0255628241440999</v>
      </c>
      <c r="K314" s="25">
        <f t="shared" si="24"/>
        <v>3.375</v>
      </c>
      <c r="L314" s="25">
        <f t="shared" si="25"/>
        <v>5.625</v>
      </c>
      <c r="M314" s="25">
        <f t="shared" si="29"/>
        <v>1</v>
      </c>
    </row>
    <row r="315" spans="1:13" x14ac:dyDescent="0.2">
      <c r="A315" s="4">
        <v>3.45</v>
      </c>
      <c r="B315" s="4">
        <v>10</v>
      </c>
      <c r="C315" s="4">
        <v>0</v>
      </c>
      <c r="D315" s="4">
        <v>1</v>
      </c>
      <c r="E315" s="4">
        <v>0</v>
      </c>
      <c r="F315" s="4">
        <v>0</v>
      </c>
      <c r="G315" s="2" t="s">
        <v>79</v>
      </c>
      <c r="H315" s="25">
        <f t="shared" si="26"/>
        <v>2.7733346085638257</v>
      </c>
      <c r="I315" s="25">
        <f t="shared" si="27"/>
        <v>0.67666539143617443</v>
      </c>
      <c r="J315" s="25">
        <f t="shared" si="28"/>
        <v>0.45787605196747116</v>
      </c>
      <c r="K315" s="25">
        <f t="shared" si="24"/>
        <v>2.5875000000000004</v>
      </c>
      <c r="L315" s="25">
        <f t="shared" si="25"/>
        <v>4.3125</v>
      </c>
      <c r="M315" s="25">
        <f t="shared" si="29"/>
        <v>1</v>
      </c>
    </row>
    <row r="316" spans="1:13" x14ac:dyDescent="0.2">
      <c r="A316" s="4">
        <v>3.75</v>
      </c>
      <c r="B316" s="4">
        <v>12</v>
      </c>
      <c r="C316" s="4">
        <v>0</v>
      </c>
      <c r="D316" s="4">
        <v>0</v>
      </c>
      <c r="E316" s="4">
        <v>0</v>
      </c>
      <c r="F316" s="4">
        <v>0</v>
      </c>
      <c r="G316" s="2" t="s">
        <v>79</v>
      </c>
      <c r="H316" s="25">
        <f t="shared" si="26"/>
        <v>4.9476177800043146</v>
      </c>
      <c r="I316" s="25">
        <f t="shared" si="27"/>
        <v>-1.1976177800043146</v>
      </c>
      <c r="J316" s="25">
        <f t="shared" si="28"/>
        <v>1.434288346982463</v>
      </c>
      <c r="K316" s="25">
        <f t="shared" si="24"/>
        <v>2.8125</v>
      </c>
      <c r="L316" s="25">
        <f t="shared" si="25"/>
        <v>4.6875</v>
      </c>
      <c r="M316" s="25">
        <f t="shared" si="29"/>
        <v>0</v>
      </c>
    </row>
    <row r="317" spans="1:13" x14ac:dyDescent="0.2">
      <c r="A317" s="4">
        <v>6</v>
      </c>
      <c r="B317" s="4">
        <v>14</v>
      </c>
      <c r="C317" s="4">
        <v>0</v>
      </c>
      <c r="D317" s="4">
        <v>0</v>
      </c>
      <c r="E317" s="4">
        <v>1</v>
      </c>
      <c r="F317" s="4">
        <v>0</v>
      </c>
      <c r="G317" s="2" t="s">
        <v>79</v>
      </c>
      <c r="H317" s="25">
        <f t="shared" si="26"/>
        <v>6.4794141686920979</v>
      </c>
      <c r="I317" s="25">
        <f t="shared" si="27"/>
        <v>-0.47941416869209785</v>
      </c>
      <c r="J317" s="25">
        <f t="shared" si="28"/>
        <v>0.22983794514273526</v>
      </c>
      <c r="K317" s="25">
        <f t="shared" si="24"/>
        <v>4.5</v>
      </c>
      <c r="L317" s="25">
        <f t="shared" si="25"/>
        <v>7.5</v>
      </c>
      <c r="M317" s="25">
        <f t="shared" si="29"/>
        <v>1</v>
      </c>
    </row>
    <row r="318" spans="1:13" x14ac:dyDescent="0.2">
      <c r="A318" s="4">
        <v>6.25</v>
      </c>
      <c r="B318" s="4">
        <v>12</v>
      </c>
      <c r="C318" s="4">
        <v>0</v>
      </c>
      <c r="D318" s="4">
        <v>1</v>
      </c>
      <c r="E318" s="4">
        <v>0</v>
      </c>
      <c r="F318" s="4">
        <v>1</v>
      </c>
      <c r="G318" s="2" t="s">
        <v>79</v>
      </c>
      <c r="H318" s="25">
        <f t="shared" si="26"/>
        <v>4.8576712559699464</v>
      </c>
      <c r="I318" s="25">
        <f t="shared" si="27"/>
        <v>1.3923287440300536</v>
      </c>
      <c r="J318" s="25">
        <f t="shared" si="28"/>
        <v>1.9385793314523065</v>
      </c>
      <c r="K318" s="25">
        <f t="shared" si="24"/>
        <v>4.6875</v>
      </c>
      <c r="L318" s="25">
        <f t="shared" si="25"/>
        <v>7.8125</v>
      </c>
      <c r="M318" s="25">
        <f t="shared" si="29"/>
        <v>1</v>
      </c>
    </row>
    <row r="319" spans="1:13" x14ac:dyDescent="0.2">
      <c r="A319" s="4">
        <v>7.5</v>
      </c>
      <c r="B319" s="4">
        <v>16</v>
      </c>
      <c r="C319" s="4">
        <v>0</v>
      </c>
      <c r="D319" s="4">
        <v>0</v>
      </c>
      <c r="E319" s="4">
        <v>1</v>
      </c>
      <c r="F319" s="4">
        <v>0</v>
      </c>
      <c r="G319" s="2" t="s">
        <v>79</v>
      </c>
      <c r="H319" s="25">
        <f t="shared" si="26"/>
        <v>7.4461275799320736</v>
      </c>
      <c r="I319" s="25">
        <f t="shared" si="27"/>
        <v>5.3872420067926363E-2</v>
      </c>
      <c r="J319" s="25">
        <f t="shared" si="28"/>
        <v>2.9022376439751152E-3</v>
      </c>
      <c r="K319" s="25">
        <f t="shared" si="24"/>
        <v>5.625</v>
      </c>
      <c r="L319" s="25">
        <f t="shared" si="25"/>
        <v>9.375</v>
      </c>
      <c r="M319" s="25">
        <f t="shared" si="29"/>
        <v>1</v>
      </c>
    </row>
    <row r="320" spans="1:13" x14ac:dyDescent="0.2">
      <c r="A320" s="4">
        <v>3</v>
      </c>
      <c r="B320" s="4">
        <v>12</v>
      </c>
      <c r="C320" s="4">
        <v>0</v>
      </c>
      <c r="D320" s="4">
        <v>1</v>
      </c>
      <c r="E320" s="4">
        <v>1</v>
      </c>
      <c r="F320" s="4">
        <v>0</v>
      </c>
      <c r="G320" s="2" t="s">
        <v>79</v>
      </c>
      <c r="H320" s="25">
        <f t="shared" si="26"/>
        <v>4.3051309972516085</v>
      </c>
      <c r="I320" s="25">
        <f t="shared" si="27"/>
        <v>-1.3051309972516085</v>
      </c>
      <c r="J320" s="25">
        <f t="shared" si="28"/>
        <v>1.7033669199869781</v>
      </c>
      <c r="K320" s="25">
        <f t="shared" si="24"/>
        <v>2.25</v>
      </c>
      <c r="L320" s="25">
        <f t="shared" si="25"/>
        <v>3.75</v>
      </c>
      <c r="M320" s="25">
        <f t="shared" si="29"/>
        <v>0</v>
      </c>
    </row>
    <row r="321" spans="1:13" x14ac:dyDescent="0.2">
      <c r="A321" s="4">
        <v>4.55</v>
      </c>
      <c r="B321" s="4">
        <v>12</v>
      </c>
      <c r="C321" s="4">
        <v>0</v>
      </c>
      <c r="D321" s="10">
        <v>2</v>
      </c>
      <c r="E321" s="4">
        <v>1</v>
      </c>
      <c r="F321" s="4">
        <v>0</v>
      </c>
      <c r="G321" s="2" t="s">
        <v>79</v>
      </c>
      <c r="H321" s="25">
        <f t="shared" si="26"/>
        <v>3.097561237051095</v>
      </c>
      <c r="I321" s="25">
        <f t="shared" si="27"/>
        <v>1.4524387629489048</v>
      </c>
      <c r="J321" s="25">
        <f t="shared" si="28"/>
        <v>2.109578360116545</v>
      </c>
      <c r="K321" s="25">
        <f t="shared" si="24"/>
        <v>3.4124999999999996</v>
      </c>
      <c r="L321" s="25">
        <f t="shared" si="25"/>
        <v>5.6875</v>
      </c>
      <c r="M321" s="25">
        <f t="shared" si="29"/>
        <v>0</v>
      </c>
    </row>
    <row r="322" spans="1:13" x14ac:dyDescent="0.2">
      <c r="A322" s="4">
        <v>7.5</v>
      </c>
      <c r="B322" s="4">
        <v>12</v>
      </c>
      <c r="C322" s="4">
        <v>0</v>
      </c>
      <c r="D322" s="4">
        <v>1</v>
      </c>
      <c r="E322" s="4">
        <v>1</v>
      </c>
      <c r="F322" s="4">
        <v>1</v>
      </c>
      <c r="G322" s="2" t="s">
        <v>79</v>
      </c>
      <c r="H322" s="25">
        <f t="shared" si="26"/>
        <v>5.422754233417753</v>
      </c>
      <c r="I322" s="25">
        <f t="shared" si="27"/>
        <v>2.077245766582247</v>
      </c>
      <c r="J322" s="25">
        <f t="shared" si="28"/>
        <v>4.3149499747838673</v>
      </c>
      <c r="K322" s="25">
        <f t="shared" ref="K322:K385" si="30">A322*(1-$Q$41)</f>
        <v>5.625</v>
      </c>
      <c r="L322" s="25">
        <f t="shared" ref="L322:L385" si="31">A322*(1+$Q$41)</f>
        <v>9.375</v>
      </c>
      <c r="M322" s="25">
        <f t="shared" si="29"/>
        <v>0</v>
      </c>
    </row>
    <row r="323" spans="1:13" x14ac:dyDescent="0.2">
      <c r="A323" s="4">
        <v>3.05</v>
      </c>
      <c r="B323" s="4">
        <v>12</v>
      </c>
      <c r="C323" s="4">
        <v>0</v>
      </c>
      <c r="D323" s="4">
        <v>1</v>
      </c>
      <c r="E323" s="4">
        <v>1</v>
      </c>
      <c r="F323" s="4">
        <v>0</v>
      </c>
      <c r="G323" s="2" t="s">
        <v>79</v>
      </c>
      <c r="H323" s="25">
        <f t="shared" ref="H323:H386" si="32">$P$33+($P$34*B323)+($P$35*C323)+($P$36*D323)+($P$37*E323)+($P$38*F323)</f>
        <v>4.3051309972516085</v>
      </c>
      <c r="I323" s="25">
        <f t="shared" ref="I323:I386" si="33">(A323-H323)</f>
        <v>-1.2551309972516087</v>
      </c>
      <c r="J323" s="25">
        <f t="shared" ref="J323:J386" si="34">I323^2</f>
        <v>1.5753538202618178</v>
      </c>
      <c r="K323" s="25">
        <f t="shared" si="30"/>
        <v>2.2874999999999996</v>
      </c>
      <c r="L323" s="25">
        <f t="shared" si="31"/>
        <v>3.8125</v>
      </c>
      <c r="M323" s="25">
        <f t="shared" ref="M323:M386" si="35">IF(AND(H323&gt;=K323,H323&lt;=L323),1,0)</f>
        <v>0</v>
      </c>
    </row>
    <row r="324" spans="1:13" x14ac:dyDescent="0.2">
      <c r="A324" s="4">
        <v>6.25</v>
      </c>
      <c r="B324" s="4">
        <v>12</v>
      </c>
      <c r="C324" s="4">
        <v>0</v>
      </c>
      <c r="D324" s="4">
        <v>0</v>
      </c>
      <c r="E324" s="4">
        <v>1</v>
      </c>
      <c r="F324" s="4">
        <v>0</v>
      </c>
      <c r="G324" s="2" t="s">
        <v>79</v>
      </c>
      <c r="H324" s="25">
        <f t="shared" si="32"/>
        <v>5.5127007574521212</v>
      </c>
      <c r="I324" s="25">
        <f t="shared" si="33"/>
        <v>0.73729924254787882</v>
      </c>
      <c r="J324" s="25">
        <f t="shared" si="34"/>
        <v>0.54361017306167581</v>
      </c>
      <c r="K324" s="25">
        <f t="shared" si="30"/>
        <v>4.6875</v>
      </c>
      <c r="L324" s="25">
        <f t="shared" si="31"/>
        <v>7.8125</v>
      </c>
      <c r="M324" s="25">
        <f t="shared" si="35"/>
        <v>1</v>
      </c>
    </row>
    <row r="325" spans="1:13" x14ac:dyDescent="0.2">
      <c r="A325" s="4">
        <v>4.5</v>
      </c>
      <c r="B325" s="4">
        <v>14</v>
      </c>
      <c r="C325" s="4">
        <v>0</v>
      </c>
      <c r="D325" s="4">
        <v>0</v>
      </c>
      <c r="E325" s="4">
        <v>1</v>
      </c>
      <c r="F325" s="4">
        <v>0</v>
      </c>
      <c r="G325" s="2" t="s">
        <v>79</v>
      </c>
      <c r="H325" s="25">
        <f t="shared" si="32"/>
        <v>6.4794141686920979</v>
      </c>
      <c r="I325" s="25">
        <f t="shared" si="33"/>
        <v>-1.9794141686920979</v>
      </c>
      <c r="J325" s="25">
        <f t="shared" si="34"/>
        <v>3.918080451219029</v>
      </c>
      <c r="K325" s="25">
        <f t="shared" si="30"/>
        <v>3.375</v>
      </c>
      <c r="L325" s="25">
        <f t="shared" si="31"/>
        <v>5.625</v>
      </c>
      <c r="M325" s="25">
        <f t="shared" si="35"/>
        <v>0</v>
      </c>
    </row>
    <row r="326" spans="1:13" x14ac:dyDescent="0.2">
      <c r="A326" s="4">
        <v>3</v>
      </c>
      <c r="B326" s="4">
        <v>15</v>
      </c>
      <c r="C326" s="4">
        <v>0</v>
      </c>
      <c r="D326" s="4">
        <v>0</v>
      </c>
      <c r="E326" s="4">
        <v>0</v>
      </c>
      <c r="F326" s="4">
        <v>0</v>
      </c>
      <c r="G326" s="2" t="s">
        <v>79</v>
      </c>
      <c r="H326" s="25">
        <f t="shared" si="32"/>
        <v>6.3976878968642792</v>
      </c>
      <c r="I326" s="25">
        <f t="shared" si="33"/>
        <v>-3.3976878968642792</v>
      </c>
      <c r="J326" s="25">
        <f t="shared" si="34"/>
        <v>11.544283044498009</v>
      </c>
      <c r="K326" s="25">
        <f t="shared" si="30"/>
        <v>2.25</v>
      </c>
      <c r="L326" s="25">
        <f t="shared" si="31"/>
        <v>3.75</v>
      </c>
      <c r="M326" s="25">
        <f t="shared" si="35"/>
        <v>0</v>
      </c>
    </row>
    <row r="327" spans="1:13" x14ac:dyDescent="0.2">
      <c r="A327" s="4">
        <v>10</v>
      </c>
      <c r="B327" s="4">
        <v>8</v>
      </c>
      <c r="C327" s="4">
        <v>0</v>
      </c>
      <c r="D327" s="4">
        <v>0</v>
      </c>
      <c r="E327" s="4">
        <v>1</v>
      </c>
      <c r="F327" s="4">
        <v>0</v>
      </c>
      <c r="G327" s="2" t="s">
        <v>79</v>
      </c>
      <c r="H327" s="25">
        <f t="shared" si="32"/>
        <v>3.5792739349721687</v>
      </c>
      <c r="I327" s="25">
        <f t="shared" si="33"/>
        <v>6.4207260650278313</v>
      </c>
      <c r="J327" s="25">
        <f t="shared" si="34"/>
        <v>41.225723202127782</v>
      </c>
      <c r="K327" s="25">
        <f t="shared" si="30"/>
        <v>7.5</v>
      </c>
      <c r="L327" s="25">
        <f t="shared" si="31"/>
        <v>12.5</v>
      </c>
      <c r="M327" s="25">
        <f t="shared" si="35"/>
        <v>0</v>
      </c>
    </row>
    <row r="328" spans="1:13" x14ac:dyDescent="0.2">
      <c r="A328" s="4">
        <v>6</v>
      </c>
      <c r="B328" s="4">
        <v>13</v>
      </c>
      <c r="C328" s="4">
        <v>0</v>
      </c>
      <c r="D328" s="4">
        <v>0</v>
      </c>
      <c r="E328" s="4">
        <v>1</v>
      </c>
      <c r="F328" s="4">
        <v>0</v>
      </c>
      <c r="G328" s="2" t="s">
        <v>79</v>
      </c>
      <c r="H328" s="25">
        <f t="shared" si="32"/>
        <v>5.9960574630721091</v>
      </c>
      <c r="I328" s="25">
        <f t="shared" si="33"/>
        <v>3.9425369278909272E-3</v>
      </c>
      <c r="J328" s="25">
        <f t="shared" si="34"/>
        <v>1.5543597427783629E-5</v>
      </c>
      <c r="K328" s="25">
        <f t="shared" si="30"/>
        <v>4.5</v>
      </c>
      <c r="L328" s="25">
        <f t="shared" si="31"/>
        <v>7.5</v>
      </c>
      <c r="M328" s="25">
        <f t="shared" si="35"/>
        <v>1</v>
      </c>
    </row>
    <row r="329" spans="1:13" x14ac:dyDescent="0.2">
      <c r="A329" s="4">
        <v>2.89</v>
      </c>
      <c r="B329" s="4">
        <v>10</v>
      </c>
      <c r="C329" s="4">
        <v>0</v>
      </c>
      <c r="D329" s="4">
        <v>1</v>
      </c>
      <c r="E329" s="4">
        <v>0</v>
      </c>
      <c r="F329" s="4">
        <v>0</v>
      </c>
      <c r="G329" s="2" t="s">
        <v>79</v>
      </c>
      <c r="H329" s="25">
        <f t="shared" si="32"/>
        <v>2.7733346085638257</v>
      </c>
      <c r="I329" s="25">
        <f t="shared" si="33"/>
        <v>0.11666539143617438</v>
      </c>
      <c r="J329" s="25">
        <f t="shared" si="34"/>
        <v>1.3610813558955791E-2</v>
      </c>
      <c r="K329" s="25">
        <f t="shared" si="30"/>
        <v>2.1675</v>
      </c>
      <c r="L329" s="25">
        <f t="shared" si="31"/>
        <v>3.6125000000000003</v>
      </c>
      <c r="M329" s="25">
        <f t="shared" si="35"/>
        <v>1</v>
      </c>
    </row>
    <row r="330" spans="1:13" x14ac:dyDescent="0.2">
      <c r="A330" s="4">
        <v>4.2</v>
      </c>
      <c r="B330" s="4">
        <v>16</v>
      </c>
      <c r="C330" s="4">
        <v>0</v>
      </c>
      <c r="D330" s="4">
        <v>1</v>
      </c>
      <c r="E330" s="4">
        <v>1</v>
      </c>
      <c r="F330" s="4">
        <v>0</v>
      </c>
      <c r="G330" s="2" t="s">
        <v>79</v>
      </c>
      <c r="H330" s="25">
        <f t="shared" si="32"/>
        <v>6.238557819731561</v>
      </c>
      <c r="I330" s="25">
        <f t="shared" si="33"/>
        <v>-2.0385578197315608</v>
      </c>
      <c r="J330" s="25">
        <f t="shared" si="34"/>
        <v>4.1557179843886951</v>
      </c>
      <c r="K330" s="25">
        <f t="shared" si="30"/>
        <v>3.1500000000000004</v>
      </c>
      <c r="L330" s="25">
        <f t="shared" si="31"/>
        <v>5.25</v>
      </c>
      <c r="M330" s="25">
        <f t="shared" si="35"/>
        <v>0</v>
      </c>
    </row>
    <row r="331" spans="1:13" x14ac:dyDescent="0.2">
      <c r="A331" s="4">
        <v>4.5999999999999996</v>
      </c>
      <c r="B331" s="4">
        <v>14</v>
      </c>
      <c r="C331" s="4">
        <v>0</v>
      </c>
      <c r="D331" s="4">
        <v>1</v>
      </c>
      <c r="E331" s="4">
        <v>1</v>
      </c>
      <c r="F331" s="4">
        <v>0</v>
      </c>
      <c r="G331" s="2" t="s">
        <v>79</v>
      </c>
      <c r="H331" s="25">
        <f t="shared" si="32"/>
        <v>5.2718444084915852</v>
      </c>
      <c r="I331" s="25">
        <f t="shared" si="33"/>
        <v>-0.67184440849158555</v>
      </c>
      <c r="J331" s="25">
        <f t="shared" si="34"/>
        <v>0.45137490922140849</v>
      </c>
      <c r="K331" s="25">
        <f t="shared" si="30"/>
        <v>3.4499999999999997</v>
      </c>
      <c r="L331" s="25">
        <f t="shared" si="31"/>
        <v>5.75</v>
      </c>
      <c r="M331" s="25">
        <f t="shared" si="35"/>
        <v>1</v>
      </c>
    </row>
    <row r="332" spans="1:13" x14ac:dyDescent="0.2">
      <c r="A332" s="4">
        <v>4.38</v>
      </c>
      <c r="B332" s="4">
        <v>16</v>
      </c>
      <c r="C332" s="4">
        <v>0</v>
      </c>
      <c r="D332" s="4">
        <v>0</v>
      </c>
      <c r="E332" s="4">
        <v>0</v>
      </c>
      <c r="F332" s="4">
        <v>0</v>
      </c>
      <c r="G332" s="2" t="s">
        <v>79</v>
      </c>
      <c r="H332" s="25">
        <f t="shared" si="32"/>
        <v>6.8810446024842671</v>
      </c>
      <c r="I332" s="25">
        <f t="shared" si="33"/>
        <v>-2.5010446024842672</v>
      </c>
      <c r="J332" s="25">
        <f t="shared" si="34"/>
        <v>6.2552241036156859</v>
      </c>
      <c r="K332" s="25">
        <f t="shared" si="30"/>
        <v>3.2850000000000001</v>
      </c>
      <c r="L332" s="25">
        <f t="shared" si="31"/>
        <v>5.4749999999999996</v>
      </c>
      <c r="M332" s="25">
        <f t="shared" si="35"/>
        <v>0</v>
      </c>
    </row>
    <row r="333" spans="1:13" x14ac:dyDescent="0.2">
      <c r="A333" s="4">
        <v>9</v>
      </c>
      <c r="B333" s="4">
        <v>17</v>
      </c>
      <c r="C333" s="4">
        <v>0</v>
      </c>
      <c r="D333" s="4">
        <v>1</v>
      </c>
      <c r="E333" s="4">
        <v>1</v>
      </c>
      <c r="F333" s="4">
        <v>0</v>
      </c>
      <c r="G333" s="2" t="s">
        <v>79</v>
      </c>
      <c r="H333" s="25">
        <f t="shared" si="32"/>
        <v>6.7219145253515489</v>
      </c>
      <c r="I333" s="25">
        <f t="shared" si="33"/>
        <v>2.2780854746484511</v>
      </c>
      <c r="J333" s="25">
        <f t="shared" si="34"/>
        <v>5.1896734298042588</v>
      </c>
      <c r="K333" s="25">
        <f t="shared" si="30"/>
        <v>6.75</v>
      </c>
      <c r="L333" s="25">
        <f t="shared" si="31"/>
        <v>11.25</v>
      </c>
      <c r="M333" s="25">
        <f t="shared" si="35"/>
        <v>0</v>
      </c>
    </row>
    <row r="334" spans="1:13" x14ac:dyDescent="0.2">
      <c r="A334" s="4">
        <v>3</v>
      </c>
      <c r="B334" s="4">
        <v>10</v>
      </c>
      <c r="C334" s="4">
        <v>0</v>
      </c>
      <c r="D334" s="4">
        <v>1</v>
      </c>
      <c r="E334" s="4">
        <v>1</v>
      </c>
      <c r="F334" s="4">
        <v>0</v>
      </c>
      <c r="G334" s="2" t="s">
        <v>79</v>
      </c>
      <c r="H334" s="25">
        <f t="shared" si="32"/>
        <v>3.3384175860116327</v>
      </c>
      <c r="I334" s="25">
        <f t="shared" si="33"/>
        <v>-0.33841758601163274</v>
      </c>
      <c r="J334" s="25">
        <f t="shared" si="34"/>
        <v>0.11452646252194085</v>
      </c>
      <c r="K334" s="25">
        <f t="shared" si="30"/>
        <v>2.25</v>
      </c>
      <c r="L334" s="25">
        <f t="shared" si="31"/>
        <v>3.75</v>
      </c>
      <c r="M334" s="25">
        <f t="shared" si="35"/>
        <v>1</v>
      </c>
    </row>
    <row r="335" spans="1:13" x14ac:dyDescent="0.2">
      <c r="A335" s="4">
        <v>4.38</v>
      </c>
      <c r="B335" s="4">
        <v>13</v>
      </c>
      <c r="C335" s="4">
        <v>0</v>
      </c>
      <c r="D335" s="4">
        <v>0</v>
      </c>
      <c r="E335" s="4">
        <v>1</v>
      </c>
      <c r="F335" s="4">
        <v>1</v>
      </c>
      <c r="G335" s="2" t="s">
        <v>79</v>
      </c>
      <c r="H335" s="25">
        <f t="shared" si="32"/>
        <v>7.1136806992382535</v>
      </c>
      <c r="I335" s="25">
        <f t="shared" si="33"/>
        <v>-2.7336806992382536</v>
      </c>
      <c r="J335" s="25">
        <f t="shared" si="34"/>
        <v>7.4730101653877474</v>
      </c>
      <c r="K335" s="25">
        <f t="shared" si="30"/>
        <v>3.2850000000000001</v>
      </c>
      <c r="L335" s="25">
        <f t="shared" si="31"/>
        <v>5.4749999999999996</v>
      </c>
      <c r="M335" s="25">
        <f t="shared" si="35"/>
        <v>0</v>
      </c>
    </row>
    <row r="336" spans="1:13" x14ac:dyDescent="0.2">
      <c r="A336" s="4">
        <v>4.0999999999999996</v>
      </c>
      <c r="B336" s="4">
        <v>14</v>
      </c>
      <c r="C336" s="4">
        <v>0</v>
      </c>
      <c r="D336" s="4">
        <v>1</v>
      </c>
      <c r="E336" s="4">
        <v>1</v>
      </c>
      <c r="F336" s="4">
        <v>0</v>
      </c>
      <c r="G336" s="2" t="s">
        <v>79</v>
      </c>
      <c r="H336" s="25">
        <f t="shared" si="32"/>
        <v>5.2718444084915852</v>
      </c>
      <c r="I336" s="25">
        <f t="shared" si="33"/>
        <v>-1.1718444084915856</v>
      </c>
      <c r="J336" s="25">
        <f t="shared" si="34"/>
        <v>1.3732193177129941</v>
      </c>
      <c r="K336" s="25">
        <f t="shared" si="30"/>
        <v>3.0749999999999997</v>
      </c>
      <c r="L336" s="25">
        <f t="shared" si="31"/>
        <v>5.125</v>
      </c>
      <c r="M336" s="25">
        <f t="shared" si="35"/>
        <v>0</v>
      </c>
    </row>
    <row r="337" spans="1:13" x14ac:dyDescent="0.2">
      <c r="A337" s="4">
        <v>2.9</v>
      </c>
      <c r="B337" s="4">
        <v>11</v>
      </c>
      <c r="C337" s="4">
        <v>0</v>
      </c>
      <c r="D337" s="4">
        <v>1</v>
      </c>
      <c r="E337" s="4">
        <v>0</v>
      </c>
      <c r="F337" s="4">
        <v>0</v>
      </c>
      <c r="G337" s="2" t="s">
        <v>79</v>
      </c>
      <c r="H337" s="25">
        <f t="shared" si="32"/>
        <v>3.2566913141838136</v>
      </c>
      <c r="I337" s="25">
        <f t="shared" si="33"/>
        <v>-0.35669131418381372</v>
      </c>
      <c r="J337" s="25">
        <f t="shared" si="34"/>
        <v>0.1272286936141761</v>
      </c>
      <c r="K337" s="25">
        <f t="shared" si="30"/>
        <v>2.1749999999999998</v>
      </c>
      <c r="L337" s="25">
        <f t="shared" si="31"/>
        <v>3.625</v>
      </c>
      <c r="M337" s="25">
        <f t="shared" si="35"/>
        <v>1</v>
      </c>
    </row>
    <row r="338" spans="1:13" x14ac:dyDescent="0.2">
      <c r="A338" s="4">
        <v>3.76</v>
      </c>
      <c r="B338" s="4">
        <v>6</v>
      </c>
      <c r="C338" s="4">
        <v>0</v>
      </c>
      <c r="D338" s="4">
        <v>0</v>
      </c>
      <c r="E338" s="4">
        <v>0</v>
      </c>
      <c r="F338" s="4">
        <v>0</v>
      </c>
      <c r="G338" s="2" t="s">
        <v>79</v>
      </c>
      <c r="H338" s="25">
        <f t="shared" si="32"/>
        <v>2.0474775462843864</v>
      </c>
      <c r="I338" s="25">
        <f t="shared" si="33"/>
        <v>1.7125224537156134</v>
      </c>
      <c r="J338" s="25">
        <f t="shared" si="34"/>
        <v>2.9327331544801454</v>
      </c>
      <c r="K338" s="25">
        <f t="shared" si="30"/>
        <v>2.82</v>
      </c>
      <c r="L338" s="25">
        <f t="shared" si="31"/>
        <v>4.6999999999999993</v>
      </c>
      <c r="M338" s="25">
        <f t="shared" si="35"/>
        <v>0</v>
      </c>
    </row>
    <row r="339" spans="1:13" x14ac:dyDescent="0.2">
      <c r="A339" s="4">
        <v>4</v>
      </c>
      <c r="B339" s="4">
        <v>13</v>
      </c>
      <c r="C339" s="4">
        <v>0</v>
      </c>
      <c r="D339" s="4">
        <v>1</v>
      </c>
      <c r="E339" s="4">
        <v>0</v>
      </c>
      <c r="F339" s="4">
        <v>0</v>
      </c>
      <c r="G339" s="2" t="s">
        <v>79</v>
      </c>
      <c r="H339" s="25">
        <f t="shared" si="32"/>
        <v>4.223404725423789</v>
      </c>
      <c r="I339" s="25">
        <f t="shared" si="33"/>
        <v>-0.22340472542378897</v>
      </c>
      <c r="J339" s="25">
        <f t="shared" si="34"/>
        <v>4.9909671341678542E-2</v>
      </c>
      <c r="K339" s="25">
        <f t="shared" si="30"/>
        <v>3</v>
      </c>
      <c r="L339" s="25">
        <f t="shared" si="31"/>
        <v>5</v>
      </c>
      <c r="M339" s="25">
        <f t="shared" si="35"/>
        <v>1</v>
      </c>
    </row>
    <row r="340" spans="1:13" x14ac:dyDescent="0.2">
      <c r="A340" s="4">
        <v>5.84</v>
      </c>
      <c r="B340" s="4">
        <v>13</v>
      </c>
      <c r="C340" s="4">
        <v>0</v>
      </c>
      <c r="D340" s="4">
        <v>1</v>
      </c>
      <c r="E340" s="4">
        <v>1</v>
      </c>
      <c r="F340" s="4">
        <v>0</v>
      </c>
      <c r="G340" s="2" t="s">
        <v>79</v>
      </c>
      <c r="H340" s="25">
        <f t="shared" si="32"/>
        <v>4.7884877028715955</v>
      </c>
      <c r="I340" s="25">
        <f t="shared" si="33"/>
        <v>1.0515122971284043</v>
      </c>
      <c r="J340" s="25">
        <f t="shared" si="34"/>
        <v>1.1056781110122538</v>
      </c>
      <c r="K340" s="25">
        <f t="shared" si="30"/>
        <v>4.38</v>
      </c>
      <c r="L340" s="25">
        <f t="shared" si="31"/>
        <v>7.3</v>
      </c>
      <c r="M340" s="25">
        <f t="shared" si="35"/>
        <v>1</v>
      </c>
    </row>
    <row r="341" spans="1:13" x14ac:dyDescent="0.2">
      <c r="A341" s="4">
        <v>3.3</v>
      </c>
      <c r="B341" s="4">
        <v>13</v>
      </c>
      <c r="C341" s="4">
        <v>0</v>
      </c>
      <c r="D341" s="4">
        <v>1</v>
      </c>
      <c r="E341" s="4">
        <v>0</v>
      </c>
      <c r="F341" s="4">
        <v>0</v>
      </c>
      <c r="G341" s="2" t="s">
        <v>79</v>
      </c>
      <c r="H341" s="25">
        <f t="shared" si="32"/>
        <v>4.223404725423789</v>
      </c>
      <c r="I341" s="25">
        <f t="shared" si="33"/>
        <v>-0.92340472542378915</v>
      </c>
      <c r="J341" s="25">
        <f t="shared" si="34"/>
        <v>0.85267628693498343</v>
      </c>
      <c r="K341" s="25">
        <f t="shared" si="30"/>
        <v>2.4749999999999996</v>
      </c>
      <c r="L341" s="25">
        <f t="shared" si="31"/>
        <v>4.125</v>
      </c>
      <c r="M341" s="25">
        <f t="shared" si="35"/>
        <v>0</v>
      </c>
    </row>
    <row r="342" spans="1:13" x14ac:dyDescent="0.2">
      <c r="A342" s="4">
        <v>3.5</v>
      </c>
      <c r="B342" s="4">
        <v>14</v>
      </c>
      <c r="C342" s="4">
        <v>0</v>
      </c>
      <c r="D342" s="4">
        <v>1</v>
      </c>
      <c r="E342" s="4">
        <v>1</v>
      </c>
      <c r="F342" s="4">
        <v>0</v>
      </c>
      <c r="G342" s="2" t="s">
        <v>79</v>
      </c>
      <c r="H342" s="25">
        <f t="shared" si="32"/>
        <v>5.2718444084915852</v>
      </c>
      <c r="I342" s="25">
        <f t="shared" si="33"/>
        <v>-1.7718444084915852</v>
      </c>
      <c r="J342" s="25">
        <f t="shared" si="34"/>
        <v>3.1394326079028954</v>
      </c>
      <c r="K342" s="25">
        <f t="shared" si="30"/>
        <v>2.625</v>
      </c>
      <c r="L342" s="25">
        <f t="shared" si="31"/>
        <v>4.375</v>
      </c>
      <c r="M342" s="25">
        <f t="shared" si="35"/>
        <v>0</v>
      </c>
    </row>
    <row r="343" spans="1:13" x14ac:dyDescent="0.2">
      <c r="A343" s="4">
        <v>3</v>
      </c>
      <c r="B343" s="4">
        <v>13</v>
      </c>
      <c r="C343" s="4">
        <v>0</v>
      </c>
      <c r="D343" s="4">
        <v>1</v>
      </c>
      <c r="E343" s="4">
        <v>0</v>
      </c>
      <c r="F343" s="4">
        <v>0</v>
      </c>
      <c r="G343" s="2" t="s">
        <v>79</v>
      </c>
      <c r="H343" s="25">
        <f t="shared" si="32"/>
        <v>4.223404725423789</v>
      </c>
      <c r="I343" s="25">
        <f t="shared" si="33"/>
        <v>-1.223404725423789</v>
      </c>
      <c r="J343" s="25">
        <f t="shared" si="34"/>
        <v>1.4967191221892564</v>
      </c>
      <c r="K343" s="25">
        <f t="shared" si="30"/>
        <v>2.25</v>
      </c>
      <c r="L343" s="25">
        <f t="shared" si="31"/>
        <v>3.75</v>
      </c>
      <c r="M343" s="25">
        <f t="shared" si="35"/>
        <v>0</v>
      </c>
    </row>
    <row r="344" spans="1:13" x14ac:dyDescent="0.2">
      <c r="A344" s="4">
        <v>4.5</v>
      </c>
      <c r="B344" s="4">
        <v>14</v>
      </c>
      <c r="C344" s="4">
        <v>0</v>
      </c>
      <c r="D344" s="4">
        <v>0</v>
      </c>
      <c r="E344" s="4">
        <v>1</v>
      </c>
      <c r="F344" s="4">
        <v>0</v>
      </c>
      <c r="G344" s="2" t="s">
        <v>79</v>
      </c>
      <c r="H344" s="25">
        <f t="shared" si="32"/>
        <v>6.4794141686920979</v>
      </c>
      <c r="I344" s="25">
        <f t="shared" si="33"/>
        <v>-1.9794141686920979</v>
      </c>
      <c r="J344" s="25">
        <f t="shared" si="34"/>
        <v>3.918080451219029</v>
      </c>
      <c r="K344" s="25">
        <f t="shared" si="30"/>
        <v>3.375</v>
      </c>
      <c r="L344" s="25">
        <f t="shared" si="31"/>
        <v>5.625</v>
      </c>
      <c r="M344" s="25">
        <f t="shared" si="35"/>
        <v>0</v>
      </c>
    </row>
    <row r="345" spans="1:13" x14ac:dyDescent="0.2">
      <c r="A345" s="4">
        <v>3.85</v>
      </c>
      <c r="B345" s="4">
        <v>16</v>
      </c>
      <c r="C345" s="4">
        <v>0</v>
      </c>
      <c r="D345" s="4">
        <v>0</v>
      </c>
      <c r="E345" s="4">
        <v>1</v>
      </c>
      <c r="F345" s="4">
        <v>0</v>
      </c>
      <c r="G345" s="2" t="s">
        <v>79</v>
      </c>
      <c r="H345" s="25">
        <f t="shared" si="32"/>
        <v>7.4461275799320736</v>
      </c>
      <c r="I345" s="25">
        <f t="shared" si="33"/>
        <v>-3.5961275799320735</v>
      </c>
      <c r="J345" s="25">
        <f t="shared" si="34"/>
        <v>12.932133571148112</v>
      </c>
      <c r="K345" s="25">
        <f t="shared" si="30"/>
        <v>2.8875000000000002</v>
      </c>
      <c r="L345" s="25">
        <f t="shared" si="31"/>
        <v>4.8125</v>
      </c>
      <c r="M345" s="25">
        <f t="shared" si="35"/>
        <v>0</v>
      </c>
    </row>
    <row r="346" spans="1:13" x14ac:dyDescent="0.2">
      <c r="A346" s="4">
        <v>4.1100000000000003</v>
      </c>
      <c r="B346" s="4">
        <v>14</v>
      </c>
      <c r="C346" s="4">
        <v>0</v>
      </c>
      <c r="D346" s="4">
        <v>0</v>
      </c>
      <c r="E346" s="4">
        <v>0</v>
      </c>
      <c r="F346" s="4">
        <v>0</v>
      </c>
      <c r="G346" s="2" t="s">
        <v>79</v>
      </c>
      <c r="H346" s="25">
        <f t="shared" si="32"/>
        <v>5.9143311912442913</v>
      </c>
      <c r="I346" s="25">
        <f t="shared" si="33"/>
        <v>-1.804331191244291</v>
      </c>
      <c r="J346" s="25">
        <f t="shared" si="34"/>
        <v>3.2556110476970423</v>
      </c>
      <c r="K346" s="25">
        <f t="shared" si="30"/>
        <v>3.0825000000000005</v>
      </c>
      <c r="L346" s="25">
        <f t="shared" si="31"/>
        <v>5.1375000000000002</v>
      </c>
      <c r="M346" s="25">
        <f t="shared" si="35"/>
        <v>0</v>
      </c>
    </row>
    <row r="347" spans="1:13" x14ac:dyDescent="0.2">
      <c r="A347" s="4">
        <v>5</v>
      </c>
      <c r="B347" s="4">
        <v>14</v>
      </c>
      <c r="C347" s="4">
        <v>0</v>
      </c>
      <c r="D347" s="4">
        <v>0</v>
      </c>
      <c r="E347" s="4">
        <v>0</v>
      </c>
      <c r="F347" s="4">
        <v>0</v>
      </c>
      <c r="G347" s="2" t="s">
        <v>79</v>
      </c>
      <c r="H347" s="25">
        <f t="shared" si="32"/>
        <v>5.9143311912442913</v>
      </c>
      <c r="I347" s="25">
        <f t="shared" si="33"/>
        <v>-0.9143311912442913</v>
      </c>
      <c r="J347" s="25">
        <f t="shared" si="34"/>
        <v>0.83600152728220478</v>
      </c>
      <c r="K347" s="25">
        <f t="shared" si="30"/>
        <v>3.75</v>
      </c>
      <c r="L347" s="25">
        <f t="shared" si="31"/>
        <v>6.25</v>
      </c>
      <c r="M347" s="25">
        <f t="shared" si="35"/>
        <v>1</v>
      </c>
    </row>
    <row r="348" spans="1:13" x14ac:dyDescent="0.2">
      <c r="A348" s="4">
        <v>2.25</v>
      </c>
      <c r="B348" s="4">
        <v>12</v>
      </c>
      <c r="C348" s="4">
        <v>0</v>
      </c>
      <c r="D348" s="4">
        <v>1</v>
      </c>
      <c r="E348" s="4">
        <v>0</v>
      </c>
      <c r="F348" s="4">
        <v>0</v>
      </c>
      <c r="G348" s="2" t="s">
        <v>79</v>
      </c>
      <c r="H348" s="25">
        <f t="shared" si="32"/>
        <v>3.7400480198038015</v>
      </c>
      <c r="I348" s="25">
        <f t="shared" si="33"/>
        <v>-1.4900480198038015</v>
      </c>
      <c r="J348" s="25">
        <f t="shared" si="34"/>
        <v>2.22024310132123</v>
      </c>
      <c r="K348" s="25">
        <f t="shared" si="30"/>
        <v>1.6875</v>
      </c>
      <c r="L348" s="25">
        <f t="shared" si="31"/>
        <v>2.8125</v>
      </c>
      <c r="M348" s="25">
        <f t="shared" si="35"/>
        <v>0</v>
      </c>
    </row>
    <row r="349" spans="1:13" x14ac:dyDescent="0.2">
      <c r="A349" s="4">
        <v>3.18</v>
      </c>
      <c r="B349" s="4">
        <v>12</v>
      </c>
      <c r="C349" s="4">
        <v>0</v>
      </c>
      <c r="D349" s="4">
        <v>1</v>
      </c>
      <c r="E349" s="4">
        <v>1</v>
      </c>
      <c r="F349" s="4">
        <v>0</v>
      </c>
      <c r="G349" s="2" t="s">
        <v>79</v>
      </c>
      <c r="H349" s="25">
        <f t="shared" si="32"/>
        <v>4.3051309972516085</v>
      </c>
      <c r="I349" s="25">
        <f t="shared" si="33"/>
        <v>-1.1251309972516084</v>
      </c>
      <c r="J349" s="25">
        <f t="shared" si="34"/>
        <v>1.2659197609763988</v>
      </c>
      <c r="K349" s="25">
        <f t="shared" si="30"/>
        <v>2.3850000000000002</v>
      </c>
      <c r="L349" s="25">
        <f t="shared" si="31"/>
        <v>3.9750000000000001</v>
      </c>
      <c r="M349" s="25">
        <f t="shared" si="35"/>
        <v>0</v>
      </c>
    </row>
    <row r="350" spans="1:13" x14ac:dyDescent="0.2">
      <c r="A350" s="4">
        <v>5.05</v>
      </c>
      <c r="B350" s="10">
        <v>12</v>
      </c>
      <c r="C350" s="4">
        <v>0</v>
      </c>
      <c r="D350" s="4">
        <v>1</v>
      </c>
      <c r="E350" s="4">
        <v>0</v>
      </c>
      <c r="F350" s="4">
        <v>0</v>
      </c>
      <c r="G350" s="2" t="s">
        <v>79</v>
      </c>
      <c r="H350" s="25">
        <f t="shared" si="32"/>
        <v>3.7400480198038015</v>
      </c>
      <c r="I350" s="25">
        <f t="shared" si="33"/>
        <v>1.3099519801961983</v>
      </c>
      <c r="J350" s="25">
        <f t="shared" si="34"/>
        <v>1.715974190419941</v>
      </c>
      <c r="K350" s="25">
        <f t="shared" si="30"/>
        <v>3.7874999999999996</v>
      </c>
      <c r="L350" s="25">
        <f t="shared" si="31"/>
        <v>6.3125</v>
      </c>
      <c r="M350" s="25">
        <f t="shared" si="35"/>
        <v>0</v>
      </c>
    </row>
    <row r="351" spans="1:13" x14ac:dyDescent="0.2">
      <c r="A351" s="4">
        <v>4.63</v>
      </c>
      <c r="B351" s="4">
        <v>14</v>
      </c>
      <c r="C351" s="4">
        <v>0</v>
      </c>
      <c r="D351" s="4">
        <v>1</v>
      </c>
      <c r="E351" s="4">
        <v>1</v>
      </c>
      <c r="F351" s="4">
        <v>0</v>
      </c>
      <c r="G351" s="2" t="s">
        <v>79</v>
      </c>
      <c r="H351" s="25">
        <f t="shared" si="32"/>
        <v>5.2718444084915852</v>
      </c>
      <c r="I351" s="25">
        <f t="shared" si="33"/>
        <v>-0.64184440849158531</v>
      </c>
      <c r="J351" s="25">
        <f t="shared" si="34"/>
        <v>0.41196424471191301</v>
      </c>
      <c r="K351" s="25">
        <f t="shared" si="30"/>
        <v>3.4725000000000001</v>
      </c>
      <c r="L351" s="25">
        <f t="shared" si="31"/>
        <v>5.7874999999999996</v>
      </c>
      <c r="M351" s="25">
        <f t="shared" si="35"/>
        <v>1</v>
      </c>
    </row>
    <row r="352" spans="1:13" x14ac:dyDescent="0.2">
      <c r="A352" s="4">
        <v>2.91</v>
      </c>
      <c r="B352" s="4">
        <v>12</v>
      </c>
      <c r="C352" s="4">
        <v>0</v>
      </c>
      <c r="D352" s="4">
        <v>0</v>
      </c>
      <c r="E352" s="4">
        <v>1</v>
      </c>
      <c r="F352" s="4">
        <v>0</v>
      </c>
      <c r="G352" s="2" t="s">
        <v>79</v>
      </c>
      <c r="H352" s="25">
        <f t="shared" si="32"/>
        <v>5.5127007574521212</v>
      </c>
      <c r="I352" s="25">
        <f t="shared" si="33"/>
        <v>-2.602700757452121</v>
      </c>
      <c r="J352" s="25">
        <f t="shared" si="34"/>
        <v>6.7740512328418445</v>
      </c>
      <c r="K352" s="25">
        <f t="shared" si="30"/>
        <v>2.1825000000000001</v>
      </c>
      <c r="L352" s="25">
        <f t="shared" si="31"/>
        <v>3.6375000000000002</v>
      </c>
      <c r="M352" s="25">
        <f t="shared" si="35"/>
        <v>0</v>
      </c>
    </row>
    <row r="353" spans="1:13" x14ac:dyDescent="0.2">
      <c r="A353" s="4">
        <v>6.25</v>
      </c>
      <c r="B353" s="4">
        <v>17</v>
      </c>
      <c r="C353" s="4">
        <v>0</v>
      </c>
      <c r="D353" s="4">
        <v>1</v>
      </c>
      <c r="E353" s="4">
        <v>0</v>
      </c>
      <c r="F353" s="4">
        <v>1</v>
      </c>
      <c r="G353" s="2" t="s">
        <v>79</v>
      </c>
      <c r="H353" s="25">
        <f t="shared" si="32"/>
        <v>7.2744547840698868</v>
      </c>
      <c r="I353" s="25">
        <f t="shared" si="33"/>
        <v>-1.0244547840698868</v>
      </c>
      <c r="J353" s="25">
        <f t="shared" si="34"/>
        <v>1.0495076046036784</v>
      </c>
      <c r="K353" s="25">
        <f t="shared" si="30"/>
        <v>4.6875</v>
      </c>
      <c r="L353" s="25">
        <f t="shared" si="31"/>
        <v>7.8125</v>
      </c>
      <c r="M353" s="25">
        <f t="shared" si="35"/>
        <v>1</v>
      </c>
    </row>
    <row r="354" spans="1:13" x14ac:dyDescent="0.2">
      <c r="A354" s="4">
        <v>5.25</v>
      </c>
      <c r="B354" s="4">
        <v>16</v>
      </c>
      <c r="C354" s="4">
        <v>0</v>
      </c>
      <c r="D354" s="4">
        <v>0</v>
      </c>
      <c r="E354" s="4">
        <v>0</v>
      </c>
      <c r="F354" s="4">
        <v>0</v>
      </c>
      <c r="G354" s="2" t="s">
        <v>79</v>
      </c>
      <c r="H354" s="25">
        <f t="shared" si="32"/>
        <v>6.8810446024842671</v>
      </c>
      <c r="I354" s="25">
        <f t="shared" si="33"/>
        <v>-1.6310446024842671</v>
      </c>
      <c r="J354" s="25">
        <f t="shared" si="34"/>
        <v>2.6603064952930606</v>
      </c>
      <c r="K354" s="25">
        <f t="shared" si="30"/>
        <v>3.9375</v>
      </c>
      <c r="L354" s="25">
        <f t="shared" si="31"/>
        <v>6.5625</v>
      </c>
      <c r="M354" s="25">
        <f t="shared" si="35"/>
        <v>0</v>
      </c>
    </row>
    <row r="355" spans="1:13" x14ac:dyDescent="0.2">
      <c r="A355" s="4">
        <v>5.25</v>
      </c>
      <c r="B355" s="4">
        <v>12</v>
      </c>
      <c r="C355" s="4">
        <v>0</v>
      </c>
      <c r="D355" s="4">
        <v>0</v>
      </c>
      <c r="E355" s="4">
        <v>0</v>
      </c>
      <c r="F355" s="4">
        <v>0</v>
      </c>
      <c r="G355" s="2" t="s">
        <v>79</v>
      </c>
      <c r="H355" s="25">
        <f t="shared" si="32"/>
        <v>4.9476177800043146</v>
      </c>
      <c r="I355" s="25">
        <f t="shared" si="33"/>
        <v>0.30238221999568538</v>
      </c>
      <c r="J355" s="25">
        <f t="shared" si="34"/>
        <v>9.1435006969519061E-2</v>
      </c>
      <c r="K355" s="25">
        <f t="shared" si="30"/>
        <v>3.9375</v>
      </c>
      <c r="L355" s="25">
        <f t="shared" si="31"/>
        <v>6.5625</v>
      </c>
      <c r="M355" s="25">
        <f t="shared" si="35"/>
        <v>1</v>
      </c>
    </row>
    <row r="356" spans="1:13" x14ac:dyDescent="0.2">
      <c r="A356" s="4">
        <v>2.9</v>
      </c>
      <c r="B356" s="4">
        <v>10</v>
      </c>
      <c r="C356" s="4">
        <v>0</v>
      </c>
      <c r="D356" s="4">
        <v>1</v>
      </c>
      <c r="E356" s="4">
        <v>0</v>
      </c>
      <c r="F356" s="4">
        <v>0</v>
      </c>
      <c r="G356" s="2" t="s">
        <v>79</v>
      </c>
      <c r="H356" s="25">
        <f t="shared" si="32"/>
        <v>2.7733346085638257</v>
      </c>
      <c r="I356" s="25">
        <f t="shared" si="33"/>
        <v>0.12666539143617417</v>
      </c>
      <c r="J356" s="25">
        <f t="shared" si="34"/>
        <v>1.6044121387679224E-2</v>
      </c>
      <c r="K356" s="25">
        <f t="shared" si="30"/>
        <v>2.1749999999999998</v>
      </c>
      <c r="L356" s="25">
        <f t="shared" si="31"/>
        <v>3.625</v>
      </c>
      <c r="M356" s="25">
        <f t="shared" si="35"/>
        <v>1</v>
      </c>
    </row>
    <row r="357" spans="1:13" x14ac:dyDescent="0.2">
      <c r="A357" s="4">
        <v>2.92</v>
      </c>
      <c r="B357" s="4">
        <v>12</v>
      </c>
      <c r="C357" s="4">
        <v>0</v>
      </c>
      <c r="D357" s="4">
        <v>1</v>
      </c>
      <c r="E357" s="4">
        <v>0</v>
      </c>
      <c r="F357" s="4">
        <v>0</v>
      </c>
      <c r="G357" s="2" t="s">
        <v>79</v>
      </c>
      <c r="H357" s="25">
        <f t="shared" si="32"/>
        <v>3.7400480198038015</v>
      </c>
      <c r="I357" s="25">
        <f t="shared" si="33"/>
        <v>-0.8200480198038016</v>
      </c>
      <c r="J357" s="25">
        <f t="shared" si="34"/>
        <v>0.67247875478413621</v>
      </c>
      <c r="K357" s="25">
        <f t="shared" si="30"/>
        <v>2.19</v>
      </c>
      <c r="L357" s="25">
        <f t="shared" si="31"/>
        <v>3.65</v>
      </c>
      <c r="M357" s="25">
        <f t="shared" si="35"/>
        <v>0</v>
      </c>
    </row>
    <row r="358" spans="1:13" x14ac:dyDescent="0.2">
      <c r="A358" s="4">
        <v>3.25</v>
      </c>
      <c r="B358" s="4">
        <v>12</v>
      </c>
      <c r="C358" s="4">
        <v>0</v>
      </c>
      <c r="D358" s="4">
        <v>0</v>
      </c>
      <c r="E358" s="4">
        <v>0</v>
      </c>
      <c r="F358" s="4">
        <v>0</v>
      </c>
      <c r="G358" s="2" t="s">
        <v>79</v>
      </c>
      <c r="H358" s="25">
        <f t="shared" si="32"/>
        <v>4.9476177800043146</v>
      </c>
      <c r="I358" s="25">
        <f t="shared" si="33"/>
        <v>-1.6976177800043146</v>
      </c>
      <c r="J358" s="25">
        <f t="shared" si="34"/>
        <v>2.8819061269867774</v>
      </c>
      <c r="K358" s="25">
        <f t="shared" si="30"/>
        <v>2.4375</v>
      </c>
      <c r="L358" s="25">
        <f t="shared" si="31"/>
        <v>4.0625</v>
      </c>
      <c r="M358" s="25">
        <f t="shared" si="35"/>
        <v>0</v>
      </c>
    </row>
    <row r="359" spans="1:13" x14ac:dyDescent="0.2">
      <c r="A359" s="4">
        <v>3.25</v>
      </c>
      <c r="B359" s="4">
        <v>15</v>
      </c>
      <c r="C359" s="4">
        <v>0</v>
      </c>
      <c r="D359" s="4">
        <v>0</v>
      </c>
      <c r="E359" s="4">
        <v>0</v>
      </c>
      <c r="F359" s="4">
        <v>0</v>
      </c>
      <c r="G359" s="2" t="s">
        <v>79</v>
      </c>
      <c r="H359" s="25">
        <f t="shared" si="32"/>
        <v>6.3976878968642792</v>
      </c>
      <c r="I359" s="25">
        <f t="shared" si="33"/>
        <v>-3.1476878968642792</v>
      </c>
      <c r="J359" s="25">
        <f t="shared" si="34"/>
        <v>9.9079390960658689</v>
      </c>
      <c r="K359" s="25">
        <f t="shared" si="30"/>
        <v>2.4375</v>
      </c>
      <c r="L359" s="25">
        <f t="shared" si="31"/>
        <v>4.0625</v>
      </c>
      <c r="M359" s="25">
        <f t="shared" si="35"/>
        <v>0</v>
      </c>
    </row>
    <row r="360" spans="1:13" x14ac:dyDescent="0.2">
      <c r="A360" s="4">
        <v>4.29</v>
      </c>
      <c r="B360" s="4">
        <v>12</v>
      </c>
      <c r="C360" s="4">
        <v>0</v>
      </c>
      <c r="D360" s="4">
        <v>1</v>
      </c>
      <c r="E360" s="4">
        <v>0</v>
      </c>
      <c r="F360" s="4">
        <v>0</v>
      </c>
      <c r="G360" s="2" t="s">
        <v>79</v>
      </c>
      <c r="H360" s="25">
        <f t="shared" si="32"/>
        <v>3.7400480198038015</v>
      </c>
      <c r="I360" s="25">
        <f t="shared" si="33"/>
        <v>0.54995198019619851</v>
      </c>
      <c r="J360" s="25">
        <f t="shared" si="34"/>
        <v>0.30244718052171993</v>
      </c>
      <c r="K360" s="25">
        <f t="shared" si="30"/>
        <v>3.2175000000000002</v>
      </c>
      <c r="L360" s="25">
        <f t="shared" si="31"/>
        <v>5.3624999999999998</v>
      </c>
      <c r="M360" s="25">
        <f t="shared" si="35"/>
        <v>1</v>
      </c>
    </row>
    <row r="361" spans="1:13" x14ac:dyDescent="0.2">
      <c r="A361" s="4">
        <v>4.68</v>
      </c>
      <c r="B361" s="4">
        <v>12</v>
      </c>
      <c r="C361" s="4">
        <v>0</v>
      </c>
      <c r="D361" s="4">
        <v>1</v>
      </c>
      <c r="E361" s="4">
        <v>0</v>
      </c>
      <c r="F361" s="4">
        <v>1</v>
      </c>
      <c r="G361" s="2" t="s">
        <v>79</v>
      </c>
      <c r="H361" s="25">
        <f t="shared" si="32"/>
        <v>4.8576712559699464</v>
      </c>
      <c r="I361" s="25">
        <f t="shared" si="33"/>
        <v>-0.17767125596994671</v>
      </c>
      <c r="J361" s="25">
        <f t="shared" si="34"/>
        <v>3.1567075197938325E-2</v>
      </c>
      <c r="K361" s="25">
        <f t="shared" si="30"/>
        <v>3.51</v>
      </c>
      <c r="L361" s="25">
        <f t="shared" si="31"/>
        <v>5.85</v>
      </c>
      <c r="M361" s="25">
        <f t="shared" si="35"/>
        <v>1</v>
      </c>
    </row>
    <row r="362" spans="1:13" x14ac:dyDescent="0.2">
      <c r="A362" s="4">
        <v>6.63</v>
      </c>
      <c r="B362" s="4">
        <v>16</v>
      </c>
      <c r="C362" s="4">
        <v>0</v>
      </c>
      <c r="D362" s="4">
        <v>0</v>
      </c>
      <c r="E362" s="4">
        <v>1</v>
      </c>
      <c r="F362" s="4">
        <v>0</v>
      </c>
      <c r="G362" s="2" t="s">
        <v>79</v>
      </c>
      <c r="H362" s="25">
        <f t="shared" si="32"/>
        <v>7.4461275799320736</v>
      </c>
      <c r="I362" s="25">
        <f t="shared" si="33"/>
        <v>-0.81612757993207374</v>
      </c>
      <c r="J362" s="25">
        <f t="shared" si="34"/>
        <v>0.66606422672578347</v>
      </c>
      <c r="K362" s="25">
        <f t="shared" si="30"/>
        <v>4.9725000000000001</v>
      </c>
      <c r="L362" s="25">
        <f t="shared" si="31"/>
        <v>8.2874999999999996</v>
      </c>
      <c r="M362" s="25">
        <f t="shared" si="35"/>
        <v>1</v>
      </c>
    </row>
    <row r="363" spans="1:13" x14ac:dyDescent="0.2">
      <c r="A363" s="4">
        <v>4.4400000000000004</v>
      </c>
      <c r="B363" s="4">
        <v>12</v>
      </c>
      <c r="C363" s="4">
        <v>0</v>
      </c>
      <c r="D363" s="4">
        <v>0</v>
      </c>
      <c r="E363" s="4">
        <v>0</v>
      </c>
      <c r="F363" s="4">
        <v>0</v>
      </c>
      <c r="G363" s="2" t="s">
        <v>79</v>
      </c>
      <c r="H363" s="25">
        <f t="shared" si="32"/>
        <v>4.9476177800043146</v>
      </c>
      <c r="I363" s="25">
        <f t="shared" si="33"/>
        <v>-0.50761778000431423</v>
      </c>
      <c r="J363" s="25">
        <f t="shared" si="34"/>
        <v>0.25767581057650835</v>
      </c>
      <c r="K363" s="25">
        <f t="shared" si="30"/>
        <v>3.33</v>
      </c>
      <c r="L363" s="25">
        <f t="shared" si="31"/>
        <v>5.5500000000000007</v>
      </c>
      <c r="M363" s="25">
        <f t="shared" si="35"/>
        <v>1</v>
      </c>
    </row>
    <row r="364" spans="1:13" x14ac:dyDescent="0.2">
      <c r="A364" s="4">
        <v>5.71</v>
      </c>
      <c r="B364" s="4">
        <v>16</v>
      </c>
      <c r="C364" s="4">
        <v>0</v>
      </c>
      <c r="D364" s="4">
        <v>1</v>
      </c>
      <c r="E364" s="4">
        <v>0</v>
      </c>
      <c r="F364" s="4">
        <v>0</v>
      </c>
      <c r="G364" s="2" t="s">
        <v>79</v>
      </c>
      <c r="H364" s="25">
        <f t="shared" si="32"/>
        <v>5.6734748422837544</v>
      </c>
      <c r="I364" s="25">
        <f t="shared" si="33"/>
        <v>3.6525157716245538E-2</v>
      </c>
      <c r="J364" s="25">
        <f t="shared" si="34"/>
        <v>1.3340871461966109E-3</v>
      </c>
      <c r="K364" s="25">
        <f t="shared" si="30"/>
        <v>4.2824999999999998</v>
      </c>
      <c r="L364" s="25">
        <f t="shared" si="31"/>
        <v>7.1375000000000002</v>
      </c>
      <c r="M364" s="25">
        <f t="shared" si="35"/>
        <v>1</v>
      </c>
    </row>
    <row r="365" spans="1:13" x14ac:dyDescent="0.2">
      <c r="A365" s="4">
        <v>4.57</v>
      </c>
      <c r="B365" s="4">
        <v>14</v>
      </c>
      <c r="C365" s="4">
        <v>0</v>
      </c>
      <c r="D365" s="4">
        <v>0</v>
      </c>
      <c r="E365" s="4">
        <v>1</v>
      </c>
      <c r="F365" s="4">
        <v>0</v>
      </c>
      <c r="G365" s="2" t="s">
        <v>79</v>
      </c>
      <c r="H365" s="25">
        <f t="shared" si="32"/>
        <v>6.4794141686920979</v>
      </c>
      <c r="I365" s="25">
        <f t="shared" si="33"/>
        <v>-1.9094141686920976</v>
      </c>
      <c r="J365" s="25">
        <f t="shared" si="34"/>
        <v>3.6458624676021341</v>
      </c>
      <c r="K365" s="25">
        <f t="shared" si="30"/>
        <v>3.4275000000000002</v>
      </c>
      <c r="L365" s="25">
        <f t="shared" si="31"/>
        <v>5.7125000000000004</v>
      </c>
      <c r="M365" s="25">
        <f t="shared" si="35"/>
        <v>0</v>
      </c>
    </row>
    <row r="366" spans="1:13" x14ac:dyDescent="0.2">
      <c r="A366" s="4">
        <v>6.5</v>
      </c>
      <c r="B366" s="4">
        <v>17</v>
      </c>
      <c r="C366" s="4">
        <v>0</v>
      </c>
      <c r="D366" s="4">
        <v>0</v>
      </c>
      <c r="E366" s="4">
        <v>1</v>
      </c>
      <c r="F366" s="4">
        <v>0</v>
      </c>
      <c r="G366" s="2" t="s">
        <v>79</v>
      </c>
      <c r="H366" s="25">
        <f t="shared" si="32"/>
        <v>7.9294842855520624</v>
      </c>
      <c r="I366" s="25">
        <f t="shared" si="33"/>
        <v>-1.4294842855520624</v>
      </c>
      <c r="J366" s="25">
        <f t="shared" si="34"/>
        <v>2.0434253226402905</v>
      </c>
      <c r="K366" s="25">
        <f t="shared" si="30"/>
        <v>4.875</v>
      </c>
      <c r="L366" s="25">
        <f t="shared" si="31"/>
        <v>8.125</v>
      </c>
      <c r="M366" s="25">
        <f t="shared" si="35"/>
        <v>1</v>
      </c>
    </row>
    <row r="367" spans="1:13" x14ac:dyDescent="0.2">
      <c r="A367" s="4">
        <v>8.1300000000000008</v>
      </c>
      <c r="B367" s="4">
        <v>13</v>
      </c>
      <c r="C367" s="4">
        <v>0</v>
      </c>
      <c r="D367" s="10">
        <v>2</v>
      </c>
      <c r="E367" s="4">
        <v>0</v>
      </c>
      <c r="F367" s="4">
        <v>1</v>
      </c>
      <c r="G367" s="2" t="s">
        <v>79</v>
      </c>
      <c r="H367" s="25">
        <f t="shared" si="32"/>
        <v>4.1334582013894208</v>
      </c>
      <c r="I367" s="25">
        <f t="shared" si="33"/>
        <v>3.99654179861058</v>
      </c>
      <c r="J367" s="25">
        <f t="shared" si="34"/>
        <v>15.972346348041491</v>
      </c>
      <c r="K367" s="25">
        <f t="shared" si="30"/>
        <v>6.0975000000000001</v>
      </c>
      <c r="L367" s="25">
        <f t="shared" si="31"/>
        <v>10.162500000000001</v>
      </c>
      <c r="M367" s="25">
        <f t="shared" si="35"/>
        <v>0</v>
      </c>
    </row>
    <row r="368" spans="1:13" x14ac:dyDescent="0.2">
      <c r="A368" s="4">
        <v>3</v>
      </c>
      <c r="B368" s="4">
        <v>9</v>
      </c>
      <c r="C368" s="4">
        <v>0</v>
      </c>
      <c r="D368" s="4">
        <v>1</v>
      </c>
      <c r="E368" s="4">
        <v>0</v>
      </c>
      <c r="F368" s="4">
        <v>0</v>
      </c>
      <c r="G368" s="2" t="s">
        <v>79</v>
      </c>
      <c r="H368" s="25">
        <f t="shared" si="32"/>
        <v>2.2899779029438379</v>
      </c>
      <c r="I368" s="25">
        <f t="shared" si="33"/>
        <v>0.71002209705616215</v>
      </c>
      <c r="J368" s="25">
        <f t="shared" si="34"/>
        <v>0.50413137830803012</v>
      </c>
      <c r="K368" s="25">
        <f t="shared" si="30"/>
        <v>2.25</v>
      </c>
      <c r="L368" s="25">
        <f t="shared" si="31"/>
        <v>3.75</v>
      </c>
      <c r="M368" s="25">
        <f t="shared" si="35"/>
        <v>1</v>
      </c>
    </row>
    <row r="369" spans="1:13" x14ac:dyDescent="0.2">
      <c r="A369" s="4">
        <v>4</v>
      </c>
      <c r="B369" s="4">
        <v>10</v>
      </c>
      <c r="C369" s="4">
        <v>0</v>
      </c>
      <c r="D369" s="4">
        <v>1</v>
      </c>
      <c r="E369" s="4">
        <v>0</v>
      </c>
      <c r="F369" s="4">
        <v>1</v>
      </c>
      <c r="G369" s="2" t="s">
        <v>79</v>
      </c>
      <c r="H369" s="25">
        <f t="shared" si="32"/>
        <v>3.8909578447299706</v>
      </c>
      <c r="I369" s="25">
        <f t="shared" si="33"/>
        <v>0.10904215527002936</v>
      </c>
      <c r="J369" s="25">
        <f t="shared" si="34"/>
        <v>1.1890191625933192E-2</v>
      </c>
      <c r="K369" s="25">
        <f t="shared" si="30"/>
        <v>3</v>
      </c>
      <c r="L369" s="25">
        <f t="shared" si="31"/>
        <v>5</v>
      </c>
      <c r="M369" s="25">
        <f t="shared" si="35"/>
        <v>1</v>
      </c>
    </row>
    <row r="370" spans="1:13" x14ac:dyDescent="0.2">
      <c r="A370" s="4">
        <v>2.7</v>
      </c>
      <c r="B370" s="4">
        <v>9</v>
      </c>
      <c r="C370" s="4">
        <v>0</v>
      </c>
      <c r="D370" s="4">
        <v>1</v>
      </c>
      <c r="E370" s="4">
        <v>0</v>
      </c>
      <c r="F370" s="4">
        <v>0</v>
      </c>
      <c r="G370" s="2" t="s">
        <v>79</v>
      </c>
      <c r="H370" s="25">
        <f t="shared" si="32"/>
        <v>2.2899779029438379</v>
      </c>
      <c r="I370" s="25">
        <f t="shared" si="33"/>
        <v>0.41002209705616233</v>
      </c>
      <c r="J370" s="25">
        <f t="shared" si="34"/>
        <v>0.16811812007433299</v>
      </c>
      <c r="K370" s="25">
        <f t="shared" si="30"/>
        <v>2.0250000000000004</v>
      </c>
      <c r="L370" s="25">
        <f t="shared" si="31"/>
        <v>3.375</v>
      </c>
      <c r="M370" s="25">
        <f t="shared" si="35"/>
        <v>1</v>
      </c>
    </row>
    <row r="371" spans="1:13" x14ac:dyDescent="0.2">
      <c r="A371" s="4">
        <v>2.27</v>
      </c>
      <c r="B371" s="4">
        <v>10</v>
      </c>
      <c r="C371" s="4">
        <v>0</v>
      </c>
      <c r="D371" s="10">
        <v>2</v>
      </c>
      <c r="E371" s="4">
        <v>0</v>
      </c>
      <c r="F371" s="4">
        <v>1</v>
      </c>
      <c r="G371" s="2" t="s">
        <v>79</v>
      </c>
      <c r="H371" s="25">
        <f t="shared" si="32"/>
        <v>2.6833880845294571</v>
      </c>
      <c r="I371" s="25">
        <f t="shared" si="33"/>
        <v>-0.41338808452945708</v>
      </c>
      <c r="J371" s="25">
        <f t="shared" si="34"/>
        <v>0.17088970843093354</v>
      </c>
      <c r="K371" s="25">
        <f t="shared" si="30"/>
        <v>1.7025000000000001</v>
      </c>
      <c r="L371" s="25">
        <f t="shared" si="31"/>
        <v>2.8374999999999999</v>
      </c>
      <c r="M371" s="25">
        <f t="shared" si="35"/>
        <v>1</v>
      </c>
    </row>
    <row r="372" spans="1:13" x14ac:dyDescent="0.2">
      <c r="A372" s="4">
        <v>3.05</v>
      </c>
      <c r="B372" s="4">
        <v>12</v>
      </c>
      <c r="C372" s="4">
        <v>0</v>
      </c>
      <c r="D372" s="4">
        <v>1</v>
      </c>
      <c r="E372" s="4">
        <v>0</v>
      </c>
      <c r="F372" s="4">
        <v>0</v>
      </c>
      <c r="G372" s="2" t="s">
        <v>79</v>
      </c>
      <c r="H372" s="25">
        <f t="shared" si="32"/>
        <v>3.7400480198038015</v>
      </c>
      <c r="I372" s="25">
        <f t="shared" si="33"/>
        <v>-0.6900480198038017</v>
      </c>
      <c r="J372" s="25">
        <f t="shared" si="34"/>
        <v>0.47616626963514791</v>
      </c>
      <c r="K372" s="25">
        <f t="shared" si="30"/>
        <v>2.2874999999999996</v>
      </c>
      <c r="L372" s="25">
        <f t="shared" si="31"/>
        <v>3.8125</v>
      </c>
      <c r="M372" s="25">
        <f t="shared" si="35"/>
        <v>1</v>
      </c>
    </row>
    <row r="373" spans="1:13" x14ac:dyDescent="0.2">
      <c r="A373" s="4">
        <v>3.5</v>
      </c>
      <c r="B373" s="4">
        <v>13</v>
      </c>
      <c r="C373" s="4">
        <v>0</v>
      </c>
      <c r="D373" s="4">
        <v>1</v>
      </c>
      <c r="E373" s="4">
        <v>0</v>
      </c>
      <c r="F373" s="4">
        <v>0</v>
      </c>
      <c r="G373" s="2" t="s">
        <v>79</v>
      </c>
      <c r="H373" s="25">
        <f t="shared" si="32"/>
        <v>4.223404725423789</v>
      </c>
      <c r="I373" s="25">
        <f t="shared" si="33"/>
        <v>-0.72340472542378897</v>
      </c>
      <c r="J373" s="25">
        <f t="shared" si="34"/>
        <v>0.52331439676546754</v>
      </c>
      <c r="K373" s="25">
        <f t="shared" si="30"/>
        <v>2.625</v>
      </c>
      <c r="L373" s="25">
        <f t="shared" si="31"/>
        <v>4.375</v>
      </c>
      <c r="M373" s="25">
        <f t="shared" si="35"/>
        <v>1</v>
      </c>
    </row>
    <row r="374" spans="1:13" x14ac:dyDescent="0.2">
      <c r="A374" s="4">
        <v>4.8099999999999996</v>
      </c>
      <c r="B374" s="4">
        <v>12</v>
      </c>
      <c r="C374" s="4">
        <v>0</v>
      </c>
      <c r="D374" s="4">
        <v>1</v>
      </c>
      <c r="E374" s="4">
        <v>0</v>
      </c>
      <c r="F374" s="4">
        <v>0</v>
      </c>
      <c r="G374" s="2" t="s">
        <v>79</v>
      </c>
      <c r="H374" s="25">
        <f t="shared" si="32"/>
        <v>3.7400480198038015</v>
      </c>
      <c r="I374" s="25">
        <f t="shared" si="33"/>
        <v>1.0699519801961981</v>
      </c>
      <c r="J374" s="25">
        <f t="shared" si="34"/>
        <v>1.1447972399257655</v>
      </c>
      <c r="K374" s="25">
        <f t="shared" si="30"/>
        <v>3.6074999999999999</v>
      </c>
      <c r="L374" s="25">
        <f t="shared" si="31"/>
        <v>6.0124999999999993</v>
      </c>
      <c r="M374" s="25">
        <f t="shared" si="35"/>
        <v>1</v>
      </c>
    </row>
    <row r="375" spans="1:13" x14ac:dyDescent="0.2">
      <c r="A375" s="4">
        <v>2.2999999999999998</v>
      </c>
      <c r="B375" s="4">
        <v>10</v>
      </c>
      <c r="C375" s="4">
        <v>0</v>
      </c>
      <c r="D375" s="4">
        <v>1</v>
      </c>
      <c r="E375" s="4">
        <v>0</v>
      </c>
      <c r="F375" s="4">
        <v>0</v>
      </c>
      <c r="G375" s="2" t="s">
        <v>79</v>
      </c>
      <c r="H375" s="25">
        <f t="shared" si="32"/>
        <v>2.7733346085638257</v>
      </c>
      <c r="I375" s="25">
        <f t="shared" si="33"/>
        <v>-0.47333460856382592</v>
      </c>
      <c r="J375" s="25">
        <f t="shared" si="34"/>
        <v>0.22404565166427032</v>
      </c>
      <c r="K375" s="25">
        <f t="shared" si="30"/>
        <v>1.7249999999999999</v>
      </c>
      <c r="L375" s="25">
        <f t="shared" si="31"/>
        <v>2.875</v>
      </c>
      <c r="M375" s="25">
        <f t="shared" si="35"/>
        <v>1</v>
      </c>
    </row>
    <row r="376" spans="1:13" x14ac:dyDescent="0.2">
      <c r="A376" s="4">
        <v>3.5</v>
      </c>
      <c r="B376" s="4">
        <v>12</v>
      </c>
      <c r="C376" s="4">
        <v>0</v>
      </c>
      <c r="D376" s="10">
        <v>2</v>
      </c>
      <c r="E376" s="4">
        <v>0</v>
      </c>
      <c r="F376" s="4">
        <v>0</v>
      </c>
      <c r="G376" s="2" t="s">
        <v>79</v>
      </c>
      <c r="H376" s="25">
        <f t="shared" si="32"/>
        <v>2.5324782596032884</v>
      </c>
      <c r="I376" s="25">
        <f t="shared" si="33"/>
        <v>0.96752174039671157</v>
      </c>
      <c r="J376" s="25">
        <f t="shared" si="34"/>
        <v>0.93609831814028177</v>
      </c>
      <c r="K376" s="25">
        <f t="shared" si="30"/>
        <v>2.625</v>
      </c>
      <c r="L376" s="25">
        <f t="shared" si="31"/>
        <v>4.375</v>
      </c>
      <c r="M376" s="25">
        <f t="shared" si="35"/>
        <v>0</v>
      </c>
    </row>
    <row r="377" spans="1:13" x14ac:dyDescent="0.2">
      <c r="A377" s="4">
        <v>7.9</v>
      </c>
      <c r="B377" s="4">
        <v>12</v>
      </c>
      <c r="C377" s="4">
        <v>0</v>
      </c>
      <c r="D377" s="4">
        <v>0</v>
      </c>
      <c r="E377" s="4">
        <v>0</v>
      </c>
      <c r="F377" s="4">
        <v>0</v>
      </c>
      <c r="G377" s="2" t="s">
        <v>79</v>
      </c>
      <c r="H377" s="25">
        <f t="shared" si="32"/>
        <v>4.9476177800043146</v>
      </c>
      <c r="I377" s="25">
        <f t="shared" si="33"/>
        <v>2.9523822199956857</v>
      </c>
      <c r="J377" s="25">
        <f t="shared" si="34"/>
        <v>8.7165607729466537</v>
      </c>
      <c r="K377" s="25">
        <f t="shared" si="30"/>
        <v>5.9250000000000007</v>
      </c>
      <c r="L377" s="25">
        <f t="shared" si="31"/>
        <v>9.875</v>
      </c>
      <c r="M377" s="25">
        <f t="shared" si="35"/>
        <v>0</v>
      </c>
    </row>
    <row r="378" spans="1:13" x14ac:dyDescent="0.2">
      <c r="A378" s="4">
        <v>3</v>
      </c>
      <c r="B378" s="4">
        <v>12</v>
      </c>
      <c r="C378" s="4">
        <v>0</v>
      </c>
      <c r="D378" s="4">
        <v>0</v>
      </c>
      <c r="E378" s="4">
        <v>0</v>
      </c>
      <c r="F378" s="4">
        <v>0</v>
      </c>
      <c r="G378" s="2" t="s">
        <v>79</v>
      </c>
      <c r="H378" s="25">
        <f t="shared" si="32"/>
        <v>4.9476177800043146</v>
      </c>
      <c r="I378" s="25">
        <f t="shared" si="33"/>
        <v>-1.9476177800043146</v>
      </c>
      <c r="J378" s="25">
        <f t="shared" si="34"/>
        <v>3.7932150169889347</v>
      </c>
      <c r="K378" s="25">
        <f t="shared" si="30"/>
        <v>2.25</v>
      </c>
      <c r="L378" s="25">
        <f t="shared" si="31"/>
        <v>3.75</v>
      </c>
      <c r="M378" s="25">
        <f t="shared" si="35"/>
        <v>0</v>
      </c>
    </row>
    <row r="379" spans="1:13" x14ac:dyDescent="0.2">
      <c r="A379" s="4">
        <v>5.7</v>
      </c>
      <c r="B379" s="4">
        <v>16</v>
      </c>
      <c r="C379" s="4">
        <v>0</v>
      </c>
      <c r="D379" s="4">
        <v>0</v>
      </c>
      <c r="E379" s="4">
        <v>0</v>
      </c>
      <c r="F379" s="4">
        <v>0</v>
      </c>
      <c r="G379" s="2" t="s">
        <v>79</v>
      </c>
      <c r="H379" s="25">
        <f t="shared" si="32"/>
        <v>6.8810446024842671</v>
      </c>
      <c r="I379" s="25">
        <f t="shared" si="33"/>
        <v>-1.1810446024842669</v>
      </c>
      <c r="J379" s="25">
        <f t="shared" si="34"/>
        <v>1.3948663530572201</v>
      </c>
      <c r="K379" s="25">
        <f t="shared" si="30"/>
        <v>4.2750000000000004</v>
      </c>
      <c r="L379" s="25">
        <f t="shared" si="31"/>
        <v>7.125</v>
      </c>
      <c r="M379" s="25">
        <f t="shared" si="35"/>
        <v>1</v>
      </c>
    </row>
    <row r="380" spans="1:13" x14ac:dyDescent="0.2">
      <c r="A380" s="4">
        <v>2.5</v>
      </c>
      <c r="B380" s="10">
        <v>12</v>
      </c>
      <c r="C380" s="4">
        <v>0</v>
      </c>
      <c r="D380" s="4">
        <v>0</v>
      </c>
      <c r="E380" s="4">
        <v>0</v>
      </c>
      <c r="F380" s="4">
        <v>0</v>
      </c>
      <c r="G380" s="2" t="s">
        <v>79</v>
      </c>
      <c r="H380" s="25">
        <f t="shared" si="32"/>
        <v>4.9476177800043146</v>
      </c>
      <c r="I380" s="25">
        <f t="shared" si="33"/>
        <v>-2.4476177800043146</v>
      </c>
      <c r="J380" s="25">
        <f t="shared" si="34"/>
        <v>5.9908327969932493</v>
      </c>
      <c r="K380" s="25">
        <f t="shared" si="30"/>
        <v>1.875</v>
      </c>
      <c r="L380" s="25">
        <f t="shared" si="31"/>
        <v>3.125</v>
      </c>
      <c r="M380" s="25">
        <f t="shared" si="35"/>
        <v>0</v>
      </c>
    </row>
    <row r="381" spans="1:13" x14ac:dyDescent="0.2">
      <c r="A381" s="4">
        <v>2.88</v>
      </c>
      <c r="B381" s="4">
        <v>10</v>
      </c>
      <c r="C381" s="4">
        <v>0</v>
      </c>
      <c r="D381" s="4">
        <v>1</v>
      </c>
      <c r="E381" s="4">
        <v>0</v>
      </c>
      <c r="F381" s="4">
        <v>0</v>
      </c>
      <c r="G381" s="2" t="s">
        <v>79</v>
      </c>
      <c r="H381" s="25">
        <f t="shared" si="32"/>
        <v>2.7733346085638257</v>
      </c>
      <c r="I381" s="25">
        <f t="shared" si="33"/>
        <v>0.10666539143617415</v>
      </c>
      <c r="J381" s="25">
        <f t="shared" si="34"/>
        <v>1.1377505730232254E-2</v>
      </c>
      <c r="K381" s="25">
        <f t="shared" si="30"/>
        <v>2.16</v>
      </c>
      <c r="L381" s="25">
        <f t="shared" si="31"/>
        <v>3.5999999999999996</v>
      </c>
      <c r="M381" s="25">
        <f t="shared" si="35"/>
        <v>1</v>
      </c>
    </row>
    <row r="382" spans="1:13" x14ac:dyDescent="0.2">
      <c r="A382" s="4">
        <v>3</v>
      </c>
      <c r="B382" s="4">
        <v>11</v>
      </c>
      <c r="C382" s="4">
        <v>0</v>
      </c>
      <c r="D382" s="4">
        <v>0</v>
      </c>
      <c r="E382" s="4">
        <v>0</v>
      </c>
      <c r="F382" s="4">
        <v>1</v>
      </c>
      <c r="G382" s="2" t="s">
        <v>79</v>
      </c>
      <c r="H382" s="25">
        <f t="shared" si="32"/>
        <v>5.5818843105504712</v>
      </c>
      <c r="I382" s="25">
        <f t="shared" si="33"/>
        <v>-2.5818843105504712</v>
      </c>
      <c r="J382" s="25">
        <f t="shared" si="34"/>
        <v>6.6661265930666822</v>
      </c>
      <c r="K382" s="25">
        <f t="shared" si="30"/>
        <v>2.25</v>
      </c>
      <c r="L382" s="25">
        <f t="shared" si="31"/>
        <v>3.75</v>
      </c>
      <c r="M382" s="25">
        <f t="shared" si="35"/>
        <v>0</v>
      </c>
    </row>
    <row r="383" spans="1:13" x14ac:dyDescent="0.2">
      <c r="A383" s="4">
        <v>3</v>
      </c>
      <c r="B383" s="4">
        <v>11</v>
      </c>
      <c r="C383" s="4">
        <v>0</v>
      </c>
      <c r="D383" s="4">
        <v>0</v>
      </c>
      <c r="E383" s="4">
        <v>0</v>
      </c>
      <c r="F383" s="4">
        <v>0</v>
      </c>
      <c r="G383" s="2" t="s">
        <v>79</v>
      </c>
      <c r="H383" s="25">
        <f t="shared" si="32"/>
        <v>4.4642610743843267</v>
      </c>
      <c r="I383" s="25">
        <f t="shared" si="33"/>
        <v>-1.4642610743843267</v>
      </c>
      <c r="J383" s="25">
        <f t="shared" si="34"/>
        <v>2.1440604939571428</v>
      </c>
      <c r="K383" s="25">
        <f t="shared" si="30"/>
        <v>2.25</v>
      </c>
      <c r="L383" s="25">
        <f t="shared" si="31"/>
        <v>3.75</v>
      </c>
      <c r="M383" s="25">
        <f t="shared" si="35"/>
        <v>0</v>
      </c>
    </row>
    <row r="384" spans="1:13" x14ac:dyDescent="0.2">
      <c r="A384" s="4">
        <v>3.5</v>
      </c>
      <c r="B384" s="4">
        <v>13</v>
      </c>
      <c r="C384" s="4">
        <v>0</v>
      </c>
      <c r="D384" s="4">
        <v>0</v>
      </c>
      <c r="E384" s="4">
        <v>0</v>
      </c>
      <c r="F384" s="4">
        <v>0</v>
      </c>
      <c r="G384" s="2" t="s">
        <v>79</v>
      </c>
      <c r="H384" s="25">
        <f t="shared" si="32"/>
        <v>5.4309744856243025</v>
      </c>
      <c r="I384" s="25">
        <f t="shared" si="33"/>
        <v>-1.9309744856243025</v>
      </c>
      <c r="J384" s="25">
        <f t="shared" si="34"/>
        <v>3.7286624641320398</v>
      </c>
      <c r="K384" s="25">
        <f t="shared" si="30"/>
        <v>2.625</v>
      </c>
      <c r="L384" s="25">
        <f t="shared" si="31"/>
        <v>4.375</v>
      </c>
      <c r="M384" s="25">
        <f t="shared" si="35"/>
        <v>0</v>
      </c>
    </row>
    <row r="385" spans="1:13" x14ac:dyDescent="0.2">
      <c r="A385" s="4">
        <v>2.83</v>
      </c>
      <c r="B385" s="4">
        <v>10</v>
      </c>
      <c r="C385" s="4">
        <v>0</v>
      </c>
      <c r="D385" s="10">
        <v>2</v>
      </c>
      <c r="E385" s="4">
        <v>0</v>
      </c>
      <c r="F385" s="4">
        <v>0</v>
      </c>
      <c r="G385" s="2" t="s">
        <v>79</v>
      </c>
      <c r="H385" s="25">
        <f t="shared" si="32"/>
        <v>1.5657648483633126</v>
      </c>
      <c r="I385" s="25">
        <f t="shared" si="33"/>
        <v>1.2642351516366874</v>
      </c>
      <c r="J385" s="25">
        <f t="shared" si="34"/>
        <v>1.5982905186338381</v>
      </c>
      <c r="K385" s="25">
        <f t="shared" si="30"/>
        <v>2.1225000000000001</v>
      </c>
      <c r="L385" s="25">
        <f t="shared" si="31"/>
        <v>3.5375000000000001</v>
      </c>
      <c r="M385" s="25">
        <f t="shared" si="35"/>
        <v>0</v>
      </c>
    </row>
    <row r="386" spans="1:13" x14ac:dyDescent="0.2">
      <c r="A386" s="4">
        <v>1.67</v>
      </c>
      <c r="B386" s="4">
        <v>10</v>
      </c>
      <c r="C386" s="4">
        <v>0</v>
      </c>
      <c r="D386" s="4">
        <v>0</v>
      </c>
      <c r="E386" s="4">
        <v>0</v>
      </c>
      <c r="F386" s="4">
        <v>1</v>
      </c>
      <c r="G386" s="2" t="s">
        <v>79</v>
      </c>
      <c r="H386" s="25">
        <f t="shared" si="32"/>
        <v>5.0985276049304833</v>
      </c>
      <c r="I386" s="25">
        <f t="shared" si="33"/>
        <v>-3.4285276049304834</v>
      </c>
      <c r="J386" s="25">
        <f t="shared" si="34"/>
        <v>11.754801537770357</v>
      </c>
      <c r="K386" s="25">
        <f t="shared" ref="K386:K449" si="36">A386*(1-$Q$41)</f>
        <v>1.2524999999999999</v>
      </c>
      <c r="L386" s="25">
        <f t="shared" ref="L386:L449" si="37">A386*(1+$Q$41)</f>
        <v>2.0874999999999999</v>
      </c>
      <c r="M386" s="25">
        <f t="shared" si="35"/>
        <v>0</v>
      </c>
    </row>
    <row r="387" spans="1:13" x14ac:dyDescent="0.2">
      <c r="A387" s="4">
        <v>4.68</v>
      </c>
      <c r="B387" s="4">
        <v>16</v>
      </c>
      <c r="C387" s="4">
        <v>0</v>
      </c>
      <c r="D387" s="4">
        <v>0</v>
      </c>
      <c r="E387" s="4">
        <v>0</v>
      </c>
      <c r="F387" s="4">
        <v>0</v>
      </c>
      <c r="G387" s="2" t="s">
        <v>79</v>
      </c>
      <c r="H387" s="25">
        <f t="shared" ref="H387:H450" si="38">$P$33+($P$34*B387)+($P$35*C387)+($P$36*D387)+($P$37*E387)+($P$38*F387)</f>
        <v>6.8810446024842671</v>
      </c>
      <c r="I387" s="25">
        <f t="shared" ref="I387:I450" si="39">(A387-H387)</f>
        <v>-2.2010446024842674</v>
      </c>
      <c r="J387" s="25">
        <f t="shared" ref="J387:J450" si="40">I387^2</f>
        <v>4.8445973421251267</v>
      </c>
      <c r="K387" s="25">
        <f t="shared" si="36"/>
        <v>3.51</v>
      </c>
      <c r="L387" s="25">
        <f t="shared" si="37"/>
        <v>5.85</v>
      </c>
      <c r="M387" s="25">
        <f t="shared" ref="M387:M450" si="41">IF(AND(H387&gt;=K387,H387&lt;=L387),1,0)</f>
        <v>0</v>
      </c>
    </row>
    <row r="388" spans="1:13" x14ac:dyDescent="0.2">
      <c r="A388" s="4">
        <v>3.13</v>
      </c>
      <c r="B388" s="4">
        <v>10</v>
      </c>
      <c r="C388" s="4">
        <v>0</v>
      </c>
      <c r="D388" s="4">
        <v>1</v>
      </c>
      <c r="E388" s="4">
        <v>0</v>
      </c>
      <c r="F388" s="4">
        <v>0</v>
      </c>
      <c r="G388" s="2" t="s">
        <v>79</v>
      </c>
      <c r="H388" s="25">
        <f t="shared" si="38"/>
        <v>2.7733346085638257</v>
      </c>
      <c r="I388" s="25">
        <f t="shared" si="39"/>
        <v>0.35666539143617415</v>
      </c>
      <c r="J388" s="25">
        <f t="shared" si="40"/>
        <v>0.12721020144831932</v>
      </c>
      <c r="K388" s="25">
        <f t="shared" si="36"/>
        <v>2.3475000000000001</v>
      </c>
      <c r="L388" s="25">
        <f t="shared" si="37"/>
        <v>3.9124999999999996</v>
      </c>
      <c r="M388" s="25">
        <f t="shared" si="41"/>
        <v>1</v>
      </c>
    </row>
    <row r="389" spans="1:13" x14ac:dyDescent="0.2">
      <c r="A389" s="4">
        <v>3.2</v>
      </c>
      <c r="B389" s="4">
        <v>11</v>
      </c>
      <c r="C389" s="4">
        <v>0</v>
      </c>
      <c r="D389" s="4">
        <v>0</v>
      </c>
      <c r="E389" s="4">
        <v>0</v>
      </c>
      <c r="F389" s="4">
        <v>0</v>
      </c>
      <c r="G389" s="2" t="s">
        <v>79</v>
      </c>
      <c r="H389" s="25">
        <f t="shared" si="38"/>
        <v>4.4642610743843267</v>
      </c>
      <c r="I389" s="25">
        <f t="shared" si="39"/>
        <v>-1.2642610743843266</v>
      </c>
      <c r="J389" s="25">
        <f t="shared" si="40"/>
        <v>1.5983560642034116</v>
      </c>
      <c r="K389" s="25">
        <f t="shared" si="36"/>
        <v>2.4000000000000004</v>
      </c>
      <c r="L389" s="25">
        <f t="shared" si="37"/>
        <v>4</v>
      </c>
      <c r="M389" s="25">
        <f t="shared" si="41"/>
        <v>0</v>
      </c>
    </row>
    <row r="390" spans="1:13" x14ac:dyDescent="0.2">
      <c r="A390" s="4">
        <v>4.33</v>
      </c>
      <c r="B390" s="4">
        <v>18</v>
      </c>
      <c r="C390" s="4">
        <v>0</v>
      </c>
      <c r="D390" s="4">
        <v>0</v>
      </c>
      <c r="E390" s="4">
        <v>0</v>
      </c>
      <c r="F390" s="4">
        <v>0</v>
      </c>
      <c r="G390" s="2" t="s">
        <v>79</v>
      </c>
      <c r="H390" s="25">
        <f t="shared" si="38"/>
        <v>7.8477580137242438</v>
      </c>
      <c r="I390" s="25">
        <f t="shared" si="39"/>
        <v>-3.5177580137242437</v>
      </c>
      <c r="J390" s="25">
        <f t="shared" si="40"/>
        <v>12.374621443121136</v>
      </c>
      <c r="K390" s="25">
        <f t="shared" si="36"/>
        <v>3.2475000000000001</v>
      </c>
      <c r="L390" s="25">
        <f t="shared" si="37"/>
        <v>5.4124999999999996</v>
      </c>
      <c r="M390" s="25">
        <f t="shared" si="41"/>
        <v>0</v>
      </c>
    </row>
    <row r="391" spans="1:13" x14ac:dyDescent="0.2">
      <c r="A391" s="4">
        <v>2.9</v>
      </c>
      <c r="B391" s="4">
        <v>11</v>
      </c>
      <c r="C391" s="4">
        <v>0</v>
      </c>
      <c r="D391" s="4">
        <v>1</v>
      </c>
      <c r="E391" s="4">
        <v>0</v>
      </c>
      <c r="F391" s="4">
        <v>0</v>
      </c>
      <c r="G391" s="2" t="s">
        <v>79</v>
      </c>
      <c r="H391" s="25">
        <f t="shared" si="38"/>
        <v>3.2566913141838136</v>
      </c>
      <c r="I391" s="25">
        <f t="shared" si="39"/>
        <v>-0.35669131418381372</v>
      </c>
      <c r="J391" s="25">
        <f t="shared" si="40"/>
        <v>0.1272286936141761</v>
      </c>
      <c r="K391" s="25">
        <f t="shared" si="36"/>
        <v>2.1749999999999998</v>
      </c>
      <c r="L391" s="25">
        <f t="shared" si="37"/>
        <v>3.625</v>
      </c>
      <c r="M391" s="25">
        <f t="shared" si="41"/>
        <v>1</v>
      </c>
    </row>
    <row r="392" spans="1:13" x14ac:dyDescent="0.2">
      <c r="A392" s="4">
        <v>2.91</v>
      </c>
      <c r="B392" s="4">
        <v>11</v>
      </c>
      <c r="C392" s="4">
        <v>0</v>
      </c>
      <c r="D392" s="4">
        <v>1</v>
      </c>
      <c r="E392" s="4">
        <v>0</v>
      </c>
      <c r="F392" s="4">
        <v>0</v>
      </c>
      <c r="G392" s="2" t="s">
        <v>79</v>
      </c>
      <c r="H392" s="25">
        <f t="shared" si="38"/>
        <v>3.2566913141838136</v>
      </c>
      <c r="I392" s="25">
        <f t="shared" si="39"/>
        <v>-0.34669131418381349</v>
      </c>
      <c r="J392" s="25">
        <f t="shared" si="40"/>
        <v>0.12019486733049968</v>
      </c>
      <c r="K392" s="25">
        <f t="shared" si="36"/>
        <v>2.1825000000000001</v>
      </c>
      <c r="L392" s="25">
        <f t="shared" si="37"/>
        <v>3.6375000000000002</v>
      </c>
      <c r="M392" s="25">
        <f t="shared" si="41"/>
        <v>1</v>
      </c>
    </row>
    <row r="393" spans="1:13" x14ac:dyDescent="0.2">
      <c r="A393" s="4">
        <v>3</v>
      </c>
      <c r="B393" s="4">
        <v>15</v>
      </c>
      <c r="C393" s="4">
        <v>0</v>
      </c>
      <c r="D393" s="4">
        <v>0</v>
      </c>
      <c r="E393" s="4">
        <v>0</v>
      </c>
      <c r="F393" s="4">
        <v>0</v>
      </c>
      <c r="G393" s="2" t="s">
        <v>79</v>
      </c>
      <c r="H393" s="25">
        <f t="shared" si="38"/>
        <v>6.3976878968642792</v>
      </c>
      <c r="I393" s="25">
        <f t="shared" si="39"/>
        <v>-3.3976878968642792</v>
      </c>
      <c r="J393" s="25">
        <f t="shared" si="40"/>
        <v>11.544283044498009</v>
      </c>
      <c r="K393" s="25">
        <f t="shared" si="36"/>
        <v>2.25</v>
      </c>
      <c r="L393" s="25">
        <f t="shared" si="37"/>
        <v>3.75</v>
      </c>
      <c r="M393" s="25">
        <f t="shared" si="41"/>
        <v>0</v>
      </c>
    </row>
    <row r="394" spans="1:13" x14ac:dyDescent="0.2">
      <c r="A394" s="4">
        <v>3</v>
      </c>
      <c r="B394" s="4">
        <v>12</v>
      </c>
      <c r="C394" s="4">
        <v>0</v>
      </c>
      <c r="D394" s="4">
        <v>0</v>
      </c>
      <c r="E394" s="4">
        <v>0</v>
      </c>
      <c r="F394" s="4">
        <v>0</v>
      </c>
      <c r="G394" s="2" t="s">
        <v>79</v>
      </c>
      <c r="H394" s="25">
        <f t="shared" si="38"/>
        <v>4.9476177800043146</v>
      </c>
      <c r="I394" s="25">
        <f t="shared" si="39"/>
        <v>-1.9476177800043146</v>
      </c>
      <c r="J394" s="25">
        <f t="shared" si="40"/>
        <v>3.7932150169889347</v>
      </c>
      <c r="K394" s="25">
        <f t="shared" si="36"/>
        <v>2.25</v>
      </c>
      <c r="L394" s="25">
        <f t="shared" si="37"/>
        <v>3.75</v>
      </c>
      <c r="M394" s="25">
        <f t="shared" si="41"/>
        <v>0</v>
      </c>
    </row>
    <row r="395" spans="1:13" x14ac:dyDescent="0.2">
      <c r="A395" s="4">
        <v>3.15</v>
      </c>
      <c r="B395" s="4">
        <v>13</v>
      </c>
      <c r="C395" s="4">
        <v>0</v>
      </c>
      <c r="D395" s="4">
        <v>1</v>
      </c>
      <c r="E395" s="4">
        <v>0</v>
      </c>
      <c r="F395" s="4">
        <v>0</v>
      </c>
      <c r="G395" s="2" t="s">
        <v>79</v>
      </c>
      <c r="H395" s="25">
        <f t="shared" si="38"/>
        <v>4.223404725423789</v>
      </c>
      <c r="I395" s="25">
        <f t="shared" si="39"/>
        <v>-1.0734047254237891</v>
      </c>
      <c r="J395" s="25">
        <f t="shared" si="40"/>
        <v>1.1521977045621199</v>
      </c>
      <c r="K395" s="25">
        <f t="shared" si="36"/>
        <v>2.3624999999999998</v>
      </c>
      <c r="L395" s="25">
        <f t="shared" si="37"/>
        <v>3.9375</v>
      </c>
      <c r="M395" s="25">
        <f t="shared" si="41"/>
        <v>0</v>
      </c>
    </row>
    <row r="396" spans="1:13" x14ac:dyDescent="0.2">
      <c r="A396" s="4">
        <v>12.5</v>
      </c>
      <c r="B396" s="4">
        <v>14</v>
      </c>
      <c r="C396" s="9">
        <v>26.78</v>
      </c>
      <c r="D396" s="4">
        <v>0</v>
      </c>
      <c r="E396" s="4">
        <v>1</v>
      </c>
      <c r="F396" s="4">
        <v>0</v>
      </c>
      <c r="G396" s="2" t="s">
        <v>80</v>
      </c>
      <c r="H396" s="25">
        <f t="shared" si="38"/>
        <v>10.800426258452907</v>
      </c>
      <c r="I396" s="25">
        <f t="shared" si="39"/>
        <v>1.6995737415470931</v>
      </c>
      <c r="J396" s="25">
        <f t="shared" si="40"/>
        <v>2.8885509029563852</v>
      </c>
      <c r="K396" s="25">
        <f t="shared" si="36"/>
        <v>9.375</v>
      </c>
      <c r="L396" s="25">
        <f t="shared" si="37"/>
        <v>15.625</v>
      </c>
      <c r="M396" s="25">
        <f t="shared" si="41"/>
        <v>1</v>
      </c>
    </row>
    <row r="397" spans="1:13" x14ac:dyDescent="0.2">
      <c r="A397" s="4">
        <v>1.5</v>
      </c>
      <c r="B397" s="4">
        <v>8</v>
      </c>
      <c r="C397" s="9">
        <v>26.78</v>
      </c>
      <c r="D397" s="10">
        <v>2</v>
      </c>
      <c r="E397" s="4">
        <v>0</v>
      </c>
      <c r="F397" s="4">
        <v>0</v>
      </c>
      <c r="G397" s="2" t="s">
        <v>80</v>
      </c>
      <c r="H397" s="25">
        <f t="shared" si="38"/>
        <v>4.9200635268841451</v>
      </c>
      <c r="I397" s="25">
        <f t="shared" si="39"/>
        <v>-3.4200635268841451</v>
      </c>
      <c r="J397" s="25">
        <f t="shared" si="40"/>
        <v>11.696834527923217</v>
      </c>
      <c r="K397" s="25">
        <f t="shared" si="36"/>
        <v>1.125</v>
      </c>
      <c r="L397" s="25">
        <f t="shared" si="37"/>
        <v>1.875</v>
      </c>
      <c r="M397" s="25">
        <f t="shared" si="41"/>
        <v>0</v>
      </c>
    </row>
    <row r="398" spans="1:13" x14ac:dyDescent="0.2">
      <c r="A398" s="4">
        <v>2.92</v>
      </c>
      <c r="B398" s="4">
        <v>3</v>
      </c>
      <c r="C398" s="9">
        <v>26.78</v>
      </c>
      <c r="D398" s="4">
        <v>0</v>
      </c>
      <c r="E398" s="4">
        <v>0</v>
      </c>
      <c r="F398" s="4">
        <v>0</v>
      </c>
      <c r="G398" s="2" t="s">
        <v>80</v>
      </c>
      <c r="H398" s="25">
        <f t="shared" si="38"/>
        <v>4.9184195191852309</v>
      </c>
      <c r="I398" s="25">
        <f t="shared" si="39"/>
        <v>-1.998419519185231</v>
      </c>
      <c r="J398" s="25">
        <f t="shared" si="40"/>
        <v>3.9936805746605297</v>
      </c>
      <c r="K398" s="25">
        <f t="shared" si="36"/>
        <v>2.19</v>
      </c>
      <c r="L398" s="25">
        <f t="shared" si="37"/>
        <v>3.65</v>
      </c>
      <c r="M398" s="25">
        <f t="shared" si="41"/>
        <v>0</v>
      </c>
    </row>
    <row r="399" spans="1:13" x14ac:dyDescent="0.2">
      <c r="A399" s="4">
        <v>10</v>
      </c>
      <c r="B399" s="4">
        <v>12</v>
      </c>
      <c r="C399" s="4">
        <v>24</v>
      </c>
      <c r="D399" s="4">
        <v>0</v>
      </c>
      <c r="E399" s="4">
        <v>1</v>
      </c>
      <c r="F399" s="4">
        <v>0</v>
      </c>
      <c r="G399" s="2" t="s">
        <v>80</v>
      </c>
      <c r="H399" s="25">
        <f t="shared" si="38"/>
        <v>9.3851537131750273</v>
      </c>
      <c r="I399" s="25">
        <f t="shared" si="39"/>
        <v>0.61484628682497267</v>
      </c>
      <c r="J399" s="25">
        <f t="shared" si="40"/>
        <v>0.37803595642245658</v>
      </c>
      <c r="K399" s="25">
        <f t="shared" si="36"/>
        <v>7.5</v>
      </c>
      <c r="L399" s="25">
        <f t="shared" si="37"/>
        <v>12.5</v>
      </c>
      <c r="M399" s="25">
        <f t="shared" si="41"/>
        <v>1</v>
      </c>
    </row>
    <row r="400" spans="1:13" x14ac:dyDescent="0.2">
      <c r="A400" s="4">
        <v>10.91</v>
      </c>
      <c r="B400" s="4">
        <v>12</v>
      </c>
      <c r="C400" s="4">
        <v>23</v>
      </c>
      <c r="D400" s="4">
        <v>0</v>
      </c>
      <c r="E400" s="4">
        <v>0</v>
      </c>
      <c r="F400" s="4">
        <v>0</v>
      </c>
      <c r="G400" s="2" t="s">
        <v>80</v>
      </c>
      <c r="H400" s="25">
        <f t="shared" si="38"/>
        <v>8.6587185292387652</v>
      </c>
      <c r="I400" s="25">
        <f t="shared" si="39"/>
        <v>2.251281470761235</v>
      </c>
      <c r="J400" s="25">
        <f t="shared" si="40"/>
        <v>5.0682682605928688</v>
      </c>
      <c r="K400" s="25">
        <f t="shared" si="36"/>
        <v>8.182500000000001</v>
      </c>
      <c r="L400" s="25">
        <f t="shared" si="37"/>
        <v>13.637499999999999</v>
      </c>
      <c r="M400" s="25">
        <f t="shared" si="41"/>
        <v>1</v>
      </c>
    </row>
    <row r="401" spans="1:13" x14ac:dyDescent="0.2">
      <c r="A401" s="4">
        <v>6.25</v>
      </c>
      <c r="B401" s="4">
        <v>7</v>
      </c>
      <c r="C401" s="4">
        <v>21</v>
      </c>
      <c r="D401" s="4">
        <v>0</v>
      </c>
      <c r="E401" s="4">
        <v>1</v>
      </c>
      <c r="F401" s="4">
        <v>0</v>
      </c>
      <c r="G401" s="2" t="s">
        <v>80</v>
      </c>
      <c r="H401" s="25">
        <f t="shared" si="38"/>
        <v>6.4843135656097228</v>
      </c>
      <c r="I401" s="25">
        <f t="shared" si="39"/>
        <v>-0.23431356560972283</v>
      </c>
      <c r="J401" s="25">
        <f t="shared" si="40"/>
        <v>5.4902847028741882E-2</v>
      </c>
      <c r="K401" s="25">
        <f t="shared" si="36"/>
        <v>4.6875</v>
      </c>
      <c r="L401" s="25">
        <f t="shared" si="37"/>
        <v>7.8125</v>
      </c>
      <c r="M401" s="25">
        <f t="shared" si="41"/>
        <v>1</v>
      </c>
    </row>
    <row r="402" spans="1:13" x14ac:dyDescent="0.2">
      <c r="A402" s="4">
        <v>15.38</v>
      </c>
      <c r="B402" s="4">
        <v>13</v>
      </c>
      <c r="C402" s="4">
        <v>21</v>
      </c>
      <c r="D402" s="4">
        <v>0</v>
      </c>
      <c r="E402" s="4">
        <v>1</v>
      </c>
      <c r="F402" s="4">
        <v>0</v>
      </c>
      <c r="G402" s="2" t="s">
        <v>80</v>
      </c>
      <c r="H402" s="25">
        <f t="shared" si="38"/>
        <v>9.3844537993296502</v>
      </c>
      <c r="I402" s="25">
        <f t="shared" si="39"/>
        <v>5.9955462006703506</v>
      </c>
      <c r="J402" s="25">
        <f t="shared" si="40"/>
        <v>35.946574244372677</v>
      </c>
      <c r="K402" s="25">
        <f t="shared" si="36"/>
        <v>11.535</v>
      </c>
      <c r="L402" s="25">
        <f t="shared" si="37"/>
        <v>19.225000000000001</v>
      </c>
      <c r="M402" s="25">
        <f t="shared" si="41"/>
        <v>0</v>
      </c>
    </row>
    <row r="403" spans="1:13" x14ac:dyDescent="0.2">
      <c r="A403" s="4">
        <v>18.89</v>
      </c>
      <c r="B403" s="4">
        <v>17</v>
      </c>
      <c r="C403" s="4">
        <v>20</v>
      </c>
      <c r="D403" s="4">
        <v>0</v>
      </c>
      <c r="E403" s="4">
        <v>1</v>
      </c>
      <c r="F403" s="4">
        <v>0</v>
      </c>
      <c r="G403" s="2" t="s">
        <v>80</v>
      </c>
      <c r="H403" s="25">
        <f t="shared" si="38"/>
        <v>11.15652841532115</v>
      </c>
      <c r="I403" s="25">
        <f t="shared" si="39"/>
        <v>7.7334715846788509</v>
      </c>
      <c r="J403" s="25">
        <f t="shared" si="40"/>
        <v>59.806582751035215</v>
      </c>
      <c r="K403" s="25">
        <f t="shared" si="36"/>
        <v>14.1675</v>
      </c>
      <c r="L403" s="25">
        <f t="shared" si="37"/>
        <v>23.612500000000001</v>
      </c>
      <c r="M403" s="25">
        <f t="shared" si="41"/>
        <v>0</v>
      </c>
    </row>
    <row r="404" spans="1:13" x14ac:dyDescent="0.2">
      <c r="A404" s="4">
        <v>3</v>
      </c>
      <c r="B404" s="4">
        <v>9</v>
      </c>
      <c r="C404" s="4">
        <v>20</v>
      </c>
      <c r="D404" s="4">
        <v>1</v>
      </c>
      <c r="E404" s="4">
        <v>1</v>
      </c>
      <c r="F404" s="4">
        <v>0</v>
      </c>
      <c r="G404" s="2" t="s">
        <v>80</v>
      </c>
      <c r="H404" s="25">
        <f t="shared" si="38"/>
        <v>6.0821050101607312</v>
      </c>
      <c r="I404" s="25">
        <f t="shared" si="39"/>
        <v>-3.0821050101607312</v>
      </c>
      <c r="J404" s="25">
        <f t="shared" si="40"/>
        <v>9.499371293657882</v>
      </c>
      <c r="K404" s="25">
        <f t="shared" si="36"/>
        <v>2.25</v>
      </c>
      <c r="L404" s="25">
        <f t="shared" si="37"/>
        <v>3.75</v>
      </c>
      <c r="M404" s="25">
        <f t="shared" si="41"/>
        <v>0</v>
      </c>
    </row>
    <row r="405" spans="1:13" x14ac:dyDescent="0.2">
      <c r="A405" s="4">
        <v>11.9</v>
      </c>
      <c r="B405" s="4">
        <v>13</v>
      </c>
      <c r="C405" s="4">
        <v>19</v>
      </c>
      <c r="D405" s="4">
        <v>0</v>
      </c>
      <c r="E405" s="4">
        <v>1</v>
      </c>
      <c r="F405" s="4">
        <v>0</v>
      </c>
      <c r="G405" s="2" t="s">
        <v>80</v>
      </c>
      <c r="H405" s="25">
        <f t="shared" si="38"/>
        <v>9.0617493863527425</v>
      </c>
      <c r="I405" s="25">
        <f t="shared" si="39"/>
        <v>2.8382506136472578</v>
      </c>
      <c r="J405" s="25">
        <f t="shared" si="40"/>
        <v>8.0556665458690357</v>
      </c>
      <c r="K405" s="25">
        <f t="shared" si="36"/>
        <v>8.9250000000000007</v>
      </c>
      <c r="L405" s="25">
        <f t="shared" si="37"/>
        <v>14.875</v>
      </c>
      <c r="M405" s="25">
        <f t="shared" si="41"/>
        <v>1</v>
      </c>
    </row>
    <row r="406" spans="1:13" x14ac:dyDescent="0.2">
      <c r="A406" s="4">
        <v>4</v>
      </c>
      <c r="B406" s="4">
        <v>9</v>
      </c>
      <c r="C406" s="4">
        <v>18</v>
      </c>
      <c r="D406" s="4">
        <v>0</v>
      </c>
      <c r="E406" s="4">
        <v>0</v>
      </c>
      <c r="F406" s="4">
        <v>0</v>
      </c>
      <c r="G406" s="2" t="s">
        <v>80</v>
      </c>
      <c r="H406" s="25">
        <f t="shared" si="38"/>
        <v>6.4018873799365297</v>
      </c>
      <c r="I406" s="25">
        <f t="shared" si="39"/>
        <v>-2.4018873799365297</v>
      </c>
      <c r="J406" s="25">
        <f t="shared" si="40"/>
        <v>5.7690629858983673</v>
      </c>
      <c r="K406" s="25">
        <f t="shared" si="36"/>
        <v>3</v>
      </c>
      <c r="L406" s="25">
        <f t="shared" si="37"/>
        <v>5</v>
      </c>
      <c r="M406" s="25">
        <f t="shared" si="41"/>
        <v>0</v>
      </c>
    </row>
    <row r="407" spans="1:13" x14ac:dyDescent="0.2">
      <c r="A407" s="4">
        <v>12.5</v>
      </c>
      <c r="B407" s="4">
        <v>17</v>
      </c>
      <c r="C407" s="4">
        <v>18</v>
      </c>
      <c r="D407" s="4">
        <v>0</v>
      </c>
      <c r="E407" s="4">
        <v>1</v>
      </c>
      <c r="F407" s="4">
        <v>0</v>
      </c>
      <c r="G407" s="2" t="s">
        <v>80</v>
      </c>
      <c r="H407" s="25">
        <f t="shared" si="38"/>
        <v>10.833824002344242</v>
      </c>
      <c r="I407" s="25">
        <f t="shared" si="39"/>
        <v>1.666175997655758</v>
      </c>
      <c r="J407" s="25">
        <f t="shared" si="40"/>
        <v>2.7761424551641602</v>
      </c>
      <c r="K407" s="25">
        <f t="shared" si="36"/>
        <v>9.375</v>
      </c>
      <c r="L407" s="25">
        <f t="shared" si="37"/>
        <v>15.625</v>
      </c>
      <c r="M407" s="25">
        <f t="shared" si="41"/>
        <v>1</v>
      </c>
    </row>
    <row r="408" spans="1:13" x14ac:dyDescent="0.2">
      <c r="A408" s="4">
        <v>9.68</v>
      </c>
      <c r="B408" s="4">
        <v>13</v>
      </c>
      <c r="C408" s="4">
        <v>16</v>
      </c>
      <c r="D408" s="4">
        <v>1</v>
      </c>
      <c r="E408" s="4">
        <v>0</v>
      </c>
      <c r="F408" s="4">
        <v>1</v>
      </c>
      <c r="G408" s="2" t="s">
        <v>80</v>
      </c>
      <c r="H408" s="25">
        <f t="shared" si="38"/>
        <v>7.9226632654052036</v>
      </c>
      <c r="I408" s="25">
        <f t="shared" si="39"/>
        <v>1.7573367345947961</v>
      </c>
      <c r="J408" s="25">
        <f t="shared" si="40"/>
        <v>3.088232398756301</v>
      </c>
      <c r="K408" s="25">
        <f t="shared" si="36"/>
        <v>7.26</v>
      </c>
      <c r="L408" s="25">
        <f t="shared" si="37"/>
        <v>12.1</v>
      </c>
      <c r="M408" s="25">
        <f t="shared" si="41"/>
        <v>1</v>
      </c>
    </row>
    <row r="409" spans="1:13" x14ac:dyDescent="0.2">
      <c r="A409" s="4">
        <v>5.6</v>
      </c>
      <c r="B409" s="4">
        <v>15</v>
      </c>
      <c r="C409" s="4">
        <v>15</v>
      </c>
      <c r="D409" s="4">
        <v>1</v>
      </c>
      <c r="E409" s="4">
        <v>0</v>
      </c>
      <c r="F409" s="4">
        <v>0</v>
      </c>
      <c r="G409" s="2" t="s">
        <v>80</v>
      </c>
      <c r="H409" s="25">
        <f t="shared" si="38"/>
        <v>7.6104012339905811</v>
      </c>
      <c r="I409" s="25">
        <f t="shared" si="39"/>
        <v>-2.0104012339905815</v>
      </c>
      <c r="J409" s="25">
        <f t="shared" si="40"/>
        <v>4.0417131216308526</v>
      </c>
      <c r="K409" s="25">
        <f t="shared" si="36"/>
        <v>4.1999999999999993</v>
      </c>
      <c r="L409" s="25">
        <f t="shared" si="37"/>
        <v>7</v>
      </c>
      <c r="M409" s="25">
        <f t="shared" si="41"/>
        <v>0</v>
      </c>
    </row>
    <row r="410" spans="1:13" x14ac:dyDescent="0.2">
      <c r="A410" s="4">
        <v>3.4</v>
      </c>
      <c r="B410" s="4">
        <v>12</v>
      </c>
      <c r="C410" s="4">
        <v>15</v>
      </c>
      <c r="D410" s="4">
        <v>1</v>
      </c>
      <c r="E410" s="4">
        <v>1</v>
      </c>
      <c r="F410" s="4">
        <v>0</v>
      </c>
      <c r="G410" s="2" t="s">
        <v>80</v>
      </c>
      <c r="H410" s="25">
        <f t="shared" si="38"/>
        <v>6.725414094578424</v>
      </c>
      <c r="I410" s="25">
        <f t="shared" si="39"/>
        <v>-3.3254140945784241</v>
      </c>
      <c r="J410" s="25">
        <f t="shared" si="40"/>
        <v>11.058378900420839</v>
      </c>
      <c r="K410" s="25">
        <f t="shared" si="36"/>
        <v>2.5499999999999998</v>
      </c>
      <c r="L410" s="25">
        <f t="shared" si="37"/>
        <v>4.25</v>
      </c>
      <c r="M410" s="25">
        <f t="shared" si="41"/>
        <v>0</v>
      </c>
    </row>
    <row r="411" spans="1:13" x14ac:dyDescent="0.2">
      <c r="A411" s="4">
        <v>5.2</v>
      </c>
      <c r="B411" s="4">
        <v>6</v>
      </c>
      <c r="C411" s="4">
        <v>13</v>
      </c>
      <c r="D411" s="4">
        <v>0</v>
      </c>
      <c r="E411" s="4">
        <v>1</v>
      </c>
      <c r="F411" s="4">
        <v>0</v>
      </c>
      <c r="G411" s="2" t="s">
        <v>80</v>
      </c>
      <c r="H411" s="25">
        <f t="shared" si="38"/>
        <v>4.7101392080820998</v>
      </c>
      <c r="I411" s="25">
        <f t="shared" si="39"/>
        <v>0.48986079191790033</v>
      </c>
      <c r="J411" s="25">
        <f t="shared" si="40"/>
        <v>0.23996359545843243</v>
      </c>
      <c r="K411" s="25">
        <f t="shared" si="36"/>
        <v>3.9000000000000004</v>
      </c>
      <c r="L411" s="25">
        <f t="shared" si="37"/>
        <v>6.5</v>
      </c>
      <c r="M411" s="25">
        <f t="shared" si="41"/>
        <v>1</v>
      </c>
    </row>
    <row r="412" spans="1:13" x14ac:dyDescent="0.2">
      <c r="A412" s="4">
        <v>3.75</v>
      </c>
      <c r="B412" s="4">
        <v>2</v>
      </c>
      <c r="C412" s="4">
        <v>13</v>
      </c>
      <c r="D412" s="4">
        <v>0</v>
      </c>
      <c r="E412" s="4">
        <v>1</v>
      </c>
      <c r="F412" s="4">
        <v>0</v>
      </c>
      <c r="G412" s="2" t="s">
        <v>80</v>
      </c>
      <c r="H412" s="25">
        <f t="shared" si="38"/>
        <v>2.7767123856021474</v>
      </c>
      <c r="I412" s="25">
        <f t="shared" si="39"/>
        <v>0.97328761439785261</v>
      </c>
      <c r="J412" s="25">
        <f t="shared" si="40"/>
        <v>0.94728878034026298</v>
      </c>
      <c r="K412" s="25">
        <f t="shared" si="36"/>
        <v>2.8125</v>
      </c>
      <c r="L412" s="25">
        <f t="shared" si="37"/>
        <v>4.6875</v>
      </c>
      <c r="M412" s="25">
        <f t="shared" si="41"/>
        <v>0</v>
      </c>
    </row>
    <row r="413" spans="1:13" x14ac:dyDescent="0.2">
      <c r="A413" s="4">
        <v>8.4499999999999993</v>
      </c>
      <c r="B413" s="4">
        <v>12</v>
      </c>
      <c r="C413" s="4">
        <v>13</v>
      </c>
      <c r="D413" s="4">
        <v>0</v>
      </c>
      <c r="E413" s="4">
        <v>1</v>
      </c>
      <c r="F413" s="4">
        <v>0</v>
      </c>
      <c r="G413" s="2" t="s">
        <v>80</v>
      </c>
      <c r="H413" s="25">
        <f t="shared" si="38"/>
        <v>7.6102794418020281</v>
      </c>
      <c r="I413" s="25">
        <f t="shared" si="39"/>
        <v>0.8397205581979712</v>
      </c>
      <c r="J413" s="25">
        <f t="shared" si="40"/>
        <v>0.70513061586031234</v>
      </c>
      <c r="K413" s="25">
        <f t="shared" si="36"/>
        <v>6.3374999999999995</v>
      </c>
      <c r="L413" s="25">
        <f t="shared" si="37"/>
        <v>10.5625</v>
      </c>
      <c r="M413" s="25">
        <f t="shared" si="41"/>
        <v>1</v>
      </c>
    </row>
    <row r="414" spans="1:13" x14ac:dyDescent="0.2">
      <c r="A414" s="4">
        <v>3.37</v>
      </c>
      <c r="B414" s="4">
        <v>11</v>
      </c>
      <c r="C414" s="4">
        <v>12</v>
      </c>
      <c r="D414" s="4">
        <v>0</v>
      </c>
      <c r="E414" s="4">
        <v>1</v>
      </c>
      <c r="F414" s="4">
        <v>0</v>
      </c>
      <c r="G414" s="2" t="s">
        <v>80</v>
      </c>
      <c r="H414" s="25">
        <f t="shared" si="38"/>
        <v>6.9655705296935864</v>
      </c>
      <c r="I414" s="25">
        <f t="shared" si="39"/>
        <v>-3.5955705296935863</v>
      </c>
      <c r="J414" s="25">
        <f t="shared" si="40"/>
        <v>12.928127434001016</v>
      </c>
      <c r="K414" s="25">
        <f t="shared" si="36"/>
        <v>2.5274999999999999</v>
      </c>
      <c r="L414" s="25">
        <f t="shared" si="37"/>
        <v>4.2125000000000004</v>
      </c>
      <c r="M414" s="25">
        <f t="shared" si="41"/>
        <v>0</v>
      </c>
    </row>
    <row r="415" spans="1:13" x14ac:dyDescent="0.2">
      <c r="A415" s="4">
        <v>4</v>
      </c>
      <c r="B415" s="4">
        <v>10</v>
      </c>
      <c r="C415" s="4">
        <v>12</v>
      </c>
      <c r="D415" s="4">
        <v>0</v>
      </c>
      <c r="E415" s="4">
        <v>1</v>
      </c>
      <c r="F415" s="4">
        <v>0</v>
      </c>
      <c r="G415" s="2" t="s">
        <v>80</v>
      </c>
      <c r="H415" s="25">
        <f t="shared" si="38"/>
        <v>6.4822138240735985</v>
      </c>
      <c r="I415" s="25">
        <f t="shared" si="39"/>
        <v>-2.4822138240735985</v>
      </c>
      <c r="J415" s="25">
        <f t="shared" si="40"/>
        <v>6.1613854684220772</v>
      </c>
      <c r="K415" s="25">
        <f t="shared" si="36"/>
        <v>3</v>
      </c>
      <c r="L415" s="25">
        <f t="shared" si="37"/>
        <v>5</v>
      </c>
      <c r="M415" s="25">
        <f t="shared" si="41"/>
        <v>0</v>
      </c>
    </row>
    <row r="416" spans="1:13" x14ac:dyDescent="0.2">
      <c r="A416" s="4">
        <v>7.6</v>
      </c>
      <c r="B416" s="4">
        <v>12</v>
      </c>
      <c r="C416" s="4">
        <v>11</v>
      </c>
      <c r="D416" s="4">
        <v>1</v>
      </c>
      <c r="E416" s="4">
        <v>0</v>
      </c>
      <c r="F416" s="4">
        <v>0</v>
      </c>
      <c r="G416" s="2" t="s">
        <v>80</v>
      </c>
      <c r="H416" s="25">
        <f t="shared" si="38"/>
        <v>5.5149222911768003</v>
      </c>
      <c r="I416" s="25">
        <f t="shared" si="39"/>
        <v>2.0850777088231993</v>
      </c>
      <c r="J416" s="25">
        <f t="shared" si="40"/>
        <v>4.3475490518314022</v>
      </c>
      <c r="K416" s="25">
        <f t="shared" si="36"/>
        <v>5.6999999999999993</v>
      </c>
      <c r="L416" s="25">
        <f t="shared" si="37"/>
        <v>9.5</v>
      </c>
      <c r="M416" s="25">
        <f t="shared" si="41"/>
        <v>0</v>
      </c>
    </row>
    <row r="417" spans="1:13" x14ac:dyDescent="0.2">
      <c r="A417" s="4">
        <v>10</v>
      </c>
      <c r="B417" s="4">
        <v>14</v>
      </c>
      <c r="C417" s="4">
        <v>11</v>
      </c>
      <c r="D417" s="4">
        <v>1</v>
      </c>
      <c r="E417" s="4">
        <v>1</v>
      </c>
      <c r="F417" s="4">
        <v>0</v>
      </c>
      <c r="G417" s="2" t="s">
        <v>80</v>
      </c>
      <c r="H417" s="25">
        <f t="shared" si="38"/>
        <v>7.0467186798645827</v>
      </c>
      <c r="I417" s="25">
        <f t="shared" si="39"/>
        <v>2.9532813201354173</v>
      </c>
      <c r="J417" s="25">
        <f t="shared" si="40"/>
        <v>8.721870555860793</v>
      </c>
      <c r="K417" s="25">
        <f t="shared" si="36"/>
        <v>7.5</v>
      </c>
      <c r="L417" s="25">
        <f t="shared" si="37"/>
        <v>12.5</v>
      </c>
      <c r="M417" s="25">
        <f t="shared" si="41"/>
        <v>0</v>
      </c>
    </row>
    <row r="418" spans="1:13" x14ac:dyDescent="0.2">
      <c r="A418" s="4">
        <v>4</v>
      </c>
      <c r="B418" s="4">
        <v>12</v>
      </c>
      <c r="C418" s="4">
        <v>11</v>
      </c>
      <c r="D418" s="4">
        <v>1</v>
      </c>
      <c r="E418" s="4">
        <v>1</v>
      </c>
      <c r="F418" s="4">
        <v>0</v>
      </c>
      <c r="G418" s="2" t="s">
        <v>80</v>
      </c>
      <c r="H418" s="25">
        <f t="shared" si="38"/>
        <v>6.0800052686246069</v>
      </c>
      <c r="I418" s="25">
        <f t="shared" si="39"/>
        <v>-2.0800052686246069</v>
      </c>
      <c r="J418" s="25">
        <f t="shared" si="40"/>
        <v>4.3264219175061234</v>
      </c>
      <c r="K418" s="25">
        <f t="shared" si="36"/>
        <v>3</v>
      </c>
      <c r="L418" s="25">
        <f t="shared" si="37"/>
        <v>5</v>
      </c>
      <c r="M418" s="25">
        <f t="shared" si="41"/>
        <v>0</v>
      </c>
    </row>
    <row r="419" spans="1:13" x14ac:dyDescent="0.2">
      <c r="A419" s="4">
        <v>9.33</v>
      </c>
      <c r="B419" s="4">
        <v>14</v>
      </c>
      <c r="C419" s="4">
        <v>11</v>
      </c>
      <c r="D419" s="4">
        <v>0</v>
      </c>
      <c r="E419" s="4">
        <v>1</v>
      </c>
      <c r="F419" s="4">
        <v>0</v>
      </c>
      <c r="G419" s="2" t="s">
        <v>80</v>
      </c>
      <c r="H419" s="25">
        <f t="shared" si="38"/>
        <v>8.2542884400650962</v>
      </c>
      <c r="I419" s="25">
        <f t="shared" si="39"/>
        <v>1.0757115599349039</v>
      </c>
      <c r="J419" s="25">
        <f t="shared" si="40"/>
        <v>1.1571553601775844</v>
      </c>
      <c r="K419" s="25">
        <f t="shared" si="36"/>
        <v>6.9975000000000005</v>
      </c>
      <c r="L419" s="25">
        <f t="shared" si="37"/>
        <v>11.6625</v>
      </c>
      <c r="M419" s="25">
        <f t="shared" si="41"/>
        <v>1</v>
      </c>
    </row>
    <row r="420" spans="1:13" x14ac:dyDescent="0.2">
      <c r="A420" s="4">
        <v>6.08</v>
      </c>
      <c r="B420" s="4">
        <v>16</v>
      </c>
      <c r="C420" s="4">
        <v>10</v>
      </c>
      <c r="D420" s="4">
        <v>0</v>
      </c>
      <c r="E420" s="4">
        <v>0</v>
      </c>
      <c r="F420" s="4">
        <v>0</v>
      </c>
      <c r="G420" s="2" t="s">
        <v>80</v>
      </c>
      <c r="H420" s="25">
        <f t="shared" si="38"/>
        <v>8.4945666673688116</v>
      </c>
      <c r="I420" s="25">
        <f t="shared" si="39"/>
        <v>-2.4145666673688115</v>
      </c>
      <c r="J420" s="25">
        <f t="shared" si="40"/>
        <v>5.8301321911685289</v>
      </c>
      <c r="K420" s="25">
        <f t="shared" si="36"/>
        <v>4.5600000000000005</v>
      </c>
      <c r="L420" s="25">
        <f t="shared" si="37"/>
        <v>7.6</v>
      </c>
      <c r="M420" s="25">
        <f t="shared" si="41"/>
        <v>0</v>
      </c>
    </row>
    <row r="421" spans="1:13" x14ac:dyDescent="0.2">
      <c r="A421" s="4">
        <v>6.67</v>
      </c>
      <c r="B421" s="4">
        <v>12</v>
      </c>
      <c r="C421" s="4">
        <v>10</v>
      </c>
      <c r="D421" s="4">
        <v>0</v>
      </c>
      <c r="E421" s="4">
        <v>0</v>
      </c>
      <c r="F421" s="4">
        <v>0</v>
      </c>
      <c r="G421" s="2" t="s">
        <v>80</v>
      </c>
      <c r="H421" s="25">
        <f t="shared" si="38"/>
        <v>6.5611398448888583</v>
      </c>
      <c r="I421" s="25">
        <f t="shared" si="39"/>
        <v>0.10886015511114167</v>
      </c>
      <c r="J421" s="25">
        <f t="shared" si="40"/>
        <v>1.1850533370821823E-2</v>
      </c>
      <c r="K421" s="25">
        <f t="shared" si="36"/>
        <v>5.0024999999999995</v>
      </c>
      <c r="L421" s="25">
        <f t="shared" si="37"/>
        <v>8.3375000000000004</v>
      </c>
      <c r="M421" s="25">
        <f t="shared" si="41"/>
        <v>1</v>
      </c>
    </row>
    <row r="422" spans="1:13" x14ac:dyDescent="0.2">
      <c r="A422" s="4">
        <v>4.5</v>
      </c>
      <c r="B422" s="4">
        <v>16</v>
      </c>
      <c r="C422" s="4">
        <v>10</v>
      </c>
      <c r="D422" s="4">
        <v>0</v>
      </c>
      <c r="E422" s="4">
        <v>1</v>
      </c>
      <c r="F422" s="4">
        <v>0</v>
      </c>
      <c r="G422" s="2" t="s">
        <v>80</v>
      </c>
      <c r="H422" s="25">
        <f t="shared" si="38"/>
        <v>9.0596496448166182</v>
      </c>
      <c r="I422" s="25">
        <f t="shared" si="39"/>
        <v>-4.5596496448166182</v>
      </c>
      <c r="J422" s="25">
        <f t="shared" si="40"/>
        <v>20.790404883476313</v>
      </c>
      <c r="K422" s="25">
        <f t="shared" si="36"/>
        <v>3.375</v>
      </c>
      <c r="L422" s="25">
        <f t="shared" si="37"/>
        <v>5.625</v>
      </c>
      <c r="M422" s="25">
        <f t="shared" si="41"/>
        <v>0</v>
      </c>
    </row>
    <row r="423" spans="1:13" x14ac:dyDescent="0.2">
      <c r="A423" s="4">
        <v>6.8</v>
      </c>
      <c r="B423" s="4">
        <v>12</v>
      </c>
      <c r="C423" s="4">
        <v>10</v>
      </c>
      <c r="D423" s="4">
        <v>0</v>
      </c>
      <c r="E423" s="4">
        <v>1</v>
      </c>
      <c r="F423" s="4">
        <v>0</v>
      </c>
      <c r="G423" s="2" t="s">
        <v>80</v>
      </c>
      <c r="H423" s="25">
        <f t="shared" si="38"/>
        <v>7.1262228223366648</v>
      </c>
      <c r="I423" s="25">
        <f t="shared" si="39"/>
        <v>-0.326222822336665</v>
      </c>
      <c r="J423" s="25">
        <f t="shared" si="40"/>
        <v>0.1064213298132993</v>
      </c>
      <c r="K423" s="25">
        <f t="shared" si="36"/>
        <v>5.0999999999999996</v>
      </c>
      <c r="L423" s="25">
        <f t="shared" si="37"/>
        <v>8.5</v>
      </c>
      <c r="M423" s="25">
        <f t="shared" si="41"/>
        <v>1</v>
      </c>
    </row>
    <row r="424" spans="1:13" x14ac:dyDescent="0.2">
      <c r="A424" s="4">
        <v>3</v>
      </c>
      <c r="B424" s="4">
        <v>12</v>
      </c>
      <c r="C424" s="4">
        <v>9</v>
      </c>
      <c r="D424" s="4">
        <v>1</v>
      </c>
      <c r="E424" s="4">
        <v>1</v>
      </c>
      <c r="F424" s="4">
        <v>0</v>
      </c>
      <c r="G424" s="2" t="s">
        <v>80</v>
      </c>
      <c r="H424" s="25">
        <f t="shared" si="38"/>
        <v>5.7573008556476974</v>
      </c>
      <c r="I424" s="25">
        <f t="shared" si="39"/>
        <v>-2.7573008556476974</v>
      </c>
      <c r="J424" s="25">
        <f t="shared" si="40"/>
        <v>7.6027080085555241</v>
      </c>
      <c r="K424" s="25">
        <f t="shared" si="36"/>
        <v>2.25</v>
      </c>
      <c r="L424" s="25">
        <f t="shared" si="37"/>
        <v>3.75</v>
      </c>
      <c r="M424" s="25">
        <f t="shared" si="41"/>
        <v>0</v>
      </c>
    </row>
    <row r="425" spans="1:13" x14ac:dyDescent="0.2">
      <c r="A425" s="4">
        <v>6.22</v>
      </c>
      <c r="B425" s="4">
        <v>12</v>
      </c>
      <c r="C425" s="4">
        <v>9</v>
      </c>
      <c r="D425" s="4">
        <v>1</v>
      </c>
      <c r="E425" s="4">
        <v>1</v>
      </c>
      <c r="F425" s="4">
        <v>0</v>
      </c>
      <c r="G425" s="2" t="s">
        <v>80</v>
      </c>
      <c r="H425" s="25">
        <f t="shared" si="38"/>
        <v>5.7573008556476974</v>
      </c>
      <c r="I425" s="25">
        <f t="shared" si="39"/>
        <v>0.46269914435230231</v>
      </c>
      <c r="J425" s="25">
        <f t="shared" si="40"/>
        <v>0.21409049818435269</v>
      </c>
      <c r="K425" s="25">
        <f t="shared" si="36"/>
        <v>4.665</v>
      </c>
      <c r="L425" s="25">
        <f t="shared" si="37"/>
        <v>7.7749999999999995</v>
      </c>
      <c r="M425" s="25">
        <f t="shared" si="41"/>
        <v>1</v>
      </c>
    </row>
    <row r="426" spans="1:13" x14ac:dyDescent="0.2">
      <c r="A426" s="4">
        <v>5.95</v>
      </c>
      <c r="B426" s="4">
        <v>11</v>
      </c>
      <c r="C426" s="4">
        <v>9</v>
      </c>
      <c r="D426" s="4">
        <v>0</v>
      </c>
      <c r="E426" s="4">
        <v>1</v>
      </c>
      <c r="F426" s="4">
        <v>0</v>
      </c>
      <c r="G426" s="2" t="s">
        <v>80</v>
      </c>
      <c r="H426" s="25">
        <f t="shared" si="38"/>
        <v>6.4815139102282231</v>
      </c>
      <c r="I426" s="25">
        <f t="shared" si="39"/>
        <v>-0.53151391022822292</v>
      </c>
      <c r="J426" s="25">
        <f t="shared" si="40"/>
        <v>0.2825070367660954</v>
      </c>
      <c r="K426" s="25">
        <f t="shared" si="36"/>
        <v>4.4625000000000004</v>
      </c>
      <c r="L426" s="25">
        <f t="shared" si="37"/>
        <v>7.4375</v>
      </c>
      <c r="M426" s="25">
        <f t="shared" si="41"/>
        <v>1</v>
      </c>
    </row>
    <row r="427" spans="1:13" x14ac:dyDescent="0.2">
      <c r="A427" s="4">
        <v>14.38</v>
      </c>
      <c r="B427" s="4">
        <v>17</v>
      </c>
      <c r="C427" s="4">
        <v>9</v>
      </c>
      <c r="D427" s="4">
        <v>0</v>
      </c>
      <c r="E427" s="4">
        <v>1</v>
      </c>
      <c r="F427" s="4">
        <v>0</v>
      </c>
      <c r="G427" s="2" t="s">
        <v>80</v>
      </c>
      <c r="H427" s="25">
        <f t="shared" si="38"/>
        <v>9.3816541439481522</v>
      </c>
      <c r="I427" s="25">
        <f t="shared" si="39"/>
        <v>4.9983458560518486</v>
      </c>
      <c r="J427" s="25">
        <f t="shared" si="40"/>
        <v>24.983461296710686</v>
      </c>
      <c r="K427" s="25">
        <f t="shared" si="36"/>
        <v>10.785</v>
      </c>
      <c r="L427" s="25">
        <f t="shared" si="37"/>
        <v>17.975000000000001</v>
      </c>
      <c r="M427" s="25">
        <f t="shared" si="41"/>
        <v>0</v>
      </c>
    </row>
    <row r="428" spans="1:13" x14ac:dyDescent="0.2">
      <c r="A428" s="4">
        <v>4.5</v>
      </c>
      <c r="B428" s="4">
        <v>11</v>
      </c>
      <c r="C428" s="4">
        <v>9</v>
      </c>
      <c r="D428" s="4">
        <v>0</v>
      </c>
      <c r="E428" s="4">
        <v>0</v>
      </c>
      <c r="F428" s="4">
        <v>0</v>
      </c>
      <c r="G428" s="2" t="s">
        <v>80</v>
      </c>
      <c r="H428" s="25">
        <f t="shared" si="38"/>
        <v>5.9164309327804165</v>
      </c>
      <c r="I428" s="25">
        <f t="shared" si="39"/>
        <v>-1.4164309327804165</v>
      </c>
      <c r="J428" s="25">
        <f t="shared" si="40"/>
        <v>2.0062765873372008</v>
      </c>
      <c r="K428" s="25">
        <f t="shared" si="36"/>
        <v>3.375</v>
      </c>
      <c r="L428" s="25">
        <f t="shared" si="37"/>
        <v>5.625</v>
      </c>
      <c r="M428" s="25">
        <f t="shared" si="41"/>
        <v>0</v>
      </c>
    </row>
    <row r="429" spans="1:13" x14ac:dyDescent="0.2">
      <c r="A429" s="4">
        <v>6</v>
      </c>
      <c r="B429" s="4">
        <v>11</v>
      </c>
      <c r="C429" s="4">
        <v>8</v>
      </c>
      <c r="D429" s="4">
        <v>1</v>
      </c>
      <c r="E429" s="4">
        <v>0</v>
      </c>
      <c r="F429" s="4">
        <v>1</v>
      </c>
      <c r="G429" s="2" t="s">
        <v>80</v>
      </c>
      <c r="H429" s="25">
        <f t="shared" si="38"/>
        <v>5.6651322022575936</v>
      </c>
      <c r="I429" s="25">
        <f t="shared" si="39"/>
        <v>0.33486779774240638</v>
      </c>
      <c r="J429" s="25">
        <f t="shared" si="40"/>
        <v>0.11213644196484919</v>
      </c>
      <c r="K429" s="25">
        <f t="shared" si="36"/>
        <v>4.5</v>
      </c>
      <c r="L429" s="25">
        <f t="shared" si="37"/>
        <v>7.5</v>
      </c>
      <c r="M429" s="25">
        <f t="shared" si="41"/>
        <v>1</v>
      </c>
    </row>
    <row r="430" spans="1:13" x14ac:dyDescent="0.2">
      <c r="A430" s="4">
        <v>6</v>
      </c>
      <c r="B430" s="4">
        <v>12</v>
      </c>
      <c r="C430" s="4">
        <v>8</v>
      </c>
      <c r="D430" s="4">
        <v>0</v>
      </c>
      <c r="E430" s="4">
        <v>0</v>
      </c>
      <c r="F430" s="4">
        <v>0</v>
      </c>
      <c r="G430" s="2" t="s">
        <v>80</v>
      </c>
      <c r="H430" s="25">
        <f t="shared" si="38"/>
        <v>6.2384354319119497</v>
      </c>
      <c r="I430" s="25">
        <f t="shared" si="39"/>
        <v>-0.23843543191194971</v>
      </c>
      <c r="J430" s="25">
        <f t="shared" si="40"/>
        <v>5.6851455191038007E-2</v>
      </c>
      <c r="K430" s="25">
        <f t="shared" si="36"/>
        <v>4.5</v>
      </c>
      <c r="L430" s="25">
        <f t="shared" si="37"/>
        <v>7.5</v>
      </c>
      <c r="M430" s="25">
        <f t="shared" si="41"/>
        <v>1</v>
      </c>
    </row>
    <row r="431" spans="1:13" x14ac:dyDescent="0.2">
      <c r="A431" s="4">
        <v>5.6</v>
      </c>
      <c r="B431" s="4">
        <v>11</v>
      </c>
      <c r="C431" s="4">
        <v>8</v>
      </c>
      <c r="D431" s="4">
        <v>0</v>
      </c>
      <c r="E431" s="4">
        <v>1</v>
      </c>
      <c r="F431" s="4">
        <v>0</v>
      </c>
      <c r="G431" s="2" t="s">
        <v>80</v>
      </c>
      <c r="H431" s="25">
        <f t="shared" si="38"/>
        <v>6.3201617037397684</v>
      </c>
      <c r="I431" s="25">
        <f t="shared" si="39"/>
        <v>-0.72016170373976873</v>
      </c>
      <c r="J431" s="25">
        <f t="shared" si="40"/>
        <v>0.51863287953336645</v>
      </c>
      <c r="K431" s="25">
        <f t="shared" si="36"/>
        <v>4.1999999999999993</v>
      </c>
      <c r="L431" s="25">
        <f t="shared" si="37"/>
        <v>7</v>
      </c>
      <c r="M431" s="25">
        <f t="shared" si="41"/>
        <v>1</v>
      </c>
    </row>
    <row r="432" spans="1:13" x14ac:dyDescent="0.2">
      <c r="A432" s="4">
        <v>2.9</v>
      </c>
      <c r="B432" s="4">
        <v>6</v>
      </c>
      <c r="C432" s="4">
        <v>7</v>
      </c>
      <c r="D432" s="4">
        <v>0</v>
      </c>
      <c r="E432" s="4">
        <v>1</v>
      </c>
      <c r="F432" s="4">
        <v>0</v>
      </c>
      <c r="G432" s="2" t="s">
        <v>80</v>
      </c>
      <c r="H432" s="25">
        <f t="shared" si="38"/>
        <v>3.7420259691513742</v>
      </c>
      <c r="I432" s="25">
        <f t="shared" si="39"/>
        <v>-0.84202596915137429</v>
      </c>
      <c r="J432" s="25">
        <f t="shared" si="40"/>
        <v>0.70900773272531115</v>
      </c>
      <c r="K432" s="25">
        <f t="shared" si="36"/>
        <v>2.1749999999999998</v>
      </c>
      <c r="L432" s="25">
        <f t="shared" si="37"/>
        <v>3.625</v>
      </c>
      <c r="M432" s="25">
        <f t="shared" si="41"/>
        <v>0</v>
      </c>
    </row>
    <row r="433" spans="1:13" x14ac:dyDescent="0.2">
      <c r="A433" s="4">
        <v>5.25</v>
      </c>
      <c r="B433" s="4">
        <v>10</v>
      </c>
      <c r="C433" s="4">
        <v>7</v>
      </c>
      <c r="D433" s="4">
        <v>0</v>
      </c>
      <c r="E433" s="4">
        <v>1</v>
      </c>
      <c r="F433" s="4">
        <v>0</v>
      </c>
      <c r="G433" s="2" t="s">
        <v>80</v>
      </c>
      <c r="H433" s="25">
        <f t="shared" si="38"/>
        <v>5.6754527916313258</v>
      </c>
      <c r="I433" s="25">
        <f t="shared" si="39"/>
        <v>-0.42545279163132577</v>
      </c>
      <c r="J433" s="25">
        <f t="shared" si="40"/>
        <v>0.18101007790688831</v>
      </c>
      <c r="K433" s="25">
        <f t="shared" si="36"/>
        <v>3.9375</v>
      </c>
      <c r="L433" s="25">
        <f t="shared" si="37"/>
        <v>6.5625</v>
      </c>
      <c r="M433" s="25">
        <f t="shared" si="41"/>
        <v>1</v>
      </c>
    </row>
    <row r="434" spans="1:13" x14ac:dyDescent="0.2">
      <c r="A434" s="4">
        <v>18</v>
      </c>
      <c r="B434" s="4">
        <v>16</v>
      </c>
      <c r="C434" s="4">
        <v>7</v>
      </c>
      <c r="D434" s="4">
        <v>0</v>
      </c>
      <c r="E434" s="4">
        <v>1</v>
      </c>
      <c r="F434" s="4">
        <v>0</v>
      </c>
      <c r="G434" s="2" t="s">
        <v>80</v>
      </c>
      <c r="H434" s="25">
        <f t="shared" si="38"/>
        <v>8.5755930253512549</v>
      </c>
      <c r="I434" s="25">
        <f t="shared" si="39"/>
        <v>9.4244069746487451</v>
      </c>
      <c r="J434" s="25">
        <f t="shared" si="40"/>
        <v>88.819446823807908</v>
      </c>
      <c r="K434" s="25">
        <f t="shared" si="36"/>
        <v>13.5</v>
      </c>
      <c r="L434" s="25">
        <f t="shared" si="37"/>
        <v>22.5</v>
      </c>
      <c r="M434" s="25">
        <f t="shared" si="41"/>
        <v>0</v>
      </c>
    </row>
    <row r="435" spans="1:13" x14ac:dyDescent="0.2">
      <c r="A435" s="4">
        <v>14.58</v>
      </c>
      <c r="B435" s="4">
        <v>18</v>
      </c>
      <c r="C435" s="4">
        <v>7</v>
      </c>
      <c r="D435" s="4">
        <v>1</v>
      </c>
      <c r="E435" s="4">
        <v>0</v>
      </c>
      <c r="F435" s="4">
        <v>0</v>
      </c>
      <c r="G435" s="2" t="s">
        <v>80</v>
      </c>
      <c r="H435" s="25">
        <f t="shared" si="38"/>
        <v>7.7696536989429106</v>
      </c>
      <c r="I435" s="25">
        <f t="shared" si="39"/>
        <v>6.8103463010570895</v>
      </c>
      <c r="J435" s="25">
        <f t="shared" si="40"/>
        <v>46.380816740321983</v>
      </c>
      <c r="K435" s="25">
        <f t="shared" si="36"/>
        <v>10.935</v>
      </c>
      <c r="L435" s="25">
        <f t="shared" si="37"/>
        <v>18.225000000000001</v>
      </c>
      <c r="M435" s="25">
        <f t="shared" si="41"/>
        <v>0</v>
      </c>
    </row>
    <row r="436" spans="1:13" x14ac:dyDescent="0.2">
      <c r="A436" s="4">
        <v>3.95</v>
      </c>
      <c r="B436" s="4">
        <v>6</v>
      </c>
      <c r="C436" s="4">
        <v>6</v>
      </c>
      <c r="D436" s="4">
        <v>0</v>
      </c>
      <c r="E436" s="4">
        <v>1</v>
      </c>
      <c r="F436" s="4">
        <v>0</v>
      </c>
      <c r="G436" s="2" t="s">
        <v>80</v>
      </c>
      <c r="H436" s="25">
        <f t="shared" si="38"/>
        <v>3.5806737626629195</v>
      </c>
      <c r="I436" s="25">
        <f t="shared" si="39"/>
        <v>0.3693262373370807</v>
      </c>
      <c r="J436" s="25">
        <f t="shared" si="40"/>
        <v>0.13640186958556566</v>
      </c>
      <c r="K436" s="25">
        <f t="shared" si="36"/>
        <v>2.9625000000000004</v>
      </c>
      <c r="L436" s="25">
        <f t="shared" si="37"/>
        <v>4.9375</v>
      </c>
      <c r="M436" s="25">
        <f t="shared" si="41"/>
        <v>1</v>
      </c>
    </row>
    <row r="437" spans="1:13" x14ac:dyDescent="0.2">
      <c r="A437" s="4">
        <v>10.63</v>
      </c>
      <c r="B437" s="4">
        <v>12</v>
      </c>
      <c r="C437" s="4">
        <v>6</v>
      </c>
      <c r="D437" s="4">
        <v>1</v>
      </c>
      <c r="E437" s="4">
        <v>1</v>
      </c>
      <c r="F437" s="4">
        <v>1</v>
      </c>
      <c r="G437" s="2" t="s">
        <v>80</v>
      </c>
      <c r="H437" s="25">
        <f t="shared" si="38"/>
        <v>6.3908674723484786</v>
      </c>
      <c r="I437" s="25">
        <f t="shared" si="39"/>
        <v>4.2391325276515222</v>
      </c>
      <c r="J437" s="25">
        <f t="shared" si="40"/>
        <v>17.970244586993182</v>
      </c>
      <c r="K437" s="25">
        <f t="shared" si="36"/>
        <v>7.9725000000000001</v>
      </c>
      <c r="L437" s="25">
        <f t="shared" si="37"/>
        <v>13.287500000000001</v>
      </c>
      <c r="M437" s="25">
        <f t="shared" si="41"/>
        <v>0</v>
      </c>
    </row>
    <row r="438" spans="1:13" x14ac:dyDescent="0.2">
      <c r="A438" s="4">
        <v>2</v>
      </c>
      <c r="B438" s="4">
        <v>13</v>
      </c>
      <c r="C438" s="4">
        <v>6</v>
      </c>
      <c r="D438" s="4">
        <v>1</v>
      </c>
      <c r="E438" s="4">
        <v>0</v>
      </c>
      <c r="F438" s="4">
        <v>0</v>
      </c>
      <c r="G438" s="2" t="s">
        <v>80</v>
      </c>
      <c r="H438" s="25">
        <f t="shared" si="38"/>
        <v>5.1915179643545155</v>
      </c>
      <c r="I438" s="25">
        <f t="shared" si="39"/>
        <v>-3.1915179643545155</v>
      </c>
      <c r="J438" s="25">
        <f t="shared" si="40"/>
        <v>10.185786916797591</v>
      </c>
      <c r="K438" s="25">
        <f t="shared" si="36"/>
        <v>1.5</v>
      </c>
      <c r="L438" s="25">
        <f t="shared" si="37"/>
        <v>2.5</v>
      </c>
      <c r="M438" s="25">
        <f t="shared" si="41"/>
        <v>0</v>
      </c>
    </row>
    <row r="439" spans="1:13" x14ac:dyDescent="0.2">
      <c r="A439" s="4">
        <v>10.92</v>
      </c>
      <c r="B439" s="4">
        <v>12</v>
      </c>
      <c r="C439" s="4">
        <v>5</v>
      </c>
      <c r="D439" s="4">
        <v>0</v>
      </c>
      <c r="E439" s="4">
        <v>1</v>
      </c>
      <c r="F439" s="4">
        <v>0</v>
      </c>
      <c r="G439" s="2" t="s">
        <v>80</v>
      </c>
      <c r="H439" s="25">
        <f t="shared" si="38"/>
        <v>6.319461789894393</v>
      </c>
      <c r="I439" s="25">
        <f t="shared" si="39"/>
        <v>4.6005382101056069</v>
      </c>
      <c r="J439" s="25">
        <f t="shared" si="40"/>
        <v>21.164951822641701</v>
      </c>
      <c r="K439" s="25">
        <f t="shared" si="36"/>
        <v>8.19</v>
      </c>
      <c r="L439" s="25">
        <f t="shared" si="37"/>
        <v>13.65</v>
      </c>
      <c r="M439" s="25">
        <f t="shared" si="41"/>
        <v>0</v>
      </c>
    </row>
    <row r="440" spans="1:13" x14ac:dyDescent="0.2">
      <c r="A440" s="4">
        <v>10</v>
      </c>
      <c r="B440" s="4">
        <v>12</v>
      </c>
      <c r="C440" s="4">
        <v>5</v>
      </c>
      <c r="D440" s="4">
        <v>1</v>
      </c>
      <c r="E440" s="4">
        <v>1</v>
      </c>
      <c r="F440" s="4">
        <v>1</v>
      </c>
      <c r="G440" s="2" t="s">
        <v>80</v>
      </c>
      <c r="H440" s="25">
        <f t="shared" si="38"/>
        <v>6.2295152658600248</v>
      </c>
      <c r="I440" s="25">
        <f t="shared" si="39"/>
        <v>3.7704847341399752</v>
      </c>
      <c r="J440" s="25">
        <f t="shared" si="40"/>
        <v>14.2165551303826</v>
      </c>
      <c r="K440" s="25">
        <f t="shared" si="36"/>
        <v>7.5</v>
      </c>
      <c r="L440" s="25">
        <f t="shared" si="37"/>
        <v>12.5</v>
      </c>
      <c r="M440" s="25">
        <f t="shared" si="41"/>
        <v>0</v>
      </c>
    </row>
    <row r="441" spans="1:13" x14ac:dyDescent="0.2">
      <c r="A441" s="4">
        <v>7.5</v>
      </c>
      <c r="B441" s="4">
        <v>12</v>
      </c>
      <c r="C441" s="4">
        <v>5</v>
      </c>
      <c r="D441" s="4">
        <v>0</v>
      </c>
      <c r="E441" s="4">
        <v>1</v>
      </c>
      <c r="F441" s="4">
        <v>1</v>
      </c>
      <c r="G441" s="2" t="s">
        <v>80</v>
      </c>
      <c r="H441" s="25">
        <f t="shared" si="38"/>
        <v>7.4370850260605375</v>
      </c>
      <c r="I441" s="25">
        <f t="shared" si="39"/>
        <v>6.2914973939462548E-2</v>
      </c>
      <c r="J441" s="25">
        <f t="shared" si="40"/>
        <v>3.9582939458032516E-3</v>
      </c>
      <c r="K441" s="25">
        <f t="shared" si="36"/>
        <v>5.625</v>
      </c>
      <c r="L441" s="25">
        <f t="shared" si="37"/>
        <v>9.375</v>
      </c>
      <c r="M441" s="25">
        <f t="shared" si="41"/>
        <v>1</v>
      </c>
    </row>
    <row r="442" spans="1:13" x14ac:dyDescent="0.2">
      <c r="A442" s="4">
        <v>7.25</v>
      </c>
      <c r="B442" s="4">
        <v>12</v>
      </c>
      <c r="C442" s="4">
        <v>5</v>
      </c>
      <c r="D442" s="4">
        <v>0</v>
      </c>
      <c r="E442" s="4">
        <v>1</v>
      </c>
      <c r="F442" s="4">
        <v>1</v>
      </c>
      <c r="G442" s="2" t="s">
        <v>80</v>
      </c>
      <c r="H442" s="25">
        <f t="shared" si="38"/>
        <v>7.4370850260605375</v>
      </c>
      <c r="I442" s="25">
        <f t="shared" si="39"/>
        <v>-0.18708502606053745</v>
      </c>
      <c r="J442" s="25">
        <f t="shared" si="40"/>
        <v>3.5000806976071976E-2</v>
      </c>
      <c r="K442" s="25">
        <f t="shared" si="36"/>
        <v>5.4375</v>
      </c>
      <c r="L442" s="25">
        <f t="shared" si="37"/>
        <v>9.0625</v>
      </c>
      <c r="M442" s="25">
        <f t="shared" si="41"/>
        <v>1</v>
      </c>
    </row>
    <row r="443" spans="1:13" x14ac:dyDescent="0.2">
      <c r="A443" s="4">
        <v>3.45</v>
      </c>
      <c r="B443" s="4">
        <v>12</v>
      </c>
      <c r="C443" s="4">
        <v>5</v>
      </c>
      <c r="D443" s="4">
        <v>1</v>
      </c>
      <c r="E443" s="4">
        <v>1</v>
      </c>
      <c r="F443" s="4">
        <v>0</v>
      </c>
      <c r="G443" s="2" t="s">
        <v>80</v>
      </c>
      <c r="H443" s="25">
        <f t="shared" si="38"/>
        <v>5.1118920296938803</v>
      </c>
      <c r="I443" s="25">
        <f t="shared" si="39"/>
        <v>-1.6618920296938802</v>
      </c>
      <c r="J443" s="25">
        <f t="shared" si="40"/>
        <v>2.7618851183600448</v>
      </c>
      <c r="K443" s="25">
        <f t="shared" si="36"/>
        <v>2.5875000000000004</v>
      </c>
      <c r="L443" s="25">
        <f t="shared" si="37"/>
        <v>4.3125</v>
      </c>
      <c r="M443" s="25">
        <f t="shared" si="41"/>
        <v>0</v>
      </c>
    </row>
    <row r="444" spans="1:13" x14ac:dyDescent="0.2">
      <c r="A444" s="4">
        <v>3.6</v>
      </c>
      <c r="B444" s="4">
        <v>12</v>
      </c>
      <c r="C444" s="4">
        <v>4</v>
      </c>
      <c r="D444" s="4">
        <v>1</v>
      </c>
      <c r="E444" s="4">
        <v>0</v>
      </c>
      <c r="F444" s="4">
        <v>1</v>
      </c>
      <c r="G444" s="2" t="s">
        <v>80</v>
      </c>
      <c r="H444" s="25">
        <f t="shared" si="38"/>
        <v>5.5030800819237626</v>
      </c>
      <c r="I444" s="25">
        <f t="shared" si="39"/>
        <v>-1.9030800819237625</v>
      </c>
      <c r="J444" s="25">
        <f t="shared" si="40"/>
        <v>3.6217137982149548</v>
      </c>
      <c r="K444" s="25">
        <f t="shared" si="36"/>
        <v>2.7</v>
      </c>
      <c r="L444" s="25">
        <f t="shared" si="37"/>
        <v>4.5</v>
      </c>
      <c r="M444" s="25">
        <f t="shared" si="41"/>
        <v>0</v>
      </c>
    </row>
    <row r="445" spans="1:13" x14ac:dyDescent="0.2">
      <c r="A445" s="4">
        <v>8</v>
      </c>
      <c r="B445" s="4">
        <v>16</v>
      </c>
      <c r="C445" s="4">
        <v>4</v>
      </c>
      <c r="D445" s="4">
        <v>0</v>
      </c>
      <c r="E445" s="4">
        <v>0</v>
      </c>
      <c r="F445" s="4">
        <v>0</v>
      </c>
      <c r="G445" s="2" t="s">
        <v>80</v>
      </c>
      <c r="H445" s="25">
        <f t="shared" si="38"/>
        <v>7.5264534284380851</v>
      </c>
      <c r="I445" s="25">
        <f t="shared" si="39"/>
        <v>0.47354657156191493</v>
      </c>
      <c r="J445" s="25">
        <f t="shared" si="40"/>
        <v>0.22424635543804383</v>
      </c>
      <c r="K445" s="25">
        <f t="shared" si="36"/>
        <v>6</v>
      </c>
      <c r="L445" s="25">
        <f t="shared" si="37"/>
        <v>10</v>
      </c>
      <c r="M445" s="25">
        <f t="shared" si="41"/>
        <v>1</v>
      </c>
    </row>
    <row r="446" spans="1:13" x14ac:dyDescent="0.2">
      <c r="A446" s="4">
        <v>5.5</v>
      </c>
      <c r="B446" s="4">
        <v>12</v>
      </c>
      <c r="C446" s="4">
        <v>4</v>
      </c>
      <c r="D446" s="4">
        <v>0</v>
      </c>
      <c r="E446" s="4">
        <v>1</v>
      </c>
      <c r="F446" s="4">
        <v>0</v>
      </c>
      <c r="G446" s="2" t="s">
        <v>80</v>
      </c>
      <c r="H446" s="25">
        <f t="shared" si="38"/>
        <v>6.1581095834059383</v>
      </c>
      <c r="I446" s="25">
        <f t="shared" si="39"/>
        <v>-0.65810958340593828</v>
      </c>
      <c r="J446" s="25">
        <f t="shared" si="40"/>
        <v>0.43310822377073765</v>
      </c>
      <c r="K446" s="25">
        <f t="shared" si="36"/>
        <v>4.125</v>
      </c>
      <c r="L446" s="25">
        <f t="shared" si="37"/>
        <v>6.875</v>
      </c>
      <c r="M446" s="25">
        <f t="shared" si="41"/>
        <v>1</v>
      </c>
    </row>
    <row r="447" spans="1:13" x14ac:dyDescent="0.2">
      <c r="A447" s="4">
        <v>4.05</v>
      </c>
      <c r="B447" s="4">
        <v>9</v>
      </c>
      <c r="C447" s="4">
        <v>4</v>
      </c>
      <c r="D447" s="4">
        <v>1</v>
      </c>
      <c r="E447" s="4">
        <v>1</v>
      </c>
      <c r="F447" s="4">
        <v>0</v>
      </c>
      <c r="G447" s="2" t="s">
        <v>80</v>
      </c>
      <c r="H447" s="25">
        <f t="shared" si="38"/>
        <v>3.500469706345462</v>
      </c>
      <c r="I447" s="25">
        <f t="shared" si="39"/>
        <v>0.54953029365453787</v>
      </c>
      <c r="J447" s="25">
        <f t="shared" si="40"/>
        <v>0.30198354364404262</v>
      </c>
      <c r="K447" s="25">
        <f t="shared" si="36"/>
        <v>3.0374999999999996</v>
      </c>
      <c r="L447" s="25">
        <f t="shared" si="37"/>
        <v>5.0625</v>
      </c>
      <c r="M447" s="25">
        <f t="shared" si="41"/>
        <v>1</v>
      </c>
    </row>
    <row r="448" spans="1:13" x14ac:dyDescent="0.2">
      <c r="A448" s="4">
        <v>8.75</v>
      </c>
      <c r="B448" s="4">
        <v>12</v>
      </c>
      <c r="C448" s="4">
        <v>4</v>
      </c>
      <c r="D448" s="4">
        <v>0</v>
      </c>
      <c r="E448" s="4">
        <v>1</v>
      </c>
      <c r="F448" s="4">
        <v>0</v>
      </c>
      <c r="G448" s="2" t="s">
        <v>80</v>
      </c>
      <c r="H448" s="25">
        <f t="shared" si="38"/>
        <v>6.1581095834059383</v>
      </c>
      <c r="I448" s="25">
        <f t="shared" si="39"/>
        <v>2.5918904165940617</v>
      </c>
      <c r="J448" s="25">
        <f t="shared" si="40"/>
        <v>6.7178959316321389</v>
      </c>
      <c r="K448" s="25">
        <f t="shared" si="36"/>
        <v>6.5625</v>
      </c>
      <c r="L448" s="25">
        <f t="shared" si="37"/>
        <v>10.9375</v>
      </c>
      <c r="M448" s="25">
        <f t="shared" si="41"/>
        <v>0</v>
      </c>
    </row>
    <row r="449" spans="1:13" x14ac:dyDescent="0.2">
      <c r="A449" s="4">
        <v>2.17</v>
      </c>
      <c r="B449" s="4">
        <v>13</v>
      </c>
      <c r="C449" s="4">
        <v>4</v>
      </c>
      <c r="D449" s="4">
        <v>1</v>
      </c>
      <c r="E449" s="4">
        <v>0</v>
      </c>
      <c r="F449" s="4">
        <v>0</v>
      </c>
      <c r="G449" s="2" t="s">
        <v>80</v>
      </c>
      <c r="H449" s="25">
        <f t="shared" si="38"/>
        <v>4.8688135513776061</v>
      </c>
      <c r="I449" s="25">
        <f t="shared" si="39"/>
        <v>-2.6988135513776061</v>
      </c>
      <c r="J449" s="25">
        <f t="shared" si="40"/>
        <v>7.283594585099407</v>
      </c>
      <c r="K449" s="25">
        <f t="shared" si="36"/>
        <v>1.6274999999999999</v>
      </c>
      <c r="L449" s="25">
        <f t="shared" si="37"/>
        <v>2.7124999999999999</v>
      </c>
      <c r="M449" s="25">
        <f t="shared" si="41"/>
        <v>0</v>
      </c>
    </row>
    <row r="450" spans="1:13" x14ac:dyDescent="0.2">
      <c r="A450" s="4">
        <v>11.1</v>
      </c>
      <c r="B450" s="4">
        <v>15</v>
      </c>
      <c r="C450" s="4">
        <v>4</v>
      </c>
      <c r="D450" s="4">
        <v>1</v>
      </c>
      <c r="E450" s="4">
        <v>0</v>
      </c>
      <c r="F450" s="4">
        <v>0</v>
      </c>
      <c r="G450" s="2" t="s">
        <v>80</v>
      </c>
      <c r="H450" s="25">
        <f t="shared" si="38"/>
        <v>5.8355269626175836</v>
      </c>
      <c r="I450" s="25">
        <f t="shared" si="39"/>
        <v>5.264473037382416</v>
      </c>
      <c r="J450" s="25">
        <f t="shared" si="40"/>
        <v>27.71467636132644</v>
      </c>
      <c r="K450" s="25">
        <f t="shared" ref="K450:K513" si="42">A450*(1-$Q$41)</f>
        <v>8.3249999999999993</v>
      </c>
      <c r="L450" s="25">
        <f t="shared" ref="L450:L513" si="43">A450*(1+$Q$41)</f>
        <v>13.875</v>
      </c>
      <c r="M450" s="25">
        <f t="shared" si="41"/>
        <v>0</v>
      </c>
    </row>
    <row r="451" spans="1:13" x14ac:dyDescent="0.2">
      <c r="A451" s="4">
        <v>1.96</v>
      </c>
      <c r="B451" s="4">
        <v>11</v>
      </c>
      <c r="C451" s="4">
        <v>3</v>
      </c>
      <c r="D451" s="4">
        <v>1</v>
      </c>
      <c r="E451" s="4">
        <v>0</v>
      </c>
      <c r="F451" s="4">
        <v>0</v>
      </c>
      <c r="G451" s="2" t="s">
        <v>80</v>
      </c>
      <c r="H451" s="25">
        <f t="shared" ref="H451:H514" si="44">$P$33+($P$34*B451)+($P$35*C451)+($P$36*D451)+($P$37*E451)+($P$38*F451)</f>
        <v>3.7407479336491769</v>
      </c>
      <c r="I451" s="25">
        <f t="shared" ref="I451:I514" si="45">(A451-H451)</f>
        <v>-1.7807479336491769</v>
      </c>
      <c r="J451" s="25">
        <f t="shared" ref="J451:J514" si="46">I451^2</f>
        <v>3.1710632031958137</v>
      </c>
      <c r="K451" s="25">
        <f t="shared" si="42"/>
        <v>1.47</v>
      </c>
      <c r="L451" s="25">
        <f t="shared" si="43"/>
        <v>2.4500000000000002</v>
      </c>
      <c r="M451" s="25">
        <f t="shared" ref="M451:M514" si="47">IF(AND(H451&gt;=K451,H451&lt;=L451),1,0)</f>
        <v>0</v>
      </c>
    </row>
    <row r="452" spans="1:13" x14ac:dyDescent="0.2">
      <c r="A452" s="4">
        <v>7</v>
      </c>
      <c r="B452" s="4">
        <v>16</v>
      </c>
      <c r="C452" s="4">
        <v>3</v>
      </c>
      <c r="D452" s="4">
        <v>1</v>
      </c>
      <c r="E452" s="4">
        <v>1</v>
      </c>
      <c r="F452" s="4">
        <v>0</v>
      </c>
      <c r="G452" s="2" t="s">
        <v>80</v>
      </c>
      <c r="H452" s="25">
        <f t="shared" si="44"/>
        <v>6.7226144391969243</v>
      </c>
      <c r="I452" s="25">
        <f t="shared" si="45"/>
        <v>0.27738556080307575</v>
      </c>
      <c r="J452" s="25">
        <f t="shared" si="46"/>
        <v>7.6942749342036834E-2</v>
      </c>
      <c r="K452" s="25">
        <f t="shared" si="42"/>
        <v>5.25</v>
      </c>
      <c r="L452" s="25">
        <f t="shared" si="43"/>
        <v>8.75</v>
      </c>
      <c r="M452" s="25">
        <f t="shared" si="47"/>
        <v>1</v>
      </c>
    </row>
    <row r="453" spans="1:13" x14ac:dyDescent="0.2">
      <c r="A453" s="4">
        <v>4</v>
      </c>
      <c r="B453" s="4">
        <v>12</v>
      </c>
      <c r="C453" s="4">
        <v>3</v>
      </c>
      <c r="D453" s="4">
        <v>0</v>
      </c>
      <c r="E453" s="4">
        <v>1</v>
      </c>
      <c r="F453" s="4">
        <v>0</v>
      </c>
      <c r="G453" s="2" t="s">
        <v>80</v>
      </c>
      <c r="H453" s="25">
        <f t="shared" si="44"/>
        <v>5.9967573769174845</v>
      </c>
      <c r="I453" s="25">
        <f t="shared" si="45"/>
        <v>-1.9967573769174845</v>
      </c>
      <c r="J453" s="25">
        <f t="shared" si="46"/>
        <v>3.9870400222743929</v>
      </c>
      <c r="K453" s="25">
        <f t="shared" si="42"/>
        <v>3</v>
      </c>
      <c r="L453" s="25">
        <f t="shared" si="43"/>
        <v>5</v>
      </c>
      <c r="M453" s="25">
        <f t="shared" si="47"/>
        <v>0</v>
      </c>
    </row>
    <row r="454" spans="1:13" x14ac:dyDescent="0.2">
      <c r="A454" s="4">
        <v>5.5</v>
      </c>
      <c r="B454" s="4">
        <v>12</v>
      </c>
      <c r="C454" s="4">
        <v>3</v>
      </c>
      <c r="D454" s="4">
        <v>0</v>
      </c>
      <c r="E454" s="4">
        <v>0</v>
      </c>
      <c r="F454" s="4">
        <v>1</v>
      </c>
      <c r="G454" s="2" t="s">
        <v>80</v>
      </c>
      <c r="H454" s="25">
        <f t="shared" si="44"/>
        <v>6.5492976356358223</v>
      </c>
      <c r="I454" s="25">
        <f t="shared" si="45"/>
        <v>-1.0492976356358223</v>
      </c>
      <c r="J454" s="25">
        <f t="shared" si="46"/>
        <v>1.1010255281509269</v>
      </c>
      <c r="K454" s="25">
        <f t="shared" si="42"/>
        <v>4.125</v>
      </c>
      <c r="L454" s="25">
        <f t="shared" si="43"/>
        <v>6.875</v>
      </c>
      <c r="M454" s="25">
        <f t="shared" si="47"/>
        <v>1</v>
      </c>
    </row>
    <row r="455" spans="1:13" x14ac:dyDescent="0.2">
      <c r="A455" s="4">
        <v>3.91</v>
      </c>
      <c r="B455" s="4">
        <v>18</v>
      </c>
      <c r="C455" s="4">
        <v>3</v>
      </c>
      <c r="D455" s="4">
        <v>0</v>
      </c>
      <c r="E455" s="4">
        <v>1</v>
      </c>
      <c r="F455" s="4">
        <v>0</v>
      </c>
      <c r="G455" s="2" t="s">
        <v>80</v>
      </c>
      <c r="H455" s="25">
        <f t="shared" si="44"/>
        <v>8.8968976106374136</v>
      </c>
      <c r="I455" s="25">
        <f t="shared" si="45"/>
        <v>-4.9868976106374134</v>
      </c>
      <c r="J455" s="25">
        <f t="shared" si="46"/>
        <v>24.869147778981144</v>
      </c>
      <c r="K455" s="25">
        <f t="shared" si="42"/>
        <v>2.9325000000000001</v>
      </c>
      <c r="L455" s="25">
        <f t="shared" si="43"/>
        <v>4.8875000000000002</v>
      </c>
      <c r="M455" s="25">
        <f t="shared" si="47"/>
        <v>0</v>
      </c>
    </row>
    <row r="456" spans="1:13" x14ac:dyDescent="0.2">
      <c r="A456" s="4">
        <v>6.43</v>
      </c>
      <c r="B456" s="4">
        <v>16</v>
      </c>
      <c r="C456" s="4">
        <v>3</v>
      </c>
      <c r="D456" s="4">
        <v>1</v>
      </c>
      <c r="E456" s="4">
        <v>1</v>
      </c>
      <c r="F456" s="4">
        <v>0</v>
      </c>
      <c r="G456" s="2" t="s">
        <v>80</v>
      </c>
      <c r="H456" s="25">
        <f t="shared" si="44"/>
        <v>6.7226144391969243</v>
      </c>
      <c r="I456" s="25">
        <f t="shared" si="45"/>
        <v>-0.29261443919692454</v>
      </c>
      <c r="J456" s="25">
        <f t="shared" si="46"/>
        <v>8.5623210026530644E-2</v>
      </c>
      <c r="K456" s="25">
        <f t="shared" si="42"/>
        <v>4.8224999999999998</v>
      </c>
      <c r="L456" s="25">
        <f t="shared" si="43"/>
        <v>8.0374999999999996</v>
      </c>
      <c r="M456" s="25">
        <f t="shared" si="47"/>
        <v>1</v>
      </c>
    </row>
    <row r="457" spans="1:13" x14ac:dyDescent="0.2">
      <c r="A457" s="4">
        <v>8</v>
      </c>
      <c r="B457" s="4">
        <v>12</v>
      </c>
      <c r="C457" s="4">
        <v>3</v>
      </c>
      <c r="D457" s="4">
        <v>1</v>
      </c>
      <c r="E457" s="4">
        <v>0</v>
      </c>
      <c r="F457" s="4">
        <v>0</v>
      </c>
      <c r="G457" s="2" t="s">
        <v>80</v>
      </c>
      <c r="H457" s="25">
        <f t="shared" si="44"/>
        <v>4.2241046392691644</v>
      </c>
      <c r="I457" s="25">
        <f t="shared" si="45"/>
        <v>3.7758953607308356</v>
      </c>
      <c r="J457" s="25">
        <f t="shared" si="46"/>
        <v>14.257385775188647</v>
      </c>
      <c r="K457" s="25">
        <f t="shared" si="42"/>
        <v>6</v>
      </c>
      <c r="L457" s="25">
        <f t="shared" si="43"/>
        <v>10</v>
      </c>
      <c r="M457" s="25">
        <f t="shared" si="47"/>
        <v>0</v>
      </c>
    </row>
    <row r="458" spans="1:13" x14ac:dyDescent="0.2">
      <c r="A458" s="4">
        <v>6.85</v>
      </c>
      <c r="B458" s="4">
        <v>15</v>
      </c>
      <c r="C458" s="4">
        <v>3</v>
      </c>
      <c r="D458" s="4">
        <v>1</v>
      </c>
      <c r="E458" s="4">
        <v>1</v>
      </c>
      <c r="F458" s="4">
        <v>0</v>
      </c>
      <c r="G458" s="2" t="s">
        <v>80</v>
      </c>
      <c r="H458" s="25">
        <f t="shared" si="44"/>
        <v>6.2392577335769364</v>
      </c>
      <c r="I458" s="25">
        <f t="shared" si="45"/>
        <v>0.61074226642306328</v>
      </c>
      <c r="J458" s="25">
        <f t="shared" si="46"/>
        <v>0.37300611599558003</v>
      </c>
      <c r="K458" s="25">
        <f t="shared" si="42"/>
        <v>5.1374999999999993</v>
      </c>
      <c r="L458" s="25">
        <f t="shared" si="43"/>
        <v>8.5625</v>
      </c>
      <c r="M458" s="25">
        <f t="shared" si="47"/>
        <v>1</v>
      </c>
    </row>
    <row r="459" spans="1:13" x14ac:dyDescent="0.2">
      <c r="A459" s="4">
        <v>8.75</v>
      </c>
      <c r="B459" s="4">
        <v>14</v>
      </c>
      <c r="C459" s="4">
        <v>3</v>
      </c>
      <c r="D459" s="4">
        <v>0</v>
      </c>
      <c r="E459" s="4">
        <v>1</v>
      </c>
      <c r="F459" s="4">
        <v>0</v>
      </c>
      <c r="G459" s="2" t="s">
        <v>80</v>
      </c>
      <c r="H459" s="25">
        <f t="shared" si="44"/>
        <v>6.9634707881574611</v>
      </c>
      <c r="I459" s="25">
        <f t="shared" si="45"/>
        <v>1.7865292118425389</v>
      </c>
      <c r="J459" s="25">
        <f t="shared" si="46"/>
        <v>3.191686624766723</v>
      </c>
      <c r="K459" s="25">
        <f t="shared" si="42"/>
        <v>6.5625</v>
      </c>
      <c r="L459" s="25">
        <f t="shared" si="43"/>
        <v>10.9375</v>
      </c>
      <c r="M459" s="25">
        <f t="shared" si="47"/>
        <v>1</v>
      </c>
    </row>
    <row r="460" spans="1:13" x14ac:dyDescent="0.2">
      <c r="A460" s="4">
        <v>6.18</v>
      </c>
      <c r="B460" s="4">
        <v>14</v>
      </c>
      <c r="C460" s="4">
        <v>3</v>
      </c>
      <c r="D460" s="4">
        <v>1</v>
      </c>
      <c r="E460" s="4">
        <v>1</v>
      </c>
      <c r="F460" s="4">
        <v>0</v>
      </c>
      <c r="G460" s="2" t="s">
        <v>80</v>
      </c>
      <c r="H460" s="25">
        <f t="shared" si="44"/>
        <v>5.7559010279569485</v>
      </c>
      <c r="I460" s="25">
        <f t="shared" si="45"/>
        <v>0.42409897204305125</v>
      </c>
      <c r="J460" s="25">
        <f t="shared" si="46"/>
        <v>0.17985993808797276</v>
      </c>
      <c r="K460" s="25">
        <f t="shared" si="42"/>
        <v>4.6349999999999998</v>
      </c>
      <c r="L460" s="25">
        <f t="shared" si="43"/>
        <v>7.7249999999999996</v>
      </c>
      <c r="M460" s="25">
        <f t="shared" si="47"/>
        <v>1</v>
      </c>
    </row>
    <row r="461" spans="1:13" x14ac:dyDescent="0.2">
      <c r="A461" s="4">
        <v>3.75</v>
      </c>
      <c r="B461" s="4">
        <v>12</v>
      </c>
      <c r="C461" s="4">
        <v>2</v>
      </c>
      <c r="D461" s="4">
        <v>1</v>
      </c>
      <c r="E461" s="4">
        <v>1</v>
      </c>
      <c r="F461" s="4">
        <v>0</v>
      </c>
      <c r="G461" s="2" t="s">
        <v>80</v>
      </c>
      <c r="H461" s="25">
        <f t="shared" si="44"/>
        <v>4.6278354102285171</v>
      </c>
      <c r="I461" s="25">
        <f t="shared" si="45"/>
        <v>-0.87783541022851708</v>
      </c>
      <c r="J461" s="25">
        <f t="shared" si="46"/>
        <v>0.7705950074510689</v>
      </c>
      <c r="K461" s="25">
        <f t="shared" si="42"/>
        <v>2.8125</v>
      </c>
      <c r="L461" s="25">
        <f t="shared" si="43"/>
        <v>4.6875</v>
      </c>
      <c r="M461" s="25">
        <f t="shared" si="47"/>
        <v>1</v>
      </c>
    </row>
    <row r="462" spans="1:13" x14ac:dyDescent="0.2">
      <c r="A462" s="4">
        <v>2.93</v>
      </c>
      <c r="B462" s="4">
        <v>12</v>
      </c>
      <c r="C462" s="4">
        <v>2</v>
      </c>
      <c r="D462" s="4">
        <v>1</v>
      </c>
      <c r="E462" s="4">
        <v>1</v>
      </c>
      <c r="F462" s="4">
        <v>1</v>
      </c>
      <c r="G462" s="2" t="s">
        <v>80</v>
      </c>
      <c r="H462" s="25">
        <f t="shared" si="44"/>
        <v>5.7454586463946615</v>
      </c>
      <c r="I462" s="25">
        <f t="shared" si="45"/>
        <v>-2.8154586463946614</v>
      </c>
      <c r="J462" s="25">
        <f t="shared" si="46"/>
        <v>7.9268073895584585</v>
      </c>
      <c r="K462" s="25">
        <f t="shared" si="42"/>
        <v>2.1975000000000002</v>
      </c>
      <c r="L462" s="25">
        <f t="shared" si="43"/>
        <v>3.6625000000000001</v>
      </c>
      <c r="M462" s="25">
        <f t="shared" si="47"/>
        <v>0</v>
      </c>
    </row>
    <row r="463" spans="1:13" x14ac:dyDescent="0.2">
      <c r="A463" s="4">
        <v>3</v>
      </c>
      <c r="B463" s="4">
        <v>8</v>
      </c>
      <c r="C463" s="4">
        <v>2</v>
      </c>
      <c r="D463" s="4">
        <v>0</v>
      </c>
      <c r="E463" s="4">
        <v>1</v>
      </c>
      <c r="F463" s="4">
        <v>0</v>
      </c>
      <c r="G463" s="2" t="s">
        <v>80</v>
      </c>
      <c r="H463" s="25">
        <f t="shared" si="44"/>
        <v>3.9019783479490773</v>
      </c>
      <c r="I463" s="25">
        <f t="shared" si="45"/>
        <v>-0.90197834794907727</v>
      </c>
      <c r="J463" s="25">
        <f t="shared" si="46"/>
        <v>0.81356494016894676</v>
      </c>
      <c r="K463" s="25">
        <f t="shared" si="42"/>
        <v>2.25</v>
      </c>
      <c r="L463" s="25">
        <f t="shared" si="43"/>
        <v>3.75</v>
      </c>
      <c r="M463" s="25">
        <f t="shared" si="47"/>
        <v>0</v>
      </c>
    </row>
    <row r="464" spans="1:13" x14ac:dyDescent="0.2">
      <c r="A464" s="4">
        <v>10</v>
      </c>
      <c r="B464" s="4">
        <v>12</v>
      </c>
      <c r="C464" s="4">
        <v>2</v>
      </c>
      <c r="D464" s="4">
        <v>0</v>
      </c>
      <c r="E464" s="4">
        <v>1</v>
      </c>
      <c r="F464" s="4">
        <v>0</v>
      </c>
      <c r="G464" s="2" t="s">
        <v>80</v>
      </c>
      <c r="H464" s="25">
        <f t="shared" si="44"/>
        <v>5.8354051704290297</v>
      </c>
      <c r="I464" s="25">
        <f t="shared" si="45"/>
        <v>4.1645948295709703</v>
      </c>
      <c r="J464" s="25">
        <f t="shared" si="46"/>
        <v>17.343850094489259</v>
      </c>
      <c r="K464" s="25">
        <f t="shared" si="42"/>
        <v>7.5</v>
      </c>
      <c r="L464" s="25">
        <f t="shared" si="43"/>
        <v>12.5</v>
      </c>
      <c r="M464" s="25">
        <f t="shared" si="47"/>
        <v>0</v>
      </c>
    </row>
    <row r="465" spans="1:13" x14ac:dyDescent="0.2">
      <c r="A465" s="4">
        <v>6.25</v>
      </c>
      <c r="B465" s="4">
        <v>16</v>
      </c>
      <c r="C465" s="4">
        <v>2</v>
      </c>
      <c r="D465" s="4">
        <v>1</v>
      </c>
      <c r="E465" s="4">
        <v>1</v>
      </c>
      <c r="F465" s="4">
        <v>1</v>
      </c>
      <c r="G465" s="2" t="s">
        <v>80</v>
      </c>
      <c r="H465" s="25">
        <f t="shared" si="44"/>
        <v>7.6788854688746131</v>
      </c>
      <c r="I465" s="25">
        <f t="shared" si="45"/>
        <v>-1.4288854688746131</v>
      </c>
      <c r="J465" s="25">
        <f t="shared" si="46"/>
        <v>2.041713683161023</v>
      </c>
      <c r="K465" s="25">
        <f t="shared" si="42"/>
        <v>4.6875</v>
      </c>
      <c r="L465" s="25">
        <f t="shared" si="43"/>
        <v>7.8125</v>
      </c>
      <c r="M465" s="25">
        <f t="shared" si="47"/>
        <v>1</v>
      </c>
    </row>
    <row r="466" spans="1:13" x14ac:dyDescent="0.2">
      <c r="A466" s="4">
        <v>3.28</v>
      </c>
      <c r="B466" s="4">
        <v>12</v>
      </c>
      <c r="C466" s="4">
        <v>2</v>
      </c>
      <c r="D466" s="4">
        <v>1</v>
      </c>
      <c r="E466" s="4">
        <v>0</v>
      </c>
      <c r="F466" s="4">
        <v>0</v>
      </c>
      <c r="G466" s="2" t="s">
        <v>80</v>
      </c>
      <c r="H466" s="25">
        <f t="shared" si="44"/>
        <v>4.0627524327807105</v>
      </c>
      <c r="I466" s="25">
        <f t="shared" si="45"/>
        <v>-0.78275243278071072</v>
      </c>
      <c r="J466" s="25">
        <f t="shared" si="46"/>
        <v>0.61270137102412103</v>
      </c>
      <c r="K466" s="25">
        <f t="shared" si="42"/>
        <v>2.46</v>
      </c>
      <c r="L466" s="25">
        <f t="shared" si="43"/>
        <v>4.0999999999999996</v>
      </c>
      <c r="M466" s="25">
        <f t="shared" si="47"/>
        <v>1</v>
      </c>
    </row>
    <row r="467" spans="1:13" x14ac:dyDescent="0.2">
      <c r="A467" s="4">
        <v>9.0500000000000007</v>
      </c>
      <c r="B467" s="4">
        <v>12</v>
      </c>
      <c r="C467" s="4">
        <v>2</v>
      </c>
      <c r="D467" s="4">
        <v>0</v>
      </c>
      <c r="E467" s="4">
        <v>1</v>
      </c>
      <c r="F467" s="4">
        <v>0</v>
      </c>
      <c r="G467" s="2" t="s">
        <v>80</v>
      </c>
      <c r="H467" s="25">
        <f t="shared" si="44"/>
        <v>5.8354051704290297</v>
      </c>
      <c r="I467" s="25">
        <f t="shared" si="45"/>
        <v>3.214594829570971</v>
      </c>
      <c r="J467" s="25">
        <f t="shared" si="46"/>
        <v>10.33361991830442</v>
      </c>
      <c r="K467" s="25">
        <f t="shared" si="42"/>
        <v>6.7875000000000005</v>
      </c>
      <c r="L467" s="25">
        <f t="shared" si="43"/>
        <v>11.3125</v>
      </c>
      <c r="M467" s="25">
        <f t="shared" si="47"/>
        <v>0</v>
      </c>
    </row>
    <row r="468" spans="1:13" x14ac:dyDescent="0.2">
      <c r="A468" s="4">
        <v>12.22</v>
      </c>
      <c r="B468" s="4">
        <v>16</v>
      </c>
      <c r="C468" s="4">
        <v>2</v>
      </c>
      <c r="D468" s="4">
        <v>0</v>
      </c>
      <c r="E468" s="4">
        <v>0</v>
      </c>
      <c r="F468" s="4">
        <v>0</v>
      </c>
      <c r="G468" s="2" t="s">
        <v>80</v>
      </c>
      <c r="H468" s="25">
        <f t="shared" si="44"/>
        <v>7.2037490154611756</v>
      </c>
      <c r="I468" s="25">
        <f t="shared" si="45"/>
        <v>5.016250984538825</v>
      </c>
      <c r="J468" s="25">
        <f t="shared" si="46"/>
        <v>25.16277393988673</v>
      </c>
      <c r="K468" s="25">
        <f t="shared" si="42"/>
        <v>9.1650000000000009</v>
      </c>
      <c r="L468" s="25">
        <f t="shared" si="43"/>
        <v>15.275</v>
      </c>
      <c r="M468" s="25">
        <f t="shared" si="47"/>
        <v>0</v>
      </c>
    </row>
    <row r="469" spans="1:13" x14ac:dyDescent="0.2">
      <c r="A469" s="4">
        <v>5.71</v>
      </c>
      <c r="B469" s="4">
        <v>13</v>
      </c>
      <c r="C469" s="4">
        <v>2</v>
      </c>
      <c r="D469" s="4">
        <v>1</v>
      </c>
      <c r="E469" s="4">
        <v>1</v>
      </c>
      <c r="F469" s="4">
        <v>0</v>
      </c>
      <c r="G469" s="2" t="s">
        <v>80</v>
      </c>
      <c r="H469" s="25">
        <f t="shared" si="44"/>
        <v>5.111192115848505</v>
      </c>
      <c r="I469" s="25">
        <f t="shared" si="45"/>
        <v>0.598807884151495</v>
      </c>
      <c r="J469" s="25">
        <f t="shared" si="46"/>
        <v>0.35857088212199023</v>
      </c>
      <c r="K469" s="25">
        <f t="shared" si="42"/>
        <v>4.2824999999999998</v>
      </c>
      <c r="L469" s="25">
        <f t="shared" si="43"/>
        <v>7.1375000000000002</v>
      </c>
      <c r="M469" s="25">
        <f t="shared" si="47"/>
        <v>1</v>
      </c>
    </row>
    <row r="470" spans="1:13" x14ac:dyDescent="0.2">
      <c r="A470" s="4">
        <v>3.65</v>
      </c>
      <c r="B470" s="4">
        <v>14</v>
      </c>
      <c r="C470" s="4">
        <v>2</v>
      </c>
      <c r="D470" s="4">
        <v>0</v>
      </c>
      <c r="E470" s="4">
        <v>0</v>
      </c>
      <c r="F470" s="4">
        <v>1</v>
      </c>
      <c r="G470" s="2" t="s">
        <v>80</v>
      </c>
      <c r="H470" s="25">
        <f t="shared" si="44"/>
        <v>7.3546588403873443</v>
      </c>
      <c r="I470" s="25">
        <f t="shared" si="45"/>
        <v>-3.7046588403873444</v>
      </c>
      <c r="J470" s="25">
        <f t="shared" si="46"/>
        <v>13.724497123660104</v>
      </c>
      <c r="K470" s="25">
        <f t="shared" si="42"/>
        <v>2.7374999999999998</v>
      </c>
      <c r="L470" s="25">
        <f t="shared" si="43"/>
        <v>4.5625</v>
      </c>
      <c r="M470" s="25">
        <f t="shared" si="47"/>
        <v>0</v>
      </c>
    </row>
    <row r="471" spans="1:13" x14ac:dyDescent="0.2">
      <c r="A471" s="4">
        <v>3.64</v>
      </c>
      <c r="B471" s="4">
        <v>12</v>
      </c>
      <c r="C471" s="4">
        <v>2</v>
      </c>
      <c r="D471" s="4">
        <v>0</v>
      </c>
      <c r="E471" s="4">
        <v>0</v>
      </c>
      <c r="F471" s="4">
        <v>0</v>
      </c>
      <c r="G471" s="2" t="s">
        <v>80</v>
      </c>
      <c r="H471" s="25">
        <f t="shared" si="44"/>
        <v>5.2703221929812232</v>
      </c>
      <c r="I471" s="25">
        <f t="shared" si="45"/>
        <v>-1.6303221929812231</v>
      </c>
      <c r="J471" s="25">
        <f t="shared" si="46"/>
        <v>2.6579504529271043</v>
      </c>
      <c r="K471" s="25">
        <f t="shared" si="42"/>
        <v>2.73</v>
      </c>
      <c r="L471" s="25">
        <f t="shared" si="43"/>
        <v>4.55</v>
      </c>
      <c r="M471" s="25">
        <f t="shared" si="47"/>
        <v>0</v>
      </c>
    </row>
    <row r="472" spans="1:13" x14ac:dyDescent="0.2">
      <c r="A472" s="4">
        <v>4</v>
      </c>
      <c r="B472" s="4">
        <v>12</v>
      </c>
      <c r="C472" s="4">
        <v>2</v>
      </c>
      <c r="D472" s="4">
        <v>0</v>
      </c>
      <c r="E472" s="4">
        <v>1</v>
      </c>
      <c r="F472" s="4">
        <v>0</v>
      </c>
      <c r="G472" s="2" t="s">
        <v>80</v>
      </c>
      <c r="H472" s="25">
        <f t="shared" si="44"/>
        <v>5.8354051704290297</v>
      </c>
      <c r="I472" s="25">
        <f t="shared" si="45"/>
        <v>-1.8354051704290297</v>
      </c>
      <c r="J472" s="25">
        <f t="shared" si="46"/>
        <v>3.3687121396376156</v>
      </c>
      <c r="K472" s="25">
        <f t="shared" si="42"/>
        <v>3</v>
      </c>
      <c r="L472" s="25">
        <f t="shared" si="43"/>
        <v>5</v>
      </c>
      <c r="M472" s="25">
        <f t="shared" si="47"/>
        <v>0</v>
      </c>
    </row>
    <row r="473" spans="1:13" x14ac:dyDescent="0.2">
      <c r="A473" s="4">
        <v>2</v>
      </c>
      <c r="B473" s="4">
        <v>12</v>
      </c>
      <c r="C473" s="4">
        <v>2</v>
      </c>
      <c r="D473" s="4">
        <v>1</v>
      </c>
      <c r="E473" s="4">
        <v>0</v>
      </c>
      <c r="F473" s="4">
        <v>0</v>
      </c>
      <c r="G473" s="2" t="s">
        <v>80</v>
      </c>
      <c r="H473" s="25">
        <f t="shared" si="44"/>
        <v>4.0627524327807105</v>
      </c>
      <c r="I473" s="25">
        <f t="shared" si="45"/>
        <v>-2.0627524327807105</v>
      </c>
      <c r="J473" s="25">
        <f t="shared" si="46"/>
        <v>4.2549475989427394</v>
      </c>
      <c r="K473" s="25">
        <f t="shared" si="42"/>
        <v>1.5</v>
      </c>
      <c r="L473" s="25">
        <f t="shared" si="43"/>
        <v>2.5</v>
      </c>
      <c r="M473" s="25">
        <f t="shared" si="47"/>
        <v>0</v>
      </c>
    </row>
    <row r="474" spans="1:13" x14ac:dyDescent="0.2">
      <c r="A474" s="4">
        <v>4.0999999999999996</v>
      </c>
      <c r="B474" s="4">
        <v>12</v>
      </c>
      <c r="C474" s="4">
        <v>2</v>
      </c>
      <c r="D474" s="4">
        <v>1</v>
      </c>
      <c r="E474" s="4">
        <v>0</v>
      </c>
      <c r="F474" s="4">
        <v>0</v>
      </c>
      <c r="G474" s="2" t="s">
        <v>80</v>
      </c>
      <c r="H474" s="25">
        <f t="shared" si="44"/>
        <v>4.0627524327807105</v>
      </c>
      <c r="I474" s="25">
        <f t="shared" si="45"/>
        <v>3.7247567219289124E-2</v>
      </c>
      <c r="J474" s="25">
        <f t="shared" si="46"/>
        <v>1.3873812637554617E-3</v>
      </c>
      <c r="K474" s="25">
        <f t="shared" si="42"/>
        <v>3.0749999999999997</v>
      </c>
      <c r="L474" s="25">
        <f t="shared" si="43"/>
        <v>5.125</v>
      </c>
      <c r="M474" s="25">
        <f t="shared" si="47"/>
        <v>1</v>
      </c>
    </row>
    <row r="475" spans="1:13" x14ac:dyDescent="0.2">
      <c r="A475" s="4">
        <v>3</v>
      </c>
      <c r="B475" s="4">
        <v>14</v>
      </c>
      <c r="C475" s="4">
        <v>2</v>
      </c>
      <c r="D475" s="4">
        <v>1</v>
      </c>
      <c r="E475" s="4">
        <v>0</v>
      </c>
      <c r="F475" s="4">
        <v>0</v>
      </c>
      <c r="G475" s="2" t="s">
        <v>80</v>
      </c>
      <c r="H475" s="25">
        <f t="shared" si="44"/>
        <v>5.0294658440206863</v>
      </c>
      <c r="I475" s="25">
        <f t="shared" si="45"/>
        <v>-2.0294658440206863</v>
      </c>
      <c r="J475" s="25">
        <f t="shared" si="46"/>
        <v>4.1187316120465969</v>
      </c>
      <c r="K475" s="25">
        <f t="shared" si="42"/>
        <v>2.25</v>
      </c>
      <c r="L475" s="25">
        <f t="shared" si="43"/>
        <v>3.75</v>
      </c>
      <c r="M475" s="25">
        <f t="shared" si="47"/>
        <v>0</v>
      </c>
    </row>
    <row r="476" spans="1:13" x14ac:dyDescent="0.2">
      <c r="A476" s="4">
        <v>9.3000000000000007</v>
      </c>
      <c r="B476" s="4">
        <v>15</v>
      </c>
      <c r="C476" s="4">
        <v>2</v>
      </c>
      <c r="D476" s="4">
        <v>0</v>
      </c>
      <c r="E476" s="4">
        <v>1</v>
      </c>
      <c r="F476" s="4">
        <v>0</v>
      </c>
      <c r="G476" s="2" t="s">
        <v>80</v>
      </c>
      <c r="H476" s="25">
        <f t="shared" si="44"/>
        <v>7.2854752872889943</v>
      </c>
      <c r="I476" s="25">
        <f t="shared" si="45"/>
        <v>2.0145247127110064</v>
      </c>
      <c r="J476" s="25">
        <f t="shared" si="46"/>
        <v>4.0583098181233632</v>
      </c>
      <c r="K476" s="25">
        <f t="shared" si="42"/>
        <v>6.9750000000000005</v>
      </c>
      <c r="L476" s="25">
        <f t="shared" si="43"/>
        <v>11.625</v>
      </c>
      <c r="M476" s="25">
        <f t="shared" si="47"/>
        <v>1</v>
      </c>
    </row>
    <row r="477" spans="1:13" x14ac:dyDescent="0.2">
      <c r="A477" s="4">
        <v>2.91</v>
      </c>
      <c r="B477" s="4">
        <v>11</v>
      </c>
      <c r="C477" s="4">
        <v>2</v>
      </c>
      <c r="D477" s="4">
        <v>0</v>
      </c>
      <c r="E477" s="4">
        <v>0</v>
      </c>
      <c r="F477" s="4">
        <v>0</v>
      </c>
      <c r="G477" s="2" t="s">
        <v>80</v>
      </c>
      <c r="H477" s="25">
        <f t="shared" si="44"/>
        <v>4.7869654873612353</v>
      </c>
      <c r="I477" s="25">
        <f t="shared" si="45"/>
        <v>-1.8769654873612351</v>
      </c>
      <c r="J477" s="25">
        <f t="shared" si="46"/>
        <v>3.522999440745199</v>
      </c>
      <c r="K477" s="25">
        <f t="shared" si="42"/>
        <v>2.1825000000000001</v>
      </c>
      <c r="L477" s="25">
        <f t="shared" si="43"/>
        <v>3.6375000000000002</v>
      </c>
      <c r="M477" s="25">
        <f t="shared" si="47"/>
        <v>0</v>
      </c>
    </row>
    <row r="478" spans="1:13" x14ac:dyDescent="0.2">
      <c r="A478" s="4">
        <v>3.1</v>
      </c>
      <c r="B478" s="4">
        <v>12</v>
      </c>
      <c r="C478" s="4">
        <v>2</v>
      </c>
      <c r="D478" s="4">
        <v>1</v>
      </c>
      <c r="E478" s="4">
        <v>0</v>
      </c>
      <c r="F478" s="4">
        <v>0</v>
      </c>
      <c r="G478" s="2" t="s">
        <v>80</v>
      </c>
      <c r="H478" s="25">
        <f t="shared" si="44"/>
        <v>4.0627524327807105</v>
      </c>
      <c r="I478" s="25">
        <f t="shared" si="45"/>
        <v>-0.96275243278071043</v>
      </c>
      <c r="J478" s="25">
        <f t="shared" si="46"/>
        <v>0.92689224682517635</v>
      </c>
      <c r="K478" s="25">
        <f t="shared" si="42"/>
        <v>2.3250000000000002</v>
      </c>
      <c r="L478" s="25">
        <f t="shared" si="43"/>
        <v>3.875</v>
      </c>
      <c r="M478" s="25">
        <f t="shared" si="47"/>
        <v>0</v>
      </c>
    </row>
    <row r="479" spans="1:13" x14ac:dyDescent="0.2">
      <c r="A479" s="4">
        <v>2.75</v>
      </c>
      <c r="B479" s="4">
        <v>13</v>
      </c>
      <c r="C479" s="4">
        <v>2</v>
      </c>
      <c r="D479" s="4">
        <v>1</v>
      </c>
      <c r="E479" s="4">
        <v>0</v>
      </c>
      <c r="F479" s="4">
        <v>0</v>
      </c>
      <c r="G479" s="2" t="s">
        <v>80</v>
      </c>
      <c r="H479" s="25">
        <f t="shared" si="44"/>
        <v>4.5461091384006984</v>
      </c>
      <c r="I479" s="25">
        <f t="shared" si="45"/>
        <v>-1.7961091384006984</v>
      </c>
      <c r="J479" s="25">
        <f t="shared" si="46"/>
        <v>3.2260080370464994</v>
      </c>
      <c r="K479" s="25">
        <f t="shared" si="42"/>
        <v>2.0625</v>
      </c>
      <c r="L479" s="25">
        <f t="shared" si="43"/>
        <v>3.4375</v>
      </c>
      <c r="M479" s="25">
        <f t="shared" si="47"/>
        <v>0</v>
      </c>
    </row>
    <row r="480" spans="1:13" x14ac:dyDescent="0.2">
      <c r="A480" s="4">
        <v>4.75</v>
      </c>
      <c r="B480" s="4">
        <v>13</v>
      </c>
      <c r="C480" s="4">
        <v>1</v>
      </c>
      <c r="D480" s="4">
        <v>0</v>
      </c>
      <c r="E480" s="4">
        <v>1</v>
      </c>
      <c r="F480" s="4">
        <v>1</v>
      </c>
      <c r="G480" s="2" t="s">
        <v>80</v>
      </c>
      <c r="H480" s="25">
        <f t="shared" si="44"/>
        <v>7.2750329057267082</v>
      </c>
      <c r="I480" s="25">
        <f t="shared" si="45"/>
        <v>-2.5250329057267082</v>
      </c>
      <c r="J480" s="25">
        <f t="shared" si="46"/>
        <v>6.3757911750026635</v>
      </c>
      <c r="K480" s="25">
        <f t="shared" si="42"/>
        <v>3.5625</v>
      </c>
      <c r="L480" s="25">
        <f t="shared" si="43"/>
        <v>5.9375</v>
      </c>
      <c r="M480" s="25">
        <f t="shared" si="47"/>
        <v>0</v>
      </c>
    </row>
    <row r="481" spans="1:13" x14ac:dyDescent="0.2">
      <c r="A481" s="4">
        <v>2.9</v>
      </c>
      <c r="B481" s="4">
        <v>12</v>
      </c>
      <c r="C481" s="4">
        <v>1</v>
      </c>
      <c r="D481" s="4">
        <v>1</v>
      </c>
      <c r="E481" s="4">
        <v>0</v>
      </c>
      <c r="F481" s="4">
        <v>0</v>
      </c>
      <c r="G481" s="2" t="s">
        <v>80</v>
      </c>
      <c r="H481" s="25">
        <f t="shared" si="44"/>
        <v>3.9014002262922562</v>
      </c>
      <c r="I481" s="25">
        <f t="shared" si="45"/>
        <v>-1.0014002262922563</v>
      </c>
      <c r="J481" s="25">
        <f t="shared" si="46"/>
        <v>1.0028024132181821</v>
      </c>
      <c r="K481" s="25">
        <f t="shared" si="42"/>
        <v>2.1749999999999998</v>
      </c>
      <c r="L481" s="25">
        <f t="shared" si="43"/>
        <v>3.625</v>
      </c>
      <c r="M481" s="25">
        <f t="shared" si="47"/>
        <v>0</v>
      </c>
    </row>
    <row r="482" spans="1:13" x14ac:dyDescent="0.2">
      <c r="A482" s="4">
        <v>3.15</v>
      </c>
      <c r="B482" s="4">
        <v>12</v>
      </c>
      <c r="C482" s="4">
        <v>1</v>
      </c>
      <c r="D482" s="4">
        <v>0</v>
      </c>
      <c r="E482" s="4">
        <v>1</v>
      </c>
      <c r="F482" s="4">
        <v>0</v>
      </c>
      <c r="G482" s="2" t="s">
        <v>80</v>
      </c>
      <c r="H482" s="25">
        <f t="shared" si="44"/>
        <v>5.6740529639405759</v>
      </c>
      <c r="I482" s="25">
        <f t="shared" si="45"/>
        <v>-2.524052963940576</v>
      </c>
      <c r="J482" s="25">
        <f t="shared" si="46"/>
        <v>6.3708433647772065</v>
      </c>
      <c r="K482" s="25">
        <f t="shared" si="42"/>
        <v>2.3624999999999998</v>
      </c>
      <c r="L482" s="25">
        <f t="shared" si="43"/>
        <v>3.9375</v>
      </c>
      <c r="M482" s="25">
        <f t="shared" si="47"/>
        <v>0</v>
      </c>
    </row>
    <row r="483" spans="1:13" x14ac:dyDescent="0.2">
      <c r="A483" s="4">
        <v>8.75</v>
      </c>
      <c r="B483" s="4">
        <v>12</v>
      </c>
      <c r="C483" s="4">
        <v>1</v>
      </c>
      <c r="D483" s="4">
        <v>0</v>
      </c>
      <c r="E483" s="4">
        <v>0</v>
      </c>
      <c r="F483" s="4">
        <v>0</v>
      </c>
      <c r="G483" s="2" t="s">
        <v>80</v>
      </c>
      <c r="H483" s="25">
        <f t="shared" si="44"/>
        <v>5.1089699864927693</v>
      </c>
      <c r="I483" s="25">
        <f t="shared" si="45"/>
        <v>3.6410300135072307</v>
      </c>
      <c r="J483" s="25">
        <f t="shared" si="46"/>
        <v>13.257099559260464</v>
      </c>
      <c r="K483" s="25">
        <f t="shared" si="42"/>
        <v>6.5625</v>
      </c>
      <c r="L483" s="25">
        <f t="shared" si="43"/>
        <v>10.9375</v>
      </c>
      <c r="M483" s="25">
        <f t="shared" si="47"/>
        <v>0</v>
      </c>
    </row>
    <row r="484" spans="1:13" x14ac:dyDescent="0.2">
      <c r="A484" s="4">
        <v>3</v>
      </c>
      <c r="B484" s="4">
        <v>12</v>
      </c>
      <c r="C484" s="4">
        <v>1</v>
      </c>
      <c r="D484" s="4">
        <v>1</v>
      </c>
      <c r="E484" s="4">
        <v>1</v>
      </c>
      <c r="F484" s="4">
        <v>0</v>
      </c>
      <c r="G484" s="2" t="s">
        <v>80</v>
      </c>
      <c r="H484" s="25">
        <f t="shared" si="44"/>
        <v>4.4664832037400632</v>
      </c>
      <c r="I484" s="25">
        <f t="shared" si="45"/>
        <v>-1.4664832037400632</v>
      </c>
      <c r="J484" s="25">
        <f t="shared" si="46"/>
        <v>2.1505729868517198</v>
      </c>
      <c r="K484" s="25">
        <f t="shared" si="42"/>
        <v>2.25</v>
      </c>
      <c r="L484" s="25">
        <f t="shared" si="43"/>
        <v>3.75</v>
      </c>
      <c r="M484" s="25">
        <f t="shared" si="47"/>
        <v>0</v>
      </c>
    </row>
    <row r="485" spans="1:13" x14ac:dyDescent="0.2">
      <c r="A485" s="4">
        <v>4</v>
      </c>
      <c r="B485" s="4">
        <v>12</v>
      </c>
      <c r="C485" s="4">
        <v>1</v>
      </c>
      <c r="D485" s="4">
        <v>1</v>
      </c>
      <c r="E485" s="4">
        <v>0</v>
      </c>
      <c r="F485" s="4">
        <v>0</v>
      </c>
      <c r="G485" s="2" t="s">
        <v>80</v>
      </c>
      <c r="H485" s="25">
        <f t="shared" si="44"/>
        <v>3.9014002262922562</v>
      </c>
      <c r="I485" s="25">
        <f t="shared" si="45"/>
        <v>9.8599773707743754E-2</v>
      </c>
      <c r="J485" s="25">
        <f t="shared" si="46"/>
        <v>9.721915375218276E-3</v>
      </c>
      <c r="K485" s="25">
        <f t="shared" si="42"/>
        <v>3</v>
      </c>
      <c r="L485" s="25">
        <f t="shared" si="43"/>
        <v>5</v>
      </c>
      <c r="M485" s="25">
        <f t="shared" si="47"/>
        <v>1</v>
      </c>
    </row>
    <row r="486" spans="1:13" x14ac:dyDescent="0.2">
      <c r="A486" s="4">
        <v>3.81</v>
      </c>
      <c r="B486" s="4">
        <v>12</v>
      </c>
      <c r="C486" s="4">
        <v>1</v>
      </c>
      <c r="D486" s="4">
        <v>1</v>
      </c>
      <c r="E486" s="4">
        <v>1</v>
      </c>
      <c r="F486" s="4">
        <v>0</v>
      </c>
      <c r="G486" s="2" t="s">
        <v>80</v>
      </c>
      <c r="H486" s="25">
        <f t="shared" si="44"/>
        <v>4.4664832037400632</v>
      </c>
      <c r="I486" s="25">
        <f t="shared" si="45"/>
        <v>-0.65648320374006319</v>
      </c>
      <c r="J486" s="25">
        <f t="shared" si="46"/>
        <v>0.43097019679281734</v>
      </c>
      <c r="K486" s="25">
        <f t="shared" si="42"/>
        <v>2.8574999999999999</v>
      </c>
      <c r="L486" s="25">
        <f t="shared" si="43"/>
        <v>4.7625000000000002</v>
      </c>
      <c r="M486" s="25">
        <f t="shared" si="47"/>
        <v>1</v>
      </c>
    </row>
    <row r="487" spans="1:13" x14ac:dyDescent="0.2">
      <c r="A487" s="4">
        <v>3.8</v>
      </c>
      <c r="B487" s="4">
        <v>15</v>
      </c>
      <c r="C487" s="4">
        <v>1</v>
      </c>
      <c r="D487" s="4">
        <v>0</v>
      </c>
      <c r="E487" s="4">
        <v>1</v>
      </c>
      <c r="F487" s="4">
        <v>0</v>
      </c>
      <c r="G487" s="2" t="s">
        <v>80</v>
      </c>
      <c r="H487" s="25">
        <f t="shared" si="44"/>
        <v>7.1241230808005405</v>
      </c>
      <c r="I487" s="25">
        <f t="shared" si="45"/>
        <v>-3.3241230808005406</v>
      </c>
      <c r="J487" s="25">
        <f t="shared" si="46"/>
        <v>11.049794256310877</v>
      </c>
      <c r="K487" s="25">
        <f t="shared" si="42"/>
        <v>2.8499999999999996</v>
      </c>
      <c r="L487" s="25">
        <f t="shared" si="43"/>
        <v>4.75</v>
      </c>
      <c r="M487" s="25">
        <f t="shared" si="47"/>
        <v>0</v>
      </c>
    </row>
    <row r="488" spans="1:13" x14ac:dyDescent="0.2">
      <c r="A488" s="4">
        <v>11.56</v>
      </c>
      <c r="B488" s="4">
        <v>16</v>
      </c>
      <c r="C488" s="4">
        <v>1</v>
      </c>
      <c r="D488" s="4">
        <v>0</v>
      </c>
      <c r="E488" s="4">
        <v>1</v>
      </c>
      <c r="F488" s="4">
        <v>1</v>
      </c>
      <c r="G488" s="2" t="s">
        <v>80</v>
      </c>
      <c r="H488" s="25">
        <f t="shared" si="44"/>
        <v>8.7251030225866728</v>
      </c>
      <c r="I488" s="25">
        <f t="shared" si="45"/>
        <v>2.8348969774133277</v>
      </c>
      <c r="J488" s="25">
        <f t="shared" si="46"/>
        <v>8.0366408725472205</v>
      </c>
      <c r="K488" s="25">
        <f t="shared" si="42"/>
        <v>8.67</v>
      </c>
      <c r="L488" s="25">
        <f t="shared" si="43"/>
        <v>14.450000000000001</v>
      </c>
      <c r="M488" s="25">
        <f t="shared" si="47"/>
        <v>1</v>
      </c>
    </row>
    <row r="489" spans="1:13" x14ac:dyDescent="0.2">
      <c r="A489" s="4">
        <v>2.95</v>
      </c>
      <c r="B489" s="4">
        <v>12</v>
      </c>
      <c r="C489" s="4">
        <v>1</v>
      </c>
      <c r="D489" s="4">
        <v>0</v>
      </c>
      <c r="E489" s="4">
        <v>0</v>
      </c>
      <c r="F489" s="4">
        <v>0</v>
      </c>
      <c r="G489" s="2" t="s">
        <v>80</v>
      </c>
      <c r="H489" s="25">
        <f t="shared" si="44"/>
        <v>5.1089699864927693</v>
      </c>
      <c r="I489" s="25">
        <f t="shared" si="45"/>
        <v>-2.1589699864927692</v>
      </c>
      <c r="J489" s="25">
        <f t="shared" si="46"/>
        <v>4.6611514025765874</v>
      </c>
      <c r="K489" s="25">
        <f t="shared" si="42"/>
        <v>2.2125000000000004</v>
      </c>
      <c r="L489" s="25">
        <f t="shared" si="43"/>
        <v>3.6875</v>
      </c>
      <c r="M489" s="25">
        <f t="shared" si="47"/>
        <v>0</v>
      </c>
    </row>
    <row r="490" spans="1:13" x14ac:dyDescent="0.2">
      <c r="A490" s="4">
        <v>3.35</v>
      </c>
      <c r="B490" s="4">
        <v>15</v>
      </c>
      <c r="C490" s="4">
        <v>1</v>
      </c>
      <c r="D490" s="4">
        <v>1</v>
      </c>
      <c r="E490" s="4">
        <v>1</v>
      </c>
      <c r="F490" s="4">
        <v>0</v>
      </c>
      <c r="G490" s="2" t="s">
        <v>80</v>
      </c>
      <c r="H490" s="25">
        <f t="shared" si="44"/>
        <v>5.9165533206000269</v>
      </c>
      <c r="I490" s="25">
        <f t="shared" si="45"/>
        <v>-2.5665533206000268</v>
      </c>
      <c r="J490" s="25">
        <f t="shared" si="46"/>
        <v>6.587195947483024</v>
      </c>
      <c r="K490" s="25">
        <f t="shared" si="42"/>
        <v>2.5125000000000002</v>
      </c>
      <c r="L490" s="25">
        <f t="shared" si="43"/>
        <v>4.1875</v>
      </c>
      <c r="M490" s="25">
        <f t="shared" si="47"/>
        <v>0</v>
      </c>
    </row>
    <row r="491" spans="1:13" x14ac:dyDescent="0.2">
      <c r="A491" s="4">
        <v>4.6500000000000004</v>
      </c>
      <c r="B491" s="4">
        <v>16</v>
      </c>
      <c r="C491" s="4">
        <v>1</v>
      </c>
      <c r="D491" s="4">
        <v>0</v>
      </c>
      <c r="E491" s="4">
        <v>0</v>
      </c>
      <c r="F491" s="4">
        <v>0</v>
      </c>
      <c r="G491" s="2" t="s">
        <v>80</v>
      </c>
      <c r="H491" s="25">
        <f t="shared" si="44"/>
        <v>7.0423968089727218</v>
      </c>
      <c r="I491" s="25">
        <f t="shared" si="45"/>
        <v>-2.3923968089727214</v>
      </c>
      <c r="J491" s="25">
        <f t="shared" si="46"/>
        <v>5.72356249158286</v>
      </c>
      <c r="K491" s="25">
        <f t="shared" si="42"/>
        <v>3.4875000000000003</v>
      </c>
      <c r="L491" s="25">
        <f t="shared" si="43"/>
        <v>5.8125</v>
      </c>
      <c r="M491" s="25">
        <f t="shared" si="47"/>
        <v>0</v>
      </c>
    </row>
    <row r="492" spans="1:13" x14ac:dyDescent="0.2">
      <c r="A492" s="4">
        <v>3.08</v>
      </c>
      <c r="B492" s="4">
        <v>12</v>
      </c>
      <c r="C492" s="4">
        <v>1</v>
      </c>
      <c r="D492" s="4">
        <v>0</v>
      </c>
      <c r="E492" s="4">
        <v>0</v>
      </c>
      <c r="F492" s="4">
        <v>0</v>
      </c>
      <c r="G492" s="2" t="s">
        <v>80</v>
      </c>
      <c r="H492" s="25">
        <f t="shared" si="44"/>
        <v>5.1089699864927693</v>
      </c>
      <c r="I492" s="25">
        <f t="shared" si="45"/>
        <v>-2.0289699864927693</v>
      </c>
      <c r="J492" s="25">
        <f t="shared" si="46"/>
        <v>4.1167192060884688</v>
      </c>
      <c r="K492" s="25">
        <f t="shared" si="42"/>
        <v>2.31</v>
      </c>
      <c r="L492" s="25">
        <f t="shared" si="43"/>
        <v>3.85</v>
      </c>
      <c r="M492" s="25">
        <f t="shared" si="47"/>
        <v>0</v>
      </c>
    </row>
    <row r="493" spans="1:13" x14ac:dyDescent="0.2">
      <c r="A493" s="4">
        <v>1.75</v>
      </c>
      <c r="B493" s="4">
        <v>11</v>
      </c>
      <c r="C493" s="4">
        <v>1</v>
      </c>
      <c r="D493" s="4">
        <v>0</v>
      </c>
      <c r="E493" s="4">
        <v>0</v>
      </c>
      <c r="F493" s="4">
        <v>1</v>
      </c>
      <c r="G493" s="2" t="s">
        <v>80</v>
      </c>
      <c r="H493" s="25">
        <f t="shared" si="44"/>
        <v>5.7432365170389259</v>
      </c>
      <c r="I493" s="25">
        <f t="shared" si="45"/>
        <v>-3.9932365170389259</v>
      </c>
      <c r="J493" s="25">
        <f t="shared" si="46"/>
        <v>15.945937881013172</v>
      </c>
      <c r="K493" s="25">
        <f t="shared" si="42"/>
        <v>1.3125</v>
      </c>
      <c r="L493" s="25">
        <f t="shared" si="43"/>
        <v>2.1875</v>
      </c>
      <c r="M493" s="25">
        <f t="shared" si="47"/>
        <v>0</v>
      </c>
    </row>
    <row r="494" spans="1:13" x14ac:dyDescent="0.2">
      <c r="A494" s="4">
        <v>6.25</v>
      </c>
      <c r="B494" s="10">
        <v>12</v>
      </c>
      <c r="C494" s="4">
        <v>1</v>
      </c>
      <c r="D494" s="4">
        <v>1</v>
      </c>
      <c r="E494" s="4">
        <v>0</v>
      </c>
      <c r="F494" s="4">
        <v>0</v>
      </c>
      <c r="G494" s="2" t="s">
        <v>80</v>
      </c>
      <c r="H494" s="25">
        <f t="shared" si="44"/>
        <v>3.9014002262922562</v>
      </c>
      <c r="I494" s="25">
        <f t="shared" si="45"/>
        <v>2.3485997737077438</v>
      </c>
      <c r="J494" s="25">
        <f t="shared" si="46"/>
        <v>5.5159208970600648</v>
      </c>
      <c r="K494" s="25">
        <f t="shared" si="42"/>
        <v>4.6875</v>
      </c>
      <c r="L494" s="25">
        <f t="shared" si="43"/>
        <v>7.8125</v>
      </c>
      <c r="M494" s="25">
        <f t="shared" si="47"/>
        <v>0</v>
      </c>
    </row>
    <row r="495" spans="1:13" x14ac:dyDescent="0.2">
      <c r="A495" s="4">
        <v>5.58</v>
      </c>
      <c r="B495" s="4">
        <v>16</v>
      </c>
      <c r="C495" s="4">
        <v>1</v>
      </c>
      <c r="D495" s="4">
        <v>0</v>
      </c>
      <c r="E495" s="4">
        <v>1</v>
      </c>
      <c r="F495" s="4">
        <v>0</v>
      </c>
      <c r="G495" s="2" t="s">
        <v>80</v>
      </c>
      <c r="H495" s="25">
        <f t="shared" si="44"/>
        <v>7.6074797864205284</v>
      </c>
      <c r="I495" s="25">
        <f t="shared" si="45"/>
        <v>-2.0274797864205283</v>
      </c>
      <c r="J495" s="25">
        <f t="shared" si="46"/>
        <v>4.1106742843438306</v>
      </c>
      <c r="K495" s="25">
        <f t="shared" si="42"/>
        <v>4.1850000000000005</v>
      </c>
      <c r="L495" s="25">
        <f t="shared" si="43"/>
        <v>6.9749999999999996</v>
      </c>
      <c r="M495" s="25">
        <f t="shared" si="47"/>
        <v>0</v>
      </c>
    </row>
    <row r="496" spans="1:13" x14ac:dyDescent="0.2">
      <c r="A496" s="4">
        <v>2.92</v>
      </c>
      <c r="B496" s="4">
        <v>9</v>
      </c>
      <c r="C496" s="4">
        <v>0</v>
      </c>
      <c r="D496" s="4">
        <v>1</v>
      </c>
      <c r="E496" s="4">
        <v>0</v>
      </c>
      <c r="F496" s="4">
        <v>0</v>
      </c>
      <c r="G496" s="2" t="s">
        <v>80</v>
      </c>
      <c r="H496" s="25">
        <f t="shared" si="44"/>
        <v>2.2899779029438379</v>
      </c>
      <c r="I496" s="25">
        <f t="shared" si="45"/>
        <v>0.63002209705616208</v>
      </c>
      <c r="J496" s="25">
        <f t="shared" si="46"/>
        <v>0.39692784277904408</v>
      </c>
      <c r="K496" s="25">
        <f t="shared" si="42"/>
        <v>2.19</v>
      </c>
      <c r="L496" s="25">
        <f t="shared" si="43"/>
        <v>3.65</v>
      </c>
      <c r="M496" s="25">
        <f t="shared" si="47"/>
        <v>1</v>
      </c>
    </row>
    <row r="497" spans="1:13" x14ac:dyDescent="0.2">
      <c r="A497" s="4">
        <v>4.5</v>
      </c>
      <c r="B497" s="4">
        <v>12</v>
      </c>
      <c r="C497" s="4">
        <v>0</v>
      </c>
      <c r="D497" s="4">
        <v>1</v>
      </c>
      <c r="E497" s="4">
        <v>1</v>
      </c>
      <c r="F497" s="4">
        <v>0</v>
      </c>
      <c r="G497" s="2" t="s">
        <v>80</v>
      </c>
      <c r="H497" s="25">
        <f t="shared" si="44"/>
        <v>4.3051309972516085</v>
      </c>
      <c r="I497" s="25">
        <f t="shared" si="45"/>
        <v>0.19486900274839147</v>
      </c>
      <c r="J497" s="25">
        <f t="shared" si="46"/>
        <v>3.7973928232152607E-2</v>
      </c>
      <c r="K497" s="25">
        <f t="shared" si="42"/>
        <v>3.375</v>
      </c>
      <c r="L497" s="25">
        <f t="shared" si="43"/>
        <v>5.625</v>
      </c>
      <c r="M497" s="25">
        <f t="shared" si="47"/>
        <v>1</v>
      </c>
    </row>
    <row r="498" spans="1:13" x14ac:dyDescent="0.2">
      <c r="A498" s="4">
        <v>3.55</v>
      </c>
      <c r="B498" s="4">
        <v>12</v>
      </c>
      <c r="C498" s="4">
        <v>0</v>
      </c>
      <c r="D498" s="4">
        <v>1</v>
      </c>
      <c r="E498" s="4">
        <v>1</v>
      </c>
      <c r="F498" s="4">
        <v>0</v>
      </c>
      <c r="G498" s="2" t="s">
        <v>80</v>
      </c>
      <c r="H498" s="25">
        <f t="shared" si="44"/>
        <v>4.3051309972516085</v>
      </c>
      <c r="I498" s="25">
        <f t="shared" si="45"/>
        <v>-0.7551309972516087</v>
      </c>
      <c r="J498" s="25">
        <f t="shared" si="46"/>
        <v>0.5702228230102091</v>
      </c>
      <c r="K498" s="25">
        <f t="shared" si="42"/>
        <v>2.6624999999999996</v>
      </c>
      <c r="L498" s="25">
        <f t="shared" si="43"/>
        <v>4.4375</v>
      </c>
      <c r="M498" s="25">
        <f t="shared" si="47"/>
        <v>1</v>
      </c>
    </row>
    <row r="499" spans="1:13" x14ac:dyDescent="0.2">
      <c r="A499" s="4">
        <v>5.05</v>
      </c>
      <c r="B499" s="4">
        <v>12</v>
      </c>
      <c r="C499" s="4">
        <v>0</v>
      </c>
      <c r="D499" s="4">
        <v>1</v>
      </c>
      <c r="E499" s="4">
        <v>1</v>
      </c>
      <c r="F499" s="4">
        <v>0</v>
      </c>
      <c r="G499" s="2" t="s">
        <v>80</v>
      </c>
      <c r="H499" s="25">
        <f t="shared" si="44"/>
        <v>4.3051309972516085</v>
      </c>
      <c r="I499" s="25">
        <f t="shared" si="45"/>
        <v>0.7448690027483913</v>
      </c>
      <c r="J499" s="25">
        <f t="shared" si="46"/>
        <v>0.55482983125538299</v>
      </c>
      <c r="K499" s="25">
        <f t="shared" si="42"/>
        <v>3.7874999999999996</v>
      </c>
      <c r="L499" s="25">
        <f t="shared" si="43"/>
        <v>6.3125</v>
      </c>
      <c r="M499" s="25">
        <f t="shared" si="47"/>
        <v>1</v>
      </c>
    </row>
    <row r="500" spans="1:13" x14ac:dyDescent="0.2">
      <c r="A500" s="4">
        <v>1.63</v>
      </c>
      <c r="B500" s="4">
        <v>12</v>
      </c>
      <c r="C500" s="4">
        <v>0</v>
      </c>
      <c r="D500" s="10">
        <v>2</v>
      </c>
      <c r="E500" s="4">
        <v>0</v>
      </c>
      <c r="F500" s="4">
        <v>0</v>
      </c>
      <c r="G500" s="2" t="s">
        <v>80</v>
      </c>
      <c r="H500" s="25">
        <f t="shared" si="44"/>
        <v>2.5324782596032884</v>
      </c>
      <c r="I500" s="25">
        <f t="shared" si="45"/>
        <v>-0.90247825960328854</v>
      </c>
      <c r="J500" s="25">
        <f t="shared" si="46"/>
        <v>0.81446700905658065</v>
      </c>
      <c r="K500" s="25">
        <f t="shared" si="42"/>
        <v>1.2224999999999999</v>
      </c>
      <c r="L500" s="25">
        <f t="shared" si="43"/>
        <v>2.0374999999999996</v>
      </c>
      <c r="M500" s="25">
        <f t="shared" si="47"/>
        <v>0</v>
      </c>
    </row>
    <row r="501" spans="1:13" x14ac:dyDescent="0.2">
      <c r="A501" s="4">
        <v>5</v>
      </c>
      <c r="B501" s="10">
        <v>12</v>
      </c>
      <c r="C501" s="4">
        <v>0</v>
      </c>
      <c r="D501" s="4">
        <v>1</v>
      </c>
      <c r="E501" s="4">
        <v>1</v>
      </c>
      <c r="F501" s="4">
        <v>1</v>
      </c>
      <c r="G501" s="2" t="s">
        <v>80</v>
      </c>
      <c r="H501" s="25">
        <f t="shared" si="44"/>
        <v>5.422754233417753</v>
      </c>
      <c r="I501" s="25">
        <f t="shared" si="45"/>
        <v>-0.42275423341775298</v>
      </c>
      <c r="J501" s="25">
        <f t="shared" si="46"/>
        <v>0.17872114187263197</v>
      </c>
      <c r="K501" s="25">
        <f t="shared" si="42"/>
        <v>3.75</v>
      </c>
      <c r="L501" s="25">
        <f t="shared" si="43"/>
        <v>6.25</v>
      </c>
      <c r="M501" s="25">
        <f t="shared" si="47"/>
        <v>1</v>
      </c>
    </row>
    <row r="502" spans="1:13" x14ac:dyDescent="0.2">
      <c r="A502" s="4">
        <v>3.71</v>
      </c>
      <c r="B502" s="4">
        <v>10</v>
      </c>
      <c r="C502" s="4">
        <v>0</v>
      </c>
      <c r="D502" s="4">
        <v>1</v>
      </c>
      <c r="E502" s="4">
        <v>0</v>
      </c>
      <c r="F502" s="4">
        <v>0</v>
      </c>
      <c r="G502" s="2" t="s">
        <v>80</v>
      </c>
      <c r="H502" s="25">
        <f t="shared" si="44"/>
        <v>2.7733346085638257</v>
      </c>
      <c r="I502" s="25">
        <f t="shared" si="45"/>
        <v>0.93666539143617422</v>
      </c>
      <c r="J502" s="25">
        <f t="shared" si="46"/>
        <v>0.87734205551428146</v>
      </c>
      <c r="K502" s="25">
        <f t="shared" si="42"/>
        <v>2.7824999999999998</v>
      </c>
      <c r="L502" s="25">
        <f t="shared" si="43"/>
        <v>4.6375000000000002</v>
      </c>
      <c r="M502" s="25">
        <f t="shared" si="47"/>
        <v>0</v>
      </c>
    </row>
    <row r="503" spans="1:13" x14ac:dyDescent="0.2">
      <c r="A503" s="4">
        <v>4.5</v>
      </c>
      <c r="B503" s="4">
        <v>12</v>
      </c>
      <c r="C503" s="4">
        <v>0</v>
      </c>
      <c r="D503" s="4">
        <v>0</v>
      </c>
      <c r="E503" s="4">
        <v>1</v>
      </c>
      <c r="F503" s="4">
        <v>1</v>
      </c>
      <c r="G503" s="2" t="s">
        <v>80</v>
      </c>
      <c r="H503" s="25">
        <f t="shared" si="44"/>
        <v>6.6303239936182656</v>
      </c>
      <c r="I503" s="25">
        <f t="shared" si="45"/>
        <v>-2.1303239936182656</v>
      </c>
      <c r="J503" s="25">
        <f t="shared" si="46"/>
        <v>4.5382803177856763</v>
      </c>
      <c r="K503" s="25">
        <f t="shared" si="42"/>
        <v>3.375</v>
      </c>
      <c r="L503" s="25">
        <f t="shared" si="43"/>
        <v>5.625</v>
      </c>
      <c r="M503" s="25">
        <f t="shared" si="47"/>
        <v>0</v>
      </c>
    </row>
    <row r="504" spans="1:13" x14ac:dyDescent="0.2">
      <c r="A504" s="4">
        <v>6.08</v>
      </c>
      <c r="B504" s="4">
        <v>16</v>
      </c>
      <c r="C504" s="4">
        <v>0</v>
      </c>
      <c r="D504" s="4">
        <v>0</v>
      </c>
      <c r="E504" s="4">
        <v>0</v>
      </c>
      <c r="F504" s="4">
        <v>0</v>
      </c>
      <c r="G504" s="2" t="s">
        <v>80</v>
      </c>
      <c r="H504" s="25">
        <f t="shared" si="44"/>
        <v>6.8810446024842671</v>
      </c>
      <c r="I504" s="25">
        <f t="shared" si="45"/>
        <v>-0.80104460248426701</v>
      </c>
      <c r="J504" s="25">
        <f t="shared" si="46"/>
        <v>0.64167245516917737</v>
      </c>
      <c r="K504" s="25">
        <f t="shared" si="42"/>
        <v>4.5600000000000005</v>
      </c>
      <c r="L504" s="25">
        <f t="shared" si="43"/>
        <v>7.6</v>
      </c>
      <c r="M504" s="25">
        <f t="shared" si="47"/>
        <v>1</v>
      </c>
    </row>
    <row r="505" spans="1:13" x14ac:dyDescent="0.2">
      <c r="A505" s="4">
        <v>4</v>
      </c>
      <c r="B505" s="4">
        <v>12</v>
      </c>
      <c r="C505" s="4">
        <v>0</v>
      </c>
      <c r="D505" s="4">
        <v>0</v>
      </c>
      <c r="E505" s="4">
        <v>0</v>
      </c>
      <c r="F505" s="4">
        <v>0</v>
      </c>
      <c r="G505" s="2" t="s">
        <v>80</v>
      </c>
      <c r="H505" s="25">
        <f t="shared" si="44"/>
        <v>4.9476177800043146</v>
      </c>
      <c r="I505" s="25">
        <f t="shared" si="45"/>
        <v>-0.94761778000431462</v>
      </c>
      <c r="J505" s="25">
        <f t="shared" si="46"/>
        <v>0.89797945698030568</v>
      </c>
      <c r="K505" s="25">
        <f t="shared" si="42"/>
        <v>3</v>
      </c>
      <c r="L505" s="25">
        <f t="shared" si="43"/>
        <v>5</v>
      </c>
      <c r="M505" s="25">
        <f t="shared" si="47"/>
        <v>1</v>
      </c>
    </row>
    <row r="506" spans="1:13" x14ac:dyDescent="0.2">
      <c r="A506" s="4">
        <v>4</v>
      </c>
      <c r="B506" s="4">
        <v>12</v>
      </c>
      <c r="C506" s="4">
        <v>0</v>
      </c>
      <c r="D506" s="4">
        <v>1</v>
      </c>
      <c r="E506" s="4">
        <v>1</v>
      </c>
      <c r="F506" s="4">
        <v>0</v>
      </c>
      <c r="G506" s="2" t="s">
        <v>80</v>
      </c>
      <c r="H506" s="25">
        <f t="shared" si="44"/>
        <v>4.3051309972516085</v>
      </c>
      <c r="I506" s="25">
        <f t="shared" si="45"/>
        <v>-0.30513099725160853</v>
      </c>
      <c r="J506" s="25">
        <f t="shared" si="46"/>
        <v>9.3104925483761133E-2</v>
      </c>
      <c r="K506" s="25">
        <f t="shared" si="42"/>
        <v>3</v>
      </c>
      <c r="L506" s="25">
        <f t="shared" si="43"/>
        <v>5</v>
      </c>
      <c r="M506" s="25">
        <f t="shared" si="47"/>
        <v>1</v>
      </c>
    </row>
    <row r="507" spans="1:13" x14ac:dyDescent="0.2">
      <c r="A507" s="4">
        <v>3.75</v>
      </c>
      <c r="B507" s="4">
        <v>12</v>
      </c>
      <c r="C507" s="4">
        <v>0</v>
      </c>
      <c r="D507" s="4">
        <v>1</v>
      </c>
      <c r="E507" s="4">
        <v>1</v>
      </c>
      <c r="F507" s="4">
        <v>0</v>
      </c>
      <c r="G507" s="2" t="s">
        <v>80</v>
      </c>
      <c r="H507" s="25">
        <f t="shared" si="44"/>
        <v>4.3051309972516085</v>
      </c>
      <c r="I507" s="25">
        <f t="shared" si="45"/>
        <v>-0.55513099725160853</v>
      </c>
      <c r="J507" s="25">
        <f t="shared" si="46"/>
        <v>0.30817042410956541</v>
      </c>
      <c r="K507" s="25">
        <f t="shared" si="42"/>
        <v>2.8125</v>
      </c>
      <c r="L507" s="25">
        <f t="shared" si="43"/>
        <v>4.6875</v>
      </c>
      <c r="M507" s="25">
        <f t="shared" si="47"/>
        <v>1</v>
      </c>
    </row>
    <row r="508" spans="1:13" x14ac:dyDescent="0.2">
      <c r="A508" s="4">
        <v>9.8000000000000007</v>
      </c>
      <c r="B508" s="4">
        <v>17</v>
      </c>
      <c r="C508" s="4">
        <v>0</v>
      </c>
      <c r="D508" s="4">
        <v>0</v>
      </c>
      <c r="E508" s="4">
        <v>1</v>
      </c>
      <c r="F508" s="4">
        <v>0</v>
      </c>
      <c r="G508" s="2" t="s">
        <v>80</v>
      </c>
      <c r="H508" s="25">
        <f t="shared" si="44"/>
        <v>7.9294842855520624</v>
      </c>
      <c r="I508" s="25">
        <f t="shared" si="45"/>
        <v>1.8705157144479383</v>
      </c>
      <c r="J508" s="25">
        <f t="shared" si="46"/>
        <v>3.4988290379966811</v>
      </c>
      <c r="K508" s="25">
        <f t="shared" si="42"/>
        <v>7.3500000000000005</v>
      </c>
      <c r="L508" s="25">
        <f t="shared" si="43"/>
        <v>12.25</v>
      </c>
      <c r="M508" s="25">
        <f t="shared" si="47"/>
        <v>1</v>
      </c>
    </row>
    <row r="509" spans="1:13" x14ac:dyDescent="0.2">
      <c r="A509" s="4">
        <v>3.55</v>
      </c>
      <c r="B509" s="4">
        <v>12</v>
      </c>
      <c r="C509" s="4">
        <v>0</v>
      </c>
      <c r="D509" s="4">
        <v>1</v>
      </c>
      <c r="E509" s="4">
        <v>1</v>
      </c>
      <c r="F509" s="4">
        <v>0</v>
      </c>
      <c r="G509" s="2" t="s">
        <v>80</v>
      </c>
      <c r="H509" s="25">
        <f t="shared" si="44"/>
        <v>4.3051309972516085</v>
      </c>
      <c r="I509" s="25">
        <f t="shared" si="45"/>
        <v>-0.7551309972516087</v>
      </c>
      <c r="J509" s="25">
        <f t="shared" si="46"/>
        <v>0.5702228230102091</v>
      </c>
      <c r="K509" s="25">
        <f t="shared" si="42"/>
        <v>2.6624999999999996</v>
      </c>
      <c r="L509" s="25">
        <f t="shared" si="43"/>
        <v>4.4375</v>
      </c>
      <c r="M509" s="25">
        <f t="shared" si="47"/>
        <v>1</v>
      </c>
    </row>
    <row r="510" spans="1:13" x14ac:dyDescent="0.2">
      <c r="A510" s="4">
        <v>6.25</v>
      </c>
      <c r="B510" s="4">
        <v>16</v>
      </c>
      <c r="C510" s="4">
        <v>0</v>
      </c>
      <c r="D510" s="4">
        <v>0</v>
      </c>
      <c r="E510" s="4">
        <v>1</v>
      </c>
      <c r="F510" s="4">
        <v>0</v>
      </c>
      <c r="G510" s="2" t="s">
        <v>80</v>
      </c>
      <c r="H510" s="25">
        <f t="shared" si="44"/>
        <v>7.4461275799320736</v>
      </c>
      <c r="I510" s="25">
        <f t="shared" si="45"/>
        <v>-1.1961275799320736</v>
      </c>
      <c r="J510" s="25">
        <f t="shared" si="46"/>
        <v>1.4307211874741592</v>
      </c>
      <c r="K510" s="25">
        <f t="shared" si="42"/>
        <v>4.6875</v>
      </c>
      <c r="L510" s="25">
        <f t="shared" si="43"/>
        <v>7.8125</v>
      </c>
      <c r="M510" s="25">
        <f t="shared" si="47"/>
        <v>1</v>
      </c>
    </row>
    <row r="511" spans="1:13" x14ac:dyDescent="0.2">
      <c r="A511" s="4">
        <v>2.38</v>
      </c>
      <c r="B511" s="4">
        <v>9</v>
      </c>
      <c r="C511" s="4">
        <v>0</v>
      </c>
      <c r="D511" s="4">
        <v>0</v>
      </c>
      <c r="E511" s="4">
        <v>0</v>
      </c>
      <c r="F511" s="4">
        <v>0</v>
      </c>
      <c r="G511" s="2" t="s">
        <v>80</v>
      </c>
      <c r="H511" s="25">
        <f t="shared" si="44"/>
        <v>3.4975476631443509</v>
      </c>
      <c r="I511" s="25">
        <f t="shared" si="45"/>
        <v>-1.1175476631443511</v>
      </c>
      <c r="J511" s="25">
        <f t="shared" si="46"/>
        <v>1.2489127793993999</v>
      </c>
      <c r="K511" s="25">
        <f t="shared" si="42"/>
        <v>1.7849999999999999</v>
      </c>
      <c r="L511" s="25">
        <f t="shared" si="43"/>
        <v>2.9749999999999996</v>
      </c>
      <c r="M511" s="25">
        <f t="shared" si="47"/>
        <v>0</v>
      </c>
    </row>
    <row r="512" spans="1:13" x14ac:dyDescent="0.2">
      <c r="A512" s="4">
        <v>4.0999999999999996</v>
      </c>
      <c r="B512" s="4">
        <v>16</v>
      </c>
      <c r="C512" s="4">
        <v>0</v>
      </c>
      <c r="D512" s="4">
        <v>1</v>
      </c>
      <c r="E512" s="4">
        <v>1</v>
      </c>
      <c r="F512" s="4">
        <v>0</v>
      </c>
      <c r="G512" s="2" t="s">
        <v>80</v>
      </c>
      <c r="H512" s="25">
        <f t="shared" si="44"/>
        <v>6.238557819731561</v>
      </c>
      <c r="I512" s="25">
        <f t="shared" si="45"/>
        <v>-2.1385578197315613</v>
      </c>
      <c r="J512" s="25">
        <f t="shared" si="46"/>
        <v>4.5734295483350094</v>
      </c>
      <c r="K512" s="25">
        <f t="shared" si="42"/>
        <v>3.0749999999999997</v>
      </c>
      <c r="L512" s="25">
        <f t="shared" si="43"/>
        <v>5.125</v>
      </c>
      <c r="M512" s="25">
        <f t="shared" si="47"/>
        <v>0</v>
      </c>
    </row>
    <row r="513" spans="1:13" x14ac:dyDescent="0.2">
      <c r="A513" s="4">
        <v>3.5</v>
      </c>
      <c r="B513" s="4">
        <v>8</v>
      </c>
      <c r="C513" s="4">
        <v>0</v>
      </c>
      <c r="D513" s="4">
        <v>0</v>
      </c>
      <c r="E513" s="4">
        <v>0</v>
      </c>
      <c r="F513" s="4">
        <v>0</v>
      </c>
      <c r="G513" s="2" t="s">
        <v>80</v>
      </c>
      <c r="H513" s="25">
        <f t="shared" si="44"/>
        <v>3.0141909575243622</v>
      </c>
      <c r="I513" s="25">
        <f t="shared" si="45"/>
        <v>0.48580904247563783</v>
      </c>
      <c r="J513" s="25">
        <f t="shared" si="46"/>
        <v>0.23601042575109607</v>
      </c>
      <c r="K513" s="25">
        <f t="shared" si="42"/>
        <v>2.625</v>
      </c>
      <c r="L513" s="25">
        <f t="shared" si="43"/>
        <v>4.375</v>
      </c>
      <c r="M513" s="25">
        <f t="shared" si="47"/>
        <v>1</v>
      </c>
    </row>
    <row r="514" spans="1:13" x14ac:dyDescent="0.2">
      <c r="A514" s="4">
        <v>2.6</v>
      </c>
      <c r="B514" s="4">
        <v>9</v>
      </c>
      <c r="C514" s="4">
        <v>0</v>
      </c>
      <c r="D514" s="10">
        <v>2</v>
      </c>
      <c r="E514" s="4">
        <v>0</v>
      </c>
      <c r="F514" s="4">
        <v>1</v>
      </c>
      <c r="G514" s="2" t="s">
        <v>80</v>
      </c>
      <c r="H514" s="25">
        <f t="shared" si="44"/>
        <v>2.2000313789094692</v>
      </c>
      <c r="I514" s="25">
        <f t="shared" si="45"/>
        <v>0.39996862109053088</v>
      </c>
      <c r="J514" s="25">
        <f t="shared" si="46"/>
        <v>0.15997489785706068</v>
      </c>
      <c r="K514" s="25">
        <f t="shared" ref="K514:K527" si="48">A514*(1-$Q$41)</f>
        <v>1.9500000000000002</v>
      </c>
      <c r="L514" s="25">
        <f t="shared" ref="L514:L527" si="49">A514*(1+$Q$41)</f>
        <v>3.25</v>
      </c>
      <c r="M514" s="25">
        <f t="shared" si="47"/>
        <v>1</v>
      </c>
    </row>
    <row r="515" spans="1:13" x14ac:dyDescent="0.2">
      <c r="A515" s="4">
        <v>2</v>
      </c>
      <c r="B515" s="4">
        <v>10</v>
      </c>
      <c r="C515" s="4">
        <v>0</v>
      </c>
      <c r="D515" s="4">
        <v>1</v>
      </c>
      <c r="E515" s="4">
        <v>0</v>
      </c>
      <c r="F515" s="4">
        <v>0</v>
      </c>
      <c r="G515" s="2" t="s">
        <v>80</v>
      </c>
      <c r="H515" s="25">
        <f t="shared" ref="H515:H527" si="50">$P$33+($P$34*B515)+($P$35*C515)+($P$36*D515)+($P$37*E515)+($P$38*F515)</f>
        <v>2.7733346085638257</v>
      </c>
      <c r="I515" s="25">
        <f t="shared" ref="I515:I527" si="51">(A515-H515)</f>
        <v>-0.77333460856382574</v>
      </c>
      <c r="J515" s="25">
        <f t="shared" ref="J515:J527" si="52">I515^2</f>
        <v>0.59804641680256554</v>
      </c>
      <c r="K515" s="25">
        <f t="shared" si="48"/>
        <v>1.5</v>
      </c>
      <c r="L515" s="25">
        <f t="shared" si="49"/>
        <v>2.5</v>
      </c>
      <c r="M515" s="25">
        <f t="shared" ref="M515:M527" si="53">IF(AND(H515&gt;=K515,H515&lt;=L515),1,0)</f>
        <v>0</v>
      </c>
    </row>
    <row r="516" spans="1:13" x14ac:dyDescent="0.2">
      <c r="A516" s="4">
        <v>7.81</v>
      </c>
      <c r="B516" s="4">
        <v>12</v>
      </c>
      <c r="C516" s="4">
        <v>0</v>
      </c>
      <c r="D516" s="4">
        <v>1</v>
      </c>
      <c r="E516" s="4">
        <v>1</v>
      </c>
      <c r="F516" s="4">
        <v>1</v>
      </c>
      <c r="G516" s="2" t="s">
        <v>80</v>
      </c>
      <c r="H516" s="25">
        <f t="shared" si="50"/>
        <v>5.422754233417753</v>
      </c>
      <c r="I516" s="25">
        <f t="shared" si="51"/>
        <v>2.3872457665822466</v>
      </c>
      <c r="J516" s="25">
        <f t="shared" si="52"/>
        <v>5.6989423500648586</v>
      </c>
      <c r="K516" s="25">
        <f t="shared" si="48"/>
        <v>5.8574999999999999</v>
      </c>
      <c r="L516" s="25">
        <f t="shared" si="49"/>
        <v>9.7624999999999993</v>
      </c>
      <c r="M516" s="25">
        <f t="shared" si="53"/>
        <v>0</v>
      </c>
    </row>
    <row r="517" spans="1:13" x14ac:dyDescent="0.2">
      <c r="A517" s="4">
        <v>3.5</v>
      </c>
      <c r="B517" s="4">
        <v>12</v>
      </c>
      <c r="C517" s="4">
        <v>0</v>
      </c>
      <c r="D517" s="4">
        <v>0</v>
      </c>
      <c r="E517" s="4">
        <v>0</v>
      </c>
      <c r="F517" s="4">
        <v>0</v>
      </c>
      <c r="G517" s="2" t="s">
        <v>80</v>
      </c>
      <c r="H517" s="25">
        <f t="shared" si="50"/>
        <v>4.9476177800043146</v>
      </c>
      <c r="I517" s="25">
        <f t="shared" si="51"/>
        <v>-1.4476177800043146</v>
      </c>
      <c r="J517" s="25">
        <f t="shared" si="52"/>
        <v>2.0955972369846201</v>
      </c>
      <c r="K517" s="25">
        <f t="shared" si="48"/>
        <v>2.625</v>
      </c>
      <c r="L517" s="25">
        <f t="shared" si="49"/>
        <v>4.375</v>
      </c>
      <c r="M517" s="25">
        <f t="shared" si="53"/>
        <v>0</v>
      </c>
    </row>
    <row r="518" spans="1:13" x14ac:dyDescent="0.2">
      <c r="A518" s="4">
        <v>4.5</v>
      </c>
      <c r="B518" s="4">
        <v>12</v>
      </c>
      <c r="C518" s="4">
        <v>0</v>
      </c>
      <c r="D518" s="4">
        <v>0</v>
      </c>
      <c r="E518" s="4">
        <v>0</v>
      </c>
      <c r="F518" s="4">
        <v>1</v>
      </c>
      <c r="G518" s="2" t="s">
        <v>80</v>
      </c>
      <c r="H518" s="25">
        <f t="shared" si="50"/>
        <v>6.0652410161704591</v>
      </c>
      <c r="I518" s="25">
        <f t="shared" si="51"/>
        <v>-1.5652410161704591</v>
      </c>
      <c r="J518" s="25">
        <f t="shared" si="52"/>
        <v>2.4499794387023313</v>
      </c>
      <c r="K518" s="25">
        <f t="shared" si="48"/>
        <v>3.375</v>
      </c>
      <c r="L518" s="25">
        <f t="shared" si="49"/>
        <v>5.625</v>
      </c>
      <c r="M518" s="25">
        <f t="shared" si="53"/>
        <v>0</v>
      </c>
    </row>
    <row r="519" spans="1:13" x14ac:dyDescent="0.2">
      <c r="A519" s="4">
        <v>3</v>
      </c>
      <c r="B519" s="4">
        <v>11</v>
      </c>
      <c r="C519" s="4">
        <v>0</v>
      </c>
      <c r="D519" s="4">
        <v>1</v>
      </c>
      <c r="E519" s="4">
        <v>0</v>
      </c>
      <c r="F519" s="4">
        <v>1</v>
      </c>
      <c r="G519" s="2" t="s">
        <v>80</v>
      </c>
      <c r="H519" s="25">
        <f t="shared" si="50"/>
        <v>4.3743145503499585</v>
      </c>
      <c r="I519" s="25">
        <f t="shared" si="51"/>
        <v>-1.3743145503499585</v>
      </c>
      <c r="J519" s="25">
        <f t="shared" si="52"/>
        <v>1.8887404833036088</v>
      </c>
      <c r="K519" s="25">
        <f t="shared" si="48"/>
        <v>2.25</v>
      </c>
      <c r="L519" s="25">
        <f t="shared" si="49"/>
        <v>3.75</v>
      </c>
      <c r="M519" s="25">
        <f t="shared" si="53"/>
        <v>0</v>
      </c>
    </row>
    <row r="520" spans="1:13" x14ac:dyDescent="0.2">
      <c r="A520" s="4">
        <v>5.1100000000000003</v>
      </c>
      <c r="B520" s="4">
        <v>11</v>
      </c>
      <c r="C520" s="4">
        <v>0</v>
      </c>
      <c r="D520" s="4">
        <v>0</v>
      </c>
      <c r="E520" s="4">
        <v>0</v>
      </c>
      <c r="F520" s="4">
        <v>1</v>
      </c>
      <c r="G520" s="2" t="s">
        <v>80</v>
      </c>
      <c r="H520" s="25">
        <f t="shared" si="50"/>
        <v>5.5818843105504712</v>
      </c>
      <c r="I520" s="25">
        <f t="shared" si="51"/>
        <v>-0.47188431055047086</v>
      </c>
      <c r="J520" s="25">
        <f t="shared" si="52"/>
        <v>0.22267480254369323</v>
      </c>
      <c r="K520" s="25">
        <f t="shared" si="48"/>
        <v>3.8325000000000005</v>
      </c>
      <c r="L520" s="25">
        <f t="shared" si="49"/>
        <v>6.3875000000000002</v>
      </c>
      <c r="M520" s="25">
        <f t="shared" si="53"/>
        <v>1</v>
      </c>
    </row>
    <row r="521" spans="1:13" x14ac:dyDescent="0.2">
      <c r="A521" s="4">
        <v>2</v>
      </c>
      <c r="B521" s="4">
        <v>9</v>
      </c>
      <c r="C521" s="4">
        <v>0</v>
      </c>
      <c r="D521" s="4">
        <v>0</v>
      </c>
      <c r="E521" s="4">
        <v>0</v>
      </c>
      <c r="F521" s="4">
        <v>0</v>
      </c>
      <c r="G521" s="2" t="s">
        <v>80</v>
      </c>
      <c r="H521" s="25">
        <f t="shared" si="50"/>
        <v>3.4975476631443509</v>
      </c>
      <c r="I521" s="25">
        <f t="shared" si="51"/>
        <v>-1.4975476631443509</v>
      </c>
      <c r="J521" s="25">
        <f t="shared" si="52"/>
        <v>2.2426490033891064</v>
      </c>
      <c r="K521" s="25">
        <f t="shared" si="48"/>
        <v>1.5</v>
      </c>
      <c r="L521" s="25">
        <f t="shared" si="49"/>
        <v>2.5</v>
      </c>
      <c r="M521" s="25">
        <f t="shared" si="53"/>
        <v>0</v>
      </c>
    </row>
    <row r="522" spans="1:13" x14ac:dyDescent="0.2">
      <c r="A522" s="4">
        <v>3.1</v>
      </c>
      <c r="B522" s="4">
        <v>11</v>
      </c>
      <c r="C522" s="4">
        <v>0</v>
      </c>
      <c r="D522" s="4">
        <v>1</v>
      </c>
      <c r="E522" s="4">
        <v>0</v>
      </c>
      <c r="F522" s="4">
        <v>1</v>
      </c>
      <c r="G522" s="2" t="s">
        <v>80</v>
      </c>
      <c r="H522" s="25">
        <f t="shared" si="50"/>
        <v>4.3743145503499585</v>
      </c>
      <c r="I522" s="25">
        <f t="shared" si="51"/>
        <v>-1.2743145503499584</v>
      </c>
      <c r="J522" s="25">
        <f t="shared" si="52"/>
        <v>1.6238775732336168</v>
      </c>
      <c r="K522" s="25">
        <f t="shared" si="48"/>
        <v>2.3250000000000002</v>
      </c>
      <c r="L522" s="25">
        <f t="shared" si="49"/>
        <v>3.875</v>
      </c>
      <c r="M522" s="25">
        <f t="shared" si="53"/>
        <v>0</v>
      </c>
    </row>
    <row r="523" spans="1:13" x14ac:dyDescent="0.2">
      <c r="A523" s="4">
        <v>5.65</v>
      </c>
      <c r="B523" s="4">
        <v>12</v>
      </c>
      <c r="C523" s="4">
        <v>0</v>
      </c>
      <c r="D523" s="4">
        <v>0</v>
      </c>
      <c r="E523" s="4">
        <v>0</v>
      </c>
      <c r="F523" s="4">
        <v>1</v>
      </c>
      <c r="G523" s="2" t="s">
        <v>80</v>
      </c>
      <c r="H523" s="25">
        <f t="shared" si="50"/>
        <v>6.0652410161704591</v>
      </c>
      <c r="I523" s="25">
        <f t="shared" si="51"/>
        <v>-0.41524101617045872</v>
      </c>
      <c r="J523" s="25">
        <f t="shared" si="52"/>
        <v>0.17242510151027515</v>
      </c>
      <c r="K523" s="25">
        <f t="shared" si="48"/>
        <v>4.2375000000000007</v>
      </c>
      <c r="L523" s="25">
        <f t="shared" si="49"/>
        <v>7.0625</v>
      </c>
      <c r="M523" s="25">
        <f t="shared" si="53"/>
        <v>1</v>
      </c>
    </row>
    <row r="524" spans="1:13" x14ac:dyDescent="0.2">
      <c r="A524" s="4">
        <v>2.54</v>
      </c>
      <c r="B524" s="4">
        <v>9</v>
      </c>
      <c r="C524" s="4">
        <v>0</v>
      </c>
      <c r="D524" s="4">
        <v>1</v>
      </c>
      <c r="E524" s="4">
        <v>0</v>
      </c>
      <c r="F524" s="4">
        <v>0</v>
      </c>
      <c r="G524" s="2" t="s">
        <v>80</v>
      </c>
      <c r="H524" s="25">
        <f t="shared" si="50"/>
        <v>2.2899779029438379</v>
      </c>
      <c r="I524" s="25">
        <f t="shared" si="51"/>
        <v>0.25002209705616218</v>
      </c>
      <c r="J524" s="25">
        <f t="shared" si="52"/>
        <v>6.2511049016360981E-2</v>
      </c>
      <c r="K524" s="25">
        <f t="shared" si="48"/>
        <v>1.905</v>
      </c>
      <c r="L524" s="25">
        <f t="shared" si="49"/>
        <v>3.1749999999999998</v>
      </c>
      <c r="M524" s="25">
        <f t="shared" si="53"/>
        <v>1</v>
      </c>
    </row>
    <row r="525" spans="1:13" x14ac:dyDescent="0.2">
      <c r="A525" s="4">
        <v>2.9</v>
      </c>
      <c r="B525" s="4">
        <v>11</v>
      </c>
      <c r="C525" s="4">
        <v>0</v>
      </c>
      <c r="D525" s="4">
        <v>1</v>
      </c>
      <c r="E525" s="4">
        <v>0</v>
      </c>
      <c r="F525" s="4">
        <v>0</v>
      </c>
      <c r="G525" s="2" t="s">
        <v>80</v>
      </c>
      <c r="H525" s="25">
        <f t="shared" si="50"/>
        <v>3.2566913141838136</v>
      </c>
      <c r="I525" s="25">
        <f t="shared" si="51"/>
        <v>-0.35669131418381372</v>
      </c>
      <c r="J525" s="25">
        <f t="shared" si="52"/>
        <v>0.1272286936141761</v>
      </c>
      <c r="K525" s="25">
        <f t="shared" si="48"/>
        <v>2.1749999999999998</v>
      </c>
      <c r="L525" s="25">
        <f t="shared" si="49"/>
        <v>3.625</v>
      </c>
      <c r="M525" s="25">
        <f t="shared" si="53"/>
        <v>1</v>
      </c>
    </row>
    <row r="526" spans="1:13" x14ac:dyDescent="0.2">
      <c r="A526" s="4">
        <v>2.92</v>
      </c>
      <c r="B526" s="4">
        <v>11</v>
      </c>
      <c r="C526" s="4">
        <v>0</v>
      </c>
      <c r="D526" s="4">
        <v>1</v>
      </c>
      <c r="E526" s="4">
        <v>0</v>
      </c>
      <c r="F526" s="4">
        <v>0</v>
      </c>
      <c r="G526" s="2" t="s">
        <v>80</v>
      </c>
      <c r="H526" s="25">
        <f t="shared" si="50"/>
        <v>3.2566913141838136</v>
      </c>
      <c r="I526" s="25">
        <f t="shared" si="51"/>
        <v>-0.33669131418381371</v>
      </c>
      <c r="J526" s="25">
        <f t="shared" si="52"/>
        <v>0.11336104104682355</v>
      </c>
      <c r="K526" s="25">
        <f t="shared" si="48"/>
        <v>2.19</v>
      </c>
      <c r="L526" s="25">
        <f t="shared" si="49"/>
        <v>3.65</v>
      </c>
      <c r="M526" s="25">
        <f t="shared" si="53"/>
        <v>1</v>
      </c>
    </row>
    <row r="527" spans="1:13" x14ac:dyDescent="0.2">
      <c r="A527" s="4">
        <v>3</v>
      </c>
      <c r="B527" s="4">
        <v>12</v>
      </c>
      <c r="C527" s="4">
        <v>0</v>
      </c>
      <c r="D527" s="4">
        <v>1</v>
      </c>
      <c r="E527" s="4">
        <v>0</v>
      </c>
      <c r="F527" s="4">
        <v>0</v>
      </c>
      <c r="G527" s="2" t="s">
        <v>80</v>
      </c>
      <c r="H527" s="25">
        <f t="shared" si="50"/>
        <v>3.7400480198038015</v>
      </c>
      <c r="I527" s="25">
        <f t="shared" si="51"/>
        <v>-0.74004801980380153</v>
      </c>
      <c r="J527" s="25">
        <f t="shared" si="52"/>
        <v>0.54767107161552786</v>
      </c>
      <c r="K527" s="25">
        <f t="shared" si="48"/>
        <v>2.25</v>
      </c>
      <c r="L527" s="25">
        <f t="shared" si="49"/>
        <v>3.75</v>
      </c>
      <c r="M527" s="25">
        <f t="shared" si="53"/>
        <v>1</v>
      </c>
    </row>
  </sheetData>
  <mergeCells count="3">
    <mergeCell ref="O3:Q3"/>
    <mergeCell ref="P43:P44"/>
    <mergeCell ref="O26:T2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B0C6-E831-9A46-9FA6-DE0471E40572}">
  <dimension ref="A1:P527"/>
  <sheetViews>
    <sheetView showGridLines="0" workbookViewId="0">
      <selection activeCell="L44" sqref="L44"/>
    </sheetView>
  </sheetViews>
  <sheetFormatPr baseColWidth="10" defaultRowHeight="14" x14ac:dyDescent="0.2"/>
  <cols>
    <col min="1" max="6" width="10.83203125" style="5"/>
    <col min="8" max="8" width="15" customWidth="1"/>
    <col min="9" max="9" width="22.5" bestFit="1" customWidth="1"/>
    <col min="10" max="10" width="17.33203125" bestFit="1" customWidth="1"/>
    <col min="11" max="11" width="19.83203125" bestFit="1" customWidth="1"/>
    <col min="13" max="13" width="13" bestFit="1" customWidth="1"/>
  </cols>
  <sheetData>
    <row r="1" spans="1:16" x14ac:dyDescent="0.2">
      <c r="A1" s="4" t="s">
        <v>28</v>
      </c>
      <c r="B1" s="4" t="s">
        <v>0</v>
      </c>
      <c r="C1" s="4" t="s">
        <v>49</v>
      </c>
      <c r="D1" s="4" t="s">
        <v>50</v>
      </c>
      <c r="E1" s="4" t="s">
        <v>51</v>
      </c>
      <c r="F1" s="4" t="s">
        <v>35</v>
      </c>
      <c r="G1" s="5"/>
    </row>
    <row r="2" spans="1:16" x14ac:dyDescent="0.2">
      <c r="A2" s="4">
        <v>8.75</v>
      </c>
      <c r="B2" s="4">
        <v>12</v>
      </c>
      <c r="C2" s="9">
        <v>26.78</v>
      </c>
      <c r="D2" s="4">
        <v>0</v>
      </c>
      <c r="E2" s="4">
        <v>1</v>
      </c>
      <c r="F2" s="4">
        <v>0</v>
      </c>
      <c r="G2" s="22"/>
    </row>
    <row r="3" spans="1:16" x14ac:dyDescent="0.2">
      <c r="A3" s="4">
        <v>11.76</v>
      </c>
      <c r="B3" s="4">
        <v>14</v>
      </c>
      <c r="C3" s="9">
        <v>26.78</v>
      </c>
      <c r="D3" s="4">
        <v>0</v>
      </c>
      <c r="E3" s="4">
        <v>1</v>
      </c>
      <c r="F3" s="4">
        <v>0</v>
      </c>
      <c r="H3" s="37" t="s">
        <v>63</v>
      </c>
      <c r="I3" s="37"/>
      <c r="J3" s="37"/>
    </row>
    <row r="4" spans="1:16" x14ac:dyDescent="0.2">
      <c r="A4" s="4">
        <v>2.91</v>
      </c>
      <c r="B4" s="4">
        <v>12</v>
      </c>
      <c r="C4" s="9">
        <v>26.78</v>
      </c>
      <c r="D4" s="4">
        <v>1</v>
      </c>
      <c r="E4" s="4">
        <v>1</v>
      </c>
      <c r="F4" s="4">
        <v>0</v>
      </c>
      <c r="H4" s="17" t="s">
        <v>64</v>
      </c>
      <c r="I4" s="3"/>
      <c r="J4" s="3"/>
    </row>
    <row r="5" spans="1:16" x14ac:dyDescent="0.2">
      <c r="A5" s="4">
        <v>6.5</v>
      </c>
      <c r="B5" s="4">
        <v>14</v>
      </c>
      <c r="C5" s="9">
        <v>26.78</v>
      </c>
      <c r="D5" s="4">
        <v>0</v>
      </c>
      <c r="E5" s="4">
        <v>1</v>
      </c>
      <c r="F5" s="4">
        <v>0</v>
      </c>
      <c r="H5" s="3"/>
      <c r="I5" s="3" t="s">
        <v>65</v>
      </c>
      <c r="J5" s="3"/>
    </row>
    <row r="6" spans="1:16" x14ac:dyDescent="0.2">
      <c r="A6" s="4">
        <v>6.25</v>
      </c>
      <c r="B6" s="4">
        <v>11</v>
      </c>
      <c r="C6" s="9">
        <v>26.78</v>
      </c>
      <c r="D6" s="4">
        <v>0</v>
      </c>
      <c r="E6" s="4">
        <v>1</v>
      </c>
      <c r="F6" s="4">
        <v>0</v>
      </c>
      <c r="H6" s="3"/>
      <c r="I6" s="3" t="s">
        <v>66</v>
      </c>
      <c r="J6" s="3"/>
    </row>
    <row r="7" spans="1:16" x14ac:dyDescent="0.2">
      <c r="A7" s="4">
        <v>15</v>
      </c>
      <c r="B7" s="4">
        <v>11</v>
      </c>
      <c r="C7" s="9">
        <v>26.78</v>
      </c>
      <c r="D7" s="10">
        <v>2</v>
      </c>
      <c r="E7" s="4">
        <v>1</v>
      </c>
      <c r="F7" s="4">
        <v>0</v>
      </c>
      <c r="H7" s="17" t="s">
        <v>67</v>
      </c>
      <c r="I7" s="18"/>
      <c r="J7" s="17"/>
    </row>
    <row r="8" spans="1:16" x14ac:dyDescent="0.2">
      <c r="A8" s="4">
        <v>6</v>
      </c>
      <c r="B8" s="4">
        <v>8</v>
      </c>
      <c r="C8" s="9">
        <v>26.78</v>
      </c>
      <c r="D8" s="4">
        <v>0</v>
      </c>
      <c r="E8" s="4">
        <v>1</v>
      </c>
      <c r="F8" s="4">
        <v>1</v>
      </c>
      <c r="H8" s="17"/>
      <c r="I8" s="17" t="s">
        <v>68</v>
      </c>
      <c r="J8" s="17"/>
    </row>
    <row r="9" spans="1:16" x14ac:dyDescent="0.2">
      <c r="A9" s="4">
        <v>18.16</v>
      </c>
      <c r="B9" s="4">
        <v>16</v>
      </c>
      <c r="C9" s="9">
        <v>26.78</v>
      </c>
      <c r="D9" s="4">
        <v>0</v>
      </c>
      <c r="E9" s="4">
        <v>1</v>
      </c>
      <c r="F9" s="4">
        <v>0</v>
      </c>
      <c r="H9" s="17"/>
      <c r="I9" s="17" t="s">
        <v>69</v>
      </c>
      <c r="J9" s="17"/>
    </row>
    <row r="10" spans="1:16" x14ac:dyDescent="0.2">
      <c r="A10" s="4">
        <v>8.5</v>
      </c>
      <c r="B10" s="4">
        <v>8</v>
      </c>
      <c r="C10" s="4">
        <v>26</v>
      </c>
      <c r="D10" s="4">
        <v>0</v>
      </c>
      <c r="E10" s="4">
        <v>0</v>
      </c>
      <c r="F10" s="4">
        <v>0</v>
      </c>
      <c r="H10" s="3" t="s">
        <v>70</v>
      </c>
      <c r="I10" s="3"/>
      <c r="J10" s="3"/>
    </row>
    <row r="11" spans="1:16" x14ac:dyDescent="0.2">
      <c r="A11" s="4">
        <v>3.6</v>
      </c>
      <c r="B11" s="4">
        <v>10</v>
      </c>
      <c r="C11" s="4">
        <v>26</v>
      </c>
      <c r="D11" s="4">
        <v>1</v>
      </c>
      <c r="E11" s="4">
        <v>1</v>
      </c>
      <c r="F11" s="4">
        <v>0</v>
      </c>
      <c r="H11" s="3" t="s">
        <v>71</v>
      </c>
      <c r="I11" s="3"/>
      <c r="J11" s="3"/>
    </row>
    <row r="12" spans="1:16" x14ac:dyDescent="0.2">
      <c r="A12" s="4">
        <v>8.33</v>
      </c>
      <c r="B12" s="4">
        <v>15</v>
      </c>
      <c r="C12" s="4">
        <v>26</v>
      </c>
      <c r="D12" s="4">
        <v>0</v>
      </c>
      <c r="E12" s="4">
        <v>1</v>
      </c>
      <c r="F12" s="4">
        <v>0</v>
      </c>
      <c r="H12" s="3" t="s">
        <v>72</v>
      </c>
      <c r="I12" s="3"/>
      <c r="J12" s="3"/>
    </row>
    <row r="13" spans="1:16" x14ac:dyDescent="0.2">
      <c r="A13" s="4">
        <v>4.29</v>
      </c>
      <c r="B13" s="4">
        <v>12</v>
      </c>
      <c r="C13" s="4">
        <v>25</v>
      </c>
      <c r="D13" s="4">
        <v>1</v>
      </c>
      <c r="E13" s="4">
        <v>1</v>
      </c>
      <c r="F13" s="4">
        <v>0</v>
      </c>
      <c r="H13" s="3" t="s">
        <v>73</v>
      </c>
      <c r="I13" s="3"/>
      <c r="J13" s="3"/>
    </row>
    <row r="14" spans="1:16" x14ac:dyDescent="0.2">
      <c r="A14" s="4">
        <v>4.05</v>
      </c>
      <c r="B14" s="4">
        <v>8</v>
      </c>
      <c r="C14" s="4">
        <v>25</v>
      </c>
      <c r="D14" s="4">
        <v>0</v>
      </c>
      <c r="E14" s="4">
        <v>1</v>
      </c>
      <c r="F14" s="4">
        <v>0</v>
      </c>
      <c r="H14" s="18" t="s">
        <v>74</v>
      </c>
      <c r="I14" s="3"/>
      <c r="J14" s="3"/>
    </row>
    <row r="15" spans="1:16" x14ac:dyDescent="0.2">
      <c r="A15" s="4">
        <v>18</v>
      </c>
      <c r="B15" s="4">
        <v>18</v>
      </c>
      <c r="C15" s="4">
        <v>25</v>
      </c>
      <c r="D15" s="4">
        <v>0</v>
      </c>
      <c r="E15" s="4">
        <v>1</v>
      </c>
      <c r="F15" s="4">
        <v>0</v>
      </c>
    </row>
    <row r="16" spans="1:16" x14ac:dyDescent="0.2">
      <c r="A16" s="4">
        <v>11.25</v>
      </c>
      <c r="B16" s="4">
        <v>17</v>
      </c>
      <c r="C16" s="4">
        <v>25</v>
      </c>
      <c r="D16" s="4">
        <v>0</v>
      </c>
      <c r="E16" s="4">
        <v>1</v>
      </c>
      <c r="F16" s="4">
        <v>0</v>
      </c>
      <c r="H16" s="3" t="s">
        <v>2</v>
      </c>
      <c r="I16" s="3"/>
      <c r="J16" s="3"/>
      <c r="K16" s="3"/>
      <c r="L16" s="3"/>
      <c r="M16" s="3"/>
      <c r="N16" s="3"/>
      <c r="O16" s="3"/>
      <c r="P16" s="3"/>
    </row>
    <row r="17" spans="1:16" x14ac:dyDescent="0.2">
      <c r="A17" s="4">
        <v>3.05</v>
      </c>
      <c r="B17" s="4">
        <v>8</v>
      </c>
      <c r="C17" s="4">
        <v>24</v>
      </c>
      <c r="D17" s="4">
        <v>1</v>
      </c>
      <c r="E17" s="4">
        <v>0</v>
      </c>
      <c r="F17" s="4">
        <v>0</v>
      </c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">
      <c r="A18" s="4">
        <v>9.85</v>
      </c>
      <c r="B18" s="4">
        <v>8</v>
      </c>
      <c r="C18" s="4">
        <v>24</v>
      </c>
      <c r="D18" s="4">
        <v>0</v>
      </c>
      <c r="E18" s="4">
        <v>1</v>
      </c>
      <c r="F18" s="4">
        <v>0</v>
      </c>
      <c r="H18" s="34" t="s">
        <v>3</v>
      </c>
      <c r="I18" s="34"/>
      <c r="J18" s="3"/>
      <c r="K18" s="3"/>
      <c r="L18" s="3"/>
      <c r="M18" s="3"/>
      <c r="N18" s="3"/>
      <c r="O18" s="3"/>
      <c r="P18" s="3"/>
    </row>
    <row r="19" spans="1:16" x14ac:dyDescent="0.2">
      <c r="A19" s="4">
        <v>7.36</v>
      </c>
      <c r="B19" s="4">
        <v>8</v>
      </c>
      <c r="C19" s="4">
        <v>24</v>
      </c>
      <c r="D19" s="4">
        <v>0</v>
      </c>
      <c r="E19" s="4">
        <v>1</v>
      </c>
      <c r="F19" s="4">
        <v>0</v>
      </c>
      <c r="H19" s="2" t="s">
        <v>4</v>
      </c>
      <c r="I19" s="2">
        <v>0.58365076916091263</v>
      </c>
      <c r="J19" s="3"/>
      <c r="K19" s="3"/>
      <c r="L19" s="3"/>
      <c r="M19" s="3"/>
      <c r="N19" s="3"/>
      <c r="O19" s="3"/>
      <c r="P19" s="3"/>
    </row>
    <row r="20" spans="1:16" x14ac:dyDescent="0.2">
      <c r="A20" s="4">
        <v>7.5</v>
      </c>
      <c r="B20" s="4">
        <v>14</v>
      </c>
      <c r="C20" s="4">
        <v>24</v>
      </c>
      <c r="D20" s="4">
        <v>0</v>
      </c>
      <c r="E20" s="4">
        <v>1</v>
      </c>
      <c r="F20" s="4">
        <v>0</v>
      </c>
      <c r="H20" s="29" t="s">
        <v>5</v>
      </c>
      <c r="I20" s="29">
        <v>0.34064822034212494</v>
      </c>
      <c r="J20" s="3"/>
      <c r="K20" s="3"/>
      <c r="L20" s="3"/>
      <c r="M20" s="3"/>
      <c r="N20" s="3"/>
      <c r="O20" s="3"/>
      <c r="P20" s="3"/>
    </row>
    <row r="21" spans="1:16" x14ac:dyDescent="0.2">
      <c r="A21" s="4">
        <v>2.95</v>
      </c>
      <c r="B21" s="4">
        <v>14</v>
      </c>
      <c r="C21" s="4">
        <v>23</v>
      </c>
      <c r="D21" s="4">
        <v>0</v>
      </c>
      <c r="E21" s="4">
        <v>1</v>
      </c>
      <c r="F21" s="4">
        <v>0</v>
      </c>
      <c r="H21" s="29" t="s">
        <v>6</v>
      </c>
      <c r="I21" s="29">
        <v>0.33215141905787393</v>
      </c>
      <c r="J21" s="3"/>
      <c r="K21" s="3"/>
      <c r="L21" s="3"/>
      <c r="M21" s="3"/>
      <c r="N21" s="3"/>
      <c r="O21" s="3"/>
      <c r="P21" s="3"/>
    </row>
    <row r="22" spans="1:16" x14ac:dyDescent="0.2">
      <c r="A22" s="4">
        <v>19.98</v>
      </c>
      <c r="B22" s="4">
        <v>14</v>
      </c>
      <c r="C22" s="4">
        <v>23</v>
      </c>
      <c r="D22" s="4">
        <v>0</v>
      </c>
      <c r="E22" s="4">
        <v>1</v>
      </c>
      <c r="F22" s="4">
        <v>0</v>
      </c>
      <c r="H22" s="2" t="s">
        <v>7</v>
      </c>
      <c r="I22" s="2">
        <v>2.9270666985021108</v>
      </c>
      <c r="J22" s="3"/>
      <c r="K22" s="3"/>
      <c r="L22" s="3"/>
      <c r="M22" s="3"/>
      <c r="N22" s="3"/>
      <c r="O22" s="3"/>
      <c r="P22" s="3"/>
    </row>
    <row r="23" spans="1:16" x14ac:dyDescent="0.2">
      <c r="A23" s="4">
        <v>13.16</v>
      </c>
      <c r="B23" s="4">
        <v>12</v>
      </c>
      <c r="C23" s="4">
        <v>22</v>
      </c>
      <c r="D23" s="4">
        <v>0</v>
      </c>
      <c r="E23" s="4">
        <v>1</v>
      </c>
      <c r="F23" s="4">
        <v>0</v>
      </c>
      <c r="H23" s="2" t="s">
        <v>8</v>
      </c>
      <c r="I23" s="2">
        <v>394</v>
      </c>
      <c r="J23" s="3"/>
      <c r="K23" s="3"/>
      <c r="L23" s="3"/>
      <c r="M23" s="3"/>
      <c r="N23" s="3"/>
      <c r="O23" s="3"/>
      <c r="P23" s="3"/>
    </row>
    <row r="24" spans="1:16" x14ac:dyDescent="0.2">
      <c r="A24" s="4">
        <v>17.5</v>
      </c>
      <c r="B24" s="4">
        <v>16</v>
      </c>
      <c r="C24" s="4">
        <v>22</v>
      </c>
      <c r="D24" s="4">
        <v>0</v>
      </c>
      <c r="E24" s="4">
        <v>1</v>
      </c>
      <c r="F24" s="4">
        <v>1</v>
      </c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4">
        <v>5.15</v>
      </c>
      <c r="B25" s="4">
        <v>16</v>
      </c>
      <c r="C25" s="4">
        <v>21</v>
      </c>
      <c r="D25" s="4">
        <v>1</v>
      </c>
      <c r="E25" s="4">
        <v>0</v>
      </c>
      <c r="F25" s="4">
        <v>1</v>
      </c>
      <c r="H25" s="38" t="s">
        <v>9</v>
      </c>
      <c r="I25" s="39"/>
      <c r="J25" s="39"/>
      <c r="K25" s="39"/>
      <c r="L25" s="39"/>
      <c r="M25" s="40"/>
      <c r="N25" s="3"/>
      <c r="O25" s="3"/>
      <c r="P25" s="3"/>
    </row>
    <row r="26" spans="1:16" x14ac:dyDescent="0.2">
      <c r="A26" s="4">
        <v>6.88</v>
      </c>
      <c r="B26" s="4">
        <v>13</v>
      </c>
      <c r="C26" s="4">
        <v>21</v>
      </c>
      <c r="D26" s="4">
        <v>0</v>
      </c>
      <c r="E26" s="4">
        <v>1</v>
      </c>
      <c r="F26" s="4">
        <v>0</v>
      </c>
      <c r="H26" s="19"/>
      <c r="I26" s="19" t="s">
        <v>14</v>
      </c>
      <c r="J26" s="19" t="s">
        <v>15</v>
      </c>
      <c r="K26" s="19" t="s">
        <v>16</v>
      </c>
      <c r="L26" s="19" t="s">
        <v>17</v>
      </c>
      <c r="M26" s="19" t="s">
        <v>18</v>
      </c>
      <c r="N26" s="3"/>
      <c r="O26" s="3"/>
      <c r="P26" s="3"/>
    </row>
    <row r="27" spans="1:16" x14ac:dyDescent="0.2">
      <c r="A27" s="4">
        <v>18.18</v>
      </c>
      <c r="B27" s="4">
        <v>17</v>
      </c>
      <c r="C27" s="4">
        <v>21</v>
      </c>
      <c r="D27" s="10">
        <v>2</v>
      </c>
      <c r="E27" s="4">
        <v>1</v>
      </c>
      <c r="F27" s="4">
        <v>1</v>
      </c>
      <c r="H27" s="2" t="s">
        <v>10</v>
      </c>
      <c r="I27" s="23">
        <v>5</v>
      </c>
      <c r="J27" s="23">
        <v>1717.4571276551046</v>
      </c>
      <c r="K27" s="23">
        <v>343.49142553102092</v>
      </c>
      <c r="L27" s="23">
        <v>40.091348372890032</v>
      </c>
      <c r="M27" s="33">
        <v>3.3565412923971276E-33</v>
      </c>
      <c r="N27" s="3"/>
      <c r="O27" s="3"/>
      <c r="P27" s="3"/>
    </row>
    <row r="28" spans="1:16" x14ac:dyDescent="0.2">
      <c r="A28" s="4">
        <v>11.71</v>
      </c>
      <c r="B28" s="4">
        <v>13</v>
      </c>
      <c r="C28" s="4">
        <v>20</v>
      </c>
      <c r="D28" s="4">
        <v>1</v>
      </c>
      <c r="E28" s="4">
        <v>0</v>
      </c>
      <c r="F28" s="4">
        <v>0</v>
      </c>
      <c r="H28" s="2" t="s">
        <v>11</v>
      </c>
      <c r="I28" s="23">
        <v>388</v>
      </c>
      <c r="J28" s="23">
        <v>3324.275149502258</v>
      </c>
      <c r="K28" s="23">
        <v>8.567719457480047</v>
      </c>
      <c r="L28" s="3"/>
      <c r="M28" s="3"/>
      <c r="N28" s="3"/>
      <c r="O28" s="3"/>
      <c r="P28" s="3"/>
    </row>
    <row r="29" spans="1:16" x14ac:dyDescent="0.2">
      <c r="A29" s="4">
        <v>3.5</v>
      </c>
      <c r="B29" s="4">
        <v>12</v>
      </c>
      <c r="C29" s="4">
        <v>20</v>
      </c>
      <c r="D29" s="4">
        <v>1</v>
      </c>
      <c r="E29" s="4">
        <v>1</v>
      </c>
      <c r="F29" s="4">
        <v>0</v>
      </c>
      <c r="H29" s="2" t="s">
        <v>12</v>
      </c>
      <c r="I29" s="23">
        <v>393</v>
      </c>
      <c r="J29" s="23">
        <v>5041.7322771573627</v>
      </c>
      <c r="K29" s="3"/>
      <c r="L29" s="3"/>
      <c r="M29" s="3"/>
      <c r="N29" s="3"/>
      <c r="O29" s="3"/>
      <c r="P29" s="3"/>
    </row>
    <row r="30" spans="1:16" x14ac:dyDescent="0.2">
      <c r="A30" s="4">
        <v>10.95</v>
      </c>
      <c r="B30" s="4">
        <v>16</v>
      </c>
      <c r="C30" s="4">
        <v>20</v>
      </c>
      <c r="D30" s="4">
        <v>0</v>
      </c>
      <c r="E30" s="4">
        <v>1</v>
      </c>
      <c r="F30" s="4">
        <v>0</v>
      </c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4">
        <v>6.88</v>
      </c>
      <c r="B31" s="4">
        <v>12</v>
      </c>
      <c r="C31" s="4">
        <v>19</v>
      </c>
      <c r="D31" s="4">
        <v>0</v>
      </c>
      <c r="E31" s="4">
        <v>1</v>
      </c>
      <c r="F31" s="4">
        <v>0</v>
      </c>
      <c r="H31" s="19"/>
      <c r="I31" s="31" t="s">
        <v>19</v>
      </c>
      <c r="J31" s="19" t="s">
        <v>7</v>
      </c>
      <c r="K31" s="19" t="s">
        <v>20</v>
      </c>
      <c r="L31" s="31" t="s">
        <v>21</v>
      </c>
      <c r="M31" s="19" t="s">
        <v>22</v>
      </c>
      <c r="N31" s="19" t="s">
        <v>23</v>
      </c>
      <c r="O31" s="19" t="s">
        <v>24</v>
      </c>
      <c r="P31" s="19" t="s">
        <v>25</v>
      </c>
    </row>
    <row r="32" spans="1:16" x14ac:dyDescent="0.2">
      <c r="A32" s="4">
        <v>4.67</v>
      </c>
      <c r="B32" s="4">
        <v>15</v>
      </c>
      <c r="C32" s="4">
        <v>18</v>
      </c>
      <c r="D32" s="4">
        <v>0</v>
      </c>
      <c r="E32" s="4">
        <v>1</v>
      </c>
      <c r="F32" s="4">
        <v>1</v>
      </c>
      <c r="H32" s="2" t="s">
        <v>13</v>
      </c>
      <c r="I32" s="32">
        <v>-0.85266268743554208</v>
      </c>
      <c r="J32" s="25">
        <v>0.7730817670585437</v>
      </c>
      <c r="K32" s="25">
        <v>-1.1029398490146669</v>
      </c>
      <c r="L32" s="30">
        <v>0.27073690510680731</v>
      </c>
      <c r="M32" s="25">
        <v>-2.3726163361946222</v>
      </c>
      <c r="N32" s="25">
        <v>0.66729096132353827</v>
      </c>
      <c r="O32" s="25">
        <v>-2.3726163361946222</v>
      </c>
      <c r="P32" s="25">
        <v>0.66729096132353827</v>
      </c>
    </row>
    <row r="33" spans="1:16" x14ac:dyDescent="0.2">
      <c r="A33" s="4">
        <v>4.08</v>
      </c>
      <c r="B33" s="4">
        <v>12</v>
      </c>
      <c r="C33" s="4">
        <v>17</v>
      </c>
      <c r="D33" s="10">
        <v>2</v>
      </c>
      <c r="E33" s="4">
        <v>1</v>
      </c>
      <c r="F33" s="4">
        <v>0</v>
      </c>
      <c r="H33" s="2" t="s">
        <v>0</v>
      </c>
      <c r="I33" s="32">
        <v>0.48335670561998806</v>
      </c>
      <c r="J33" s="25">
        <v>5.4917667378186756E-2</v>
      </c>
      <c r="K33" s="25">
        <v>8.8014791722923196</v>
      </c>
      <c r="L33" s="30">
        <v>4.5113481947621028E-17</v>
      </c>
      <c r="M33" s="25">
        <v>0.37538325123312333</v>
      </c>
      <c r="N33" s="25">
        <v>0.59133016000685279</v>
      </c>
      <c r="O33" s="25">
        <v>0.37538325123312333</v>
      </c>
      <c r="P33" s="25">
        <v>0.59133016000685279</v>
      </c>
    </row>
    <row r="34" spans="1:16" x14ac:dyDescent="0.2">
      <c r="A34" s="4">
        <v>6.26</v>
      </c>
      <c r="B34" s="4">
        <v>13</v>
      </c>
      <c r="C34" s="4">
        <v>17</v>
      </c>
      <c r="D34" s="4">
        <v>1</v>
      </c>
      <c r="E34" s="4">
        <v>1</v>
      </c>
      <c r="F34" s="4">
        <v>0</v>
      </c>
      <c r="H34" s="2" t="s">
        <v>49</v>
      </c>
      <c r="I34" s="32">
        <v>0.16135220648845439</v>
      </c>
      <c r="J34" s="25">
        <v>2.2757776601016501E-2</v>
      </c>
      <c r="K34" s="25">
        <v>7.0899811223758746</v>
      </c>
      <c r="L34" s="30">
        <v>6.3845999029569203E-12</v>
      </c>
      <c r="M34" s="25">
        <v>0.11660821295983767</v>
      </c>
      <c r="N34" s="25">
        <v>0.2060962000170711</v>
      </c>
      <c r="O34" s="25">
        <v>0.11660821295983767</v>
      </c>
      <c r="P34" s="25">
        <v>0.2060962000170711</v>
      </c>
    </row>
    <row r="35" spans="1:16" x14ac:dyDescent="0.2">
      <c r="A35" s="4">
        <v>4.95</v>
      </c>
      <c r="B35" s="4">
        <v>7</v>
      </c>
      <c r="C35" s="4">
        <v>17</v>
      </c>
      <c r="D35" s="4">
        <v>0</v>
      </c>
      <c r="E35" s="4">
        <v>1</v>
      </c>
      <c r="F35" s="4">
        <v>0</v>
      </c>
      <c r="H35" s="2" t="s">
        <v>50</v>
      </c>
      <c r="I35" s="32">
        <v>-1.2075697602005131</v>
      </c>
      <c r="J35" s="25">
        <v>0.26132630323722339</v>
      </c>
      <c r="K35" s="25">
        <v>-4.6209269608207837</v>
      </c>
      <c r="L35" s="30">
        <v>5.2073756513249788E-6</v>
      </c>
      <c r="M35" s="25">
        <v>-1.721362589170518</v>
      </c>
      <c r="N35" s="25">
        <v>-0.69377693123050821</v>
      </c>
      <c r="O35" s="25">
        <v>-1.721362589170518</v>
      </c>
      <c r="P35" s="25">
        <v>-0.69377693123050821</v>
      </c>
    </row>
    <row r="36" spans="1:16" x14ac:dyDescent="0.2">
      <c r="A36" s="4">
        <v>13.95</v>
      </c>
      <c r="B36" s="4">
        <v>16</v>
      </c>
      <c r="C36" s="4">
        <v>16</v>
      </c>
      <c r="D36" s="4">
        <v>0</v>
      </c>
      <c r="E36" s="4">
        <v>1</v>
      </c>
      <c r="F36" s="4">
        <v>0</v>
      </c>
      <c r="H36" s="2" t="s">
        <v>51</v>
      </c>
      <c r="I36" s="32">
        <v>0.56508297744780678</v>
      </c>
      <c r="J36" s="25">
        <v>0.32040385726673631</v>
      </c>
      <c r="K36" s="25">
        <v>1.7636584723678124</v>
      </c>
      <c r="L36" s="30">
        <v>7.8576479758999854E-2</v>
      </c>
      <c r="M36" s="25">
        <v>-6.4862046067642565E-2</v>
      </c>
      <c r="N36" s="25">
        <v>1.1950280009632561</v>
      </c>
      <c r="O36" s="25">
        <v>-6.4862046067642565E-2</v>
      </c>
      <c r="P36" s="25">
        <v>1.1950280009632561</v>
      </c>
    </row>
    <row r="37" spans="1:16" x14ac:dyDescent="0.2">
      <c r="A37" s="4">
        <v>4.2</v>
      </c>
      <c r="B37" s="4">
        <v>14</v>
      </c>
      <c r="C37" s="4">
        <v>16</v>
      </c>
      <c r="D37" s="4">
        <v>1</v>
      </c>
      <c r="E37" s="4">
        <v>1</v>
      </c>
      <c r="F37" s="4">
        <v>0</v>
      </c>
      <c r="H37" s="2" t="s">
        <v>35</v>
      </c>
      <c r="I37" s="32">
        <v>1.1176232361661447</v>
      </c>
      <c r="J37" s="25">
        <v>0.39767419980053664</v>
      </c>
      <c r="K37" s="25">
        <v>2.8103991577193499</v>
      </c>
      <c r="L37" s="30">
        <v>5.1987416272643097E-3</v>
      </c>
      <c r="M37" s="25">
        <v>0.33575723342234975</v>
      </c>
      <c r="N37" s="25">
        <v>1.8994892389099396</v>
      </c>
      <c r="O37" s="25">
        <v>0.33575723342234975</v>
      </c>
      <c r="P37" s="25">
        <v>1.8994892389099396</v>
      </c>
    </row>
    <row r="38" spans="1:16" x14ac:dyDescent="0.2">
      <c r="A38" s="4">
        <v>18</v>
      </c>
      <c r="B38" s="4">
        <v>12</v>
      </c>
      <c r="C38" s="4">
        <v>16</v>
      </c>
      <c r="D38" s="4">
        <v>0</v>
      </c>
      <c r="E38" s="4">
        <v>1</v>
      </c>
      <c r="F38" s="4">
        <v>0</v>
      </c>
    </row>
    <row r="39" spans="1:16" x14ac:dyDescent="0.2">
      <c r="A39" s="4">
        <v>3.51</v>
      </c>
      <c r="B39" s="4">
        <v>4</v>
      </c>
      <c r="C39" s="4">
        <v>15</v>
      </c>
      <c r="D39" s="4">
        <v>0</v>
      </c>
      <c r="E39" s="4">
        <v>1</v>
      </c>
      <c r="F39" s="4">
        <v>1</v>
      </c>
    </row>
    <row r="40" spans="1:16" x14ac:dyDescent="0.2">
      <c r="A40" s="4">
        <v>5.83</v>
      </c>
      <c r="B40" s="4">
        <v>8</v>
      </c>
      <c r="C40" s="4">
        <v>15</v>
      </c>
      <c r="D40" s="4">
        <v>1</v>
      </c>
      <c r="E40" s="4">
        <v>1</v>
      </c>
      <c r="F40" s="4">
        <v>0</v>
      </c>
    </row>
    <row r="41" spans="1:16" x14ac:dyDescent="0.2">
      <c r="A41" s="4">
        <v>2.14</v>
      </c>
      <c r="B41" s="4">
        <v>13</v>
      </c>
      <c r="C41" s="4">
        <v>15</v>
      </c>
      <c r="D41" s="4">
        <v>1</v>
      </c>
      <c r="E41" s="4">
        <v>1</v>
      </c>
      <c r="F41" s="4">
        <v>0</v>
      </c>
    </row>
    <row r="42" spans="1:16" x14ac:dyDescent="0.2">
      <c r="A42" s="4">
        <v>18</v>
      </c>
      <c r="B42" s="4">
        <v>12</v>
      </c>
      <c r="C42" s="4">
        <v>15</v>
      </c>
      <c r="D42" s="4">
        <v>0</v>
      </c>
      <c r="E42" s="4">
        <v>1</v>
      </c>
      <c r="F42" s="4">
        <v>1</v>
      </c>
    </row>
    <row r="43" spans="1:16" x14ac:dyDescent="0.2">
      <c r="A43" s="4">
        <v>4.5</v>
      </c>
      <c r="B43" s="4">
        <v>12</v>
      </c>
      <c r="C43" s="4">
        <v>14</v>
      </c>
      <c r="D43" s="4">
        <v>1</v>
      </c>
      <c r="E43" s="4">
        <v>1</v>
      </c>
      <c r="F43" s="4">
        <v>1</v>
      </c>
    </row>
    <row r="44" spans="1:16" x14ac:dyDescent="0.2">
      <c r="A44" s="4">
        <v>6.5</v>
      </c>
      <c r="B44" s="4">
        <v>12</v>
      </c>
      <c r="C44" s="4">
        <v>14</v>
      </c>
      <c r="D44" s="4">
        <v>0</v>
      </c>
      <c r="E44" s="4">
        <v>1</v>
      </c>
      <c r="F44" s="4">
        <v>1</v>
      </c>
    </row>
    <row r="45" spans="1:16" x14ac:dyDescent="0.2">
      <c r="A45" s="4">
        <v>11.82</v>
      </c>
      <c r="B45" s="4">
        <v>16</v>
      </c>
      <c r="C45" s="4">
        <v>13</v>
      </c>
      <c r="D45" s="4">
        <v>0</v>
      </c>
      <c r="E45" s="4">
        <v>1</v>
      </c>
      <c r="F45" s="4">
        <v>1</v>
      </c>
    </row>
    <row r="46" spans="1:16" x14ac:dyDescent="0.2">
      <c r="A46" s="4">
        <v>3.29</v>
      </c>
      <c r="B46" s="4">
        <v>14</v>
      </c>
      <c r="C46" s="4">
        <v>13</v>
      </c>
      <c r="D46" s="4">
        <v>0</v>
      </c>
      <c r="E46" s="4">
        <v>0</v>
      </c>
      <c r="F46" s="4">
        <v>0</v>
      </c>
    </row>
    <row r="47" spans="1:16" x14ac:dyDescent="0.2">
      <c r="A47" s="4">
        <v>8.48</v>
      </c>
      <c r="B47" s="4">
        <v>12</v>
      </c>
      <c r="C47" s="4">
        <v>13</v>
      </c>
      <c r="D47" s="4">
        <v>0</v>
      </c>
      <c r="E47" s="4">
        <v>1</v>
      </c>
      <c r="F47" s="4">
        <v>1</v>
      </c>
    </row>
    <row r="48" spans="1:16" x14ac:dyDescent="0.2">
      <c r="A48" s="4">
        <v>6</v>
      </c>
      <c r="B48" s="4">
        <v>13</v>
      </c>
      <c r="C48" s="4">
        <v>13</v>
      </c>
      <c r="D48" s="4">
        <v>0</v>
      </c>
      <c r="E48" s="4">
        <v>1</v>
      </c>
      <c r="F48" s="4">
        <v>0</v>
      </c>
    </row>
    <row r="49" spans="1:6" x14ac:dyDescent="0.2">
      <c r="A49" s="4">
        <v>13.7</v>
      </c>
      <c r="B49" s="4">
        <v>15</v>
      </c>
      <c r="C49" s="4">
        <v>13</v>
      </c>
      <c r="D49" s="4">
        <v>0</v>
      </c>
      <c r="E49" s="4">
        <v>1</v>
      </c>
      <c r="F49" s="4">
        <v>1</v>
      </c>
    </row>
    <row r="50" spans="1:6" x14ac:dyDescent="0.2">
      <c r="A50" s="4">
        <v>4</v>
      </c>
      <c r="B50" s="4">
        <v>11</v>
      </c>
      <c r="C50" s="4">
        <v>12</v>
      </c>
      <c r="D50" s="4">
        <v>1</v>
      </c>
      <c r="E50" s="4">
        <v>1</v>
      </c>
      <c r="F50" s="4">
        <v>1</v>
      </c>
    </row>
    <row r="51" spans="1:6" x14ac:dyDescent="0.2">
      <c r="A51" s="4">
        <v>4.5</v>
      </c>
      <c r="B51" s="4">
        <v>12</v>
      </c>
      <c r="C51" s="4">
        <v>12</v>
      </c>
      <c r="D51" s="4">
        <v>1</v>
      </c>
      <c r="E51" s="4">
        <v>1</v>
      </c>
      <c r="F51" s="4">
        <v>0</v>
      </c>
    </row>
    <row r="52" spans="1:6" x14ac:dyDescent="0.2">
      <c r="A52" s="4">
        <v>6.15</v>
      </c>
      <c r="B52" s="4">
        <v>12</v>
      </c>
      <c r="C52" s="4">
        <v>12</v>
      </c>
      <c r="D52" s="4">
        <v>1</v>
      </c>
      <c r="E52" s="4">
        <v>0</v>
      </c>
      <c r="F52" s="4">
        <v>0</v>
      </c>
    </row>
    <row r="53" spans="1:6" x14ac:dyDescent="0.2">
      <c r="A53" s="4">
        <v>3</v>
      </c>
      <c r="B53" s="4">
        <v>8</v>
      </c>
      <c r="C53" s="4">
        <v>12</v>
      </c>
      <c r="D53" s="4">
        <v>1</v>
      </c>
      <c r="E53" s="4">
        <v>1</v>
      </c>
      <c r="F53" s="4">
        <v>0</v>
      </c>
    </row>
    <row r="54" spans="1:6" x14ac:dyDescent="0.2">
      <c r="A54" s="4">
        <v>9.1300000000000008</v>
      </c>
      <c r="B54" s="4">
        <v>12</v>
      </c>
      <c r="C54" s="4">
        <v>12</v>
      </c>
      <c r="D54" s="4">
        <v>0</v>
      </c>
      <c r="E54" s="4">
        <v>1</v>
      </c>
      <c r="F54" s="4">
        <v>0</v>
      </c>
    </row>
    <row r="55" spans="1:6" x14ac:dyDescent="0.2">
      <c r="A55" s="4">
        <v>9.09</v>
      </c>
      <c r="B55" s="4">
        <v>15</v>
      </c>
      <c r="C55" s="4">
        <v>12</v>
      </c>
      <c r="D55" s="4">
        <v>0</v>
      </c>
      <c r="E55" s="4">
        <v>1</v>
      </c>
      <c r="F55" s="4">
        <v>1</v>
      </c>
    </row>
    <row r="56" spans="1:6" x14ac:dyDescent="0.2">
      <c r="A56" s="4">
        <v>4.4400000000000004</v>
      </c>
      <c r="B56" s="4">
        <v>8</v>
      </c>
      <c r="C56" s="4">
        <v>11</v>
      </c>
      <c r="D56" s="4">
        <v>0</v>
      </c>
      <c r="E56" s="4">
        <v>1</v>
      </c>
      <c r="F56" s="4">
        <v>0</v>
      </c>
    </row>
    <row r="57" spans="1:6" x14ac:dyDescent="0.2">
      <c r="A57" s="4">
        <v>6.5</v>
      </c>
      <c r="B57" s="4">
        <v>10</v>
      </c>
      <c r="C57" s="4">
        <v>11</v>
      </c>
      <c r="D57" s="4">
        <v>0</v>
      </c>
      <c r="E57" s="4">
        <v>1</v>
      </c>
      <c r="F57" s="4">
        <v>0</v>
      </c>
    </row>
    <row r="58" spans="1:6" x14ac:dyDescent="0.2">
      <c r="A58" s="4">
        <v>5</v>
      </c>
      <c r="B58" s="4">
        <v>12</v>
      </c>
      <c r="C58" s="4">
        <v>11</v>
      </c>
      <c r="D58" s="4">
        <v>1</v>
      </c>
      <c r="E58" s="4">
        <v>0</v>
      </c>
      <c r="F58" s="4">
        <v>0</v>
      </c>
    </row>
    <row r="59" spans="1:6" x14ac:dyDescent="0.2">
      <c r="A59" s="4">
        <v>13.33</v>
      </c>
      <c r="B59" s="4">
        <v>12</v>
      </c>
      <c r="C59" s="4">
        <v>11</v>
      </c>
      <c r="D59" s="4">
        <v>0</v>
      </c>
      <c r="E59" s="4">
        <v>1</v>
      </c>
      <c r="F59" s="4">
        <v>0</v>
      </c>
    </row>
    <row r="60" spans="1:6" x14ac:dyDescent="0.2">
      <c r="A60" s="4">
        <v>5.25</v>
      </c>
      <c r="B60" s="4">
        <v>11</v>
      </c>
      <c r="C60" s="4">
        <v>11</v>
      </c>
      <c r="D60" s="4">
        <v>0</v>
      </c>
      <c r="E60" s="4">
        <v>1</v>
      </c>
      <c r="F60" s="4">
        <v>0</v>
      </c>
    </row>
    <row r="61" spans="1:6" x14ac:dyDescent="0.2">
      <c r="A61" s="4">
        <v>2.65</v>
      </c>
      <c r="B61" s="4">
        <v>12</v>
      </c>
      <c r="C61" s="4">
        <v>10</v>
      </c>
      <c r="D61" s="4">
        <v>1</v>
      </c>
      <c r="E61" s="4">
        <v>1</v>
      </c>
      <c r="F61" s="4">
        <v>1</v>
      </c>
    </row>
    <row r="62" spans="1:6" x14ac:dyDescent="0.2">
      <c r="A62" s="4">
        <v>4.5</v>
      </c>
      <c r="B62" s="4">
        <v>11</v>
      </c>
      <c r="C62" s="4">
        <v>10</v>
      </c>
      <c r="D62" s="4">
        <v>0</v>
      </c>
      <c r="E62" s="4">
        <v>1</v>
      </c>
      <c r="F62" s="4">
        <v>0</v>
      </c>
    </row>
    <row r="63" spans="1:6" x14ac:dyDescent="0.2">
      <c r="A63" s="4">
        <v>4.17</v>
      </c>
      <c r="B63" s="4">
        <v>0</v>
      </c>
      <c r="C63" s="4">
        <v>10</v>
      </c>
      <c r="D63" s="4">
        <v>1</v>
      </c>
      <c r="E63" s="4">
        <v>0</v>
      </c>
      <c r="F63" s="4">
        <v>0</v>
      </c>
    </row>
    <row r="64" spans="1:6" x14ac:dyDescent="0.2">
      <c r="A64" s="4">
        <v>3</v>
      </c>
      <c r="B64" s="4">
        <v>16</v>
      </c>
      <c r="C64" s="4">
        <v>10</v>
      </c>
      <c r="D64" s="4">
        <v>1</v>
      </c>
      <c r="E64" s="4">
        <v>1</v>
      </c>
      <c r="F64" s="4">
        <v>0</v>
      </c>
    </row>
    <row r="65" spans="1:6" x14ac:dyDescent="0.2">
      <c r="A65" s="4">
        <v>5.25</v>
      </c>
      <c r="B65" s="4">
        <v>12</v>
      </c>
      <c r="C65" s="4">
        <v>10</v>
      </c>
      <c r="D65" s="4">
        <v>1</v>
      </c>
      <c r="E65" s="4">
        <v>1</v>
      </c>
      <c r="F65" s="4">
        <v>0</v>
      </c>
    </row>
    <row r="66" spans="1:6" x14ac:dyDescent="0.2">
      <c r="A66" s="4">
        <v>10.63</v>
      </c>
      <c r="B66" s="4">
        <v>13</v>
      </c>
      <c r="C66" s="4">
        <v>10</v>
      </c>
      <c r="D66" s="4">
        <v>1</v>
      </c>
      <c r="E66" s="4">
        <v>0</v>
      </c>
      <c r="F66" s="4">
        <v>1</v>
      </c>
    </row>
    <row r="67" spans="1:6" x14ac:dyDescent="0.2">
      <c r="A67" s="4">
        <v>3.06</v>
      </c>
      <c r="B67" s="4">
        <v>12</v>
      </c>
      <c r="C67" s="4">
        <v>10</v>
      </c>
      <c r="D67" s="4">
        <v>1</v>
      </c>
      <c r="E67" s="4">
        <v>0</v>
      </c>
      <c r="F67" s="4">
        <v>0</v>
      </c>
    </row>
    <row r="68" spans="1:6" x14ac:dyDescent="0.2">
      <c r="A68" s="4">
        <v>7.78</v>
      </c>
      <c r="B68" s="4">
        <v>16</v>
      </c>
      <c r="C68" s="4">
        <v>10</v>
      </c>
      <c r="D68" s="4">
        <v>0</v>
      </c>
      <c r="E68" s="4">
        <v>1</v>
      </c>
      <c r="F68" s="4">
        <v>1</v>
      </c>
    </row>
    <row r="69" spans="1:6" x14ac:dyDescent="0.2">
      <c r="A69" s="4">
        <v>11.98</v>
      </c>
      <c r="B69" s="4">
        <v>18</v>
      </c>
      <c r="C69" s="4">
        <v>10</v>
      </c>
      <c r="D69" s="4">
        <v>0</v>
      </c>
      <c r="E69" s="4">
        <v>1</v>
      </c>
      <c r="F69" s="4">
        <v>0</v>
      </c>
    </row>
    <row r="70" spans="1:6" x14ac:dyDescent="0.2">
      <c r="A70" s="4">
        <v>5</v>
      </c>
      <c r="B70" s="10">
        <v>12</v>
      </c>
      <c r="C70" s="4">
        <v>9</v>
      </c>
      <c r="D70" s="4">
        <v>0</v>
      </c>
      <c r="E70" s="4">
        <v>1</v>
      </c>
      <c r="F70" s="4">
        <v>0</v>
      </c>
    </row>
    <row r="71" spans="1:6" x14ac:dyDescent="0.2">
      <c r="A71" s="4">
        <v>8.6300000000000008</v>
      </c>
      <c r="B71" s="4">
        <v>12</v>
      </c>
      <c r="C71" s="4">
        <v>9</v>
      </c>
      <c r="D71" s="4">
        <v>0</v>
      </c>
      <c r="E71" s="4">
        <v>1</v>
      </c>
      <c r="F71" s="4">
        <v>0</v>
      </c>
    </row>
    <row r="72" spans="1:6" x14ac:dyDescent="0.2">
      <c r="A72" s="4">
        <v>3.3</v>
      </c>
      <c r="B72" s="4">
        <v>12</v>
      </c>
      <c r="C72" s="4">
        <v>9</v>
      </c>
      <c r="D72" s="4">
        <v>1</v>
      </c>
      <c r="E72" s="4">
        <v>1</v>
      </c>
      <c r="F72" s="4">
        <v>0</v>
      </c>
    </row>
    <row r="73" spans="1:6" x14ac:dyDescent="0.2">
      <c r="A73" s="4">
        <v>6.33</v>
      </c>
      <c r="B73" s="4">
        <v>16</v>
      </c>
      <c r="C73" s="4">
        <v>9</v>
      </c>
      <c r="D73" s="4">
        <v>1</v>
      </c>
      <c r="E73" s="4">
        <v>0</v>
      </c>
      <c r="F73" s="4">
        <v>1</v>
      </c>
    </row>
    <row r="74" spans="1:6" x14ac:dyDescent="0.2">
      <c r="A74" s="4">
        <v>2.87</v>
      </c>
      <c r="B74" s="4">
        <v>12</v>
      </c>
      <c r="C74" s="4">
        <v>8</v>
      </c>
      <c r="D74" s="4">
        <v>1</v>
      </c>
      <c r="E74" s="4">
        <v>1</v>
      </c>
      <c r="F74" s="4">
        <v>0</v>
      </c>
    </row>
    <row r="75" spans="1:6" x14ac:dyDescent="0.2">
      <c r="A75" s="4">
        <v>4.79</v>
      </c>
      <c r="B75" s="4">
        <v>12</v>
      </c>
      <c r="C75" s="4">
        <v>8</v>
      </c>
      <c r="D75" s="4">
        <v>0</v>
      </c>
      <c r="E75" s="4">
        <v>1</v>
      </c>
      <c r="F75" s="4">
        <v>0</v>
      </c>
    </row>
    <row r="76" spans="1:6" x14ac:dyDescent="0.2">
      <c r="A76" s="4">
        <v>3.33</v>
      </c>
      <c r="B76" s="4">
        <v>12</v>
      </c>
      <c r="C76" s="4">
        <v>8</v>
      </c>
      <c r="D76" s="4">
        <v>1</v>
      </c>
      <c r="E76" s="4">
        <v>1</v>
      </c>
      <c r="F76" s="4">
        <v>0</v>
      </c>
    </row>
    <row r="77" spans="1:6" x14ac:dyDescent="0.2">
      <c r="A77" s="4">
        <v>6.25</v>
      </c>
      <c r="B77" s="4">
        <v>10</v>
      </c>
      <c r="C77" s="4">
        <v>8</v>
      </c>
      <c r="D77" s="4">
        <v>0</v>
      </c>
      <c r="E77" s="4">
        <v>0</v>
      </c>
      <c r="F77" s="4">
        <v>0</v>
      </c>
    </row>
    <row r="78" spans="1:6" x14ac:dyDescent="0.2">
      <c r="A78" s="4">
        <v>11.11</v>
      </c>
      <c r="B78" s="4">
        <v>12</v>
      </c>
      <c r="C78" s="4">
        <v>8</v>
      </c>
      <c r="D78" s="4">
        <v>0</v>
      </c>
      <c r="E78" s="4">
        <v>1</v>
      </c>
      <c r="F78" s="4">
        <v>0</v>
      </c>
    </row>
    <row r="79" spans="1:6" x14ac:dyDescent="0.2">
      <c r="A79" s="4">
        <v>8.64</v>
      </c>
      <c r="B79" s="4">
        <v>12</v>
      </c>
      <c r="C79" s="4">
        <v>8</v>
      </c>
      <c r="D79" s="4">
        <v>0</v>
      </c>
      <c r="E79" s="4">
        <v>1</v>
      </c>
      <c r="F79" s="4">
        <v>0</v>
      </c>
    </row>
    <row r="80" spans="1:6" x14ac:dyDescent="0.2">
      <c r="A80" s="4">
        <v>3.3</v>
      </c>
      <c r="B80" s="4">
        <v>12</v>
      </c>
      <c r="C80" s="4">
        <v>8</v>
      </c>
      <c r="D80" s="4">
        <v>0</v>
      </c>
      <c r="E80" s="4">
        <v>1</v>
      </c>
      <c r="F80" s="4">
        <v>0</v>
      </c>
    </row>
    <row r="81" spans="1:6" x14ac:dyDescent="0.2">
      <c r="A81" s="4">
        <v>6.33</v>
      </c>
      <c r="B81" s="4">
        <v>12</v>
      </c>
      <c r="C81" s="4">
        <v>8</v>
      </c>
      <c r="D81" s="4">
        <v>0</v>
      </c>
      <c r="E81" s="4">
        <v>1</v>
      </c>
      <c r="F81" s="4">
        <v>0</v>
      </c>
    </row>
    <row r="82" spans="1:6" x14ac:dyDescent="0.2">
      <c r="A82" s="4">
        <v>4.91</v>
      </c>
      <c r="B82" s="4">
        <v>12</v>
      </c>
      <c r="C82" s="4">
        <v>8</v>
      </c>
      <c r="D82" s="4">
        <v>0</v>
      </c>
      <c r="E82" s="4">
        <v>1</v>
      </c>
      <c r="F82" s="4">
        <v>0</v>
      </c>
    </row>
    <row r="83" spans="1:6" x14ac:dyDescent="0.2">
      <c r="A83" s="4">
        <v>8.75</v>
      </c>
      <c r="B83" s="4">
        <v>16</v>
      </c>
      <c r="C83" s="4">
        <v>8</v>
      </c>
      <c r="D83" s="4">
        <v>0</v>
      </c>
      <c r="E83" s="4">
        <v>1</v>
      </c>
      <c r="F83" s="4">
        <v>1</v>
      </c>
    </row>
    <row r="84" spans="1:6" x14ac:dyDescent="0.2">
      <c r="A84" s="4">
        <v>10</v>
      </c>
      <c r="B84" s="4">
        <v>18</v>
      </c>
      <c r="C84" s="4">
        <v>8</v>
      </c>
      <c r="D84" s="4">
        <v>0</v>
      </c>
      <c r="E84" s="4">
        <v>0</v>
      </c>
      <c r="F84" s="4">
        <v>0</v>
      </c>
    </row>
    <row r="85" spans="1:6" x14ac:dyDescent="0.2">
      <c r="A85" s="4">
        <v>21.63</v>
      </c>
      <c r="B85" s="4">
        <v>18</v>
      </c>
      <c r="C85" s="4">
        <v>8</v>
      </c>
      <c r="D85" s="4">
        <v>1</v>
      </c>
      <c r="E85" s="4">
        <v>0</v>
      </c>
      <c r="F85" s="4">
        <v>0</v>
      </c>
    </row>
    <row r="86" spans="1:6" x14ac:dyDescent="0.2">
      <c r="A86" s="4">
        <v>4.57</v>
      </c>
      <c r="B86" s="4">
        <v>14</v>
      </c>
      <c r="C86" s="4">
        <v>7</v>
      </c>
      <c r="D86" s="4">
        <v>1</v>
      </c>
      <c r="E86" s="4">
        <v>1</v>
      </c>
      <c r="F86" s="4">
        <v>0</v>
      </c>
    </row>
    <row r="87" spans="1:6" x14ac:dyDescent="0.2">
      <c r="A87" s="4">
        <v>18.16</v>
      </c>
      <c r="B87" s="4">
        <v>16</v>
      </c>
      <c r="C87" s="4">
        <v>7</v>
      </c>
      <c r="D87" s="4">
        <v>0</v>
      </c>
      <c r="E87" s="4">
        <v>1</v>
      </c>
      <c r="F87" s="4">
        <v>0</v>
      </c>
    </row>
    <row r="88" spans="1:6" x14ac:dyDescent="0.2">
      <c r="A88" s="4">
        <v>11.25</v>
      </c>
      <c r="B88" s="4">
        <v>18</v>
      </c>
      <c r="C88" s="4">
        <v>7</v>
      </c>
      <c r="D88" s="4">
        <v>0</v>
      </c>
      <c r="E88" s="4">
        <v>0</v>
      </c>
      <c r="F88" s="4">
        <v>1</v>
      </c>
    </row>
    <row r="89" spans="1:6" x14ac:dyDescent="0.2">
      <c r="A89" s="4">
        <v>5.9</v>
      </c>
      <c r="B89" s="4">
        <v>12</v>
      </c>
      <c r="C89" s="4">
        <v>7</v>
      </c>
      <c r="D89" s="4">
        <v>0</v>
      </c>
      <c r="E89" s="4">
        <v>1</v>
      </c>
      <c r="F89" s="4">
        <v>0</v>
      </c>
    </row>
    <row r="90" spans="1:6" x14ac:dyDescent="0.2">
      <c r="A90" s="4">
        <v>3.71</v>
      </c>
      <c r="B90" s="4">
        <v>9</v>
      </c>
      <c r="C90" s="4">
        <v>7</v>
      </c>
      <c r="D90" s="4">
        <v>0</v>
      </c>
      <c r="E90" s="4">
        <v>1</v>
      </c>
      <c r="F90" s="4">
        <v>0</v>
      </c>
    </row>
    <row r="91" spans="1:6" x14ac:dyDescent="0.2">
      <c r="A91" s="4">
        <v>7.5</v>
      </c>
      <c r="B91" s="4">
        <v>12</v>
      </c>
      <c r="C91" s="4">
        <v>7</v>
      </c>
      <c r="D91" s="10">
        <v>2</v>
      </c>
      <c r="E91" s="4">
        <v>1</v>
      </c>
      <c r="F91" s="4">
        <v>0</v>
      </c>
    </row>
    <row r="92" spans="1:6" x14ac:dyDescent="0.2">
      <c r="A92" s="4">
        <v>5.9</v>
      </c>
      <c r="B92" s="4">
        <v>12</v>
      </c>
      <c r="C92" s="4">
        <v>7</v>
      </c>
      <c r="D92" s="4">
        <v>1</v>
      </c>
      <c r="E92" s="4">
        <v>1</v>
      </c>
      <c r="F92" s="4">
        <v>0</v>
      </c>
    </row>
    <row r="93" spans="1:6" x14ac:dyDescent="0.2">
      <c r="A93" s="4">
        <v>4.6900000000000004</v>
      </c>
      <c r="B93" s="4">
        <v>10</v>
      </c>
      <c r="C93" s="4">
        <v>7</v>
      </c>
      <c r="D93" s="4">
        <v>0</v>
      </c>
      <c r="E93" s="4">
        <v>0</v>
      </c>
      <c r="F93" s="4">
        <v>0</v>
      </c>
    </row>
    <row r="94" spans="1:6" x14ac:dyDescent="0.2">
      <c r="A94" s="4">
        <v>6</v>
      </c>
      <c r="B94" s="4">
        <v>12</v>
      </c>
      <c r="C94" s="4">
        <v>7</v>
      </c>
      <c r="D94" s="4">
        <v>0</v>
      </c>
      <c r="E94" s="4">
        <v>1</v>
      </c>
      <c r="F94" s="4">
        <v>0</v>
      </c>
    </row>
    <row r="95" spans="1:6" x14ac:dyDescent="0.2">
      <c r="A95" s="4">
        <v>15</v>
      </c>
      <c r="B95" s="4">
        <v>14</v>
      </c>
      <c r="C95" s="4">
        <v>7</v>
      </c>
      <c r="D95" s="4">
        <v>0</v>
      </c>
      <c r="E95" s="4">
        <v>1</v>
      </c>
      <c r="F95" s="4">
        <v>0</v>
      </c>
    </row>
    <row r="96" spans="1:6" x14ac:dyDescent="0.2">
      <c r="A96" s="4">
        <v>3.54</v>
      </c>
      <c r="B96" s="4">
        <v>13</v>
      </c>
      <c r="C96" s="4">
        <v>7</v>
      </c>
      <c r="D96" s="4">
        <v>1</v>
      </c>
      <c r="E96" s="4">
        <v>1</v>
      </c>
      <c r="F96" s="4">
        <v>0</v>
      </c>
    </row>
    <row r="97" spans="1:6" x14ac:dyDescent="0.2">
      <c r="A97" s="4">
        <v>2.9</v>
      </c>
      <c r="B97" s="4">
        <v>8</v>
      </c>
      <c r="C97" s="4">
        <v>6</v>
      </c>
      <c r="D97" s="4">
        <v>1</v>
      </c>
      <c r="E97" s="4">
        <v>0</v>
      </c>
      <c r="F97" s="4">
        <v>0</v>
      </c>
    </row>
    <row r="98" spans="1:6" x14ac:dyDescent="0.2">
      <c r="A98" s="4">
        <v>4</v>
      </c>
      <c r="B98" s="4">
        <v>12</v>
      </c>
      <c r="C98" s="4">
        <v>6</v>
      </c>
      <c r="D98" s="4">
        <v>1</v>
      </c>
      <c r="E98" s="4">
        <v>1</v>
      </c>
      <c r="F98" s="4">
        <v>0</v>
      </c>
    </row>
    <row r="99" spans="1:6" x14ac:dyDescent="0.2">
      <c r="A99" s="4">
        <v>6.25</v>
      </c>
      <c r="B99" s="4">
        <v>12</v>
      </c>
      <c r="C99" s="4">
        <v>6</v>
      </c>
      <c r="D99" s="4">
        <v>0</v>
      </c>
      <c r="E99" s="4">
        <v>1</v>
      </c>
      <c r="F99" s="4">
        <v>0</v>
      </c>
    </row>
    <row r="100" spans="1:6" x14ac:dyDescent="0.2">
      <c r="A100" s="4">
        <v>5.8</v>
      </c>
      <c r="B100" s="4">
        <v>12</v>
      </c>
      <c r="C100" s="4">
        <v>6</v>
      </c>
      <c r="D100" s="4">
        <v>1</v>
      </c>
      <c r="E100" s="4">
        <v>1</v>
      </c>
      <c r="F100" s="4">
        <v>0</v>
      </c>
    </row>
    <row r="101" spans="1:6" x14ac:dyDescent="0.2">
      <c r="A101" s="4">
        <v>8</v>
      </c>
      <c r="B101" s="4">
        <v>12</v>
      </c>
      <c r="C101" s="4">
        <v>6</v>
      </c>
      <c r="D101" s="4">
        <v>0</v>
      </c>
      <c r="E101" s="4">
        <v>1</v>
      </c>
      <c r="F101" s="4">
        <v>0</v>
      </c>
    </row>
    <row r="102" spans="1:6" x14ac:dyDescent="0.2">
      <c r="A102" s="4">
        <v>6.15</v>
      </c>
      <c r="B102" s="4">
        <v>12</v>
      </c>
      <c r="C102" s="4">
        <v>6</v>
      </c>
      <c r="D102" s="4">
        <v>1</v>
      </c>
      <c r="E102" s="4">
        <v>1</v>
      </c>
      <c r="F102" s="4">
        <v>1</v>
      </c>
    </row>
    <row r="103" spans="1:6" x14ac:dyDescent="0.2">
      <c r="A103" s="4">
        <v>5.91</v>
      </c>
      <c r="B103" s="4">
        <v>12</v>
      </c>
      <c r="C103" s="4">
        <v>6</v>
      </c>
      <c r="D103" s="4">
        <v>0</v>
      </c>
      <c r="E103" s="4">
        <v>1</v>
      </c>
      <c r="F103" s="4">
        <v>0</v>
      </c>
    </row>
    <row r="104" spans="1:6" x14ac:dyDescent="0.2">
      <c r="A104" s="4">
        <v>8.5299999999999994</v>
      </c>
      <c r="B104" s="4">
        <v>10</v>
      </c>
      <c r="C104" s="4">
        <v>6</v>
      </c>
      <c r="D104" s="4">
        <v>0</v>
      </c>
      <c r="E104" s="4">
        <v>1</v>
      </c>
      <c r="F104" s="4">
        <v>0</v>
      </c>
    </row>
    <row r="105" spans="1:6" x14ac:dyDescent="0.2">
      <c r="A105" s="4">
        <v>8.43</v>
      </c>
      <c r="B105" s="4">
        <v>16</v>
      </c>
      <c r="C105" s="4">
        <v>6</v>
      </c>
      <c r="D105" s="4">
        <v>0</v>
      </c>
      <c r="E105" s="4">
        <v>1</v>
      </c>
      <c r="F105" s="4">
        <v>0</v>
      </c>
    </row>
    <row r="106" spans="1:6" x14ac:dyDescent="0.2">
      <c r="A106" s="4">
        <v>6.45</v>
      </c>
      <c r="B106" s="4">
        <v>12</v>
      </c>
      <c r="C106" s="4">
        <v>6</v>
      </c>
      <c r="D106" s="10">
        <v>2</v>
      </c>
      <c r="E106" s="4">
        <v>1</v>
      </c>
      <c r="F106" s="4">
        <v>0</v>
      </c>
    </row>
    <row r="107" spans="1:6" x14ac:dyDescent="0.2">
      <c r="A107" s="4">
        <v>3.5</v>
      </c>
      <c r="B107" s="4">
        <v>12</v>
      </c>
      <c r="C107" s="4">
        <v>6</v>
      </c>
      <c r="D107" s="4">
        <v>1</v>
      </c>
      <c r="E107" s="4">
        <v>1</v>
      </c>
      <c r="F107" s="4">
        <v>0</v>
      </c>
    </row>
    <row r="108" spans="1:6" x14ac:dyDescent="0.2">
      <c r="A108" s="4">
        <v>5.13</v>
      </c>
      <c r="B108" s="4">
        <v>15</v>
      </c>
      <c r="C108" s="4">
        <v>6</v>
      </c>
      <c r="D108" s="10">
        <v>2</v>
      </c>
      <c r="E108" s="4">
        <v>0</v>
      </c>
      <c r="F108" s="4">
        <v>0</v>
      </c>
    </row>
    <row r="109" spans="1:6" x14ac:dyDescent="0.2">
      <c r="A109" s="4">
        <v>7.14</v>
      </c>
      <c r="B109" s="4">
        <v>12</v>
      </c>
      <c r="C109" s="4">
        <v>5</v>
      </c>
      <c r="D109" s="4">
        <v>1</v>
      </c>
      <c r="E109" s="4">
        <v>0</v>
      </c>
      <c r="F109" s="4">
        <v>0</v>
      </c>
    </row>
    <row r="110" spans="1:6" x14ac:dyDescent="0.2">
      <c r="A110" s="4">
        <v>12.39</v>
      </c>
      <c r="B110" s="4">
        <v>14</v>
      </c>
      <c r="C110" s="4">
        <v>5</v>
      </c>
      <c r="D110" s="4">
        <v>0</v>
      </c>
      <c r="E110" s="4">
        <v>0</v>
      </c>
      <c r="F110" s="4">
        <v>0</v>
      </c>
    </row>
    <row r="111" spans="1:6" x14ac:dyDescent="0.2">
      <c r="A111" s="4">
        <v>8</v>
      </c>
      <c r="B111" s="4">
        <v>13</v>
      </c>
      <c r="C111" s="4">
        <v>5</v>
      </c>
      <c r="D111" s="4">
        <v>0</v>
      </c>
      <c r="E111" s="4">
        <v>1</v>
      </c>
      <c r="F111" s="4">
        <v>0</v>
      </c>
    </row>
    <row r="112" spans="1:6" x14ac:dyDescent="0.2">
      <c r="A112" s="4">
        <v>5</v>
      </c>
      <c r="B112" s="10">
        <v>12</v>
      </c>
      <c r="C112" s="4">
        <v>5</v>
      </c>
      <c r="D112" s="4">
        <v>0</v>
      </c>
      <c r="E112" s="4">
        <v>1</v>
      </c>
      <c r="F112" s="4">
        <v>0</v>
      </c>
    </row>
    <row r="113" spans="1:6" x14ac:dyDescent="0.2">
      <c r="A113" s="4">
        <v>13</v>
      </c>
      <c r="B113" s="4">
        <v>14</v>
      </c>
      <c r="C113" s="4">
        <v>5</v>
      </c>
      <c r="D113" s="4">
        <v>0</v>
      </c>
      <c r="E113" s="4">
        <v>1</v>
      </c>
      <c r="F113" s="4">
        <v>1</v>
      </c>
    </row>
    <row r="114" spans="1:6" x14ac:dyDescent="0.2">
      <c r="A114" s="4">
        <v>4.5</v>
      </c>
      <c r="B114" s="4">
        <v>9</v>
      </c>
      <c r="C114" s="4">
        <v>5</v>
      </c>
      <c r="D114" s="4">
        <v>0</v>
      </c>
      <c r="E114" s="4">
        <v>1</v>
      </c>
      <c r="F114" s="4">
        <v>0</v>
      </c>
    </row>
    <row r="115" spans="1:6" x14ac:dyDescent="0.2">
      <c r="A115" s="4">
        <v>8.18</v>
      </c>
      <c r="B115" s="4">
        <v>13</v>
      </c>
      <c r="C115" s="4">
        <v>5</v>
      </c>
      <c r="D115" s="4">
        <v>0</v>
      </c>
      <c r="E115" s="4">
        <v>0</v>
      </c>
      <c r="F115" s="4">
        <v>1</v>
      </c>
    </row>
    <row r="116" spans="1:6" x14ac:dyDescent="0.2">
      <c r="A116" s="4">
        <v>11.55</v>
      </c>
      <c r="B116" s="4">
        <v>16</v>
      </c>
      <c r="C116" s="4">
        <v>5</v>
      </c>
      <c r="D116" s="4">
        <v>1</v>
      </c>
      <c r="E116" s="4">
        <v>1</v>
      </c>
      <c r="F116" s="4">
        <v>0</v>
      </c>
    </row>
    <row r="117" spans="1:6" x14ac:dyDescent="0.2">
      <c r="A117" s="4">
        <v>5</v>
      </c>
      <c r="B117" s="4">
        <v>14</v>
      </c>
      <c r="C117" s="4">
        <v>5</v>
      </c>
      <c r="D117" s="4">
        <v>0</v>
      </c>
      <c r="E117" s="4">
        <v>1</v>
      </c>
      <c r="F117" s="4">
        <v>0</v>
      </c>
    </row>
    <row r="118" spans="1:6" x14ac:dyDescent="0.2">
      <c r="A118" s="4">
        <v>10</v>
      </c>
      <c r="B118" s="4">
        <v>14</v>
      </c>
      <c r="C118" s="4">
        <v>5</v>
      </c>
      <c r="D118" s="4">
        <v>0</v>
      </c>
      <c r="E118" s="4">
        <v>1</v>
      </c>
      <c r="F118" s="4">
        <v>0</v>
      </c>
    </row>
    <row r="119" spans="1:6" x14ac:dyDescent="0.2">
      <c r="A119" s="4">
        <v>12.5</v>
      </c>
      <c r="B119" s="4">
        <v>18</v>
      </c>
      <c r="C119" s="4">
        <v>5</v>
      </c>
      <c r="D119" s="4">
        <v>0</v>
      </c>
      <c r="E119" s="4">
        <v>1</v>
      </c>
      <c r="F119" s="4">
        <v>0</v>
      </c>
    </row>
    <row r="120" spans="1:6" x14ac:dyDescent="0.2">
      <c r="A120" s="4">
        <v>5</v>
      </c>
      <c r="B120" s="4">
        <v>12</v>
      </c>
      <c r="C120" s="4">
        <v>5</v>
      </c>
      <c r="D120" s="4">
        <v>0</v>
      </c>
      <c r="E120" s="4">
        <v>1</v>
      </c>
      <c r="F120" s="4">
        <v>0</v>
      </c>
    </row>
    <row r="121" spans="1:6" x14ac:dyDescent="0.2">
      <c r="A121" s="4">
        <v>5</v>
      </c>
      <c r="B121" s="10">
        <v>12</v>
      </c>
      <c r="C121" s="4">
        <v>5</v>
      </c>
      <c r="D121" s="4">
        <v>0</v>
      </c>
      <c r="E121" s="4">
        <v>1</v>
      </c>
      <c r="F121" s="4">
        <v>0</v>
      </c>
    </row>
    <row r="122" spans="1:6" x14ac:dyDescent="0.2">
      <c r="A122" s="4">
        <v>3.2</v>
      </c>
      <c r="B122" s="4">
        <v>12</v>
      </c>
      <c r="C122" s="4">
        <v>5</v>
      </c>
      <c r="D122" s="4">
        <v>1</v>
      </c>
      <c r="E122" s="4">
        <v>1</v>
      </c>
      <c r="F122" s="4">
        <v>0</v>
      </c>
    </row>
    <row r="123" spans="1:6" x14ac:dyDescent="0.2">
      <c r="A123" s="4">
        <v>3.26</v>
      </c>
      <c r="B123" s="4">
        <v>16</v>
      </c>
      <c r="C123" s="4">
        <v>5</v>
      </c>
      <c r="D123" s="4">
        <v>1</v>
      </c>
      <c r="E123" s="4">
        <v>1</v>
      </c>
      <c r="F123" s="4">
        <v>0</v>
      </c>
    </row>
    <row r="124" spans="1:6" x14ac:dyDescent="0.2">
      <c r="A124" s="4">
        <v>4.24</v>
      </c>
      <c r="B124" s="4">
        <v>10</v>
      </c>
      <c r="C124" s="4">
        <v>5</v>
      </c>
      <c r="D124" s="10">
        <v>2</v>
      </c>
      <c r="E124" s="4">
        <v>1</v>
      </c>
      <c r="F124" s="4">
        <v>0</v>
      </c>
    </row>
    <row r="125" spans="1:6" x14ac:dyDescent="0.2">
      <c r="A125" s="4">
        <v>9</v>
      </c>
      <c r="B125" s="4">
        <v>12</v>
      </c>
      <c r="C125" s="4">
        <v>5</v>
      </c>
      <c r="D125" s="4">
        <v>1</v>
      </c>
      <c r="E125" s="4">
        <v>1</v>
      </c>
      <c r="F125" s="4">
        <v>0</v>
      </c>
    </row>
    <row r="126" spans="1:6" x14ac:dyDescent="0.2">
      <c r="A126" s="4">
        <v>5.71</v>
      </c>
      <c r="B126" s="4">
        <v>16</v>
      </c>
      <c r="C126" s="4">
        <v>5</v>
      </c>
      <c r="D126" s="4">
        <v>0</v>
      </c>
      <c r="E126" s="4">
        <v>1</v>
      </c>
      <c r="F126" s="4">
        <v>0</v>
      </c>
    </row>
    <row r="127" spans="1:6" x14ac:dyDescent="0.2">
      <c r="A127" s="4">
        <v>6.5</v>
      </c>
      <c r="B127" s="4">
        <v>12</v>
      </c>
      <c r="C127" s="4">
        <v>5</v>
      </c>
      <c r="D127" s="4">
        <v>1</v>
      </c>
      <c r="E127" s="4">
        <v>1</v>
      </c>
      <c r="F127" s="4">
        <v>0</v>
      </c>
    </row>
    <row r="128" spans="1:6" x14ac:dyDescent="0.2">
      <c r="A128" s="4">
        <v>6.67</v>
      </c>
      <c r="B128" s="4">
        <v>12</v>
      </c>
      <c r="C128" s="4">
        <v>5</v>
      </c>
      <c r="D128" s="4">
        <v>0</v>
      </c>
      <c r="E128" s="4">
        <v>0</v>
      </c>
      <c r="F128" s="4">
        <v>0</v>
      </c>
    </row>
    <row r="129" spans="1:6" x14ac:dyDescent="0.2">
      <c r="A129" s="4">
        <v>7</v>
      </c>
      <c r="B129" s="4">
        <v>12</v>
      </c>
      <c r="C129" s="4">
        <v>5</v>
      </c>
      <c r="D129" s="4">
        <v>0</v>
      </c>
      <c r="E129" s="4">
        <v>1</v>
      </c>
      <c r="F129" s="4">
        <v>0</v>
      </c>
    </row>
    <row r="130" spans="1:6" x14ac:dyDescent="0.2">
      <c r="A130" s="4">
        <v>3.13</v>
      </c>
      <c r="B130" s="4">
        <v>12</v>
      </c>
      <c r="C130" s="4">
        <v>5</v>
      </c>
      <c r="D130" s="4">
        <v>1</v>
      </c>
      <c r="E130" s="4">
        <v>1</v>
      </c>
      <c r="F130" s="4">
        <v>0</v>
      </c>
    </row>
    <row r="131" spans="1:6" x14ac:dyDescent="0.2">
      <c r="A131" s="4">
        <v>6.25</v>
      </c>
      <c r="B131" s="10">
        <v>12</v>
      </c>
      <c r="C131" s="4">
        <v>5</v>
      </c>
      <c r="D131" s="4">
        <v>1</v>
      </c>
      <c r="E131" s="4">
        <v>1</v>
      </c>
      <c r="F131" s="4">
        <v>0</v>
      </c>
    </row>
    <row r="132" spans="1:6" x14ac:dyDescent="0.2">
      <c r="A132" s="4">
        <v>5.75</v>
      </c>
      <c r="B132" s="4">
        <v>14</v>
      </c>
      <c r="C132" s="4">
        <v>5</v>
      </c>
      <c r="D132" s="4">
        <v>0</v>
      </c>
      <c r="E132" s="4">
        <v>1</v>
      </c>
      <c r="F132" s="4">
        <v>0</v>
      </c>
    </row>
    <row r="133" spans="1:6" x14ac:dyDescent="0.2">
      <c r="A133" s="4">
        <v>4.5</v>
      </c>
      <c r="B133" s="4">
        <v>14</v>
      </c>
      <c r="C133" s="4">
        <v>5</v>
      </c>
      <c r="D133" s="4">
        <v>1</v>
      </c>
      <c r="E133" s="4">
        <v>0</v>
      </c>
      <c r="F133" s="4">
        <v>1</v>
      </c>
    </row>
    <row r="134" spans="1:6" x14ac:dyDescent="0.2">
      <c r="A134" s="4">
        <v>4.5</v>
      </c>
      <c r="B134" s="4">
        <v>12</v>
      </c>
      <c r="C134" s="4">
        <v>4</v>
      </c>
      <c r="D134" s="4">
        <v>1</v>
      </c>
      <c r="E134" s="4">
        <v>1</v>
      </c>
      <c r="F134" s="4">
        <v>0</v>
      </c>
    </row>
    <row r="135" spans="1:6" x14ac:dyDescent="0.2">
      <c r="A135" s="4">
        <v>3.33</v>
      </c>
      <c r="B135" s="4">
        <v>12</v>
      </c>
      <c r="C135" s="4">
        <v>4</v>
      </c>
      <c r="D135" s="4">
        <v>1</v>
      </c>
      <c r="E135" s="4">
        <v>1</v>
      </c>
      <c r="F135" s="4">
        <v>0</v>
      </c>
    </row>
    <row r="136" spans="1:6" x14ac:dyDescent="0.2">
      <c r="A136" s="4">
        <v>10</v>
      </c>
      <c r="B136" s="4">
        <v>14</v>
      </c>
      <c r="C136" s="4">
        <v>4</v>
      </c>
      <c r="D136" s="10">
        <v>2</v>
      </c>
      <c r="E136" s="4">
        <v>1</v>
      </c>
      <c r="F136" s="4">
        <v>0</v>
      </c>
    </row>
    <row r="137" spans="1:6" x14ac:dyDescent="0.2">
      <c r="A137" s="4">
        <v>4.5</v>
      </c>
      <c r="B137" s="4">
        <v>12</v>
      </c>
      <c r="C137" s="4">
        <v>4</v>
      </c>
      <c r="D137" s="4">
        <v>1</v>
      </c>
      <c r="E137" s="4">
        <v>1</v>
      </c>
      <c r="F137" s="4">
        <v>0</v>
      </c>
    </row>
    <row r="138" spans="1:6" x14ac:dyDescent="0.2">
      <c r="A138" s="4">
        <v>4.2699999999999996</v>
      </c>
      <c r="B138" s="4">
        <v>16</v>
      </c>
      <c r="C138" s="4">
        <v>4</v>
      </c>
      <c r="D138" s="4">
        <v>1</v>
      </c>
      <c r="E138" s="4">
        <v>1</v>
      </c>
      <c r="F138" s="4">
        <v>1</v>
      </c>
    </row>
    <row r="139" spans="1:6" x14ac:dyDescent="0.2">
      <c r="A139" s="4">
        <v>20</v>
      </c>
      <c r="B139" s="4">
        <v>12</v>
      </c>
      <c r="C139" s="4">
        <v>4</v>
      </c>
      <c r="D139" s="4">
        <v>0</v>
      </c>
      <c r="E139" s="4">
        <v>1</v>
      </c>
      <c r="F139" s="4">
        <v>0</v>
      </c>
    </row>
    <row r="140" spans="1:6" x14ac:dyDescent="0.2">
      <c r="A140" s="4">
        <v>3.5</v>
      </c>
      <c r="B140" s="4">
        <v>12</v>
      </c>
      <c r="C140" s="4">
        <v>4</v>
      </c>
      <c r="D140" s="4">
        <v>1</v>
      </c>
      <c r="E140" s="4">
        <v>1</v>
      </c>
      <c r="F140" s="4">
        <v>0</v>
      </c>
    </row>
    <row r="141" spans="1:6" x14ac:dyDescent="0.2">
      <c r="A141" s="4">
        <v>6</v>
      </c>
      <c r="B141" s="4">
        <v>15</v>
      </c>
      <c r="C141" s="4">
        <v>4</v>
      </c>
      <c r="D141" s="4">
        <v>1</v>
      </c>
      <c r="E141" s="4">
        <v>1</v>
      </c>
      <c r="F141" s="4">
        <v>0</v>
      </c>
    </row>
    <row r="142" spans="1:6" x14ac:dyDescent="0.2">
      <c r="A142" s="4">
        <v>8</v>
      </c>
      <c r="B142" s="4">
        <v>12</v>
      </c>
      <c r="C142" s="4">
        <v>4</v>
      </c>
      <c r="D142" s="4">
        <v>1</v>
      </c>
      <c r="E142" s="4">
        <v>0</v>
      </c>
      <c r="F142" s="4">
        <v>0</v>
      </c>
    </row>
    <row r="143" spans="1:6" x14ac:dyDescent="0.2">
      <c r="A143" s="4">
        <v>6.25</v>
      </c>
      <c r="B143" s="4">
        <v>15</v>
      </c>
      <c r="C143" s="4">
        <v>4</v>
      </c>
      <c r="D143" s="4">
        <v>1</v>
      </c>
      <c r="E143" s="4">
        <v>1</v>
      </c>
      <c r="F143" s="4">
        <v>0</v>
      </c>
    </row>
    <row r="144" spans="1:6" x14ac:dyDescent="0.2">
      <c r="A144" s="4">
        <v>6.88</v>
      </c>
      <c r="B144" s="10">
        <v>12</v>
      </c>
      <c r="C144" s="4">
        <v>4</v>
      </c>
      <c r="D144" s="4">
        <v>1</v>
      </c>
      <c r="E144" s="4">
        <v>0</v>
      </c>
      <c r="F144" s="4">
        <v>1</v>
      </c>
    </row>
    <row r="145" spans="1:6" x14ac:dyDescent="0.2">
      <c r="A145" s="4">
        <v>6.25</v>
      </c>
      <c r="B145" s="4">
        <v>16</v>
      </c>
      <c r="C145" s="4">
        <v>4</v>
      </c>
      <c r="D145" s="4">
        <v>0</v>
      </c>
      <c r="E145" s="4">
        <v>0</v>
      </c>
      <c r="F145" s="4">
        <v>0</v>
      </c>
    </row>
    <row r="146" spans="1:6" x14ac:dyDescent="0.2">
      <c r="A146" s="4">
        <v>6.38</v>
      </c>
      <c r="B146" s="4">
        <v>13</v>
      </c>
      <c r="C146" s="4">
        <v>4</v>
      </c>
      <c r="D146" s="4">
        <v>1</v>
      </c>
      <c r="E146" s="4">
        <v>0</v>
      </c>
      <c r="F146" s="4">
        <v>1</v>
      </c>
    </row>
    <row r="147" spans="1:6" x14ac:dyDescent="0.2">
      <c r="A147" s="4">
        <v>5.78</v>
      </c>
      <c r="B147" s="4">
        <v>16</v>
      </c>
      <c r="C147" s="4">
        <v>4</v>
      </c>
      <c r="D147" s="4">
        <v>0</v>
      </c>
      <c r="E147" s="4">
        <v>1</v>
      </c>
      <c r="F147" s="4">
        <v>0</v>
      </c>
    </row>
    <row r="148" spans="1:6" x14ac:dyDescent="0.2">
      <c r="A148" s="4">
        <v>7.63</v>
      </c>
      <c r="B148" s="4">
        <v>12</v>
      </c>
      <c r="C148" s="4">
        <v>4</v>
      </c>
      <c r="D148" s="4">
        <v>1</v>
      </c>
      <c r="E148" s="4">
        <v>0</v>
      </c>
      <c r="F148" s="4">
        <v>0</v>
      </c>
    </row>
    <row r="149" spans="1:6" x14ac:dyDescent="0.2">
      <c r="A149" s="4">
        <v>3.75</v>
      </c>
      <c r="B149" s="10">
        <v>12</v>
      </c>
      <c r="C149" s="4">
        <v>4</v>
      </c>
      <c r="D149" s="4">
        <v>1</v>
      </c>
      <c r="E149" s="4">
        <v>1</v>
      </c>
      <c r="F149" s="4">
        <v>0</v>
      </c>
    </row>
    <row r="150" spans="1:6" x14ac:dyDescent="0.2">
      <c r="A150" s="4">
        <v>6.25</v>
      </c>
      <c r="B150" s="10">
        <v>12</v>
      </c>
      <c r="C150" s="4">
        <v>4</v>
      </c>
      <c r="D150" s="4">
        <v>1</v>
      </c>
      <c r="E150" s="4">
        <v>1</v>
      </c>
      <c r="F150" s="4">
        <v>0</v>
      </c>
    </row>
    <row r="151" spans="1:6" x14ac:dyDescent="0.2">
      <c r="A151" s="4">
        <v>3.5</v>
      </c>
      <c r="B151" s="4">
        <v>14</v>
      </c>
      <c r="C151" s="4">
        <v>4</v>
      </c>
      <c r="D151" s="4">
        <v>1</v>
      </c>
      <c r="E151" s="4">
        <v>0</v>
      </c>
      <c r="F151" s="4">
        <v>1</v>
      </c>
    </row>
    <row r="152" spans="1:6" x14ac:dyDescent="0.2">
      <c r="A152" s="4">
        <v>3.35</v>
      </c>
      <c r="B152" s="4">
        <v>14</v>
      </c>
      <c r="C152" s="4">
        <v>4</v>
      </c>
      <c r="D152" s="4">
        <v>1</v>
      </c>
      <c r="E152" s="4">
        <v>1</v>
      </c>
      <c r="F152" s="4">
        <v>0</v>
      </c>
    </row>
    <row r="153" spans="1:6" x14ac:dyDescent="0.2">
      <c r="A153" s="4">
        <v>6.88</v>
      </c>
      <c r="B153" s="10">
        <v>12</v>
      </c>
      <c r="C153" s="4">
        <v>4</v>
      </c>
      <c r="D153" s="4">
        <v>0</v>
      </c>
      <c r="E153" s="4">
        <v>0</v>
      </c>
      <c r="F153" s="4">
        <v>0</v>
      </c>
    </row>
    <row r="154" spans="1:6" x14ac:dyDescent="0.2">
      <c r="A154" s="4">
        <v>5.77</v>
      </c>
      <c r="B154" s="4">
        <v>10</v>
      </c>
      <c r="C154" s="4">
        <v>3</v>
      </c>
      <c r="D154" s="4">
        <v>0</v>
      </c>
      <c r="E154" s="4">
        <v>1</v>
      </c>
      <c r="F154" s="4">
        <v>0</v>
      </c>
    </row>
    <row r="155" spans="1:6" x14ac:dyDescent="0.2">
      <c r="A155" s="4">
        <v>8.1</v>
      </c>
      <c r="B155" s="4">
        <v>12</v>
      </c>
      <c r="C155" s="4">
        <v>3</v>
      </c>
      <c r="D155" s="4">
        <v>1</v>
      </c>
      <c r="E155" s="4">
        <v>1</v>
      </c>
      <c r="F155" s="4">
        <v>0</v>
      </c>
    </row>
    <row r="156" spans="1:6" x14ac:dyDescent="0.2">
      <c r="A156" s="4">
        <v>5.48</v>
      </c>
      <c r="B156" s="4">
        <v>10</v>
      </c>
      <c r="C156" s="4">
        <v>3</v>
      </c>
      <c r="D156" s="4">
        <v>1</v>
      </c>
      <c r="E156" s="4">
        <v>1</v>
      </c>
      <c r="F156" s="4">
        <v>0</v>
      </c>
    </row>
    <row r="157" spans="1:6" x14ac:dyDescent="0.2">
      <c r="A157" s="4">
        <v>3</v>
      </c>
      <c r="B157" s="4">
        <v>14</v>
      </c>
      <c r="C157" s="4">
        <v>3</v>
      </c>
      <c r="D157" s="4">
        <v>1</v>
      </c>
      <c r="E157" s="4">
        <v>1</v>
      </c>
      <c r="F157" s="4">
        <v>0</v>
      </c>
    </row>
    <row r="158" spans="1:6" x14ac:dyDescent="0.2">
      <c r="A158" s="4">
        <v>5.52</v>
      </c>
      <c r="B158" s="4">
        <v>13</v>
      </c>
      <c r="C158" s="4">
        <v>3</v>
      </c>
      <c r="D158" s="4">
        <v>0</v>
      </c>
      <c r="E158" s="4">
        <v>0</v>
      </c>
      <c r="F158" s="4">
        <v>0</v>
      </c>
    </row>
    <row r="159" spans="1:6" x14ac:dyDescent="0.2">
      <c r="A159" s="4">
        <v>3.5</v>
      </c>
      <c r="B159" s="4">
        <v>12</v>
      </c>
      <c r="C159" s="4">
        <v>3</v>
      </c>
      <c r="D159" s="4">
        <v>1</v>
      </c>
      <c r="E159" s="4">
        <v>0</v>
      </c>
      <c r="F159" s="4">
        <v>1</v>
      </c>
    </row>
    <row r="160" spans="1:6" x14ac:dyDescent="0.2">
      <c r="A160" s="4">
        <v>2.23</v>
      </c>
      <c r="B160" s="4">
        <v>8</v>
      </c>
      <c r="C160" s="4">
        <v>3</v>
      </c>
      <c r="D160" s="4">
        <v>0</v>
      </c>
      <c r="E160" s="4">
        <v>1</v>
      </c>
      <c r="F160" s="4">
        <v>0</v>
      </c>
    </row>
    <row r="161" spans="1:6" x14ac:dyDescent="0.2">
      <c r="A161" s="4">
        <v>8.43</v>
      </c>
      <c r="B161" s="4">
        <v>8</v>
      </c>
      <c r="C161" s="4">
        <v>3</v>
      </c>
      <c r="D161" s="4">
        <v>0</v>
      </c>
      <c r="E161" s="4">
        <v>1</v>
      </c>
      <c r="F161" s="4">
        <v>0</v>
      </c>
    </row>
    <row r="162" spans="1:6" x14ac:dyDescent="0.2">
      <c r="A162" s="4">
        <v>10</v>
      </c>
      <c r="B162" s="4">
        <v>12</v>
      </c>
      <c r="C162" s="4">
        <v>3</v>
      </c>
      <c r="D162" s="4">
        <v>0</v>
      </c>
      <c r="E162" s="4">
        <v>1</v>
      </c>
      <c r="F162" s="4">
        <v>0</v>
      </c>
    </row>
    <row r="163" spans="1:6" x14ac:dyDescent="0.2">
      <c r="A163" s="4">
        <v>8.02</v>
      </c>
      <c r="B163" s="4">
        <v>18</v>
      </c>
      <c r="C163" s="4">
        <v>3</v>
      </c>
      <c r="D163" s="4">
        <v>1</v>
      </c>
      <c r="E163" s="4">
        <v>1</v>
      </c>
      <c r="F163" s="4">
        <v>0</v>
      </c>
    </row>
    <row r="164" spans="1:6" x14ac:dyDescent="0.2">
      <c r="A164" s="4">
        <v>4</v>
      </c>
      <c r="B164" s="4">
        <v>14</v>
      </c>
      <c r="C164" s="4">
        <v>3</v>
      </c>
      <c r="D164" s="4">
        <v>1</v>
      </c>
      <c r="E164" s="4">
        <v>0</v>
      </c>
      <c r="F164" s="4">
        <v>0</v>
      </c>
    </row>
    <row r="165" spans="1:6" x14ac:dyDescent="0.2">
      <c r="A165" s="4">
        <v>6.63</v>
      </c>
      <c r="B165" s="4">
        <v>15</v>
      </c>
      <c r="C165" s="4">
        <v>3</v>
      </c>
      <c r="D165" s="4">
        <v>1</v>
      </c>
      <c r="E165" s="4">
        <v>1</v>
      </c>
      <c r="F165" s="4">
        <v>1</v>
      </c>
    </row>
    <row r="166" spans="1:6" x14ac:dyDescent="0.2">
      <c r="A166" s="4">
        <v>6.76</v>
      </c>
      <c r="B166" s="4">
        <v>12</v>
      </c>
      <c r="C166" s="4">
        <v>3</v>
      </c>
      <c r="D166" s="4">
        <v>0</v>
      </c>
      <c r="E166" s="4">
        <v>1</v>
      </c>
      <c r="F166" s="4">
        <v>0</v>
      </c>
    </row>
    <row r="167" spans="1:6" x14ac:dyDescent="0.2">
      <c r="A167" s="4">
        <v>3.26</v>
      </c>
      <c r="B167" s="4">
        <v>12</v>
      </c>
      <c r="C167" s="4">
        <v>3</v>
      </c>
      <c r="D167" s="4">
        <v>1</v>
      </c>
      <c r="E167" s="4">
        <v>1</v>
      </c>
      <c r="F167" s="4">
        <v>0</v>
      </c>
    </row>
    <row r="168" spans="1:6" x14ac:dyDescent="0.2">
      <c r="A168" s="4">
        <v>4.79</v>
      </c>
      <c r="B168" s="4">
        <v>12</v>
      </c>
      <c r="C168" s="4">
        <v>3</v>
      </c>
      <c r="D168" s="4">
        <v>1</v>
      </c>
      <c r="E168" s="4">
        <v>1</v>
      </c>
      <c r="F168" s="4">
        <v>0</v>
      </c>
    </row>
    <row r="169" spans="1:6" x14ac:dyDescent="0.2">
      <c r="A169" s="4">
        <v>3.88</v>
      </c>
      <c r="B169" s="4">
        <v>12</v>
      </c>
      <c r="C169" s="4">
        <v>3</v>
      </c>
      <c r="D169" s="4">
        <v>0</v>
      </c>
      <c r="E169" s="4">
        <v>1</v>
      </c>
      <c r="F169" s="4">
        <v>0</v>
      </c>
    </row>
    <row r="170" spans="1:6" x14ac:dyDescent="0.2">
      <c r="A170" s="4">
        <v>6</v>
      </c>
      <c r="B170" s="4">
        <v>14</v>
      </c>
      <c r="C170" s="4">
        <v>3</v>
      </c>
      <c r="D170" s="4">
        <v>1</v>
      </c>
      <c r="E170" s="4">
        <v>1</v>
      </c>
      <c r="F170" s="4">
        <v>0</v>
      </c>
    </row>
    <row r="171" spans="1:6" x14ac:dyDescent="0.2">
      <c r="A171" s="4">
        <v>4.2</v>
      </c>
      <c r="B171" s="4">
        <v>13</v>
      </c>
      <c r="C171" s="4">
        <v>3</v>
      </c>
      <c r="D171" s="4">
        <v>1</v>
      </c>
      <c r="E171" s="4">
        <v>1</v>
      </c>
      <c r="F171" s="4">
        <v>0</v>
      </c>
    </row>
    <row r="172" spans="1:6" x14ac:dyDescent="0.2">
      <c r="A172" s="4">
        <v>6.29</v>
      </c>
      <c r="B172" s="4">
        <v>17</v>
      </c>
      <c r="C172" s="4">
        <v>3</v>
      </c>
      <c r="D172" s="4">
        <v>0</v>
      </c>
      <c r="E172" s="4">
        <v>1</v>
      </c>
      <c r="F172" s="4">
        <v>0</v>
      </c>
    </row>
    <row r="173" spans="1:6" x14ac:dyDescent="0.2">
      <c r="A173" s="4">
        <v>5.43</v>
      </c>
      <c r="B173" s="4">
        <v>14</v>
      </c>
      <c r="C173" s="4">
        <v>3</v>
      </c>
      <c r="D173" s="4">
        <v>0</v>
      </c>
      <c r="E173" s="4">
        <v>1</v>
      </c>
      <c r="F173" s="4">
        <v>0</v>
      </c>
    </row>
    <row r="174" spans="1:6" x14ac:dyDescent="0.2">
      <c r="A174" s="4">
        <v>17.71</v>
      </c>
      <c r="B174" s="4">
        <v>16</v>
      </c>
      <c r="C174" s="4">
        <v>3</v>
      </c>
      <c r="D174" s="4">
        <v>0</v>
      </c>
      <c r="E174" s="4">
        <v>1</v>
      </c>
      <c r="F174" s="4">
        <v>1</v>
      </c>
    </row>
    <row r="175" spans="1:6" x14ac:dyDescent="0.2">
      <c r="A175" s="4">
        <v>7.78</v>
      </c>
      <c r="B175" s="4">
        <v>14</v>
      </c>
      <c r="C175" s="4">
        <v>3</v>
      </c>
      <c r="D175" s="4">
        <v>0</v>
      </c>
      <c r="E175" s="4">
        <v>0</v>
      </c>
      <c r="F175" s="4">
        <v>0</v>
      </c>
    </row>
    <row r="176" spans="1:6" x14ac:dyDescent="0.2">
      <c r="A176" s="4">
        <v>10</v>
      </c>
      <c r="B176" s="4">
        <v>16</v>
      </c>
      <c r="C176" s="4">
        <v>3</v>
      </c>
      <c r="D176" s="4">
        <v>0</v>
      </c>
      <c r="E176" s="4">
        <v>1</v>
      </c>
      <c r="F176" s="4">
        <v>0</v>
      </c>
    </row>
    <row r="177" spans="1:6" x14ac:dyDescent="0.2">
      <c r="A177" s="4">
        <v>5</v>
      </c>
      <c r="B177" s="4">
        <v>12</v>
      </c>
      <c r="C177" s="4">
        <v>3</v>
      </c>
      <c r="D177" s="4">
        <v>1</v>
      </c>
      <c r="E177" s="4">
        <v>0</v>
      </c>
      <c r="F177" s="4">
        <v>1</v>
      </c>
    </row>
    <row r="178" spans="1:6" x14ac:dyDescent="0.2">
      <c r="A178" s="4">
        <v>5.4</v>
      </c>
      <c r="B178" s="4">
        <v>12</v>
      </c>
      <c r="C178" s="4">
        <v>3</v>
      </c>
      <c r="D178" s="4">
        <v>0</v>
      </c>
      <c r="E178" s="4">
        <v>1</v>
      </c>
      <c r="F178" s="4">
        <v>0</v>
      </c>
    </row>
    <row r="179" spans="1:6" x14ac:dyDescent="0.2">
      <c r="A179" s="4">
        <v>5</v>
      </c>
      <c r="B179" s="4">
        <v>12</v>
      </c>
      <c r="C179" s="4">
        <v>3</v>
      </c>
      <c r="D179" s="4">
        <v>1</v>
      </c>
      <c r="E179" s="4">
        <v>0</v>
      </c>
      <c r="F179" s="4">
        <v>1</v>
      </c>
    </row>
    <row r="180" spans="1:6" x14ac:dyDescent="0.2">
      <c r="A180" s="4">
        <v>10</v>
      </c>
      <c r="B180" s="4">
        <v>17</v>
      </c>
      <c r="C180" s="4">
        <v>3</v>
      </c>
      <c r="D180" s="4">
        <v>0</v>
      </c>
      <c r="E180" s="4">
        <v>1</v>
      </c>
      <c r="F180" s="4">
        <v>0</v>
      </c>
    </row>
    <row r="181" spans="1:6" x14ac:dyDescent="0.2">
      <c r="A181" s="4">
        <v>6.25</v>
      </c>
      <c r="B181" s="4">
        <v>16</v>
      </c>
      <c r="C181" s="4">
        <v>3</v>
      </c>
      <c r="D181" s="4">
        <v>0</v>
      </c>
      <c r="E181" s="4">
        <v>1</v>
      </c>
      <c r="F181" s="4">
        <v>1</v>
      </c>
    </row>
    <row r="182" spans="1:6" x14ac:dyDescent="0.2">
      <c r="A182" s="4">
        <v>8.92</v>
      </c>
      <c r="B182" s="4">
        <v>18</v>
      </c>
      <c r="C182" s="4">
        <v>3</v>
      </c>
      <c r="D182" s="4">
        <v>0</v>
      </c>
      <c r="E182" s="4">
        <v>1</v>
      </c>
      <c r="F182" s="4">
        <v>0</v>
      </c>
    </row>
    <row r="183" spans="1:6" x14ac:dyDescent="0.2">
      <c r="A183" s="4">
        <v>9.56</v>
      </c>
      <c r="B183" s="4">
        <v>16</v>
      </c>
      <c r="C183" s="4">
        <v>3</v>
      </c>
      <c r="D183" s="4">
        <v>0</v>
      </c>
      <c r="E183" s="4">
        <v>1</v>
      </c>
      <c r="F183" s="4">
        <v>1</v>
      </c>
    </row>
    <row r="184" spans="1:6" x14ac:dyDescent="0.2">
      <c r="A184" s="4">
        <v>3</v>
      </c>
      <c r="B184" s="4">
        <v>14</v>
      </c>
      <c r="C184" s="4">
        <v>3</v>
      </c>
      <c r="D184" s="4">
        <v>1</v>
      </c>
      <c r="E184" s="4">
        <v>1</v>
      </c>
      <c r="F184" s="4">
        <v>1</v>
      </c>
    </row>
    <row r="185" spans="1:6" x14ac:dyDescent="0.2">
      <c r="A185" s="4">
        <v>2.92</v>
      </c>
      <c r="B185" s="4">
        <v>14</v>
      </c>
      <c r="C185" s="4">
        <v>3</v>
      </c>
      <c r="D185" s="4">
        <v>0</v>
      </c>
      <c r="E185" s="4">
        <v>0</v>
      </c>
      <c r="F185" s="4">
        <v>0</v>
      </c>
    </row>
    <row r="186" spans="1:6" x14ac:dyDescent="0.2">
      <c r="A186" s="4">
        <v>4.75</v>
      </c>
      <c r="B186" s="4">
        <v>12</v>
      </c>
      <c r="C186" s="4">
        <v>2</v>
      </c>
      <c r="D186" s="4">
        <v>1</v>
      </c>
      <c r="E186" s="4">
        <v>1</v>
      </c>
      <c r="F186" s="4">
        <v>0</v>
      </c>
    </row>
    <row r="187" spans="1:6" x14ac:dyDescent="0.2">
      <c r="A187" s="4">
        <v>5</v>
      </c>
      <c r="B187" s="10">
        <v>12</v>
      </c>
      <c r="C187" s="4">
        <v>2</v>
      </c>
      <c r="D187" s="4">
        <v>0</v>
      </c>
      <c r="E187" s="4">
        <v>0</v>
      </c>
      <c r="F187" s="4">
        <v>0</v>
      </c>
    </row>
    <row r="188" spans="1:6" x14ac:dyDescent="0.2">
      <c r="A188" s="4">
        <v>3.25</v>
      </c>
      <c r="B188" s="4">
        <v>12</v>
      </c>
      <c r="C188" s="4">
        <v>2</v>
      </c>
      <c r="D188" s="4">
        <v>1</v>
      </c>
      <c r="E188" s="4">
        <v>0</v>
      </c>
      <c r="F188" s="4">
        <v>0</v>
      </c>
    </row>
    <row r="189" spans="1:6" x14ac:dyDescent="0.2">
      <c r="A189" s="4">
        <v>4.55</v>
      </c>
      <c r="B189" s="4">
        <v>16</v>
      </c>
      <c r="C189" s="4">
        <v>2</v>
      </c>
      <c r="D189" s="4">
        <v>0</v>
      </c>
      <c r="E189" s="4">
        <v>1</v>
      </c>
      <c r="F189" s="4">
        <v>0</v>
      </c>
    </row>
    <row r="190" spans="1:6" x14ac:dyDescent="0.2">
      <c r="A190" s="4">
        <v>3.73</v>
      </c>
      <c r="B190" s="4">
        <v>9</v>
      </c>
      <c r="C190" s="4">
        <v>2</v>
      </c>
      <c r="D190" s="10">
        <v>2</v>
      </c>
      <c r="E190" s="4">
        <v>0</v>
      </c>
      <c r="F190" s="4">
        <v>0</v>
      </c>
    </row>
    <row r="191" spans="1:6" x14ac:dyDescent="0.2">
      <c r="A191" s="4">
        <v>6.5</v>
      </c>
      <c r="B191" s="4">
        <v>12</v>
      </c>
      <c r="C191" s="4">
        <v>2</v>
      </c>
      <c r="D191" s="4">
        <v>0</v>
      </c>
      <c r="E191" s="4">
        <v>1</v>
      </c>
      <c r="F191" s="4">
        <v>0</v>
      </c>
    </row>
    <row r="192" spans="1:6" x14ac:dyDescent="0.2">
      <c r="A192" s="4">
        <v>4.6500000000000004</v>
      </c>
      <c r="B192" s="4">
        <v>12</v>
      </c>
      <c r="C192" s="4">
        <v>2</v>
      </c>
      <c r="D192" s="4">
        <v>0</v>
      </c>
      <c r="E192" s="4">
        <v>1</v>
      </c>
      <c r="F192" s="4">
        <v>0</v>
      </c>
    </row>
    <row r="193" spans="1:6" x14ac:dyDescent="0.2">
      <c r="A193" s="4">
        <v>8</v>
      </c>
      <c r="B193" s="4">
        <v>12</v>
      </c>
      <c r="C193" s="4">
        <v>2</v>
      </c>
      <c r="D193" s="4">
        <v>0</v>
      </c>
      <c r="E193" s="4">
        <v>1</v>
      </c>
      <c r="F193" s="4">
        <v>0</v>
      </c>
    </row>
    <row r="194" spans="1:6" x14ac:dyDescent="0.2">
      <c r="A194" s="4">
        <v>4.5</v>
      </c>
      <c r="B194" s="4">
        <v>13</v>
      </c>
      <c r="C194" s="4">
        <v>2</v>
      </c>
      <c r="D194" s="4">
        <v>1</v>
      </c>
      <c r="E194" s="4">
        <v>0</v>
      </c>
      <c r="F194" s="4">
        <v>0</v>
      </c>
    </row>
    <row r="195" spans="1:6" x14ac:dyDescent="0.2">
      <c r="A195" s="4">
        <v>3.5</v>
      </c>
      <c r="B195" s="4">
        <v>11</v>
      </c>
      <c r="C195" s="4">
        <v>2</v>
      </c>
      <c r="D195" s="4">
        <v>1</v>
      </c>
      <c r="E195" s="4">
        <v>0</v>
      </c>
      <c r="F195" s="4">
        <v>0</v>
      </c>
    </row>
    <row r="196" spans="1:6" x14ac:dyDescent="0.2">
      <c r="A196" s="4">
        <v>2.9</v>
      </c>
      <c r="B196" s="4">
        <v>10</v>
      </c>
      <c r="C196" s="4">
        <v>2</v>
      </c>
      <c r="D196" s="4">
        <v>1</v>
      </c>
      <c r="E196" s="4">
        <v>0</v>
      </c>
      <c r="F196" s="4">
        <v>0</v>
      </c>
    </row>
    <row r="197" spans="1:6" x14ac:dyDescent="0.2">
      <c r="A197" s="4">
        <v>3.24</v>
      </c>
      <c r="B197" s="4">
        <v>12</v>
      </c>
      <c r="C197" s="4">
        <v>2</v>
      </c>
      <c r="D197" s="4">
        <v>1</v>
      </c>
      <c r="E197" s="4">
        <v>1</v>
      </c>
      <c r="F197" s="4">
        <v>1</v>
      </c>
    </row>
    <row r="198" spans="1:6" x14ac:dyDescent="0.2">
      <c r="A198" s="4">
        <v>3.83</v>
      </c>
      <c r="B198" s="4">
        <v>12</v>
      </c>
      <c r="C198" s="4">
        <v>2</v>
      </c>
      <c r="D198" s="4">
        <v>1</v>
      </c>
      <c r="E198" s="4">
        <v>0</v>
      </c>
      <c r="F198" s="4">
        <v>0</v>
      </c>
    </row>
    <row r="199" spans="1:6" x14ac:dyDescent="0.2">
      <c r="A199" s="4">
        <v>3.5</v>
      </c>
      <c r="B199" s="4">
        <v>14</v>
      </c>
      <c r="C199" s="4">
        <v>2</v>
      </c>
      <c r="D199" s="4">
        <v>0</v>
      </c>
      <c r="E199" s="4">
        <v>1</v>
      </c>
      <c r="F199" s="4">
        <v>0</v>
      </c>
    </row>
    <row r="200" spans="1:6" x14ac:dyDescent="0.2">
      <c r="A200" s="4">
        <v>13.08</v>
      </c>
      <c r="B200" s="4">
        <v>17</v>
      </c>
      <c r="C200" s="4">
        <v>2</v>
      </c>
      <c r="D200" s="4">
        <v>0</v>
      </c>
      <c r="E200" s="4">
        <v>1</v>
      </c>
      <c r="F200" s="4">
        <v>0</v>
      </c>
    </row>
    <row r="201" spans="1:6" x14ac:dyDescent="0.2">
      <c r="A201" s="4">
        <v>10.38</v>
      </c>
      <c r="B201" s="4">
        <v>18</v>
      </c>
      <c r="C201" s="4">
        <v>2</v>
      </c>
      <c r="D201" s="4">
        <v>0</v>
      </c>
      <c r="E201" s="4">
        <v>1</v>
      </c>
      <c r="F201" s="4">
        <v>0</v>
      </c>
    </row>
    <row r="202" spans="1:6" x14ac:dyDescent="0.2">
      <c r="A202" s="4">
        <v>2.95</v>
      </c>
      <c r="B202" s="4">
        <v>8</v>
      </c>
      <c r="C202" s="4">
        <v>2</v>
      </c>
      <c r="D202" s="4">
        <v>1</v>
      </c>
      <c r="E202" s="4">
        <v>1</v>
      </c>
      <c r="F202" s="4">
        <v>0</v>
      </c>
    </row>
    <row r="203" spans="1:6" x14ac:dyDescent="0.2">
      <c r="A203" s="4">
        <v>3.25</v>
      </c>
      <c r="B203" s="4">
        <v>12</v>
      </c>
      <c r="C203" s="4">
        <v>2</v>
      </c>
      <c r="D203" s="4">
        <v>1</v>
      </c>
      <c r="E203" s="4">
        <v>1</v>
      </c>
      <c r="F203" s="4">
        <v>0</v>
      </c>
    </row>
    <row r="204" spans="1:6" x14ac:dyDescent="0.2">
      <c r="A204" s="4">
        <v>15</v>
      </c>
      <c r="B204" s="4">
        <v>16</v>
      </c>
      <c r="C204" s="4">
        <v>2</v>
      </c>
      <c r="D204" s="4">
        <v>1</v>
      </c>
      <c r="E204" s="4">
        <v>1</v>
      </c>
      <c r="F204" s="4">
        <v>1</v>
      </c>
    </row>
    <row r="205" spans="1:6" x14ac:dyDescent="0.2">
      <c r="A205" s="4">
        <v>6.25</v>
      </c>
      <c r="B205" s="10">
        <v>12</v>
      </c>
      <c r="C205" s="4">
        <v>2</v>
      </c>
      <c r="D205" s="4">
        <v>0</v>
      </c>
      <c r="E205" s="4">
        <v>1</v>
      </c>
      <c r="F205" s="4">
        <v>0</v>
      </c>
    </row>
    <row r="206" spans="1:6" x14ac:dyDescent="0.2">
      <c r="A206" s="4">
        <v>7.26</v>
      </c>
      <c r="B206" s="4">
        <v>13</v>
      </c>
      <c r="C206" s="4">
        <v>2</v>
      </c>
      <c r="D206" s="4">
        <v>0</v>
      </c>
      <c r="E206" s="4">
        <v>0</v>
      </c>
      <c r="F206" s="4">
        <v>0</v>
      </c>
    </row>
    <row r="207" spans="1:6" x14ac:dyDescent="0.2">
      <c r="A207" s="4">
        <v>6.25</v>
      </c>
      <c r="B207" s="4">
        <v>16</v>
      </c>
      <c r="C207" s="4">
        <v>2</v>
      </c>
      <c r="D207" s="10">
        <v>2</v>
      </c>
      <c r="E207" s="4">
        <v>0</v>
      </c>
      <c r="F207" s="4">
        <v>1</v>
      </c>
    </row>
    <row r="208" spans="1:6" x14ac:dyDescent="0.2">
      <c r="A208" s="4">
        <v>5.3</v>
      </c>
      <c r="B208" s="4">
        <v>12</v>
      </c>
      <c r="C208" s="4">
        <v>2</v>
      </c>
      <c r="D208" s="4">
        <v>0</v>
      </c>
      <c r="E208" s="4">
        <v>1</v>
      </c>
      <c r="F208" s="4">
        <v>1</v>
      </c>
    </row>
    <row r="209" spans="1:6" x14ac:dyDescent="0.2">
      <c r="A209" s="4">
        <v>3.51</v>
      </c>
      <c r="B209" s="4">
        <v>12</v>
      </c>
      <c r="C209" s="4">
        <v>2</v>
      </c>
      <c r="D209" s="4">
        <v>1</v>
      </c>
      <c r="E209" s="4">
        <v>1</v>
      </c>
      <c r="F209" s="4">
        <v>0</v>
      </c>
    </row>
    <row r="210" spans="1:6" x14ac:dyDescent="0.2">
      <c r="A210" s="4">
        <v>7.5</v>
      </c>
      <c r="B210" s="4">
        <v>16</v>
      </c>
      <c r="C210" s="4">
        <v>2</v>
      </c>
      <c r="D210" s="4">
        <v>1</v>
      </c>
      <c r="E210" s="4">
        <v>1</v>
      </c>
      <c r="F210" s="4">
        <v>0</v>
      </c>
    </row>
    <row r="211" spans="1:6" x14ac:dyDescent="0.2">
      <c r="A211" s="4">
        <v>3.5</v>
      </c>
      <c r="B211" s="4">
        <v>12</v>
      </c>
      <c r="C211" s="4">
        <v>2</v>
      </c>
      <c r="D211" s="4">
        <v>1</v>
      </c>
      <c r="E211" s="4">
        <v>0</v>
      </c>
      <c r="F211" s="4">
        <v>0</v>
      </c>
    </row>
    <row r="212" spans="1:6" x14ac:dyDescent="0.2">
      <c r="A212" s="4">
        <v>12.5</v>
      </c>
      <c r="B212" s="4">
        <v>18</v>
      </c>
      <c r="C212" s="4">
        <v>2</v>
      </c>
      <c r="D212" s="4">
        <v>0</v>
      </c>
      <c r="E212" s="4">
        <v>0</v>
      </c>
      <c r="F212" s="4">
        <v>0</v>
      </c>
    </row>
    <row r="213" spans="1:6" x14ac:dyDescent="0.2">
      <c r="A213" s="4">
        <v>8.33</v>
      </c>
      <c r="B213" s="4">
        <v>16</v>
      </c>
      <c r="C213" s="4">
        <v>2</v>
      </c>
      <c r="D213" s="4">
        <v>0</v>
      </c>
      <c r="E213" s="4">
        <v>1</v>
      </c>
      <c r="F213" s="4">
        <v>1</v>
      </c>
    </row>
    <row r="214" spans="1:6" x14ac:dyDescent="0.2">
      <c r="A214" s="4">
        <v>4.25</v>
      </c>
      <c r="B214" s="4">
        <v>14</v>
      </c>
      <c r="C214" s="4">
        <v>2</v>
      </c>
      <c r="D214" s="4">
        <v>0</v>
      </c>
      <c r="E214" s="4">
        <v>1</v>
      </c>
      <c r="F214" s="4">
        <v>0</v>
      </c>
    </row>
    <row r="215" spans="1:6" x14ac:dyDescent="0.2">
      <c r="A215" s="4">
        <v>4.34</v>
      </c>
      <c r="B215" s="4">
        <v>16</v>
      </c>
      <c r="C215" s="4">
        <v>2</v>
      </c>
      <c r="D215" s="4">
        <v>1</v>
      </c>
      <c r="E215" s="4">
        <v>0</v>
      </c>
      <c r="F215" s="4">
        <v>0</v>
      </c>
    </row>
    <row r="216" spans="1:6" x14ac:dyDescent="0.2">
      <c r="A216" s="4">
        <v>4.51</v>
      </c>
      <c r="B216" s="4">
        <v>12</v>
      </c>
      <c r="C216" s="4">
        <v>2</v>
      </c>
      <c r="D216" s="4">
        <v>0</v>
      </c>
      <c r="E216" s="4">
        <v>0</v>
      </c>
      <c r="F216" s="4">
        <v>0</v>
      </c>
    </row>
    <row r="217" spans="1:6" x14ac:dyDescent="0.2">
      <c r="A217" s="4">
        <v>3.75</v>
      </c>
      <c r="B217" s="10">
        <v>12</v>
      </c>
      <c r="C217" s="4">
        <v>2</v>
      </c>
      <c r="D217" s="4">
        <v>1</v>
      </c>
      <c r="E217" s="4">
        <v>1</v>
      </c>
      <c r="F217" s="4">
        <v>0</v>
      </c>
    </row>
    <row r="218" spans="1:6" x14ac:dyDescent="0.2">
      <c r="A218" s="4">
        <v>6.53</v>
      </c>
      <c r="B218" s="4">
        <v>16</v>
      </c>
      <c r="C218" s="4">
        <v>2</v>
      </c>
      <c r="D218" s="4">
        <v>1</v>
      </c>
      <c r="E218" s="4">
        <v>0</v>
      </c>
      <c r="F218" s="4">
        <v>0</v>
      </c>
    </row>
    <row r="219" spans="1:6" x14ac:dyDescent="0.2">
      <c r="A219" s="4">
        <v>8.6</v>
      </c>
      <c r="B219" s="4">
        <v>16</v>
      </c>
      <c r="C219" s="4">
        <v>2</v>
      </c>
      <c r="D219" s="4">
        <v>1</v>
      </c>
      <c r="E219" s="4">
        <v>0</v>
      </c>
      <c r="F219" s="4">
        <v>0</v>
      </c>
    </row>
    <row r="220" spans="1:6" x14ac:dyDescent="0.2">
      <c r="A220" s="4">
        <v>8.75</v>
      </c>
      <c r="B220" s="4">
        <v>16</v>
      </c>
      <c r="C220" s="4">
        <v>2</v>
      </c>
      <c r="D220" s="4">
        <v>0</v>
      </c>
      <c r="E220" s="4">
        <v>1</v>
      </c>
      <c r="F220" s="4">
        <v>0</v>
      </c>
    </row>
    <row r="221" spans="1:6" x14ac:dyDescent="0.2">
      <c r="A221" s="4">
        <v>10</v>
      </c>
      <c r="B221" s="4">
        <v>16</v>
      </c>
      <c r="C221" s="4">
        <v>2</v>
      </c>
      <c r="D221" s="4">
        <v>0</v>
      </c>
      <c r="E221" s="4">
        <v>1</v>
      </c>
      <c r="F221" s="4">
        <v>0</v>
      </c>
    </row>
    <row r="222" spans="1:6" x14ac:dyDescent="0.2">
      <c r="A222" s="4">
        <v>5.63</v>
      </c>
      <c r="B222" s="4">
        <v>16</v>
      </c>
      <c r="C222" s="4">
        <v>2</v>
      </c>
      <c r="D222" s="4">
        <v>0</v>
      </c>
      <c r="E222" s="4">
        <v>1</v>
      </c>
      <c r="F222" s="4">
        <v>0</v>
      </c>
    </row>
    <row r="223" spans="1:6" x14ac:dyDescent="0.2">
      <c r="A223" s="4">
        <v>3.2</v>
      </c>
      <c r="B223" s="4">
        <v>15</v>
      </c>
      <c r="C223" s="4">
        <v>2</v>
      </c>
      <c r="D223" s="4">
        <v>1</v>
      </c>
      <c r="E223" s="4">
        <v>0</v>
      </c>
      <c r="F223" s="4">
        <v>0</v>
      </c>
    </row>
    <row r="224" spans="1:6" x14ac:dyDescent="0.2">
      <c r="A224" s="4">
        <v>2.9</v>
      </c>
      <c r="B224" s="4">
        <v>12</v>
      </c>
      <c r="C224" s="4">
        <v>2</v>
      </c>
      <c r="D224" s="4">
        <v>1</v>
      </c>
      <c r="E224" s="4">
        <v>0</v>
      </c>
      <c r="F224" s="4">
        <v>1</v>
      </c>
    </row>
    <row r="225" spans="1:6" x14ac:dyDescent="0.2">
      <c r="A225" s="4">
        <v>6</v>
      </c>
      <c r="B225" s="4">
        <v>16</v>
      </c>
      <c r="C225" s="4">
        <v>2</v>
      </c>
      <c r="D225" s="4">
        <v>0</v>
      </c>
      <c r="E225" s="4">
        <v>0</v>
      </c>
      <c r="F225" s="4">
        <v>0</v>
      </c>
    </row>
    <row r="226" spans="1:6" x14ac:dyDescent="0.2">
      <c r="A226" s="4">
        <v>3.5</v>
      </c>
      <c r="B226" s="4">
        <v>13</v>
      </c>
      <c r="C226" s="4">
        <v>2</v>
      </c>
      <c r="D226" s="4">
        <v>0</v>
      </c>
      <c r="E226" s="4">
        <v>0</v>
      </c>
      <c r="F226" s="4">
        <v>0</v>
      </c>
    </row>
    <row r="227" spans="1:6" x14ac:dyDescent="0.2">
      <c r="A227" s="4">
        <v>3.75</v>
      </c>
      <c r="B227" s="4">
        <v>18</v>
      </c>
      <c r="C227" s="4">
        <v>2</v>
      </c>
      <c r="D227" s="4">
        <v>0</v>
      </c>
      <c r="E227" s="4">
        <v>0</v>
      </c>
      <c r="F227" s="4">
        <v>0</v>
      </c>
    </row>
    <row r="228" spans="1:6" x14ac:dyDescent="0.2">
      <c r="A228" s="4">
        <v>8.75</v>
      </c>
      <c r="B228" s="4">
        <v>16</v>
      </c>
      <c r="C228" s="4">
        <v>2</v>
      </c>
      <c r="D228" s="4">
        <v>0</v>
      </c>
      <c r="E228" s="4">
        <v>0</v>
      </c>
      <c r="F228" s="4">
        <v>0</v>
      </c>
    </row>
    <row r="229" spans="1:6" x14ac:dyDescent="0.2">
      <c r="A229" s="4">
        <v>2.9</v>
      </c>
      <c r="B229" s="4">
        <v>11</v>
      </c>
      <c r="C229" s="4">
        <v>2</v>
      </c>
      <c r="D229" s="4">
        <v>0</v>
      </c>
      <c r="E229" s="4">
        <v>0</v>
      </c>
      <c r="F229" s="4">
        <v>0</v>
      </c>
    </row>
    <row r="230" spans="1:6" x14ac:dyDescent="0.2">
      <c r="A230" s="4">
        <v>3.52</v>
      </c>
      <c r="B230" s="4">
        <v>12</v>
      </c>
      <c r="C230" s="4">
        <v>1</v>
      </c>
      <c r="D230" s="4">
        <v>0</v>
      </c>
      <c r="E230" s="4">
        <v>1</v>
      </c>
      <c r="F230" s="4">
        <v>0</v>
      </c>
    </row>
    <row r="231" spans="1:6" x14ac:dyDescent="0.2">
      <c r="A231" s="4">
        <v>3</v>
      </c>
      <c r="B231" s="4">
        <v>8</v>
      </c>
      <c r="C231" s="4">
        <v>1</v>
      </c>
      <c r="D231" s="4">
        <v>1</v>
      </c>
      <c r="E231" s="4">
        <v>1</v>
      </c>
      <c r="F231" s="4">
        <v>0</v>
      </c>
    </row>
    <row r="232" spans="1:6" x14ac:dyDescent="0.2">
      <c r="A232" s="4">
        <v>2.9</v>
      </c>
      <c r="B232" s="4">
        <v>12</v>
      </c>
      <c r="C232" s="4">
        <v>1</v>
      </c>
      <c r="D232" s="4">
        <v>1</v>
      </c>
      <c r="E232" s="4">
        <v>1</v>
      </c>
      <c r="F232" s="4">
        <v>0</v>
      </c>
    </row>
    <row r="233" spans="1:6" x14ac:dyDescent="0.2">
      <c r="A233" s="4">
        <v>9</v>
      </c>
      <c r="B233" s="4">
        <v>12</v>
      </c>
      <c r="C233" s="4">
        <v>1</v>
      </c>
      <c r="D233" s="4">
        <v>0</v>
      </c>
      <c r="E233" s="4">
        <v>1</v>
      </c>
      <c r="F233" s="4">
        <v>0</v>
      </c>
    </row>
    <row r="234" spans="1:6" x14ac:dyDescent="0.2">
      <c r="A234" s="4">
        <v>3</v>
      </c>
      <c r="B234" s="4">
        <v>12</v>
      </c>
      <c r="C234" s="4">
        <v>1</v>
      </c>
      <c r="D234" s="10">
        <v>2</v>
      </c>
      <c r="E234" s="4">
        <v>0</v>
      </c>
      <c r="F234" s="4">
        <v>1</v>
      </c>
    </row>
    <row r="235" spans="1:6" x14ac:dyDescent="0.2">
      <c r="A235" s="4">
        <v>3.5</v>
      </c>
      <c r="B235" s="4">
        <v>13</v>
      </c>
      <c r="C235" s="4">
        <v>1</v>
      </c>
      <c r="D235" s="4">
        <v>1</v>
      </c>
      <c r="E235" s="4">
        <v>1</v>
      </c>
      <c r="F235" s="4">
        <v>0</v>
      </c>
    </row>
    <row r="236" spans="1:6" x14ac:dyDescent="0.2">
      <c r="A236" s="4">
        <v>3</v>
      </c>
      <c r="B236" s="4">
        <v>7</v>
      </c>
      <c r="C236" s="4">
        <v>1</v>
      </c>
      <c r="D236" s="4">
        <v>1</v>
      </c>
      <c r="E236" s="4">
        <v>0</v>
      </c>
      <c r="F236" s="4">
        <v>0</v>
      </c>
    </row>
    <row r="237" spans="1:6" x14ac:dyDescent="0.2">
      <c r="A237" s="4">
        <v>4</v>
      </c>
      <c r="B237" s="4">
        <v>9</v>
      </c>
      <c r="C237" s="4">
        <v>1</v>
      </c>
      <c r="D237" s="4">
        <v>1</v>
      </c>
      <c r="E237" s="4">
        <v>1</v>
      </c>
      <c r="F237" s="4">
        <v>0</v>
      </c>
    </row>
    <row r="238" spans="1:6" x14ac:dyDescent="0.2">
      <c r="A238" s="4">
        <v>2.9</v>
      </c>
      <c r="B238" s="4">
        <v>12</v>
      </c>
      <c r="C238" s="4">
        <v>1</v>
      </c>
      <c r="D238" s="4">
        <v>1</v>
      </c>
      <c r="E238" s="4">
        <v>1</v>
      </c>
      <c r="F238" s="4">
        <v>0</v>
      </c>
    </row>
    <row r="239" spans="1:6" x14ac:dyDescent="0.2">
      <c r="A239" s="4">
        <v>4.63</v>
      </c>
      <c r="B239" s="4">
        <v>12</v>
      </c>
      <c r="C239" s="4">
        <v>1</v>
      </c>
      <c r="D239" s="4">
        <v>1</v>
      </c>
      <c r="E239" s="4">
        <v>0</v>
      </c>
      <c r="F239" s="4">
        <v>0</v>
      </c>
    </row>
    <row r="240" spans="1:6" x14ac:dyDescent="0.2">
      <c r="A240" s="4">
        <v>4.72</v>
      </c>
      <c r="B240" s="4">
        <v>12</v>
      </c>
      <c r="C240" s="4">
        <v>1</v>
      </c>
      <c r="D240" s="4">
        <v>1</v>
      </c>
      <c r="E240" s="4">
        <v>0</v>
      </c>
      <c r="F240" s="4">
        <v>0</v>
      </c>
    </row>
    <row r="241" spans="1:6" x14ac:dyDescent="0.2">
      <c r="A241" s="4">
        <v>2.9</v>
      </c>
      <c r="B241" s="4">
        <v>12</v>
      </c>
      <c r="C241" s="4">
        <v>1</v>
      </c>
      <c r="D241" s="4">
        <v>1</v>
      </c>
      <c r="E241" s="4">
        <v>1</v>
      </c>
      <c r="F241" s="4">
        <v>1</v>
      </c>
    </row>
    <row r="242" spans="1:6" x14ac:dyDescent="0.2">
      <c r="A242" s="4">
        <v>5</v>
      </c>
      <c r="B242" s="4">
        <v>11</v>
      </c>
      <c r="C242" s="4">
        <v>1</v>
      </c>
      <c r="D242" s="4">
        <v>0</v>
      </c>
      <c r="E242" s="4">
        <v>1</v>
      </c>
      <c r="F242" s="4">
        <v>0</v>
      </c>
    </row>
    <row r="243" spans="1:6" x14ac:dyDescent="0.2">
      <c r="A243" s="4">
        <v>8.65</v>
      </c>
      <c r="B243" s="4">
        <v>18</v>
      </c>
      <c r="C243" s="4">
        <v>1</v>
      </c>
      <c r="D243" s="4">
        <v>1</v>
      </c>
      <c r="E243" s="4">
        <v>0</v>
      </c>
      <c r="F243" s="4">
        <v>0</v>
      </c>
    </row>
    <row r="244" spans="1:6" x14ac:dyDescent="0.2">
      <c r="A244" s="4">
        <v>1.5</v>
      </c>
      <c r="B244" s="4">
        <v>12</v>
      </c>
      <c r="C244" s="4">
        <v>1</v>
      </c>
      <c r="D244" s="4">
        <v>1</v>
      </c>
      <c r="E244" s="4">
        <v>1</v>
      </c>
      <c r="F244" s="4">
        <v>0</v>
      </c>
    </row>
    <row r="245" spans="1:6" x14ac:dyDescent="0.2">
      <c r="A245" s="4">
        <v>6.35</v>
      </c>
      <c r="B245" s="4">
        <v>14</v>
      </c>
      <c r="C245" s="4">
        <v>1</v>
      </c>
      <c r="D245" s="4">
        <v>1</v>
      </c>
      <c r="E245" s="4">
        <v>1</v>
      </c>
      <c r="F245" s="4">
        <v>0</v>
      </c>
    </row>
    <row r="246" spans="1:6" x14ac:dyDescent="0.2">
      <c r="A246" s="4">
        <v>3.25</v>
      </c>
      <c r="B246" s="4">
        <v>8</v>
      </c>
      <c r="C246" s="4">
        <v>1</v>
      </c>
      <c r="D246" s="4">
        <v>1</v>
      </c>
      <c r="E246" s="4">
        <v>1</v>
      </c>
      <c r="F246" s="4">
        <v>1</v>
      </c>
    </row>
    <row r="247" spans="1:6" x14ac:dyDescent="0.2">
      <c r="A247" s="4">
        <v>3.35</v>
      </c>
      <c r="B247" s="4">
        <v>12</v>
      </c>
      <c r="C247" s="4">
        <v>1</v>
      </c>
      <c r="D247" s="4">
        <v>0</v>
      </c>
      <c r="E247" s="4">
        <v>1</v>
      </c>
      <c r="F247" s="4">
        <v>0</v>
      </c>
    </row>
    <row r="248" spans="1:6" x14ac:dyDescent="0.2">
      <c r="A248" s="4">
        <v>8.8000000000000007</v>
      </c>
      <c r="B248" s="4">
        <v>16</v>
      </c>
      <c r="C248" s="4">
        <v>1</v>
      </c>
      <c r="D248" s="4">
        <v>0</v>
      </c>
      <c r="E248" s="4">
        <v>1</v>
      </c>
      <c r="F248" s="4">
        <v>0</v>
      </c>
    </row>
    <row r="249" spans="1:6" x14ac:dyDescent="0.2">
      <c r="A249" s="4">
        <v>12.5</v>
      </c>
      <c r="B249" s="4">
        <v>12</v>
      </c>
      <c r="C249" s="4">
        <v>1</v>
      </c>
      <c r="D249" s="4">
        <v>0</v>
      </c>
      <c r="E249" s="4">
        <v>0</v>
      </c>
      <c r="F249" s="4">
        <v>0</v>
      </c>
    </row>
    <row r="250" spans="1:6" x14ac:dyDescent="0.2">
      <c r="A250" s="4">
        <v>6.36</v>
      </c>
      <c r="B250" s="4">
        <v>14</v>
      </c>
      <c r="C250" s="4">
        <v>1</v>
      </c>
      <c r="D250" s="4">
        <v>0</v>
      </c>
      <c r="E250" s="4">
        <v>1</v>
      </c>
      <c r="F250" s="4">
        <v>0</v>
      </c>
    </row>
    <row r="251" spans="1:6" x14ac:dyDescent="0.2">
      <c r="A251" s="4">
        <v>6.5</v>
      </c>
      <c r="B251" s="4">
        <v>12</v>
      </c>
      <c r="C251" s="4">
        <v>1</v>
      </c>
      <c r="D251" s="4">
        <v>1</v>
      </c>
      <c r="E251" s="4">
        <v>0</v>
      </c>
      <c r="F251" s="4">
        <v>0</v>
      </c>
    </row>
    <row r="252" spans="1:6" x14ac:dyDescent="0.2">
      <c r="A252" s="4">
        <v>2.31</v>
      </c>
      <c r="B252" s="4">
        <v>9</v>
      </c>
      <c r="C252" s="4">
        <v>1</v>
      </c>
      <c r="D252" s="4">
        <v>1</v>
      </c>
      <c r="E252" s="4">
        <v>0</v>
      </c>
      <c r="F252" s="4">
        <v>0</v>
      </c>
    </row>
    <row r="253" spans="1:6" x14ac:dyDescent="0.2">
      <c r="A253" s="4">
        <v>3.5</v>
      </c>
      <c r="B253" s="4">
        <v>18</v>
      </c>
      <c r="C253" s="4">
        <v>1</v>
      </c>
      <c r="D253" s="4">
        <v>1</v>
      </c>
      <c r="E253" s="4">
        <v>0</v>
      </c>
      <c r="F253" s="4">
        <v>0</v>
      </c>
    </row>
    <row r="254" spans="1:6" x14ac:dyDescent="0.2">
      <c r="A254" s="4">
        <v>0.53</v>
      </c>
      <c r="B254" s="4">
        <v>12</v>
      </c>
      <c r="C254" s="4">
        <v>1</v>
      </c>
      <c r="D254" s="4">
        <v>1</v>
      </c>
      <c r="E254" s="4">
        <v>0</v>
      </c>
      <c r="F254" s="4">
        <v>1</v>
      </c>
    </row>
    <row r="255" spans="1:6" x14ac:dyDescent="0.2">
      <c r="A255" s="4">
        <v>3</v>
      </c>
      <c r="B255" s="4">
        <v>13</v>
      </c>
      <c r="C255" s="4">
        <v>1</v>
      </c>
      <c r="D255" s="4">
        <v>0</v>
      </c>
      <c r="E255" s="4">
        <v>0</v>
      </c>
      <c r="F255" s="4">
        <v>0</v>
      </c>
    </row>
    <row r="256" spans="1:6" x14ac:dyDescent="0.2">
      <c r="A256" s="4">
        <v>4.68</v>
      </c>
      <c r="B256" s="4">
        <v>16</v>
      </c>
      <c r="C256" s="4">
        <v>1</v>
      </c>
      <c r="D256" s="4">
        <v>1</v>
      </c>
      <c r="E256" s="4">
        <v>0</v>
      </c>
      <c r="F256" s="4">
        <v>0</v>
      </c>
    </row>
    <row r="257" spans="1:6" x14ac:dyDescent="0.2">
      <c r="A257" s="4">
        <v>4.5</v>
      </c>
      <c r="B257" s="4">
        <v>12</v>
      </c>
      <c r="C257" s="4">
        <v>1</v>
      </c>
      <c r="D257" s="4">
        <v>1</v>
      </c>
      <c r="E257" s="4">
        <v>0</v>
      </c>
      <c r="F257" s="4">
        <v>0</v>
      </c>
    </row>
    <row r="258" spans="1:6" x14ac:dyDescent="0.2">
      <c r="A258" s="4">
        <v>3.1</v>
      </c>
      <c r="B258" s="4">
        <v>12</v>
      </c>
      <c r="C258" s="4">
        <v>1</v>
      </c>
      <c r="D258" s="4">
        <v>1</v>
      </c>
      <c r="E258" s="4">
        <v>0</v>
      </c>
      <c r="F258" s="4">
        <v>0</v>
      </c>
    </row>
    <row r="259" spans="1:6" x14ac:dyDescent="0.2">
      <c r="A259" s="4">
        <v>5</v>
      </c>
      <c r="B259" s="4">
        <v>16</v>
      </c>
      <c r="C259" s="4">
        <v>1</v>
      </c>
      <c r="D259" s="4">
        <v>1</v>
      </c>
      <c r="E259" s="4">
        <v>1</v>
      </c>
      <c r="F259" s="4">
        <v>0</v>
      </c>
    </row>
    <row r="260" spans="1:6" x14ac:dyDescent="0.2">
      <c r="A260" s="4">
        <v>3</v>
      </c>
      <c r="B260" s="4">
        <v>10</v>
      </c>
      <c r="C260" s="4">
        <v>1</v>
      </c>
      <c r="D260" s="4">
        <v>1</v>
      </c>
      <c r="E260" s="4">
        <v>0</v>
      </c>
      <c r="F260" s="4">
        <v>0</v>
      </c>
    </row>
    <row r="261" spans="1:6" x14ac:dyDescent="0.2">
      <c r="A261" s="4">
        <v>3.13</v>
      </c>
      <c r="B261" s="4">
        <v>10</v>
      </c>
      <c r="C261" s="4">
        <v>1</v>
      </c>
      <c r="D261" s="4">
        <v>0</v>
      </c>
      <c r="E261" s="4">
        <v>0</v>
      </c>
      <c r="F261" s="4">
        <v>1</v>
      </c>
    </row>
    <row r="262" spans="1:6" x14ac:dyDescent="0.2">
      <c r="A262" s="4">
        <v>3.4</v>
      </c>
      <c r="B262" s="4">
        <v>16</v>
      </c>
      <c r="C262" s="4">
        <v>1</v>
      </c>
      <c r="D262" s="4">
        <v>1</v>
      </c>
      <c r="E262" s="4">
        <v>0</v>
      </c>
      <c r="F262" s="4">
        <v>0</v>
      </c>
    </row>
    <row r="263" spans="1:6" x14ac:dyDescent="0.2">
      <c r="A263" s="4">
        <v>4.28</v>
      </c>
      <c r="B263" s="4">
        <v>13</v>
      </c>
      <c r="C263" s="4">
        <v>1</v>
      </c>
      <c r="D263" s="4">
        <v>1</v>
      </c>
      <c r="E263" s="4">
        <v>0</v>
      </c>
      <c r="F263" s="4">
        <v>0</v>
      </c>
    </row>
    <row r="264" spans="1:6" x14ac:dyDescent="0.2">
      <c r="A264" s="4">
        <v>3</v>
      </c>
      <c r="B264" s="4">
        <v>11</v>
      </c>
      <c r="C264" s="4">
        <v>1</v>
      </c>
      <c r="D264" s="4">
        <v>1</v>
      </c>
      <c r="E264" s="4">
        <v>0</v>
      </c>
      <c r="F264" s="4">
        <v>0</v>
      </c>
    </row>
    <row r="265" spans="1:6" x14ac:dyDescent="0.2">
      <c r="A265" s="4">
        <v>3</v>
      </c>
      <c r="B265" s="4">
        <v>4</v>
      </c>
      <c r="C265" s="4">
        <v>0</v>
      </c>
      <c r="D265" s="4">
        <v>0</v>
      </c>
      <c r="E265" s="4">
        <v>1</v>
      </c>
      <c r="F265" s="4">
        <v>0</v>
      </c>
    </row>
    <row r="266" spans="1:6" x14ac:dyDescent="0.2">
      <c r="A266" s="4">
        <v>3</v>
      </c>
      <c r="B266" s="4">
        <v>10</v>
      </c>
      <c r="C266" s="4">
        <v>0</v>
      </c>
      <c r="D266" s="4">
        <v>0</v>
      </c>
      <c r="E266" s="4">
        <v>0</v>
      </c>
      <c r="F266" s="4">
        <v>0</v>
      </c>
    </row>
    <row r="267" spans="1:6" x14ac:dyDescent="0.2">
      <c r="A267" s="4">
        <v>2.5299999999999998</v>
      </c>
      <c r="B267" s="4">
        <v>12</v>
      </c>
      <c r="C267" s="4">
        <v>0</v>
      </c>
      <c r="D267" s="4">
        <v>1</v>
      </c>
      <c r="E267" s="4">
        <v>0</v>
      </c>
      <c r="F267" s="4">
        <v>0</v>
      </c>
    </row>
    <row r="268" spans="1:6" x14ac:dyDescent="0.2">
      <c r="A268" s="4">
        <v>2.89</v>
      </c>
      <c r="B268" s="4">
        <v>0</v>
      </c>
      <c r="C268" s="4">
        <v>0</v>
      </c>
      <c r="D268" s="4">
        <v>1</v>
      </c>
      <c r="E268" s="4">
        <v>1</v>
      </c>
      <c r="F268" s="4">
        <v>1</v>
      </c>
    </row>
    <row r="269" spans="1:6" x14ac:dyDescent="0.2">
      <c r="A269" s="4">
        <v>3.25</v>
      </c>
      <c r="B269" s="4">
        <v>12</v>
      </c>
      <c r="C269" s="4">
        <v>0</v>
      </c>
      <c r="D269" s="4">
        <v>1</v>
      </c>
      <c r="E269" s="4">
        <v>1</v>
      </c>
      <c r="F269" s="4">
        <v>1</v>
      </c>
    </row>
    <row r="270" spans="1:6" x14ac:dyDescent="0.2">
      <c r="A270" s="4">
        <v>3</v>
      </c>
      <c r="B270" s="4">
        <v>12</v>
      </c>
      <c r="C270" s="4">
        <v>0</v>
      </c>
      <c r="D270" s="4">
        <v>1</v>
      </c>
      <c r="E270" s="4">
        <v>1</v>
      </c>
      <c r="F270" s="4">
        <v>0</v>
      </c>
    </row>
    <row r="271" spans="1:6" x14ac:dyDescent="0.2">
      <c r="A271" s="4">
        <v>2.9</v>
      </c>
      <c r="B271" s="4">
        <v>12</v>
      </c>
      <c r="C271" s="4">
        <v>0</v>
      </c>
      <c r="D271" s="4">
        <v>1</v>
      </c>
      <c r="E271" s="4">
        <v>1</v>
      </c>
      <c r="F271" s="4">
        <v>0</v>
      </c>
    </row>
    <row r="272" spans="1:6" x14ac:dyDescent="0.2">
      <c r="A272" s="4">
        <v>6.63</v>
      </c>
      <c r="B272" s="4">
        <v>12</v>
      </c>
      <c r="C272" s="4">
        <v>0</v>
      </c>
      <c r="D272" s="4">
        <v>1</v>
      </c>
      <c r="E272" s="4">
        <v>0</v>
      </c>
      <c r="F272" s="4">
        <v>0</v>
      </c>
    </row>
    <row r="273" spans="1:6" x14ac:dyDescent="0.2">
      <c r="A273" s="4">
        <v>3</v>
      </c>
      <c r="B273" s="4">
        <v>4</v>
      </c>
      <c r="C273" s="4">
        <v>0</v>
      </c>
      <c r="D273" s="4">
        <v>0</v>
      </c>
      <c r="E273" s="4">
        <v>1</v>
      </c>
      <c r="F273" s="4">
        <v>0</v>
      </c>
    </row>
    <row r="274" spans="1:6" x14ac:dyDescent="0.2">
      <c r="A274" s="4">
        <v>3.35</v>
      </c>
      <c r="B274" s="4">
        <v>7</v>
      </c>
      <c r="C274" s="4">
        <v>0</v>
      </c>
      <c r="D274" s="4">
        <v>1</v>
      </c>
      <c r="E274" s="4">
        <v>0</v>
      </c>
      <c r="F274" s="4">
        <v>0</v>
      </c>
    </row>
    <row r="275" spans="1:6" x14ac:dyDescent="0.2">
      <c r="A275" s="4">
        <v>2.9</v>
      </c>
      <c r="B275" s="4">
        <v>5</v>
      </c>
      <c r="C275" s="4">
        <v>0</v>
      </c>
      <c r="D275" s="4">
        <v>1</v>
      </c>
      <c r="E275" s="4">
        <v>1</v>
      </c>
      <c r="F275" s="4">
        <v>1</v>
      </c>
    </row>
    <row r="276" spans="1:6" x14ac:dyDescent="0.2">
      <c r="A276" s="4">
        <v>3</v>
      </c>
      <c r="B276" s="4">
        <v>8</v>
      </c>
      <c r="C276" s="4">
        <v>0</v>
      </c>
      <c r="D276" s="4">
        <v>0</v>
      </c>
      <c r="E276" s="4">
        <v>1</v>
      </c>
      <c r="F276" s="4">
        <v>0</v>
      </c>
    </row>
    <row r="277" spans="1:6" x14ac:dyDescent="0.2">
      <c r="A277" s="4">
        <v>3</v>
      </c>
      <c r="B277" s="4">
        <v>15</v>
      </c>
      <c r="C277" s="4">
        <v>0</v>
      </c>
      <c r="D277" s="4">
        <v>0</v>
      </c>
      <c r="E277" s="4">
        <v>1</v>
      </c>
      <c r="F277" s="4">
        <v>0</v>
      </c>
    </row>
    <row r="278" spans="1:6" x14ac:dyDescent="0.2">
      <c r="A278" s="4">
        <v>12.5</v>
      </c>
      <c r="B278" s="4">
        <v>16</v>
      </c>
      <c r="C278" s="4">
        <v>0</v>
      </c>
      <c r="D278" s="4">
        <v>0</v>
      </c>
      <c r="E278" s="4">
        <v>1</v>
      </c>
      <c r="F278" s="4">
        <v>1</v>
      </c>
    </row>
    <row r="279" spans="1:6" x14ac:dyDescent="0.2">
      <c r="A279" s="4">
        <v>12.5</v>
      </c>
      <c r="B279" s="4">
        <v>15</v>
      </c>
      <c r="C279" s="4">
        <v>0</v>
      </c>
      <c r="D279" s="4">
        <v>0</v>
      </c>
      <c r="E279" s="4">
        <v>1</v>
      </c>
      <c r="F279" s="4">
        <v>1</v>
      </c>
    </row>
    <row r="280" spans="1:6" x14ac:dyDescent="0.2">
      <c r="A280" s="4">
        <v>4.1399999999999997</v>
      </c>
      <c r="B280" s="4">
        <v>13</v>
      </c>
      <c r="C280" s="4">
        <v>0</v>
      </c>
      <c r="D280" s="4">
        <v>1</v>
      </c>
      <c r="E280" s="4">
        <v>1</v>
      </c>
      <c r="F280" s="4">
        <v>0</v>
      </c>
    </row>
    <row r="281" spans="1:6" x14ac:dyDescent="0.2">
      <c r="A281" s="4">
        <v>3.2</v>
      </c>
      <c r="B281" s="4">
        <v>12</v>
      </c>
      <c r="C281" s="4">
        <v>0</v>
      </c>
      <c r="D281" s="4">
        <v>1</v>
      </c>
      <c r="E281" s="4">
        <v>0</v>
      </c>
      <c r="F281" s="4">
        <v>0</v>
      </c>
    </row>
    <row r="282" spans="1:6" x14ac:dyDescent="0.2">
      <c r="A282" s="4">
        <v>3.25</v>
      </c>
      <c r="B282" s="4">
        <v>9</v>
      </c>
      <c r="C282" s="4">
        <v>0</v>
      </c>
      <c r="D282" s="4">
        <v>0</v>
      </c>
      <c r="E282" s="4">
        <v>1</v>
      </c>
      <c r="F282" s="4">
        <v>0</v>
      </c>
    </row>
    <row r="283" spans="1:6" x14ac:dyDescent="0.2">
      <c r="A283" s="4">
        <v>10</v>
      </c>
      <c r="B283" s="4">
        <v>12</v>
      </c>
      <c r="C283" s="4">
        <v>0</v>
      </c>
      <c r="D283" s="4">
        <v>0</v>
      </c>
      <c r="E283" s="4">
        <v>1</v>
      </c>
      <c r="F283" s="4">
        <v>0</v>
      </c>
    </row>
    <row r="284" spans="1:6" x14ac:dyDescent="0.2">
      <c r="A284" s="4">
        <v>4</v>
      </c>
      <c r="B284" s="4">
        <v>12</v>
      </c>
      <c r="C284" s="4">
        <v>0</v>
      </c>
      <c r="D284" s="4">
        <v>1</v>
      </c>
      <c r="E284" s="4">
        <v>1</v>
      </c>
      <c r="F284" s="4">
        <v>0</v>
      </c>
    </row>
    <row r="285" spans="1:6" x14ac:dyDescent="0.2">
      <c r="A285" s="4">
        <v>6.46</v>
      </c>
      <c r="B285" s="4">
        <v>12</v>
      </c>
      <c r="C285" s="4">
        <v>0</v>
      </c>
      <c r="D285" s="4">
        <v>0</v>
      </c>
      <c r="E285" s="4">
        <v>1</v>
      </c>
      <c r="F285" s="4">
        <v>0</v>
      </c>
    </row>
    <row r="286" spans="1:6" x14ac:dyDescent="0.2">
      <c r="A286" s="4">
        <v>6.36</v>
      </c>
      <c r="B286" s="4">
        <v>16</v>
      </c>
      <c r="C286" s="4">
        <v>0</v>
      </c>
      <c r="D286" s="4">
        <v>0</v>
      </c>
      <c r="E286" s="4">
        <v>1</v>
      </c>
      <c r="F286" s="4">
        <v>0</v>
      </c>
    </row>
    <row r="287" spans="1:6" x14ac:dyDescent="0.2">
      <c r="A287" s="4">
        <v>9.42</v>
      </c>
      <c r="B287" s="4">
        <v>14</v>
      </c>
      <c r="C287" s="4">
        <v>0</v>
      </c>
      <c r="D287" s="4">
        <v>1</v>
      </c>
      <c r="E287" s="4">
        <v>1</v>
      </c>
      <c r="F287" s="4">
        <v>0</v>
      </c>
    </row>
    <row r="288" spans="1:6" x14ac:dyDescent="0.2">
      <c r="A288" s="4">
        <v>3.35</v>
      </c>
      <c r="B288" s="4">
        <v>13</v>
      </c>
      <c r="C288" s="4">
        <v>0</v>
      </c>
      <c r="D288" s="4">
        <v>1</v>
      </c>
      <c r="E288" s="4">
        <v>0</v>
      </c>
      <c r="F288" s="4">
        <v>0</v>
      </c>
    </row>
    <row r="289" spans="1:6" x14ac:dyDescent="0.2">
      <c r="A289" s="4">
        <v>4.75</v>
      </c>
      <c r="B289" s="4">
        <v>12</v>
      </c>
      <c r="C289" s="4">
        <v>0</v>
      </c>
      <c r="D289" s="4">
        <v>0</v>
      </c>
      <c r="E289" s="4">
        <v>1</v>
      </c>
      <c r="F289" s="4">
        <v>0</v>
      </c>
    </row>
    <row r="290" spans="1:6" x14ac:dyDescent="0.2">
      <c r="A290" s="4">
        <v>2.9</v>
      </c>
      <c r="B290" s="4">
        <v>10</v>
      </c>
      <c r="C290" s="4">
        <v>0</v>
      </c>
      <c r="D290" s="4">
        <v>1</v>
      </c>
      <c r="E290" s="4">
        <v>1</v>
      </c>
      <c r="F290" s="4">
        <v>0</v>
      </c>
    </row>
    <row r="291" spans="1:6" x14ac:dyDescent="0.2">
      <c r="A291" s="4">
        <v>3.75</v>
      </c>
      <c r="B291" s="4">
        <v>12</v>
      </c>
      <c r="C291" s="4">
        <v>0</v>
      </c>
      <c r="D291" s="4">
        <v>1</v>
      </c>
      <c r="E291" s="4">
        <v>1</v>
      </c>
      <c r="F291" s="4">
        <v>0</v>
      </c>
    </row>
    <row r="292" spans="1:6" x14ac:dyDescent="0.2">
      <c r="A292" s="4">
        <v>1.43</v>
      </c>
      <c r="B292" s="4">
        <v>12</v>
      </c>
      <c r="C292" s="4">
        <v>0</v>
      </c>
      <c r="D292" s="10">
        <v>2</v>
      </c>
      <c r="E292" s="4">
        <v>1</v>
      </c>
      <c r="F292" s="4">
        <v>0</v>
      </c>
    </row>
    <row r="293" spans="1:6" x14ac:dyDescent="0.2">
      <c r="A293" s="4">
        <v>3</v>
      </c>
      <c r="B293" s="4">
        <v>14</v>
      </c>
      <c r="C293" s="4">
        <v>0</v>
      </c>
      <c r="D293" s="4">
        <v>1</v>
      </c>
      <c r="E293" s="4">
        <v>1</v>
      </c>
      <c r="F293" s="4">
        <v>0</v>
      </c>
    </row>
    <row r="294" spans="1:6" x14ac:dyDescent="0.2">
      <c r="A294" s="4">
        <v>4.5</v>
      </c>
      <c r="B294" s="4">
        <v>14</v>
      </c>
      <c r="C294" s="4">
        <v>0</v>
      </c>
      <c r="D294" s="4">
        <v>1</v>
      </c>
      <c r="E294" s="4">
        <v>1</v>
      </c>
      <c r="F294" s="4">
        <v>1</v>
      </c>
    </row>
    <row r="295" spans="1:6" x14ac:dyDescent="0.2">
      <c r="A295" s="4">
        <v>3.24</v>
      </c>
      <c r="B295" s="4">
        <v>12</v>
      </c>
      <c r="C295" s="4">
        <v>0</v>
      </c>
      <c r="D295" s="4">
        <v>1</v>
      </c>
      <c r="E295" s="4">
        <v>1</v>
      </c>
      <c r="F295" s="4">
        <v>0</v>
      </c>
    </row>
    <row r="296" spans="1:6" x14ac:dyDescent="0.2">
      <c r="A296" s="4">
        <v>6.11</v>
      </c>
      <c r="B296" s="4">
        <v>14</v>
      </c>
      <c r="C296" s="4">
        <v>0</v>
      </c>
      <c r="D296" s="4">
        <v>0</v>
      </c>
      <c r="E296" s="4">
        <v>1</v>
      </c>
      <c r="F296" s="4">
        <v>0</v>
      </c>
    </row>
    <row r="297" spans="1:6" x14ac:dyDescent="0.2">
      <c r="A297" s="4">
        <v>8.77</v>
      </c>
      <c r="B297" s="4">
        <v>12</v>
      </c>
      <c r="C297" s="4">
        <v>0</v>
      </c>
      <c r="D297" s="4">
        <v>0</v>
      </c>
      <c r="E297" s="4">
        <v>1</v>
      </c>
      <c r="F297" s="4">
        <v>1</v>
      </c>
    </row>
    <row r="298" spans="1:6" x14ac:dyDescent="0.2">
      <c r="A298" s="4">
        <v>10</v>
      </c>
      <c r="B298" s="4">
        <v>12</v>
      </c>
      <c r="C298" s="4">
        <v>0</v>
      </c>
      <c r="D298" s="4">
        <v>0</v>
      </c>
      <c r="E298" s="4">
        <v>0</v>
      </c>
      <c r="F298" s="4">
        <v>0</v>
      </c>
    </row>
    <row r="299" spans="1:6" x14ac:dyDescent="0.2">
      <c r="A299" s="4">
        <v>5</v>
      </c>
      <c r="B299" s="4">
        <v>15</v>
      </c>
      <c r="C299" s="4">
        <v>0</v>
      </c>
      <c r="D299" s="4">
        <v>0</v>
      </c>
      <c r="E299" s="4">
        <v>0</v>
      </c>
      <c r="F299" s="4">
        <v>0</v>
      </c>
    </row>
    <row r="300" spans="1:6" x14ac:dyDescent="0.2">
      <c r="A300" s="4">
        <v>3.75</v>
      </c>
      <c r="B300" s="4">
        <v>10</v>
      </c>
      <c r="C300" s="4">
        <v>0</v>
      </c>
      <c r="D300" s="4">
        <v>0</v>
      </c>
      <c r="E300" s="4">
        <v>0</v>
      </c>
      <c r="F300" s="4">
        <v>0</v>
      </c>
    </row>
    <row r="301" spans="1:6" x14ac:dyDescent="0.2">
      <c r="A301" s="4">
        <v>3.25</v>
      </c>
      <c r="B301" s="4">
        <v>12</v>
      </c>
      <c r="C301" s="4">
        <v>0</v>
      </c>
      <c r="D301" s="4">
        <v>1</v>
      </c>
      <c r="E301" s="4">
        <v>1</v>
      </c>
      <c r="F301" s="4">
        <v>0</v>
      </c>
    </row>
    <row r="302" spans="1:6" x14ac:dyDescent="0.2">
      <c r="A302" s="4">
        <v>3.75</v>
      </c>
      <c r="B302" s="4">
        <v>12</v>
      </c>
      <c r="C302" s="4">
        <v>0</v>
      </c>
      <c r="D302" s="4">
        <v>1</v>
      </c>
      <c r="E302" s="4">
        <v>1</v>
      </c>
      <c r="F302" s="4">
        <v>0</v>
      </c>
    </row>
    <row r="303" spans="1:6" x14ac:dyDescent="0.2">
      <c r="A303" s="4">
        <v>3.1</v>
      </c>
      <c r="B303" s="4">
        <v>6</v>
      </c>
      <c r="C303" s="4">
        <v>0</v>
      </c>
      <c r="D303" s="4">
        <v>1</v>
      </c>
      <c r="E303" s="4">
        <v>0</v>
      </c>
      <c r="F303" s="4">
        <v>0</v>
      </c>
    </row>
    <row r="304" spans="1:6" x14ac:dyDescent="0.2">
      <c r="A304" s="4">
        <v>3.5</v>
      </c>
      <c r="B304" s="4">
        <v>12</v>
      </c>
      <c r="C304" s="4">
        <v>0</v>
      </c>
      <c r="D304" s="4">
        <v>1</v>
      </c>
      <c r="E304" s="4">
        <v>0</v>
      </c>
      <c r="F304" s="4">
        <v>0</v>
      </c>
    </row>
    <row r="305" spans="1:6" x14ac:dyDescent="0.2">
      <c r="A305" s="4">
        <v>17.329999999999998</v>
      </c>
      <c r="B305" s="4">
        <v>16</v>
      </c>
      <c r="C305" s="4">
        <v>0</v>
      </c>
      <c r="D305" s="4">
        <v>0</v>
      </c>
      <c r="E305" s="4">
        <v>1</v>
      </c>
      <c r="F305" s="4">
        <v>1</v>
      </c>
    </row>
    <row r="306" spans="1:6" x14ac:dyDescent="0.2">
      <c r="A306" s="4">
        <v>3.58</v>
      </c>
      <c r="B306" s="4">
        <v>12</v>
      </c>
      <c r="C306" s="4">
        <v>0</v>
      </c>
      <c r="D306" s="4">
        <v>0</v>
      </c>
      <c r="E306" s="4">
        <v>0</v>
      </c>
      <c r="F306" s="4">
        <v>0</v>
      </c>
    </row>
    <row r="307" spans="1:6" x14ac:dyDescent="0.2">
      <c r="A307" s="4">
        <v>4.5</v>
      </c>
      <c r="B307" s="4">
        <v>12</v>
      </c>
      <c r="C307" s="4">
        <v>0</v>
      </c>
      <c r="D307" s="4">
        <v>0</v>
      </c>
      <c r="E307" s="4">
        <v>1</v>
      </c>
      <c r="F307" s="4">
        <v>0</v>
      </c>
    </row>
    <row r="308" spans="1:6" x14ac:dyDescent="0.2">
      <c r="A308" s="4">
        <v>3.6</v>
      </c>
      <c r="B308" s="4">
        <v>12</v>
      </c>
      <c r="C308" s="4">
        <v>0</v>
      </c>
      <c r="D308" s="10">
        <v>2</v>
      </c>
      <c r="E308" s="4">
        <v>1</v>
      </c>
      <c r="F308" s="4">
        <v>1</v>
      </c>
    </row>
    <row r="309" spans="1:6" x14ac:dyDescent="0.2">
      <c r="A309" s="4">
        <v>18</v>
      </c>
      <c r="B309" s="4">
        <v>18</v>
      </c>
      <c r="C309" s="4">
        <v>0</v>
      </c>
      <c r="D309" s="4">
        <v>1</v>
      </c>
      <c r="E309" s="4">
        <v>0</v>
      </c>
      <c r="F309" s="4">
        <v>0</v>
      </c>
    </row>
    <row r="310" spans="1:6" x14ac:dyDescent="0.2">
      <c r="A310" s="4">
        <v>6.25</v>
      </c>
      <c r="B310" s="10">
        <v>12</v>
      </c>
      <c r="C310" s="4">
        <v>0</v>
      </c>
      <c r="D310" s="4">
        <v>1</v>
      </c>
      <c r="E310" s="4">
        <v>1</v>
      </c>
      <c r="F310" s="4">
        <v>0</v>
      </c>
    </row>
    <row r="311" spans="1:6" x14ac:dyDescent="0.2">
      <c r="A311" s="4">
        <v>7.14</v>
      </c>
      <c r="B311" s="4">
        <v>18</v>
      </c>
      <c r="C311" s="4">
        <v>0</v>
      </c>
      <c r="D311" s="4">
        <v>0</v>
      </c>
      <c r="E311" s="4">
        <v>1</v>
      </c>
      <c r="F311" s="4">
        <v>0</v>
      </c>
    </row>
    <row r="312" spans="1:6" x14ac:dyDescent="0.2">
      <c r="A312" s="4">
        <v>3.75</v>
      </c>
      <c r="B312" s="10">
        <v>12</v>
      </c>
      <c r="C312" s="4">
        <v>0</v>
      </c>
      <c r="D312" s="4">
        <v>1</v>
      </c>
      <c r="E312" s="4">
        <v>1</v>
      </c>
      <c r="F312" s="4">
        <v>0</v>
      </c>
    </row>
    <row r="313" spans="1:6" x14ac:dyDescent="0.2">
      <c r="A313" s="4">
        <v>10</v>
      </c>
      <c r="B313" s="4">
        <v>8</v>
      </c>
      <c r="C313" s="4">
        <v>0</v>
      </c>
      <c r="D313" s="4">
        <v>0</v>
      </c>
      <c r="E313" s="4">
        <v>0</v>
      </c>
      <c r="F313" s="4">
        <v>0</v>
      </c>
    </row>
    <row r="314" spans="1:6" x14ac:dyDescent="0.2">
      <c r="A314" s="4">
        <v>4.5</v>
      </c>
      <c r="B314" s="4">
        <v>12</v>
      </c>
      <c r="C314" s="4">
        <v>0</v>
      </c>
      <c r="D314" s="4">
        <v>0</v>
      </c>
      <c r="E314" s="4">
        <v>1</v>
      </c>
      <c r="F314" s="4">
        <v>0</v>
      </c>
    </row>
    <row r="315" spans="1:6" x14ac:dyDescent="0.2">
      <c r="A315" s="4">
        <v>3.45</v>
      </c>
      <c r="B315" s="4">
        <v>10</v>
      </c>
      <c r="C315" s="4">
        <v>0</v>
      </c>
      <c r="D315" s="4">
        <v>1</v>
      </c>
      <c r="E315" s="4">
        <v>0</v>
      </c>
      <c r="F315" s="4">
        <v>0</v>
      </c>
    </row>
    <row r="316" spans="1:6" x14ac:dyDescent="0.2">
      <c r="A316" s="4">
        <v>3.75</v>
      </c>
      <c r="B316" s="4">
        <v>12</v>
      </c>
      <c r="C316" s="4">
        <v>0</v>
      </c>
      <c r="D316" s="4">
        <v>0</v>
      </c>
      <c r="E316" s="4">
        <v>0</v>
      </c>
      <c r="F316" s="4">
        <v>0</v>
      </c>
    </row>
    <row r="317" spans="1:6" x14ac:dyDescent="0.2">
      <c r="A317" s="4">
        <v>6</v>
      </c>
      <c r="B317" s="4">
        <v>14</v>
      </c>
      <c r="C317" s="4">
        <v>0</v>
      </c>
      <c r="D317" s="4">
        <v>0</v>
      </c>
      <c r="E317" s="4">
        <v>1</v>
      </c>
      <c r="F317" s="4">
        <v>0</v>
      </c>
    </row>
    <row r="318" spans="1:6" x14ac:dyDescent="0.2">
      <c r="A318" s="4">
        <v>6.25</v>
      </c>
      <c r="B318" s="4">
        <v>12</v>
      </c>
      <c r="C318" s="4">
        <v>0</v>
      </c>
      <c r="D318" s="4">
        <v>1</v>
      </c>
      <c r="E318" s="4">
        <v>0</v>
      </c>
      <c r="F318" s="4">
        <v>1</v>
      </c>
    </row>
    <row r="319" spans="1:6" x14ac:dyDescent="0.2">
      <c r="A319" s="4">
        <v>7.5</v>
      </c>
      <c r="B319" s="4">
        <v>16</v>
      </c>
      <c r="C319" s="4">
        <v>0</v>
      </c>
      <c r="D319" s="4">
        <v>0</v>
      </c>
      <c r="E319" s="4">
        <v>1</v>
      </c>
      <c r="F319" s="4">
        <v>0</v>
      </c>
    </row>
    <row r="320" spans="1:6" x14ac:dyDescent="0.2">
      <c r="A320" s="4">
        <v>3</v>
      </c>
      <c r="B320" s="4">
        <v>12</v>
      </c>
      <c r="C320" s="4">
        <v>0</v>
      </c>
      <c r="D320" s="4">
        <v>1</v>
      </c>
      <c r="E320" s="4">
        <v>1</v>
      </c>
      <c r="F320" s="4">
        <v>0</v>
      </c>
    </row>
    <row r="321" spans="1:6" x14ac:dyDescent="0.2">
      <c r="A321" s="4">
        <v>4.55</v>
      </c>
      <c r="B321" s="4">
        <v>12</v>
      </c>
      <c r="C321" s="4">
        <v>0</v>
      </c>
      <c r="D321" s="10">
        <v>2</v>
      </c>
      <c r="E321" s="4">
        <v>1</v>
      </c>
      <c r="F321" s="4">
        <v>0</v>
      </c>
    </row>
    <row r="322" spans="1:6" x14ac:dyDescent="0.2">
      <c r="A322" s="4">
        <v>7.5</v>
      </c>
      <c r="B322" s="4">
        <v>12</v>
      </c>
      <c r="C322" s="4">
        <v>0</v>
      </c>
      <c r="D322" s="4">
        <v>1</v>
      </c>
      <c r="E322" s="4">
        <v>1</v>
      </c>
      <c r="F322" s="4">
        <v>1</v>
      </c>
    </row>
    <row r="323" spans="1:6" x14ac:dyDescent="0.2">
      <c r="A323" s="4">
        <v>3.05</v>
      </c>
      <c r="B323" s="4">
        <v>12</v>
      </c>
      <c r="C323" s="4">
        <v>0</v>
      </c>
      <c r="D323" s="4">
        <v>1</v>
      </c>
      <c r="E323" s="4">
        <v>1</v>
      </c>
      <c r="F323" s="4">
        <v>0</v>
      </c>
    </row>
    <row r="324" spans="1:6" x14ac:dyDescent="0.2">
      <c r="A324" s="4">
        <v>6.25</v>
      </c>
      <c r="B324" s="4">
        <v>12</v>
      </c>
      <c r="C324" s="4">
        <v>0</v>
      </c>
      <c r="D324" s="4">
        <v>0</v>
      </c>
      <c r="E324" s="4">
        <v>1</v>
      </c>
      <c r="F324" s="4">
        <v>0</v>
      </c>
    </row>
    <row r="325" spans="1:6" x14ac:dyDescent="0.2">
      <c r="A325" s="4">
        <v>4.5</v>
      </c>
      <c r="B325" s="4">
        <v>14</v>
      </c>
      <c r="C325" s="4">
        <v>0</v>
      </c>
      <c r="D325" s="4">
        <v>0</v>
      </c>
      <c r="E325" s="4">
        <v>1</v>
      </c>
      <c r="F325" s="4">
        <v>0</v>
      </c>
    </row>
    <row r="326" spans="1:6" x14ac:dyDescent="0.2">
      <c r="A326" s="4">
        <v>3</v>
      </c>
      <c r="B326" s="4">
        <v>15</v>
      </c>
      <c r="C326" s="4">
        <v>0</v>
      </c>
      <c r="D326" s="4">
        <v>0</v>
      </c>
      <c r="E326" s="4">
        <v>0</v>
      </c>
      <c r="F326" s="4">
        <v>0</v>
      </c>
    </row>
    <row r="327" spans="1:6" x14ac:dyDescent="0.2">
      <c r="A327" s="4">
        <v>10</v>
      </c>
      <c r="B327" s="4">
        <v>8</v>
      </c>
      <c r="C327" s="4">
        <v>0</v>
      </c>
      <c r="D327" s="4">
        <v>0</v>
      </c>
      <c r="E327" s="4">
        <v>1</v>
      </c>
      <c r="F327" s="4">
        <v>0</v>
      </c>
    </row>
    <row r="328" spans="1:6" x14ac:dyDescent="0.2">
      <c r="A328" s="4">
        <v>6</v>
      </c>
      <c r="B328" s="4">
        <v>13</v>
      </c>
      <c r="C328" s="4">
        <v>0</v>
      </c>
      <c r="D328" s="4">
        <v>0</v>
      </c>
      <c r="E328" s="4">
        <v>1</v>
      </c>
      <c r="F328" s="4">
        <v>0</v>
      </c>
    </row>
    <row r="329" spans="1:6" x14ac:dyDescent="0.2">
      <c r="A329" s="4">
        <v>2.89</v>
      </c>
      <c r="B329" s="4">
        <v>10</v>
      </c>
      <c r="C329" s="4">
        <v>0</v>
      </c>
      <c r="D329" s="4">
        <v>1</v>
      </c>
      <c r="E329" s="4">
        <v>0</v>
      </c>
      <c r="F329" s="4">
        <v>0</v>
      </c>
    </row>
    <row r="330" spans="1:6" x14ac:dyDescent="0.2">
      <c r="A330" s="4">
        <v>4.2</v>
      </c>
      <c r="B330" s="4">
        <v>16</v>
      </c>
      <c r="C330" s="4">
        <v>0</v>
      </c>
      <c r="D330" s="4">
        <v>1</v>
      </c>
      <c r="E330" s="4">
        <v>1</v>
      </c>
      <c r="F330" s="4">
        <v>0</v>
      </c>
    </row>
    <row r="331" spans="1:6" x14ac:dyDescent="0.2">
      <c r="A331" s="4">
        <v>4.5999999999999996</v>
      </c>
      <c r="B331" s="4">
        <v>14</v>
      </c>
      <c r="C331" s="4">
        <v>0</v>
      </c>
      <c r="D331" s="4">
        <v>1</v>
      </c>
      <c r="E331" s="4">
        <v>1</v>
      </c>
      <c r="F331" s="4">
        <v>0</v>
      </c>
    </row>
    <row r="332" spans="1:6" x14ac:dyDescent="0.2">
      <c r="A332" s="4">
        <v>4.38</v>
      </c>
      <c r="B332" s="4">
        <v>16</v>
      </c>
      <c r="C332" s="4">
        <v>0</v>
      </c>
      <c r="D332" s="4">
        <v>0</v>
      </c>
      <c r="E332" s="4">
        <v>0</v>
      </c>
      <c r="F332" s="4">
        <v>0</v>
      </c>
    </row>
    <row r="333" spans="1:6" x14ac:dyDescent="0.2">
      <c r="A333" s="4">
        <v>9</v>
      </c>
      <c r="B333" s="4">
        <v>17</v>
      </c>
      <c r="C333" s="4">
        <v>0</v>
      </c>
      <c r="D333" s="4">
        <v>1</v>
      </c>
      <c r="E333" s="4">
        <v>1</v>
      </c>
      <c r="F333" s="4">
        <v>0</v>
      </c>
    </row>
    <row r="334" spans="1:6" x14ac:dyDescent="0.2">
      <c r="A334" s="4">
        <v>3</v>
      </c>
      <c r="B334" s="4">
        <v>10</v>
      </c>
      <c r="C334" s="4">
        <v>0</v>
      </c>
      <c r="D334" s="4">
        <v>1</v>
      </c>
      <c r="E334" s="4">
        <v>1</v>
      </c>
      <c r="F334" s="4">
        <v>0</v>
      </c>
    </row>
    <row r="335" spans="1:6" x14ac:dyDescent="0.2">
      <c r="A335" s="4">
        <v>4.38</v>
      </c>
      <c r="B335" s="4">
        <v>13</v>
      </c>
      <c r="C335" s="4">
        <v>0</v>
      </c>
      <c r="D335" s="4">
        <v>0</v>
      </c>
      <c r="E335" s="4">
        <v>1</v>
      </c>
      <c r="F335" s="4">
        <v>1</v>
      </c>
    </row>
    <row r="336" spans="1:6" x14ac:dyDescent="0.2">
      <c r="A336" s="4">
        <v>4.0999999999999996</v>
      </c>
      <c r="B336" s="4">
        <v>14</v>
      </c>
      <c r="C336" s="4">
        <v>0</v>
      </c>
      <c r="D336" s="4">
        <v>1</v>
      </c>
      <c r="E336" s="4">
        <v>1</v>
      </c>
      <c r="F336" s="4">
        <v>0</v>
      </c>
    </row>
    <row r="337" spans="1:6" x14ac:dyDescent="0.2">
      <c r="A337" s="4">
        <v>2.9</v>
      </c>
      <c r="B337" s="4">
        <v>11</v>
      </c>
      <c r="C337" s="4">
        <v>0</v>
      </c>
      <c r="D337" s="4">
        <v>1</v>
      </c>
      <c r="E337" s="4">
        <v>0</v>
      </c>
      <c r="F337" s="4">
        <v>0</v>
      </c>
    </row>
    <row r="338" spans="1:6" x14ac:dyDescent="0.2">
      <c r="A338" s="4">
        <v>3.76</v>
      </c>
      <c r="B338" s="4">
        <v>6</v>
      </c>
      <c r="C338" s="4">
        <v>0</v>
      </c>
      <c r="D338" s="4">
        <v>0</v>
      </c>
      <c r="E338" s="4">
        <v>0</v>
      </c>
      <c r="F338" s="4">
        <v>0</v>
      </c>
    </row>
    <row r="339" spans="1:6" x14ac:dyDescent="0.2">
      <c r="A339" s="4">
        <v>4</v>
      </c>
      <c r="B339" s="4">
        <v>13</v>
      </c>
      <c r="C339" s="4">
        <v>0</v>
      </c>
      <c r="D339" s="4">
        <v>1</v>
      </c>
      <c r="E339" s="4">
        <v>0</v>
      </c>
      <c r="F339" s="4">
        <v>0</v>
      </c>
    </row>
    <row r="340" spans="1:6" x14ac:dyDescent="0.2">
      <c r="A340" s="4">
        <v>5.84</v>
      </c>
      <c r="B340" s="4">
        <v>13</v>
      </c>
      <c r="C340" s="4">
        <v>0</v>
      </c>
      <c r="D340" s="4">
        <v>1</v>
      </c>
      <c r="E340" s="4">
        <v>1</v>
      </c>
      <c r="F340" s="4">
        <v>0</v>
      </c>
    </row>
    <row r="341" spans="1:6" x14ac:dyDescent="0.2">
      <c r="A341" s="4">
        <v>3.3</v>
      </c>
      <c r="B341" s="4">
        <v>13</v>
      </c>
      <c r="C341" s="4">
        <v>0</v>
      </c>
      <c r="D341" s="4">
        <v>1</v>
      </c>
      <c r="E341" s="4">
        <v>0</v>
      </c>
      <c r="F341" s="4">
        <v>0</v>
      </c>
    </row>
    <row r="342" spans="1:6" x14ac:dyDescent="0.2">
      <c r="A342" s="4">
        <v>3.5</v>
      </c>
      <c r="B342" s="4">
        <v>14</v>
      </c>
      <c r="C342" s="4">
        <v>0</v>
      </c>
      <c r="D342" s="4">
        <v>1</v>
      </c>
      <c r="E342" s="4">
        <v>1</v>
      </c>
      <c r="F342" s="4">
        <v>0</v>
      </c>
    </row>
    <row r="343" spans="1:6" x14ac:dyDescent="0.2">
      <c r="A343" s="4">
        <v>3</v>
      </c>
      <c r="B343" s="4">
        <v>13</v>
      </c>
      <c r="C343" s="4">
        <v>0</v>
      </c>
      <c r="D343" s="4">
        <v>1</v>
      </c>
      <c r="E343" s="4">
        <v>0</v>
      </c>
      <c r="F343" s="4">
        <v>0</v>
      </c>
    </row>
    <row r="344" spans="1:6" x14ac:dyDescent="0.2">
      <c r="A344" s="4">
        <v>4.5</v>
      </c>
      <c r="B344" s="4">
        <v>14</v>
      </c>
      <c r="C344" s="4">
        <v>0</v>
      </c>
      <c r="D344" s="4">
        <v>0</v>
      </c>
      <c r="E344" s="4">
        <v>1</v>
      </c>
      <c r="F344" s="4">
        <v>0</v>
      </c>
    </row>
    <row r="345" spans="1:6" x14ac:dyDescent="0.2">
      <c r="A345" s="4">
        <v>3.85</v>
      </c>
      <c r="B345" s="4">
        <v>16</v>
      </c>
      <c r="C345" s="4">
        <v>0</v>
      </c>
      <c r="D345" s="4">
        <v>0</v>
      </c>
      <c r="E345" s="4">
        <v>1</v>
      </c>
      <c r="F345" s="4">
        <v>0</v>
      </c>
    </row>
    <row r="346" spans="1:6" x14ac:dyDescent="0.2">
      <c r="A346" s="4">
        <v>4.1100000000000003</v>
      </c>
      <c r="B346" s="4">
        <v>14</v>
      </c>
      <c r="C346" s="4">
        <v>0</v>
      </c>
      <c r="D346" s="4">
        <v>0</v>
      </c>
      <c r="E346" s="4">
        <v>0</v>
      </c>
      <c r="F346" s="4">
        <v>0</v>
      </c>
    </row>
    <row r="347" spans="1:6" x14ac:dyDescent="0.2">
      <c r="A347" s="4">
        <v>5</v>
      </c>
      <c r="B347" s="4">
        <v>14</v>
      </c>
      <c r="C347" s="4">
        <v>0</v>
      </c>
      <c r="D347" s="4">
        <v>0</v>
      </c>
      <c r="E347" s="4">
        <v>0</v>
      </c>
      <c r="F347" s="4">
        <v>0</v>
      </c>
    </row>
    <row r="348" spans="1:6" x14ac:dyDescent="0.2">
      <c r="A348" s="4">
        <v>2.25</v>
      </c>
      <c r="B348" s="4">
        <v>12</v>
      </c>
      <c r="C348" s="4">
        <v>0</v>
      </c>
      <c r="D348" s="4">
        <v>1</v>
      </c>
      <c r="E348" s="4">
        <v>0</v>
      </c>
      <c r="F348" s="4">
        <v>0</v>
      </c>
    </row>
    <row r="349" spans="1:6" x14ac:dyDescent="0.2">
      <c r="A349" s="4">
        <v>3.18</v>
      </c>
      <c r="B349" s="4">
        <v>12</v>
      </c>
      <c r="C349" s="4">
        <v>0</v>
      </c>
      <c r="D349" s="4">
        <v>1</v>
      </c>
      <c r="E349" s="4">
        <v>1</v>
      </c>
      <c r="F349" s="4">
        <v>0</v>
      </c>
    </row>
    <row r="350" spans="1:6" x14ac:dyDescent="0.2">
      <c r="A350" s="4">
        <v>5.05</v>
      </c>
      <c r="B350" s="10">
        <v>12</v>
      </c>
      <c r="C350" s="4">
        <v>0</v>
      </c>
      <c r="D350" s="4">
        <v>1</v>
      </c>
      <c r="E350" s="4">
        <v>0</v>
      </c>
      <c r="F350" s="4">
        <v>0</v>
      </c>
    </row>
    <row r="351" spans="1:6" x14ac:dyDescent="0.2">
      <c r="A351" s="4">
        <v>4.63</v>
      </c>
      <c r="B351" s="4">
        <v>14</v>
      </c>
      <c r="C351" s="4">
        <v>0</v>
      </c>
      <c r="D351" s="4">
        <v>1</v>
      </c>
      <c r="E351" s="4">
        <v>1</v>
      </c>
      <c r="F351" s="4">
        <v>0</v>
      </c>
    </row>
    <row r="352" spans="1:6" x14ac:dyDescent="0.2">
      <c r="A352" s="4">
        <v>2.91</v>
      </c>
      <c r="B352" s="4">
        <v>12</v>
      </c>
      <c r="C352" s="4">
        <v>0</v>
      </c>
      <c r="D352" s="4">
        <v>0</v>
      </c>
      <c r="E352" s="4">
        <v>1</v>
      </c>
      <c r="F352" s="4">
        <v>0</v>
      </c>
    </row>
    <row r="353" spans="1:6" x14ac:dyDescent="0.2">
      <c r="A353" s="4">
        <v>6.25</v>
      </c>
      <c r="B353" s="4">
        <v>17</v>
      </c>
      <c r="C353" s="4">
        <v>0</v>
      </c>
      <c r="D353" s="4">
        <v>1</v>
      </c>
      <c r="E353" s="4">
        <v>0</v>
      </c>
      <c r="F353" s="4">
        <v>1</v>
      </c>
    </row>
    <row r="354" spans="1:6" x14ac:dyDescent="0.2">
      <c r="A354" s="4">
        <v>5.25</v>
      </c>
      <c r="B354" s="4">
        <v>16</v>
      </c>
      <c r="C354" s="4">
        <v>0</v>
      </c>
      <c r="D354" s="4">
        <v>0</v>
      </c>
      <c r="E354" s="4">
        <v>0</v>
      </c>
      <c r="F354" s="4">
        <v>0</v>
      </c>
    </row>
    <row r="355" spans="1:6" x14ac:dyDescent="0.2">
      <c r="A355" s="4">
        <v>5.25</v>
      </c>
      <c r="B355" s="4">
        <v>12</v>
      </c>
      <c r="C355" s="4">
        <v>0</v>
      </c>
      <c r="D355" s="4">
        <v>0</v>
      </c>
      <c r="E355" s="4">
        <v>0</v>
      </c>
      <c r="F355" s="4">
        <v>0</v>
      </c>
    </row>
    <row r="356" spans="1:6" x14ac:dyDescent="0.2">
      <c r="A356" s="4">
        <v>2.9</v>
      </c>
      <c r="B356" s="4">
        <v>10</v>
      </c>
      <c r="C356" s="4">
        <v>0</v>
      </c>
      <c r="D356" s="4">
        <v>1</v>
      </c>
      <c r="E356" s="4">
        <v>0</v>
      </c>
      <c r="F356" s="4">
        <v>0</v>
      </c>
    </row>
    <row r="357" spans="1:6" x14ac:dyDescent="0.2">
      <c r="A357" s="4">
        <v>2.92</v>
      </c>
      <c r="B357" s="4">
        <v>12</v>
      </c>
      <c r="C357" s="4">
        <v>0</v>
      </c>
      <c r="D357" s="4">
        <v>1</v>
      </c>
      <c r="E357" s="4">
        <v>0</v>
      </c>
      <c r="F357" s="4">
        <v>0</v>
      </c>
    </row>
    <row r="358" spans="1:6" x14ac:dyDescent="0.2">
      <c r="A358" s="4">
        <v>3.25</v>
      </c>
      <c r="B358" s="4">
        <v>12</v>
      </c>
      <c r="C358" s="4">
        <v>0</v>
      </c>
      <c r="D358" s="4">
        <v>0</v>
      </c>
      <c r="E358" s="4">
        <v>0</v>
      </c>
      <c r="F358" s="4">
        <v>0</v>
      </c>
    </row>
    <row r="359" spans="1:6" x14ac:dyDescent="0.2">
      <c r="A359" s="4">
        <v>3.25</v>
      </c>
      <c r="B359" s="4">
        <v>15</v>
      </c>
      <c r="C359" s="4">
        <v>0</v>
      </c>
      <c r="D359" s="4">
        <v>0</v>
      </c>
      <c r="E359" s="4">
        <v>0</v>
      </c>
      <c r="F359" s="4">
        <v>0</v>
      </c>
    </row>
    <row r="360" spans="1:6" x14ac:dyDescent="0.2">
      <c r="A360" s="4">
        <v>4.29</v>
      </c>
      <c r="B360" s="4">
        <v>12</v>
      </c>
      <c r="C360" s="4">
        <v>0</v>
      </c>
      <c r="D360" s="4">
        <v>1</v>
      </c>
      <c r="E360" s="4">
        <v>0</v>
      </c>
      <c r="F360" s="4">
        <v>0</v>
      </c>
    </row>
    <row r="361" spans="1:6" x14ac:dyDescent="0.2">
      <c r="A361" s="4">
        <v>4.68</v>
      </c>
      <c r="B361" s="4">
        <v>12</v>
      </c>
      <c r="C361" s="4">
        <v>0</v>
      </c>
      <c r="D361" s="4">
        <v>1</v>
      </c>
      <c r="E361" s="4">
        <v>0</v>
      </c>
      <c r="F361" s="4">
        <v>1</v>
      </c>
    </row>
    <row r="362" spans="1:6" x14ac:dyDescent="0.2">
      <c r="A362" s="4">
        <v>6.63</v>
      </c>
      <c r="B362" s="4">
        <v>16</v>
      </c>
      <c r="C362" s="4">
        <v>0</v>
      </c>
      <c r="D362" s="4">
        <v>0</v>
      </c>
      <c r="E362" s="4">
        <v>1</v>
      </c>
      <c r="F362" s="4">
        <v>0</v>
      </c>
    </row>
    <row r="363" spans="1:6" x14ac:dyDescent="0.2">
      <c r="A363" s="4">
        <v>4.4400000000000004</v>
      </c>
      <c r="B363" s="4">
        <v>12</v>
      </c>
      <c r="C363" s="4">
        <v>0</v>
      </c>
      <c r="D363" s="4">
        <v>0</v>
      </c>
      <c r="E363" s="4">
        <v>0</v>
      </c>
      <c r="F363" s="4">
        <v>0</v>
      </c>
    </row>
    <row r="364" spans="1:6" x14ac:dyDescent="0.2">
      <c r="A364" s="4">
        <v>5.71</v>
      </c>
      <c r="B364" s="4">
        <v>16</v>
      </c>
      <c r="C364" s="4">
        <v>0</v>
      </c>
      <c r="D364" s="4">
        <v>1</v>
      </c>
      <c r="E364" s="4">
        <v>0</v>
      </c>
      <c r="F364" s="4">
        <v>0</v>
      </c>
    </row>
    <row r="365" spans="1:6" x14ac:dyDescent="0.2">
      <c r="A365" s="4">
        <v>4.57</v>
      </c>
      <c r="B365" s="4">
        <v>14</v>
      </c>
      <c r="C365" s="4">
        <v>0</v>
      </c>
      <c r="D365" s="4">
        <v>0</v>
      </c>
      <c r="E365" s="4">
        <v>1</v>
      </c>
      <c r="F365" s="4">
        <v>0</v>
      </c>
    </row>
    <row r="366" spans="1:6" x14ac:dyDescent="0.2">
      <c r="A366" s="4">
        <v>6.5</v>
      </c>
      <c r="B366" s="4">
        <v>17</v>
      </c>
      <c r="C366" s="4">
        <v>0</v>
      </c>
      <c r="D366" s="4">
        <v>0</v>
      </c>
      <c r="E366" s="4">
        <v>1</v>
      </c>
      <c r="F366" s="4">
        <v>0</v>
      </c>
    </row>
    <row r="367" spans="1:6" x14ac:dyDescent="0.2">
      <c r="A367" s="4">
        <v>8.1300000000000008</v>
      </c>
      <c r="B367" s="4">
        <v>13</v>
      </c>
      <c r="C367" s="4">
        <v>0</v>
      </c>
      <c r="D367" s="10">
        <v>2</v>
      </c>
      <c r="E367" s="4">
        <v>0</v>
      </c>
      <c r="F367" s="4">
        <v>1</v>
      </c>
    </row>
    <row r="368" spans="1:6" x14ac:dyDescent="0.2">
      <c r="A368" s="4">
        <v>3</v>
      </c>
      <c r="B368" s="4">
        <v>9</v>
      </c>
      <c r="C368" s="4">
        <v>0</v>
      </c>
      <c r="D368" s="4">
        <v>1</v>
      </c>
      <c r="E368" s="4">
        <v>0</v>
      </c>
      <c r="F368" s="4">
        <v>0</v>
      </c>
    </row>
    <row r="369" spans="1:6" x14ac:dyDescent="0.2">
      <c r="A369" s="4">
        <v>4</v>
      </c>
      <c r="B369" s="4">
        <v>10</v>
      </c>
      <c r="C369" s="4">
        <v>0</v>
      </c>
      <c r="D369" s="4">
        <v>1</v>
      </c>
      <c r="E369" s="4">
        <v>0</v>
      </c>
      <c r="F369" s="4">
        <v>1</v>
      </c>
    </row>
    <row r="370" spans="1:6" x14ac:dyDescent="0.2">
      <c r="A370" s="4">
        <v>2.7</v>
      </c>
      <c r="B370" s="4">
        <v>9</v>
      </c>
      <c r="C370" s="4">
        <v>0</v>
      </c>
      <c r="D370" s="4">
        <v>1</v>
      </c>
      <c r="E370" s="4">
        <v>0</v>
      </c>
      <c r="F370" s="4">
        <v>0</v>
      </c>
    </row>
    <row r="371" spans="1:6" x14ac:dyDescent="0.2">
      <c r="A371" s="4">
        <v>2.27</v>
      </c>
      <c r="B371" s="4">
        <v>10</v>
      </c>
      <c r="C371" s="4">
        <v>0</v>
      </c>
      <c r="D371" s="10">
        <v>2</v>
      </c>
      <c r="E371" s="4">
        <v>0</v>
      </c>
      <c r="F371" s="4">
        <v>1</v>
      </c>
    </row>
    <row r="372" spans="1:6" x14ac:dyDescent="0.2">
      <c r="A372" s="4">
        <v>3.05</v>
      </c>
      <c r="B372" s="4">
        <v>12</v>
      </c>
      <c r="C372" s="4">
        <v>0</v>
      </c>
      <c r="D372" s="4">
        <v>1</v>
      </c>
      <c r="E372" s="4">
        <v>0</v>
      </c>
      <c r="F372" s="4">
        <v>0</v>
      </c>
    </row>
    <row r="373" spans="1:6" x14ac:dyDescent="0.2">
      <c r="A373" s="4">
        <v>3.5</v>
      </c>
      <c r="B373" s="4">
        <v>13</v>
      </c>
      <c r="C373" s="4">
        <v>0</v>
      </c>
      <c r="D373" s="4">
        <v>1</v>
      </c>
      <c r="E373" s="4">
        <v>0</v>
      </c>
      <c r="F373" s="4">
        <v>0</v>
      </c>
    </row>
    <row r="374" spans="1:6" x14ac:dyDescent="0.2">
      <c r="A374" s="4">
        <v>4.8099999999999996</v>
      </c>
      <c r="B374" s="4">
        <v>12</v>
      </c>
      <c r="C374" s="4">
        <v>0</v>
      </c>
      <c r="D374" s="4">
        <v>1</v>
      </c>
      <c r="E374" s="4">
        <v>0</v>
      </c>
      <c r="F374" s="4">
        <v>0</v>
      </c>
    </row>
    <row r="375" spans="1:6" x14ac:dyDescent="0.2">
      <c r="A375" s="4">
        <v>2.2999999999999998</v>
      </c>
      <c r="B375" s="4">
        <v>10</v>
      </c>
      <c r="C375" s="4">
        <v>0</v>
      </c>
      <c r="D375" s="4">
        <v>1</v>
      </c>
      <c r="E375" s="4">
        <v>0</v>
      </c>
      <c r="F375" s="4">
        <v>0</v>
      </c>
    </row>
    <row r="376" spans="1:6" x14ac:dyDescent="0.2">
      <c r="A376" s="4">
        <v>3.5</v>
      </c>
      <c r="B376" s="4">
        <v>12</v>
      </c>
      <c r="C376" s="4">
        <v>0</v>
      </c>
      <c r="D376" s="10">
        <v>2</v>
      </c>
      <c r="E376" s="4">
        <v>0</v>
      </c>
      <c r="F376" s="4">
        <v>0</v>
      </c>
    </row>
    <row r="377" spans="1:6" x14ac:dyDescent="0.2">
      <c r="A377" s="4">
        <v>7.9</v>
      </c>
      <c r="B377" s="4">
        <v>12</v>
      </c>
      <c r="C377" s="4">
        <v>0</v>
      </c>
      <c r="D377" s="4">
        <v>0</v>
      </c>
      <c r="E377" s="4">
        <v>0</v>
      </c>
      <c r="F377" s="4">
        <v>0</v>
      </c>
    </row>
    <row r="378" spans="1:6" x14ac:dyDescent="0.2">
      <c r="A378" s="4">
        <v>3</v>
      </c>
      <c r="B378" s="4">
        <v>12</v>
      </c>
      <c r="C378" s="4">
        <v>0</v>
      </c>
      <c r="D378" s="4">
        <v>0</v>
      </c>
      <c r="E378" s="4">
        <v>0</v>
      </c>
      <c r="F378" s="4">
        <v>0</v>
      </c>
    </row>
    <row r="379" spans="1:6" x14ac:dyDescent="0.2">
      <c r="A379" s="4">
        <v>5.7</v>
      </c>
      <c r="B379" s="4">
        <v>16</v>
      </c>
      <c r="C379" s="4">
        <v>0</v>
      </c>
      <c r="D379" s="4">
        <v>0</v>
      </c>
      <c r="E379" s="4">
        <v>0</v>
      </c>
      <c r="F379" s="4">
        <v>0</v>
      </c>
    </row>
    <row r="380" spans="1:6" x14ac:dyDescent="0.2">
      <c r="A380" s="4">
        <v>2.5</v>
      </c>
      <c r="B380" s="10">
        <v>12</v>
      </c>
      <c r="C380" s="4">
        <v>0</v>
      </c>
      <c r="D380" s="4">
        <v>0</v>
      </c>
      <c r="E380" s="4">
        <v>0</v>
      </c>
      <c r="F380" s="4">
        <v>0</v>
      </c>
    </row>
    <row r="381" spans="1:6" x14ac:dyDescent="0.2">
      <c r="A381" s="4">
        <v>2.88</v>
      </c>
      <c r="B381" s="4">
        <v>10</v>
      </c>
      <c r="C381" s="4">
        <v>0</v>
      </c>
      <c r="D381" s="4">
        <v>1</v>
      </c>
      <c r="E381" s="4">
        <v>0</v>
      </c>
      <c r="F381" s="4">
        <v>0</v>
      </c>
    </row>
    <row r="382" spans="1:6" x14ac:dyDescent="0.2">
      <c r="A382" s="4">
        <v>3</v>
      </c>
      <c r="B382" s="4">
        <v>11</v>
      </c>
      <c r="C382" s="4">
        <v>0</v>
      </c>
      <c r="D382" s="4">
        <v>0</v>
      </c>
      <c r="E382" s="4">
        <v>0</v>
      </c>
      <c r="F382" s="4">
        <v>1</v>
      </c>
    </row>
    <row r="383" spans="1:6" x14ac:dyDescent="0.2">
      <c r="A383" s="4">
        <v>3</v>
      </c>
      <c r="B383" s="4">
        <v>11</v>
      </c>
      <c r="C383" s="4">
        <v>0</v>
      </c>
      <c r="D383" s="4">
        <v>0</v>
      </c>
      <c r="E383" s="4">
        <v>0</v>
      </c>
      <c r="F383" s="4">
        <v>0</v>
      </c>
    </row>
    <row r="384" spans="1:6" x14ac:dyDescent="0.2">
      <c r="A384" s="4">
        <v>3.5</v>
      </c>
      <c r="B384" s="4">
        <v>13</v>
      </c>
      <c r="C384" s="4">
        <v>0</v>
      </c>
      <c r="D384" s="4">
        <v>0</v>
      </c>
      <c r="E384" s="4">
        <v>0</v>
      </c>
      <c r="F384" s="4">
        <v>0</v>
      </c>
    </row>
    <row r="385" spans="1:6" x14ac:dyDescent="0.2">
      <c r="A385" s="4">
        <v>2.83</v>
      </c>
      <c r="B385" s="4">
        <v>10</v>
      </c>
      <c r="C385" s="4">
        <v>0</v>
      </c>
      <c r="D385" s="10">
        <v>2</v>
      </c>
      <c r="E385" s="4">
        <v>0</v>
      </c>
      <c r="F385" s="4">
        <v>0</v>
      </c>
    </row>
    <row r="386" spans="1:6" x14ac:dyDescent="0.2">
      <c r="A386" s="4">
        <v>1.67</v>
      </c>
      <c r="B386" s="4">
        <v>10</v>
      </c>
      <c r="C386" s="4">
        <v>0</v>
      </c>
      <c r="D386" s="4">
        <v>0</v>
      </c>
      <c r="E386" s="4">
        <v>0</v>
      </c>
      <c r="F386" s="4">
        <v>1</v>
      </c>
    </row>
    <row r="387" spans="1:6" x14ac:dyDescent="0.2">
      <c r="A387" s="4">
        <v>4.68</v>
      </c>
      <c r="B387" s="4">
        <v>16</v>
      </c>
      <c r="C387" s="4">
        <v>0</v>
      </c>
      <c r="D387" s="4">
        <v>0</v>
      </c>
      <c r="E387" s="4">
        <v>0</v>
      </c>
      <c r="F387" s="4">
        <v>0</v>
      </c>
    </row>
    <row r="388" spans="1:6" x14ac:dyDescent="0.2">
      <c r="A388" s="4">
        <v>3.13</v>
      </c>
      <c r="B388" s="4">
        <v>10</v>
      </c>
      <c r="C388" s="4">
        <v>0</v>
      </c>
      <c r="D388" s="4">
        <v>1</v>
      </c>
      <c r="E388" s="4">
        <v>0</v>
      </c>
      <c r="F388" s="4">
        <v>0</v>
      </c>
    </row>
    <row r="389" spans="1:6" x14ac:dyDescent="0.2">
      <c r="A389" s="4">
        <v>3.2</v>
      </c>
      <c r="B389" s="4">
        <v>11</v>
      </c>
      <c r="C389" s="4">
        <v>0</v>
      </c>
      <c r="D389" s="4">
        <v>0</v>
      </c>
      <c r="E389" s="4">
        <v>0</v>
      </c>
      <c r="F389" s="4">
        <v>0</v>
      </c>
    </row>
    <row r="390" spans="1:6" x14ac:dyDescent="0.2">
      <c r="A390" s="4">
        <v>4.33</v>
      </c>
      <c r="B390" s="4">
        <v>18</v>
      </c>
      <c r="C390" s="4">
        <v>0</v>
      </c>
      <c r="D390" s="4">
        <v>0</v>
      </c>
      <c r="E390" s="4">
        <v>0</v>
      </c>
      <c r="F390" s="4">
        <v>0</v>
      </c>
    </row>
    <row r="391" spans="1:6" x14ac:dyDescent="0.2">
      <c r="A391" s="4">
        <v>2.9</v>
      </c>
      <c r="B391" s="4">
        <v>11</v>
      </c>
      <c r="C391" s="4">
        <v>0</v>
      </c>
      <c r="D391" s="4">
        <v>1</v>
      </c>
      <c r="E391" s="4">
        <v>0</v>
      </c>
      <c r="F391" s="4">
        <v>0</v>
      </c>
    </row>
    <row r="392" spans="1:6" x14ac:dyDescent="0.2">
      <c r="A392" s="4">
        <v>2.91</v>
      </c>
      <c r="B392" s="4">
        <v>11</v>
      </c>
      <c r="C392" s="4">
        <v>0</v>
      </c>
      <c r="D392" s="4">
        <v>1</v>
      </c>
      <c r="E392" s="4">
        <v>0</v>
      </c>
      <c r="F392" s="4">
        <v>0</v>
      </c>
    </row>
    <row r="393" spans="1:6" x14ac:dyDescent="0.2">
      <c r="A393" s="4">
        <v>3</v>
      </c>
      <c r="B393" s="4">
        <v>15</v>
      </c>
      <c r="C393" s="4">
        <v>0</v>
      </c>
      <c r="D393" s="4">
        <v>0</v>
      </c>
      <c r="E393" s="4">
        <v>0</v>
      </c>
      <c r="F393" s="4">
        <v>0</v>
      </c>
    </row>
    <row r="394" spans="1:6" x14ac:dyDescent="0.2">
      <c r="A394" s="4">
        <v>3</v>
      </c>
      <c r="B394" s="4">
        <v>12</v>
      </c>
      <c r="C394" s="4">
        <v>0</v>
      </c>
      <c r="D394" s="4">
        <v>0</v>
      </c>
      <c r="E394" s="4">
        <v>0</v>
      </c>
      <c r="F394" s="4">
        <v>0</v>
      </c>
    </row>
    <row r="395" spans="1:6" x14ac:dyDescent="0.2">
      <c r="A395" s="4">
        <v>3.15</v>
      </c>
      <c r="B395" s="4">
        <v>13</v>
      </c>
      <c r="C395" s="4">
        <v>0</v>
      </c>
      <c r="D395" s="4">
        <v>1</v>
      </c>
      <c r="E395" s="4">
        <v>0</v>
      </c>
      <c r="F395" s="4">
        <v>0</v>
      </c>
    </row>
    <row r="396" spans="1:6" x14ac:dyDescent="0.2">
      <c r="A396" s="4">
        <v>12.5</v>
      </c>
      <c r="B396" s="4">
        <v>14</v>
      </c>
      <c r="C396" s="9">
        <v>26.78</v>
      </c>
      <c r="D396" s="4">
        <v>0</v>
      </c>
      <c r="E396" s="4">
        <v>1</v>
      </c>
      <c r="F396" s="4">
        <v>0</v>
      </c>
    </row>
    <row r="397" spans="1:6" x14ac:dyDescent="0.2">
      <c r="A397" s="4">
        <v>1.5</v>
      </c>
      <c r="B397" s="4">
        <v>8</v>
      </c>
      <c r="C397" s="9">
        <v>26.78</v>
      </c>
      <c r="D397" s="10">
        <v>2</v>
      </c>
      <c r="E397" s="4">
        <v>0</v>
      </c>
      <c r="F397" s="4">
        <v>0</v>
      </c>
    </row>
    <row r="398" spans="1:6" x14ac:dyDescent="0.2">
      <c r="A398" s="4">
        <v>2.92</v>
      </c>
      <c r="B398" s="4">
        <v>3</v>
      </c>
      <c r="C398" s="9">
        <v>26.78</v>
      </c>
      <c r="D398" s="4">
        <v>0</v>
      </c>
      <c r="E398" s="4">
        <v>0</v>
      </c>
      <c r="F398" s="4">
        <v>0</v>
      </c>
    </row>
    <row r="399" spans="1:6" x14ac:dyDescent="0.2">
      <c r="A399" s="4">
        <v>10</v>
      </c>
      <c r="B399" s="4">
        <v>12</v>
      </c>
      <c r="C399" s="4">
        <v>24</v>
      </c>
      <c r="D399" s="4">
        <v>0</v>
      </c>
      <c r="E399" s="4">
        <v>1</v>
      </c>
      <c r="F399" s="4">
        <v>0</v>
      </c>
    </row>
    <row r="400" spans="1:6" x14ac:dyDescent="0.2">
      <c r="A400" s="4">
        <v>10.91</v>
      </c>
      <c r="B400" s="4">
        <v>12</v>
      </c>
      <c r="C400" s="4">
        <v>23</v>
      </c>
      <c r="D400" s="4">
        <v>0</v>
      </c>
      <c r="E400" s="4">
        <v>0</v>
      </c>
      <c r="F400" s="4">
        <v>0</v>
      </c>
    </row>
    <row r="401" spans="1:6" x14ac:dyDescent="0.2">
      <c r="A401" s="4">
        <v>6.25</v>
      </c>
      <c r="B401" s="4">
        <v>7</v>
      </c>
      <c r="C401" s="4">
        <v>21</v>
      </c>
      <c r="D401" s="4">
        <v>0</v>
      </c>
      <c r="E401" s="4">
        <v>1</v>
      </c>
      <c r="F401" s="4">
        <v>0</v>
      </c>
    </row>
    <row r="402" spans="1:6" x14ac:dyDescent="0.2">
      <c r="A402" s="4">
        <v>15.38</v>
      </c>
      <c r="B402" s="4">
        <v>13</v>
      </c>
      <c r="C402" s="4">
        <v>21</v>
      </c>
      <c r="D402" s="4">
        <v>0</v>
      </c>
      <c r="E402" s="4">
        <v>1</v>
      </c>
      <c r="F402" s="4">
        <v>0</v>
      </c>
    </row>
    <row r="403" spans="1:6" x14ac:dyDescent="0.2">
      <c r="A403" s="4">
        <v>18.89</v>
      </c>
      <c r="B403" s="4">
        <v>17</v>
      </c>
      <c r="C403" s="4">
        <v>20</v>
      </c>
      <c r="D403" s="4">
        <v>0</v>
      </c>
      <c r="E403" s="4">
        <v>1</v>
      </c>
      <c r="F403" s="4">
        <v>0</v>
      </c>
    </row>
    <row r="404" spans="1:6" x14ac:dyDescent="0.2">
      <c r="A404" s="4">
        <v>3</v>
      </c>
      <c r="B404" s="4">
        <v>9</v>
      </c>
      <c r="C404" s="4">
        <v>20</v>
      </c>
      <c r="D404" s="4">
        <v>1</v>
      </c>
      <c r="E404" s="4">
        <v>1</v>
      </c>
      <c r="F404" s="4">
        <v>0</v>
      </c>
    </row>
    <row r="405" spans="1:6" x14ac:dyDescent="0.2">
      <c r="A405" s="4">
        <v>11.9</v>
      </c>
      <c r="B405" s="4">
        <v>13</v>
      </c>
      <c r="C405" s="4">
        <v>19</v>
      </c>
      <c r="D405" s="4">
        <v>0</v>
      </c>
      <c r="E405" s="4">
        <v>1</v>
      </c>
      <c r="F405" s="4">
        <v>0</v>
      </c>
    </row>
    <row r="406" spans="1:6" x14ac:dyDescent="0.2">
      <c r="A406" s="4">
        <v>4</v>
      </c>
      <c r="B406" s="4">
        <v>9</v>
      </c>
      <c r="C406" s="4">
        <v>18</v>
      </c>
      <c r="D406" s="4">
        <v>0</v>
      </c>
      <c r="E406" s="4">
        <v>0</v>
      </c>
      <c r="F406" s="4">
        <v>0</v>
      </c>
    </row>
    <row r="407" spans="1:6" x14ac:dyDescent="0.2">
      <c r="A407" s="4">
        <v>12.5</v>
      </c>
      <c r="B407" s="4">
        <v>17</v>
      </c>
      <c r="C407" s="4">
        <v>18</v>
      </c>
      <c r="D407" s="4">
        <v>0</v>
      </c>
      <c r="E407" s="4">
        <v>1</v>
      </c>
      <c r="F407" s="4">
        <v>0</v>
      </c>
    </row>
    <row r="408" spans="1:6" x14ac:dyDescent="0.2">
      <c r="A408" s="4">
        <v>9.68</v>
      </c>
      <c r="B408" s="4">
        <v>13</v>
      </c>
      <c r="C408" s="4">
        <v>16</v>
      </c>
      <c r="D408" s="4">
        <v>1</v>
      </c>
      <c r="E408" s="4">
        <v>0</v>
      </c>
      <c r="F408" s="4">
        <v>1</v>
      </c>
    </row>
    <row r="409" spans="1:6" x14ac:dyDescent="0.2">
      <c r="A409" s="4">
        <v>5.6</v>
      </c>
      <c r="B409" s="4">
        <v>15</v>
      </c>
      <c r="C409" s="4">
        <v>15</v>
      </c>
      <c r="D409" s="4">
        <v>1</v>
      </c>
      <c r="E409" s="4">
        <v>0</v>
      </c>
      <c r="F409" s="4">
        <v>0</v>
      </c>
    </row>
    <row r="410" spans="1:6" x14ac:dyDescent="0.2">
      <c r="A410" s="4">
        <v>3.4</v>
      </c>
      <c r="B410" s="4">
        <v>12</v>
      </c>
      <c r="C410" s="4">
        <v>15</v>
      </c>
      <c r="D410" s="4">
        <v>1</v>
      </c>
      <c r="E410" s="4">
        <v>1</v>
      </c>
      <c r="F410" s="4">
        <v>0</v>
      </c>
    </row>
    <row r="411" spans="1:6" x14ac:dyDescent="0.2">
      <c r="A411" s="4">
        <v>5.2</v>
      </c>
      <c r="B411" s="4">
        <v>6</v>
      </c>
      <c r="C411" s="4">
        <v>13</v>
      </c>
      <c r="D411" s="4">
        <v>0</v>
      </c>
      <c r="E411" s="4">
        <v>1</v>
      </c>
      <c r="F411" s="4">
        <v>0</v>
      </c>
    </row>
    <row r="412" spans="1:6" x14ac:dyDescent="0.2">
      <c r="A412" s="4">
        <v>3.75</v>
      </c>
      <c r="B412" s="4">
        <v>2</v>
      </c>
      <c r="C412" s="4">
        <v>13</v>
      </c>
      <c r="D412" s="4">
        <v>0</v>
      </c>
      <c r="E412" s="4">
        <v>1</v>
      </c>
      <c r="F412" s="4">
        <v>0</v>
      </c>
    </row>
    <row r="413" spans="1:6" x14ac:dyDescent="0.2">
      <c r="A413" s="4">
        <v>8.4499999999999993</v>
      </c>
      <c r="B413" s="4">
        <v>12</v>
      </c>
      <c r="C413" s="4">
        <v>13</v>
      </c>
      <c r="D413" s="4">
        <v>0</v>
      </c>
      <c r="E413" s="4">
        <v>1</v>
      </c>
      <c r="F413" s="4">
        <v>0</v>
      </c>
    </row>
    <row r="414" spans="1:6" x14ac:dyDescent="0.2">
      <c r="A414" s="4">
        <v>3.37</v>
      </c>
      <c r="B414" s="4">
        <v>11</v>
      </c>
      <c r="C414" s="4">
        <v>12</v>
      </c>
      <c r="D414" s="4">
        <v>0</v>
      </c>
      <c r="E414" s="4">
        <v>1</v>
      </c>
      <c r="F414" s="4">
        <v>0</v>
      </c>
    </row>
    <row r="415" spans="1:6" x14ac:dyDescent="0.2">
      <c r="A415" s="4">
        <v>4</v>
      </c>
      <c r="B415" s="4">
        <v>10</v>
      </c>
      <c r="C415" s="4">
        <v>12</v>
      </c>
      <c r="D415" s="4">
        <v>0</v>
      </c>
      <c r="E415" s="4">
        <v>1</v>
      </c>
      <c r="F415" s="4">
        <v>0</v>
      </c>
    </row>
    <row r="416" spans="1:6" x14ac:dyDescent="0.2">
      <c r="A416" s="4">
        <v>7.6</v>
      </c>
      <c r="B416" s="4">
        <v>12</v>
      </c>
      <c r="C416" s="4">
        <v>11</v>
      </c>
      <c r="D416" s="4">
        <v>1</v>
      </c>
      <c r="E416" s="4">
        <v>0</v>
      </c>
      <c r="F416" s="4">
        <v>0</v>
      </c>
    </row>
    <row r="417" spans="1:6" x14ac:dyDescent="0.2">
      <c r="A417" s="4">
        <v>10</v>
      </c>
      <c r="B417" s="4">
        <v>14</v>
      </c>
      <c r="C417" s="4">
        <v>11</v>
      </c>
      <c r="D417" s="4">
        <v>1</v>
      </c>
      <c r="E417" s="4">
        <v>1</v>
      </c>
      <c r="F417" s="4">
        <v>0</v>
      </c>
    </row>
    <row r="418" spans="1:6" x14ac:dyDescent="0.2">
      <c r="A418" s="4">
        <v>4</v>
      </c>
      <c r="B418" s="4">
        <v>12</v>
      </c>
      <c r="C418" s="4">
        <v>11</v>
      </c>
      <c r="D418" s="4">
        <v>1</v>
      </c>
      <c r="E418" s="4">
        <v>1</v>
      </c>
      <c r="F418" s="4">
        <v>0</v>
      </c>
    </row>
    <row r="419" spans="1:6" x14ac:dyDescent="0.2">
      <c r="A419" s="4">
        <v>9.33</v>
      </c>
      <c r="B419" s="4">
        <v>14</v>
      </c>
      <c r="C419" s="4">
        <v>11</v>
      </c>
      <c r="D419" s="4">
        <v>0</v>
      </c>
      <c r="E419" s="4">
        <v>1</v>
      </c>
      <c r="F419" s="4">
        <v>0</v>
      </c>
    </row>
    <row r="420" spans="1:6" x14ac:dyDescent="0.2">
      <c r="A420" s="4">
        <v>6.08</v>
      </c>
      <c r="B420" s="4">
        <v>16</v>
      </c>
      <c r="C420" s="4">
        <v>10</v>
      </c>
      <c r="D420" s="4">
        <v>0</v>
      </c>
      <c r="E420" s="4">
        <v>0</v>
      </c>
      <c r="F420" s="4">
        <v>0</v>
      </c>
    </row>
    <row r="421" spans="1:6" x14ac:dyDescent="0.2">
      <c r="A421" s="4">
        <v>6.67</v>
      </c>
      <c r="B421" s="4">
        <v>12</v>
      </c>
      <c r="C421" s="4">
        <v>10</v>
      </c>
      <c r="D421" s="4">
        <v>0</v>
      </c>
      <c r="E421" s="4">
        <v>0</v>
      </c>
      <c r="F421" s="4">
        <v>0</v>
      </c>
    </row>
    <row r="422" spans="1:6" x14ac:dyDescent="0.2">
      <c r="A422" s="4">
        <v>4.5</v>
      </c>
      <c r="B422" s="4">
        <v>16</v>
      </c>
      <c r="C422" s="4">
        <v>10</v>
      </c>
      <c r="D422" s="4">
        <v>0</v>
      </c>
      <c r="E422" s="4">
        <v>1</v>
      </c>
      <c r="F422" s="4">
        <v>0</v>
      </c>
    </row>
    <row r="423" spans="1:6" x14ac:dyDescent="0.2">
      <c r="A423" s="4">
        <v>6.8</v>
      </c>
      <c r="B423" s="4">
        <v>12</v>
      </c>
      <c r="C423" s="4">
        <v>10</v>
      </c>
      <c r="D423" s="4">
        <v>0</v>
      </c>
      <c r="E423" s="4">
        <v>1</v>
      </c>
      <c r="F423" s="4">
        <v>0</v>
      </c>
    </row>
    <row r="424" spans="1:6" x14ac:dyDescent="0.2">
      <c r="A424" s="4">
        <v>3</v>
      </c>
      <c r="B424" s="4">
        <v>12</v>
      </c>
      <c r="C424" s="4">
        <v>9</v>
      </c>
      <c r="D424" s="4">
        <v>1</v>
      </c>
      <c r="E424" s="4">
        <v>1</v>
      </c>
      <c r="F424" s="4">
        <v>0</v>
      </c>
    </row>
    <row r="425" spans="1:6" x14ac:dyDescent="0.2">
      <c r="A425" s="4">
        <v>6.22</v>
      </c>
      <c r="B425" s="4">
        <v>12</v>
      </c>
      <c r="C425" s="4">
        <v>9</v>
      </c>
      <c r="D425" s="4">
        <v>1</v>
      </c>
      <c r="E425" s="4">
        <v>1</v>
      </c>
      <c r="F425" s="4">
        <v>0</v>
      </c>
    </row>
    <row r="426" spans="1:6" x14ac:dyDescent="0.2">
      <c r="A426" s="4">
        <v>5.95</v>
      </c>
      <c r="B426" s="4">
        <v>11</v>
      </c>
      <c r="C426" s="4">
        <v>9</v>
      </c>
      <c r="D426" s="4">
        <v>0</v>
      </c>
      <c r="E426" s="4">
        <v>1</v>
      </c>
      <c r="F426" s="4">
        <v>0</v>
      </c>
    </row>
    <row r="427" spans="1:6" x14ac:dyDescent="0.2">
      <c r="A427" s="4">
        <v>14.38</v>
      </c>
      <c r="B427" s="4">
        <v>17</v>
      </c>
      <c r="C427" s="4">
        <v>9</v>
      </c>
      <c r="D427" s="4">
        <v>0</v>
      </c>
      <c r="E427" s="4">
        <v>1</v>
      </c>
      <c r="F427" s="4">
        <v>0</v>
      </c>
    </row>
    <row r="428" spans="1:6" x14ac:dyDescent="0.2">
      <c r="A428" s="4">
        <v>4.5</v>
      </c>
      <c r="B428" s="4">
        <v>11</v>
      </c>
      <c r="C428" s="4">
        <v>9</v>
      </c>
      <c r="D428" s="4">
        <v>0</v>
      </c>
      <c r="E428" s="4">
        <v>0</v>
      </c>
      <c r="F428" s="4">
        <v>0</v>
      </c>
    </row>
    <row r="429" spans="1:6" x14ac:dyDescent="0.2">
      <c r="A429" s="4">
        <v>6</v>
      </c>
      <c r="B429" s="4">
        <v>11</v>
      </c>
      <c r="C429" s="4">
        <v>8</v>
      </c>
      <c r="D429" s="4">
        <v>1</v>
      </c>
      <c r="E429" s="4">
        <v>0</v>
      </c>
      <c r="F429" s="4">
        <v>1</v>
      </c>
    </row>
    <row r="430" spans="1:6" x14ac:dyDescent="0.2">
      <c r="A430" s="4">
        <v>6</v>
      </c>
      <c r="B430" s="4">
        <v>12</v>
      </c>
      <c r="C430" s="4">
        <v>8</v>
      </c>
      <c r="D430" s="4">
        <v>0</v>
      </c>
      <c r="E430" s="4">
        <v>0</v>
      </c>
      <c r="F430" s="4">
        <v>0</v>
      </c>
    </row>
    <row r="431" spans="1:6" x14ac:dyDescent="0.2">
      <c r="A431" s="4">
        <v>5.6</v>
      </c>
      <c r="B431" s="4">
        <v>11</v>
      </c>
      <c r="C431" s="4">
        <v>8</v>
      </c>
      <c r="D431" s="4">
        <v>0</v>
      </c>
      <c r="E431" s="4">
        <v>1</v>
      </c>
      <c r="F431" s="4">
        <v>0</v>
      </c>
    </row>
    <row r="432" spans="1:6" x14ac:dyDescent="0.2">
      <c r="A432" s="4">
        <v>2.9</v>
      </c>
      <c r="B432" s="4">
        <v>6</v>
      </c>
      <c r="C432" s="4">
        <v>7</v>
      </c>
      <c r="D432" s="4">
        <v>0</v>
      </c>
      <c r="E432" s="4">
        <v>1</v>
      </c>
      <c r="F432" s="4">
        <v>0</v>
      </c>
    </row>
    <row r="433" spans="1:6" x14ac:dyDescent="0.2">
      <c r="A433" s="4">
        <v>5.25</v>
      </c>
      <c r="B433" s="4">
        <v>10</v>
      </c>
      <c r="C433" s="4">
        <v>7</v>
      </c>
      <c r="D433" s="4">
        <v>0</v>
      </c>
      <c r="E433" s="4">
        <v>1</v>
      </c>
      <c r="F433" s="4">
        <v>0</v>
      </c>
    </row>
    <row r="434" spans="1:6" x14ac:dyDescent="0.2">
      <c r="A434" s="4">
        <v>18</v>
      </c>
      <c r="B434" s="4">
        <v>16</v>
      </c>
      <c r="C434" s="4">
        <v>7</v>
      </c>
      <c r="D434" s="4">
        <v>0</v>
      </c>
      <c r="E434" s="4">
        <v>1</v>
      </c>
      <c r="F434" s="4">
        <v>0</v>
      </c>
    </row>
    <row r="435" spans="1:6" x14ac:dyDescent="0.2">
      <c r="A435" s="4">
        <v>14.58</v>
      </c>
      <c r="B435" s="4">
        <v>18</v>
      </c>
      <c r="C435" s="4">
        <v>7</v>
      </c>
      <c r="D435" s="4">
        <v>1</v>
      </c>
      <c r="E435" s="4">
        <v>0</v>
      </c>
      <c r="F435" s="4">
        <v>0</v>
      </c>
    </row>
    <row r="436" spans="1:6" x14ac:dyDescent="0.2">
      <c r="A436" s="4">
        <v>3.95</v>
      </c>
      <c r="B436" s="4">
        <v>6</v>
      </c>
      <c r="C436" s="4">
        <v>6</v>
      </c>
      <c r="D436" s="4">
        <v>0</v>
      </c>
      <c r="E436" s="4">
        <v>1</v>
      </c>
      <c r="F436" s="4">
        <v>0</v>
      </c>
    </row>
    <row r="437" spans="1:6" x14ac:dyDescent="0.2">
      <c r="A437" s="4">
        <v>10.63</v>
      </c>
      <c r="B437" s="4">
        <v>12</v>
      </c>
      <c r="C437" s="4">
        <v>6</v>
      </c>
      <c r="D437" s="4">
        <v>1</v>
      </c>
      <c r="E437" s="4">
        <v>1</v>
      </c>
      <c r="F437" s="4">
        <v>1</v>
      </c>
    </row>
    <row r="438" spans="1:6" x14ac:dyDescent="0.2">
      <c r="A438" s="4">
        <v>2</v>
      </c>
      <c r="B438" s="4">
        <v>13</v>
      </c>
      <c r="C438" s="4">
        <v>6</v>
      </c>
      <c r="D438" s="4">
        <v>1</v>
      </c>
      <c r="E438" s="4">
        <v>0</v>
      </c>
      <c r="F438" s="4">
        <v>0</v>
      </c>
    </row>
    <row r="439" spans="1:6" x14ac:dyDescent="0.2">
      <c r="A439" s="4">
        <v>10.92</v>
      </c>
      <c r="B439" s="4">
        <v>12</v>
      </c>
      <c r="C439" s="4">
        <v>5</v>
      </c>
      <c r="D439" s="4">
        <v>0</v>
      </c>
      <c r="E439" s="4">
        <v>1</v>
      </c>
      <c r="F439" s="4">
        <v>0</v>
      </c>
    </row>
    <row r="440" spans="1:6" x14ac:dyDescent="0.2">
      <c r="A440" s="4">
        <v>10</v>
      </c>
      <c r="B440" s="4">
        <v>12</v>
      </c>
      <c r="C440" s="4">
        <v>5</v>
      </c>
      <c r="D440" s="4">
        <v>1</v>
      </c>
      <c r="E440" s="4">
        <v>1</v>
      </c>
      <c r="F440" s="4">
        <v>1</v>
      </c>
    </row>
    <row r="441" spans="1:6" x14ac:dyDescent="0.2">
      <c r="A441" s="4">
        <v>7.5</v>
      </c>
      <c r="B441" s="4">
        <v>12</v>
      </c>
      <c r="C441" s="4">
        <v>5</v>
      </c>
      <c r="D441" s="4">
        <v>0</v>
      </c>
      <c r="E441" s="4">
        <v>1</v>
      </c>
      <c r="F441" s="4">
        <v>1</v>
      </c>
    </row>
    <row r="442" spans="1:6" x14ac:dyDescent="0.2">
      <c r="A442" s="4">
        <v>7.25</v>
      </c>
      <c r="B442" s="4">
        <v>12</v>
      </c>
      <c r="C442" s="4">
        <v>5</v>
      </c>
      <c r="D442" s="4">
        <v>0</v>
      </c>
      <c r="E442" s="4">
        <v>1</v>
      </c>
      <c r="F442" s="4">
        <v>1</v>
      </c>
    </row>
    <row r="443" spans="1:6" x14ac:dyDescent="0.2">
      <c r="A443" s="4">
        <v>3.45</v>
      </c>
      <c r="B443" s="4">
        <v>12</v>
      </c>
      <c r="C443" s="4">
        <v>5</v>
      </c>
      <c r="D443" s="4">
        <v>1</v>
      </c>
      <c r="E443" s="4">
        <v>1</v>
      </c>
      <c r="F443" s="4">
        <v>0</v>
      </c>
    </row>
    <row r="444" spans="1:6" x14ac:dyDescent="0.2">
      <c r="A444" s="4">
        <v>3.6</v>
      </c>
      <c r="B444" s="4">
        <v>12</v>
      </c>
      <c r="C444" s="4">
        <v>4</v>
      </c>
      <c r="D444" s="4">
        <v>1</v>
      </c>
      <c r="E444" s="4">
        <v>0</v>
      </c>
      <c r="F444" s="4">
        <v>1</v>
      </c>
    </row>
    <row r="445" spans="1:6" x14ac:dyDescent="0.2">
      <c r="A445" s="4">
        <v>8</v>
      </c>
      <c r="B445" s="4">
        <v>16</v>
      </c>
      <c r="C445" s="4">
        <v>4</v>
      </c>
      <c r="D445" s="4">
        <v>0</v>
      </c>
      <c r="E445" s="4">
        <v>0</v>
      </c>
      <c r="F445" s="4">
        <v>0</v>
      </c>
    </row>
    <row r="446" spans="1:6" x14ac:dyDescent="0.2">
      <c r="A446" s="4">
        <v>5.5</v>
      </c>
      <c r="B446" s="4">
        <v>12</v>
      </c>
      <c r="C446" s="4">
        <v>4</v>
      </c>
      <c r="D446" s="4">
        <v>0</v>
      </c>
      <c r="E446" s="4">
        <v>1</v>
      </c>
      <c r="F446" s="4">
        <v>0</v>
      </c>
    </row>
    <row r="447" spans="1:6" x14ac:dyDescent="0.2">
      <c r="A447" s="4">
        <v>4.05</v>
      </c>
      <c r="B447" s="4">
        <v>9</v>
      </c>
      <c r="C447" s="4">
        <v>4</v>
      </c>
      <c r="D447" s="4">
        <v>1</v>
      </c>
      <c r="E447" s="4">
        <v>1</v>
      </c>
      <c r="F447" s="4">
        <v>0</v>
      </c>
    </row>
    <row r="448" spans="1:6" x14ac:dyDescent="0.2">
      <c r="A448" s="4">
        <v>8.75</v>
      </c>
      <c r="B448" s="4">
        <v>12</v>
      </c>
      <c r="C448" s="4">
        <v>4</v>
      </c>
      <c r="D448" s="4">
        <v>0</v>
      </c>
      <c r="E448" s="4">
        <v>1</v>
      </c>
      <c r="F448" s="4">
        <v>0</v>
      </c>
    </row>
    <row r="449" spans="1:6" x14ac:dyDescent="0.2">
      <c r="A449" s="4">
        <v>2.17</v>
      </c>
      <c r="B449" s="4">
        <v>13</v>
      </c>
      <c r="C449" s="4">
        <v>4</v>
      </c>
      <c r="D449" s="4">
        <v>1</v>
      </c>
      <c r="E449" s="4">
        <v>0</v>
      </c>
      <c r="F449" s="4">
        <v>0</v>
      </c>
    </row>
    <row r="450" spans="1:6" x14ac:dyDescent="0.2">
      <c r="A450" s="4">
        <v>11.1</v>
      </c>
      <c r="B450" s="4">
        <v>15</v>
      </c>
      <c r="C450" s="4">
        <v>4</v>
      </c>
      <c r="D450" s="4">
        <v>1</v>
      </c>
      <c r="E450" s="4">
        <v>0</v>
      </c>
      <c r="F450" s="4">
        <v>0</v>
      </c>
    </row>
    <row r="451" spans="1:6" x14ac:dyDescent="0.2">
      <c r="A451" s="4">
        <v>1.96</v>
      </c>
      <c r="B451" s="4">
        <v>11</v>
      </c>
      <c r="C451" s="4">
        <v>3</v>
      </c>
      <c r="D451" s="4">
        <v>1</v>
      </c>
      <c r="E451" s="4">
        <v>0</v>
      </c>
      <c r="F451" s="4">
        <v>0</v>
      </c>
    </row>
    <row r="452" spans="1:6" x14ac:dyDescent="0.2">
      <c r="A452" s="4">
        <v>7</v>
      </c>
      <c r="B452" s="4">
        <v>16</v>
      </c>
      <c r="C452" s="4">
        <v>3</v>
      </c>
      <c r="D452" s="4">
        <v>1</v>
      </c>
      <c r="E452" s="4">
        <v>1</v>
      </c>
      <c r="F452" s="4">
        <v>0</v>
      </c>
    </row>
    <row r="453" spans="1:6" x14ac:dyDescent="0.2">
      <c r="A453" s="4">
        <v>4</v>
      </c>
      <c r="B453" s="4">
        <v>12</v>
      </c>
      <c r="C453" s="4">
        <v>3</v>
      </c>
      <c r="D453" s="4">
        <v>0</v>
      </c>
      <c r="E453" s="4">
        <v>1</v>
      </c>
      <c r="F453" s="4">
        <v>0</v>
      </c>
    </row>
    <row r="454" spans="1:6" x14ac:dyDescent="0.2">
      <c r="A454" s="4">
        <v>5.5</v>
      </c>
      <c r="B454" s="4">
        <v>12</v>
      </c>
      <c r="C454" s="4">
        <v>3</v>
      </c>
      <c r="D454" s="4">
        <v>0</v>
      </c>
      <c r="E454" s="4">
        <v>0</v>
      </c>
      <c r="F454" s="4">
        <v>1</v>
      </c>
    </row>
    <row r="455" spans="1:6" x14ac:dyDescent="0.2">
      <c r="A455" s="4">
        <v>3.91</v>
      </c>
      <c r="B455" s="4">
        <v>18</v>
      </c>
      <c r="C455" s="4">
        <v>3</v>
      </c>
      <c r="D455" s="4">
        <v>0</v>
      </c>
      <c r="E455" s="4">
        <v>1</v>
      </c>
      <c r="F455" s="4">
        <v>0</v>
      </c>
    </row>
    <row r="456" spans="1:6" x14ac:dyDescent="0.2">
      <c r="A456" s="4">
        <v>6.43</v>
      </c>
      <c r="B456" s="4">
        <v>16</v>
      </c>
      <c r="C456" s="4">
        <v>3</v>
      </c>
      <c r="D456" s="4">
        <v>1</v>
      </c>
      <c r="E456" s="4">
        <v>1</v>
      </c>
      <c r="F456" s="4">
        <v>0</v>
      </c>
    </row>
    <row r="457" spans="1:6" x14ac:dyDescent="0.2">
      <c r="A457" s="4">
        <v>8</v>
      </c>
      <c r="B457" s="4">
        <v>12</v>
      </c>
      <c r="C457" s="4">
        <v>3</v>
      </c>
      <c r="D457" s="4">
        <v>1</v>
      </c>
      <c r="E457" s="4">
        <v>0</v>
      </c>
      <c r="F457" s="4">
        <v>0</v>
      </c>
    </row>
    <row r="458" spans="1:6" x14ac:dyDescent="0.2">
      <c r="A458" s="4">
        <v>6.85</v>
      </c>
      <c r="B458" s="4">
        <v>15</v>
      </c>
      <c r="C458" s="4">
        <v>3</v>
      </c>
      <c r="D458" s="4">
        <v>1</v>
      </c>
      <c r="E458" s="4">
        <v>1</v>
      </c>
      <c r="F458" s="4">
        <v>0</v>
      </c>
    </row>
    <row r="459" spans="1:6" x14ac:dyDescent="0.2">
      <c r="A459" s="4">
        <v>8.75</v>
      </c>
      <c r="B459" s="4">
        <v>14</v>
      </c>
      <c r="C459" s="4">
        <v>3</v>
      </c>
      <c r="D459" s="4">
        <v>0</v>
      </c>
      <c r="E459" s="4">
        <v>1</v>
      </c>
      <c r="F459" s="4">
        <v>0</v>
      </c>
    </row>
    <row r="460" spans="1:6" x14ac:dyDescent="0.2">
      <c r="A460" s="4">
        <v>6.18</v>
      </c>
      <c r="B460" s="4">
        <v>14</v>
      </c>
      <c r="C460" s="4">
        <v>3</v>
      </c>
      <c r="D460" s="4">
        <v>1</v>
      </c>
      <c r="E460" s="4">
        <v>1</v>
      </c>
      <c r="F460" s="4">
        <v>0</v>
      </c>
    </row>
    <row r="461" spans="1:6" x14ac:dyDescent="0.2">
      <c r="A461" s="4">
        <v>3.75</v>
      </c>
      <c r="B461" s="4">
        <v>12</v>
      </c>
      <c r="C461" s="4">
        <v>2</v>
      </c>
      <c r="D461" s="4">
        <v>1</v>
      </c>
      <c r="E461" s="4">
        <v>1</v>
      </c>
      <c r="F461" s="4">
        <v>0</v>
      </c>
    </row>
    <row r="462" spans="1:6" x14ac:dyDescent="0.2">
      <c r="A462" s="4">
        <v>2.93</v>
      </c>
      <c r="B462" s="4">
        <v>12</v>
      </c>
      <c r="C462" s="4">
        <v>2</v>
      </c>
      <c r="D462" s="4">
        <v>1</v>
      </c>
      <c r="E462" s="4">
        <v>1</v>
      </c>
      <c r="F462" s="4">
        <v>1</v>
      </c>
    </row>
    <row r="463" spans="1:6" x14ac:dyDescent="0.2">
      <c r="A463" s="4">
        <v>3</v>
      </c>
      <c r="B463" s="4">
        <v>8</v>
      </c>
      <c r="C463" s="4">
        <v>2</v>
      </c>
      <c r="D463" s="4">
        <v>0</v>
      </c>
      <c r="E463" s="4">
        <v>1</v>
      </c>
      <c r="F463" s="4">
        <v>0</v>
      </c>
    </row>
    <row r="464" spans="1:6" x14ac:dyDescent="0.2">
      <c r="A464" s="4">
        <v>10</v>
      </c>
      <c r="B464" s="4">
        <v>12</v>
      </c>
      <c r="C464" s="4">
        <v>2</v>
      </c>
      <c r="D464" s="4">
        <v>0</v>
      </c>
      <c r="E464" s="4">
        <v>1</v>
      </c>
      <c r="F464" s="4">
        <v>0</v>
      </c>
    </row>
    <row r="465" spans="1:6" x14ac:dyDescent="0.2">
      <c r="A465" s="4">
        <v>6.25</v>
      </c>
      <c r="B465" s="4">
        <v>16</v>
      </c>
      <c r="C465" s="4">
        <v>2</v>
      </c>
      <c r="D465" s="4">
        <v>1</v>
      </c>
      <c r="E465" s="4">
        <v>1</v>
      </c>
      <c r="F465" s="4">
        <v>1</v>
      </c>
    </row>
    <row r="466" spans="1:6" x14ac:dyDescent="0.2">
      <c r="A466" s="4">
        <v>3.28</v>
      </c>
      <c r="B466" s="4">
        <v>12</v>
      </c>
      <c r="C466" s="4">
        <v>2</v>
      </c>
      <c r="D466" s="4">
        <v>1</v>
      </c>
      <c r="E466" s="4">
        <v>0</v>
      </c>
      <c r="F466" s="4">
        <v>0</v>
      </c>
    </row>
    <row r="467" spans="1:6" x14ac:dyDescent="0.2">
      <c r="A467" s="4">
        <v>9.0500000000000007</v>
      </c>
      <c r="B467" s="4">
        <v>12</v>
      </c>
      <c r="C467" s="4">
        <v>2</v>
      </c>
      <c r="D467" s="4">
        <v>0</v>
      </c>
      <c r="E467" s="4">
        <v>1</v>
      </c>
      <c r="F467" s="4">
        <v>0</v>
      </c>
    </row>
    <row r="468" spans="1:6" x14ac:dyDescent="0.2">
      <c r="A468" s="4">
        <v>12.22</v>
      </c>
      <c r="B468" s="4">
        <v>16</v>
      </c>
      <c r="C468" s="4">
        <v>2</v>
      </c>
      <c r="D468" s="4">
        <v>0</v>
      </c>
      <c r="E468" s="4">
        <v>0</v>
      </c>
      <c r="F468" s="4">
        <v>0</v>
      </c>
    </row>
    <row r="469" spans="1:6" x14ac:dyDescent="0.2">
      <c r="A469" s="4">
        <v>5.71</v>
      </c>
      <c r="B469" s="4">
        <v>13</v>
      </c>
      <c r="C469" s="4">
        <v>2</v>
      </c>
      <c r="D469" s="4">
        <v>1</v>
      </c>
      <c r="E469" s="4">
        <v>1</v>
      </c>
      <c r="F469" s="4">
        <v>0</v>
      </c>
    </row>
    <row r="470" spans="1:6" x14ac:dyDescent="0.2">
      <c r="A470" s="4">
        <v>3.65</v>
      </c>
      <c r="B470" s="4">
        <v>14</v>
      </c>
      <c r="C470" s="4">
        <v>2</v>
      </c>
      <c r="D470" s="4">
        <v>0</v>
      </c>
      <c r="E470" s="4">
        <v>0</v>
      </c>
      <c r="F470" s="4">
        <v>1</v>
      </c>
    </row>
    <row r="471" spans="1:6" x14ac:dyDescent="0.2">
      <c r="A471" s="4">
        <v>3.64</v>
      </c>
      <c r="B471" s="4">
        <v>12</v>
      </c>
      <c r="C471" s="4">
        <v>2</v>
      </c>
      <c r="D471" s="4">
        <v>0</v>
      </c>
      <c r="E471" s="4">
        <v>0</v>
      </c>
      <c r="F471" s="4">
        <v>0</v>
      </c>
    </row>
    <row r="472" spans="1:6" x14ac:dyDescent="0.2">
      <c r="A472" s="4">
        <v>4</v>
      </c>
      <c r="B472" s="4">
        <v>12</v>
      </c>
      <c r="C472" s="4">
        <v>2</v>
      </c>
      <c r="D472" s="4">
        <v>0</v>
      </c>
      <c r="E472" s="4">
        <v>1</v>
      </c>
      <c r="F472" s="4">
        <v>0</v>
      </c>
    </row>
    <row r="473" spans="1:6" x14ac:dyDescent="0.2">
      <c r="A473" s="4">
        <v>2</v>
      </c>
      <c r="B473" s="4">
        <v>12</v>
      </c>
      <c r="C473" s="4">
        <v>2</v>
      </c>
      <c r="D473" s="4">
        <v>1</v>
      </c>
      <c r="E473" s="4">
        <v>0</v>
      </c>
      <c r="F473" s="4">
        <v>0</v>
      </c>
    </row>
    <row r="474" spans="1:6" x14ac:dyDescent="0.2">
      <c r="A474" s="4">
        <v>4.0999999999999996</v>
      </c>
      <c r="B474" s="4">
        <v>12</v>
      </c>
      <c r="C474" s="4">
        <v>2</v>
      </c>
      <c r="D474" s="4">
        <v>1</v>
      </c>
      <c r="E474" s="4">
        <v>0</v>
      </c>
      <c r="F474" s="4">
        <v>0</v>
      </c>
    </row>
    <row r="475" spans="1:6" x14ac:dyDescent="0.2">
      <c r="A475" s="4">
        <v>3</v>
      </c>
      <c r="B475" s="4">
        <v>14</v>
      </c>
      <c r="C475" s="4">
        <v>2</v>
      </c>
      <c r="D475" s="4">
        <v>1</v>
      </c>
      <c r="E475" s="4">
        <v>0</v>
      </c>
      <c r="F475" s="4">
        <v>0</v>
      </c>
    </row>
    <row r="476" spans="1:6" x14ac:dyDescent="0.2">
      <c r="A476" s="4">
        <v>9.3000000000000007</v>
      </c>
      <c r="B476" s="4">
        <v>15</v>
      </c>
      <c r="C476" s="4">
        <v>2</v>
      </c>
      <c r="D476" s="4">
        <v>0</v>
      </c>
      <c r="E476" s="4">
        <v>1</v>
      </c>
      <c r="F476" s="4">
        <v>0</v>
      </c>
    </row>
    <row r="477" spans="1:6" x14ac:dyDescent="0.2">
      <c r="A477" s="4">
        <v>2.91</v>
      </c>
      <c r="B477" s="4">
        <v>11</v>
      </c>
      <c r="C477" s="4">
        <v>2</v>
      </c>
      <c r="D477" s="4">
        <v>0</v>
      </c>
      <c r="E477" s="4">
        <v>0</v>
      </c>
      <c r="F477" s="4">
        <v>0</v>
      </c>
    </row>
    <row r="478" spans="1:6" x14ac:dyDescent="0.2">
      <c r="A478" s="4">
        <v>3.1</v>
      </c>
      <c r="B478" s="4">
        <v>12</v>
      </c>
      <c r="C478" s="4">
        <v>2</v>
      </c>
      <c r="D478" s="4">
        <v>1</v>
      </c>
      <c r="E478" s="4">
        <v>0</v>
      </c>
      <c r="F478" s="4">
        <v>0</v>
      </c>
    </row>
    <row r="479" spans="1:6" x14ac:dyDescent="0.2">
      <c r="A479" s="4">
        <v>2.75</v>
      </c>
      <c r="B479" s="4">
        <v>13</v>
      </c>
      <c r="C479" s="4">
        <v>2</v>
      </c>
      <c r="D479" s="4">
        <v>1</v>
      </c>
      <c r="E479" s="4">
        <v>0</v>
      </c>
      <c r="F479" s="4">
        <v>0</v>
      </c>
    </row>
    <row r="480" spans="1:6" x14ac:dyDescent="0.2">
      <c r="A480" s="4">
        <v>4.75</v>
      </c>
      <c r="B480" s="4">
        <v>13</v>
      </c>
      <c r="C480" s="4">
        <v>1</v>
      </c>
      <c r="D480" s="4">
        <v>0</v>
      </c>
      <c r="E480" s="4">
        <v>1</v>
      </c>
      <c r="F480" s="4">
        <v>1</v>
      </c>
    </row>
    <row r="481" spans="1:6" x14ac:dyDescent="0.2">
      <c r="A481" s="4">
        <v>2.9</v>
      </c>
      <c r="B481" s="4">
        <v>12</v>
      </c>
      <c r="C481" s="4">
        <v>1</v>
      </c>
      <c r="D481" s="4">
        <v>1</v>
      </c>
      <c r="E481" s="4">
        <v>0</v>
      </c>
      <c r="F481" s="4">
        <v>0</v>
      </c>
    </row>
    <row r="482" spans="1:6" x14ac:dyDescent="0.2">
      <c r="A482" s="4">
        <v>3.15</v>
      </c>
      <c r="B482" s="4">
        <v>12</v>
      </c>
      <c r="C482" s="4">
        <v>1</v>
      </c>
      <c r="D482" s="4">
        <v>0</v>
      </c>
      <c r="E482" s="4">
        <v>1</v>
      </c>
      <c r="F482" s="4">
        <v>0</v>
      </c>
    </row>
    <row r="483" spans="1:6" x14ac:dyDescent="0.2">
      <c r="A483" s="4">
        <v>8.75</v>
      </c>
      <c r="B483" s="4">
        <v>12</v>
      </c>
      <c r="C483" s="4">
        <v>1</v>
      </c>
      <c r="D483" s="4">
        <v>0</v>
      </c>
      <c r="E483" s="4">
        <v>0</v>
      </c>
      <c r="F483" s="4">
        <v>0</v>
      </c>
    </row>
    <row r="484" spans="1:6" x14ac:dyDescent="0.2">
      <c r="A484" s="4">
        <v>3</v>
      </c>
      <c r="B484" s="4">
        <v>12</v>
      </c>
      <c r="C484" s="4">
        <v>1</v>
      </c>
      <c r="D484" s="4">
        <v>1</v>
      </c>
      <c r="E484" s="4">
        <v>1</v>
      </c>
      <c r="F484" s="4">
        <v>0</v>
      </c>
    </row>
    <row r="485" spans="1:6" x14ac:dyDescent="0.2">
      <c r="A485" s="4">
        <v>4</v>
      </c>
      <c r="B485" s="4">
        <v>12</v>
      </c>
      <c r="C485" s="4">
        <v>1</v>
      </c>
      <c r="D485" s="4">
        <v>1</v>
      </c>
      <c r="E485" s="4">
        <v>0</v>
      </c>
      <c r="F485" s="4">
        <v>0</v>
      </c>
    </row>
    <row r="486" spans="1:6" x14ac:dyDescent="0.2">
      <c r="A486" s="4">
        <v>3.81</v>
      </c>
      <c r="B486" s="4">
        <v>12</v>
      </c>
      <c r="C486" s="4">
        <v>1</v>
      </c>
      <c r="D486" s="4">
        <v>1</v>
      </c>
      <c r="E486" s="4">
        <v>1</v>
      </c>
      <c r="F486" s="4">
        <v>0</v>
      </c>
    </row>
    <row r="487" spans="1:6" x14ac:dyDescent="0.2">
      <c r="A487" s="4">
        <v>3.8</v>
      </c>
      <c r="B487" s="4">
        <v>15</v>
      </c>
      <c r="C487" s="4">
        <v>1</v>
      </c>
      <c r="D487" s="4">
        <v>0</v>
      </c>
      <c r="E487" s="4">
        <v>1</v>
      </c>
      <c r="F487" s="4">
        <v>0</v>
      </c>
    </row>
    <row r="488" spans="1:6" x14ac:dyDescent="0.2">
      <c r="A488" s="4">
        <v>11.56</v>
      </c>
      <c r="B488" s="4">
        <v>16</v>
      </c>
      <c r="C488" s="4">
        <v>1</v>
      </c>
      <c r="D488" s="4">
        <v>0</v>
      </c>
      <c r="E488" s="4">
        <v>1</v>
      </c>
      <c r="F488" s="4">
        <v>1</v>
      </c>
    </row>
    <row r="489" spans="1:6" x14ac:dyDescent="0.2">
      <c r="A489" s="4">
        <v>2.95</v>
      </c>
      <c r="B489" s="4">
        <v>12</v>
      </c>
      <c r="C489" s="4">
        <v>1</v>
      </c>
      <c r="D489" s="4">
        <v>0</v>
      </c>
      <c r="E489" s="4">
        <v>0</v>
      </c>
      <c r="F489" s="4">
        <v>0</v>
      </c>
    </row>
    <row r="490" spans="1:6" x14ac:dyDescent="0.2">
      <c r="A490" s="4">
        <v>3.35</v>
      </c>
      <c r="B490" s="4">
        <v>15</v>
      </c>
      <c r="C490" s="4">
        <v>1</v>
      </c>
      <c r="D490" s="4">
        <v>1</v>
      </c>
      <c r="E490" s="4">
        <v>1</v>
      </c>
      <c r="F490" s="4">
        <v>0</v>
      </c>
    </row>
    <row r="491" spans="1:6" x14ac:dyDescent="0.2">
      <c r="A491" s="4">
        <v>4.6500000000000004</v>
      </c>
      <c r="B491" s="4">
        <v>16</v>
      </c>
      <c r="C491" s="4">
        <v>1</v>
      </c>
      <c r="D491" s="4">
        <v>0</v>
      </c>
      <c r="E491" s="4">
        <v>0</v>
      </c>
      <c r="F491" s="4">
        <v>0</v>
      </c>
    </row>
    <row r="492" spans="1:6" x14ac:dyDescent="0.2">
      <c r="A492" s="4">
        <v>3.08</v>
      </c>
      <c r="B492" s="4">
        <v>12</v>
      </c>
      <c r="C492" s="4">
        <v>1</v>
      </c>
      <c r="D492" s="4">
        <v>0</v>
      </c>
      <c r="E492" s="4">
        <v>0</v>
      </c>
      <c r="F492" s="4">
        <v>0</v>
      </c>
    </row>
    <row r="493" spans="1:6" x14ac:dyDescent="0.2">
      <c r="A493" s="4">
        <v>1.75</v>
      </c>
      <c r="B493" s="4">
        <v>11</v>
      </c>
      <c r="C493" s="4">
        <v>1</v>
      </c>
      <c r="D493" s="4">
        <v>0</v>
      </c>
      <c r="E493" s="4">
        <v>0</v>
      </c>
      <c r="F493" s="4">
        <v>1</v>
      </c>
    </row>
    <row r="494" spans="1:6" x14ac:dyDescent="0.2">
      <c r="A494" s="4">
        <v>6.25</v>
      </c>
      <c r="B494" s="10">
        <v>12</v>
      </c>
      <c r="C494" s="4">
        <v>1</v>
      </c>
      <c r="D494" s="4">
        <v>1</v>
      </c>
      <c r="E494" s="4">
        <v>0</v>
      </c>
      <c r="F494" s="4">
        <v>0</v>
      </c>
    </row>
    <row r="495" spans="1:6" x14ac:dyDescent="0.2">
      <c r="A495" s="4">
        <v>5.58</v>
      </c>
      <c r="B495" s="4">
        <v>16</v>
      </c>
      <c r="C495" s="4">
        <v>1</v>
      </c>
      <c r="D495" s="4">
        <v>0</v>
      </c>
      <c r="E495" s="4">
        <v>1</v>
      </c>
      <c r="F495" s="4">
        <v>0</v>
      </c>
    </row>
    <row r="496" spans="1:6" x14ac:dyDescent="0.2">
      <c r="A496" s="4">
        <v>2.92</v>
      </c>
      <c r="B496" s="4">
        <v>9</v>
      </c>
      <c r="C496" s="4">
        <v>0</v>
      </c>
      <c r="D496" s="4">
        <v>1</v>
      </c>
      <c r="E496" s="4">
        <v>0</v>
      </c>
      <c r="F496" s="4">
        <v>0</v>
      </c>
    </row>
    <row r="497" spans="1:6" x14ac:dyDescent="0.2">
      <c r="A497" s="4">
        <v>4.5</v>
      </c>
      <c r="B497" s="4">
        <v>12</v>
      </c>
      <c r="C497" s="4">
        <v>0</v>
      </c>
      <c r="D497" s="4">
        <v>1</v>
      </c>
      <c r="E497" s="4">
        <v>1</v>
      </c>
      <c r="F497" s="4">
        <v>0</v>
      </c>
    </row>
    <row r="498" spans="1:6" x14ac:dyDescent="0.2">
      <c r="A498" s="4">
        <v>3.55</v>
      </c>
      <c r="B498" s="4">
        <v>12</v>
      </c>
      <c r="C498" s="4">
        <v>0</v>
      </c>
      <c r="D498" s="4">
        <v>1</v>
      </c>
      <c r="E498" s="4">
        <v>1</v>
      </c>
      <c r="F498" s="4">
        <v>0</v>
      </c>
    </row>
    <row r="499" spans="1:6" x14ac:dyDescent="0.2">
      <c r="A499" s="4">
        <v>5.05</v>
      </c>
      <c r="B499" s="4">
        <v>12</v>
      </c>
      <c r="C499" s="4">
        <v>0</v>
      </c>
      <c r="D499" s="4">
        <v>1</v>
      </c>
      <c r="E499" s="4">
        <v>1</v>
      </c>
      <c r="F499" s="4">
        <v>0</v>
      </c>
    </row>
    <row r="500" spans="1:6" x14ac:dyDescent="0.2">
      <c r="A500" s="4">
        <v>1.63</v>
      </c>
      <c r="B500" s="4">
        <v>12</v>
      </c>
      <c r="C500" s="4">
        <v>0</v>
      </c>
      <c r="D500" s="10">
        <v>2</v>
      </c>
      <c r="E500" s="4">
        <v>0</v>
      </c>
      <c r="F500" s="4">
        <v>0</v>
      </c>
    </row>
    <row r="501" spans="1:6" x14ac:dyDescent="0.2">
      <c r="A501" s="4">
        <v>5</v>
      </c>
      <c r="B501" s="10">
        <v>12</v>
      </c>
      <c r="C501" s="4">
        <v>0</v>
      </c>
      <c r="D501" s="4">
        <v>1</v>
      </c>
      <c r="E501" s="4">
        <v>1</v>
      </c>
      <c r="F501" s="4">
        <v>1</v>
      </c>
    </row>
    <row r="502" spans="1:6" x14ac:dyDescent="0.2">
      <c r="A502" s="4">
        <v>3.71</v>
      </c>
      <c r="B502" s="4">
        <v>10</v>
      </c>
      <c r="C502" s="4">
        <v>0</v>
      </c>
      <c r="D502" s="4">
        <v>1</v>
      </c>
      <c r="E502" s="4">
        <v>0</v>
      </c>
      <c r="F502" s="4">
        <v>0</v>
      </c>
    </row>
    <row r="503" spans="1:6" x14ac:dyDescent="0.2">
      <c r="A503" s="4">
        <v>4.5</v>
      </c>
      <c r="B503" s="4">
        <v>12</v>
      </c>
      <c r="C503" s="4">
        <v>0</v>
      </c>
      <c r="D503" s="4">
        <v>0</v>
      </c>
      <c r="E503" s="4">
        <v>1</v>
      </c>
      <c r="F503" s="4">
        <v>1</v>
      </c>
    </row>
    <row r="504" spans="1:6" x14ac:dyDescent="0.2">
      <c r="A504" s="4">
        <v>6.08</v>
      </c>
      <c r="B504" s="4">
        <v>16</v>
      </c>
      <c r="C504" s="4">
        <v>0</v>
      </c>
      <c r="D504" s="4">
        <v>0</v>
      </c>
      <c r="E504" s="4">
        <v>0</v>
      </c>
      <c r="F504" s="4">
        <v>0</v>
      </c>
    </row>
    <row r="505" spans="1:6" x14ac:dyDescent="0.2">
      <c r="A505" s="4">
        <v>4</v>
      </c>
      <c r="B505" s="4">
        <v>12</v>
      </c>
      <c r="C505" s="4">
        <v>0</v>
      </c>
      <c r="D505" s="4">
        <v>0</v>
      </c>
      <c r="E505" s="4">
        <v>0</v>
      </c>
      <c r="F505" s="4">
        <v>0</v>
      </c>
    </row>
    <row r="506" spans="1:6" x14ac:dyDescent="0.2">
      <c r="A506" s="4">
        <v>4</v>
      </c>
      <c r="B506" s="4">
        <v>12</v>
      </c>
      <c r="C506" s="4">
        <v>0</v>
      </c>
      <c r="D506" s="4">
        <v>1</v>
      </c>
      <c r="E506" s="4">
        <v>1</v>
      </c>
      <c r="F506" s="4">
        <v>0</v>
      </c>
    </row>
    <row r="507" spans="1:6" x14ac:dyDescent="0.2">
      <c r="A507" s="4">
        <v>3.75</v>
      </c>
      <c r="B507" s="4">
        <v>12</v>
      </c>
      <c r="C507" s="4">
        <v>0</v>
      </c>
      <c r="D507" s="4">
        <v>1</v>
      </c>
      <c r="E507" s="4">
        <v>1</v>
      </c>
      <c r="F507" s="4">
        <v>0</v>
      </c>
    </row>
    <row r="508" spans="1:6" x14ac:dyDescent="0.2">
      <c r="A508" s="4">
        <v>9.8000000000000007</v>
      </c>
      <c r="B508" s="4">
        <v>17</v>
      </c>
      <c r="C508" s="4">
        <v>0</v>
      </c>
      <c r="D508" s="4">
        <v>0</v>
      </c>
      <c r="E508" s="4">
        <v>1</v>
      </c>
      <c r="F508" s="4">
        <v>0</v>
      </c>
    </row>
    <row r="509" spans="1:6" x14ac:dyDescent="0.2">
      <c r="A509" s="4">
        <v>3.55</v>
      </c>
      <c r="B509" s="4">
        <v>12</v>
      </c>
      <c r="C509" s="4">
        <v>0</v>
      </c>
      <c r="D509" s="4">
        <v>1</v>
      </c>
      <c r="E509" s="4">
        <v>1</v>
      </c>
      <c r="F509" s="4">
        <v>0</v>
      </c>
    </row>
    <row r="510" spans="1:6" x14ac:dyDescent="0.2">
      <c r="A510" s="4">
        <v>6.25</v>
      </c>
      <c r="B510" s="4">
        <v>16</v>
      </c>
      <c r="C510" s="4">
        <v>0</v>
      </c>
      <c r="D510" s="4">
        <v>0</v>
      </c>
      <c r="E510" s="4">
        <v>1</v>
      </c>
      <c r="F510" s="4">
        <v>0</v>
      </c>
    </row>
    <row r="511" spans="1:6" x14ac:dyDescent="0.2">
      <c r="A511" s="4">
        <v>2.38</v>
      </c>
      <c r="B511" s="4">
        <v>9</v>
      </c>
      <c r="C511" s="4">
        <v>0</v>
      </c>
      <c r="D511" s="4">
        <v>0</v>
      </c>
      <c r="E511" s="4">
        <v>0</v>
      </c>
      <c r="F511" s="4">
        <v>0</v>
      </c>
    </row>
    <row r="512" spans="1:6" x14ac:dyDescent="0.2">
      <c r="A512" s="4">
        <v>4.0999999999999996</v>
      </c>
      <c r="B512" s="4">
        <v>16</v>
      </c>
      <c r="C512" s="4">
        <v>0</v>
      </c>
      <c r="D512" s="4">
        <v>1</v>
      </c>
      <c r="E512" s="4">
        <v>1</v>
      </c>
      <c r="F512" s="4">
        <v>0</v>
      </c>
    </row>
    <row r="513" spans="1:6" x14ac:dyDescent="0.2">
      <c r="A513" s="4">
        <v>3.5</v>
      </c>
      <c r="B513" s="4">
        <v>8</v>
      </c>
      <c r="C513" s="4">
        <v>0</v>
      </c>
      <c r="D513" s="4">
        <v>0</v>
      </c>
      <c r="E513" s="4">
        <v>0</v>
      </c>
      <c r="F513" s="4">
        <v>0</v>
      </c>
    </row>
    <row r="514" spans="1:6" x14ac:dyDescent="0.2">
      <c r="A514" s="4">
        <v>2.6</v>
      </c>
      <c r="B514" s="4">
        <v>9</v>
      </c>
      <c r="C514" s="4">
        <v>0</v>
      </c>
      <c r="D514" s="10">
        <v>2</v>
      </c>
      <c r="E514" s="4">
        <v>0</v>
      </c>
      <c r="F514" s="4">
        <v>1</v>
      </c>
    </row>
    <row r="515" spans="1:6" x14ac:dyDescent="0.2">
      <c r="A515" s="4">
        <v>2</v>
      </c>
      <c r="B515" s="4">
        <v>10</v>
      </c>
      <c r="C515" s="4">
        <v>0</v>
      </c>
      <c r="D515" s="4">
        <v>1</v>
      </c>
      <c r="E515" s="4">
        <v>0</v>
      </c>
      <c r="F515" s="4">
        <v>0</v>
      </c>
    </row>
    <row r="516" spans="1:6" x14ac:dyDescent="0.2">
      <c r="A516" s="4">
        <v>7.81</v>
      </c>
      <c r="B516" s="4">
        <v>12</v>
      </c>
      <c r="C516" s="4">
        <v>0</v>
      </c>
      <c r="D516" s="4">
        <v>1</v>
      </c>
      <c r="E516" s="4">
        <v>1</v>
      </c>
      <c r="F516" s="4">
        <v>1</v>
      </c>
    </row>
    <row r="517" spans="1:6" x14ac:dyDescent="0.2">
      <c r="A517" s="4">
        <v>3.5</v>
      </c>
      <c r="B517" s="4">
        <v>12</v>
      </c>
      <c r="C517" s="4">
        <v>0</v>
      </c>
      <c r="D517" s="4">
        <v>0</v>
      </c>
      <c r="E517" s="4">
        <v>0</v>
      </c>
      <c r="F517" s="4">
        <v>0</v>
      </c>
    </row>
    <row r="518" spans="1:6" x14ac:dyDescent="0.2">
      <c r="A518" s="4">
        <v>4.5</v>
      </c>
      <c r="B518" s="4">
        <v>12</v>
      </c>
      <c r="C518" s="4">
        <v>0</v>
      </c>
      <c r="D518" s="4">
        <v>0</v>
      </c>
      <c r="E518" s="4">
        <v>0</v>
      </c>
      <c r="F518" s="4">
        <v>1</v>
      </c>
    </row>
    <row r="519" spans="1:6" x14ac:dyDescent="0.2">
      <c r="A519" s="4">
        <v>3</v>
      </c>
      <c r="B519" s="4">
        <v>11</v>
      </c>
      <c r="C519" s="4">
        <v>0</v>
      </c>
      <c r="D519" s="4">
        <v>1</v>
      </c>
      <c r="E519" s="4">
        <v>0</v>
      </c>
      <c r="F519" s="4">
        <v>1</v>
      </c>
    </row>
    <row r="520" spans="1:6" x14ac:dyDescent="0.2">
      <c r="A520" s="4">
        <v>5.1100000000000003</v>
      </c>
      <c r="B520" s="4">
        <v>11</v>
      </c>
      <c r="C520" s="4">
        <v>0</v>
      </c>
      <c r="D520" s="4">
        <v>0</v>
      </c>
      <c r="E520" s="4">
        <v>0</v>
      </c>
      <c r="F520" s="4">
        <v>1</v>
      </c>
    </row>
    <row r="521" spans="1:6" x14ac:dyDescent="0.2">
      <c r="A521" s="4">
        <v>2</v>
      </c>
      <c r="B521" s="4">
        <v>9</v>
      </c>
      <c r="C521" s="4">
        <v>0</v>
      </c>
      <c r="D521" s="4">
        <v>0</v>
      </c>
      <c r="E521" s="4">
        <v>0</v>
      </c>
      <c r="F521" s="4">
        <v>0</v>
      </c>
    </row>
    <row r="522" spans="1:6" x14ac:dyDescent="0.2">
      <c r="A522" s="4">
        <v>3.1</v>
      </c>
      <c r="B522" s="4">
        <v>11</v>
      </c>
      <c r="C522" s="4">
        <v>0</v>
      </c>
      <c r="D522" s="4">
        <v>1</v>
      </c>
      <c r="E522" s="4">
        <v>0</v>
      </c>
      <c r="F522" s="4">
        <v>1</v>
      </c>
    </row>
    <row r="523" spans="1:6" x14ac:dyDescent="0.2">
      <c r="A523" s="4">
        <v>5.65</v>
      </c>
      <c r="B523" s="4">
        <v>12</v>
      </c>
      <c r="C523" s="4">
        <v>0</v>
      </c>
      <c r="D523" s="4">
        <v>0</v>
      </c>
      <c r="E523" s="4">
        <v>0</v>
      </c>
      <c r="F523" s="4">
        <v>1</v>
      </c>
    </row>
    <row r="524" spans="1:6" x14ac:dyDescent="0.2">
      <c r="A524" s="4">
        <v>2.54</v>
      </c>
      <c r="B524" s="4">
        <v>9</v>
      </c>
      <c r="C524" s="4">
        <v>0</v>
      </c>
      <c r="D524" s="4">
        <v>1</v>
      </c>
      <c r="E524" s="4">
        <v>0</v>
      </c>
      <c r="F524" s="4">
        <v>0</v>
      </c>
    </row>
    <row r="525" spans="1:6" x14ac:dyDescent="0.2">
      <c r="A525" s="4">
        <v>2.9</v>
      </c>
      <c r="B525" s="4">
        <v>11</v>
      </c>
      <c r="C525" s="4">
        <v>0</v>
      </c>
      <c r="D525" s="4">
        <v>1</v>
      </c>
      <c r="E525" s="4">
        <v>0</v>
      </c>
      <c r="F525" s="4">
        <v>0</v>
      </c>
    </row>
    <row r="526" spans="1:6" x14ac:dyDescent="0.2">
      <c r="A526" s="4">
        <v>2.92</v>
      </c>
      <c r="B526" s="4">
        <v>11</v>
      </c>
      <c r="C526" s="4">
        <v>0</v>
      </c>
      <c r="D526" s="4">
        <v>1</v>
      </c>
      <c r="E526" s="4">
        <v>0</v>
      </c>
      <c r="F526" s="4">
        <v>0</v>
      </c>
    </row>
    <row r="527" spans="1:6" x14ac:dyDescent="0.2">
      <c r="A527" s="4">
        <v>3</v>
      </c>
      <c r="B527" s="4">
        <v>12</v>
      </c>
      <c r="C527" s="4">
        <v>0</v>
      </c>
      <c r="D527" s="4">
        <v>1</v>
      </c>
      <c r="E527" s="4">
        <v>0</v>
      </c>
      <c r="F527" s="4">
        <v>0</v>
      </c>
    </row>
  </sheetData>
  <mergeCells count="2">
    <mergeCell ref="H3:J3"/>
    <mergeCell ref="H25:M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BD. Original</vt:lpstr>
      <vt:lpstr>Identificaicón</vt:lpstr>
      <vt:lpstr>Tratamiento</vt:lpstr>
      <vt:lpstr>Muestra</vt:lpstr>
      <vt:lpstr>Filtro Correlación</vt:lpstr>
      <vt:lpstr>Est. Manual</vt:lpstr>
      <vt:lpstr>Est. HA. Mod.1</vt:lpstr>
      <vt:lpstr>Est. HA. Mod.2</vt:lpstr>
      <vt:lpstr>Est. HA. Mod.3</vt:lpstr>
      <vt:lpstr>Est. HA. Mod. 4</vt:lpstr>
      <vt:lpstr>Est. HA. Mod.5</vt:lpstr>
      <vt:lpstr>Ev. Desempeño</vt:lpstr>
      <vt:lpstr>Modelo Final</vt:lpstr>
    </vt:vector>
  </TitlesOfParts>
  <Company>msu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nrc</dc:creator>
  <cp:lastModifiedBy>Microsoft Office User</cp:lastModifiedBy>
  <dcterms:created xsi:type="dcterms:W3CDTF">2002-07-10T16:22:39Z</dcterms:created>
  <dcterms:modified xsi:type="dcterms:W3CDTF">2023-07-14T23:20:51Z</dcterms:modified>
</cp:coreProperties>
</file>