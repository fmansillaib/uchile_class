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rancomansilla/Library/CloudStorage/GoogleDrive-franco.andres.mansilla@gmail.com/Mi unidad/universidad de chile/Magíster en Finanzas WK/Business Analytics/Clase 1 - Business Analytics/"/>
    </mc:Choice>
  </mc:AlternateContent>
  <xr:revisionPtr revIDLastSave="0" documentId="13_ncr:1_{421532C5-D4ED-D44B-8844-F0A28BFEF47B}" xr6:coauthVersionLast="47" xr6:coauthVersionMax="47" xr10:uidLastSave="{00000000-0000-0000-0000-000000000000}"/>
  <bookViews>
    <workbookView xWindow="0" yWindow="620" windowWidth="38400" windowHeight="19500" activeTab="1" xr2:uid="{00000000-000D-0000-FFFF-FFFF00000000}"/>
  </bookViews>
  <sheets>
    <sheet name="Umbral" sheetId="2" r:id="rId1"/>
    <sheet name="Supuestos" sheetId="1" r:id="rId2"/>
  </sheets>
  <definedNames>
    <definedName name="solver_adj" localSheetId="1" hidden="1">Supuestos!$B$18</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hs1" localSheetId="1" hidden="1">Supuestos!$B$18</definedName>
    <definedName name="solver_lhs2" localSheetId="1" hidden="1">Supuestos!$B$18</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opt" localSheetId="1" hidden="1">Supuestos!$E$25</definedName>
    <definedName name="solver_pre" localSheetId="1" hidden="1">0.000001</definedName>
    <definedName name="solver_rbv" localSheetId="1" hidden="1">1</definedName>
    <definedName name="solver_rel1" localSheetId="1" hidden="1">1</definedName>
    <definedName name="solver_rel2" localSheetId="1" hidden="1">3</definedName>
    <definedName name="solver_rhs1" localSheetId="1" hidden="1">0.9</definedName>
    <definedName name="solver_rhs2" localSheetId="1" hidden="1">0.1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1</definedName>
    <definedName name="solver_val" localSheetId="1" hidden="1">0</definedName>
    <definedName name="solver_ver" localSheetId="1"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E10" i="1"/>
  <c r="E9" i="1"/>
  <c r="B19" i="1"/>
  <c r="E18" i="1" s="1"/>
  <c r="B23" i="1" s="1"/>
  <c r="D11" i="2"/>
  <c r="B25" i="1"/>
  <c r="E8" i="1"/>
  <c r="D23" i="2"/>
  <c r="G23" i="2" s="1"/>
  <c r="D22" i="2"/>
  <c r="G22" i="2" s="1"/>
  <c r="D20" i="2"/>
  <c r="G20" i="2" s="1"/>
  <c r="D19" i="2"/>
  <c r="G19" i="2" s="1"/>
  <c r="D18" i="2"/>
  <c r="G18" i="2" s="1"/>
  <c r="D17" i="2"/>
  <c r="G17" i="2" s="1"/>
  <c r="D15" i="2"/>
  <c r="G15" i="2" s="1"/>
  <c r="D14" i="2"/>
  <c r="G14" i="2" s="1"/>
  <c r="D13" i="2"/>
  <c r="G13" i="2" s="1"/>
  <c r="D12" i="2"/>
  <c r="G12" i="2" s="1"/>
  <c r="D10" i="2"/>
  <c r="G10" i="2" s="1"/>
  <c r="D9" i="2"/>
  <c r="G9" i="2" s="1"/>
  <c r="D8" i="2"/>
  <c r="G8" i="2" s="1"/>
  <c r="D7" i="2"/>
  <c r="G7" i="2" s="1"/>
  <c r="B20" i="1" l="1"/>
  <c r="E11" i="1"/>
  <c r="E12" i="1" s="1"/>
  <c r="E19" i="1"/>
  <c r="E8" i="2"/>
  <c r="E13" i="2"/>
  <c r="E18" i="2"/>
  <c r="E23" i="2"/>
  <c r="E10" i="2"/>
  <c r="E15" i="2"/>
  <c r="E20" i="2"/>
  <c r="E7" i="2"/>
  <c r="E12" i="2"/>
  <c r="E17" i="2"/>
  <c r="E22" i="2"/>
  <c r="E9" i="2"/>
  <c r="E14" i="2"/>
  <c r="E19" i="2"/>
  <c r="G11" i="2"/>
  <c r="D16" i="2"/>
  <c r="G16" i="2" s="1"/>
  <c r="D21" i="2"/>
  <c r="G21" i="2" s="1"/>
  <c r="E11" i="2"/>
  <c r="E16" i="2" l="1"/>
  <c r="F20" i="2"/>
  <c r="H20" i="2" s="1"/>
  <c r="I20" i="2" s="1"/>
  <c r="F15" i="2"/>
  <c r="H15" i="2" s="1"/>
  <c r="I15" i="2" s="1"/>
  <c r="F18" i="2"/>
  <c r="H18" i="2" s="1"/>
  <c r="I18" i="2" s="1"/>
  <c r="F13" i="2"/>
  <c r="H13" i="2" s="1"/>
  <c r="I13" i="2" s="1"/>
  <c r="F8" i="2"/>
  <c r="H8" i="2" s="1"/>
  <c r="I8" i="2" s="1"/>
  <c r="F19" i="2"/>
  <c r="H19" i="2" s="1"/>
  <c r="I19" i="2" s="1"/>
  <c r="F14" i="2"/>
  <c r="H14" i="2" s="1"/>
  <c r="I14" i="2" s="1"/>
  <c r="F9" i="2"/>
  <c r="H9" i="2" s="1"/>
  <c r="I9" i="2" s="1"/>
  <c r="F22" i="2"/>
  <c r="H22" i="2" s="1"/>
  <c r="I22" i="2" s="1"/>
  <c r="F17" i="2"/>
  <c r="H17" i="2" s="1"/>
  <c r="I17" i="2" s="1"/>
  <c r="F12" i="2"/>
  <c r="H12" i="2" s="1"/>
  <c r="I12" i="2" s="1"/>
  <c r="F7" i="2"/>
  <c r="H7" i="2" s="1"/>
  <c r="I7" i="2" s="1"/>
  <c r="E20" i="1"/>
  <c r="B24" i="1" s="1"/>
  <c r="F10" i="2"/>
  <c r="H10" i="2" s="1"/>
  <c r="I10" i="2" s="1"/>
  <c r="F23" i="2"/>
  <c r="H23" i="2" s="1"/>
  <c r="I23" i="2" s="1"/>
  <c r="F21" i="2"/>
  <c r="H21" i="2" s="1"/>
  <c r="I21" i="2" s="1"/>
  <c r="F16" i="2"/>
  <c r="H16" i="2" s="1"/>
  <c r="I16" i="2" s="1"/>
  <c r="F11" i="2"/>
  <c r="H11" i="2" s="1"/>
  <c r="I11" i="2" s="1"/>
  <c r="E21" i="2"/>
  <c r="J19" i="1" l="1"/>
  <c r="J7" i="2"/>
  <c r="J8" i="2" s="1"/>
  <c r="J9" i="2" s="1"/>
  <c r="J10" i="2" s="1"/>
  <c r="B26" i="2"/>
  <c r="B26" i="1"/>
  <c r="E23" i="1" s="1"/>
  <c r="E24" i="1" s="1"/>
  <c r="E25" i="1" s="1"/>
  <c r="J11" i="2"/>
  <c r="J12" i="2" s="1"/>
  <c r="J13" i="2" s="1"/>
  <c r="J14" i="2" s="1"/>
  <c r="J15" i="2" s="1"/>
  <c r="J16" i="2" s="1"/>
  <c r="J17" i="2" s="1"/>
  <c r="J18" i="2" s="1"/>
  <c r="J19" i="2" s="1"/>
  <c r="J20" i="2" s="1"/>
  <c r="J21" i="2" s="1"/>
  <c r="J22" i="2" s="1"/>
  <c r="J23" i="2" s="1"/>
  <c r="E21" i="1"/>
  <c r="B28" i="2" l="1"/>
  <c r="B29" i="2"/>
  <c r="B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tc={6DB1EF4F-AB79-874E-9944-7D08FA158714}</author>
    <author>tc={C976824F-66BB-6D41-B51F-946736B2998F}</author>
  </authors>
  <commentList>
    <comment ref="E10" authorId="0" shapeId="0" xr:uid="{6DB1EF4F-AB79-874E-9944-7D08FA158714}">
      <text>
        <t>[Comentario encadenado]
Tu versión de Excel te permite leer este comentario encadenado; sin embargo, las ediciones que se apliquen se quitarán si el archivo se abre en una versión más reciente de Excel. Más información: https://go.microsoft.com/fwlink/?linkid=870924
Comentario:
    La “pérdida baseline” es la pérdida esperada si NO existiera el motor de fraude (o si operaras con la regla actual),</t>
      </text>
    </comment>
    <comment ref="A11" authorId="1" shapeId="0" xr:uid="{C976824F-66BB-6D41-B51F-946736B2998F}">
      <text>
        <t>[Comentario encadenado]
Tu versión de Excel te permite leer este comentario encadenado; sin embargo, las ediciones que se apliquen se quitarán si el archivo se abre en una versión más reciente de Excel. Más información: https://go.microsoft.com/fwlink/?linkid=870924
Comentario:
    a probabilidad de que un cliente legítimo abandone la compra cuando el motor de fraude la bloquea por error (un False Positive, FP).
Si bloqueas una transacción que no era fraude, algunos clientes no reintentan / se frustran / se van a otro medio.
Eso genera costo económico, porque pierdes la venta (o parte de ella) y su margen.</t>
      </text>
    </comment>
  </commentList>
</comments>
</file>

<file path=xl/sharedStrings.xml><?xml version="1.0" encoding="utf-8"?>
<sst xmlns="http://schemas.openxmlformats.org/spreadsheetml/2006/main" count="62" uniqueCount="62">
  <si>
    <t>Fraud Cutoff Optimization (Example) — Inputs, Confusion Matrix &amp; Economics</t>
  </si>
  <si>
    <t>How to use:
1) Edit BLUE input cells.
2) Choose a Cutoff in B18 (0–1). Metrics are interpolated via the ROC table on the next sheet.
3) The workbook computes the confusion matrix + monthly value + 12m NPV.
4) Go to 'Threshold_Table' to see the best cutoff from the discrete candidates.</t>
  </si>
  <si>
    <t>Recall / TPR at τ</t>
  </si>
  <si>
    <t>FPR at τ</t>
  </si>
  <si>
    <t>ROC / Candidate Cutoffs + Economics (discrete optimization)</t>
  </si>
  <si>
    <t>Cutoff τ</t>
  </si>
  <si>
    <t>TPR</t>
  </si>
  <si>
    <t>FPR</t>
  </si>
  <si>
    <t>TP</t>
  </si>
  <si>
    <t>FN</t>
  </si>
  <si>
    <t>FP</t>
  </si>
  <si>
    <t>Fraud saved ($)</t>
  </si>
  <si>
    <t>FP cost ($)</t>
  </si>
  <si>
    <t>Net / mo ($)</t>
  </si>
  <si>
    <t>Recommended (max net / mo)</t>
  </si>
  <si>
    <t>Max net / mo ($)</t>
  </si>
  <si>
    <t>Cutoff τ at max</t>
  </si>
  <si>
    <t>TPR at max</t>
  </si>
  <si>
    <t>FPR at max</t>
  </si>
  <si>
    <t>Ratio de Fraude</t>
  </si>
  <si>
    <t xml:space="preserve">Costo ($) Operacional </t>
  </si>
  <si>
    <t>Tasa de descuento mensual</t>
  </si>
  <si>
    <t>Umbral de corte en probabilidad de fraude</t>
  </si>
  <si>
    <t>Número de TRX fraude</t>
  </si>
  <si>
    <t>Número de TRX No-Fraude</t>
  </si>
  <si>
    <t>Horizonte de evaluación</t>
  </si>
  <si>
    <t xml:space="preserve">Número de TRX por mes </t>
  </si>
  <si>
    <t>Perdida ($) por TRX fraude</t>
  </si>
  <si>
    <t xml:space="preserve">Margen ($) por TRX legitima </t>
  </si>
  <si>
    <t xml:space="preserve">Inversión ($) Implementación </t>
  </si>
  <si>
    <t>Accum</t>
  </si>
  <si>
    <t>Beneficio neto mensual</t>
  </si>
  <si>
    <t>Beneficio a valor presente</t>
  </si>
  <si>
    <t>VPN (descontando inversión)</t>
  </si>
  <si>
    <t>Costo Operacional ($)</t>
  </si>
  <si>
    <t>Beneficio neto por mes ($)</t>
  </si>
  <si>
    <t>Ganancia por fraude evitado ($)</t>
  </si>
  <si>
    <t>Usando Solver para resolver el mejor umbral:
Datos ➜ Solver ➜  Objetivo: E25 (NPV) ➜ Máximizar ➜ Variable de Decisón: Umbral (B18) ➜ Restricciones: 0.10 ≤ B18 ≤ 0.90. Note: with VLOOKUP(TRUE), the objective is stepwise.</t>
  </si>
  <si>
    <t>Esta hoja proporciona una curva ROC inventada (TPR/FPR por punto de corte). Calcula la matriz de confusión + el beneficio neto mensual para cada punto de corte utilizando los mismos datos del caso de negocio.
El punto de corte recomendado es la fila con el mayor beneficio neto mensual (y el mayor VPN implícito para un flujo mensual constante).</t>
  </si>
  <si>
    <t>%TRX que abandona el cliente por bloqueo</t>
  </si>
  <si>
    <t>Perdida ($) baseline</t>
  </si>
  <si>
    <t>Perdida ($) con el modelo</t>
  </si>
  <si>
    <t>Perdida Evitada (Beneficio)</t>
  </si>
  <si>
    <t>(FN*$45) = (2.500 - 2375)*$45</t>
  </si>
  <si>
    <r>
      <t xml:space="preserve">Si tu objetivo fuera </t>
    </r>
    <r>
      <rPr>
        <b/>
        <sz val="11"/>
        <color theme="1"/>
        <rFont val="Calibri"/>
        <family val="2"/>
        <scheme val="minor"/>
      </rPr>
      <t>solo</t>
    </r>
    <r>
      <rPr>
        <sz val="11"/>
        <color theme="1"/>
        <rFont val="Calibri"/>
        <family val="2"/>
        <scheme val="minor"/>
      </rPr>
      <t xml:space="preserve"> evitar fraude, el “mejor” umbral sería </t>
    </r>
    <r>
      <rPr>
        <b/>
        <sz val="11"/>
        <color theme="1"/>
        <rFont val="Calibri"/>
        <family val="2"/>
        <scheme val="minor"/>
      </rPr>
      <t>bloquear todo</t>
    </r>
    <r>
      <rPr>
        <sz val="11"/>
        <color theme="1"/>
        <rFont val="Calibri"/>
        <family val="2"/>
        <scheme val="minor"/>
      </rPr>
      <t xml:space="preserve"> (evitas 100% del fraude)</t>
    </r>
  </si>
  <si>
    <r>
      <t xml:space="preserve">El </t>
    </r>
    <r>
      <rPr>
        <b/>
        <sz val="11"/>
        <color theme="1"/>
        <rFont val="Calibri"/>
        <family val="2"/>
        <scheme val="minor"/>
      </rPr>
      <t>umbral “óptimo”</t>
    </r>
    <r>
      <rPr>
        <sz val="11"/>
        <color theme="1"/>
        <rFont val="Calibri"/>
        <family val="2"/>
        <scheme val="minor"/>
      </rPr>
      <t xml:space="preserve"> NO maximiza “pérdida evitada”, sino </t>
    </r>
    <r>
      <rPr>
        <b/>
        <sz val="11"/>
        <color theme="1"/>
        <rFont val="Calibri"/>
        <family val="2"/>
        <scheme val="minor"/>
      </rPr>
      <t>valor neto</t>
    </r>
  </si>
  <si>
    <t>Si aumenta el umbral disminuye número fraude detectado</t>
  </si>
  <si>
    <t xml:space="preserve">Si aumenta el umbral aumenta el valor presente neto </t>
  </si>
  <si>
    <t>(1) Supuestos de Entrada (en azul modificar)</t>
  </si>
  <si>
    <t>(2) Cálculo</t>
  </si>
  <si>
    <t>(4) Matriz de Confusión</t>
  </si>
  <si>
    <t>(3) Selección de Umbral</t>
  </si>
  <si>
    <t>(5) Indicadores Economicos</t>
  </si>
  <si>
    <t>(6) VPN a 12 meses</t>
  </si>
  <si>
    <t>TP (real fraude vs modelo fraude)</t>
  </si>
  <si>
    <t>FN (real fraude vs modelo no fraude (aprobado)</t>
  </si>
  <si>
    <t>FP (real no fraude vs modelo fraude (bloqueo)</t>
  </si>
  <si>
    <t>TN (real no fraude vs modelo no fraude)</t>
  </si>
  <si>
    <t>Costo por bloqueo de compra legetima</t>
  </si>
  <si>
    <t>Margen Perdido por FP ($) (lo que perdimos x fuja de cliente)</t>
  </si>
  <si>
    <t>FN ya se considera dentro TP (más FN menos TP)</t>
  </si>
  <si>
    <t>analogía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</si>
</sst>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164" formatCode="\$#,##0"/>
    <numFmt numFmtId="165" formatCode="\$#,##0.00"/>
    <numFmt numFmtId="166" formatCode="0.0%"/>
  </numFmts>
  <fonts count="13" x14ac:knownFonts="1">
    <font>
      <sz val="11"/>
      <color theme="1"/>
      <name val="Calibri"/>
      <family val="2"/>
      <scheme val="minor"/>
    </font>
    <font>
      <b/>
      <sz val="14"/>
      <color rgb="FFFFFFFF"/>
      <name val="Calibri"/>
      <family val="2"/>
    </font>
    <font>
      <sz val="11"/>
      <name val="Calibri"/>
      <family val="2"/>
    </font>
    <font>
      <b/>
      <sz val="12"/>
      <color rgb="FFFFFFFF"/>
      <name val="Calibri"/>
      <family val="2"/>
    </font>
    <font>
      <b/>
      <sz val="11"/>
      <color rgb="FF000000"/>
      <name val="Calibri"/>
      <family val="2"/>
    </font>
    <font>
      <b/>
      <sz val="11"/>
      <color rgb="FF0000FF"/>
      <name val="Calibri"/>
      <family val="2"/>
    </font>
    <font>
      <b/>
      <sz val="11"/>
      <color rgb="FF006100"/>
      <name val="Calibri"/>
      <family val="2"/>
    </font>
    <font>
      <b/>
      <sz val="11"/>
      <color rgb="FF7F6000"/>
      <name val="Calibri"/>
      <family val="2"/>
    </font>
    <font>
      <sz val="10"/>
      <name val="Calibri"/>
      <family val="2"/>
    </font>
    <font>
      <b/>
      <sz val="11"/>
      <color rgb="FFFFFFFF"/>
      <name val="Calibri"/>
      <family val="2"/>
    </font>
    <font>
      <sz val="11"/>
      <color rgb="FF000000"/>
      <name val="Calibri"/>
      <family val="2"/>
    </font>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1F4E79"/>
      </patternFill>
    </fill>
    <fill>
      <patternFill patternType="solid">
        <fgColor rgb="FFEEF3FB"/>
      </patternFill>
    </fill>
    <fill>
      <patternFill patternType="solid">
        <fgColor rgb="FF404040"/>
      </patternFill>
    </fill>
    <fill>
      <patternFill patternType="solid">
        <fgColor rgb="FFD9E1F2"/>
      </patternFill>
    </fill>
    <fill>
      <patternFill patternType="solid">
        <fgColor rgb="FFF2F2F2"/>
      </patternFill>
    </fill>
    <fill>
      <patternFill patternType="solid">
        <fgColor rgb="FFC6EFCE"/>
      </patternFill>
    </fill>
    <fill>
      <patternFill patternType="solid">
        <fgColor rgb="FFFFF2CC"/>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3">
    <xf numFmtId="0" fontId="0" fillId="0" borderId="0"/>
    <xf numFmtId="9" fontId="11" fillId="0" borderId="0" applyFont="0" applyFill="0" applyBorder="0" applyAlignment="0" applyProtection="0"/>
    <xf numFmtId="42" fontId="11" fillId="0" borderId="0" applyFont="0" applyFill="0" applyBorder="0" applyAlignment="0" applyProtection="0"/>
  </cellStyleXfs>
  <cellXfs count="34">
    <xf numFmtId="0" fontId="0" fillId="0" borderId="0" xfId="0"/>
    <xf numFmtId="0" fontId="4" fillId="0" borderId="1" xfId="0" applyFont="1" applyBorder="1" applyAlignment="1">
      <alignment horizontal="left" vertical="center"/>
    </xf>
    <xf numFmtId="1" fontId="5" fillId="5" borderId="1" xfId="0" applyNumberFormat="1" applyFont="1" applyFill="1" applyBorder="1" applyAlignment="1">
      <alignment horizontal="right" vertical="center"/>
    </xf>
    <xf numFmtId="1" fontId="4" fillId="6" borderId="1" xfId="0" applyNumberFormat="1" applyFont="1" applyFill="1" applyBorder="1" applyAlignment="1">
      <alignment horizontal="right" vertical="center"/>
    </xf>
    <xf numFmtId="10" fontId="5" fillId="5"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165" fontId="4" fillId="6"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64" fontId="4" fillId="6"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166" fontId="4" fillId="6" borderId="1" xfId="0" applyNumberFormat="1" applyFont="1" applyFill="1" applyBorder="1"/>
    <xf numFmtId="10" fontId="4" fillId="6" borderId="1" xfId="0" applyNumberFormat="1" applyFont="1" applyFill="1" applyBorder="1"/>
    <xf numFmtId="164" fontId="7" fillId="8" borderId="1" xfId="0" applyNumberFormat="1" applyFont="1" applyFill="1" applyBorder="1" applyAlignment="1">
      <alignment horizontal="right" vertical="center"/>
    </xf>
    <xf numFmtId="164" fontId="6" fillId="7" borderId="1" xfId="0" applyNumberFormat="1" applyFont="1" applyFill="1" applyBorder="1" applyAlignment="1">
      <alignment horizontal="right" vertical="center"/>
    </xf>
    <xf numFmtId="0" fontId="9" fillId="4" borderId="1" xfId="0" applyFont="1" applyFill="1" applyBorder="1" applyAlignment="1">
      <alignment horizontal="center" vertical="center" wrapText="1"/>
    </xf>
    <xf numFmtId="2" fontId="0" fillId="0" borderId="1" xfId="0" applyNumberFormat="1" applyBorder="1" applyAlignment="1">
      <alignment horizontal="right" vertical="center"/>
    </xf>
    <xf numFmtId="166" fontId="0" fillId="0" borderId="1" xfId="0" applyNumberFormat="1" applyBorder="1" applyAlignment="1">
      <alignment horizontal="right" vertical="center"/>
    </xf>
    <xf numFmtId="10" fontId="0" fillId="0" borderId="1" xfId="0" applyNumberFormat="1" applyBorder="1" applyAlignment="1">
      <alignment horizontal="right" vertical="center"/>
    </xf>
    <xf numFmtId="1" fontId="10" fillId="6" borderId="1" xfId="0" applyNumberFormat="1" applyFont="1" applyFill="1" applyBorder="1" applyAlignment="1">
      <alignment horizontal="right" vertical="center"/>
    </xf>
    <xf numFmtId="164" fontId="0" fillId="6" borderId="1" xfId="0" applyNumberFormat="1" applyFill="1" applyBorder="1" applyAlignment="1">
      <alignment horizontal="right" vertical="center"/>
    </xf>
    <xf numFmtId="2" fontId="6" fillId="7" borderId="1" xfId="0" applyNumberFormat="1" applyFont="1" applyFill="1" applyBorder="1" applyAlignment="1">
      <alignment horizontal="right" vertical="center"/>
    </xf>
    <xf numFmtId="166" fontId="6" fillId="7" borderId="1" xfId="0" applyNumberFormat="1" applyFont="1" applyFill="1" applyBorder="1" applyAlignment="1">
      <alignment horizontal="right" vertical="center"/>
    </xf>
    <xf numFmtId="10" fontId="6" fillId="7" borderId="1" xfId="0" applyNumberFormat="1" applyFont="1" applyFill="1" applyBorder="1" applyAlignment="1">
      <alignment horizontal="right" vertical="center"/>
    </xf>
    <xf numFmtId="0" fontId="9" fillId="4" borderId="2" xfId="0" applyFont="1" applyFill="1" applyBorder="1" applyAlignment="1">
      <alignment horizontal="center" vertical="center" wrapText="1"/>
    </xf>
    <xf numFmtId="164" fontId="0" fillId="0" borderId="0" xfId="0" applyNumberFormat="1"/>
    <xf numFmtId="166" fontId="5" fillId="5" borderId="1" xfId="1" applyNumberFormat="1" applyFont="1" applyFill="1" applyBorder="1"/>
    <xf numFmtId="0" fontId="0" fillId="0" borderId="0" xfId="0" quotePrefix="1"/>
    <xf numFmtId="0" fontId="4" fillId="6" borderId="1" xfId="0" applyFont="1" applyFill="1" applyBorder="1" applyAlignment="1">
      <alignment horizontal="right" vertical="center"/>
    </xf>
    <xf numFmtId="42" fontId="0" fillId="0" borderId="0" xfId="2" applyFont="1"/>
    <xf numFmtId="0" fontId="1" fillId="2" borderId="0" xfId="0" applyFont="1" applyFill="1" applyAlignment="1">
      <alignment horizontal="center" vertical="center" wrapText="1"/>
    </xf>
    <xf numFmtId="0" fontId="0" fillId="0" borderId="0" xfId="0"/>
    <xf numFmtId="0" fontId="3" fillId="4" borderId="0" xfId="0" applyFont="1" applyFill="1" applyAlignment="1">
      <alignment horizontal="left" vertical="center"/>
    </xf>
    <xf numFmtId="0" fontId="2" fillId="3" borderId="1" xfId="0" applyFont="1" applyFill="1" applyBorder="1" applyAlignment="1">
      <alignment horizontal="left" vertical="top" wrapText="1"/>
    </xf>
    <xf numFmtId="0" fontId="8" fillId="9" borderId="1" xfId="0" applyFont="1" applyFill="1" applyBorder="1" applyAlignment="1">
      <alignment horizontal="left" vertical="top" wrapText="1"/>
    </xf>
  </cellXfs>
  <cellStyles count="3">
    <cellStyle name="Moneda [0]" xfId="2" builtinId="7"/>
    <cellStyle name="Normal" xfId="0" builtinId="0"/>
    <cellStyle name="Porcentaje" xfId="1" builtinId="5"/>
  </cellStyles>
  <dxfs count="1">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r>
              <a:rPr lang="es-CL"/>
              <a:t>Beneficio neto por Umbral</a:t>
            </a:r>
          </a:p>
        </c:rich>
      </c:tx>
      <c:overlay val="0"/>
    </c:title>
    <c:autoTitleDeleted val="0"/>
    <c:plotArea>
      <c:layout/>
      <c:lineChart>
        <c:grouping val="standard"/>
        <c:varyColors val="0"/>
        <c:ser>
          <c:idx val="0"/>
          <c:order val="0"/>
          <c:tx>
            <c:strRef>
              <c:f>Umbral!$I$6</c:f>
              <c:strCache>
                <c:ptCount val="1"/>
                <c:pt idx="0">
                  <c:v>Net / mo ($)</c:v>
                </c:pt>
              </c:strCache>
            </c:strRef>
          </c:tx>
          <c:spPr>
            <a:ln/>
          </c:spPr>
          <c:marker>
            <c:symbol val="none"/>
          </c:marker>
          <c:cat>
            <c:numRef>
              <c:f>Umbral!$A$7:$A$23</c:f>
              <c:numCache>
                <c:formatCode>0.00</c:formatCode>
                <c:ptCount val="17"/>
                <c:pt idx="0">
                  <c:v>0.1</c:v>
                </c:pt>
                <c:pt idx="1">
                  <c:v>0.15</c:v>
                </c:pt>
                <c:pt idx="2">
                  <c:v>0.2</c:v>
                </c:pt>
                <c:pt idx="3">
                  <c:v>0.25</c:v>
                </c:pt>
                <c:pt idx="4">
                  <c:v>0.3</c:v>
                </c:pt>
                <c:pt idx="5">
                  <c:v>0.35</c:v>
                </c:pt>
                <c:pt idx="6">
                  <c:v>0.4</c:v>
                </c:pt>
                <c:pt idx="7">
                  <c:v>0.45</c:v>
                </c:pt>
                <c:pt idx="8">
                  <c:v>0.5</c:v>
                </c:pt>
                <c:pt idx="9">
                  <c:v>0.55000000000000004</c:v>
                </c:pt>
                <c:pt idx="10">
                  <c:v>0.6</c:v>
                </c:pt>
                <c:pt idx="11">
                  <c:v>0.65</c:v>
                </c:pt>
                <c:pt idx="12">
                  <c:v>0.7</c:v>
                </c:pt>
                <c:pt idx="13">
                  <c:v>0.75</c:v>
                </c:pt>
                <c:pt idx="14">
                  <c:v>0.8</c:v>
                </c:pt>
                <c:pt idx="15">
                  <c:v>0.85</c:v>
                </c:pt>
                <c:pt idx="16">
                  <c:v>0.9</c:v>
                </c:pt>
              </c:numCache>
            </c:numRef>
          </c:cat>
          <c:val>
            <c:numRef>
              <c:f>Umbral!$I$7:$I$23</c:f>
              <c:numCache>
                <c:formatCode>\$#,##0</c:formatCode>
                <c:ptCount val="17"/>
                <c:pt idx="0">
                  <c:v>34419</c:v>
                </c:pt>
                <c:pt idx="1">
                  <c:v>45408</c:v>
                </c:pt>
                <c:pt idx="2">
                  <c:v>52806</c:v>
                </c:pt>
                <c:pt idx="3">
                  <c:v>56924.399999999994</c:v>
                </c:pt>
                <c:pt idx="4">
                  <c:v>57763.199999999997</c:v>
                </c:pt>
                <c:pt idx="5">
                  <c:v>57165.600000000006</c:v>
                </c:pt>
                <c:pt idx="6">
                  <c:v>56568</c:v>
                </c:pt>
                <c:pt idx="7">
                  <c:v>51613.5</c:v>
                </c:pt>
                <c:pt idx="8">
                  <c:v>46299.9</c:v>
                </c:pt>
                <c:pt idx="9">
                  <c:v>39502.199999999997</c:v>
                </c:pt>
                <c:pt idx="10">
                  <c:v>32345.4</c:v>
                </c:pt>
                <c:pt idx="11">
                  <c:v>23919.96</c:v>
                </c:pt>
                <c:pt idx="12">
                  <c:v>16475.88</c:v>
                </c:pt>
                <c:pt idx="13">
                  <c:v>8959.98</c:v>
                </c:pt>
                <c:pt idx="14">
                  <c:v>2425.4399999999987</c:v>
                </c:pt>
                <c:pt idx="15">
                  <c:v>-2984.1000000000004</c:v>
                </c:pt>
                <c:pt idx="16">
                  <c:v>-7340.4599999999991</c:v>
                </c:pt>
              </c:numCache>
            </c:numRef>
          </c:val>
          <c:smooth val="0"/>
          <c:extLst>
            <c:ext xmlns:c16="http://schemas.microsoft.com/office/drawing/2014/chart" uri="{C3380CC4-5D6E-409C-BE32-E72D297353CC}">
              <c16:uniqueId val="{00000000-94A3-EC4C-A53E-9EEA7FDA2BF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698500</xdr:colOff>
      <xdr:row>25</xdr:row>
      <xdr:rowOff>25400</xdr:rowOff>
    </xdr:from>
    <xdr:to>
      <xdr:col>10</xdr:col>
      <xdr:colOff>292100</xdr:colOff>
      <xdr:row>39</xdr:row>
      <xdr:rowOff>25400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23962</xdr:colOff>
      <xdr:row>15</xdr:row>
      <xdr:rowOff>55913</xdr:rowOff>
    </xdr:from>
    <xdr:to>
      <xdr:col>21</xdr:col>
      <xdr:colOff>415985</xdr:colOff>
      <xdr:row>19</xdr:row>
      <xdr:rowOff>175525</xdr:rowOff>
    </xdr:to>
    <xdr:pic>
      <xdr:nvPicPr>
        <xdr:cNvPr id="2" name="Imagen 1">
          <a:extLst>
            <a:ext uri="{FF2B5EF4-FFF2-40B4-BE49-F238E27FC236}">
              <a16:creationId xmlns:a16="http://schemas.microsoft.com/office/drawing/2014/main" id="{280D6F60-F0A1-3606-85C3-26E94C5FBAC5}"/>
            </a:ext>
          </a:extLst>
        </xdr:cNvPr>
        <xdr:cNvPicPr>
          <a:picLocks noChangeAspect="1"/>
        </xdr:cNvPicPr>
      </xdr:nvPicPr>
      <xdr:blipFill>
        <a:blip xmlns:r="http://schemas.openxmlformats.org/officeDocument/2006/relationships" r:embed="rId1"/>
        <a:stretch>
          <a:fillRect/>
        </a:stretch>
      </xdr:blipFill>
      <xdr:spPr>
        <a:xfrm>
          <a:off x="14329434" y="3107108"/>
          <a:ext cx="7772400" cy="8943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Franco Mansilla IbaÃ±ez" id="{2A1F9ED3-89CA-6B49-911F-39F0260C76F1}" userId="S::fmansilla@fen.uchile.cl::8610f9af-a5d9-4cc8-9ccb-b6c5bf68f34f"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0" dT="2025-12-24T03:29:03.00" personId="{2A1F9ED3-89CA-6B49-911F-39F0260C76F1}" id="{6DB1EF4F-AB79-874E-9944-7D08FA158714}">
    <text>La “pérdida baseline” es la pérdida esperada si NO existiera el motor de fraude (o si operaras con la regla actual),</text>
  </threadedComment>
  <threadedComment ref="A11" dT="2025-12-24T03:27:06.90" personId="{2A1F9ED3-89CA-6B49-911F-39F0260C76F1}" id="{C976824F-66BB-6D41-B51F-946736B2998F}">
    <text>a probabilidad de que un cliente legítimo abandone la compra cuando el motor de fraude la bloquea por error (un False Positive, FP).
Si bloqueas una transacción que no era fraude, algunos clientes no reintentan / se frustran / se van a otro medio.
Eso genera costo económico, porque pierdes la venta (o parte de ella) y su margen.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showGridLines="0" workbookViewId="0">
      <selection activeCell="B26" sqref="B26"/>
    </sheetView>
  </sheetViews>
  <sheetFormatPr baseColWidth="10" defaultColWidth="8.83203125" defaultRowHeight="15" x14ac:dyDescent="0.2"/>
  <cols>
    <col min="1" max="1" width="13.83203125" bestFit="1" customWidth="1"/>
    <col min="2" max="6" width="12" customWidth="1"/>
    <col min="7" max="9" width="16" customWidth="1"/>
  </cols>
  <sheetData>
    <row r="1" spans="1:11" ht="26" customHeight="1" x14ac:dyDescent="0.2">
      <c r="A1" s="29" t="s">
        <v>4</v>
      </c>
      <c r="B1" s="30"/>
      <c r="C1" s="30"/>
      <c r="D1" s="30"/>
      <c r="E1" s="30"/>
      <c r="F1" s="30"/>
      <c r="G1" s="30"/>
      <c r="H1" s="30"/>
      <c r="I1" s="30"/>
    </row>
    <row r="2" spans="1:11" x14ac:dyDescent="0.2">
      <c r="A2" s="32" t="s">
        <v>38</v>
      </c>
      <c r="B2" s="30"/>
      <c r="C2" s="30"/>
      <c r="D2" s="30"/>
      <c r="E2" s="30"/>
      <c r="F2" s="30"/>
      <c r="G2" s="30"/>
      <c r="H2" s="30"/>
      <c r="I2" s="30"/>
    </row>
    <row r="3" spans="1:11" x14ac:dyDescent="0.2">
      <c r="A3" s="30"/>
      <c r="B3" s="30"/>
      <c r="C3" s="30"/>
      <c r="D3" s="30"/>
      <c r="E3" s="30"/>
      <c r="F3" s="30"/>
      <c r="G3" s="30"/>
      <c r="H3" s="30"/>
      <c r="I3" s="30"/>
    </row>
    <row r="4" spans="1:11" x14ac:dyDescent="0.2">
      <c r="A4" s="30"/>
      <c r="B4" s="30"/>
      <c r="C4" s="30"/>
      <c r="D4" s="30"/>
      <c r="E4" s="30"/>
      <c r="F4" s="30"/>
      <c r="G4" s="30"/>
      <c r="H4" s="30"/>
      <c r="I4" s="30"/>
    </row>
    <row r="6" spans="1:11" ht="20" customHeight="1" x14ac:dyDescent="0.2">
      <c r="A6" s="14" t="s">
        <v>5</v>
      </c>
      <c r="B6" s="14" t="s">
        <v>6</v>
      </c>
      <c r="C6" s="14" t="s">
        <v>7</v>
      </c>
      <c r="D6" s="14" t="s">
        <v>8</v>
      </c>
      <c r="E6" s="14" t="s">
        <v>9</v>
      </c>
      <c r="F6" s="14" t="s">
        <v>10</v>
      </c>
      <c r="G6" s="14" t="s">
        <v>11</v>
      </c>
      <c r="H6" s="14" t="s">
        <v>12</v>
      </c>
      <c r="I6" s="14" t="s">
        <v>13</v>
      </c>
      <c r="J6" s="23" t="s">
        <v>30</v>
      </c>
    </row>
    <row r="7" spans="1:11" x14ac:dyDescent="0.2">
      <c r="A7" s="15">
        <v>0.1</v>
      </c>
      <c r="B7" s="16">
        <v>0.95</v>
      </c>
      <c r="C7" s="17">
        <v>0.08</v>
      </c>
      <c r="D7" s="18">
        <f>Supuestos!$E$7*B7</f>
        <v>2375</v>
      </c>
      <c r="E7" s="18">
        <f>Supuestos!$E$7-D7</f>
        <v>125</v>
      </c>
      <c r="F7" s="18">
        <f>Supuestos!$E$8*C7</f>
        <v>79800</v>
      </c>
      <c r="G7" s="19">
        <f>D7*Supuestos!$B$9</f>
        <v>106875</v>
      </c>
      <c r="H7" s="19">
        <f>F7*Supuestos!$E$9</f>
        <v>57456</v>
      </c>
      <c r="I7" s="19">
        <f>G7-H7-Supuestos!$B$12</f>
        <v>34419</v>
      </c>
      <c r="J7" s="24">
        <f>+I7</f>
        <v>34419</v>
      </c>
      <c r="K7" s="24"/>
    </row>
    <row r="8" spans="1:11" x14ac:dyDescent="0.2">
      <c r="A8" s="15">
        <v>0.15</v>
      </c>
      <c r="B8" s="16">
        <v>0.92</v>
      </c>
      <c r="C8" s="17">
        <v>0.06</v>
      </c>
      <c r="D8" s="18">
        <f>Supuestos!$E$7*B8</f>
        <v>2300</v>
      </c>
      <c r="E8" s="18">
        <f>Supuestos!$E$7-D8</f>
        <v>200</v>
      </c>
      <c r="F8" s="18">
        <f>Supuestos!$E$8*C8</f>
        <v>59850</v>
      </c>
      <c r="G8" s="19">
        <f>D8*Supuestos!$B$9</f>
        <v>103500</v>
      </c>
      <c r="H8" s="19">
        <f>F8*Supuestos!$E$9</f>
        <v>43092</v>
      </c>
      <c r="I8" s="19">
        <f>G8-H8-Supuestos!$B$12</f>
        <v>45408</v>
      </c>
      <c r="J8" s="24">
        <f>+J7+I8</f>
        <v>79827</v>
      </c>
      <c r="K8" s="24"/>
    </row>
    <row r="9" spans="1:11" x14ac:dyDescent="0.2">
      <c r="A9" s="15">
        <v>0.2</v>
      </c>
      <c r="B9" s="16">
        <v>0.89</v>
      </c>
      <c r="C9" s="17">
        <v>4.4999999999999998E-2</v>
      </c>
      <c r="D9" s="18">
        <f>Supuestos!$E$7*B9</f>
        <v>2225</v>
      </c>
      <c r="E9" s="18">
        <f>Supuestos!$E$7-D9</f>
        <v>275</v>
      </c>
      <c r="F9" s="18">
        <f>Supuestos!$E$8*C9</f>
        <v>44887.5</v>
      </c>
      <c r="G9" s="19">
        <f>D9*Supuestos!$B$9</f>
        <v>100125</v>
      </c>
      <c r="H9" s="19">
        <f>F9*Supuestos!$E$9</f>
        <v>32319</v>
      </c>
      <c r="I9" s="19">
        <f>G9-H9-Supuestos!$B$12</f>
        <v>52806</v>
      </c>
      <c r="J9" s="24">
        <f t="shared" ref="J9:J23" si="0">+J8+I9</f>
        <v>132633</v>
      </c>
      <c r="K9" s="24"/>
    </row>
    <row r="10" spans="1:11" x14ac:dyDescent="0.2">
      <c r="A10" s="15">
        <v>0.25</v>
      </c>
      <c r="B10" s="16">
        <v>0.85</v>
      </c>
      <c r="C10" s="17">
        <v>3.3000000000000002E-2</v>
      </c>
      <c r="D10" s="18">
        <f>Supuestos!$E$7*B10</f>
        <v>2125</v>
      </c>
      <c r="E10" s="18">
        <f>Supuestos!$E$7-D10</f>
        <v>375</v>
      </c>
      <c r="F10" s="18">
        <f>Supuestos!$E$8*C10</f>
        <v>32917.5</v>
      </c>
      <c r="G10" s="19">
        <f>D10*Supuestos!$B$9</f>
        <v>95625</v>
      </c>
      <c r="H10" s="19">
        <f>F10*Supuestos!$E$9</f>
        <v>23700.6</v>
      </c>
      <c r="I10" s="19">
        <f>G10-H10-Supuestos!$B$12</f>
        <v>56924.399999999994</v>
      </c>
      <c r="J10" s="24">
        <f>+J9+I10</f>
        <v>189557.4</v>
      </c>
      <c r="K10" s="24"/>
    </row>
    <row r="11" spans="1:11" x14ac:dyDescent="0.2">
      <c r="A11" s="15">
        <v>0.3</v>
      </c>
      <c r="B11" s="16">
        <v>0.8</v>
      </c>
      <c r="C11" s="17">
        <v>2.4E-2</v>
      </c>
      <c r="D11" s="18">
        <f>Supuestos!$E$7*B11</f>
        <v>2000</v>
      </c>
      <c r="E11" s="18">
        <f>Supuestos!$E$7-D11</f>
        <v>500</v>
      </c>
      <c r="F11" s="18">
        <f>Supuestos!$E$8*C11</f>
        <v>23940</v>
      </c>
      <c r="G11" s="19">
        <f>D11*Supuestos!$B$9</f>
        <v>90000</v>
      </c>
      <c r="H11" s="19">
        <f>F11*Supuestos!$E$9</f>
        <v>17236.8</v>
      </c>
      <c r="I11" s="19">
        <f>G11-H11-Supuestos!$B$12</f>
        <v>57763.199999999997</v>
      </c>
      <c r="J11" s="24">
        <f t="shared" si="0"/>
        <v>247320.59999999998</v>
      </c>
      <c r="K11" s="24"/>
    </row>
    <row r="12" spans="1:11" x14ac:dyDescent="0.2">
      <c r="A12" s="15">
        <v>0.35</v>
      </c>
      <c r="B12" s="16">
        <v>0.75</v>
      </c>
      <c r="C12" s="17">
        <v>1.7000000000000001E-2</v>
      </c>
      <c r="D12" s="18">
        <f>Supuestos!$E$7*B12</f>
        <v>1875</v>
      </c>
      <c r="E12" s="18">
        <f>Supuestos!$E$7-D12</f>
        <v>625</v>
      </c>
      <c r="F12" s="18">
        <f>Supuestos!$E$8*C12</f>
        <v>16957.5</v>
      </c>
      <c r="G12" s="19">
        <f>D12*Supuestos!$B$9</f>
        <v>84375</v>
      </c>
      <c r="H12" s="19">
        <f>F12*Supuestos!$E$9</f>
        <v>12209.4</v>
      </c>
      <c r="I12" s="19">
        <f>G12-H12-Supuestos!$B$12</f>
        <v>57165.600000000006</v>
      </c>
      <c r="J12" s="24">
        <f t="shared" si="0"/>
        <v>304486.19999999995</v>
      </c>
      <c r="K12" s="24"/>
    </row>
    <row r="13" spans="1:11" x14ac:dyDescent="0.2">
      <c r="A13" s="15">
        <v>0.4</v>
      </c>
      <c r="B13" s="16">
        <v>0.7</v>
      </c>
      <c r="C13" s="17">
        <v>0.01</v>
      </c>
      <c r="D13" s="18">
        <f>Supuestos!$E$7*B13</f>
        <v>1750</v>
      </c>
      <c r="E13" s="18">
        <f>Supuestos!$E$7-D13</f>
        <v>750</v>
      </c>
      <c r="F13" s="18">
        <f>Supuestos!$E$8*C13</f>
        <v>9975</v>
      </c>
      <c r="G13" s="19">
        <f>D13*Supuestos!$B$9</f>
        <v>78750</v>
      </c>
      <c r="H13" s="19">
        <f>F13*Supuestos!$E$9</f>
        <v>7182</v>
      </c>
      <c r="I13" s="19">
        <f>G13-H13-Supuestos!$B$12</f>
        <v>56568</v>
      </c>
      <c r="J13" s="24">
        <f t="shared" si="0"/>
        <v>361054.19999999995</v>
      </c>
      <c r="K13" s="24"/>
    </row>
    <row r="14" spans="1:11" x14ac:dyDescent="0.2">
      <c r="A14" s="15">
        <v>0.45</v>
      </c>
      <c r="B14" s="16">
        <v>0.64</v>
      </c>
      <c r="C14" s="17">
        <v>7.4999999999999997E-3</v>
      </c>
      <c r="D14" s="18">
        <f>Supuestos!$E$7*B14</f>
        <v>1600</v>
      </c>
      <c r="E14" s="18">
        <f>Supuestos!$E$7-D14</f>
        <v>900</v>
      </c>
      <c r="F14" s="18">
        <f>Supuestos!$E$8*C14</f>
        <v>7481.25</v>
      </c>
      <c r="G14" s="19">
        <f>D14*Supuestos!$B$9</f>
        <v>72000</v>
      </c>
      <c r="H14" s="19">
        <f>F14*Supuestos!$E$9</f>
        <v>5386.5</v>
      </c>
      <c r="I14" s="19">
        <f>G14-H14-Supuestos!$B$12</f>
        <v>51613.5</v>
      </c>
      <c r="J14" s="24">
        <f t="shared" si="0"/>
        <v>412667.69999999995</v>
      </c>
      <c r="K14" s="24"/>
    </row>
    <row r="15" spans="1:11" x14ac:dyDescent="0.2">
      <c r="A15" s="15">
        <v>0.5</v>
      </c>
      <c r="B15" s="16">
        <v>0.57999999999999996</v>
      </c>
      <c r="C15" s="17">
        <v>5.4999999999999997E-3</v>
      </c>
      <c r="D15" s="18">
        <f>Supuestos!$E$7*B15</f>
        <v>1450</v>
      </c>
      <c r="E15" s="18">
        <f>Supuestos!$E$7-D15</f>
        <v>1050</v>
      </c>
      <c r="F15" s="18">
        <f>Supuestos!$E$8*C15</f>
        <v>5486.25</v>
      </c>
      <c r="G15" s="19">
        <f>D15*Supuestos!$B$9</f>
        <v>65250</v>
      </c>
      <c r="H15" s="19">
        <f>F15*Supuestos!$E$9</f>
        <v>3950.1</v>
      </c>
      <c r="I15" s="19">
        <f>G15-H15-Supuestos!$B$12</f>
        <v>46299.9</v>
      </c>
      <c r="J15" s="24">
        <f t="shared" si="0"/>
        <v>458967.6</v>
      </c>
      <c r="K15" s="24"/>
    </row>
    <row r="16" spans="1:11" x14ac:dyDescent="0.2">
      <c r="A16" s="15">
        <v>0.55000000000000004</v>
      </c>
      <c r="B16" s="16">
        <v>0.51</v>
      </c>
      <c r="C16" s="17">
        <v>4.0000000000000001E-3</v>
      </c>
      <c r="D16" s="18">
        <f>Supuestos!$E$7*B16</f>
        <v>1275</v>
      </c>
      <c r="E16" s="18">
        <f>Supuestos!$E$7-D16</f>
        <v>1225</v>
      </c>
      <c r="F16" s="18">
        <f>Supuestos!$E$8*C16</f>
        <v>3990</v>
      </c>
      <c r="G16" s="19">
        <f>D16*Supuestos!$B$9</f>
        <v>57375</v>
      </c>
      <c r="H16" s="19">
        <f>F16*Supuestos!$E$9</f>
        <v>2872.7999999999997</v>
      </c>
      <c r="I16" s="19">
        <f>G16-H16-Supuestos!$B$12</f>
        <v>39502.199999999997</v>
      </c>
      <c r="J16" s="24">
        <f t="shared" si="0"/>
        <v>498469.8</v>
      </c>
      <c r="K16" s="24"/>
    </row>
    <row r="17" spans="1:11" x14ac:dyDescent="0.2">
      <c r="A17" s="15">
        <v>0.6</v>
      </c>
      <c r="B17" s="16">
        <v>0.44</v>
      </c>
      <c r="C17" s="17">
        <v>3.0000000000000001E-3</v>
      </c>
      <c r="D17" s="18">
        <f>Supuestos!$E$7*B17</f>
        <v>1100</v>
      </c>
      <c r="E17" s="18">
        <f>Supuestos!$E$7-D17</f>
        <v>1400</v>
      </c>
      <c r="F17" s="18">
        <f>Supuestos!$E$8*C17</f>
        <v>2992.5</v>
      </c>
      <c r="G17" s="19">
        <f>D17*Supuestos!$B$9</f>
        <v>49500</v>
      </c>
      <c r="H17" s="19">
        <f>F17*Supuestos!$E$9</f>
        <v>2154.6</v>
      </c>
      <c r="I17" s="19">
        <f>G17-H17-Supuestos!$B$12</f>
        <v>32345.4</v>
      </c>
      <c r="J17" s="24">
        <f t="shared" si="0"/>
        <v>530815.19999999995</v>
      </c>
      <c r="K17" s="24"/>
    </row>
    <row r="18" spans="1:11" x14ac:dyDescent="0.2">
      <c r="A18" s="15">
        <v>0.65</v>
      </c>
      <c r="B18" s="16">
        <v>0.36</v>
      </c>
      <c r="C18" s="17">
        <v>2.2000000000000001E-3</v>
      </c>
      <c r="D18" s="18">
        <f>Supuestos!$E$7*B18</f>
        <v>900</v>
      </c>
      <c r="E18" s="18">
        <f>Supuestos!$E$7-D18</f>
        <v>1600</v>
      </c>
      <c r="F18" s="18">
        <f>Supuestos!$E$8*C18</f>
        <v>2194.5</v>
      </c>
      <c r="G18" s="19">
        <f>D18*Supuestos!$B$9</f>
        <v>40500</v>
      </c>
      <c r="H18" s="19">
        <f>F18*Supuestos!$E$9</f>
        <v>1580.04</v>
      </c>
      <c r="I18" s="19">
        <f>G18-H18-Supuestos!$B$12</f>
        <v>23919.96</v>
      </c>
      <c r="J18" s="24">
        <f t="shared" si="0"/>
        <v>554735.15999999992</v>
      </c>
      <c r="K18" s="24"/>
    </row>
    <row r="19" spans="1:11" x14ac:dyDescent="0.2">
      <c r="A19" s="15">
        <v>0.7</v>
      </c>
      <c r="B19" s="16">
        <v>0.28999999999999998</v>
      </c>
      <c r="C19" s="17">
        <v>1.6000000000000001E-3</v>
      </c>
      <c r="D19" s="18">
        <f>Supuestos!$E$7*B19</f>
        <v>725</v>
      </c>
      <c r="E19" s="18">
        <f>Supuestos!$E$7-D19</f>
        <v>1775</v>
      </c>
      <c r="F19" s="18">
        <f>Supuestos!$E$8*C19</f>
        <v>1596</v>
      </c>
      <c r="G19" s="19">
        <f>D19*Supuestos!$B$9</f>
        <v>32625</v>
      </c>
      <c r="H19" s="19">
        <f>F19*Supuestos!$E$9</f>
        <v>1149.1199999999999</v>
      </c>
      <c r="I19" s="19">
        <f>G19-H19-Supuestos!$B$12</f>
        <v>16475.88</v>
      </c>
      <c r="J19" s="24">
        <f t="shared" si="0"/>
        <v>571211.03999999992</v>
      </c>
      <c r="K19" s="24"/>
    </row>
    <row r="20" spans="1:11" x14ac:dyDescent="0.2">
      <c r="A20" s="15">
        <v>0.75</v>
      </c>
      <c r="B20" s="16">
        <v>0.22</v>
      </c>
      <c r="C20" s="17">
        <v>1.1000000000000001E-3</v>
      </c>
      <c r="D20" s="18">
        <f>Supuestos!$E$7*B20</f>
        <v>550</v>
      </c>
      <c r="E20" s="18">
        <f>Supuestos!$E$7-D20</f>
        <v>1950</v>
      </c>
      <c r="F20" s="18">
        <f>Supuestos!$E$8*C20</f>
        <v>1097.25</v>
      </c>
      <c r="G20" s="19">
        <f>D20*Supuestos!$B$9</f>
        <v>24750</v>
      </c>
      <c r="H20" s="19">
        <f>F20*Supuestos!$E$9</f>
        <v>790.02</v>
      </c>
      <c r="I20" s="19">
        <f>G20-H20-Supuestos!$B$12</f>
        <v>8959.98</v>
      </c>
      <c r="J20" s="24">
        <f t="shared" si="0"/>
        <v>580171.0199999999</v>
      </c>
      <c r="K20" s="24"/>
    </row>
    <row r="21" spans="1:11" x14ac:dyDescent="0.2">
      <c r="A21" s="15">
        <v>0.8</v>
      </c>
      <c r="B21" s="16">
        <v>0.16</v>
      </c>
      <c r="C21" s="17">
        <v>8.0000000000000004E-4</v>
      </c>
      <c r="D21" s="18">
        <f>Supuestos!$E$7*B21</f>
        <v>400</v>
      </c>
      <c r="E21" s="18">
        <f>Supuestos!$E$7-D21</f>
        <v>2100</v>
      </c>
      <c r="F21" s="18">
        <f>Supuestos!$E$8*C21</f>
        <v>798</v>
      </c>
      <c r="G21" s="19">
        <f>D21*Supuestos!$B$9</f>
        <v>18000</v>
      </c>
      <c r="H21" s="19">
        <f>F21*Supuestos!$E$9</f>
        <v>574.55999999999995</v>
      </c>
      <c r="I21" s="19">
        <f>G21-H21-Supuestos!$B$12</f>
        <v>2425.4399999999987</v>
      </c>
      <c r="J21" s="24">
        <f t="shared" si="0"/>
        <v>582596.45999999985</v>
      </c>
      <c r="K21" s="24"/>
    </row>
    <row r="22" spans="1:11" x14ac:dyDescent="0.2">
      <c r="A22" s="15">
        <v>0.85</v>
      </c>
      <c r="B22" s="16">
        <v>0.11</v>
      </c>
      <c r="C22" s="17">
        <v>5.0000000000000001E-4</v>
      </c>
      <c r="D22" s="18">
        <f>Supuestos!$E$7*B22</f>
        <v>275</v>
      </c>
      <c r="E22" s="18">
        <f>Supuestos!$E$7-D22</f>
        <v>2225</v>
      </c>
      <c r="F22" s="18">
        <f>Supuestos!$E$8*C22</f>
        <v>498.75</v>
      </c>
      <c r="G22" s="19">
        <f>D22*Supuestos!$B$9</f>
        <v>12375</v>
      </c>
      <c r="H22" s="19">
        <f>F22*Supuestos!$E$9</f>
        <v>359.09999999999997</v>
      </c>
      <c r="I22" s="19">
        <f>G22-H22-Supuestos!$B$12</f>
        <v>-2984.1000000000004</v>
      </c>
      <c r="J22" s="24">
        <f t="shared" si="0"/>
        <v>579612.35999999987</v>
      </c>
      <c r="K22" s="24"/>
    </row>
    <row r="23" spans="1:11" x14ac:dyDescent="0.2">
      <c r="A23" s="15">
        <v>0.9</v>
      </c>
      <c r="B23" s="16">
        <v>7.0000000000000007E-2</v>
      </c>
      <c r="C23" s="17">
        <v>2.9999999999999997E-4</v>
      </c>
      <c r="D23" s="18">
        <f>Supuestos!$E$7*B23</f>
        <v>175.00000000000003</v>
      </c>
      <c r="E23" s="18">
        <f>Supuestos!$E$7-D23</f>
        <v>2325</v>
      </c>
      <c r="F23" s="18">
        <f>Supuestos!$E$8*C23</f>
        <v>299.25</v>
      </c>
      <c r="G23" s="19">
        <f>D23*Supuestos!$B$9</f>
        <v>7875.0000000000009</v>
      </c>
      <c r="H23" s="19">
        <f>F23*Supuestos!$E$9</f>
        <v>215.45999999999998</v>
      </c>
      <c r="I23" s="19">
        <f>G23-H23-Supuestos!$B$12</f>
        <v>-7340.4599999999991</v>
      </c>
      <c r="J23" s="24">
        <f t="shared" si="0"/>
        <v>572271.89999999991</v>
      </c>
      <c r="K23" s="24"/>
    </row>
    <row r="25" spans="1:11" ht="16" x14ac:dyDescent="0.2">
      <c r="A25" s="31" t="s">
        <v>14</v>
      </c>
      <c r="B25" s="30"/>
      <c r="C25" s="30"/>
    </row>
    <row r="26" spans="1:11" x14ac:dyDescent="0.2">
      <c r="A26" s="1" t="s">
        <v>15</v>
      </c>
      <c r="B26" s="13">
        <f>MAX(I7:I23)</f>
        <v>57763.199999999997</v>
      </c>
    </row>
    <row r="27" spans="1:11" x14ac:dyDescent="0.2">
      <c r="A27" s="1" t="s">
        <v>16</v>
      </c>
      <c r="B27" s="20">
        <f>INDEX(A7:A23, MATCH(B26, I7:I23, 0))</f>
        <v>0.3</v>
      </c>
    </row>
    <row r="28" spans="1:11" x14ac:dyDescent="0.2">
      <c r="A28" s="1" t="s">
        <v>17</v>
      </c>
      <c r="B28" s="21">
        <f>INDEX(B7:B23, MATCH(B26, I7:I23, 0))</f>
        <v>0.8</v>
      </c>
    </row>
    <row r="29" spans="1:11" x14ac:dyDescent="0.2">
      <c r="A29" s="1" t="s">
        <v>18</v>
      </c>
      <c r="B29" s="22">
        <f>INDEX(C7:C23, MATCH(B26, I7:I23, 0))</f>
        <v>2.4E-2</v>
      </c>
    </row>
  </sheetData>
  <mergeCells count="3">
    <mergeCell ref="A1:I1"/>
    <mergeCell ref="A25:C25"/>
    <mergeCell ref="A2:I4"/>
  </mergeCells>
  <conditionalFormatting sqref="A7:I23">
    <cfRule type="expression" dxfId="0" priority="1">
      <formula>$I7=MAX($I$7:$I$23)</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showGridLines="0" tabSelected="1" topLeftCell="A5" zoomScale="159" workbookViewId="0">
      <selection activeCell="K21" sqref="K21"/>
    </sheetView>
  </sheetViews>
  <sheetFormatPr baseColWidth="10" defaultColWidth="8.83203125" defaultRowHeight="15" x14ac:dyDescent="0.2"/>
  <cols>
    <col min="1" max="1" width="52.5" bestFit="1" customWidth="1"/>
    <col min="2" max="2" width="18" customWidth="1"/>
    <col min="3" max="3" width="3" customWidth="1"/>
    <col min="4" max="4" width="39.83203125" customWidth="1"/>
    <col min="5" max="6" width="18" customWidth="1"/>
    <col min="8" max="8" width="11.83203125" bestFit="1" customWidth="1"/>
  </cols>
  <sheetData>
    <row r="1" spans="1:6" ht="28" customHeight="1" x14ac:dyDescent="0.2">
      <c r="A1" s="29" t="s">
        <v>0</v>
      </c>
      <c r="B1" s="30"/>
      <c r="C1" s="30"/>
      <c r="D1" s="30"/>
      <c r="E1" s="30"/>
      <c r="F1" s="30"/>
    </row>
    <row r="2" spans="1:6" x14ac:dyDescent="0.2">
      <c r="A2" s="32" t="s">
        <v>1</v>
      </c>
      <c r="B2" s="30"/>
      <c r="C2" s="30"/>
      <c r="D2" s="30"/>
      <c r="E2" s="30"/>
      <c r="F2" s="30"/>
    </row>
    <row r="3" spans="1:6" x14ac:dyDescent="0.2">
      <c r="A3" s="30"/>
      <c r="B3" s="30"/>
      <c r="C3" s="30"/>
      <c r="D3" s="30"/>
      <c r="E3" s="30"/>
      <c r="F3" s="30"/>
    </row>
    <row r="4" spans="1:6" x14ac:dyDescent="0.2">
      <c r="A4" s="30"/>
      <c r="B4" s="30"/>
      <c r="C4" s="30"/>
      <c r="D4" s="30"/>
      <c r="E4" s="30"/>
      <c r="F4" s="30"/>
    </row>
    <row r="6" spans="1:6" ht="16" x14ac:dyDescent="0.2">
      <c r="A6" s="31" t="s">
        <v>48</v>
      </c>
      <c r="B6" s="30"/>
      <c r="D6" s="31" t="s">
        <v>49</v>
      </c>
      <c r="E6" s="30"/>
      <c r="F6" s="30"/>
    </row>
    <row r="7" spans="1:6" x14ac:dyDescent="0.2">
      <c r="A7" s="1" t="s">
        <v>26</v>
      </c>
      <c r="B7" s="2">
        <v>1000000</v>
      </c>
      <c r="D7" s="1" t="s">
        <v>23</v>
      </c>
      <c r="E7" s="3">
        <f>B7*B8</f>
        <v>2500</v>
      </c>
    </row>
    <row r="8" spans="1:6" x14ac:dyDescent="0.2">
      <c r="A8" s="1" t="s">
        <v>19</v>
      </c>
      <c r="B8" s="4">
        <v>2.5000000000000001E-3</v>
      </c>
      <c r="D8" s="1" t="s">
        <v>24</v>
      </c>
      <c r="E8" s="3">
        <f>B7-E7</f>
        <v>997500</v>
      </c>
    </row>
    <row r="9" spans="1:6" x14ac:dyDescent="0.2">
      <c r="A9" s="1" t="s">
        <v>27</v>
      </c>
      <c r="B9" s="5">
        <v>45</v>
      </c>
      <c r="D9" s="1" t="s">
        <v>58</v>
      </c>
      <c r="E9" s="6">
        <f>B11*B10</f>
        <v>0.72</v>
      </c>
    </row>
    <row r="10" spans="1:6" x14ac:dyDescent="0.2">
      <c r="A10" s="1" t="s">
        <v>28</v>
      </c>
      <c r="B10" s="7">
        <v>1.2</v>
      </c>
      <c r="D10" s="1" t="s">
        <v>40</v>
      </c>
      <c r="E10" s="8">
        <f>E7*B9</f>
        <v>112500</v>
      </c>
    </row>
    <row r="11" spans="1:6" x14ac:dyDescent="0.2">
      <c r="A11" s="1" t="s">
        <v>39</v>
      </c>
      <c r="B11" s="9">
        <v>0.6</v>
      </c>
      <c r="D11" s="1" t="s">
        <v>41</v>
      </c>
      <c r="E11" s="8">
        <f>+(E7-E18)*B9</f>
        <v>5625</v>
      </c>
      <c r="F11" s="26" t="s">
        <v>43</v>
      </c>
    </row>
    <row r="12" spans="1:6" x14ac:dyDescent="0.2">
      <c r="A12" s="1" t="s">
        <v>20</v>
      </c>
      <c r="B12" s="5">
        <v>15000</v>
      </c>
      <c r="D12" s="1" t="s">
        <v>42</v>
      </c>
      <c r="E12" s="8">
        <f>+E10-E11</f>
        <v>106875</v>
      </c>
    </row>
    <row r="13" spans="1:6" x14ac:dyDescent="0.2">
      <c r="A13" s="1" t="s">
        <v>29</v>
      </c>
      <c r="B13" s="5">
        <v>120000</v>
      </c>
    </row>
    <row r="14" spans="1:6" x14ac:dyDescent="0.2">
      <c r="A14" s="1" t="s">
        <v>21</v>
      </c>
      <c r="B14" s="9">
        <v>0.01</v>
      </c>
      <c r="D14" t="s">
        <v>45</v>
      </c>
    </row>
    <row r="15" spans="1:6" x14ac:dyDescent="0.2">
      <c r="A15" s="1" t="s">
        <v>25</v>
      </c>
      <c r="B15" s="2">
        <v>12</v>
      </c>
      <c r="D15" t="s">
        <v>44</v>
      </c>
    </row>
    <row r="17" spans="1:10" ht="16" x14ac:dyDescent="0.2">
      <c r="A17" s="31" t="s">
        <v>51</v>
      </c>
      <c r="B17" s="30"/>
      <c r="D17" s="31" t="s">
        <v>50</v>
      </c>
      <c r="E17" s="30"/>
      <c r="F17" s="30"/>
    </row>
    <row r="18" spans="1:10" x14ac:dyDescent="0.2">
      <c r="A18" s="1" t="s">
        <v>22</v>
      </c>
      <c r="B18" s="25">
        <v>0.1</v>
      </c>
      <c r="D18" s="1" t="s">
        <v>54</v>
      </c>
      <c r="E18" s="27">
        <f>E7*B19</f>
        <v>2375</v>
      </c>
      <c r="F18" t="s">
        <v>46</v>
      </c>
    </row>
    <row r="19" spans="1:10" x14ac:dyDescent="0.2">
      <c r="A19" s="1" t="s">
        <v>2</v>
      </c>
      <c r="B19" s="10">
        <f>VLOOKUP(B18,Umbral!$A$7:$C$23,2,TRUE)</f>
        <v>0.95</v>
      </c>
      <c r="D19" s="1" t="s">
        <v>55</v>
      </c>
      <c r="E19" s="27">
        <f>E7-E18</f>
        <v>125</v>
      </c>
      <c r="F19" t="s">
        <v>60</v>
      </c>
      <c r="J19" s="28">
        <f>+(E18+E19)*B9-(E19*B9)-(E20*E9)-B25</f>
        <v>34419</v>
      </c>
    </row>
    <row r="20" spans="1:10" x14ac:dyDescent="0.2">
      <c r="A20" s="1" t="s">
        <v>3</v>
      </c>
      <c r="B20" s="11">
        <f>VLOOKUP(B18,Umbral!$A$7:$C$23,3,TRUE)</f>
        <v>0.08</v>
      </c>
      <c r="D20" s="1" t="s">
        <v>56</v>
      </c>
      <c r="E20" s="27">
        <f>E8*B20</f>
        <v>79800</v>
      </c>
      <c r="J20" t="s">
        <v>61</v>
      </c>
    </row>
    <row r="21" spans="1:10" x14ac:dyDescent="0.2">
      <c r="D21" s="1" t="s">
        <v>57</v>
      </c>
      <c r="E21" s="27">
        <f>E8-E20</f>
        <v>917700</v>
      </c>
    </row>
    <row r="22" spans="1:10" ht="16" x14ac:dyDescent="0.2">
      <c r="A22" s="31" t="s">
        <v>52</v>
      </c>
      <c r="B22" s="30"/>
      <c r="D22" s="31" t="s">
        <v>53</v>
      </c>
      <c r="E22" s="30"/>
      <c r="F22" s="30"/>
    </row>
    <row r="23" spans="1:10" x14ac:dyDescent="0.2">
      <c r="A23" s="1" t="s">
        <v>36</v>
      </c>
      <c r="B23" s="8">
        <f>E18*$B$9</f>
        <v>106875</v>
      </c>
      <c r="D23" s="1" t="s">
        <v>31</v>
      </c>
      <c r="E23" s="8">
        <f>B26</f>
        <v>34419</v>
      </c>
    </row>
    <row r="24" spans="1:10" x14ac:dyDescent="0.2">
      <c r="A24" s="1" t="s">
        <v>59</v>
      </c>
      <c r="B24" s="8">
        <f>E20*$E$9</f>
        <v>57456</v>
      </c>
      <c r="D24" s="1" t="s">
        <v>32</v>
      </c>
      <c r="E24" s="8">
        <f>E23*(1-(1+$B$14)^(-$B$15))/$B$14</f>
        <v>387388.51155986753</v>
      </c>
    </row>
    <row r="25" spans="1:10" x14ac:dyDescent="0.2">
      <c r="A25" s="1" t="s">
        <v>34</v>
      </c>
      <c r="B25" s="8">
        <f>$B$12</f>
        <v>15000</v>
      </c>
      <c r="D25" s="1" t="s">
        <v>33</v>
      </c>
      <c r="E25" s="12">
        <f>E24-$B$13</f>
        <v>267388.51155986753</v>
      </c>
      <c r="F25" t="s">
        <v>47</v>
      </c>
    </row>
    <row r="26" spans="1:10" x14ac:dyDescent="0.2">
      <c r="A26" s="1" t="s">
        <v>35</v>
      </c>
      <c r="B26" s="13">
        <f>B23-B24-B25</f>
        <v>34419</v>
      </c>
    </row>
    <row r="28" spans="1:10" x14ac:dyDescent="0.2">
      <c r="A28" s="33" t="s">
        <v>37</v>
      </c>
      <c r="B28" s="30"/>
      <c r="C28" s="30"/>
      <c r="D28" s="30"/>
      <c r="E28" s="30"/>
      <c r="F28" s="30"/>
    </row>
    <row r="29" spans="1:10" x14ac:dyDescent="0.2">
      <c r="A29" s="30"/>
      <c r="B29" s="30"/>
      <c r="C29" s="30"/>
      <c r="D29" s="30"/>
      <c r="E29" s="30"/>
      <c r="F29" s="30"/>
    </row>
  </sheetData>
  <mergeCells count="9">
    <mergeCell ref="A1:F1"/>
    <mergeCell ref="D22:F22"/>
    <mergeCell ref="D17:F17"/>
    <mergeCell ref="A2:F4"/>
    <mergeCell ref="A28:F29"/>
    <mergeCell ref="D6:F6"/>
    <mergeCell ref="A6:B6"/>
    <mergeCell ref="A22:B22"/>
    <mergeCell ref="A17:B17"/>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Umbral</vt:lpstr>
      <vt:lpstr>Supuestos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Franco Mansilla IbaÃ±ez</cp:lastModifiedBy>
  <dcterms:created xsi:type="dcterms:W3CDTF">2025-12-24T03:29:29Z</dcterms:created>
  <dcterms:modified xsi:type="dcterms:W3CDTF">2026-03-13T15:32:03Z</dcterms:modified>
</cp:coreProperties>
</file>