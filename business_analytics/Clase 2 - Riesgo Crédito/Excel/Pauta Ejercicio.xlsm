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2" codeName="{E5D1E7B1-6628-F0F0-D09B-76B25B5F3CD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francomansilla/Library/CloudStorage/GoogleDrive-franco.andres.mansilla@gmail.com/Mi unidad/universidad de chile/Magíster en Finanzas WK/Business Analytics/Clase 2 - Riesgo Crédito/Excel/"/>
    </mc:Choice>
  </mc:AlternateContent>
  <xr:revisionPtr revIDLastSave="0" documentId="13_ncr:1_{1294D450-0A61-F74D-AC16-69D6A41FF4FD}" xr6:coauthVersionLast="47" xr6:coauthVersionMax="47" xr10:uidLastSave="{00000000-0000-0000-0000-000000000000}"/>
  <bookViews>
    <workbookView xWindow="-38400" yWindow="620" windowWidth="38400" windowHeight="20980" xr2:uid="{00000000-000D-0000-FFFF-FFFF00000000}"/>
  </bookViews>
  <sheets>
    <sheet name="BD Original" sheetId="19" r:id="rId1"/>
    <sheet name="BD.Tratada" sheetId="20" r:id="rId2"/>
    <sheet name="BD.Muestra" sheetId="27" r:id="rId3"/>
    <sheet name="Correlación" sheetId="28" r:id="rId4"/>
    <sheet name="Analisis Previo" sheetId="25" r:id="rId5"/>
    <sheet name="Modelo 1" sheetId="30" r:id="rId6"/>
    <sheet name="Modelo 2" sheetId="31" r:id="rId7"/>
    <sheet name="Modelo 3" sheetId="32" r:id="rId8"/>
    <sheet name="Modelo 4" sheetId="33" r:id="rId9"/>
    <sheet name="Modelo 5" sheetId="36" r:id="rId10"/>
    <sheet name="Modelo final" sheetId="37" r:id="rId11"/>
  </sheets>
  <functionGroups builtInGroupCount="19"/>
  <definedNames>
    <definedName name="_xlnm._FilterDatabase" localSheetId="2" hidden="1">BD.Muestra!$A$1:$J$501</definedName>
    <definedName name="_xlnm._FilterDatabase" localSheetId="1" hidden="1">BD.Tratada!$A$1:$I$501</definedName>
    <definedName name="_xleta.AVERAGEIFS" hidden="1" xlm="1">#NAME?</definedName>
    <definedName name="_xleta.COUNTIFS" hidden="1" xlm="1">#NAME?</definedName>
  </definedNames>
  <calcPr calcId="191029"/>
  <pivotCaches>
    <pivotCache cacheId="1" r:id="rId12"/>
  </pivotCaches>
  <extLst>
    <ext xmlns:x14="http://schemas.microsoft.com/office/spreadsheetml/2009/9/main" uri="{8193D73E-4604-4355-AFF4-8A2333D13BE4}">
      <x14:definedNames>
        <x14:definedName name="LOGIT">
          <x14:argumentDescriptions count="4">
            <x14:argumentDescription index="0">Variable dependiente - vector de ceros (no default) y unos (default)</x14:argumentDescription>
            <x14:argumentDescription index="1">Variables independientes - vector o matriz de variables explicativas</x14:argumentDescription>
            <x14:argumentDescription index="2">¿El modelo incluye una constante? (0 = sin constante o 1 = con constante)</x14:argumentDescription>
            <x14:argumentDescription index="3">¿Requiere estadísticas de la estimación? (0 = sin estadísticas o 1 = SI se incluyen estadísticas)</x14:argumentDescription>
          </x14:argumentDescriptions>
        </x14:definedName>
        <x14:definedName name="WINSOR">
          <x14:argumentDescriptions count="2">
            <x14:argumentDescription index="0">Variable a winsorizar - vector de datos</x14:argumentDescription>
            <x14:argumentDescription index="1">Porcentaje de winsorizing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37" l="1"/>
  <c r="M13" i="36"/>
  <c r="S41" i="37"/>
  <c r="S42" i="37"/>
  <c r="S43" i="37"/>
  <c r="S44" i="37"/>
  <c r="S45" i="37"/>
  <c r="S40" i="37"/>
  <c r="Q41" i="37"/>
  <c r="R41" i="37"/>
  <c r="U41" i="37" s="1"/>
  <c r="Q42" i="37"/>
  <c r="R42" i="37"/>
  <c r="U42" i="37" s="1"/>
  <c r="Q43" i="37"/>
  <c r="R43" i="37"/>
  <c r="U43" i="37" s="1"/>
  <c r="Q44" i="37"/>
  <c r="R44" i="37"/>
  <c r="U44" i="37" s="1"/>
  <c r="Q45" i="37"/>
  <c r="R45" i="37"/>
  <c r="R40" i="37"/>
  <c r="U40" i="37" s="1"/>
  <c r="Q40" i="37"/>
  <c r="P84" i="36"/>
  <c r="N84" i="36"/>
  <c r="O84" i="36"/>
  <c r="Q84" i="36"/>
  <c r="R84" i="36"/>
  <c r="N85" i="36"/>
  <c r="O85" i="36"/>
  <c r="P85" i="36"/>
  <c r="Q85" i="36"/>
  <c r="R85" i="36"/>
  <c r="L86" i="36"/>
  <c r="M86" i="36"/>
  <c r="N86" i="36"/>
  <c r="O86" i="36"/>
  <c r="P86" i="36"/>
  <c r="R86" i="36"/>
  <c r="L87" i="36"/>
  <c r="M87" i="36"/>
  <c r="Q87" i="36" s="1"/>
  <c r="N87" i="36"/>
  <c r="R87" i="36"/>
  <c r="R83" i="36"/>
  <c r="Q83" i="36"/>
  <c r="P83" i="36"/>
  <c r="O83" i="36"/>
  <c r="N83" i="36"/>
  <c r="M88" i="36"/>
  <c r="L83" i="36"/>
  <c r="R65" i="36"/>
  <c r="R66" i="36"/>
  <c r="R67" i="36"/>
  <c r="R68" i="36"/>
  <c r="R69" i="36"/>
  <c r="R70" i="36"/>
  <c r="R71" i="36"/>
  <c r="R72" i="36"/>
  <c r="R73" i="36"/>
  <c r="R74" i="36"/>
  <c r="R75" i="36"/>
  <c r="R76" i="36"/>
  <c r="R64" i="36"/>
  <c r="P65" i="36"/>
  <c r="P66" i="36"/>
  <c r="P67" i="36"/>
  <c r="P68" i="36"/>
  <c r="P69" i="36"/>
  <c r="P70" i="36"/>
  <c r="P71" i="36"/>
  <c r="P72" i="36"/>
  <c r="P73" i="36"/>
  <c r="P74" i="36"/>
  <c r="P75" i="36"/>
  <c r="P76" i="36"/>
  <c r="P64" i="36"/>
  <c r="Q77" i="36"/>
  <c r="O77" i="36"/>
  <c r="Q65" i="36"/>
  <c r="Q66" i="36"/>
  <c r="Q67" i="36"/>
  <c r="Q68" i="36"/>
  <c r="Q69" i="36"/>
  <c r="Q70" i="36"/>
  <c r="Q71" i="36"/>
  <c r="Q72" i="36"/>
  <c r="Q73" i="36"/>
  <c r="Q74" i="36"/>
  <c r="Q75" i="36"/>
  <c r="Q76" i="36"/>
  <c r="Q64" i="36"/>
  <c r="O65" i="36"/>
  <c r="O66" i="36"/>
  <c r="O67" i="36"/>
  <c r="O68" i="36"/>
  <c r="O69" i="36"/>
  <c r="O70" i="36"/>
  <c r="O71" i="36"/>
  <c r="O72" i="36"/>
  <c r="O73" i="36"/>
  <c r="O74" i="36"/>
  <c r="O75" i="36"/>
  <c r="O76" i="36"/>
  <c r="O64" i="36"/>
  <c r="M76" i="36"/>
  <c r="L64" i="36"/>
  <c r="N31" i="19"/>
  <c r="O30" i="19"/>
  <c r="N18" i="19"/>
  <c r="O18" i="19"/>
  <c r="P18" i="19"/>
  <c r="Q18" i="19"/>
  <c r="R18" i="19"/>
  <c r="S18" i="19"/>
  <c r="T18" i="19"/>
  <c r="U18" i="19"/>
  <c r="M18" i="19"/>
  <c r="N17" i="19"/>
  <c r="O17" i="19"/>
  <c r="P17" i="19"/>
  <c r="Q17" i="19"/>
  <c r="R17" i="19"/>
  <c r="S17" i="19"/>
  <c r="T17" i="19"/>
  <c r="T24" i="19" s="1"/>
  <c r="U17" i="19"/>
  <c r="N19" i="19"/>
  <c r="O19" i="19"/>
  <c r="P19" i="19"/>
  <c r="Q19" i="19"/>
  <c r="R19" i="19"/>
  <c r="S19" i="19"/>
  <c r="T19" i="19"/>
  <c r="U19" i="19"/>
  <c r="N20" i="19"/>
  <c r="O20" i="19"/>
  <c r="P20" i="19"/>
  <c r="Q20" i="19"/>
  <c r="R20" i="19"/>
  <c r="S20" i="19"/>
  <c r="T20" i="19"/>
  <c r="U20" i="19"/>
  <c r="N21" i="19"/>
  <c r="O21" i="19"/>
  <c r="P21" i="19"/>
  <c r="Q21" i="19"/>
  <c r="R21" i="19"/>
  <c r="S21" i="19"/>
  <c r="T21" i="19"/>
  <c r="U21" i="19"/>
  <c r="N27" i="19"/>
  <c r="O27" i="19"/>
  <c r="P27" i="19"/>
  <c r="Q27" i="19"/>
  <c r="R27" i="19"/>
  <c r="S27" i="19"/>
  <c r="T27" i="19"/>
  <c r="U27" i="19"/>
  <c r="M15" i="19"/>
  <c r="M27" i="19"/>
  <c r="M21" i="19"/>
  <c r="M20" i="19"/>
  <c r="M19" i="19"/>
  <c r="M17" i="19"/>
  <c r="M35" i="19"/>
  <c r="M37" i="19" s="1"/>
  <c r="M34" i="19"/>
  <c r="J6" i="33" a="1"/>
  <c r="K6" i="32" a="1"/>
  <c r="L6" i="31" a="1"/>
  <c r="N6" i="30" a="1"/>
  <c r="P3" i="36" a="1"/>
  <c r="R3" i="37" a="1"/>
  <c r="R24" i="19" l="1"/>
  <c r="P23" i="19"/>
  <c r="U25" i="19"/>
  <c r="N28" i="19"/>
  <c r="U45" i="37"/>
  <c r="U46" i="37" s="1"/>
  <c r="N23" i="19"/>
  <c r="O87" i="36"/>
  <c r="L88" i="36"/>
  <c r="Q86" i="36"/>
  <c r="P87" i="36"/>
  <c r="O88" i="36"/>
  <c r="P88" i="36"/>
  <c r="Q88" i="36"/>
  <c r="R88" i="36"/>
  <c r="N88" i="36"/>
  <c r="M64" i="36"/>
  <c r="U28" i="19"/>
  <c r="R28" i="19"/>
  <c r="P28" i="19"/>
  <c r="M28" i="19"/>
  <c r="T28" i="19"/>
  <c r="R23" i="19"/>
  <c r="Q28" i="19"/>
  <c r="Q23" i="19"/>
  <c r="O28" i="19"/>
  <c r="S23" i="19"/>
  <c r="U24" i="19"/>
  <c r="R25" i="19"/>
  <c r="T25" i="19"/>
  <c r="O23" i="19"/>
  <c r="M23" i="19"/>
  <c r="U23" i="19"/>
  <c r="S28" i="19"/>
  <c r="T23" i="19"/>
  <c r="R3" i="37"/>
  <c r="S3" i="37"/>
  <c r="S5" i="37"/>
  <c r="S7" i="37"/>
  <c r="S9" i="37"/>
  <c r="T5" i="37"/>
  <c r="T7" i="37"/>
  <c r="T9" i="37"/>
  <c r="V4" i="37"/>
  <c r="V6" i="37"/>
  <c r="R5" i="37"/>
  <c r="R9" i="37"/>
  <c r="T3" i="37"/>
  <c r="U3" i="37"/>
  <c r="U5" i="37"/>
  <c r="U7" i="37"/>
  <c r="U9" i="37"/>
  <c r="V3" i="37"/>
  <c r="V5" i="37"/>
  <c r="V7" i="37"/>
  <c r="V9" i="37"/>
  <c r="R4" i="37"/>
  <c r="R6" i="37"/>
  <c r="R8" i="37"/>
  <c r="S4" i="37"/>
  <c r="S6" i="37"/>
  <c r="S8" i="37"/>
  <c r="T4" i="37"/>
  <c r="T6" i="37"/>
  <c r="T8" i="37"/>
  <c r="U4" i="37"/>
  <c r="U6" i="37"/>
  <c r="U8" i="37"/>
  <c r="V8" i="37"/>
  <c r="R7" i="37"/>
  <c r="P3" i="36"/>
  <c r="R7" i="36"/>
  <c r="P6" i="36"/>
  <c r="T4" i="36"/>
  <c r="P5" i="36"/>
  <c r="R9" i="36"/>
  <c r="P8" i="36"/>
  <c r="T6" i="36"/>
  <c r="P7" i="36"/>
  <c r="S3" i="36"/>
  <c r="Q4" i="36"/>
  <c r="T8" i="36"/>
  <c r="P9" i="36"/>
  <c r="S5" i="36"/>
  <c r="Q6" i="36"/>
  <c r="S8" i="36"/>
  <c r="Q3" i="36"/>
  <c r="S7" i="36"/>
  <c r="Q8" i="36"/>
  <c r="T9" i="36"/>
  <c r="Q5" i="36"/>
  <c r="S9" i="36"/>
  <c r="R4" i="36"/>
  <c r="Q7" i="36"/>
  <c r="T3" i="36"/>
  <c r="R6" i="36"/>
  <c r="Q9" i="36"/>
  <c r="T5" i="36"/>
  <c r="R8" i="36"/>
  <c r="R3" i="36"/>
  <c r="T7" i="36"/>
  <c r="S4" i="36"/>
  <c r="R5" i="36"/>
  <c r="P4" i="36"/>
  <c r="S6" i="36"/>
  <c r="J6" i="33"/>
  <c r="M7" i="32"/>
  <c r="P8" i="32"/>
  <c r="L10" i="32"/>
  <c r="O11" i="32"/>
  <c r="L9" i="32"/>
  <c r="M9" i="32"/>
  <c r="O6" i="32"/>
  <c r="Q10" i="32"/>
  <c r="L8" i="32"/>
  <c r="N12" i="32"/>
  <c r="Q6" i="32"/>
  <c r="L11" i="32"/>
  <c r="N8" i="32"/>
  <c r="P12" i="32"/>
  <c r="L7" i="32"/>
  <c r="K10" i="32"/>
  <c r="Q12" i="32"/>
  <c r="K6" i="32"/>
  <c r="N7" i="32"/>
  <c r="Q8" i="32"/>
  <c r="M10" i="32"/>
  <c r="P11" i="32"/>
  <c r="P7" i="32"/>
  <c r="Q7" i="32"/>
  <c r="L12" i="32"/>
  <c r="N9" i="32"/>
  <c r="M12" i="32"/>
  <c r="P6" i="32"/>
  <c r="K11" i="32"/>
  <c r="P9" i="32"/>
  <c r="O12" i="32"/>
  <c r="L6" i="32"/>
  <c r="O7" i="32"/>
  <c r="K9" i="32"/>
  <c r="N10" i="32"/>
  <c r="Q11" i="32"/>
  <c r="M6" i="32"/>
  <c r="O10" i="32"/>
  <c r="K12" i="32"/>
  <c r="N6" i="32"/>
  <c r="P10" i="32"/>
  <c r="K8" i="32"/>
  <c r="O9" i="32"/>
  <c r="M8" i="32"/>
  <c r="K7" i="32"/>
  <c r="Q9" i="32"/>
  <c r="M11" i="32"/>
  <c r="O8" i="32"/>
  <c r="N11" i="32"/>
  <c r="M7" i="31"/>
  <c r="O8" i="31"/>
  <c r="Q9" i="31"/>
  <c r="S10" i="31"/>
  <c r="M12" i="31"/>
  <c r="P7" i="31"/>
  <c r="P12" i="31"/>
  <c r="Q7" i="31"/>
  <c r="Q12" i="31"/>
  <c r="P6" i="31"/>
  <c r="N10" i="31"/>
  <c r="Q6" i="31"/>
  <c r="O10" i="31"/>
  <c r="S12" i="31"/>
  <c r="R6" i="31"/>
  <c r="P10" i="31"/>
  <c r="M8" i="31"/>
  <c r="S11" i="31"/>
  <c r="P9" i="31"/>
  <c r="L6" i="31"/>
  <c r="N7" i="31"/>
  <c r="P8" i="31"/>
  <c r="R9" i="31"/>
  <c r="L11" i="31"/>
  <c r="N12" i="31"/>
  <c r="R8" i="31"/>
  <c r="N11" i="31"/>
  <c r="S8" i="31"/>
  <c r="R7" i="31"/>
  <c r="P11" i="31"/>
  <c r="S7" i="31"/>
  <c r="Q11" i="31"/>
  <c r="L8" i="31"/>
  <c r="R11" i="31"/>
  <c r="O9" i="31"/>
  <c r="N8" i="31"/>
  <c r="M6" i="31"/>
  <c r="O7" i="31"/>
  <c r="Q8" i="31"/>
  <c r="S9" i="31"/>
  <c r="M11" i="31"/>
  <c r="O12" i="31"/>
  <c r="N6" i="31"/>
  <c r="L10" i="31"/>
  <c r="O6" i="31"/>
  <c r="M10" i="31"/>
  <c r="O11" i="31"/>
  <c r="L9" i="31"/>
  <c r="R12" i="31"/>
  <c r="M9" i="31"/>
  <c r="N9" i="31"/>
  <c r="S6" i="31"/>
  <c r="Q10" i="31"/>
  <c r="L7" i="31"/>
  <c r="R10" i="31"/>
  <c r="L12" i="31"/>
  <c r="N7" i="30"/>
  <c r="O8" i="30"/>
  <c r="P9" i="30"/>
  <c r="Q10" i="30"/>
  <c r="R11" i="30"/>
  <c r="S12" i="30"/>
  <c r="R8" i="30"/>
  <c r="T10" i="30"/>
  <c r="Q6" i="30"/>
  <c r="S8" i="30"/>
  <c r="U10" i="30"/>
  <c r="V11" i="30"/>
  <c r="S7" i="30"/>
  <c r="U9" i="30"/>
  <c r="S6" i="30"/>
  <c r="V9" i="30"/>
  <c r="N11" i="30"/>
  <c r="T6" i="30"/>
  <c r="N10" i="30"/>
  <c r="O11" i="30"/>
  <c r="U6" i="30"/>
  <c r="N9" i="30"/>
  <c r="P11" i="30"/>
  <c r="Q12" i="30"/>
  <c r="V6" i="30"/>
  <c r="O9" i="30"/>
  <c r="Q11" i="30"/>
  <c r="R12" i="30"/>
  <c r="N6" i="30"/>
  <c r="O7" i="30"/>
  <c r="P8" i="30"/>
  <c r="Q9" i="30"/>
  <c r="R10" i="30"/>
  <c r="S11" i="30"/>
  <c r="T12" i="30"/>
  <c r="Q7" i="30"/>
  <c r="U11" i="30"/>
  <c r="U8" i="30"/>
  <c r="V8" i="30"/>
  <c r="P12" i="30"/>
  <c r="V7" i="30"/>
  <c r="O10" i="30"/>
  <c r="N8" i="30"/>
  <c r="P10" i="30"/>
  <c r="O6" i="30"/>
  <c r="P7" i="30"/>
  <c r="Q8" i="30"/>
  <c r="R9" i="30"/>
  <c r="S10" i="30"/>
  <c r="T11" i="30"/>
  <c r="U12" i="30"/>
  <c r="P6" i="30"/>
  <c r="S9" i="30"/>
  <c r="V12" i="30"/>
  <c r="R7" i="30"/>
  <c r="T9" i="30"/>
  <c r="R6" i="30"/>
  <c r="T8" i="30"/>
  <c r="V10" i="30"/>
  <c r="N12" i="30"/>
  <c r="T7" i="30"/>
  <c r="O12" i="30"/>
  <c r="U7" i="30"/>
  <c r="L65" i="36" l="1"/>
  <c r="N64" i="36"/>
  <c r="G496" i="37"/>
  <c r="H496" i="37" s="1"/>
  <c r="G485" i="37"/>
  <c r="H485" i="37" s="1"/>
  <c r="G471" i="37"/>
  <c r="H471" i="37" s="1"/>
  <c r="G460" i="37"/>
  <c r="H460" i="37" s="1"/>
  <c r="G446" i="37"/>
  <c r="H446" i="37" s="1"/>
  <c r="G435" i="37"/>
  <c r="H435" i="37" s="1"/>
  <c r="G421" i="37"/>
  <c r="H421" i="37" s="1"/>
  <c r="G410" i="37"/>
  <c r="H410" i="37" s="1"/>
  <c r="G396" i="37"/>
  <c r="H396" i="37" s="1"/>
  <c r="G385" i="37"/>
  <c r="H385" i="37" s="1"/>
  <c r="G493" i="37"/>
  <c r="H493" i="37" s="1"/>
  <c r="G482" i="37"/>
  <c r="H482" i="37" s="1"/>
  <c r="G479" i="37"/>
  <c r="H479" i="37" s="1"/>
  <c r="G468" i="37"/>
  <c r="H468" i="37" s="1"/>
  <c r="G457" i="37"/>
  <c r="H457" i="37" s="1"/>
  <c r="G454" i="37"/>
  <c r="H454" i="37" s="1"/>
  <c r="G443" i="37"/>
  <c r="H443" i="37" s="1"/>
  <c r="G432" i="37"/>
  <c r="H432" i="37" s="1"/>
  <c r="G429" i="37"/>
  <c r="H429" i="37" s="1"/>
  <c r="G418" i="37"/>
  <c r="H418" i="37" s="1"/>
  <c r="G407" i="37"/>
  <c r="H407" i="37" s="1"/>
  <c r="G404" i="37"/>
  <c r="H404" i="37" s="1"/>
  <c r="G393" i="37"/>
  <c r="H393" i="37" s="1"/>
  <c r="G382" i="37"/>
  <c r="H382" i="37" s="1"/>
  <c r="G379" i="37"/>
  <c r="H379" i="37" s="1"/>
  <c r="G368" i="37"/>
  <c r="H368" i="37" s="1"/>
  <c r="G357" i="37"/>
  <c r="H357" i="37" s="1"/>
  <c r="G354" i="37"/>
  <c r="H354" i="37" s="1"/>
  <c r="G343" i="37"/>
  <c r="H343" i="37" s="1"/>
  <c r="G332" i="37"/>
  <c r="H332" i="37" s="1"/>
  <c r="G329" i="37"/>
  <c r="H329" i="37" s="1"/>
  <c r="G318" i="37"/>
  <c r="H318" i="37" s="1"/>
  <c r="G307" i="37"/>
  <c r="H307" i="37" s="1"/>
  <c r="G304" i="37"/>
  <c r="H304" i="37" s="1"/>
  <c r="G293" i="37"/>
  <c r="H293" i="37" s="1"/>
  <c r="G498" i="37"/>
  <c r="H498" i="37" s="1"/>
  <c r="G501" i="37"/>
  <c r="H501" i="37" s="1"/>
  <c r="G490" i="37"/>
  <c r="H490" i="37" s="1"/>
  <c r="G480" i="37"/>
  <c r="H480" i="37" s="1"/>
  <c r="G476" i="37"/>
  <c r="H476" i="37" s="1"/>
  <c r="G466" i="37"/>
  <c r="H466" i="37" s="1"/>
  <c r="G445" i="37"/>
  <c r="H445" i="37" s="1"/>
  <c r="G431" i="37"/>
  <c r="H431" i="37" s="1"/>
  <c r="G400" i="37"/>
  <c r="H400" i="37" s="1"/>
  <c r="G386" i="37"/>
  <c r="H386" i="37" s="1"/>
  <c r="G364" i="37"/>
  <c r="H364" i="37" s="1"/>
  <c r="G361" i="37"/>
  <c r="H361" i="37" s="1"/>
  <c r="G358" i="37"/>
  <c r="H358" i="37" s="1"/>
  <c r="G355" i="37"/>
  <c r="H355" i="37" s="1"/>
  <c r="G352" i="37"/>
  <c r="H352" i="37" s="1"/>
  <c r="G324" i="37"/>
  <c r="H324" i="37" s="1"/>
  <c r="G321" i="37"/>
  <c r="H321" i="37" s="1"/>
  <c r="G290" i="37"/>
  <c r="H290" i="37" s="1"/>
  <c r="G279" i="37"/>
  <c r="H279" i="37" s="1"/>
  <c r="G268" i="37"/>
  <c r="H268" i="37" s="1"/>
  <c r="G263" i="37"/>
  <c r="H263" i="37" s="1"/>
  <c r="G258" i="37"/>
  <c r="H258" i="37" s="1"/>
  <c r="G253" i="37"/>
  <c r="H253" i="37" s="1"/>
  <c r="G248" i="37"/>
  <c r="H248" i="37" s="1"/>
  <c r="G243" i="37"/>
  <c r="H243" i="37" s="1"/>
  <c r="G238" i="37"/>
  <c r="H238" i="37" s="1"/>
  <c r="G233" i="37"/>
  <c r="H233" i="37" s="1"/>
  <c r="G228" i="37"/>
  <c r="H228" i="37" s="1"/>
  <c r="G223" i="37"/>
  <c r="H223" i="37" s="1"/>
  <c r="G218" i="37"/>
  <c r="H218" i="37" s="1"/>
  <c r="G213" i="37"/>
  <c r="H213" i="37" s="1"/>
  <c r="G208" i="37"/>
  <c r="H208" i="37" s="1"/>
  <c r="G203" i="37"/>
  <c r="H203" i="37" s="1"/>
  <c r="G198" i="37"/>
  <c r="H198" i="37" s="1"/>
  <c r="G193" i="37"/>
  <c r="H193" i="37" s="1"/>
  <c r="G188" i="37"/>
  <c r="H188" i="37" s="1"/>
  <c r="G183" i="37"/>
  <c r="H183" i="37" s="1"/>
  <c r="G178" i="37"/>
  <c r="H178" i="37" s="1"/>
  <c r="G173" i="37"/>
  <c r="H173" i="37" s="1"/>
  <c r="G497" i="37"/>
  <c r="H497" i="37" s="1"/>
  <c r="G483" i="37"/>
  <c r="H483" i="37" s="1"/>
  <c r="G469" i="37"/>
  <c r="H469" i="37" s="1"/>
  <c r="G462" i="37"/>
  <c r="H462" i="37" s="1"/>
  <c r="G452" i="37"/>
  <c r="H452" i="37" s="1"/>
  <c r="G448" i="37"/>
  <c r="H448" i="37" s="1"/>
  <c r="G438" i="37"/>
  <c r="H438" i="37" s="1"/>
  <c r="G434" i="37"/>
  <c r="H434" i="37" s="1"/>
  <c r="G424" i="37"/>
  <c r="H424" i="37" s="1"/>
  <c r="G417" i="37"/>
  <c r="H417" i="37" s="1"/>
  <c r="G403" i="37"/>
  <c r="H403" i="37" s="1"/>
  <c r="G389" i="37"/>
  <c r="H389" i="37" s="1"/>
  <c r="G376" i="37"/>
  <c r="H376" i="37" s="1"/>
  <c r="G373" i="37"/>
  <c r="H373" i="37" s="1"/>
  <c r="G370" i="37"/>
  <c r="H370" i="37" s="1"/>
  <c r="G367" i="37"/>
  <c r="H367" i="37" s="1"/>
  <c r="G339" i="37"/>
  <c r="H339" i="37" s="1"/>
  <c r="G336" i="37"/>
  <c r="H336" i="37" s="1"/>
  <c r="G333" i="37"/>
  <c r="H333" i="37" s="1"/>
  <c r="G330" i="37"/>
  <c r="H330" i="37" s="1"/>
  <c r="G327" i="37"/>
  <c r="H327" i="37" s="1"/>
  <c r="G299" i="37"/>
  <c r="H299" i="37" s="1"/>
  <c r="G296" i="37"/>
  <c r="H296" i="37" s="1"/>
  <c r="G287" i="37"/>
  <c r="H287" i="37" s="1"/>
  <c r="G276" i="37"/>
  <c r="H276" i="37" s="1"/>
  <c r="G486" i="37"/>
  <c r="H486" i="37" s="1"/>
  <c r="G465" i="37"/>
  <c r="H465" i="37" s="1"/>
  <c r="G455" i="37"/>
  <c r="H455" i="37" s="1"/>
  <c r="G451" i="37"/>
  <c r="H451" i="37" s="1"/>
  <c r="G441" i="37"/>
  <c r="H441" i="37" s="1"/>
  <c r="G500" i="37"/>
  <c r="H500" i="37" s="1"/>
  <c r="G489" i="37"/>
  <c r="H489" i="37" s="1"/>
  <c r="G472" i="37"/>
  <c r="H472" i="37" s="1"/>
  <c r="G458" i="37"/>
  <c r="H458" i="37" s="1"/>
  <c r="G444" i="37"/>
  <c r="H444" i="37" s="1"/>
  <c r="G437" i="37"/>
  <c r="H437" i="37" s="1"/>
  <c r="G427" i="37"/>
  <c r="H427" i="37" s="1"/>
  <c r="G423" i="37"/>
  <c r="H423" i="37" s="1"/>
  <c r="G413" i="37"/>
  <c r="H413" i="37" s="1"/>
  <c r="G409" i="37"/>
  <c r="H409" i="37" s="1"/>
  <c r="G399" i="37"/>
  <c r="H399" i="37" s="1"/>
  <c r="G392" i="37"/>
  <c r="H392" i="37" s="1"/>
  <c r="G326" i="37"/>
  <c r="H326" i="37" s="1"/>
  <c r="G323" i="37"/>
  <c r="H323" i="37" s="1"/>
  <c r="G320" i="37"/>
  <c r="H320" i="37" s="1"/>
  <c r="G317" i="37"/>
  <c r="H317" i="37" s="1"/>
  <c r="G281" i="37"/>
  <c r="H281" i="37" s="1"/>
  <c r="G475" i="37"/>
  <c r="H475" i="37" s="1"/>
  <c r="G461" i="37"/>
  <c r="H461" i="37" s="1"/>
  <c r="G440" i="37"/>
  <c r="H440" i="37" s="1"/>
  <c r="G430" i="37"/>
  <c r="H430" i="37" s="1"/>
  <c r="G426" i="37"/>
  <c r="H426" i="37" s="1"/>
  <c r="G416" i="37"/>
  <c r="H416" i="37" s="1"/>
  <c r="G492" i="37"/>
  <c r="H492" i="37" s="1"/>
  <c r="G478" i="37"/>
  <c r="H478" i="37" s="1"/>
  <c r="G499" i="37"/>
  <c r="H499" i="37" s="1"/>
  <c r="G495" i="37"/>
  <c r="H495" i="37" s="1"/>
  <c r="G481" i="37"/>
  <c r="H481" i="37" s="1"/>
  <c r="G450" i="37"/>
  <c r="H450" i="37" s="1"/>
  <c r="G436" i="37"/>
  <c r="H436" i="37" s="1"/>
  <c r="G488" i="37"/>
  <c r="H488" i="37" s="1"/>
  <c r="G484" i="37"/>
  <c r="H484" i="37" s="1"/>
  <c r="G474" i="37"/>
  <c r="H474" i="37" s="1"/>
  <c r="G467" i="37"/>
  <c r="H467" i="37" s="1"/>
  <c r="G459" i="37"/>
  <c r="H459" i="37" s="1"/>
  <c r="G442" i="37"/>
  <c r="H442" i="37" s="1"/>
  <c r="G420" i="37"/>
  <c r="H420" i="37" s="1"/>
  <c r="G398" i="37"/>
  <c r="H398" i="37" s="1"/>
  <c r="G348" i="37"/>
  <c r="H348" i="37" s="1"/>
  <c r="G335" i="37"/>
  <c r="H335" i="37" s="1"/>
  <c r="G322" i="37"/>
  <c r="H322" i="37" s="1"/>
  <c r="G313" i="37"/>
  <c r="H313" i="37" s="1"/>
  <c r="G300" i="37"/>
  <c r="H300" i="37" s="1"/>
  <c r="G295" i="37"/>
  <c r="H295" i="37" s="1"/>
  <c r="G291" i="37"/>
  <c r="H291" i="37" s="1"/>
  <c r="G283" i="37"/>
  <c r="H283" i="37" s="1"/>
  <c r="G267" i="37"/>
  <c r="H267" i="37" s="1"/>
  <c r="G260" i="37"/>
  <c r="H260" i="37" s="1"/>
  <c r="G246" i="37"/>
  <c r="H246" i="37" s="1"/>
  <c r="G242" i="37"/>
  <c r="H242" i="37" s="1"/>
  <c r="G235" i="37"/>
  <c r="H235" i="37" s="1"/>
  <c r="G232" i="37"/>
  <c r="H232" i="37" s="1"/>
  <c r="G229" i="37"/>
  <c r="H229" i="37" s="1"/>
  <c r="G226" i="37"/>
  <c r="H226" i="37" s="1"/>
  <c r="G210" i="37"/>
  <c r="H210" i="37" s="1"/>
  <c r="G207" i="37"/>
  <c r="H207" i="37" s="1"/>
  <c r="G204" i="37"/>
  <c r="H204" i="37" s="1"/>
  <c r="G201" i="37"/>
  <c r="H201" i="37" s="1"/>
  <c r="G185" i="37"/>
  <c r="H185" i="37" s="1"/>
  <c r="G182" i="37"/>
  <c r="H182" i="37" s="1"/>
  <c r="G179" i="37"/>
  <c r="H179" i="37" s="1"/>
  <c r="G176" i="37"/>
  <c r="H176" i="37" s="1"/>
  <c r="G164" i="37"/>
  <c r="H164" i="37" s="1"/>
  <c r="G153" i="37"/>
  <c r="H153" i="37" s="1"/>
  <c r="G150" i="37"/>
  <c r="H150" i="37" s="1"/>
  <c r="G139" i="37"/>
  <c r="H139" i="37" s="1"/>
  <c r="G128" i="37"/>
  <c r="H128" i="37" s="1"/>
  <c r="G123" i="37"/>
  <c r="H123" i="37" s="1"/>
  <c r="G118" i="37"/>
  <c r="H118" i="37" s="1"/>
  <c r="G113" i="37"/>
  <c r="H113" i="37" s="1"/>
  <c r="G108" i="37"/>
  <c r="H108" i="37" s="1"/>
  <c r="G103" i="37"/>
  <c r="H103" i="37" s="1"/>
  <c r="G98" i="37"/>
  <c r="H98" i="37" s="1"/>
  <c r="G93" i="37"/>
  <c r="H93" i="37" s="1"/>
  <c r="G88" i="37"/>
  <c r="H88" i="37" s="1"/>
  <c r="G83" i="37"/>
  <c r="H83" i="37" s="1"/>
  <c r="G78" i="37"/>
  <c r="H78" i="37" s="1"/>
  <c r="G73" i="37"/>
  <c r="H73" i="37" s="1"/>
  <c r="G433" i="37"/>
  <c r="H433" i="37" s="1"/>
  <c r="G419" i="37"/>
  <c r="H419" i="37" s="1"/>
  <c r="G414" i="37"/>
  <c r="H414" i="37" s="1"/>
  <c r="G408" i="37"/>
  <c r="H408" i="37" s="1"/>
  <c r="G388" i="37"/>
  <c r="H388" i="37" s="1"/>
  <c r="G494" i="37"/>
  <c r="H494" i="37" s="1"/>
  <c r="G477" i="37"/>
  <c r="H477" i="37" s="1"/>
  <c r="G464" i="37"/>
  <c r="H464" i="37" s="1"/>
  <c r="G456" i="37"/>
  <c r="H456" i="37" s="1"/>
  <c r="G447" i="37"/>
  <c r="H447" i="37" s="1"/>
  <c r="G425" i="37"/>
  <c r="H425" i="37" s="1"/>
  <c r="G412" i="37"/>
  <c r="H412" i="37" s="1"/>
  <c r="G402" i="37"/>
  <c r="H402" i="37" s="1"/>
  <c r="G387" i="37"/>
  <c r="H387" i="37" s="1"/>
  <c r="G360" i="37"/>
  <c r="H360" i="37" s="1"/>
  <c r="G351" i="37"/>
  <c r="H351" i="37" s="1"/>
  <c r="G347" i="37"/>
  <c r="H347" i="37" s="1"/>
  <c r="G338" i="37"/>
  <c r="H338" i="37" s="1"/>
  <c r="G491" i="37"/>
  <c r="H491" i="37" s="1"/>
  <c r="G473" i="37"/>
  <c r="H473" i="37" s="1"/>
  <c r="G391" i="37"/>
  <c r="H391" i="37" s="1"/>
  <c r="G381" i="37"/>
  <c r="H381" i="37" s="1"/>
  <c r="G359" i="37"/>
  <c r="H359" i="37" s="1"/>
  <c r="G487" i="37"/>
  <c r="H487" i="37" s="1"/>
  <c r="G428" i="37"/>
  <c r="H428" i="37" s="1"/>
  <c r="G394" i="37"/>
  <c r="H394" i="37" s="1"/>
  <c r="G380" i="37"/>
  <c r="H380" i="37" s="1"/>
  <c r="G375" i="37"/>
  <c r="H375" i="37" s="1"/>
  <c r="G371" i="37"/>
  <c r="H371" i="37" s="1"/>
  <c r="G366" i="37"/>
  <c r="H366" i="37" s="1"/>
  <c r="G362" i="37"/>
  <c r="H362" i="37" s="1"/>
  <c r="G353" i="37"/>
  <c r="H353" i="37" s="1"/>
  <c r="G349" i="37"/>
  <c r="H349" i="37" s="1"/>
  <c r="G344" i="37"/>
  <c r="H344" i="37" s="1"/>
  <c r="G340" i="37"/>
  <c r="H340" i="37" s="1"/>
  <c r="G331" i="37"/>
  <c r="H331" i="37" s="1"/>
  <c r="G309" i="37"/>
  <c r="H309" i="37" s="1"/>
  <c r="G275" i="37"/>
  <c r="H275" i="37" s="1"/>
  <c r="G264" i="37"/>
  <c r="H264" i="37" s="1"/>
  <c r="G239" i="37"/>
  <c r="H239" i="37" s="1"/>
  <c r="G167" i="37"/>
  <c r="H167" i="37" s="1"/>
  <c r="G156" i="37"/>
  <c r="H156" i="37" s="1"/>
  <c r="G142" i="37"/>
  <c r="H142" i="37" s="1"/>
  <c r="G470" i="37"/>
  <c r="H470" i="37" s="1"/>
  <c r="G328" i="37"/>
  <c r="H328" i="37" s="1"/>
  <c r="G314" i="37"/>
  <c r="H314" i="37" s="1"/>
  <c r="G308" i="37"/>
  <c r="H308" i="37" s="1"/>
  <c r="G303" i="37"/>
  <c r="H303" i="37" s="1"/>
  <c r="G292" i="37"/>
  <c r="H292" i="37" s="1"/>
  <c r="G282" i="37"/>
  <c r="H282" i="37" s="1"/>
  <c r="G277" i="37"/>
  <c r="H277" i="37" s="1"/>
  <c r="G272" i="37"/>
  <c r="H272" i="37" s="1"/>
  <c r="G254" i="37"/>
  <c r="H254" i="37" s="1"/>
  <c r="G249" i="37"/>
  <c r="H249" i="37" s="1"/>
  <c r="G166" i="37"/>
  <c r="H166" i="37" s="1"/>
  <c r="G152" i="37"/>
  <c r="H152" i="37" s="1"/>
  <c r="G120" i="37"/>
  <c r="H120" i="37" s="1"/>
  <c r="G109" i="37"/>
  <c r="H109" i="37" s="1"/>
  <c r="G95" i="37"/>
  <c r="H95" i="37" s="1"/>
  <c r="G84" i="37"/>
  <c r="H84" i="37" s="1"/>
  <c r="G56" i="37"/>
  <c r="H56" i="37" s="1"/>
  <c r="G449" i="37"/>
  <c r="H449" i="37" s="1"/>
  <c r="G378" i="37"/>
  <c r="H378" i="37" s="1"/>
  <c r="G369" i="37"/>
  <c r="H369" i="37" s="1"/>
  <c r="G334" i="37"/>
  <c r="H334" i="37" s="1"/>
  <c r="G286" i="37"/>
  <c r="H286" i="37" s="1"/>
  <c r="G262" i="37"/>
  <c r="H262" i="37" s="1"/>
  <c r="G240" i="37"/>
  <c r="H240" i="37" s="1"/>
  <c r="G236" i="37"/>
  <c r="H236" i="37" s="1"/>
  <c r="G224" i="37"/>
  <c r="H224" i="37" s="1"/>
  <c r="G220" i="37"/>
  <c r="H220" i="37" s="1"/>
  <c r="G216" i="37"/>
  <c r="H216" i="37" s="1"/>
  <c r="G212" i="37"/>
  <c r="H212" i="37" s="1"/>
  <c r="G200" i="37"/>
  <c r="H200" i="37" s="1"/>
  <c r="G189" i="37"/>
  <c r="H189" i="37" s="1"/>
  <c r="G181" i="37"/>
  <c r="H181" i="37" s="1"/>
  <c r="G177" i="37"/>
  <c r="H177" i="37" s="1"/>
  <c r="G169" i="37"/>
  <c r="H169" i="37" s="1"/>
  <c r="G159" i="37"/>
  <c r="H159" i="37" s="1"/>
  <c r="G155" i="37"/>
  <c r="H155" i="37" s="1"/>
  <c r="G145" i="37"/>
  <c r="H145" i="37" s="1"/>
  <c r="G138" i="37"/>
  <c r="H138" i="37" s="1"/>
  <c r="G117" i="37"/>
  <c r="H117" i="37" s="1"/>
  <c r="G106" i="37"/>
  <c r="H106" i="37" s="1"/>
  <c r="G92" i="37"/>
  <c r="H92" i="37" s="1"/>
  <c r="G81" i="37"/>
  <c r="H81" i="37" s="1"/>
  <c r="G70" i="37"/>
  <c r="H70" i="37" s="1"/>
  <c r="G65" i="37"/>
  <c r="H65" i="37" s="1"/>
  <c r="G60" i="37"/>
  <c r="H60" i="37" s="1"/>
  <c r="G52" i="37"/>
  <c r="H52" i="37" s="1"/>
  <c r="G406" i="37"/>
  <c r="H406" i="37" s="1"/>
  <c r="G397" i="37"/>
  <c r="H397" i="37" s="1"/>
  <c r="G342" i="37"/>
  <c r="H342" i="37" s="1"/>
  <c r="G319" i="37"/>
  <c r="H319" i="37" s="1"/>
  <c r="G302" i="37"/>
  <c r="H302" i="37" s="1"/>
  <c r="G297" i="37"/>
  <c r="H297" i="37" s="1"/>
  <c r="G271" i="37"/>
  <c r="H271" i="37" s="1"/>
  <c r="G244" i="37"/>
  <c r="H244" i="37" s="1"/>
  <c r="G162" i="37"/>
  <c r="H162" i="37" s="1"/>
  <c r="G141" i="37"/>
  <c r="H141" i="37" s="1"/>
  <c r="G131" i="37"/>
  <c r="H131" i="37" s="1"/>
  <c r="G125" i="37"/>
  <c r="H125" i="37" s="1"/>
  <c r="G114" i="37"/>
  <c r="H114" i="37" s="1"/>
  <c r="G100" i="37"/>
  <c r="H100" i="37" s="1"/>
  <c r="G89" i="37"/>
  <c r="H89" i="37" s="1"/>
  <c r="G75" i="37"/>
  <c r="H75" i="37" s="1"/>
  <c r="G463" i="37"/>
  <c r="H463" i="37" s="1"/>
  <c r="G395" i="37"/>
  <c r="H395" i="37" s="1"/>
  <c r="G377" i="37"/>
  <c r="H377" i="37" s="1"/>
  <c r="G350" i="37"/>
  <c r="H350" i="37" s="1"/>
  <c r="G341" i="37"/>
  <c r="H341" i="37" s="1"/>
  <c r="G301" i="37"/>
  <c r="H301" i="37" s="1"/>
  <c r="G270" i="37"/>
  <c r="H270" i="37" s="1"/>
  <c r="G266" i="37"/>
  <c r="H266" i="37" s="1"/>
  <c r="G405" i="37"/>
  <c r="H405" i="37" s="1"/>
  <c r="G439" i="37"/>
  <c r="H439" i="37" s="1"/>
  <c r="G365" i="37"/>
  <c r="H365" i="37" s="1"/>
  <c r="G337" i="37"/>
  <c r="H337" i="37" s="1"/>
  <c r="G312" i="37"/>
  <c r="H312" i="37" s="1"/>
  <c r="G294" i="37"/>
  <c r="H294" i="37" s="1"/>
  <c r="G285" i="37"/>
  <c r="H285" i="37" s="1"/>
  <c r="G269" i="37"/>
  <c r="H269" i="37" s="1"/>
  <c r="G255" i="37"/>
  <c r="H255" i="37" s="1"/>
  <c r="G230" i="37"/>
  <c r="H230" i="37" s="1"/>
  <c r="G214" i="37"/>
  <c r="H214" i="37" s="1"/>
  <c r="G197" i="37"/>
  <c r="H197" i="37" s="1"/>
  <c r="G191" i="37"/>
  <c r="H191" i="37" s="1"/>
  <c r="G154" i="37"/>
  <c r="H154" i="37" s="1"/>
  <c r="G134" i="37"/>
  <c r="H134" i="37" s="1"/>
  <c r="G126" i="37"/>
  <c r="H126" i="37" s="1"/>
  <c r="G90" i="37"/>
  <c r="H90" i="37" s="1"/>
  <c r="G82" i="37"/>
  <c r="H82" i="37" s="1"/>
  <c r="G74" i="37"/>
  <c r="H74" i="37" s="1"/>
  <c r="G55" i="37"/>
  <c r="H55" i="37" s="1"/>
  <c r="G44" i="37"/>
  <c r="H44" i="37" s="1"/>
  <c r="G34" i="37"/>
  <c r="H34" i="37" s="1"/>
  <c r="G15" i="37"/>
  <c r="H15" i="37" s="1"/>
  <c r="G62" i="37"/>
  <c r="H62" i="37" s="1"/>
  <c r="G38" i="37"/>
  <c r="H38" i="37" s="1"/>
  <c r="G422" i="37"/>
  <c r="H422" i="37" s="1"/>
  <c r="G311" i="37"/>
  <c r="H311" i="37" s="1"/>
  <c r="G261" i="37"/>
  <c r="H261" i="37" s="1"/>
  <c r="G202" i="37"/>
  <c r="H202" i="37" s="1"/>
  <c r="G196" i="37"/>
  <c r="H196" i="37" s="1"/>
  <c r="G186" i="37"/>
  <c r="H186" i="37" s="1"/>
  <c r="G158" i="37"/>
  <c r="H158" i="37" s="1"/>
  <c r="G149" i="37"/>
  <c r="H149" i="37" s="1"/>
  <c r="G105" i="37"/>
  <c r="H105" i="37" s="1"/>
  <c r="G97" i="37"/>
  <c r="H97" i="37" s="1"/>
  <c r="G63" i="37"/>
  <c r="H63" i="37" s="1"/>
  <c r="G48" i="37"/>
  <c r="H48" i="37" s="1"/>
  <c r="G41" i="37"/>
  <c r="H41" i="37" s="1"/>
  <c r="G31" i="37"/>
  <c r="H31" i="37" s="1"/>
  <c r="G25" i="37"/>
  <c r="H25" i="37" s="1"/>
  <c r="G20" i="37"/>
  <c r="H20" i="37" s="1"/>
  <c r="G11" i="37"/>
  <c r="H11" i="37" s="1"/>
  <c r="G6" i="37"/>
  <c r="H6" i="37" s="1"/>
  <c r="G50" i="37"/>
  <c r="H50" i="37" s="1"/>
  <c r="G453" i="37"/>
  <c r="H453" i="37" s="1"/>
  <c r="G415" i="37"/>
  <c r="H415" i="37" s="1"/>
  <c r="G363" i="37"/>
  <c r="H363" i="37" s="1"/>
  <c r="G284" i="37"/>
  <c r="H284" i="37" s="1"/>
  <c r="G247" i="37"/>
  <c r="H247" i="37" s="1"/>
  <c r="G190" i="37"/>
  <c r="H190" i="37" s="1"/>
  <c r="G184" i="37"/>
  <c r="H184" i="37" s="1"/>
  <c r="G174" i="37"/>
  <c r="H174" i="37" s="1"/>
  <c r="G168" i="37"/>
  <c r="H168" i="37" s="1"/>
  <c r="G148" i="37"/>
  <c r="H148" i="37" s="1"/>
  <c r="G133" i="37"/>
  <c r="H133" i="37" s="1"/>
  <c r="G129" i="37"/>
  <c r="H129" i="37" s="1"/>
  <c r="G121" i="37"/>
  <c r="H121" i="37" s="1"/>
  <c r="G85" i="37"/>
  <c r="H85" i="37" s="1"/>
  <c r="G77" i="37"/>
  <c r="H77" i="37" s="1"/>
  <c r="G66" i="37"/>
  <c r="H66" i="37" s="1"/>
  <c r="G59" i="37"/>
  <c r="H59" i="37" s="1"/>
  <c r="G32" i="37"/>
  <c r="H32" i="37" s="1"/>
  <c r="G252" i="37"/>
  <c r="H252" i="37" s="1"/>
  <c r="G241" i="37"/>
  <c r="H241" i="37" s="1"/>
  <c r="G234" i="37"/>
  <c r="H234" i="37" s="1"/>
  <c r="G195" i="37"/>
  <c r="H195" i="37" s="1"/>
  <c r="G172" i="37"/>
  <c r="H172" i="37" s="1"/>
  <c r="G163" i="37"/>
  <c r="H163" i="37" s="1"/>
  <c r="G147" i="37"/>
  <c r="H147" i="37" s="1"/>
  <c r="G143" i="37"/>
  <c r="H143" i="37" s="1"/>
  <c r="G101" i="37"/>
  <c r="H101" i="37" s="1"/>
  <c r="G69" i="37"/>
  <c r="H69" i="37" s="1"/>
  <c r="G54" i="37"/>
  <c r="H54" i="37" s="1"/>
  <c r="G35" i="37"/>
  <c r="H35" i="37" s="1"/>
  <c r="G28" i="37"/>
  <c r="H28" i="37" s="1"/>
  <c r="G23" i="37"/>
  <c r="H23" i="37" s="1"/>
  <c r="G18" i="37"/>
  <c r="H18" i="37" s="1"/>
  <c r="G13" i="37"/>
  <c r="H13" i="37" s="1"/>
  <c r="G8" i="37"/>
  <c r="H8" i="37" s="1"/>
  <c r="G2" i="37"/>
  <c r="H2" i="37" s="1"/>
  <c r="G45" i="37"/>
  <c r="H45" i="37" s="1"/>
  <c r="G411" i="37"/>
  <c r="H411" i="37" s="1"/>
  <c r="G374" i="37"/>
  <c r="H374" i="37" s="1"/>
  <c r="G346" i="37"/>
  <c r="H346" i="37" s="1"/>
  <c r="G310" i="37"/>
  <c r="H310" i="37" s="1"/>
  <c r="G274" i="37"/>
  <c r="H274" i="37" s="1"/>
  <c r="G259" i="37"/>
  <c r="H259" i="37" s="1"/>
  <c r="G222" i="37"/>
  <c r="H222" i="37" s="1"/>
  <c r="G206" i="37"/>
  <c r="H206" i="37" s="1"/>
  <c r="G157" i="37"/>
  <c r="H157" i="37" s="1"/>
  <c r="G137" i="37"/>
  <c r="H137" i="37" s="1"/>
  <c r="G124" i="37"/>
  <c r="H124" i="37" s="1"/>
  <c r="G116" i="37"/>
  <c r="H116" i="37" s="1"/>
  <c r="G80" i="37"/>
  <c r="H80" i="37" s="1"/>
  <c r="G72" i="37"/>
  <c r="H72" i="37" s="1"/>
  <c r="G42" i="37"/>
  <c r="H42" i="37" s="1"/>
  <c r="G390" i="37"/>
  <c r="H390" i="37" s="1"/>
  <c r="G345" i="37"/>
  <c r="H345" i="37" s="1"/>
  <c r="G289" i="37"/>
  <c r="H289" i="37" s="1"/>
  <c r="G265" i="37"/>
  <c r="H265" i="37" s="1"/>
  <c r="G227" i="37"/>
  <c r="H227" i="37" s="1"/>
  <c r="G217" i="37"/>
  <c r="H217" i="37" s="1"/>
  <c r="G211" i="37"/>
  <c r="H211" i="37" s="1"/>
  <c r="G194" i="37"/>
  <c r="H194" i="37" s="1"/>
  <c r="G161" i="37"/>
  <c r="H161" i="37" s="1"/>
  <c r="G132" i="37"/>
  <c r="H132" i="37" s="1"/>
  <c r="G112" i="37"/>
  <c r="H112" i="37" s="1"/>
  <c r="G104" i="37"/>
  <c r="H104" i="37" s="1"/>
  <c r="G96" i="37"/>
  <c r="H96" i="37" s="1"/>
  <c r="G47" i="37"/>
  <c r="H47" i="37" s="1"/>
  <c r="G39" i="37"/>
  <c r="H39" i="37" s="1"/>
  <c r="G372" i="37"/>
  <c r="H372" i="37" s="1"/>
  <c r="G356" i="37"/>
  <c r="H356" i="37" s="1"/>
  <c r="G316" i="37"/>
  <c r="H316" i="37" s="1"/>
  <c r="G298" i="37"/>
  <c r="H298" i="37" s="1"/>
  <c r="G280" i="37"/>
  <c r="H280" i="37" s="1"/>
  <c r="G273" i="37"/>
  <c r="H273" i="37" s="1"/>
  <c r="G257" i="37"/>
  <c r="H257" i="37" s="1"/>
  <c r="G245" i="37"/>
  <c r="H245" i="37" s="1"/>
  <c r="G215" i="37"/>
  <c r="H215" i="37" s="1"/>
  <c r="G205" i="37"/>
  <c r="H205" i="37" s="1"/>
  <c r="G199" i="37"/>
  <c r="H199" i="37" s="1"/>
  <c r="G151" i="37"/>
  <c r="H151" i="37" s="1"/>
  <c r="G136" i="37"/>
  <c r="H136" i="37" s="1"/>
  <c r="G127" i="37"/>
  <c r="H127" i="37" s="1"/>
  <c r="G119" i="37"/>
  <c r="H119" i="37" s="1"/>
  <c r="G111" i="37"/>
  <c r="H111" i="37" s="1"/>
  <c r="G76" i="37"/>
  <c r="H76" i="37" s="1"/>
  <c r="G61" i="37"/>
  <c r="H61" i="37" s="1"/>
  <c r="G58" i="37"/>
  <c r="H58" i="37" s="1"/>
  <c r="G401" i="37"/>
  <c r="H401" i="37" s="1"/>
  <c r="G384" i="37"/>
  <c r="H384" i="37" s="1"/>
  <c r="G306" i="37"/>
  <c r="H306" i="37" s="1"/>
  <c r="G383" i="37"/>
  <c r="H383" i="37" s="1"/>
  <c r="G325" i="37"/>
  <c r="H325" i="37" s="1"/>
  <c r="G256" i="37"/>
  <c r="H256" i="37" s="1"/>
  <c r="G288" i="37"/>
  <c r="H288" i="37" s="1"/>
  <c r="G165" i="37"/>
  <c r="H165" i="37" s="1"/>
  <c r="G135" i="37"/>
  <c r="H135" i="37" s="1"/>
  <c r="G94" i="37"/>
  <c r="H94" i="37" s="1"/>
  <c r="G67" i="37"/>
  <c r="H67" i="37" s="1"/>
  <c r="G49" i="37"/>
  <c r="H49" i="37" s="1"/>
  <c r="G12" i="37"/>
  <c r="H12" i="37" s="1"/>
  <c r="G4" i="37"/>
  <c r="H4" i="37" s="1"/>
  <c r="G237" i="37"/>
  <c r="H237" i="37" s="1"/>
  <c r="G146" i="37"/>
  <c r="H146" i="37" s="1"/>
  <c r="G64" i="37"/>
  <c r="H64" i="37" s="1"/>
  <c r="G7" i="37"/>
  <c r="H7" i="37" s="1"/>
  <c r="G160" i="37"/>
  <c r="H160" i="37" s="1"/>
  <c r="G10" i="37"/>
  <c r="H10" i="37" s="1"/>
  <c r="G87" i="37"/>
  <c r="H87" i="37" s="1"/>
  <c r="G53" i="37"/>
  <c r="H53" i="37" s="1"/>
  <c r="G19" i="37"/>
  <c r="H19" i="37" s="1"/>
  <c r="G21" i="37"/>
  <c r="H21" i="37" s="1"/>
  <c r="G9" i="37"/>
  <c r="H9" i="37" s="1"/>
  <c r="G278" i="37"/>
  <c r="H278" i="37" s="1"/>
  <c r="G221" i="37"/>
  <c r="H221" i="37" s="1"/>
  <c r="G91" i="37"/>
  <c r="H91" i="37" s="1"/>
  <c r="G79" i="37"/>
  <c r="H79" i="37" s="1"/>
  <c r="G219" i="37"/>
  <c r="H219" i="37" s="1"/>
  <c r="G130" i="37"/>
  <c r="H130" i="37" s="1"/>
  <c r="G36" i="37"/>
  <c r="H36" i="37" s="1"/>
  <c r="G29" i="37"/>
  <c r="H29" i="37" s="1"/>
  <c r="G22" i="37"/>
  <c r="H22" i="37" s="1"/>
  <c r="G17" i="37"/>
  <c r="H17" i="37" s="1"/>
  <c r="G3" i="37"/>
  <c r="H3" i="37" s="1"/>
  <c r="G27" i="37"/>
  <c r="H27" i="37" s="1"/>
  <c r="G14" i="37"/>
  <c r="H14" i="37" s="1"/>
  <c r="G180" i="37"/>
  <c r="H180" i="37" s="1"/>
  <c r="G115" i="37"/>
  <c r="H115" i="37" s="1"/>
  <c r="G33" i="37"/>
  <c r="H33" i="37" s="1"/>
  <c r="G144" i="37"/>
  <c r="H144" i="37" s="1"/>
  <c r="G102" i="37"/>
  <c r="H102" i="37" s="1"/>
  <c r="G175" i="37"/>
  <c r="H175" i="37" s="1"/>
  <c r="G46" i="37"/>
  <c r="H46" i="37" s="1"/>
  <c r="G43" i="37"/>
  <c r="H43" i="37" s="1"/>
  <c r="G24" i="37"/>
  <c r="H24" i="37" s="1"/>
  <c r="G16" i="37"/>
  <c r="H16" i="37" s="1"/>
  <c r="G251" i="37"/>
  <c r="H251" i="37" s="1"/>
  <c r="G231" i="37"/>
  <c r="H231" i="37" s="1"/>
  <c r="G99" i="37"/>
  <c r="H99" i="37" s="1"/>
  <c r="G26" i="37"/>
  <c r="H26" i="37" s="1"/>
  <c r="G192" i="37"/>
  <c r="H192" i="37" s="1"/>
  <c r="G140" i="37"/>
  <c r="H140" i="37" s="1"/>
  <c r="G86" i="37"/>
  <c r="H86" i="37" s="1"/>
  <c r="G40" i="37"/>
  <c r="H40" i="37" s="1"/>
  <c r="G5" i="37"/>
  <c r="H5" i="37" s="1"/>
  <c r="G315" i="37"/>
  <c r="H315" i="37" s="1"/>
  <c r="G250" i="37"/>
  <c r="H250" i="37" s="1"/>
  <c r="G171" i="37"/>
  <c r="H171" i="37" s="1"/>
  <c r="G71" i="37"/>
  <c r="H71" i="37" s="1"/>
  <c r="G51" i="37"/>
  <c r="H51" i="37" s="1"/>
  <c r="G37" i="37"/>
  <c r="H37" i="37" s="1"/>
  <c r="G305" i="37"/>
  <c r="H305" i="37" s="1"/>
  <c r="G209" i="37"/>
  <c r="H209" i="37" s="1"/>
  <c r="G187" i="37"/>
  <c r="H187" i="37" s="1"/>
  <c r="G122" i="37"/>
  <c r="H122" i="37" s="1"/>
  <c r="G110" i="37"/>
  <c r="H110" i="37" s="1"/>
  <c r="G30" i="37"/>
  <c r="H30" i="37" s="1"/>
  <c r="G225" i="37"/>
  <c r="H225" i="37" s="1"/>
  <c r="G170" i="37"/>
  <c r="H170" i="37" s="1"/>
  <c r="G107" i="37"/>
  <c r="H107" i="37" s="1"/>
  <c r="G68" i="37"/>
  <c r="H68" i="37" s="1"/>
  <c r="G57" i="37"/>
  <c r="H57" i="37" s="1"/>
  <c r="G3" i="36"/>
  <c r="H3" i="36" s="1"/>
  <c r="G13" i="36"/>
  <c r="H13" i="36" s="1"/>
  <c r="G23" i="36"/>
  <c r="H23" i="36" s="1"/>
  <c r="G33" i="36"/>
  <c r="H33" i="36" s="1"/>
  <c r="G43" i="36"/>
  <c r="H43" i="36" s="1"/>
  <c r="G53" i="36"/>
  <c r="H53" i="36" s="1"/>
  <c r="G63" i="36"/>
  <c r="H63" i="36" s="1"/>
  <c r="G73" i="36"/>
  <c r="H73" i="36" s="1"/>
  <c r="G4" i="36"/>
  <c r="H4" i="36" s="1"/>
  <c r="G14" i="36"/>
  <c r="H14" i="36" s="1"/>
  <c r="G24" i="36"/>
  <c r="H24" i="36" s="1"/>
  <c r="G34" i="36"/>
  <c r="H34" i="36" s="1"/>
  <c r="G44" i="36"/>
  <c r="H44" i="36" s="1"/>
  <c r="G54" i="36"/>
  <c r="H54" i="36" s="1"/>
  <c r="G64" i="36"/>
  <c r="H64" i="36" s="1"/>
  <c r="G74" i="36"/>
  <c r="H74" i="36" s="1"/>
  <c r="G84" i="36"/>
  <c r="H84" i="36" s="1"/>
  <c r="G94" i="36"/>
  <c r="H94" i="36" s="1"/>
  <c r="G104" i="36"/>
  <c r="H104" i="36" s="1"/>
  <c r="G114" i="36"/>
  <c r="H114" i="36" s="1"/>
  <c r="G124" i="36"/>
  <c r="H124" i="36" s="1"/>
  <c r="G134" i="36"/>
  <c r="H134" i="36" s="1"/>
  <c r="G144" i="36"/>
  <c r="H144" i="36" s="1"/>
  <c r="G154" i="36"/>
  <c r="H154" i="36" s="1"/>
  <c r="G164" i="36"/>
  <c r="H164" i="36" s="1"/>
  <c r="G174" i="36"/>
  <c r="H174" i="36" s="1"/>
  <c r="G184" i="36"/>
  <c r="H184" i="36" s="1"/>
  <c r="G194" i="36"/>
  <c r="H194" i="36" s="1"/>
  <c r="G204" i="36"/>
  <c r="H204" i="36" s="1"/>
  <c r="G214" i="36"/>
  <c r="H214" i="36" s="1"/>
  <c r="G224" i="36"/>
  <c r="H224" i="36" s="1"/>
  <c r="G234" i="36"/>
  <c r="H234" i="36" s="1"/>
  <c r="G244" i="36"/>
  <c r="H244" i="36" s="1"/>
  <c r="G254" i="36"/>
  <c r="H254" i="36" s="1"/>
  <c r="G264" i="36"/>
  <c r="H264" i="36" s="1"/>
  <c r="G274" i="36"/>
  <c r="H274" i="36" s="1"/>
  <c r="G284" i="36"/>
  <c r="H284" i="36" s="1"/>
  <c r="G294" i="36"/>
  <c r="H294" i="36" s="1"/>
  <c r="G304" i="36"/>
  <c r="H304" i="36" s="1"/>
  <c r="G314" i="36"/>
  <c r="H314" i="36" s="1"/>
  <c r="G324" i="36"/>
  <c r="H324" i="36" s="1"/>
  <c r="G334" i="36"/>
  <c r="H334" i="36" s="1"/>
  <c r="G344" i="36"/>
  <c r="H344" i="36" s="1"/>
  <c r="G5" i="36"/>
  <c r="H5" i="36" s="1"/>
  <c r="G15" i="36"/>
  <c r="H15" i="36" s="1"/>
  <c r="G25" i="36"/>
  <c r="H25" i="36" s="1"/>
  <c r="G35" i="36"/>
  <c r="H35" i="36" s="1"/>
  <c r="G45" i="36"/>
  <c r="H45" i="36" s="1"/>
  <c r="G55" i="36"/>
  <c r="H55" i="36" s="1"/>
  <c r="G65" i="36"/>
  <c r="H65" i="36" s="1"/>
  <c r="G75" i="36"/>
  <c r="H75" i="36" s="1"/>
  <c r="G85" i="36"/>
  <c r="H85" i="36" s="1"/>
  <c r="G95" i="36"/>
  <c r="H95" i="36" s="1"/>
  <c r="G105" i="36"/>
  <c r="H105" i="36" s="1"/>
  <c r="G115" i="36"/>
  <c r="H115" i="36" s="1"/>
  <c r="G125" i="36"/>
  <c r="H125" i="36" s="1"/>
  <c r="G135" i="36"/>
  <c r="H135" i="36" s="1"/>
  <c r="G145" i="36"/>
  <c r="H145" i="36" s="1"/>
  <c r="G155" i="36"/>
  <c r="H155" i="36" s="1"/>
  <c r="G165" i="36"/>
  <c r="H165" i="36" s="1"/>
  <c r="G175" i="36"/>
  <c r="H175" i="36" s="1"/>
  <c r="G185" i="36"/>
  <c r="H185" i="36" s="1"/>
  <c r="G195" i="36"/>
  <c r="H195" i="36" s="1"/>
  <c r="G205" i="36"/>
  <c r="H205" i="36" s="1"/>
  <c r="G215" i="36"/>
  <c r="H215" i="36" s="1"/>
  <c r="G225" i="36"/>
  <c r="H225" i="36" s="1"/>
  <c r="G235" i="36"/>
  <c r="H235" i="36" s="1"/>
  <c r="G245" i="36"/>
  <c r="H245" i="36" s="1"/>
  <c r="G255" i="36"/>
  <c r="H255" i="36" s="1"/>
  <c r="G265" i="36"/>
  <c r="H265" i="36" s="1"/>
  <c r="G275" i="36"/>
  <c r="H275" i="36" s="1"/>
  <c r="G285" i="36"/>
  <c r="H285" i="36" s="1"/>
  <c r="G295" i="36"/>
  <c r="H295" i="36" s="1"/>
  <c r="G11" i="36"/>
  <c r="H11" i="36" s="1"/>
  <c r="G21" i="36"/>
  <c r="H21" i="36" s="1"/>
  <c r="G31" i="36"/>
  <c r="H31" i="36" s="1"/>
  <c r="G41" i="36"/>
  <c r="H41" i="36" s="1"/>
  <c r="G51" i="36"/>
  <c r="H51" i="36" s="1"/>
  <c r="G61" i="36"/>
  <c r="H61" i="36" s="1"/>
  <c r="G71" i="36"/>
  <c r="H71" i="36" s="1"/>
  <c r="G12" i="36"/>
  <c r="H12" i="36" s="1"/>
  <c r="G29" i="36"/>
  <c r="H29" i="36" s="1"/>
  <c r="G47" i="36"/>
  <c r="H47" i="36" s="1"/>
  <c r="G62" i="36"/>
  <c r="H62" i="36" s="1"/>
  <c r="G79" i="36"/>
  <c r="H79" i="36" s="1"/>
  <c r="G91" i="36"/>
  <c r="H91" i="36" s="1"/>
  <c r="G103" i="36"/>
  <c r="H103" i="36" s="1"/>
  <c r="G117" i="36"/>
  <c r="H117" i="36" s="1"/>
  <c r="G129" i="36"/>
  <c r="H129" i="36" s="1"/>
  <c r="G141" i="36"/>
  <c r="H141" i="36" s="1"/>
  <c r="G153" i="36"/>
  <c r="H153" i="36" s="1"/>
  <c r="G167" i="36"/>
  <c r="H167" i="36" s="1"/>
  <c r="G179" i="36"/>
  <c r="H179" i="36" s="1"/>
  <c r="G191" i="36"/>
  <c r="H191" i="36" s="1"/>
  <c r="G203" i="36"/>
  <c r="H203" i="36" s="1"/>
  <c r="G217" i="36"/>
  <c r="H217" i="36" s="1"/>
  <c r="G229" i="36"/>
  <c r="H229" i="36" s="1"/>
  <c r="G241" i="36"/>
  <c r="H241" i="36" s="1"/>
  <c r="G253" i="36"/>
  <c r="H253" i="36" s="1"/>
  <c r="G267" i="36"/>
  <c r="H267" i="36" s="1"/>
  <c r="G279" i="36"/>
  <c r="H279" i="36" s="1"/>
  <c r="G291" i="36"/>
  <c r="H291" i="36" s="1"/>
  <c r="G303" i="36"/>
  <c r="H303" i="36" s="1"/>
  <c r="G315" i="36"/>
  <c r="H315" i="36" s="1"/>
  <c r="G326" i="36"/>
  <c r="H326" i="36" s="1"/>
  <c r="G337" i="36"/>
  <c r="H337" i="36" s="1"/>
  <c r="G348" i="36"/>
  <c r="H348" i="36" s="1"/>
  <c r="G358" i="36"/>
  <c r="H358" i="36" s="1"/>
  <c r="G368" i="36"/>
  <c r="H368" i="36" s="1"/>
  <c r="G378" i="36"/>
  <c r="H378" i="36" s="1"/>
  <c r="G388" i="36"/>
  <c r="H388" i="36" s="1"/>
  <c r="G398" i="36"/>
  <c r="H398" i="36" s="1"/>
  <c r="G408" i="36"/>
  <c r="H408" i="36" s="1"/>
  <c r="G418" i="36"/>
  <c r="H418" i="36" s="1"/>
  <c r="G428" i="36"/>
  <c r="H428" i="36" s="1"/>
  <c r="G438" i="36"/>
  <c r="H438" i="36" s="1"/>
  <c r="G448" i="36"/>
  <c r="H448" i="36" s="1"/>
  <c r="G458" i="36"/>
  <c r="H458" i="36" s="1"/>
  <c r="G468" i="36"/>
  <c r="H468" i="36" s="1"/>
  <c r="G478" i="36"/>
  <c r="H478" i="36" s="1"/>
  <c r="G488" i="36"/>
  <c r="H488" i="36" s="1"/>
  <c r="G498" i="36"/>
  <c r="H498" i="36" s="1"/>
  <c r="G206" i="36"/>
  <c r="H206" i="36" s="1"/>
  <c r="G242" i="36"/>
  <c r="H242" i="36" s="1"/>
  <c r="G256" i="36"/>
  <c r="H256" i="36" s="1"/>
  <c r="G280" i="36"/>
  <c r="H280" i="36" s="1"/>
  <c r="G305" i="36"/>
  <c r="H305" i="36" s="1"/>
  <c r="G327" i="36"/>
  <c r="H327" i="36" s="1"/>
  <c r="G349" i="36"/>
  <c r="H349" i="36" s="1"/>
  <c r="G369" i="36"/>
  <c r="H369" i="36" s="1"/>
  <c r="G389" i="36"/>
  <c r="H389" i="36" s="1"/>
  <c r="G409" i="36"/>
  <c r="H409" i="36" s="1"/>
  <c r="G429" i="36"/>
  <c r="H429" i="36" s="1"/>
  <c r="G449" i="36"/>
  <c r="H449" i="36" s="1"/>
  <c r="G469" i="36"/>
  <c r="H469" i="36" s="1"/>
  <c r="G489" i="36"/>
  <c r="H489" i="36" s="1"/>
  <c r="G157" i="36"/>
  <c r="H157" i="36" s="1"/>
  <c r="G207" i="36"/>
  <c r="H207" i="36" s="1"/>
  <c r="G243" i="36"/>
  <c r="H243" i="36" s="1"/>
  <c r="G281" i="36"/>
  <c r="H281" i="36" s="1"/>
  <c r="G306" i="36"/>
  <c r="H306" i="36" s="1"/>
  <c r="G16" i="36"/>
  <c r="H16" i="36" s="1"/>
  <c r="G30" i="36"/>
  <c r="H30" i="36" s="1"/>
  <c r="G48" i="36"/>
  <c r="H48" i="36" s="1"/>
  <c r="G66" i="36"/>
  <c r="H66" i="36" s="1"/>
  <c r="G80" i="36"/>
  <c r="H80" i="36" s="1"/>
  <c r="G92" i="36"/>
  <c r="H92" i="36" s="1"/>
  <c r="G106" i="36"/>
  <c r="H106" i="36" s="1"/>
  <c r="G118" i="36"/>
  <c r="H118" i="36" s="1"/>
  <c r="G130" i="36"/>
  <c r="H130" i="36" s="1"/>
  <c r="G142" i="36"/>
  <c r="H142" i="36" s="1"/>
  <c r="G156" i="36"/>
  <c r="H156" i="36" s="1"/>
  <c r="G168" i="36"/>
  <c r="H168" i="36" s="1"/>
  <c r="G180" i="36"/>
  <c r="H180" i="36" s="1"/>
  <c r="G192" i="36"/>
  <c r="H192" i="36" s="1"/>
  <c r="G218" i="36"/>
  <c r="H218" i="36" s="1"/>
  <c r="G230" i="36"/>
  <c r="H230" i="36" s="1"/>
  <c r="G268" i="36"/>
  <c r="H268" i="36" s="1"/>
  <c r="G292" i="36"/>
  <c r="H292" i="36" s="1"/>
  <c r="G316" i="36"/>
  <c r="H316" i="36" s="1"/>
  <c r="G338" i="36"/>
  <c r="H338" i="36" s="1"/>
  <c r="G359" i="36"/>
  <c r="H359" i="36" s="1"/>
  <c r="G379" i="36"/>
  <c r="H379" i="36" s="1"/>
  <c r="G399" i="36"/>
  <c r="H399" i="36" s="1"/>
  <c r="G419" i="36"/>
  <c r="H419" i="36" s="1"/>
  <c r="G439" i="36"/>
  <c r="H439" i="36" s="1"/>
  <c r="G459" i="36"/>
  <c r="H459" i="36" s="1"/>
  <c r="G479" i="36"/>
  <c r="H479" i="36" s="1"/>
  <c r="G499" i="36"/>
  <c r="H499" i="36" s="1"/>
  <c r="G181" i="36"/>
  <c r="H181" i="36" s="1"/>
  <c r="G219" i="36"/>
  <c r="H219" i="36" s="1"/>
  <c r="G257" i="36"/>
  <c r="H257" i="36" s="1"/>
  <c r="G293" i="36"/>
  <c r="H293" i="36" s="1"/>
  <c r="G317" i="36"/>
  <c r="H317" i="36" s="1"/>
  <c r="G350" i="36"/>
  <c r="H350" i="36" s="1"/>
  <c r="G17" i="36"/>
  <c r="H17" i="36" s="1"/>
  <c r="G32" i="36"/>
  <c r="H32" i="36" s="1"/>
  <c r="G49" i="36"/>
  <c r="H49" i="36" s="1"/>
  <c r="G67" i="36"/>
  <c r="H67" i="36" s="1"/>
  <c r="G81" i="36"/>
  <c r="H81" i="36" s="1"/>
  <c r="G93" i="36"/>
  <c r="H93" i="36" s="1"/>
  <c r="G107" i="36"/>
  <c r="H107" i="36" s="1"/>
  <c r="G119" i="36"/>
  <c r="H119" i="36" s="1"/>
  <c r="G131" i="36"/>
  <c r="H131" i="36" s="1"/>
  <c r="G143" i="36"/>
  <c r="H143" i="36" s="1"/>
  <c r="G169" i="36"/>
  <c r="H169" i="36" s="1"/>
  <c r="G193" i="36"/>
  <c r="H193" i="36" s="1"/>
  <c r="G231" i="36"/>
  <c r="H231" i="36" s="1"/>
  <c r="G269" i="36"/>
  <c r="H269" i="36" s="1"/>
  <c r="G328" i="36"/>
  <c r="H328" i="36" s="1"/>
  <c r="G18" i="36"/>
  <c r="H18" i="36" s="1"/>
  <c r="G19" i="36"/>
  <c r="H19" i="36" s="1"/>
  <c r="G6" i="36"/>
  <c r="H6" i="36" s="1"/>
  <c r="G9" i="36"/>
  <c r="H9" i="36" s="1"/>
  <c r="G39" i="36"/>
  <c r="H39" i="36" s="1"/>
  <c r="G60" i="36"/>
  <c r="H60" i="36" s="1"/>
  <c r="G86" i="36"/>
  <c r="H86" i="36" s="1"/>
  <c r="G101" i="36"/>
  <c r="H101" i="36" s="1"/>
  <c r="G121" i="36"/>
  <c r="H121" i="36" s="1"/>
  <c r="G138" i="36"/>
  <c r="H138" i="36" s="1"/>
  <c r="G158" i="36"/>
  <c r="H158" i="36" s="1"/>
  <c r="G173" i="36"/>
  <c r="H173" i="36" s="1"/>
  <c r="G190" i="36"/>
  <c r="H190" i="36" s="1"/>
  <c r="G210" i="36"/>
  <c r="H210" i="36" s="1"/>
  <c r="G227" i="36"/>
  <c r="H227" i="36" s="1"/>
  <c r="G247" i="36"/>
  <c r="H247" i="36" s="1"/>
  <c r="G262" i="36"/>
  <c r="H262" i="36" s="1"/>
  <c r="G282" i="36"/>
  <c r="H282" i="36" s="1"/>
  <c r="G299" i="36"/>
  <c r="H299" i="36" s="1"/>
  <c r="G313" i="36"/>
  <c r="H313" i="36" s="1"/>
  <c r="G331" i="36"/>
  <c r="H331" i="36" s="1"/>
  <c r="G345" i="36"/>
  <c r="H345" i="36" s="1"/>
  <c r="G360" i="36"/>
  <c r="H360" i="36" s="1"/>
  <c r="G372" i="36"/>
  <c r="H372" i="36" s="1"/>
  <c r="G384" i="36"/>
  <c r="H384" i="36" s="1"/>
  <c r="G396" i="36"/>
  <c r="H396" i="36" s="1"/>
  <c r="G410" i="36"/>
  <c r="H410" i="36" s="1"/>
  <c r="G422" i="36"/>
  <c r="H422" i="36" s="1"/>
  <c r="G434" i="36"/>
  <c r="H434" i="36" s="1"/>
  <c r="G446" i="36"/>
  <c r="H446" i="36" s="1"/>
  <c r="G460" i="36"/>
  <c r="H460" i="36" s="1"/>
  <c r="G472" i="36"/>
  <c r="H472" i="36" s="1"/>
  <c r="G484" i="36"/>
  <c r="H484" i="36" s="1"/>
  <c r="G496" i="36"/>
  <c r="H496" i="36" s="1"/>
  <c r="G176" i="36"/>
  <c r="H176" i="36" s="1"/>
  <c r="G211" i="36"/>
  <c r="H211" i="36" s="1"/>
  <c r="G248" i="36"/>
  <c r="H248" i="36" s="1"/>
  <c r="G283" i="36"/>
  <c r="H283" i="36" s="1"/>
  <c r="G300" i="36"/>
  <c r="H300" i="36" s="1"/>
  <c r="G332" i="36"/>
  <c r="H332" i="36" s="1"/>
  <c r="G346" i="36"/>
  <c r="H346" i="36" s="1"/>
  <c r="G373" i="36"/>
  <c r="H373" i="36" s="1"/>
  <c r="G397" i="36"/>
  <c r="H397" i="36" s="1"/>
  <c r="G435" i="36"/>
  <c r="H435" i="36" s="1"/>
  <c r="G461" i="36"/>
  <c r="H461" i="36" s="1"/>
  <c r="G485" i="36"/>
  <c r="H485" i="36" s="1"/>
  <c r="G362" i="36"/>
  <c r="H362" i="36" s="1"/>
  <c r="G400" i="36"/>
  <c r="H400" i="36" s="1"/>
  <c r="G436" i="36"/>
  <c r="H436" i="36" s="1"/>
  <c r="G474" i="36"/>
  <c r="H474" i="36" s="1"/>
  <c r="G500" i="36"/>
  <c r="H500" i="36" s="1"/>
  <c r="G250" i="36"/>
  <c r="H250" i="36" s="1"/>
  <c r="G302" i="36"/>
  <c r="H302" i="36" s="1"/>
  <c r="G351" i="36"/>
  <c r="H351" i="36" s="1"/>
  <c r="G387" i="36"/>
  <c r="H387" i="36" s="1"/>
  <c r="G437" i="36"/>
  <c r="H437" i="36" s="1"/>
  <c r="G475" i="36"/>
  <c r="H475" i="36" s="1"/>
  <c r="G501" i="36"/>
  <c r="H501" i="36" s="1"/>
  <c r="G321" i="36"/>
  <c r="H321" i="36" s="1"/>
  <c r="G352" i="36"/>
  <c r="H352" i="36" s="1"/>
  <c r="G402" i="36"/>
  <c r="H402" i="36" s="1"/>
  <c r="G452" i="36"/>
  <c r="H452" i="36" s="1"/>
  <c r="G2" i="36"/>
  <c r="H2" i="36" s="1"/>
  <c r="G477" i="36"/>
  <c r="H477" i="36" s="1"/>
  <c r="G442" i="36"/>
  <c r="H442" i="36" s="1"/>
  <c r="G381" i="36"/>
  <c r="H381" i="36" s="1"/>
  <c r="G99" i="36"/>
  <c r="H99" i="36" s="1"/>
  <c r="G136" i="36"/>
  <c r="H136" i="36" s="1"/>
  <c r="G260" i="36"/>
  <c r="H260" i="36" s="1"/>
  <c r="G311" i="36"/>
  <c r="H311" i="36" s="1"/>
  <c r="G356" i="36"/>
  <c r="H356" i="36" s="1"/>
  <c r="G394" i="36"/>
  <c r="H394" i="36" s="1"/>
  <c r="G444" i="36"/>
  <c r="H444" i="36" s="1"/>
  <c r="G10" i="36"/>
  <c r="H10" i="36" s="1"/>
  <c r="G40" i="36"/>
  <c r="H40" i="36" s="1"/>
  <c r="G68" i="36"/>
  <c r="H68" i="36" s="1"/>
  <c r="G87" i="36"/>
  <c r="H87" i="36" s="1"/>
  <c r="G102" i="36"/>
  <c r="H102" i="36" s="1"/>
  <c r="G122" i="36"/>
  <c r="H122" i="36" s="1"/>
  <c r="G139" i="36"/>
  <c r="H139" i="36" s="1"/>
  <c r="G159" i="36"/>
  <c r="H159" i="36" s="1"/>
  <c r="G196" i="36"/>
  <c r="H196" i="36" s="1"/>
  <c r="G228" i="36"/>
  <c r="H228" i="36" s="1"/>
  <c r="G263" i="36"/>
  <c r="H263" i="36" s="1"/>
  <c r="G318" i="36"/>
  <c r="H318" i="36" s="1"/>
  <c r="G361" i="36"/>
  <c r="H361" i="36" s="1"/>
  <c r="G385" i="36"/>
  <c r="H385" i="36" s="1"/>
  <c r="G411" i="36"/>
  <c r="H411" i="36" s="1"/>
  <c r="G423" i="36"/>
  <c r="H423" i="36" s="1"/>
  <c r="G447" i="36"/>
  <c r="H447" i="36" s="1"/>
  <c r="G473" i="36"/>
  <c r="H473" i="36" s="1"/>
  <c r="G497" i="36"/>
  <c r="H497" i="36" s="1"/>
  <c r="G374" i="36"/>
  <c r="H374" i="36" s="1"/>
  <c r="G412" i="36"/>
  <c r="H412" i="36" s="1"/>
  <c r="G462" i="36"/>
  <c r="H462" i="36" s="1"/>
  <c r="G213" i="36"/>
  <c r="H213" i="36" s="1"/>
  <c r="G335" i="36"/>
  <c r="H335" i="36" s="1"/>
  <c r="G413" i="36"/>
  <c r="H413" i="36" s="1"/>
  <c r="G451" i="36"/>
  <c r="H451" i="36" s="1"/>
  <c r="G487" i="36"/>
  <c r="H487" i="36" s="1"/>
  <c r="G288" i="36"/>
  <c r="H288" i="36" s="1"/>
  <c r="G376" i="36"/>
  <c r="H376" i="36" s="1"/>
  <c r="G440" i="36"/>
  <c r="H440" i="36" s="1"/>
  <c r="G441" i="36"/>
  <c r="H441" i="36" s="1"/>
  <c r="G82" i="36"/>
  <c r="H82" i="36" s="1"/>
  <c r="G277" i="36"/>
  <c r="H277" i="36" s="1"/>
  <c r="G329" i="36"/>
  <c r="H329" i="36" s="1"/>
  <c r="G370" i="36"/>
  <c r="H370" i="36" s="1"/>
  <c r="G406" i="36"/>
  <c r="H406" i="36" s="1"/>
  <c r="G456" i="36"/>
  <c r="H456" i="36" s="1"/>
  <c r="G20" i="36"/>
  <c r="H20" i="36" s="1"/>
  <c r="G42" i="36"/>
  <c r="H42" i="36" s="1"/>
  <c r="G69" i="36"/>
  <c r="H69" i="36" s="1"/>
  <c r="G88" i="36"/>
  <c r="H88" i="36" s="1"/>
  <c r="G108" i="36"/>
  <c r="H108" i="36" s="1"/>
  <c r="G123" i="36"/>
  <c r="H123" i="36" s="1"/>
  <c r="G140" i="36"/>
  <c r="H140" i="36" s="1"/>
  <c r="G160" i="36"/>
  <c r="H160" i="36" s="1"/>
  <c r="G177" i="36"/>
  <c r="H177" i="36" s="1"/>
  <c r="G197" i="36"/>
  <c r="H197" i="36" s="1"/>
  <c r="G212" i="36"/>
  <c r="H212" i="36" s="1"/>
  <c r="G232" i="36"/>
  <c r="H232" i="36" s="1"/>
  <c r="G249" i="36"/>
  <c r="H249" i="36" s="1"/>
  <c r="G266" i="36"/>
  <c r="H266" i="36" s="1"/>
  <c r="G286" i="36"/>
  <c r="H286" i="36" s="1"/>
  <c r="G301" i="36"/>
  <c r="H301" i="36" s="1"/>
  <c r="G319" i="36"/>
  <c r="H319" i="36" s="1"/>
  <c r="G333" i="36"/>
  <c r="H333" i="36" s="1"/>
  <c r="G347" i="36"/>
  <c r="H347" i="36" s="1"/>
  <c r="G386" i="36"/>
  <c r="H386" i="36" s="1"/>
  <c r="G424" i="36"/>
  <c r="H424" i="36" s="1"/>
  <c r="G450" i="36"/>
  <c r="H450" i="36" s="1"/>
  <c r="G486" i="36"/>
  <c r="H486" i="36" s="1"/>
  <c r="G233" i="36"/>
  <c r="H233" i="36" s="1"/>
  <c r="G287" i="36"/>
  <c r="H287" i="36" s="1"/>
  <c r="G320" i="36"/>
  <c r="H320" i="36" s="1"/>
  <c r="G363" i="36"/>
  <c r="H363" i="36" s="1"/>
  <c r="G375" i="36"/>
  <c r="H375" i="36" s="1"/>
  <c r="G425" i="36"/>
  <c r="H425" i="36" s="1"/>
  <c r="G463" i="36"/>
  <c r="H463" i="36" s="1"/>
  <c r="G307" i="36"/>
  <c r="H307" i="36" s="1"/>
  <c r="G364" i="36"/>
  <c r="H364" i="36" s="1"/>
  <c r="G414" i="36"/>
  <c r="H414" i="36" s="1"/>
  <c r="G476" i="36"/>
  <c r="H476" i="36" s="1"/>
  <c r="G453" i="36"/>
  <c r="H453" i="36" s="1"/>
  <c r="G454" i="36"/>
  <c r="H454" i="36" s="1"/>
  <c r="G367" i="36"/>
  <c r="H367" i="36" s="1"/>
  <c r="G116" i="36"/>
  <c r="H116" i="36" s="1"/>
  <c r="G223" i="36"/>
  <c r="H223" i="36" s="1"/>
  <c r="G297" i="36"/>
  <c r="H297" i="36" s="1"/>
  <c r="G342" i="36"/>
  <c r="H342" i="36" s="1"/>
  <c r="G382" i="36"/>
  <c r="H382" i="36" s="1"/>
  <c r="G420" i="36"/>
  <c r="H420" i="36" s="1"/>
  <c r="G120" i="36"/>
  <c r="H120" i="36" s="1"/>
  <c r="G22" i="36"/>
  <c r="H22" i="36" s="1"/>
  <c r="G46" i="36"/>
  <c r="H46" i="36" s="1"/>
  <c r="G70" i="36"/>
  <c r="H70" i="36" s="1"/>
  <c r="G89" i="36"/>
  <c r="H89" i="36" s="1"/>
  <c r="G109" i="36"/>
  <c r="H109" i="36" s="1"/>
  <c r="G126" i="36"/>
  <c r="H126" i="36" s="1"/>
  <c r="G146" i="36"/>
  <c r="H146" i="36" s="1"/>
  <c r="G161" i="36"/>
  <c r="H161" i="36" s="1"/>
  <c r="G178" i="36"/>
  <c r="H178" i="36" s="1"/>
  <c r="G198" i="36"/>
  <c r="H198" i="36" s="1"/>
  <c r="G270" i="36"/>
  <c r="H270" i="36" s="1"/>
  <c r="G401" i="36"/>
  <c r="H401" i="36" s="1"/>
  <c r="G426" i="36"/>
  <c r="H426" i="36" s="1"/>
  <c r="G490" i="36"/>
  <c r="H490" i="36" s="1"/>
  <c r="G491" i="36"/>
  <c r="H491" i="36" s="1"/>
  <c r="G492" i="36"/>
  <c r="H492" i="36" s="1"/>
  <c r="G417" i="36"/>
  <c r="H417" i="36" s="1"/>
  <c r="G493" i="36"/>
  <c r="H493" i="36" s="1"/>
  <c r="G58" i="36"/>
  <c r="H58" i="36" s="1"/>
  <c r="G171" i="36"/>
  <c r="H171" i="36" s="1"/>
  <c r="G470" i="36"/>
  <c r="H470" i="36" s="1"/>
  <c r="G83" i="36"/>
  <c r="H83" i="36" s="1"/>
  <c r="G172" i="36"/>
  <c r="H172" i="36" s="1"/>
  <c r="G246" i="36"/>
  <c r="H246" i="36" s="1"/>
  <c r="G312" i="36"/>
  <c r="H312" i="36" s="1"/>
  <c r="G357" i="36"/>
  <c r="H357" i="36" s="1"/>
  <c r="G407" i="36"/>
  <c r="H407" i="36" s="1"/>
  <c r="G457" i="36"/>
  <c r="H457" i="36" s="1"/>
  <c r="G26" i="36"/>
  <c r="H26" i="36" s="1"/>
  <c r="G50" i="36"/>
  <c r="H50" i="36" s="1"/>
  <c r="G72" i="36"/>
  <c r="H72" i="36" s="1"/>
  <c r="G90" i="36"/>
  <c r="H90" i="36" s="1"/>
  <c r="G110" i="36"/>
  <c r="H110" i="36" s="1"/>
  <c r="G127" i="36"/>
  <c r="H127" i="36" s="1"/>
  <c r="G147" i="36"/>
  <c r="H147" i="36" s="1"/>
  <c r="G162" i="36"/>
  <c r="H162" i="36" s="1"/>
  <c r="G182" i="36"/>
  <c r="H182" i="36" s="1"/>
  <c r="G199" i="36"/>
  <c r="H199" i="36" s="1"/>
  <c r="G216" i="36"/>
  <c r="H216" i="36" s="1"/>
  <c r="G236" i="36"/>
  <c r="H236" i="36" s="1"/>
  <c r="G251" i="36"/>
  <c r="H251" i="36" s="1"/>
  <c r="G271" i="36"/>
  <c r="H271" i="36" s="1"/>
  <c r="G336" i="36"/>
  <c r="H336" i="36" s="1"/>
  <c r="G390" i="36"/>
  <c r="H390" i="36" s="1"/>
  <c r="G464" i="36"/>
  <c r="H464" i="36" s="1"/>
  <c r="G430" i="36"/>
  <c r="H430" i="36" s="1"/>
  <c r="G393" i="36"/>
  <c r="H393" i="36" s="1"/>
  <c r="G455" i="36"/>
  <c r="H455" i="36" s="1"/>
  <c r="G27" i="36"/>
  <c r="H27" i="36" s="1"/>
  <c r="G52" i="36"/>
  <c r="H52" i="36" s="1"/>
  <c r="G76" i="36"/>
  <c r="H76" i="36" s="1"/>
  <c r="G96" i="36"/>
  <c r="H96" i="36" s="1"/>
  <c r="G111" i="36"/>
  <c r="H111" i="36" s="1"/>
  <c r="G128" i="36"/>
  <c r="H128" i="36" s="1"/>
  <c r="G148" i="36"/>
  <c r="H148" i="36" s="1"/>
  <c r="G163" i="36"/>
  <c r="H163" i="36" s="1"/>
  <c r="G183" i="36"/>
  <c r="H183" i="36" s="1"/>
  <c r="G200" i="36"/>
  <c r="H200" i="36" s="1"/>
  <c r="G220" i="36"/>
  <c r="H220" i="36" s="1"/>
  <c r="G237" i="36"/>
  <c r="H237" i="36" s="1"/>
  <c r="G252" i="36"/>
  <c r="H252" i="36" s="1"/>
  <c r="G272" i="36"/>
  <c r="H272" i="36" s="1"/>
  <c r="G289" i="36"/>
  <c r="H289" i="36" s="1"/>
  <c r="G308" i="36"/>
  <c r="H308" i="36" s="1"/>
  <c r="G322" i="36"/>
  <c r="H322" i="36" s="1"/>
  <c r="G339" i="36"/>
  <c r="H339" i="36" s="1"/>
  <c r="G353" i="36"/>
  <c r="H353" i="36" s="1"/>
  <c r="G365" i="36"/>
  <c r="H365" i="36" s="1"/>
  <c r="G377" i="36"/>
  <c r="H377" i="36" s="1"/>
  <c r="G391" i="36"/>
  <c r="H391" i="36" s="1"/>
  <c r="G403" i="36"/>
  <c r="H403" i="36" s="1"/>
  <c r="G415" i="36"/>
  <c r="H415" i="36" s="1"/>
  <c r="G427" i="36"/>
  <c r="H427" i="36" s="1"/>
  <c r="G465" i="36"/>
  <c r="H465" i="36" s="1"/>
  <c r="G480" i="36"/>
  <c r="H480" i="36" s="1"/>
  <c r="G405" i="36"/>
  <c r="H405" i="36" s="1"/>
  <c r="G467" i="36"/>
  <c r="H467" i="36" s="1"/>
  <c r="G7" i="36"/>
  <c r="H7" i="36" s="1"/>
  <c r="G188" i="36"/>
  <c r="H188" i="36" s="1"/>
  <c r="G494" i="36"/>
  <c r="H494" i="36" s="1"/>
  <c r="G8" i="36"/>
  <c r="H8" i="36" s="1"/>
  <c r="G100" i="36"/>
  <c r="H100" i="36" s="1"/>
  <c r="G152" i="36"/>
  <c r="H152" i="36" s="1"/>
  <c r="G209" i="36"/>
  <c r="H209" i="36" s="1"/>
  <c r="G298" i="36"/>
  <c r="H298" i="36" s="1"/>
  <c r="G371" i="36"/>
  <c r="H371" i="36" s="1"/>
  <c r="G421" i="36"/>
  <c r="H421" i="36" s="1"/>
  <c r="G471" i="36"/>
  <c r="H471" i="36" s="1"/>
  <c r="G28" i="36"/>
  <c r="H28" i="36" s="1"/>
  <c r="G56" i="36"/>
  <c r="H56" i="36" s="1"/>
  <c r="G77" i="36"/>
  <c r="H77" i="36" s="1"/>
  <c r="G97" i="36"/>
  <c r="H97" i="36" s="1"/>
  <c r="G112" i="36"/>
  <c r="H112" i="36" s="1"/>
  <c r="G132" i="36"/>
  <c r="H132" i="36" s="1"/>
  <c r="G149" i="36"/>
  <c r="H149" i="36" s="1"/>
  <c r="G166" i="36"/>
  <c r="H166" i="36" s="1"/>
  <c r="G186" i="36"/>
  <c r="H186" i="36" s="1"/>
  <c r="G201" i="36"/>
  <c r="H201" i="36" s="1"/>
  <c r="G221" i="36"/>
  <c r="H221" i="36" s="1"/>
  <c r="G238" i="36"/>
  <c r="H238" i="36" s="1"/>
  <c r="G258" i="36"/>
  <c r="H258" i="36" s="1"/>
  <c r="G273" i="36"/>
  <c r="H273" i="36" s="1"/>
  <c r="G290" i="36"/>
  <c r="H290" i="36" s="1"/>
  <c r="G309" i="36"/>
  <c r="H309" i="36" s="1"/>
  <c r="G323" i="36"/>
  <c r="H323" i="36" s="1"/>
  <c r="G340" i="36"/>
  <c r="H340" i="36" s="1"/>
  <c r="G354" i="36"/>
  <c r="H354" i="36" s="1"/>
  <c r="G366" i="36"/>
  <c r="H366" i="36" s="1"/>
  <c r="G380" i="36"/>
  <c r="H380" i="36" s="1"/>
  <c r="G392" i="36"/>
  <c r="H392" i="36" s="1"/>
  <c r="G404" i="36"/>
  <c r="H404" i="36" s="1"/>
  <c r="G416" i="36"/>
  <c r="H416" i="36" s="1"/>
  <c r="G466" i="36"/>
  <c r="H466" i="36" s="1"/>
  <c r="G431" i="36"/>
  <c r="H431" i="36" s="1"/>
  <c r="G481" i="36"/>
  <c r="H481" i="36" s="1"/>
  <c r="G208" i="36"/>
  <c r="H208" i="36" s="1"/>
  <c r="G482" i="36"/>
  <c r="H482" i="36" s="1"/>
  <c r="G59" i="36"/>
  <c r="H59" i="36" s="1"/>
  <c r="G137" i="36"/>
  <c r="H137" i="36" s="1"/>
  <c r="G226" i="36"/>
  <c r="H226" i="36" s="1"/>
  <c r="G278" i="36"/>
  <c r="H278" i="36" s="1"/>
  <c r="G343" i="36"/>
  <c r="H343" i="36" s="1"/>
  <c r="G395" i="36"/>
  <c r="H395" i="36" s="1"/>
  <c r="G445" i="36"/>
  <c r="H445" i="36" s="1"/>
  <c r="G495" i="36"/>
  <c r="H495" i="36" s="1"/>
  <c r="G36" i="36"/>
  <c r="H36" i="36" s="1"/>
  <c r="G57" i="36"/>
  <c r="H57" i="36" s="1"/>
  <c r="G78" i="36"/>
  <c r="H78" i="36" s="1"/>
  <c r="G98" i="36"/>
  <c r="H98" i="36" s="1"/>
  <c r="G113" i="36"/>
  <c r="H113" i="36" s="1"/>
  <c r="G133" i="36"/>
  <c r="H133" i="36" s="1"/>
  <c r="G150" i="36"/>
  <c r="H150" i="36" s="1"/>
  <c r="G170" i="36"/>
  <c r="H170" i="36" s="1"/>
  <c r="G187" i="36"/>
  <c r="H187" i="36" s="1"/>
  <c r="G202" i="36"/>
  <c r="H202" i="36" s="1"/>
  <c r="G222" i="36"/>
  <c r="H222" i="36" s="1"/>
  <c r="G239" i="36"/>
  <c r="H239" i="36" s="1"/>
  <c r="G259" i="36"/>
  <c r="H259" i="36" s="1"/>
  <c r="G276" i="36"/>
  <c r="H276" i="36" s="1"/>
  <c r="G296" i="36"/>
  <c r="H296" i="36" s="1"/>
  <c r="G310" i="36"/>
  <c r="H310" i="36" s="1"/>
  <c r="G325" i="36"/>
  <c r="H325" i="36" s="1"/>
  <c r="G341" i="36"/>
  <c r="H341" i="36" s="1"/>
  <c r="G355" i="36"/>
  <c r="H355" i="36" s="1"/>
  <c r="G443" i="36"/>
  <c r="H443" i="36" s="1"/>
  <c r="G37" i="36"/>
  <c r="H37" i="36" s="1"/>
  <c r="G151" i="36"/>
  <c r="H151" i="36" s="1"/>
  <c r="G432" i="36"/>
  <c r="H432" i="36" s="1"/>
  <c r="G38" i="36"/>
  <c r="H38" i="36" s="1"/>
  <c r="G189" i="36"/>
  <c r="H189" i="36" s="1"/>
  <c r="G261" i="36"/>
  <c r="H261" i="36" s="1"/>
  <c r="G330" i="36"/>
  <c r="H330" i="36" s="1"/>
  <c r="G383" i="36"/>
  <c r="H383" i="36" s="1"/>
  <c r="G433" i="36"/>
  <c r="H433" i="36" s="1"/>
  <c r="G483" i="36"/>
  <c r="H483" i="36" s="1"/>
  <c r="G240" i="36"/>
  <c r="H240" i="36" s="1"/>
  <c r="M5" i="27"/>
  <c r="N5" i="27" s="1"/>
  <c r="M6" i="27"/>
  <c r="N6" i="27" s="1"/>
  <c r="M7" i="27"/>
  <c r="M65" i="36" l="1"/>
  <c r="L66" i="36" s="1"/>
  <c r="N65" i="36"/>
  <c r="I22" i="37"/>
  <c r="J22" i="37"/>
  <c r="K22" i="37" s="1"/>
  <c r="J244" i="37"/>
  <c r="K244" i="37" s="1"/>
  <c r="I244" i="37"/>
  <c r="J464" i="37"/>
  <c r="K464" i="37" s="1"/>
  <c r="I464" i="37"/>
  <c r="J83" i="37"/>
  <c r="K83" i="37" s="1"/>
  <c r="I83" i="37"/>
  <c r="I139" i="37"/>
  <c r="J139" i="37"/>
  <c r="K139" i="37" s="1"/>
  <c r="J207" i="37"/>
  <c r="K207" i="37" s="1"/>
  <c r="I207" i="37"/>
  <c r="J283" i="37"/>
  <c r="K283" i="37" s="1"/>
  <c r="I283" i="37"/>
  <c r="J442" i="37"/>
  <c r="K442" i="37" s="1"/>
  <c r="I442" i="37"/>
  <c r="J499" i="37"/>
  <c r="K499" i="37" s="1"/>
  <c r="I499" i="37"/>
  <c r="J317" i="37"/>
  <c r="K317" i="37" s="1"/>
  <c r="I317" i="37"/>
  <c r="J437" i="37"/>
  <c r="K437" i="37" s="1"/>
  <c r="I437" i="37"/>
  <c r="J486" i="37"/>
  <c r="K486" i="37" s="1"/>
  <c r="I486" i="37"/>
  <c r="J367" i="37"/>
  <c r="K367" i="37" s="1"/>
  <c r="I367" i="37"/>
  <c r="J448" i="37"/>
  <c r="K448" i="37" s="1"/>
  <c r="I448" i="37"/>
  <c r="J193" i="37"/>
  <c r="K193" i="37" s="1"/>
  <c r="I193" i="37"/>
  <c r="J243" i="37"/>
  <c r="K243" i="37" s="1"/>
  <c r="I243" i="37"/>
  <c r="J352" i="37"/>
  <c r="K352" i="37" s="1"/>
  <c r="I352" i="37"/>
  <c r="J476" i="37"/>
  <c r="K476" i="37" s="1"/>
  <c r="I476" i="37"/>
  <c r="I332" i="37"/>
  <c r="J332" i="37"/>
  <c r="K332" i="37" s="1"/>
  <c r="I418" i="37"/>
  <c r="J418" i="37"/>
  <c r="K418" i="37" s="1"/>
  <c r="J385" i="37"/>
  <c r="K385" i="37" s="1"/>
  <c r="I385" i="37"/>
  <c r="I308" i="37"/>
  <c r="J308" i="37"/>
  <c r="K308" i="37" s="1"/>
  <c r="J291" i="37"/>
  <c r="K291" i="37" s="1"/>
  <c r="I291" i="37"/>
  <c r="J459" i="37"/>
  <c r="K459" i="37" s="1"/>
  <c r="I459" i="37"/>
  <c r="J478" i="37"/>
  <c r="K478" i="37" s="1"/>
  <c r="I478" i="37"/>
  <c r="J320" i="37"/>
  <c r="K320" i="37" s="1"/>
  <c r="I320" i="37"/>
  <c r="J444" i="37"/>
  <c r="K444" i="37" s="1"/>
  <c r="I444" i="37"/>
  <c r="J276" i="37"/>
  <c r="K276" i="37" s="1"/>
  <c r="I276" i="37"/>
  <c r="J370" i="37"/>
  <c r="K370" i="37" s="1"/>
  <c r="I370" i="37"/>
  <c r="I452" i="37"/>
  <c r="J452" i="37"/>
  <c r="K452" i="37" s="1"/>
  <c r="J198" i="37"/>
  <c r="K198" i="37" s="1"/>
  <c r="I198" i="37"/>
  <c r="J248" i="37"/>
  <c r="K248" i="37" s="1"/>
  <c r="I248" i="37"/>
  <c r="J355" i="37"/>
  <c r="K355" i="37" s="1"/>
  <c r="I355" i="37"/>
  <c r="J480" i="37"/>
  <c r="K480" i="37" s="1"/>
  <c r="I480" i="37"/>
  <c r="J343" i="37"/>
  <c r="K343" i="37" s="1"/>
  <c r="I343" i="37"/>
  <c r="I429" i="37"/>
  <c r="J429" i="37"/>
  <c r="K429" i="37" s="1"/>
  <c r="J396" i="37"/>
  <c r="K396" i="37" s="1"/>
  <c r="I396" i="37"/>
  <c r="I383" i="37"/>
  <c r="J383" i="37"/>
  <c r="K383" i="37" s="1"/>
  <c r="J148" i="37"/>
  <c r="K148" i="37" s="1"/>
  <c r="I148" i="37"/>
  <c r="J109" i="37"/>
  <c r="K109" i="37" s="1"/>
  <c r="I109" i="37"/>
  <c r="J151" i="37"/>
  <c r="K151" i="37" s="1"/>
  <c r="I151" i="37"/>
  <c r="J6" i="37"/>
  <c r="K6" i="37" s="1"/>
  <c r="I6" i="37"/>
  <c r="I70" i="37"/>
  <c r="J70" i="37"/>
  <c r="K70" i="37" s="1"/>
  <c r="I210" i="37"/>
  <c r="J210" i="37"/>
  <c r="K210" i="37" s="1"/>
  <c r="J107" i="37"/>
  <c r="K107" i="37" s="1"/>
  <c r="I107" i="37"/>
  <c r="J51" i="37"/>
  <c r="K51" i="37" s="1"/>
  <c r="I51" i="37"/>
  <c r="J26" i="37"/>
  <c r="K26" i="37" s="1"/>
  <c r="I26" i="37"/>
  <c r="I144" i="37"/>
  <c r="J144" i="37"/>
  <c r="K144" i="37" s="1"/>
  <c r="J36" i="37"/>
  <c r="K36" i="37" s="1"/>
  <c r="I36" i="37"/>
  <c r="J53" i="37"/>
  <c r="K53" i="37" s="1"/>
  <c r="I53" i="37"/>
  <c r="J49" i="37"/>
  <c r="K49" i="37" s="1"/>
  <c r="I49" i="37"/>
  <c r="J384" i="37"/>
  <c r="K384" i="37" s="1"/>
  <c r="I384" i="37"/>
  <c r="J199" i="37"/>
  <c r="K199" i="37" s="1"/>
  <c r="I199" i="37"/>
  <c r="I372" i="37"/>
  <c r="J372" i="37"/>
  <c r="K372" i="37" s="1"/>
  <c r="J217" i="37"/>
  <c r="K217" i="37" s="1"/>
  <c r="I217" i="37"/>
  <c r="J124" i="37"/>
  <c r="K124" i="37" s="1"/>
  <c r="I124" i="37"/>
  <c r="J411" i="37"/>
  <c r="K411" i="37" s="1"/>
  <c r="I411" i="37"/>
  <c r="J69" i="37"/>
  <c r="K69" i="37" s="1"/>
  <c r="I69" i="37"/>
  <c r="I32" i="37"/>
  <c r="J32" i="37"/>
  <c r="K32" i="37" s="1"/>
  <c r="I174" i="37"/>
  <c r="J174" i="37"/>
  <c r="K174" i="37" s="1"/>
  <c r="I11" i="37"/>
  <c r="J11" i="37"/>
  <c r="K11" i="37" s="1"/>
  <c r="I158" i="37"/>
  <c r="J158" i="37"/>
  <c r="K158" i="37" s="1"/>
  <c r="I34" i="37"/>
  <c r="J34" i="37"/>
  <c r="K34" i="37" s="1"/>
  <c r="J197" i="37"/>
  <c r="K197" i="37" s="1"/>
  <c r="I197" i="37"/>
  <c r="I439" i="37"/>
  <c r="J439" i="37"/>
  <c r="K439" i="37" s="1"/>
  <c r="I75" i="37"/>
  <c r="J75" i="37"/>
  <c r="K75" i="37" s="1"/>
  <c r="I297" i="37"/>
  <c r="J297" i="37"/>
  <c r="K297" i="37" s="1"/>
  <c r="J81" i="37"/>
  <c r="K81" i="37" s="1"/>
  <c r="I81" i="37"/>
  <c r="I181" i="37"/>
  <c r="J181" i="37"/>
  <c r="K181" i="37" s="1"/>
  <c r="I286" i="37"/>
  <c r="J286" i="37"/>
  <c r="K286" i="37" s="1"/>
  <c r="J152" i="37"/>
  <c r="K152" i="37" s="1"/>
  <c r="I152" i="37"/>
  <c r="J314" i="37"/>
  <c r="K314" i="37" s="1"/>
  <c r="I314" i="37"/>
  <c r="J331" i="37"/>
  <c r="K331" i="37" s="1"/>
  <c r="I331" i="37"/>
  <c r="J394" i="37"/>
  <c r="K394" i="37" s="1"/>
  <c r="I394" i="37"/>
  <c r="J351" i="37"/>
  <c r="K351" i="37" s="1"/>
  <c r="I351" i="37"/>
  <c r="J494" i="37"/>
  <c r="K494" i="37" s="1"/>
  <c r="I494" i="37"/>
  <c r="J93" i="37"/>
  <c r="K93" i="37" s="1"/>
  <c r="I93" i="37"/>
  <c r="J153" i="37"/>
  <c r="K153" i="37" s="1"/>
  <c r="I153" i="37"/>
  <c r="J226" i="37"/>
  <c r="K226" i="37" s="1"/>
  <c r="I226" i="37"/>
  <c r="J295" i="37"/>
  <c r="K295" i="37" s="1"/>
  <c r="I295" i="37"/>
  <c r="J467" i="37"/>
  <c r="K467" i="37" s="1"/>
  <c r="I467" i="37"/>
  <c r="J492" i="37"/>
  <c r="K492" i="37" s="1"/>
  <c r="I492" i="37"/>
  <c r="I323" i="37"/>
  <c r="J323" i="37"/>
  <c r="K323" i="37" s="1"/>
  <c r="J458" i="37"/>
  <c r="K458" i="37" s="1"/>
  <c r="I458" i="37"/>
  <c r="J287" i="37"/>
  <c r="K287" i="37" s="1"/>
  <c r="I287" i="37"/>
  <c r="I373" i="37"/>
  <c r="J373" i="37"/>
  <c r="K373" i="37" s="1"/>
  <c r="J462" i="37"/>
  <c r="K462" i="37" s="1"/>
  <c r="I462" i="37"/>
  <c r="J203" i="37"/>
  <c r="K203" i="37" s="1"/>
  <c r="I203" i="37"/>
  <c r="I253" i="37"/>
  <c r="J253" i="37"/>
  <c r="K253" i="37" s="1"/>
  <c r="J358" i="37"/>
  <c r="K358" i="37" s="1"/>
  <c r="I358" i="37"/>
  <c r="I490" i="37"/>
  <c r="J490" i="37"/>
  <c r="K490" i="37" s="1"/>
  <c r="J354" i="37"/>
  <c r="K354" i="37" s="1"/>
  <c r="I354" i="37"/>
  <c r="J432" i="37"/>
  <c r="K432" i="37" s="1"/>
  <c r="I432" i="37"/>
  <c r="I410" i="37"/>
  <c r="J410" i="37"/>
  <c r="K410" i="37" s="1"/>
  <c r="J140" i="37"/>
  <c r="K140" i="37" s="1"/>
  <c r="I140" i="37"/>
  <c r="I80" i="37"/>
  <c r="J80" i="37"/>
  <c r="K80" i="37" s="1"/>
  <c r="J395" i="37"/>
  <c r="K395" i="37" s="1"/>
  <c r="I395" i="37"/>
  <c r="I375" i="37"/>
  <c r="J375" i="37"/>
  <c r="K375" i="37" s="1"/>
  <c r="J192" i="37"/>
  <c r="K192" i="37" s="1"/>
  <c r="I192" i="37"/>
  <c r="J374" i="37"/>
  <c r="K374" i="37" s="1"/>
  <c r="I374" i="37"/>
  <c r="I120" i="37"/>
  <c r="J120" i="37"/>
  <c r="K120" i="37" s="1"/>
  <c r="I170" i="37"/>
  <c r="J170" i="37"/>
  <c r="K170" i="37" s="1"/>
  <c r="J67" i="37"/>
  <c r="K67" i="37" s="1"/>
  <c r="I67" i="37"/>
  <c r="J227" i="37"/>
  <c r="K227" i="37" s="1"/>
  <c r="I227" i="37"/>
  <c r="J184" i="37"/>
  <c r="K184" i="37" s="1"/>
  <c r="I184" i="37"/>
  <c r="I186" i="37"/>
  <c r="J186" i="37"/>
  <c r="K186" i="37" s="1"/>
  <c r="J44" i="37"/>
  <c r="K44" i="37" s="1"/>
  <c r="I44" i="37"/>
  <c r="J214" i="37"/>
  <c r="K214" i="37" s="1"/>
  <c r="I214" i="37"/>
  <c r="J405" i="37"/>
  <c r="K405" i="37" s="1"/>
  <c r="I405" i="37"/>
  <c r="I89" i="37"/>
  <c r="J89" i="37"/>
  <c r="K89" i="37" s="1"/>
  <c r="I302" i="37"/>
  <c r="J302" i="37"/>
  <c r="K302" i="37" s="1"/>
  <c r="J92" i="37"/>
  <c r="K92" i="37" s="1"/>
  <c r="I92" i="37"/>
  <c r="J189" i="37"/>
  <c r="K189" i="37" s="1"/>
  <c r="I189" i="37"/>
  <c r="J334" i="37"/>
  <c r="K334" i="37" s="1"/>
  <c r="I334" i="37"/>
  <c r="J166" i="37"/>
  <c r="K166" i="37" s="1"/>
  <c r="I166" i="37"/>
  <c r="J328" i="37"/>
  <c r="K328" i="37" s="1"/>
  <c r="I328" i="37"/>
  <c r="J340" i="37"/>
  <c r="K340" i="37" s="1"/>
  <c r="I340" i="37"/>
  <c r="J428" i="37"/>
  <c r="K428" i="37" s="1"/>
  <c r="I428" i="37"/>
  <c r="J360" i="37"/>
  <c r="K360" i="37" s="1"/>
  <c r="I360" i="37"/>
  <c r="I388" i="37"/>
  <c r="J388" i="37"/>
  <c r="K388" i="37" s="1"/>
  <c r="J98" i="37"/>
  <c r="K98" i="37" s="1"/>
  <c r="I98" i="37"/>
  <c r="J164" i="37"/>
  <c r="K164" i="37" s="1"/>
  <c r="I164" i="37"/>
  <c r="J229" i="37"/>
  <c r="K229" i="37" s="1"/>
  <c r="I229" i="37"/>
  <c r="J300" i="37"/>
  <c r="K300" i="37" s="1"/>
  <c r="I300" i="37"/>
  <c r="J474" i="37"/>
  <c r="K474" i="37" s="1"/>
  <c r="I474" i="37"/>
  <c r="J416" i="37"/>
  <c r="K416" i="37" s="1"/>
  <c r="I416" i="37"/>
  <c r="J326" i="37"/>
  <c r="K326" i="37" s="1"/>
  <c r="I326" i="37"/>
  <c r="J472" i="37"/>
  <c r="K472" i="37" s="1"/>
  <c r="I472" i="37"/>
  <c r="J296" i="37"/>
  <c r="K296" i="37" s="1"/>
  <c r="I296" i="37"/>
  <c r="J376" i="37"/>
  <c r="K376" i="37" s="1"/>
  <c r="I376" i="37"/>
  <c r="I469" i="37"/>
  <c r="J469" i="37"/>
  <c r="K469" i="37" s="1"/>
  <c r="J208" i="37"/>
  <c r="K208" i="37" s="1"/>
  <c r="I208" i="37"/>
  <c r="I258" i="37"/>
  <c r="J258" i="37"/>
  <c r="K258" i="37" s="1"/>
  <c r="J361" i="37"/>
  <c r="K361" i="37" s="1"/>
  <c r="I361" i="37"/>
  <c r="J501" i="37"/>
  <c r="K501" i="37" s="1"/>
  <c r="I501" i="37"/>
  <c r="J357" i="37"/>
  <c r="K357" i="37" s="1"/>
  <c r="I357" i="37"/>
  <c r="J443" i="37"/>
  <c r="K443" i="37" s="1"/>
  <c r="I443" i="37"/>
  <c r="J421" i="37"/>
  <c r="K421" i="37" s="1"/>
  <c r="I421" i="37"/>
  <c r="J57" i="37"/>
  <c r="K57" i="37" s="1"/>
  <c r="I57" i="37"/>
  <c r="J316" i="37"/>
  <c r="K316" i="37" s="1"/>
  <c r="I316" i="37"/>
  <c r="I50" i="37"/>
  <c r="J50" i="37"/>
  <c r="K50" i="37" s="1"/>
  <c r="I240" i="37"/>
  <c r="J240" i="37"/>
  <c r="K240" i="37" s="1"/>
  <c r="I37" i="37"/>
  <c r="J37" i="37"/>
  <c r="K37" i="37" s="1"/>
  <c r="J306" i="37"/>
  <c r="K306" i="37" s="1"/>
  <c r="I306" i="37"/>
  <c r="J252" i="37"/>
  <c r="K252" i="37" s="1"/>
  <c r="I252" i="37"/>
  <c r="J149" i="37"/>
  <c r="K149" i="37" s="1"/>
  <c r="I149" i="37"/>
  <c r="J177" i="37"/>
  <c r="K177" i="37" s="1"/>
  <c r="I177" i="37"/>
  <c r="J88" i="37"/>
  <c r="K88" i="37" s="1"/>
  <c r="I88" i="37"/>
  <c r="J33" i="37"/>
  <c r="K33" i="37" s="1"/>
  <c r="I33" i="37"/>
  <c r="I20" i="37"/>
  <c r="J20" i="37"/>
  <c r="K20" i="37" s="1"/>
  <c r="I225" i="37"/>
  <c r="J225" i="37"/>
  <c r="K225" i="37" s="1"/>
  <c r="J171" i="37"/>
  <c r="K171" i="37" s="1"/>
  <c r="I171" i="37"/>
  <c r="J231" i="37"/>
  <c r="K231" i="37" s="1"/>
  <c r="I231" i="37"/>
  <c r="I115" i="37"/>
  <c r="J115" i="37"/>
  <c r="K115" i="37" s="1"/>
  <c r="I219" i="37"/>
  <c r="J219" i="37"/>
  <c r="K219" i="37" s="1"/>
  <c r="J10" i="37"/>
  <c r="K10" i="37" s="1"/>
  <c r="I10" i="37"/>
  <c r="J94" i="37"/>
  <c r="K94" i="37" s="1"/>
  <c r="I94" i="37"/>
  <c r="J58" i="37"/>
  <c r="K58" i="37" s="1"/>
  <c r="I58" i="37"/>
  <c r="I215" i="37"/>
  <c r="J215" i="37"/>
  <c r="K215" i="37" s="1"/>
  <c r="J47" i="37"/>
  <c r="K47" i="37" s="1"/>
  <c r="I47" i="37"/>
  <c r="I265" i="37"/>
  <c r="J265" i="37"/>
  <c r="K265" i="37" s="1"/>
  <c r="J157" i="37"/>
  <c r="K157" i="37" s="1"/>
  <c r="I157" i="37"/>
  <c r="J2" i="37"/>
  <c r="K2" i="37" s="1"/>
  <c r="J143" i="37"/>
  <c r="K143" i="37" s="1"/>
  <c r="I143" i="37"/>
  <c r="I66" i="37"/>
  <c r="J66" i="37"/>
  <c r="K66" i="37" s="1"/>
  <c r="I190" i="37"/>
  <c r="J190" i="37"/>
  <c r="K190" i="37" s="1"/>
  <c r="J25" i="37"/>
  <c r="K25" i="37" s="1"/>
  <c r="I25" i="37"/>
  <c r="J196" i="37"/>
  <c r="K196" i="37" s="1"/>
  <c r="I196" i="37"/>
  <c r="J55" i="37"/>
  <c r="K55" i="37" s="1"/>
  <c r="I55" i="37"/>
  <c r="I230" i="37"/>
  <c r="J230" i="37"/>
  <c r="K230" i="37" s="1"/>
  <c r="J266" i="37"/>
  <c r="K266" i="37" s="1"/>
  <c r="I266" i="37"/>
  <c r="I100" i="37"/>
  <c r="J100" i="37"/>
  <c r="K100" i="37" s="1"/>
  <c r="I319" i="37"/>
  <c r="J319" i="37"/>
  <c r="K319" i="37" s="1"/>
  <c r="J106" i="37"/>
  <c r="K106" i="37" s="1"/>
  <c r="I106" i="37"/>
  <c r="I200" i="37"/>
  <c r="J200" i="37"/>
  <c r="K200" i="37" s="1"/>
  <c r="I369" i="37"/>
  <c r="J369" i="37"/>
  <c r="K369" i="37" s="1"/>
  <c r="J249" i="37"/>
  <c r="K249" i="37" s="1"/>
  <c r="I249" i="37"/>
  <c r="J470" i="37"/>
  <c r="K470" i="37" s="1"/>
  <c r="I470" i="37"/>
  <c r="J344" i="37"/>
  <c r="K344" i="37" s="1"/>
  <c r="I344" i="37"/>
  <c r="J487" i="37"/>
  <c r="K487" i="37" s="1"/>
  <c r="I487" i="37"/>
  <c r="J387" i="37"/>
  <c r="K387" i="37" s="1"/>
  <c r="I387" i="37"/>
  <c r="J408" i="37"/>
  <c r="K408" i="37" s="1"/>
  <c r="I408" i="37"/>
  <c r="I103" i="37"/>
  <c r="J103" i="37"/>
  <c r="K103" i="37" s="1"/>
  <c r="J176" i="37"/>
  <c r="K176" i="37" s="1"/>
  <c r="I176" i="37"/>
  <c r="J232" i="37"/>
  <c r="K232" i="37" s="1"/>
  <c r="I232" i="37"/>
  <c r="J313" i="37"/>
  <c r="K313" i="37" s="1"/>
  <c r="I313" i="37"/>
  <c r="J484" i="37"/>
  <c r="K484" i="37" s="1"/>
  <c r="I484" i="37"/>
  <c r="J426" i="37"/>
  <c r="K426" i="37" s="1"/>
  <c r="I426" i="37"/>
  <c r="J392" i="37"/>
  <c r="K392" i="37" s="1"/>
  <c r="I392" i="37"/>
  <c r="J489" i="37"/>
  <c r="K489" i="37" s="1"/>
  <c r="I489" i="37"/>
  <c r="I299" i="37"/>
  <c r="J299" i="37"/>
  <c r="K299" i="37" s="1"/>
  <c r="I389" i="37"/>
  <c r="J389" i="37"/>
  <c r="K389" i="37" s="1"/>
  <c r="J483" i="37"/>
  <c r="K483" i="37" s="1"/>
  <c r="I483" i="37"/>
  <c r="I213" i="37"/>
  <c r="J213" i="37"/>
  <c r="K213" i="37" s="1"/>
  <c r="J263" i="37"/>
  <c r="K263" i="37" s="1"/>
  <c r="I263" i="37"/>
  <c r="J364" i="37"/>
  <c r="K364" i="37" s="1"/>
  <c r="I364" i="37"/>
  <c r="J498" i="37"/>
  <c r="K498" i="37" s="1"/>
  <c r="I498" i="37"/>
  <c r="J368" i="37"/>
  <c r="K368" i="37" s="1"/>
  <c r="I368" i="37"/>
  <c r="I454" i="37"/>
  <c r="J454" i="37"/>
  <c r="K454" i="37" s="1"/>
  <c r="I435" i="37"/>
  <c r="J435" i="37"/>
  <c r="K435" i="37" s="1"/>
  <c r="J21" i="37"/>
  <c r="K21" i="37" s="1"/>
  <c r="I21" i="37"/>
  <c r="J35" i="37"/>
  <c r="K35" i="37" s="1"/>
  <c r="I35" i="37"/>
  <c r="J154" i="37"/>
  <c r="K154" i="37" s="1"/>
  <c r="I154" i="37"/>
  <c r="J303" i="37"/>
  <c r="K303" i="37" s="1"/>
  <c r="I303" i="37"/>
  <c r="J102" i="37"/>
  <c r="K102" i="37" s="1"/>
  <c r="I102" i="37"/>
  <c r="I54" i="37"/>
  <c r="J54" i="37"/>
  <c r="K54" i="37" s="1"/>
  <c r="J463" i="37"/>
  <c r="K463" i="37" s="1"/>
  <c r="I463" i="37"/>
  <c r="J477" i="37"/>
  <c r="K477" i="37" s="1"/>
  <c r="I477" i="37"/>
  <c r="J99" i="37"/>
  <c r="K99" i="37" s="1"/>
  <c r="I99" i="37"/>
  <c r="J39" i="37"/>
  <c r="K39" i="37" s="1"/>
  <c r="I39" i="37"/>
  <c r="I250" i="37"/>
  <c r="J250" i="37"/>
  <c r="K250" i="37" s="1"/>
  <c r="J160" i="37"/>
  <c r="K160" i="37" s="1"/>
  <c r="I160" i="37"/>
  <c r="J289" i="37"/>
  <c r="K289" i="37" s="1"/>
  <c r="I289" i="37"/>
  <c r="J206" i="37"/>
  <c r="K206" i="37" s="1"/>
  <c r="I206" i="37"/>
  <c r="J8" i="37"/>
  <c r="K8" i="37" s="1"/>
  <c r="I8" i="37"/>
  <c r="J147" i="37"/>
  <c r="K147" i="37" s="1"/>
  <c r="I147" i="37"/>
  <c r="J77" i="37"/>
  <c r="K77" i="37" s="1"/>
  <c r="I77" i="37"/>
  <c r="J247" i="37"/>
  <c r="K247" i="37" s="1"/>
  <c r="I247" i="37"/>
  <c r="I31" i="37"/>
  <c r="J31" i="37"/>
  <c r="K31" i="37" s="1"/>
  <c r="J202" i="37"/>
  <c r="K202" i="37" s="1"/>
  <c r="I202" i="37"/>
  <c r="I74" i="37"/>
  <c r="J74" i="37"/>
  <c r="K74" i="37" s="1"/>
  <c r="I255" i="37"/>
  <c r="J255" i="37"/>
  <c r="K255" i="37" s="1"/>
  <c r="J270" i="37"/>
  <c r="K270" i="37" s="1"/>
  <c r="I270" i="37"/>
  <c r="I114" i="37"/>
  <c r="J114" i="37"/>
  <c r="K114" i="37" s="1"/>
  <c r="I342" i="37"/>
  <c r="J342" i="37"/>
  <c r="K342" i="37" s="1"/>
  <c r="J117" i="37"/>
  <c r="K117" i="37" s="1"/>
  <c r="I117" i="37"/>
  <c r="J212" i="37"/>
  <c r="K212" i="37" s="1"/>
  <c r="I212" i="37"/>
  <c r="I378" i="37"/>
  <c r="J378" i="37"/>
  <c r="K378" i="37" s="1"/>
  <c r="J254" i="37"/>
  <c r="K254" i="37" s="1"/>
  <c r="I254" i="37"/>
  <c r="J142" i="37"/>
  <c r="K142" i="37" s="1"/>
  <c r="I142" i="37"/>
  <c r="J349" i="37"/>
  <c r="K349" i="37" s="1"/>
  <c r="I349" i="37"/>
  <c r="J359" i="37"/>
  <c r="K359" i="37" s="1"/>
  <c r="I359" i="37"/>
  <c r="I402" i="37"/>
  <c r="J402" i="37"/>
  <c r="K402" i="37" s="1"/>
  <c r="I414" i="37"/>
  <c r="J414" i="37"/>
  <c r="K414" i="37" s="1"/>
  <c r="J108" i="37"/>
  <c r="K108" i="37" s="1"/>
  <c r="I108" i="37"/>
  <c r="J179" i="37"/>
  <c r="K179" i="37" s="1"/>
  <c r="I179" i="37"/>
  <c r="I235" i="37"/>
  <c r="J235" i="37"/>
  <c r="K235" i="37" s="1"/>
  <c r="J322" i="37"/>
  <c r="K322" i="37" s="1"/>
  <c r="I322" i="37"/>
  <c r="J488" i="37"/>
  <c r="K488" i="37" s="1"/>
  <c r="I488" i="37"/>
  <c r="J430" i="37"/>
  <c r="K430" i="37" s="1"/>
  <c r="I430" i="37"/>
  <c r="J399" i="37"/>
  <c r="K399" i="37" s="1"/>
  <c r="I399" i="37"/>
  <c r="J500" i="37"/>
  <c r="K500" i="37" s="1"/>
  <c r="I500" i="37"/>
  <c r="J327" i="37"/>
  <c r="K327" i="37" s="1"/>
  <c r="I327" i="37"/>
  <c r="I403" i="37"/>
  <c r="J403" i="37"/>
  <c r="K403" i="37" s="1"/>
  <c r="J497" i="37"/>
  <c r="K497" i="37" s="1"/>
  <c r="I497" i="37"/>
  <c r="J218" i="37"/>
  <c r="K218" i="37" s="1"/>
  <c r="I218" i="37"/>
  <c r="J268" i="37"/>
  <c r="K268" i="37" s="1"/>
  <c r="I268" i="37"/>
  <c r="J386" i="37"/>
  <c r="K386" i="37" s="1"/>
  <c r="I386" i="37"/>
  <c r="J293" i="37"/>
  <c r="K293" i="37" s="1"/>
  <c r="I293" i="37"/>
  <c r="J379" i="37"/>
  <c r="K379" i="37" s="1"/>
  <c r="I379" i="37"/>
  <c r="J457" i="37"/>
  <c r="K457" i="37" s="1"/>
  <c r="I457" i="37"/>
  <c r="J446" i="37"/>
  <c r="K446" i="37" s="1"/>
  <c r="I446" i="37"/>
  <c r="J4" i="37"/>
  <c r="K4" i="37" s="1"/>
  <c r="I4" i="37"/>
  <c r="J241" i="37"/>
  <c r="K241" i="37" s="1"/>
  <c r="I241" i="37"/>
  <c r="I169" i="37"/>
  <c r="J169" i="37"/>
  <c r="K169" i="37" s="1"/>
  <c r="J12" i="37"/>
  <c r="K12" i="37" s="1"/>
  <c r="I12" i="37"/>
  <c r="J168" i="37"/>
  <c r="K168" i="37" s="1"/>
  <c r="I168" i="37"/>
  <c r="I271" i="37"/>
  <c r="J271" i="37"/>
  <c r="K271" i="37" s="1"/>
  <c r="J380" i="37"/>
  <c r="K380" i="37" s="1"/>
  <c r="I380" i="37"/>
  <c r="J87" i="37"/>
  <c r="K87" i="37" s="1"/>
  <c r="I87" i="37"/>
  <c r="I59" i="37"/>
  <c r="J59" i="37"/>
  <c r="K59" i="37" s="1"/>
  <c r="J79" i="37"/>
  <c r="K79" i="37" s="1"/>
  <c r="I79" i="37"/>
  <c r="I245" i="37"/>
  <c r="J245" i="37"/>
  <c r="K245" i="37" s="1"/>
  <c r="I110" i="37"/>
  <c r="J110" i="37"/>
  <c r="K110" i="37" s="1"/>
  <c r="J315" i="37"/>
  <c r="K315" i="37" s="1"/>
  <c r="I315" i="37"/>
  <c r="J16" i="37"/>
  <c r="K16" i="37" s="1"/>
  <c r="I16" i="37"/>
  <c r="J14" i="37"/>
  <c r="K14" i="37" s="1"/>
  <c r="I14" i="37"/>
  <c r="J91" i="37"/>
  <c r="K91" i="37" s="1"/>
  <c r="I91" i="37"/>
  <c r="I7" i="37"/>
  <c r="J7" i="37"/>
  <c r="K7" i="37" s="1"/>
  <c r="J165" i="37"/>
  <c r="K165" i="37" s="1"/>
  <c r="I165" i="37"/>
  <c r="J76" i="37"/>
  <c r="K76" i="37" s="1"/>
  <c r="I76" i="37"/>
  <c r="J257" i="37"/>
  <c r="K257" i="37" s="1"/>
  <c r="I257" i="37"/>
  <c r="J104" i="37"/>
  <c r="K104" i="37" s="1"/>
  <c r="I104" i="37"/>
  <c r="J345" i="37"/>
  <c r="K345" i="37" s="1"/>
  <c r="I345" i="37"/>
  <c r="J222" i="37"/>
  <c r="K222" i="37" s="1"/>
  <c r="I222" i="37"/>
  <c r="J13" i="37"/>
  <c r="K13" i="37" s="1"/>
  <c r="I13" i="37"/>
  <c r="J163" i="37"/>
  <c r="K163" i="37" s="1"/>
  <c r="I163" i="37"/>
  <c r="I85" i="37"/>
  <c r="J85" i="37"/>
  <c r="K85" i="37" s="1"/>
  <c r="I284" i="37"/>
  <c r="J284" i="37"/>
  <c r="K284" i="37" s="1"/>
  <c r="J41" i="37"/>
  <c r="K41" i="37" s="1"/>
  <c r="I41" i="37"/>
  <c r="J261" i="37"/>
  <c r="K261" i="37" s="1"/>
  <c r="I261" i="37"/>
  <c r="J82" i="37"/>
  <c r="K82" i="37" s="1"/>
  <c r="I82" i="37"/>
  <c r="J269" i="37"/>
  <c r="K269" i="37" s="1"/>
  <c r="I269" i="37"/>
  <c r="J301" i="37"/>
  <c r="K301" i="37" s="1"/>
  <c r="I301" i="37"/>
  <c r="I125" i="37"/>
  <c r="J125" i="37"/>
  <c r="K125" i="37" s="1"/>
  <c r="J397" i="37"/>
  <c r="K397" i="37" s="1"/>
  <c r="I397" i="37"/>
  <c r="J138" i="37"/>
  <c r="K138" i="37" s="1"/>
  <c r="I138" i="37"/>
  <c r="I216" i="37"/>
  <c r="J216" i="37"/>
  <c r="K216" i="37" s="1"/>
  <c r="J449" i="37"/>
  <c r="K449" i="37" s="1"/>
  <c r="I449" i="37"/>
  <c r="J272" i="37"/>
  <c r="K272" i="37" s="1"/>
  <c r="I272" i="37"/>
  <c r="J156" i="37"/>
  <c r="K156" i="37" s="1"/>
  <c r="I156" i="37"/>
  <c r="J353" i="37"/>
  <c r="K353" i="37" s="1"/>
  <c r="I353" i="37"/>
  <c r="J381" i="37"/>
  <c r="K381" i="37" s="1"/>
  <c r="I381" i="37"/>
  <c r="J412" i="37"/>
  <c r="K412" i="37" s="1"/>
  <c r="I412" i="37"/>
  <c r="J419" i="37"/>
  <c r="K419" i="37" s="1"/>
  <c r="I419" i="37"/>
  <c r="I113" i="37"/>
  <c r="J113" i="37"/>
  <c r="K113" i="37" s="1"/>
  <c r="J182" i="37"/>
  <c r="K182" i="37" s="1"/>
  <c r="I182" i="37"/>
  <c r="J242" i="37"/>
  <c r="K242" i="37" s="1"/>
  <c r="I242" i="37"/>
  <c r="I335" i="37"/>
  <c r="J335" i="37"/>
  <c r="K335" i="37" s="1"/>
  <c r="J436" i="37"/>
  <c r="K436" i="37" s="1"/>
  <c r="I436" i="37"/>
  <c r="I440" i="37"/>
  <c r="J440" i="37"/>
  <c r="K440" i="37" s="1"/>
  <c r="J409" i="37"/>
  <c r="K409" i="37" s="1"/>
  <c r="I409" i="37"/>
  <c r="J441" i="37"/>
  <c r="K441" i="37" s="1"/>
  <c r="I441" i="37"/>
  <c r="J330" i="37"/>
  <c r="K330" i="37" s="1"/>
  <c r="I330" i="37"/>
  <c r="I417" i="37"/>
  <c r="J417" i="37"/>
  <c r="K417" i="37" s="1"/>
  <c r="J173" i="37"/>
  <c r="K173" i="37" s="1"/>
  <c r="I173" i="37"/>
  <c r="J223" i="37"/>
  <c r="K223" i="37" s="1"/>
  <c r="I223" i="37"/>
  <c r="I279" i="37"/>
  <c r="J279" i="37"/>
  <c r="K279" i="37" s="1"/>
  <c r="J400" i="37"/>
  <c r="K400" i="37" s="1"/>
  <c r="I400" i="37"/>
  <c r="J304" i="37"/>
  <c r="K304" i="37" s="1"/>
  <c r="I304" i="37"/>
  <c r="J382" i="37"/>
  <c r="K382" i="37" s="1"/>
  <c r="I382" i="37"/>
  <c r="J468" i="37"/>
  <c r="K468" i="37" s="1"/>
  <c r="I468" i="37"/>
  <c r="I460" i="37"/>
  <c r="J460" i="37"/>
  <c r="K460" i="37" s="1"/>
  <c r="I194" i="37"/>
  <c r="J194" i="37"/>
  <c r="K194" i="37" s="1"/>
  <c r="J62" i="37"/>
  <c r="K62" i="37" s="1"/>
  <c r="I62" i="37"/>
  <c r="I338" i="37"/>
  <c r="J338" i="37"/>
  <c r="K338" i="37" s="1"/>
  <c r="J68" i="37"/>
  <c r="K68" i="37" s="1"/>
  <c r="I68" i="37"/>
  <c r="J356" i="37"/>
  <c r="K356" i="37" s="1"/>
  <c r="I356" i="37"/>
  <c r="I191" i="37"/>
  <c r="J191" i="37"/>
  <c r="K191" i="37" s="1"/>
  <c r="J309" i="37"/>
  <c r="K309" i="37" s="1"/>
  <c r="I309" i="37"/>
  <c r="J130" i="37"/>
  <c r="K130" i="37" s="1"/>
  <c r="I130" i="37"/>
  <c r="I45" i="37"/>
  <c r="J45" i="37"/>
  <c r="K45" i="37" s="1"/>
  <c r="J135" i="37"/>
  <c r="K135" i="37" s="1"/>
  <c r="I135" i="37"/>
  <c r="J24" i="37"/>
  <c r="K24" i="37" s="1"/>
  <c r="I24" i="37"/>
  <c r="J64" i="37"/>
  <c r="K64" i="37" s="1"/>
  <c r="I64" i="37"/>
  <c r="I273" i="37"/>
  <c r="J273" i="37"/>
  <c r="K273" i="37" s="1"/>
  <c r="J18" i="37"/>
  <c r="K18" i="37" s="1"/>
  <c r="I18" i="37"/>
  <c r="J363" i="37"/>
  <c r="K363" i="37" s="1"/>
  <c r="I363" i="37"/>
  <c r="J311" i="37"/>
  <c r="K311" i="37" s="1"/>
  <c r="I311" i="37"/>
  <c r="J341" i="37"/>
  <c r="K341" i="37" s="1"/>
  <c r="I341" i="37"/>
  <c r="I145" i="37"/>
  <c r="J145" i="37"/>
  <c r="K145" i="37" s="1"/>
  <c r="I220" i="37"/>
  <c r="J220" i="37"/>
  <c r="K220" i="37" s="1"/>
  <c r="J56" i="37"/>
  <c r="K56" i="37" s="1"/>
  <c r="I56" i="37"/>
  <c r="J167" i="37"/>
  <c r="K167" i="37" s="1"/>
  <c r="I167" i="37"/>
  <c r="I362" i="37"/>
  <c r="J362" i="37"/>
  <c r="K362" i="37" s="1"/>
  <c r="J391" i="37"/>
  <c r="K391" i="37" s="1"/>
  <c r="I391" i="37"/>
  <c r="I425" i="37"/>
  <c r="J425" i="37"/>
  <c r="K425" i="37" s="1"/>
  <c r="I433" i="37"/>
  <c r="J433" i="37"/>
  <c r="K433" i="37" s="1"/>
  <c r="J118" i="37"/>
  <c r="K118" i="37" s="1"/>
  <c r="I118" i="37"/>
  <c r="I185" i="37"/>
  <c r="J185" i="37"/>
  <c r="K185" i="37" s="1"/>
  <c r="J246" i="37"/>
  <c r="K246" i="37" s="1"/>
  <c r="I246" i="37"/>
  <c r="I348" i="37"/>
  <c r="J348" i="37"/>
  <c r="K348" i="37" s="1"/>
  <c r="J450" i="37"/>
  <c r="K450" i="37" s="1"/>
  <c r="I450" i="37"/>
  <c r="J461" i="37"/>
  <c r="K461" i="37" s="1"/>
  <c r="I461" i="37"/>
  <c r="J413" i="37"/>
  <c r="K413" i="37" s="1"/>
  <c r="I413" i="37"/>
  <c r="J451" i="37"/>
  <c r="K451" i="37" s="1"/>
  <c r="I451" i="37"/>
  <c r="J333" i="37"/>
  <c r="K333" i="37" s="1"/>
  <c r="I333" i="37"/>
  <c r="I424" i="37"/>
  <c r="J424" i="37"/>
  <c r="K424" i="37" s="1"/>
  <c r="J178" i="37"/>
  <c r="K178" i="37" s="1"/>
  <c r="I178" i="37"/>
  <c r="J228" i="37"/>
  <c r="K228" i="37" s="1"/>
  <c r="I228" i="37"/>
  <c r="J290" i="37"/>
  <c r="K290" i="37" s="1"/>
  <c r="I290" i="37"/>
  <c r="J431" i="37"/>
  <c r="K431" i="37" s="1"/>
  <c r="I431" i="37"/>
  <c r="J307" i="37"/>
  <c r="K307" i="37" s="1"/>
  <c r="I307" i="37"/>
  <c r="J393" i="37"/>
  <c r="K393" i="37" s="1"/>
  <c r="I393" i="37"/>
  <c r="I479" i="37"/>
  <c r="J479" i="37"/>
  <c r="K479" i="37" s="1"/>
  <c r="J471" i="37"/>
  <c r="K471" i="37" s="1"/>
  <c r="I471" i="37"/>
  <c r="I305" i="37"/>
  <c r="J305" i="37"/>
  <c r="K305" i="37" s="1"/>
  <c r="I136" i="37"/>
  <c r="J136" i="37"/>
  <c r="K136" i="37" s="1"/>
  <c r="I105" i="37"/>
  <c r="J105" i="37"/>
  <c r="K105" i="37" s="1"/>
  <c r="J65" i="37"/>
  <c r="K65" i="37" s="1"/>
  <c r="I65" i="37"/>
  <c r="J19" i="37"/>
  <c r="K19" i="37" s="1"/>
  <c r="I19" i="37"/>
  <c r="J211" i="37"/>
  <c r="K211" i="37" s="1"/>
  <c r="I211" i="37"/>
  <c r="J15" i="37"/>
  <c r="K15" i="37" s="1"/>
  <c r="I15" i="37"/>
  <c r="J262" i="37"/>
  <c r="K262" i="37" s="1"/>
  <c r="I262" i="37"/>
  <c r="I150" i="37"/>
  <c r="J150" i="37"/>
  <c r="K150" i="37" s="1"/>
  <c r="J71" i="37"/>
  <c r="K71" i="37" s="1"/>
  <c r="I71" i="37"/>
  <c r="I205" i="37"/>
  <c r="J205" i="37"/>
  <c r="K205" i="37" s="1"/>
  <c r="J137" i="37"/>
  <c r="K137" i="37" s="1"/>
  <c r="I137" i="37"/>
  <c r="J30" i="37"/>
  <c r="K30" i="37" s="1"/>
  <c r="I30" i="37"/>
  <c r="I180" i="37"/>
  <c r="J180" i="37"/>
  <c r="K180" i="37" s="1"/>
  <c r="J96" i="37"/>
  <c r="K96" i="37" s="1"/>
  <c r="I96" i="37"/>
  <c r="J122" i="37"/>
  <c r="K122" i="37" s="1"/>
  <c r="I122" i="37"/>
  <c r="J5" i="37"/>
  <c r="K5" i="37" s="1"/>
  <c r="I5" i="37"/>
  <c r="I27" i="37"/>
  <c r="J27" i="37"/>
  <c r="K27" i="37" s="1"/>
  <c r="J221" i="37"/>
  <c r="K221" i="37" s="1"/>
  <c r="I221" i="37"/>
  <c r="J288" i="37"/>
  <c r="K288" i="37" s="1"/>
  <c r="I288" i="37"/>
  <c r="J111" i="37"/>
  <c r="K111" i="37" s="1"/>
  <c r="I111" i="37"/>
  <c r="J112" i="37"/>
  <c r="K112" i="37" s="1"/>
  <c r="I112" i="37"/>
  <c r="I390" i="37"/>
  <c r="J390" i="37"/>
  <c r="K390" i="37" s="1"/>
  <c r="J259" i="37"/>
  <c r="K259" i="37" s="1"/>
  <c r="I259" i="37"/>
  <c r="J172" i="37"/>
  <c r="K172" i="37" s="1"/>
  <c r="I172" i="37"/>
  <c r="I121" i="37"/>
  <c r="J121" i="37"/>
  <c r="K121" i="37" s="1"/>
  <c r="I48" i="37"/>
  <c r="J48" i="37"/>
  <c r="K48" i="37" s="1"/>
  <c r="I90" i="37"/>
  <c r="J90" i="37"/>
  <c r="K90" i="37" s="1"/>
  <c r="J285" i="37"/>
  <c r="K285" i="37" s="1"/>
  <c r="I285" i="37"/>
  <c r="I131" i="37"/>
  <c r="J131" i="37"/>
  <c r="K131" i="37" s="1"/>
  <c r="J406" i="37"/>
  <c r="K406" i="37" s="1"/>
  <c r="I406" i="37"/>
  <c r="J277" i="37"/>
  <c r="K277" i="37" s="1"/>
  <c r="I277" i="37"/>
  <c r="J187" i="37"/>
  <c r="K187" i="37" s="1"/>
  <c r="I187" i="37"/>
  <c r="J40" i="37"/>
  <c r="K40" i="37" s="1"/>
  <c r="I40" i="37"/>
  <c r="J43" i="37"/>
  <c r="K43" i="37" s="1"/>
  <c r="I43" i="37"/>
  <c r="I3" i="37"/>
  <c r="J3" i="37"/>
  <c r="K3" i="37" s="1"/>
  <c r="J278" i="37"/>
  <c r="K278" i="37" s="1"/>
  <c r="I278" i="37"/>
  <c r="J146" i="37"/>
  <c r="K146" i="37" s="1"/>
  <c r="I146" i="37"/>
  <c r="I256" i="37"/>
  <c r="J256" i="37"/>
  <c r="K256" i="37" s="1"/>
  <c r="J119" i="37"/>
  <c r="K119" i="37" s="1"/>
  <c r="I119" i="37"/>
  <c r="J280" i="37"/>
  <c r="K280" i="37" s="1"/>
  <c r="I280" i="37"/>
  <c r="J132" i="37"/>
  <c r="K132" i="37" s="1"/>
  <c r="I132" i="37"/>
  <c r="I42" i="37"/>
  <c r="J42" i="37"/>
  <c r="K42" i="37" s="1"/>
  <c r="J274" i="37"/>
  <c r="K274" i="37" s="1"/>
  <c r="I274" i="37"/>
  <c r="J23" i="37"/>
  <c r="K23" i="37" s="1"/>
  <c r="I23" i="37"/>
  <c r="I195" i="37"/>
  <c r="J195" i="37"/>
  <c r="K195" i="37" s="1"/>
  <c r="I129" i="37"/>
  <c r="J129" i="37"/>
  <c r="K129" i="37" s="1"/>
  <c r="I415" i="37"/>
  <c r="J415" i="37"/>
  <c r="K415" i="37" s="1"/>
  <c r="J63" i="37"/>
  <c r="K63" i="37" s="1"/>
  <c r="I63" i="37"/>
  <c r="J422" i="37"/>
  <c r="K422" i="37" s="1"/>
  <c r="I422" i="37"/>
  <c r="J126" i="37"/>
  <c r="K126" i="37" s="1"/>
  <c r="I126" i="37"/>
  <c r="J294" i="37"/>
  <c r="K294" i="37" s="1"/>
  <c r="I294" i="37"/>
  <c r="J350" i="37"/>
  <c r="K350" i="37" s="1"/>
  <c r="I350" i="37"/>
  <c r="J141" i="37"/>
  <c r="K141" i="37" s="1"/>
  <c r="I141" i="37"/>
  <c r="I52" i="37"/>
  <c r="J52" i="37"/>
  <c r="K52" i="37" s="1"/>
  <c r="J155" i="37"/>
  <c r="K155" i="37" s="1"/>
  <c r="I155" i="37"/>
  <c r="J224" i="37"/>
  <c r="K224" i="37" s="1"/>
  <c r="I224" i="37"/>
  <c r="J84" i="37"/>
  <c r="K84" i="37" s="1"/>
  <c r="I84" i="37"/>
  <c r="J282" i="37"/>
  <c r="K282" i="37" s="1"/>
  <c r="I282" i="37"/>
  <c r="J239" i="37"/>
  <c r="K239" i="37" s="1"/>
  <c r="I239" i="37"/>
  <c r="J366" i="37"/>
  <c r="K366" i="37" s="1"/>
  <c r="I366" i="37"/>
  <c r="J473" i="37"/>
  <c r="K473" i="37" s="1"/>
  <c r="I473" i="37"/>
  <c r="J447" i="37"/>
  <c r="K447" i="37" s="1"/>
  <c r="I447" i="37"/>
  <c r="J73" i="37"/>
  <c r="K73" i="37" s="1"/>
  <c r="I73" i="37"/>
  <c r="J123" i="37"/>
  <c r="K123" i="37" s="1"/>
  <c r="I123" i="37"/>
  <c r="J201" i="37"/>
  <c r="K201" i="37" s="1"/>
  <c r="I201" i="37"/>
  <c r="I260" i="37"/>
  <c r="J260" i="37"/>
  <c r="K260" i="37" s="1"/>
  <c r="J398" i="37"/>
  <c r="K398" i="37" s="1"/>
  <c r="I398" i="37"/>
  <c r="J481" i="37"/>
  <c r="K481" i="37" s="1"/>
  <c r="I481" i="37"/>
  <c r="J475" i="37"/>
  <c r="K475" i="37" s="1"/>
  <c r="I475" i="37"/>
  <c r="J423" i="37"/>
  <c r="K423" i="37" s="1"/>
  <c r="I423" i="37"/>
  <c r="I455" i="37"/>
  <c r="J455" i="37"/>
  <c r="K455" i="37" s="1"/>
  <c r="J336" i="37"/>
  <c r="K336" i="37" s="1"/>
  <c r="I336" i="37"/>
  <c r="J434" i="37"/>
  <c r="K434" i="37" s="1"/>
  <c r="I434" i="37"/>
  <c r="J183" i="37"/>
  <c r="K183" i="37" s="1"/>
  <c r="I183" i="37"/>
  <c r="J233" i="37"/>
  <c r="K233" i="37" s="1"/>
  <c r="I233" i="37"/>
  <c r="J321" i="37"/>
  <c r="K321" i="37" s="1"/>
  <c r="I321" i="37"/>
  <c r="J445" i="37"/>
  <c r="K445" i="37" s="1"/>
  <c r="I445" i="37"/>
  <c r="J318" i="37"/>
  <c r="K318" i="37" s="1"/>
  <c r="I318" i="37"/>
  <c r="I404" i="37"/>
  <c r="J404" i="37"/>
  <c r="K404" i="37" s="1"/>
  <c r="J482" i="37"/>
  <c r="K482" i="37" s="1"/>
  <c r="I482" i="37"/>
  <c r="J485" i="37"/>
  <c r="K485" i="37" s="1"/>
  <c r="I485" i="37"/>
  <c r="I175" i="37"/>
  <c r="J175" i="37"/>
  <c r="K175" i="37" s="1"/>
  <c r="J346" i="37"/>
  <c r="K346" i="37" s="1"/>
  <c r="I346" i="37"/>
  <c r="I337" i="37"/>
  <c r="J337" i="37"/>
  <c r="K337" i="37" s="1"/>
  <c r="I275" i="37"/>
  <c r="J275" i="37"/>
  <c r="K275" i="37" s="1"/>
  <c r="I29" i="37"/>
  <c r="J29" i="37"/>
  <c r="K29" i="37" s="1"/>
  <c r="J116" i="37"/>
  <c r="K116" i="37" s="1"/>
  <c r="I116" i="37"/>
  <c r="J365" i="37"/>
  <c r="K365" i="37" s="1"/>
  <c r="I365" i="37"/>
  <c r="J347" i="37"/>
  <c r="K347" i="37" s="1"/>
  <c r="I347" i="37"/>
  <c r="J401" i="37"/>
  <c r="K401" i="37" s="1"/>
  <c r="I401" i="37"/>
  <c r="J101" i="37"/>
  <c r="K101" i="37" s="1"/>
  <c r="I101" i="37"/>
  <c r="J251" i="37"/>
  <c r="K251" i="37" s="1"/>
  <c r="I251" i="37"/>
  <c r="J61" i="37"/>
  <c r="K61" i="37" s="1"/>
  <c r="I61" i="37"/>
  <c r="J209" i="37"/>
  <c r="K209" i="37" s="1"/>
  <c r="I209" i="37"/>
  <c r="J86" i="37"/>
  <c r="K86" i="37" s="1"/>
  <c r="I86" i="37"/>
  <c r="J46" i="37"/>
  <c r="K46" i="37" s="1"/>
  <c r="I46" i="37"/>
  <c r="I17" i="37"/>
  <c r="J17" i="37"/>
  <c r="K17" i="37" s="1"/>
  <c r="I9" i="37"/>
  <c r="J9" i="37"/>
  <c r="K9" i="37" s="1"/>
  <c r="J237" i="37"/>
  <c r="K237" i="37" s="1"/>
  <c r="I237" i="37"/>
  <c r="J325" i="37"/>
  <c r="K325" i="37" s="1"/>
  <c r="I325" i="37"/>
  <c r="J127" i="37"/>
  <c r="K127" i="37" s="1"/>
  <c r="I127" i="37"/>
  <c r="I298" i="37"/>
  <c r="J298" i="37"/>
  <c r="K298" i="37" s="1"/>
  <c r="I161" i="37"/>
  <c r="J161" i="37"/>
  <c r="K161" i="37" s="1"/>
  <c r="J72" i="37"/>
  <c r="K72" i="37" s="1"/>
  <c r="I72" i="37"/>
  <c r="J310" i="37"/>
  <c r="K310" i="37" s="1"/>
  <c r="I310" i="37"/>
  <c r="J28" i="37"/>
  <c r="K28" i="37" s="1"/>
  <c r="I28" i="37"/>
  <c r="J234" i="37"/>
  <c r="K234" i="37" s="1"/>
  <c r="I234" i="37"/>
  <c r="I133" i="37"/>
  <c r="J133" i="37"/>
  <c r="K133" i="37" s="1"/>
  <c r="J453" i="37"/>
  <c r="K453" i="37" s="1"/>
  <c r="I453" i="37"/>
  <c r="J97" i="37"/>
  <c r="K97" i="37" s="1"/>
  <c r="I97" i="37"/>
  <c r="I38" i="37"/>
  <c r="J38" i="37"/>
  <c r="K38" i="37" s="1"/>
  <c r="J134" i="37"/>
  <c r="K134" i="37" s="1"/>
  <c r="I134" i="37"/>
  <c r="I312" i="37"/>
  <c r="J312" i="37"/>
  <c r="K312" i="37" s="1"/>
  <c r="J377" i="37"/>
  <c r="K377" i="37" s="1"/>
  <c r="I377" i="37"/>
  <c r="J162" i="37"/>
  <c r="K162" i="37" s="1"/>
  <c r="I162" i="37"/>
  <c r="J60" i="37"/>
  <c r="K60" i="37" s="1"/>
  <c r="I60" i="37"/>
  <c r="I159" i="37"/>
  <c r="J159" i="37"/>
  <c r="K159" i="37" s="1"/>
  <c r="I236" i="37"/>
  <c r="J236" i="37"/>
  <c r="K236" i="37" s="1"/>
  <c r="I95" i="37"/>
  <c r="J95" i="37"/>
  <c r="K95" i="37" s="1"/>
  <c r="J292" i="37"/>
  <c r="K292" i="37" s="1"/>
  <c r="I292" i="37"/>
  <c r="J264" i="37"/>
  <c r="K264" i="37" s="1"/>
  <c r="I264" i="37"/>
  <c r="J371" i="37"/>
  <c r="K371" i="37" s="1"/>
  <c r="I371" i="37"/>
  <c r="J491" i="37"/>
  <c r="K491" i="37" s="1"/>
  <c r="I491" i="37"/>
  <c r="J456" i="37"/>
  <c r="K456" i="37" s="1"/>
  <c r="I456" i="37"/>
  <c r="I78" i="37"/>
  <c r="J78" i="37"/>
  <c r="K78" i="37" s="1"/>
  <c r="I128" i="37"/>
  <c r="J128" i="37"/>
  <c r="K128" i="37" s="1"/>
  <c r="J204" i="37"/>
  <c r="K204" i="37" s="1"/>
  <c r="I204" i="37"/>
  <c r="J267" i="37"/>
  <c r="K267" i="37" s="1"/>
  <c r="I267" i="37"/>
  <c r="J420" i="37"/>
  <c r="K420" i="37" s="1"/>
  <c r="I420" i="37"/>
  <c r="J495" i="37"/>
  <c r="K495" i="37" s="1"/>
  <c r="I495" i="37"/>
  <c r="J281" i="37"/>
  <c r="K281" i="37" s="1"/>
  <c r="I281" i="37"/>
  <c r="J427" i="37"/>
  <c r="K427" i="37" s="1"/>
  <c r="I427" i="37"/>
  <c r="I465" i="37"/>
  <c r="J465" i="37"/>
  <c r="K465" i="37" s="1"/>
  <c r="I339" i="37"/>
  <c r="J339" i="37"/>
  <c r="K339" i="37" s="1"/>
  <c r="J438" i="37"/>
  <c r="K438" i="37" s="1"/>
  <c r="I438" i="37"/>
  <c r="I188" i="37"/>
  <c r="J188" i="37"/>
  <c r="K188" i="37" s="1"/>
  <c r="J238" i="37"/>
  <c r="K238" i="37" s="1"/>
  <c r="I238" i="37"/>
  <c r="I324" i="37"/>
  <c r="J324" i="37"/>
  <c r="K324" i="37" s="1"/>
  <c r="J466" i="37"/>
  <c r="K466" i="37" s="1"/>
  <c r="I466" i="37"/>
  <c r="I329" i="37"/>
  <c r="J329" i="37"/>
  <c r="K329" i="37" s="1"/>
  <c r="I407" i="37"/>
  <c r="J407" i="37"/>
  <c r="K407" i="37" s="1"/>
  <c r="J493" i="37"/>
  <c r="K493" i="37" s="1"/>
  <c r="I493" i="37"/>
  <c r="J496" i="37"/>
  <c r="K496" i="37" s="1"/>
  <c r="I496" i="37"/>
  <c r="I37" i="36"/>
  <c r="J37" i="36"/>
  <c r="I130" i="36"/>
  <c r="J130" i="36"/>
  <c r="I71" i="36"/>
  <c r="J71" i="36"/>
  <c r="J214" i="36"/>
  <c r="I214" i="36"/>
  <c r="I114" i="36"/>
  <c r="J114" i="36"/>
  <c r="I14" i="36"/>
  <c r="J14" i="36"/>
  <c r="I260" i="36"/>
  <c r="J260" i="36"/>
  <c r="I121" i="36"/>
  <c r="J121" i="36"/>
  <c r="I269" i="36"/>
  <c r="J269" i="36"/>
  <c r="I67" i="36"/>
  <c r="J67" i="36"/>
  <c r="I499" i="36"/>
  <c r="J499" i="36"/>
  <c r="I292" i="36"/>
  <c r="J292" i="36"/>
  <c r="I118" i="36"/>
  <c r="J118" i="36"/>
  <c r="I243" i="36"/>
  <c r="J243" i="36"/>
  <c r="I349" i="36"/>
  <c r="J349" i="36"/>
  <c r="I468" i="36"/>
  <c r="J468" i="36"/>
  <c r="I368" i="36"/>
  <c r="J368" i="36"/>
  <c r="I253" i="36"/>
  <c r="J253" i="36"/>
  <c r="I129" i="36"/>
  <c r="J129" i="36"/>
  <c r="I61" i="36"/>
  <c r="J61" i="36"/>
  <c r="I255" i="36"/>
  <c r="J255" i="36"/>
  <c r="I155" i="36"/>
  <c r="J155" i="36"/>
  <c r="I55" i="36"/>
  <c r="J55" i="36"/>
  <c r="I304" i="36"/>
  <c r="J304" i="36"/>
  <c r="I204" i="36"/>
  <c r="J204" i="36"/>
  <c r="I104" i="36"/>
  <c r="J104" i="36"/>
  <c r="J4" i="36"/>
  <c r="I4" i="36"/>
  <c r="I222" i="36"/>
  <c r="J222" i="36"/>
  <c r="I166" i="36"/>
  <c r="J166" i="36"/>
  <c r="I162" i="36"/>
  <c r="J162" i="36"/>
  <c r="I386" i="36"/>
  <c r="J386" i="36"/>
  <c r="I447" i="36"/>
  <c r="J447" i="36"/>
  <c r="I474" i="36"/>
  <c r="J474" i="36"/>
  <c r="I181" i="36"/>
  <c r="J181" i="36"/>
  <c r="I451" i="36"/>
  <c r="J451" i="36"/>
  <c r="I431" i="36"/>
  <c r="J431" i="36"/>
  <c r="I390" i="36"/>
  <c r="J390" i="36"/>
  <c r="I127" i="36"/>
  <c r="J127" i="36"/>
  <c r="I246" i="36"/>
  <c r="J246" i="36"/>
  <c r="I490" i="36"/>
  <c r="J490" i="36"/>
  <c r="I89" i="36"/>
  <c r="J89" i="36"/>
  <c r="I116" i="36"/>
  <c r="J116" i="36"/>
  <c r="I375" i="36"/>
  <c r="J375" i="36"/>
  <c r="I333" i="36"/>
  <c r="J333" i="36"/>
  <c r="I160" i="36"/>
  <c r="J160" i="36"/>
  <c r="J370" i="36"/>
  <c r="I370" i="36"/>
  <c r="I413" i="36"/>
  <c r="J413" i="36"/>
  <c r="I411" i="36"/>
  <c r="J411" i="36"/>
  <c r="I102" i="36"/>
  <c r="J102" i="36"/>
  <c r="I136" i="36"/>
  <c r="J136" i="36"/>
  <c r="I501" i="36"/>
  <c r="J501" i="36"/>
  <c r="I400" i="36"/>
  <c r="J400" i="36"/>
  <c r="J283" i="36"/>
  <c r="I283" i="36"/>
  <c r="I422" i="36"/>
  <c r="J422" i="36"/>
  <c r="I282" i="36"/>
  <c r="J282" i="36"/>
  <c r="I101" i="36"/>
  <c r="J101" i="36"/>
  <c r="I231" i="36"/>
  <c r="J231" i="36"/>
  <c r="I49" i="36"/>
  <c r="J49" i="36"/>
  <c r="I479" i="36"/>
  <c r="J479" i="36"/>
  <c r="I268" i="36"/>
  <c r="J268" i="36"/>
  <c r="I106" i="36"/>
  <c r="J106" i="36"/>
  <c r="I207" i="36"/>
  <c r="J207" i="36"/>
  <c r="I327" i="36"/>
  <c r="J327" i="36"/>
  <c r="I458" i="36"/>
  <c r="J458" i="36"/>
  <c r="I358" i="36"/>
  <c r="J358" i="36"/>
  <c r="I241" i="36"/>
  <c r="J241" i="36"/>
  <c r="I117" i="36"/>
  <c r="J117" i="36"/>
  <c r="I51" i="36"/>
  <c r="J51" i="36"/>
  <c r="I245" i="36"/>
  <c r="J245" i="36"/>
  <c r="I145" i="36"/>
  <c r="J145" i="36"/>
  <c r="I45" i="36"/>
  <c r="J45" i="36"/>
  <c r="I294" i="36"/>
  <c r="J294" i="36"/>
  <c r="I194" i="36"/>
  <c r="J194" i="36"/>
  <c r="I94" i="36"/>
  <c r="J94" i="36"/>
  <c r="I73" i="36"/>
  <c r="J73" i="36"/>
  <c r="I430" i="36"/>
  <c r="J430" i="36"/>
  <c r="I138" i="36"/>
  <c r="J138" i="36"/>
  <c r="I378" i="36"/>
  <c r="J378" i="36"/>
  <c r="I65" i="36"/>
  <c r="J65" i="36"/>
  <c r="I202" i="36"/>
  <c r="J202" i="36"/>
  <c r="I149" i="36"/>
  <c r="J149" i="36"/>
  <c r="I148" i="36"/>
  <c r="J148" i="36"/>
  <c r="I312" i="36"/>
  <c r="J312" i="36"/>
  <c r="I347" i="36"/>
  <c r="J347" i="36"/>
  <c r="I299" i="36"/>
  <c r="J299" i="36"/>
  <c r="I445" i="36"/>
  <c r="J445" i="36"/>
  <c r="I290" i="36"/>
  <c r="J290" i="36"/>
  <c r="I289" i="36"/>
  <c r="J289" i="36"/>
  <c r="I111" i="36"/>
  <c r="J111" i="36"/>
  <c r="I336" i="36"/>
  <c r="J336" i="36"/>
  <c r="I110" i="36"/>
  <c r="J110" i="36"/>
  <c r="I172" i="36"/>
  <c r="J172" i="36"/>
  <c r="I426" i="36"/>
  <c r="J426" i="36"/>
  <c r="I70" i="36"/>
  <c r="J70" i="36"/>
  <c r="I367" i="36"/>
  <c r="J367" i="36"/>
  <c r="I363" i="36"/>
  <c r="J363" i="36"/>
  <c r="I319" i="36"/>
  <c r="J319" i="36"/>
  <c r="I140" i="36"/>
  <c r="J140" i="36"/>
  <c r="I329" i="36"/>
  <c r="J329" i="36"/>
  <c r="I335" i="36"/>
  <c r="J335" i="36"/>
  <c r="I385" i="36"/>
  <c r="J385" i="36"/>
  <c r="I87" i="36"/>
  <c r="J87" i="36"/>
  <c r="I99" i="36"/>
  <c r="J99" i="36"/>
  <c r="J475" i="36"/>
  <c r="I475" i="36"/>
  <c r="I362" i="36"/>
  <c r="J362" i="36"/>
  <c r="I248" i="36"/>
  <c r="J248" i="36"/>
  <c r="I410" i="36"/>
  <c r="J410" i="36"/>
  <c r="I262" i="36"/>
  <c r="J262" i="36"/>
  <c r="I86" i="36"/>
  <c r="J86" i="36"/>
  <c r="I193" i="36"/>
  <c r="J193" i="36"/>
  <c r="I32" i="36"/>
  <c r="J32" i="36"/>
  <c r="I459" i="36"/>
  <c r="J459" i="36"/>
  <c r="I230" i="36"/>
  <c r="J230" i="36"/>
  <c r="I92" i="36"/>
  <c r="J92" i="36"/>
  <c r="I157" i="36"/>
  <c r="J157" i="36"/>
  <c r="I305" i="36"/>
  <c r="J305" i="36"/>
  <c r="I448" i="36"/>
  <c r="J448" i="36"/>
  <c r="I348" i="36"/>
  <c r="J348" i="36"/>
  <c r="I229" i="36"/>
  <c r="J229" i="36"/>
  <c r="I103" i="36"/>
  <c r="J103" i="36"/>
  <c r="I41" i="36"/>
  <c r="J41" i="36"/>
  <c r="I235" i="36"/>
  <c r="J235" i="36"/>
  <c r="I135" i="36"/>
  <c r="J135" i="36"/>
  <c r="I35" i="36"/>
  <c r="J35" i="36"/>
  <c r="I284" i="36"/>
  <c r="J284" i="36"/>
  <c r="I184" i="36"/>
  <c r="J184" i="36"/>
  <c r="I84" i="36"/>
  <c r="J84" i="36"/>
  <c r="I63" i="36"/>
  <c r="J63" i="36"/>
  <c r="I208" i="36"/>
  <c r="J208" i="36"/>
  <c r="I371" i="36"/>
  <c r="J371" i="36"/>
  <c r="I492" i="36"/>
  <c r="J492" i="36"/>
  <c r="I197" i="36"/>
  <c r="J197" i="36"/>
  <c r="I139" i="36"/>
  <c r="J139" i="36"/>
  <c r="I332" i="36"/>
  <c r="J332" i="36"/>
  <c r="I328" i="36"/>
  <c r="J328" i="36"/>
  <c r="I423" i="36"/>
  <c r="J423" i="36"/>
  <c r="I128" i="36"/>
  <c r="J128" i="36"/>
  <c r="I170" i="36"/>
  <c r="J170" i="36"/>
  <c r="I330" i="36"/>
  <c r="J330" i="36"/>
  <c r="I97" i="36"/>
  <c r="J97" i="36"/>
  <c r="I96" i="36"/>
  <c r="J96" i="36"/>
  <c r="I90" i="36"/>
  <c r="J90" i="36"/>
  <c r="I454" i="36"/>
  <c r="J454" i="36"/>
  <c r="I123" i="36"/>
  <c r="J123" i="36"/>
  <c r="I277" i="36"/>
  <c r="J277" i="36"/>
  <c r="I213" i="36"/>
  <c r="J213" i="36"/>
  <c r="I361" i="36"/>
  <c r="J361" i="36"/>
  <c r="I68" i="36"/>
  <c r="J68" i="36"/>
  <c r="I381" i="36"/>
  <c r="J381" i="36"/>
  <c r="I437" i="36"/>
  <c r="J437" i="36"/>
  <c r="J485" i="36"/>
  <c r="I485" i="36"/>
  <c r="I211" i="36"/>
  <c r="J211" i="36"/>
  <c r="I396" i="36"/>
  <c r="J396" i="36"/>
  <c r="I247" i="36"/>
  <c r="J247" i="36"/>
  <c r="I60" i="36"/>
  <c r="J60" i="36"/>
  <c r="I169" i="36"/>
  <c r="J169" i="36"/>
  <c r="I17" i="36"/>
  <c r="J17" i="36"/>
  <c r="I439" i="36"/>
  <c r="J439" i="36"/>
  <c r="I218" i="36"/>
  <c r="J218" i="36"/>
  <c r="I80" i="36"/>
  <c r="J80" i="36"/>
  <c r="I489" i="36"/>
  <c r="J489" i="36"/>
  <c r="I280" i="36"/>
  <c r="J280" i="36"/>
  <c r="I438" i="36"/>
  <c r="J438" i="36"/>
  <c r="I337" i="36"/>
  <c r="J337" i="36"/>
  <c r="I217" i="36"/>
  <c r="J217" i="36"/>
  <c r="I91" i="36"/>
  <c r="J91" i="36"/>
  <c r="I31" i="36"/>
  <c r="J31" i="36"/>
  <c r="I225" i="36"/>
  <c r="J225" i="36"/>
  <c r="I125" i="36"/>
  <c r="J125" i="36"/>
  <c r="I25" i="36"/>
  <c r="J25" i="36"/>
  <c r="I274" i="36"/>
  <c r="J274" i="36"/>
  <c r="I174" i="36"/>
  <c r="J174" i="36"/>
  <c r="I74" i="36"/>
  <c r="J74" i="36"/>
  <c r="I53" i="36"/>
  <c r="J53" i="36"/>
  <c r="J339" i="36"/>
  <c r="I339" i="36"/>
  <c r="I446" i="36"/>
  <c r="J446" i="36"/>
  <c r="I369" i="36"/>
  <c r="J369" i="36"/>
  <c r="I141" i="36"/>
  <c r="J141" i="36"/>
  <c r="I265" i="36"/>
  <c r="J265" i="36"/>
  <c r="I483" i="36"/>
  <c r="J483" i="36"/>
  <c r="I481" i="36"/>
  <c r="J481" i="36"/>
  <c r="I480" i="36"/>
  <c r="J480" i="36"/>
  <c r="I147" i="36"/>
  <c r="J147" i="36"/>
  <c r="I109" i="36"/>
  <c r="J109" i="36"/>
  <c r="I177" i="36"/>
  <c r="J177" i="36"/>
  <c r="I434" i="36"/>
  <c r="J434" i="36"/>
  <c r="I187" i="36"/>
  <c r="J187" i="36"/>
  <c r="I209" i="36"/>
  <c r="J209" i="36"/>
  <c r="I152" i="36"/>
  <c r="J152" i="36"/>
  <c r="I150" i="36"/>
  <c r="J150" i="36"/>
  <c r="I415" i="36"/>
  <c r="J415" i="36"/>
  <c r="I46" i="36"/>
  <c r="J46" i="36"/>
  <c r="I133" i="36"/>
  <c r="J133" i="36"/>
  <c r="I278" i="36"/>
  <c r="J278" i="36"/>
  <c r="I404" i="36"/>
  <c r="J404" i="36"/>
  <c r="I258" i="36"/>
  <c r="J258" i="36"/>
  <c r="I77" i="36"/>
  <c r="J77" i="36"/>
  <c r="I8" i="36"/>
  <c r="J8" i="36"/>
  <c r="I403" i="36"/>
  <c r="J403" i="36"/>
  <c r="I252" i="36"/>
  <c r="J252" i="36"/>
  <c r="I76" i="36"/>
  <c r="J76" i="36"/>
  <c r="I251" i="36"/>
  <c r="J251" i="36"/>
  <c r="I72" i="36"/>
  <c r="J72" i="36"/>
  <c r="J470" i="36"/>
  <c r="I470" i="36"/>
  <c r="I270" i="36"/>
  <c r="J270" i="36"/>
  <c r="I22" i="36"/>
  <c r="J22" i="36"/>
  <c r="I453" i="36"/>
  <c r="J453" i="36"/>
  <c r="I287" i="36"/>
  <c r="J287" i="36"/>
  <c r="I286" i="36"/>
  <c r="J286" i="36"/>
  <c r="I108" i="36"/>
  <c r="J108" i="36"/>
  <c r="I82" i="36"/>
  <c r="J82" i="36"/>
  <c r="I462" i="36"/>
  <c r="J462" i="36"/>
  <c r="I318" i="36"/>
  <c r="J318" i="36"/>
  <c r="I40" i="36"/>
  <c r="J40" i="36"/>
  <c r="J442" i="36"/>
  <c r="I442" i="36"/>
  <c r="I387" i="36"/>
  <c r="J387" i="36"/>
  <c r="I461" i="36"/>
  <c r="J461" i="36"/>
  <c r="I176" i="36"/>
  <c r="J176" i="36"/>
  <c r="I384" i="36"/>
  <c r="J384" i="36"/>
  <c r="I227" i="36"/>
  <c r="J227" i="36"/>
  <c r="I39" i="36"/>
  <c r="J39" i="36"/>
  <c r="I143" i="36"/>
  <c r="J143" i="36"/>
  <c r="I350" i="36"/>
  <c r="J350" i="36"/>
  <c r="I419" i="36"/>
  <c r="J419" i="36"/>
  <c r="I192" i="36"/>
  <c r="J192" i="36"/>
  <c r="I66" i="36"/>
  <c r="J66" i="36"/>
  <c r="I469" i="36"/>
  <c r="J469" i="36"/>
  <c r="I256" i="36"/>
  <c r="J256" i="36"/>
  <c r="I428" i="36"/>
  <c r="J428" i="36"/>
  <c r="I326" i="36"/>
  <c r="J326" i="36"/>
  <c r="I203" i="36"/>
  <c r="J203" i="36"/>
  <c r="I79" i="36"/>
  <c r="J79" i="36"/>
  <c r="I21" i="36"/>
  <c r="J21" i="36"/>
  <c r="I215" i="36"/>
  <c r="J215" i="36"/>
  <c r="I115" i="36"/>
  <c r="J115" i="36"/>
  <c r="I15" i="36"/>
  <c r="J15" i="36"/>
  <c r="J264" i="36"/>
  <c r="I264" i="36"/>
  <c r="I164" i="36"/>
  <c r="J164" i="36"/>
  <c r="I64" i="36"/>
  <c r="J64" i="36"/>
  <c r="I43" i="36"/>
  <c r="J43" i="36"/>
  <c r="I36" i="36"/>
  <c r="J36" i="36"/>
  <c r="J405" i="36"/>
  <c r="I405" i="36"/>
  <c r="I126" i="36"/>
  <c r="J126" i="36"/>
  <c r="I487" i="36"/>
  <c r="J487" i="36"/>
  <c r="I352" i="36"/>
  <c r="J352" i="36"/>
  <c r="I281" i="36"/>
  <c r="J281" i="36"/>
  <c r="I321" i="36"/>
  <c r="J321" i="36"/>
  <c r="I309" i="36"/>
  <c r="J309" i="36"/>
  <c r="I383" i="36"/>
  <c r="J383" i="36"/>
  <c r="I466" i="36"/>
  <c r="J466" i="36"/>
  <c r="I273" i="36"/>
  <c r="J273" i="36"/>
  <c r="I320" i="36"/>
  <c r="J320" i="36"/>
  <c r="I189" i="36"/>
  <c r="J189" i="36"/>
  <c r="I392" i="36"/>
  <c r="J392" i="36"/>
  <c r="I52" i="36"/>
  <c r="J52" i="36"/>
  <c r="I476" i="36"/>
  <c r="J476" i="36"/>
  <c r="I88" i="36"/>
  <c r="J88" i="36"/>
  <c r="I441" i="36"/>
  <c r="J441" i="36"/>
  <c r="I412" i="36"/>
  <c r="J412" i="36"/>
  <c r="I263" i="36"/>
  <c r="J263" i="36"/>
  <c r="I10" i="36"/>
  <c r="J10" i="36"/>
  <c r="J477" i="36"/>
  <c r="I477" i="36"/>
  <c r="I351" i="36"/>
  <c r="J351" i="36"/>
  <c r="J435" i="36"/>
  <c r="I435" i="36"/>
  <c r="I496" i="36"/>
  <c r="J496" i="36"/>
  <c r="I372" i="36"/>
  <c r="J372" i="36"/>
  <c r="I210" i="36"/>
  <c r="J210" i="36"/>
  <c r="I9" i="36"/>
  <c r="J9" i="36"/>
  <c r="I131" i="36"/>
  <c r="J131" i="36"/>
  <c r="I317" i="36"/>
  <c r="J317" i="36"/>
  <c r="I399" i="36"/>
  <c r="J399" i="36"/>
  <c r="I180" i="36"/>
  <c r="J180" i="36"/>
  <c r="I48" i="36"/>
  <c r="J48" i="36"/>
  <c r="I449" i="36"/>
  <c r="J449" i="36"/>
  <c r="I242" i="36"/>
  <c r="J242" i="36"/>
  <c r="I418" i="36"/>
  <c r="J418" i="36"/>
  <c r="I315" i="36"/>
  <c r="J315" i="36"/>
  <c r="I191" i="36"/>
  <c r="J191" i="36"/>
  <c r="I62" i="36"/>
  <c r="J62" i="36"/>
  <c r="I11" i="36"/>
  <c r="J11" i="36"/>
  <c r="I205" i="36"/>
  <c r="J205" i="36"/>
  <c r="I105" i="36"/>
  <c r="J105" i="36"/>
  <c r="J5" i="36"/>
  <c r="I5" i="36"/>
  <c r="I254" i="36"/>
  <c r="J254" i="36"/>
  <c r="I154" i="36"/>
  <c r="J154" i="36"/>
  <c r="I54" i="36"/>
  <c r="J54" i="36"/>
  <c r="I33" i="36"/>
  <c r="J33" i="36"/>
  <c r="I297" i="36"/>
  <c r="J297" i="36"/>
  <c r="I81" i="36"/>
  <c r="J81" i="36"/>
  <c r="I267" i="36"/>
  <c r="J267" i="36"/>
  <c r="I165" i="36"/>
  <c r="J165" i="36"/>
  <c r="I443" i="36"/>
  <c r="J443" i="36"/>
  <c r="I323" i="36"/>
  <c r="J323" i="36"/>
  <c r="I322" i="36"/>
  <c r="J322" i="36"/>
  <c r="I491" i="36"/>
  <c r="J491" i="36"/>
  <c r="I425" i="36"/>
  <c r="J425" i="36"/>
  <c r="I436" i="36"/>
  <c r="J436" i="36"/>
  <c r="I355" i="36"/>
  <c r="J355" i="36"/>
  <c r="I132" i="36"/>
  <c r="J132" i="36"/>
  <c r="I112" i="36"/>
  <c r="J112" i="36"/>
  <c r="J343" i="36"/>
  <c r="I343" i="36"/>
  <c r="I272" i="36"/>
  <c r="J272" i="36"/>
  <c r="I401" i="36"/>
  <c r="J401" i="36"/>
  <c r="I261" i="36"/>
  <c r="J261" i="36"/>
  <c r="I113" i="36"/>
  <c r="J113" i="36"/>
  <c r="I56" i="36"/>
  <c r="J56" i="36"/>
  <c r="I237" i="36"/>
  <c r="J237" i="36"/>
  <c r="I50" i="36"/>
  <c r="J50" i="36"/>
  <c r="I198" i="36"/>
  <c r="J198" i="36"/>
  <c r="I233" i="36"/>
  <c r="J233" i="36"/>
  <c r="I276" i="36"/>
  <c r="J276" i="36"/>
  <c r="I380" i="36"/>
  <c r="J380" i="36"/>
  <c r="I188" i="36"/>
  <c r="J188" i="36"/>
  <c r="I220" i="36"/>
  <c r="J220" i="36"/>
  <c r="I27" i="36"/>
  <c r="J27" i="36"/>
  <c r="I216" i="36"/>
  <c r="J216" i="36"/>
  <c r="I26" i="36"/>
  <c r="J26" i="36"/>
  <c r="I58" i="36"/>
  <c r="J58" i="36"/>
  <c r="I178" i="36"/>
  <c r="J178" i="36"/>
  <c r="I420" i="36"/>
  <c r="J420" i="36"/>
  <c r="J414" i="36"/>
  <c r="I414" i="36"/>
  <c r="I486" i="36"/>
  <c r="J486" i="36"/>
  <c r="I249" i="36"/>
  <c r="J249" i="36"/>
  <c r="I69" i="36"/>
  <c r="J69" i="36"/>
  <c r="I440" i="36"/>
  <c r="J440" i="36"/>
  <c r="J374" i="36"/>
  <c r="I374" i="36"/>
  <c r="I228" i="36"/>
  <c r="J228" i="36"/>
  <c r="I444" i="36"/>
  <c r="J444" i="36"/>
  <c r="J2" i="36"/>
  <c r="I2" i="36"/>
  <c r="I302" i="36"/>
  <c r="J302" i="36"/>
  <c r="I397" i="36"/>
  <c r="J397" i="36"/>
  <c r="I484" i="36"/>
  <c r="J484" i="36"/>
  <c r="I360" i="36"/>
  <c r="J360" i="36"/>
  <c r="I190" i="36"/>
  <c r="J190" i="36"/>
  <c r="I6" i="36"/>
  <c r="J6" i="36"/>
  <c r="I119" i="36"/>
  <c r="J119" i="36"/>
  <c r="J293" i="36"/>
  <c r="I293" i="36"/>
  <c r="I379" i="36"/>
  <c r="J379" i="36"/>
  <c r="I168" i="36"/>
  <c r="J168" i="36"/>
  <c r="I30" i="36"/>
  <c r="J30" i="36"/>
  <c r="I429" i="36"/>
  <c r="J429" i="36"/>
  <c r="I206" i="36"/>
  <c r="J206" i="36"/>
  <c r="I408" i="36"/>
  <c r="J408" i="36"/>
  <c r="I303" i="36"/>
  <c r="J303" i="36"/>
  <c r="I179" i="36"/>
  <c r="J179" i="36"/>
  <c r="I47" i="36"/>
  <c r="J47" i="36"/>
  <c r="I295" i="36"/>
  <c r="J295" i="36"/>
  <c r="I195" i="36"/>
  <c r="J195" i="36"/>
  <c r="I95" i="36"/>
  <c r="J95" i="36"/>
  <c r="I344" i="36"/>
  <c r="J344" i="36"/>
  <c r="I244" i="36"/>
  <c r="J244" i="36"/>
  <c r="I144" i="36"/>
  <c r="J144" i="36"/>
  <c r="I44" i="36"/>
  <c r="J44" i="36"/>
  <c r="I23" i="36"/>
  <c r="J23" i="36"/>
  <c r="I240" i="36"/>
  <c r="J240" i="36"/>
  <c r="I340" i="36"/>
  <c r="J340" i="36"/>
  <c r="I163" i="36"/>
  <c r="J163" i="36"/>
  <c r="I463" i="36"/>
  <c r="J463" i="36"/>
  <c r="I456" i="36"/>
  <c r="J456" i="36"/>
  <c r="I311" i="36"/>
  <c r="J311" i="36"/>
  <c r="I316" i="36"/>
  <c r="J316" i="36"/>
  <c r="I122" i="36"/>
  <c r="J122" i="36"/>
  <c r="I308" i="36"/>
  <c r="J308" i="36"/>
  <c r="I341" i="36"/>
  <c r="J341" i="36"/>
  <c r="I395" i="36"/>
  <c r="J395" i="36"/>
  <c r="I416" i="36"/>
  <c r="J416" i="36"/>
  <c r="I301" i="36"/>
  <c r="J301" i="36"/>
  <c r="I296" i="36"/>
  <c r="J296" i="36"/>
  <c r="I238" i="36"/>
  <c r="J238" i="36"/>
  <c r="I120" i="36"/>
  <c r="J120" i="36"/>
  <c r="I38" i="36"/>
  <c r="J38" i="36"/>
  <c r="I137" i="36"/>
  <c r="J137" i="36"/>
  <c r="I28" i="36"/>
  <c r="J28" i="36"/>
  <c r="I259" i="36"/>
  <c r="J259" i="36"/>
  <c r="I59" i="36"/>
  <c r="J59" i="36"/>
  <c r="I201" i="36"/>
  <c r="J201" i="36"/>
  <c r="I7" i="36"/>
  <c r="J7" i="36"/>
  <c r="I365" i="36"/>
  <c r="J365" i="36"/>
  <c r="I455" i="36"/>
  <c r="J455" i="36"/>
  <c r="I199" i="36"/>
  <c r="J199" i="36"/>
  <c r="I457" i="36"/>
  <c r="J457" i="36"/>
  <c r="I493" i="36"/>
  <c r="J493" i="36"/>
  <c r="I161" i="36"/>
  <c r="J161" i="36"/>
  <c r="I382" i="36"/>
  <c r="J382" i="36"/>
  <c r="J364" i="36"/>
  <c r="I364" i="36"/>
  <c r="I450" i="36"/>
  <c r="J450" i="36"/>
  <c r="I232" i="36"/>
  <c r="J232" i="36"/>
  <c r="I42" i="36"/>
  <c r="J42" i="36"/>
  <c r="I376" i="36"/>
  <c r="J376" i="36"/>
  <c r="I497" i="36"/>
  <c r="J497" i="36"/>
  <c r="I196" i="36"/>
  <c r="J196" i="36"/>
  <c r="I394" i="36"/>
  <c r="J394" i="36"/>
  <c r="J452" i="36"/>
  <c r="I452" i="36"/>
  <c r="I250" i="36"/>
  <c r="J250" i="36"/>
  <c r="I373" i="36"/>
  <c r="J373" i="36"/>
  <c r="I472" i="36"/>
  <c r="J472" i="36"/>
  <c r="I345" i="36"/>
  <c r="J345" i="36"/>
  <c r="I173" i="36"/>
  <c r="J173" i="36"/>
  <c r="I19" i="36"/>
  <c r="J19" i="36"/>
  <c r="I107" i="36"/>
  <c r="J107" i="36"/>
  <c r="I257" i="36"/>
  <c r="J257" i="36"/>
  <c r="I359" i="36"/>
  <c r="J359" i="36"/>
  <c r="I156" i="36"/>
  <c r="J156" i="36"/>
  <c r="I16" i="36"/>
  <c r="J16" i="36"/>
  <c r="I409" i="36"/>
  <c r="J409" i="36"/>
  <c r="I498" i="36"/>
  <c r="J498" i="36"/>
  <c r="I398" i="36"/>
  <c r="J398" i="36"/>
  <c r="I291" i="36"/>
  <c r="J291" i="36"/>
  <c r="I167" i="36"/>
  <c r="J167" i="36"/>
  <c r="I29" i="36"/>
  <c r="J29" i="36"/>
  <c r="I285" i="36"/>
  <c r="J285" i="36"/>
  <c r="I185" i="36"/>
  <c r="J185" i="36"/>
  <c r="I85" i="36"/>
  <c r="J85" i="36"/>
  <c r="I334" i="36"/>
  <c r="J334" i="36"/>
  <c r="I234" i="36"/>
  <c r="J234" i="36"/>
  <c r="I134" i="36"/>
  <c r="J134" i="36"/>
  <c r="I34" i="36"/>
  <c r="J34" i="36"/>
  <c r="I13" i="36"/>
  <c r="J13" i="36"/>
  <c r="I357" i="36"/>
  <c r="J357" i="36"/>
  <c r="I313" i="36"/>
  <c r="J313" i="36"/>
  <c r="I478" i="36"/>
  <c r="J478" i="36"/>
  <c r="I314" i="36"/>
  <c r="J314" i="36"/>
  <c r="I495" i="36"/>
  <c r="J495" i="36"/>
  <c r="I298" i="36"/>
  <c r="J298" i="36"/>
  <c r="I464" i="36"/>
  <c r="J464" i="36"/>
  <c r="I223" i="36"/>
  <c r="J223" i="36"/>
  <c r="I406" i="36"/>
  <c r="J406" i="36"/>
  <c r="I300" i="36"/>
  <c r="J300" i="36"/>
  <c r="I433" i="36"/>
  <c r="J433" i="36"/>
  <c r="I465" i="36"/>
  <c r="J465" i="36"/>
  <c r="I427" i="36"/>
  <c r="J427" i="36"/>
  <c r="I325" i="36"/>
  <c r="J325" i="36"/>
  <c r="I100" i="36"/>
  <c r="J100" i="36"/>
  <c r="I271" i="36"/>
  <c r="J271" i="36"/>
  <c r="I83" i="36"/>
  <c r="J83" i="36"/>
  <c r="I310" i="36"/>
  <c r="J310" i="36"/>
  <c r="I226" i="36"/>
  <c r="J226" i="36"/>
  <c r="I494" i="36"/>
  <c r="J494" i="36"/>
  <c r="I391" i="36"/>
  <c r="J391" i="36"/>
  <c r="I236" i="36"/>
  <c r="J236" i="36"/>
  <c r="I171" i="36"/>
  <c r="J171" i="36"/>
  <c r="I266" i="36"/>
  <c r="J266" i="36"/>
  <c r="I98" i="36"/>
  <c r="J98" i="36"/>
  <c r="I221" i="36"/>
  <c r="J221" i="36"/>
  <c r="I377" i="36"/>
  <c r="J377" i="36"/>
  <c r="J432" i="36"/>
  <c r="I432" i="36"/>
  <c r="I78" i="36"/>
  <c r="J78" i="36"/>
  <c r="I366" i="36"/>
  <c r="J366" i="36"/>
  <c r="I471" i="36"/>
  <c r="J471" i="36"/>
  <c r="I200" i="36"/>
  <c r="J200" i="36"/>
  <c r="I151" i="36"/>
  <c r="J151" i="36"/>
  <c r="I239" i="36"/>
  <c r="J239" i="36"/>
  <c r="I57" i="36"/>
  <c r="J57" i="36"/>
  <c r="I482" i="36"/>
  <c r="J482" i="36"/>
  <c r="I354" i="36"/>
  <c r="J354" i="36"/>
  <c r="I186" i="36"/>
  <c r="J186" i="36"/>
  <c r="I421" i="36"/>
  <c r="J421" i="36"/>
  <c r="I467" i="36"/>
  <c r="J467" i="36"/>
  <c r="I353" i="36"/>
  <c r="J353" i="36"/>
  <c r="I183" i="36"/>
  <c r="J183" i="36"/>
  <c r="I393" i="36"/>
  <c r="J393" i="36"/>
  <c r="I182" i="36"/>
  <c r="J182" i="36"/>
  <c r="I407" i="36"/>
  <c r="J407" i="36"/>
  <c r="I417" i="36"/>
  <c r="J417" i="36"/>
  <c r="I146" i="36"/>
  <c r="J146" i="36"/>
  <c r="I342" i="36"/>
  <c r="J342" i="36"/>
  <c r="I307" i="36"/>
  <c r="J307" i="36"/>
  <c r="J424" i="36"/>
  <c r="I424" i="36"/>
  <c r="I212" i="36"/>
  <c r="J212" i="36"/>
  <c r="I20" i="36"/>
  <c r="J20" i="36"/>
  <c r="I288" i="36"/>
  <c r="J288" i="36"/>
  <c r="I473" i="36"/>
  <c r="J473" i="36"/>
  <c r="I159" i="36"/>
  <c r="J159" i="36"/>
  <c r="I356" i="36"/>
  <c r="J356" i="36"/>
  <c r="I402" i="36"/>
  <c r="J402" i="36"/>
  <c r="I500" i="36"/>
  <c r="J500" i="36"/>
  <c r="I346" i="36"/>
  <c r="J346" i="36"/>
  <c r="J460" i="36"/>
  <c r="I460" i="36"/>
  <c r="I331" i="36"/>
  <c r="J331" i="36"/>
  <c r="I158" i="36"/>
  <c r="J158" i="36"/>
  <c r="I18" i="36"/>
  <c r="J18" i="36"/>
  <c r="I93" i="36"/>
  <c r="J93" i="36"/>
  <c r="I219" i="36"/>
  <c r="J219" i="36"/>
  <c r="I338" i="36"/>
  <c r="J338" i="36"/>
  <c r="I142" i="36"/>
  <c r="J142" i="36"/>
  <c r="I306" i="36"/>
  <c r="J306" i="36"/>
  <c r="J389" i="36"/>
  <c r="I389" i="36"/>
  <c r="I488" i="36"/>
  <c r="J488" i="36"/>
  <c r="I388" i="36"/>
  <c r="J388" i="36"/>
  <c r="I279" i="36"/>
  <c r="J279" i="36"/>
  <c r="I153" i="36"/>
  <c r="J153" i="36"/>
  <c r="I12" i="36"/>
  <c r="J12" i="36"/>
  <c r="I275" i="36"/>
  <c r="J275" i="36"/>
  <c r="I175" i="36"/>
  <c r="J175" i="36"/>
  <c r="I75" i="36"/>
  <c r="J75" i="36"/>
  <c r="I324" i="36"/>
  <c r="J324" i="36"/>
  <c r="I224" i="36"/>
  <c r="J224" i="36"/>
  <c r="I124" i="36"/>
  <c r="J124" i="36"/>
  <c r="I24" i="36"/>
  <c r="J24" i="36"/>
  <c r="J3" i="36"/>
  <c r="I3" i="36"/>
  <c r="N66" i="36" l="1"/>
  <c r="M66" i="36"/>
  <c r="L67" i="36" s="1"/>
  <c r="O25" i="37"/>
  <c r="N13" i="37"/>
  <c r="O13" i="37" s="1"/>
  <c r="Q33" i="37"/>
  <c r="P33" i="37"/>
  <c r="Q34" i="37"/>
  <c r="P34" i="37"/>
  <c r="L13" i="36"/>
  <c r="M25" i="36"/>
  <c r="O56" i="36"/>
  <c r="N56" i="36"/>
  <c r="O55" i="36"/>
  <c r="N55" i="36"/>
  <c r="R53" i="36" s="1"/>
  <c r="N50" i="36"/>
  <c r="R48" i="36" s="1"/>
  <c r="O51" i="36"/>
  <c r="N51" i="36"/>
  <c r="O50" i="36"/>
  <c r="M43" i="36"/>
  <c r="L31" i="36"/>
  <c r="N67" i="36" l="1"/>
  <c r="M67" i="36"/>
  <c r="L68" i="36" s="1"/>
  <c r="T31" i="37"/>
  <c r="T32" i="37"/>
  <c r="T33" i="37"/>
  <c r="N14" i="37"/>
  <c r="R50" i="36"/>
  <c r="R49" i="36"/>
  <c r="R51" i="36" s="1"/>
  <c r="R55" i="36"/>
  <c r="R54" i="36"/>
  <c r="M31" i="36"/>
  <c r="L32" i="36" s="1"/>
  <c r="P31" i="36"/>
  <c r="O31" i="36"/>
  <c r="Q31" i="36" s="1"/>
  <c r="N13" i="36"/>
  <c r="M68" i="36" l="1"/>
  <c r="L69" i="36" s="1"/>
  <c r="N68" i="36"/>
  <c r="Q13" i="37"/>
  <c r="P13" i="37"/>
  <c r="T34" i="37"/>
  <c r="O14" i="37"/>
  <c r="N15" i="37" s="1"/>
  <c r="R13" i="37"/>
  <c r="N31" i="36"/>
  <c r="O13" i="36"/>
  <c r="L14" i="36"/>
  <c r="R56" i="36"/>
  <c r="M32" i="36"/>
  <c r="L33" i="36" s="1"/>
  <c r="P13" i="36"/>
  <c r="P32" i="36" l="1"/>
  <c r="O32" i="36"/>
  <c r="Q32" i="36" s="1"/>
  <c r="N32" i="36"/>
  <c r="M69" i="36"/>
  <c r="L70" i="36" s="1"/>
  <c r="R14" i="37"/>
  <c r="P14" i="37"/>
  <c r="S13" i="37"/>
  <c r="O15" i="37"/>
  <c r="N16" i="37" s="1"/>
  <c r="Q14" i="37"/>
  <c r="M33" i="36"/>
  <c r="L34" i="36" s="1"/>
  <c r="P33" i="36"/>
  <c r="M14" i="36"/>
  <c r="L15" i="36" s="1"/>
  <c r="O14" i="36"/>
  <c r="P14" i="36"/>
  <c r="N14" i="36"/>
  <c r="Q13" i="36"/>
  <c r="Q14" i="36" l="1"/>
  <c r="O33" i="36"/>
  <c r="Q33" i="36" s="1"/>
  <c r="N33" i="36"/>
  <c r="M70" i="36"/>
  <c r="L71" i="36" s="1"/>
  <c r="N70" i="36"/>
  <c r="N69" i="36"/>
  <c r="P15" i="37"/>
  <c r="S14" i="37"/>
  <c r="O16" i="37"/>
  <c r="N17" i="37" s="1"/>
  <c r="Q15" i="37"/>
  <c r="R15" i="37"/>
  <c r="M15" i="36"/>
  <c r="L16" i="36" s="1"/>
  <c r="P15" i="36"/>
  <c r="O15" i="36"/>
  <c r="N15" i="36"/>
  <c r="M34" i="36"/>
  <c r="L35" i="36" s="1"/>
  <c r="P34" i="36" l="1"/>
  <c r="O34" i="36"/>
  <c r="Q34" i="36" s="1"/>
  <c r="N34" i="36"/>
  <c r="N71" i="36"/>
  <c r="M71" i="36"/>
  <c r="L72" i="36" s="1"/>
  <c r="P16" i="37"/>
  <c r="R16" i="37"/>
  <c r="Q16" i="37"/>
  <c r="S16" i="37" s="1"/>
  <c r="S15" i="37"/>
  <c r="O17" i="37"/>
  <c r="N18" i="37" s="1"/>
  <c r="M35" i="36"/>
  <c r="L36" i="36" s="1"/>
  <c r="Q15" i="36"/>
  <c r="M16" i="36"/>
  <c r="L17" i="36" s="1"/>
  <c r="P16" i="36"/>
  <c r="N16" i="36"/>
  <c r="O16" i="36"/>
  <c r="N72" i="36" l="1"/>
  <c r="M72" i="36"/>
  <c r="L73" i="36" s="1"/>
  <c r="P17" i="37"/>
  <c r="O18" i="37"/>
  <c r="N19" i="37" s="1"/>
  <c r="R18" i="37"/>
  <c r="Q17" i="37"/>
  <c r="R17" i="37"/>
  <c r="Q16" i="36"/>
  <c r="O35" i="36"/>
  <c r="Q35" i="36" s="1"/>
  <c r="M17" i="36"/>
  <c r="L18" i="36" s="1"/>
  <c r="P17" i="36"/>
  <c r="O17" i="36"/>
  <c r="M36" i="36"/>
  <c r="L37" i="36" s="1"/>
  <c r="P35" i="36"/>
  <c r="N35" i="36"/>
  <c r="N36" i="36" l="1"/>
  <c r="O36" i="36"/>
  <c r="P36" i="36"/>
  <c r="Q17" i="36"/>
  <c r="N73" i="36"/>
  <c r="M73" i="36"/>
  <c r="L74" i="36" s="1"/>
  <c r="Q18" i="37"/>
  <c r="S18" i="37" s="1"/>
  <c r="S17" i="37"/>
  <c r="O19" i="37"/>
  <c r="N20" i="37" s="1"/>
  <c r="P18" i="37"/>
  <c r="M37" i="36"/>
  <c r="L38" i="36" s="1"/>
  <c r="O37" i="36"/>
  <c r="Q37" i="36" s="1"/>
  <c r="P37" i="36"/>
  <c r="M18" i="36"/>
  <c r="L19" i="36" s="1"/>
  <c r="O18" i="36"/>
  <c r="P18" i="36"/>
  <c r="N18" i="36"/>
  <c r="N17" i="36"/>
  <c r="Q36" i="36" l="1"/>
  <c r="M74" i="36"/>
  <c r="L75" i="36" s="1"/>
  <c r="Q19" i="37"/>
  <c r="R19" i="37"/>
  <c r="P19" i="37"/>
  <c r="O20" i="37"/>
  <c r="N21" i="37" s="1"/>
  <c r="N37" i="36"/>
  <c r="Q18" i="36"/>
  <c r="M19" i="36"/>
  <c r="L20" i="36" s="1"/>
  <c r="O19" i="36"/>
  <c r="Q19" i="36" s="1"/>
  <c r="P19" i="36"/>
  <c r="N19" i="36"/>
  <c r="M38" i="36"/>
  <c r="L39" i="36" s="1"/>
  <c r="P38" i="36"/>
  <c r="N38" i="36"/>
  <c r="O38" i="36"/>
  <c r="Q38" i="36" s="1"/>
  <c r="M75" i="36" l="1"/>
  <c r="L76" i="36" s="1"/>
  <c r="N75" i="36"/>
  <c r="N74" i="36"/>
  <c r="Q20" i="37"/>
  <c r="R20" i="37"/>
  <c r="S19" i="37"/>
  <c r="O21" i="37"/>
  <c r="N22" i="37" s="1"/>
  <c r="P20" i="37"/>
  <c r="M20" i="36"/>
  <c r="L21" i="36" s="1"/>
  <c r="M39" i="36"/>
  <c r="L40" i="36" s="1"/>
  <c r="N39" i="36"/>
  <c r="P39" i="36" l="1"/>
  <c r="O39" i="36"/>
  <c r="Q39" i="36" s="1"/>
  <c r="O20" i="36"/>
  <c r="Q20" i="36" s="1"/>
  <c r="N20" i="36"/>
  <c r="P20" i="36"/>
  <c r="N76" i="36"/>
  <c r="P21" i="37"/>
  <c r="R21" i="37"/>
  <c r="S20" i="37"/>
  <c r="O22" i="37"/>
  <c r="N23" i="37" s="1"/>
  <c r="Q21" i="37"/>
  <c r="M40" i="36"/>
  <c r="L41" i="36" s="1"/>
  <c r="O40" i="36"/>
  <c r="N40" i="36"/>
  <c r="P40" i="36"/>
  <c r="M21" i="36"/>
  <c r="L22" i="36" s="1"/>
  <c r="N21" i="36"/>
  <c r="O21" i="36"/>
  <c r="P22" i="37" l="1"/>
  <c r="Q40" i="36"/>
  <c r="P21" i="36"/>
  <c r="Q21" i="36" s="1"/>
  <c r="S21" i="37"/>
  <c r="O23" i="37"/>
  <c r="N24" i="37" s="1"/>
  <c r="Q22" i="37"/>
  <c r="R22" i="37"/>
  <c r="M41" i="36"/>
  <c r="L42" i="36" s="1"/>
  <c r="N41" i="36"/>
  <c r="M22" i="36"/>
  <c r="L23" i="36" s="1"/>
  <c r="O22" i="36"/>
  <c r="Q22" i="36" s="1"/>
  <c r="P22" i="36"/>
  <c r="N22" i="36"/>
  <c r="O41" i="36" l="1"/>
  <c r="Q41" i="36" s="1"/>
  <c r="P41" i="36"/>
  <c r="P23" i="37"/>
  <c r="O24" i="37"/>
  <c r="N25" i="37" s="1"/>
  <c r="R24" i="37"/>
  <c r="S22" i="37"/>
  <c r="R23" i="37"/>
  <c r="Q23" i="37"/>
  <c r="M42" i="36"/>
  <c r="L43" i="36" s="1"/>
  <c r="M23" i="36"/>
  <c r="L24" i="36" s="1"/>
  <c r="N23" i="36"/>
  <c r="P23" i="36"/>
  <c r="O23" i="36"/>
  <c r="S23" i="37" l="1"/>
  <c r="Q25" i="37"/>
  <c r="R25" i="37"/>
  <c r="P25" i="37"/>
  <c r="P24" i="37"/>
  <c r="Q24" i="37"/>
  <c r="N43" i="36"/>
  <c r="O43" i="36"/>
  <c r="P43" i="36"/>
  <c r="N42" i="36"/>
  <c r="P42" i="36"/>
  <c r="Q23" i="36"/>
  <c r="M24" i="36"/>
  <c r="L25" i="36" s="1"/>
  <c r="P24" i="36"/>
  <c r="O24" i="36"/>
  <c r="O42" i="36"/>
  <c r="R26" i="37" l="1"/>
  <c r="U25" i="37" s="1"/>
  <c r="S25" i="37"/>
  <c r="Q26" i="37"/>
  <c r="T24" i="37" s="1"/>
  <c r="S24" i="37"/>
  <c r="Q42" i="36"/>
  <c r="O44" i="36"/>
  <c r="P44" i="36"/>
  <c r="Q43" i="36"/>
  <c r="R43" i="36"/>
  <c r="P25" i="36"/>
  <c r="O25" i="36"/>
  <c r="O26" i="36" s="1"/>
  <c r="N25" i="36"/>
  <c r="N24" i="36"/>
  <c r="Q24" i="36"/>
  <c r="S26" i="37" l="1"/>
  <c r="V25" i="37" s="1"/>
  <c r="U14" i="37"/>
  <c r="U13" i="37"/>
  <c r="X13" i="37" s="1"/>
  <c r="U15" i="37"/>
  <c r="U16" i="37"/>
  <c r="U18" i="37"/>
  <c r="U17" i="37"/>
  <c r="U20" i="37"/>
  <c r="U19" i="37"/>
  <c r="U21" i="37"/>
  <c r="U22" i="37"/>
  <c r="U24" i="37"/>
  <c r="U23" i="37"/>
  <c r="V24" i="37"/>
  <c r="T13" i="37"/>
  <c r="W13" i="37" s="1"/>
  <c r="T14" i="37"/>
  <c r="T15" i="37"/>
  <c r="T16" i="37"/>
  <c r="T17" i="37"/>
  <c r="T18" i="37"/>
  <c r="T19" i="37"/>
  <c r="T20" i="37"/>
  <c r="T21" i="37"/>
  <c r="T22" i="37"/>
  <c r="T23" i="37"/>
  <c r="T25" i="37"/>
  <c r="R21" i="36"/>
  <c r="R13" i="36"/>
  <c r="U13" i="36" s="1"/>
  <c r="R14" i="36"/>
  <c r="R15" i="36"/>
  <c r="R16" i="36"/>
  <c r="R19" i="36"/>
  <c r="R20" i="36"/>
  <c r="R17" i="36"/>
  <c r="R18" i="36"/>
  <c r="R22" i="36"/>
  <c r="R23" i="36"/>
  <c r="R24" i="36"/>
  <c r="R33" i="36"/>
  <c r="R35" i="36"/>
  <c r="R36" i="36"/>
  <c r="R39" i="36"/>
  <c r="R31" i="36"/>
  <c r="U31" i="36" s="1"/>
  <c r="R32" i="36"/>
  <c r="R34" i="36"/>
  <c r="R37" i="36"/>
  <c r="R38" i="36"/>
  <c r="R40" i="36"/>
  <c r="R41" i="36"/>
  <c r="Q25" i="36"/>
  <c r="R25" i="36"/>
  <c r="P26" i="36"/>
  <c r="S36" i="36"/>
  <c r="S39" i="36"/>
  <c r="S31" i="36"/>
  <c r="V31" i="36" s="1"/>
  <c r="S32" i="36"/>
  <c r="S34" i="36"/>
  <c r="S37" i="36"/>
  <c r="S38" i="36"/>
  <c r="S33" i="36"/>
  <c r="S35" i="36"/>
  <c r="S40" i="36"/>
  <c r="S41" i="36"/>
  <c r="S43" i="36"/>
  <c r="R42" i="36"/>
  <c r="Q44" i="36"/>
  <c r="T43" i="36" s="1"/>
  <c r="S42" i="36"/>
  <c r="X14" i="37" l="1"/>
  <c r="Y13" i="37"/>
  <c r="W14" i="37"/>
  <c r="W15" i="37" s="1"/>
  <c r="W16" i="37" s="1"/>
  <c r="W17" i="37" s="1"/>
  <c r="W18" i="37" s="1"/>
  <c r="W19" i="37" s="1"/>
  <c r="W20" i="37" s="1"/>
  <c r="W21" i="37" s="1"/>
  <c r="W22" i="37" s="1"/>
  <c r="W23" i="37" s="1"/>
  <c r="W24" i="37" s="1"/>
  <c r="W25" i="37" s="1"/>
  <c r="V13" i="37"/>
  <c r="V14" i="37"/>
  <c r="V15" i="37"/>
  <c r="V16" i="37"/>
  <c r="V17" i="37"/>
  <c r="V18" i="37"/>
  <c r="V19" i="37"/>
  <c r="V20" i="37"/>
  <c r="V21" i="37"/>
  <c r="V22" i="37"/>
  <c r="V23" i="37"/>
  <c r="S19" i="36"/>
  <c r="S18" i="36"/>
  <c r="S20" i="36"/>
  <c r="S21" i="36"/>
  <c r="S13" i="36"/>
  <c r="V13" i="36" s="1"/>
  <c r="S14" i="36"/>
  <c r="S15" i="36"/>
  <c r="S17" i="36"/>
  <c r="S16" i="36"/>
  <c r="S22" i="36"/>
  <c r="S23" i="36"/>
  <c r="S24" i="36"/>
  <c r="S25" i="36"/>
  <c r="T25" i="36"/>
  <c r="X43" i="36" s="1"/>
  <c r="T42" i="36"/>
  <c r="T35" i="36"/>
  <c r="T36" i="36"/>
  <c r="T37" i="36"/>
  <c r="T38" i="36"/>
  <c r="T39" i="36"/>
  <c r="T40" i="36"/>
  <c r="T32" i="36"/>
  <c r="T34" i="36"/>
  <c r="T31" i="36"/>
  <c r="T33" i="36"/>
  <c r="T41" i="36"/>
  <c r="U14" i="36"/>
  <c r="U15" i="36" s="1"/>
  <c r="U16" i="36" s="1"/>
  <c r="U17" i="36" s="1"/>
  <c r="U18" i="36" s="1"/>
  <c r="U19" i="36" s="1"/>
  <c r="U20" i="36" s="1"/>
  <c r="U21" i="36" s="1"/>
  <c r="U22" i="36" s="1"/>
  <c r="U23" i="36" s="1"/>
  <c r="U24" i="36" s="1"/>
  <c r="U25" i="36" s="1"/>
  <c r="V32" i="36"/>
  <c r="W31" i="36"/>
  <c r="U32" i="36"/>
  <c r="U33" i="36" s="1"/>
  <c r="U34" i="36" s="1"/>
  <c r="U35" i="36" s="1"/>
  <c r="U36" i="36" s="1"/>
  <c r="U37" i="36" s="1"/>
  <c r="U38" i="36" s="1"/>
  <c r="U39" i="36" s="1"/>
  <c r="U40" i="36" s="1"/>
  <c r="U41" i="36" s="1"/>
  <c r="U42" i="36" s="1"/>
  <c r="U43" i="36" s="1"/>
  <c r="Q26" i="36"/>
  <c r="Y14" i="37" l="1"/>
  <c r="X15" i="37"/>
  <c r="V33" i="36"/>
  <c r="W32" i="36"/>
  <c r="V14" i="36"/>
  <c r="W13" i="36"/>
  <c r="T22" i="36"/>
  <c r="X40" i="36" s="1"/>
  <c r="T15" i="36"/>
  <c r="X33" i="36" s="1"/>
  <c r="T17" i="36"/>
  <c r="X35" i="36" s="1"/>
  <c r="T18" i="36"/>
  <c r="X36" i="36" s="1"/>
  <c r="T13" i="36"/>
  <c r="X31" i="36" s="1"/>
  <c r="T14" i="36"/>
  <c r="X32" i="36" s="1"/>
  <c r="T16" i="36"/>
  <c r="X34" i="36" s="1"/>
  <c r="T19" i="36"/>
  <c r="X37" i="36" s="1"/>
  <c r="T20" i="36"/>
  <c r="X38" i="36" s="1"/>
  <c r="T21" i="36"/>
  <c r="X39" i="36" s="1"/>
  <c r="T23" i="36"/>
  <c r="X41" i="36" s="1"/>
  <c r="T24" i="36"/>
  <c r="X42" i="36" s="1"/>
  <c r="X16" i="37" l="1"/>
  <c r="Y15" i="37"/>
  <c r="W46" i="36"/>
  <c r="W14" i="36"/>
  <c r="V15" i="36"/>
  <c r="W33" i="36"/>
  <c r="V34" i="36"/>
  <c r="Y16" i="37" l="1"/>
  <c r="X17" i="37"/>
  <c r="V35" i="36"/>
  <c r="W34" i="36"/>
  <c r="W15" i="36"/>
  <c r="V16" i="36"/>
  <c r="Y17" i="37" l="1"/>
  <c r="X18" i="37"/>
  <c r="V17" i="36"/>
  <c r="W16" i="36"/>
  <c r="W35" i="36"/>
  <c r="V36" i="36"/>
  <c r="X19" i="37" l="1"/>
  <c r="Y18" i="37"/>
  <c r="W17" i="36"/>
  <c r="V18" i="36"/>
  <c r="V37" i="36"/>
  <c r="W36" i="36"/>
  <c r="Y19" i="37" l="1"/>
  <c r="X20" i="37"/>
  <c r="V38" i="36"/>
  <c r="W37" i="36"/>
  <c r="W18" i="36"/>
  <c r="V19" i="36"/>
  <c r="X21" i="37" l="1"/>
  <c r="Y20" i="37"/>
  <c r="W19" i="36"/>
  <c r="V20" i="36"/>
  <c r="V39" i="36"/>
  <c r="W38" i="36"/>
  <c r="Y21" i="37" l="1"/>
  <c r="X22" i="37"/>
  <c r="W39" i="36"/>
  <c r="V40" i="36"/>
  <c r="W20" i="36"/>
  <c r="V21" i="36"/>
  <c r="Y22" i="37" l="1"/>
  <c r="X23" i="37"/>
  <c r="W21" i="36"/>
  <c r="V22" i="36"/>
  <c r="W40" i="36"/>
  <c r="V41" i="36"/>
  <c r="X24" i="37" l="1"/>
  <c r="Y23" i="37"/>
  <c r="V42" i="36"/>
  <c r="W41" i="36"/>
  <c r="W22" i="36"/>
  <c r="V23" i="36"/>
  <c r="Y24" i="37" l="1"/>
  <c r="X25" i="37"/>
  <c r="Y25" i="37" s="1"/>
  <c r="V24" i="36"/>
  <c r="W23" i="36"/>
  <c r="W42" i="36"/>
  <c r="V43" i="36"/>
  <c r="W43" i="36" s="1"/>
  <c r="W45" i="36" s="1"/>
  <c r="Y27" i="37" l="1"/>
  <c r="W24" i="36"/>
  <c r="V25" i="36"/>
  <c r="W25" i="36" s="1"/>
  <c r="W27" i="3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<sst xmlns="http://schemas.openxmlformats.org/spreadsheetml/2006/main" count="3928" uniqueCount="147">
  <si>
    <t>target</t>
  </si>
  <si>
    <t>edad</t>
  </si>
  <si>
    <t>n_educ</t>
  </si>
  <si>
    <t>a_emp</t>
  </si>
  <si>
    <t>a_dir</t>
  </si>
  <si>
    <t>ing_h</t>
  </si>
  <si>
    <t>deu_ing</t>
  </si>
  <si>
    <t>deu_tc</t>
  </si>
  <si>
    <t>deu_o</t>
  </si>
  <si>
    <t>Etiqueta</t>
  </si>
  <si>
    <t>Descripción variable</t>
  </si>
  <si>
    <t>Incumplimiento de pago (Default)</t>
  </si>
  <si>
    <t>Edad</t>
  </si>
  <si>
    <t>Nivel Educativo</t>
  </si>
  <si>
    <t>Años con el empleador actual</t>
  </si>
  <si>
    <t>Años en la Dirección Actual</t>
  </si>
  <si>
    <t>Ingresos del Hogar (Miles $)</t>
  </si>
  <si>
    <t>Razón de la Deuda/Ingresos ( %)</t>
  </si>
  <si>
    <t>Deuda de la Tarjeta de crédito (Miles $)</t>
  </si>
  <si>
    <t>Otras Deuda (Miles $)</t>
  </si>
  <si>
    <t>b</t>
  </si>
  <si>
    <t>SE(b)</t>
  </si>
  <si>
    <t>t</t>
  </si>
  <si>
    <t>p-value</t>
  </si>
  <si>
    <t>pseudo-r^2</t>
  </si>
  <si>
    <t>LR test / p-value</t>
  </si>
  <si>
    <t>lnL / lnLo</t>
  </si>
  <si>
    <t>Etiquetas de fila</t>
  </si>
  <si>
    <t>Total general</t>
  </si>
  <si>
    <t>Etiquetas de columna</t>
  </si>
  <si>
    <t>Cuenta de deu_ing</t>
  </si>
  <si>
    <t>0-2</t>
  </si>
  <si>
    <t>2-4</t>
  </si>
  <si>
    <t>4-6</t>
  </si>
  <si>
    <t>6-8</t>
  </si>
  <si>
    <t>8-10</t>
  </si>
  <si>
    <t>10-12</t>
  </si>
  <si>
    <t>12-14</t>
  </si>
  <si>
    <t>14-16</t>
  </si>
  <si>
    <t>16-18</t>
  </si>
  <si>
    <t>18-20</t>
  </si>
  <si>
    <t>20-22</t>
  </si>
  <si>
    <t>22-24</t>
  </si>
  <si>
    <t>24-26</t>
  </si>
  <si>
    <t>26-28</t>
  </si>
  <si>
    <t>28-30</t>
  </si>
  <si>
    <t>30-32</t>
  </si>
  <si>
    <t>muestra</t>
  </si>
  <si>
    <t>n</t>
  </si>
  <si>
    <t>Entrenamiento</t>
  </si>
  <si>
    <t>Validación</t>
  </si>
  <si>
    <t>#</t>
  </si>
  <si>
    <t>%</t>
  </si>
  <si>
    <t>20-21</t>
  </si>
  <si>
    <t>22-23</t>
  </si>
  <si>
    <t>24-25</t>
  </si>
  <si>
    <t>26-27</t>
  </si>
  <si>
    <t>28-29</t>
  </si>
  <si>
    <t>30-31</t>
  </si>
  <si>
    <t>32-33</t>
  </si>
  <si>
    <t>34-35</t>
  </si>
  <si>
    <t>36-37</t>
  </si>
  <si>
    <t>38-39</t>
  </si>
  <si>
    <t>40-41</t>
  </si>
  <si>
    <t>42-43</t>
  </si>
  <si>
    <t>44-45</t>
  </si>
  <si>
    <t>46-47</t>
  </si>
  <si>
    <t>48-49</t>
  </si>
  <si>
    <t>50-51</t>
  </si>
  <si>
    <t>52-53</t>
  </si>
  <si>
    <t>54-56</t>
  </si>
  <si>
    <t>default</t>
  </si>
  <si>
    <t>Cuenta de default</t>
  </si>
  <si>
    <t>Intercepto</t>
  </si>
  <si>
    <t>Obs.</t>
  </si>
  <si>
    <t>Vars.</t>
  </si>
  <si>
    <t>Y</t>
  </si>
  <si>
    <t>X's</t>
  </si>
  <si>
    <t>promedio</t>
  </si>
  <si>
    <t>mediana</t>
  </si>
  <si>
    <t>desviación estandar</t>
  </si>
  <si>
    <t>variación porcentual</t>
  </si>
  <si>
    <t>Intervalo inferior</t>
  </si>
  <si>
    <t>Intervalo superior</t>
  </si>
  <si>
    <t>missing value</t>
  </si>
  <si>
    <t>% missing value</t>
  </si>
  <si>
    <t>Tratamiento variable discreta/cat.</t>
  </si>
  <si>
    <t>Tratamiento variable continua</t>
  </si>
  <si>
    <t>mínimo</t>
  </si>
  <si>
    <t>máximo</t>
  </si>
  <si>
    <t>número de observaciones</t>
  </si>
  <si>
    <t>Estimación</t>
  </si>
  <si>
    <t>PD</t>
  </si>
  <si>
    <t>SCORE</t>
  </si>
  <si>
    <t>Binario</t>
  </si>
  <si>
    <t>Umbral</t>
  </si>
  <si>
    <t>Base</t>
  </si>
  <si>
    <t>Doblar Score</t>
  </si>
  <si>
    <t>No default</t>
  </si>
  <si>
    <t>Default</t>
  </si>
  <si>
    <t>Total</t>
  </si>
  <si>
    <t>Medidas de Desempeño</t>
  </si>
  <si>
    <t>Tramo Inferior</t>
  </si>
  <si>
    <t>Tramo Superior</t>
  </si>
  <si>
    <t>Tramo</t>
  </si>
  <si>
    <t>% ND</t>
  </si>
  <si>
    <t>%D</t>
  </si>
  <si>
    <t>%Total</t>
  </si>
  <si>
    <t>FrcAc %ND</t>
  </si>
  <si>
    <t>FrcAc %D</t>
  </si>
  <si>
    <t>KS</t>
  </si>
  <si>
    <t>Máx KS</t>
  </si>
  <si>
    <t>PSI</t>
  </si>
  <si>
    <t>Método en definir un umbral</t>
  </si>
  <si>
    <t>Modelo</t>
  </si>
  <si>
    <t>Acuarracy</t>
  </si>
  <si>
    <t>Recall</t>
  </si>
  <si>
    <t>Observado</t>
  </si>
  <si>
    <t>Precision</t>
  </si>
  <si>
    <t>F1-Score</t>
  </si>
  <si>
    <t>Seleccionado</t>
  </si>
  <si>
    <t>Índice de Estabilidad de la Población (PSI)</t>
  </si>
  <si>
    <t>&lt; 0.1</t>
  </si>
  <si>
    <t>Sin cambio</t>
  </si>
  <si>
    <t>Puede continuar usando el modelo existinte</t>
  </si>
  <si>
    <t>&gt;= 0.2</t>
  </si>
  <si>
    <t>Se requiere un ligero cambio</t>
  </si>
  <si>
    <t>Se requiere cambio</t>
  </si>
  <si>
    <t>All</t>
  </si>
  <si>
    <r>
      <rPr>
        <b/>
        <sz val="10"/>
        <rFont val="Calibri Light (Títulos)"/>
      </rPr>
      <t>NOTA 1:</t>
    </r>
    <r>
      <rPr>
        <sz val="10"/>
        <rFont val="Arial"/>
        <family val="2"/>
      </rPr>
      <t xml:space="preserve"> No es necesario consdierar el calculo de KS y PSI</t>
    </r>
  </si>
  <si>
    <t>Clasificación</t>
  </si>
  <si>
    <t>EAD</t>
  </si>
  <si>
    <t>Evaluación Negocio</t>
  </si>
  <si>
    <t>Evaluación Metodologica</t>
  </si>
  <si>
    <t>#Clientes</t>
  </si>
  <si>
    <t>%PD</t>
  </si>
  <si>
    <t>Modelo Final</t>
  </si>
  <si>
    <t xml:space="preserve">Perfil </t>
  </si>
  <si>
    <t>Perfil 1</t>
  </si>
  <si>
    <t>Perfil 2</t>
  </si>
  <si>
    <t>Perfil 3</t>
  </si>
  <si>
    <t>Perfil 4</t>
  </si>
  <si>
    <t>Perfil 5</t>
  </si>
  <si>
    <t>Perfil 6</t>
  </si>
  <si>
    <t>LGD</t>
  </si>
  <si>
    <t>PE</t>
  </si>
  <si>
    <t>Perdida Esperada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</si>
</sst>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 &quot;$&quot;* #,##0_ ;_ &quot;$&quot;* \-#,##0_ ;_ &quot;$&quot;* &quot;-&quot;_ ;_ @_ "/>
    <numFmt numFmtId="164" formatCode="0.0%"/>
    <numFmt numFmtId="165" formatCode="0.00000"/>
    <numFmt numFmtId="166" formatCode="0.000"/>
    <numFmt numFmtId="167" formatCode="0.0000"/>
  </numFmts>
  <fonts count="1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Calibri Light"/>
      <family val="2"/>
      <scheme val="major"/>
    </font>
    <font>
      <sz val="12"/>
      <name val="Calibri Light"/>
      <family val="2"/>
      <scheme val="major"/>
    </font>
    <font>
      <sz val="12"/>
      <name val="Arial"/>
      <family val="2"/>
    </font>
    <font>
      <i/>
      <sz val="12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sz val="12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b/>
      <sz val="10"/>
      <name val="Calibri Light (Títulos)"/>
    </font>
    <font>
      <sz val="10"/>
      <name val="Arial"/>
      <family val="2"/>
    </font>
    <font>
      <sz val="12"/>
      <name val="Calibri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4">
    <xf numFmtId="0" fontId="0" fillId="0" borderId="0"/>
    <xf numFmtId="0" fontId="1" fillId="0" borderId="0"/>
    <xf numFmtId="9" fontId="2" fillId="0" borderId="0" applyFont="0" applyFill="0" applyBorder="0" applyAlignment="0" applyProtection="0"/>
    <xf numFmtId="42" fontId="11" fillId="0" borderId="0" applyFon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/>
    <xf numFmtId="0" fontId="4" fillId="0" borderId="0" xfId="0" applyFont="1"/>
    <xf numFmtId="0" fontId="4" fillId="0" borderId="3" xfId="0" applyFont="1" applyBorder="1"/>
    <xf numFmtId="2" fontId="4" fillId="0" borderId="3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/>
    </xf>
    <xf numFmtId="10" fontId="4" fillId="0" borderId="3" xfId="2" applyNumberFormat="1" applyFont="1" applyFill="1" applyBorder="1" applyAlignment="1">
      <alignment horizontal="center"/>
    </xf>
    <xf numFmtId="2" fontId="4" fillId="3" borderId="3" xfId="0" applyNumberFormat="1" applyFont="1" applyFill="1" applyBorder="1" applyAlignment="1">
      <alignment horizontal="center"/>
    </xf>
    <xf numFmtId="0" fontId="5" fillId="0" borderId="0" xfId="0" applyFont="1"/>
    <xf numFmtId="9" fontId="4" fillId="0" borderId="3" xfId="2" applyFont="1" applyBorder="1" applyAlignment="1">
      <alignment horizontal="center"/>
    </xf>
    <xf numFmtId="9" fontId="6" fillId="0" borderId="3" xfId="2" applyFont="1" applyFill="1" applyBorder="1" applyAlignment="1">
      <alignment horizontal="center" vertical="center"/>
    </xf>
    <xf numFmtId="9" fontId="4" fillId="0" borderId="3" xfId="2" applyFont="1" applyFill="1" applyBorder="1" applyAlignment="1">
      <alignment horizontal="left" vertical="center"/>
    </xf>
    <xf numFmtId="9" fontId="4" fillId="0" borderId="3" xfId="2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0" fontId="4" fillId="2" borderId="3" xfId="2" applyNumberFormat="1" applyFont="1" applyFill="1" applyBorder="1" applyAlignment="1">
      <alignment horizontal="center"/>
    </xf>
    <xf numFmtId="10" fontId="0" fillId="0" borderId="0" xfId="2" applyNumberFormat="1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2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0" xfId="2" applyNumberFormat="1" applyFont="1" applyFill="1" applyBorder="1"/>
    <xf numFmtId="166" fontId="4" fillId="0" borderId="3" xfId="0" applyNumberFormat="1" applyFont="1" applyBorder="1" applyAlignment="1">
      <alignment horizontal="center"/>
    </xf>
    <xf numFmtId="166" fontId="4" fillId="0" borderId="3" xfId="2" applyNumberFormat="1" applyFont="1" applyFill="1" applyBorder="1" applyAlignment="1">
      <alignment horizontal="center"/>
    </xf>
    <xf numFmtId="0" fontId="7" fillId="0" borderId="1" xfId="0" applyFont="1" applyBorder="1"/>
    <xf numFmtId="0" fontId="7" fillId="0" borderId="0" xfId="0" applyFont="1"/>
    <xf numFmtId="0" fontId="7" fillId="0" borderId="3" xfId="0" applyFont="1" applyBorder="1" applyAlignment="1">
      <alignment horizontal="center" vertical="center"/>
    </xf>
    <xf numFmtId="0" fontId="7" fillId="0" borderId="2" xfId="0" applyFont="1" applyBorder="1"/>
    <xf numFmtId="2" fontId="4" fillId="0" borderId="0" xfId="0" applyNumberFormat="1" applyFont="1" applyAlignment="1">
      <alignment horizontal="center"/>
    </xf>
    <xf numFmtId="9" fontId="4" fillId="0" borderId="0" xfId="2" applyFont="1" applyAlignment="1">
      <alignment horizontal="center"/>
    </xf>
    <xf numFmtId="9" fontId="4" fillId="2" borderId="0" xfId="2" applyFont="1" applyFill="1" applyAlignment="1">
      <alignment horizontal="center"/>
    </xf>
    <xf numFmtId="9" fontId="4" fillId="0" borderId="0" xfId="0" applyNumberFormat="1" applyFont="1"/>
    <xf numFmtId="0" fontId="4" fillId="0" borderId="4" xfId="0" applyFont="1" applyBorder="1" applyAlignment="1">
      <alignment horizontal="center"/>
    </xf>
    <xf numFmtId="9" fontId="4" fillId="2" borderId="3" xfId="2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164" fontId="8" fillId="0" borderId="0" xfId="0" applyNumberFormat="1" applyFont="1"/>
    <xf numFmtId="1" fontId="8" fillId="0" borderId="0" xfId="0" applyNumberFormat="1" applyFont="1"/>
    <xf numFmtId="0" fontId="8" fillId="0" borderId="3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66" fontId="4" fillId="0" borderId="7" xfId="0" applyNumberFormat="1" applyFont="1" applyBorder="1" applyAlignment="1">
      <alignment horizontal="center"/>
    </xf>
    <xf numFmtId="10" fontId="4" fillId="0" borderId="7" xfId="2" applyNumberFormat="1" applyFont="1" applyFill="1" applyBorder="1" applyAlignment="1">
      <alignment horizontal="center"/>
    </xf>
    <xf numFmtId="166" fontId="4" fillId="0" borderId="7" xfId="2" applyNumberFormat="1" applyFont="1" applyFill="1" applyBorder="1" applyAlignment="1">
      <alignment horizontal="center"/>
    </xf>
    <xf numFmtId="0" fontId="8" fillId="4" borderId="0" xfId="0" applyFont="1" applyFill="1" applyAlignment="1">
      <alignment horizontal="left"/>
    </xf>
    <xf numFmtId="166" fontId="4" fillId="0" borderId="8" xfId="0" applyNumberFormat="1" applyFont="1" applyBorder="1" applyAlignment="1">
      <alignment horizontal="center"/>
    </xf>
    <xf numFmtId="166" fontId="4" fillId="0" borderId="5" xfId="0" applyNumberFormat="1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9" fillId="0" borderId="0" xfId="0" applyFont="1"/>
    <xf numFmtId="0" fontId="9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 vertical="center"/>
    </xf>
    <xf numFmtId="1" fontId="8" fillId="4" borderId="3" xfId="0" applyNumberFormat="1" applyFont="1" applyFill="1" applyBorder="1" applyAlignment="1">
      <alignment horizontal="center"/>
    </xf>
    <xf numFmtId="164" fontId="8" fillId="0" borderId="3" xfId="2" applyNumberFormat="1" applyFont="1" applyBorder="1" applyAlignment="1">
      <alignment horizontal="center"/>
    </xf>
    <xf numFmtId="167" fontId="8" fillId="0" borderId="3" xfId="0" applyNumberFormat="1" applyFont="1" applyBorder="1" applyAlignment="1">
      <alignment horizontal="center"/>
    </xf>
    <xf numFmtId="9" fontId="8" fillId="0" borderId="3" xfId="2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164" fontId="8" fillId="0" borderId="0" xfId="2" applyNumberFormat="1" applyFont="1" applyFill="1" applyBorder="1" applyAlignment="1">
      <alignment horizontal="center"/>
    </xf>
    <xf numFmtId="167" fontId="8" fillId="0" borderId="0" xfId="0" applyNumberFormat="1" applyFont="1" applyAlignment="1">
      <alignment horizontal="center"/>
    </xf>
    <xf numFmtId="9" fontId="8" fillId="0" borderId="0" xfId="2" applyFont="1" applyFill="1" applyBorder="1" applyAlignment="1">
      <alignment horizontal="center"/>
    </xf>
    <xf numFmtId="10" fontId="8" fillId="0" borderId="0" xfId="2" applyNumberFormat="1" applyFont="1" applyBorder="1" applyAlignment="1">
      <alignment horizontal="center" vertical="center"/>
    </xf>
    <xf numFmtId="0" fontId="8" fillId="0" borderId="6" xfId="0" applyFont="1" applyBorder="1"/>
    <xf numFmtId="0" fontId="8" fillId="0" borderId="9" xfId="0" applyFont="1" applyBorder="1"/>
    <xf numFmtId="10" fontId="8" fillId="0" borderId="9" xfId="2" applyNumberFormat="1" applyFont="1" applyBorder="1" applyAlignment="1">
      <alignment horizontal="center" vertical="center"/>
    </xf>
    <xf numFmtId="0" fontId="8" fillId="0" borderId="10" xfId="0" applyFont="1" applyBorder="1"/>
    <xf numFmtId="0" fontId="8" fillId="0" borderId="11" xfId="0" applyFont="1" applyBorder="1"/>
    <xf numFmtId="0" fontId="8" fillId="0" borderId="8" xfId="0" applyFont="1" applyBorder="1"/>
    <xf numFmtId="0" fontId="8" fillId="4" borderId="3" xfId="0" applyFont="1" applyFill="1" applyBorder="1" applyAlignment="1">
      <alignment horizontal="left"/>
    </xf>
    <xf numFmtId="164" fontId="8" fillId="0" borderId="3" xfId="0" applyNumberFormat="1" applyFont="1" applyBorder="1" applyAlignment="1">
      <alignment horizontal="center"/>
    </xf>
    <xf numFmtId="0" fontId="7" fillId="0" borderId="3" xfId="0" applyFont="1" applyBorder="1" applyAlignment="1">
      <alignment horizontal="left" vertical="center"/>
    </xf>
    <xf numFmtId="0" fontId="12" fillId="0" borderId="0" xfId="0" applyFont="1"/>
    <xf numFmtId="0" fontId="7" fillId="0" borderId="0" xfId="0" applyFont="1" applyAlignment="1">
      <alignment horizontal="center"/>
    </xf>
    <xf numFmtId="42" fontId="7" fillId="0" borderId="3" xfId="3" applyFont="1" applyBorder="1" applyAlignment="1">
      <alignment horizontal="center"/>
    </xf>
    <xf numFmtId="42" fontId="4" fillId="0" borderId="0" xfId="3" applyFont="1"/>
    <xf numFmtId="42" fontId="8" fillId="0" borderId="3" xfId="3" applyFont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42" fontId="0" fillId="0" borderId="0" xfId="0" applyNumberFormat="1"/>
    <xf numFmtId="0" fontId="13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10" fontId="3" fillId="0" borderId="0" xfId="2" applyNumberFormat="1" applyFont="1" applyFill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164" fontId="3" fillId="0" borderId="0" xfId="2" applyNumberFormat="1" applyFont="1" applyFill="1" applyBorder="1"/>
    <xf numFmtId="0" fontId="9" fillId="0" borderId="3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8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 vertical="center" wrapText="1"/>
    </xf>
    <xf numFmtId="0" fontId="9" fillId="4" borderId="12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</cellXfs>
  <cellStyles count="4">
    <cellStyle name="Moneda [0]" xfId="3" builtinId="7"/>
    <cellStyle name="Normal" xfId="0" builtinId="0"/>
    <cellStyle name="Normal 2" xfId="1" xr:uid="{00000000-0005-0000-0000-000001000000}"/>
    <cellStyle name="Porcentaje" xfId="2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[Pauta Ejercicio.xlsm]Analisis Previo!TablaDinámica2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Ratio deuda ingreso por clases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'Analisis Previo'!$B$3:$B$4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'Analisis Previo'!$A$5:$A$21</c:f>
              <c:strCache>
                <c:ptCount val="16"/>
                <c:pt idx="0">
                  <c:v>0-2</c:v>
                </c:pt>
                <c:pt idx="1">
                  <c:v>2-4</c:v>
                </c:pt>
                <c:pt idx="2">
                  <c:v>4-6</c:v>
                </c:pt>
                <c:pt idx="3">
                  <c:v>6-8</c:v>
                </c:pt>
                <c:pt idx="4">
                  <c:v>8-10</c:v>
                </c:pt>
                <c:pt idx="5">
                  <c:v>10-12</c:v>
                </c:pt>
                <c:pt idx="6">
                  <c:v>12-14</c:v>
                </c:pt>
                <c:pt idx="7">
                  <c:v>14-16</c:v>
                </c:pt>
                <c:pt idx="8">
                  <c:v>16-18</c:v>
                </c:pt>
                <c:pt idx="9">
                  <c:v>18-20</c:v>
                </c:pt>
                <c:pt idx="10">
                  <c:v>20-22</c:v>
                </c:pt>
                <c:pt idx="11">
                  <c:v>22-24</c:v>
                </c:pt>
                <c:pt idx="12">
                  <c:v>24-26</c:v>
                </c:pt>
                <c:pt idx="13">
                  <c:v>26-28</c:v>
                </c:pt>
                <c:pt idx="14">
                  <c:v>28-30</c:v>
                </c:pt>
                <c:pt idx="15">
                  <c:v>30-32</c:v>
                </c:pt>
              </c:strCache>
            </c:strRef>
          </c:cat>
          <c:val>
            <c:numRef>
              <c:f>'Analisis Previo'!$B$5:$B$21</c:f>
              <c:numCache>
                <c:formatCode>General</c:formatCode>
                <c:ptCount val="16"/>
                <c:pt idx="0">
                  <c:v>28</c:v>
                </c:pt>
                <c:pt idx="1">
                  <c:v>53</c:v>
                </c:pt>
                <c:pt idx="2">
                  <c:v>64</c:v>
                </c:pt>
                <c:pt idx="3">
                  <c:v>59</c:v>
                </c:pt>
                <c:pt idx="4">
                  <c:v>40</c:v>
                </c:pt>
                <c:pt idx="5">
                  <c:v>34</c:v>
                </c:pt>
                <c:pt idx="6">
                  <c:v>26</c:v>
                </c:pt>
                <c:pt idx="7">
                  <c:v>17</c:v>
                </c:pt>
                <c:pt idx="8">
                  <c:v>16</c:v>
                </c:pt>
                <c:pt idx="9">
                  <c:v>15</c:v>
                </c:pt>
                <c:pt idx="10">
                  <c:v>5</c:v>
                </c:pt>
                <c:pt idx="11">
                  <c:v>8</c:v>
                </c:pt>
                <c:pt idx="12">
                  <c:v>3</c:v>
                </c:pt>
                <c:pt idx="13">
                  <c:v>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24-C942-9C47-221E7E438D97}"/>
            </c:ext>
          </c:extLst>
        </c:ser>
        <c:ser>
          <c:idx val="1"/>
          <c:order val="1"/>
          <c:tx>
            <c:strRef>
              <c:f>'Analisis Previo'!$C$3:$C$4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'Analisis Previo'!$A$5:$A$21</c:f>
              <c:strCache>
                <c:ptCount val="16"/>
                <c:pt idx="0">
                  <c:v>0-2</c:v>
                </c:pt>
                <c:pt idx="1">
                  <c:v>2-4</c:v>
                </c:pt>
                <c:pt idx="2">
                  <c:v>4-6</c:v>
                </c:pt>
                <c:pt idx="3">
                  <c:v>6-8</c:v>
                </c:pt>
                <c:pt idx="4">
                  <c:v>8-10</c:v>
                </c:pt>
                <c:pt idx="5">
                  <c:v>10-12</c:v>
                </c:pt>
                <c:pt idx="6">
                  <c:v>12-14</c:v>
                </c:pt>
                <c:pt idx="7">
                  <c:v>14-16</c:v>
                </c:pt>
                <c:pt idx="8">
                  <c:v>16-18</c:v>
                </c:pt>
                <c:pt idx="9">
                  <c:v>18-20</c:v>
                </c:pt>
                <c:pt idx="10">
                  <c:v>20-22</c:v>
                </c:pt>
                <c:pt idx="11">
                  <c:v>22-24</c:v>
                </c:pt>
                <c:pt idx="12">
                  <c:v>24-26</c:v>
                </c:pt>
                <c:pt idx="13">
                  <c:v>26-28</c:v>
                </c:pt>
                <c:pt idx="14">
                  <c:v>28-30</c:v>
                </c:pt>
                <c:pt idx="15">
                  <c:v>30-32</c:v>
                </c:pt>
              </c:strCache>
            </c:strRef>
          </c:cat>
          <c:val>
            <c:numRef>
              <c:f>'Analisis Previo'!$C$5:$C$21</c:f>
              <c:numCache>
                <c:formatCode>General</c:formatCode>
                <c:ptCount val="16"/>
                <c:pt idx="0">
                  <c:v>3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14</c:v>
                </c:pt>
                <c:pt idx="5">
                  <c:v>8</c:v>
                </c:pt>
                <c:pt idx="6">
                  <c:v>15</c:v>
                </c:pt>
                <c:pt idx="7">
                  <c:v>11</c:v>
                </c:pt>
                <c:pt idx="8">
                  <c:v>17</c:v>
                </c:pt>
                <c:pt idx="9">
                  <c:v>11</c:v>
                </c:pt>
                <c:pt idx="10">
                  <c:v>5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D6-CD4B-A7E4-5E16A6AA3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60834751"/>
        <c:axId val="1296621263"/>
      </c:barChart>
      <c:catAx>
        <c:axId val="760834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96621263"/>
        <c:crosses val="autoZero"/>
        <c:auto val="1"/>
        <c:lblAlgn val="ctr"/>
        <c:lblOffset val="100"/>
        <c:noMultiLvlLbl val="0"/>
      </c:catAx>
      <c:valAx>
        <c:axId val="129662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60834751"/>
        <c:crosses val="autoZero"/>
        <c:crossBetween val="between"/>
      </c:valAx>
      <c:spPr>
        <a:noFill/>
        <a:ln>
          <a:noFill/>
        </a:ln>
        <a:effectLst>
          <a:softEdge rad="0"/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[Pauta Ejercicio.xlsm]Analisis Previo!TablaDinámica1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Edad por clases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'Analisis Previo'!$J$3:$J$4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'Analisis Previo'!$I$5:$I$23</c:f>
              <c:strCache>
                <c:ptCount val="18"/>
                <c:pt idx="0">
                  <c:v>20-21</c:v>
                </c:pt>
                <c:pt idx="1">
                  <c:v>22-23</c:v>
                </c:pt>
                <c:pt idx="2">
                  <c:v>24-25</c:v>
                </c:pt>
                <c:pt idx="3">
                  <c:v>26-27</c:v>
                </c:pt>
                <c:pt idx="4">
                  <c:v>28-29</c:v>
                </c:pt>
                <c:pt idx="5">
                  <c:v>30-31</c:v>
                </c:pt>
                <c:pt idx="6">
                  <c:v>32-33</c:v>
                </c:pt>
                <c:pt idx="7">
                  <c:v>34-35</c:v>
                </c:pt>
                <c:pt idx="8">
                  <c:v>36-37</c:v>
                </c:pt>
                <c:pt idx="9">
                  <c:v>38-39</c:v>
                </c:pt>
                <c:pt idx="10">
                  <c:v>40-41</c:v>
                </c:pt>
                <c:pt idx="11">
                  <c:v>42-43</c:v>
                </c:pt>
                <c:pt idx="12">
                  <c:v>44-45</c:v>
                </c:pt>
                <c:pt idx="13">
                  <c:v>46-47</c:v>
                </c:pt>
                <c:pt idx="14">
                  <c:v>48-49</c:v>
                </c:pt>
                <c:pt idx="15">
                  <c:v>50-51</c:v>
                </c:pt>
                <c:pt idx="16">
                  <c:v>52-53</c:v>
                </c:pt>
                <c:pt idx="17">
                  <c:v>54-56</c:v>
                </c:pt>
              </c:strCache>
            </c:strRef>
          </c:cat>
          <c:val>
            <c:numRef>
              <c:f>'Analisis Previo'!$J$5:$J$23</c:f>
              <c:numCache>
                <c:formatCode>General</c:formatCode>
                <c:ptCount val="18"/>
                <c:pt idx="0">
                  <c:v>7</c:v>
                </c:pt>
                <c:pt idx="1">
                  <c:v>11</c:v>
                </c:pt>
                <c:pt idx="2">
                  <c:v>16</c:v>
                </c:pt>
                <c:pt idx="3">
                  <c:v>28</c:v>
                </c:pt>
                <c:pt idx="4">
                  <c:v>40</c:v>
                </c:pt>
                <c:pt idx="5">
                  <c:v>32</c:v>
                </c:pt>
                <c:pt idx="6">
                  <c:v>29</c:v>
                </c:pt>
                <c:pt idx="7">
                  <c:v>37</c:v>
                </c:pt>
                <c:pt idx="8">
                  <c:v>28</c:v>
                </c:pt>
                <c:pt idx="9">
                  <c:v>39</c:v>
                </c:pt>
                <c:pt idx="10">
                  <c:v>36</c:v>
                </c:pt>
                <c:pt idx="11">
                  <c:v>17</c:v>
                </c:pt>
                <c:pt idx="12">
                  <c:v>15</c:v>
                </c:pt>
                <c:pt idx="13">
                  <c:v>13</c:v>
                </c:pt>
                <c:pt idx="14">
                  <c:v>7</c:v>
                </c:pt>
                <c:pt idx="15">
                  <c:v>10</c:v>
                </c:pt>
                <c:pt idx="16">
                  <c:v>3</c:v>
                </c:pt>
                <c:pt idx="1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1F-CC49-B10E-A554A3CB4E27}"/>
            </c:ext>
          </c:extLst>
        </c:ser>
        <c:ser>
          <c:idx val="1"/>
          <c:order val="1"/>
          <c:tx>
            <c:strRef>
              <c:f>'Analisis Previo'!$K$3:$K$4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'Analisis Previo'!$I$5:$I$23</c:f>
              <c:strCache>
                <c:ptCount val="18"/>
                <c:pt idx="0">
                  <c:v>20-21</c:v>
                </c:pt>
                <c:pt idx="1">
                  <c:v>22-23</c:v>
                </c:pt>
                <c:pt idx="2">
                  <c:v>24-25</c:v>
                </c:pt>
                <c:pt idx="3">
                  <c:v>26-27</c:v>
                </c:pt>
                <c:pt idx="4">
                  <c:v>28-29</c:v>
                </c:pt>
                <c:pt idx="5">
                  <c:v>30-31</c:v>
                </c:pt>
                <c:pt idx="6">
                  <c:v>32-33</c:v>
                </c:pt>
                <c:pt idx="7">
                  <c:v>34-35</c:v>
                </c:pt>
                <c:pt idx="8">
                  <c:v>36-37</c:v>
                </c:pt>
                <c:pt idx="9">
                  <c:v>38-39</c:v>
                </c:pt>
                <c:pt idx="10">
                  <c:v>40-41</c:v>
                </c:pt>
                <c:pt idx="11">
                  <c:v>42-43</c:v>
                </c:pt>
                <c:pt idx="12">
                  <c:v>44-45</c:v>
                </c:pt>
                <c:pt idx="13">
                  <c:v>46-47</c:v>
                </c:pt>
                <c:pt idx="14">
                  <c:v>48-49</c:v>
                </c:pt>
                <c:pt idx="15">
                  <c:v>50-51</c:v>
                </c:pt>
                <c:pt idx="16">
                  <c:v>52-53</c:v>
                </c:pt>
                <c:pt idx="17">
                  <c:v>54-56</c:v>
                </c:pt>
              </c:strCache>
            </c:strRef>
          </c:cat>
          <c:val>
            <c:numRef>
              <c:f>'Analisis Previo'!$K$5:$K$23</c:f>
              <c:numCache>
                <c:formatCode>General</c:formatCode>
                <c:ptCount val="18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11</c:v>
                </c:pt>
                <c:pt idx="4">
                  <c:v>17</c:v>
                </c:pt>
                <c:pt idx="5">
                  <c:v>12</c:v>
                </c:pt>
                <c:pt idx="6">
                  <c:v>10</c:v>
                </c:pt>
                <c:pt idx="7">
                  <c:v>8</c:v>
                </c:pt>
                <c:pt idx="8">
                  <c:v>6</c:v>
                </c:pt>
                <c:pt idx="9">
                  <c:v>9</c:v>
                </c:pt>
                <c:pt idx="10">
                  <c:v>10</c:v>
                </c:pt>
                <c:pt idx="11">
                  <c:v>3</c:v>
                </c:pt>
                <c:pt idx="12">
                  <c:v>3</c:v>
                </c:pt>
                <c:pt idx="13">
                  <c:v>7</c:v>
                </c:pt>
                <c:pt idx="14">
                  <c:v>1</c:v>
                </c:pt>
                <c:pt idx="16">
                  <c:v>4</c:v>
                </c:pt>
                <c:pt idx="1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1F-CC49-B10E-A554A3CB4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5219951"/>
        <c:axId val="337753439"/>
      </c:barChart>
      <c:catAx>
        <c:axId val="585219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37753439"/>
        <c:crosses val="autoZero"/>
        <c:auto val="1"/>
        <c:lblAlgn val="ctr"/>
        <c:lblOffset val="100"/>
        <c:noMultiLvlLbl val="0"/>
      </c:catAx>
      <c:valAx>
        <c:axId val="33775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85219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Kolmogorov-Smirnov (KS)</a:t>
            </a:r>
          </a:p>
          <a:p>
            <a:pPr>
              <a:defRPr/>
            </a:pPr>
            <a:r>
              <a:rPr lang="es-E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entrenamiento</a:t>
            </a:r>
            <a:endParaRPr lang="es-E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'Modelo 5'!$U$12</c:f>
              <c:strCache>
                <c:ptCount val="1"/>
                <c:pt idx="0">
                  <c:v>FrcAc %ND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'Modelo 5'!$U$13:$U$25</c:f>
              <c:numCache>
                <c:formatCode>0.0%</c:formatCode>
                <c:ptCount val="13"/>
                <c:pt idx="0">
                  <c:v>7.3800738007380072E-3</c:v>
                </c:pt>
                <c:pt idx="1">
                  <c:v>1.107011070110701E-2</c:v>
                </c:pt>
                <c:pt idx="2">
                  <c:v>1.4760147601476014E-2</c:v>
                </c:pt>
                <c:pt idx="3">
                  <c:v>2.2140221402214021E-2</c:v>
                </c:pt>
                <c:pt idx="4">
                  <c:v>7.0110701107011064E-2</c:v>
                </c:pt>
                <c:pt idx="5">
                  <c:v>0.1070110701107011</c:v>
                </c:pt>
                <c:pt idx="6">
                  <c:v>0.18081180811808117</c:v>
                </c:pt>
                <c:pt idx="7">
                  <c:v>0.25092250922509224</c:v>
                </c:pt>
                <c:pt idx="8">
                  <c:v>0.38745387453874536</c:v>
                </c:pt>
                <c:pt idx="9">
                  <c:v>0.55719557195571956</c:v>
                </c:pt>
                <c:pt idx="10">
                  <c:v>0.73431734317343178</c:v>
                </c:pt>
                <c:pt idx="11">
                  <c:v>0.91512915129151295</c:v>
                </c:pt>
                <c:pt idx="12" formatCode="0%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5-A649-9AFC-B00B37744458}"/>
            </c:ext>
          </c:extLst>
        </c:ser>
        <c:ser>
          <c:idx val="1"/>
          <c:order val="1"/>
          <c:tx>
            <c:strRef>
              <c:f>'Modelo 5'!$V$12</c:f>
              <c:strCache>
                <c:ptCount val="1"/>
                <c:pt idx="0">
                  <c:v>FrcAc %D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'Modelo 5'!$V$13:$V$25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3.7499999999999999E-2</c:v>
                </c:pt>
                <c:pt idx="7">
                  <c:v>3.7499999999999999E-2</c:v>
                </c:pt>
                <c:pt idx="8">
                  <c:v>0.05</c:v>
                </c:pt>
                <c:pt idx="9">
                  <c:v>7.5000000000000011E-2</c:v>
                </c:pt>
                <c:pt idx="10">
                  <c:v>0.28749999999999998</c:v>
                </c:pt>
                <c:pt idx="11">
                  <c:v>0.55000000000000004</c:v>
                </c:pt>
                <c:pt idx="12" formatCode="0%">
                  <c:v>0.98750000000000004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5-A649-9AFC-B00B37744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1200639"/>
        <c:axId val="1729123119"/>
      </c:lineChart>
      <c:catAx>
        <c:axId val="871200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729123119"/>
        <c:crosses val="autoZero"/>
        <c:auto val="1"/>
        <c:lblAlgn val="ctr"/>
        <c:lblOffset val="100"/>
        <c:noMultiLvlLbl val="0"/>
      </c:catAx>
      <c:valAx>
        <c:axId val="17291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71200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Kolmogorov-Smirnov (KS)</a:t>
            </a:r>
          </a:p>
          <a:p>
            <a:pPr>
              <a:defRPr/>
            </a:pPr>
            <a:r>
              <a:rPr lang="es-E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validación</a:t>
            </a:r>
            <a:endParaRPr lang="es-E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'Modelo 5'!$U$30</c:f>
              <c:strCache>
                <c:ptCount val="1"/>
                <c:pt idx="0">
                  <c:v>FrcAc %ND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'Modelo 5'!$U$31:$U$43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0.04</c:v>
                </c:pt>
                <c:pt idx="6">
                  <c:v>0.13</c:v>
                </c:pt>
                <c:pt idx="7">
                  <c:v>0.19</c:v>
                </c:pt>
                <c:pt idx="8">
                  <c:v>0.38</c:v>
                </c:pt>
                <c:pt idx="9">
                  <c:v>0.55000000000000004</c:v>
                </c:pt>
                <c:pt idx="10">
                  <c:v>0.70000000000000007</c:v>
                </c:pt>
                <c:pt idx="11">
                  <c:v>0.87000000000000011</c:v>
                </c:pt>
                <c:pt idx="12" formatCode="0%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F1-694B-A22D-C92D3AA0B9FB}"/>
            </c:ext>
          </c:extLst>
        </c:ser>
        <c:ser>
          <c:idx val="1"/>
          <c:order val="1"/>
          <c:tx>
            <c:strRef>
              <c:f>'Modelo 5'!$V$30</c:f>
              <c:strCache>
                <c:ptCount val="1"/>
                <c:pt idx="0">
                  <c:v>FrcAc %D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'Modelo 5'!$V$31:$V$43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1.9607843137254902E-2</c:v>
                </c:pt>
                <c:pt idx="4">
                  <c:v>1.9607843137254902E-2</c:v>
                </c:pt>
                <c:pt idx="5">
                  <c:v>3.9215686274509803E-2</c:v>
                </c:pt>
                <c:pt idx="6">
                  <c:v>3.9215686274509803E-2</c:v>
                </c:pt>
                <c:pt idx="7">
                  <c:v>7.8431372549019607E-2</c:v>
                </c:pt>
                <c:pt idx="8">
                  <c:v>0.11764705882352941</c:v>
                </c:pt>
                <c:pt idx="9">
                  <c:v>0.1764705882352941</c:v>
                </c:pt>
                <c:pt idx="10">
                  <c:v>0.2745098039215686</c:v>
                </c:pt>
                <c:pt idx="11">
                  <c:v>0.50980392156862742</c:v>
                </c:pt>
                <c:pt idx="12" formatCode="0%">
                  <c:v>0.98039215686274506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F1-694B-A22D-C92D3AA0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3028527"/>
        <c:axId val="1728596415"/>
      </c:lineChart>
      <c:catAx>
        <c:axId val="1723028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728596415"/>
        <c:crosses val="autoZero"/>
        <c:auto val="1"/>
        <c:lblAlgn val="ctr"/>
        <c:lblOffset val="100"/>
        <c:noMultiLvlLbl val="0"/>
      </c:catAx>
      <c:valAx>
        <c:axId val="17285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723028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Discriminación del Modelo</a:t>
            </a:r>
          </a:p>
          <a:p>
            <a:pPr>
              <a:defRPr/>
            </a:pPr>
            <a:r>
              <a:rPr lang="es-MX" sz="1100" baseline="0"/>
              <a:t>entrenamiento</a:t>
            </a:r>
            <a:r>
              <a:rPr lang="es-MX" baseline="0"/>
              <a:t> </a:t>
            </a:r>
            <a:endParaRPr lang="es-MX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'Modelo 5'!$O$63</c:f>
              <c:strCache>
                <c:ptCount val="1"/>
                <c:pt idx="0">
                  <c:v>#Clientes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'Modelo 5'!$N$64:$N$76</c:f>
              <c:strCache>
                <c:ptCount val="13"/>
                <c:pt idx="0">
                  <c:v>307-321</c:v>
                </c:pt>
                <c:pt idx="1">
                  <c:v>322-336</c:v>
                </c:pt>
                <c:pt idx="2">
                  <c:v>337-351</c:v>
                </c:pt>
                <c:pt idx="3">
                  <c:v>352-366</c:v>
                </c:pt>
                <c:pt idx="4">
                  <c:v>367-381</c:v>
                </c:pt>
                <c:pt idx="5">
                  <c:v>382-396</c:v>
                </c:pt>
                <c:pt idx="6">
                  <c:v>397-411</c:v>
                </c:pt>
                <c:pt idx="7">
                  <c:v>412-426</c:v>
                </c:pt>
                <c:pt idx="8">
                  <c:v>427-441</c:v>
                </c:pt>
                <c:pt idx="9">
                  <c:v>442-456</c:v>
                </c:pt>
                <c:pt idx="10">
                  <c:v>457-471</c:v>
                </c:pt>
                <c:pt idx="11">
                  <c:v>472-486</c:v>
                </c:pt>
                <c:pt idx="12">
                  <c:v>487-499</c:v>
                </c:pt>
              </c:strCache>
            </c:strRef>
          </c:cat>
          <c:val>
            <c:numRef>
              <c:f>'Modelo 5'!$O$64:$O$76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10</c:v>
                </c:pt>
                <c:pt idx="4">
                  <c:v>9</c:v>
                </c:pt>
                <c:pt idx="5">
                  <c:v>22</c:v>
                </c:pt>
                <c:pt idx="6">
                  <c:v>22</c:v>
                </c:pt>
                <c:pt idx="7">
                  <c:v>36</c:v>
                </c:pt>
                <c:pt idx="8">
                  <c:v>43</c:v>
                </c:pt>
                <c:pt idx="9">
                  <c:v>67</c:v>
                </c:pt>
                <c:pt idx="10">
                  <c:v>61</c:v>
                </c:pt>
                <c:pt idx="11">
                  <c:v>53</c:v>
                </c:pt>
                <c:pt idx="1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AF-7D4F-9718-810E56D6D2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628786624"/>
        <c:axId val="1628784832"/>
      </c:barChart>
      <c:lineChart>
        <c:grouping val="standard"/>
        <c:varyColors val="0"/>
        <c:ser>
          <c:idx val="1"/>
          <c:order val="1"/>
          <c:tx>
            <c:strRef>
              <c:f>'Modelo 5'!$P$63</c:f>
              <c:strCache>
                <c:ptCount val="1"/>
                <c:pt idx="0">
                  <c:v>%PD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'Modelo 5'!$N$64:$N$76</c:f>
              <c:strCache>
                <c:ptCount val="13"/>
                <c:pt idx="0">
                  <c:v>307-321</c:v>
                </c:pt>
                <c:pt idx="1">
                  <c:v>322-336</c:v>
                </c:pt>
                <c:pt idx="2">
                  <c:v>337-351</c:v>
                </c:pt>
                <c:pt idx="3">
                  <c:v>352-366</c:v>
                </c:pt>
                <c:pt idx="4">
                  <c:v>367-381</c:v>
                </c:pt>
                <c:pt idx="5">
                  <c:v>382-396</c:v>
                </c:pt>
                <c:pt idx="6">
                  <c:v>397-411</c:v>
                </c:pt>
                <c:pt idx="7">
                  <c:v>412-426</c:v>
                </c:pt>
                <c:pt idx="8">
                  <c:v>427-441</c:v>
                </c:pt>
                <c:pt idx="9">
                  <c:v>442-456</c:v>
                </c:pt>
                <c:pt idx="10">
                  <c:v>457-471</c:v>
                </c:pt>
                <c:pt idx="11">
                  <c:v>472-486</c:v>
                </c:pt>
                <c:pt idx="12">
                  <c:v>487-499</c:v>
                </c:pt>
              </c:strCache>
            </c:strRef>
          </c:cat>
          <c:val>
            <c:numRef>
              <c:f>'Modelo 5'!$P$64:$P$76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9.0909090909090912E-2</c:v>
                </c:pt>
                <c:pt idx="6">
                  <c:v>4.5454545454545456E-2</c:v>
                </c:pt>
                <c:pt idx="7">
                  <c:v>2.7777777777777776E-2</c:v>
                </c:pt>
                <c:pt idx="8">
                  <c:v>2.3255813953488372E-2</c:v>
                </c:pt>
                <c:pt idx="9">
                  <c:v>0.23880597014925373</c:v>
                </c:pt>
                <c:pt idx="10">
                  <c:v>0.27868852459016391</c:v>
                </c:pt>
                <c:pt idx="11">
                  <c:v>0.45283018867924529</c:v>
                </c:pt>
                <c:pt idx="12">
                  <c:v>0.77272727272727271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F-7D4F-9718-810E56D6D2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81730496"/>
        <c:axId val="1681724672"/>
      </c:lineChart>
      <c:catAx>
        <c:axId val="1628786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Tramos de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28784832"/>
        <c:crosses val="autoZero"/>
        <c:auto val="1"/>
        <c:lblAlgn val="ctr"/>
        <c:lblOffset val="100"/>
        <c:noMultiLvlLbl val="0"/>
      </c:catAx>
      <c:valAx>
        <c:axId val="16287848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Número de Clientes Observados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28786624"/>
        <c:crosses val="autoZero"/>
        <c:crossBetween val="between"/>
      </c:valAx>
      <c:valAx>
        <c:axId val="16817246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Probabilidad de Incumplimiento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81730496"/>
        <c:crosses val="max"/>
        <c:crossBetween val="between"/>
      </c:valAx>
      <c:catAx>
        <c:axId val="16817304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81724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Discriminación del Modelo</a:t>
            </a:r>
          </a:p>
          <a:p>
            <a:pPr>
              <a:defRPr/>
            </a:pPr>
            <a:r>
              <a:rPr lang="es-MX" sz="1100" baseline="0"/>
              <a:t>Validación</a:t>
            </a:r>
            <a:r>
              <a:rPr lang="es-MX" baseline="0"/>
              <a:t> </a:t>
            </a:r>
            <a:endParaRPr lang="es-MX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'Modelo 5'!$Q$63</c:f>
              <c:strCache>
                <c:ptCount val="1"/>
                <c:pt idx="0">
                  <c:v>#Clientes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'Modelo 5'!$N$64:$N$76</c:f>
              <c:strCache>
                <c:ptCount val="13"/>
                <c:pt idx="0">
                  <c:v>307-321</c:v>
                </c:pt>
                <c:pt idx="1">
                  <c:v>322-336</c:v>
                </c:pt>
                <c:pt idx="2">
                  <c:v>337-351</c:v>
                </c:pt>
                <c:pt idx="3">
                  <c:v>352-366</c:v>
                </c:pt>
                <c:pt idx="4">
                  <c:v>367-381</c:v>
                </c:pt>
                <c:pt idx="5">
                  <c:v>382-396</c:v>
                </c:pt>
                <c:pt idx="6">
                  <c:v>397-411</c:v>
                </c:pt>
                <c:pt idx="7">
                  <c:v>412-426</c:v>
                </c:pt>
                <c:pt idx="8">
                  <c:v>427-441</c:v>
                </c:pt>
                <c:pt idx="9">
                  <c:v>442-456</c:v>
                </c:pt>
                <c:pt idx="10">
                  <c:v>457-471</c:v>
                </c:pt>
                <c:pt idx="11">
                  <c:v>472-486</c:v>
                </c:pt>
                <c:pt idx="12">
                  <c:v>487-499</c:v>
                </c:pt>
              </c:strCache>
            </c:strRef>
          </c:cat>
          <c:val>
            <c:numRef>
              <c:f>'Modelo 5'!$Q$64:$Q$76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9</c:v>
                </c:pt>
                <c:pt idx="6">
                  <c:v>11</c:v>
                </c:pt>
                <c:pt idx="7">
                  <c:v>18</c:v>
                </c:pt>
                <c:pt idx="8">
                  <c:v>17</c:v>
                </c:pt>
                <c:pt idx="9">
                  <c:v>23</c:v>
                </c:pt>
                <c:pt idx="10">
                  <c:v>27</c:v>
                </c:pt>
                <c:pt idx="11">
                  <c:v>27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81-EC46-A3D4-7B8363BBC8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628786624"/>
        <c:axId val="1628784832"/>
      </c:barChart>
      <c:lineChart>
        <c:grouping val="standard"/>
        <c:varyColors val="0"/>
        <c:ser>
          <c:idx val="1"/>
          <c:order val="1"/>
          <c:tx>
            <c:strRef>
              <c:f>'Modelo 5'!$R$63</c:f>
              <c:strCache>
                <c:ptCount val="1"/>
                <c:pt idx="0">
                  <c:v>%PD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'Modelo 5'!$N$64:$N$76</c:f>
              <c:strCache>
                <c:ptCount val="13"/>
                <c:pt idx="0">
                  <c:v>307-321</c:v>
                </c:pt>
                <c:pt idx="1">
                  <c:v>322-336</c:v>
                </c:pt>
                <c:pt idx="2">
                  <c:v>337-351</c:v>
                </c:pt>
                <c:pt idx="3">
                  <c:v>352-366</c:v>
                </c:pt>
                <c:pt idx="4">
                  <c:v>367-381</c:v>
                </c:pt>
                <c:pt idx="5">
                  <c:v>382-396</c:v>
                </c:pt>
                <c:pt idx="6">
                  <c:v>397-411</c:v>
                </c:pt>
                <c:pt idx="7">
                  <c:v>412-426</c:v>
                </c:pt>
                <c:pt idx="8">
                  <c:v>427-441</c:v>
                </c:pt>
                <c:pt idx="9">
                  <c:v>442-456</c:v>
                </c:pt>
                <c:pt idx="10">
                  <c:v>457-471</c:v>
                </c:pt>
                <c:pt idx="11">
                  <c:v>472-486</c:v>
                </c:pt>
                <c:pt idx="12">
                  <c:v>487-499</c:v>
                </c:pt>
              </c:strCache>
            </c:strRef>
          </c:cat>
          <c:val>
            <c:numRef>
              <c:f>'Modelo 5'!$R$64:$R$76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0</c:v>
                </c:pt>
                <c:pt idx="6">
                  <c:v>0.18181818181818182</c:v>
                </c:pt>
                <c:pt idx="7">
                  <c:v>0.1111111111111111</c:v>
                </c:pt>
                <c:pt idx="8">
                  <c:v>0.11764705882352941</c:v>
                </c:pt>
                <c:pt idx="9">
                  <c:v>0.21739130434782608</c:v>
                </c:pt>
                <c:pt idx="10">
                  <c:v>0.40740740740740738</c:v>
                </c:pt>
                <c:pt idx="11">
                  <c:v>0.62962962962962965</c:v>
                </c:pt>
                <c:pt idx="1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81-EC46-A3D4-7B8363BBC8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81730496"/>
        <c:axId val="1681724672"/>
      </c:lineChart>
      <c:catAx>
        <c:axId val="1628786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Tramos de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28784832"/>
        <c:crosses val="autoZero"/>
        <c:auto val="1"/>
        <c:lblAlgn val="ctr"/>
        <c:lblOffset val="100"/>
        <c:noMultiLvlLbl val="0"/>
      </c:catAx>
      <c:valAx>
        <c:axId val="16287848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Número de Clientes Observados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28786624"/>
        <c:crosses val="autoZero"/>
        <c:crossBetween val="between"/>
      </c:valAx>
      <c:valAx>
        <c:axId val="16817246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Probabilidad de Incumplimiento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81730496"/>
        <c:crosses val="max"/>
        <c:crossBetween val="between"/>
      </c:valAx>
      <c:catAx>
        <c:axId val="16817304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81724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Perfiles Finales</a:t>
            </a:r>
          </a:p>
          <a:p>
            <a:pPr>
              <a:defRPr/>
            </a:pPr>
            <a:r>
              <a:rPr lang="es-MX" sz="1100" baseline="0"/>
              <a:t>entrenamiento</a:t>
            </a:r>
            <a:r>
              <a:rPr lang="es-MX" baseline="0"/>
              <a:t> </a:t>
            </a:r>
            <a:endParaRPr lang="es-MX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'Modelo 5'!$O$82</c:f>
              <c:strCache>
                <c:ptCount val="1"/>
                <c:pt idx="0">
                  <c:v>#Clientes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'Modelo 5'!$N$83:$N$88</c:f>
              <c:strCache>
                <c:ptCount val="6"/>
                <c:pt idx="0">
                  <c:v>307-396</c:v>
                </c:pt>
                <c:pt idx="1">
                  <c:v>397-441</c:v>
                </c:pt>
                <c:pt idx="2">
                  <c:v>442-456</c:v>
                </c:pt>
                <c:pt idx="3">
                  <c:v>457-471</c:v>
                </c:pt>
                <c:pt idx="4">
                  <c:v>472-486</c:v>
                </c:pt>
                <c:pt idx="5">
                  <c:v>487-499</c:v>
                </c:pt>
              </c:strCache>
            </c:strRef>
          </c:cat>
          <c:val>
            <c:numRef>
              <c:f>'Modelo 5'!$O$83:$O$88</c:f>
              <c:numCache>
                <c:formatCode>General</c:formatCode>
                <c:ptCount val="6"/>
                <c:pt idx="0">
                  <c:v>45</c:v>
                </c:pt>
                <c:pt idx="1">
                  <c:v>101</c:v>
                </c:pt>
                <c:pt idx="2">
                  <c:v>67</c:v>
                </c:pt>
                <c:pt idx="3">
                  <c:v>61</c:v>
                </c:pt>
                <c:pt idx="4">
                  <c:v>53</c:v>
                </c:pt>
                <c:pt idx="5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93-5949-927C-6840FCD72A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628786624"/>
        <c:axId val="1628784832"/>
      </c:barChart>
      <c:lineChart>
        <c:grouping val="standard"/>
        <c:varyColors val="0"/>
        <c:ser>
          <c:idx val="1"/>
          <c:order val="1"/>
          <c:tx>
            <c:strRef>
              <c:f>'Modelo 5'!$P$82</c:f>
              <c:strCache>
                <c:ptCount val="1"/>
                <c:pt idx="0">
                  <c:v>%PD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'Modelo 5'!$N$83:$N$88</c:f>
              <c:strCache>
                <c:ptCount val="6"/>
                <c:pt idx="0">
                  <c:v>307-396</c:v>
                </c:pt>
                <c:pt idx="1">
                  <c:v>397-441</c:v>
                </c:pt>
                <c:pt idx="2">
                  <c:v>442-456</c:v>
                </c:pt>
                <c:pt idx="3">
                  <c:v>457-471</c:v>
                </c:pt>
                <c:pt idx="4">
                  <c:v>472-486</c:v>
                </c:pt>
                <c:pt idx="5">
                  <c:v>487-499</c:v>
                </c:pt>
              </c:strCache>
            </c:strRef>
          </c:cat>
          <c:val>
            <c:numRef>
              <c:f>'Modelo 5'!$P$83:$P$88</c:f>
              <c:numCache>
                <c:formatCode>0%</c:formatCode>
                <c:ptCount val="6"/>
                <c:pt idx="0">
                  <c:v>4.4444444444444446E-2</c:v>
                </c:pt>
                <c:pt idx="1">
                  <c:v>2.9702970297029702E-2</c:v>
                </c:pt>
                <c:pt idx="2">
                  <c:v>0.23880597014925373</c:v>
                </c:pt>
                <c:pt idx="3">
                  <c:v>0.27868852459016391</c:v>
                </c:pt>
                <c:pt idx="4">
                  <c:v>0.45283018867924529</c:v>
                </c:pt>
                <c:pt idx="5">
                  <c:v>0.77272727272727271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93-5949-927C-6840FCD72A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81730496"/>
        <c:axId val="1681724672"/>
      </c:lineChart>
      <c:catAx>
        <c:axId val="1628786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Tramos de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28784832"/>
        <c:crosses val="autoZero"/>
        <c:auto val="1"/>
        <c:lblAlgn val="ctr"/>
        <c:lblOffset val="100"/>
        <c:noMultiLvlLbl val="0"/>
      </c:catAx>
      <c:valAx>
        <c:axId val="16287848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Número de Clientes Observados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28786624"/>
        <c:crosses val="autoZero"/>
        <c:crossBetween val="between"/>
      </c:valAx>
      <c:valAx>
        <c:axId val="16817246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Probabilidad de Incumplimiento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81730496"/>
        <c:crosses val="max"/>
        <c:crossBetween val="between"/>
      </c:valAx>
      <c:catAx>
        <c:axId val="16817304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81724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Perfiles</a:t>
            </a:r>
            <a:r>
              <a:rPr lang="es-MX" baseline="0"/>
              <a:t> Finales</a:t>
            </a:r>
            <a:endParaRPr lang="es-MX"/>
          </a:p>
          <a:p>
            <a:pPr>
              <a:defRPr/>
            </a:pPr>
            <a:r>
              <a:rPr lang="es-MX" sz="1100" baseline="0"/>
              <a:t>Validación</a:t>
            </a:r>
            <a:r>
              <a:rPr lang="es-MX" baseline="0"/>
              <a:t> </a:t>
            </a:r>
            <a:endParaRPr lang="es-MX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'Modelo 5'!$Q$82</c:f>
              <c:strCache>
                <c:ptCount val="1"/>
                <c:pt idx="0">
                  <c:v>#Clientes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'Modelo 5'!$N$83:$N$88</c:f>
              <c:strCache>
                <c:ptCount val="6"/>
                <c:pt idx="0">
                  <c:v>307-396</c:v>
                </c:pt>
                <c:pt idx="1">
                  <c:v>397-441</c:v>
                </c:pt>
                <c:pt idx="2">
                  <c:v>442-456</c:v>
                </c:pt>
                <c:pt idx="3">
                  <c:v>457-471</c:v>
                </c:pt>
                <c:pt idx="4">
                  <c:v>472-486</c:v>
                </c:pt>
                <c:pt idx="5">
                  <c:v>487-499</c:v>
                </c:pt>
              </c:strCache>
            </c:strRef>
          </c:cat>
          <c:val>
            <c:numRef>
              <c:f>'Modelo 5'!$Q$83:$Q$88</c:f>
              <c:numCache>
                <c:formatCode>General</c:formatCode>
                <c:ptCount val="6"/>
                <c:pt idx="0">
                  <c:v>12</c:v>
                </c:pt>
                <c:pt idx="1">
                  <c:v>46</c:v>
                </c:pt>
                <c:pt idx="2">
                  <c:v>23</c:v>
                </c:pt>
                <c:pt idx="3">
                  <c:v>27</c:v>
                </c:pt>
                <c:pt idx="4">
                  <c:v>27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0D-704F-BB4F-E5B5A33EBD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628786624"/>
        <c:axId val="1628784832"/>
      </c:barChart>
      <c:lineChart>
        <c:grouping val="standard"/>
        <c:varyColors val="0"/>
        <c:ser>
          <c:idx val="1"/>
          <c:order val="1"/>
          <c:tx>
            <c:strRef>
              <c:f>'Modelo 5'!$R$82</c:f>
              <c:strCache>
                <c:ptCount val="1"/>
                <c:pt idx="0">
                  <c:v>%PD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'Modelo 5'!$N$83:$N$88</c:f>
              <c:strCache>
                <c:ptCount val="6"/>
                <c:pt idx="0">
                  <c:v>307-396</c:v>
                </c:pt>
                <c:pt idx="1">
                  <c:v>397-441</c:v>
                </c:pt>
                <c:pt idx="2">
                  <c:v>442-456</c:v>
                </c:pt>
                <c:pt idx="3">
                  <c:v>457-471</c:v>
                </c:pt>
                <c:pt idx="4">
                  <c:v>472-486</c:v>
                </c:pt>
                <c:pt idx="5">
                  <c:v>487-499</c:v>
                </c:pt>
              </c:strCache>
            </c:strRef>
          </c:cat>
          <c:val>
            <c:numRef>
              <c:f>'Modelo 5'!$R$83:$R$88</c:f>
              <c:numCache>
                <c:formatCode>0%</c:formatCode>
                <c:ptCount val="6"/>
                <c:pt idx="0">
                  <c:v>0.16666666666666666</c:v>
                </c:pt>
                <c:pt idx="1">
                  <c:v>0.13043478260869565</c:v>
                </c:pt>
                <c:pt idx="2">
                  <c:v>0.21739130434782608</c:v>
                </c:pt>
                <c:pt idx="3">
                  <c:v>0.40740740740740738</c:v>
                </c:pt>
                <c:pt idx="4">
                  <c:v>0.62962962962962965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0D-704F-BB4F-E5B5A33EBD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81730496"/>
        <c:axId val="1681724672"/>
      </c:lineChart>
      <c:catAx>
        <c:axId val="1628786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Tramos de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28784832"/>
        <c:crosses val="autoZero"/>
        <c:auto val="1"/>
        <c:lblAlgn val="ctr"/>
        <c:lblOffset val="100"/>
        <c:noMultiLvlLbl val="0"/>
      </c:catAx>
      <c:valAx>
        <c:axId val="16287848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Número de Clientes Observados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28786624"/>
        <c:crosses val="autoZero"/>
        <c:crossBetween val="between"/>
      </c:valAx>
      <c:valAx>
        <c:axId val="16817246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Probabilidad de Incumplimiento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81730496"/>
        <c:crosses val="max"/>
        <c:crossBetween val="between"/>
      </c:valAx>
      <c:catAx>
        <c:axId val="16817304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81724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Kolmogorov-Smirnov (KS)</a:t>
            </a:r>
          </a:p>
          <a:p>
            <a:pPr>
              <a:defRPr/>
            </a:pPr>
            <a:r>
              <a:rPr lang="es-E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entrenamiento</a:t>
            </a:r>
            <a:endParaRPr lang="es-E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'Modelo 5'!$U$12</c:f>
              <c:strCache>
                <c:ptCount val="1"/>
                <c:pt idx="0">
                  <c:v>FrcAc %ND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'Modelo 5'!$U$13:$U$25</c:f>
              <c:numCache>
                <c:formatCode>0.0%</c:formatCode>
                <c:ptCount val="13"/>
                <c:pt idx="0">
                  <c:v>7.3800738007380072E-3</c:v>
                </c:pt>
                <c:pt idx="1">
                  <c:v>1.107011070110701E-2</c:v>
                </c:pt>
                <c:pt idx="2">
                  <c:v>1.4760147601476014E-2</c:v>
                </c:pt>
                <c:pt idx="3">
                  <c:v>2.2140221402214021E-2</c:v>
                </c:pt>
                <c:pt idx="4">
                  <c:v>7.0110701107011064E-2</c:v>
                </c:pt>
                <c:pt idx="5">
                  <c:v>0.1070110701107011</c:v>
                </c:pt>
                <c:pt idx="6">
                  <c:v>0.18081180811808117</c:v>
                </c:pt>
                <c:pt idx="7">
                  <c:v>0.25092250922509224</c:v>
                </c:pt>
                <c:pt idx="8">
                  <c:v>0.38745387453874536</c:v>
                </c:pt>
                <c:pt idx="9">
                  <c:v>0.55719557195571956</c:v>
                </c:pt>
                <c:pt idx="10">
                  <c:v>0.73431734317343178</c:v>
                </c:pt>
                <c:pt idx="11">
                  <c:v>0.91512915129151295</c:v>
                </c:pt>
                <c:pt idx="12" formatCode="0%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1B-A74D-82D2-2F3F2DD7A0C5}"/>
            </c:ext>
          </c:extLst>
        </c:ser>
        <c:ser>
          <c:idx val="1"/>
          <c:order val="1"/>
          <c:tx>
            <c:strRef>
              <c:f>'Modelo 5'!$V$12</c:f>
              <c:strCache>
                <c:ptCount val="1"/>
                <c:pt idx="0">
                  <c:v>FrcAc %D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'Modelo 5'!$V$13:$V$25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3.7499999999999999E-2</c:v>
                </c:pt>
                <c:pt idx="7">
                  <c:v>3.7499999999999999E-2</c:v>
                </c:pt>
                <c:pt idx="8">
                  <c:v>0.05</c:v>
                </c:pt>
                <c:pt idx="9">
                  <c:v>7.5000000000000011E-2</c:v>
                </c:pt>
                <c:pt idx="10">
                  <c:v>0.28749999999999998</c:v>
                </c:pt>
                <c:pt idx="11">
                  <c:v>0.55000000000000004</c:v>
                </c:pt>
                <c:pt idx="12" formatCode="0%">
                  <c:v>0.98750000000000004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1B-A74D-82D2-2F3F2DD7A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1200639"/>
        <c:axId val="1729123119"/>
      </c:lineChart>
      <c:catAx>
        <c:axId val="871200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729123119"/>
        <c:crosses val="autoZero"/>
        <c:auto val="1"/>
        <c:lblAlgn val="ctr"/>
        <c:lblOffset val="100"/>
        <c:noMultiLvlLbl val="0"/>
      </c:catAx>
      <c:valAx>
        <c:axId val="17291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71200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Perfiles de Riesgo para la Gestión de Riesgo de Crédito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'Modelo final'!$Q$39</c:f>
              <c:strCache>
                <c:ptCount val="1"/>
                <c:pt idx="0">
                  <c:v>#Clientes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'Modelo final'!$P$40:$P$45</c:f>
              <c:strCache>
                <c:ptCount val="6"/>
                <c:pt idx="0">
                  <c:v>Perfil 1</c:v>
                </c:pt>
                <c:pt idx="1">
                  <c:v>Perfil 2</c:v>
                </c:pt>
                <c:pt idx="2">
                  <c:v>Perfil 3</c:v>
                </c:pt>
                <c:pt idx="3">
                  <c:v>Perfil 4</c:v>
                </c:pt>
                <c:pt idx="4">
                  <c:v>Perfil 5</c:v>
                </c:pt>
                <c:pt idx="5">
                  <c:v>Perfil 6</c:v>
                </c:pt>
              </c:strCache>
            </c:strRef>
          </c:cat>
          <c:val>
            <c:numRef>
              <c:f>'Modelo final'!$Q$40:$Q$45</c:f>
              <c:numCache>
                <c:formatCode>General</c:formatCode>
                <c:ptCount val="6"/>
                <c:pt idx="0">
                  <c:v>23</c:v>
                </c:pt>
                <c:pt idx="1">
                  <c:v>147</c:v>
                </c:pt>
                <c:pt idx="2">
                  <c:v>101</c:v>
                </c:pt>
                <c:pt idx="3">
                  <c:v>101</c:v>
                </c:pt>
                <c:pt idx="4">
                  <c:v>95</c:v>
                </c:pt>
                <c:pt idx="5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ED-CA4A-8118-87E200CACA2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637556544"/>
        <c:axId val="1637553408"/>
      </c:barChart>
      <c:lineChart>
        <c:grouping val="standard"/>
        <c:varyColors val="0"/>
        <c:ser>
          <c:idx val="1"/>
          <c:order val="1"/>
          <c:tx>
            <c:strRef>
              <c:f>'Modelo final'!$R$39</c:f>
              <c:strCache>
                <c:ptCount val="1"/>
                <c:pt idx="0">
                  <c:v>%PD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'Modelo final'!$P$40:$P$45</c:f>
              <c:strCache>
                <c:ptCount val="6"/>
                <c:pt idx="0">
                  <c:v>Perfil 1</c:v>
                </c:pt>
                <c:pt idx="1">
                  <c:v>Perfil 2</c:v>
                </c:pt>
                <c:pt idx="2">
                  <c:v>Perfil 3</c:v>
                </c:pt>
                <c:pt idx="3">
                  <c:v>Perfil 4</c:v>
                </c:pt>
                <c:pt idx="4">
                  <c:v>Perfil 5</c:v>
                </c:pt>
                <c:pt idx="5">
                  <c:v>Perfil 6</c:v>
                </c:pt>
              </c:strCache>
            </c:strRef>
          </c:cat>
          <c:val>
            <c:numRef>
              <c:f>'Modelo final'!$R$40:$R$45</c:f>
              <c:numCache>
                <c:formatCode>0%</c:formatCode>
                <c:ptCount val="6"/>
                <c:pt idx="0">
                  <c:v>4.3478260869565216E-2</c:v>
                </c:pt>
                <c:pt idx="1">
                  <c:v>6.8027210884353748E-2</c:v>
                </c:pt>
                <c:pt idx="2">
                  <c:v>0.16831683168316833</c:v>
                </c:pt>
                <c:pt idx="3">
                  <c:v>0.28712871287128711</c:v>
                </c:pt>
                <c:pt idx="4">
                  <c:v>0.5368421052631579</c:v>
                </c:pt>
                <c:pt idx="5">
                  <c:v>0.63636363636363635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D-CA4A-8118-87E200CACA2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37550272"/>
        <c:axId val="1637554304"/>
      </c:lineChart>
      <c:catAx>
        <c:axId val="16375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7553408"/>
        <c:crosses val="autoZero"/>
        <c:auto val="1"/>
        <c:lblAlgn val="ctr"/>
        <c:lblOffset val="100"/>
        <c:noMultiLvlLbl val="0"/>
      </c:catAx>
      <c:valAx>
        <c:axId val="16375534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Número de Clientes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7556544"/>
        <c:crosses val="autoZero"/>
        <c:crossBetween val="between"/>
      </c:valAx>
      <c:valAx>
        <c:axId val="16375543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Probabilidad de Incumplimiento</a:t>
                </a:r>
                <a:r>
                  <a:rPr lang="es-MX" baseline="0"/>
                  <a:t> %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7550272"/>
        <c:crosses val="max"/>
        <c:crossBetween val="between"/>
      </c:valAx>
      <c:catAx>
        <c:axId val="1637550272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Perfiles</a:t>
                </a:r>
                <a:r>
                  <a:rPr lang="es-MX" baseline="0"/>
                  <a:t> de Riesgo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crossAx val="1637554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22</xdr:row>
      <xdr:rowOff>139700</xdr:rowOff>
    </xdr:from>
    <xdr:to>
      <xdr:col>5</xdr:col>
      <xdr:colOff>1320800</xdr:colOff>
      <xdr:row>42</xdr:row>
      <xdr:rowOff>38100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CD473BE-023D-CC6F-8EC0-FE1D0F26CC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24</xdr:row>
      <xdr:rowOff>0</xdr:rowOff>
    </xdr:from>
    <xdr:to>
      <xdr:col>15</xdr:col>
      <xdr:colOff>304800</xdr:colOff>
      <xdr:row>44</xdr:row>
      <xdr:rowOff>139700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29D8C29-8066-D9FB-5561-305C789062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349591</xdr:colOff>
      <xdr:row>7</xdr:row>
      <xdr:rowOff>136559</xdr:rowOff>
    </xdr:from>
    <xdr:to>
      <xdr:col>31</xdr:col>
      <xdr:colOff>737419</xdr:colOff>
      <xdr:row>25</xdr:row>
      <xdr:rowOff>81116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657198-257E-D687-5D14-08603292B9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390558</xdr:colOff>
      <xdr:row>27</xdr:row>
      <xdr:rowOff>69100</xdr:rowOff>
    </xdr:from>
    <xdr:to>
      <xdr:col>31</xdr:col>
      <xdr:colOff>778385</xdr:colOff>
      <xdr:row>43</xdr:row>
      <xdr:rowOff>13656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B057547-27F4-7BA2-2FC9-6D78AA68A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184727</xdr:colOff>
      <xdr:row>60</xdr:row>
      <xdr:rowOff>13853</xdr:rowOff>
    </xdr:from>
    <xdr:to>
      <xdr:col>25</xdr:col>
      <xdr:colOff>484909</xdr:colOff>
      <xdr:row>78</xdr:row>
      <xdr:rowOff>57727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7A5D37A-AA58-97BC-5546-0A4509E425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704273</xdr:colOff>
      <xdr:row>59</xdr:row>
      <xdr:rowOff>184726</xdr:rowOff>
    </xdr:from>
    <xdr:to>
      <xdr:col>34</xdr:col>
      <xdr:colOff>588818</xdr:colOff>
      <xdr:row>78</xdr:row>
      <xdr:rowOff>20782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CE47D93-8F56-1B49-9843-D129DF96B0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161637</xdr:colOff>
      <xdr:row>79</xdr:row>
      <xdr:rowOff>23090</xdr:rowOff>
    </xdr:from>
    <xdr:to>
      <xdr:col>25</xdr:col>
      <xdr:colOff>461819</xdr:colOff>
      <xdr:row>97</xdr:row>
      <xdr:rowOff>66963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F7725E2-7415-C74D-95D2-D2E9A4FE14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704273</xdr:colOff>
      <xdr:row>79</xdr:row>
      <xdr:rowOff>0</xdr:rowOff>
    </xdr:from>
    <xdr:to>
      <xdr:col>34</xdr:col>
      <xdr:colOff>588818</xdr:colOff>
      <xdr:row>97</xdr:row>
      <xdr:rowOff>43873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F9657A-E8AB-754B-A510-7AF8CE4D5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349591</xdr:colOff>
      <xdr:row>7</xdr:row>
      <xdr:rowOff>136559</xdr:rowOff>
    </xdr:from>
    <xdr:to>
      <xdr:col>33</xdr:col>
      <xdr:colOff>737419</xdr:colOff>
      <xdr:row>25</xdr:row>
      <xdr:rowOff>81116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0924523-851B-1046-A3A9-F3519893C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22</xdr:col>
      <xdr:colOff>349250</xdr:colOff>
      <xdr:row>2</xdr:row>
      <xdr:rowOff>69850</xdr:rowOff>
    </xdr:from>
    <xdr:ext cx="9987029" cy="2816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BC1BFB6F-B2DD-B727-ED3B-278F199BC88D}"/>
                </a:ext>
              </a:extLst>
            </xdr:cNvPr>
            <xdr:cNvSpPr txBox="1"/>
          </xdr:nvSpPr>
          <xdr:spPr>
            <a:xfrm>
              <a:off x="20669250" y="476250"/>
              <a:ext cx="9987029" cy="2816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𝐷𝑒𝑓𝑎𝑢𝑙𝑡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=−1.69</m:t>
                    </m:r>
                    <m:r>
                      <a:rPr lang="es-ES" sz="1800" b="0" i="0">
                        <a:latin typeface="Cambria Math" panose="02040503050406030204" pitchFamily="18" charset="0"/>
                      </a:rPr>
                      <m:t> −0.151∗</m:t>
                    </m:r>
                    <m:r>
                      <m:rPr>
                        <m:sty m:val="p"/>
                      </m:rPr>
                      <a:rPr lang="es-ES" sz="1800" b="0" i="0">
                        <a:latin typeface="Cambria Math" panose="02040503050406030204" pitchFamily="18" charset="0"/>
                      </a:rPr>
                      <m:t>a</m:t>
                    </m:r>
                    <m:r>
                      <a:rPr lang="es-ES" sz="1800" b="0" i="0">
                        <a:latin typeface="Cambria Math" panose="02040503050406030204" pitchFamily="18" charset="0"/>
                      </a:rPr>
                      <m:t>ñ</m:t>
                    </m:r>
                    <m:r>
                      <m:rPr>
                        <m:sty m:val="p"/>
                      </m:rPr>
                      <a:rPr lang="es-ES" sz="1800" b="0" i="0">
                        <a:latin typeface="Cambria Math" panose="02040503050406030204" pitchFamily="18" charset="0"/>
                      </a:rPr>
                      <m:t>os</m:t>
                    </m:r>
                    <m:r>
                      <a:rPr lang="es-ES" sz="1800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ES" sz="1800" b="0" i="0">
                        <a:latin typeface="Cambria Math" panose="02040503050406030204" pitchFamily="18" charset="0"/>
                      </a:rPr>
                      <m:t>emp</m:t>
                    </m:r>
                    <m:r>
                      <a:rPr lang="es-ES" sz="1800" b="0" i="0">
                        <a:latin typeface="Cambria Math" panose="02040503050406030204" pitchFamily="18" charset="0"/>
                      </a:rPr>
                      <m:t> −0.043∗</m:t>
                    </m:r>
                    <m:r>
                      <m:rPr>
                        <m:sty m:val="p"/>
                      </m:rPr>
                      <a:rPr lang="es-ES" sz="1800" b="0" i="0">
                        <a:latin typeface="Cambria Math" panose="02040503050406030204" pitchFamily="18" charset="0"/>
                      </a:rPr>
                      <m:t>a</m:t>
                    </m:r>
                    <m:r>
                      <a:rPr lang="es-ES" sz="1800" b="0" i="0">
                        <a:latin typeface="Cambria Math" panose="02040503050406030204" pitchFamily="18" charset="0"/>
                      </a:rPr>
                      <m:t>ñ</m:t>
                    </m:r>
                    <m:r>
                      <m:rPr>
                        <m:sty m:val="p"/>
                      </m:rPr>
                      <a:rPr lang="es-ES" sz="1800" b="0" i="0">
                        <a:latin typeface="Cambria Math" panose="02040503050406030204" pitchFamily="18" charset="0"/>
                      </a:rPr>
                      <m:t>os</m:t>
                    </m:r>
                    <m:r>
                      <a:rPr lang="es-ES" sz="1800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ES" sz="1800" b="0" i="0">
                        <a:latin typeface="Cambria Math" panose="02040503050406030204" pitchFamily="18" charset="0"/>
                      </a:rPr>
                      <m:t>dir</m:t>
                    </m:r>
                    <m:r>
                      <a:rPr lang="es-ES" sz="1800" b="0" i="0">
                        <a:latin typeface="Cambria Math" panose="02040503050406030204" pitchFamily="18" charset="0"/>
                      </a:rPr>
                      <m:t>+0.014 </m:t>
                    </m:r>
                    <m:r>
                      <m:rPr>
                        <m:sty m:val="p"/>
                      </m:rPr>
                      <a:rPr lang="es-ES" sz="1800" b="0" i="0">
                        <a:latin typeface="Cambria Math" panose="02040503050406030204" pitchFamily="18" charset="0"/>
                      </a:rPr>
                      <m:t>ing</m:t>
                    </m:r>
                    <m:r>
                      <a:rPr lang="es-ES" sz="1800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ES" sz="1800" b="0" i="0">
                        <a:latin typeface="Cambria Math" panose="02040503050406030204" pitchFamily="18" charset="0"/>
                      </a:rPr>
                      <m:t>hogar</m:t>
                    </m:r>
                    <m:r>
                      <a:rPr lang="es-ES" sz="1800" b="0" i="0">
                        <a:latin typeface="Cambria Math" panose="02040503050406030204" pitchFamily="18" charset="0"/>
                      </a:rPr>
                      <m:t>+0.135∗</m:t>
                    </m:r>
                    <m:r>
                      <m:rPr>
                        <m:sty m:val="p"/>
                      </m:rPr>
                      <a:rPr lang="es-ES" sz="1800" b="0" i="0">
                        <a:latin typeface="Cambria Math" panose="02040503050406030204" pitchFamily="18" charset="0"/>
                      </a:rPr>
                      <m:t>deuda</m:t>
                    </m:r>
                    <m:r>
                      <a:rPr lang="es-ES" sz="1800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ES" sz="1800" b="0" i="0">
                        <a:latin typeface="Cambria Math" panose="02040503050406030204" pitchFamily="18" charset="0"/>
                      </a:rPr>
                      <m:t>ingreso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BC1BFB6F-B2DD-B727-ED3B-278F199BC88D}"/>
                </a:ext>
              </a:extLst>
            </xdr:cNvPr>
            <xdr:cNvSpPr txBox="1"/>
          </xdr:nvSpPr>
          <xdr:spPr>
            <a:xfrm>
              <a:off x="20669250" y="476250"/>
              <a:ext cx="9987029" cy="2816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𝐷𝑒𝑓𝑎𝑢𝑙𝑡=−1.69 −0.151∗años emp −0.043∗años dir+0.014 ing hogar+0.135∗deuda ingreso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21</xdr:col>
      <xdr:colOff>654050</xdr:colOff>
      <xdr:row>28</xdr:row>
      <xdr:rowOff>12700</xdr:rowOff>
    </xdr:from>
    <xdr:to>
      <xdr:col>29</xdr:col>
      <xdr:colOff>444500</xdr:colOff>
      <xdr:row>48</xdr:row>
      <xdr:rowOff>101600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587D5F5-2111-5FB4-3020-598351DA05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077.989660416664" createdVersion="8" refreshedVersion="8" minRefreshableVersion="3" recordCount="500" xr:uid="{58B7C335-3C7E-1A40-9448-25E4B8E9A667}">
  <cacheSource type="worksheet">
    <worksheetSource ref="A1:J501" sheet="BD.Muestra"/>
  </cacheSource>
  <cacheFields count="10">
    <cacheField name="default" numFmtId="0">
      <sharedItems containsSemiMixedTypes="0" containsString="0" containsNumber="1" containsInteger="1" minValue="0" maxValue="1" count="2">
        <n v="0"/>
        <n v="1"/>
      </sharedItems>
    </cacheField>
    <cacheField name="edad" numFmtId="0">
      <sharedItems containsSemiMixedTypes="0" containsString="0" containsNumber="1" containsInteger="1" minValue="20" maxValue="56" count="37">
        <n v="29"/>
        <n v="43"/>
        <n v="32"/>
        <n v="37"/>
        <n v="45"/>
        <n v="48"/>
        <n v="34"/>
        <n v="41"/>
        <n v="42"/>
        <n v="47"/>
        <n v="33"/>
        <n v="39"/>
        <n v="54"/>
        <n v="50"/>
        <n v="40"/>
        <n v="35"/>
        <n v="36"/>
        <n v="44"/>
        <n v="31"/>
        <n v="52"/>
        <n v="23"/>
        <n v="38"/>
        <n v="28"/>
        <n v="27"/>
        <n v="56"/>
        <n v="30"/>
        <n v="51"/>
        <n v="24"/>
        <n v="25"/>
        <n v="55"/>
        <n v="21"/>
        <n v="26"/>
        <n v="22"/>
        <n v="46"/>
        <n v="49"/>
        <n v="53"/>
        <n v="20"/>
      </sharedItems>
      <fieldGroup base="1">
        <rangePr startNum="20" endNum="56" groupInterval="2"/>
        <groupItems count="20">
          <s v="&lt;20"/>
          <s v="20-21"/>
          <s v="22-23"/>
          <s v="24-25"/>
          <s v="26-27"/>
          <s v="28-29"/>
          <s v="30-31"/>
          <s v="32-33"/>
          <s v="34-35"/>
          <s v="36-37"/>
          <s v="38-39"/>
          <s v="40-41"/>
          <s v="42-43"/>
          <s v="44-45"/>
          <s v="46-47"/>
          <s v="48-49"/>
          <s v="50-51"/>
          <s v="52-53"/>
          <s v="54-56"/>
          <s v="&gt;56"/>
        </groupItems>
      </fieldGroup>
    </cacheField>
    <cacheField name="n_educ" numFmtId="0">
      <sharedItems containsSemiMixedTypes="0" containsString="0" containsNumber="1" containsInteger="1" minValue="1" maxValue="6"/>
    </cacheField>
    <cacheField name="a_emp" numFmtId="0">
      <sharedItems containsSemiMixedTypes="0" containsString="0" containsNumber="1" containsInteger="1" minValue="0" maxValue="27"/>
    </cacheField>
    <cacheField name="a_dir" numFmtId="0">
      <sharedItems containsSemiMixedTypes="0" containsString="0" containsNumber="1" containsInteger="1" minValue="0" maxValue="31"/>
    </cacheField>
    <cacheField name="ing_h" numFmtId="0">
      <sharedItems containsSemiMixedTypes="0" containsString="0" containsNumber="1" minValue="0" maxValue="117.54291069294821"/>
    </cacheField>
    <cacheField name="deu_ing" numFmtId="0">
      <sharedItems containsSemiMixedTypes="0" containsString="0" containsNumber="1" minValue="0" maxValue="30.8" count="208">
        <n v="18.399999999999999"/>
        <n v="16.7"/>
        <n v="23.3"/>
        <n v="5.9"/>
        <n v="11.7"/>
        <n v="30.8"/>
        <n v="25.1"/>
        <n v="20.5"/>
        <n v="21.4"/>
        <n v="23.8"/>
        <n v="21.3"/>
        <n v="20.399999999999999"/>
        <n v="13"/>
        <n v="23.6"/>
        <n v="14.3"/>
        <n v="14.4"/>
        <n v="21"/>
        <n v="12.2"/>
        <n v="6.6"/>
        <n v="27.1"/>
        <n v="18.8"/>
        <n v="20"/>
        <n v="18.5"/>
        <n v="14.7"/>
        <n v="19.899999999999999"/>
        <n v="13.7"/>
        <n v="24.6"/>
        <n v="17.399999999999999"/>
        <n v="9.1"/>
        <n v="13.4"/>
        <n v="23.7"/>
        <n v="24.7"/>
        <n v="9.4"/>
        <n v="7.8"/>
        <n v="24.5"/>
        <n v="6.1"/>
        <n v="12.6"/>
        <n v="16.5"/>
        <n v="7.7"/>
        <n v="16.899999999999999"/>
        <n v="19.2"/>
        <n v="2.6"/>
        <n v="4.4000000000000004"/>
        <n v="15.7"/>
        <n v="9.6"/>
        <n v="16"/>
        <n v="7.6"/>
        <n v="15"/>
        <n v="16.399999999999999"/>
        <n v="7.2"/>
        <n v="8.5"/>
        <n v="23.1"/>
        <n v="22.3"/>
        <n v="13.2"/>
        <n v="17.3"/>
        <n v="15.4"/>
        <n v="6.7"/>
        <n v="10.4"/>
        <n v="21.2"/>
        <n v="22.7"/>
        <n v="8.6"/>
        <n v="17"/>
        <n v="14.2"/>
        <n v="9.8000000000000007"/>
        <n v="2.8"/>
        <n v="8.9"/>
        <n v="18.3"/>
        <n v="6.4"/>
        <n v="4.0999999999999996"/>
        <n v="13.3"/>
        <n v="5.5"/>
        <n v="19.8"/>
        <n v="8"/>
        <n v="5.7"/>
        <n v="7.4"/>
        <n v="18.899999999999999"/>
        <n v="12.4"/>
        <n v="17.100000000000001"/>
        <n v="18.100000000000001"/>
        <n v="8.8000000000000007"/>
        <n v="13.8"/>
        <n v="18"/>
        <n v="14.8"/>
        <n v="9.6999999999999993"/>
        <n v="11.6"/>
        <n v="16.600000000000001"/>
        <n v="6.3"/>
        <n v="10"/>
        <n v="12.9"/>
        <n v="11.3"/>
        <n v="9.5"/>
        <n v="8.1999999999999993"/>
        <n v="12.5"/>
        <n v="13.9"/>
        <n v="3.1"/>
        <n v="18.600000000000001"/>
        <n v="14.1"/>
        <n v="11.2"/>
        <n v="5.6"/>
        <n v="10.199999999999999"/>
        <n v="17.5"/>
        <n v="19.7"/>
        <n v="11.1"/>
        <n v="16.100000000000001"/>
        <n v="15.6"/>
        <n v="8.4"/>
        <n v="4.8"/>
        <n v="5.4"/>
        <n v="7"/>
        <n v="10.9"/>
        <n v="14"/>
        <n v="3.5"/>
        <n v="26.3"/>
        <n v="8.3000000000000007"/>
        <n v="11.5"/>
        <n v="9"/>
        <n v="11.9"/>
        <n v="12"/>
        <n v="13.6"/>
        <n v="10.3"/>
        <n v="3.3"/>
        <n v="7.3"/>
        <n v="11.4"/>
        <n v="9.3000000000000007"/>
        <n v="4.2"/>
        <n v="5"/>
        <n v="3"/>
        <n v="10.1"/>
        <n v="2.2999999999999998"/>
        <n v="4.9000000000000004"/>
        <n v="4.5"/>
        <n v="8.6999999999999993"/>
        <n v="6.2"/>
        <n v="11"/>
        <n v="6.5"/>
        <n v="7.9"/>
        <n v="10.6"/>
        <n v="3.6"/>
        <n v="5.2"/>
        <n v="5.8"/>
        <n v="3.8"/>
        <n v="1.4"/>
        <n v="3.4"/>
        <n v="6"/>
        <n v="2.5"/>
        <n v="2.4"/>
        <n v="8.1"/>
        <n v="4.5999999999999996"/>
        <n v="4.3"/>
        <n v="6.8"/>
        <n v="2.9"/>
        <n v="5.0999999999999996"/>
        <n v="3.7"/>
        <n v="4"/>
        <n v="7.5"/>
        <n v="1.7"/>
        <n v="1.9"/>
        <n v="3.2"/>
        <n v="2.1"/>
        <n v="1.8"/>
        <n v="1.6"/>
        <n v="7.1"/>
        <n v="10.5"/>
        <n v="0.7"/>
        <n v="0.4"/>
        <n v="0.6"/>
        <n v="0.8"/>
        <n v="1.1000000000000001"/>
        <n v="1"/>
        <n v="1.2"/>
        <n v="29.7"/>
        <n v="0"/>
        <n v="17.600000000000001"/>
        <n v="12.1"/>
        <n v="25.3"/>
        <n v="30.1"/>
        <n v="19.399999999999999"/>
        <n v="14.6"/>
        <n v="23"/>
        <n v="12.8"/>
        <n v="20.100000000000001"/>
        <n v="14.5"/>
        <n v="15.3"/>
        <n v="22.9"/>
        <n v="20.9"/>
        <n v="18.7"/>
        <n v="26"/>
        <n v="24.2"/>
        <n v="17.8"/>
        <n v="13.1"/>
        <n v="19.600000000000001"/>
        <n v="28.9"/>
        <n v="24.4"/>
        <n v="16.3"/>
        <n v="6.9"/>
        <n v="27.7"/>
        <n v="19.5"/>
        <n v="13.5"/>
        <n v="15.1"/>
        <n v="12.7"/>
        <n v="15.2"/>
        <n v="10.8"/>
        <n v="2.2000000000000002"/>
        <n v="2.7"/>
        <n v="0.9"/>
        <n v="30.6"/>
        <n v="25.2"/>
        <n v="26.5"/>
      </sharedItems>
      <fieldGroup base="6">
        <rangePr startNum="0" endNum="30.8" groupInterval="2"/>
        <groupItems count="18">
          <s v="&lt;0"/>
          <s v="0-2"/>
          <s v="2-4"/>
          <s v="4-6"/>
          <s v="6-8"/>
          <s v="8-10"/>
          <s v="10-12"/>
          <s v="12-14"/>
          <s v="14-16"/>
          <s v="16-18"/>
          <s v="18-20"/>
          <s v="20-22"/>
          <s v="22-24"/>
          <s v="24-26"/>
          <s v="26-28"/>
          <s v="28-30"/>
          <s v="30-32"/>
          <s v="&gt;32"/>
        </groupItems>
      </fieldGroup>
    </cacheField>
    <cacheField name="deu_tc" numFmtId="0">
      <sharedItems containsSemiMixedTypes="0" containsString="0" containsNumber="1" minValue="0" maxValue="5.4954845947359976" count="239">
        <n v="1.99"/>
        <n v="0.95"/>
        <n v="5.4954845947359976"/>
        <n v="0.89"/>
        <n v="1.26"/>
        <n v="2.41"/>
        <n v="3.74"/>
        <n v="2.71"/>
        <n v="4.04"/>
        <n v="5.44"/>
        <n v="0.97"/>
        <n v="0"/>
        <n v="5"/>
        <n v="3.08"/>
        <n v="0.69"/>
        <n v="3.33"/>
        <n v="2.0099999999999998"/>
        <n v="4.16"/>
        <n v="1.21"/>
        <n v="0.45"/>
        <n v="2.54"/>
        <n v="2.4500000000000002"/>
        <n v="1.41"/>
        <n v="0.55000000000000004"/>
        <n v="3.7"/>
        <n v="4.5199999999999996"/>
        <n v="2.06"/>
        <n v="4.37"/>
        <n v="1.33"/>
        <n v="2.25"/>
        <n v="2.21"/>
        <n v="0.28000000000000003"/>
        <n v="0.82"/>
        <n v="0.13"/>
        <n v="4.58"/>
        <n v="3.1"/>
        <n v="0.99"/>
        <n v="4.6399999999999997"/>
        <n v="2.8"/>
        <n v="1.64"/>
        <n v="1.28"/>
        <n v="0.62"/>
        <n v="1.18"/>
        <n v="4.67"/>
        <n v="1.58"/>
        <n v="2.94"/>
        <n v="1.19"/>
        <n v="3.34"/>
        <n v="2.66"/>
        <n v="1.1399999999999999"/>
        <n v="1.36"/>
        <n v="0.17"/>
        <n v="2.65"/>
        <n v="0.71"/>
        <n v="3.95"/>
        <n v="2.33"/>
        <n v="2.92"/>
        <n v="1.87"/>
        <n v="0.44"/>
        <n v="1.4"/>
        <n v="1.07"/>
        <n v="0.27"/>
        <n v="4"/>
        <n v="0.49"/>
        <n v="0.33"/>
        <n v="1.92"/>
        <n v="2.1"/>
        <n v="0.26"/>
        <n v="1.79"/>
        <n v="1.88"/>
        <n v="1.51"/>
        <n v="1.01"/>
        <n v="1.81"/>
        <n v="0.56000000000000005"/>
        <n v="0.21"/>
        <n v="0.56999999999999995"/>
        <n v="0.51"/>
        <n v="1.02"/>
        <n v="0.38"/>
        <n v="1.34"/>
        <n v="1.63"/>
        <n v="1.0900000000000001"/>
        <n v="0.18"/>
        <n v="1.1100000000000001"/>
        <n v="3.75"/>
        <n v="1.35"/>
        <n v="0.24"/>
        <n v="1.56"/>
        <n v="0.12"/>
        <n v="0.86"/>
        <n v="2.15"/>
        <n v="3.93"/>
        <n v="2.56"/>
        <n v="1.17"/>
        <n v="0.23"/>
        <n v="0.77"/>
        <n v="0.52"/>
        <n v="0.59"/>
        <n v="1.37"/>
        <n v="0.81"/>
        <n v="0.85"/>
        <n v="0.16"/>
        <n v="0.88"/>
        <n v="1.54"/>
        <n v="5.25"/>
        <n v="0.39"/>
        <n v="2.78"/>
        <n v="0.14000000000000001"/>
        <n v="0.68"/>
        <n v="0.32"/>
        <n v="0.8"/>
        <n v="2.16"/>
        <n v="0.36"/>
        <n v="0.4"/>
        <n v="0.63"/>
        <n v="1.96"/>
        <n v="0.87"/>
        <n v="1.1200000000000001"/>
        <n v="0.11"/>
        <n v="0.93"/>
        <n v="0.65"/>
        <n v="0.37"/>
        <n v="1.85"/>
        <n v="1.74"/>
        <n v="1.72"/>
        <n v="1.04"/>
        <n v="0.3"/>
        <n v="1.38"/>
        <n v="0.64"/>
        <n v="0.34"/>
        <n v="0.09"/>
        <n v="1.46"/>
        <n v="0.73"/>
        <n v="0.78"/>
        <n v="0.84"/>
        <n v="0.72"/>
        <n v="0.6"/>
        <n v="0.91"/>
        <n v="2.46"/>
        <n v="1.06"/>
        <n v="0.83"/>
        <n v="0.46"/>
        <n v="0.57999999999999996"/>
        <n v="1.32"/>
        <n v="2.0499999999999998"/>
        <n v="0.61"/>
        <n v="0.05"/>
        <n v="1.84"/>
        <n v="0.98"/>
        <n v="1.27"/>
        <n v="0.19"/>
        <n v="1.1599999999999999"/>
        <n v="0.5"/>
        <n v="1.52"/>
        <n v="0.42"/>
        <n v="0.47"/>
        <n v="0.43"/>
        <n v="0.75"/>
        <n v="7.0000000000000007E-2"/>
        <n v="1.49"/>
        <n v="0.54"/>
        <n v="0.41"/>
        <n v="2.6"/>
        <n v="0.9"/>
        <n v="0.15"/>
        <n v="0.08"/>
        <n v="0.76"/>
        <n v="1.42"/>
        <n v="0.31"/>
        <n v="0.1"/>
        <n v="0.2"/>
        <n v="0.92"/>
        <n v="1.77"/>
        <n v="0.96"/>
        <n v="1.1499999999999999"/>
        <n v="0.02"/>
        <n v="1.31"/>
        <n v="0.53"/>
        <n v="0.35"/>
        <n v="2.4700000000000002"/>
        <n v="0.03"/>
        <n v="3.9"/>
        <n v="3.24"/>
        <n v="2.77"/>
        <n v="3.32"/>
        <n v="1.61"/>
        <n v="3.18"/>
        <n v="3.13"/>
        <n v="1.48"/>
        <n v="5.4"/>
        <n v="2.69"/>
        <n v="4.4000000000000004"/>
        <n v="1.55"/>
        <n v="1.98"/>
        <n v="2.2799999999999998"/>
        <n v="3.61"/>
        <n v="1.66"/>
        <n v="2.12"/>
        <n v="4.76"/>
        <n v="3.11"/>
        <n v="2.85"/>
        <n v="4.1399999999999997"/>
        <n v="2.74"/>
        <n v="0.28999999999999998"/>
        <n v="3.2"/>
        <n v="1.93"/>
        <n v="1.5"/>
        <n v="1.78"/>
        <n v="1.62"/>
        <n v="3.03"/>
        <n v="2.79"/>
        <n v="2.7"/>
        <n v="2.02"/>
        <n v="2.14"/>
        <n v="0.79"/>
        <n v="0.48"/>
        <n v="2.68"/>
        <n v="2.04"/>
        <n v="3.04"/>
        <n v="4.51"/>
        <n v="1.97"/>
        <n v="1.3"/>
        <n v="4.59"/>
        <n v="2.11"/>
        <n v="1.8"/>
        <n v="2.52"/>
        <n v="1.9"/>
        <n v="1.03"/>
        <n v="1.73"/>
        <n v="1.6"/>
        <n v="1.89"/>
        <n v="3.49"/>
        <n v="0.25"/>
        <n v="0.22"/>
        <n v="1.53"/>
        <n v="0.04"/>
        <n v="3.83"/>
        <n v="2.3199999999999998"/>
        <n v="3.38"/>
      </sharedItems>
      <fieldGroup base="7">
        <rangePr startNum="0" endNum="5.4954845947359976"/>
        <groupItems count="8">
          <s v="&lt;0"/>
          <s v="0-1"/>
          <s v="1-2"/>
          <s v="2-3"/>
          <s v="3-4"/>
          <s v="4-5"/>
          <s v="5-6"/>
          <s v="&gt;6"/>
        </groupItems>
      </fieldGroup>
    </cacheField>
    <cacheField name="deu_o" numFmtId="0">
      <sharedItems containsSemiMixedTypes="0" containsString="0" containsNumber="1" minValue="0" maxValue="10.154483815851645" count="328">
        <n v="9.9700000000000006"/>
        <n v="9.74"/>
        <n v="9.7200000000000006"/>
        <n v="9.56"/>
        <n v="9.39"/>
        <n v="9.2899999999999991"/>
        <n v="9.25"/>
        <n v="8.6300000000000008"/>
        <n v="8.5"/>
        <n v="8.4"/>
        <n v="8.36"/>
        <n v="8.1999999999999993"/>
        <n v="8.1300000000000008"/>
        <n v="7.82"/>
        <n v="7.73"/>
        <n v="7.59"/>
        <n v="7.39"/>
        <n v="7.29"/>
        <n v="7.28"/>
        <n v="7.04"/>
        <n v="6.67"/>
        <n v="6.45"/>
        <n v="6.24"/>
        <n v="6.19"/>
        <n v="6.02"/>
        <n v="5.82"/>
        <n v="5.77"/>
        <n v="5.73"/>
        <n v="5.54"/>
        <n v="5.4"/>
        <n v="5.39"/>
        <n v="5.29"/>
        <n v="5.26"/>
        <n v="5.25"/>
        <n v="5.23"/>
        <n v="5.14"/>
        <n v="5.08"/>
        <n v="5.07"/>
        <n v="5.03"/>
        <n v="4.99"/>
        <n v="4.8600000000000003"/>
        <n v="4.83"/>
        <n v="4.6900000000000004"/>
        <n v="4.66"/>
        <n v="4.58"/>
        <n v="4.5599999999999996"/>
        <n v="4.3600000000000003"/>
        <n v="4.29"/>
        <n v="4.18"/>
        <n v="4.16"/>
        <n v="4.12"/>
        <n v="4.08"/>
        <n v="4.05"/>
        <n v="4.03"/>
        <n v="4.01"/>
        <n v="4"/>
        <n v="3.99"/>
        <n v="3.97"/>
        <n v="3.95"/>
        <n v="3.92"/>
        <n v="3.85"/>
        <n v="3.82"/>
        <n v="3.81"/>
        <n v="3.79"/>
        <n v="3.64"/>
        <n v="3.62"/>
        <n v="3.54"/>
        <n v="3.45"/>
        <n v="3.44"/>
        <n v="3.4"/>
        <n v="3.38"/>
        <n v="3.36"/>
        <n v="3.35"/>
        <n v="3.25"/>
        <n v="3.17"/>
        <n v="3.14"/>
        <n v="3.06"/>
        <n v="3.05"/>
        <n v="3.02"/>
        <n v="2.95"/>
        <n v="2.91"/>
        <n v="2.9"/>
        <n v="2.89"/>
        <n v="2.87"/>
        <n v="2.85"/>
        <n v="2.77"/>
        <n v="2.72"/>
        <n v="2.7"/>
        <n v="2.69"/>
        <n v="2.67"/>
        <n v="2.65"/>
        <n v="2.64"/>
        <n v="2.59"/>
        <n v="2.58"/>
        <n v="2.57"/>
        <n v="2.5499999999999998"/>
        <n v="2.5299999999999998"/>
        <n v="2.52"/>
        <n v="2.48"/>
        <n v="2.4700000000000002"/>
        <n v="2.4500000000000002"/>
        <n v="2.4300000000000002"/>
        <n v="2.42"/>
        <n v="2.41"/>
        <n v="2.4"/>
        <n v="2.39"/>
        <n v="2.36"/>
        <n v="2.35"/>
        <n v="2.3199999999999998"/>
        <n v="2.31"/>
        <n v="2.2799999999999998"/>
        <n v="2.2599999999999998"/>
        <n v="2.2200000000000002"/>
        <n v="2.17"/>
        <n v="2.16"/>
        <n v="2.15"/>
        <n v="2.14"/>
        <n v="2.13"/>
        <n v="2.11"/>
        <n v="2.09"/>
        <n v="2.08"/>
        <n v="2.06"/>
        <n v="2.0299999999999998"/>
        <n v="2.02"/>
        <n v="2"/>
        <n v="1.99"/>
        <n v="1.98"/>
        <n v="1.96"/>
        <n v="1.95"/>
        <n v="1.91"/>
        <n v="1.9"/>
        <n v="1.88"/>
        <n v="1.87"/>
        <n v="1.82"/>
        <n v="1.8"/>
        <n v="1.77"/>
        <n v="1.74"/>
        <n v="1.73"/>
        <n v="1.72"/>
        <n v="1.71"/>
        <n v="1.69"/>
        <n v="1.68"/>
        <n v="1.66"/>
        <n v="1.65"/>
        <n v="1.63"/>
        <n v="1.62"/>
        <n v="1.58"/>
        <n v="1.56"/>
        <n v="1.55"/>
        <n v="1.54"/>
        <n v="1.53"/>
        <n v="1.52"/>
        <n v="1.51"/>
        <n v="1.49"/>
        <n v="1.48"/>
        <n v="1.46"/>
        <n v="1.45"/>
        <n v="1.42"/>
        <n v="1.4"/>
        <n v="1.39"/>
        <n v="1.37"/>
        <n v="1.35"/>
        <n v="1.34"/>
        <n v="1.33"/>
        <n v="1.32"/>
        <n v="1.3"/>
        <n v="1.29"/>
        <n v="1.28"/>
        <n v="1.26"/>
        <n v="1.25"/>
        <n v="1.24"/>
        <n v="1.23"/>
        <n v="1.19"/>
        <n v="1.17"/>
        <n v="1.1599999999999999"/>
        <n v="1.1499999999999999"/>
        <n v="1.1399999999999999"/>
        <n v="1.1200000000000001"/>
        <n v="1.1100000000000001"/>
        <n v="1.1000000000000001"/>
        <n v="1.0900000000000001"/>
        <n v="1.07"/>
        <n v="1.06"/>
        <n v="1.05"/>
        <n v="1.04"/>
        <n v="1.02"/>
        <n v="1.01"/>
        <n v="1"/>
        <n v="0.99"/>
        <n v="0.98"/>
        <n v="0.97"/>
        <n v="0.96"/>
        <n v="0.94"/>
        <n v="0.92"/>
        <n v="0.91"/>
        <n v="0.89"/>
        <n v="0.88"/>
        <n v="0.87"/>
        <n v="0.86"/>
        <n v="0.84"/>
        <n v="0.83"/>
        <n v="0.82"/>
        <n v="0.81"/>
        <n v="0.8"/>
        <n v="0.78"/>
        <n v="0.76"/>
        <n v="0.75"/>
        <n v="0.74"/>
        <n v="0.73"/>
        <n v="0.71"/>
        <n v="0.7"/>
        <n v="0.69"/>
        <n v="0.68"/>
        <n v="0.65"/>
        <n v="0.62"/>
        <n v="0.61"/>
        <n v="0.59"/>
        <n v="0.57999999999999996"/>
        <n v="0.56999999999999995"/>
        <n v="0.56000000000000005"/>
        <n v="0.55000000000000004"/>
        <n v="0.54"/>
        <n v="0.52"/>
        <n v="0.51"/>
        <n v="0.5"/>
        <n v="0.49"/>
        <n v="0.48"/>
        <n v="0.47"/>
        <n v="0.46"/>
        <n v="0.45"/>
        <n v="0.39"/>
        <n v="0.36"/>
        <n v="0.35"/>
        <n v="0.34"/>
        <n v="0.32"/>
        <n v="0.28999999999999998"/>
        <n v="0.25"/>
        <n v="0.24"/>
        <n v="0.22"/>
        <n v="0.2"/>
        <n v="0.19"/>
        <n v="0.17"/>
        <n v="0.16"/>
        <n v="0.11"/>
        <n v="0.1"/>
        <n v="0"/>
        <n v="10.154483815851645"/>
        <n v="9.6999999999999993"/>
        <n v="9.5"/>
        <n v="9.1999999999999993"/>
        <n v="9.0399999999999991"/>
        <n v="8.2200000000000006"/>
        <n v="8.16"/>
        <n v="7.91"/>
        <n v="7.76"/>
        <n v="7.75"/>
        <n v="7.68"/>
        <n v="7.57"/>
        <n v="7.55"/>
        <n v="6.56"/>
        <n v="6.26"/>
        <n v="6.22"/>
        <n v="5.89"/>
        <n v="5.8"/>
        <n v="5.71"/>
        <n v="5.65"/>
        <n v="5.59"/>
        <n v="5.5"/>
        <n v="5.16"/>
        <n v="5.05"/>
        <n v="5.01"/>
        <n v="4.9800000000000004"/>
        <n v="4.91"/>
        <n v="4.4000000000000004"/>
        <n v="4.3499999999999996"/>
        <n v="4.26"/>
        <n v="4.22"/>
        <n v="3.98"/>
        <n v="3.73"/>
        <n v="3.68"/>
        <n v="3.66"/>
        <n v="3.58"/>
        <n v="3.49"/>
        <n v="3.43"/>
        <n v="3.39"/>
        <n v="3.32"/>
        <n v="3.28"/>
        <n v="3.22"/>
        <n v="3.15"/>
        <n v="3.01"/>
        <n v="2.96"/>
        <n v="2.84"/>
        <n v="2.79"/>
        <n v="2.63"/>
        <n v="2.62"/>
        <n v="2.56"/>
        <n v="2.5099999999999998"/>
        <n v="2.44"/>
        <n v="2.37"/>
        <n v="2.2400000000000002"/>
        <n v="2.21"/>
        <n v="2.0099999999999998"/>
        <n v="1.94"/>
        <n v="1.92"/>
        <n v="1.85"/>
        <n v="1.84"/>
        <n v="1.7"/>
        <n v="1.67"/>
        <n v="1.61"/>
        <n v="1.57"/>
        <n v="1.44"/>
        <n v="1.43"/>
        <n v="1.36"/>
        <n v="1.31"/>
        <n v="1.27"/>
        <n v="1.2"/>
        <n v="1.1299999999999999"/>
        <n v="0.9"/>
        <n v="0.79"/>
        <n v="0.64"/>
        <n v="0.42"/>
        <n v="0.38"/>
        <n v="0.37"/>
        <n v="0.33"/>
        <n v="0.18"/>
        <n v="0.15"/>
        <n v="0.09"/>
        <n v="0.05"/>
      </sharedItems>
      <fieldGroup base="8">
        <rangePr startNum="0" endNum="10.154483815851645"/>
        <groupItems count="13">
          <s v="&lt;0"/>
          <s v="0-1"/>
          <s v="1-2"/>
          <s v="2-3"/>
          <s v="3-4"/>
          <s v="4-5"/>
          <s v="5-6"/>
          <s v="6-7"/>
          <s v="7-8"/>
          <s v="8-9"/>
          <s v="9-10"/>
          <s v="10-11"/>
          <s v="&gt;11"/>
        </groupItems>
      </fieldGroup>
    </cacheField>
    <cacheField name="muestr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x v="0"/>
    <x v="0"/>
    <n v="2"/>
    <n v="6"/>
    <n v="10"/>
    <n v="65"/>
    <x v="0"/>
    <x v="0"/>
    <x v="0"/>
    <s v="Entrenamiento"/>
  </r>
  <r>
    <x v="0"/>
    <x v="1"/>
    <n v="1"/>
    <n v="25"/>
    <n v="21"/>
    <n v="64"/>
    <x v="1"/>
    <x v="1"/>
    <x v="1"/>
    <s v="Entrenamiento"/>
  </r>
  <r>
    <x v="1"/>
    <x v="2"/>
    <n v="2"/>
    <n v="11"/>
    <n v="6"/>
    <n v="75"/>
    <x v="2"/>
    <x v="2"/>
    <x v="2"/>
    <s v="Entrenamiento"/>
  </r>
  <r>
    <x v="0"/>
    <x v="3"/>
    <n v="5"/>
    <n v="9"/>
    <n v="16"/>
    <n v="0"/>
    <x v="3"/>
    <x v="3"/>
    <x v="3"/>
    <s v="Entrenamiento"/>
  </r>
  <r>
    <x v="0"/>
    <x v="4"/>
    <n v="6"/>
    <n v="22"/>
    <n v="24"/>
    <n v="91"/>
    <x v="4"/>
    <x v="4"/>
    <x v="4"/>
    <s v="Entrenamiento"/>
  </r>
  <r>
    <x v="1"/>
    <x v="5"/>
    <n v="1"/>
    <n v="13"/>
    <n v="20"/>
    <n v="50"/>
    <x v="5"/>
    <x v="2"/>
    <x v="5"/>
    <s v="Entrenamiento"/>
  </r>
  <r>
    <x v="1"/>
    <x v="6"/>
    <n v="1"/>
    <n v="12"/>
    <n v="5"/>
    <n v="68"/>
    <x v="6"/>
    <x v="2"/>
    <x v="6"/>
    <s v="Entrenamiento"/>
  </r>
  <r>
    <x v="0"/>
    <x v="7"/>
    <n v="1"/>
    <n v="21"/>
    <n v="2"/>
    <n v="76"/>
    <x v="7"/>
    <x v="2"/>
    <x v="7"/>
    <s v="Entrenamiento"/>
  </r>
  <r>
    <x v="0"/>
    <x v="8"/>
    <n v="1"/>
    <n v="12"/>
    <n v="11"/>
    <n v="51"/>
    <x v="8"/>
    <x v="5"/>
    <x v="8"/>
    <s v="Entrenamiento"/>
  </r>
  <r>
    <x v="0"/>
    <x v="9"/>
    <n v="1"/>
    <n v="13"/>
    <n v="25"/>
    <n v="51"/>
    <x v="9"/>
    <x v="6"/>
    <x v="9"/>
    <s v="Entrenamiento"/>
  </r>
  <r>
    <x v="1"/>
    <x v="10"/>
    <n v="1"/>
    <n v="13"/>
    <n v="3"/>
    <n v="52"/>
    <x v="10"/>
    <x v="7"/>
    <x v="10"/>
    <s v="Entrenamiento"/>
  </r>
  <r>
    <x v="1"/>
    <x v="1"/>
    <n v="2"/>
    <n v="9"/>
    <n v="5"/>
    <n v="60"/>
    <x v="11"/>
    <x v="8"/>
    <x v="11"/>
    <s v="Entrenamiento"/>
  </r>
  <r>
    <x v="1"/>
    <x v="2"/>
    <n v="2"/>
    <n v="11"/>
    <n v="4"/>
    <n v="57"/>
    <x v="9"/>
    <x v="9"/>
    <x v="12"/>
    <s v="Entrenamiento"/>
  </r>
  <r>
    <x v="1"/>
    <x v="11"/>
    <n v="2"/>
    <n v="7"/>
    <n v="2"/>
    <n v="68"/>
    <x v="12"/>
    <x v="10"/>
    <x v="13"/>
    <s v="Entrenamiento"/>
  </r>
  <r>
    <x v="0"/>
    <x v="7"/>
    <n v="2"/>
    <n v="22"/>
    <n v="17"/>
    <n v="75"/>
    <x v="13"/>
    <x v="11"/>
    <x v="13"/>
    <s v="Entrenamiento"/>
  </r>
  <r>
    <x v="0"/>
    <x v="11"/>
    <n v="2"/>
    <n v="16"/>
    <n v="9"/>
    <n v="89"/>
    <x v="14"/>
    <x v="12"/>
    <x v="14"/>
    <s v="Entrenamiento"/>
  </r>
  <r>
    <x v="0"/>
    <x v="10"/>
    <n v="2"/>
    <n v="12"/>
    <n v="8"/>
    <n v="58"/>
    <x v="0"/>
    <x v="13"/>
    <x v="15"/>
    <s v="Entrenamiento"/>
  </r>
  <r>
    <x v="0"/>
    <x v="12"/>
    <n v="3"/>
    <n v="21"/>
    <n v="20"/>
    <n v="117.54291069294821"/>
    <x v="15"/>
    <x v="11"/>
    <x v="16"/>
    <s v="Entrenamiento"/>
  </r>
  <r>
    <x v="0"/>
    <x v="2"/>
    <n v="1"/>
    <n v="16"/>
    <n v="10"/>
    <n v="38"/>
    <x v="16"/>
    <x v="14"/>
    <x v="17"/>
    <s v="Entrenamiento"/>
  </r>
  <r>
    <x v="0"/>
    <x v="13"/>
    <n v="3"/>
    <n v="10"/>
    <n v="20"/>
    <n v="80"/>
    <x v="17"/>
    <x v="10"/>
    <x v="18"/>
    <s v="Entrenamiento"/>
  </r>
  <r>
    <x v="0"/>
    <x v="14"/>
    <n v="3"/>
    <n v="18"/>
    <n v="14"/>
    <n v="0"/>
    <x v="18"/>
    <x v="15"/>
    <x v="19"/>
    <s v="Entrenamiento"/>
  </r>
  <r>
    <x v="1"/>
    <x v="11"/>
    <n v="1"/>
    <n v="19"/>
    <n v="15"/>
    <n v="60"/>
    <x v="19"/>
    <x v="11"/>
    <x v="20"/>
    <s v="Entrenamiento"/>
  </r>
  <r>
    <x v="0"/>
    <x v="14"/>
    <n v="1"/>
    <n v="10"/>
    <n v="15"/>
    <n v="45"/>
    <x v="20"/>
    <x v="16"/>
    <x v="21"/>
    <s v="Entrenamiento"/>
  </r>
  <r>
    <x v="0"/>
    <x v="11"/>
    <n v="1"/>
    <n v="16"/>
    <n v="4"/>
    <n v="52"/>
    <x v="21"/>
    <x v="17"/>
    <x v="22"/>
    <s v="Entrenamiento"/>
  </r>
  <r>
    <x v="0"/>
    <x v="15"/>
    <n v="1"/>
    <n v="15"/>
    <n v="11"/>
    <n v="40"/>
    <x v="22"/>
    <x v="18"/>
    <x v="23"/>
    <s v="Entrenamiento"/>
  </r>
  <r>
    <x v="0"/>
    <x v="16"/>
    <n v="3"/>
    <n v="11"/>
    <n v="12"/>
    <n v="44"/>
    <x v="23"/>
    <x v="19"/>
    <x v="24"/>
    <s v="Entrenamiento"/>
  </r>
  <r>
    <x v="1"/>
    <x v="11"/>
    <n v="1"/>
    <n v="6"/>
    <n v="19"/>
    <n v="42"/>
    <x v="24"/>
    <x v="20"/>
    <x v="25"/>
    <s v="Entrenamiento"/>
  </r>
  <r>
    <x v="0"/>
    <x v="11"/>
    <n v="1"/>
    <n v="17"/>
    <n v="20"/>
    <n v="60"/>
    <x v="25"/>
    <x v="21"/>
    <x v="26"/>
    <s v="Entrenamiento"/>
  </r>
  <r>
    <x v="0"/>
    <x v="3"/>
    <n v="3"/>
    <n v="5"/>
    <n v="17"/>
    <n v="29"/>
    <x v="26"/>
    <x v="22"/>
    <x v="27"/>
    <s v="Entrenamiento"/>
  </r>
  <r>
    <x v="0"/>
    <x v="4"/>
    <n v="2"/>
    <n v="18"/>
    <n v="19"/>
    <n v="35"/>
    <x v="27"/>
    <x v="23"/>
    <x v="28"/>
    <s v="Entrenamiento"/>
  </r>
  <r>
    <x v="0"/>
    <x v="5"/>
    <n v="1"/>
    <n v="22"/>
    <n v="15"/>
    <n v="100"/>
    <x v="28"/>
    <x v="24"/>
    <x v="29"/>
    <s v="Entrenamiento"/>
  </r>
  <r>
    <x v="0"/>
    <x v="17"/>
    <n v="2"/>
    <n v="18"/>
    <n v="4"/>
    <n v="74"/>
    <x v="29"/>
    <x v="25"/>
    <x v="30"/>
    <s v="Entrenamiento"/>
  </r>
  <r>
    <x v="0"/>
    <x v="18"/>
    <n v="1"/>
    <n v="12"/>
    <n v="4"/>
    <n v="31"/>
    <x v="30"/>
    <x v="26"/>
    <x v="31"/>
    <s v="Entrenamiento"/>
  </r>
  <r>
    <x v="1"/>
    <x v="6"/>
    <n v="1"/>
    <n v="15"/>
    <n v="2"/>
    <n v="39"/>
    <x v="31"/>
    <x v="27"/>
    <x v="32"/>
    <s v="Entrenamiento"/>
  </r>
  <r>
    <x v="1"/>
    <x v="19"/>
    <n v="5"/>
    <n v="9"/>
    <n v="0"/>
    <n v="70"/>
    <x v="32"/>
    <x v="28"/>
    <x v="33"/>
    <s v="Entrenamiento"/>
  </r>
  <r>
    <x v="0"/>
    <x v="7"/>
    <n v="1"/>
    <n v="19"/>
    <n v="1"/>
    <n v="96"/>
    <x v="33"/>
    <x v="29"/>
    <x v="34"/>
    <s v="Entrenamiento"/>
  </r>
  <r>
    <x v="0"/>
    <x v="9"/>
    <n v="1"/>
    <n v="15"/>
    <n v="1"/>
    <n v="30"/>
    <x v="34"/>
    <x v="30"/>
    <x v="35"/>
    <s v="Entrenamiento"/>
  </r>
  <r>
    <x v="1"/>
    <x v="17"/>
    <n v="3"/>
    <n v="8"/>
    <n v="10"/>
    <n v="88"/>
    <x v="35"/>
    <x v="31"/>
    <x v="36"/>
    <s v="Entrenamiento"/>
  </r>
  <r>
    <x v="1"/>
    <x v="20"/>
    <n v="4"/>
    <n v="0"/>
    <n v="4"/>
    <n v="32"/>
    <x v="0"/>
    <x v="32"/>
    <x v="37"/>
    <s v="Entrenamiento"/>
  </r>
  <r>
    <x v="0"/>
    <x v="18"/>
    <n v="1"/>
    <n v="8"/>
    <n v="3"/>
    <n v="41"/>
    <x v="36"/>
    <x v="33"/>
    <x v="38"/>
    <s v="Entrenamiento"/>
  </r>
  <r>
    <x v="0"/>
    <x v="21"/>
    <n v="1"/>
    <n v="21"/>
    <n v="16"/>
    <n v="58"/>
    <x v="37"/>
    <x v="34"/>
    <x v="39"/>
    <s v="Entrenamiento"/>
  </r>
  <r>
    <x v="0"/>
    <x v="22"/>
    <n v="2"/>
    <n v="5"/>
    <n v="9"/>
    <n v="34"/>
    <x v="9"/>
    <x v="35"/>
    <x v="39"/>
    <s v="Entrenamiento"/>
  </r>
  <r>
    <x v="0"/>
    <x v="19"/>
    <n v="2"/>
    <n v="12"/>
    <n v="16"/>
    <n v="76"/>
    <x v="38"/>
    <x v="36"/>
    <x v="40"/>
    <s v="Entrenamiento"/>
  </r>
  <r>
    <x v="0"/>
    <x v="23"/>
    <n v="1"/>
    <n v="11"/>
    <n v="8"/>
    <n v="56"/>
    <x v="39"/>
    <x v="37"/>
    <x v="41"/>
    <s v="Entrenamiento"/>
  </r>
  <r>
    <x v="0"/>
    <x v="16"/>
    <n v="3"/>
    <n v="13"/>
    <n v="3"/>
    <n v="39"/>
    <x v="40"/>
    <x v="38"/>
    <x v="42"/>
    <s v="Entrenamiento"/>
  </r>
  <r>
    <x v="0"/>
    <x v="1"/>
    <n v="1"/>
    <n v="25"/>
    <n v="16"/>
    <n v="0"/>
    <x v="41"/>
    <x v="39"/>
    <x v="43"/>
    <s v="Entrenamiento"/>
  </r>
  <r>
    <x v="0"/>
    <x v="7"/>
    <n v="3"/>
    <n v="16"/>
    <n v="22"/>
    <n v="117.54291069294821"/>
    <x v="42"/>
    <x v="40"/>
    <x v="43"/>
    <s v="Entrenamiento"/>
  </r>
  <r>
    <x v="1"/>
    <x v="7"/>
    <n v="3"/>
    <n v="18"/>
    <n v="6"/>
    <n v="71"/>
    <x v="43"/>
    <x v="2"/>
    <x v="44"/>
    <s v="Entrenamiento"/>
  </r>
  <r>
    <x v="0"/>
    <x v="1"/>
    <n v="2"/>
    <n v="6"/>
    <n v="24"/>
    <n v="54"/>
    <x v="44"/>
    <x v="41"/>
    <x v="45"/>
    <s v="Entrenamiento"/>
  </r>
  <r>
    <x v="1"/>
    <x v="21"/>
    <n v="3"/>
    <n v="12"/>
    <n v="14"/>
    <n v="63"/>
    <x v="45"/>
    <x v="2"/>
    <x v="46"/>
    <s v="Entrenamiento"/>
  </r>
  <r>
    <x v="0"/>
    <x v="1"/>
    <n v="1"/>
    <n v="23"/>
    <n v="19"/>
    <n v="72"/>
    <x v="46"/>
    <x v="42"/>
    <x v="47"/>
    <s v="Entrenamiento"/>
  </r>
  <r>
    <x v="0"/>
    <x v="24"/>
    <n v="1"/>
    <n v="11"/>
    <n v="20"/>
    <n v="59"/>
    <x v="47"/>
    <x v="43"/>
    <x v="48"/>
    <s v="Entrenamiento"/>
  </r>
  <r>
    <x v="1"/>
    <x v="14"/>
    <n v="2"/>
    <n v="5"/>
    <n v="12"/>
    <n v="35"/>
    <x v="48"/>
    <x v="44"/>
    <x v="49"/>
    <s v="Entrenamiento"/>
  </r>
  <r>
    <x v="0"/>
    <x v="25"/>
    <n v="2"/>
    <n v="12"/>
    <n v="9"/>
    <n v="98"/>
    <x v="49"/>
    <x v="45"/>
    <x v="50"/>
    <s v="Entrenamiento"/>
  </r>
  <r>
    <x v="0"/>
    <x v="3"/>
    <n v="2"/>
    <n v="6"/>
    <n v="13"/>
    <n v="62"/>
    <x v="50"/>
    <x v="46"/>
    <x v="51"/>
    <s v="Entrenamiento"/>
  </r>
  <r>
    <x v="1"/>
    <x v="18"/>
    <n v="2"/>
    <n v="6"/>
    <n v="6"/>
    <n v="32"/>
    <x v="51"/>
    <x v="47"/>
    <x v="52"/>
    <s v="Entrenamiento"/>
  </r>
  <r>
    <x v="0"/>
    <x v="5"/>
    <n v="1"/>
    <n v="0"/>
    <n v="23"/>
    <n v="30"/>
    <x v="52"/>
    <x v="48"/>
    <x v="53"/>
    <s v="Entrenamiento"/>
  </r>
  <r>
    <x v="0"/>
    <x v="6"/>
    <n v="3"/>
    <n v="2"/>
    <n v="14"/>
    <n v="39"/>
    <x v="53"/>
    <x v="49"/>
    <x v="54"/>
    <s v="Entrenamiento"/>
  </r>
  <r>
    <x v="0"/>
    <x v="23"/>
    <n v="1"/>
    <n v="10"/>
    <n v="6"/>
    <n v="31"/>
    <x v="54"/>
    <x v="50"/>
    <x v="55"/>
    <s v="Entrenamiento"/>
  </r>
  <r>
    <x v="0"/>
    <x v="15"/>
    <n v="1"/>
    <n v="5"/>
    <n v="5"/>
    <n v="32"/>
    <x v="12"/>
    <x v="51"/>
    <x v="56"/>
    <s v="Entrenamiento"/>
  </r>
  <r>
    <x v="0"/>
    <x v="16"/>
    <n v="2"/>
    <n v="7"/>
    <n v="16"/>
    <n v="43"/>
    <x v="55"/>
    <x v="52"/>
    <x v="57"/>
    <s v="Entrenamiento"/>
  </r>
  <r>
    <x v="0"/>
    <x v="8"/>
    <n v="3"/>
    <n v="0"/>
    <n v="9"/>
    <n v="64"/>
    <x v="18"/>
    <x v="31"/>
    <x v="58"/>
    <s v="Entrenamiento"/>
  </r>
  <r>
    <x v="0"/>
    <x v="4"/>
    <n v="2"/>
    <n v="9"/>
    <n v="26"/>
    <n v="69"/>
    <x v="56"/>
    <x v="53"/>
    <x v="59"/>
    <s v="Entrenamiento"/>
  </r>
  <r>
    <x v="0"/>
    <x v="6"/>
    <n v="1"/>
    <n v="16"/>
    <n v="3"/>
    <n v="75"/>
    <x v="57"/>
    <x v="54"/>
    <x v="60"/>
    <s v="Entrenamiento"/>
  </r>
  <r>
    <x v="1"/>
    <x v="0"/>
    <n v="2"/>
    <n v="1"/>
    <n v="7"/>
    <n v="29"/>
    <x v="58"/>
    <x v="55"/>
    <x v="61"/>
    <s v="Entrenamiento"/>
  </r>
  <r>
    <x v="1"/>
    <x v="16"/>
    <n v="2"/>
    <n v="13"/>
    <n v="6"/>
    <n v="41"/>
    <x v="48"/>
    <x v="56"/>
    <x v="62"/>
    <s v="Entrenamiento"/>
  </r>
  <r>
    <x v="1"/>
    <x v="21"/>
    <n v="2"/>
    <n v="2"/>
    <n v="16"/>
    <n v="22"/>
    <x v="59"/>
    <x v="18"/>
    <x v="63"/>
    <s v="Entrenamiento"/>
  </r>
  <r>
    <x v="0"/>
    <x v="19"/>
    <n v="1"/>
    <n v="16"/>
    <n v="25"/>
    <n v="64"/>
    <x v="60"/>
    <x v="57"/>
    <x v="64"/>
    <s v="Entrenamiento"/>
  </r>
  <r>
    <x v="0"/>
    <x v="6"/>
    <n v="1"/>
    <n v="14"/>
    <n v="8"/>
    <n v="28"/>
    <x v="61"/>
    <x v="49"/>
    <x v="65"/>
    <s v="Entrenamiento"/>
  </r>
  <r>
    <x v="1"/>
    <x v="22"/>
    <n v="1"/>
    <n v="4"/>
    <n v="2"/>
    <n v="28"/>
    <x v="62"/>
    <x v="58"/>
    <x v="66"/>
    <s v="Entrenamiento"/>
  </r>
  <r>
    <x v="0"/>
    <x v="6"/>
    <n v="2"/>
    <n v="3"/>
    <n v="8"/>
    <n v="21"/>
    <x v="51"/>
    <x v="59"/>
    <x v="67"/>
    <s v="Entrenamiento"/>
  </r>
  <r>
    <x v="0"/>
    <x v="5"/>
    <n v="4"/>
    <n v="3"/>
    <n v="23"/>
    <n v="45"/>
    <x v="63"/>
    <x v="10"/>
    <x v="68"/>
    <s v="Entrenamiento"/>
  </r>
  <r>
    <x v="1"/>
    <x v="16"/>
    <n v="2"/>
    <n v="9"/>
    <n v="6"/>
    <n v="49"/>
    <x v="60"/>
    <x v="32"/>
    <x v="69"/>
    <s v="Entrenamiento"/>
  </r>
  <r>
    <x v="0"/>
    <x v="26"/>
    <n v="2"/>
    <n v="19"/>
    <n v="25"/>
    <n v="0"/>
    <x v="64"/>
    <x v="60"/>
    <x v="70"/>
    <s v="Entrenamiento"/>
  </r>
  <r>
    <x v="0"/>
    <x v="21"/>
    <n v="1"/>
    <n v="6"/>
    <n v="0"/>
    <n v="41"/>
    <x v="65"/>
    <x v="61"/>
    <x v="70"/>
    <s v="Entrenamiento"/>
  </r>
  <r>
    <x v="1"/>
    <x v="11"/>
    <n v="2"/>
    <n v="2"/>
    <n v="12"/>
    <n v="46"/>
    <x v="45"/>
    <x v="62"/>
    <x v="71"/>
    <s v="Entrenamiento"/>
  </r>
  <r>
    <x v="0"/>
    <x v="25"/>
    <n v="2"/>
    <n v="4"/>
    <n v="4"/>
    <n v="21"/>
    <x v="66"/>
    <x v="63"/>
    <x v="72"/>
    <s v="Entrenamiento"/>
  </r>
  <r>
    <x v="0"/>
    <x v="25"/>
    <n v="2"/>
    <n v="8"/>
    <n v="4"/>
    <n v="56"/>
    <x v="67"/>
    <x v="64"/>
    <x v="73"/>
    <s v="Entrenamiento"/>
  </r>
  <r>
    <x v="1"/>
    <x v="11"/>
    <n v="1"/>
    <n v="2"/>
    <n v="15"/>
    <n v="22"/>
    <x v="51"/>
    <x v="65"/>
    <x v="74"/>
    <s v="Entrenamiento"/>
  </r>
  <r>
    <x v="0"/>
    <x v="6"/>
    <n v="6"/>
    <n v="18"/>
    <n v="10"/>
    <n v="34"/>
    <x v="55"/>
    <x v="66"/>
    <x v="75"/>
    <s v="Entrenamiento"/>
  </r>
  <r>
    <x v="0"/>
    <x v="1"/>
    <n v="2"/>
    <n v="16"/>
    <n v="10"/>
    <n v="83"/>
    <x v="68"/>
    <x v="67"/>
    <x v="75"/>
    <s v="Entrenamiento"/>
  </r>
  <r>
    <x v="1"/>
    <x v="27"/>
    <n v="2"/>
    <n v="2"/>
    <n v="0"/>
    <n v="28"/>
    <x v="54"/>
    <x v="68"/>
    <x v="76"/>
    <s v="Entrenamiento"/>
  </r>
  <r>
    <x v="0"/>
    <x v="23"/>
    <n v="3"/>
    <n v="3"/>
    <n v="4"/>
    <n v="35"/>
    <x v="69"/>
    <x v="10"/>
    <x v="77"/>
    <s v="Entrenamiento"/>
  </r>
  <r>
    <x v="0"/>
    <x v="6"/>
    <n v="1"/>
    <n v="13"/>
    <n v="11"/>
    <n v="51"/>
    <x v="44"/>
    <x v="69"/>
    <x v="78"/>
    <s v="Entrenamiento"/>
  </r>
  <r>
    <x v="0"/>
    <x v="9"/>
    <n v="1"/>
    <n v="22"/>
    <n v="19"/>
    <n v="81"/>
    <x v="70"/>
    <x v="70"/>
    <x v="79"/>
    <s v="Entrenamiento"/>
  </r>
  <r>
    <x v="1"/>
    <x v="0"/>
    <n v="1"/>
    <n v="7"/>
    <n v="5"/>
    <n v="20"/>
    <x v="71"/>
    <x v="71"/>
    <x v="79"/>
    <s v="Entrenamiento"/>
  </r>
  <r>
    <x v="0"/>
    <x v="6"/>
    <n v="1"/>
    <n v="17"/>
    <n v="3"/>
    <n v="59"/>
    <x v="72"/>
    <x v="72"/>
    <x v="80"/>
    <s v="Entrenamiento"/>
  </r>
  <r>
    <x v="0"/>
    <x v="11"/>
    <n v="1"/>
    <n v="6"/>
    <n v="9"/>
    <n v="61"/>
    <x v="73"/>
    <x v="73"/>
    <x v="80"/>
    <s v="Entrenamiento"/>
  </r>
  <r>
    <x v="0"/>
    <x v="15"/>
    <n v="1"/>
    <n v="18"/>
    <n v="2"/>
    <n v="42"/>
    <x v="74"/>
    <x v="74"/>
    <x v="81"/>
    <s v="Entrenamiento"/>
  </r>
  <r>
    <x v="0"/>
    <x v="6"/>
    <n v="3"/>
    <n v="7"/>
    <n v="1"/>
    <n v="63"/>
    <x v="70"/>
    <x v="75"/>
    <x v="82"/>
    <s v="Entrenamiento"/>
  </r>
  <r>
    <x v="1"/>
    <x v="28"/>
    <n v="1"/>
    <n v="0"/>
    <n v="2"/>
    <n v="18"/>
    <x v="75"/>
    <x v="76"/>
    <x v="82"/>
    <s v="Entrenamiento"/>
  </r>
  <r>
    <x v="0"/>
    <x v="28"/>
    <n v="1"/>
    <n v="8"/>
    <n v="4"/>
    <n v="27"/>
    <x v="15"/>
    <x v="77"/>
    <x v="83"/>
    <s v="Entrenamiento"/>
  </r>
  <r>
    <x v="0"/>
    <x v="22"/>
    <n v="4"/>
    <n v="1"/>
    <n v="3"/>
    <n v="26"/>
    <x v="76"/>
    <x v="78"/>
    <x v="84"/>
    <s v="Entrenamiento"/>
  </r>
  <r>
    <x v="1"/>
    <x v="22"/>
    <n v="2"/>
    <n v="1"/>
    <n v="8"/>
    <n v="24"/>
    <x v="77"/>
    <x v="79"/>
    <x v="85"/>
    <s v="Entrenamiento"/>
  </r>
  <r>
    <x v="0"/>
    <x v="23"/>
    <n v="2"/>
    <n v="3"/>
    <n v="5"/>
    <n v="33"/>
    <x v="53"/>
    <x v="80"/>
    <x v="86"/>
    <s v="Entrenamiento"/>
  </r>
  <r>
    <x v="0"/>
    <x v="22"/>
    <n v="1"/>
    <n v="4"/>
    <n v="1"/>
    <n v="16"/>
    <x v="9"/>
    <x v="81"/>
    <x v="86"/>
    <s v="Entrenamiento"/>
  </r>
  <r>
    <x v="0"/>
    <x v="10"/>
    <n v="2"/>
    <n v="13"/>
    <n v="2"/>
    <n v="40"/>
    <x v="49"/>
    <x v="82"/>
    <x v="87"/>
    <s v="Entrenamiento"/>
  </r>
  <r>
    <x v="0"/>
    <x v="0"/>
    <n v="1"/>
    <n v="6"/>
    <n v="7"/>
    <n v="21"/>
    <x v="78"/>
    <x v="83"/>
    <x v="88"/>
    <s v="Entrenamiento"/>
  </r>
  <r>
    <x v="0"/>
    <x v="2"/>
    <n v="1"/>
    <n v="14"/>
    <n v="7"/>
    <n v="73"/>
    <x v="79"/>
    <x v="84"/>
    <x v="89"/>
    <s v="Entrenamiento"/>
  </r>
  <r>
    <x v="1"/>
    <x v="10"/>
    <n v="1"/>
    <n v="9"/>
    <n v="4"/>
    <n v="29"/>
    <x v="80"/>
    <x v="85"/>
    <x v="90"/>
    <s v="Entrenamiento"/>
  </r>
  <r>
    <x v="1"/>
    <x v="29"/>
    <n v="1"/>
    <n v="3"/>
    <n v="11"/>
    <n v="40"/>
    <x v="72"/>
    <x v="73"/>
    <x v="91"/>
    <s v="Entrenamiento"/>
  </r>
  <r>
    <x v="1"/>
    <x v="30"/>
    <n v="2"/>
    <n v="1"/>
    <n v="2"/>
    <n v="16"/>
    <x v="81"/>
    <x v="86"/>
    <x v="91"/>
    <s v="Entrenamiento"/>
  </r>
  <r>
    <x v="1"/>
    <x v="12"/>
    <n v="1"/>
    <n v="9"/>
    <n v="2"/>
    <n v="28"/>
    <x v="82"/>
    <x v="87"/>
    <x v="92"/>
    <s v="Entrenamiento"/>
  </r>
  <r>
    <x v="1"/>
    <x v="6"/>
    <n v="1"/>
    <n v="2"/>
    <n v="11"/>
    <n v="25"/>
    <x v="36"/>
    <x v="75"/>
    <x v="93"/>
    <s v="Entrenamiento"/>
  </r>
  <r>
    <x v="0"/>
    <x v="16"/>
    <n v="6"/>
    <n v="0"/>
    <n v="17"/>
    <n v="30"/>
    <x v="83"/>
    <x v="64"/>
    <x v="93"/>
    <s v="Entrenamiento"/>
  </r>
  <r>
    <x v="0"/>
    <x v="9"/>
    <n v="1"/>
    <n v="4"/>
    <n v="2"/>
    <n v="26"/>
    <x v="57"/>
    <x v="88"/>
    <x v="93"/>
    <s v="Entrenamiento"/>
  </r>
  <r>
    <x v="0"/>
    <x v="8"/>
    <n v="1"/>
    <n v="6"/>
    <n v="9"/>
    <n v="31"/>
    <x v="84"/>
    <x v="77"/>
    <x v="94"/>
    <s v="Entrenamiento"/>
  </r>
  <r>
    <x v="0"/>
    <x v="6"/>
    <n v="1"/>
    <n v="13"/>
    <n v="8"/>
    <n v="56"/>
    <x v="35"/>
    <x v="89"/>
    <x v="95"/>
    <s v="Entrenamiento"/>
  </r>
  <r>
    <x v="1"/>
    <x v="25"/>
    <n v="1"/>
    <n v="0"/>
    <n v="8"/>
    <n v="19"/>
    <x v="85"/>
    <x v="41"/>
    <x v="96"/>
    <s v="Entrenamiento"/>
  </r>
  <r>
    <x v="0"/>
    <x v="23"/>
    <n v="3"/>
    <n v="5"/>
    <n v="1"/>
    <n v="75"/>
    <x v="86"/>
    <x v="30"/>
    <x v="97"/>
    <s v="Entrenamiento"/>
  </r>
  <r>
    <x v="1"/>
    <x v="1"/>
    <n v="1"/>
    <n v="13"/>
    <n v="23"/>
    <n v="76"/>
    <x v="35"/>
    <x v="90"/>
    <x v="98"/>
    <s v="Entrenamiento"/>
  </r>
  <r>
    <x v="0"/>
    <x v="19"/>
    <n v="1"/>
    <n v="24"/>
    <n v="14"/>
    <n v="64"/>
    <x v="87"/>
    <x v="91"/>
    <x v="99"/>
    <s v="Entrenamiento"/>
  </r>
  <r>
    <x v="0"/>
    <x v="11"/>
    <n v="3"/>
    <n v="11"/>
    <n v="17"/>
    <n v="39"/>
    <x v="88"/>
    <x v="92"/>
    <x v="99"/>
    <s v="Entrenamiento"/>
  </r>
  <r>
    <x v="0"/>
    <x v="2"/>
    <n v="1"/>
    <n v="10"/>
    <n v="13"/>
    <n v="32"/>
    <x v="89"/>
    <x v="93"/>
    <x v="100"/>
    <s v="Entrenamiento"/>
  </r>
  <r>
    <x v="0"/>
    <x v="31"/>
    <n v="2"/>
    <n v="4"/>
    <n v="3"/>
    <n v="28"/>
    <x v="90"/>
    <x v="94"/>
    <x v="101"/>
    <s v="Entrenamiento"/>
  </r>
  <r>
    <x v="0"/>
    <x v="11"/>
    <n v="1"/>
    <n v="20"/>
    <n v="12"/>
    <n v="39"/>
    <x v="91"/>
    <x v="95"/>
    <x v="102"/>
    <s v="Entrenamiento"/>
  </r>
  <r>
    <x v="0"/>
    <x v="16"/>
    <n v="1"/>
    <n v="4"/>
    <n v="15"/>
    <n v="17"/>
    <x v="54"/>
    <x v="96"/>
    <x v="102"/>
    <s v="Entrenamiento"/>
  </r>
  <r>
    <x v="1"/>
    <x v="15"/>
    <n v="2"/>
    <n v="1"/>
    <n v="8"/>
    <n v="24"/>
    <x v="92"/>
    <x v="97"/>
    <x v="103"/>
    <s v="Entrenamiento"/>
  </r>
  <r>
    <x v="0"/>
    <x v="0"/>
    <n v="1"/>
    <n v="9"/>
    <n v="0"/>
    <n v="25"/>
    <x v="93"/>
    <x v="60"/>
    <x v="104"/>
    <s v="Entrenamiento"/>
  </r>
  <r>
    <x v="0"/>
    <x v="8"/>
    <n v="2"/>
    <n v="21"/>
    <n v="11"/>
    <n v="117.54291069294821"/>
    <x v="94"/>
    <x v="98"/>
    <x v="105"/>
    <s v="Entrenamiento"/>
  </r>
  <r>
    <x v="0"/>
    <x v="32"/>
    <n v="1"/>
    <n v="1"/>
    <n v="3"/>
    <n v="17"/>
    <x v="95"/>
    <x v="99"/>
    <x v="106"/>
    <s v="Entrenamiento"/>
  </r>
  <r>
    <x v="0"/>
    <x v="18"/>
    <n v="1"/>
    <n v="5"/>
    <n v="3"/>
    <n v="25"/>
    <x v="96"/>
    <x v="42"/>
    <x v="107"/>
    <s v="Entrenamiento"/>
  </r>
  <r>
    <x v="0"/>
    <x v="20"/>
    <n v="1"/>
    <n v="7"/>
    <n v="3"/>
    <n v="22"/>
    <x v="15"/>
    <x v="100"/>
    <x v="108"/>
    <s v="Entrenamiento"/>
  </r>
  <r>
    <x v="1"/>
    <x v="16"/>
    <n v="1"/>
    <n v="10"/>
    <n v="0"/>
    <n v="28"/>
    <x v="97"/>
    <x v="32"/>
    <x v="108"/>
    <s v="Entrenamiento"/>
  </r>
  <r>
    <x v="0"/>
    <x v="0"/>
    <n v="1"/>
    <n v="1"/>
    <n v="8"/>
    <n v="31"/>
    <x v="72"/>
    <x v="101"/>
    <x v="108"/>
    <s v="Entrenamiento"/>
  </r>
  <r>
    <x v="0"/>
    <x v="14"/>
    <n v="2"/>
    <n v="8"/>
    <n v="19"/>
    <n v="57"/>
    <x v="98"/>
    <x v="102"/>
    <x v="109"/>
    <s v="Entrenamiento"/>
  </r>
  <r>
    <x v="0"/>
    <x v="2"/>
    <n v="1"/>
    <n v="10"/>
    <n v="11"/>
    <n v="42"/>
    <x v="28"/>
    <x v="103"/>
    <x v="110"/>
    <s v="Entrenamiento"/>
  </r>
  <r>
    <x v="0"/>
    <x v="16"/>
    <n v="1"/>
    <n v="18"/>
    <n v="9"/>
    <n v="67"/>
    <x v="97"/>
    <x v="104"/>
    <x v="111"/>
    <s v="Entrenamiento"/>
  </r>
  <r>
    <x v="0"/>
    <x v="33"/>
    <n v="1"/>
    <n v="14"/>
    <n v="25"/>
    <n v="35"/>
    <x v="99"/>
    <x v="85"/>
    <x v="112"/>
    <s v="Entrenamiento"/>
  </r>
  <r>
    <x v="0"/>
    <x v="32"/>
    <n v="1"/>
    <n v="4"/>
    <n v="3"/>
    <n v="14"/>
    <x v="100"/>
    <x v="94"/>
    <x v="112"/>
    <s v="Entrenamiento"/>
  </r>
  <r>
    <x v="0"/>
    <x v="4"/>
    <n v="1"/>
    <n v="12"/>
    <n v="19"/>
    <n v="37"/>
    <x v="90"/>
    <x v="79"/>
    <x v="113"/>
    <s v="Entrenamiento"/>
  </r>
  <r>
    <x v="0"/>
    <x v="14"/>
    <n v="1"/>
    <n v="15"/>
    <n v="14"/>
    <n v="55"/>
    <x v="70"/>
    <x v="89"/>
    <x v="113"/>
    <s v="Entrenamiento"/>
  </r>
  <r>
    <x v="0"/>
    <x v="7"/>
    <n v="2"/>
    <n v="5"/>
    <n v="5"/>
    <n v="25"/>
    <x v="99"/>
    <x v="105"/>
    <x v="114"/>
    <s v="Entrenamiento"/>
  </r>
  <r>
    <x v="0"/>
    <x v="16"/>
    <n v="1"/>
    <n v="0"/>
    <n v="13"/>
    <n v="25"/>
    <x v="101"/>
    <x v="106"/>
    <x v="115"/>
    <s v="Entrenamiento"/>
  </r>
  <r>
    <x v="0"/>
    <x v="18"/>
    <n v="4"/>
    <n v="1"/>
    <n v="6"/>
    <n v="29"/>
    <x v="102"/>
    <x v="60"/>
    <x v="115"/>
    <s v="Entrenamiento"/>
  </r>
  <r>
    <x v="1"/>
    <x v="30"/>
    <n v="2"/>
    <n v="0"/>
    <n v="2"/>
    <n v="21"/>
    <x v="92"/>
    <x v="63"/>
    <x v="116"/>
    <s v="Entrenamiento"/>
  </r>
  <r>
    <x v="0"/>
    <x v="25"/>
    <n v="2"/>
    <n v="10"/>
    <n v="4"/>
    <n v="22"/>
    <x v="103"/>
    <x v="22"/>
    <x v="117"/>
    <s v="Entrenamiento"/>
  </r>
  <r>
    <x v="0"/>
    <x v="18"/>
    <n v="1"/>
    <n v="11"/>
    <n v="8"/>
    <n v="25"/>
    <x v="28"/>
    <x v="107"/>
    <x v="117"/>
    <s v="Entrenamiento"/>
  </r>
  <r>
    <x v="1"/>
    <x v="32"/>
    <n v="1"/>
    <n v="4"/>
    <n v="2"/>
    <n v="24"/>
    <x v="104"/>
    <x v="39"/>
    <x v="118"/>
    <s v="Entrenamiento"/>
  </r>
  <r>
    <x v="0"/>
    <x v="14"/>
    <n v="2"/>
    <n v="3"/>
    <n v="2"/>
    <n v="28"/>
    <x v="90"/>
    <x v="23"/>
    <x v="118"/>
    <s v="Entrenamiento"/>
  </r>
  <r>
    <x v="0"/>
    <x v="25"/>
    <n v="1"/>
    <n v="11"/>
    <n v="1"/>
    <n v="33"/>
    <x v="105"/>
    <x v="108"/>
    <x v="119"/>
    <s v="Entrenamiento"/>
  </r>
  <r>
    <x v="1"/>
    <x v="27"/>
    <n v="2"/>
    <n v="0"/>
    <n v="2"/>
    <n v="15"/>
    <x v="103"/>
    <x v="109"/>
    <x v="119"/>
    <s v="Entrenamiento"/>
  </r>
  <r>
    <x v="0"/>
    <x v="18"/>
    <n v="1"/>
    <n v="15"/>
    <n v="2"/>
    <n v="60"/>
    <x v="106"/>
    <x v="110"/>
    <x v="120"/>
    <s v="Entrenamiento"/>
  </r>
  <r>
    <x v="0"/>
    <x v="6"/>
    <n v="2"/>
    <n v="8"/>
    <n v="6"/>
    <n v="78"/>
    <x v="107"/>
    <x v="111"/>
    <x v="121"/>
    <s v="Entrenamiento"/>
  </r>
  <r>
    <x v="0"/>
    <x v="0"/>
    <n v="2"/>
    <n v="1"/>
    <n v="7"/>
    <n v="25"/>
    <x v="57"/>
    <x v="75"/>
    <x v="122"/>
    <s v="Entrenamiento"/>
  </r>
  <r>
    <x v="0"/>
    <x v="22"/>
    <n v="2"/>
    <n v="7"/>
    <n v="2"/>
    <n v="34"/>
    <x v="108"/>
    <x v="112"/>
    <x v="123"/>
    <s v="Entrenamiento"/>
  </r>
  <r>
    <x v="0"/>
    <x v="28"/>
    <n v="1"/>
    <n v="5"/>
    <n v="5"/>
    <n v="22"/>
    <x v="109"/>
    <x v="113"/>
    <x v="124"/>
    <s v="Entrenamiento"/>
  </r>
  <r>
    <x v="0"/>
    <x v="33"/>
    <n v="1"/>
    <n v="1"/>
    <n v="12"/>
    <n v="20"/>
    <x v="110"/>
    <x v="99"/>
    <x v="125"/>
    <s v="Entrenamiento"/>
  </r>
  <r>
    <x v="0"/>
    <x v="3"/>
    <n v="2"/>
    <n v="11"/>
    <n v="4"/>
    <n v="75"/>
    <x v="111"/>
    <x v="114"/>
    <x v="125"/>
    <s v="Entrenamiento"/>
  </r>
  <r>
    <x v="1"/>
    <x v="7"/>
    <n v="3"/>
    <n v="2"/>
    <n v="0"/>
    <n v="15"/>
    <x v="112"/>
    <x v="115"/>
    <x v="126"/>
    <s v="Entrenamiento"/>
  </r>
  <r>
    <x v="0"/>
    <x v="3"/>
    <n v="1"/>
    <n v="4"/>
    <n v="0"/>
    <n v="23"/>
    <x v="76"/>
    <x v="116"/>
    <x v="126"/>
    <s v="Entrenamiento"/>
  </r>
  <r>
    <x v="0"/>
    <x v="22"/>
    <n v="2"/>
    <n v="6"/>
    <n v="7"/>
    <n v="38"/>
    <x v="49"/>
    <x v="95"/>
    <x v="127"/>
    <s v="Entrenamiento"/>
  </r>
  <r>
    <x v="0"/>
    <x v="22"/>
    <n v="2"/>
    <n v="5"/>
    <n v="2"/>
    <n v="37"/>
    <x v="113"/>
    <x v="117"/>
    <x v="128"/>
    <s v="Entrenamiento"/>
  </r>
  <r>
    <x v="0"/>
    <x v="11"/>
    <n v="1"/>
    <n v="22"/>
    <n v="9"/>
    <n v="113"/>
    <x v="41"/>
    <x v="36"/>
    <x v="128"/>
    <s v="Entrenamiento"/>
  </r>
  <r>
    <x v="0"/>
    <x v="11"/>
    <n v="1"/>
    <n v="4"/>
    <n v="15"/>
    <n v="33"/>
    <x v="108"/>
    <x v="113"/>
    <x v="129"/>
    <s v="Entrenamiento"/>
  </r>
  <r>
    <x v="0"/>
    <x v="7"/>
    <n v="2"/>
    <n v="2"/>
    <n v="22"/>
    <n v="30"/>
    <x v="56"/>
    <x v="118"/>
    <x v="130"/>
    <s v="Entrenamiento"/>
  </r>
  <r>
    <x v="0"/>
    <x v="4"/>
    <n v="1"/>
    <n v="10"/>
    <n v="14"/>
    <n v="52"/>
    <x v="107"/>
    <x v="119"/>
    <x v="131"/>
    <s v="Entrenamiento"/>
  </r>
  <r>
    <x v="0"/>
    <x v="22"/>
    <n v="2"/>
    <n v="6"/>
    <n v="9"/>
    <n v="22"/>
    <x v="114"/>
    <x v="120"/>
    <x v="131"/>
    <s v="Entrenamiento"/>
  </r>
  <r>
    <x v="0"/>
    <x v="30"/>
    <n v="1"/>
    <n v="5"/>
    <n v="1"/>
    <n v="25"/>
    <x v="115"/>
    <x v="121"/>
    <x v="131"/>
    <s v="Entrenamiento"/>
  </r>
  <r>
    <x v="0"/>
    <x v="13"/>
    <n v="1"/>
    <n v="1"/>
    <n v="26"/>
    <n v="26"/>
    <x v="14"/>
    <x v="122"/>
    <x v="132"/>
    <s v="Entrenamiento"/>
  </r>
  <r>
    <x v="1"/>
    <x v="18"/>
    <n v="1"/>
    <n v="2"/>
    <n v="2"/>
    <n v="22"/>
    <x v="48"/>
    <x v="123"/>
    <x v="132"/>
    <s v="Entrenamiento"/>
  </r>
  <r>
    <x v="1"/>
    <x v="23"/>
    <n v="2"/>
    <n v="4"/>
    <n v="3"/>
    <n v="22"/>
    <x v="53"/>
    <x v="81"/>
    <x v="133"/>
    <s v="Entrenamiento"/>
  </r>
  <r>
    <x v="0"/>
    <x v="9"/>
    <n v="1"/>
    <n v="17"/>
    <n v="21"/>
    <n v="43"/>
    <x v="98"/>
    <x v="97"/>
    <x v="133"/>
    <s v="Entrenamiento"/>
  </r>
  <r>
    <x v="0"/>
    <x v="33"/>
    <n v="1"/>
    <n v="6"/>
    <n v="19"/>
    <n v="31"/>
    <x v="17"/>
    <x v="0"/>
    <x v="134"/>
    <s v="Entrenamiento"/>
  </r>
  <r>
    <x v="0"/>
    <x v="18"/>
    <n v="1"/>
    <n v="8"/>
    <n v="4"/>
    <n v="44"/>
    <x v="72"/>
    <x v="124"/>
    <x v="134"/>
    <s v="Entrenamiento"/>
  </r>
  <r>
    <x v="1"/>
    <x v="0"/>
    <n v="2"/>
    <n v="0"/>
    <n v="8"/>
    <n v="22"/>
    <x v="88"/>
    <x v="125"/>
    <x v="134"/>
    <s v="Entrenamiento"/>
  </r>
  <r>
    <x v="0"/>
    <x v="23"/>
    <n v="3"/>
    <n v="6"/>
    <n v="4"/>
    <n v="26"/>
    <x v="57"/>
    <x v="119"/>
    <x v="135"/>
    <s v="Entrenamiento"/>
  </r>
  <r>
    <x v="0"/>
    <x v="23"/>
    <n v="2"/>
    <n v="8"/>
    <n v="7"/>
    <n v="18"/>
    <x v="116"/>
    <x v="113"/>
    <x v="136"/>
    <s v="Entrenamiento"/>
  </r>
  <r>
    <x v="0"/>
    <x v="25"/>
    <n v="1"/>
    <n v="0"/>
    <n v="11"/>
    <n v="17"/>
    <x v="117"/>
    <x v="126"/>
    <x v="136"/>
    <s v="Entrenamiento"/>
  </r>
  <r>
    <x v="1"/>
    <x v="33"/>
    <n v="1"/>
    <n v="1"/>
    <n v="15"/>
    <n v="21"/>
    <x v="82"/>
    <x v="127"/>
    <x v="137"/>
    <s v="Entrenamiento"/>
  </r>
  <r>
    <x v="0"/>
    <x v="23"/>
    <n v="1"/>
    <n v="7"/>
    <n v="4"/>
    <n v="26"/>
    <x v="28"/>
    <x v="128"/>
    <x v="138"/>
    <s v="Entrenamiento"/>
  </r>
  <r>
    <x v="0"/>
    <x v="20"/>
    <n v="1"/>
    <n v="7"/>
    <n v="2"/>
    <n v="31"/>
    <x v="18"/>
    <x v="129"/>
    <x v="139"/>
    <s v="Entrenamiento"/>
  </r>
  <r>
    <x v="1"/>
    <x v="31"/>
    <n v="2"/>
    <n v="2"/>
    <n v="6"/>
    <n v="24"/>
    <x v="118"/>
    <x v="44"/>
    <x v="140"/>
    <s v="Entrenamiento"/>
  </r>
  <r>
    <x v="1"/>
    <x v="23"/>
    <n v="2"/>
    <n v="1"/>
    <n v="0"/>
    <n v="20"/>
    <x v="119"/>
    <x v="78"/>
    <x v="141"/>
    <s v="Entrenamiento"/>
  </r>
  <r>
    <x v="0"/>
    <x v="2"/>
    <n v="1"/>
    <n v="11"/>
    <n v="2"/>
    <n v="53"/>
    <x v="120"/>
    <x v="130"/>
    <x v="142"/>
    <s v="Entrenamiento"/>
  </r>
  <r>
    <x v="1"/>
    <x v="0"/>
    <n v="1"/>
    <n v="13"/>
    <n v="1"/>
    <n v="42"/>
    <x v="74"/>
    <x v="131"/>
    <x v="143"/>
    <s v="Entrenamiento"/>
  </r>
  <r>
    <x v="0"/>
    <x v="16"/>
    <n v="1"/>
    <n v="17"/>
    <n v="6"/>
    <n v="54"/>
    <x v="42"/>
    <x v="132"/>
    <x v="143"/>
    <s v="Entrenamiento"/>
  </r>
  <r>
    <x v="0"/>
    <x v="6"/>
    <n v="1"/>
    <n v="5"/>
    <n v="3"/>
    <n v="33"/>
    <x v="121"/>
    <x v="133"/>
    <x v="144"/>
    <s v="Entrenamiento"/>
  </r>
  <r>
    <x v="0"/>
    <x v="15"/>
    <n v="2"/>
    <n v="9"/>
    <n v="16"/>
    <n v="30"/>
    <x v="46"/>
    <x v="120"/>
    <x v="144"/>
    <s v="Entrenamiento"/>
  </r>
  <r>
    <x v="1"/>
    <x v="20"/>
    <n v="2"/>
    <n v="0"/>
    <n v="2"/>
    <n v="21"/>
    <x v="122"/>
    <x v="133"/>
    <x v="145"/>
    <s v="Entrenamiento"/>
  </r>
  <r>
    <x v="0"/>
    <x v="0"/>
    <n v="1"/>
    <n v="7"/>
    <n v="9"/>
    <n v="22"/>
    <x v="83"/>
    <x v="23"/>
    <x v="146"/>
    <s v="Entrenamiento"/>
  </r>
  <r>
    <x v="0"/>
    <x v="27"/>
    <n v="2"/>
    <n v="1"/>
    <n v="2"/>
    <n v="42"/>
    <x v="73"/>
    <x v="134"/>
    <x v="147"/>
    <s v="Entrenamiento"/>
  </r>
  <r>
    <x v="1"/>
    <x v="21"/>
    <n v="3"/>
    <n v="4"/>
    <n v="6"/>
    <n v="31"/>
    <x v="123"/>
    <x v="28"/>
    <x v="148"/>
    <s v="Entrenamiento"/>
  </r>
  <r>
    <x v="1"/>
    <x v="27"/>
    <n v="1"/>
    <n v="0"/>
    <n v="2"/>
    <n v="16"/>
    <x v="45"/>
    <x v="71"/>
    <x v="148"/>
    <s v="Entrenamiento"/>
  </r>
  <r>
    <x v="0"/>
    <x v="31"/>
    <n v="1"/>
    <n v="6"/>
    <n v="0"/>
    <n v="22"/>
    <x v="119"/>
    <x v="135"/>
    <x v="148"/>
    <s v="Entrenamiento"/>
  </r>
  <r>
    <x v="0"/>
    <x v="4"/>
    <n v="1"/>
    <n v="23"/>
    <n v="5"/>
    <n v="50"/>
    <x v="124"/>
    <x v="73"/>
    <x v="149"/>
    <s v="Entrenamiento"/>
  </r>
  <r>
    <x v="0"/>
    <x v="3"/>
    <n v="1"/>
    <n v="13"/>
    <n v="5"/>
    <n v="24"/>
    <x v="65"/>
    <x v="136"/>
    <x v="150"/>
    <s v="Entrenamiento"/>
  </r>
  <r>
    <x v="0"/>
    <x v="11"/>
    <n v="1"/>
    <n v="9"/>
    <n v="6"/>
    <n v="35"/>
    <x v="125"/>
    <x v="94"/>
    <x v="151"/>
    <s v="Entrenamiento"/>
  </r>
  <r>
    <x v="0"/>
    <x v="10"/>
    <n v="1"/>
    <n v="12"/>
    <n v="11"/>
    <n v="32"/>
    <x v="89"/>
    <x v="66"/>
    <x v="152"/>
    <s v="Entrenamiento"/>
  </r>
  <r>
    <x v="0"/>
    <x v="4"/>
    <n v="6"/>
    <n v="16"/>
    <n v="21"/>
    <n v="80"/>
    <x v="126"/>
    <x v="137"/>
    <x v="153"/>
    <s v="Entrenamiento"/>
  </r>
  <r>
    <x v="0"/>
    <x v="34"/>
    <n v="1"/>
    <n v="11"/>
    <n v="5"/>
    <n v="39"/>
    <x v="127"/>
    <x v="138"/>
    <x v="154"/>
    <s v="Entrenamiento"/>
  </r>
  <r>
    <x v="0"/>
    <x v="7"/>
    <n v="1"/>
    <n v="4"/>
    <n v="19"/>
    <n v="25"/>
    <x v="127"/>
    <x v="139"/>
    <x v="155"/>
    <s v="Entrenamiento"/>
  </r>
  <r>
    <x v="0"/>
    <x v="33"/>
    <n v="3"/>
    <n v="22"/>
    <n v="4"/>
    <n v="99"/>
    <x v="128"/>
    <x v="140"/>
    <x v="156"/>
    <s v="Entrenamiento"/>
  </r>
  <r>
    <x v="0"/>
    <x v="4"/>
    <n v="3"/>
    <n v="2"/>
    <n v="5"/>
    <n v="39"/>
    <x v="129"/>
    <x v="141"/>
    <x v="156"/>
    <s v="Entrenamiento"/>
  </r>
  <r>
    <x v="1"/>
    <x v="15"/>
    <n v="3"/>
    <n v="5"/>
    <n v="3"/>
    <n v="37"/>
    <x v="107"/>
    <x v="142"/>
    <x v="157"/>
    <s v="Entrenamiento"/>
  </r>
  <r>
    <x v="0"/>
    <x v="4"/>
    <n v="2"/>
    <n v="21"/>
    <n v="26"/>
    <n v="117.54291069294821"/>
    <x v="126"/>
    <x v="92"/>
    <x v="158"/>
    <s v="Entrenamiento"/>
  </r>
  <r>
    <x v="0"/>
    <x v="8"/>
    <n v="3"/>
    <n v="13"/>
    <n v="0"/>
    <n v="82"/>
    <x v="120"/>
    <x v="143"/>
    <x v="159"/>
    <s v="Entrenamiento"/>
  </r>
  <r>
    <x v="0"/>
    <x v="6"/>
    <n v="1"/>
    <n v="0"/>
    <n v="10"/>
    <n v="20"/>
    <x v="77"/>
    <x v="144"/>
    <x v="160"/>
    <s v="Entrenamiento"/>
  </r>
  <r>
    <x v="0"/>
    <x v="21"/>
    <n v="1"/>
    <n v="18"/>
    <n v="19"/>
    <n v="44"/>
    <x v="130"/>
    <x v="145"/>
    <x v="160"/>
    <s v="Entrenamiento"/>
  </r>
  <r>
    <x v="0"/>
    <x v="20"/>
    <n v="2"/>
    <n v="0"/>
    <n v="4"/>
    <n v="21"/>
    <x v="131"/>
    <x v="19"/>
    <x v="160"/>
    <s v="Entrenamiento"/>
  </r>
  <r>
    <x v="0"/>
    <x v="2"/>
    <n v="1"/>
    <n v="3"/>
    <n v="10"/>
    <n v="23"/>
    <x v="132"/>
    <x v="146"/>
    <x v="160"/>
    <s v="Entrenamiento"/>
  </r>
  <r>
    <x v="0"/>
    <x v="15"/>
    <n v="4"/>
    <n v="4"/>
    <n v="16"/>
    <n v="29"/>
    <x v="133"/>
    <x v="147"/>
    <x v="161"/>
    <s v="Entrenamiento"/>
  </r>
  <r>
    <x v="0"/>
    <x v="10"/>
    <n v="1"/>
    <n v="5"/>
    <n v="10"/>
    <n v="18"/>
    <x v="88"/>
    <x v="148"/>
    <x v="162"/>
    <s v="Entrenamiento"/>
  </r>
  <r>
    <x v="1"/>
    <x v="28"/>
    <n v="1"/>
    <n v="1"/>
    <n v="6"/>
    <n v="15"/>
    <x v="122"/>
    <x v="121"/>
    <x v="162"/>
    <s v="Entrenamiento"/>
  </r>
  <r>
    <x v="0"/>
    <x v="31"/>
    <n v="2"/>
    <n v="0"/>
    <n v="7"/>
    <n v="28"/>
    <x v="123"/>
    <x v="149"/>
    <x v="163"/>
    <s v="Entrenamiento"/>
  </r>
  <r>
    <x v="1"/>
    <x v="20"/>
    <n v="1"/>
    <n v="3"/>
    <n v="0"/>
    <n v="19"/>
    <x v="105"/>
    <x v="31"/>
    <x v="164"/>
    <s v="Entrenamiento"/>
  </r>
  <r>
    <x v="0"/>
    <x v="6"/>
    <n v="1"/>
    <n v="0"/>
    <n v="1"/>
    <n v="21"/>
    <x v="49"/>
    <x v="150"/>
    <x v="164"/>
    <s v="Entrenamiento"/>
  </r>
  <r>
    <x v="0"/>
    <x v="11"/>
    <n v="1"/>
    <n v="10"/>
    <n v="4"/>
    <n v="31"/>
    <x v="106"/>
    <x v="82"/>
    <x v="165"/>
    <s v="Entrenamiento"/>
  </r>
  <r>
    <x v="0"/>
    <x v="11"/>
    <n v="1"/>
    <n v="4"/>
    <n v="9"/>
    <n v="38"/>
    <x v="134"/>
    <x v="42"/>
    <x v="166"/>
    <s v="Entrenamiento"/>
  </r>
  <r>
    <x v="0"/>
    <x v="15"/>
    <n v="2"/>
    <n v="1"/>
    <n v="1"/>
    <n v="21"/>
    <x v="135"/>
    <x v="10"/>
    <x v="166"/>
    <s v="Entrenamiento"/>
  </r>
  <r>
    <x v="1"/>
    <x v="0"/>
    <n v="2"/>
    <n v="4"/>
    <n v="3"/>
    <n v="37"/>
    <x v="18"/>
    <x v="151"/>
    <x v="167"/>
    <s v="Entrenamiento"/>
  </r>
  <r>
    <x v="0"/>
    <x v="10"/>
    <n v="4"/>
    <n v="9"/>
    <n v="8"/>
    <n v="32"/>
    <x v="70"/>
    <x v="152"/>
    <x v="168"/>
    <s v="Entrenamiento"/>
  </r>
  <r>
    <x v="0"/>
    <x v="23"/>
    <n v="2"/>
    <n v="6"/>
    <n v="1"/>
    <n v="34"/>
    <x v="42"/>
    <x v="86"/>
    <x v="168"/>
    <s v="Entrenamiento"/>
  </r>
  <r>
    <x v="1"/>
    <x v="2"/>
    <n v="2"/>
    <n v="2"/>
    <n v="11"/>
    <n v="15"/>
    <x v="28"/>
    <x v="88"/>
    <x v="169"/>
    <s v="Entrenamiento"/>
  </r>
  <r>
    <x v="0"/>
    <x v="1"/>
    <n v="4"/>
    <n v="1"/>
    <n v="5"/>
    <n v="26"/>
    <x v="136"/>
    <x v="153"/>
    <x v="170"/>
    <s v="Entrenamiento"/>
  </r>
  <r>
    <x v="0"/>
    <x v="1"/>
    <n v="1"/>
    <n v="12"/>
    <n v="11"/>
    <n v="38"/>
    <x v="137"/>
    <x v="33"/>
    <x v="170"/>
    <s v="Entrenamiento"/>
  </r>
  <r>
    <x v="0"/>
    <x v="20"/>
    <n v="2"/>
    <n v="3"/>
    <n v="4"/>
    <n v="34"/>
    <x v="42"/>
    <x v="67"/>
    <x v="171"/>
    <s v="Entrenamiento"/>
  </r>
  <r>
    <x v="0"/>
    <x v="11"/>
    <n v="1"/>
    <n v="13"/>
    <n v="9"/>
    <n v="27"/>
    <x v="72"/>
    <x v="10"/>
    <x v="172"/>
    <s v="Entrenamiento"/>
  </r>
  <r>
    <x v="0"/>
    <x v="17"/>
    <n v="1"/>
    <n v="9"/>
    <n v="20"/>
    <n v="33"/>
    <x v="138"/>
    <x v="23"/>
    <x v="173"/>
    <s v="Entrenamiento"/>
  </r>
  <r>
    <x v="0"/>
    <x v="31"/>
    <n v="2"/>
    <n v="5"/>
    <n v="7"/>
    <n v="28"/>
    <x v="33"/>
    <x v="77"/>
    <x v="174"/>
    <s v="Entrenamiento"/>
  </r>
  <r>
    <x v="0"/>
    <x v="25"/>
    <n v="3"/>
    <n v="8"/>
    <n v="7"/>
    <n v="61"/>
    <x v="64"/>
    <x v="23"/>
    <x v="174"/>
    <s v="Entrenamiento"/>
  </r>
  <r>
    <x v="0"/>
    <x v="28"/>
    <n v="2"/>
    <n v="4"/>
    <n v="6"/>
    <n v="33"/>
    <x v="138"/>
    <x v="23"/>
    <x v="174"/>
    <s v="Entrenamiento"/>
  </r>
  <r>
    <x v="0"/>
    <x v="11"/>
    <n v="2"/>
    <n v="15"/>
    <n v="19"/>
    <n v="32"/>
    <x v="129"/>
    <x v="154"/>
    <x v="175"/>
    <s v="Entrenamiento"/>
  </r>
  <r>
    <x v="0"/>
    <x v="18"/>
    <n v="2"/>
    <n v="9"/>
    <n v="1"/>
    <n v="30"/>
    <x v="139"/>
    <x v="10"/>
    <x v="176"/>
    <s v="Entrenamiento"/>
  </r>
  <r>
    <x v="0"/>
    <x v="0"/>
    <n v="1"/>
    <n v="8"/>
    <n v="10"/>
    <n v="24"/>
    <x v="56"/>
    <x v="155"/>
    <x v="176"/>
    <s v="Entrenamiento"/>
  </r>
  <r>
    <x v="0"/>
    <x v="15"/>
    <n v="1"/>
    <n v="13"/>
    <n v="15"/>
    <n v="35"/>
    <x v="130"/>
    <x v="156"/>
    <x v="176"/>
    <s v="Entrenamiento"/>
  </r>
  <r>
    <x v="0"/>
    <x v="25"/>
    <n v="1"/>
    <n v="1"/>
    <n v="8"/>
    <n v="17"/>
    <x v="133"/>
    <x v="157"/>
    <x v="177"/>
    <s v="Entrenamiento"/>
  </r>
  <r>
    <x v="0"/>
    <x v="18"/>
    <n v="1"/>
    <n v="13"/>
    <n v="12"/>
    <n v="27"/>
    <x v="125"/>
    <x v="86"/>
    <x v="178"/>
    <s v="Entrenamiento"/>
  </r>
  <r>
    <x v="0"/>
    <x v="28"/>
    <n v="2"/>
    <n v="6"/>
    <n v="2"/>
    <n v="26"/>
    <x v="130"/>
    <x v="158"/>
    <x v="179"/>
    <s v="Entrenamiento"/>
  </r>
  <r>
    <x v="0"/>
    <x v="14"/>
    <n v="2"/>
    <n v="2"/>
    <n v="1"/>
    <n v="36"/>
    <x v="140"/>
    <x v="31"/>
    <x v="180"/>
    <s v="Entrenamiento"/>
  </r>
  <r>
    <x v="0"/>
    <x v="11"/>
    <n v="2"/>
    <n v="20"/>
    <n v="17"/>
    <n v="101"/>
    <x v="141"/>
    <x v="129"/>
    <x v="181"/>
    <s v="Entrenamiento"/>
  </r>
  <r>
    <x v="0"/>
    <x v="0"/>
    <n v="3"/>
    <n v="1"/>
    <n v="10"/>
    <n v="30"/>
    <x v="130"/>
    <x v="31"/>
    <x v="181"/>
    <s v="Entrenamiento"/>
  </r>
  <r>
    <x v="0"/>
    <x v="0"/>
    <n v="1"/>
    <n v="3"/>
    <n v="1"/>
    <n v="17"/>
    <x v="115"/>
    <x v="155"/>
    <x v="182"/>
    <s v="Entrenamiento"/>
  </r>
  <r>
    <x v="0"/>
    <x v="0"/>
    <n v="1"/>
    <n v="12"/>
    <n v="2"/>
    <n v="40"/>
    <x v="56"/>
    <x v="80"/>
    <x v="183"/>
    <s v="Entrenamiento"/>
  </r>
  <r>
    <x v="1"/>
    <x v="22"/>
    <n v="2"/>
    <n v="8"/>
    <n v="3"/>
    <n v="31"/>
    <x v="91"/>
    <x v="159"/>
    <x v="183"/>
    <s v="Entrenamiento"/>
  </r>
  <r>
    <x v="0"/>
    <x v="16"/>
    <n v="1"/>
    <n v="1"/>
    <n v="4"/>
    <n v="16"/>
    <x v="123"/>
    <x v="156"/>
    <x v="183"/>
    <s v="Entrenamiento"/>
  </r>
  <r>
    <x v="0"/>
    <x v="15"/>
    <n v="1"/>
    <n v="16"/>
    <n v="15"/>
    <n v="36"/>
    <x v="142"/>
    <x v="82"/>
    <x v="183"/>
    <s v="Entrenamiento"/>
  </r>
  <r>
    <x v="0"/>
    <x v="8"/>
    <n v="2"/>
    <n v="5"/>
    <n v="3"/>
    <n v="41"/>
    <x v="142"/>
    <x v="112"/>
    <x v="184"/>
    <s v="Entrenamiento"/>
  </r>
  <r>
    <x v="0"/>
    <x v="20"/>
    <n v="1"/>
    <n v="5"/>
    <n v="2"/>
    <n v="17"/>
    <x v="135"/>
    <x v="126"/>
    <x v="184"/>
    <s v="Entrenamiento"/>
  </r>
  <r>
    <x v="0"/>
    <x v="10"/>
    <n v="1"/>
    <n v="7"/>
    <n v="6"/>
    <n v="26"/>
    <x v="143"/>
    <x v="160"/>
    <x v="185"/>
    <s v="Entrenamiento"/>
  </r>
  <r>
    <x v="0"/>
    <x v="14"/>
    <n v="3"/>
    <n v="18"/>
    <n v="6"/>
    <n v="100"/>
    <x v="144"/>
    <x v="159"/>
    <x v="186"/>
    <s v="Entrenamiento"/>
  </r>
  <r>
    <x v="0"/>
    <x v="30"/>
    <n v="3"/>
    <n v="0"/>
    <n v="2"/>
    <n v="24"/>
    <x v="38"/>
    <x v="140"/>
    <x v="186"/>
    <s v="Entrenamiento"/>
  </r>
  <r>
    <x v="0"/>
    <x v="21"/>
    <n v="2"/>
    <n v="13"/>
    <n v="0"/>
    <n v="59"/>
    <x v="145"/>
    <x v="161"/>
    <x v="186"/>
    <s v="Entrenamiento"/>
  </r>
  <r>
    <x v="0"/>
    <x v="26"/>
    <n v="3"/>
    <n v="16"/>
    <n v="25"/>
    <n v="82"/>
    <x v="42"/>
    <x v="162"/>
    <x v="187"/>
    <s v="Entrenamiento"/>
  </r>
  <r>
    <x v="1"/>
    <x v="20"/>
    <n v="1"/>
    <n v="2"/>
    <n v="1"/>
    <n v="25"/>
    <x v="130"/>
    <x v="88"/>
    <x v="187"/>
    <s v="Entrenamiento"/>
  </r>
  <r>
    <x v="0"/>
    <x v="0"/>
    <n v="1"/>
    <n v="11"/>
    <n v="7"/>
    <n v="32"/>
    <x v="143"/>
    <x v="119"/>
    <x v="188"/>
    <s v="Entrenamiento"/>
  </r>
  <r>
    <x v="1"/>
    <x v="23"/>
    <n v="4"/>
    <n v="2"/>
    <n v="8"/>
    <n v="23"/>
    <x v="73"/>
    <x v="109"/>
    <x v="188"/>
    <s v="Entrenamiento"/>
  </r>
  <r>
    <x v="0"/>
    <x v="0"/>
    <n v="1"/>
    <n v="1"/>
    <n v="9"/>
    <n v="17"/>
    <x v="56"/>
    <x v="101"/>
    <x v="189"/>
    <s v="Entrenamiento"/>
  </r>
  <r>
    <x v="0"/>
    <x v="27"/>
    <n v="1"/>
    <n v="6"/>
    <n v="2"/>
    <n v="21"/>
    <x v="138"/>
    <x v="118"/>
    <x v="189"/>
    <s v="Entrenamiento"/>
  </r>
  <r>
    <x v="1"/>
    <x v="21"/>
    <n v="1"/>
    <n v="0"/>
    <n v="8"/>
    <n v="23"/>
    <x v="146"/>
    <x v="163"/>
    <x v="190"/>
    <s v="Entrenamiento"/>
  </r>
  <r>
    <x v="1"/>
    <x v="23"/>
    <n v="3"/>
    <n v="4"/>
    <n v="1"/>
    <n v="40"/>
    <x v="94"/>
    <x v="31"/>
    <x v="191"/>
    <s v="Entrenamiento"/>
  </r>
  <r>
    <x v="0"/>
    <x v="8"/>
    <n v="2"/>
    <n v="7"/>
    <n v="23"/>
    <n v="41"/>
    <x v="147"/>
    <x v="10"/>
    <x v="192"/>
    <s v="Entrenamiento"/>
  </r>
  <r>
    <x v="0"/>
    <x v="2"/>
    <n v="2"/>
    <n v="7"/>
    <n v="10"/>
    <n v="32"/>
    <x v="148"/>
    <x v="156"/>
    <x v="192"/>
    <s v="Entrenamiento"/>
  </r>
  <r>
    <x v="0"/>
    <x v="30"/>
    <n v="2"/>
    <n v="0"/>
    <n v="1"/>
    <n v="16"/>
    <x v="149"/>
    <x v="164"/>
    <x v="192"/>
    <s v="Entrenamiento"/>
  </r>
  <r>
    <x v="0"/>
    <x v="28"/>
    <n v="1"/>
    <n v="8"/>
    <n v="1"/>
    <n v="35"/>
    <x v="150"/>
    <x v="165"/>
    <x v="192"/>
    <s v="Entrenamiento"/>
  </r>
  <r>
    <x v="0"/>
    <x v="6"/>
    <n v="6"/>
    <n v="7"/>
    <n v="12"/>
    <n v="25"/>
    <x v="99"/>
    <x v="80"/>
    <x v="193"/>
    <s v="Entrenamiento"/>
  </r>
  <r>
    <x v="0"/>
    <x v="5"/>
    <n v="1"/>
    <n v="3"/>
    <n v="7"/>
    <n v="24"/>
    <x v="108"/>
    <x v="166"/>
    <x v="193"/>
    <s v="Entrenamiento"/>
  </r>
  <r>
    <x v="0"/>
    <x v="31"/>
    <n v="1"/>
    <n v="7"/>
    <n v="3"/>
    <n v="22"/>
    <x v="151"/>
    <x v="74"/>
    <x v="194"/>
    <s v="Entrenamiento"/>
  </r>
  <r>
    <x v="0"/>
    <x v="32"/>
    <n v="2"/>
    <n v="0"/>
    <n v="3"/>
    <n v="20"/>
    <x v="98"/>
    <x v="74"/>
    <x v="194"/>
    <s v="Entrenamiento"/>
  </r>
  <r>
    <x v="0"/>
    <x v="30"/>
    <n v="1"/>
    <n v="4"/>
    <n v="0"/>
    <n v="26"/>
    <x v="65"/>
    <x v="167"/>
    <x v="195"/>
    <s v="Entrenamiento"/>
  </r>
  <r>
    <x v="0"/>
    <x v="13"/>
    <n v="1"/>
    <n v="11"/>
    <n v="5"/>
    <n v="36"/>
    <x v="106"/>
    <x v="140"/>
    <x v="195"/>
    <s v="Entrenamiento"/>
  </r>
  <r>
    <x v="0"/>
    <x v="16"/>
    <n v="5"/>
    <n v="5"/>
    <n v="12"/>
    <n v="20"/>
    <x v="146"/>
    <x v="132"/>
    <x v="195"/>
    <s v="Entrenamiento"/>
  </r>
  <r>
    <x v="0"/>
    <x v="25"/>
    <n v="1"/>
    <n v="4"/>
    <n v="0"/>
    <n v="33"/>
    <x v="124"/>
    <x v="152"/>
    <x v="195"/>
    <s v="Entrenamiento"/>
  </r>
  <r>
    <x v="0"/>
    <x v="6"/>
    <n v="2"/>
    <n v="4"/>
    <n v="10"/>
    <n v="25"/>
    <x v="139"/>
    <x v="75"/>
    <x v="196"/>
    <s v="Entrenamiento"/>
  </r>
  <r>
    <x v="1"/>
    <x v="28"/>
    <n v="1"/>
    <n v="1"/>
    <n v="0"/>
    <n v="20"/>
    <x v="56"/>
    <x v="155"/>
    <x v="197"/>
    <s v="Entrenamiento"/>
  </r>
  <r>
    <x v="0"/>
    <x v="18"/>
    <n v="1"/>
    <n v="9"/>
    <n v="5"/>
    <n v="26"/>
    <x v="130"/>
    <x v="168"/>
    <x v="198"/>
    <s v="Entrenamiento"/>
  </r>
  <r>
    <x v="0"/>
    <x v="23"/>
    <n v="3"/>
    <n v="2"/>
    <n v="7"/>
    <n v="26"/>
    <x v="143"/>
    <x v="135"/>
    <x v="199"/>
    <s v="Entrenamiento"/>
  </r>
  <r>
    <x v="0"/>
    <x v="10"/>
    <n v="4"/>
    <n v="9"/>
    <n v="10"/>
    <n v="28"/>
    <x v="148"/>
    <x v="78"/>
    <x v="200"/>
    <s v="Entrenamiento"/>
  </r>
  <r>
    <x v="0"/>
    <x v="7"/>
    <n v="1"/>
    <n v="15"/>
    <n v="14"/>
    <n v="117.54291069294821"/>
    <x v="150"/>
    <x v="48"/>
    <x v="201"/>
    <s v="Entrenamiento"/>
  </r>
  <r>
    <x v="0"/>
    <x v="27"/>
    <n v="1"/>
    <n v="8"/>
    <n v="4"/>
    <n v="24"/>
    <x v="125"/>
    <x v="78"/>
    <x v="201"/>
    <s v="Entrenamiento"/>
  </r>
  <r>
    <x v="1"/>
    <x v="27"/>
    <n v="1"/>
    <n v="1"/>
    <n v="0"/>
    <n v="18"/>
    <x v="3"/>
    <x v="86"/>
    <x v="201"/>
    <s v="Entrenamiento"/>
  </r>
  <r>
    <x v="0"/>
    <x v="15"/>
    <n v="2"/>
    <n v="5"/>
    <n v="1"/>
    <n v="33"/>
    <x v="64"/>
    <x v="169"/>
    <x v="201"/>
    <s v="Entrenamiento"/>
  </r>
  <r>
    <x v="0"/>
    <x v="1"/>
    <n v="1"/>
    <n v="8"/>
    <n v="11"/>
    <n v="45"/>
    <x v="120"/>
    <x v="108"/>
    <x v="202"/>
    <s v="Entrenamiento"/>
  </r>
  <r>
    <x v="0"/>
    <x v="27"/>
    <n v="1"/>
    <n v="7"/>
    <n v="2"/>
    <n v="21"/>
    <x v="86"/>
    <x v="96"/>
    <x v="203"/>
    <s v="Entrenamiento"/>
  </r>
  <r>
    <x v="0"/>
    <x v="10"/>
    <n v="1"/>
    <n v="7"/>
    <n v="0"/>
    <n v="22"/>
    <x v="67"/>
    <x v="114"/>
    <x v="204"/>
    <s v="Entrenamiento"/>
  </r>
  <r>
    <x v="0"/>
    <x v="31"/>
    <n v="1"/>
    <n v="4"/>
    <n v="3"/>
    <n v="20"/>
    <x v="107"/>
    <x v="109"/>
    <x v="205"/>
    <s v="Entrenamiento"/>
  </r>
  <r>
    <x v="0"/>
    <x v="10"/>
    <n v="1"/>
    <n v="14"/>
    <n v="2"/>
    <n v="37"/>
    <x v="41"/>
    <x v="170"/>
    <x v="205"/>
    <s v="Entrenamiento"/>
  </r>
  <r>
    <x v="0"/>
    <x v="11"/>
    <n v="1"/>
    <n v="19"/>
    <n v="16"/>
    <n v="45"/>
    <x v="152"/>
    <x v="171"/>
    <x v="206"/>
    <s v="Entrenamiento"/>
  </r>
  <r>
    <x v="1"/>
    <x v="23"/>
    <n v="2"/>
    <n v="7"/>
    <n v="8"/>
    <n v="30"/>
    <x v="153"/>
    <x v="19"/>
    <x v="206"/>
    <s v="Entrenamiento"/>
  </r>
  <r>
    <x v="1"/>
    <x v="2"/>
    <n v="2"/>
    <n v="0"/>
    <n v="6"/>
    <n v="18"/>
    <x v="139"/>
    <x v="126"/>
    <x v="206"/>
    <s v="Entrenamiento"/>
  </r>
  <r>
    <x v="1"/>
    <x v="31"/>
    <n v="1"/>
    <n v="0"/>
    <n v="0"/>
    <n v="14"/>
    <x v="154"/>
    <x v="126"/>
    <x v="206"/>
    <s v="Entrenamiento"/>
  </r>
  <r>
    <x v="1"/>
    <x v="27"/>
    <n v="3"/>
    <n v="2"/>
    <n v="5"/>
    <n v="16"/>
    <x v="67"/>
    <x v="61"/>
    <x v="206"/>
    <s v="Entrenamiento"/>
  </r>
  <r>
    <x v="1"/>
    <x v="3"/>
    <n v="1"/>
    <n v="0"/>
    <n v="18"/>
    <n v="18"/>
    <x v="88"/>
    <x v="44"/>
    <x v="207"/>
    <s v="Entrenamiento"/>
  </r>
  <r>
    <x v="0"/>
    <x v="2"/>
    <n v="1"/>
    <n v="8"/>
    <n v="6"/>
    <n v="26"/>
    <x v="68"/>
    <x v="64"/>
    <x v="207"/>
    <s v="Entrenamiento"/>
  </r>
  <r>
    <x v="0"/>
    <x v="25"/>
    <n v="4"/>
    <n v="2"/>
    <n v="8"/>
    <n v="25"/>
    <x v="87"/>
    <x v="172"/>
    <x v="208"/>
    <s v="Entrenamiento"/>
  </r>
  <r>
    <x v="1"/>
    <x v="20"/>
    <n v="1"/>
    <n v="2"/>
    <n v="2"/>
    <n v="16"/>
    <x v="44"/>
    <x v="110"/>
    <x v="208"/>
    <s v="Entrenamiento"/>
  </r>
  <r>
    <x v="0"/>
    <x v="2"/>
    <n v="3"/>
    <n v="5"/>
    <n v="9"/>
    <n v="23"/>
    <x v="130"/>
    <x v="64"/>
    <x v="209"/>
    <s v="Entrenamiento"/>
  </r>
  <r>
    <x v="0"/>
    <x v="2"/>
    <n v="1"/>
    <n v="12"/>
    <n v="12"/>
    <n v="28"/>
    <x v="150"/>
    <x v="88"/>
    <x v="210"/>
    <s v="Entrenamiento"/>
  </r>
  <r>
    <x v="0"/>
    <x v="14"/>
    <n v="1"/>
    <n v="13"/>
    <n v="2"/>
    <n v="28"/>
    <x v="3"/>
    <x v="173"/>
    <x v="211"/>
    <s v="Entrenamiento"/>
  </r>
  <r>
    <x v="0"/>
    <x v="2"/>
    <n v="2"/>
    <n v="8"/>
    <n v="2"/>
    <n v="45"/>
    <x v="152"/>
    <x v="148"/>
    <x v="212"/>
    <s v="Entrenamiento"/>
  </r>
  <r>
    <x v="0"/>
    <x v="7"/>
    <n v="1"/>
    <n v="13"/>
    <n v="10"/>
    <n v="44"/>
    <x v="155"/>
    <x v="158"/>
    <x v="212"/>
    <s v="Entrenamiento"/>
  </r>
  <r>
    <x v="1"/>
    <x v="2"/>
    <n v="1"/>
    <n v="1"/>
    <n v="0"/>
    <n v="20"/>
    <x v="106"/>
    <x v="168"/>
    <x v="213"/>
    <s v="Entrenamiento"/>
  </r>
  <r>
    <x v="0"/>
    <x v="3"/>
    <n v="1"/>
    <n v="3"/>
    <n v="3"/>
    <n v="25"/>
    <x v="152"/>
    <x v="31"/>
    <x v="213"/>
    <s v="Entrenamiento"/>
  </r>
  <r>
    <x v="0"/>
    <x v="18"/>
    <n v="1"/>
    <n v="9"/>
    <n v="10"/>
    <n v="28"/>
    <x v="145"/>
    <x v="146"/>
    <x v="214"/>
    <s v="Entrenamiento"/>
  </r>
  <r>
    <x v="0"/>
    <x v="21"/>
    <n v="3"/>
    <n v="3"/>
    <n v="18"/>
    <n v="25"/>
    <x v="152"/>
    <x v="168"/>
    <x v="215"/>
    <s v="Entrenamiento"/>
  </r>
  <r>
    <x v="0"/>
    <x v="2"/>
    <n v="1"/>
    <n v="14"/>
    <n v="0"/>
    <n v="36"/>
    <x v="145"/>
    <x v="61"/>
    <x v="216"/>
    <s v="Entrenamiento"/>
  </r>
  <r>
    <x v="0"/>
    <x v="15"/>
    <n v="2"/>
    <n v="13"/>
    <n v="3"/>
    <n v="105"/>
    <x v="156"/>
    <x v="167"/>
    <x v="217"/>
    <s v="Entrenamiento"/>
  </r>
  <r>
    <x v="0"/>
    <x v="31"/>
    <n v="2"/>
    <n v="6"/>
    <n v="0"/>
    <n v="35"/>
    <x v="156"/>
    <x v="130"/>
    <x v="217"/>
    <s v="Entrenamiento"/>
  </r>
  <r>
    <x v="1"/>
    <x v="22"/>
    <n v="4"/>
    <n v="2"/>
    <n v="4"/>
    <n v="41"/>
    <x v="144"/>
    <x v="141"/>
    <x v="218"/>
    <s v="Entrenamiento"/>
  </r>
  <r>
    <x v="0"/>
    <x v="16"/>
    <n v="1"/>
    <n v="15"/>
    <n v="10"/>
    <n v="39"/>
    <x v="157"/>
    <x v="14"/>
    <x v="219"/>
    <s v="Entrenamiento"/>
  </r>
  <r>
    <x v="0"/>
    <x v="11"/>
    <n v="2"/>
    <n v="18"/>
    <n v="9"/>
    <n v="44"/>
    <x v="158"/>
    <x v="121"/>
    <x v="219"/>
    <s v="Entrenamiento"/>
  </r>
  <r>
    <x v="0"/>
    <x v="11"/>
    <n v="1"/>
    <n v="8"/>
    <n v="0"/>
    <n v="21"/>
    <x v="153"/>
    <x v="31"/>
    <x v="219"/>
    <s v="Entrenamiento"/>
  </r>
  <r>
    <x v="0"/>
    <x v="11"/>
    <n v="1"/>
    <n v="15"/>
    <n v="16"/>
    <n v="39"/>
    <x v="159"/>
    <x v="107"/>
    <x v="219"/>
    <s v="Entrenamiento"/>
  </r>
  <r>
    <x v="0"/>
    <x v="0"/>
    <n v="1"/>
    <n v="13"/>
    <n v="7"/>
    <n v="27"/>
    <x v="128"/>
    <x v="158"/>
    <x v="220"/>
    <s v="Entrenamiento"/>
  </r>
  <r>
    <x v="0"/>
    <x v="14"/>
    <n v="4"/>
    <n v="5"/>
    <n v="6"/>
    <n v="75"/>
    <x v="156"/>
    <x v="102"/>
    <x v="221"/>
    <s v="Entrenamiento"/>
  </r>
  <r>
    <x v="0"/>
    <x v="0"/>
    <n v="2"/>
    <n v="4"/>
    <n v="9"/>
    <n v="19"/>
    <x v="86"/>
    <x v="108"/>
    <x v="222"/>
    <s v="Entrenamiento"/>
  </r>
  <r>
    <x v="0"/>
    <x v="3"/>
    <n v="1"/>
    <n v="20"/>
    <n v="2"/>
    <n v="56"/>
    <x v="156"/>
    <x v="160"/>
    <x v="222"/>
    <s v="Entrenamiento"/>
  </r>
  <r>
    <x v="0"/>
    <x v="32"/>
    <n v="1"/>
    <n v="1"/>
    <n v="0"/>
    <n v="18"/>
    <x v="42"/>
    <x v="61"/>
    <x v="222"/>
    <s v="Entrenamiento"/>
  </r>
  <r>
    <x v="0"/>
    <x v="22"/>
    <n v="1"/>
    <n v="3"/>
    <n v="7"/>
    <n v="19"/>
    <x v="68"/>
    <x v="67"/>
    <x v="222"/>
    <s v="Entrenamiento"/>
  </r>
  <r>
    <x v="0"/>
    <x v="11"/>
    <n v="1"/>
    <n v="22"/>
    <n v="3"/>
    <n v="52"/>
    <x v="157"/>
    <x v="174"/>
    <x v="223"/>
    <s v="Entrenamiento"/>
  </r>
  <r>
    <x v="0"/>
    <x v="25"/>
    <n v="1"/>
    <n v="10"/>
    <n v="2"/>
    <n v="19"/>
    <x v="42"/>
    <x v="129"/>
    <x v="224"/>
    <s v="Entrenamiento"/>
  </r>
  <r>
    <x v="0"/>
    <x v="16"/>
    <n v="4"/>
    <n v="8"/>
    <n v="0"/>
    <n v="32"/>
    <x v="160"/>
    <x v="175"/>
    <x v="225"/>
    <s v="Entrenamiento"/>
  </r>
  <r>
    <x v="0"/>
    <x v="22"/>
    <n v="1"/>
    <n v="5"/>
    <n v="9"/>
    <n v="22"/>
    <x v="64"/>
    <x v="107"/>
    <x v="226"/>
    <s v="Entrenamiento"/>
  </r>
  <r>
    <x v="0"/>
    <x v="31"/>
    <n v="1"/>
    <n v="10"/>
    <n v="1"/>
    <n v="25"/>
    <x v="161"/>
    <x v="176"/>
    <x v="227"/>
    <s v="Entrenamiento"/>
  </r>
  <r>
    <x v="0"/>
    <x v="14"/>
    <n v="1"/>
    <n v="8"/>
    <n v="17"/>
    <n v="28"/>
    <x v="137"/>
    <x v="177"/>
    <x v="227"/>
    <s v="Entrenamiento"/>
  </r>
  <r>
    <x v="0"/>
    <x v="31"/>
    <n v="4"/>
    <n v="1"/>
    <n v="7"/>
    <n v="27"/>
    <x v="150"/>
    <x v="168"/>
    <x v="227"/>
    <s v="Entrenamiento"/>
  </r>
  <r>
    <x v="0"/>
    <x v="2"/>
    <n v="2"/>
    <n v="3"/>
    <n v="13"/>
    <n v="47"/>
    <x v="156"/>
    <x v="156"/>
    <x v="228"/>
    <s v="Entrenamiento"/>
  </r>
  <r>
    <x v="0"/>
    <x v="27"/>
    <n v="6"/>
    <n v="3"/>
    <n v="0"/>
    <n v="19"/>
    <x v="148"/>
    <x v="112"/>
    <x v="228"/>
    <s v="Entrenamiento"/>
  </r>
  <r>
    <x v="0"/>
    <x v="21"/>
    <n v="2"/>
    <n v="4"/>
    <n v="13"/>
    <n v="56"/>
    <x v="160"/>
    <x v="58"/>
    <x v="229"/>
    <s v="Entrenamiento"/>
  </r>
  <r>
    <x v="0"/>
    <x v="27"/>
    <n v="1"/>
    <n v="4"/>
    <n v="2"/>
    <n v="21"/>
    <x v="41"/>
    <x v="169"/>
    <x v="229"/>
    <s v="Entrenamiento"/>
  </r>
  <r>
    <x v="0"/>
    <x v="7"/>
    <n v="4"/>
    <n v="14"/>
    <n v="3"/>
    <n v="44"/>
    <x v="155"/>
    <x v="178"/>
    <x v="230"/>
    <s v="Entrenamiento"/>
  </r>
  <r>
    <x v="1"/>
    <x v="31"/>
    <n v="1"/>
    <n v="4"/>
    <n v="3"/>
    <n v="27"/>
    <x v="162"/>
    <x v="179"/>
    <x v="231"/>
    <s v="Entrenamiento"/>
  </r>
  <r>
    <x v="0"/>
    <x v="7"/>
    <n v="1"/>
    <n v="16"/>
    <n v="22"/>
    <n v="49"/>
    <x v="160"/>
    <x v="156"/>
    <x v="232"/>
    <s v="Entrenamiento"/>
  </r>
  <r>
    <x v="0"/>
    <x v="7"/>
    <n v="3"/>
    <n v="0"/>
    <n v="21"/>
    <n v="26"/>
    <x v="155"/>
    <x v="169"/>
    <x v="233"/>
    <s v="Entrenamiento"/>
  </r>
  <r>
    <x v="0"/>
    <x v="4"/>
    <n v="6"/>
    <n v="3"/>
    <n v="15"/>
    <n v="20"/>
    <x v="158"/>
    <x v="118"/>
    <x v="234"/>
    <s v="Entrenamiento"/>
  </r>
  <r>
    <x v="0"/>
    <x v="0"/>
    <n v="1"/>
    <n v="1"/>
    <n v="4"/>
    <n v="17"/>
    <x v="144"/>
    <x v="33"/>
    <x v="235"/>
    <s v="Entrenamiento"/>
  </r>
  <r>
    <x v="1"/>
    <x v="18"/>
    <n v="1"/>
    <n v="1"/>
    <n v="6"/>
    <n v="21"/>
    <x v="144"/>
    <x v="31"/>
    <x v="236"/>
    <s v="Entrenamiento"/>
  </r>
  <r>
    <x v="0"/>
    <x v="0"/>
    <n v="2"/>
    <n v="3"/>
    <n v="8"/>
    <n v="15"/>
    <x v="41"/>
    <x v="164"/>
    <x v="237"/>
    <s v="Entrenamiento"/>
  </r>
  <r>
    <x v="0"/>
    <x v="7"/>
    <n v="2"/>
    <n v="8"/>
    <n v="21"/>
    <n v="43"/>
    <x v="163"/>
    <x v="130"/>
    <x v="238"/>
    <s v="Entrenamiento"/>
  </r>
  <r>
    <x v="0"/>
    <x v="1"/>
    <n v="1"/>
    <n v="16"/>
    <n v="7"/>
    <n v="89"/>
    <x v="164"/>
    <x v="101"/>
    <x v="239"/>
    <s v="Entrenamiento"/>
  </r>
  <r>
    <x v="0"/>
    <x v="6"/>
    <n v="2"/>
    <n v="8"/>
    <n v="16"/>
    <n v="38"/>
    <x v="165"/>
    <x v="180"/>
    <x v="239"/>
    <s v="Entrenamiento"/>
  </r>
  <r>
    <x v="0"/>
    <x v="15"/>
    <n v="2"/>
    <n v="14"/>
    <n v="3"/>
    <n v="82"/>
    <x v="166"/>
    <x v="155"/>
    <x v="240"/>
    <s v="Entrenamiento"/>
  </r>
  <r>
    <x v="0"/>
    <x v="13"/>
    <n v="2"/>
    <n v="15"/>
    <n v="31"/>
    <n v="60"/>
    <x v="167"/>
    <x v="155"/>
    <x v="240"/>
    <s v="Entrenamiento"/>
  </r>
  <r>
    <x v="0"/>
    <x v="0"/>
    <n v="1"/>
    <n v="1"/>
    <n v="1"/>
    <n v="18"/>
    <x v="167"/>
    <x v="180"/>
    <x v="241"/>
    <s v="Entrenamiento"/>
  </r>
  <r>
    <x v="0"/>
    <x v="31"/>
    <n v="2"/>
    <n v="6"/>
    <n v="6"/>
    <n v="30"/>
    <x v="168"/>
    <x v="107"/>
    <x v="242"/>
    <s v="Entrenamiento"/>
  </r>
  <r>
    <x v="0"/>
    <x v="32"/>
    <n v="1"/>
    <n v="4"/>
    <n v="1"/>
    <n v="16"/>
    <x v="169"/>
    <x v="165"/>
    <x v="243"/>
    <s v="Entrenamiento"/>
  </r>
  <r>
    <x v="0"/>
    <x v="27"/>
    <n v="1"/>
    <n v="2"/>
    <n v="1"/>
    <n v="21"/>
    <x v="165"/>
    <x v="180"/>
    <x v="244"/>
    <s v="Entrenamiento"/>
  </r>
  <r>
    <x v="1"/>
    <x v="14"/>
    <n v="3"/>
    <n v="5"/>
    <n v="3"/>
    <n v="0"/>
    <x v="45"/>
    <x v="2"/>
    <x v="245"/>
    <s v="Entrenamiento"/>
  </r>
  <r>
    <x v="1"/>
    <x v="25"/>
    <n v="3"/>
    <n v="0"/>
    <n v="8"/>
    <n v="65"/>
    <x v="170"/>
    <x v="181"/>
    <x v="245"/>
    <s v="Entrenamiento"/>
  </r>
  <r>
    <x v="0"/>
    <x v="7"/>
    <n v="2"/>
    <n v="21"/>
    <n v="22"/>
    <n v="117.54291069294821"/>
    <x v="17"/>
    <x v="182"/>
    <x v="245"/>
    <s v="Entrenamiento"/>
  </r>
  <r>
    <x v="0"/>
    <x v="26"/>
    <n v="2"/>
    <n v="27"/>
    <n v="21"/>
    <n v="0"/>
    <x v="114"/>
    <x v="32"/>
    <x v="245"/>
    <s v="Entrenamiento"/>
  </r>
  <r>
    <x v="1"/>
    <x v="10"/>
    <n v="1"/>
    <n v="14"/>
    <n v="8"/>
    <n v="72"/>
    <x v="171"/>
    <x v="11"/>
    <x v="245"/>
    <s v="Entrenamiento"/>
  </r>
  <r>
    <x v="1"/>
    <x v="9"/>
    <n v="3"/>
    <n v="16"/>
    <n v="26"/>
    <n v="0"/>
    <x v="172"/>
    <x v="11"/>
    <x v="245"/>
    <s v="Entrenamiento"/>
  </r>
  <r>
    <x v="0"/>
    <x v="14"/>
    <n v="1"/>
    <n v="12"/>
    <n v="6"/>
    <n v="89"/>
    <x v="27"/>
    <x v="183"/>
    <x v="246"/>
    <s v="Entrenamiento"/>
  </r>
  <r>
    <x v="0"/>
    <x v="33"/>
    <n v="2"/>
    <n v="22"/>
    <n v="17"/>
    <n v="117.54291069294821"/>
    <x v="102"/>
    <x v="184"/>
    <x v="246"/>
    <s v="Entrenamiento"/>
  </r>
  <r>
    <x v="0"/>
    <x v="14"/>
    <n v="3"/>
    <n v="16"/>
    <n v="6"/>
    <n v="116"/>
    <x v="173"/>
    <x v="185"/>
    <x v="246"/>
    <s v="Entrenamiento"/>
  </r>
  <r>
    <x v="1"/>
    <x v="9"/>
    <n v="1"/>
    <n v="27"/>
    <n v="18"/>
    <n v="117.54291069294821"/>
    <x v="174"/>
    <x v="11"/>
    <x v="246"/>
    <s v="Entrenamiento"/>
  </r>
  <r>
    <x v="0"/>
    <x v="6"/>
    <n v="1"/>
    <n v="19"/>
    <n v="7"/>
    <n v="50"/>
    <x v="175"/>
    <x v="186"/>
    <x v="246"/>
    <s v="Entrenamiento"/>
  </r>
  <r>
    <x v="0"/>
    <x v="11"/>
    <n v="1"/>
    <n v="23"/>
    <n v="1"/>
    <n v="75"/>
    <x v="75"/>
    <x v="187"/>
    <x v="246"/>
    <s v="Entrenamiento"/>
  </r>
  <r>
    <x v="1"/>
    <x v="0"/>
    <n v="3"/>
    <n v="5"/>
    <n v="6"/>
    <n v="70"/>
    <x v="24"/>
    <x v="186"/>
    <x v="246"/>
    <s v="Entrenamiento"/>
  </r>
  <r>
    <x v="0"/>
    <x v="17"/>
    <n v="2"/>
    <n v="12"/>
    <n v="5"/>
    <n v="86"/>
    <x v="12"/>
    <x v="188"/>
    <x v="247"/>
    <s v="Validación"/>
  </r>
  <r>
    <x v="0"/>
    <x v="11"/>
    <n v="1"/>
    <n v="16"/>
    <n v="20"/>
    <n v="57"/>
    <x v="176"/>
    <x v="87"/>
    <x v="248"/>
    <s v="Validación"/>
  </r>
  <r>
    <x v="0"/>
    <x v="14"/>
    <n v="1"/>
    <n v="22"/>
    <n v="1"/>
    <n v="100"/>
    <x v="177"/>
    <x v="189"/>
    <x v="249"/>
    <s v="Validación"/>
  </r>
  <r>
    <x v="0"/>
    <x v="2"/>
    <n v="3"/>
    <n v="9"/>
    <n v="10"/>
    <n v="51"/>
    <x v="178"/>
    <x v="190"/>
    <x v="250"/>
    <s v="Validación"/>
  </r>
  <r>
    <x v="0"/>
    <x v="9"/>
    <n v="1"/>
    <n v="26"/>
    <n v="21"/>
    <n v="100"/>
    <x v="179"/>
    <x v="34"/>
    <x v="251"/>
    <s v="Validación"/>
  </r>
  <r>
    <x v="0"/>
    <x v="15"/>
    <n v="2"/>
    <n v="10"/>
    <n v="16"/>
    <n v="98"/>
    <x v="69"/>
    <x v="10"/>
    <x v="252"/>
    <s v="Validación"/>
  </r>
  <r>
    <x v="1"/>
    <x v="9"/>
    <n v="3"/>
    <n v="9"/>
    <n v="1"/>
    <n v="52"/>
    <x v="180"/>
    <x v="20"/>
    <x v="253"/>
    <s v="Validación"/>
  </r>
  <r>
    <x v="0"/>
    <x v="29"/>
    <n v="1"/>
    <n v="19"/>
    <n v="2"/>
    <n v="78"/>
    <x v="104"/>
    <x v="191"/>
    <x v="254"/>
    <s v="Validación"/>
  </r>
  <r>
    <x v="1"/>
    <x v="7"/>
    <n v="3"/>
    <n v="7"/>
    <n v="6"/>
    <n v="56"/>
    <x v="181"/>
    <x v="121"/>
    <x v="255"/>
    <s v="Validación"/>
  </r>
  <r>
    <x v="0"/>
    <x v="4"/>
    <n v="2"/>
    <n v="15"/>
    <n v="14"/>
    <n v="51"/>
    <x v="78"/>
    <x v="192"/>
    <x v="256"/>
    <s v="Validación"/>
  </r>
  <r>
    <x v="0"/>
    <x v="33"/>
    <n v="3"/>
    <n v="9"/>
    <n v="10"/>
    <n v="60"/>
    <x v="182"/>
    <x v="185"/>
    <x v="257"/>
    <s v="Validación"/>
  </r>
  <r>
    <x v="1"/>
    <x v="6"/>
    <n v="4"/>
    <n v="6"/>
    <n v="3"/>
    <n v="27"/>
    <x v="171"/>
    <x v="193"/>
    <x v="258"/>
    <s v="Validación"/>
  </r>
  <r>
    <x v="1"/>
    <x v="22"/>
    <n v="1"/>
    <n v="0"/>
    <n v="2"/>
    <n v="28"/>
    <x v="171"/>
    <x v="194"/>
    <x v="19"/>
    <s v="Validación"/>
  </r>
  <r>
    <x v="1"/>
    <x v="35"/>
    <n v="4"/>
    <n v="5"/>
    <n v="29"/>
    <n v="78"/>
    <x v="54"/>
    <x v="2"/>
    <x v="259"/>
    <s v="Validación"/>
  </r>
  <r>
    <x v="1"/>
    <x v="4"/>
    <n v="3"/>
    <n v="5"/>
    <n v="17"/>
    <n v="94"/>
    <x v="162"/>
    <x v="195"/>
    <x v="260"/>
    <s v="Validación"/>
  </r>
  <r>
    <x v="0"/>
    <x v="13"/>
    <n v="2"/>
    <n v="16"/>
    <n v="14"/>
    <n v="71"/>
    <x v="102"/>
    <x v="196"/>
    <x v="261"/>
    <s v="Validación"/>
  </r>
  <r>
    <x v="1"/>
    <x v="10"/>
    <n v="2"/>
    <n v="2"/>
    <n v="14"/>
    <n v="35"/>
    <x v="183"/>
    <x v="197"/>
    <x v="262"/>
    <s v="Validación"/>
  </r>
  <r>
    <x v="1"/>
    <x v="10"/>
    <n v="2"/>
    <n v="10"/>
    <n v="13"/>
    <n v="57"/>
    <x v="184"/>
    <x v="2"/>
    <x v="263"/>
    <s v="Validación"/>
  </r>
  <r>
    <x v="0"/>
    <x v="11"/>
    <n v="2"/>
    <n v="9"/>
    <n v="16"/>
    <n v="56"/>
    <x v="185"/>
    <x v="198"/>
    <x v="264"/>
    <s v="Validación"/>
  </r>
  <r>
    <x v="0"/>
    <x v="31"/>
    <n v="2"/>
    <n v="6"/>
    <n v="7"/>
    <n v="45"/>
    <x v="186"/>
    <x v="2"/>
    <x v="265"/>
    <s v="Validación"/>
  </r>
  <r>
    <x v="0"/>
    <x v="22"/>
    <n v="4"/>
    <n v="0"/>
    <n v="7"/>
    <n v="29"/>
    <x v="187"/>
    <x v="167"/>
    <x v="266"/>
    <s v="Validación"/>
  </r>
  <r>
    <x v="1"/>
    <x v="18"/>
    <n v="3"/>
    <n v="9"/>
    <n v="7"/>
    <n v="59"/>
    <x v="177"/>
    <x v="199"/>
    <x v="267"/>
    <s v="Validación"/>
  </r>
  <r>
    <x v="1"/>
    <x v="23"/>
    <n v="1"/>
    <n v="9"/>
    <n v="6"/>
    <n v="45"/>
    <x v="188"/>
    <x v="200"/>
    <x v="268"/>
    <s v="Validación"/>
  </r>
  <r>
    <x v="0"/>
    <x v="31"/>
    <n v="3"/>
    <n v="2"/>
    <n v="1"/>
    <n v="37"/>
    <x v="62"/>
    <x v="170"/>
    <x v="269"/>
    <s v="Validación"/>
  </r>
  <r>
    <x v="1"/>
    <x v="7"/>
    <n v="3"/>
    <n v="17"/>
    <n v="12"/>
    <n v="0"/>
    <x v="123"/>
    <x v="10"/>
    <x v="270"/>
    <s v="Validación"/>
  </r>
  <r>
    <x v="0"/>
    <x v="26"/>
    <n v="2"/>
    <n v="22"/>
    <n v="23"/>
    <n v="117.54291069294821"/>
    <x v="46"/>
    <x v="201"/>
    <x v="271"/>
    <s v="Validación"/>
  </r>
  <r>
    <x v="0"/>
    <x v="18"/>
    <n v="1"/>
    <n v="11"/>
    <n v="12"/>
    <n v="45"/>
    <x v="61"/>
    <x v="202"/>
    <x v="272"/>
    <s v="Validación"/>
  </r>
  <r>
    <x v="1"/>
    <x v="23"/>
    <n v="3"/>
    <n v="3"/>
    <n v="4"/>
    <n v="45"/>
    <x v="133"/>
    <x v="203"/>
    <x v="43"/>
    <s v="Validación"/>
  </r>
  <r>
    <x v="0"/>
    <x v="2"/>
    <n v="2"/>
    <n v="12"/>
    <n v="1"/>
    <n v="54"/>
    <x v="15"/>
    <x v="204"/>
    <x v="44"/>
    <s v="Validación"/>
  </r>
  <r>
    <x v="0"/>
    <x v="14"/>
    <n v="3"/>
    <n v="17"/>
    <n v="11"/>
    <n v="116"/>
    <x v="143"/>
    <x v="92"/>
    <x v="273"/>
    <s v="Validación"/>
  </r>
  <r>
    <x v="0"/>
    <x v="11"/>
    <n v="1"/>
    <n v="19"/>
    <n v="5"/>
    <n v="48"/>
    <x v="189"/>
    <x v="205"/>
    <x v="46"/>
    <s v="Validación"/>
  </r>
  <r>
    <x v="0"/>
    <x v="6"/>
    <n v="1"/>
    <n v="3"/>
    <n v="11"/>
    <n v="27"/>
    <x v="10"/>
    <x v="59"/>
    <x v="274"/>
    <s v="Validación"/>
  </r>
  <r>
    <x v="0"/>
    <x v="0"/>
    <n v="2"/>
    <n v="10"/>
    <n v="8"/>
    <n v="44"/>
    <x v="78"/>
    <x v="24"/>
    <x v="275"/>
    <s v="Validación"/>
  </r>
  <r>
    <x v="0"/>
    <x v="21"/>
    <n v="1"/>
    <n v="5"/>
    <n v="5"/>
    <n v="54"/>
    <x v="136"/>
    <x v="206"/>
    <x v="276"/>
    <s v="Validación"/>
  </r>
  <r>
    <x v="0"/>
    <x v="16"/>
    <n v="1"/>
    <n v="14"/>
    <n v="11"/>
    <n v="81"/>
    <x v="49"/>
    <x v="207"/>
    <x v="52"/>
    <s v="Validación"/>
  </r>
  <r>
    <x v="1"/>
    <x v="23"/>
    <n v="4"/>
    <n v="0"/>
    <n v="6"/>
    <n v="70"/>
    <x v="72"/>
    <x v="208"/>
    <x v="277"/>
    <s v="Validación"/>
  </r>
  <r>
    <x v="1"/>
    <x v="19"/>
    <n v="1"/>
    <n v="9"/>
    <n v="11"/>
    <n v="24"/>
    <x v="40"/>
    <x v="110"/>
    <x v="62"/>
    <s v="Validación"/>
  </r>
  <r>
    <x v="1"/>
    <x v="22"/>
    <n v="3"/>
    <n v="6"/>
    <n v="8"/>
    <n v="47"/>
    <x v="71"/>
    <x v="2"/>
    <x v="278"/>
    <s v="Validación"/>
  </r>
  <r>
    <x v="1"/>
    <x v="33"/>
    <n v="1"/>
    <n v="16"/>
    <n v="18"/>
    <n v="52"/>
    <x v="88"/>
    <x v="209"/>
    <x v="279"/>
    <s v="Validación"/>
  </r>
  <r>
    <x v="1"/>
    <x v="14"/>
    <n v="1"/>
    <n v="14"/>
    <n v="21"/>
    <n v="43"/>
    <x v="47"/>
    <x v="210"/>
    <x v="280"/>
    <s v="Validación"/>
  </r>
  <r>
    <x v="0"/>
    <x v="3"/>
    <n v="1"/>
    <n v="7"/>
    <n v="3"/>
    <n v="32"/>
    <x v="190"/>
    <x v="211"/>
    <x v="281"/>
    <s v="Validación"/>
  </r>
  <r>
    <x v="1"/>
    <x v="35"/>
    <n v="1"/>
    <n v="9"/>
    <n v="18"/>
    <n v="50"/>
    <x v="97"/>
    <x v="212"/>
    <x v="281"/>
    <s v="Validación"/>
  </r>
  <r>
    <x v="0"/>
    <x v="28"/>
    <n v="4"/>
    <n v="0"/>
    <n v="2"/>
    <n v="32"/>
    <x v="172"/>
    <x v="213"/>
    <x v="282"/>
    <s v="Validación"/>
  </r>
  <r>
    <x v="0"/>
    <x v="6"/>
    <n v="2"/>
    <n v="9"/>
    <n v="13"/>
    <n v="45"/>
    <x v="127"/>
    <x v="117"/>
    <x v="283"/>
    <s v="Validación"/>
  </r>
  <r>
    <x v="0"/>
    <x v="14"/>
    <n v="1"/>
    <n v="9"/>
    <n v="4"/>
    <n v="64"/>
    <x v="18"/>
    <x v="214"/>
    <x v="283"/>
    <s v="Validación"/>
  </r>
  <r>
    <x v="0"/>
    <x v="33"/>
    <n v="5"/>
    <n v="15"/>
    <n v="0"/>
    <n v="117.54291069294821"/>
    <x v="94"/>
    <x v="215"/>
    <x v="283"/>
    <s v="Validación"/>
  </r>
  <r>
    <x v="1"/>
    <x v="27"/>
    <n v="1"/>
    <n v="3"/>
    <n v="3"/>
    <n v="21"/>
    <x v="191"/>
    <x v="216"/>
    <x v="284"/>
    <s v="Validación"/>
  </r>
  <r>
    <x v="0"/>
    <x v="22"/>
    <n v="4"/>
    <n v="0"/>
    <n v="5"/>
    <n v="38"/>
    <x v="57"/>
    <x v="128"/>
    <x v="285"/>
    <s v="Validación"/>
  </r>
  <r>
    <x v="1"/>
    <x v="6"/>
    <n v="1"/>
    <n v="3"/>
    <n v="4"/>
    <n v="19"/>
    <x v="192"/>
    <x v="50"/>
    <x v="286"/>
    <s v="Validación"/>
  </r>
  <r>
    <x v="0"/>
    <x v="7"/>
    <n v="1"/>
    <n v="16"/>
    <n v="17"/>
    <n v="68"/>
    <x v="107"/>
    <x v="19"/>
    <x v="287"/>
    <s v="Validación"/>
  </r>
  <r>
    <x v="1"/>
    <x v="0"/>
    <n v="1"/>
    <n v="1"/>
    <n v="2"/>
    <n v="20"/>
    <x v="95"/>
    <x v="75"/>
    <x v="288"/>
    <s v="Validación"/>
  </r>
  <r>
    <x v="0"/>
    <x v="22"/>
    <n v="3"/>
    <n v="5"/>
    <n v="9"/>
    <n v="44"/>
    <x v="131"/>
    <x v="95"/>
    <x v="77"/>
    <s v="Validación"/>
  </r>
  <r>
    <x v="0"/>
    <x v="16"/>
    <n v="2"/>
    <n v="12"/>
    <n v="13"/>
    <n v="60"/>
    <x v="135"/>
    <x v="124"/>
    <x v="78"/>
    <s v="Validación"/>
  </r>
  <r>
    <x v="0"/>
    <x v="3"/>
    <n v="1"/>
    <n v="6"/>
    <n v="9"/>
    <n v="29"/>
    <x v="193"/>
    <x v="124"/>
    <x v="289"/>
    <s v="Validación"/>
  </r>
  <r>
    <x v="0"/>
    <x v="30"/>
    <n v="1"/>
    <n v="1"/>
    <n v="1"/>
    <n v="18"/>
    <x v="54"/>
    <x v="101"/>
    <x v="290"/>
    <s v="Validación"/>
  </r>
  <r>
    <x v="0"/>
    <x v="7"/>
    <n v="1"/>
    <n v="14"/>
    <n v="8"/>
    <n v="52"/>
    <x v="121"/>
    <x v="119"/>
    <x v="83"/>
    <s v="Validación"/>
  </r>
  <r>
    <x v="0"/>
    <x v="18"/>
    <n v="1"/>
    <n v="4"/>
    <n v="10"/>
    <n v="28"/>
    <x v="89"/>
    <x v="203"/>
    <x v="83"/>
    <s v="Validación"/>
  </r>
  <r>
    <x v="0"/>
    <x v="13"/>
    <n v="1"/>
    <n v="8"/>
    <n v="27"/>
    <n v="47"/>
    <x v="194"/>
    <x v="113"/>
    <x v="291"/>
    <s v="Validación"/>
  </r>
  <r>
    <x v="0"/>
    <x v="14"/>
    <n v="1"/>
    <n v="22"/>
    <n v="4"/>
    <n v="95"/>
    <x v="137"/>
    <x v="114"/>
    <x v="292"/>
    <s v="Validación"/>
  </r>
  <r>
    <x v="1"/>
    <x v="20"/>
    <n v="2"/>
    <n v="0"/>
    <n v="1"/>
    <n v="17"/>
    <x v="195"/>
    <x v="217"/>
    <x v="89"/>
    <s v="Validación"/>
  </r>
  <r>
    <x v="0"/>
    <x v="17"/>
    <n v="1"/>
    <n v="12"/>
    <n v="3"/>
    <n v="31"/>
    <x v="83"/>
    <x v="112"/>
    <x v="90"/>
    <s v="Validación"/>
  </r>
  <r>
    <x v="1"/>
    <x v="33"/>
    <n v="3"/>
    <n v="3"/>
    <n v="13"/>
    <n v="43"/>
    <x v="53"/>
    <x v="218"/>
    <x v="293"/>
    <s v="Validación"/>
  </r>
  <r>
    <x v="1"/>
    <x v="3"/>
    <n v="4"/>
    <n v="1"/>
    <n v="14"/>
    <n v="33"/>
    <x v="103"/>
    <x v="190"/>
    <x v="294"/>
    <s v="Validación"/>
  </r>
  <r>
    <x v="1"/>
    <x v="28"/>
    <n v="1"/>
    <n v="3"/>
    <n v="2"/>
    <n v="18"/>
    <x v="193"/>
    <x v="178"/>
    <x v="93"/>
    <s v="Validación"/>
  </r>
  <r>
    <x v="0"/>
    <x v="23"/>
    <n v="2"/>
    <n v="1"/>
    <n v="0"/>
    <n v="23"/>
    <x v="76"/>
    <x v="203"/>
    <x v="94"/>
    <s v="Validación"/>
  </r>
  <r>
    <x v="0"/>
    <x v="6"/>
    <n v="2"/>
    <n v="10"/>
    <n v="2"/>
    <n v="33"/>
    <x v="90"/>
    <x v="75"/>
    <x v="295"/>
    <s v="Validación"/>
  </r>
  <r>
    <x v="1"/>
    <x v="7"/>
    <n v="2"/>
    <n v="6"/>
    <n v="0"/>
    <n v="36"/>
    <x v="196"/>
    <x v="219"/>
    <x v="296"/>
    <s v="Validación"/>
  </r>
  <r>
    <x v="0"/>
    <x v="7"/>
    <n v="2"/>
    <n v="19"/>
    <n v="2"/>
    <n v="68"/>
    <x v="139"/>
    <x v="70"/>
    <x v="297"/>
    <s v="Validación"/>
  </r>
  <r>
    <x v="0"/>
    <x v="16"/>
    <n v="1"/>
    <n v="4"/>
    <n v="10"/>
    <n v="23"/>
    <x v="193"/>
    <x v="28"/>
    <x v="102"/>
    <s v="Validación"/>
  </r>
  <r>
    <x v="1"/>
    <x v="18"/>
    <n v="2"/>
    <n v="0"/>
    <n v="4"/>
    <n v="27"/>
    <x v="179"/>
    <x v="81"/>
    <x v="298"/>
    <s v="Validación"/>
  </r>
  <r>
    <x v="1"/>
    <x v="17"/>
    <n v="1"/>
    <n v="5"/>
    <n v="3"/>
    <n v="48"/>
    <x v="115"/>
    <x v="220"/>
    <x v="107"/>
    <s v="Validación"/>
  </r>
  <r>
    <x v="0"/>
    <x v="0"/>
    <n v="1"/>
    <n v="8"/>
    <n v="6"/>
    <n v="27"/>
    <x v="63"/>
    <x v="113"/>
    <x v="299"/>
    <s v="Validación"/>
  </r>
  <r>
    <x v="0"/>
    <x v="22"/>
    <n v="1"/>
    <n v="4"/>
    <n v="7"/>
    <n v="26"/>
    <x v="197"/>
    <x v="221"/>
    <x v="300"/>
    <s v="Validación"/>
  </r>
  <r>
    <x v="0"/>
    <x v="22"/>
    <n v="1"/>
    <n v="3"/>
    <n v="6"/>
    <n v="26"/>
    <x v="87"/>
    <x v="156"/>
    <x v="113"/>
    <s v="Validación"/>
  </r>
  <r>
    <x v="0"/>
    <x v="16"/>
    <n v="1"/>
    <n v="6"/>
    <n v="9"/>
    <n v="26"/>
    <x v="113"/>
    <x v="10"/>
    <x v="117"/>
    <s v="Validación"/>
  </r>
  <r>
    <x v="0"/>
    <x v="11"/>
    <n v="1"/>
    <n v="0"/>
    <n v="8"/>
    <n v="39"/>
    <x v="135"/>
    <x v="60"/>
    <x v="301"/>
    <s v="Validación"/>
  </r>
  <r>
    <x v="0"/>
    <x v="25"/>
    <n v="1"/>
    <n v="8"/>
    <n v="6"/>
    <n v="23"/>
    <x v="117"/>
    <x v="166"/>
    <x v="124"/>
    <s v="Validación"/>
  </r>
  <r>
    <x v="0"/>
    <x v="3"/>
    <n v="1"/>
    <n v="18"/>
    <n v="8"/>
    <n v="54"/>
    <x v="173"/>
    <x v="222"/>
    <x v="302"/>
    <s v="Validación"/>
  </r>
  <r>
    <x v="0"/>
    <x v="6"/>
    <n v="2"/>
    <n v="9"/>
    <n v="9"/>
    <n v="65"/>
    <x v="132"/>
    <x v="223"/>
    <x v="303"/>
    <s v="Validación"/>
  </r>
  <r>
    <x v="0"/>
    <x v="6"/>
    <n v="3"/>
    <n v="12"/>
    <n v="8"/>
    <n v="47"/>
    <x v="56"/>
    <x v="221"/>
    <x v="304"/>
    <s v="Validación"/>
  </r>
  <r>
    <x v="1"/>
    <x v="28"/>
    <n v="1"/>
    <n v="3"/>
    <n v="2"/>
    <n v="16"/>
    <x v="188"/>
    <x v="71"/>
    <x v="305"/>
    <s v="Validación"/>
  </r>
  <r>
    <x v="1"/>
    <x v="3"/>
    <n v="1"/>
    <n v="1"/>
    <n v="3"/>
    <n v="24"/>
    <x v="198"/>
    <x v="224"/>
    <x v="133"/>
    <s v="Validación"/>
  </r>
  <r>
    <x v="0"/>
    <x v="11"/>
    <n v="1"/>
    <n v="12"/>
    <n v="10"/>
    <n v="46"/>
    <x v="125"/>
    <x v="73"/>
    <x v="136"/>
    <s v="Validación"/>
  </r>
  <r>
    <x v="1"/>
    <x v="18"/>
    <n v="1"/>
    <n v="2"/>
    <n v="4"/>
    <n v="22"/>
    <x v="199"/>
    <x v="81"/>
    <x v="306"/>
    <s v="Validación"/>
  </r>
  <r>
    <x v="0"/>
    <x v="10"/>
    <n v="2"/>
    <n v="4"/>
    <n v="9"/>
    <n v="55"/>
    <x v="108"/>
    <x v="111"/>
    <x v="140"/>
    <s v="Validación"/>
  </r>
  <r>
    <x v="0"/>
    <x v="11"/>
    <n v="1"/>
    <n v="19"/>
    <n v="8"/>
    <n v="46"/>
    <x v="28"/>
    <x v="225"/>
    <x v="307"/>
    <s v="Validación"/>
  </r>
  <r>
    <x v="0"/>
    <x v="25"/>
    <n v="1"/>
    <n v="10"/>
    <n v="11"/>
    <n v="39"/>
    <x v="90"/>
    <x v="26"/>
    <x v="143"/>
    <s v="Validación"/>
  </r>
  <r>
    <x v="1"/>
    <x v="27"/>
    <n v="2"/>
    <n v="2"/>
    <n v="3"/>
    <n v="26"/>
    <x v="83"/>
    <x v="3"/>
    <x v="144"/>
    <s v="Validación"/>
  </r>
  <r>
    <x v="0"/>
    <x v="22"/>
    <n v="1"/>
    <n v="12"/>
    <n v="7"/>
    <n v="45"/>
    <x v="38"/>
    <x v="122"/>
    <x v="308"/>
    <s v="Validación"/>
  </r>
  <r>
    <x v="0"/>
    <x v="6"/>
    <n v="4"/>
    <n v="7"/>
    <n v="15"/>
    <n v="40"/>
    <x v="67"/>
    <x v="1"/>
    <x v="308"/>
    <s v="Validación"/>
  </r>
  <r>
    <x v="1"/>
    <x v="18"/>
    <n v="1"/>
    <n v="10"/>
    <n v="12"/>
    <n v="49"/>
    <x v="63"/>
    <x v="182"/>
    <x v="309"/>
    <s v="Validación"/>
  </r>
  <r>
    <x v="0"/>
    <x v="22"/>
    <n v="1"/>
    <n v="2"/>
    <n v="9"/>
    <n v="16"/>
    <x v="200"/>
    <x v="116"/>
    <x v="147"/>
    <s v="Validación"/>
  </r>
  <r>
    <x v="0"/>
    <x v="22"/>
    <n v="1"/>
    <n v="8"/>
    <n v="6"/>
    <n v="30"/>
    <x v="49"/>
    <x v="145"/>
    <x v="148"/>
    <s v="Validación"/>
  </r>
  <r>
    <x v="0"/>
    <x v="0"/>
    <n v="1"/>
    <n v="11"/>
    <n v="5"/>
    <n v="36"/>
    <x v="35"/>
    <x v="53"/>
    <x v="153"/>
    <s v="Validación"/>
  </r>
  <r>
    <x v="1"/>
    <x v="18"/>
    <n v="2"/>
    <n v="2"/>
    <n v="1"/>
    <n v="26"/>
    <x v="149"/>
    <x v="31"/>
    <x v="153"/>
    <s v="Validación"/>
  </r>
  <r>
    <x v="0"/>
    <x v="11"/>
    <n v="1"/>
    <n v="13"/>
    <n v="1"/>
    <n v="38"/>
    <x v="65"/>
    <x v="226"/>
    <x v="154"/>
    <s v="Validación"/>
  </r>
  <r>
    <x v="0"/>
    <x v="14"/>
    <n v="2"/>
    <n v="15"/>
    <n v="16"/>
    <n v="73"/>
    <x v="142"/>
    <x v="227"/>
    <x v="156"/>
    <s v="Validación"/>
  </r>
  <r>
    <x v="0"/>
    <x v="21"/>
    <n v="1"/>
    <n v="5"/>
    <n v="13"/>
    <n v="21"/>
    <x v="115"/>
    <x v="19"/>
    <x v="310"/>
    <s v="Validación"/>
  </r>
  <r>
    <x v="0"/>
    <x v="6"/>
    <n v="1"/>
    <n v="16"/>
    <n v="9"/>
    <n v="79"/>
    <x v="153"/>
    <x v="228"/>
    <x v="311"/>
    <s v="Validación"/>
  </r>
  <r>
    <x v="1"/>
    <x v="0"/>
    <n v="1"/>
    <n v="2"/>
    <n v="0"/>
    <n v="14"/>
    <x v="15"/>
    <x v="97"/>
    <x v="311"/>
    <s v="Validación"/>
  </r>
  <r>
    <x v="0"/>
    <x v="23"/>
    <n v="1"/>
    <n v="10"/>
    <n v="6"/>
    <n v="34"/>
    <x v="134"/>
    <x v="100"/>
    <x v="312"/>
    <s v="Validación"/>
  </r>
  <r>
    <x v="1"/>
    <x v="15"/>
    <n v="2"/>
    <n v="0"/>
    <n v="16"/>
    <n v="22"/>
    <x v="47"/>
    <x v="220"/>
    <x v="163"/>
    <s v="Validación"/>
  </r>
  <r>
    <x v="1"/>
    <x v="27"/>
    <n v="4"/>
    <n v="0"/>
    <n v="3"/>
    <n v="29"/>
    <x v="18"/>
    <x v="97"/>
    <x v="164"/>
    <s v="Validación"/>
  </r>
  <r>
    <x v="1"/>
    <x v="28"/>
    <n v="4"/>
    <n v="0"/>
    <n v="6"/>
    <n v="24"/>
    <x v="173"/>
    <x v="229"/>
    <x v="313"/>
    <s v="Validación"/>
  </r>
  <r>
    <x v="0"/>
    <x v="15"/>
    <n v="1"/>
    <n v="9"/>
    <n v="1"/>
    <n v="34"/>
    <x v="125"/>
    <x v="113"/>
    <x v="165"/>
    <s v="Validación"/>
  </r>
  <r>
    <x v="1"/>
    <x v="22"/>
    <n v="2"/>
    <n v="2"/>
    <n v="3"/>
    <n v="23"/>
    <x v="67"/>
    <x v="150"/>
    <x v="166"/>
    <s v="Validación"/>
  </r>
  <r>
    <x v="0"/>
    <x v="10"/>
    <n v="1"/>
    <n v="13"/>
    <n v="13"/>
    <n v="42"/>
    <x v="137"/>
    <x v="94"/>
    <x v="167"/>
    <s v="Validación"/>
  </r>
  <r>
    <x v="0"/>
    <x v="1"/>
    <n v="1"/>
    <n v="4"/>
    <n v="2"/>
    <n v="29"/>
    <x v="147"/>
    <x v="146"/>
    <x v="167"/>
    <s v="Validación"/>
  </r>
  <r>
    <x v="0"/>
    <x v="11"/>
    <n v="2"/>
    <n v="16"/>
    <n v="12"/>
    <n v="53"/>
    <x v="152"/>
    <x v="14"/>
    <x v="314"/>
    <s v="Validación"/>
  </r>
  <r>
    <x v="0"/>
    <x v="5"/>
    <n v="3"/>
    <n v="0"/>
    <n v="27"/>
    <n v="19"/>
    <x v="201"/>
    <x v="100"/>
    <x v="315"/>
    <s v="Validación"/>
  </r>
  <r>
    <x v="0"/>
    <x v="7"/>
    <n v="1"/>
    <n v="7"/>
    <n v="11"/>
    <n v="43"/>
    <x v="42"/>
    <x v="14"/>
    <x v="315"/>
    <s v="Validación"/>
  </r>
  <r>
    <x v="0"/>
    <x v="25"/>
    <n v="1"/>
    <n v="1"/>
    <n v="10"/>
    <n v="22"/>
    <x v="162"/>
    <x v="49"/>
    <x v="173"/>
    <s v="Validación"/>
  </r>
  <r>
    <x v="1"/>
    <x v="9"/>
    <n v="2"/>
    <n v="4"/>
    <n v="9"/>
    <n v="33"/>
    <x v="161"/>
    <x v="46"/>
    <x v="175"/>
    <s v="Validación"/>
  </r>
  <r>
    <x v="0"/>
    <x v="16"/>
    <n v="1"/>
    <n v="14"/>
    <n v="17"/>
    <n v="53"/>
    <x v="73"/>
    <x v="230"/>
    <x v="316"/>
    <s v="Validación"/>
  </r>
  <r>
    <x v="0"/>
    <x v="20"/>
    <n v="4"/>
    <n v="0"/>
    <n v="2"/>
    <n v="23"/>
    <x v="56"/>
    <x v="155"/>
    <x v="181"/>
    <s v="Validación"/>
  </r>
  <r>
    <x v="0"/>
    <x v="10"/>
    <n v="1"/>
    <n v="6"/>
    <n v="14"/>
    <n v="21"/>
    <x v="154"/>
    <x v="75"/>
    <x v="186"/>
    <s v="Validación"/>
  </r>
  <r>
    <x v="1"/>
    <x v="18"/>
    <n v="1"/>
    <n v="11"/>
    <n v="6"/>
    <n v="28"/>
    <x v="106"/>
    <x v="178"/>
    <x v="187"/>
    <s v="Validación"/>
  </r>
  <r>
    <x v="1"/>
    <x v="0"/>
    <n v="2"/>
    <n v="5"/>
    <n v="4"/>
    <n v="36"/>
    <x v="76"/>
    <x v="231"/>
    <x v="190"/>
    <s v="Validación"/>
  </r>
  <r>
    <x v="1"/>
    <x v="0"/>
    <n v="3"/>
    <n v="3"/>
    <n v="3"/>
    <n v="50"/>
    <x v="145"/>
    <x v="67"/>
    <x v="192"/>
    <s v="Validación"/>
  </r>
  <r>
    <x v="0"/>
    <x v="28"/>
    <n v="1"/>
    <n v="4"/>
    <n v="0"/>
    <n v="23"/>
    <x v="138"/>
    <x v="232"/>
    <x v="192"/>
    <s v="Validación"/>
  </r>
  <r>
    <x v="0"/>
    <x v="18"/>
    <n v="1"/>
    <n v="7"/>
    <n v="10"/>
    <n v="23"/>
    <x v="129"/>
    <x v="94"/>
    <x v="317"/>
    <s v="Validación"/>
  </r>
  <r>
    <x v="0"/>
    <x v="18"/>
    <n v="1"/>
    <n v="1"/>
    <n v="1"/>
    <n v="24"/>
    <x v="130"/>
    <x v="233"/>
    <x v="198"/>
    <s v="Validación"/>
  </r>
  <r>
    <x v="0"/>
    <x v="10"/>
    <n v="1"/>
    <n v="2"/>
    <n v="14"/>
    <n v="44"/>
    <x v="94"/>
    <x v="177"/>
    <x v="199"/>
    <s v="Validación"/>
  </r>
  <r>
    <x v="1"/>
    <x v="28"/>
    <n v="2"/>
    <n v="4"/>
    <n v="5"/>
    <n v="27"/>
    <x v="125"/>
    <x v="23"/>
    <x v="203"/>
    <s v="Validación"/>
  </r>
  <r>
    <x v="0"/>
    <x v="0"/>
    <n v="2"/>
    <n v="6"/>
    <n v="7"/>
    <n v="57"/>
    <x v="202"/>
    <x v="19"/>
    <x v="203"/>
    <s v="Validación"/>
  </r>
  <r>
    <x v="0"/>
    <x v="10"/>
    <n v="1"/>
    <n v="8"/>
    <n v="7"/>
    <n v="27"/>
    <x v="139"/>
    <x v="133"/>
    <x v="318"/>
    <s v="Validación"/>
  </r>
  <r>
    <x v="0"/>
    <x v="27"/>
    <n v="1"/>
    <n v="7"/>
    <n v="0"/>
    <n v="18"/>
    <x v="134"/>
    <x v="177"/>
    <x v="319"/>
    <s v="Validación"/>
  </r>
  <r>
    <x v="0"/>
    <x v="25"/>
    <n v="2"/>
    <n v="4"/>
    <n v="8"/>
    <n v="15"/>
    <x v="134"/>
    <x v="178"/>
    <x v="214"/>
    <s v="Validación"/>
  </r>
  <r>
    <x v="1"/>
    <x v="30"/>
    <n v="2"/>
    <n v="2"/>
    <n v="0"/>
    <n v="20"/>
    <x v="130"/>
    <x v="203"/>
    <x v="215"/>
    <s v="Validación"/>
  </r>
  <r>
    <x v="0"/>
    <x v="18"/>
    <n v="3"/>
    <n v="9"/>
    <n v="2"/>
    <n v="28"/>
    <x v="41"/>
    <x v="88"/>
    <x v="215"/>
    <s v="Validación"/>
  </r>
  <r>
    <x v="0"/>
    <x v="11"/>
    <n v="2"/>
    <n v="16"/>
    <n v="13"/>
    <n v="69"/>
    <x v="145"/>
    <x v="139"/>
    <x v="216"/>
    <s v="Validación"/>
  </r>
  <r>
    <x v="0"/>
    <x v="30"/>
    <n v="3"/>
    <n v="0"/>
    <n v="1"/>
    <n v="26"/>
    <x v="38"/>
    <x v="234"/>
    <x v="227"/>
    <s v="Validación"/>
  </r>
  <r>
    <x v="0"/>
    <x v="22"/>
    <n v="1"/>
    <n v="11"/>
    <n v="6"/>
    <n v="24"/>
    <x v="145"/>
    <x v="118"/>
    <x v="227"/>
    <s v="Validación"/>
  </r>
  <r>
    <x v="0"/>
    <x v="31"/>
    <n v="1"/>
    <n v="1"/>
    <n v="0"/>
    <n v="21"/>
    <x v="129"/>
    <x v="145"/>
    <x v="320"/>
    <s v="Validación"/>
  </r>
  <r>
    <x v="0"/>
    <x v="0"/>
    <n v="2"/>
    <n v="9"/>
    <n v="3"/>
    <n v="36"/>
    <x v="141"/>
    <x v="33"/>
    <x v="321"/>
    <s v="Validación"/>
  </r>
  <r>
    <x v="0"/>
    <x v="21"/>
    <n v="1"/>
    <n v="10"/>
    <n v="8"/>
    <n v="34"/>
    <x v="169"/>
    <x v="235"/>
    <x v="322"/>
    <s v="Validación"/>
  </r>
  <r>
    <x v="0"/>
    <x v="36"/>
    <n v="3"/>
    <n v="0"/>
    <n v="1"/>
    <n v="17"/>
    <x v="128"/>
    <x v="235"/>
    <x v="232"/>
    <s v="Validación"/>
  </r>
  <r>
    <x v="0"/>
    <x v="31"/>
    <n v="1"/>
    <n v="10"/>
    <n v="6"/>
    <n v="24"/>
    <x v="203"/>
    <x v="168"/>
    <x v="233"/>
    <s v="Validación"/>
  </r>
  <r>
    <x v="0"/>
    <x v="14"/>
    <n v="1"/>
    <n v="2"/>
    <n v="4"/>
    <n v="32"/>
    <x v="152"/>
    <x v="100"/>
    <x v="323"/>
    <s v="Validación"/>
  </r>
  <r>
    <x v="1"/>
    <x v="25"/>
    <n v="1"/>
    <n v="0"/>
    <n v="11"/>
    <n v="17"/>
    <x v="152"/>
    <x v="19"/>
    <x v="324"/>
    <s v="Validación"/>
  </r>
  <r>
    <x v="0"/>
    <x v="25"/>
    <n v="1"/>
    <n v="11"/>
    <n v="9"/>
    <n v="27"/>
    <x v="204"/>
    <x v="158"/>
    <x v="241"/>
    <s v="Validación"/>
  </r>
  <r>
    <x v="0"/>
    <x v="28"/>
    <n v="1"/>
    <n v="9"/>
    <n v="4"/>
    <n v="18"/>
    <x v="169"/>
    <x v="158"/>
    <x v="325"/>
    <s v="Validación"/>
  </r>
  <r>
    <x v="0"/>
    <x v="23"/>
    <n v="1"/>
    <n v="0"/>
    <n v="1"/>
    <n v="16"/>
    <x v="155"/>
    <x v="82"/>
    <x v="326"/>
    <s v="Validación"/>
  </r>
  <r>
    <x v="0"/>
    <x v="23"/>
    <n v="1"/>
    <n v="0"/>
    <n v="5"/>
    <n v="16"/>
    <x v="167"/>
    <x v="33"/>
    <x v="327"/>
    <s v="Validación"/>
  </r>
  <r>
    <x v="1"/>
    <x v="14"/>
    <n v="2"/>
    <n v="13"/>
    <n v="11"/>
    <n v="102"/>
    <x v="75"/>
    <x v="2"/>
    <x v="245"/>
    <s v="Validación"/>
  </r>
  <r>
    <x v="0"/>
    <x v="11"/>
    <n v="1"/>
    <n v="20"/>
    <n v="9"/>
    <n v="67"/>
    <x v="205"/>
    <x v="236"/>
    <x v="245"/>
    <s v="Validación"/>
  </r>
  <r>
    <x v="1"/>
    <x v="7"/>
    <n v="3"/>
    <n v="13"/>
    <n v="13"/>
    <n v="91"/>
    <x v="206"/>
    <x v="237"/>
    <x v="245"/>
    <s v="Validación"/>
  </r>
  <r>
    <x v="1"/>
    <x v="12"/>
    <n v="1"/>
    <n v="25"/>
    <n v="12"/>
    <n v="117.54291069294821"/>
    <x v="207"/>
    <x v="11"/>
    <x v="245"/>
    <s v="Validación"/>
  </r>
  <r>
    <x v="1"/>
    <x v="1"/>
    <n v="4"/>
    <n v="18"/>
    <n v="14"/>
    <n v="0"/>
    <x v="134"/>
    <x v="11"/>
    <x v="246"/>
    <s v="Validación"/>
  </r>
  <r>
    <x v="0"/>
    <x v="5"/>
    <n v="3"/>
    <n v="17"/>
    <n v="26"/>
    <n v="113"/>
    <x v="117"/>
    <x v="238"/>
    <x v="246"/>
    <s v="Validació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1DDBE5-1349-EE41-932D-288C072C141E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I3:L23" firstHeaderRow="1" firstDataRow="2" firstDataCol="1"/>
  <pivotFields count="10">
    <pivotField axis="axisCol" dataField="1" showAll="0">
      <items count="3">
        <item x="0"/>
        <item x="1"/>
        <item t="default"/>
      </items>
    </pivotField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uenta de default" fld="0" subtotal="count" baseField="0" baseItem="0"/>
  </dataFields>
  <chartFormats count="4">
    <chartFormat chart="0" format="2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906981-F379-EA4C-A133-C7DB8039697F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3:D21" firstHeaderRow="1" firstDataRow="2" firstDataCol="1"/>
  <pivotFields count="10"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/>
  </pivotFields>
  <rowFields count="1">
    <field x="6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uenta de deu_ing" fld="6" subtotal="count" baseField="0" baseItem="0"/>
  </dataFields>
  <chartFormats count="3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53502-11DB-6349-87ED-29D7368E5EB8}">
  <dimension ref="A1:U501"/>
  <sheetViews>
    <sheetView showGridLines="0" tabSelected="1" workbookViewId="0">
      <selection activeCell="N31" sqref="N31"/>
    </sheetView>
  </sheetViews>
  <sheetFormatPr baseColWidth="10" defaultRowHeight="16" x14ac:dyDescent="0.2"/>
  <cols>
    <col min="1" max="9" width="10.83203125" style="6"/>
    <col min="10" max="10" width="2" style="6" customWidth="1"/>
    <col min="11" max="11" width="7.6640625" style="6" bestFit="1" customWidth="1"/>
    <col min="12" max="12" width="33.6640625" style="6" bestFit="1" customWidth="1"/>
    <col min="13" max="13" width="10.83203125" style="6"/>
    <col min="14" max="14" width="7.6640625" style="6" bestFit="1" customWidth="1"/>
    <col min="15" max="16384" width="10.83203125" style="6"/>
  </cols>
  <sheetData>
    <row r="1" spans="1:21" x14ac:dyDescent="0.2">
      <c r="A1" s="9" t="s">
        <v>71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78"/>
    </row>
    <row r="2" spans="1:21" x14ac:dyDescent="0.2">
      <c r="A2" s="9">
        <v>0</v>
      </c>
      <c r="B2" s="9">
        <v>29</v>
      </c>
      <c r="C2" s="9">
        <v>2</v>
      </c>
      <c r="D2" s="9">
        <v>6</v>
      </c>
      <c r="E2" s="9">
        <v>10</v>
      </c>
      <c r="F2" s="9">
        <v>65</v>
      </c>
      <c r="G2" s="9">
        <v>18.399999999999999</v>
      </c>
      <c r="H2" s="9">
        <v>1.99</v>
      </c>
      <c r="I2" s="9">
        <v>9.9700000000000006</v>
      </c>
      <c r="J2" s="78"/>
    </row>
    <row r="3" spans="1:21" ht="17" thickBot="1" x14ac:dyDescent="0.25">
      <c r="A3" s="9">
        <v>0</v>
      </c>
      <c r="B3" s="9">
        <v>43</v>
      </c>
      <c r="C3" s="9">
        <v>1</v>
      </c>
      <c r="D3" s="9">
        <v>25</v>
      </c>
      <c r="E3" s="9">
        <v>21</v>
      </c>
      <c r="F3" s="9">
        <v>64</v>
      </c>
      <c r="G3" s="9">
        <v>16.7</v>
      </c>
      <c r="H3" s="9">
        <v>0.95</v>
      </c>
      <c r="I3" s="9">
        <v>9.74</v>
      </c>
      <c r="J3" s="78"/>
      <c r="K3" s="29" t="s">
        <v>9</v>
      </c>
      <c r="L3" s="29" t="s">
        <v>10</v>
      </c>
    </row>
    <row r="4" spans="1:21" ht="17" thickTop="1" x14ac:dyDescent="0.2">
      <c r="A4" s="9">
        <v>1</v>
      </c>
      <c r="B4" s="9">
        <v>32</v>
      </c>
      <c r="C4" s="9">
        <v>2</v>
      </c>
      <c r="D4" s="9">
        <v>11</v>
      </c>
      <c r="E4" s="9">
        <v>6</v>
      </c>
      <c r="F4" s="9">
        <v>75</v>
      </c>
      <c r="G4" s="9">
        <v>23.3</v>
      </c>
      <c r="H4" s="13"/>
      <c r="I4" s="9">
        <v>9.7200000000000006</v>
      </c>
      <c r="J4" s="78"/>
      <c r="K4" s="30" t="s">
        <v>0</v>
      </c>
      <c r="L4" s="30" t="s">
        <v>11</v>
      </c>
    </row>
    <row r="5" spans="1:21" x14ac:dyDescent="0.2">
      <c r="A5" s="9">
        <v>0</v>
      </c>
      <c r="B5" s="9">
        <v>37</v>
      </c>
      <c r="C5" s="9">
        <v>5</v>
      </c>
      <c r="D5" s="9">
        <v>9</v>
      </c>
      <c r="E5" s="9">
        <v>16</v>
      </c>
      <c r="F5" s="9">
        <v>0</v>
      </c>
      <c r="G5" s="9">
        <v>5.9</v>
      </c>
      <c r="H5" s="9">
        <v>0.89</v>
      </c>
      <c r="I5" s="9">
        <v>9.56</v>
      </c>
      <c r="J5" s="78"/>
      <c r="K5" s="30" t="s">
        <v>1</v>
      </c>
      <c r="L5" s="30" t="s">
        <v>12</v>
      </c>
    </row>
    <row r="6" spans="1:21" x14ac:dyDescent="0.2">
      <c r="A6" s="9">
        <v>0</v>
      </c>
      <c r="B6" s="9">
        <v>45</v>
      </c>
      <c r="C6" s="9">
        <v>6</v>
      </c>
      <c r="D6" s="9">
        <v>22</v>
      </c>
      <c r="E6" s="9">
        <v>24</v>
      </c>
      <c r="F6" s="9">
        <v>91</v>
      </c>
      <c r="G6" s="9">
        <v>11.7</v>
      </c>
      <c r="H6" s="9">
        <v>1.26</v>
      </c>
      <c r="I6" s="9">
        <v>9.39</v>
      </c>
      <c r="J6" s="78"/>
      <c r="K6" s="30" t="s">
        <v>2</v>
      </c>
      <c r="L6" s="30" t="s">
        <v>13</v>
      </c>
    </row>
    <row r="7" spans="1:21" x14ac:dyDescent="0.2">
      <c r="A7" s="9">
        <v>1</v>
      </c>
      <c r="B7" s="9">
        <v>48</v>
      </c>
      <c r="C7" s="9">
        <v>1</v>
      </c>
      <c r="D7" s="9">
        <v>13</v>
      </c>
      <c r="E7" s="9">
        <v>20</v>
      </c>
      <c r="F7" s="9">
        <v>50</v>
      </c>
      <c r="G7" s="9">
        <v>30.8</v>
      </c>
      <c r="H7" s="13"/>
      <c r="I7" s="9">
        <v>9.2899999999999991</v>
      </c>
      <c r="J7" s="78"/>
      <c r="K7" s="30" t="s">
        <v>3</v>
      </c>
      <c r="L7" s="30" t="s">
        <v>14</v>
      </c>
    </row>
    <row r="8" spans="1:21" x14ac:dyDescent="0.2">
      <c r="A8" s="9">
        <v>1</v>
      </c>
      <c r="B8" s="9">
        <v>34</v>
      </c>
      <c r="C8" s="9">
        <v>1</v>
      </c>
      <c r="D8" s="9">
        <v>12</v>
      </c>
      <c r="E8" s="9">
        <v>5</v>
      </c>
      <c r="F8" s="9">
        <v>68</v>
      </c>
      <c r="G8" s="9">
        <v>25.1</v>
      </c>
      <c r="H8" s="13"/>
      <c r="I8" s="9">
        <v>9.25</v>
      </c>
      <c r="J8" s="78"/>
      <c r="K8" s="30" t="s">
        <v>4</v>
      </c>
      <c r="L8" s="30" t="s">
        <v>15</v>
      </c>
    </row>
    <row r="9" spans="1:21" x14ac:dyDescent="0.2">
      <c r="A9" s="9">
        <v>0</v>
      </c>
      <c r="B9" s="9">
        <v>41</v>
      </c>
      <c r="C9" s="9">
        <v>1</v>
      </c>
      <c r="D9" s="9">
        <v>21</v>
      </c>
      <c r="E9" s="9">
        <v>2</v>
      </c>
      <c r="F9" s="9">
        <v>76</v>
      </c>
      <c r="G9" s="9">
        <v>20.5</v>
      </c>
      <c r="H9" s="13"/>
      <c r="I9" s="9">
        <v>8.6300000000000008</v>
      </c>
      <c r="J9" s="78"/>
      <c r="K9" s="30" t="s">
        <v>5</v>
      </c>
      <c r="L9" s="30" t="s">
        <v>16</v>
      </c>
    </row>
    <row r="10" spans="1:21" x14ac:dyDescent="0.2">
      <c r="A10" s="9">
        <v>0</v>
      </c>
      <c r="B10" s="9">
        <v>42</v>
      </c>
      <c r="C10" s="9">
        <v>1</v>
      </c>
      <c r="D10" s="9">
        <v>12</v>
      </c>
      <c r="E10" s="9">
        <v>11</v>
      </c>
      <c r="F10" s="9">
        <v>51</v>
      </c>
      <c r="G10" s="9">
        <v>21.4</v>
      </c>
      <c r="H10" s="9">
        <v>2.41</v>
      </c>
      <c r="I10" s="9">
        <v>8.5</v>
      </c>
      <c r="J10" s="78"/>
      <c r="K10" s="30" t="s">
        <v>6</v>
      </c>
      <c r="L10" s="30" t="s">
        <v>17</v>
      </c>
    </row>
    <row r="11" spans="1:21" x14ac:dyDescent="0.2">
      <c r="A11" s="9">
        <v>0</v>
      </c>
      <c r="B11" s="9">
        <v>47</v>
      </c>
      <c r="C11" s="9">
        <v>1</v>
      </c>
      <c r="D11" s="9">
        <v>13</v>
      </c>
      <c r="E11" s="9">
        <v>25</v>
      </c>
      <c r="F11" s="9">
        <v>51</v>
      </c>
      <c r="G11" s="9">
        <v>23.8</v>
      </c>
      <c r="H11" s="9">
        <v>3.74</v>
      </c>
      <c r="I11" s="9">
        <v>8.4</v>
      </c>
      <c r="J11" s="78"/>
      <c r="K11" s="30" t="s">
        <v>7</v>
      </c>
      <c r="L11" s="30" t="s">
        <v>18</v>
      </c>
    </row>
    <row r="12" spans="1:21" x14ac:dyDescent="0.2">
      <c r="A12" s="9">
        <v>1</v>
      </c>
      <c r="B12" s="9">
        <v>33</v>
      </c>
      <c r="C12" s="9">
        <v>1</v>
      </c>
      <c r="D12" s="9">
        <v>13</v>
      </c>
      <c r="E12" s="9">
        <v>3</v>
      </c>
      <c r="F12" s="9">
        <v>52</v>
      </c>
      <c r="G12" s="9">
        <v>21.3</v>
      </c>
      <c r="H12" s="9">
        <v>2.71</v>
      </c>
      <c r="I12" s="9">
        <v>8.36</v>
      </c>
      <c r="J12" s="78"/>
      <c r="K12" s="32" t="s">
        <v>8</v>
      </c>
      <c r="L12" s="32" t="s">
        <v>19</v>
      </c>
    </row>
    <row r="13" spans="1:21" x14ac:dyDescent="0.2">
      <c r="A13" s="9">
        <v>1</v>
      </c>
      <c r="B13" s="9">
        <v>43</v>
      </c>
      <c r="C13" s="9">
        <v>2</v>
      </c>
      <c r="D13" s="9">
        <v>9</v>
      </c>
      <c r="E13" s="9">
        <v>5</v>
      </c>
      <c r="F13" s="9">
        <v>60</v>
      </c>
      <c r="G13" s="9">
        <v>20.399999999999999</v>
      </c>
      <c r="H13" s="9">
        <v>4.04</v>
      </c>
      <c r="I13" s="9">
        <v>8.1999999999999993</v>
      </c>
      <c r="J13" s="78"/>
    </row>
    <row r="14" spans="1:21" x14ac:dyDescent="0.2">
      <c r="A14" s="9">
        <v>1</v>
      </c>
      <c r="B14" s="9">
        <v>32</v>
      </c>
      <c r="C14" s="9">
        <v>2</v>
      </c>
      <c r="D14" s="9">
        <v>11</v>
      </c>
      <c r="E14" s="9">
        <v>4</v>
      </c>
      <c r="F14" s="9">
        <v>57</v>
      </c>
      <c r="G14" s="9">
        <v>23.8</v>
      </c>
      <c r="H14" s="9">
        <v>5.44</v>
      </c>
      <c r="I14" s="9">
        <v>8.1300000000000008</v>
      </c>
      <c r="J14" s="78"/>
    </row>
    <row r="15" spans="1:21" x14ac:dyDescent="0.2">
      <c r="A15" s="9">
        <v>1</v>
      </c>
      <c r="B15" s="9">
        <v>39</v>
      </c>
      <c r="C15" s="9">
        <v>2</v>
      </c>
      <c r="D15" s="9">
        <v>7</v>
      </c>
      <c r="E15" s="9">
        <v>2</v>
      </c>
      <c r="F15" s="9">
        <v>68</v>
      </c>
      <c r="G15" s="9">
        <v>13</v>
      </c>
      <c r="H15" s="9">
        <v>0.97</v>
      </c>
      <c r="I15" s="9">
        <v>7.82</v>
      </c>
      <c r="J15" s="78"/>
      <c r="L15" s="37" t="s">
        <v>90</v>
      </c>
      <c r="M15" s="37">
        <f>COUNT(A2:A501)</f>
        <v>500</v>
      </c>
    </row>
    <row r="16" spans="1:21" x14ac:dyDescent="0.2">
      <c r="A16" s="9">
        <v>0</v>
      </c>
      <c r="B16" s="9">
        <v>41</v>
      </c>
      <c r="C16" s="9">
        <v>2</v>
      </c>
      <c r="D16" s="9">
        <v>22</v>
      </c>
      <c r="E16" s="9">
        <v>17</v>
      </c>
      <c r="F16" s="9">
        <v>75</v>
      </c>
      <c r="G16" s="9">
        <v>23.6</v>
      </c>
      <c r="H16" s="9">
        <v>0</v>
      </c>
      <c r="I16" s="9">
        <v>7.82</v>
      </c>
      <c r="J16" s="78"/>
      <c r="L16" s="7"/>
      <c r="M16" s="9" t="s">
        <v>0</v>
      </c>
      <c r="N16" s="9" t="s">
        <v>1</v>
      </c>
      <c r="O16" s="9" t="s">
        <v>2</v>
      </c>
      <c r="P16" s="9" t="s">
        <v>3</v>
      </c>
      <c r="Q16" s="9" t="s">
        <v>4</v>
      </c>
      <c r="R16" s="9" t="s">
        <v>5</v>
      </c>
      <c r="S16" s="9" t="s">
        <v>6</v>
      </c>
      <c r="T16" s="9" t="s">
        <v>7</v>
      </c>
      <c r="U16" s="9" t="s">
        <v>8</v>
      </c>
    </row>
    <row r="17" spans="1:21" x14ac:dyDescent="0.2">
      <c r="A17" s="9">
        <v>0</v>
      </c>
      <c r="B17" s="9">
        <v>39</v>
      </c>
      <c r="C17" s="9">
        <v>2</v>
      </c>
      <c r="D17" s="9">
        <v>16</v>
      </c>
      <c r="E17" s="9">
        <v>9</v>
      </c>
      <c r="F17" s="9">
        <v>89</v>
      </c>
      <c r="G17" s="9">
        <v>14.3</v>
      </c>
      <c r="H17" s="9">
        <v>5</v>
      </c>
      <c r="I17" s="9">
        <v>7.73</v>
      </c>
      <c r="J17" s="78"/>
      <c r="L17" s="6" t="s">
        <v>78</v>
      </c>
      <c r="M17" s="33">
        <f t="shared" ref="M17:U17" si="0">AVERAGE(A2:A501)</f>
        <v>0.25800000000000001</v>
      </c>
      <c r="N17" s="33">
        <f t="shared" si="0"/>
        <v>34.658000000000001</v>
      </c>
      <c r="O17" s="33">
        <f t="shared" si="0"/>
        <v>1.778</v>
      </c>
      <c r="P17" s="33">
        <f t="shared" si="0"/>
        <v>8.2739999999999991</v>
      </c>
      <c r="Q17" s="33">
        <f t="shared" si="0"/>
        <v>8.2159999999999993</v>
      </c>
      <c r="R17" s="33">
        <f t="shared" si="0"/>
        <v>39.269938650306749</v>
      </c>
      <c r="S17" s="33">
        <f t="shared" si="0"/>
        <v>9.9985999999999944</v>
      </c>
      <c r="T17" s="33">
        <f t="shared" si="0"/>
        <v>1.1732172131147551</v>
      </c>
      <c r="U17" s="33">
        <f t="shared" si="0"/>
        <v>2.4941140529531562</v>
      </c>
    </row>
    <row r="18" spans="1:21" x14ac:dyDescent="0.2">
      <c r="A18" s="9">
        <v>0</v>
      </c>
      <c r="B18" s="9">
        <v>33</v>
      </c>
      <c r="C18" s="9">
        <v>2</v>
      </c>
      <c r="D18" s="9">
        <v>12</v>
      </c>
      <c r="E18" s="9">
        <v>8</v>
      </c>
      <c r="F18" s="9">
        <v>58</v>
      </c>
      <c r="G18" s="9">
        <v>18.399999999999999</v>
      </c>
      <c r="H18" s="9">
        <v>3.08</v>
      </c>
      <c r="I18" s="9">
        <v>7.59</v>
      </c>
      <c r="J18" s="78"/>
      <c r="L18" s="6" t="s">
        <v>79</v>
      </c>
      <c r="M18" s="33">
        <f t="shared" ref="M18:U18" si="1">MEDIAN(A2:A501)</f>
        <v>0</v>
      </c>
      <c r="N18" s="33">
        <f t="shared" si="1"/>
        <v>34</v>
      </c>
      <c r="O18" s="33">
        <f t="shared" si="1"/>
        <v>1</v>
      </c>
      <c r="P18" s="33">
        <f t="shared" si="1"/>
        <v>7</v>
      </c>
      <c r="Q18" s="33">
        <f t="shared" si="1"/>
        <v>7</v>
      </c>
      <c r="R18" s="33">
        <f t="shared" si="1"/>
        <v>33</v>
      </c>
      <c r="S18" s="33">
        <f t="shared" si="1"/>
        <v>8.6</v>
      </c>
      <c r="T18" s="33">
        <f t="shared" si="1"/>
        <v>0.82</v>
      </c>
      <c r="U18" s="33">
        <f t="shared" si="1"/>
        <v>1.8</v>
      </c>
    </row>
    <row r="19" spans="1:21" x14ac:dyDescent="0.2">
      <c r="A19" s="9">
        <v>0</v>
      </c>
      <c r="B19" s="9">
        <v>54</v>
      </c>
      <c r="C19" s="9">
        <v>3</v>
      </c>
      <c r="D19" s="9">
        <v>21</v>
      </c>
      <c r="E19" s="9">
        <v>20</v>
      </c>
      <c r="F19" s="13"/>
      <c r="G19" s="9">
        <v>14.4</v>
      </c>
      <c r="H19" s="9">
        <v>0</v>
      </c>
      <c r="I19" s="9">
        <v>7.39</v>
      </c>
      <c r="J19" s="78"/>
      <c r="L19" s="6" t="s">
        <v>80</v>
      </c>
      <c r="M19" s="33">
        <f t="shared" ref="M19:U19" si="2">STDEV(A2:A501)</f>
        <v>0.43797219007438942</v>
      </c>
      <c r="N19" s="33">
        <f t="shared" si="2"/>
        <v>7.7896336746711796</v>
      </c>
      <c r="O19" s="33">
        <f t="shared" si="2"/>
        <v>1.0559099828032534</v>
      </c>
      <c r="P19" s="33">
        <f t="shared" si="2"/>
        <v>6.4013184388460962</v>
      </c>
      <c r="Q19" s="33">
        <f t="shared" si="2"/>
        <v>6.6896072897729031</v>
      </c>
      <c r="R19" s="33">
        <f t="shared" si="2"/>
        <v>22.033988652508004</v>
      </c>
      <c r="S19" s="33">
        <f t="shared" si="2"/>
        <v>6.5542730359712884</v>
      </c>
      <c r="T19" s="33">
        <f t="shared" si="2"/>
        <v>1.1209242382041029</v>
      </c>
      <c r="U19" s="33">
        <f t="shared" si="2"/>
        <v>2.1808046116771442</v>
      </c>
    </row>
    <row r="20" spans="1:21" x14ac:dyDescent="0.2">
      <c r="A20" s="9">
        <v>0</v>
      </c>
      <c r="B20" s="9">
        <v>32</v>
      </c>
      <c r="C20" s="9">
        <v>1</v>
      </c>
      <c r="D20" s="9">
        <v>16</v>
      </c>
      <c r="E20" s="9">
        <v>10</v>
      </c>
      <c r="F20" s="9">
        <v>38</v>
      </c>
      <c r="G20" s="9">
        <v>21</v>
      </c>
      <c r="H20" s="9">
        <v>0.69</v>
      </c>
      <c r="I20" s="9">
        <v>7.29</v>
      </c>
      <c r="J20" s="78"/>
      <c r="L20" s="6" t="s">
        <v>88</v>
      </c>
      <c r="M20" s="33">
        <f t="shared" ref="M20:U20" si="3">MIN(A2:A501)</f>
        <v>0</v>
      </c>
      <c r="N20" s="33">
        <f t="shared" si="3"/>
        <v>20</v>
      </c>
      <c r="O20" s="33">
        <f t="shared" si="3"/>
        <v>1</v>
      </c>
      <c r="P20" s="33">
        <f t="shared" si="3"/>
        <v>0</v>
      </c>
      <c r="Q20" s="33">
        <f t="shared" si="3"/>
        <v>0</v>
      </c>
      <c r="R20" s="33">
        <f t="shared" si="3"/>
        <v>0</v>
      </c>
      <c r="S20" s="33">
        <f t="shared" si="3"/>
        <v>0</v>
      </c>
      <c r="T20" s="33">
        <f t="shared" si="3"/>
        <v>0</v>
      </c>
      <c r="U20" s="33">
        <f t="shared" si="3"/>
        <v>0</v>
      </c>
    </row>
    <row r="21" spans="1:21" x14ac:dyDescent="0.2">
      <c r="A21" s="9">
        <v>0</v>
      </c>
      <c r="B21" s="9">
        <v>50</v>
      </c>
      <c r="C21" s="9">
        <v>3</v>
      </c>
      <c r="D21" s="9">
        <v>10</v>
      </c>
      <c r="E21" s="9">
        <v>20</v>
      </c>
      <c r="F21" s="9">
        <v>80</v>
      </c>
      <c r="G21" s="9">
        <v>12.2</v>
      </c>
      <c r="H21" s="9">
        <v>0.97</v>
      </c>
      <c r="I21" s="9">
        <v>7.28</v>
      </c>
      <c r="J21" s="78"/>
      <c r="L21" s="6" t="s">
        <v>89</v>
      </c>
      <c r="M21" s="33">
        <f t="shared" ref="M21:U21" si="4">MAX(A2:A501)</f>
        <v>1</v>
      </c>
      <c r="N21" s="33">
        <f t="shared" si="4"/>
        <v>56</v>
      </c>
      <c r="O21" s="33">
        <f t="shared" si="4"/>
        <v>6</v>
      </c>
      <c r="P21" s="33">
        <f t="shared" si="4"/>
        <v>27</v>
      </c>
      <c r="Q21" s="33">
        <f t="shared" si="4"/>
        <v>31</v>
      </c>
      <c r="R21" s="33">
        <f t="shared" si="4"/>
        <v>116</v>
      </c>
      <c r="S21" s="33">
        <f t="shared" si="4"/>
        <v>30.8</v>
      </c>
      <c r="T21" s="33">
        <f t="shared" si="4"/>
        <v>5.44</v>
      </c>
      <c r="U21" s="33">
        <f t="shared" si="4"/>
        <v>9.9700000000000006</v>
      </c>
    </row>
    <row r="22" spans="1:21" x14ac:dyDescent="0.2">
      <c r="A22" s="9">
        <v>0</v>
      </c>
      <c r="B22" s="9">
        <v>40</v>
      </c>
      <c r="C22" s="9">
        <v>3</v>
      </c>
      <c r="D22" s="9">
        <v>18</v>
      </c>
      <c r="E22" s="9">
        <v>14</v>
      </c>
      <c r="F22" s="9">
        <v>0</v>
      </c>
      <c r="G22" s="9">
        <v>6.6</v>
      </c>
      <c r="H22" s="9">
        <v>3.33</v>
      </c>
      <c r="I22" s="9">
        <v>7.04</v>
      </c>
      <c r="J22" s="78"/>
    </row>
    <row r="23" spans="1:21" x14ac:dyDescent="0.2">
      <c r="A23" s="9">
        <v>1</v>
      </c>
      <c r="B23" s="9">
        <v>39</v>
      </c>
      <c r="C23" s="9">
        <v>1</v>
      </c>
      <c r="D23" s="9">
        <v>19</v>
      </c>
      <c r="E23" s="9">
        <v>15</v>
      </c>
      <c r="F23" s="9">
        <v>60</v>
      </c>
      <c r="G23" s="9">
        <v>27.1</v>
      </c>
      <c r="H23" s="9">
        <v>0</v>
      </c>
      <c r="I23" s="9">
        <v>6.67</v>
      </c>
      <c r="J23" s="78"/>
      <c r="L23" s="7" t="s">
        <v>81</v>
      </c>
      <c r="M23" s="15">
        <f t="shared" ref="M23:U23" si="5">(M17-M18)/M17</f>
        <v>1</v>
      </c>
      <c r="N23" s="15">
        <f t="shared" si="5"/>
        <v>1.8985515609671683E-2</v>
      </c>
      <c r="O23" s="38">
        <f t="shared" si="5"/>
        <v>0.43757030371203598</v>
      </c>
      <c r="P23" s="15">
        <f t="shared" si="5"/>
        <v>0.15397631133671735</v>
      </c>
      <c r="Q23" s="15">
        <f t="shared" si="5"/>
        <v>0.14800389483933782</v>
      </c>
      <c r="R23" s="38">
        <f t="shared" si="5"/>
        <v>0.15966255272613655</v>
      </c>
      <c r="S23" s="15">
        <f t="shared" si="5"/>
        <v>0.13987958314163937</v>
      </c>
      <c r="T23" s="38">
        <f t="shared" si="5"/>
        <v>0.30106719298552109</v>
      </c>
      <c r="U23" s="38">
        <f t="shared" si="5"/>
        <v>0.27830084680020561</v>
      </c>
    </row>
    <row r="24" spans="1:21" x14ac:dyDescent="0.2">
      <c r="A24" s="9">
        <v>0</v>
      </c>
      <c r="B24" s="9">
        <v>40</v>
      </c>
      <c r="C24" s="9">
        <v>1</v>
      </c>
      <c r="D24" s="9">
        <v>10</v>
      </c>
      <c r="E24" s="9">
        <v>15</v>
      </c>
      <c r="F24" s="9">
        <v>45</v>
      </c>
      <c r="G24" s="9">
        <v>18.8</v>
      </c>
      <c r="H24" s="9">
        <v>2.0099999999999998</v>
      </c>
      <c r="I24" s="9">
        <v>6.45</v>
      </c>
      <c r="J24" s="78"/>
      <c r="L24" s="7" t="s">
        <v>82</v>
      </c>
      <c r="M24" s="8"/>
      <c r="N24" s="8"/>
      <c r="O24" s="8"/>
      <c r="P24" s="8"/>
      <c r="Q24" s="8"/>
      <c r="R24" s="8">
        <f>R17-(3*R19)</f>
        <v>-26.832027307217267</v>
      </c>
      <c r="S24" s="8"/>
      <c r="T24" s="8">
        <f>T17-(3*T19)</f>
        <v>-2.1895555014975532</v>
      </c>
      <c r="U24" s="8">
        <f>U17-(3*U19)</f>
        <v>-4.048299782078276</v>
      </c>
    </row>
    <row r="25" spans="1:21" x14ac:dyDescent="0.2">
      <c r="A25" s="9">
        <v>0</v>
      </c>
      <c r="B25" s="9">
        <v>39</v>
      </c>
      <c r="C25" s="9">
        <v>1</v>
      </c>
      <c r="D25" s="9">
        <v>16</v>
      </c>
      <c r="E25" s="9">
        <v>4</v>
      </c>
      <c r="F25" s="9">
        <v>52</v>
      </c>
      <c r="G25" s="9">
        <v>20</v>
      </c>
      <c r="H25" s="9">
        <v>4.16</v>
      </c>
      <c r="I25" s="9">
        <v>6.24</v>
      </c>
      <c r="J25" s="78"/>
      <c r="L25" s="7" t="s">
        <v>83</v>
      </c>
      <c r="M25" s="8"/>
      <c r="N25" s="8"/>
      <c r="O25" s="8"/>
      <c r="P25" s="8"/>
      <c r="Q25" s="8"/>
      <c r="R25" s="8">
        <f>R17+(3*R19)</f>
        <v>105.37190460783077</v>
      </c>
      <c r="S25" s="8"/>
      <c r="T25" s="8">
        <f>T17+(3*T19)</f>
        <v>4.5359899277270639</v>
      </c>
      <c r="U25" s="8">
        <f>U17+(3*U19)</f>
        <v>9.0365278879845885</v>
      </c>
    </row>
    <row r="26" spans="1:21" x14ac:dyDescent="0.2">
      <c r="A26" s="9">
        <v>0</v>
      </c>
      <c r="B26" s="9">
        <v>35</v>
      </c>
      <c r="C26" s="9">
        <v>1</v>
      </c>
      <c r="D26" s="9">
        <v>15</v>
      </c>
      <c r="E26" s="9">
        <v>11</v>
      </c>
      <c r="F26" s="9">
        <v>40</v>
      </c>
      <c r="G26" s="9">
        <v>18.5</v>
      </c>
      <c r="H26" s="9">
        <v>1.21</v>
      </c>
      <c r="I26" s="9">
        <v>6.19</v>
      </c>
      <c r="J26" s="78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">
      <c r="A27" s="9">
        <v>0</v>
      </c>
      <c r="B27" s="9">
        <v>36</v>
      </c>
      <c r="C27" s="9">
        <v>3</v>
      </c>
      <c r="D27" s="9">
        <v>11</v>
      </c>
      <c r="E27" s="9">
        <v>12</v>
      </c>
      <c r="F27" s="9">
        <v>44</v>
      </c>
      <c r="G27" s="9">
        <v>14.7</v>
      </c>
      <c r="H27" s="9">
        <v>0.45</v>
      </c>
      <c r="I27" s="9">
        <v>6.02</v>
      </c>
      <c r="J27" s="78"/>
      <c r="L27" s="6" t="s">
        <v>84</v>
      </c>
      <c r="M27" s="33">
        <f t="shared" ref="M27:U27" si="6">COUNTBLANK(A2:A501)</f>
        <v>0</v>
      </c>
      <c r="N27" s="33">
        <f t="shared" si="6"/>
        <v>0</v>
      </c>
      <c r="O27" s="33">
        <f t="shared" si="6"/>
        <v>0</v>
      </c>
      <c r="P27" s="33">
        <f t="shared" si="6"/>
        <v>0</v>
      </c>
      <c r="Q27" s="33">
        <f t="shared" si="6"/>
        <v>0</v>
      </c>
      <c r="R27" s="33">
        <f t="shared" si="6"/>
        <v>11</v>
      </c>
      <c r="S27" s="33">
        <f t="shared" si="6"/>
        <v>0</v>
      </c>
      <c r="T27" s="33">
        <f t="shared" si="6"/>
        <v>12</v>
      </c>
      <c r="U27" s="33">
        <f t="shared" si="6"/>
        <v>9</v>
      </c>
    </row>
    <row r="28" spans="1:21" x14ac:dyDescent="0.2">
      <c r="A28" s="9">
        <v>1</v>
      </c>
      <c r="B28" s="9">
        <v>39</v>
      </c>
      <c r="C28" s="9">
        <v>1</v>
      </c>
      <c r="D28" s="9">
        <v>6</v>
      </c>
      <c r="E28" s="9">
        <v>19</v>
      </c>
      <c r="F28" s="9">
        <v>42</v>
      </c>
      <c r="G28" s="9">
        <v>19.899999999999999</v>
      </c>
      <c r="H28" s="9">
        <v>2.54</v>
      </c>
      <c r="I28" s="9">
        <v>5.82</v>
      </c>
      <c r="J28" s="78"/>
      <c r="L28" s="6" t="s">
        <v>85</v>
      </c>
      <c r="M28" s="34">
        <f>M27/$M$15</f>
        <v>0</v>
      </c>
      <c r="N28" s="35">
        <f t="shared" ref="N28:U28" si="7">N27/$M$15</f>
        <v>0</v>
      </c>
      <c r="O28" s="35">
        <f t="shared" si="7"/>
        <v>0</v>
      </c>
      <c r="P28" s="34">
        <f t="shared" si="7"/>
        <v>0</v>
      </c>
      <c r="Q28" s="34">
        <f t="shared" si="7"/>
        <v>0</v>
      </c>
      <c r="R28" s="34">
        <f t="shared" si="7"/>
        <v>2.1999999999999999E-2</v>
      </c>
      <c r="S28" s="34">
        <f t="shared" si="7"/>
        <v>0</v>
      </c>
      <c r="T28" s="34">
        <f t="shared" si="7"/>
        <v>2.4E-2</v>
      </c>
      <c r="U28" s="34">
        <f t="shared" si="7"/>
        <v>1.7999999999999999E-2</v>
      </c>
    </row>
    <row r="29" spans="1:21" x14ac:dyDescent="0.2">
      <c r="A29" s="9">
        <v>0</v>
      </c>
      <c r="B29" s="9">
        <v>39</v>
      </c>
      <c r="C29" s="9">
        <v>1</v>
      </c>
      <c r="D29" s="9">
        <v>17</v>
      </c>
      <c r="E29" s="9">
        <v>20</v>
      </c>
      <c r="F29" s="9">
        <v>60</v>
      </c>
      <c r="G29" s="9">
        <v>13.7</v>
      </c>
      <c r="H29" s="9">
        <v>2.4500000000000002</v>
      </c>
      <c r="I29" s="9">
        <v>5.77</v>
      </c>
      <c r="J29" s="78"/>
    </row>
    <row r="30" spans="1:21" x14ac:dyDescent="0.2">
      <c r="A30" s="9">
        <v>0</v>
      </c>
      <c r="B30" s="9">
        <v>37</v>
      </c>
      <c r="C30" s="9">
        <v>3</v>
      </c>
      <c r="D30" s="9">
        <v>5</v>
      </c>
      <c r="E30" s="9">
        <v>17</v>
      </c>
      <c r="F30" s="9">
        <v>29</v>
      </c>
      <c r="G30" s="9">
        <v>24.6</v>
      </c>
      <c r="H30" s="9">
        <v>1.41</v>
      </c>
      <c r="I30" s="9">
        <v>5.73</v>
      </c>
      <c r="J30" s="78"/>
      <c r="L30" s="7" t="s">
        <v>86</v>
      </c>
      <c r="M30" s="7"/>
      <c r="N30" s="9"/>
      <c r="O30" s="39">
        <f>MAX(C2:C501)+1</f>
        <v>7</v>
      </c>
      <c r="P30" s="7"/>
      <c r="Q30" s="7"/>
      <c r="R30" s="7"/>
      <c r="S30" s="7"/>
      <c r="T30" s="7"/>
      <c r="U30" s="7"/>
    </row>
    <row r="31" spans="1:21" x14ac:dyDescent="0.2">
      <c r="A31" s="9">
        <v>0</v>
      </c>
      <c r="B31" s="9">
        <v>45</v>
      </c>
      <c r="C31" s="9">
        <v>2</v>
      </c>
      <c r="D31" s="9">
        <v>18</v>
      </c>
      <c r="E31" s="9">
        <v>19</v>
      </c>
      <c r="F31" s="9">
        <v>35</v>
      </c>
      <c r="G31" s="9">
        <v>17.399999999999999</v>
      </c>
      <c r="H31" s="9">
        <v>0.55000000000000004</v>
      </c>
      <c r="I31" s="9">
        <v>5.54</v>
      </c>
      <c r="J31" s="78"/>
      <c r="L31" s="7" t="s">
        <v>87</v>
      </c>
      <c r="M31" s="7"/>
      <c r="N31" s="39">
        <f>MEDIAN(B2:B501)</f>
        <v>34</v>
      </c>
      <c r="O31" s="9"/>
      <c r="P31" s="7"/>
      <c r="Q31" s="7"/>
      <c r="R31" s="7"/>
      <c r="S31" s="7"/>
      <c r="T31" s="7"/>
      <c r="U31" s="7"/>
    </row>
    <row r="32" spans="1:21" x14ac:dyDescent="0.2">
      <c r="A32" s="9">
        <v>0</v>
      </c>
      <c r="B32" s="9">
        <v>48</v>
      </c>
      <c r="C32" s="9">
        <v>1</v>
      </c>
      <c r="D32" s="9">
        <v>22</v>
      </c>
      <c r="E32" s="9">
        <v>15</v>
      </c>
      <c r="F32" s="9">
        <v>100</v>
      </c>
      <c r="G32" s="9">
        <v>9.1</v>
      </c>
      <c r="H32" s="9">
        <v>3.7</v>
      </c>
      <c r="I32" s="9">
        <v>5.4</v>
      </c>
      <c r="J32" s="78"/>
    </row>
    <row r="33" spans="1:13" x14ac:dyDescent="0.2">
      <c r="A33" s="9">
        <v>0</v>
      </c>
      <c r="B33" s="9">
        <v>44</v>
      </c>
      <c r="C33" s="9">
        <v>2</v>
      </c>
      <c r="D33" s="9">
        <v>18</v>
      </c>
      <c r="E33" s="9">
        <v>4</v>
      </c>
      <c r="F33" s="9">
        <v>74</v>
      </c>
      <c r="G33" s="9">
        <v>13.4</v>
      </c>
      <c r="H33" s="9">
        <v>4.5199999999999996</v>
      </c>
      <c r="I33" s="9">
        <v>5.39</v>
      </c>
      <c r="J33" s="78"/>
      <c r="M33" s="36"/>
    </row>
    <row r="34" spans="1:13" x14ac:dyDescent="0.2">
      <c r="A34" s="9">
        <v>0</v>
      </c>
      <c r="B34" s="9">
        <v>31</v>
      </c>
      <c r="C34" s="9">
        <v>1</v>
      </c>
      <c r="D34" s="9">
        <v>12</v>
      </c>
      <c r="E34" s="9">
        <v>4</v>
      </c>
      <c r="F34" s="9">
        <v>31</v>
      </c>
      <c r="G34" s="9">
        <v>23.7</v>
      </c>
      <c r="H34" s="9">
        <v>2.06</v>
      </c>
      <c r="I34" s="9">
        <v>5.29</v>
      </c>
      <c r="J34" s="78"/>
      <c r="L34" s="76" t="s">
        <v>74</v>
      </c>
      <c r="M34" s="10">
        <f>COUNT(A2:A501)</f>
        <v>500</v>
      </c>
    </row>
    <row r="35" spans="1:13" x14ac:dyDescent="0.2">
      <c r="A35" s="9">
        <v>1</v>
      </c>
      <c r="B35" s="9">
        <v>34</v>
      </c>
      <c r="C35" s="9">
        <v>1</v>
      </c>
      <c r="D35" s="9">
        <v>15</v>
      </c>
      <c r="E35" s="9">
        <v>2</v>
      </c>
      <c r="F35" s="9">
        <v>39</v>
      </c>
      <c r="G35" s="9">
        <v>24.7</v>
      </c>
      <c r="H35" s="9">
        <v>4.37</v>
      </c>
      <c r="I35" s="9">
        <v>5.26</v>
      </c>
      <c r="J35" s="78"/>
      <c r="L35" s="76" t="s">
        <v>75</v>
      </c>
      <c r="M35" s="10">
        <f>COUNTA(A1:I1)</f>
        <v>9</v>
      </c>
    </row>
    <row r="36" spans="1:13" x14ac:dyDescent="0.2">
      <c r="A36" s="9">
        <v>1</v>
      </c>
      <c r="B36" s="9">
        <v>52</v>
      </c>
      <c r="C36" s="9">
        <v>5</v>
      </c>
      <c r="D36" s="9">
        <v>9</v>
      </c>
      <c r="E36" s="9">
        <v>0</v>
      </c>
      <c r="F36" s="9">
        <v>70</v>
      </c>
      <c r="G36" s="9">
        <v>9.4</v>
      </c>
      <c r="H36" s="9">
        <v>1.33</v>
      </c>
      <c r="I36" s="9">
        <v>5.25</v>
      </c>
      <c r="J36" s="78"/>
      <c r="L36" s="76" t="s">
        <v>76</v>
      </c>
      <c r="M36" s="31">
        <v>1</v>
      </c>
    </row>
    <row r="37" spans="1:13" x14ac:dyDescent="0.2">
      <c r="A37" s="9">
        <v>0</v>
      </c>
      <c r="B37" s="9">
        <v>41</v>
      </c>
      <c r="C37" s="9">
        <v>1</v>
      </c>
      <c r="D37" s="9">
        <v>19</v>
      </c>
      <c r="E37" s="9">
        <v>1</v>
      </c>
      <c r="F37" s="9">
        <v>96</v>
      </c>
      <c r="G37" s="9">
        <v>7.8</v>
      </c>
      <c r="H37" s="9">
        <v>2.25</v>
      </c>
      <c r="I37" s="9">
        <v>5.23</v>
      </c>
      <c r="J37" s="78"/>
      <c r="L37" s="76" t="s">
        <v>77</v>
      </c>
      <c r="M37" s="10">
        <f>M35-M36</f>
        <v>8</v>
      </c>
    </row>
    <row r="38" spans="1:13" x14ac:dyDescent="0.2">
      <c r="A38" s="9">
        <v>0</v>
      </c>
      <c r="B38" s="9">
        <v>47</v>
      </c>
      <c r="C38" s="9">
        <v>1</v>
      </c>
      <c r="D38" s="9">
        <v>15</v>
      </c>
      <c r="E38" s="9">
        <v>1</v>
      </c>
      <c r="F38" s="9">
        <v>30</v>
      </c>
      <c r="G38" s="9">
        <v>24.5</v>
      </c>
      <c r="H38" s="9">
        <v>2.21</v>
      </c>
      <c r="I38" s="9">
        <v>5.14</v>
      </c>
      <c r="J38" s="78"/>
    </row>
    <row r="39" spans="1:13" x14ac:dyDescent="0.2">
      <c r="A39" s="9">
        <v>1</v>
      </c>
      <c r="B39" s="9">
        <v>44</v>
      </c>
      <c r="C39" s="9">
        <v>3</v>
      </c>
      <c r="D39" s="9">
        <v>8</v>
      </c>
      <c r="E39" s="9">
        <v>10</v>
      </c>
      <c r="F39" s="9">
        <v>88</v>
      </c>
      <c r="G39" s="9">
        <v>6.1</v>
      </c>
      <c r="H39" s="9">
        <v>0.28000000000000003</v>
      </c>
      <c r="I39" s="9">
        <v>5.08</v>
      </c>
      <c r="J39" s="78"/>
    </row>
    <row r="40" spans="1:13" x14ac:dyDescent="0.2">
      <c r="A40" s="9">
        <v>1</v>
      </c>
      <c r="B40" s="9">
        <v>23</v>
      </c>
      <c r="C40" s="9">
        <v>4</v>
      </c>
      <c r="D40" s="9">
        <v>0</v>
      </c>
      <c r="E40" s="9">
        <v>4</v>
      </c>
      <c r="F40" s="9">
        <v>32</v>
      </c>
      <c r="G40" s="9">
        <v>18.399999999999999</v>
      </c>
      <c r="H40" s="9">
        <v>0.82</v>
      </c>
      <c r="I40" s="9">
        <v>5.07</v>
      </c>
      <c r="J40" s="78"/>
    </row>
    <row r="41" spans="1:13" x14ac:dyDescent="0.2">
      <c r="A41" s="9">
        <v>0</v>
      </c>
      <c r="B41" s="9">
        <v>31</v>
      </c>
      <c r="C41" s="9">
        <v>1</v>
      </c>
      <c r="D41" s="9">
        <v>8</v>
      </c>
      <c r="E41" s="9">
        <v>3</v>
      </c>
      <c r="F41" s="9">
        <v>41</v>
      </c>
      <c r="G41" s="9">
        <v>12.6</v>
      </c>
      <c r="H41" s="9">
        <v>0.13</v>
      </c>
      <c r="I41" s="9">
        <v>5.03</v>
      </c>
      <c r="J41" s="78"/>
    </row>
    <row r="42" spans="1:13" x14ac:dyDescent="0.2">
      <c r="A42" s="9">
        <v>0</v>
      </c>
      <c r="B42" s="9">
        <v>38</v>
      </c>
      <c r="C42" s="9">
        <v>1</v>
      </c>
      <c r="D42" s="9">
        <v>21</v>
      </c>
      <c r="E42" s="9">
        <v>16</v>
      </c>
      <c r="F42" s="9">
        <v>58</v>
      </c>
      <c r="G42" s="9">
        <v>16.5</v>
      </c>
      <c r="H42" s="9">
        <v>4.58</v>
      </c>
      <c r="I42" s="9">
        <v>4.99</v>
      </c>
      <c r="J42" s="78"/>
    </row>
    <row r="43" spans="1:13" x14ac:dyDescent="0.2">
      <c r="A43" s="9">
        <v>0</v>
      </c>
      <c r="B43" s="9">
        <v>28</v>
      </c>
      <c r="C43" s="9">
        <v>2</v>
      </c>
      <c r="D43" s="9">
        <v>5</v>
      </c>
      <c r="E43" s="9">
        <v>9</v>
      </c>
      <c r="F43" s="9">
        <v>34</v>
      </c>
      <c r="G43" s="9">
        <v>23.8</v>
      </c>
      <c r="H43" s="9">
        <v>3.1</v>
      </c>
      <c r="I43" s="9">
        <v>4.99</v>
      </c>
      <c r="J43" s="78"/>
    </row>
    <row r="44" spans="1:13" x14ac:dyDescent="0.2">
      <c r="A44" s="9">
        <v>0</v>
      </c>
      <c r="B44" s="9">
        <v>52</v>
      </c>
      <c r="C44" s="9">
        <v>2</v>
      </c>
      <c r="D44" s="9">
        <v>12</v>
      </c>
      <c r="E44" s="9">
        <v>16</v>
      </c>
      <c r="F44" s="9">
        <v>76</v>
      </c>
      <c r="G44" s="9">
        <v>7.7</v>
      </c>
      <c r="H44" s="9">
        <v>0.99</v>
      </c>
      <c r="I44" s="9">
        <v>4.8600000000000003</v>
      </c>
      <c r="J44" s="78"/>
    </row>
    <row r="45" spans="1:13" x14ac:dyDescent="0.2">
      <c r="A45" s="9">
        <v>0</v>
      </c>
      <c r="B45" s="9">
        <v>27</v>
      </c>
      <c r="C45" s="9">
        <v>1</v>
      </c>
      <c r="D45" s="9">
        <v>11</v>
      </c>
      <c r="E45" s="9">
        <v>8</v>
      </c>
      <c r="F45" s="9">
        <v>56</v>
      </c>
      <c r="G45" s="9">
        <v>16.899999999999999</v>
      </c>
      <c r="H45" s="9">
        <v>4.6399999999999997</v>
      </c>
      <c r="I45" s="9">
        <v>4.83</v>
      </c>
      <c r="J45" s="78"/>
    </row>
    <row r="46" spans="1:13" x14ac:dyDescent="0.2">
      <c r="A46" s="9">
        <v>0</v>
      </c>
      <c r="B46" s="9">
        <v>36</v>
      </c>
      <c r="C46" s="9">
        <v>3</v>
      </c>
      <c r="D46" s="9">
        <v>13</v>
      </c>
      <c r="E46" s="9">
        <v>3</v>
      </c>
      <c r="F46" s="9">
        <v>39</v>
      </c>
      <c r="G46" s="9">
        <v>19.2</v>
      </c>
      <c r="H46" s="9">
        <v>2.8</v>
      </c>
      <c r="I46" s="9">
        <v>4.6900000000000004</v>
      </c>
      <c r="J46" s="78"/>
    </row>
    <row r="47" spans="1:13" x14ac:dyDescent="0.2">
      <c r="A47" s="9">
        <v>0</v>
      </c>
      <c r="B47" s="9">
        <v>43</v>
      </c>
      <c r="C47" s="9">
        <v>1</v>
      </c>
      <c r="D47" s="9">
        <v>25</v>
      </c>
      <c r="E47" s="9">
        <v>16</v>
      </c>
      <c r="F47" s="9">
        <v>0</v>
      </c>
      <c r="G47" s="9">
        <v>2.6</v>
      </c>
      <c r="H47" s="9">
        <v>1.64</v>
      </c>
      <c r="I47" s="9">
        <v>4.66</v>
      </c>
      <c r="J47" s="78"/>
    </row>
    <row r="48" spans="1:13" x14ac:dyDescent="0.2">
      <c r="A48" s="9">
        <v>0</v>
      </c>
      <c r="B48" s="9">
        <v>41</v>
      </c>
      <c r="C48" s="9">
        <v>3</v>
      </c>
      <c r="D48" s="9">
        <v>16</v>
      </c>
      <c r="E48" s="9">
        <v>22</v>
      </c>
      <c r="F48" s="13"/>
      <c r="G48" s="9">
        <v>4.4000000000000004</v>
      </c>
      <c r="H48" s="9">
        <v>1.28</v>
      </c>
      <c r="I48" s="9">
        <v>4.66</v>
      </c>
      <c r="J48" s="78"/>
    </row>
    <row r="49" spans="1:10" x14ac:dyDescent="0.2">
      <c r="A49" s="9">
        <v>1</v>
      </c>
      <c r="B49" s="9">
        <v>41</v>
      </c>
      <c r="C49" s="9">
        <v>3</v>
      </c>
      <c r="D49" s="9">
        <v>18</v>
      </c>
      <c r="E49" s="9">
        <v>6</v>
      </c>
      <c r="F49" s="9">
        <v>71</v>
      </c>
      <c r="G49" s="9">
        <v>15.7</v>
      </c>
      <c r="H49" s="13"/>
      <c r="I49" s="9">
        <v>4.58</v>
      </c>
      <c r="J49" s="78"/>
    </row>
    <row r="50" spans="1:10" x14ac:dyDescent="0.2">
      <c r="A50" s="9">
        <v>0</v>
      </c>
      <c r="B50" s="9">
        <v>43</v>
      </c>
      <c r="C50" s="9">
        <v>2</v>
      </c>
      <c r="D50" s="9">
        <v>6</v>
      </c>
      <c r="E50" s="9">
        <v>24</v>
      </c>
      <c r="F50" s="9">
        <v>54</v>
      </c>
      <c r="G50" s="9">
        <v>9.6</v>
      </c>
      <c r="H50" s="9">
        <v>0.62</v>
      </c>
      <c r="I50" s="9">
        <v>4.5599999999999996</v>
      </c>
      <c r="J50" s="78"/>
    </row>
    <row r="51" spans="1:10" x14ac:dyDescent="0.2">
      <c r="A51" s="9">
        <v>1</v>
      </c>
      <c r="B51" s="9">
        <v>38</v>
      </c>
      <c r="C51" s="9">
        <v>3</v>
      </c>
      <c r="D51" s="9">
        <v>12</v>
      </c>
      <c r="E51" s="9">
        <v>14</v>
      </c>
      <c r="F51" s="9">
        <v>63</v>
      </c>
      <c r="G51" s="9">
        <v>16</v>
      </c>
      <c r="H51" s="13"/>
      <c r="I51" s="9">
        <v>4.3600000000000003</v>
      </c>
      <c r="J51" s="78"/>
    </row>
    <row r="52" spans="1:10" x14ac:dyDescent="0.2">
      <c r="A52" s="9">
        <v>0</v>
      </c>
      <c r="B52" s="9">
        <v>43</v>
      </c>
      <c r="C52" s="9">
        <v>1</v>
      </c>
      <c r="D52" s="9">
        <v>23</v>
      </c>
      <c r="E52" s="9">
        <v>19</v>
      </c>
      <c r="F52" s="9">
        <v>72</v>
      </c>
      <c r="G52" s="9">
        <v>7.6</v>
      </c>
      <c r="H52" s="9">
        <v>1.18</v>
      </c>
      <c r="I52" s="9">
        <v>4.29</v>
      </c>
      <c r="J52" s="78"/>
    </row>
    <row r="53" spans="1:10" x14ac:dyDescent="0.2">
      <c r="A53" s="9">
        <v>0</v>
      </c>
      <c r="B53" s="9">
        <v>56</v>
      </c>
      <c r="C53" s="9">
        <v>1</v>
      </c>
      <c r="D53" s="9">
        <v>11</v>
      </c>
      <c r="E53" s="9">
        <v>20</v>
      </c>
      <c r="F53" s="9">
        <v>59</v>
      </c>
      <c r="G53" s="9">
        <v>15</v>
      </c>
      <c r="H53" s="9">
        <v>4.67</v>
      </c>
      <c r="I53" s="9">
        <v>4.18</v>
      </c>
      <c r="J53" s="78"/>
    </row>
    <row r="54" spans="1:10" x14ac:dyDescent="0.2">
      <c r="A54" s="9">
        <v>1</v>
      </c>
      <c r="B54" s="9">
        <v>40</v>
      </c>
      <c r="C54" s="9">
        <v>2</v>
      </c>
      <c r="D54" s="9">
        <v>5</v>
      </c>
      <c r="E54" s="9">
        <v>12</v>
      </c>
      <c r="F54" s="9">
        <v>35</v>
      </c>
      <c r="G54" s="9">
        <v>16.399999999999999</v>
      </c>
      <c r="H54" s="9">
        <v>1.58</v>
      </c>
      <c r="I54" s="9">
        <v>4.16</v>
      </c>
      <c r="J54" s="78"/>
    </row>
    <row r="55" spans="1:10" x14ac:dyDescent="0.2">
      <c r="A55" s="9">
        <v>0</v>
      </c>
      <c r="B55" s="9">
        <v>30</v>
      </c>
      <c r="C55" s="9">
        <v>2</v>
      </c>
      <c r="D55" s="9">
        <v>12</v>
      </c>
      <c r="E55" s="9">
        <v>9</v>
      </c>
      <c r="F55" s="9">
        <v>98</v>
      </c>
      <c r="G55" s="9">
        <v>7.2</v>
      </c>
      <c r="H55" s="9">
        <v>2.94</v>
      </c>
      <c r="I55" s="9">
        <v>4.12</v>
      </c>
      <c r="J55" s="78"/>
    </row>
    <row r="56" spans="1:10" x14ac:dyDescent="0.2">
      <c r="A56" s="9">
        <v>0</v>
      </c>
      <c r="B56" s="9">
        <v>37</v>
      </c>
      <c r="C56" s="9">
        <v>2</v>
      </c>
      <c r="D56" s="9">
        <v>6</v>
      </c>
      <c r="E56" s="9">
        <v>13</v>
      </c>
      <c r="F56" s="9">
        <v>62</v>
      </c>
      <c r="G56" s="9">
        <v>8.5</v>
      </c>
      <c r="H56" s="9">
        <v>1.19</v>
      </c>
      <c r="I56" s="9">
        <v>4.08</v>
      </c>
      <c r="J56" s="78"/>
    </row>
    <row r="57" spans="1:10" x14ac:dyDescent="0.2">
      <c r="A57" s="9">
        <v>1</v>
      </c>
      <c r="B57" s="9">
        <v>31</v>
      </c>
      <c r="C57" s="9">
        <v>2</v>
      </c>
      <c r="D57" s="9">
        <v>6</v>
      </c>
      <c r="E57" s="9">
        <v>6</v>
      </c>
      <c r="F57" s="9">
        <v>32</v>
      </c>
      <c r="G57" s="9">
        <v>23.1</v>
      </c>
      <c r="H57" s="9">
        <v>3.34</v>
      </c>
      <c r="I57" s="9">
        <v>4.05</v>
      </c>
      <c r="J57" s="78"/>
    </row>
    <row r="58" spans="1:10" x14ac:dyDescent="0.2">
      <c r="A58" s="9">
        <v>0</v>
      </c>
      <c r="B58" s="9">
        <v>48</v>
      </c>
      <c r="C58" s="9">
        <v>1</v>
      </c>
      <c r="D58" s="9">
        <v>0</v>
      </c>
      <c r="E58" s="9">
        <v>23</v>
      </c>
      <c r="F58" s="9">
        <v>30</v>
      </c>
      <c r="G58" s="9">
        <v>22.3</v>
      </c>
      <c r="H58" s="9">
        <v>2.66</v>
      </c>
      <c r="I58" s="9">
        <v>4.03</v>
      </c>
      <c r="J58" s="78"/>
    </row>
    <row r="59" spans="1:10" x14ac:dyDescent="0.2">
      <c r="A59" s="9">
        <v>0</v>
      </c>
      <c r="B59" s="9">
        <v>34</v>
      </c>
      <c r="C59" s="9">
        <v>3</v>
      </c>
      <c r="D59" s="9">
        <v>2</v>
      </c>
      <c r="E59" s="9">
        <v>14</v>
      </c>
      <c r="F59" s="9">
        <v>39</v>
      </c>
      <c r="G59" s="9">
        <v>13.2</v>
      </c>
      <c r="H59" s="9">
        <v>1.1399999999999999</v>
      </c>
      <c r="I59" s="9">
        <v>4.01</v>
      </c>
      <c r="J59" s="78"/>
    </row>
    <row r="60" spans="1:10" x14ac:dyDescent="0.2">
      <c r="A60" s="9">
        <v>0</v>
      </c>
      <c r="B60" s="9">
        <v>27</v>
      </c>
      <c r="C60" s="9">
        <v>1</v>
      </c>
      <c r="D60" s="9">
        <v>10</v>
      </c>
      <c r="E60" s="9">
        <v>6</v>
      </c>
      <c r="F60" s="9">
        <v>31</v>
      </c>
      <c r="G60" s="9">
        <v>17.3</v>
      </c>
      <c r="H60" s="9">
        <v>1.36</v>
      </c>
      <c r="I60" s="9">
        <v>4</v>
      </c>
      <c r="J60" s="78"/>
    </row>
    <row r="61" spans="1:10" x14ac:dyDescent="0.2">
      <c r="A61" s="9">
        <v>0</v>
      </c>
      <c r="B61" s="9">
        <v>35</v>
      </c>
      <c r="C61" s="9">
        <v>1</v>
      </c>
      <c r="D61" s="9">
        <v>5</v>
      </c>
      <c r="E61" s="9">
        <v>5</v>
      </c>
      <c r="F61" s="9">
        <v>32</v>
      </c>
      <c r="G61" s="9">
        <v>13</v>
      </c>
      <c r="H61" s="9">
        <v>0.17</v>
      </c>
      <c r="I61" s="9">
        <v>3.99</v>
      </c>
      <c r="J61" s="78"/>
    </row>
    <row r="62" spans="1:10" x14ac:dyDescent="0.2">
      <c r="A62" s="9">
        <v>0</v>
      </c>
      <c r="B62" s="9">
        <v>36</v>
      </c>
      <c r="C62" s="9">
        <v>2</v>
      </c>
      <c r="D62" s="9">
        <v>7</v>
      </c>
      <c r="E62" s="9">
        <v>16</v>
      </c>
      <c r="F62" s="9">
        <v>43</v>
      </c>
      <c r="G62" s="9">
        <v>15.4</v>
      </c>
      <c r="H62" s="9">
        <v>2.65</v>
      </c>
      <c r="I62" s="9">
        <v>3.97</v>
      </c>
      <c r="J62" s="78"/>
    </row>
    <row r="63" spans="1:10" x14ac:dyDescent="0.2">
      <c r="A63" s="9">
        <v>0</v>
      </c>
      <c r="B63" s="9">
        <v>42</v>
      </c>
      <c r="C63" s="9">
        <v>3</v>
      </c>
      <c r="D63" s="9">
        <v>0</v>
      </c>
      <c r="E63" s="9">
        <v>9</v>
      </c>
      <c r="F63" s="9">
        <v>64</v>
      </c>
      <c r="G63" s="9">
        <v>6.6</v>
      </c>
      <c r="H63" s="9">
        <v>0.28000000000000003</v>
      </c>
      <c r="I63" s="9">
        <v>3.95</v>
      </c>
      <c r="J63" s="78"/>
    </row>
    <row r="64" spans="1:10" x14ac:dyDescent="0.2">
      <c r="A64" s="9">
        <v>0</v>
      </c>
      <c r="B64" s="9">
        <v>45</v>
      </c>
      <c r="C64" s="9">
        <v>2</v>
      </c>
      <c r="D64" s="9">
        <v>9</v>
      </c>
      <c r="E64" s="9">
        <v>26</v>
      </c>
      <c r="F64" s="9">
        <v>69</v>
      </c>
      <c r="G64" s="9">
        <v>6.7</v>
      </c>
      <c r="H64" s="9">
        <v>0.71</v>
      </c>
      <c r="I64" s="9">
        <v>3.92</v>
      </c>
      <c r="J64" s="78"/>
    </row>
    <row r="65" spans="1:10" x14ac:dyDescent="0.2">
      <c r="A65" s="9">
        <v>0</v>
      </c>
      <c r="B65" s="9">
        <v>34</v>
      </c>
      <c r="C65" s="9">
        <v>1</v>
      </c>
      <c r="D65" s="9">
        <v>16</v>
      </c>
      <c r="E65" s="9">
        <v>3</v>
      </c>
      <c r="F65" s="9">
        <v>75</v>
      </c>
      <c r="G65" s="9">
        <v>10.4</v>
      </c>
      <c r="H65" s="9">
        <v>3.95</v>
      </c>
      <c r="I65" s="9">
        <v>3.85</v>
      </c>
      <c r="J65" s="78"/>
    </row>
    <row r="66" spans="1:10" x14ac:dyDescent="0.2">
      <c r="A66" s="9">
        <v>1</v>
      </c>
      <c r="B66" s="9">
        <v>29</v>
      </c>
      <c r="C66" s="9">
        <v>2</v>
      </c>
      <c r="D66" s="9">
        <v>1</v>
      </c>
      <c r="E66" s="9">
        <v>7</v>
      </c>
      <c r="F66" s="9">
        <v>29</v>
      </c>
      <c r="G66" s="9">
        <v>21.2</v>
      </c>
      <c r="H66" s="9">
        <v>2.33</v>
      </c>
      <c r="I66" s="9">
        <v>3.82</v>
      </c>
      <c r="J66" s="78"/>
    </row>
    <row r="67" spans="1:10" x14ac:dyDescent="0.2">
      <c r="A67" s="9">
        <v>1</v>
      </c>
      <c r="B67" s="9">
        <v>36</v>
      </c>
      <c r="C67" s="9">
        <v>2</v>
      </c>
      <c r="D67" s="9">
        <v>13</v>
      </c>
      <c r="E67" s="9">
        <v>6</v>
      </c>
      <c r="F67" s="9">
        <v>41</v>
      </c>
      <c r="G67" s="9">
        <v>16.399999999999999</v>
      </c>
      <c r="H67" s="9">
        <v>2.92</v>
      </c>
      <c r="I67" s="9">
        <v>3.81</v>
      </c>
      <c r="J67" s="78"/>
    </row>
    <row r="68" spans="1:10" x14ac:dyDescent="0.2">
      <c r="A68" s="9">
        <v>1</v>
      </c>
      <c r="B68" s="9">
        <v>38</v>
      </c>
      <c r="C68" s="9">
        <v>2</v>
      </c>
      <c r="D68" s="9">
        <v>2</v>
      </c>
      <c r="E68" s="9">
        <v>16</v>
      </c>
      <c r="F68" s="9">
        <v>22</v>
      </c>
      <c r="G68" s="9">
        <v>22.7</v>
      </c>
      <c r="H68" s="9">
        <v>1.21</v>
      </c>
      <c r="I68" s="9">
        <v>3.79</v>
      </c>
      <c r="J68" s="78"/>
    </row>
    <row r="69" spans="1:10" x14ac:dyDescent="0.2">
      <c r="A69" s="9">
        <v>0</v>
      </c>
      <c r="B69" s="9">
        <v>52</v>
      </c>
      <c r="C69" s="9">
        <v>1</v>
      </c>
      <c r="D69" s="9">
        <v>16</v>
      </c>
      <c r="E69" s="9">
        <v>25</v>
      </c>
      <c r="F69" s="9">
        <v>64</v>
      </c>
      <c r="G69" s="9">
        <v>8.6</v>
      </c>
      <c r="H69" s="9">
        <v>1.87</v>
      </c>
      <c r="I69" s="9">
        <v>3.64</v>
      </c>
      <c r="J69" s="78"/>
    </row>
    <row r="70" spans="1:10" x14ac:dyDescent="0.2">
      <c r="A70" s="9">
        <v>0</v>
      </c>
      <c r="B70" s="9">
        <v>34</v>
      </c>
      <c r="C70" s="9">
        <v>1</v>
      </c>
      <c r="D70" s="9">
        <v>14</v>
      </c>
      <c r="E70" s="9">
        <v>8</v>
      </c>
      <c r="F70" s="9">
        <v>28</v>
      </c>
      <c r="G70" s="9">
        <v>17</v>
      </c>
      <c r="H70" s="9">
        <v>1.1399999999999999</v>
      </c>
      <c r="I70" s="9">
        <v>3.62</v>
      </c>
      <c r="J70" s="78"/>
    </row>
    <row r="71" spans="1:10" x14ac:dyDescent="0.2">
      <c r="A71" s="9">
        <v>1</v>
      </c>
      <c r="B71" s="9">
        <v>28</v>
      </c>
      <c r="C71" s="9">
        <v>1</v>
      </c>
      <c r="D71" s="9">
        <v>4</v>
      </c>
      <c r="E71" s="9">
        <v>2</v>
      </c>
      <c r="F71" s="9">
        <v>28</v>
      </c>
      <c r="G71" s="9">
        <v>14.2</v>
      </c>
      <c r="H71" s="9">
        <v>0.44</v>
      </c>
      <c r="I71" s="9">
        <v>3.54</v>
      </c>
      <c r="J71" s="78"/>
    </row>
    <row r="72" spans="1:10" x14ac:dyDescent="0.2">
      <c r="A72" s="9">
        <v>0</v>
      </c>
      <c r="B72" s="9">
        <v>34</v>
      </c>
      <c r="C72" s="9">
        <v>2</v>
      </c>
      <c r="D72" s="9">
        <v>3</v>
      </c>
      <c r="E72" s="9">
        <v>8</v>
      </c>
      <c r="F72" s="9">
        <v>21</v>
      </c>
      <c r="G72" s="9">
        <v>23.1</v>
      </c>
      <c r="H72" s="9">
        <v>1.4</v>
      </c>
      <c r="I72" s="9">
        <v>3.45</v>
      </c>
      <c r="J72" s="78"/>
    </row>
    <row r="73" spans="1:10" x14ac:dyDescent="0.2">
      <c r="A73" s="9">
        <v>0</v>
      </c>
      <c r="B73" s="9">
        <v>48</v>
      </c>
      <c r="C73" s="9">
        <v>4</v>
      </c>
      <c r="D73" s="9">
        <v>3</v>
      </c>
      <c r="E73" s="9">
        <v>23</v>
      </c>
      <c r="F73" s="9">
        <v>45</v>
      </c>
      <c r="G73" s="9">
        <v>9.8000000000000007</v>
      </c>
      <c r="H73" s="9">
        <v>0.97</v>
      </c>
      <c r="I73" s="9">
        <v>3.44</v>
      </c>
      <c r="J73" s="78"/>
    </row>
    <row r="74" spans="1:10" x14ac:dyDescent="0.2">
      <c r="A74" s="9">
        <v>1</v>
      </c>
      <c r="B74" s="9">
        <v>36</v>
      </c>
      <c r="C74" s="9">
        <v>2</v>
      </c>
      <c r="D74" s="9">
        <v>9</v>
      </c>
      <c r="E74" s="9">
        <v>6</v>
      </c>
      <c r="F74" s="9">
        <v>49</v>
      </c>
      <c r="G74" s="9">
        <v>8.6</v>
      </c>
      <c r="H74" s="9">
        <v>0.82</v>
      </c>
      <c r="I74" s="9">
        <v>3.4</v>
      </c>
      <c r="J74" s="78"/>
    </row>
    <row r="75" spans="1:10" x14ac:dyDescent="0.2">
      <c r="A75" s="9">
        <v>0</v>
      </c>
      <c r="B75" s="9">
        <v>51</v>
      </c>
      <c r="C75" s="9">
        <v>2</v>
      </c>
      <c r="D75" s="9">
        <v>19</v>
      </c>
      <c r="E75" s="9">
        <v>25</v>
      </c>
      <c r="F75" s="9">
        <v>0</v>
      </c>
      <c r="G75" s="9">
        <v>2.8</v>
      </c>
      <c r="H75" s="9">
        <v>1.07</v>
      </c>
      <c r="I75" s="9">
        <v>3.38</v>
      </c>
      <c r="J75" s="78"/>
    </row>
    <row r="76" spans="1:10" x14ac:dyDescent="0.2">
      <c r="A76" s="9">
        <v>0</v>
      </c>
      <c r="B76" s="9">
        <v>38</v>
      </c>
      <c r="C76" s="9">
        <v>1</v>
      </c>
      <c r="D76" s="9">
        <v>6</v>
      </c>
      <c r="E76" s="9">
        <v>0</v>
      </c>
      <c r="F76" s="9">
        <v>41</v>
      </c>
      <c r="G76" s="9">
        <v>8.9</v>
      </c>
      <c r="H76" s="9">
        <v>0.27</v>
      </c>
      <c r="I76" s="9">
        <v>3.38</v>
      </c>
      <c r="J76" s="78"/>
    </row>
    <row r="77" spans="1:10" x14ac:dyDescent="0.2">
      <c r="A77" s="9">
        <v>1</v>
      </c>
      <c r="B77" s="9">
        <v>39</v>
      </c>
      <c r="C77" s="9">
        <v>2</v>
      </c>
      <c r="D77" s="9">
        <v>2</v>
      </c>
      <c r="E77" s="9">
        <v>12</v>
      </c>
      <c r="F77" s="9">
        <v>46</v>
      </c>
      <c r="G77" s="9">
        <v>16</v>
      </c>
      <c r="H77" s="9">
        <v>4</v>
      </c>
      <c r="I77" s="9">
        <v>3.36</v>
      </c>
      <c r="J77" s="78"/>
    </row>
    <row r="78" spans="1:10" x14ac:dyDescent="0.2">
      <c r="A78" s="9">
        <v>0</v>
      </c>
      <c r="B78" s="9">
        <v>30</v>
      </c>
      <c r="C78" s="9">
        <v>2</v>
      </c>
      <c r="D78" s="9">
        <v>4</v>
      </c>
      <c r="E78" s="9">
        <v>4</v>
      </c>
      <c r="F78" s="9">
        <v>21</v>
      </c>
      <c r="G78" s="9">
        <v>18.3</v>
      </c>
      <c r="H78" s="9">
        <v>0.49</v>
      </c>
      <c r="I78" s="9">
        <v>3.35</v>
      </c>
      <c r="J78" s="78"/>
    </row>
    <row r="79" spans="1:10" x14ac:dyDescent="0.2">
      <c r="A79" s="9">
        <v>0</v>
      </c>
      <c r="B79" s="9">
        <v>30</v>
      </c>
      <c r="C79" s="9">
        <v>2</v>
      </c>
      <c r="D79" s="9">
        <v>8</v>
      </c>
      <c r="E79" s="9">
        <v>4</v>
      </c>
      <c r="F79" s="9">
        <v>56</v>
      </c>
      <c r="G79" s="9">
        <v>6.4</v>
      </c>
      <c r="H79" s="9">
        <v>0.33</v>
      </c>
      <c r="I79" s="9">
        <v>3.25</v>
      </c>
      <c r="J79" s="78"/>
    </row>
    <row r="80" spans="1:10" x14ac:dyDescent="0.2">
      <c r="A80" s="9">
        <v>1</v>
      </c>
      <c r="B80" s="9">
        <v>39</v>
      </c>
      <c r="C80" s="9">
        <v>1</v>
      </c>
      <c r="D80" s="9">
        <v>2</v>
      </c>
      <c r="E80" s="9">
        <v>15</v>
      </c>
      <c r="F80" s="9">
        <v>22</v>
      </c>
      <c r="G80" s="9">
        <v>23.1</v>
      </c>
      <c r="H80" s="9">
        <v>1.92</v>
      </c>
      <c r="I80" s="9">
        <v>3.17</v>
      </c>
      <c r="J80" s="78"/>
    </row>
    <row r="81" spans="1:10" x14ac:dyDescent="0.2">
      <c r="A81" s="9">
        <v>0</v>
      </c>
      <c r="B81" s="9">
        <v>34</v>
      </c>
      <c r="C81" s="9">
        <v>6</v>
      </c>
      <c r="D81" s="9">
        <v>18</v>
      </c>
      <c r="E81" s="9">
        <v>10</v>
      </c>
      <c r="F81" s="9">
        <v>34</v>
      </c>
      <c r="G81" s="9">
        <v>15.4</v>
      </c>
      <c r="H81" s="9">
        <v>2.1</v>
      </c>
      <c r="I81" s="9">
        <v>3.14</v>
      </c>
      <c r="J81" s="78"/>
    </row>
    <row r="82" spans="1:10" x14ac:dyDescent="0.2">
      <c r="A82" s="9">
        <v>0</v>
      </c>
      <c r="B82" s="9">
        <v>43</v>
      </c>
      <c r="C82" s="9">
        <v>2</v>
      </c>
      <c r="D82" s="9">
        <v>16</v>
      </c>
      <c r="E82" s="9">
        <v>10</v>
      </c>
      <c r="F82" s="9">
        <v>83</v>
      </c>
      <c r="G82" s="9">
        <v>4.0999999999999996</v>
      </c>
      <c r="H82" s="9">
        <v>0.26</v>
      </c>
      <c r="I82" s="9">
        <v>3.14</v>
      </c>
      <c r="J82" s="78"/>
    </row>
    <row r="83" spans="1:10" x14ac:dyDescent="0.2">
      <c r="A83" s="9">
        <v>1</v>
      </c>
      <c r="B83" s="9">
        <v>24</v>
      </c>
      <c r="C83" s="9">
        <v>2</v>
      </c>
      <c r="D83" s="9">
        <v>2</v>
      </c>
      <c r="E83" s="9">
        <v>0</v>
      </c>
      <c r="F83" s="9">
        <v>28</v>
      </c>
      <c r="G83" s="9">
        <v>17.3</v>
      </c>
      <c r="H83" s="9">
        <v>1.79</v>
      </c>
      <c r="I83" s="9">
        <v>3.06</v>
      </c>
      <c r="J83" s="78"/>
    </row>
    <row r="84" spans="1:10" x14ac:dyDescent="0.2">
      <c r="A84" s="9">
        <v>0</v>
      </c>
      <c r="B84" s="9">
        <v>27</v>
      </c>
      <c r="C84" s="9">
        <v>3</v>
      </c>
      <c r="D84" s="9">
        <v>3</v>
      </c>
      <c r="E84" s="9">
        <v>4</v>
      </c>
      <c r="F84" s="9">
        <v>35</v>
      </c>
      <c r="G84" s="9">
        <v>13.3</v>
      </c>
      <c r="H84" s="9">
        <v>0.97</v>
      </c>
      <c r="I84" s="9">
        <v>3.05</v>
      </c>
      <c r="J84" s="78"/>
    </row>
    <row r="85" spans="1:10" x14ac:dyDescent="0.2">
      <c r="A85" s="9">
        <v>0</v>
      </c>
      <c r="B85" s="9">
        <v>34</v>
      </c>
      <c r="C85" s="9">
        <v>1</v>
      </c>
      <c r="D85" s="9">
        <v>13</v>
      </c>
      <c r="E85" s="9">
        <v>11</v>
      </c>
      <c r="F85" s="9">
        <v>51</v>
      </c>
      <c r="G85" s="9">
        <v>9.6</v>
      </c>
      <c r="H85" s="9">
        <v>1.88</v>
      </c>
      <c r="I85" s="9">
        <v>3.02</v>
      </c>
      <c r="J85" s="78"/>
    </row>
    <row r="86" spans="1:10" x14ac:dyDescent="0.2">
      <c r="A86" s="9">
        <v>0</v>
      </c>
      <c r="B86" s="9">
        <v>47</v>
      </c>
      <c r="C86" s="9">
        <v>1</v>
      </c>
      <c r="D86" s="9">
        <v>22</v>
      </c>
      <c r="E86" s="9">
        <v>19</v>
      </c>
      <c r="F86" s="9">
        <v>81</v>
      </c>
      <c r="G86" s="9">
        <v>5.5</v>
      </c>
      <c r="H86" s="9">
        <v>1.51</v>
      </c>
      <c r="I86" s="9">
        <v>2.95</v>
      </c>
      <c r="J86" s="78"/>
    </row>
    <row r="87" spans="1:10" x14ac:dyDescent="0.2">
      <c r="A87" s="9">
        <v>1</v>
      </c>
      <c r="B87" s="9">
        <v>29</v>
      </c>
      <c r="C87" s="9">
        <v>1</v>
      </c>
      <c r="D87" s="9">
        <v>7</v>
      </c>
      <c r="E87" s="9">
        <v>5</v>
      </c>
      <c r="F87" s="9">
        <v>20</v>
      </c>
      <c r="G87" s="9">
        <v>19.8</v>
      </c>
      <c r="H87" s="9">
        <v>1.01</v>
      </c>
      <c r="I87" s="9">
        <v>2.95</v>
      </c>
      <c r="J87" s="78"/>
    </row>
    <row r="88" spans="1:10" x14ac:dyDescent="0.2">
      <c r="A88" s="9">
        <v>0</v>
      </c>
      <c r="B88" s="9">
        <v>34</v>
      </c>
      <c r="C88" s="9">
        <v>1</v>
      </c>
      <c r="D88" s="9">
        <v>17</v>
      </c>
      <c r="E88" s="9">
        <v>3</v>
      </c>
      <c r="F88" s="9">
        <v>59</v>
      </c>
      <c r="G88" s="9">
        <v>8</v>
      </c>
      <c r="H88" s="9">
        <v>1.81</v>
      </c>
      <c r="I88" s="9">
        <v>2.91</v>
      </c>
      <c r="J88" s="78"/>
    </row>
    <row r="89" spans="1:10" x14ac:dyDescent="0.2">
      <c r="A89" s="9">
        <v>0</v>
      </c>
      <c r="B89" s="9">
        <v>39</v>
      </c>
      <c r="C89" s="9">
        <v>1</v>
      </c>
      <c r="D89" s="9">
        <v>6</v>
      </c>
      <c r="E89" s="9">
        <v>9</v>
      </c>
      <c r="F89" s="9">
        <v>61</v>
      </c>
      <c r="G89" s="9">
        <v>5.7</v>
      </c>
      <c r="H89" s="9">
        <v>0.56000000000000005</v>
      </c>
      <c r="I89" s="9">
        <v>2.91</v>
      </c>
      <c r="J89" s="78"/>
    </row>
    <row r="90" spans="1:10" x14ac:dyDescent="0.2">
      <c r="A90" s="9">
        <v>0</v>
      </c>
      <c r="B90" s="9">
        <v>35</v>
      </c>
      <c r="C90" s="9">
        <v>1</v>
      </c>
      <c r="D90" s="9">
        <v>18</v>
      </c>
      <c r="E90" s="9">
        <v>2</v>
      </c>
      <c r="F90" s="9">
        <v>42</v>
      </c>
      <c r="G90" s="9">
        <v>7.4</v>
      </c>
      <c r="H90" s="9">
        <v>0.21</v>
      </c>
      <c r="I90" s="9">
        <v>2.9</v>
      </c>
      <c r="J90" s="78"/>
    </row>
    <row r="91" spans="1:10" x14ac:dyDescent="0.2">
      <c r="A91" s="9">
        <v>0</v>
      </c>
      <c r="B91" s="9">
        <v>34</v>
      </c>
      <c r="C91" s="9">
        <v>3</v>
      </c>
      <c r="D91" s="9">
        <v>7</v>
      </c>
      <c r="E91" s="9">
        <v>1</v>
      </c>
      <c r="F91" s="9">
        <v>63</v>
      </c>
      <c r="G91" s="9">
        <v>5.5</v>
      </c>
      <c r="H91" s="9">
        <v>0.56999999999999995</v>
      </c>
      <c r="I91" s="9">
        <v>2.89</v>
      </c>
      <c r="J91" s="78"/>
    </row>
    <row r="92" spans="1:10" x14ac:dyDescent="0.2">
      <c r="A92" s="9">
        <v>1</v>
      </c>
      <c r="B92" s="9">
        <v>25</v>
      </c>
      <c r="C92" s="9">
        <v>1</v>
      </c>
      <c r="D92" s="9">
        <v>0</v>
      </c>
      <c r="E92" s="9">
        <v>2</v>
      </c>
      <c r="F92" s="9">
        <v>18</v>
      </c>
      <c r="G92" s="9">
        <v>18.899999999999999</v>
      </c>
      <c r="H92" s="9">
        <v>0.51</v>
      </c>
      <c r="I92" s="9">
        <v>2.89</v>
      </c>
      <c r="J92" s="78"/>
    </row>
    <row r="93" spans="1:10" x14ac:dyDescent="0.2">
      <c r="A93" s="9">
        <v>0</v>
      </c>
      <c r="B93" s="9">
        <v>25</v>
      </c>
      <c r="C93" s="9">
        <v>1</v>
      </c>
      <c r="D93" s="9">
        <v>8</v>
      </c>
      <c r="E93" s="9">
        <v>4</v>
      </c>
      <c r="F93" s="9">
        <v>27</v>
      </c>
      <c r="G93" s="9">
        <v>14.4</v>
      </c>
      <c r="H93" s="9">
        <v>1.02</v>
      </c>
      <c r="I93" s="9">
        <v>2.87</v>
      </c>
      <c r="J93" s="78"/>
    </row>
    <row r="94" spans="1:10" x14ac:dyDescent="0.2">
      <c r="A94" s="9">
        <v>0</v>
      </c>
      <c r="B94" s="9">
        <v>28</v>
      </c>
      <c r="C94" s="9">
        <v>4</v>
      </c>
      <c r="D94" s="9">
        <v>1</v>
      </c>
      <c r="E94" s="9">
        <v>3</v>
      </c>
      <c r="F94" s="9">
        <v>26</v>
      </c>
      <c r="G94" s="9">
        <v>12.4</v>
      </c>
      <c r="H94" s="9">
        <v>0.38</v>
      </c>
      <c r="I94" s="9">
        <v>2.85</v>
      </c>
      <c r="J94" s="78"/>
    </row>
    <row r="95" spans="1:10" x14ac:dyDescent="0.2">
      <c r="A95" s="9">
        <v>1</v>
      </c>
      <c r="B95" s="9">
        <v>28</v>
      </c>
      <c r="C95" s="9">
        <v>2</v>
      </c>
      <c r="D95" s="9">
        <v>1</v>
      </c>
      <c r="E95" s="9">
        <v>8</v>
      </c>
      <c r="F95" s="9">
        <v>24</v>
      </c>
      <c r="G95" s="9">
        <v>17.100000000000001</v>
      </c>
      <c r="H95" s="9">
        <v>1.34</v>
      </c>
      <c r="I95" s="9">
        <v>2.77</v>
      </c>
      <c r="J95" s="78"/>
    </row>
    <row r="96" spans="1:10" x14ac:dyDescent="0.2">
      <c r="A96" s="9">
        <v>0</v>
      </c>
      <c r="B96" s="9">
        <v>27</v>
      </c>
      <c r="C96" s="9">
        <v>2</v>
      </c>
      <c r="D96" s="9">
        <v>3</v>
      </c>
      <c r="E96" s="9">
        <v>5</v>
      </c>
      <c r="F96" s="9">
        <v>33</v>
      </c>
      <c r="G96" s="9">
        <v>13.2</v>
      </c>
      <c r="H96" s="9">
        <v>1.63</v>
      </c>
      <c r="I96" s="9">
        <v>2.72</v>
      </c>
      <c r="J96" s="78"/>
    </row>
    <row r="97" spans="1:10" x14ac:dyDescent="0.2">
      <c r="A97" s="9">
        <v>0</v>
      </c>
      <c r="B97" s="9">
        <v>28</v>
      </c>
      <c r="C97" s="9">
        <v>1</v>
      </c>
      <c r="D97" s="9">
        <v>4</v>
      </c>
      <c r="E97" s="9">
        <v>1</v>
      </c>
      <c r="F97" s="9">
        <v>16</v>
      </c>
      <c r="G97" s="9">
        <v>23.8</v>
      </c>
      <c r="H97" s="9">
        <v>1.0900000000000001</v>
      </c>
      <c r="I97" s="9">
        <v>2.72</v>
      </c>
      <c r="J97" s="78"/>
    </row>
    <row r="98" spans="1:10" x14ac:dyDescent="0.2">
      <c r="A98" s="9">
        <v>0</v>
      </c>
      <c r="B98" s="9">
        <v>33</v>
      </c>
      <c r="C98" s="9">
        <v>2</v>
      </c>
      <c r="D98" s="9">
        <v>13</v>
      </c>
      <c r="E98" s="9">
        <v>2</v>
      </c>
      <c r="F98" s="9">
        <v>40</v>
      </c>
      <c r="G98" s="9">
        <v>7.2</v>
      </c>
      <c r="H98" s="9">
        <v>0.18</v>
      </c>
      <c r="I98" s="9">
        <v>2.7</v>
      </c>
      <c r="J98" s="78"/>
    </row>
    <row r="99" spans="1:10" x14ac:dyDescent="0.2">
      <c r="A99" s="9">
        <v>0</v>
      </c>
      <c r="B99" s="9">
        <v>29</v>
      </c>
      <c r="C99" s="9">
        <v>1</v>
      </c>
      <c r="D99" s="9">
        <v>6</v>
      </c>
      <c r="E99" s="9">
        <v>7</v>
      </c>
      <c r="F99" s="9">
        <v>21</v>
      </c>
      <c r="G99" s="9">
        <v>18.100000000000001</v>
      </c>
      <c r="H99" s="9">
        <v>1.1100000000000001</v>
      </c>
      <c r="I99" s="9">
        <v>2.69</v>
      </c>
      <c r="J99" s="78"/>
    </row>
    <row r="100" spans="1:10" x14ac:dyDescent="0.2">
      <c r="A100" s="9">
        <v>0</v>
      </c>
      <c r="B100" s="9">
        <v>32</v>
      </c>
      <c r="C100" s="9">
        <v>1</v>
      </c>
      <c r="D100" s="9">
        <v>14</v>
      </c>
      <c r="E100" s="9">
        <v>7</v>
      </c>
      <c r="F100" s="9">
        <v>73</v>
      </c>
      <c r="G100" s="9">
        <v>8.8000000000000007</v>
      </c>
      <c r="H100" s="9">
        <v>3.75</v>
      </c>
      <c r="I100" s="9">
        <v>2.67</v>
      </c>
      <c r="J100" s="78"/>
    </row>
    <row r="101" spans="1:10" x14ac:dyDescent="0.2">
      <c r="A101" s="9">
        <v>1</v>
      </c>
      <c r="B101" s="9">
        <v>33</v>
      </c>
      <c r="C101" s="9">
        <v>1</v>
      </c>
      <c r="D101" s="9">
        <v>9</v>
      </c>
      <c r="E101" s="9">
        <v>4</v>
      </c>
      <c r="F101" s="9">
        <v>29</v>
      </c>
      <c r="G101" s="9">
        <v>13.8</v>
      </c>
      <c r="H101" s="9">
        <v>1.35</v>
      </c>
      <c r="I101" s="9">
        <v>2.65</v>
      </c>
      <c r="J101" s="78"/>
    </row>
    <row r="102" spans="1:10" x14ac:dyDescent="0.2">
      <c r="A102" s="9">
        <v>1</v>
      </c>
      <c r="B102" s="9">
        <v>55</v>
      </c>
      <c r="C102" s="9">
        <v>1</v>
      </c>
      <c r="D102" s="9">
        <v>3</v>
      </c>
      <c r="E102" s="9">
        <v>11</v>
      </c>
      <c r="F102" s="9">
        <v>40</v>
      </c>
      <c r="G102" s="9">
        <v>8</v>
      </c>
      <c r="H102" s="9">
        <v>0.56000000000000005</v>
      </c>
      <c r="I102" s="9">
        <v>2.64</v>
      </c>
      <c r="J102" s="78"/>
    </row>
    <row r="103" spans="1:10" x14ac:dyDescent="0.2">
      <c r="A103" s="9">
        <v>1</v>
      </c>
      <c r="B103" s="9">
        <v>21</v>
      </c>
      <c r="C103" s="9">
        <v>2</v>
      </c>
      <c r="D103" s="9">
        <v>1</v>
      </c>
      <c r="E103" s="9">
        <v>2</v>
      </c>
      <c r="F103" s="9">
        <v>16</v>
      </c>
      <c r="G103" s="9">
        <v>18</v>
      </c>
      <c r="H103" s="9">
        <v>0.24</v>
      </c>
      <c r="I103" s="9">
        <v>2.64</v>
      </c>
      <c r="J103" s="78"/>
    </row>
    <row r="104" spans="1:10" x14ac:dyDescent="0.2">
      <c r="A104" s="9">
        <v>1</v>
      </c>
      <c r="B104" s="9">
        <v>54</v>
      </c>
      <c r="C104" s="9">
        <v>1</v>
      </c>
      <c r="D104" s="9">
        <v>9</v>
      </c>
      <c r="E104" s="9">
        <v>2</v>
      </c>
      <c r="F104" s="9">
        <v>28</v>
      </c>
      <c r="G104" s="9">
        <v>14.8</v>
      </c>
      <c r="H104" s="9">
        <v>1.56</v>
      </c>
      <c r="I104" s="9">
        <v>2.59</v>
      </c>
      <c r="J104" s="78"/>
    </row>
    <row r="105" spans="1:10" x14ac:dyDescent="0.2">
      <c r="A105" s="9">
        <v>1</v>
      </c>
      <c r="B105" s="9">
        <v>34</v>
      </c>
      <c r="C105" s="9">
        <v>1</v>
      </c>
      <c r="D105" s="9">
        <v>2</v>
      </c>
      <c r="E105" s="9">
        <v>11</v>
      </c>
      <c r="F105" s="9">
        <v>25</v>
      </c>
      <c r="G105" s="9">
        <v>12.6</v>
      </c>
      <c r="H105" s="9">
        <v>0.56999999999999995</v>
      </c>
      <c r="I105" s="9">
        <v>2.58</v>
      </c>
      <c r="J105" s="78"/>
    </row>
    <row r="106" spans="1:10" x14ac:dyDescent="0.2">
      <c r="A106" s="9">
        <v>0</v>
      </c>
      <c r="B106" s="9">
        <v>36</v>
      </c>
      <c r="C106" s="9">
        <v>6</v>
      </c>
      <c r="D106" s="9">
        <v>0</v>
      </c>
      <c r="E106" s="9">
        <v>17</v>
      </c>
      <c r="F106" s="9">
        <v>30</v>
      </c>
      <c r="G106" s="9">
        <v>9.6999999999999993</v>
      </c>
      <c r="H106" s="9">
        <v>0.33</v>
      </c>
      <c r="I106" s="9">
        <v>2.58</v>
      </c>
      <c r="J106" s="78"/>
    </row>
    <row r="107" spans="1:10" x14ac:dyDescent="0.2">
      <c r="A107" s="9">
        <v>0</v>
      </c>
      <c r="B107" s="9">
        <v>47</v>
      </c>
      <c r="C107" s="9">
        <v>1</v>
      </c>
      <c r="D107" s="9">
        <v>4</v>
      </c>
      <c r="E107" s="9">
        <v>2</v>
      </c>
      <c r="F107" s="9">
        <v>26</v>
      </c>
      <c r="G107" s="9">
        <v>10.4</v>
      </c>
      <c r="H107" s="9">
        <v>0.12</v>
      </c>
      <c r="I107" s="9">
        <v>2.58</v>
      </c>
      <c r="J107" s="78"/>
    </row>
    <row r="108" spans="1:10" x14ac:dyDescent="0.2">
      <c r="A108" s="9">
        <v>0</v>
      </c>
      <c r="B108" s="9">
        <v>42</v>
      </c>
      <c r="C108" s="9">
        <v>1</v>
      </c>
      <c r="D108" s="9">
        <v>6</v>
      </c>
      <c r="E108" s="9">
        <v>9</v>
      </c>
      <c r="F108" s="9">
        <v>31</v>
      </c>
      <c r="G108" s="9">
        <v>11.6</v>
      </c>
      <c r="H108" s="9">
        <v>1.02</v>
      </c>
      <c r="I108" s="9">
        <v>2.57</v>
      </c>
      <c r="J108" s="78"/>
    </row>
    <row r="109" spans="1:10" x14ac:dyDescent="0.2">
      <c r="A109" s="9">
        <v>0</v>
      </c>
      <c r="B109" s="9">
        <v>34</v>
      </c>
      <c r="C109" s="9">
        <v>1</v>
      </c>
      <c r="D109" s="9">
        <v>13</v>
      </c>
      <c r="E109" s="9">
        <v>8</v>
      </c>
      <c r="F109" s="9">
        <v>56</v>
      </c>
      <c r="G109" s="9">
        <v>6.1</v>
      </c>
      <c r="H109" s="9">
        <v>0.86</v>
      </c>
      <c r="I109" s="9">
        <v>2.5499999999999998</v>
      </c>
      <c r="J109" s="78"/>
    </row>
    <row r="110" spans="1:10" x14ac:dyDescent="0.2">
      <c r="A110" s="9">
        <v>1</v>
      </c>
      <c r="B110" s="9">
        <v>30</v>
      </c>
      <c r="C110" s="9">
        <v>1</v>
      </c>
      <c r="D110" s="9">
        <v>0</v>
      </c>
      <c r="E110" s="9">
        <v>8</v>
      </c>
      <c r="F110" s="9">
        <v>19</v>
      </c>
      <c r="G110" s="9">
        <v>16.600000000000001</v>
      </c>
      <c r="H110" s="9">
        <v>0.62</v>
      </c>
      <c r="I110" s="9">
        <v>2.5299999999999998</v>
      </c>
      <c r="J110" s="78"/>
    </row>
    <row r="111" spans="1:10" x14ac:dyDescent="0.2">
      <c r="A111" s="9">
        <v>0</v>
      </c>
      <c r="B111" s="9">
        <v>27</v>
      </c>
      <c r="C111" s="9">
        <v>3</v>
      </c>
      <c r="D111" s="9">
        <v>5</v>
      </c>
      <c r="E111" s="9">
        <v>1</v>
      </c>
      <c r="F111" s="9">
        <v>75</v>
      </c>
      <c r="G111" s="9">
        <v>6.3</v>
      </c>
      <c r="H111" s="9">
        <v>2.21</v>
      </c>
      <c r="I111" s="9">
        <v>2.52</v>
      </c>
      <c r="J111" s="78"/>
    </row>
    <row r="112" spans="1:10" x14ac:dyDescent="0.2">
      <c r="A112" s="9">
        <v>1</v>
      </c>
      <c r="B112" s="9">
        <v>43</v>
      </c>
      <c r="C112" s="9">
        <v>1</v>
      </c>
      <c r="D112" s="9">
        <v>13</v>
      </c>
      <c r="E112" s="9">
        <v>23</v>
      </c>
      <c r="F112" s="9">
        <v>76</v>
      </c>
      <c r="G112" s="9">
        <v>6.1</v>
      </c>
      <c r="H112" s="9">
        <v>2.15</v>
      </c>
      <c r="I112" s="9">
        <v>2.48</v>
      </c>
      <c r="J112" s="78"/>
    </row>
    <row r="113" spans="1:10" x14ac:dyDescent="0.2">
      <c r="A113" s="9">
        <v>0</v>
      </c>
      <c r="B113" s="9">
        <v>52</v>
      </c>
      <c r="C113" s="9">
        <v>1</v>
      </c>
      <c r="D113" s="9">
        <v>24</v>
      </c>
      <c r="E113" s="9">
        <v>14</v>
      </c>
      <c r="F113" s="9">
        <v>64</v>
      </c>
      <c r="G113" s="9">
        <v>10</v>
      </c>
      <c r="H113" s="9">
        <v>3.93</v>
      </c>
      <c r="I113" s="9">
        <v>2.4700000000000002</v>
      </c>
      <c r="J113" s="78"/>
    </row>
    <row r="114" spans="1:10" x14ac:dyDescent="0.2">
      <c r="A114" s="9">
        <v>0</v>
      </c>
      <c r="B114" s="9">
        <v>39</v>
      </c>
      <c r="C114" s="9">
        <v>3</v>
      </c>
      <c r="D114" s="9">
        <v>11</v>
      </c>
      <c r="E114" s="9">
        <v>17</v>
      </c>
      <c r="F114" s="9">
        <v>39</v>
      </c>
      <c r="G114" s="9">
        <v>12.9</v>
      </c>
      <c r="H114" s="9">
        <v>2.56</v>
      </c>
      <c r="I114" s="9">
        <v>2.4700000000000002</v>
      </c>
      <c r="J114" s="78"/>
    </row>
    <row r="115" spans="1:10" x14ac:dyDescent="0.2">
      <c r="A115" s="9">
        <v>0</v>
      </c>
      <c r="B115" s="9">
        <v>32</v>
      </c>
      <c r="C115" s="9">
        <v>1</v>
      </c>
      <c r="D115" s="9">
        <v>10</v>
      </c>
      <c r="E115" s="9">
        <v>13</v>
      </c>
      <c r="F115" s="9">
        <v>32</v>
      </c>
      <c r="G115" s="9">
        <v>11.3</v>
      </c>
      <c r="H115" s="9">
        <v>1.17</v>
      </c>
      <c r="I115" s="9">
        <v>2.4500000000000002</v>
      </c>
      <c r="J115" s="78"/>
    </row>
    <row r="116" spans="1:10" x14ac:dyDescent="0.2">
      <c r="A116" s="9">
        <v>0</v>
      </c>
      <c r="B116" s="9">
        <v>26</v>
      </c>
      <c r="C116" s="9">
        <v>2</v>
      </c>
      <c r="D116" s="9">
        <v>4</v>
      </c>
      <c r="E116" s="9">
        <v>3</v>
      </c>
      <c r="F116" s="9">
        <v>28</v>
      </c>
      <c r="G116" s="9">
        <v>9.5</v>
      </c>
      <c r="H116" s="9">
        <v>0.23</v>
      </c>
      <c r="I116" s="9">
        <v>2.4300000000000002</v>
      </c>
      <c r="J116" s="78"/>
    </row>
    <row r="117" spans="1:10" x14ac:dyDescent="0.2">
      <c r="A117" s="9">
        <v>0</v>
      </c>
      <c r="B117" s="9">
        <v>39</v>
      </c>
      <c r="C117" s="9">
        <v>1</v>
      </c>
      <c r="D117" s="9">
        <v>20</v>
      </c>
      <c r="E117" s="9">
        <v>12</v>
      </c>
      <c r="F117" s="9">
        <v>39</v>
      </c>
      <c r="G117" s="9">
        <v>8.1999999999999993</v>
      </c>
      <c r="H117" s="9">
        <v>0.77</v>
      </c>
      <c r="I117" s="9">
        <v>2.42</v>
      </c>
      <c r="J117" s="78"/>
    </row>
    <row r="118" spans="1:10" x14ac:dyDescent="0.2">
      <c r="A118" s="9">
        <v>0</v>
      </c>
      <c r="B118" s="9">
        <v>36</v>
      </c>
      <c r="C118" s="9">
        <v>1</v>
      </c>
      <c r="D118" s="9">
        <v>4</v>
      </c>
      <c r="E118" s="9">
        <v>15</v>
      </c>
      <c r="F118" s="9">
        <v>17</v>
      </c>
      <c r="G118" s="9">
        <v>17.3</v>
      </c>
      <c r="H118" s="9">
        <v>0.52</v>
      </c>
      <c r="I118" s="9">
        <v>2.42</v>
      </c>
      <c r="J118" s="78"/>
    </row>
    <row r="119" spans="1:10" x14ac:dyDescent="0.2">
      <c r="A119" s="9">
        <v>1</v>
      </c>
      <c r="B119" s="9">
        <v>35</v>
      </c>
      <c r="C119" s="9">
        <v>2</v>
      </c>
      <c r="D119" s="9">
        <v>1</v>
      </c>
      <c r="E119" s="9">
        <v>8</v>
      </c>
      <c r="F119" s="9">
        <v>24</v>
      </c>
      <c r="G119" s="9">
        <v>12.5</v>
      </c>
      <c r="H119" s="9">
        <v>0.59</v>
      </c>
      <c r="I119" s="9">
        <v>2.41</v>
      </c>
      <c r="J119" s="78"/>
    </row>
    <row r="120" spans="1:10" x14ac:dyDescent="0.2">
      <c r="A120" s="9">
        <v>0</v>
      </c>
      <c r="B120" s="9">
        <v>29</v>
      </c>
      <c r="C120" s="9">
        <v>1</v>
      </c>
      <c r="D120" s="9">
        <v>9</v>
      </c>
      <c r="E120" s="9">
        <v>0</v>
      </c>
      <c r="F120" s="9">
        <v>25</v>
      </c>
      <c r="G120" s="9">
        <v>13.9</v>
      </c>
      <c r="H120" s="9">
        <v>1.07</v>
      </c>
      <c r="I120" s="9">
        <v>2.4</v>
      </c>
      <c r="J120" s="78"/>
    </row>
    <row r="121" spans="1:10" x14ac:dyDescent="0.2">
      <c r="A121" s="9">
        <v>0</v>
      </c>
      <c r="B121" s="9">
        <v>42</v>
      </c>
      <c r="C121" s="9">
        <v>2</v>
      </c>
      <c r="D121" s="9">
        <v>21</v>
      </c>
      <c r="E121" s="9">
        <v>11</v>
      </c>
      <c r="F121" s="13"/>
      <c r="G121" s="9">
        <v>3.1</v>
      </c>
      <c r="H121" s="9">
        <v>1.37</v>
      </c>
      <c r="I121" s="9">
        <v>2.39</v>
      </c>
      <c r="J121" s="78"/>
    </row>
    <row r="122" spans="1:10" x14ac:dyDescent="0.2">
      <c r="A122" s="9">
        <v>0</v>
      </c>
      <c r="B122" s="9">
        <v>22</v>
      </c>
      <c r="C122" s="9">
        <v>1</v>
      </c>
      <c r="D122" s="9">
        <v>1</v>
      </c>
      <c r="E122" s="9">
        <v>3</v>
      </c>
      <c r="F122" s="9">
        <v>17</v>
      </c>
      <c r="G122" s="9">
        <v>18.600000000000001</v>
      </c>
      <c r="H122" s="9">
        <v>0.81</v>
      </c>
      <c r="I122" s="9">
        <v>2.36</v>
      </c>
      <c r="J122" s="78"/>
    </row>
    <row r="123" spans="1:10" x14ac:dyDescent="0.2">
      <c r="A123" s="9">
        <v>0</v>
      </c>
      <c r="B123" s="9">
        <v>31</v>
      </c>
      <c r="C123" s="9">
        <v>1</v>
      </c>
      <c r="D123" s="9">
        <v>5</v>
      </c>
      <c r="E123" s="9">
        <v>3</v>
      </c>
      <c r="F123" s="9">
        <v>25</v>
      </c>
      <c r="G123" s="9">
        <v>14.1</v>
      </c>
      <c r="H123" s="9">
        <v>1.18</v>
      </c>
      <c r="I123" s="9">
        <v>2.35</v>
      </c>
      <c r="J123" s="78"/>
    </row>
    <row r="124" spans="1:10" x14ac:dyDescent="0.2">
      <c r="A124" s="9">
        <v>0</v>
      </c>
      <c r="B124" s="9">
        <v>23</v>
      </c>
      <c r="C124" s="9">
        <v>1</v>
      </c>
      <c r="D124" s="9">
        <v>7</v>
      </c>
      <c r="E124" s="9">
        <v>3</v>
      </c>
      <c r="F124" s="9">
        <v>22</v>
      </c>
      <c r="G124" s="9">
        <v>14.4</v>
      </c>
      <c r="H124" s="9">
        <v>0.85</v>
      </c>
      <c r="I124" s="9">
        <v>2.3199999999999998</v>
      </c>
      <c r="J124" s="78"/>
    </row>
    <row r="125" spans="1:10" x14ac:dyDescent="0.2">
      <c r="A125" s="9">
        <v>1</v>
      </c>
      <c r="B125" s="9">
        <v>36</v>
      </c>
      <c r="C125" s="9">
        <v>1</v>
      </c>
      <c r="D125" s="9">
        <v>10</v>
      </c>
      <c r="E125" s="9">
        <v>0</v>
      </c>
      <c r="F125" s="9">
        <v>28</v>
      </c>
      <c r="G125" s="9">
        <v>11.2</v>
      </c>
      <c r="H125" s="9">
        <v>0.82</v>
      </c>
      <c r="I125" s="9">
        <v>2.3199999999999998</v>
      </c>
      <c r="J125" s="78"/>
    </row>
    <row r="126" spans="1:10" x14ac:dyDescent="0.2">
      <c r="A126" s="9">
        <v>0</v>
      </c>
      <c r="B126" s="9">
        <v>29</v>
      </c>
      <c r="C126" s="9">
        <v>1</v>
      </c>
      <c r="D126" s="9">
        <v>1</v>
      </c>
      <c r="E126" s="9">
        <v>8</v>
      </c>
      <c r="F126" s="9">
        <v>31</v>
      </c>
      <c r="G126" s="9">
        <v>8</v>
      </c>
      <c r="H126" s="9">
        <v>0.16</v>
      </c>
      <c r="I126" s="9">
        <v>2.3199999999999998</v>
      </c>
      <c r="J126" s="78"/>
    </row>
    <row r="127" spans="1:10" x14ac:dyDescent="0.2">
      <c r="A127" s="9">
        <v>0</v>
      </c>
      <c r="B127" s="9">
        <v>40</v>
      </c>
      <c r="C127" s="9">
        <v>2</v>
      </c>
      <c r="D127" s="9">
        <v>8</v>
      </c>
      <c r="E127" s="9">
        <v>19</v>
      </c>
      <c r="F127" s="9">
        <v>57</v>
      </c>
      <c r="G127" s="9">
        <v>5.6</v>
      </c>
      <c r="H127" s="9">
        <v>0.88</v>
      </c>
      <c r="I127" s="9">
        <v>2.31</v>
      </c>
      <c r="J127" s="78"/>
    </row>
    <row r="128" spans="1:10" x14ac:dyDescent="0.2">
      <c r="A128" s="9">
        <v>0</v>
      </c>
      <c r="B128" s="9">
        <v>32</v>
      </c>
      <c r="C128" s="9">
        <v>1</v>
      </c>
      <c r="D128" s="9">
        <v>10</v>
      </c>
      <c r="E128" s="9">
        <v>11</v>
      </c>
      <c r="F128" s="9">
        <v>42</v>
      </c>
      <c r="G128" s="9">
        <v>9.1</v>
      </c>
      <c r="H128" s="9">
        <v>1.54</v>
      </c>
      <c r="I128" s="9">
        <v>2.2799999999999998</v>
      </c>
      <c r="J128" s="78"/>
    </row>
    <row r="129" spans="1:10" x14ac:dyDescent="0.2">
      <c r="A129" s="9">
        <v>0</v>
      </c>
      <c r="B129" s="9">
        <v>36</v>
      </c>
      <c r="C129" s="9">
        <v>1</v>
      </c>
      <c r="D129" s="9">
        <v>18</v>
      </c>
      <c r="E129" s="9">
        <v>9</v>
      </c>
      <c r="F129" s="9">
        <v>67</v>
      </c>
      <c r="G129" s="9">
        <v>11.2</v>
      </c>
      <c r="H129" s="9">
        <v>5.25</v>
      </c>
      <c r="I129" s="9">
        <v>2.2599999999999998</v>
      </c>
      <c r="J129" s="78"/>
    </row>
    <row r="130" spans="1:10" x14ac:dyDescent="0.2">
      <c r="A130" s="9">
        <v>0</v>
      </c>
      <c r="B130" s="9">
        <v>46</v>
      </c>
      <c r="C130" s="9">
        <v>1</v>
      </c>
      <c r="D130" s="9">
        <v>14</v>
      </c>
      <c r="E130" s="9">
        <v>25</v>
      </c>
      <c r="F130" s="9">
        <v>35</v>
      </c>
      <c r="G130" s="9">
        <v>10.199999999999999</v>
      </c>
      <c r="H130" s="9">
        <v>1.35</v>
      </c>
      <c r="I130" s="9">
        <v>2.2200000000000002</v>
      </c>
      <c r="J130" s="78"/>
    </row>
    <row r="131" spans="1:10" x14ac:dyDescent="0.2">
      <c r="A131" s="9">
        <v>0</v>
      </c>
      <c r="B131" s="9">
        <v>22</v>
      </c>
      <c r="C131" s="9">
        <v>1</v>
      </c>
      <c r="D131" s="9">
        <v>4</v>
      </c>
      <c r="E131" s="9">
        <v>3</v>
      </c>
      <c r="F131" s="9">
        <v>14</v>
      </c>
      <c r="G131" s="9">
        <v>17.5</v>
      </c>
      <c r="H131" s="9">
        <v>0.23</v>
      </c>
      <c r="I131" s="9">
        <v>2.2200000000000002</v>
      </c>
      <c r="J131" s="78"/>
    </row>
    <row r="132" spans="1:10" x14ac:dyDescent="0.2">
      <c r="A132" s="9">
        <v>0</v>
      </c>
      <c r="B132" s="9">
        <v>45</v>
      </c>
      <c r="C132" s="9">
        <v>1</v>
      </c>
      <c r="D132" s="9">
        <v>12</v>
      </c>
      <c r="E132" s="9">
        <v>19</v>
      </c>
      <c r="F132" s="9">
        <v>37</v>
      </c>
      <c r="G132" s="9">
        <v>9.5</v>
      </c>
      <c r="H132" s="9">
        <v>1.34</v>
      </c>
      <c r="I132" s="9">
        <v>2.17</v>
      </c>
      <c r="J132" s="78"/>
    </row>
    <row r="133" spans="1:10" x14ac:dyDescent="0.2">
      <c r="A133" s="9">
        <v>0</v>
      </c>
      <c r="B133" s="9">
        <v>40</v>
      </c>
      <c r="C133" s="9">
        <v>1</v>
      </c>
      <c r="D133" s="9">
        <v>15</v>
      </c>
      <c r="E133" s="9">
        <v>14</v>
      </c>
      <c r="F133" s="9">
        <v>55</v>
      </c>
      <c r="G133" s="9">
        <v>5.5</v>
      </c>
      <c r="H133" s="9">
        <v>0.86</v>
      </c>
      <c r="I133" s="9">
        <v>2.17</v>
      </c>
      <c r="J133" s="78"/>
    </row>
    <row r="134" spans="1:10" x14ac:dyDescent="0.2">
      <c r="A134" s="9">
        <v>0</v>
      </c>
      <c r="B134" s="9">
        <v>41</v>
      </c>
      <c r="C134" s="9">
        <v>2</v>
      </c>
      <c r="D134" s="9">
        <v>5</v>
      </c>
      <c r="E134" s="9">
        <v>5</v>
      </c>
      <c r="F134" s="9">
        <v>25</v>
      </c>
      <c r="G134" s="9">
        <v>10.199999999999999</v>
      </c>
      <c r="H134" s="9">
        <v>0.39</v>
      </c>
      <c r="I134" s="9">
        <v>2.16</v>
      </c>
      <c r="J134" s="78"/>
    </row>
    <row r="135" spans="1:10" x14ac:dyDescent="0.2">
      <c r="A135" s="9">
        <v>0</v>
      </c>
      <c r="B135" s="9">
        <v>36</v>
      </c>
      <c r="C135" s="9">
        <v>1</v>
      </c>
      <c r="D135" s="9">
        <v>0</v>
      </c>
      <c r="E135" s="9">
        <v>13</v>
      </c>
      <c r="F135" s="9">
        <v>25</v>
      </c>
      <c r="G135" s="9">
        <v>19.7</v>
      </c>
      <c r="H135" s="9">
        <v>2.78</v>
      </c>
      <c r="I135" s="9">
        <v>2.15</v>
      </c>
      <c r="J135" s="78"/>
    </row>
    <row r="136" spans="1:10" x14ac:dyDescent="0.2">
      <c r="A136" s="9">
        <v>0</v>
      </c>
      <c r="B136" s="9">
        <v>31</v>
      </c>
      <c r="C136" s="9">
        <v>4</v>
      </c>
      <c r="D136" s="9">
        <v>1</v>
      </c>
      <c r="E136" s="9">
        <v>6</v>
      </c>
      <c r="F136" s="9">
        <v>29</v>
      </c>
      <c r="G136" s="9">
        <v>11.1</v>
      </c>
      <c r="H136" s="9">
        <v>1.07</v>
      </c>
      <c r="I136" s="9">
        <v>2.15</v>
      </c>
      <c r="J136" s="78"/>
    </row>
    <row r="137" spans="1:10" x14ac:dyDescent="0.2">
      <c r="A137" s="9">
        <v>1</v>
      </c>
      <c r="B137" s="9">
        <v>21</v>
      </c>
      <c r="C137" s="9">
        <v>2</v>
      </c>
      <c r="D137" s="9">
        <v>0</v>
      </c>
      <c r="E137" s="9">
        <v>2</v>
      </c>
      <c r="F137" s="9">
        <v>21</v>
      </c>
      <c r="G137" s="9">
        <v>12.5</v>
      </c>
      <c r="H137" s="9">
        <v>0.49</v>
      </c>
      <c r="I137" s="9">
        <v>2.14</v>
      </c>
      <c r="J137" s="78"/>
    </row>
    <row r="138" spans="1:10" x14ac:dyDescent="0.2">
      <c r="A138" s="9">
        <v>0</v>
      </c>
      <c r="B138" s="9">
        <v>30</v>
      </c>
      <c r="C138" s="9">
        <v>2</v>
      </c>
      <c r="D138" s="9">
        <v>10</v>
      </c>
      <c r="E138" s="9">
        <v>4</v>
      </c>
      <c r="F138" s="9">
        <v>22</v>
      </c>
      <c r="G138" s="9">
        <v>16.100000000000001</v>
      </c>
      <c r="H138" s="9">
        <v>1.41</v>
      </c>
      <c r="I138" s="9">
        <v>2.13</v>
      </c>
      <c r="J138" s="78"/>
    </row>
    <row r="139" spans="1:10" x14ac:dyDescent="0.2">
      <c r="A139" s="9">
        <v>0</v>
      </c>
      <c r="B139" s="9">
        <v>31</v>
      </c>
      <c r="C139" s="9">
        <v>1</v>
      </c>
      <c r="D139" s="9">
        <v>11</v>
      </c>
      <c r="E139" s="9">
        <v>8</v>
      </c>
      <c r="F139" s="9">
        <v>25</v>
      </c>
      <c r="G139" s="9">
        <v>9.1</v>
      </c>
      <c r="H139" s="9">
        <v>0.14000000000000001</v>
      </c>
      <c r="I139" s="9">
        <v>2.13</v>
      </c>
      <c r="J139" s="78"/>
    </row>
    <row r="140" spans="1:10" x14ac:dyDescent="0.2">
      <c r="A140" s="9">
        <v>1</v>
      </c>
      <c r="B140" s="9">
        <v>22</v>
      </c>
      <c r="C140" s="9">
        <v>1</v>
      </c>
      <c r="D140" s="9">
        <v>4</v>
      </c>
      <c r="E140" s="9">
        <v>2</v>
      </c>
      <c r="F140" s="9">
        <v>24</v>
      </c>
      <c r="G140" s="9">
        <v>15.6</v>
      </c>
      <c r="H140" s="9">
        <v>1.64</v>
      </c>
      <c r="I140" s="9">
        <v>2.11</v>
      </c>
      <c r="J140" s="78"/>
    </row>
    <row r="141" spans="1:10" x14ac:dyDescent="0.2">
      <c r="A141" s="9">
        <v>0</v>
      </c>
      <c r="B141" s="9">
        <v>40</v>
      </c>
      <c r="C141" s="9">
        <v>2</v>
      </c>
      <c r="D141" s="9">
        <v>3</v>
      </c>
      <c r="E141" s="9">
        <v>2</v>
      </c>
      <c r="F141" s="9">
        <v>28</v>
      </c>
      <c r="G141" s="9">
        <v>9.5</v>
      </c>
      <c r="H141" s="9">
        <v>0.55000000000000004</v>
      </c>
      <c r="I141" s="9">
        <v>2.11</v>
      </c>
      <c r="J141" s="78"/>
    </row>
    <row r="142" spans="1:10" x14ac:dyDescent="0.2">
      <c r="A142" s="9">
        <v>0</v>
      </c>
      <c r="B142" s="9">
        <v>30</v>
      </c>
      <c r="C142" s="9">
        <v>1</v>
      </c>
      <c r="D142" s="9">
        <v>11</v>
      </c>
      <c r="E142" s="9">
        <v>1</v>
      </c>
      <c r="F142" s="9">
        <v>33</v>
      </c>
      <c r="G142" s="9">
        <v>8.4</v>
      </c>
      <c r="H142" s="9">
        <v>0.68</v>
      </c>
      <c r="I142" s="9">
        <v>2.09</v>
      </c>
      <c r="J142" s="78"/>
    </row>
    <row r="143" spans="1:10" x14ac:dyDescent="0.2">
      <c r="A143" s="9">
        <v>1</v>
      </c>
      <c r="B143" s="9">
        <v>24</v>
      </c>
      <c r="C143" s="9">
        <v>2</v>
      </c>
      <c r="D143" s="9">
        <v>0</v>
      </c>
      <c r="E143" s="9">
        <v>2</v>
      </c>
      <c r="F143" s="9">
        <v>15</v>
      </c>
      <c r="G143" s="9">
        <v>16.100000000000001</v>
      </c>
      <c r="H143" s="9">
        <v>0.32</v>
      </c>
      <c r="I143" s="9">
        <v>2.09</v>
      </c>
      <c r="J143" s="78"/>
    </row>
    <row r="144" spans="1:10" x14ac:dyDescent="0.2">
      <c r="A144" s="9">
        <v>0</v>
      </c>
      <c r="B144" s="9">
        <v>31</v>
      </c>
      <c r="C144" s="9">
        <v>1</v>
      </c>
      <c r="D144" s="9">
        <v>15</v>
      </c>
      <c r="E144" s="9">
        <v>2</v>
      </c>
      <c r="F144" s="9">
        <v>60</v>
      </c>
      <c r="G144" s="9">
        <v>4.8</v>
      </c>
      <c r="H144" s="9">
        <v>0.8</v>
      </c>
      <c r="I144" s="9">
        <v>2.08</v>
      </c>
      <c r="J144" s="78"/>
    </row>
    <row r="145" spans="1:10" x14ac:dyDescent="0.2">
      <c r="A145" s="9">
        <v>0</v>
      </c>
      <c r="B145" s="9">
        <v>34</v>
      </c>
      <c r="C145" s="9">
        <v>2</v>
      </c>
      <c r="D145" s="9">
        <v>8</v>
      </c>
      <c r="E145" s="9">
        <v>6</v>
      </c>
      <c r="F145" s="9">
        <v>78</v>
      </c>
      <c r="G145" s="9">
        <v>5.4</v>
      </c>
      <c r="H145" s="9">
        <v>2.16</v>
      </c>
      <c r="I145" s="9">
        <v>2.06</v>
      </c>
      <c r="J145" s="78"/>
    </row>
    <row r="146" spans="1:10" x14ac:dyDescent="0.2">
      <c r="A146" s="9">
        <v>0</v>
      </c>
      <c r="B146" s="9">
        <v>29</v>
      </c>
      <c r="C146" s="9">
        <v>2</v>
      </c>
      <c r="D146" s="9">
        <v>1</v>
      </c>
      <c r="E146" s="9">
        <v>7</v>
      </c>
      <c r="F146" s="9">
        <v>25</v>
      </c>
      <c r="G146" s="9">
        <v>10.4</v>
      </c>
      <c r="H146" s="9">
        <v>0.56999999999999995</v>
      </c>
      <c r="I146" s="9">
        <v>2.0299999999999998</v>
      </c>
      <c r="J146" s="78"/>
    </row>
    <row r="147" spans="1:10" x14ac:dyDescent="0.2">
      <c r="A147" s="9">
        <v>0</v>
      </c>
      <c r="B147" s="9">
        <v>28</v>
      </c>
      <c r="C147" s="9">
        <v>2</v>
      </c>
      <c r="D147" s="9">
        <v>7</v>
      </c>
      <c r="E147" s="9">
        <v>2</v>
      </c>
      <c r="F147" s="9">
        <v>34</v>
      </c>
      <c r="G147" s="9">
        <v>7</v>
      </c>
      <c r="H147" s="9">
        <v>0.36</v>
      </c>
      <c r="I147" s="9">
        <v>2.02</v>
      </c>
      <c r="J147" s="78"/>
    </row>
    <row r="148" spans="1:10" x14ac:dyDescent="0.2">
      <c r="A148" s="9">
        <v>0</v>
      </c>
      <c r="B148" s="9">
        <v>25</v>
      </c>
      <c r="C148" s="9">
        <v>1</v>
      </c>
      <c r="D148" s="9">
        <v>5</v>
      </c>
      <c r="E148" s="9">
        <v>5</v>
      </c>
      <c r="F148" s="9">
        <v>22</v>
      </c>
      <c r="G148" s="9">
        <v>10.9</v>
      </c>
      <c r="H148" s="9">
        <v>0.4</v>
      </c>
      <c r="I148" s="9">
        <v>2</v>
      </c>
      <c r="J148" s="78"/>
    </row>
    <row r="149" spans="1:10" x14ac:dyDescent="0.2">
      <c r="A149" s="9">
        <v>0</v>
      </c>
      <c r="B149" s="9">
        <v>46</v>
      </c>
      <c r="C149" s="9">
        <v>1</v>
      </c>
      <c r="D149" s="9">
        <v>1</v>
      </c>
      <c r="E149" s="9">
        <v>12</v>
      </c>
      <c r="F149" s="9">
        <v>20</v>
      </c>
      <c r="G149" s="9">
        <v>14</v>
      </c>
      <c r="H149" s="9">
        <v>0.81</v>
      </c>
      <c r="I149" s="9">
        <v>1.99</v>
      </c>
      <c r="J149" s="78"/>
    </row>
    <row r="150" spans="1:10" x14ac:dyDescent="0.2">
      <c r="A150" s="9">
        <v>0</v>
      </c>
      <c r="B150" s="9">
        <v>37</v>
      </c>
      <c r="C150" s="9">
        <v>2</v>
      </c>
      <c r="D150" s="9">
        <v>11</v>
      </c>
      <c r="E150" s="9">
        <v>4</v>
      </c>
      <c r="F150" s="9">
        <v>75</v>
      </c>
      <c r="G150" s="9">
        <v>3.5</v>
      </c>
      <c r="H150" s="9">
        <v>0.63</v>
      </c>
      <c r="I150" s="9">
        <v>1.99</v>
      </c>
      <c r="J150" s="78"/>
    </row>
    <row r="151" spans="1:10" x14ac:dyDescent="0.2">
      <c r="A151" s="9">
        <v>1</v>
      </c>
      <c r="B151" s="9">
        <v>41</v>
      </c>
      <c r="C151" s="9">
        <v>3</v>
      </c>
      <c r="D151" s="9">
        <v>2</v>
      </c>
      <c r="E151" s="9">
        <v>0</v>
      </c>
      <c r="F151" s="9">
        <v>15</v>
      </c>
      <c r="G151" s="9">
        <v>26.3</v>
      </c>
      <c r="H151" s="9">
        <v>1.96</v>
      </c>
      <c r="I151" s="9">
        <v>1.98</v>
      </c>
      <c r="J151" s="78"/>
    </row>
    <row r="152" spans="1:10" x14ac:dyDescent="0.2">
      <c r="A152" s="9">
        <v>0</v>
      </c>
      <c r="B152" s="9">
        <v>37</v>
      </c>
      <c r="C152" s="9">
        <v>1</v>
      </c>
      <c r="D152" s="9">
        <v>4</v>
      </c>
      <c r="E152" s="9">
        <v>0</v>
      </c>
      <c r="F152" s="9">
        <v>23</v>
      </c>
      <c r="G152" s="9">
        <v>12.4</v>
      </c>
      <c r="H152" s="9">
        <v>0.87</v>
      </c>
      <c r="I152" s="9">
        <v>1.98</v>
      </c>
      <c r="J152" s="78"/>
    </row>
    <row r="153" spans="1:10" x14ac:dyDescent="0.2">
      <c r="A153" s="9">
        <v>0</v>
      </c>
      <c r="B153" s="9">
        <v>28</v>
      </c>
      <c r="C153" s="9">
        <v>2</v>
      </c>
      <c r="D153" s="9">
        <v>6</v>
      </c>
      <c r="E153" s="9">
        <v>7</v>
      </c>
      <c r="F153" s="9">
        <v>38</v>
      </c>
      <c r="G153" s="9">
        <v>7.2</v>
      </c>
      <c r="H153" s="9">
        <v>0.77</v>
      </c>
      <c r="I153" s="9">
        <v>1.96</v>
      </c>
      <c r="J153" s="78"/>
    </row>
    <row r="154" spans="1:10" x14ac:dyDescent="0.2">
      <c r="A154" s="9">
        <v>0</v>
      </c>
      <c r="B154" s="9">
        <v>28</v>
      </c>
      <c r="C154" s="9">
        <v>2</v>
      </c>
      <c r="D154" s="9">
        <v>5</v>
      </c>
      <c r="E154" s="9">
        <v>2</v>
      </c>
      <c r="F154" s="9">
        <v>37</v>
      </c>
      <c r="G154" s="9">
        <v>8.3000000000000007</v>
      </c>
      <c r="H154" s="9">
        <v>1.1200000000000001</v>
      </c>
      <c r="I154" s="9">
        <v>1.95</v>
      </c>
      <c r="J154" s="78"/>
    </row>
    <row r="155" spans="1:10" x14ac:dyDescent="0.2">
      <c r="A155" s="9">
        <v>0</v>
      </c>
      <c r="B155" s="9">
        <v>39</v>
      </c>
      <c r="C155" s="9">
        <v>1</v>
      </c>
      <c r="D155" s="9">
        <v>22</v>
      </c>
      <c r="E155" s="9">
        <v>9</v>
      </c>
      <c r="F155" s="9">
        <v>113</v>
      </c>
      <c r="G155" s="9">
        <v>2.6</v>
      </c>
      <c r="H155" s="9">
        <v>0.99</v>
      </c>
      <c r="I155" s="9">
        <v>1.95</v>
      </c>
      <c r="J155" s="78"/>
    </row>
    <row r="156" spans="1:10" x14ac:dyDescent="0.2">
      <c r="A156" s="9">
        <v>0</v>
      </c>
      <c r="B156" s="9">
        <v>39</v>
      </c>
      <c r="C156" s="9">
        <v>1</v>
      </c>
      <c r="D156" s="9">
        <v>4</v>
      </c>
      <c r="E156" s="9">
        <v>15</v>
      </c>
      <c r="F156" s="9">
        <v>33</v>
      </c>
      <c r="G156" s="9">
        <v>7</v>
      </c>
      <c r="H156" s="9">
        <v>0.4</v>
      </c>
      <c r="I156" s="9">
        <v>1.91</v>
      </c>
      <c r="J156" s="78"/>
    </row>
    <row r="157" spans="1:10" x14ac:dyDescent="0.2">
      <c r="A157" s="9">
        <v>0</v>
      </c>
      <c r="B157" s="9">
        <v>41</v>
      </c>
      <c r="C157" s="9">
        <v>2</v>
      </c>
      <c r="D157" s="9">
        <v>2</v>
      </c>
      <c r="E157" s="9">
        <v>22</v>
      </c>
      <c r="F157" s="9">
        <v>30</v>
      </c>
      <c r="G157" s="9">
        <v>6.7</v>
      </c>
      <c r="H157" s="9">
        <v>0.11</v>
      </c>
      <c r="I157" s="9">
        <v>1.9</v>
      </c>
      <c r="J157" s="78"/>
    </row>
    <row r="158" spans="1:10" x14ac:dyDescent="0.2">
      <c r="A158" s="9">
        <v>0</v>
      </c>
      <c r="B158" s="9">
        <v>45</v>
      </c>
      <c r="C158" s="9">
        <v>1</v>
      </c>
      <c r="D158" s="9">
        <v>10</v>
      </c>
      <c r="E158" s="9">
        <v>14</v>
      </c>
      <c r="F158" s="9">
        <v>52</v>
      </c>
      <c r="G158" s="9">
        <v>5.4</v>
      </c>
      <c r="H158" s="9">
        <v>0.93</v>
      </c>
      <c r="I158" s="9">
        <v>1.88</v>
      </c>
      <c r="J158" s="78"/>
    </row>
    <row r="159" spans="1:10" x14ac:dyDescent="0.2">
      <c r="A159" s="9">
        <v>0</v>
      </c>
      <c r="B159" s="9">
        <v>28</v>
      </c>
      <c r="C159" s="9">
        <v>2</v>
      </c>
      <c r="D159" s="9">
        <v>6</v>
      </c>
      <c r="E159" s="9">
        <v>9</v>
      </c>
      <c r="F159" s="9">
        <v>22</v>
      </c>
      <c r="G159" s="9">
        <v>11.5</v>
      </c>
      <c r="H159" s="9">
        <v>0.65</v>
      </c>
      <c r="I159" s="9">
        <v>1.88</v>
      </c>
      <c r="J159" s="78"/>
    </row>
    <row r="160" spans="1:10" x14ac:dyDescent="0.2">
      <c r="A160" s="9">
        <v>0</v>
      </c>
      <c r="B160" s="9">
        <v>21</v>
      </c>
      <c r="C160" s="9">
        <v>1</v>
      </c>
      <c r="D160" s="9">
        <v>5</v>
      </c>
      <c r="E160" s="9">
        <v>1</v>
      </c>
      <c r="F160" s="9">
        <v>25</v>
      </c>
      <c r="G160" s="9">
        <v>9</v>
      </c>
      <c r="H160" s="9">
        <v>0.37</v>
      </c>
      <c r="I160" s="9">
        <v>1.88</v>
      </c>
      <c r="J160" s="78"/>
    </row>
    <row r="161" spans="1:10" x14ac:dyDescent="0.2">
      <c r="A161" s="9">
        <v>0</v>
      </c>
      <c r="B161" s="9">
        <v>50</v>
      </c>
      <c r="C161" s="9">
        <v>1</v>
      </c>
      <c r="D161" s="9">
        <v>1</v>
      </c>
      <c r="E161" s="9">
        <v>26</v>
      </c>
      <c r="F161" s="9">
        <v>26</v>
      </c>
      <c r="G161" s="9">
        <v>14.3</v>
      </c>
      <c r="H161" s="9">
        <v>1.85</v>
      </c>
      <c r="I161" s="9">
        <v>1.87</v>
      </c>
      <c r="J161" s="78"/>
    </row>
    <row r="162" spans="1:10" x14ac:dyDescent="0.2">
      <c r="A162" s="9">
        <v>1</v>
      </c>
      <c r="B162" s="9">
        <v>31</v>
      </c>
      <c r="C162" s="9">
        <v>1</v>
      </c>
      <c r="D162" s="9">
        <v>2</v>
      </c>
      <c r="E162" s="9">
        <v>2</v>
      </c>
      <c r="F162" s="9">
        <v>22</v>
      </c>
      <c r="G162" s="9">
        <v>16.399999999999999</v>
      </c>
      <c r="H162" s="9">
        <v>1.74</v>
      </c>
      <c r="I162" s="9">
        <v>1.87</v>
      </c>
      <c r="J162" s="78"/>
    </row>
    <row r="163" spans="1:10" x14ac:dyDescent="0.2">
      <c r="A163" s="9">
        <v>1</v>
      </c>
      <c r="B163" s="9">
        <v>27</v>
      </c>
      <c r="C163" s="9">
        <v>2</v>
      </c>
      <c r="D163" s="9">
        <v>4</v>
      </c>
      <c r="E163" s="9">
        <v>3</v>
      </c>
      <c r="F163" s="9">
        <v>22</v>
      </c>
      <c r="G163" s="9">
        <v>13.2</v>
      </c>
      <c r="H163" s="9">
        <v>1.0900000000000001</v>
      </c>
      <c r="I163" s="9">
        <v>1.82</v>
      </c>
      <c r="J163" s="78"/>
    </row>
    <row r="164" spans="1:10" x14ac:dyDescent="0.2">
      <c r="A164" s="9">
        <v>0</v>
      </c>
      <c r="B164" s="9">
        <v>47</v>
      </c>
      <c r="C164" s="9">
        <v>1</v>
      </c>
      <c r="D164" s="9">
        <v>17</v>
      </c>
      <c r="E164" s="9">
        <v>21</v>
      </c>
      <c r="F164" s="9">
        <v>43</v>
      </c>
      <c r="G164" s="9">
        <v>5.6</v>
      </c>
      <c r="H164" s="9">
        <v>0.59</v>
      </c>
      <c r="I164" s="9">
        <v>1.82</v>
      </c>
      <c r="J164" s="78"/>
    </row>
    <row r="165" spans="1:10" x14ac:dyDescent="0.2">
      <c r="A165" s="9">
        <v>0</v>
      </c>
      <c r="B165" s="9">
        <v>46</v>
      </c>
      <c r="C165" s="9">
        <v>1</v>
      </c>
      <c r="D165" s="9">
        <v>6</v>
      </c>
      <c r="E165" s="9">
        <v>19</v>
      </c>
      <c r="F165" s="9">
        <v>31</v>
      </c>
      <c r="G165" s="9">
        <v>12.2</v>
      </c>
      <c r="H165" s="9">
        <v>1.99</v>
      </c>
      <c r="I165" s="9">
        <v>1.8</v>
      </c>
      <c r="J165" s="78"/>
    </row>
    <row r="166" spans="1:10" x14ac:dyDescent="0.2">
      <c r="A166" s="9">
        <v>0</v>
      </c>
      <c r="B166" s="9">
        <v>31</v>
      </c>
      <c r="C166" s="9">
        <v>1</v>
      </c>
      <c r="D166" s="9">
        <v>8</v>
      </c>
      <c r="E166" s="9">
        <v>4</v>
      </c>
      <c r="F166" s="9">
        <v>44</v>
      </c>
      <c r="G166" s="9">
        <v>8</v>
      </c>
      <c r="H166" s="9">
        <v>1.72</v>
      </c>
      <c r="I166" s="9">
        <v>1.8</v>
      </c>
      <c r="J166" s="78"/>
    </row>
    <row r="167" spans="1:10" x14ac:dyDescent="0.2">
      <c r="A167" s="9">
        <v>1</v>
      </c>
      <c r="B167" s="9">
        <v>29</v>
      </c>
      <c r="C167" s="9">
        <v>2</v>
      </c>
      <c r="D167" s="9">
        <v>0</v>
      </c>
      <c r="E167" s="9">
        <v>8</v>
      </c>
      <c r="F167" s="9">
        <v>22</v>
      </c>
      <c r="G167" s="9">
        <v>12.9</v>
      </c>
      <c r="H167" s="9">
        <v>1.04</v>
      </c>
      <c r="I167" s="9">
        <v>1.8</v>
      </c>
      <c r="J167" s="78"/>
    </row>
    <row r="168" spans="1:10" x14ac:dyDescent="0.2">
      <c r="A168" s="9">
        <v>0</v>
      </c>
      <c r="B168" s="9">
        <v>27</v>
      </c>
      <c r="C168" s="9">
        <v>3</v>
      </c>
      <c r="D168" s="9">
        <v>6</v>
      </c>
      <c r="E168" s="9">
        <v>4</v>
      </c>
      <c r="F168" s="9">
        <v>26</v>
      </c>
      <c r="G168" s="9">
        <v>10.4</v>
      </c>
      <c r="H168" s="9">
        <v>0.93</v>
      </c>
      <c r="I168" s="9">
        <v>1.77</v>
      </c>
      <c r="J168" s="78"/>
    </row>
    <row r="169" spans="1:10" x14ac:dyDescent="0.2">
      <c r="A169" s="9">
        <v>0</v>
      </c>
      <c r="B169" s="9">
        <v>27</v>
      </c>
      <c r="C169" s="9">
        <v>2</v>
      </c>
      <c r="D169" s="9">
        <v>8</v>
      </c>
      <c r="E169" s="9">
        <v>7</v>
      </c>
      <c r="F169" s="9">
        <v>18</v>
      </c>
      <c r="G169" s="9">
        <v>11.9</v>
      </c>
      <c r="H169" s="9">
        <v>0.4</v>
      </c>
      <c r="I169" s="9">
        <v>1.74</v>
      </c>
      <c r="J169" s="78"/>
    </row>
    <row r="170" spans="1:10" x14ac:dyDescent="0.2">
      <c r="A170" s="9">
        <v>0</v>
      </c>
      <c r="B170" s="9">
        <v>30</v>
      </c>
      <c r="C170" s="9">
        <v>1</v>
      </c>
      <c r="D170" s="9">
        <v>0</v>
      </c>
      <c r="E170" s="9">
        <v>11</v>
      </c>
      <c r="F170" s="9">
        <v>17</v>
      </c>
      <c r="G170" s="9">
        <v>12</v>
      </c>
      <c r="H170" s="9">
        <v>0.3</v>
      </c>
      <c r="I170" s="9">
        <v>1.74</v>
      </c>
      <c r="J170" s="78"/>
    </row>
    <row r="171" spans="1:10" x14ac:dyDescent="0.2">
      <c r="A171" s="9">
        <v>1</v>
      </c>
      <c r="B171" s="9">
        <v>46</v>
      </c>
      <c r="C171" s="9">
        <v>1</v>
      </c>
      <c r="D171" s="9">
        <v>1</v>
      </c>
      <c r="E171" s="9">
        <v>15</v>
      </c>
      <c r="F171" s="9">
        <v>21</v>
      </c>
      <c r="G171" s="9">
        <v>14.8</v>
      </c>
      <c r="H171" s="9">
        <v>1.38</v>
      </c>
      <c r="I171" s="9">
        <v>1.73</v>
      </c>
      <c r="J171" s="78"/>
    </row>
    <row r="172" spans="1:10" x14ac:dyDescent="0.2">
      <c r="A172" s="9">
        <v>0</v>
      </c>
      <c r="B172" s="9">
        <v>27</v>
      </c>
      <c r="C172" s="9">
        <v>1</v>
      </c>
      <c r="D172" s="9">
        <v>7</v>
      </c>
      <c r="E172" s="9">
        <v>4</v>
      </c>
      <c r="F172" s="9">
        <v>26</v>
      </c>
      <c r="G172" s="9">
        <v>9.1</v>
      </c>
      <c r="H172" s="9">
        <v>0.64</v>
      </c>
      <c r="I172" s="9">
        <v>1.72</v>
      </c>
      <c r="J172" s="78"/>
    </row>
    <row r="173" spans="1:10" x14ac:dyDescent="0.2">
      <c r="A173" s="9">
        <v>0</v>
      </c>
      <c r="B173" s="9">
        <v>23</v>
      </c>
      <c r="C173" s="9">
        <v>1</v>
      </c>
      <c r="D173" s="9">
        <v>7</v>
      </c>
      <c r="E173" s="9">
        <v>2</v>
      </c>
      <c r="F173" s="9">
        <v>31</v>
      </c>
      <c r="G173" s="9">
        <v>6.6</v>
      </c>
      <c r="H173" s="9">
        <v>0.34</v>
      </c>
      <c r="I173" s="9">
        <v>1.71</v>
      </c>
      <c r="J173" s="78"/>
    </row>
    <row r="174" spans="1:10" x14ac:dyDescent="0.2">
      <c r="A174" s="9">
        <v>1</v>
      </c>
      <c r="B174" s="9">
        <v>26</v>
      </c>
      <c r="C174" s="9">
        <v>2</v>
      </c>
      <c r="D174" s="9">
        <v>2</v>
      </c>
      <c r="E174" s="9">
        <v>6</v>
      </c>
      <c r="F174" s="9">
        <v>24</v>
      </c>
      <c r="G174" s="9">
        <v>13.6</v>
      </c>
      <c r="H174" s="9">
        <v>1.58</v>
      </c>
      <c r="I174" s="9">
        <v>1.69</v>
      </c>
      <c r="J174" s="78"/>
    </row>
    <row r="175" spans="1:10" x14ac:dyDescent="0.2">
      <c r="A175" s="9">
        <v>1</v>
      </c>
      <c r="B175" s="9">
        <v>27</v>
      </c>
      <c r="C175" s="9">
        <v>2</v>
      </c>
      <c r="D175" s="9">
        <v>1</v>
      </c>
      <c r="E175" s="9">
        <v>0</v>
      </c>
      <c r="F175" s="9">
        <v>20</v>
      </c>
      <c r="G175" s="9">
        <v>10.3</v>
      </c>
      <c r="H175" s="9">
        <v>0.38</v>
      </c>
      <c r="I175" s="9">
        <v>1.68</v>
      </c>
      <c r="J175" s="78"/>
    </row>
    <row r="176" spans="1:10" x14ac:dyDescent="0.2">
      <c r="A176" s="9">
        <v>0</v>
      </c>
      <c r="B176" s="9">
        <v>32</v>
      </c>
      <c r="C176" s="9">
        <v>1</v>
      </c>
      <c r="D176" s="9">
        <v>11</v>
      </c>
      <c r="E176" s="9">
        <v>2</v>
      </c>
      <c r="F176" s="9">
        <v>53</v>
      </c>
      <c r="G176" s="9">
        <v>3.3</v>
      </c>
      <c r="H176" s="9">
        <v>0.09</v>
      </c>
      <c r="I176" s="9">
        <v>1.66</v>
      </c>
      <c r="J176" s="78"/>
    </row>
    <row r="177" spans="1:10" x14ac:dyDescent="0.2">
      <c r="A177" s="9">
        <v>1</v>
      </c>
      <c r="B177" s="9">
        <v>29</v>
      </c>
      <c r="C177" s="9">
        <v>1</v>
      </c>
      <c r="D177" s="9">
        <v>13</v>
      </c>
      <c r="E177" s="9">
        <v>1</v>
      </c>
      <c r="F177" s="9">
        <v>42</v>
      </c>
      <c r="G177" s="9">
        <v>7.4</v>
      </c>
      <c r="H177" s="9">
        <v>1.46</v>
      </c>
      <c r="I177" s="9">
        <v>1.65</v>
      </c>
      <c r="J177" s="78"/>
    </row>
    <row r="178" spans="1:10" x14ac:dyDescent="0.2">
      <c r="A178" s="9">
        <v>0</v>
      </c>
      <c r="B178" s="9">
        <v>36</v>
      </c>
      <c r="C178" s="9">
        <v>1</v>
      </c>
      <c r="D178" s="9">
        <v>17</v>
      </c>
      <c r="E178" s="9">
        <v>6</v>
      </c>
      <c r="F178" s="9">
        <v>54</v>
      </c>
      <c r="G178" s="9">
        <v>4.4000000000000004</v>
      </c>
      <c r="H178" s="9">
        <v>0.73</v>
      </c>
      <c r="I178" s="9">
        <v>1.65</v>
      </c>
      <c r="J178" s="78"/>
    </row>
    <row r="179" spans="1:10" x14ac:dyDescent="0.2">
      <c r="A179" s="9">
        <v>0</v>
      </c>
      <c r="B179" s="9">
        <v>34</v>
      </c>
      <c r="C179" s="9">
        <v>1</v>
      </c>
      <c r="D179" s="9">
        <v>5</v>
      </c>
      <c r="E179" s="9">
        <v>3</v>
      </c>
      <c r="F179" s="9">
        <v>33</v>
      </c>
      <c r="G179" s="9">
        <v>7.3</v>
      </c>
      <c r="H179" s="9">
        <v>0.78</v>
      </c>
      <c r="I179" s="9">
        <v>1.63</v>
      </c>
      <c r="J179" s="78"/>
    </row>
    <row r="180" spans="1:10" x14ac:dyDescent="0.2">
      <c r="A180" s="9">
        <v>0</v>
      </c>
      <c r="B180" s="9">
        <v>35</v>
      </c>
      <c r="C180" s="9">
        <v>2</v>
      </c>
      <c r="D180" s="9">
        <v>9</v>
      </c>
      <c r="E180" s="9">
        <v>16</v>
      </c>
      <c r="F180" s="9">
        <v>30</v>
      </c>
      <c r="G180" s="9">
        <v>7.6</v>
      </c>
      <c r="H180" s="9">
        <v>0.65</v>
      </c>
      <c r="I180" s="9">
        <v>1.63</v>
      </c>
      <c r="J180" s="78"/>
    </row>
    <row r="181" spans="1:10" x14ac:dyDescent="0.2">
      <c r="A181" s="9">
        <v>1</v>
      </c>
      <c r="B181" s="9">
        <v>23</v>
      </c>
      <c r="C181" s="9">
        <v>2</v>
      </c>
      <c r="D181" s="9">
        <v>0</v>
      </c>
      <c r="E181" s="9">
        <v>2</v>
      </c>
      <c r="F181" s="9">
        <v>21</v>
      </c>
      <c r="G181" s="9">
        <v>11.4</v>
      </c>
      <c r="H181" s="9">
        <v>0.78</v>
      </c>
      <c r="I181" s="9">
        <v>1.62</v>
      </c>
      <c r="J181" s="78"/>
    </row>
    <row r="182" spans="1:10" x14ac:dyDescent="0.2">
      <c r="A182" s="9">
        <v>0</v>
      </c>
      <c r="B182" s="9">
        <v>29</v>
      </c>
      <c r="C182" s="9">
        <v>1</v>
      </c>
      <c r="D182" s="9">
        <v>7</v>
      </c>
      <c r="E182" s="9">
        <v>9</v>
      </c>
      <c r="F182" s="9">
        <v>22</v>
      </c>
      <c r="G182" s="9">
        <v>9.6999999999999993</v>
      </c>
      <c r="H182" s="9">
        <v>0.55000000000000004</v>
      </c>
      <c r="I182" s="9">
        <v>1.58</v>
      </c>
      <c r="J182" s="78"/>
    </row>
    <row r="183" spans="1:10" x14ac:dyDescent="0.2">
      <c r="A183" s="9">
        <v>0</v>
      </c>
      <c r="B183" s="9">
        <v>24</v>
      </c>
      <c r="C183" s="9">
        <v>2</v>
      </c>
      <c r="D183" s="9">
        <v>1</v>
      </c>
      <c r="E183" s="9">
        <v>2</v>
      </c>
      <c r="F183" s="9">
        <v>42</v>
      </c>
      <c r="G183" s="9">
        <v>5.7</v>
      </c>
      <c r="H183" s="9">
        <v>0.84</v>
      </c>
      <c r="I183" s="9">
        <v>1.56</v>
      </c>
      <c r="J183" s="78"/>
    </row>
    <row r="184" spans="1:10" x14ac:dyDescent="0.2">
      <c r="A184" s="9">
        <v>1</v>
      </c>
      <c r="B184" s="9">
        <v>38</v>
      </c>
      <c r="C184" s="9">
        <v>3</v>
      </c>
      <c r="D184" s="9">
        <v>4</v>
      </c>
      <c r="E184" s="9">
        <v>6</v>
      </c>
      <c r="F184" s="9">
        <v>31</v>
      </c>
      <c r="G184" s="9">
        <v>9.3000000000000007</v>
      </c>
      <c r="H184" s="9">
        <v>1.33</v>
      </c>
      <c r="I184" s="9">
        <v>1.55</v>
      </c>
      <c r="J184" s="78"/>
    </row>
    <row r="185" spans="1:10" x14ac:dyDescent="0.2">
      <c r="A185" s="9">
        <v>1</v>
      </c>
      <c r="B185" s="9">
        <v>24</v>
      </c>
      <c r="C185" s="9">
        <v>1</v>
      </c>
      <c r="D185" s="9">
        <v>0</v>
      </c>
      <c r="E185" s="9">
        <v>2</v>
      </c>
      <c r="F185" s="9">
        <v>16</v>
      </c>
      <c r="G185" s="9">
        <v>16</v>
      </c>
      <c r="H185" s="9">
        <v>1.01</v>
      </c>
      <c r="I185" s="9">
        <v>1.55</v>
      </c>
      <c r="J185" s="78"/>
    </row>
    <row r="186" spans="1:10" x14ac:dyDescent="0.2">
      <c r="A186" s="9">
        <v>0</v>
      </c>
      <c r="B186" s="9">
        <v>26</v>
      </c>
      <c r="C186" s="9">
        <v>1</v>
      </c>
      <c r="D186" s="9">
        <v>6</v>
      </c>
      <c r="E186" s="9">
        <v>0</v>
      </c>
      <c r="F186" s="9">
        <v>22</v>
      </c>
      <c r="G186" s="9">
        <v>10.3</v>
      </c>
      <c r="H186" s="9">
        <v>0.72</v>
      </c>
      <c r="I186" s="9">
        <v>1.55</v>
      </c>
      <c r="J186" s="78"/>
    </row>
    <row r="187" spans="1:10" x14ac:dyDescent="0.2">
      <c r="A187" s="9">
        <v>0</v>
      </c>
      <c r="B187" s="9">
        <v>45</v>
      </c>
      <c r="C187" s="9">
        <v>1</v>
      </c>
      <c r="D187" s="9">
        <v>23</v>
      </c>
      <c r="E187" s="9">
        <v>5</v>
      </c>
      <c r="F187" s="9">
        <v>50</v>
      </c>
      <c r="G187" s="9">
        <v>4.2</v>
      </c>
      <c r="H187" s="9">
        <v>0.56000000000000005</v>
      </c>
      <c r="I187" s="9">
        <v>1.54</v>
      </c>
      <c r="J187" s="78"/>
    </row>
    <row r="188" spans="1:10" x14ac:dyDescent="0.2">
      <c r="A188" s="9">
        <v>0</v>
      </c>
      <c r="B188" s="9">
        <v>37</v>
      </c>
      <c r="C188" s="9">
        <v>1</v>
      </c>
      <c r="D188" s="9">
        <v>13</v>
      </c>
      <c r="E188" s="9">
        <v>5</v>
      </c>
      <c r="F188" s="9">
        <v>24</v>
      </c>
      <c r="G188" s="9">
        <v>8.9</v>
      </c>
      <c r="H188" s="9">
        <v>0.6</v>
      </c>
      <c r="I188" s="9">
        <v>1.53</v>
      </c>
      <c r="J188" s="78"/>
    </row>
    <row r="189" spans="1:10" x14ac:dyDescent="0.2">
      <c r="A189" s="9">
        <v>0</v>
      </c>
      <c r="B189" s="9">
        <v>39</v>
      </c>
      <c r="C189" s="9">
        <v>1</v>
      </c>
      <c r="D189" s="9">
        <v>9</v>
      </c>
      <c r="E189" s="9">
        <v>6</v>
      </c>
      <c r="F189" s="9">
        <v>35</v>
      </c>
      <c r="G189" s="9">
        <v>5</v>
      </c>
      <c r="H189" s="9">
        <v>0.23</v>
      </c>
      <c r="I189" s="9">
        <v>1.52</v>
      </c>
      <c r="J189" s="78"/>
    </row>
    <row r="190" spans="1:10" x14ac:dyDescent="0.2">
      <c r="A190" s="9">
        <v>0</v>
      </c>
      <c r="B190" s="9">
        <v>33</v>
      </c>
      <c r="C190" s="9">
        <v>1</v>
      </c>
      <c r="D190" s="9">
        <v>12</v>
      </c>
      <c r="E190" s="9">
        <v>11</v>
      </c>
      <c r="F190" s="9">
        <v>32</v>
      </c>
      <c r="G190" s="9">
        <v>11.3</v>
      </c>
      <c r="H190" s="9">
        <v>2.1</v>
      </c>
      <c r="I190" s="9">
        <v>1.51</v>
      </c>
      <c r="J190" s="78"/>
    </row>
    <row r="191" spans="1:10" x14ac:dyDescent="0.2">
      <c r="A191" s="9">
        <v>0</v>
      </c>
      <c r="B191" s="9">
        <v>45</v>
      </c>
      <c r="C191" s="9">
        <v>6</v>
      </c>
      <c r="D191" s="9">
        <v>16</v>
      </c>
      <c r="E191" s="9">
        <v>21</v>
      </c>
      <c r="F191" s="9">
        <v>80</v>
      </c>
      <c r="G191" s="9">
        <v>3</v>
      </c>
      <c r="H191" s="9">
        <v>0.91</v>
      </c>
      <c r="I191" s="9">
        <v>1.49</v>
      </c>
      <c r="J191" s="78"/>
    </row>
    <row r="192" spans="1:10" x14ac:dyDescent="0.2">
      <c r="A192" s="9">
        <v>0</v>
      </c>
      <c r="B192" s="9">
        <v>49</v>
      </c>
      <c r="C192" s="9">
        <v>1</v>
      </c>
      <c r="D192" s="9">
        <v>11</v>
      </c>
      <c r="E192" s="9">
        <v>5</v>
      </c>
      <c r="F192" s="9">
        <v>39</v>
      </c>
      <c r="G192" s="9">
        <v>10.1</v>
      </c>
      <c r="H192" s="9">
        <v>2.46</v>
      </c>
      <c r="I192" s="9">
        <v>1.48</v>
      </c>
      <c r="J192" s="78"/>
    </row>
    <row r="193" spans="1:10" x14ac:dyDescent="0.2">
      <c r="A193" s="9">
        <v>0</v>
      </c>
      <c r="B193" s="9">
        <v>41</v>
      </c>
      <c r="C193" s="9">
        <v>1</v>
      </c>
      <c r="D193" s="9">
        <v>4</v>
      </c>
      <c r="E193" s="9">
        <v>19</v>
      </c>
      <c r="F193" s="9">
        <v>25</v>
      </c>
      <c r="G193" s="9">
        <v>10.1</v>
      </c>
      <c r="H193" s="9">
        <v>1.06</v>
      </c>
      <c r="I193" s="9">
        <v>1.46</v>
      </c>
      <c r="J193" s="78"/>
    </row>
    <row r="194" spans="1:10" x14ac:dyDescent="0.2">
      <c r="A194" s="9">
        <v>0</v>
      </c>
      <c r="B194" s="9">
        <v>46</v>
      </c>
      <c r="C194" s="9">
        <v>3</v>
      </c>
      <c r="D194" s="9">
        <v>22</v>
      </c>
      <c r="E194" s="9">
        <v>4</v>
      </c>
      <c r="F194" s="9">
        <v>99</v>
      </c>
      <c r="G194" s="9">
        <v>2.2999999999999998</v>
      </c>
      <c r="H194" s="9">
        <v>0.83</v>
      </c>
      <c r="I194" s="9">
        <v>1.45</v>
      </c>
      <c r="J194" s="78"/>
    </row>
    <row r="195" spans="1:10" x14ac:dyDescent="0.2">
      <c r="A195" s="9">
        <v>0</v>
      </c>
      <c r="B195" s="9">
        <v>45</v>
      </c>
      <c r="C195" s="9">
        <v>3</v>
      </c>
      <c r="D195" s="9">
        <v>2</v>
      </c>
      <c r="E195" s="9">
        <v>5</v>
      </c>
      <c r="F195" s="9">
        <v>39</v>
      </c>
      <c r="G195" s="9">
        <v>4.9000000000000004</v>
      </c>
      <c r="H195" s="9">
        <v>0.46</v>
      </c>
      <c r="I195" s="9">
        <v>1.45</v>
      </c>
      <c r="J195" s="78"/>
    </row>
    <row r="196" spans="1:10" x14ac:dyDescent="0.2">
      <c r="A196" s="9">
        <v>1</v>
      </c>
      <c r="B196" s="9">
        <v>35</v>
      </c>
      <c r="C196" s="9">
        <v>3</v>
      </c>
      <c r="D196" s="9">
        <v>5</v>
      </c>
      <c r="E196" s="9">
        <v>3</v>
      </c>
      <c r="F196" s="9">
        <v>37</v>
      </c>
      <c r="G196" s="9">
        <v>5.4</v>
      </c>
      <c r="H196" s="9">
        <v>0.57999999999999996</v>
      </c>
      <c r="I196" s="9">
        <v>1.42</v>
      </c>
      <c r="J196" s="78"/>
    </row>
    <row r="197" spans="1:10" x14ac:dyDescent="0.2">
      <c r="A197" s="9">
        <v>0</v>
      </c>
      <c r="B197" s="9">
        <v>45</v>
      </c>
      <c r="C197" s="9">
        <v>2</v>
      </c>
      <c r="D197" s="9">
        <v>21</v>
      </c>
      <c r="E197" s="9">
        <v>26</v>
      </c>
      <c r="F197" s="13"/>
      <c r="G197" s="9">
        <v>3</v>
      </c>
      <c r="H197" s="9">
        <v>2.56</v>
      </c>
      <c r="I197" s="9">
        <v>1.4</v>
      </c>
      <c r="J197" s="78"/>
    </row>
    <row r="198" spans="1:10" x14ac:dyDescent="0.2">
      <c r="A198" s="9">
        <v>0</v>
      </c>
      <c r="B198" s="9">
        <v>42</v>
      </c>
      <c r="C198" s="9">
        <v>3</v>
      </c>
      <c r="D198" s="9">
        <v>13</v>
      </c>
      <c r="E198" s="9">
        <v>0</v>
      </c>
      <c r="F198" s="9">
        <v>82</v>
      </c>
      <c r="G198" s="9">
        <v>3.3</v>
      </c>
      <c r="H198" s="9">
        <v>1.32</v>
      </c>
      <c r="I198" s="9">
        <v>1.39</v>
      </c>
      <c r="J198" s="78"/>
    </row>
    <row r="199" spans="1:10" x14ac:dyDescent="0.2">
      <c r="A199" s="9">
        <v>0</v>
      </c>
      <c r="B199" s="9">
        <v>34</v>
      </c>
      <c r="C199" s="9">
        <v>1</v>
      </c>
      <c r="D199" s="9">
        <v>0</v>
      </c>
      <c r="E199" s="9">
        <v>10</v>
      </c>
      <c r="F199" s="9">
        <v>20</v>
      </c>
      <c r="G199" s="9">
        <v>17.100000000000001</v>
      </c>
      <c r="H199" s="9">
        <v>2.0499999999999998</v>
      </c>
      <c r="I199" s="9">
        <v>1.37</v>
      </c>
      <c r="J199" s="78"/>
    </row>
    <row r="200" spans="1:10" x14ac:dyDescent="0.2">
      <c r="A200" s="9">
        <v>0</v>
      </c>
      <c r="B200" s="9">
        <v>38</v>
      </c>
      <c r="C200" s="9">
        <v>1</v>
      </c>
      <c r="D200" s="9">
        <v>18</v>
      </c>
      <c r="E200" s="9">
        <v>19</v>
      </c>
      <c r="F200" s="9">
        <v>44</v>
      </c>
      <c r="G200" s="9">
        <v>4.5</v>
      </c>
      <c r="H200" s="9">
        <v>0.61</v>
      </c>
      <c r="I200" s="9">
        <v>1.37</v>
      </c>
      <c r="J200" s="78"/>
    </row>
    <row r="201" spans="1:10" x14ac:dyDescent="0.2">
      <c r="A201" s="9">
        <v>0</v>
      </c>
      <c r="B201" s="9">
        <v>23</v>
      </c>
      <c r="C201" s="9">
        <v>2</v>
      </c>
      <c r="D201" s="9">
        <v>0</v>
      </c>
      <c r="E201" s="9">
        <v>4</v>
      </c>
      <c r="F201" s="9">
        <v>21</v>
      </c>
      <c r="G201" s="9">
        <v>8.6999999999999993</v>
      </c>
      <c r="H201" s="9">
        <v>0.45</v>
      </c>
      <c r="I201" s="9">
        <v>1.37</v>
      </c>
      <c r="J201" s="78"/>
    </row>
    <row r="202" spans="1:10" x14ac:dyDescent="0.2">
      <c r="A202" s="9">
        <v>0</v>
      </c>
      <c r="B202" s="9">
        <v>32</v>
      </c>
      <c r="C202" s="9">
        <v>1</v>
      </c>
      <c r="D202" s="9">
        <v>3</v>
      </c>
      <c r="E202" s="9">
        <v>10</v>
      </c>
      <c r="F202" s="9">
        <v>23</v>
      </c>
      <c r="G202" s="9">
        <v>6.2</v>
      </c>
      <c r="H202" s="9">
        <v>0.05</v>
      </c>
      <c r="I202" s="9">
        <v>1.37</v>
      </c>
      <c r="J202" s="78"/>
    </row>
    <row r="203" spans="1:10" x14ac:dyDescent="0.2">
      <c r="A203" s="9">
        <v>0</v>
      </c>
      <c r="B203" s="9">
        <v>35</v>
      </c>
      <c r="C203" s="9">
        <v>4</v>
      </c>
      <c r="D203" s="9">
        <v>4</v>
      </c>
      <c r="E203" s="9">
        <v>16</v>
      </c>
      <c r="F203" s="9">
        <v>29</v>
      </c>
      <c r="G203" s="9">
        <v>11</v>
      </c>
      <c r="H203" s="9">
        <v>1.84</v>
      </c>
      <c r="I203" s="9">
        <v>1.35</v>
      </c>
      <c r="J203" s="78"/>
    </row>
    <row r="204" spans="1:10" x14ac:dyDescent="0.2">
      <c r="A204" s="9">
        <v>0</v>
      </c>
      <c r="B204" s="9">
        <v>33</v>
      </c>
      <c r="C204" s="9">
        <v>1</v>
      </c>
      <c r="D204" s="9">
        <v>5</v>
      </c>
      <c r="E204" s="9">
        <v>10</v>
      </c>
      <c r="F204" s="9">
        <v>18</v>
      </c>
      <c r="G204" s="9">
        <v>12.9</v>
      </c>
      <c r="H204" s="9">
        <v>0.98</v>
      </c>
      <c r="I204" s="9">
        <v>1.34</v>
      </c>
      <c r="J204" s="78"/>
    </row>
    <row r="205" spans="1:10" x14ac:dyDescent="0.2">
      <c r="A205" s="9">
        <v>1</v>
      </c>
      <c r="B205" s="9">
        <v>25</v>
      </c>
      <c r="C205" s="9">
        <v>1</v>
      </c>
      <c r="D205" s="9">
        <v>1</v>
      </c>
      <c r="E205" s="9">
        <v>6</v>
      </c>
      <c r="F205" s="9">
        <v>15</v>
      </c>
      <c r="G205" s="9">
        <v>11.4</v>
      </c>
      <c r="H205" s="9">
        <v>0.37</v>
      </c>
      <c r="I205" s="9">
        <v>1.34</v>
      </c>
      <c r="J205" s="78"/>
    </row>
    <row r="206" spans="1:10" x14ac:dyDescent="0.2">
      <c r="A206" s="9">
        <v>0</v>
      </c>
      <c r="B206" s="9">
        <v>26</v>
      </c>
      <c r="C206" s="9">
        <v>2</v>
      </c>
      <c r="D206" s="9">
        <v>0</v>
      </c>
      <c r="E206" s="9">
        <v>7</v>
      </c>
      <c r="F206" s="9">
        <v>28</v>
      </c>
      <c r="G206" s="9">
        <v>9.3000000000000007</v>
      </c>
      <c r="H206" s="9">
        <v>1.27</v>
      </c>
      <c r="I206" s="9">
        <v>1.33</v>
      </c>
      <c r="J206" s="78"/>
    </row>
    <row r="207" spans="1:10" x14ac:dyDescent="0.2">
      <c r="A207" s="9">
        <v>1</v>
      </c>
      <c r="B207" s="9">
        <v>23</v>
      </c>
      <c r="C207" s="9">
        <v>1</v>
      </c>
      <c r="D207" s="9">
        <v>3</v>
      </c>
      <c r="E207" s="9">
        <v>0</v>
      </c>
      <c r="F207" s="9">
        <v>19</v>
      </c>
      <c r="G207" s="9">
        <v>8.4</v>
      </c>
      <c r="H207" s="9">
        <v>0.28000000000000003</v>
      </c>
      <c r="I207" s="9">
        <v>1.32</v>
      </c>
      <c r="J207" s="78"/>
    </row>
    <row r="208" spans="1:10" x14ac:dyDescent="0.2">
      <c r="A208" s="9">
        <v>0</v>
      </c>
      <c r="B208" s="9">
        <v>34</v>
      </c>
      <c r="C208" s="9">
        <v>1</v>
      </c>
      <c r="D208" s="9">
        <v>0</v>
      </c>
      <c r="E208" s="9">
        <v>1</v>
      </c>
      <c r="F208" s="9">
        <v>21</v>
      </c>
      <c r="G208" s="9">
        <v>7.2</v>
      </c>
      <c r="H208" s="9">
        <v>0.19</v>
      </c>
      <c r="I208" s="9">
        <v>1.32</v>
      </c>
      <c r="J208" s="78"/>
    </row>
    <row r="209" spans="1:10" x14ac:dyDescent="0.2">
      <c r="A209" s="9">
        <v>0</v>
      </c>
      <c r="B209" s="9">
        <v>39</v>
      </c>
      <c r="C209" s="9">
        <v>1</v>
      </c>
      <c r="D209" s="9">
        <v>10</v>
      </c>
      <c r="E209" s="9">
        <v>4</v>
      </c>
      <c r="F209" s="9">
        <v>31</v>
      </c>
      <c r="G209" s="9">
        <v>4.8</v>
      </c>
      <c r="H209" s="9">
        <v>0.18</v>
      </c>
      <c r="I209" s="9">
        <v>1.3</v>
      </c>
      <c r="J209" s="78"/>
    </row>
    <row r="210" spans="1:10" x14ac:dyDescent="0.2">
      <c r="A210" s="9">
        <v>0</v>
      </c>
      <c r="B210" s="9">
        <v>39</v>
      </c>
      <c r="C210" s="9">
        <v>1</v>
      </c>
      <c r="D210" s="9">
        <v>4</v>
      </c>
      <c r="E210" s="9">
        <v>9</v>
      </c>
      <c r="F210" s="9">
        <v>38</v>
      </c>
      <c r="G210" s="9">
        <v>6.5</v>
      </c>
      <c r="H210" s="9">
        <v>1.18</v>
      </c>
      <c r="I210" s="9">
        <v>1.29</v>
      </c>
      <c r="J210" s="78"/>
    </row>
    <row r="211" spans="1:10" x14ac:dyDescent="0.2">
      <c r="A211" s="9">
        <v>0</v>
      </c>
      <c r="B211" s="9">
        <v>35</v>
      </c>
      <c r="C211" s="9">
        <v>2</v>
      </c>
      <c r="D211" s="9">
        <v>1</v>
      </c>
      <c r="E211" s="9">
        <v>1</v>
      </c>
      <c r="F211" s="9">
        <v>21</v>
      </c>
      <c r="G211" s="9">
        <v>7.9</v>
      </c>
      <c r="H211" s="9">
        <v>0.97</v>
      </c>
      <c r="I211" s="9">
        <v>1.29</v>
      </c>
      <c r="J211" s="78"/>
    </row>
    <row r="212" spans="1:10" x14ac:dyDescent="0.2">
      <c r="A212" s="9">
        <v>1</v>
      </c>
      <c r="B212" s="9">
        <v>29</v>
      </c>
      <c r="C212" s="9">
        <v>2</v>
      </c>
      <c r="D212" s="9">
        <v>4</v>
      </c>
      <c r="E212" s="9">
        <v>3</v>
      </c>
      <c r="F212" s="9">
        <v>37</v>
      </c>
      <c r="G212" s="9">
        <v>6.6</v>
      </c>
      <c r="H212" s="9">
        <v>1.1599999999999999</v>
      </c>
      <c r="I212" s="9">
        <v>1.28</v>
      </c>
      <c r="J212" s="78"/>
    </row>
    <row r="213" spans="1:10" x14ac:dyDescent="0.2">
      <c r="A213" s="9">
        <v>0</v>
      </c>
      <c r="B213" s="9">
        <v>33</v>
      </c>
      <c r="C213" s="9">
        <v>4</v>
      </c>
      <c r="D213" s="9">
        <v>9</v>
      </c>
      <c r="E213" s="9">
        <v>8</v>
      </c>
      <c r="F213" s="9">
        <v>32</v>
      </c>
      <c r="G213" s="9">
        <v>5.5</v>
      </c>
      <c r="H213" s="9">
        <v>0.5</v>
      </c>
      <c r="I213" s="9">
        <v>1.26</v>
      </c>
      <c r="J213" s="78"/>
    </row>
    <row r="214" spans="1:10" x14ac:dyDescent="0.2">
      <c r="A214" s="9">
        <v>0</v>
      </c>
      <c r="B214" s="9">
        <v>27</v>
      </c>
      <c r="C214" s="9">
        <v>2</v>
      </c>
      <c r="D214" s="9">
        <v>6</v>
      </c>
      <c r="E214" s="9">
        <v>1</v>
      </c>
      <c r="F214" s="9">
        <v>34</v>
      </c>
      <c r="G214" s="9">
        <v>4.4000000000000004</v>
      </c>
      <c r="H214" s="9">
        <v>0.24</v>
      </c>
      <c r="I214" s="9">
        <v>1.26</v>
      </c>
      <c r="J214" s="78"/>
    </row>
    <row r="215" spans="1:10" x14ac:dyDescent="0.2">
      <c r="A215" s="9">
        <v>1</v>
      </c>
      <c r="B215" s="9">
        <v>32</v>
      </c>
      <c r="C215" s="9">
        <v>2</v>
      </c>
      <c r="D215" s="9">
        <v>2</v>
      </c>
      <c r="E215" s="9">
        <v>11</v>
      </c>
      <c r="F215" s="9">
        <v>15</v>
      </c>
      <c r="G215" s="9">
        <v>9.1</v>
      </c>
      <c r="H215" s="9">
        <v>0.12</v>
      </c>
      <c r="I215" s="9">
        <v>1.25</v>
      </c>
      <c r="J215" s="78"/>
    </row>
    <row r="216" spans="1:10" x14ac:dyDescent="0.2">
      <c r="A216" s="9">
        <v>0</v>
      </c>
      <c r="B216" s="9">
        <v>43</v>
      </c>
      <c r="C216" s="9">
        <v>4</v>
      </c>
      <c r="D216" s="9">
        <v>1</v>
      </c>
      <c r="E216" s="9">
        <v>5</v>
      </c>
      <c r="F216" s="9">
        <v>26</v>
      </c>
      <c r="G216" s="9">
        <v>10.6</v>
      </c>
      <c r="H216" s="9">
        <v>1.52</v>
      </c>
      <c r="I216" s="9">
        <v>1.24</v>
      </c>
      <c r="J216" s="78"/>
    </row>
    <row r="217" spans="1:10" x14ac:dyDescent="0.2">
      <c r="A217" s="9">
        <v>0</v>
      </c>
      <c r="B217" s="9">
        <v>43</v>
      </c>
      <c r="C217" s="9">
        <v>1</v>
      </c>
      <c r="D217" s="9">
        <v>12</v>
      </c>
      <c r="E217" s="9">
        <v>11</v>
      </c>
      <c r="F217" s="9">
        <v>38</v>
      </c>
      <c r="G217" s="9">
        <v>3.6</v>
      </c>
      <c r="H217" s="9">
        <v>0.13</v>
      </c>
      <c r="I217" s="9">
        <v>1.24</v>
      </c>
      <c r="J217" s="78"/>
    </row>
    <row r="218" spans="1:10" x14ac:dyDescent="0.2">
      <c r="A218" s="9">
        <v>0</v>
      </c>
      <c r="B218" s="9">
        <v>23</v>
      </c>
      <c r="C218" s="9">
        <v>2</v>
      </c>
      <c r="D218" s="9">
        <v>3</v>
      </c>
      <c r="E218" s="9">
        <v>4</v>
      </c>
      <c r="F218" s="9">
        <v>34</v>
      </c>
      <c r="G218" s="9">
        <v>4.4000000000000004</v>
      </c>
      <c r="H218" s="9">
        <v>0.26</v>
      </c>
      <c r="I218" s="9">
        <v>1.23</v>
      </c>
      <c r="J218" s="78"/>
    </row>
    <row r="219" spans="1:10" x14ac:dyDescent="0.2">
      <c r="A219" s="9">
        <v>0</v>
      </c>
      <c r="B219" s="9">
        <v>39</v>
      </c>
      <c r="C219" s="9">
        <v>1</v>
      </c>
      <c r="D219" s="9">
        <v>13</v>
      </c>
      <c r="E219" s="9">
        <v>9</v>
      </c>
      <c r="F219" s="9">
        <v>27</v>
      </c>
      <c r="G219" s="9">
        <v>8</v>
      </c>
      <c r="H219" s="9">
        <v>0.97</v>
      </c>
      <c r="I219" s="9">
        <v>1.19</v>
      </c>
      <c r="J219" s="78"/>
    </row>
    <row r="220" spans="1:10" x14ac:dyDescent="0.2">
      <c r="A220" s="9">
        <v>0</v>
      </c>
      <c r="B220" s="9">
        <v>44</v>
      </c>
      <c r="C220" s="9">
        <v>1</v>
      </c>
      <c r="D220" s="9">
        <v>9</v>
      </c>
      <c r="E220" s="9">
        <v>20</v>
      </c>
      <c r="F220" s="9">
        <v>33</v>
      </c>
      <c r="G220" s="9">
        <v>5.2</v>
      </c>
      <c r="H220" s="9">
        <v>0.55000000000000004</v>
      </c>
      <c r="I220" s="9">
        <v>1.17</v>
      </c>
      <c r="J220" s="78"/>
    </row>
    <row r="221" spans="1:10" x14ac:dyDescent="0.2">
      <c r="A221" s="9">
        <v>0</v>
      </c>
      <c r="B221" s="9">
        <v>26</v>
      </c>
      <c r="C221" s="9">
        <v>2</v>
      </c>
      <c r="D221" s="9">
        <v>5</v>
      </c>
      <c r="E221" s="9">
        <v>7</v>
      </c>
      <c r="F221" s="9">
        <v>28</v>
      </c>
      <c r="G221" s="9">
        <v>7.8</v>
      </c>
      <c r="H221" s="9">
        <v>1.02</v>
      </c>
      <c r="I221" s="9">
        <v>1.1599999999999999</v>
      </c>
      <c r="J221" s="78"/>
    </row>
    <row r="222" spans="1:10" x14ac:dyDescent="0.2">
      <c r="A222" s="9">
        <v>0</v>
      </c>
      <c r="B222" s="9">
        <v>30</v>
      </c>
      <c r="C222" s="9">
        <v>3</v>
      </c>
      <c r="D222" s="9">
        <v>8</v>
      </c>
      <c r="E222" s="9">
        <v>7</v>
      </c>
      <c r="F222" s="9">
        <v>61</v>
      </c>
      <c r="G222" s="9">
        <v>2.8</v>
      </c>
      <c r="H222" s="9">
        <v>0.55000000000000004</v>
      </c>
      <c r="I222" s="9">
        <v>1.1599999999999999</v>
      </c>
      <c r="J222" s="78"/>
    </row>
    <row r="223" spans="1:10" x14ac:dyDescent="0.2">
      <c r="A223" s="9">
        <v>0</v>
      </c>
      <c r="B223" s="9">
        <v>25</v>
      </c>
      <c r="C223" s="9">
        <v>2</v>
      </c>
      <c r="D223" s="9">
        <v>4</v>
      </c>
      <c r="E223" s="9">
        <v>6</v>
      </c>
      <c r="F223" s="9">
        <v>33</v>
      </c>
      <c r="G223" s="9">
        <v>5.2</v>
      </c>
      <c r="H223" s="9">
        <v>0.55000000000000004</v>
      </c>
      <c r="I223" s="9">
        <v>1.1599999999999999</v>
      </c>
      <c r="J223" s="78"/>
    </row>
    <row r="224" spans="1:10" x14ac:dyDescent="0.2">
      <c r="A224" s="9">
        <v>0</v>
      </c>
      <c r="B224" s="9">
        <v>39</v>
      </c>
      <c r="C224" s="9">
        <v>2</v>
      </c>
      <c r="D224" s="9">
        <v>15</v>
      </c>
      <c r="E224" s="9">
        <v>19</v>
      </c>
      <c r="F224" s="9">
        <v>32</v>
      </c>
      <c r="G224" s="9">
        <v>4.9000000000000004</v>
      </c>
      <c r="H224" s="9">
        <v>0.42</v>
      </c>
      <c r="I224" s="9">
        <v>1.1499999999999999</v>
      </c>
      <c r="J224" s="78"/>
    </row>
    <row r="225" spans="1:10" x14ac:dyDescent="0.2">
      <c r="A225" s="9">
        <v>0</v>
      </c>
      <c r="B225" s="9">
        <v>31</v>
      </c>
      <c r="C225" s="9">
        <v>2</v>
      </c>
      <c r="D225" s="9">
        <v>9</v>
      </c>
      <c r="E225" s="9">
        <v>1</v>
      </c>
      <c r="F225" s="9">
        <v>30</v>
      </c>
      <c r="G225" s="9">
        <v>5.8</v>
      </c>
      <c r="H225" s="9">
        <v>0.97</v>
      </c>
      <c r="I225" s="9">
        <v>1.1399999999999999</v>
      </c>
      <c r="J225" s="78"/>
    </row>
    <row r="226" spans="1:10" x14ac:dyDescent="0.2">
      <c r="A226" s="9">
        <v>0</v>
      </c>
      <c r="B226" s="9">
        <v>29</v>
      </c>
      <c r="C226" s="9">
        <v>1</v>
      </c>
      <c r="D226" s="9">
        <v>8</v>
      </c>
      <c r="E226" s="9">
        <v>10</v>
      </c>
      <c r="F226" s="9">
        <v>24</v>
      </c>
      <c r="G226" s="9">
        <v>6.7</v>
      </c>
      <c r="H226" s="9">
        <v>0.47</v>
      </c>
      <c r="I226" s="9">
        <v>1.1399999999999999</v>
      </c>
      <c r="J226" s="78"/>
    </row>
    <row r="227" spans="1:10" x14ac:dyDescent="0.2">
      <c r="A227" s="9">
        <v>0</v>
      </c>
      <c r="B227" s="9">
        <v>35</v>
      </c>
      <c r="C227" s="9">
        <v>1</v>
      </c>
      <c r="D227" s="9">
        <v>13</v>
      </c>
      <c r="E227" s="9">
        <v>15</v>
      </c>
      <c r="F227" s="9">
        <v>35</v>
      </c>
      <c r="G227" s="9">
        <v>4.5</v>
      </c>
      <c r="H227" s="9">
        <v>0.43</v>
      </c>
      <c r="I227" s="9">
        <v>1.1399999999999999</v>
      </c>
      <c r="J227" s="78"/>
    </row>
    <row r="228" spans="1:10" x14ac:dyDescent="0.2">
      <c r="A228" s="9">
        <v>0</v>
      </c>
      <c r="B228" s="9">
        <v>30</v>
      </c>
      <c r="C228" s="9">
        <v>1</v>
      </c>
      <c r="D228" s="9">
        <v>1</v>
      </c>
      <c r="E228" s="9">
        <v>8</v>
      </c>
      <c r="F228" s="9">
        <v>17</v>
      </c>
      <c r="G228" s="9">
        <v>11</v>
      </c>
      <c r="H228" s="9">
        <v>0.75</v>
      </c>
      <c r="I228" s="9">
        <v>1.1200000000000001</v>
      </c>
      <c r="J228" s="78"/>
    </row>
    <row r="229" spans="1:10" x14ac:dyDescent="0.2">
      <c r="A229" s="9">
        <v>0</v>
      </c>
      <c r="B229" s="9">
        <v>31</v>
      </c>
      <c r="C229" s="9">
        <v>1</v>
      </c>
      <c r="D229" s="9">
        <v>13</v>
      </c>
      <c r="E229" s="9">
        <v>12</v>
      </c>
      <c r="F229" s="9">
        <v>27</v>
      </c>
      <c r="G229" s="9">
        <v>5</v>
      </c>
      <c r="H229" s="9">
        <v>0.24</v>
      </c>
      <c r="I229" s="9">
        <v>1.1100000000000001</v>
      </c>
      <c r="J229" s="78"/>
    </row>
    <row r="230" spans="1:10" x14ac:dyDescent="0.2">
      <c r="A230" s="9">
        <v>0</v>
      </c>
      <c r="B230" s="9">
        <v>25</v>
      </c>
      <c r="C230" s="9">
        <v>2</v>
      </c>
      <c r="D230" s="9">
        <v>6</v>
      </c>
      <c r="E230" s="9">
        <v>2</v>
      </c>
      <c r="F230" s="9">
        <v>26</v>
      </c>
      <c r="G230" s="9">
        <v>4.5</v>
      </c>
      <c r="H230" s="9">
        <v>7.0000000000000007E-2</v>
      </c>
      <c r="I230" s="9">
        <v>1.1000000000000001</v>
      </c>
      <c r="J230" s="78"/>
    </row>
    <row r="231" spans="1:10" x14ac:dyDescent="0.2">
      <c r="A231" s="9">
        <v>0</v>
      </c>
      <c r="B231" s="9">
        <v>40</v>
      </c>
      <c r="C231" s="9">
        <v>2</v>
      </c>
      <c r="D231" s="9">
        <v>2</v>
      </c>
      <c r="E231" s="9">
        <v>1</v>
      </c>
      <c r="F231" s="9">
        <v>36</v>
      </c>
      <c r="G231" s="9">
        <v>3.8</v>
      </c>
      <c r="H231" s="9">
        <v>0.28000000000000003</v>
      </c>
      <c r="I231" s="9">
        <v>1.0900000000000001</v>
      </c>
      <c r="J231" s="78"/>
    </row>
    <row r="232" spans="1:10" x14ac:dyDescent="0.2">
      <c r="A232" s="9">
        <v>0</v>
      </c>
      <c r="B232" s="9">
        <v>39</v>
      </c>
      <c r="C232" s="9">
        <v>2</v>
      </c>
      <c r="D232" s="9">
        <v>20</v>
      </c>
      <c r="E232" s="9">
        <v>17</v>
      </c>
      <c r="F232" s="9">
        <v>101</v>
      </c>
      <c r="G232" s="9">
        <v>1.4</v>
      </c>
      <c r="H232" s="9">
        <v>0.34</v>
      </c>
      <c r="I232" s="9">
        <v>1.07</v>
      </c>
      <c r="J232" s="78"/>
    </row>
    <row r="233" spans="1:10" x14ac:dyDescent="0.2">
      <c r="A233" s="9">
        <v>0</v>
      </c>
      <c r="B233" s="9">
        <v>29</v>
      </c>
      <c r="C233" s="9">
        <v>3</v>
      </c>
      <c r="D233" s="9">
        <v>1</v>
      </c>
      <c r="E233" s="9">
        <v>10</v>
      </c>
      <c r="F233" s="9">
        <v>30</v>
      </c>
      <c r="G233" s="9">
        <v>4.5</v>
      </c>
      <c r="H233" s="9">
        <v>0.28000000000000003</v>
      </c>
      <c r="I233" s="9">
        <v>1.07</v>
      </c>
      <c r="J233" s="78"/>
    </row>
    <row r="234" spans="1:10" x14ac:dyDescent="0.2">
      <c r="A234" s="9">
        <v>0</v>
      </c>
      <c r="B234" s="9">
        <v>29</v>
      </c>
      <c r="C234" s="9">
        <v>1</v>
      </c>
      <c r="D234" s="9">
        <v>3</v>
      </c>
      <c r="E234" s="9">
        <v>1</v>
      </c>
      <c r="F234" s="9">
        <v>17</v>
      </c>
      <c r="G234" s="9">
        <v>9</v>
      </c>
      <c r="H234" s="9">
        <v>0.47</v>
      </c>
      <c r="I234" s="9">
        <v>1.06</v>
      </c>
      <c r="J234" s="78"/>
    </row>
    <row r="235" spans="1:10" x14ac:dyDescent="0.2">
      <c r="A235" s="9">
        <v>0</v>
      </c>
      <c r="B235" s="9">
        <v>29</v>
      </c>
      <c r="C235" s="9">
        <v>1</v>
      </c>
      <c r="D235" s="9">
        <v>12</v>
      </c>
      <c r="E235" s="9">
        <v>2</v>
      </c>
      <c r="F235" s="9">
        <v>40</v>
      </c>
      <c r="G235" s="9">
        <v>6.7</v>
      </c>
      <c r="H235" s="9">
        <v>1.63</v>
      </c>
      <c r="I235" s="9">
        <v>1.05</v>
      </c>
      <c r="J235" s="78"/>
    </row>
    <row r="236" spans="1:10" x14ac:dyDescent="0.2">
      <c r="A236" s="9">
        <v>1</v>
      </c>
      <c r="B236" s="9">
        <v>28</v>
      </c>
      <c r="C236" s="9">
        <v>2</v>
      </c>
      <c r="D236" s="9">
        <v>8</v>
      </c>
      <c r="E236" s="9">
        <v>3</v>
      </c>
      <c r="F236" s="9">
        <v>31</v>
      </c>
      <c r="G236" s="9">
        <v>8.1999999999999993</v>
      </c>
      <c r="H236" s="9">
        <v>1.49</v>
      </c>
      <c r="I236" s="9">
        <v>1.05</v>
      </c>
      <c r="J236" s="78"/>
    </row>
    <row r="237" spans="1:10" x14ac:dyDescent="0.2">
      <c r="A237" s="9">
        <v>0</v>
      </c>
      <c r="B237" s="9">
        <v>36</v>
      </c>
      <c r="C237" s="9">
        <v>1</v>
      </c>
      <c r="D237" s="9">
        <v>1</v>
      </c>
      <c r="E237" s="9">
        <v>4</v>
      </c>
      <c r="F237" s="9">
        <v>16</v>
      </c>
      <c r="G237" s="9">
        <v>9.3000000000000007</v>
      </c>
      <c r="H237" s="9">
        <v>0.43</v>
      </c>
      <c r="I237" s="9">
        <v>1.05</v>
      </c>
      <c r="J237" s="78"/>
    </row>
    <row r="238" spans="1:10" x14ac:dyDescent="0.2">
      <c r="A238" s="9">
        <v>0</v>
      </c>
      <c r="B238" s="9">
        <v>35</v>
      </c>
      <c r="C238" s="9">
        <v>1</v>
      </c>
      <c r="D238" s="9">
        <v>16</v>
      </c>
      <c r="E238" s="9">
        <v>15</v>
      </c>
      <c r="F238" s="9">
        <v>36</v>
      </c>
      <c r="G238" s="9">
        <v>3.4</v>
      </c>
      <c r="H238" s="9">
        <v>0.18</v>
      </c>
      <c r="I238" s="9">
        <v>1.05</v>
      </c>
      <c r="J238" s="78"/>
    </row>
    <row r="239" spans="1:10" x14ac:dyDescent="0.2">
      <c r="A239" s="9">
        <v>0</v>
      </c>
      <c r="B239" s="9">
        <v>42</v>
      </c>
      <c r="C239" s="9">
        <v>2</v>
      </c>
      <c r="D239" s="9">
        <v>5</v>
      </c>
      <c r="E239" s="9">
        <v>3</v>
      </c>
      <c r="F239" s="9">
        <v>41</v>
      </c>
      <c r="G239" s="9">
        <v>3.4</v>
      </c>
      <c r="H239" s="9">
        <v>0.36</v>
      </c>
      <c r="I239" s="9">
        <v>1.04</v>
      </c>
      <c r="J239" s="78"/>
    </row>
    <row r="240" spans="1:10" x14ac:dyDescent="0.2">
      <c r="A240" s="9">
        <v>0</v>
      </c>
      <c r="B240" s="9">
        <v>23</v>
      </c>
      <c r="C240" s="9">
        <v>1</v>
      </c>
      <c r="D240" s="9">
        <v>5</v>
      </c>
      <c r="E240" s="9">
        <v>2</v>
      </c>
      <c r="F240" s="9">
        <v>17</v>
      </c>
      <c r="G240" s="9">
        <v>7.9</v>
      </c>
      <c r="H240" s="9">
        <v>0.3</v>
      </c>
      <c r="I240" s="9">
        <v>1.04</v>
      </c>
      <c r="J240" s="78"/>
    </row>
    <row r="241" spans="1:10" x14ac:dyDescent="0.2">
      <c r="A241" s="9">
        <v>0</v>
      </c>
      <c r="B241" s="9">
        <v>33</v>
      </c>
      <c r="C241" s="9">
        <v>1</v>
      </c>
      <c r="D241" s="9">
        <v>7</v>
      </c>
      <c r="E241" s="9">
        <v>6</v>
      </c>
      <c r="F241" s="9">
        <v>26</v>
      </c>
      <c r="G241" s="9">
        <v>6</v>
      </c>
      <c r="H241" s="9">
        <v>0.54</v>
      </c>
      <c r="I241" s="9">
        <v>1.02</v>
      </c>
      <c r="J241" s="78"/>
    </row>
    <row r="242" spans="1:10" x14ac:dyDescent="0.2">
      <c r="A242" s="9">
        <v>0</v>
      </c>
      <c r="B242" s="9">
        <v>40</v>
      </c>
      <c r="C242" s="9">
        <v>3</v>
      </c>
      <c r="D242" s="9">
        <v>18</v>
      </c>
      <c r="E242" s="9">
        <v>6</v>
      </c>
      <c r="F242" s="9">
        <v>100</v>
      </c>
      <c r="G242" s="9">
        <v>2.5</v>
      </c>
      <c r="H242" s="9">
        <v>1.49</v>
      </c>
      <c r="I242" s="9">
        <v>1.01</v>
      </c>
      <c r="J242" s="78"/>
    </row>
    <row r="243" spans="1:10" x14ac:dyDescent="0.2">
      <c r="A243" s="9">
        <v>0</v>
      </c>
      <c r="B243" s="9">
        <v>21</v>
      </c>
      <c r="C243" s="9">
        <v>3</v>
      </c>
      <c r="D243" s="9">
        <v>0</v>
      </c>
      <c r="E243" s="9">
        <v>2</v>
      </c>
      <c r="F243" s="9">
        <v>24</v>
      </c>
      <c r="G243" s="9">
        <v>7.7</v>
      </c>
      <c r="H243" s="9">
        <v>0.83</v>
      </c>
      <c r="I243" s="9">
        <v>1.01</v>
      </c>
      <c r="J243" s="78"/>
    </row>
    <row r="244" spans="1:10" x14ac:dyDescent="0.2">
      <c r="A244" s="9">
        <v>0</v>
      </c>
      <c r="B244" s="9">
        <v>38</v>
      </c>
      <c r="C244" s="9">
        <v>2</v>
      </c>
      <c r="D244" s="9">
        <v>13</v>
      </c>
      <c r="E244" s="9">
        <v>0</v>
      </c>
      <c r="F244" s="9">
        <v>59</v>
      </c>
      <c r="G244" s="9">
        <v>2.4</v>
      </c>
      <c r="H244" s="9">
        <v>0.41</v>
      </c>
      <c r="I244" s="9">
        <v>1.01</v>
      </c>
      <c r="J244" s="78"/>
    </row>
    <row r="245" spans="1:10" x14ac:dyDescent="0.2">
      <c r="A245" s="9">
        <v>0</v>
      </c>
      <c r="B245" s="9">
        <v>51</v>
      </c>
      <c r="C245" s="9">
        <v>3</v>
      </c>
      <c r="D245" s="9">
        <v>16</v>
      </c>
      <c r="E245" s="9">
        <v>25</v>
      </c>
      <c r="F245" s="9">
        <v>82</v>
      </c>
      <c r="G245" s="9">
        <v>4.4000000000000004</v>
      </c>
      <c r="H245" s="9">
        <v>2.6</v>
      </c>
      <c r="I245" s="9">
        <v>1</v>
      </c>
      <c r="J245" s="78"/>
    </row>
    <row r="246" spans="1:10" x14ac:dyDescent="0.2">
      <c r="A246" s="9">
        <v>1</v>
      </c>
      <c r="B246" s="9">
        <v>23</v>
      </c>
      <c r="C246" s="9">
        <v>1</v>
      </c>
      <c r="D246" s="9">
        <v>2</v>
      </c>
      <c r="E246" s="9">
        <v>1</v>
      </c>
      <c r="F246" s="9">
        <v>25</v>
      </c>
      <c r="G246" s="9">
        <v>4.5</v>
      </c>
      <c r="H246" s="9">
        <v>0.12</v>
      </c>
      <c r="I246" s="9">
        <v>1</v>
      </c>
      <c r="J246" s="78"/>
    </row>
    <row r="247" spans="1:10" x14ac:dyDescent="0.2">
      <c r="A247" s="9">
        <v>0</v>
      </c>
      <c r="B247" s="9">
        <v>29</v>
      </c>
      <c r="C247" s="9">
        <v>1</v>
      </c>
      <c r="D247" s="9">
        <v>11</v>
      </c>
      <c r="E247" s="9">
        <v>7</v>
      </c>
      <c r="F247" s="9">
        <v>32</v>
      </c>
      <c r="G247" s="9">
        <v>6</v>
      </c>
      <c r="H247" s="9">
        <v>0.93</v>
      </c>
      <c r="I247" s="9">
        <v>0.99</v>
      </c>
      <c r="J247" s="78"/>
    </row>
    <row r="248" spans="1:10" x14ac:dyDescent="0.2">
      <c r="A248" s="9">
        <v>1</v>
      </c>
      <c r="B248" s="9">
        <v>27</v>
      </c>
      <c r="C248" s="9">
        <v>4</v>
      </c>
      <c r="D248" s="9">
        <v>2</v>
      </c>
      <c r="E248" s="9">
        <v>8</v>
      </c>
      <c r="F248" s="9">
        <v>23</v>
      </c>
      <c r="G248" s="9">
        <v>5.7</v>
      </c>
      <c r="H248" s="9">
        <v>0.32</v>
      </c>
      <c r="I248" s="9">
        <v>0.99</v>
      </c>
      <c r="J248" s="78"/>
    </row>
    <row r="249" spans="1:10" x14ac:dyDescent="0.2">
      <c r="A249" s="9">
        <v>0</v>
      </c>
      <c r="B249" s="9">
        <v>29</v>
      </c>
      <c r="C249" s="9">
        <v>1</v>
      </c>
      <c r="D249" s="9">
        <v>1</v>
      </c>
      <c r="E249" s="9">
        <v>9</v>
      </c>
      <c r="F249" s="9">
        <v>17</v>
      </c>
      <c r="G249" s="9">
        <v>6.7</v>
      </c>
      <c r="H249" s="9">
        <v>0.16</v>
      </c>
      <c r="I249" s="9">
        <v>0.98</v>
      </c>
      <c r="J249" s="78"/>
    </row>
    <row r="250" spans="1:10" x14ac:dyDescent="0.2">
      <c r="A250" s="9">
        <v>0</v>
      </c>
      <c r="B250" s="9">
        <v>24</v>
      </c>
      <c r="C250" s="9">
        <v>1</v>
      </c>
      <c r="D250" s="9">
        <v>6</v>
      </c>
      <c r="E250" s="9">
        <v>2</v>
      </c>
      <c r="F250" s="9">
        <v>21</v>
      </c>
      <c r="G250" s="9">
        <v>5.2</v>
      </c>
      <c r="H250" s="9">
        <v>0.11</v>
      </c>
      <c r="I250" s="9">
        <v>0.98</v>
      </c>
      <c r="J250" s="78"/>
    </row>
    <row r="251" spans="1:10" x14ac:dyDescent="0.2">
      <c r="A251" s="9">
        <v>1</v>
      </c>
      <c r="B251" s="9">
        <v>38</v>
      </c>
      <c r="C251" s="9">
        <v>1</v>
      </c>
      <c r="D251" s="9">
        <v>0</v>
      </c>
      <c r="E251" s="9">
        <v>8</v>
      </c>
      <c r="F251" s="9">
        <v>23</v>
      </c>
      <c r="G251" s="9">
        <v>8.1</v>
      </c>
      <c r="H251" s="9">
        <v>0.9</v>
      </c>
      <c r="I251" s="9">
        <v>0.97</v>
      </c>
      <c r="J251" s="78"/>
    </row>
    <row r="252" spans="1:10" x14ac:dyDescent="0.2">
      <c r="A252" s="9">
        <v>1</v>
      </c>
      <c r="B252" s="9">
        <v>27</v>
      </c>
      <c r="C252" s="9">
        <v>3</v>
      </c>
      <c r="D252" s="9">
        <v>4</v>
      </c>
      <c r="E252" s="9">
        <v>1</v>
      </c>
      <c r="F252" s="9">
        <v>40</v>
      </c>
      <c r="G252" s="9">
        <v>3.1</v>
      </c>
      <c r="H252" s="9">
        <v>0.28000000000000003</v>
      </c>
      <c r="I252" s="9">
        <v>0.96</v>
      </c>
      <c r="J252" s="78"/>
    </row>
    <row r="253" spans="1:10" x14ac:dyDescent="0.2">
      <c r="A253" s="9">
        <v>0</v>
      </c>
      <c r="B253" s="9">
        <v>42</v>
      </c>
      <c r="C253" s="9">
        <v>2</v>
      </c>
      <c r="D253" s="9">
        <v>7</v>
      </c>
      <c r="E253" s="9">
        <v>23</v>
      </c>
      <c r="F253" s="9">
        <v>41</v>
      </c>
      <c r="G253" s="9">
        <v>4.5999999999999996</v>
      </c>
      <c r="H253" s="9">
        <v>0.97</v>
      </c>
      <c r="I253" s="9">
        <v>0.94</v>
      </c>
      <c r="J253" s="78"/>
    </row>
    <row r="254" spans="1:10" x14ac:dyDescent="0.2">
      <c r="A254" s="9">
        <v>0</v>
      </c>
      <c r="B254" s="9">
        <v>32</v>
      </c>
      <c r="C254" s="9">
        <v>2</v>
      </c>
      <c r="D254" s="9">
        <v>7</v>
      </c>
      <c r="E254" s="9">
        <v>10</v>
      </c>
      <c r="F254" s="9">
        <v>32</v>
      </c>
      <c r="G254" s="9">
        <v>4.3</v>
      </c>
      <c r="H254" s="9">
        <v>0.43</v>
      </c>
      <c r="I254" s="9">
        <v>0.94</v>
      </c>
      <c r="J254" s="78"/>
    </row>
    <row r="255" spans="1:10" x14ac:dyDescent="0.2">
      <c r="A255" s="9">
        <v>0</v>
      </c>
      <c r="B255" s="9">
        <v>21</v>
      </c>
      <c r="C255" s="9">
        <v>2</v>
      </c>
      <c r="D255" s="9">
        <v>0</v>
      </c>
      <c r="E255" s="9">
        <v>1</v>
      </c>
      <c r="F255" s="9">
        <v>16</v>
      </c>
      <c r="G255" s="9">
        <v>6.8</v>
      </c>
      <c r="H255" s="9">
        <v>0.15</v>
      </c>
      <c r="I255" s="9">
        <v>0.94</v>
      </c>
      <c r="J255" s="78"/>
    </row>
    <row r="256" spans="1:10" x14ac:dyDescent="0.2">
      <c r="A256" s="9">
        <v>0</v>
      </c>
      <c r="B256" s="9">
        <v>25</v>
      </c>
      <c r="C256" s="9">
        <v>1</v>
      </c>
      <c r="D256" s="9">
        <v>8</v>
      </c>
      <c r="E256" s="9">
        <v>1</v>
      </c>
      <c r="F256" s="9">
        <v>35</v>
      </c>
      <c r="G256" s="9">
        <v>2.9</v>
      </c>
      <c r="H256" s="9">
        <v>0.08</v>
      </c>
      <c r="I256" s="9">
        <v>0.94</v>
      </c>
      <c r="J256" s="78"/>
    </row>
    <row r="257" spans="1:10" x14ac:dyDescent="0.2">
      <c r="A257" s="9">
        <v>0</v>
      </c>
      <c r="B257" s="9">
        <v>34</v>
      </c>
      <c r="C257" s="9">
        <v>6</v>
      </c>
      <c r="D257" s="9">
        <v>7</v>
      </c>
      <c r="E257" s="9">
        <v>12</v>
      </c>
      <c r="F257" s="9">
        <v>25</v>
      </c>
      <c r="G257" s="9">
        <v>10.199999999999999</v>
      </c>
      <c r="H257" s="9">
        <v>1.63</v>
      </c>
      <c r="I257" s="9">
        <v>0.92</v>
      </c>
      <c r="J257" s="78"/>
    </row>
    <row r="258" spans="1:10" x14ac:dyDescent="0.2">
      <c r="A258" s="9">
        <v>0</v>
      </c>
      <c r="B258" s="9">
        <v>48</v>
      </c>
      <c r="C258" s="9">
        <v>1</v>
      </c>
      <c r="D258" s="9">
        <v>3</v>
      </c>
      <c r="E258" s="9">
        <v>7</v>
      </c>
      <c r="F258" s="9">
        <v>24</v>
      </c>
      <c r="G258" s="9">
        <v>7</v>
      </c>
      <c r="H258" s="9">
        <v>0.76</v>
      </c>
      <c r="I258" s="9">
        <v>0.92</v>
      </c>
      <c r="J258" s="78"/>
    </row>
    <row r="259" spans="1:10" x14ac:dyDescent="0.2">
      <c r="A259" s="9">
        <v>0</v>
      </c>
      <c r="B259" s="9">
        <v>26</v>
      </c>
      <c r="C259" s="9">
        <v>1</v>
      </c>
      <c r="D259" s="9">
        <v>7</v>
      </c>
      <c r="E259" s="9">
        <v>3</v>
      </c>
      <c r="F259" s="9">
        <v>22</v>
      </c>
      <c r="G259" s="9">
        <v>5.0999999999999996</v>
      </c>
      <c r="H259" s="9">
        <v>0.21</v>
      </c>
      <c r="I259" s="9">
        <v>0.91</v>
      </c>
      <c r="J259" s="78"/>
    </row>
    <row r="260" spans="1:10" x14ac:dyDescent="0.2">
      <c r="A260" s="9">
        <v>0</v>
      </c>
      <c r="B260" s="9">
        <v>22</v>
      </c>
      <c r="C260" s="9">
        <v>2</v>
      </c>
      <c r="D260" s="9">
        <v>0</v>
      </c>
      <c r="E260" s="9">
        <v>3</v>
      </c>
      <c r="F260" s="9">
        <v>20</v>
      </c>
      <c r="G260" s="9">
        <v>5.6</v>
      </c>
      <c r="H260" s="9">
        <v>0.21</v>
      </c>
      <c r="I260" s="9">
        <v>0.91</v>
      </c>
      <c r="J260" s="78"/>
    </row>
    <row r="261" spans="1:10" x14ac:dyDescent="0.2">
      <c r="A261" s="9">
        <v>0</v>
      </c>
      <c r="B261" s="9">
        <v>21</v>
      </c>
      <c r="C261" s="9">
        <v>1</v>
      </c>
      <c r="D261" s="9">
        <v>4</v>
      </c>
      <c r="E261" s="9">
        <v>0</v>
      </c>
      <c r="F261" s="9">
        <v>26</v>
      </c>
      <c r="G261" s="9">
        <v>8.9</v>
      </c>
      <c r="H261" s="9">
        <v>1.42</v>
      </c>
      <c r="I261" s="9">
        <v>0.89</v>
      </c>
      <c r="J261" s="78"/>
    </row>
    <row r="262" spans="1:10" x14ac:dyDescent="0.2">
      <c r="A262" s="9">
        <v>0</v>
      </c>
      <c r="B262" s="9">
        <v>50</v>
      </c>
      <c r="C262" s="9">
        <v>1</v>
      </c>
      <c r="D262" s="9">
        <v>11</v>
      </c>
      <c r="E262" s="9">
        <v>5</v>
      </c>
      <c r="F262" s="9">
        <v>36</v>
      </c>
      <c r="G262" s="9">
        <v>4.8</v>
      </c>
      <c r="H262" s="9">
        <v>0.83</v>
      </c>
      <c r="I262" s="9">
        <v>0.89</v>
      </c>
      <c r="J262" s="78"/>
    </row>
    <row r="263" spans="1:10" x14ac:dyDescent="0.2">
      <c r="A263" s="9">
        <v>0</v>
      </c>
      <c r="B263" s="9">
        <v>36</v>
      </c>
      <c r="C263" s="9">
        <v>5</v>
      </c>
      <c r="D263" s="9">
        <v>5</v>
      </c>
      <c r="E263" s="9">
        <v>12</v>
      </c>
      <c r="F263" s="9">
        <v>20</v>
      </c>
      <c r="G263" s="9">
        <v>8.1</v>
      </c>
      <c r="H263" s="9">
        <v>0.73</v>
      </c>
      <c r="I263" s="9">
        <v>0.89</v>
      </c>
      <c r="J263" s="78"/>
    </row>
    <row r="264" spans="1:10" x14ac:dyDescent="0.2">
      <c r="A264" s="9">
        <v>0</v>
      </c>
      <c r="B264" s="9">
        <v>30</v>
      </c>
      <c r="C264" s="9">
        <v>1</v>
      </c>
      <c r="D264" s="9">
        <v>4</v>
      </c>
      <c r="E264" s="9">
        <v>0</v>
      </c>
      <c r="F264" s="9">
        <v>33</v>
      </c>
      <c r="G264" s="9">
        <v>4.2</v>
      </c>
      <c r="H264" s="9">
        <v>0.5</v>
      </c>
      <c r="I264" s="9">
        <v>0.89</v>
      </c>
      <c r="J264" s="78"/>
    </row>
    <row r="265" spans="1:10" x14ac:dyDescent="0.2">
      <c r="A265" s="9">
        <v>0</v>
      </c>
      <c r="B265" s="9">
        <v>34</v>
      </c>
      <c r="C265" s="9">
        <v>2</v>
      </c>
      <c r="D265" s="9">
        <v>4</v>
      </c>
      <c r="E265" s="9">
        <v>10</v>
      </c>
      <c r="F265" s="9">
        <v>25</v>
      </c>
      <c r="G265" s="9">
        <v>5.8</v>
      </c>
      <c r="H265" s="9">
        <v>0.56999999999999995</v>
      </c>
      <c r="I265" s="9">
        <v>0.88</v>
      </c>
      <c r="J265" s="78"/>
    </row>
    <row r="266" spans="1:10" x14ac:dyDescent="0.2">
      <c r="A266" s="9">
        <v>1</v>
      </c>
      <c r="B266" s="9">
        <v>25</v>
      </c>
      <c r="C266" s="9">
        <v>1</v>
      </c>
      <c r="D266" s="9">
        <v>1</v>
      </c>
      <c r="E266" s="9">
        <v>0</v>
      </c>
      <c r="F266" s="9">
        <v>20</v>
      </c>
      <c r="G266" s="9">
        <v>6.7</v>
      </c>
      <c r="H266" s="9">
        <v>0.47</v>
      </c>
      <c r="I266" s="9">
        <v>0.87</v>
      </c>
      <c r="J266" s="78"/>
    </row>
    <row r="267" spans="1:10" x14ac:dyDescent="0.2">
      <c r="A267" s="9">
        <v>0</v>
      </c>
      <c r="B267" s="9">
        <v>31</v>
      </c>
      <c r="C267" s="9">
        <v>1</v>
      </c>
      <c r="D267" s="9">
        <v>9</v>
      </c>
      <c r="E267" s="9">
        <v>5</v>
      </c>
      <c r="F267" s="9">
        <v>26</v>
      </c>
      <c r="G267" s="9">
        <v>4.5</v>
      </c>
      <c r="H267" s="9">
        <v>0.31</v>
      </c>
      <c r="I267" s="9">
        <v>0.86</v>
      </c>
      <c r="J267" s="78"/>
    </row>
    <row r="268" spans="1:10" x14ac:dyDescent="0.2">
      <c r="A268" s="9">
        <v>0</v>
      </c>
      <c r="B268" s="9">
        <v>27</v>
      </c>
      <c r="C268" s="9">
        <v>3</v>
      </c>
      <c r="D268" s="9">
        <v>2</v>
      </c>
      <c r="E268" s="9">
        <v>7</v>
      </c>
      <c r="F268" s="9">
        <v>26</v>
      </c>
      <c r="G268" s="9">
        <v>6</v>
      </c>
      <c r="H268" s="9">
        <v>0.72</v>
      </c>
      <c r="I268" s="9">
        <v>0.84</v>
      </c>
      <c r="J268" s="78"/>
    </row>
    <row r="269" spans="1:10" x14ac:dyDescent="0.2">
      <c r="A269" s="9">
        <v>0</v>
      </c>
      <c r="B269" s="9">
        <v>33</v>
      </c>
      <c r="C269" s="9">
        <v>4</v>
      </c>
      <c r="D269" s="9">
        <v>9</v>
      </c>
      <c r="E269" s="9">
        <v>10</v>
      </c>
      <c r="F269" s="9">
        <v>28</v>
      </c>
      <c r="G269" s="9">
        <v>4.3</v>
      </c>
      <c r="H269" s="9">
        <v>0.38</v>
      </c>
      <c r="I269" s="9">
        <v>0.83</v>
      </c>
      <c r="J269" s="78"/>
    </row>
    <row r="270" spans="1:10" x14ac:dyDescent="0.2">
      <c r="A270" s="9">
        <v>0</v>
      </c>
      <c r="B270" s="9">
        <v>41</v>
      </c>
      <c r="C270" s="9">
        <v>1</v>
      </c>
      <c r="D270" s="9">
        <v>15</v>
      </c>
      <c r="E270" s="9">
        <v>14</v>
      </c>
      <c r="F270" s="13"/>
      <c r="G270" s="9">
        <v>2.9</v>
      </c>
      <c r="H270" s="9">
        <v>2.66</v>
      </c>
      <c r="I270" s="9">
        <v>0.82</v>
      </c>
      <c r="J270" s="78"/>
    </row>
    <row r="271" spans="1:10" x14ac:dyDescent="0.2">
      <c r="A271" s="9">
        <v>0</v>
      </c>
      <c r="B271" s="9">
        <v>24</v>
      </c>
      <c r="C271" s="9">
        <v>1</v>
      </c>
      <c r="D271" s="9">
        <v>8</v>
      </c>
      <c r="E271" s="9">
        <v>4</v>
      </c>
      <c r="F271" s="9">
        <v>24</v>
      </c>
      <c r="G271" s="9">
        <v>5</v>
      </c>
      <c r="H271" s="9">
        <v>0.38</v>
      </c>
      <c r="I271" s="9">
        <v>0.82</v>
      </c>
      <c r="J271" s="78"/>
    </row>
    <row r="272" spans="1:10" x14ac:dyDescent="0.2">
      <c r="A272" s="9">
        <v>1</v>
      </c>
      <c r="B272" s="9">
        <v>24</v>
      </c>
      <c r="C272" s="9">
        <v>1</v>
      </c>
      <c r="D272" s="9">
        <v>1</v>
      </c>
      <c r="E272" s="9">
        <v>0</v>
      </c>
      <c r="F272" s="9">
        <v>18</v>
      </c>
      <c r="G272" s="9">
        <v>5.9</v>
      </c>
      <c r="H272" s="9">
        <v>0.24</v>
      </c>
      <c r="I272" s="9">
        <v>0.82</v>
      </c>
      <c r="J272" s="78"/>
    </row>
    <row r="273" spans="1:10" x14ac:dyDescent="0.2">
      <c r="A273" s="9">
        <v>0</v>
      </c>
      <c r="B273" s="9">
        <v>35</v>
      </c>
      <c r="C273" s="9">
        <v>2</v>
      </c>
      <c r="D273" s="9">
        <v>5</v>
      </c>
      <c r="E273" s="9">
        <v>1</v>
      </c>
      <c r="F273" s="9">
        <v>33</v>
      </c>
      <c r="G273" s="9">
        <v>2.8</v>
      </c>
      <c r="H273" s="9">
        <v>0.1</v>
      </c>
      <c r="I273" s="9">
        <v>0.82</v>
      </c>
      <c r="J273" s="78"/>
    </row>
    <row r="274" spans="1:10" x14ac:dyDescent="0.2">
      <c r="A274" s="9">
        <v>0</v>
      </c>
      <c r="B274" s="9">
        <v>43</v>
      </c>
      <c r="C274" s="9">
        <v>1</v>
      </c>
      <c r="D274" s="9">
        <v>8</v>
      </c>
      <c r="E274" s="9">
        <v>11</v>
      </c>
      <c r="F274" s="9">
        <v>45</v>
      </c>
      <c r="G274" s="9">
        <v>3.3</v>
      </c>
      <c r="H274" s="9">
        <v>0.68</v>
      </c>
      <c r="I274" s="9">
        <v>0.81</v>
      </c>
      <c r="J274" s="78"/>
    </row>
    <row r="275" spans="1:10" x14ac:dyDescent="0.2">
      <c r="A275" s="9">
        <v>0</v>
      </c>
      <c r="B275" s="9">
        <v>24</v>
      </c>
      <c r="C275" s="9">
        <v>1</v>
      </c>
      <c r="D275" s="9">
        <v>7</v>
      </c>
      <c r="E275" s="9">
        <v>2</v>
      </c>
      <c r="F275" s="9">
        <v>21</v>
      </c>
      <c r="G275" s="9">
        <v>6.3</v>
      </c>
      <c r="H275" s="9">
        <v>0.52</v>
      </c>
      <c r="I275" s="9">
        <v>0.8</v>
      </c>
      <c r="J275" s="78"/>
    </row>
    <row r="276" spans="1:10" x14ac:dyDescent="0.2">
      <c r="A276" s="9">
        <v>0</v>
      </c>
      <c r="B276" s="9">
        <v>33</v>
      </c>
      <c r="C276" s="9">
        <v>1</v>
      </c>
      <c r="D276" s="9">
        <v>7</v>
      </c>
      <c r="E276" s="9">
        <v>0</v>
      </c>
      <c r="F276" s="9">
        <v>22</v>
      </c>
      <c r="G276" s="9">
        <v>6.4</v>
      </c>
      <c r="H276" s="9">
        <v>0.63</v>
      </c>
      <c r="I276" s="9">
        <v>0.78</v>
      </c>
      <c r="J276" s="78"/>
    </row>
    <row r="277" spans="1:10" x14ac:dyDescent="0.2">
      <c r="A277" s="9">
        <v>0</v>
      </c>
      <c r="B277" s="9">
        <v>26</v>
      </c>
      <c r="C277" s="9">
        <v>1</v>
      </c>
      <c r="D277" s="9">
        <v>4</v>
      </c>
      <c r="E277" s="9">
        <v>3</v>
      </c>
      <c r="F277" s="9">
        <v>20</v>
      </c>
      <c r="G277" s="9">
        <v>5.4</v>
      </c>
      <c r="H277" s="9">
        <v>0.32</v>
      </c>
      <c r="I277" s="9">
        <v>0.76</v>
      </c>
      <c r="J277" s="78"/>
    </row>
    <row r="278" spans="1:10" x14ac:dyDescent="0.2">
      <c r="A278" s="9">
        <v>0</v>
      </c>
      <c r="B278" s="9">
        <v>33</v>
      </c>
      <c r="C278" s="9">
        <v>1</v>
      </c>
      <c r="D278" s="9">
        <v>14</v>
      </c>
      <c r="E278" s="9">
        <v>2</v>
      </c>
      <c r="F278" s="9">
        <v>37</v>
      </c>
      <c r="G278" s="9">
        <v>2.6</v>
      </c>
      <c r="H278" s="9">
        <v>0.2</v>
      </c>
      <c r="I278" s="9">
        <v>0.76</v>
      </c>
      <c r="J278" s="78"/>
    </row>
    <row r="279" spans="1:10" x14ac:dyDescent="0.2">
      <c r="A279" s="9">
        <v>0</v>
      </c>
      <c r="B279" s="9">
        <v>39</v>
      </c>
      <c r="C279" s="9">
        <v>1</v>
      </c>
      <c r="D279" s="9">
        <v>19</v>
      </c>
      <c r="E279" s="9">
        <v>16</v>
      </c>
      <c r="F279" s="9">
        <v>45</v>
      </c>
      <c r="G279" s="9">
        <v>3.7</v>
      </c>
      <c r="H279" s="9">
        <v>0.92</v>
      </c>
      <c r="I279" s="9">
        <v>0.75</v>
      </c>
      <c r="J279" s="78"/>
    </row>
    <row r="280" spans="1:10" x14ac:dyDescent="0.2">
      <c r="A280" s="9">
        <v>1</v>
      </c>
      <c r="B280" s="9">
        <v>27</v>
      </c>
      <c r="C280" s="9">
        <v>2</v>
      </c>
      <c r="D280" s="9">
        <v>7</v>
      </c>
      <c r="E280" s="9">
        <v>8</v>
      </c>
      <c r="F280" s="9">
        <v>30</v>
      </c>
      <c r="G280" s="9">
        <v>4</v>
      </c>
      <c r="H280" s="9">
        <v>0.45</v>
      </c>
      <c r="I280" s="9">
        <v>0.75</v>
      </c>
      <c r="J280" s="78"/>
    </row>
    <row r="281" spans="1:10" x14ac:dyDescent="0.2">
      <c r="A281" s="9">
        <v>1</v>
      </c>
      <c r="B281" s="9">
        <v>32</v>
      </c>
      <c r="C281" s="9">
        <v>2</v>
      </c>
      <c r="D281" s="9">
        <v>0</v>
      </c>
      <c r="E281" s="9">
        <v>6</v>
      </c>
      <c r="F281" s="9">
        <v>18</v>
      </c>
      <c r="G281" s="9">
        <v>5.8</v>
      </c>
      <c r="H281" s="9">
        <v>0.3</v>
      </c>
      <c r="I281" s="9">
        <v>0.75</v>
      </c>
      <c r="J281" s="78"/>
    </row>
    <row r="282" spans="1:10" x14ac:dyDescent="0.2">
      <c r="A282" s="9">
        <v>1</v>
      </c>
      <c r="B282" s="9">
        <v>26</v>
      </c>
      <c r="C282" s="9">
        <v>1</v>
      </c>
      <c r="D282" s="9">
        <v>0</v>
      </c>
      <c r="E282" s="9">
        <v>0</v>
      </c>
      <c r="F282" s="9">
        <v>14</v>
      </c>
      <c r="G282" s="9">
        <v>7.5</v>
      </c>
      <c r="H282" s="9">
        <v>0.3</v>
      </c>
      <c r="I282" s="9">
        <v>0.75</v>
      </c>
      <c r="J282" s="78"/>
    </row>
    <row r="283" spans="1:10" x14ac:dyDescent="0.2">
      <c r="A283" s="9">
        <v>1</v>
      </c>
      <c r="B283" s="9">
        <v>24</v>
      </c>
      <c r="C283" s="9">
        <v>3</v>
      </c>
      <c r="D283" s="9">
        <v>2</v>
      </c>
      <c r="E283" s="9">
        <v>5</v>
      </c>
      <c r="F283" s="9">
        <v>16</v>
      </c>
      <c r="G283" s="9">
        <v>6.4</v>
      </c>
      <c r="H283" s="9">
        <v>0.27</v>
      </c>
      <c r="I283" s="9">
        <v>0.75</v>
      </c>
      <c r="J283" s="78"/>
    </row>
    <row r="284" spans="1:10" x14ac:dyDescent="0.2">
      <c r="A284" s="9">
        <v>1</v>
      </c>
      <c r="B284" s="9">
        <v>37</v>
      </c>
      <c r="C284" s="9">
        <v>1</v>
      </c>
      <c r="D284" s="9">
        <v>0</v>
      </c>
      <c r="E284" s="9">
        <v>18</v>
      </c>
      <c r="F284" s="9">
        <v>18</v>
      </c>
      <c r="G284" s="9">
        <v>12.9</v>
      </c>
      <c r="H284" s="9">
        <v>1.58</v>
      </c>
      <c r="I284" s="9">
        <v>0.74</v>
      </c>
      <c r="J284" s="78"/>
    </row>
    <row r="285" spans="1:10" x14ac:dyDescent="0.2">
      <c r="A285" s="9">
        <v>0</v>
      </c>
      <c r="B285" s="9">
        <v>32</v>
      </c>
      <c r="C285" s="9">
        <v>1</v>
      </c>
      <c r="D285" s="9">
        <v>8</v>
      </c>
      <c r="E285" s="9">
        <v>6</v>
      </c>
      <c r="F285" s="9">
        <v>26</v>
      </c>
      <c r="G285" s="9">
        <v>4.0999999999999996</v>
      </c>
      <c r="H285" s="9">
        <v>0.33</v>
      </c>
      <c r="I285" s="9">
        <v>0.74</v>
      </c>
      <c r="J285" s="78"/>
    </row>
    <row r="286" spans="1:10" x14ac:dyDescent="0.2">
      <c r="A286" s="9">
        <v>0</v>
      </c>
      <c r="B286" s="9">
        <v>30</v>
      </c>
      <c r="C286" s="9">
        <v>4</v>
      </c>
      <c r="D286" s="9">
        <v>2</v>
      </c>
      <c r="E286" s="9">
        <v>8</v>
      </c>
      <c r="F286" s="9">
        <v>25</v>
      </c>
      <c r="G286" s="9">
        <v>10</v>
      </c>
      <c r="H286" s="9">
        <v>1.77</v>
      </c>
      <c r="I286" s="9">
        <v>0.73</v>
      </c>
      <c r="J286" s="78"/>
    </row>
    <row r="287" spans="1:10" x14ac:dyDescent="0.2">
      <c r="A287" s="9">
        <v>1</v>
      </c>
      <c r="B287" s="9">
        <v>23</v>
      </c>
      <c r="C287" s="9">
        <v>1</v>
      </c>
      <c r="D287" s="9">
        <v>2</v>
      </c>
      <c r="E287" s="9">
        <v>2</v>
      </c>
      <c r="F287" s="9">
        <v>16</v>
      </c>
      <c r="G287" s="9">
        <v>9.6</v>
      </c>
      <c r="H287" s="9">
        <v>0.8</v>
      </c>
      <c r="I287" s="9">
        <v>0.73</v>
      </c>
      <c r="J287" s="78"/>
    </row>
    <row r="288" spans="1:10" x14ac:dyDescent="0.2">
      <c r="A288" s="9">
        <v>0</v>
      </c>
      <c r="B288" s="9">
        <v>32</v>
      </c>
      <c r="C288" s="9">
        <v>3</v>
      </c>
      <c r="D288" s="9">
        <v>5</v>
      </c>
      <c r="E288" s="9">
        <v>9</v>
      </c>
      <c r="F288" s="9">
        <v>23</v>
      </c>
      <c r="G288" s="9">
        <v>4.5</v>
      </c>
      <c r="H288" s="9">
        <v>0.33</v>
      </c>
      <c r="I288" s="9">
        <v>0.71</v>
      </c>
      <c r="J288" s="78"/>
    </row>
    <row r="289" spans="1:10" x14ac:dyDescent="0.2">
      <c r="A289" s="9">
        <v>0</v>
      </c>
      <c r="B289" s="9">
        <v>32</v>
      </c>
      <c r="C289" s="9">
        <v>1</v>
      </c>
      <c r="D289" s="9">
        <v>12</v>
      </c>
      <c r="E289" s="9">
        <v>12</v>
      </c>
      <c r="F289" s="9">
        <v>28</v>
      </c>
      <c r="G289" s="9">
        <v>2.9</v>
      </c>
      <c r="H289" s="9">
        <v>0.12</v>
      </c>
      <c r="I289" s="9">
        <v>0.7</v>
      </c>
      <c r="J289" s="78"/>
    </row>
    <row r="290" spans="1:10" x14ac:dyDescent="0.2">
      <c r="A290" s="9">
        <v>0</v>
      </c>
      <c r="B290" s="9">
        <v>40</v>
      </c>
      <c r="C290" s="9">
        <v>1</v>
      </c>
      <c r="D290" s="9">
        <v>13</v>
      </c>
      <c r="E290" s="9">
        <v>2</v>
      </c>
      <c r="F290" s="9">
        <v>28</v>
      </c>
      <c r="G290" s="9">
        <v>5.9</v>
      </c>
      <c r="H290" s="9">
        <v>0.96</v>
      </c>
      <c r="I290" s="9">
        <v>0.69</v>
      </c>
      <c r="J290" s="78"/>
    </row>
    <row r="291" spans="1:10" x14ac:dyDescent="0.2">
      <c r="A291" s="9">
        <v>0</v>
      </c>
      <c r="B291" s="9">
        <v>32</v>
      </c>
      <c r="C291" s="9">
        <v>2</v>
      </c>
      <c r="D291" s="9">
        <v>8</v>
      </c>
      <c r="E291" s="9">
        <v>2</v>
      </c>
      <c r="F291" s="9">
        <v>45</v>
      </c>
      <c r="G291" s="9">
        <v>3.7</v>
      </c>
      <c r="H291" s="9">
        <v>0.98</v>
      </c>
      <c r="I291" s="9">
        <v>0.68</v>
      </c>
      <c r="J291" s="78"/>
    </row>
    <row r="292" spans="1:10" x14ac:dyDescent="0.2">
      <c r="A292" s="9">
        <v>0</v>
      </c>
      <c r="B292" s="9">
        <v>41</v>
      </c>
      <c r="C292" s="9">
        <v>1</v>
      </c>
      <c r="D292" s="9">
        <v>13</v>
      </c>
      <c r="E292" s="9">
        <v>10</v>
      </c>
      <c r="F292" s="9">
        <v>44</v>
      </c>
      <c r="G292" s="9">
        <v>1.7</v>
      </c>
      <c r="H292" s="9">
        <v>7.0000000000000007E-2</v>
      </c>
      <c r="I292" s="9">
        <v>0.68</v>
      </c>
      <c r="J292" s="78"/>
    </row>
    <row r="293" spans="1:10" x14ac:dyDescent="0.2">
      <c r="A293" s="9">
        <v>1</v>
      </c>
      <c r="B293" s="9">
        <v>32</v>
      </c>
      <c r="C293" s="9">
        <v>1</v>
      </c>
      <c r="D293" s="9">
        <v>1</v>
      </c>
      <c r="E293" s="9">
        <v>0</v>
      </c>
      <c r="F293" s="9">
        <v>20</v>
      </c>
      <c r="G293" s="9">
        <v>4.8</v>
      </c>
      <c r="H293" s="9">
        <v>0.31</v>
      </c>
      <c r="I293" s="9">
        <v>0.65</v>
      </c>
      <c r="J293" s="78"/>
    </row>
    <row r="294" spans="1:10" x14ac:dyDescent="0.2">
      <c r="A294" s="9">
        <v>0</v>
      </c>
      <c r="B294" s="9">
        <v>37</v>
      </c>
      <c r="C294" s="9">
        <v>1</v>
      </c>
      <c r="D294" s="9">
        <v>3</v>
      </c>
      <c r="E294" s="9">
        <v>3</v>
      </c>
      <c r="F294" s="9">
        <v>25</v>
      </c>
      <c r="G294" s="9">
        <v>3.7</v>
      </c>
      <c r="H294" s="9">
        <v>0.28000000000000003</v>
      </c>
      <c r="I294" s="9">
        <v>0.65</v>
      </c>
      <c r="J294" s="78"/>
    </row>
    <row r="295" spans="1:10" x14ac:dyDescent="0.2">
      <c r="A295" s="9">
        <v>0</v>
      </c>
      <c r="B295" s="9">
        <v>31</v>
      </c>
      <c r="C295" s="9">
        <v>1</v>
      </c>
      <c r="D295" s="9">
        <v>9</v>
      </c>
      <c r="E295" s="9">
        <v>10</v>
      </c>
      <c r="F295" s="9">
        <v>28</v>
      </c>
      <c r="G295" s="9">
        <v>2.4</v>
      </c>
      <c r="H295" s="9">
        <v>0.05</v>
      </c>
      <c r="I295" s="9">
        <v>0.62</v>
      </c>
      <c r="J295" s="78"/>
    </row>
    <row r="296" spans="1:10" x14ac:dyDescent="0.2">
      <c r="A296" s="9">
        <v>0</v>
      </c>
      <c r="B296" s="9">
        <v>38</v>
      </c>
      <c r="C296" s="9">
        <v>3</v>
      </c>
      <c r="D296" s="9">
        <v>3</v>
      </c>
      <c r="E296" s="9">
        <v>18</v>
      </c>
      <c r="F296" s="9">
        <v>25</v>
      </c>
      <c r="G296" s="9">
        <v>3.7</v>
      </c>
      <c r="H296" s="9">
        <v>0.31</v>
      </c>
      <c r="I296" s="9">
        <v>0.61</v>
      </c>
      <c r="J296" s="78"/>
    </row>
    <row r="297" spans="1:10" x14ac:dyDescent="0.2">
      <c r="A297" s="9">
        <v>0</v>
      </c>
      <c r="B297" s="9">
        <v>32</v>
      </c>
      <c r="C297" s="9">
        <v>1</v>
      </c>
      <c r="D297" s="9">
        <v>14</v>
      </c>
      <c r="E297" s="9">
        <v>0</v>
      </c>
      <c r="F297" s="9">
        <v>36</v>
      </c>
      <c r="G297" s="9">
        <v>2.4</v>
      </c>
      <c r="H297" s="9">
        <v>0.27</v>
      </c>
      <c r="I297" s="9">
        <v>0.59</v>
      </c>
      <c r="J297" s="78"/>
    </row>
    <row r="298" spans="1:10" x14ac:dyDescent="0.2">
      <c r="A298" s="9">
        <v>0</v>
      </c>
      <c r="B298" s="9">
        <v>35</v>
      </c>
      <c r="C298" s="9">
        <v>2</v>
      </c>
      <c r="D298" s="9">
        <v>13</v>
      </c>
      <c r="E298" s="9">
        <v>3</v>
      </c>
      <c r="F298" s="9">
        <v>105</v>
      </c>
      <c r="G298" s="9">
        <v>1.9</v>
      </c>
      <c r="H298" s="9">
        <v>1.42</v>
      </c>
      <c r="I298" s="9">
        <v>0.57999999999999996</v>
      </c>
      <c r="J298" s="78"/>
    </row>
    <row r="299" spans="1:10" x14ac:dyDescent="0.2">
      <c r="A299" s="9">
        <v>0</v>
      </c>
      <c r="B299" s="9">
        <v>26</v>
      </c>
      <c r="C299" s="9">
        <v>2</v>
      </c>
      <c r="D299" s="9">
        <v>6</v>
      </c>
      <c r="E299" s="9">
        <v>0</v>
      </c>
      <c r="F299" s="9">
        <v>35</v>
      </c>
      <c r="G299" s="9">
        <v>1.9</v>
      </c>
      <c r="H299" s="9">
        <v>0.09</v>
      </c>
      <c r="I299" s="9">
        <v>0.57999999999999996</v>
      </c>
      <c r="J299" s="78"/>
    </row>
    <row r="300" spans="1:10" x14ac:dyDescent="0.2">
      <c r="A300" s="9">
        <v>1</v>
      </c>
      <c r="B300" s="9">
        <v>28</v>
      </c>
      <c r="C300" s="9">
        <v>4</v>
      </c>
      <c r="D300" s="9">
        <v>2</v>
      </c>
      <c r="E300" s="9">
        <v>4</v>
      </c>
      <c r="F300" s="9">
        <v>41</v>
      </c>
      <c r="G300" s="9">
        <v>2.5</v>
      </c>
      <c r="H300" s="9">
        <v>0.46</v>
      </c>
      <c r="I300" s="9">
        <v>0.56999999999999995</v>
      </c>
      <c r="J300" s="78"/>
    </row>
    <row r="301" spans="1:10" x14ac:dyDescent="0.2">
      <c r="A301" s="9">
        <v>0</v>
      </c>
      <c r="B301" s="9">
        <v>36</v>
      </c>
      <c r="C301" s="9">
        <v>1</v>
      </c>
      <c r="D301" s="9">
        <v>15</v>
      </c>
      <c r="E301" s="9">
        <v>10</v>
      </c>
      <c r="F301" s="9">
        <v>39</v>
      </c>
      <c r="G301" s="9">
        <v>3.2</v>
      </c>
      <c r="H301" s="9">
        <v>0.69</v>
      </c>
      <c r="I301" s="9">
        <v>0.56000000000000005</v>
      </c>
      <c r="J301" s="78"/>
    </row>
    <row r="302" spans="1:10" x14ac:dyDescent="0.2">
      <c r="A302" s="9">
        <v>0</v>
      </c>
      <c r="B302" s="9">
        <v>39</v>
      </c>
      <c r="C302" s="9">
        <v>2</v>
      </c>
      <c r="D302" s="9">
        <v>18</v>
      </c>
      <c r="E302" s="9">
        <v>9</v>
      </c>
      <c r="F302" s="9">
        <v>44</v>
      </c>
      <c r="G302" s="9">
        <v>2.1</v>
      </c>
      <c r="H302" s="9">
        <v>0.37</v>
      </c>
      <c r="I302" s="9">
        <v>0.56000000000000005</v>
      </c>
      <c r="J302" s="78"/>
    </row>
    <row r="303" spans="1:10" x14ac:dyDescent="0.2">
      <c r="A303" s="9">
        <v>0</v>
      </c>
      <c r="B303" s="9">
        <v>39</v>
      </c>
      <c r="C303" s="9">
        <v>1</v>
      </c>
      <c r="D303" s="9">
        <v>8</v>
      </c>
      <c r="E303" s="9">
        <v>0</v>
      </c>
      <c r="F303" s="9">
        <v>21</v>
      </c>
      <c r="G303" s="9">
        <v>4</v>
      </c>
      <c r="H303" s="9">
        <v>0.28000000000000003</v>
      </c>
      <c r="I303" s="9">
        <v>0.56000000000000005</v>
      </c>
      <c r="J303" s="78"/>
    </row>
    <row r="304" spans="1:10" x14ac:dyDescent="0.2">
      <c r="A304" s="9">
        <v>0</v>
      </c>
      <c r="B304" s="9">
        <v>39</v>
      </c>
      <c r="C304" s="9">
        <v>1</v>
      </c>
      <c r="D304" s="9">
        <v>15</v>
      </c>
      <c r="E304" s="9">
        <v>16</v>
      </c>
      <c r="F304" s="9">
        <v>39</v>
      </c>
      <c r="G304" s="9">
        <v>1.8</v>
      </c>
      <c r="H304" s="9">
        <v>0.14000000000000001</v>
      </c>
      <c r="I304" s="9">
        <v>0.56000000000000005</v>
      </c>
      <c r="J304" s="78"/>
    </row>
    <row r="305" spans="1:10" x14ac:dyDescent="0.2">
      <c r="A305" s="9">
        <v>0</v>
      </c>
      <c r="B305" s="9">
        <v>29</v>
      </c>
      <c r="C305" s="9">
        <v>1</v>
      </c>
      <c r="D305" s="9">
        <v>13</v>
      </c>
      <c r="E305" s="9">
        <v>7</v>
      </c>
      <c r="F305" s="9">
        <v>27</v>
      </c>
      <c r="G305" s="9">
        <v>2.2999999999999998</v>
      </c>
      <c r="H305" s="9">
        <v>7.0000000000000007E-2</v>
      </c>
      <c r="I305" s="9">
        <v>0.55000000000000004</v>
      </c>
      <c r="J305" s="78"/>
    </row>
    <row r="306" spans="1:10" x14ac:dyDescent="0.2">
      <c r="A306" s="9">
        <v>0</v>
      </c>
      <c r="B306" s="9">
        <v>40</v>
      </c>
      <c r="C306" s="9">
        <v>4</v>
      </c>
      <c r="D306" s="9">
        <v>5</v>
      </c>
      <c r="E306" s="9">
        <v>6</v>
      </c>
      <c r="F306" s="9">
        <v>75</v>
      </c>
      <c r="G306" s="9">
        <v>1.9</v>
      </c>
      <c r="H306" s="9">
        <v>0.88</v>
      </c>
      <c r="I306" s="9">
        <v>0.54</v>
      </c>
      <c r="J306" s="78"/>
    </row>
    <row r="307" spans="1:10" x14ac:dyDescent="0.2">
      <c r="A307" s="9">
        <v>0</v>
      </c>
      <c r="B307" s="9">
        <v>29</v>
      </c>
      <c r="C307" s="9">
        <v>2</v>
      </c>
      <c r="D307" s="9">
        <v>4</v>
      </c>
      <c r="E307" s="9">
        <v>9</v>
      </c>
      <c r="F307" s="9">
        <v>19</v>
      </c>
      <c r="G307" s="9">
        <v>6.3</v>
      </c>
      <c r="H307" s="9">
        <v>0.68</v>
      </c>
      <c r="I307" s="9">
        <v>0.52</v>
      </c>
      <c r="J307" s="78"/>
    </row>
    <row r="308" spans="1:10" x14ac:dyDescent="0.2">
      <c r="A308" s="9">
        <v>0</v>
      </c>
      <c r="B308" s="9">
        <v>37</v>
      </c>
      <c r="C308" s="9">
        <v>1</v>
      </c>
      <c r="D308" s="9">
        <v>20</v>
      </c>
      <c r="E308" s="9">
        <v>2</v>
      </c>
      <c r="F308" s="9">
        <v>56</v>
      </c>
      <c r="G308" s="9">
        <v>1.9</v>
      </c>
      <c r="H308" s="9">
        <v>0.54</v>
      </c>
      <c r="I308" s="9">
        <v>0.52</v>
      </c>
      <c r="J308" s="78"/>
    </row>
    <row r="309" spans="1:10" x14ac:dyDescent="0.2">
      <c r="A309" s="9">
        <v>0</v>
      </c>
      <c r="B309" s="9">
        <v>22</v>
      </c>
      <c r="C309" s="9">
        <v>1</v>
      </c>
      <c r="D309" s="9">
        <v>1</v>
      </c>
      <c r="E309" s="9">
        <v>0</v>
      </c>
      <c r="F309" s="9">
        <v>18</v>
      </c>
      <c r="G309" s="9">
        <v>4.4000000000000004</v>
      </c>
      <c r="H309" s="9">
        <v>0.27</v>
      </c>
      <c r="I309" s="9">
        <v>0.52</v>
      </c>
      <c r="J309" s="78"/>
    </row>
    <row r="310" spans="1:10" x14ac:dyDescent="0.2">
      <c r="A310" s="9">
        <v>0</v>
      </c>
      <c r="B310" s="9">
        <v>28</v>
      </c>
      <c r="C310" s="9">
        <v>1</v>
      </c>
      <c r="D310" s="9">
        <v>3</v>
      </c>
      <c r="E310" s="9">
        <v>7</v>
      </c>
      <c r="F310" s="9">
        <v>19</v>
      </c>
      <c r="G310" s="9">
        <v>4.0999999999999996</v>
      </c>
      <c r="H310" s="9">
        <v>0.26</v>
      </c>
      <c r="I310" s="9">
        <v>0.52</v>
      </c>
      <c r="J310" s="78"/>
    </row>
    <row r="311" spans="1:10" x14ac:dyDescent="0.2">
      <c r="A311" s="9">
        <v>0</v>
      </c>
      <c r="B311" s="9">
        <v>39</v>
      </c>
      <c r="C311" s="9">
        <v>1</v>
      </c>
      <c r="D311" s="9">
        <v>22</v>
      </c>
      <c r="E311" s="9">
        <v>3</v>
      </c>
      <c r="F311" s="9">
        <v>52</v>
      </c>
      <c r="G311" s="9">
        <v>3.2</v>
      </c>
      <c r="H311" s="9">
        <v>1.1499999999999999</v>
      </c>
      <c r="I311" s="9">
        <v>0.51</v>
      </c>
      <c r="J311" s="78"/>
    </row>
    <row r="312" spans="1:10" x14ac:dyDescent="0.2">
      <c r="A312" s="9">
        <v>0</v>
      </c>
      <c r="B312" s="9">
        <v>30</v>
      </c>
      <c r="C312" s="9">
        <v>1</v>
      </c>
      <c r="D312" s="9">
        <v>10</v>
      </c>
      <c r="E312" s="9">
        <v>2</v>
      </c>
      <c r="F312" s="9">
        <v>19</v>
      </c>
      <c r="G312" s="9">
        <v>4.4000000000000004</v>
      </c>
      <c r="H312" s="9">
        <v>0.34</v>
      </c>
      <c r="I312" s="9">
        <v>0.5</v>
      </c>
      <c r="J312" s="78"/>
    </row>
    <row r="313" spans="1:10" x14ac:dyDescent="0.2">
      <c r="A313" s="9">
        <v>0</v>
      </c>
      <c r="B313" s="9">
        <v>36</v>
      </c>
      <c r="C313" s="9">
        <v>4</v>
      </c>
      <c r="D313" s="9">
        <v>8</v>
      </c>
      <c r="E313" s="9">
        <v>0</v>
      </c>
      <c r="F313" s="9">
        <v>32</v>
      </c>
      <c r="G313" s="9">
        <v>1.6</v>
      </c>
      <c r="H313" s="9">
        <v>0.02</v>
      </c>
      <c r="I313" s="9">
        <v>0.49</v>
      </c>
      <c r="J313" s="78"/>
    </row>
    <row r="314" spans="1:10" x14ac:dyDescent="0.2">
      <c r="A314" s="9">
        <v>0</v>
      </c>
      <c r="B314" s="9">
        <v>28</v>
      </c>
      <c r="C314" s="9">
        <v>1</v>
      </c>
      <c r="D314" s="9">
        <v>5</v>
      </c>
      <c r="E314" s="9">
        <v>9</v>
      </c>
      <c r="F314" s="9">
        <v>22</v>
      </c>
      <c r="G314" s="9">
        <v>2.8</v>
      </c>
      <c r="H314" s="9">
        <v>0.14000000000000001</v>
      </c>
      <c r="I314" s="9">
        <v>0.48</v>
      </c>
      <c r="J314" s="78"/>
    </row>
    <row r="315" spans="1:10" x14ac:dyDescent="0.2">
      <c r="A315" s="9">
        <v>0</v>
      </c>
      <c r="B315" s="9">
        <v>26</v>
      </c>
      <c r="C315" s="9">
        <v>1</v>
      </c>
      <c r="D315" s="9">
        <v>10</v>
      </c>
      <c r="E315" s="9">
        <v>1</v>
      </c>
      <c r="F315" s="9">
        <v>25</v>
      </c>
      <c r="G315" s="9">
        <v>7.1</v>
      </c>
      <c r="H315" s="9">
        <v>1.31</v>
      </c>
      <c r="I315" s="9">
        <v>0.47</v>
      </c>
      <c r="J315" s="78"/>
    </row>
    <row r="316" spans="1:10" x14ac:dyDescent="0.2">
      <c r="A316" s="9">
        <v>0</v>
      </c>
      <c r="B316" s="9">
        <v>40</v>
      </c>
      <c r="C316" s="9">
        <v>1</v>
      </c>
      <c r="D316" s="9">
        <v>8</v>
      </c>
      <c r="E316" s="9">
        <v>17</v>
      </c>
      <c r="F316" s="9">
        <v>28</v>
      </c>
      <c r="G316" s="9">
        <v>3.6</v>
      </c>
      <c r="H316" s="9">
        <v>0.53</v>
      </c>
      <c r="I316" s="9">
        <v>0.47</v>
      </c>
      <c r="J316" s="78"/>
    </row>
    <row r="317" spans="1:10" x14ac:dyDescent="0.2">
      <c r="A317" s="9">
        <v>0</v>
      </c>
      <c r="B317" s="9">
        <v>26</v>
      </c>
      <c r="C317" s="9">
        <v>4</v>
      </c>
      <c r="D317" s="9">
        <v>1</v>
      </c>
      <c r="E317" s="9">
        <v>7</v>
      </c>
      <c r="F317" s="9">
        <v>27</v>
      </c>
      <c r="G317" s="9">
        <v>2.9</v>
      </c>
      <c r="H317" s="9">
        <v>0.31</v>
      </c>
      <c r="I317" s="9">
        <v>0.47</v>
      </c>
      <c r="J317" s="78"/>
    </row>
    <row r="318" spans="1:10" x14ac:dyDescent="0.2">
      <c r="A318" s="9">
        <v>0</v>
      </c>
      <c r="B318" s="9">
        <v>32</v>
      </c>
      <c r="C318" s="9">
        <v>2</v>
      </c>
      <c r="D318" s="9">
        <v>3</v>
      </c>
      <c r="E318" s="9">
        <v>13</v>
      </c>
      <c r="F318" s="9">
        <v>47</v>
      </c>
      <c r="G318" s="9">
        <v>1.9</v>
      </c>
      <c r="H318" s="9">
        <v>0.43</v>
      </c>
      <c r="I318" s="9">
        <v>0.46</v>
      </c>
      <c r="J318" s="78"/>
    </row>
    <row r="319" spans="1:10" x14ac:dyDescent="0.2">
      <c r="A319" s="9">
        <v>0</v>
      </c>
      <c r="B319" s="9">
        <v>24</v>
      </c>
      <c r="C319" s="9">
        <v>6</v>
      </c>
      <c r="D319" s="9">
        <v>3</v>
      </c>
      <c r="E319" s="9">
        <v>0</v>
      </c>
      <c r="F319" s="9">
        <v>19</v>
      </c>
      <c r="G319" s="9">
        <v>4.3</v>
      </c>
      <c r="H319" s="9">
        <v>0.36</v>
      </c>
      <c r="I319" s="9">
        <v>0.46</v>
      </c>
      <c r="J319" s="78"/>
    </row>
    <row r="320" spans="1:10" x14ac:dyDescent="0.2">
      <c r="A320" s="9">
        <v>0</v>
      </c>
      <c r="B320" s="9">
        <v>38</v>
      </c>
      <c r="C320" s="9">
        <v>2</v>
      </c>
      <c r="D320" s="9">
        <v>4</v>
      </c>
      <c r="E320" s="9">
        <v>13</v>
      </c>
      <c r="F320" s="9">
        <v>56</v>
      </c>
      <c r="G320" s="9">
        <v>1.6</v>
      </c>
      <c r="H320" s="9">
        <v>0.44</v>
      </c>
      <c r="I320" s="9">
        <v>0.45</v>
      </c>
      <c r="J320" s="78"/>
    </row>
    <row r="321" spans="1:10" x14ac:dyDescent="0.2">
      <c r="A321" s="9">
        <v>0</v>
      </c>
      <c r="B321" s="9">
        <v>24</v>
      </c>
      <c r="C321" s="9">
        <v>1</v>
      </c>
      <c r="D321" s="9">
        <v>4</v>
      </c>
      <c r="E321" s="9">
        <v>2</v>
      </c>
      <c r="F321" s="9">
        <v>21</v>
      </c>
      <c r="G321" s="9">
        <v>2.6</v>
      </c>
      <c r="H321" s="9">
        <v>0.1</v>
      </c>
      <c r="I321" s="9">
        <v>0.45</v>
      </c>
      <c r="J321" s="78"/>
    </row>
    <row r="322" spans="1:10" x14ac:dyDescent="0.2">
      <c r="A322" s="9">
        <v>0</v>
      </c>
      <c r="B322" s="9">
        <v>41</v>
      </c>
      <c r="C322" s="9">
        <v>4</v>
      </c>
      <c r="D322" s="9">
        <v>14</v>
      </c>
      <c r="E322" s="9">
        <v>3</v>
      </c>
      <c r="F322" s="9">
        <v>44</v>
      </c>
      <c r="G322" s="9">
        <v>1.7</v>
      </c>
      <c r="H322" s="9">
        <v>0.35</v>
      </c>
      <c r="I322" s="9">
        <v>0.39</v>
      </c>
      <c r="J322" s="78"/>
    </row>
    <row r="323" spans="1:10" x14ac:dyDescent="0.2">
      <c r="A323" s="9">
        <v>1</v>
      </c>
      <c r="B323" s="9">
        <v>26</v>
      </c>
      <c r="C323" s="9">
        <v>1</v>
      </c>
      <c r="D323" s="9">
        <v>4</v>
      </c>
      <c r="E323" s="9">
        <v>3</v>
      </c>
      <c r="F323" s="9">
        <v>27</v>
      </c>
      <c r="G323" s="9">
        <v>10.5</v>
      </c>
      <c r="H323" s="9">
        <v>2.4700000000000002</v>
      </c>
      <c r="I323" s="9">
        <v>0.36</v>
      </c>
      <c r="J323" s="78"/>
    </row>
    <row r="324" spans="1:10" x14ac:dyDescent="0.2">
      <c r="A324" s="9">
        <v>0</v>
      </c>
      <c r="B324" s="9">
        <v>41</v>
      </c>
      <c r="C324" s="9">
        <v>1</v>
      </c>
      <c r="D324" s="9">
        <v>16</v>
      </c>
      <c r="E324" s="9">
        <v>22</v>
      </c>
      <c r="F324" s="9">
        <v>49</v>
      </c>
      <c r="G324" s="9">
        <v>1.6</v>
      </c>
      <c r="H324" s="9">
        <v>0.43</v>
      </c>
      <c r="I324" s="9">
        <v>0.35</v>
      </c>
      <c r="J324" s="78"/>
    </row>
    <row r="325" spans="1:10" x14ac:dyDescent="0.2">
      <c r="A325" s="9">
        <v>0</v>
      </c>
      <c r="B325" s="9">
        <v>41</v>
      </c>
      <c r="C325" s="9">
        <v>3</v>
      </c>
      <c r="D325" s="9">
        <v>0</v>
      </c>
      <c r="E325" s="9">
        <v>21</v>
      </c>
      <c r="F325" s="9">
        <v>26</v>
      </c>
      <c r="G325" s="9">
        <v>1.7</v>
      </c>
      <c r="H325" s="9">
        <v>0.1</v>
      </c>
      <c r="I325" s="9">
        <v>0.34</v>
      </c>
      <c r="J325" s="78"/>
    </row>
    <row r="326" spans="1:10" x14ac:dyDescent="0.2">
      <c r="A326" s="9">
        <v>0</v>
      </c>
      <c r="B326" s="9">
        <v>45</v>
      </c>
      <c r="C326" s="9">
        <v>6</v>
      </c>
      <c r="D326" s="9">
        <v>3</v>
      </c>
      <c r="E326" s="9">
        <v>15</v>
      </c>
      <c r="F326" s="9">
        <v>20</v>
      </c>
      <c r="G326" s="9">
        <v>2.1</v>
      </c>
      <c r="H326" s="9">
        <v>0.11</v>
      </c>
      <c r="I326" s="9">
        <v>0.32</v>
      </c>
      <c r="J326" s="78"/>
    </row>
    <row r="327" spans="1:10" x14ac:dyDescent="0.2">
      <c r="A327" s="9">
        <v>0</v>
      </c>
      <c r="B327" s="9">
        <v>29</v>
      </c>
      <c r="C327" s="9">
        <v>1</v>
      </c>
      <c r="D327" s="9">
        <v>1</v>
      </c>
      <c r="E327" s="9">
        <v>4</v>
      </c>
      <c r="F327" s="9">
        <v>17</v>
      </c>
      <c r="G327" s="9">
        <v>2.5</v>
      </c>
      <c r="H327" s="9">
        <v>0.13</v>
      </c>
      <c r="I327" s="9">
        <v>0.28999999999999998</v>
      </c>
      <c r="J327" s="78"/>
    </row>
    <row r="328" spans="1:10" x14ac:dyDescent="0.2">
      <c r="A328" s="9">
        <v>1</v>
      </c>
      <c r="B328" s="9">
        <v>31</v>
      </c>
      <c r="C328" s="9">
        <v>1</v>
      </c>
      <c r="D328" s="9">
        <v>1</v>
      </c>
      <c r="E328" s="9">
        <v>6</v>
      </c>
      <c r="F328" s="9">
        <v>21</v>
      </c>
      <c r="G328" s="9">
        <v>2.5</v>
      </c>
      <c r="H328" s="9">
        <v>0.28000000000000003</v>
      </c>
      <c r="I328" s="9">
        <v>0.25</v>
      </c>
      <c r="J328" s="78"/>
    </row>
    <row r="329" spans="1:10" x14ac:dyDescent="0.2">
      <c r="A329" s="9">
        <v>0</v>
      </c>
      <c r="B329" s="9">
        <v>29</v>
      </c>
      <c r="C329" s="9">
        <v>2</v>
      </c>
      <c r="D329" s="9">
        <v>3</v>
      </c>
      <c r="E329" s="9">
        <v>8</v>
      </c>
      <c r="F329" s="9">
        <v>15</v>
      </c>
      <c r="G329" s="9">
        <v>2.6</v>
      </c>
      <c r="H329" s="9">
        <v>0.15</v>
      </c>
      <c r="I329" s="9">
        <v>0.24</v>
      </c>
      <c r="J329" s="78"/>
    </row>
    <row r="330" spans="1:10" x14ac:dyDescent="0.2">
      <c r="A330" s="9">
        <v>0</v>
      </c>
      <c r="B330" s="9">
        <v>41</v>
      </c>
      <c r="C330" s="9">
        <v>2</v>
      </c>
      <c r="D330" s="9">
        <v>8</v>
      </c>
      <c r="E330" s="9">
        <v>21</v>
      </c>
      <c r="F330" s="9">
        <v>43</v>
      </c>
      <c r="G330" s="9">
        <v>0.7</v>
      </c>
      <c r="H330" s="9">
        <v>0.09</v>
      </c>
      <c r="I330" s="9">
        <v>0.22</v>
      </c>
      <c r="J330" s="78"/>
    </row>
    <row r="331" spans="1:10" x14ac:dyDescent="0.2">
      <c r="A331" s="9">
        <v>0</v>
      </c>
      <c r="B331" s="9">
        <v>43</v>
      </c>
      <c r="C331" s="9">
        <v>1</v>
      </c>
      <c r="D331" s="9">
        <v>16</v>
      </c>
      <c r="E331" s="9">
        <v>7</v>
      </c>
      <c r="F331" s="9">
        <v>89</v>
      </c>
      <c r="G331" s="9">
        <v>0.4</v>
      </c>
      <c r="H331" s="9">
        <v>0.16</v>
      </c>
      <c r="I331" s="9">
        <v>0.2</v>
      </c>
      <c r="J331" s="78"/>
    </row>
    <row r="332" spans="1:10" x14ac:dyDescent="0.2">
      <c r="A332" s="9">
        <v>0</v>
      </c>
      <c r="B332" s="9">
        <v>34</v>
      </c>
      <c r="C332" s="9">
        <v>2</v>
      </c>
      <c r="D332" s="9">
        <v>8</v>
      </c>
      <c r="E332" s="9">
        <v>16</v>
      </c>
      <c r="F332" s="9">
        <v>38</v>
      </c>
      <c r="G332" s="9">
        <v>0.6</v>
      </c>
      <c r="H332" s="9">
        <v>0.03</v>
      </c>
      <c r="I332" s="9">
        <v>0.2</v>
      </c>
      <c r="J332" s="78"/>
    </row>
    <row r="333" spans="1:10" x14ac:dyDescent="0.2">
      <c r="A333" s="9">
        <v>0</v>
      </c>
      <c r="B333" s="9">
        <v>35</v>
      </c>
      <c r="C333" s="9">
        <v>2</v>
      </c>
      <c r="D333" s="9">
        <v>14</v>
      </c>
      <c r="E333" s="9">
        <v>3</v>
      </c>
      <c r="F333" s="9">
        <v>82</v>
      </c>
      <c r="G333" s="9">
        <v>0.8</v>
      </c>
      <c r="H333" s="9">
        <v>0.47</v>
      </c>
      <c r="I333" s="9">
        <v>0.19</v>
      </c>
      <c r="J333" s="78"/>
    </row>
    <row r="334" spans="1:10" x14ac:dyDescent="0.2">
      <c r="A334" s="9">
        <v>0</v>
      </c>
      <c r="B334" s="9">
        <v>50</v>
      </c>
      <c r="C334" s="9">
        <v>2</v>
      </c>
      <c r="D334" s="9">
        <v>15</v>
      </c>
      <c r="E334" s="9">
        <v>31</v>
      </c>
      <c r="F334" s="9">
        <v>60</v>
      </c>
      <c r="G334" s="9">
        <v>1.1000000000000001</v>
      </c>
      <c r="H334" s="9">
        <v>0.47</v>
      </c>
      <c r="I334" s="9">
        <v>0.19</v>
      </c>
      <c r="J334" s="78"/>
    </row>
    <row r="335" spans="1:10" x14ac:dyDescent="0.2">
      <c r="A335" s="9">
        <v>0</v>
      </c>
      <c r="B335" s="9">
        <v>29</v>
      </c>
      <c r="C335" s="9">
        <v>1</v>
      </c>
      <c r="D335" s="9">
        <v>1</v>
      </c>
      <c r="E335" s="9">
        <v>1</v>
      </c>
      <c r="F335" s="9">
        <v>18</v>
      </c>
      <c r="G335" s="9">
        <v>1.1000000000000001</v>
      </c>
      <c r="H335" s="9">
        <v>0.03</v>
      </c>
      <c r="I335" s="9">
        <v>0.17</v>
      </c>
      <c r="J335" s="78"/>
    </row>
    <row r="336" spans="1:10" x14ac:dyDescent="0.2">
      <c r="A336" s="9">
        <v>0</v>
      </c>
      <c r="B336" s="9">
        <v>26</v>
      </c>
      <c r="C336" s="9">
        <v>2</v>
      </c>
      <c r="D336" s="9">
        <v>6</v>
      </c>
      <c r="E336" s="9">
        <v>6</v>
      </c>
      <c r="F336" s="9">
        <v>30</v>
      </c>
      <c r="G336" s="9">
        <v>1</v>
      </c>
      <c r="H336" s="9">
        <v>0.14000000000000001</v>
      </c>
      <c r="I336" s="9">
        <v>0.16</v>
      </c>
      <c r="J336" s="78"/>
    </row>
    <row r="337" spans="1:10" x14ac:dyDescent="0.2">
      <c r="A337" s="9">
        <v>0</v>
      </c>
      <c r="B337" s="9">
        <v>22</v>
      </c>
      <c r="C337" s="9">
        <v>1</v>
      </c>
      <c r="D337" s="9">
        <v>4</v>
      </c>
      <c r="E337" s="9">
        <v>1</v>
      </c>
      <c r="F337" s="9">
        <v>16</v>
      </c>
      <c r="G337" s="9">
        <v>1.2</v>
      </c>
      <c r="H337" s="9">
        <v>0.08</v>
      </c>
      <c r="I337" s="9">
        <v>0.11</v>
      </c>
      <c r="J337" s="78"/>
    </row>
    <row r="338" spans="1:10" x14ac:dyDescent="0.2">
      <c r="A338" s="9">
        <v>0</v>
      </c>
      <c r="B338" s="9">
        <v>24</v>
      </c>
      <c r="C338" s="9">
        <v>1</v>
      </c>
      <c r="D338" s="9">
        <v>2</v>
      </c>
      <c r="E338" s="9">
        <v>1</v>
      </c>
      <c r="F338" s="9">
        <v>21</v>
      </c>
      <c r="G338" s="9">
        <v>0.6</v>
      </c>
      <c r="H338" s="9">
        <v>0.03</v>
      </c>
      <c r="I338" s="9">
        <v>0.1</v>
      </c>
      <c r="J338" s="78"/>
    </row>
    <row r="339" spans="1:10" x14ac:dyDescent="0.2">
      <c r="A339" s="9">
        <v>1</v>
      </c>
      <c r="B339" s="9">
        <v>40</v>
      </c>
      <c r="C339" s="9">
        <v>3</v>
      </c>
      <c r="D339" s="9">
        <v>5</v>
      </c>
      <c r="E339" s="9">
        <v>3</v>
      </c>
      <c r="F339" s="9">
        <v>0</v>
      </c>
      <c r="G339" s="9">
        <v>16</v>
      </c>
      <c r="H339" s="13"/>
      <c r="I339" s="9">
        <v>0</v>
      </c>
      <c r="J339" s="78"/>
    </row>
    <row r="340" spans="1:10" x14ac:dyDescent="0.2">
      <c r="A340" s="9">
        <v>1</v>
      </c>
      <c r="B340" s="9">
        <v>30</v>
      </c>
      <c r="C340" s="9">
        <v>3</v>
      </c>
      <c r="D340" s="9">
        <v>0</v>
      </c>
      <c r="E340" s="9">
        <v>8</v>
      </c>
      <c r="F340" s="9">
        <v>65</v>
      </c>
      <c r="G340" s="9">
        <v>29.7</v>
      </c>
      <c r="H340" s="9">
        <v>3.9</v>
      </c>
      <c r="I340" s="9">
        <v>0</v>
      </c>
      <c r="J340" s="78"/>
    </row>
    <row r="341" spans="1:10" x14ac:dyDescent="0.2">
      <c r="A341" s="9">
        <v>0</v>
      </c>
      <c r="B341" s="9">
        <v>41</v>
      </c>
      <c r="C341" s="9">
        <v>2</v>
      </c>
      <c r="D341" s="9">
        <v>21</v>
      </c>
      <c r="E341" s="9">
        <v>22</v>
      </c>
      <c r="F341" s="13"/>
      <c r="G341" s="9">
        <v>12.2</v>
      </c>
      <c r="H341" s="9">
        <v>3.24</v>
      </c>
      <c r="I341" s="9">
        <v>0</v>
      </c>
      <c r="J341" s="78"/>
    </row>
    <row r="342" spans="1:10" x14ac:dyDescent="0.2">
      <c r="A342" s="9">
        <v>0</v>
      </c>
      <c r="B342" s="9">
        <v>51</v>
      </c>
      <c r="C342" s="9">
        <v>2</v>
      </c>
      <c r="D342" s="9">
        <v>27</v>
      </c>
      <c r="E342" s="9">
        <v>21</v>
      </c>
      <c r="F342" s="9">
        <v>0</v>
      </c>
      <c r="G342" s="9">
        <v>11.5</v>
      </c>
      <c r="H342" s="9">
        <v>0.82</v>
      </c>
      <c r="I342" s="9">
        <v>0</v>
      </c>
      <c r="J342" s="78"/>
    </row>
    <row r="343" spans="1:10" x14ac:dyDescent="0.2">
      <c r="A343" s="9">
        <v>1</v>
      </c>
      <c r="B343" s="9">
        <v>33</v>
      </c>
      <c r="C343" s="9">
        <v>1</v>
      </c>
      <c r="D343" s="9">
        <v>14</v>
      </c>
      <c r="E343" s="9">
        <v>8</v>
      </c>
      <c r="F343" s="9">
        <v>72</v>
      </c>
      <c r="G343" s="9">
        <v>0</v>
      </c>
      <c r="H343" s="9">
        <v>0</v>
      </c>
      <c r="I343" s="9">
        <v>0</v>
      </c>
      <c r="J343" s="78"/>
    </row>
    <row r="344" spans="1:10" x14ac:dyDescent="0.2">
      <c r="A344" s="9">
        <v>1</v>
      </c>
      <c r="B344" s="9">
        <v>47</v>
      </c>
      <c r="C344" s="9">
        <v>3</v>
      </c>
      <c r="D344" s="9">
        <v>16</v>
      </c>
      <c r="E344" s="9">
        <v>26</v>
      </c>
      <c r="F344" s="9">
        <v>0</v>
      </c>
      <c r="G344" s="9">
        <v>17.600000000000001</v>
      </c>
      <c r="H344" s="9">
        <v>0</v>
      </c>
      <c r="I344" s="9">
        <v>0</v>
      </c>
      <c r="J344" s="78"/>
    </row>
    <row r="345" spans="1:10" x14ac:dyDescent="0.2">
      <c r="A345" s="9">
        <v>0</v>
      </c>
      <c r="B345" s="9">
        <v>40</v>
      </c>
      <c r="C345" s="9">
        <v>1</v>
      </c>
      <c r="D345" s="9">
        <v>12</v>
      </c>
      <c r="E345" s="9">
        <v>6</v>
      </c>
      <c r="F345" s="9">
        <v>89</v>
      </c>
      <c r="G345" s="9">
        <v>17.399999999999999</v>
      </c>
      <c r="H345" s="9">
        <v>2.77</v>
      </c>
      <c r="I345" s="13"/>
      <c r="J345" s="78"/>
    </row>
    <row r="346" spans="1:10" x14ac:dyDescent="0.2">
      <c r="A346" s="9">
        <v>0</v>
      </c>
      <c r="B346" s="9">
        <v>46</v>
      </c>
      <c r="C346" s="9">
        <v>2</v>
      </c>
      <c r="D346" s="9">
        <v>22</v>
      </c>
      <c r="E346" s="9">
        <v>17</v>
      </c>
      <c r="F346" s="13"/>
      <c r="G346" s="9">
        <v>11.1</v>
      </c>
      <c r="H346" s="9">
        <v>3.32</v>
      </c>
      <c r="I346" s="13"/>
      <c r="J346" s="78"/>
    </row>
    <row r="347" spans="1:10" x14ac:dyDescent="0.2">
      <c r="A347" s="9">
        <v>0</v>
      </c>
      <c r="B347" s="9">
        <v>40</v>
      </c>
      <c r="C347" s="9">
        <v>3</v>
      </c>
      <c r="D347" s="9">
        <v>16</v>
      </c>
      <c r="E347" s="9">
        <v>6</v>
      </c>
      <c r="F347" s="9">
        <v>116</v>
      </c>
      <c r="G347" s="9">
        <v>12.1</v>
      </c>
      <c r="H347" s="9">
        <v>1.61</v>
      </c>
      <c r="I347" s="13"/>
      <c r="J347" s="78"/>
    </row>
    <row r="348" spans="1:10" x14ac:dyDescent="0.2">
      <c r="A348" s="9">
        <v>1</v>
      </c>
      <c r="B348" s="9">
        <v>47</v>
      </c>
      <c r="C348" s="9">
        <v>1</v>
      </c>
      <c r="D348" s="9">
        <v>27</v>
      </c>
      <c r="E348" s="9">
        <v>18</v>
      </c>
      <c r="F348" s="13"/>
      <c r="G348" s="9">
        <v>25.3</v>
      </c>
      <c r="H348" s="9">
        <v>0</v>
      </c>
      <c r="I348" s="13"/>
      <c r="J348" s="78"/>
    </row>
    <row r="349" spans="1:10" x14ac:dyDescent="0.2">
      <c r="A349" s="9">
        <v>0</v>
      </c>
      <c r="B349" s="9">
        <v>34</v>
      </c>
      <c r="C349" s="9">
        <v>1</v>
      </c>
      <c r="D349" s="9">
        <v>19</v>
      </c>
      <c r="E349" s="9">
        <v>7</v>
      </c>
      <c r="F349" s="9">
        <v>50</v>
      </c>
      <c r="G349" s="9">
        <v>30.1</v>
      </c>
      <c r="H349" s="9">
        <v>3.18</v>
      </c>
      <c r="I349" s="13"/>
      <c r="J349" s="78"/>
    </row>
    <row r="350" spans="1:10" x14ac:dyDescent="0.2">
      <c r="A350" s="9">
        <v>0</v>
      </c>
      <c r="B350" s="9">
        <v>39</v>
      </c>
      <c r="C350" s="9">
        <v>1</v>
      </c>
      <c r="D350" s="9">
        <v>23</v>
      </c>
      <c r="E350" s="9">
        <v>1</v>
      </c>
      <c r="F350" s="9">
        <v>75</v>
      </c>
      <c r="G350" s="9">
        <v>18.899999999999999</v>
      </c>
      <c r="H350" s="9">
        <v>3.13</v>
      </c>
      <c r="I350" s="13"/>
      <c r="J350" s="78"/>
    </row>
    <row r="351" spans="1:10" x14ac:dyDescent="0.2">
      <c r="A351" s="9">
        <v>1</v>
      </c>
      <c r="B351" s="9">
        <v>29</v>
      </c>
      <c r="C351" s="9">
        <v>3</v>
      </c>
      <c r="D351" s="9">
        <v>5</v>
      </c>
      <c r="E351" s="9">
        <v>6</v>
      </c>
      <c r="F351" s="9">
        <v>70</v>
      </c>
      <c r="G351" s="9">
        <v>19.899999999999999</v>
      </c>
      <c r="H351" s="9">
        <v>3.18</v>
      </c>
      <c r="I351" s="13"/>
      <c r="J351" s="78"/>
    </row>
    <row r="352" spans="1:10" x14ac:dyDescent="0.2">
      <c r="A352" s="9">
        <v>0</v>
      </c>
      <c r="B352" s="9">
        <v>44</v>
      </c>
      <c r="C352" s="9">
        <v>2</v>
      </c>
      <c r="D352" s="9">
        <v>12</v>
      </c>
      <c r="E352" s="9">
        <v>5</v>
      </c>
      <c r="F352" s="9">
        <v>86</v>
      </c>
      <c r="G352" s="9">
        <v>13</v>
      </c>
      <c r="H352" s="9">
        <v>1.48</v>
      </c>
      <c r="I352" s="9">
        <v>9.6999999999999993</v>
      </c>
      <c r="J352" s="78"/>
    </row>
    <row r="353" spans="1:10" x14ac:dyDescent="0.2">
      <c r="A353" s="9">
        <v>0</v>
      </c>
      <c r="B353" s="9">
        <v>39</v>
      </c>
      <c r="C353" s="9">
        <v>1</v>
      </c>
      <c r="D353" s="9">
        <v>16</v>
      </c>
      <c r="E353" s="9">
        <v>20</v>
      </c>
      <c r="F353" s="9">
        <v>57</v>
      </c>
      <c r="G353" s="9">
        <v>19.399999999999999</v>
      </c>
      <c r="H353" s="9">
        <v>1.56</v>
      </c>
      <c r="I353" s="9">
        <v>9.5</v>
      </c>
      <c r="J353" s="78"/>
    </row>
    <row r="354" spans="1:10" x14ac:dyDescent="0.2">
      <c r="A354" s="9">
        <v>0</v>
      </c>
      <c r="B354" s="9">
        <v>40</v>
      </c>
      <c r="C354" s="9">
        <v>1</v>
      </c>
      <c r="D354" s="9">
        <v>22</v>
      </c>
      <c r="E354" s="9">
        <v>1</v>
      </c>
      <c r="F354" s="9">
        <v>100</v>
      </c>
      <c r="G354" s="9">
        <v>14.6</v>
      </c>
      <c r="H354" s="9">
        <v>5.4</v>
      </c>
      <c r="I354" s="9">
        <v>9.1999999999999993</v>
      </c>
      <c r="J354" s="78"/>
    </row>
    <row r="355" spans="1:10" x14ac:dyDescent="0.2">
      <c r="A355" s="9">
        <v>0</v>
      </c>
      <c r="B355" s="9">
        <v>32</v>
      </c>
      <c r="C355" s="9">
        <v>3</v>
      </c>
      <c r="D355" s="9">
        <v>9</v>
      </c>
      <c r="E355" s="9">
        <v>10</v>
      </c>
      <c r="F355" s="9">
        <v>51</v>
      </c>
      <c r="G355" s="9">
        <v>23</v>
      </c>
      <c r="H355" s="9">
        <v>2.69</v>
      </c>
      <c r="I355" s="9">
        <v>9.0399999999999991</v>
      </c>
      <c r="J355" s="78"/>
    </row>
    <row r="356" spans="1:10" x14ac:dyDescent="0.2">
      <c r="A356" s="9">
        <v>0</v>
      </c>
      <c r="B356" s="9">
        <v>47</v>
      </c>
      <c r="C356" s="9">
        <v>1</v>
      </c>
      <c r="D356" s="9">
        <v>26</v>
      </c>
      <c r="E356" s="9">
        <v>21</v>
      </c>
      <c r="F356" s="9">
        <v>100</v>
      </c>
      <c r="G356" s="9">
        <v>12.8</v>
      </c>
      <c r="H356" s="9">
        <v>4.58</v>
      </c>
      <c r="I356" s="9">
        <v>8.2200000000000006</v>
      </c>
      <c r="J356" s="78"/>
    </row>
    <row r="357" spans="1:10" x14ac:dyDescent="0.2">
      <c r="A357" s="9">
        <v>0</v>
      </c>
      <c r="B357" s="9">
        <v>35</v>
      </c>
      <c r="C357" s="9">
        <v>2</v>
      </c>
      <c r="D357" s="9">
        <v>10</v>
      </c>
      <c r="E357" s="9">
        <v>16</v>
      </c>
      <c r="F357" s="9">
        <v>98</v>
      </c>
      <c r="G357" s="9">
        <v>13.3</v>
      </c>
      <c r="H357" s="9">
        <v>0.97</v>
      </c>
      <c r="I357" s="9">
        <v>8.16</v>
      </c>
      <c r="J357" s="78"/>
    </row>
    <row r="358" spans="1:10" x14ac:dyDescent="0.2">
      <c r="A358" s="9">
        <v>1</v>
      </c>
      <c r="B358" s="9">
        <v>47</v>
      </c>
      <c r="C358" s="9">
        <v>3</v>
      </c>
      <c r="D358" s="9">
        <v>9</v>
      </c>
      <c r="E358" s="9">
        <v>1</v>
      </c>
      <c r="F358" s="9">
        <v>52</v>
      </c>
      <c r="G358" s="9">
        <v>20.100000000000001</v>
      </c>
      <c r="H358" s="9">
        <v>2.54</v>
      </c>
      <c r="I358" s="9">
        <v>7.91</v>
      </c>
      <c r="J358" s="78"/>
    </row>
    <row r="359" spans="1:10" x14ac:dyDescent="0.2">
      <c r="A359" s="9">
        <v>0</v>
      </c>
      <c r="B359" s="9">
        <v>55</v>
      </c>
      <c r="C359" s="9">
        <v>1</v>
      </c>
      <c r="D359" s="9">
        <v>19</v>
      </c>
      <c r="E359" s="9">
        <v>2</v>
      </c>
      <c r="F359" s="9">
        <v>78</v>
      </c>
      <c r="G359" s="9">
        <v>15.6</v>
      </c>
      <c r="H359" s="9">
        <v>4.4000000000000004</v>
      </c>
      <c r="I359" s="9">
        <v>7.76</v>
      </c>
      <c r="J359" s="78"/>
    </row>
    <row r="360" spans="1:10" x14ac:dyDescent="0.2">
      <c r="A360" s="9">
        <v>1</v>
      </c>
      <c r="B360" s="9">
        <v>41</v>
      </c>
      <c r="C360" s="9">
        <v>3</v>
      </c>
      <c r="D360" s="9">
        <v>7</v>
      </c>
      <c r="E360" s="9">
        <v>6</v>
      </c>
      <c r="F360" s="9">
        <v>56</v>
      </c>
      <c r="G360" s="9">
        <v>14.5</v>
      </c>
      <c r="H360" s="9">
        <v>0.37</v>
      </c>
      <c r="I360" s="9">
        <v>7.75</v>
      </c>
      <c r="J360" s="78"/>
    </row>
    <row r="361" spans="1:10" x14ac:dyDescent="0.2">
      <c r="A361" s="9">
        <v>0</v>
      </c>
      <c r="B361" s="9">
        <v>45</v>
      </c>
      <c r="C361" s="9">
        <v>2</v>
      </c>
      <c r="D361" s="9">
        <v>15</v>
      </c>
      <c r="E361" s="9">
        <v>14</v>
      </c>
      <c r="F361" s="9">
        <v>51</v>
      </c>
      <c r="G361" s="9">
        <v>18.100000000000001</v>
      </c>
      <c r="H361" s="9">
        <v>1.55</v>
      </c>
      <c r="I361" s="9">
        <v>7.68</v>
      </c>
      <c r="J361" s="78"/>
    </row>
    <row r="362" spans="1:10" x14ac:dyDescent="0.2">
      <c r="A362" s="9">
        <v>0</v>
      </c>
      <c r="B362" s="9">
        <v>46</v>
      </c>
      <c r="C362" s="9">
        <v>3</v>
      </c>
      <c r="D362" s="9">
        <v>9</v>
      </c>
      <c r="E362" s="9">
        <v>10</v>
      </c>
      <c r="F362" s="9">
        <v>60</v>
      </c>
      <c r="G362" s="9">
        <v>15.3</v>
      </c>
      <c r="H362" s="9">
        <v>1.61</v>
      </c>
      <c r="I362" s="9">
        <v>7.57</v>
      </c>
      <c r="J362" s="78"/>
    </row>
    <row r="363" spans="1:10" x14ac:dyDescent="0.2">
      <c r="A363" s="9">
        <v>1</v>
      </c>
      <c r="B363" s="9">
        <v>34</v>
      </c>
      <c r="C363" s="9">
        <v>4</v>
      </c>
      <c r="D363" s="9">
        <v>6</v>
      </c>
      <c r="E363" s="9">
        <v>3</v>
      </c>
      <c r="F363" s="9">
        <v>27</v>
      </c>
      <c r="G363" s="9">
        <v>0</v>
      </c>
      <c r="H363" s="9">
        <v>1.98</v>
      </c>
      <c r="I363" s="9">
        <v>7.55</v>
      </c>
      <c r="J363" s="78"/>
    </row>
    <row r="364" spans="1:10" x14ac:dyDescent="0.2">
      <c r="A364" s="9">
        <v>1</v>
      </c>
      <c r="B364" s="9">
        <v>28</v>
      </c>
      <c r="C364" s="9">
        <v>1</v>
      </c>
      <c r="D364" s="9">
        <v>0</v>
      </c>
      <c r="E364" s="9">
        <v>2</v>
      </c>
      <c r="F364" s="9">
        <v>28</v>
      </c>
      <c r="G364" s="9">
        <v>0</v>
      </c>
      <c r="H364" s="9">
        <v>2.2799999999999998</v>
      </c>
      <c r="I364" s="9">
        <v>7.04</v>
      </c>
      <c r="J364" s="78"/>
    </row>
    <row r="365" spans="1:10" x14ac:dyDescent="0.2">
      <c r="A365" s="9">
        <v>1</v>
      </c>
      <c r="B365" s="9">
        <v>53</v>
      </c>
      <c r="C365" s="9">
        <v>4</v>
      </c>
      <c r="D365" s="9">
        <v>5</v>
      </c>
      <c r="E365" s="9">
        <v>29</v>
      </c>
      <c r="F365" s="9">
        <v>78</v>
      </c>
      <c r="G365" s="9">
        <v>17.3</v>
      </c>
      <c r="H365" s="13"/>
      <c r="I365" s="9">
        <v>6.56</v>
      </c>
      <c r="J365" s="78"/>
    </row>
    <row r="366" spans="1:10" x14ac:dyDescent="0.2">
      <c r="A366" s="9">
        <v>1</v>
      </c>
      <c r="B366" s="9">
        <v>45</v>
      </c>
      <c r="C366" s="9">
        <v>3</v>
      </c>
      <c r="D366" s="9">
        <v>5</v>
      </c>
      <c r="E366" s="9">
        <v>17</v>
      </c>
      <c r="F366" s="9">
        <v>94</v>
      </c>
      <c r="G366" s="9">
        <v>10.5</v>
      </c>
      <c r="H366" s="9">
        <v>3.61</v>
      </c>
      <c r="I366" s="9">
        <v>6.26</v>
      </c>
      <c r="J366" s="78"/>
    </row>
    <row r="367" spans="1:10" x14ac:dyDescent="0.2">
      <c r="A367" s="9">
        <v>0</v>
      </c>
      <c r="B367" s="9">
        <v>50</v>
      </c>
      <c r="C367" s="9">
        <v>2</v>
      </c>
      <c r="D367" s="9">
        <v>16</v>
      </c>
      <c r="E367" s="9">
        <v>14</v>
      </c>
      <c r="F367" s="9">
        <v>71</v>
      </c>
      <c r="G367" s="9">
        <v>11.1</v>
      </c>
      <c r="H367" s="9">
        <v>1.66</v>
      </c>
      <c r="I367" s="9">
        <v>6.22</v>
      </c>
      <c r="J367" s="78"/>
    </row>
    <row r="368" spans="1:10" x14ac:dyDescent="0.2">
      <c r="A368" s="9">
        <v>1</v>
      </c>
      <c r="B368" s="9">
        <v>33</v>
      </c>
      <c r="C368" s="9">
        <v>2</v>
      </c>
      <c r="D368" s="9">
        <v>2</v>
      </c>
      <c r="E368" s="9">
        <v>14</v>
      </c>
      <c r="F368" s="9">
        <v>35</v>
      </c>
      <c r="G368" s="9">
        <v>22.9</v>
      </c>
      <c r="H368" s="9">
        <v>2.12</v>
      </c>
      <c r="I368" s="9">
        <v>5.89</v>
      </c>
      <c r="J368" s="78"/>
    </row>
    <row r="369" spans="1:10" x14ac:dyDescent="0.2">
      <c r="A369" s="9">
        <v>1</v>
      </c>
      <c r="B369" s="9">
        <v>33</v>
      </c>
      <c r="C369" s="9">
        <v>2</v>
      </c>
      <c r="D369" s="9">
        <v>10</v>
      </c>
      <c r="E369" s="9">
        <v>13</v>
      </c>
      <c r="F369" s="9">
        <v>57</v>
      </c>
      <c r="G369" s="9">
        <v>20.9</v>
      </c>
      <c r="H369" s="13"/>
      <c r="I369" s="9">
        <v>5.8</v>
      </c>
      <c r="J369" s="78"/>
    </row>
    <row r="370" spans="1:10" x14ac:dyDescent="0.2">
      <c r="A370" s="9">
        <v>0</v>
      </c>
      <c r="B370" s="9">
        <v>39</v>
      </c>
      <c r="C370" s="9">
        <v>2</v>
      </c>
      <c r="D370" s="9">
        <v>9</v>
      </c>
      <c r="E370" s="9">
        <v>16</v>
      </c>
      <c r="F370" s="9">
        <v>56</v>
      </c>
      <c r="G370" s="9">
        <v>18.7</v>
      </c>
      <c r="H370" s="9">
        <v>4.76</v>
      </c>
      <c r="I370" s="9">
        <v>5.71</v>
      </c>
      <c r="J370" s="78"/>
    </row>
    <row r="371" spans="1:10" x14ac:dyDescent="0.2">
      <c r="A371" s="9">
        <v>0</v>
      </c>
      <c r="B371" s="9">
        <v>26</v>
      </c>
      <c r="C371" s="9">
        <v>2</v>
      </c>
      <c r="D371" s="9">
        <v>6</v>
      </c>
      <c r="E371" s="9">
        <v>7</v>
      </c>
      <c r="F371" s="9">
        <v>45</v>
      </c>
      <c r="G371" s="9">
        <v>26</v>
      </c>
      <c r="H371" s="13"/>
      <c r="I371" s="9">
        <v>5.65</v>
      </c>
      <c r="J371" s="78"/>
    </row>
    <row r="372" spans="1:10" x14ac:dyDescent="0.2">
      <c r="A372" s="9">
        <v>0</v>
      </c>
      <c r="B372" s="9">
        <v>28</v>
      </c>
      <c r="C372" s="9">
        <v>4</v>
      </c>
      <c r="D372" s="9">
        <v>0</v>
      </c>
      <c r="E372" s="9">
        <v>7</v>
      </c>
      <c r="F372" s="9">
        <v>29</v>
      </c>
      <c r="G372" s="9">
        <v>24.2</v>
      </c>
      <c r="H372" s="9">
        <v>1.42</v>
      </c>
      <c r="I372" s="9">
        <v>5.59</v>
      </c>
      <c r="J372" s="78"/>
    </row>
    <row r="373" spans="1:10" x14ac:dyDescent="0.2">
      <c r="A373" s="9">
        <v>1</v>
      </c>
      <c r="B373" s="9">
        <v>31</v>
      </c>
      <c r="C373" s="9">
        <v>3</v>
      </c>
      <c r="D373" s="9">
        <v>9</v>
      </c>
      <c r="E373" s="9">
        <v>7</v>
      </c>
      <c r="F373" s="9">
        <v>59</v>
      </c>
      <c r="G373" s="9">
        <v>14.6</v>
      </c>
      <c r="H373" s="9">
        <v>3.11</v>
      </c>
      <c r="I373" s="9">
        <v>5.5</v>
      </c>
      <c r="J373" s="78"/>
    </row>
    <row r="374" spans="1:10" x14ac:dyDescent="0.2">
      <c r="A374" s="9">
        <v>1</v>
      </c>
      <c r="B374" s="9">
        <v>27</v>
      </c>
      <c r="C374" s="9">
        <v>1</v>
      </c>
      <c r="D374" s="9">
        <v>9</v>
      </c>
      <c r="E374" s="9">
        <v>6</v>
      </c>
      <c r="F374" s="9">
        <v>45</v>
      </c>
      <c r="G374" s="9">
        <v>17.8</v>
      </c>
      <c r="H374" s="9">
        <v>2.85</v>
      </c>
      <c r="I374" s="9">
        <v>5.16</v>
      </c>
      <c r="J374" s="78"/>
    </row>
    <row r="375" spans="1:10" x14ac:dyDescent="0.2">
      <c r="A375" s="9">
        <v>0</v>
      </c>
      <c r="B375" s="9">
        <v>26</v>
      </c>
      <c r="C375" s="9">
        <v>3</v>
      </c>
      <c r="D375" s="9">
        <v>2</v>
      </c>
      <c r="E375" s="9">
        <v>1</v>
      </c>
      <c r="F375" s="9">
        <v>37</v>
      </c>
      <c r="G375" s="9">
        <v>14.2</v>
      </c>
      <c r="H375" s="9">
        <v>0.2</v>
      </c>
      <c r="I375" s="9">
        <v>5.05</v>
      </c>
      <c r="J375" s="78"/>
    </row>
    <row r="376" spans="1:10" x14ac:dyDescent="0.2">
      <c r="A376" s="9">
        <v>1</v>
      </c>
      <c r="B376" s="9">
        <v>41</v>
      </c>
      <c r="C376" s="9">
        <v>3</v>
      </c>
      <c r="D376" s="9">
        <v>17</v>
      </c>
      <c r="E376" s="9">
        <v>12</v>
      </c>
      <c r="F376" s="9">
        <v>0</v>
      </c>
      <c r="G376" s="9">
        <v>9.3000000000000007</v>
      </c>
      <c r="H376" s="9">
        <v>0.97</v>
      </c>
      <c r="I376" s="9">
        <v>5.01</v>
      </c>
      <c r="J376" s="78"/>
    </row>
    <row r="377" spans="1:10" x14ac:dyDescent="0.2">
      <c r="A377" s="9">
        <v>0</v>
      </c>
      <c r="B377" s="9">
        <v>51</v>
      </c>
      <c r="C377" s="9">
        <v>2</v>
      </c>
      <c r="D377" s="9">
        <v>22</v>
      </c>
      <c r="E377" s="9">
        <v>23</v>
      </c>
      <c r="F377" s="13"/>
      <c r="G377" s="9">
        <v>7.6</v>
      </c>
      <c r="H377" s="9">
        <v>4.1399999999999997</v>
      </c>
      <c r="I377" s="9">
        <v>4.9800000000000004</v>
      </c>
      <c r="J377" s="78"/>
    </row>
    <row r="378" spans="1:10" x14ac:dyDescent="0.2">
      <c r="A378" s="9">
        <v>0</v>
      </c>
      <c r="B378" s="9">
        <v>31</v>
      </c>
      <c r="C378" s="9">
        <v>1</v>
      </c>
      <c r="D378" s="9">
        <v>11</v>
      </c>
      <c r="E378" s="9">
        <v>12</v>
      </c>
      <c r="F378" s="9">
        <v>45</v>
      </c>
      <c r="G378" s="9">
        <v>17</v>
      </c>
      <c r="H378" s="9">
        <v>2.74</v>
      </c>
      <c r="I378" s="9">
        <v>4.91</v>
      </c>
      <c r="J378" s="78"/>
    </row>
    <row r="379" spans="1:10" x14ac:dyDescent="0.2">
      <c r="A379" s="9">
        <v>1</v>
      </c>
      <c r="B379" s="9">
        <v>27</v>
      </c>
      <c r="C379" s="9">
        <v>3</v>
      </c>
      <c r="D379" s="9">
        <v>3</v>
      </c>
      <c r="E379" s="9">
        <v>4</v>
      </c>
      <c r="F379" s="9">
        <v>45</v>
      </c>
      <c r="G379" s="9">
        <v>11</v>
      </c>
      <c r="H379" s="9">
        <v>0.28999999999999998</v>
      </c>
      <c r="I379" s="9">
        <v>4.66</v>
      </c>
      <c r="J379" s="78"/>
    </row>
    <row r="380" spans="1:10" x14ac:dyDescent="0.2">
      <c r="A380" s="9">
        <v>0</v>
      </c>
      <c r="B380" s="9">
        <v>32</v>
      </c>
      <c r="C380" s="9">
        <v>2</v>
      </c>
      <c r="D380" s="9">
        <v>12</v>
      </c>
      <c r="E380" s="9">
        <v>1</v>
      </c>
      <c r="F380" s="9">
        <v>54</v>
      </c>
      <c r="G380" s="9">
        <v>14.4</v>
      </c>
      <c r="H380" s="9">
        <v>3.2</v>
      </c>
      <c r="I380" s="9">
        <v>4.58</v>
      </c>
      <c r="J380" s="78"/>
    </row>
    <row r="381" spans="1:10" x14ac:dyDescent="0.2">
      <c r="A381" s="9">
        <v>0</v>
      </c>
      <c r="B381" s="9">
        <v>40</v>
      </c>
      <c r="C381" s="9">
        <v>3</v>
      </c>
      <c r="D381" s="9">
        <v>17</v>
      </c>
      <c r="E381" s="9">
        <v>11</v>
      </c>
      <c r="F381" s="9">
        <v>116</v>
      </c>
      <c r="G381" s="9">
        <v>6</v>
      </c>
      <c r="H381" s="9">
        <v>2.56</v>
      </c>
      <c r="I381" s="9">
        <v>4.4000000000000004</v>
      </c>
      <c r="J381" s="78"/>
    </row>
    <row r="382" spans="1:10" x14ac:dyDescent="0.2">
      <c r="A382" s="9">
        <v>0</v>
      </c>
      <c r="B382" s="9">
        <v>39</v>
      </c>
      <c r="C382" s="9">
        <v>1</v>
      </c>
      <c r="D382" s="9">
        <v>19</v>
      </c>
      <c r="E382" s="9">
        <v>5</v>
      </c>
      <c r="F382" s="9">
        <v>48</v>
      </c>
      <c r="G382" s="9">
        <v>13.1</v>
      </c>
      <c r="H382" s="9">
        <v>1.93</v>
      </c>
      <c r="I382" s="9">
        <v>4.3600000000000003</v>
      </c>
      <c r="J382" s="78"/>
    </row>
    <row r="383" spans="1:10" x14ac:dyDescent="0.2">
      <c r="A383" s="9">
        <v>0</v>
      </c>
      <c r="B383" s="9">
        <v>34</v>
      </c>
      <c r="C383" s="9">
        <v>1</v>
      </c>
      <c r="D383" s="9">
        <v>3</v>
      </c>
      <c r="E383" s="9">
        <v>11</v>
      </c>
      <c r="F383" s="9">
        <v>27</v>
      </c>
      <c r="G383" s="9">
        <v>21.3</v>
      </c>
      <c r="H383" s="9">
        <v>1.4</v>
      </c>
      <c r="I383" s="9">
        <v>4.3499999999999996</v>
      </c>
      <c r="J383" s="78"/>
    </row>
    <row r="384" spans="1:10" x14ac:dyDescent="0.2">
      <c r="A384" s="9">
        <v>0</v>
      </c>
      <c r="B384" s="9">
        <v>29</v>
      </c>
      <c r="C384" s="9">
        <v>2</v>
      </c>
      <c r="D384" s="9">
        <v>10</v>
      </c>
      <c r="E384" s="9">
        <v>8</v>
      </c>
      <c r="F384" s="9">
        <v>44</v>
      </c>
      <c r="G384" s="9">
        <v>18.100000000000001</v>
      </c>
      <c r="H384" s="9">
        <v>3.7</v>
      </c>
      <c r="I384" s="9">
        <v>4.26</v>
      </c>
      <c r="J384" s="78"/>
    </row>
    <row r="385" spans="1:10" x14ac:dyDescent="0.2">
      <c r="A385" s="9">
        <v>0</v>
      </c>
      <c r="B385" s="9">
        <v>38</v>
      </c>
      <c r="C385" s="9">
        <v>1</v>
      </c>
      <c r="D385" s="9">
        <v>5</v>
      </c>
      <c r="E385" s="9">
        <v>5</v>
      </c>
      <c r="F385" s="9">
        <v>54</v>
      </c>
      <c r="G385" s="9">
        <v>10.6</v>
      </c>
      <c r="H385" s="9">
        <v>1.5</v>
      </c>
      <c r="I385" s="9">
        <v>4.22</v>
      </c>
      <c r="J385" s="78"/>
    </row>
    <row r="386" spans="1:10" x14ac:dyDescent="0.2">
      <c r="A386" s="9">
        <v>0</v>
      </c>
      <c r="B386" s="9">
        <v>36</v>
      </c>
      <c r="C386" s="9">
        <v>1</v>
      </c>
      <c r="D386" s="9">
        <v>14</v>
      </c>
      <c r="E386" s="9">
        <v>11</v>
      </c>
      <c r="F386" s="9">
        <v>81</v>
      </c>
      <c r="G386" s="9">
        <v>7.2</v>
      </c>
      <c r="H386" s="9">
        <v>1.78</v>
      </c>
      <c r="I386" s="9">
        <v>4.05</v>
      </c>
      <c r="J386" s="78"/>
    </row>
    <row r="387" spans="1:10" x14ac:dyDescent="0.2">
      <c r="A387" s="9">
        <v>1</v>
      </c>
      <c r="B387" s="9">
        <v>27</v>
      </c>
      <c r="C387" s="9">
        <v>4</v>
      </c>
      <c r="D387" s="9">
        <v>0</v>
      </c>
      <c r="E387" s="9">
        <v>6</v>
      </c>
      <c r="F387" s="9">
        <v>70</v>
      </c>
      <c r="G387" s="9">
        <v>8</v>
      </c>
      <c r="H387" s="9">
        <v>1.62</v>
      </c>
      <c r="I387" s="9">
        <v>3.98</v>
      </c>
      <c r="J387" s="78"/>
    </row>
    <row r="388" spans="1:10" x14ac:dyDescent="0.2">
      <c r="A388" s="9">
        <v>1</v>
      </c>
      <c r="B388" s="9">
        <v>52</v>
      </c>
      <c r="C388" s="9">
        <v>1</v>
      </c>
      <c r="D388" s="9">
        <v>9</v>
      </c>
      <c r="E388" s="9">
        <v>11</v>
      </c>
      <c r="F388" s="9">
        <v>24</v>
      </c>
      <c r="G388" s="9">
        <v>19.2</v>
      </c>
      <c r="H388" s="9">
        <v>0.8</v>
      </c>
      <c r="I388" s="9">
        <v>3.81</v>
      </c>
      <c r="J388" s="78"/>
    </row>
    <row r="389" spans="1:10" x14ac:dyDescent="0.2">
      <c r="A389" s="9">
        <v>1</v>
      </c>
      <c r="B389" s="9">
        <v>28</v>
      </c>
      <c r="C389" s="9">
        <v>3</v>
      </c>
      <c r="D389" s="9">
        <v>6</v>
      </c>
      <c r="E389" s="9">
        <v>8</v>
      </c>
      <c r="F389" s="9">
        <v>47</v>
      </c>
      <c r="G389" s="9">
        <v>19.8</v>
      </c>
      <c r="H389" s="13"/>
      <c r="I389" s="9">
        <v>3.73</v>
      </c>
      <c r="J389" s="78"/>
    </row>
    <row r="390" spans="1:10" x14ac:dyDescent="0.2">
      <c r="A390" s="9">
        <v>1</v>
      </c>
      <c r="B390" s="9">
        <v>46</v>
      </c>
      <c r="C390" s="9">
        <v>1</v>
      </c>
      <c r="D390" s="9">
        <v>16</v>
      </c>
      <c r="E390" s="9">
        <v>18</v>
      </c>
      <c r="F390" s="9">
        <v>52</v>
      </c>
      <c r="G390" s="9">
        <v>12.9</v>
      </c>
      <c r="H390" s="9">
        <v>3.03</v>
      </c>
      <c r="I390" s="9">
        <v>3.68</v>
      </c>
      <c r="J390" s="78"/>
    </row>
    <row r="391" spans="1:10" x14ac:dyDescent="0.2">
      <c r="A391" s="9">
        <v>1</v>
      </c>
      <c r="B391" s="9">
        <v>40</v>
      </c>
      <c r="C391" s="9">
        <v>1</v>
      </c>
      <c r="D391" s="9">
        <v>14</v>
      </c>
      <c r="E391" s="9">
        <v>21</v>
      </c>
      <c r="F391" s="9">
        <v>43</v>
      </c>
      <c r="G391" s="9">
        <v>15</v>
      </c>
      <c r="H391" s="9">
        <v>2.79</v>
      </c>
      <c r="I391" s="9">
        <v>3.66</v>
      </c>
      <c r="J391" s="78"/>
    </row>
    <row r="392" spans="1:10" x14ac:dyDescent="0.2">
      <c r="A392" s="9">
        <v>0</v>
      </c>
      <c r="B392" s="9">
        <v>37</v>
      </c>
      <c r="C392" s="9">
        <v>1</v>
      </c>
      <c r="D392" s="9">
        <v>7</v>
      </c>
      <c r="E392" s="9">
        <v>3</v>
      </c>
      <c r="F392" s="9">
        <v>32</v>
      </c>
      <c r="G392" s="9">
        <v>19.600000000000001</v>
      </c>
      <c r="H392" s="9">
        <v>2.7</v>
      </c>
      <c r="I392" s="9">
        <v>3.58</v>
      </c>
      <c r="J392" s="78"/>
    </row>
    <row r="393" spans="1:10" x14ac:dyDescent="0.2">
      <c r="A393" s="9">
        <v>1</v>
      </c>
      <c r="B393" s="9">
        <v>53</v>
      </c>
      <c r="C393" s="9">
        <v>1</v>
      </c>
      <c r="D393" s="9">
        <v>9</v>
      </c>
      <c r="E393" s="9">
        <v>18</v>
      </c>
      <c r="F393" s="9">
        <v>50</v>
      </c>
      <c r="G393" s="9">
        <v>11.2</v>
      </c>
      <c r="H393" s="9">
        <v>2.02</v>
      </c>
      <c r="I393" s="9">
        <v>3.58</v>
      </c>
      <c r="J393" s="78"/>
    </row>
    <row r="394" spans="1:10" x14ac:dyDescent="0.2">
      <c r="A394" s="9">
        <v>0</v>
      </c>
      <c r="B394" s="9">
        <v>25</v>
      </c>
      <c r="C394" s="9">
        <v>4</v>
      </c>
      <c r="D394" s="9">
        <v>0</v>
      </c>
      <c r="E394" s="9">
        <v>2</v>
      </c>
      <c r="F394" s="9">
        <v>32</v>
      </c>
      <c r="G394" s="9">
        <v>17.600000000000001</v>
      </c>
      <c r="H394" s="9">
        <v>2.14</v>
      </c>
      <c r="I394" s="9">
        <v>3.49</v>
      </c>
      <c r="J394" s="78"/>
    </row>
    <row r="395" spans="1:10" x14ac:dyDescent="0.2">
      <c r="A395" s="9">
        <v>0</v>
      </c>
      <c r="B395" s="9">
        <v>34</v>
      </c>
      <c r="C395" s="9">
        <v>2</v>
      </c>
      <c r="D395" s="9">
        <v>9</v>
      </c>
      <c r="E395" s="9">
        <v>13</v>
      </c>
      <c r="F395" s="9">
        <v>45</v>
      </c>
      <c r="G395" s="9">
        <v>10.1</v>
      </c>
      <c r="H395" s="9">
        <v>1.1200000000000001</v>
      </c>
      <c r="I395" s="9">
        <v>3.43</v>
      </c>
      <c r="J395" s="78"/>
    </row>
    <row r="396" spans="1:10" x14ac:dyDescent="0.2">
      <c r="A396" s="9">
        <v>0</v>
      </c>
      <c r="B396" s="9">
        <v>40</v>
      </c>
      <c r="C396" s="9">
        <v>1</v>
      </c>
      <c r="D396" s="9">
        <v>9</v>
      </c>
      <c r="E396" s="9">
        <v>4</v>
      </c>
      <c r="F396" s="9">
        <v>64</v>
      </c>
      <c r="G396" s="9">
        <v>6.6</v>
      </c>
      <c r="H396" s="9">
        <v>0.79</v>
      </c>
      <c r="I396" s="9">
        <v>3.43</v>
      </c>
      <c r="J396" s="78"/>
    </row>
    <row r="397" spans="1:10" x14ac:dyDescent="0.2">
      <c r="A397" s="9">
        <v>0</v>
      </c>
      <c r="B397" s="9">
        <v>46</v>
      </c>
      <c r="C397" s="9">
        <v>5</v>
      </c>
      <c r="D397" s="9">
        <v>15</v>
      </c>
      <c r="E397" s="9">
        <v>0</v>
      </c>
      <c r="F397" s="13"/>
      <c r="G397" s="9">
        <v>3.1</v>
      </c>
      <c r="H397" s="9">
        <v>0.48</v>
      </c>
      <c r="I397" s="9">
        <v>3.43</v>
      </c>
      <c r="J397" s="78"/>
    </row>
    <row r="398" spans="1:10" x14ac:dyDescent="0.2">
      <c r="A398" s="9">
        <v>1</v>
      </c>
      <c r="B398" s="9">
        <v>24</v>
      </c>
      <c r="C398" s="9">
        <v>1</v>
      </c>
      <c r="D398" s="9">
        <v>3</v>
      </c>
      <c r="E398" s="9">
        <v>3</v>
      </c>
      <c r="F398" s="9">
        <v>21</v>
      </c>
      <c r="G398" s="9">
        <v>28.9</v>
      </c>
      <c r="H398" s="9">
        <v>2.68</v>
      </c>
      <c r="I398" s="9">
        <v>3.39</v>
      </c>
      <c r="J398" s="78"/>
    </row>
    <row r="399" spans="1:10" x14ac:dyDescent="0.2">
      <c r="A399" s="9">
        <v>0</v>
      </c>
      <c r="B399" s="9">
        <v>28</v>
      </c>
      <c r="C399" s="9">
        <v>4</v>
      </c>
      <c r="D399" s="9">
        <v>0</v>
      </c>
      <c r="E399" s="9">
        <v>5</v>
      </c>
      <c r="F399" s="9">
        <v>38</v>
      </c>
      <c r="G399" s="9">
        <v>10.4</v>
      </c>
      <c r="H399" s="9">
        <v>0.64</v>
      </c>
      <c r="I399" s="9">
        <v>3.32</v>
      </c>
      <c r="J399" s="78"/>
    </row>
    <row r="400" spans="1:10" x14ac:dyDescent="0.2">
      <c r="A400" s="9">
        <v>1</v>
      </c>
      <c r="B400" s="9">
        <v>34</v>
      </c>
      <c r="C400" s="9">
        <v>1</v>
      </c>
      <c r="D400" s="9">
        <v>3</v>
      </c>
      <c r="E400" s="9">
        <v>4</v>
      </c>
      <c r="F400" s="9">
        <v>19</v>
      </c>
      <c r="G400" s="9">
        <v>24.4</v>
      </c>
      <c r="H400" s="9">
        <v>1.36</v>
      </c>
      <c r="I400" s="9">
        <v>3.28</v>
      </c>
      <c r="J400" s="78"/>
    </row>
    <row r="401" spans="1:10" x14ac:dyDescent="0.2">
      <c r="A401" s="9">
        <v>0</v>
      </c>
      <c r="B401" s="9">
        <v>41</v>
      </c>
      <c r="C401" s="9">
        <v>1</v>
      </c>
      <c r="D401" s="9">
        <v>16</v>
      </c>
      <c r="E401" s="9">
        <v>17</v>
      </c>
      <c r="F401" s="9">
        <v>68</v>
      </c>
      <c r="G401" s="9">
        <v>5.4</v>
      </c>
      <c r="H401" s="9">
        <v>0.45</v>
      </c>
      <c r="I401" s="9">
        <v>3.22</v>
      </c>
      <c r="J401" s="78"/>
    </row>
    <row r="402" spans="1:10" x14ac:dyDescent="0.2">
      <c r="A402" s="9">
        <v>1</v>
      </c>
      <c r="B402" s="9">
        <v>29</v>
      </c>
      <c r="C402" s="9">
        <v>1</v>
      </c>
      <c r="D402" s="9">
        <v>1</v>
      </c>
      <c r="E402" s="9">
        <v>2</v>
      </c>
      <c r="F402" s="9">
        <v>20</v>
      </c>
      <c r="G402" s="9">
        <v>18.600000000000001</v>
      </c>
      <c r="H402" s="9">
        <v>0.56999999999999995</v>
      </c>
      <c r="I402" s="9">
        <v>3.15</v>
      </c>
      <c r="J402" s="78"/>
    </row>
    <row r="403" spans="1:10" x14ac:dyDescent="0.2">
      <c r="A403" s="9">
        <v>0</v>
      </c>
      <c r="B403" s="9">
        <v>28</v>
      </c>
      <c r="C403" s="9">
        <v>3</v>
      </c>
      <c r="D403" s="9">
        <v>5</v>
      </c>
      <c r="E403" s="9">
        <v>9</v>
      </c>
      <c r="F403" s="9">
        <v>44</v>
      </c>
      <c r="G403" s="9">
        <v>8.6999999999999993</v>
      </c>
      <c r="H403" s="9">
        <v>0.77</v>
      </c>
      <c r="I403" s="9">
        <v>3.05</v>
      </c>
      <c r="J403" s="78"/>
    </row>
    <row r="404" spans="1:10" x14ac:dyDescent="0.2">
      <c r="A404" s="9">
        <v>0</v>
      </c>
      <c r="B404" s="9">
        <v>36</v>
      </c>
      <c r="C404" s="9">
        <v>2</v>
      </c>
      <c r="D404" s="9">
        <v>12</v>
      </c>
      <c r="E404" s="9">
        <v>13</v>
      </c>
      <c r="F404" s="9">
        <v>60</v>
      </c>
      <c r="G404" s="9">
        <v>7.9</v>
      </c>
      <c r="H404" s="9">
        <v>1.72</v>
      </c>
      <c r="I404" s="9">
        <v>3.02</v>
      </c>
      <c r="J404" s="78"/>
    </row>
    <row r="405" spans="1:10" x14ac:dyDescent="0.2">
      <c r="A405" s="9">
        <v>0</v>
      </c>
      <c r="B405" s="9">
        <v>37</v>
      </c>
      <c r="C405" s="9">
        <v>1</v>
      </c>
      <c r="D405" s="9">
        <v>6</v>
      </c>
      <c r="E405" s="9">
        <v>9</v>
      </c>
      <c r="F405" s="9">
        <v>29</v>
      </c>
      <c r="G405" s="9">
        <v>16.3</v>
      </c>
      <c r="H405" s="9">
        <v>1.72</v>
      </c>
      <c r="I405" s="9">
        <v>3.01</v>
      </c>
      <c r="J405" s="78"/>
    </row>
    <row r="406" spans="1:10" x14ac:dyDescent="0.2">
      <c r="A406" s="9">
        <v>0</v>
      </c>
      <c r="B406" s="9">
        <v>21</v>
      </c>
      <c r="C406" s="9">
        <v>1</v>
      </c>
      <c r="D406" s="9">
        <v>1</v>
      </c>
      <c r="E406" s="9">
        <v>1</v>
      </c>
      <c r="F406" s="9">
        <v>18</v>
      </c>
      <c r="G406" s="9">
        <v>17.3</v>
      </c>
      <c r="H406" s="9">
        <v>0.16</v>
      </c>
      <c r="I406" s="9">
        <v>2.96</v>
      </c>
      <c r="J406" s="78"/>
    </row>
    <row r="407" spans="1:10" x14ac:dyDescent="0.2">
      <c r="A407" s="9">
        <v>0</v>
      </c>
      <c r="B407" s="9">
        <v>41</v>
      </c>
      <c r="C407" s="9">
        <v>1</v>
      </c>
      <c r="D407" s="9">
        <v>14</v>
      </c>
      <c r="E407" s="9">
        <v>8</v>
      </c>
      <c r="F407" s="9">
        <v>52</v>
      </c>
      <c r="G407" s="9">
        <v>7.3</v>
      </c>
      <c r="H407" s="9">
        <v>0.93</v>
      </c>
      <c r="I407" s="9">
        <v>2.87</v>
      </c>
      <c r="J407" s="78"/>
    </row>
    <row r="408" spans="1:10" x14ac:dyDescent="0.2">
      <c r="A408" s="9">
        <v>0</v>
      </c>
      <c r="B408" s="9">
        <v>31</v>
      </c>
      <c r="C408" s="9">
        <v>1</v>
      </c>
      <c r="D408" s="9">
        <v>4</v>
      </c>
      <c r="E408" s="9">
        <v>10</v>
      </c>
      <c r="F408" s="9">
        <v>28</v>
      </c>
      <c r="G408" s="9">
        <v>11.3</v>
      </c>
      <c r="H408" s="9">
        <v>0.28999999999999998</v>
      </c>
      <c r="I408" s="9">
        <v>2.87</v>
      </c>
      <c r="J408" s="78"/>
    </row>
    <row r="409" spans="1:10" x14ac:dyDescent="0.2">
      <c r="A409" s="9">
        <v>0</v>
      </c>
      <c r="B409" s="9">
        <v>50</v>
      </c>
      <c r="C409" s="9">
        <v>1</v>
      </c>
      <c r="D409" s="9">
        <v>8</v>
      </c>
      <c r="E409" s="9">
        <v>27</v>
      </c>
      <c r="F409" s="9">
        <v>47</v>
      </c>
      <c r="G409" s="9">
        <v>6.9</v>
      </c>
      <c r="H409" s="9">
        <v>0.4</v>
      </c>
      <c r="I409" s="9">
        <v>2.84</v>
      </c>
      <c r="J409" s="78"/>
    </row>
    <row r="410" spans="1:10" x14ac:dyDescent="0.2">
      <c r="A410" s="9">
        <v>0</v>
      </c>
      <c r="B410" s="9">
        <v>40</v>
      </c>
      <c r="C410" s="9">
        <v>1</v>
      </c>
      <c r="D410" s="9">
        <v>22</v>
      </c>
      <c r="E410" s="9">
        <v>4</v>
      </c>
      <c r="F410" s="9">
        <v>95</v>
      </c>
      <c r="G410" s="9">
        <v>3.6</v>
      </c>
      <c r="H410" s="9">
        <v>0.63</v>
      </c>
      <c r="I410" s="9">
        <v>2.79</v>
      </c>
      <c r="J410" s="78"/>
    </row>
    <row r="411" spans="1:10" x14ac:dyDescent="0.2">
      <c r="A411" s="9">
        <v>1</v>
      </c>
      <c r="B411" s="9">
        <v>23</v>
      </c>
      <c r="C411" s="9">
        <v>2</v>
      </c>
      <c r="D411" s="9">
        <v>0</v>
      </c>
      <c r="E411" s="9">
        <v>1</v>
      </c>
      <c r="F411" s="9">
        <v>17</v>
      </c>
      <c r="G411" s="9">
        <v>27.7</v>
      </c>
      <c r="H411" s="9">
        <v>2.04</v>
      </c>
      <c r="I411" s="9">
        <v>2.67</v>
      </c>
      <c r="J411" s="78"/>
    </row>
    <row r="412" spans="1:10" x14ac:dyDescent="0.2">
      <c r="A412" s="9">
        <v>0</v>
      </c>
      <c r="B412" s="9">
        <v>44</v>
      </c>
      <c r="C412" s="9">
        <v>1</v>
      </c>
      <c r="D412" s="9">
        <v>12</v>
      </c>
      <c r="E412" s="9">
        <v>3</v>
      </c>
      <c r="F412" s="9">
        <v>31</v>
      </c>
      <c r="G412" s="9">
        <v>9.6999999999999993</v>
      </c>
      <c r="H412" s="9">
        <v>0.36</v>
      </c>
      <c r="I412" s="9">
        <v>2.65</v>
      </c>
      <c r="J412" s="78"/>
    </row>
    <row r="413" spans="1:10" x14ac:dyDescent="0.2">
      <c r="A413" s="9">
        <v>1</v>
      </c>
      <c r="B413" s="9">
        <v>46</v>
      </c>
      <c r="C413" s="9">
        <v>3</v>
      </c>
      <c r="D413" s="9">
        <v>3</v>
      </c>
      <c r="E413" s="9">
        <v>13</v>
      </c>
      <c r="F413" s="9">
        <v>43</v>
      </c>
      <c r="G413" s="9">
        <v>13.2</v>
      </c>
      <c r="H413" s="9">
        <v>3.04</v>
      </c>
      <c r="I413" s="9">
        <v>2.63</v>
      </c>
      <c r="J413" s="78"/>
    </row>
    <row r="414" spans="1:10" x14ac:dyDescent="0.2">
      <c r="A414" s="9">
        <v>1</v>
      </c>
      <c r="B414" s="9">
        <v>37</v>
      </c>
      <c r="C414" s="9">
        <v>4</v>
      </c>
      <c r="D414" s="9">
        <v>1</v>
      </c>
      <c r="E414" s="9">
        <v>14</v>
      </c>
      <c r="F414" s="9">
        <v>33</v>
      </c>
      <c r="G414" s="9">
        <v>16.100000000000001</v>
      </c>
      <c r="H414" s="9">
        <v>2.69</v>
      </c>
      <c r="I414" s="9">
        <v>2.62</v>
      </c>
      <c r="J414" s="78"/>
    </row>
    <row r="415" spans="1:10" x14ac:dyDescent="0.2">
      <c r="A415" s="9">
        <v>1</v>
      </c>
      <c r="B415" s="9">
        <v>25</v>
      </c>
      <c r="C415" s="9">
        <v>1</v>
      </c>
      <c r="D415" s="9">
        <v>3</v>
      </c>
      <c r="E415" s="9">
        <v>2</v>
      </c>
      <c r="F415" s="9">
        <v>18</v>
      </c>
      <c r="G415" s="9">
        <v>16.3</v>
      </c>
      <c r="H415" s="9">
        <v>0.35</v>
      </c>
      <c r="I415" s="9">
        <v>2.58</v>
      </c>
      <c r="J415" s="78"/>
    </row>
    <row r="416" spans="1:10" x14ac:dyDescent="0.2">
      <c r="A416" s="9">
        <v>0</v>
      </c>
      <c r="B416" s="9">
        <v>27</v>
      </c>
      <c r="C416" s="9">
        <v>2</v>
      </c>
      <c r="D416" s="9">
        <v>1</v>
      </c>
      <c r="E416" s="9">
        <v>0</v>
      </c>
      <c r="F416" s="9">
        <v>23</v>
      </c>
      <c r="G416" s="9">
        <v>12.4</v>
      </c>
      <c r="H416" s="9">
        <v>0.28999999999999998</v>
      </c>
      <c r="I416" s="9">
        <v>2.57</v>
      </c>
      <c r="J416" s="78"/>
    </row>
    <row r="417" spans="1:10" x14ac:dyDescent="0.2">
      <c r="A417" s="9">
        <v>0</v>
      </c>
      <c r="B417" s="9">
        <v>34</v>
      </c>
      <c r="C417" s="9">
        <v>2</v>
      </c>
      <c r="D417" s="9">
        <v>10</v>
      </c>
      <c r="E417" s="9">
        <v>2</v>
      </c>
      <c r="F417" s="9">
        <v>33</v>
      </c>
      <c r="G417" s="9">
        <v>9.5</v>
      </c>
      <c r="H417" s="9">
        <v>0.56999999999999995</v>
      </c>
      <c r="I417" s="9">
        <v>2.56</v>
      </c>
      <c r="J417" s="78"/>
    </row>
    <row r="418" spans="1:10" x14ac:dyDescent="0.2">
      <c r="A418" s="9">
        <v>1</v>
      </c>
      <c r="B418" s="9">
        <v>41</v>
      </c>
      <c r="C418" s="9">
        <v>2</v>
      </c>
      <c r="D418" s="9">
        <v>6</v>
      </c>
      <c r="E418" s="9">
        <v>0</v>
      </c>
      <c r="F418" s="9">
        <v>36</v>
      </c>
      <c r="G418" s="9">
        <v>19.5</v>
      </c>
      <c r="H418" s="9">
        <v>4.51</v>
      </c>
      <c r="I418" s="9">
        <v>2.5099999999999998</v>
      </c>
      <c r="J418" s="78"/>
    </row>
    <row r="419" spans="1:10" x14ac:dyDescent="0.2">
      <c r="A419" s="9">
        <v>0</v>
      </c>
      <c r="B419" s="9">
        <v>41</v>
      </c>
      <c r="C419" s="9">
        <v>2</v>
      </c>
      <c r="D419" s="9">
        <v>19</v>
      </c>
      <c r="E419" s="9">
        <v>2</v>
      </c>
      <c r="F419" s="9">
        <v>68</v>
      </c>
      <c r="G419" s="9">
        <v>5.8</v>
      </c>
      <c r="H419" s="9">
        <v>1.51</v>
      </c>
      <c r="I419" s="9">
        <v>2.44</v>
      </c>
      <c r="J419" s="78"/>
    </row>
    <row r="420" spans="1:10" x14ac:dyDescent="0.2">
      <c r="A420" s="9">
        <v>0</v>
      </c>
      <c r="B420" s="9">
        <v>36</v>
      </c>
      <c r="C420" s="9">
        <v>1</v>
      </c>
      <c r="D420" s="9">
        <v>4</v>
      </c>
      <c r="E420" s="9">
        <v>10</v>
      </c>
      <c r="F420" s="9">
        <v>23</v>
      </c>
      <c r="G420" s="9">
        <v>16.3</v>
      </c>
      <c r="H420" s="9">
        <v>1.33</v>
      </c>
      <c r="I420" s="9">
        <v>2.42</v>
      </c>
      <c r="J420" s="78"/>
    </row>
    <row r="421" spans="1:10" x14ac:dyDescent="0.2">
      <c r="A421" s="9">
        <v>1</v>
      </c>
      <c r="B421" s="9">
        <v>31</v>
      </c>
      <c r="C421" s="9">
        <v>2</v>
      </c>
      <c r="D421" s="9">
        <v>0</v>
      </c>
      <c r="E421" s="9">
        <v>4</v>
      </c>
      <c r="F421" s="9">
        <v>27</v>
      </c>
      <c r="G421" s="9">
        <v>12.8</v>
      </c>
      <c r="H421" s="9">
        <v>1.0900000000000001</v>
      </c>
      <c r="I421" s="9">
        <v>2.37</v>
      </c>
      <c r="J421" s="78"/>
    </row>
    <row r="422" spans="1:10" x14ac:dyDescent="0.2">
      <c r="A422" s="9">
        <v>1</v>
      </c>
      <c r="B422" s="9">
        <v>44</v>
      </c>
      <c r="C422" s="9">
        <v>1</v>
      </c>
      <c r="D422" s="9">
        <v>5</v>
      </c>
      <c r="E422" s="9">
        <v>3</v>
      </c>
      <c r="F422" s="9">
        <v>48</v>
      </c>
      <c r="G422" s="9">
        <v>9</v>
      </c>
      <c r="H422" s="9">
        <v>1.97</v>
      </c>
      <c r="I422" s="9">
        <v>2.35</v>
      </c>
      <c r="J422" s="78"/>
    </row>
    <row r="423" spans="1:10" x14ac:dyDescent="0.2">
      <c r="A423" s="9">
        <v>0</v>
      </c>
      <c r="B423" s="9">
        <v>29</v>
      </c>
      <c r="C423" s="9">
        <v>1</v>
      </c>
      <c r="D423" s="9">
        <v>8</v>
      </c>
      <c r="E423" s="9">
        <v>6</v>
      </c>
      <c r="F423" s="9">
        <v>27</v>
      </c>
      <c r="G423" s="9">
        <v>9.8000000000000007</v>
      </c>
      <c r="H423" s="9">
        <v>0.4</v>
      </c>
      <c r="I423" s="9">
        <v>2.2400000000000002</v>
      </c>
      <c r="J423" s="78"/>
    </row>
    <row r="424" spans="1:10" x14ac:dyDescent="0.2">
      <c r="A424" s="9">
        <v>0</v>
      </c>
      <c r="B424" s="9">
        <v>28</v>
      </c>
      <c r="C424" s="9">
        <v>1</v>
      </c>
      <c r="D424" s="9">
        <v>4</v>
      </c>
      <c r="E424" s="9">
        <v>7</v>
      </c>
      <c r="F424" s="9">
        <v>26</v>
      </c>
      <c r="G424" s="9">
        <v>13.5</v>
      </c>
      <c r="H424" s="9">
        <v>1.3</v>
      </c>
      <c r="I424" s="9">
        <v>2.21</v>
      </c>
      <c r="J424" s="78"/>
    </row>
    <row r="425" spans="1:10" x14ac:dyDescent="0.2">
      <c r="A425" s="9">
        <v>0</v>
      </c>
      <c r="B425" s="9">
        <v>28</v>
      </c>
      <c r="C425" s="9">
        <v>1</v>
      </c>
      <c r="D425" s="9">
        <v>3</v>
      </c>
      <c r="E425" s="9">
        <v>6</v>
      </c>
      <c r="F425" s="9">
        <v>26</v>
      </c>
      <c r="G425" s="9">
        <v>10</v>
      </c>
      <c r="H425" s="9">
        <v>0.43</v>
      </c>
      <c r="I425" s="9">
        <v>2.17</v>
      </c>
      <c r="J425" s="78"/>
    </row>
    <row r="426" spans="1:10" x14ac:dyDescent="0.2">
      <c r="A426" s="9">
        <v>0</v>
      </c>
      <c r="B426" s="9">
        <v>36</v>
      </c>
      <c r="C426" s="9">
        <v>1</v>
      </c>
      <c r="D426" s="9">
        <v>6</v>
      </c>
      <c r="E426" s="9">
        <v>9</v>
      </c>
      <c r="F426" s="9">
        <v>26</v>
      </c>
      <c r="G426" s="9">
        <v>8.3000000000000007</v>
      </c>
      <c r="H426" s="9">
        <v>0.97</v>
      </c>
      <c r="I426" s="9">
        <v>2.13</v>
      </c>
      <c r="J426" s="78"/>
    </row>
    <row r="427" spans="1:10" x14ac:dyDescent="0.2">
      <c r="A427" s="9">
        <v>0</v>
      </c>
      <c r="B427" s="9">
        <v>39</v>
      </c>
      <c r="C427" s="9">
        <v>1</v>
      </c>
      <c r="D427" s="9">
        <v>0</v>
      </c>
      <c r="E427" s="9">
        <v>8</v>
      </c>
      <c r="F427" s="9">
        <v>39</v>
      </c>
      <c r="G427" s="9">
        <v>7.9</v>
      </c>
      <c r="H427" s="9">
        <v>1.07</v>
      </c>
      <c r="I427" s="9">
        <v>2.0099999999999998</v>
      </c>
      <c r="J427" s="78"/>
    </row>
    <row r="428" spans="1:10" x14ac:dyDescent="0.2">
      <c r="A428" s="9">
        <v>0</v>
      </c>
      <c r="B428" s="9">
        <v>30</v>
      </c>
      <c r="C428" s="9">
        <v>1</v>
      </c>
      <c r="D428" s="9">
        <v>8</v>
      </c>
      <c r="E428" s="9">
        <v>6</v>
      </c>
      <c r="F428" s="9">
        <v>23</v>
      </c>
      <c r="G428" s="9">
        <v>12</v>
      </c>
      <c r="H428" s="9">
        <v>0.76</v>
      </c>
      <c r="I428" s="9">
        <v>2</v>
      </c>
      <c r="J428" s="78"/>
    </row>
    <row r="429" spans="1:10" x14ac:dyDescent="0.2">
      <c r="A429" s="9">
        <v>0</v>
      </c>
      <c r="B429" s="9">
        <v>37</v>
      </c>
      <c r="C429" s="9">
        <v>1</v>
      </c>
      <c r="D429" s="9">
        <v>18</v>
      </c>
      <c r="E429" s="9">
        <v>8</v>
      </c>
      <c r="F429" s="9">
        <v>54</v>
      </c>
      <c r="G429" s="9">
        <v>12.1</v>
      </c>
      <c r="H429" s="9">
        <v>4.59</v>
      </c>
      <c r="I429" s="9">
        <v>1.94</v>
      </c>
      <c r="J429" s="78"/>
    </row>
    <row r="430" spans="1:10" x14ac:dyDescent="0.2">
      <c r="A430" s="9">
        <v>0</v>
      </c>
      <c r="B430" s="9">
        <v>34</v>
      </c>
      <c r="C430" s="9">
        <v>2</v>
      </c>
      <c r="D430" s="9">
        <v>9</v>
      </c>
      <c r="E430" s="9">
        <v>9</v>
      </c>
      <c r="F430" s="9">
        <v>65</v>
      </c>
      <c r="G430" s="9">
        <v>6.2</v>
      </c>
      <c r="H430" s="9">
        <v>2.11</v>
      </c>
      <c r="I430" s="9">
        <v>1.92</v>
      </c>
      <c r="J430" s="78"/>
    </row>
    <row r="431" spans="1:10" x14ac:dyDescent="0.2">
      <c r="A431" s="9">
        <v>0</v>
      </c>
      <c r="B431" s="9">
        <v>34</v>
      </c>
      <c r="C431" s="9">
        <v>3</v>
      </c>
      <c r="D431" s="9">
        <v>12</v>
      </c>
      <c r="E431" s="9">
        <v>8</v>
      </c>
      <c r="F431" s="9">
        <v>47</v>
      </c>
      <c r="G431" s="9">
        <v>6.7</v>
      </c>
      <c r="H431" s="9">
        <v>1.3</v>
      </c>
      <c r="I431" s="9">
        <v>1.85</v>
      </c>
      <c r="J431" s="78"/>
    </row>
    <row r="432" spans="1:10" x14ac:dyDescent="0.2">
      <c r="A432" s="9">
        <v>1</v>
      </c>
      <c r="B432" s="9">
        <v>25</v>
      </c>
      <c r="C432" s="9">
        <v>1</v>
      </c>
      <c r="D432" s="9">
        <v>3</v>
      </c>
      <c r="E432" s="9">
        <v>2</v>
      </c>
      <c r="F432" s="9">
        <v>16</v>
      </c>
      <c r="G432" s="9">
        <v>17.8</v>
      </c>
      <c r="H432" s="9">
        <v>1.01</v>
      </c>
      <c r="I432" s="9">
        <v>1.84</v>
      </c>
      <c r="J432" s="78"/>
    </row>
    <row r="433" spans="1:10" x14ac:dyDescent="0.2">
      <c r="A433" s="9">
        <v>1</v>
      </c>
      <c r="B433" s="9">
        <v>37</v>
      </c>
      <c r="C433" s="9">
        <v>1</v>
      </c>
      <c r="D433" s="9">
        <v>1</v>
      </c>
      <c r="E433" s="9">
        <v>3</v>
      </c>
      <c r="F433" s="9">
        <v>24</v>
      </c>
      <c r="G433" s="9">
        <v>15.1</v>
      </c>
      <c r="H433" s="9">
        <v>1.8</v>
      </c>
      <c r="I433" s="9">
        <v>1.82</v>
      </c>
      <c r="J433" s="78"/>
    </row>
    <row r="434" spans="1:10" x14ac:dyDescent="0.2">
      <c r="A434" s="9">
        <v>0</v>
      </c>
      <c r="B434" s="9">
        <v>39</v>
      </c>
      <c r="C434" s="9">
        <v>1</v>
      </c>
      <c r="D434" s="9">
        <v>12</v>
      </c>
      <c r="E434" s="9">
        <v>10</v>
      </c>
      <c r="F434" s="9">
        <v>46</v>
      </c>
      <c r="G434" s="9">
        <v>5</v>
      </c>
      <c r="H434" s="9">
        <v>0.56000000000000005</v>
      </c>
      <c r="I434" s="9">
        <v>1.74</v>
      </c>
      <c r="J434" s="78"/>
    </row>
    <row r="435" spans="1:10" x14ac:dyDescent="0.2">
      <c r="A435" s="9">
        <v>1</v>
      </c>
      <c r="B435" s="9">
        <v>31</v>
      </c>
      <c r="C435" s="9">
        <v>1</v>
      </c>
      <c r="D435" s="9">
        <v>2</v>
      </c>
      <c r="E435" s="9">
        <v>4</v>
      </c>
      <c r="F435" s="9">
        <v>22</v>
      </c>
      <c r="G435" s="9">
        <v>12.7</v>
      </c>
      <c r="H435" s="9">
        <v>1.0900000000000001</v>
      </c>
      <c r="I435" s="9">
        <v>1.7</v>
      </c>
      <c r="J435" s="78"/>
    </row>
    <row r="436" spans="1:10" x14ac:dyDescent="0.2">
      <c r="A436" s="9">
        <v>0</v>
      </c>
      <c r="B436" s="9">
        <v>33</v>
      </c>
      <c r="C436" s="9">
        <v>2</v>
      </c>
      <c r="D436" s="9">
        <v>4</v>
      </c>
      <c r="E436" s="9">
        <v>9</v>
      </c>
      <c r="F436" s="9">
        <v>55</v>
      </c>
      <c r="G436" s="9">
        <v>7</v>
      </c>
      <c r="H436" s="9">
        <v>2.16</v>
      </c>
      <c r="I436" s="9">
        <v>1.69</v>
      </c>
      <c r="J436" s="78"/>
    </row>
    <row r="437" spans="1:10" x14ac:dyDescent="0.2">
      <c r="A437" s="9">
        <v>0</v>
      </c>
      <c r="B437" s="9">
        <v>39</v>
      </c>
      <c r="C437" s="9">
        <v>1</v>
      </c>
      <c r="D437" s="9">
        <v>19</v>
      </c>
      <c r="E437" s="9">
        <v>8</v>
      </c>
      <c r="F437" s="9">
        <v>46</v>
      </c>
      <c r="G437" s="9">
        <v>9.1</v>
      </c>
      <c r="H437" s="9">
        <v>2.52</v>
      </c>
      <c r="I437" s="9">
        <v>1.67</v>
      </c>
      <c r="J437" s="78"/>
    </row>
    <row r="438" spans="1:10" x14ac:dyDescent="0.2">
      <c r="A438" s="9">
        <v>0</v>
      </c>
      <c r="B438" s="9">
        <v>30</v>
      </c>
      <c r="C438" s="9">
        <v>1</v>
      </c>
      <c r="D438" s="9">
        <v>10</v>
      </c>
      <c r="E438" s="9">
        <v>11</v>
      </c>
      <c r="F438" s="9">
        <v>39</v>
      </c>
      <c r="G438" s="9">
        <v>9.5</v>
      </c>
      <c r="H438" s="9">
        <v>2.06</v>
      </c>
      <c r="I438" s="9">
        <v>1.65</v>
      </c>
      <c r="J438" s="78"/>
    </row>
    <row r="439" spans="1:10" x14ac:dyDescent="0.2">
      <c r="A439" s="9">
        <v>1</v>
      </c>
      <c r="B439" s="9">
        <v>24</v>
      </c>
      <c r="C439" s="9">
        <v>2</v>
      </c>
      <c r="D439" s="9">
        <v>2</v>
      </c>
      <c r="E439" s="9">
        <v>3</v>
      </c>
      <c r="F439" s="9">
        <v>26</v>
      </c>
      <c r="G439" s="9">
        <v>9.6999999999999993</v>
      </c>
      <c r="H439" s="9">
        <v>0.89</v>
      </c>
      <c r="I439" s="9">
        <v>1.63</v>
      </c>
      <c r="J439" s="78"/>
    </row>
    <row r="440" spans="1:10" x14ac:dyDescent="0.2">
      <c r="A440" s="9">
        <v>0</v>
      </c>
      <c r="B440" s="9">
        <v>28</v>
      </c>
      <c r="C440" s="9">
        <v>1</v>
      </c>
      <c r="D440" s="9">
        <v>12</v>
      </c>
      <c r="E440" s="9">
        <v>7</v>
      </c>
      <c r="F440" s="9">
        <v>45</v>
      </c>
      <c r="G440" s="9">
        <v>7.7</v>
      </c>
      <c r="H440" s="9">
        <v>1.85</v>
      </c>
      <c r="I440" s="9">
        <v>1.61</v>
      </c>
      <c r="J440" s="78"/>
    </row>
    <row r="441" spans="1:10" x14ac:dyDescent="0.2">
      <c r="A441" s="9">
        <v>0</v>
      </c>
      <c r="B441" s="9">
        <v>34</v>
      </c>
      <c r="C441" s="9">
        <v>4</v>
      </c>
      <c r="D441" s="9">
        <v>7</v>
      </c>
      <c r="E441" s="9">
        <v>15</v>
      </c>
      <c r="F441" s="9">
        <v>40</v>
      </c>
      <c r="G441" s="9">
        <v>6.4</v>
      </c>
      <c r="H441" s="9">
        <v>0.95</v>
      </c>
      <c r="I441" s="9">
        <v>1.61</v>
      </c>
      <c r="J441" s="78"/>
    </row>
    <row r="442" spans="1:10" x14ac:dyDescent="0.2">
      <c r="A442" s="9">
        <v>1</v>
      </c>
      <c r="B442" s="9">
        <v>31</v>
      </c>
      <c r="C442" s="9">
        <v>1</v>
      </c>
      <c r="D442" s="9">
        <v>10</v>
      </c>
      <c r="E442" s="9">
        <v>12</v>
      </c>
      <c r="F442" s="9">
        <v>49</v>
      </c>
      <c r="G442" s="9">
        <v>9.8000000000000007</v>
      </c>
      <c r="H442" s="9">
        <v>3.24</v>
      </c>
      <c r="I442" s="9">
        <v>1.57</v>
      </c>
      <c r="J442" s="78"/>
    </row>
    <row r="443" spans="1:10" x14ac:dyDescent="0.2">
      <c r="A443" s="9">
        <v>0</v>
      </c>
      <c r="B443" s="9">
        <v>28</v>
      </c>
      <c r="C443" s="9">
        <v>1</v>
      </c>
      <c r="D443" s="9">
        <v>2</v>
      </c>
      <c r="E443" s="9">
        <v>9</v>
      </c>
      <c r="F443" s="9">
        <v>16</v>
      </c>
      <c r="G443" s="9">
        <v>15.2</v>
      </c>
      <c r="H443" s="9">
        <v>0.87</v>
      </c>
      <c r="I443" s="9">
        <v>1.56</v>
      </c>
      <c r="J443" s="78"/>
    </row>
    <row r="444" spans="1:10" x14ac:dyDescent="0.2">
      <c r="A444" s="9">
        <v>0</v>
      </c>
      <c r="B444" s="9">
        <v>28</v>
      </c>
      <c r="C444" s="9">
        <v>1</v>
      </c>
      <c r="D444" s="9">
        <v>8</v>
      </c>
      <c r="E444" s="9">
        <v>6</v>
      </c>
      <c r="F444" s="9">
        <v>30</v>
      </c>
      <c r="G444" s="9">
        <v>7.2</v>
      </c>
      <c r="H444" s="9">
        <v>0.61</v>
      </c>
      <c r="I444" s="9">
        <v>1.55</v>
      </c>
      <c r="J444" s="78"/>
    </row>
    <row r="445" spans="1:10" x14ac:dyDescent="0.2">
      <c r="A445" s="9">
        <v>0</v>
      </c>
      <c r="B445" s="9">
        <v>29</v>
      </c>
      <c r="C445" s="9">
        <v>1</v>
      </c>
      <c r="D445" s="9">
        <v>11</v>
      </c>
      <c r="E445" s="9">
        <v>5</v>
      </c>
      <c r="F445" s="9">
        <v>36</v>
      </c>
      <c r="G445" s="9">
        <v>6.1</v>
      </c>
      <c r="H445" s="9">
        <v>0.71</v>
      </c>
      <c r="I445" s="9">
        <v>1.49</v>
      </c>
      <c r="J445" s="78"/>
    </row>
    <row r="446" spans="1:10" x14ac:dyDescent="0.2">
      <c r="A446" s="9">
        <v>1</v>
      </c>
      <c r="B446" s="9">
        <v>31</v>
      </c>
      <c r="C446" s="9">
        <v>2</v>
      </c>
      <c r="D446" s="9">
        <v>2</v>
      </c>
      <c r="E446" s="9">
        <v>1</v>
      </c>
      <c r="F446" s="9">
        <v>26</v>
      </c>
      <c r="G446" s="9">
        <v>6.8</v>
      </c>
      <c r="H446" s="9">
        <v>0.28000000000000003</v>
      </c>
      <c r="I446" s="9">
        <v>1.49</v>
      </c>
      <c r="J446" s="78"/>
    </row>
    <row r="447" spans="1:10" x14ac:dyDescent="0.2">
      <c r="A447" s="9">
        <v>0</v>
      </c>
      <c r="B447" s="9">
        <v>39</v>
      </c>
      <c r="C447" s="9">
        <v>1</v>
      </c>
      <c r="D447" s="9">
        <v>13</v>
      </c>
      <c r="E447" s="9">
        <v>1</v>
      </c>
      <c r="F447" s="9">
        <v>38</v>
      </c>
      <c r="G447" s="9">
        <v>8.9</v>
      </c>
      <c r="H447" s="9">
        <v>1.9</v>
      </c>
      <c r="I447" s="9">
        <v>1.48</v>
      </c>
      <c r="J447" s="78"/>
    </row>
    <row r="448" spans="1:10" x14ac:dyDescent="0.2">
      <c r="A448" s="9">
        <v>0</v>
      </c>
      <c r="B448" s="9">
        <v>40</v>
      </c>
      <c r="C448" s="9">
        <v>2</v>
      </c>
      <c r="D448" s="9">
        <v>15</v>
      </c>
      <c r="E448" s="9">
        <v>16</v>
      </c>
      <c r="F448" s="9">
        <v>73</v>
      </c>
      <c r="G448" s="9">
        <v>3.4</v>
      </c>
      <c r="H448" s="9">
        <v>1.03</v>
      </c>
      <c r="I448" s="9">
        <v>1.45</v>
      </c>
      <c r="J448" s="78"/>
    </row>
    <row r="449" spans="1:10" x14ac:dyDescent="0.2">
      <c r="A449" s="9">
        <v>0</v>
      </c>
      <c r="B449" s="9">
        <v>38</v>
      </c>
      <c r="C449" s="9">
        <v>1</v>
      </c>
      <c r="D449" s="9">
        <v>5</v>
      </c>
      <c r="E449" s="9">
        <v>13</v>
      </c>
      <c r="F449" s="9">
        <v>21</v>
      </c>
      <c r="G449" s="9">
        <v>9</v>
      </c>
      <c r="H449" s="9">
        <v>0.45</v>
      </c>
      <c r="I449" s="9">
        <v>1.44</v>
      </c>
      <c r="J449" s="78"/>
    </row>
    <row r="450" spans="1:10" x14ac:dyDescent="0.2">
      <c r="A450" s="9">
        <v>0</v>
      </c>
      <c r="B450" s="9">
        <v>34</v>
      </c>
      <c r="C450" s="9">
        <v>1</v>
      </c>
      <c r="D450" s="9">
        <v>16</v>
      </c>
      <c r="E450" s="9">
        <v>9</v>
      </c>
      <c r="F450" s="9">
        <v>79</v>
      </c>
      <c r="G450" s="9">
        <v>4</v>
      </c>
      <c r="H450" s="9">
        <v>1.73</v>
      </c>
      <c r="I450" s="9">
        <v>1.43</v>
      </c>
      <c r="J450" s="78"/>
    </row>
    <row r="451" spans="1:10" x14ac:dyDescent="0.2">
      <c r="A451" s="9">
        <v>1</v>
      </c>
      <c r="B451" s="9">
        <v>29</v>
      </c>
      <c r="C451" s="9">
        <v>1</v>
      </c>
      <c r="D451" s="9">
        <v>2</v>
      </c>
      <c r="E451" s="9">
        <v>0</v>
      </c>
      <c r="F451" s="9">
        <v>14</v>
      </c>
      <c r="G451" s="9">
        <v>14.4</v>
      </c>
      <c r="H451" s="9">
        <v>0.59</v>
      </c>
      <c r="I451" s="9">
        <v>1.43</v>
      </c>
      <c r="J451" s="78"/>
    </row>
    <row r="452" spans="1:10" x14ac:dyDescent="0.2">
      <c r="A452" s="9">
        <v>0</v>
      </c>
      <c r="B452" s="9">
        <v>27</v>
      </c>
      <c r="C452" s="9">
        <v>1</v>
      </c>
      <c r="D452" s="9">
        <v>10</v>
      </c>
      <c r="E452" s="9">
        <v>6</v>
      </c>
      <c r="F452" s="9">
        <v>34</v>
      </c>
      <c r="G452" s="9">
        <v>6.5</v>
      </c>
      <c r="H452" s="9">
        <v>0.85</v>
      </c>
      <c r="I452" s="9">
        <v>1.36</v>
      </c>
      <c r="J452" s="78"/>
    </row>
    <row r="453" spans="1:10" x14ac:dyDescent="0.2">
      <c r="A453" s="9">
        <v>1</v>
      </c>
      <c r="B453" s="9">
        <v>35</v>
      </c>
      <c r="C453" s="9">
        <v>2</v>
      </c>
      <c r="D453" s="9">
        <v>0</v>
      </c>
      <c r="E453" s="9">
        <v>16</v>
      </c>
      <c r="F453" s="9">
        <v>22</v>
      </c>
      <c r="G453" s="9">
        <v>15</v>
      </c>
      <c r="H453" s="9">
        <v>1.97</v>
      </c>
      <c r="I453" s="9">
        <v>1.33</v>
      </c>
      <c r="J453" s="78"/>
    </row>
    <row r="454" spans="1:10" x14ac:dyDescent="0.2">
      <c r="A454" s="9">
        <v>1</v>
      </c>
      <c r="B454" s="9">
        <v>24</v>
      </c>
      <c r="C454" s="9">
        <v>4</v>
      </c>
      <c r="D454" s="9">
        <v>0</v>
      </c>
      <c r="E454" s="9">
        <v>3</v>
      </c>
      <c r="F454" s="9">
        <v>29</v>
      </c>
      <c r="G454" s="9">
        <v>6.6</v>
      </c>
      <c r="H454" s="9">
        <v>0.59</v>
      </c>
      <c r="I454" s="9">
        <v>1.32</v>
      </c>
      <c r="J454" s="78"/>
    </row>
    <row r="455" spans="1:10" x14ac:dyDescent="0.2">
      <c r="A455" s="9">
        <v>1</v>
      </c>
      <c r="B455" s="9">
        <v>25</v>
      </c>
      <c r="C455" s="9">
        <v>4</v>
      </c>
      <c r="D455" s="9">
        <v>0</v>
      </c>
      <c r="E455" s="9">
        <v>6</v>
      </c>
      <c r="F455" s="9">
        <v>24</v>
      </c>
      <c r="G455" s="9">
        <v>12.1</v>
      </c>
      <c r="H455" s="9">
        <v>1.6</v>
      </c>
      <c r="I455" s="9">
        <v>1.31</v>
      </c>
      <c r="J455" s="78"/>
    </row>
    <row r="456" spans="1:10" x14ac:dyDescent="0.2">
      <c r="A456" s="9">
        <v>0</v>
      </c>
      <c r="B456" s="9">
        <v>35</v>
      </c>
      <c r="C456" s="9">
        <v>1</v>
      </c>
      <c r="D456" s="9">
        <v>9</v>
      </c>
      <c r="E456" s="9">
        <v>1</v>
      </c>
      <c r="F456" s="9">
        <v>34</v>
      </c>
      <c r="G456" s="9">
        <v>5</v>
      </c>
      <c r="H456" s="9">
        <v>0.4</v>
      </c>
      <c r="I456" s="9">
        <v>1.3</v>
      </c>
      <c r="J456" s="78"/>
    </row>
    <row r="457" spans="1:10" x14ac:dyDescent="0.2">
      <c r="A457" s="9">
        <v>1</v>
      </c>
      <c r="B457" s="9">
        <v>28</v>
      </c>
      <c r="C457" s="9">
        <v>2</v>
      </c>
      <c r="D457" s="9">
        <v>2</v>
      </c>
      <c r="E457" s="9">
        <v>3</v>
      </c>
      <c r="F457" s="9">
        <v>23</v>
      </c>
      <c r="G457" s="9">
        <v>6.4</v>
      </c>
      <c r="H457" s="9">
        <v>0.19</v>
      </c>
      <c r="I457" s="9">
        <v>1.29</v>
      </c>
      <c r="J457" s="78"/>
    </row>
    <row r="458" spans="1:10" x14ac:dyDescent="0.2">
      <c r="A458" s="9">
        <v>0</v>
      </c>
      <c r="B458" s="9">
        <v>33</v>
      </c>
      <c r="C458" s="9">
        <v>1</v>
      </c>
      <c r="D458" s="9">
        <v>13</v>
      </c>
      <c r="E458" s="9">
        <v>13</v>
      </c>
      <c r="F458" s="9">
        <v>42</v>
      </c>
      <c r="G458" s="9">
        <v>3.6</v>
      </c>
      <c r="H458" s="9">
        <v>0.23</v>
      </c>
      <c r="I458" s="9">
        <v>1.28</v>
      </c>
      <c r="J458" s="78"/>
    </row>
    <row r="459" spans="1:10" x14ac:dyDescent="0.2">
      <c r="A459" s="9">
        <v>0</v>
      </c>
      <c r="B459" s="9">
        <v>43</v>
      </c>
      <c r="C459" s="9">
        <v>1</v>
      </c>
      <c r="D459" s="9">
        <v>4</v>
      </c>
      <c r="E459" s="9">
        <v>2</v>
      </c>
      <c r="F459" s="9">
        <v>29</v>
      </c>
      <c r="G459" s="9">
        <v>4.5999999999999996</v>
      </c>
      <c r="H459" s="9">
        <v>0.05</v>
      </c>
      <c r="I459" s="9">
        <v>1.28</v>
      </c>
      <c r="J459" s="78"/>
    </row>
    <row r="460" spans="1:10" x14ac:dyDescent="0.2">
      <c r="A460" s="9">
        <v>0</v>
      </c>
      <c r="B460" s="9">
        <v>39</v>
      </c>
      <c r="C460" s="9">
        <v>2</v>
      </c>
      <c r="D460" s="9">
        <v>16</v>
      </c>
      <c r="E460" s="9">
        <v>12</v>
      </c>
      <c r="F460" s="9">
        <v>53</v>
      </c>
      <c r="G460" s="9">
        <v>3.7</v>
      </c>
      <c r="H460" s="9">
        <v>0.69</v>
      </c>
      <c r="I460" s="9">
        <v>1.27</v>
      </c>
      <c r="J460" s="78"/>
    </row>
    <row r="461" spans="1:10" x14ac:dyDescent="0.2">
      <c r="A461" s="9">
        <v>0</v>
      </c>
      <c r="B461" s="9">
        <v>48</v>
      </c>
      <c r="C461" s="9">
        <v>3</v>
      </c>
      <c r="D461" s="9">
        <v>0</v>
      </c>
      <c r="E461" s="9">
        <v>27</v>
      </c>
      <c r="F461" s="9">
        <v>19</v>
      </c>
      <c r="G461" s="9">
        <v>10.8</v>
      </c>
      <c r="H461" s="9">
        <v>0.85</v>
      </c>
      <c r="I461" s="9">
        <v>1.2</v>
      </c>
      <c r="J461" s="78"/>
    </row>
    <row r="462" spans="1:10" x14ac:dyDescent="0.2">
      <c r="A462" s="9">
        <v>0</v>
      </c>
      <c r="B462" s="9">
        <v>41</v>
      </c>
      <c r="C462" s="9">
        <v>1</v>
      </c>
      <c r="D462" s="9">
        <v>7</v>
      </c>
      <c r="E462" s="9">
        <v>11</v>
      </c>
      <c r="F462" s="9">
        <v>43</v>
      </c>
      <c r="G462" s="9">
        <v>4.4000000000000004</v>
      </c>
      <c r="H462" s="9">
        <v>0.69</v>
      </c>
      <c r="I462" s="9">
        <v>1.2</v>
      </c>
      <c r="J462" s="78"/>
    </row>
    <row r="463" spans="1:10" x14ac:dyDescent="0.2">
      <c r="A463" s="9">
        <v>0</v>
      </c>
      <c r="B463" s="9">
        <v>30</v>
      </c>
      <c r="C463" s="9">
        <v>1</v>
      </c>
      <c r="D463" s="9">
        <v>1</v>
      </c>
      <c r="E463" s="9">
        <v>10</v>
      </c>
      <c r="F463" s="9">
        <v>22</v>
      </c>
      <c r="G463" s="9">
        <v>10.5</v>
      </c>
      <c r="H463" s="9">
        <v>1.1399999999999999</v>
      </c>
      <c r="I463" s="9">
        <v>1.17</v>
      </c>
      <c r="J463" s="78"/>
    </row>
    <row r="464" spans="1:10" x14ac:dyDescent="0.2">
      <c r="A464" s="9">
        <v>1</v>
      </c>
      <c r="B464" s="9">
        <v>47</v>
      </c>
      <c r="C464" s="9">
        <v>2</v>
      </c>
      <c r="D464" s="9">
        <v>4</v>
      </c>
      <c r="E464" s="9">
        <v>9</v>
      </c>
      <c r="F464" s="9">
        <v>33</v>
      </c>
      <c r="G464" s="9">
        <v>7.1</v>
      </c>
      <c r="H464" s="9">
        <v>1.19</v>
      </c>
      <c r="I464" s="9">
        <v>1.1499999999999999</v>
      </c>
      <c r="J464" s="78"/>
    </row>
    <row r="465" spans="1:10" x14ac:dyDescent="0.2">
      <c r="A465" s="9">
        <v>0</v>
      </c>
      <c r="B465" s="9">
        <v>36</v>
      </c>
      <c r="C465" s="9">
        <v>1</v>
      </c>
      <c r="D465" s="9">
        <v>14</v>
      </c>
      <c r="E465" s="9">
        <v>17</v>
      </c>
      <c r="F465" s="9">
        <v>53</v>
      </c>
      <c r="G465" s="9">
        <v>5.7</v>
      </c>
      <c r="H465" s="9">
        <v>1.89</v>
      </c>
      <c r="I465" s="9">
        <v>1.1299999999999999</v>
      </c>
      <c r="J465" s="78"/>
    </row>
    <row r="466" spans="1:10" x14ac:dyDescent="0.2">
      <c r="A466" s="9">
        <v>0</v>
      </c>
      <c r="B466" s="9">
        <v>23</v>
      </c>
      <c r="C466" s="9">
        <v>4</v>
      </c>
      <c r="D466" s="9">
        <v>0</v>
      </c>
      <c r="E466" s="9">
        <v>2</v>
      </c>
      <c r="F466" s="9">
        <v>23</v>
      </c>
      <c r="G466" s="9">
        <v>6.7</v>
      </c>
      <c r="H466" s="9">
        <v>0.47</v>
      </c>
      <c r="I466" s="9">
        <v>1.07</v>
      </c>
      <c r="J466" s="78"/>
    </row>
    <row r="467" spans="1:10" x14ac:dyDescent="0.2">
      <c r="A467" s="9">
        <v>0</v>
      </c>
      <c r="B467" s="9">
        <v>33</v>
      </c>
      <c r="C467" s="9">
        <v>1</v>
      </c>
      <c r="D467" s="9">
        <v>6</v>
      </c>
      <c r="E467" s="9">
        <v>14</v>
      </c>
      <c r="F467" s="9">
        <v>21</v>
      </c>
      <c r="G467" s="9">
        <v>7.5</v>
      </c>
      <c r="H467" s="9">
        <v>0.56999999999999995</v>
      </c>
      <c r="I467" s="9">
        <v>1.01</v>
      </c>
      <c r="J467" s="78"/>
    </row>
    <row r="468" spans="1:10" x14ac:dyDescent="0.2">
      <c r="A468" s="9">
        <v>1</v>
      </c>
      <c r="B468" s="9">
        <v>31</v>
      </c>
      <c r="C468" s="9">
        <v>1</v>
      </c>
      <c r="D468" s="9">
        <v>11</v>
      </c>
      <c r="E468" s="9">
        <v>6</v>
      </c>
      <c r="F468" s="9">
        <v>28</v>
      </c>
      <c r="G468" s="9">
        <v>4.8</v>
      </c>
      <c r="H468" s="9">
        <v>0.35</v>
      </c>
      <c r="I468" s="9">
        <v>1</v>
      </c>
      <c r="J468" s="78"/>
    </row>
    <row r="469" spans="1:10" x14ac:dyDescent="0.2">
      <c r="A469" s="9">
        <v>1</v>
      </c>
      <c r="B469" s="9">
        <v>29</v>
      </c>
      <c r="C469" s="9">
        <v>2</v>
      </c>
      <c r="D469" s="9">
        <v>5</v>
      </c>
      <c r="E469" s="9">
        <v>4</v>
      </c>
      <c r="F469" s="9">
        <v>36</v>
      </c>
      <c r="G469" s="9">
        <v>12.4</v>
      </c>
      <c r="H469" s="9">
        <v>3.49</v>
      </c>
      <c r="I469" s="9">
        <v>0.97</v>
      </c>
      <c r="J469" s="78"/>
    </row>
    <row r="470" spans="1:10" x14ac:dyDescent="0.2">
      <c r="A470" s="9">
        <v>1</v>
      </c>
      <c r="B470" s="9">
        <v>29</v>
      </c>
      <c r="C470" s="9">
        <v>3</v>
      </c>
      <c r="D470" s="9">
        <v>3</v>
      </c>
      <c r="E470" s="9">
        <v>3</v>
      </c>
      <c r="F470" s="9">
        <v>50</v>
      </c>
      <c r="G470" s="9">
        <v>2.4</v>
      </c>
      <c r="H470" s="9">
        <v>0.26</v>
      </c>
      <c r="I470" s="9">
        <v>0.94</v>
      </c>
      <c r="J470" s="78"/>
    </row>
    <row r="471" spans="1:10" x14ac:dyDescent="0.2">
      <c r="A471" s="9">
        <v>0</v>
      </c>
      <c r="B471" s="9">
        <v>25</v>
      </c>
      <c r="C471" s="9">
        <v>1</v>
      </c>
      <c r="D471" s="9">
        <v>4</v>
      </c>
      <c r="E471" s="9">
        <v>0</v>
      </c>
      <c r="F471" s="9">
        <v>23</v>
      </c>
      <c r="G471" s="9">
        <v>5.2</v>
      </c>
      <c r="H471" s="9">
        <v>0.25</v>
      </c>
      <c r="I471" s="9">
        <v>0.94</v>
      </c>
      <c r="J471" s="78"/>
    </row>
    <row r="472" spans="1:10" x14ac:dyDescent="0.2">
      <c r="A472" s="9">
        <v>0</v>
      </c>
      <c r="B472" s="9">
        <v>31</v>
      </c>
      <c r="C472" s="9">
        <v>1</v>
      </c>
      <c r="D472" s="9">
        <v>7</v>
      </c>
      <c r="E472" s="9">
        <v>10</v>
      </c>
      <c r="F472" s="9">
        <v>23</v>
      </c>
      <c r="G472" s="9">
        <v>4.9000000000000004</v>
      </c>
      <c r="H472" s="9">
        <v>0.23</v>
      </c>
      <c r="I472" s="9">
        <v>0.9</v>
      </c>
      <c r="J472" s="78"/>
    </row>
    <row r="473" spans="1:10" x14ac:dyDescent="0.2">
      <c r="A473" s="9">
        <v>0</v>
      </c>
      <c r="B473" s="9">
        <v>31</v>
      </c>
      <c r="C473" s="9">
        <v>1</v>
      </c>
      <c r="D473" s="9">
        <v>1</v>
      </c>
      <c r="E473" s="9">
        <v>1</v>
      </c>
      <c r="F473" s="9">
        <v>24</v>
      </c>
      <c r="G473" s="9">
        <v>4.5</v>
      </c>
      <c r="H473" s="9">
        <v>0.22</v>
      </c>
      <c r="I473" s="9">
        <v>0.86</v>
      </c>
      <c r="J473" s="78"/>
    </row>
    <row r="474" spans="1:10" x14ac:dyDescent="0.2">
      <c r="A474" s="9">
        <v>0</v>
      </c>
      <c r="B474" s="9">
        <v>33</v>
      </c>
      <c r="C474" s="9">
        <v>1</v>
      </c>
      <c r="D474" s="9">
        <v>2</v>
      </c>
      <c r="E474" s="9">
        <v>14</v>
      </c>
      <c r="F474" s="9">
        <v>44</v>
      </c>
      <c r="G474" s="9">
        <v>3.1</v>
      </c>
      <c r="H474" s="9">
        <v>0.53</v>
      </c>
      <c r="I474" s="9">
        <v>0.84</v>
      </c>
      <c r="J474" s="78"/>
    </row>
    <row r="475" spans="1:10" x14ac:dyDescent="0.2">
      <c r="A475" s="9">
        <v>1</v>
      </c>
      <c r="B475" s="9">
        <v>25</v>
      </c>
      <c r="C475" s="9">
        <v>2</v>
      </c>
      <c r="D475" s="9">
        <v>4</v>
      </c>
      <c r="E475" s="9">
        <v>5</v>
      </c>
      <c r="F475" s="9">
        <v>27</v>
      </c>
      <c r="G475" s="9">
        <v>5</v>
      </c>
      <c r="H475" s="9">
        <v>0.55000000000000004</v>
      </c>
      <c r="I475" s="9">
        <v>0.8</v>
      </c>
      <c r="J475" s="78"/>
    </row>
    <row r="476" spans="1:10" x14ac:dyDescent="0.2">
      <c r="A476" s="9">
        <v>0</v>
      </c>
      <c r="B476" s="9">
        <v>29</v>
      </c>
      <c r="C476" s="9">
        <v>2</v>
      </c>
      <c r="D476" s="9">
        <v>6</v>
      </c>
      <c r="E476" s="9">
        <v>7</v>
      </c>
      <c r="F476" s="9">
        <v>57</v>
      </c>
      <c r="G476" s="9">
        <v>2.2000000000000002</v>
      </c>
      <c r="H476" s="9">
        <v>0.45</v>
      </c>
      <c r="I476" s="9">
        <v>0.8</v>
      </c>
      <c r="J476" s="78"/>
    </row>
    <row r="477" spans="1:10" x14ac:dyDescent="0.2">
      <c r="A477" s="9">
        <v>0</v>
      </c>
      <c r="B477" s="9">
        <v>33</v>
      </c>
      <c r="C477" s="9">
        <v>1</v>
      </c>
      <c r="D477" s="9">
        <v>8</v>
      </c>
      <c r="E477" s="9">
        <v>7</v>
      </c>
      <c r="F477" s="9">
        <v>27</v>
      </c>
      <c r="G477" s="9">
        <v>5.8</v>
      </c>
      <c r="H477" s="9">
        <v>0.78</v>
      </c>
      <c r="I477" s="9">
        <v>0.79</v>
      </c>
      <c r="J477" s="78"/>
    </row>
    <row r="478" spans="1:10" x14ac:dyDescent="0.2">
      <c r="A478" s="9">
        <v>0</v>
      </c>
      <c r="B478" s="9">
        <v>24</v>
      </c>
      <c r="C478" s="9">
        <v>1</v>
      </c>
      <c r="D478" s="9">
        <v>7</v>
      </c>
      <c r="E478" s="9">
        <v>0</v>
      </c>
      <c r="F478" s="9">
        <v>18</v>
      </c>
      <c r="G478" s="9">
        <v>6.5</v>
      </c>
      <c r="H478" s="9">
        <v>0.53</v>
      </c>
      <c r="I478" s="9">
        <v>0.64</v>
      </c>
      <c r="J478" s="78"/>
    </row>
    <row r="479" spans="1:10" x14ac:dyDescent="0.2">
      <c r="A479" s="9">
        <v>0</v>
      </c>
      <c r="B479" s="9">
        <v>30</v>
      </c>
      <c r="C479" s="9">
        <v>2</v>
      </c>
      <c r="D479" s="9">
        <v>4</v>
      </c>
      <c r="E479" s="9">
        <v>8</v>
      </c>
      <c r="F479" s="9">
        <v>15</v>
      </c>
      <c r="G479" s="9">
        <v>6.5</v>
      </c>
      <c r="H479" s="9">
        <v>0.35</v>
      </c>
      <c r="I479" s="9">
        <v>0.62</v>
      </c>
      <c r="J479" s="78"/>
    </row>
    <row r="480" spans="1:10" x14ac:dyDescent="0.2">
      <c r="A480" s="9">
        <v>1</v>
      </c>
      <c r="B480" s="9">
        <v>21</v>
      </c>
      <c r="C480" s="9">
        <v>2</v>
      </c>
      <c r="D480" s="9">
        <v>2</v>
      </c>
      <c r="E480" s="9">
        <v>0</v>
      </c>
      <c r="F480" s="9">
        <v>20</v>
      </c>
      <c r="G480" s="9">
        <v>4.5</v>
      </c>
      <c r="H480" s="9">
        <v>0.28999999999999998</v>
      </c>
      <c r="I480" s="9">
        <v>0.61</v>
      </c>
      <c r="J480" s="78"/>
    </row>
    <row r="481" spans="1:10" x14ac:dyDescent="0.2">
      <c r="A481" s="9">
        <v>0</v>
      </c>
      <c r="B481" s="9">
        <v>31</v>
      </c>
      <c r="C481" s="9">
        <v>3</v>
      </c>
      <c r="D481" s="9">
        <v>9</v>
      </c>
      <c r="E481" s="9">
        <v>2</v>
      </c>
      <c r="F481" s="9">
        <v>28</v>
      </c>
      <c r="G481" s="9">
        <v>2.6</v>
      </c>
      <c r="H481" s="9">
        <v>0.12</v>
      </c>
      <c r="I481" s="9">
        <v>0.61</v>
      </c>
      <c r="J481" s="78"/>
    </row>
    <row r="482" spans="1:10" x14ac:dyDescent="0.2">
      <c r="A482" s="9">
        <v>0</v>
      </c>
      <c r="B482" s="9">
        <v>39</v>
      </c>
      <c r="C482" s="9">
        <v>2</v>
      </c>
      <c r="D482" s="9">
        <v>16</v>
      </c>
      <c r="E482" s="9">
        <v>13</v>
      </c>
      <c r="F482" s="9">
        <v>69</v>
      </c>
      <c r="G482" s="9">
        <v>2.4</v>
      </c>
      <c r="H482" s="9">
        <v>1.06</v>
      </c>
      <c r="I482" s="9">
        <v>0.59</v>
      </c>
      <c r="J482" s="78"/>
    </row>
    <row r="483" spans="1:10" x14ac:dyDescent="0.2">
      <c r="A483" s="9">
        <v>0</v>
      </c>
      <c r="B483" s="9">
        <v>21</v>
      </c>
      <c r="C483" s="9">
        <v>3</v>
      </c>
      <c r="D483" s="9">
        <v>0</v>
      </c>
      <c r="E483" s="9">
        <v>1</v>
      </c>
      <c r="F483" s="9">
        <v>26</v>
      </c>
      <c r="G483" s="9">
        <v>7.7</v>
      </c>
      <c r="H483" s="9">
        <v>1.53</v>
      </c>
      <c r="I483" s="9">
        <v>0.47</v>
      </c>
      <c r="J483" s="78"/>
    </row>
    <row r="484" spans="1:10" x14ac:dyDescent="0.2">
      <c r="A484" s="9">
        <v>0</v>
      </c>
      <c r="B484" s="9">
        <v>28</v>
      </c>
      <c r="C484" s="9">
        <v>1</v>
      </c>
      <c r="D484" s="9">
        <v>11</v>
      </c>
      <c r="E484" s="9">
        <v>6</v>
      </c>
      <c r="F484" s="9">
        <v>24</v>
      </c>
      <c r="G484" s="9">
        <v>2.4</v>
      </c>
      <c r="H484" s="9">
        <v>0.11</v>
      </c>
      <c r="I484" s="9">
        <v>0.47</v>
      </c>
      <c r="J484" s="78"/>
    </row>
    <row r="485" spans="1:10" x14ac:dyDescent="0.2">
      <c r="A485" s="9">
        <v>0</v>
      </c>
      <c r="B485" s="9">
        <v>26</v>
      </c>
      <c r="C485" s="9">
        <v>1</v>
      </c>
      <c r="D485" s="9">
        <v>1</v>
      </c>
      <c r="E485" s="9">
        <v>0</v>
      </c>
      <c r="F485" s="9">
        <v>21</v>
      </c>
      <c r="G485" s="9">
        <v>4.9000000000000004</v>
      </c>
      <c r="H485" s="9">
        <v>0.61</v>
      </c>
      <c r="I485" s="9">
        <v>0.42</v>
      </c>
      <c r="J485" s="78"/>
    </row>
    <row r="486" spans="1:10" x14ac:dyDescent="0.2">
      <c r="A486" s="9">
        <v>0</v>
      </c>
      <c r="B486" s="9">
        <v>29</v>
      </c>
      <c r="C486" s="9">
        <v>2</v>
      </c>
      <c r="D486" s="9">
        <v>9</v>
      </c>
      <c r="E486" s="9">
        <v>3</v>
      </c>
      <c r="F486" s="9">
        <v>36</v>
      </c>
      <c r="G486" s="9">
        <v>1.4</v>
      </c>
      <c r="H486" s="9">
        <v>0.13</v>
      </c>
      <c r="I486" s="9">
        <v>0.38</v>
      </c>
      <c r="J486" s="78"/>
    </row>
    <row r="487" spans="1:10" x14ac:dyDescent="0.2">
      <c r="A487" s="9">
        <v>0</v>
      </c>
      <c r="B487" s="9">
        <v>38</v>
      </c>
      <c r="C487" s="9">
        <v>1</v>
      </c>
      <c r="D487" s="9">
        <v>10</v>
      </c>
      <c r="E487" s="9">
        <v>8</v>
      </c>
      <c r="F487" s="9">
        <v>34</v>
      </c>
      <c r="G487" s="9">
        <v>1.2</v>
      </c>
      <c r="H487" s="9">
        <v>0.04</v>
      </c>
      <c r="I487" s="9">
        <v>0.37</v>
      </c>
      <c r="J487" s="78"/>
    </row>
    <row r="488" spans="1:10" x14ac:dyDescent="0.2">
      <c r="A488" s="9">
        <v>0</v>
      </c>
      <c r="B488" s="9">
        <v>20</v>
      </c>
      <c r="C488" s="9">
        <v>3</v>
      </c>
      <c r="D488" s="9">
        <v>0</v>
      </c>
      <c r="E488" s="9">
        <v>1</v>
      </c>
      <c r="F488" s="9">
        <v>17</v>
      </c>
      <c r="G488" s="9">
        <v>2.2999999999999998</v>
      </c>
      <c r="H488" s="9">
        <v>0.04</v>
      </c>
      <c r="I488" s="9">
        <v>0.35</v>
      </c>
      <c r="J488" s="78"/>
    </row>
    <row r="489" spans="1:10" x14ac:dyDescent="0.2">
      <c r="A489" s="9">
        <v>0</v>
      </c>
      <c r="B489" s="9">
        <v>26</v>
      </c>
      <c r="C489" s="9">
        <v>1</v>
      </c>
      <c r="D489" s="9">
        <v>10</v>
      </c>
      <c r="E489" s="9">
        <v>6</v>
      </c>
      <c r="F489" s="9">
        <v>24</v>
      </c>
      <c r="G489" s="9">
        <v>2.7</v>
      </c>
      <c r="H489" s="9">
        <v>0.31</v>
      </c>
      <c r="I489" s="9">
        <v>0.34</v>
      </c>
      <c r="J489" s="78"/>
    </row>
    <row r="490" spans="1:10" x14ac:dyDescent="0.2">
      <c r="A490" s="9">
        <v>0</v>
      </c>
      <c r="B490" s="9">
        <v>40</v>
      </c>
      <c r="C490" s="9">
        <v>1</v>
      </c>
      <c r="D490" s="9">
        <v>2</v>
      </c>
      <c r="E490" s="9">
        <v>4</v>
      </c>
      <c r="F490" s="9">
        <v>32</v>
      </c>
      <c r="G490" s="9">
        <v>3.7</v>
      </c>
      <c r="H490" s="9">
        <v>0.85</v>
      </c>
      <c r="I490" s="9">
        <v>0.33</v>
      </c>
      <c r="J490" s="78"/>
    </row>
    <row r="491" spans="1:10" x14ac:dyDescent="0.2">
      <c r="A491" s="9">
        <v>1</v>
      </c>
      <c r="B491" s="9">
        <v>30</v>
      </c>
      <c r="C491" s="9">
        <v>1</v>
      </c>
      <c r="D491" s="9">
        <v>0</v>
      </c>
      <c r="E491" s="9">
        <v>11</v>
      </c>
      <c r="F491" s="9">
        <v>17</v>
      </c>
      <c r="G491" s="9">
        <v>3.7</v>
      </c>
      <c r="H491" s="9">
        <v>0.45</v>
      </c>
      <c r="I491" s="9">
        <v>0.18</v>
      </c>
      <c r="J491" s="78"/>
    </row>
    <row r="492" spans="1:10" x14ac:dyDescent="0.2">
      <c r="A492" s="9">
        <v>0</v>
      </c>
      <c r="B492" s="9">
        <v>30</v>
      </c>
      <c r="C492" s="9">
        <v>1</v>
      </c>
      <c r="D492" s="9">
        <v>11</v>
      </c>
      <c r="E492" s="9">
        <v>9</v>
      </c>
      <c r="F492" s="9">
        <v>27</v>
      </c>
      <c r="G492" s="9">
        <v>0.9</v>
      </c>
      <c r="H492" s="9">
        <v>7.0000000000000007E-2</v>
      </c>
      <c r="I492" s="9">
        <v>0.17</v>
      </c>
      <c r="J492" s="78"/>
    </row>
    <row r="493" spans="1:10" x14ac:dyDescent="0.2">
      <c r="A493" s="9">
        <v>0</v>
      </c>
      <c r="B493" s="9">
        <v>25</v>
      </c>
      <c r="C493" s="9">
        <v>1</v>
      </c>
      <c r="D493" s="9">
        <v>9</v>
      </c>
      <c r="E493" s="9">
        <v>4</v>
      </c>
      <c r="F493" s="9">
        <v>18</v>
      </c>
      <c r="G493" s="9">
        <v>1.2</v>
      </c>
      <c r="H493" s="9">
        <v>7.0000000000000007E-2</v>
      </c>
      <c r="I493" s="9">
        <v>0.15</v>
      </c>
      <c r="J493" s="78"/>
    </row>
    <row r="494" spans="1:10" x14ac:dyDescent="0.2">
      <c r="A494" s="9">
        <v>0</v>
      </c>
      <c r="B494" s="9">
        <v>27</v>
      </c>
      <c r="C494" s="9">
        <v>1</v>
      </c>
      <c r="D494" s="9">
        <v>0</v>
      </c>
      <c r="E494" s="9">
        <v>1</v>
      </c>
      <c r="F494" s="9">
        <v>16</v>
      </c>
      <c r="G494" s="9">
        <v>1.7</v>
      </c>
      <c r="H494" s="9">
        <v>0.18</v>
      </c>
      <c r="I494" s="9">
        <v>0.09</v>
      </c>
      <c r="J494" s="78"/>
    </row>
    <row r="495" spans="1:10" x14ac:dyDescent="0.2">
      <c r="A495" s="9">
        <v>0</v>
      </c>
      <c r="B495" s="9">
        <v>27</v>
      </c>
      <c r="C495" s="9">
        <v>1</v>
      </c>
      <c r="D495" s="9">
        <v>0</v>
      </c>
      <c r="E495" s="9">
        <v>5</v>
      </c>
      <c r="F495" s="9">
        <v>16</v>
      </c>
      <c r="G495" s="9">
        <v>1.1000000000000001</v>
      </c>
      <c r="H495" s="9">
        <v>0.13</v>
      </c>
      <c r="I495" s="9">
        <v>0.05</v>
      </c>
      <c r="J495" s="78"/>
    </row>
    <row r="496" spans="1:10" x14ac:dyDescent="0.2">
      <c r="A496" s="9">
        <v>1</v>
      </c>
      <c r="B496" s="9">
        <v>40</v>
      </c>
      <c r="C496" s="9">
        <v>2</v>
      </c>
      <c r="D496" s="9">
        <v>13</v>
      </c>
      <c r="E496" s="9">
        <v>11</v>
      </c>
      <c r="F496" s="9">
        <v>102</v>
      </c>
      <c r="G496" s="9">
        <v>18.899999999999999</v>
      </c>
      <c r="H496" s="13"/>
      <c r="I496" s="9">
        <v>0</v>
      </c>
      <c r="J496" s="78"/>
    </row>
    <row r="497" spans="1:10" x14ac:dyDescent="0.2">
      <c r="A497" s="9">
        <v>0</v>
      </c>
      <c r="B497" s="9">
        <v>39</v>
      </c>
      <c r="C497" s="9">
        <v>1</v>
      </c>
      <c r="D497" s="9">
        <v>20</v>
      </c>
      <c r="E497" s="9">
        <v>9</v>
      </c>
      <c r="F497" s="9">
        <v>67</v>
      </c>
      <c r="G497" s="9">
        <v>30.6</v>
      </c>
      <c r="H497" s="9">
        <v>3.83</v>
      </c>
      <c r="I497" s="9">
        <v>0</v>
      </c>
      <c r="J497" s="78"/>
    </row>
    <row r="498" spans="1:10" x14ac:dyDescent="0.2">
      <c r="A498" s="9">
        <v>1</v>
      </c>
      <c r="B498" s="9">
        <v>41</v>
      </c>
      <c r="C498" s="9">
        <v>3</v>
      </c>
      <c r="D498" s="9">
        <v>13</v>
      </c>
      <c r="E498" s="9">
        <v>13</v>
      </c>
      <c r="F498" s="9">
        <v>91</v>
      </c>
      <c r="G498" s="9">
        <v>25.2</v>
      </c>
      <c r="H498" s="9">
        <v>2.3199999999999998</v>
      </c>
      <c r="I498" s="9">
        <v>0</v>
      </c>
      <c r="J498" s="78"/>
    </row>
    <row r="499" spans="1:10" x14ac:dyDescent="0.2">
      <c r="A499" s="9">
        <v>1</v>
      </c>
      <c r="B499" s="9">
        <v>54</v>
      </c>
      <c r="C499" s="9">
        <v>1</v>
      </c>
      <c r="D499" s="9">
        <v>25</v>
      </c>
      <c r="E499" s="9">
        <v>12</v>
      </c>
      <c r="F499" s="13"/>
      <c r="G499" s="9">
        <v>26.5</v>
      </c>
      <c r="H499" s="9">
        <v>0</v>
      </c>
      <c r="I499" s="9">
        <v>0</v>
      </c>
      <c r="J499" s="78"/>
    </row>
    <row r="500" spans="1:10" x14ac:dyDescent="0.2">
      <c r="A500" s="9">
        <v>1</v>
      </c>
      <c r="B500" s="9">
        <v>43</v>
      </c>
      <c r="C500" s="9">
        <v>4</v>
      </c>
      <c r="D500" s="9">
        <v>18</v>
      </c>
      <c r="E500" s="9">
        <v>14</v>
      </c>
      <c r="F500" s="9">
        <v>0</v>
      </c>
      <c r="G500" s="9">
        <v>6.5</v>
      </c>
      <c r="H500" s="9">
        <v>0</v>
      </c>
      <c r="I500" s="13"/>
      <c r="J500" s="78"/>
    </row>
    <row r="501" spans="1:10" x14ac:dyDescent="0.2">
      <c r="A501" s="9">
        <v>0</v>
      </c>
      <c r="B501" s="9">
        <v>48</v>
      </c>
      <c r="C501" s="9">
        <v>3</v>
      </c>
      <c r="D501" s="9">
        <v>17</v>
      </c>
      <c r="E501" s="9">
        <v>26</v>
      </c>
      <c r="F501" s="9">
        <v>113</v>
      </c>
      <c r="G501" s="9">
        <v>12</v>
      </c>
      <c r="H501" s="9">
        <v>3.38</v>
      </c>
      <c r="I501" s="13"/>
      <c r="J501" s="7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3DD0E-3F72-9345-93C5-A7364473C1AE}">
  <dimension ref="A1:T501"/>
  <sheetViews>
    <sheetView showGridLines="0" workbookViewId="0">
      <selection activeCell="Q15" sqref="Q15"/>
    </sheetView>
  </sheetViews>
  <sheetFormatPr baseColWidth="10" defaultRowHeight="16" x14ac:dyDescent="0.2"/>
  <cols>
    <col min="1" max="10" width="10.83203125" style="6"/>
    <col min="11" max="11" width="33.5" style="6" bestFit="1" customWidth="1"/>
    <col min="12" max="16384" width="10.83203125" style="6"/>
  </cols>
  <sheetData>
    <row r="1" spans="1:20" x14ac:dyDescent="0.2">
      <c r="A1" s="9" t="s">
        <v>71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</row>
    <row r="2" spans="1:20" x14ac:dyDescent="0.2">
      <c r="A2" s="9">
        <v>0</v>
      </c>
      <c r="B2" s="9">
        <v>29</v>
      </c>
      <c r="C2" s="9">
        <v>2</v>
      </c>
      <c r="D2" s="9">
        <v>6</v>
      </c>
      <c r="E2" s="9">
        <v>10</v>
      </c>
      <c r="F2" s="9">
        <v>65</v>
      </c>
      <c r="G2" s="9">
        <v>18.399999999999999</v>
      </c>
      <c r="H2" s="9">
        <v>1.99</v>
      </c>
      <c r="I2" s="9">
        <v>9.9700000000000006</v>
      </c>
    </row>
    <row r="3" spans="1:20" x14ac:dyDescent="0.2">
      <c r="A3" s="9">
        <v>0</v>
      </c>
      <c r="B3" s="9">
        <v>43</v>
      </c>
      <c r="C3" s="9">
        <v>1</v>
      </c>
      <c r="D3" s="9">
        <v>25</v>
      </c>
      <c r="E3" s="9">
        <v>21</v>
      </c>
      <c r="F3" s="9">
        <v>64</v>
      </c>
      <c r="G3" s="9">
        <v>16.7</v>
      </c>
      <c r="H3" s="9">
        <v>0.95</v>
      </c>
      <c r="I3" s="9">
        <v>9.74</v>
      </c>
    </row>
    <row r="4" spans="1:20" x14ac:dyDescent="0.2">
      <c r="A4" s="9">
        <v>1</v>
      </c>
      <c r="B4" s="9">
        <v>32</v>
      </c>
      <c r="C4" s="9">
        <v>2</v>
      </c>
      <c r="D4" s="9">
        <v>11</v>
      </c>
      <c r="E4" s="9">
        <v>6</v>
      </c>
      <c r="F4" s="9">
        <v>75</v>
      </c>
      <c r="G4" s="9">
        <v>23.3</v>
      </c>
      <c r="H4" s="13">
        <v>5.4954845947359976</v>
      </c>
      <c r="I4" s="9">
        <v>9.7200000000000006</v>
      </c>
    </row>
    <row r="5" spans="1:20" x14ac:dyDescent="0.2">
      <c r="A5" s="9">
        <v>0</v>
      </c>
      <c r="B5" s="9">
        <v>44</v>
      </c>
      <c r="C5" s="9">
        <v>2</v>
      </c>
      <c r="D5" s="9">
        <v>12</v>
      </c>
      <c r="E5" s="9">
        <v>5</v>
      </c>
      <c r="F5" s="9">
        <v>86</v>
      </c>
      <c r="G5" s="9">
        <v>13</v>
      </c>
      <c r="H5" s="9">
        <v>1.48</v>
      </c>
      <c r="I5" s="9">
        <v>9.6999999999999993</v>
      </c>
      <c r="K5" s="9" t="s">
        <v>90</v>
      </c>
      <c r="L5" s="9">
        <v>500</v>
      </c>
    </row>
    <row r="6" spans="1:20" x14ac:dyDescent="0.2">
      <c r="A6" s="9">
        <v>0</v>
      </c>
      <c r="B6" s="9">
        <v>37</v>
      </c>
      <c r="C6" s="9">
        <v>5</v>
      </c>
      <c r="D6" s="9">
        <v>9</v>
      </c>
      <c r="E6" s="9">
        <v>16</v>
      </c>
      <c r="F6" s="9">
        <v>0</v>
      </c>
      <c r="G6" s="9">
        <v>5.9</v>
      </c>
      <c r="H6" s="9">
        <v>0.89</v>
      </c>
      <c r="I6" s="9">
        <v>9.56</v>
      </c>
      <c r="L6" s="40" t="s">
        <v>0</v>
      </c>
      <c r="M6" s="9" t="s">
        <v>1</v>
      </c>
      <c r="N6" s="9" t="s">
        <v>2</v>
      </c>
      <c r="O6" s="9" t="s">
        <v>3</v>
      </c>
      <c r="P6" s="9" t="s">
        <v>4</v>
      </c>
      <c r="Q6" s="9" t="s">
        <v>5</v>
      </c>
      <c r="R6" s="9" t="s">
        <v>6</v>
      </c>
      <c r="S6" s="9" t="s">
        <v>7</v>
      </c>
      <c r="T6" s="9" t="s">
        <v>8</v>
      </c>
    </row>
    <row r="7" spans="1:20" x14ac:dyDescent="0.2">
      <c r="A7" s="9">
        <v>0</v>
      </c>
      <c r="B7" s="9">
        <v>39</v>
      </c>
      <c r="C7" s="9">
        <v>1</v>
      </c>
      <c r="D7" s="9">
        <v>16</v>
      </c>
      <c r="E7" s="9">
        <v>20</v>
      </c>
      <c r="F7" s="9">
        <v>57</v>
      </c>
      <c r="G7" s="9">
        <v>19.399999999999999</v>
      </c>
      <c r="H7" s="9">
        <v>1.56</v>
      </c>
      <c r="I7" s="9">
        <v>9.5</v>
      </c>
      <c r="K7" s="6" t="s">
        <v>78</v>
      </c>
      <c r="L7" s="33">
        <v>0.25800000000000001</v>
      </c>
      <c r="M7" s="33">
        <v>34.667342799188638</v>
      </c>
      <c r="N7" s="33">
        <v>1.7180527383367139</v>
      </c>
      <c r="O7" s="33">
        <v>8.2739999999999991</v>
      </c>
      <c r="P7" s="33">
        <v>8.2159999999999993</v>
      </c>
      <c r="Q7" s="33">
        <v>41.225999999999999</v>
      </c>
      <c r="R7" s="33">
        <v>9.9985999999999962</v>
      </c>
      <c r="S7" s="33">
        <v>1.3050599999999994</v>
      </c>
      <c r="T7" s="33">
        <v>2.6625599999999983</v>
      </c>
    </row>
    <row r="8" spans="1:20" x14ac:dyDescent="0.2">
      <c r="A8" s="9">
        <v>0</v>
      </c>
      <c r="B8" s="9">
        <v>45</v>
      </c>
      <c r="C8" s="9">
        <v>6</v>
      </c>
      <c r="D8" s="9">
        <v>22</v>
      </c>
      <c r="E8" s="9">
        <v>24</v>
      </c>
      <c r="F8" s="9">
        <v>91</v>
      </c>
      <c r="G8" s="9">
        <v>11.7</v>
      </c>
      <c r="H8" s="9">
        <v>1.26</v>
      </c>
      <c r="I8" s="9">
        <v>9.39</v>
      </c>
      <c r="K8" s="6" t="s">
        <v>79</v>
      </c>
      <c r="L8" s="33">
        <v>0</v>
      </c>
      <c r="M8" s="33">
        <v>34</v>
      </c>
      <c r="N8" s="33">
        <v>1</v>
      </c>
      <c r="O8" s="33">
        <v>7</v>
      </c>
      <c r="P8" s="33">
        <v>7</v>
      </c>
      <c r="Q8" s="33">
        <v>33</v>
      </c>
      <c r="R8" s="33">
        <v>8.6</v>
      </c>
      <c r="S8" s="33">
        <v>0.83499999999999996</v>
      </c>
      <c r="T8" s="33">
        <v>1.8450000000000002</v>
      </c>
    </row>
    <row r="9" spans="1:20" x14ac:dyDescent="0.2">
      <c r="A9" s="9">
        <v>1</v>
      </c>
      <c r="B9" s="9">
        <v>48</v>
      </c>
      <c r="C9" s="9">
        <v>1</v>
      </c>
      <c r="D9" s="9">
        <v>13</v>
      </c>
      <c r="E9" s="9">
        <v>20</v>
      </c>
      <c r="F9" s="9">
        <v>50</v>
      </c>
      <c r="G9" s="9">
        <v>30.8</v>
      </c>
      <c r="H9" s="13">
        <v>5.4954845947359976</v>
      </c>
      <c r="I9" s="9">
        <v>9.2899999999999991</v>
      </c>
      <c r="K9" s="6" t="s">
        <v>80</v>
      </c>
      <c r="L9" s="33">
        <v>0.43797219007438942</v>
      </c>
      <c r="M9" s="33">
        <v>7.8444538197258167</v>
      </c>
      <c r="N9" s="33">
        <v>0.93466368307806169</v>
      </c>
      <c r="O9" s="33">
        <v>6.4013184388460962</v>
      </c>
      <c r="P9" s="33">
        <v>6.6896072897729031</v>
      </c>
      <c r="Q9" s="33">
        <v>25.438970230982736</v>
      </c>
      <c r="R9" s="33">
        <v>6.5542730359712911</v>
      </c>
      <c r="S9" s="33">
        <v>1.3968081982453329</v>
      </c>
      <c r="T9" s="33">
        <v>2.4973079386172157</v>
      </c>
    </row>
    <row r="10" spans="1:20" x14ac:dyDescent="0.2">
      <c r="A10" s="9">
        <v>1</v>
      </c>
      <c r="B10" s="9">
        <v>34</v>
      </c>
      <c r="C10" s="9">
        <v>1</v>
      </c>
      <c r="D10" s="9">
        <v>12</v>
      </c>
      <c r="E10" s="9">
        <v>5</v>
      </c>
      <c r="F10" s="9">
        <v>68</v>
      </c>
      <c r="G10" s="9">
        <v>25.1</v>
      </c>
      <c r="H10" s="13">
        <v>5.4954845947359976</v>
      </c>
      <c r="I10" s="9">
        <v>9.25</v>
      </c>
      <c r="K10" s="6" t="s">
        <v>88</v>
      </c>
      <c r="L10" s="33">
        <v>0</v>
      </c>
      <c r="M10" s="33">
        <v>20</v>
      </c>
      <c r="N10" s="33">
        <v>1</v>
      </c>
      <c r="O10" s="33">
        <v>0</v>
      </c>
      <c r="P10" s="33">
        <v>0</v>
      </c>
      <c r="Q10" s="33">
        <v>0</v>
      </c>
      <c r="R10" s="33">
        <v>0</v>
      </c>
      <c r="S10" s="33">
        <v>0</v>
      </c>
      <c r="T10" s="33">
        <v>0</v>
      </c>
    </row>
    <row r="11" spans="1:20" x14ac:dyDescent="0.2">
      <c r="A11" s="9">
        <v>0</v>
      </c>
      <c r="B11" s="9">
        <v>40</v>
      </c>
      <c r="C11" s="9">
        <v>1</v>
      </c>
      <c r="D11" s="9">
        <v>22</v>
      </c>
      <c r="E11" s="9">
        <v>1</v>
      </c>
      <c r="F11" s="9">
        <v>100</v>
      </c>
      <c r="G11" s="9">
        <v>14.6</v>
      </c>
      <c r="H11" s="9">
        <v>5.4</v>
      </c>
      <c r="I11" s="9">
        <v>9.1999999999999993</v>
      </c>
      <c r="K11" s="6" t="s">
        <v>89</v>
      </c>
      <c r="L11" s="33">
        <v>1</v>
      </c>
      <c r="M11" s="33">
        <v>56</v>
      </c>
      <c r="N11" s="33">
        <v>5</v>
      </c>
      <c r="O11" s="33">
        <v>27</v>
      </c>
      <c r="P11" s="33">
        <v>31</v>
      </c>
      <c r="Q11" s="33">
        <v>145</v>
      </c>
      <c r="R11" s="33">
        <v>30.8</v>
      </c>
      <c r="S11" s="33">
        <v>8.17</v>
      </c>
      <c r="T11" s="33">
        <v>12.96</v>
      </c>
    </row>
    <row r="12" spans="1:20" x14ac:dyDescent="0.2">
      <c r="A12" s="9">
        <v>0</v>
      </c>
      <c r="B12" s="9">
        <v>32</v>
      </c>
      <c r="C12" s="9">
        <v>3</v>
      </c>
      <c r="D12" s="9">
        <v>9</v>
      </c>
      <c r="E12" s="9">
        <v>10</v>
      </c>
      <c r="F12" s="9">
        <v>51</v>
      </c>
      <c r="G12" s="9">
        <v>23</v>
      </c>
      <c r="H12" s="9">
        <v>2.69</v>
      </c>
      <c r="I12" s="9">
        <v>9.0399999999999991</v>
      </c>
    </row>
    <row r="13" spans="1:20" x14ac:dyDescent="0.2">
      <c r="A13" s="9">
        <v>0</v>
      </c>
      <c r="B13" s="9">
        <v>41</v>
      </c>
      <c r="C13" s="9">
        <v>1</v>
      </c>
      <c r="D13" s="9">
        <v>21</v>
      </c>
      <c r="E13" s="9">
        <v>2</v>
      </c>
      <c r="F13" s="9">
        <v>76</v>
      </c>
      <c r="G13" s="9">
        <v>20.5</v>
      </c>
      <c r="H13" s="13">
        <v>5.4954845947359976</v>
      </c>
      <c r="I13" s="9">
        <v>8.6300000000000008</v>
      </c>
      <c r="K13" s="7" t="s">
        <v>81</v>
      </c>
      <c r="L13" s="15">
        <v>1</v>
      </c>
      <c r="M13" s="15">
        <v>1.9249897606927552E-2</v>
      </c>
      <c r="N13" s="38">
        <v>0.41794569067296339</v>
      </c>
      <c r="O13" s="15">
        <v>0.15397631133671735</v>
      </c>
      <c r="P13" s="15">
        <v>0.14800389483933782</v>
      </c>
      <c r="Q13" s="38">
        <v>0.19953427448697422</v>
      </c>
      <c r="R13" s="15">
        <v>0.13987958314163954</v>
      </c>
      <c r="S13" s="38">
        <v>0.36018267359355099</v>
      </c>
      <c r="T13" s="38">
        <v>0.30705786911844185</v>
      </c>
    </row>
    <row r="14" spans="1:20" x14ac:dyDescent="0.2">
      <c r="A14" s="9">
        <v>0</v>
      </c>
      <c r="B14" s="9">
        <v>42</v>
      </c>
      <c r="C14" s="9">
        <v>1</v>
      </c>
      <c r="D14" s="9">
        <v>12</v>
      </c>
      <c r="E14" s="9">
        <v>11</v>
      </c>
      <c r="F14" s="9">
        <v>51</v>
      </c>
      <c r="G14" s="9">
        <v>21.4</v>
      </c>
      <c r="H14" s="9">
        <v>2.41</v>
      </c>
      <c r="I14" s="9">
        <v>8.5</v>
      </c>
      <c r="K14" s="7" t="s">
        <v>82</v>
      </c>
      <c r="L14" s="8"/>
      <c r="M14" s="8"/>
      <c r="N14" s="8"/>
      <c r="O14" s="8"/>
      <c r="P14" s="8"/>
      <c r="Q14" s="8">
        <v>-35.090910692948214</v>
      </c>
      <c r="R14" s="8"/>
      <c r="S14" s="8">
        <v>-2.8853645947359992</v>
      </c>
      <c r="T14" s="8">
        <v>-4.8293638158516492</v>
      </c>
    </row>
    <row r="15" spans="1:20" x14ac:dyDescent="0.2">
      <c r="A15" s="9">
        <v>0</v>
      </c>
      <c r="B15" s="9">
        <v>47</v>
      </c>
      <c r="C15" s="9">
        <v>1</v>
      </c>
      <c r="D15" s="9">
        <v>13</v>
      </c>
      <c r="E15" s="9">
        <v>25</v>
      </c>
      <c r="F15" s="9">
        <v>51</v>
      </c>
      <c r="G15" s="9">
        <v>23.8</v>
      </c>
      <c r="H15" s="9">
        <v>3.74</v>
      </c>
      <c r="I15" s="9">
        <v>8.4</v>
      </c>
      <c r="K15" s="7" t="s">
        <v>83</v>
      </c>
      <c r="L15" s="8"/>
      <c r="M15" s="8"/>
      <c r="N15" s="8"/>
      <c r="O15" s="8"/>
      <c r="P15" s="8"/>
      <c r="Q15" s="8">
        <v>117.54291069294821</v>
      </c>
      <c r="R15" s="8"/>
      <c r="S15" s="8">
        <v>5.4954845947359976</v>
      </c>
      <c r="T15" s="8">
        <v>10.154483815851645</v>
      </c>
    </row>
    <row r="16" spans="1:20" x14ac:dyDescent="0.2">
      <c r="A16" s="9">
        <v>1</v>
      </c>
      <c r="B16" s="9">
        <v>33</v>
      </c>
      <c r="C16" s="9">
        <v>1</v>
      </c>
      <c r="D16" s="9">
        <v>13</v>
      </c>
      <c r="E16" s="9">
        <v>3</v>
      </c>
      <c r="F16" s="9">
        <v>52</v>
      </c>
      <c r="G16" s="9">
        <v>21.3</v>
      </c>
      <c r="H16" s="9">
        <v>2.71</v>
      </c>
      <c r="I16" s="9">
        <v>8.36</v>
      </c>
      <c r="L16" s="33"/>
      <c r="M16" s="33"/>
      <c r="N16" s="33"/>
      <c r="O16" s="33"/>
      <c r="P16" s="33"/>
      <c r="Q16" s="33"/>
      <c r="R16" s="33"/>
      <c r="S16" s="33"/>
      <c r="T16" s="33"/>
    </row>
    <row r="17" spans="1:20" x14ac:dyDescent="0.2">
      <c r="A17" s="9">
        <v>0</v>
      </c>
      <c r="B17" s="9">
        <v>47</v>
      </c>
      <c r="C17" s="9">
        <v>1</v>
      </c>
      <c r="D17" s="9">
        <v>26</v>
      </c>
      <c r="E17" s="9">
        <v>21</v>
      </c>
      <c r="F17" s="9">
        <v>100</v>
      </c>
      <c r="G17" s="9">
        <v>12.8</v>
      </c>
      <c r="H17" s="9">
        <v>4.58</v>
      </c>
      <c r="I17" s="9">
        <v>8.2200000000000006</v>
      </c>
      <c r="K17" s="6" t="s">
        <v>84</v>
      </c>
      <c r="L17" s="33">
        <v>0</v>
      </c>
      <c r="M17" s="33">
        <v>7</v>
      </c>
      <c r="N17" s="33">
        <v>7</v>
      </c>
      <c r="O17" s="33">
        <v>0</v>
      </c>
      <c r="P17" s="33">
        <v>0</v>
      </c>
      <c r="Q17" s="33">
        <v>0</v>
      </c>
      <c r="R17" s="33">
        <v>0</v>
      </c>
      <c r="S17" s="33">
        <v>0</v>
      </c>
      <c r="T17" s="33">
        <v>0</v>
      </c>
    </row>
    <row r="18" spans="1:20" x14ac:dyDescent="0.2">
      <c r="A18" s="9">
        <v>1</v>
      </c>
      <c r="B18" s="9">
        <v>43</v>
      </c>
      <c r="C18" s="9">
        <v>2</v>
      </c>
      <c r="D18" s="9">
        <v>9</v>
      </c>
      <c r="E18" s="9">
        <v>5</v>
      </c>
      <c r="F18" s="9">
        <v>60</v>
      </c>
      <c r="G18" s="9">
        <v>20.399999999999999</v>
      </c>
      <c r="H18" s="9">
        <v>4.04</v>
      </c>
      <c r="I18" s="9">
        <v>8.1999999999999993</v>
      </c>
      <c r="K18" s="6" t="s">
        <v>85</v>
      </c>
      <c r="L18" s="34">
        <v>0</v>
      </c>
      <c r="M18" s="35">
        <v>1.4E-2</v>
      </c>
      <c r="N18" s="35">
        <v>1.4E-2</v>
      </c>
      <c r="O18" s="34">
        <v>0</v>
      </c>
      <c r="P18" s="34">
        <v>0</v>
      </c>
      <c r="Q18" s="34">
        <v>0</v>
      </c>
      <c r="R18" s="34">
        <v>0</v>
      </c>
      <c r="S18" s="34">
        <v>0</v>
      </c>
      <c r="T18" s="34">
        <v>0</v>
      </c>
    </row>
    <row r="19" spans="1:20" x14ac:dyDescent="0.2">
      <c r="A19" s="9">
        <v>0</v>
      </c>
      <c r="B19" s="9">
        <v>35</v>
      </c>
      <c r="C19" s="9">
        <v>2</v>
      </c>
      <c r="D19" s="9">
        <v>10</v>
      </c>
      <c r="E19" s="9">
        <v>16</v>
      </c>
      <c r="F19" s="9">
        <v>98</v>
      </c>
      <c r="G19" s="9">
        <v>13.3</v>
      </c>
      <c r="H19" s="9">
        <v>0.97</v>
      </c>
      <c r="I19" s="9">
        <v>8.16</v>
      </c>
    </row>
    <row r="20" spans="1:20" x14ac:dyDescent="0.2">
      <c r="A20" s="9">
        <v>1</v>
      </c>
      <c r="B20" s="9">
        <v>32</v>
      </c>
      <c r="C20" s="9">
        <v>2</v>
      </c>
      <c r="D20" s="9">
        <v>11</v>
      </c>
      <c r="E20" s="9">
        <v>4</v>
      </c>
      <c r="F20" s="9">
        <v>57</v>
      </c>
      <c r="G20" s="9">
        <v>23.8</v>
      </c>
      <c r="H20" s="9">
        <v>5.44</v>
      </c>
      <c r="I20" s="9">
        <v>8.1300000000000008</v>
      </c>
      <c r="K20" s="7" t="s">
        <v>86</v>
      </c>
      <c r="L20" s="7"/>
      <c r="M20" s="9"/>
      <c r="N20" s="39">
        <v>6</v>
      </c>
      <c r="O20" s="7"/>
      <c r="P20" s="7"/>
      <c r="Q20" s="7"/>
      <c r="R20" s="7"/>
      <c r="S20" s="7"/>
      <c r="T20" s="7"/>
    </row>
    <row r="21" spans="1:20" x14ac:dyDescent="0.2">
      <c r="A21" s="9">
        <v>1</v>
      </c>
      <c r="B21" s="9">
        <v>47</v>
      </c>
      <c r="C21" s="9">
        <v>3</v>
      </c>
      <c r="D21" s="9">
        <v>9</v>
      </c>
      <c r="E21" s="9">
        <v>1</v>
      </c>
      <c r="F21" s="9">
        <v>52</v>
      </c>
      <c r="G21" s="9">
        <v>20.100000000000001</v>
      </c>
      <c r="H21" s="9">
        <v>2.54</v>
      </c>
      <c r="I21" s="9">
        <v>7.91</v>
      </c>
      <c r="K21" s="7" t="s">
        <v>87</v>
      </c>
      <c r="L21" s="7"/>
      <c r="M21" s="39">
        <v>34</v>
      </c>
      <c r="N21" s="9"/>
      <c r="O21" s="7"/>
      <c r="P21" s="7"/>
      <c r="Q21" s="7"/>
      <c r="R21" s="7"/>
      <c r="S21" s="7"/>
      <c r="T21" s="7"/>
    </row>
    <row r="22" spans="1:20" x14ac:dyDescent="0.2">
      <c r="A22" s="9">
        <v>1</v>
      </c>
      <c r="B22" s="9">
        <v>39</v>
      </c>
      <c r="C22" s="9">
        <v>2</v>
      </c>
      <c r="D22" s="9">
        <v>7</v>
      </c>
      <c r="E22" s="9">
        <v>2</v>
      </c>
      <c r="F22" s="9">
        <v>68</v>
      </c>
      <c r="G22" s="9">
        <v>13</v>
      </c>
      <c r="H22" s="9">
        <v>0.97</v>
      </c>
      <c r="I22" s="9">
        <v>7.82</v>
      </c>
    </row>
    <row r="23" spans="1:20" x14ac:dyDescent="0.2">
      <c r="A23" s="9">
        <v>0</v>
      </c>
      <c r="B23" s="9">
        <v>41</v>
      </c>
      <c r="C23" s="9">
        <v>2</v>
      </c>
      <c r="D23" s="9">
        <v>22</v>
      </c>
      <c r="E23" s="9">
        <v>17</v>
      </c>
      <c r="F23" s="9">
        <v>75</v>
      </c>
      <c r="G23" s="9">
        <v>23.6</v>
      </c>
      <c r="H23" s="9">
        <v>0</v>
      </c>
      <c r="I23" s="9">
        <v>7.82</v>
      </c>
    </row>
    <row r="24" spans="1:20" x14ac:dyDescent="0.2">
      <c r="A24" s="9">
        <v>0</v>
      </c>
      <c r="B24" s="9">
        <v>55</v>
      </c>
      <c r="C24" s="9">
        <v>1</v>
      </c>
      <c r="D24" s="9">
        <v>19</v>
      </c>
      <c r="E24" s="9">
        <v>2</v>
      </c>
      <c r="F24" s="9">
        <v>78</v>
      </c>
      <c r="G24" s="9">
        <v>15.6</v>
      </c>
      <c r="H24" s="9">
        <v>4.4000000000000004</v>
      </c>
      <c r="I24" s="9">
        <v>7.76</v>
      </c>
    </row>
    <row r="25" spans="1:20" x14ac:dyDescent="0.2">
      <c r="A25" s="9">
        <v>1</v>
      </c>
      <c r="B25" s="9">
        <v>41</v>
      </c>
      <c r="C25" s="9">
        <v>3</v>
      </c>
      <c r="D25" s="9">
        <v>7</v>
      </c>
      <c r="E25" s="9">
        <v>6</v>
      </c>
      <c r="F25" s="9">
        <v>56</v>
      </c>
      <c r="G25" s="9">
        <v>14.5</v>
      </c>
      <c r="H25" s="9">
        <v>0.37</v>
      </c>
      <c r="I25" s="9">
        <v>7.75</v>
      </c>
    </row>
    <row r="26" spans="1:20" x14ac:dyDescent="0.2">
      <c r="A26" s="9">
        <v>0</v>
      </c>
      <c r="B26" s="9">
        <v>39</v>
      </c>
      <c r="C26" s="9">
        <v>2</v>
      </c>
      <c r="D26" s="9">
        <v>16</v>
      </c>
      <c r="E26" s="9">
        <v>9</v>
      </c>
      <c r="F26" s="9">
        <v>89</v>
      </c>
      <c r="G26" s="9">
        <v>14.3</v>
      </c>
      <c r="H26" s="9">
        <v>5</v>
      </c>
      <c r="I26" s="9">
        <v>7.73</v>
      </c>
    </row>
    <row r="27" spans="1:20" x14ac:dyDescent="0.2">
      <c r="A27" s="9">
        <v>0</v>
      </c>
      <c r="B27" s="9">
        <v>45</v>
      </c>
      <c r="C27" s="9">
        <v>2</v>
      </c>
      <c r="D27" s="9">
        <v>15</v>
      </c>
      <c r="E27" s="9">
        <v>14</v>
      </c>
      <c r="F27" s="9">
        <v>51</v>
      </c>
      <c r="G27" s="9">
        <v>18.100000000000001</v>
      </c>
      <c r="H27" s="9">
        <v>1.55</v>
      </c>
      <c r="I27" s="9">
        <v>7.68</v>
      </c>
    </row>
    <row r="28" spans="1:20" x14ac:dyDescent="0.2">
      <c r="A28" s="9">
        <v>0</v>
      </c>
      <c r="B28" s="9">
        <v>33</v>
      </c>
      <c r="C28" s="9">
        <v>2</v>
      </c>
      <c r="D28" s="9">
        <v>12</v>
      </c>
      <c r="E28" s="9">
        <v>8</v>
      </c>
      <c r="F28" s="9">
        <v>58</v>
      </c>
      <c r="G28" s="9">
        <v>18.399999999999999</v>
      </c>
      <c r="H28" s="9">
        <v>3.08</v>
      </c>
      <c r="I28" s="9">
        <v>7.59</v>
      </c>
    </row>
    <row r="29" spans="1:20" x14ac:dyDescent="0.2">
      <c r="A29" s="9">
        <v>0</v>
      </c>
      <c r="B29" s="9">
        <v>46</v>
      </c>
      <c r="C29" s="9">
        <v>3</v>
      </c>
      <c r="D29" s="9">
        <v>9</v>
      </c>
      <c r="E29" s="9">
        <v>10</v>
      </c>
      <c r="F29" s="9">
        <v>60</v>
      </c>
      <c r="G29" s="9">
        <v>15.3</v>
      </c>
      <c r="H29" s="9">
        <v>1.61</v>
      </c>
      <c r="I29" s="9">
        <v>7.57</v>
      </c>
    </row>
    <row r="30" spans="1:20" x14ac:dyDescent="0.2">
      <c r="A30" s="9">
        <v>1</v>
      </c>
      <c r="B30" s="9">
        <v>34</v>
      </c>
      <c r="C30" s="9">
        <v>4</v>
      </c>
      <c r="D30" s="9">
        <v>6</v>
      </c>
      <c r="E30" s="9">
        <v>3</v>
      </c>
      <c r="F30" s="9">
        <v>27</v>
      </c>
      <c r="G30" s="9">
        <v>0</v>
      </c>
      <c r="H30" s="9">
        <v>1.98</v>
      </c>
      <c r="I30" s="9">
        <v>7.55</v>
      </c>
    </row>
    <row r="31" spans="1:20" x14ac:dyDescent="0.2">
      <c r="A31" s="9">
        <v>0</v>
      </c>
      <c r="B31" s="9">
        <v>54</v>
      </c>
      <c r="C31" s="9">
        <v>3</v>
      </c>
      <c r="D31" s="9">
        <v>21</v>
      </c>
      <c r="E31" s="9">
        <v>20</v>
      </c>
      <c r="F31" s="13">
        <v>117.54291069294821</v>
      </c>
      <c r="G31" s="9">
        <v>14.4</v>
      </c>
      <c r="H31" s="9">
        <v>0</v>
      </c>
      <c r="I31" s="9">
        <v>7.39</v>
      </c>
    </row>
    <row r="32" spans="1:20" x14ac:dyDescent="0.2">
      <c r="A32" s="9">
        <v>0</v>
      </c>
      <c r="B32" s="9">
        <v>32</v>
      </c>
      <c r="C32" s="9">
        <v>1</v>
      </c>
      <c r="D32" s="9">
        <v>16</v>
      </c>
      <c r="E32" s="9">
        <v>10</v>
      </c>
      <c r="F32" s="9">
        <v>38</v>
      </c>
      <c r="G32" s="9">
        <v>21</v>
      </c>
      <c r="H32" s="9">
        <v>0.69</v>
      </c>
      <c r="I32" s="9">
        <v>7.29</v>
      </c>
    </row>
    <row r="33" spans="1:12" x14ac:dyDescent="0.2">
      <c r="A33" s="9">
        <v>0</v>
      </c>
      <c r="B33" s="9">
        <v>50</v>
      </c>
      <c r="C33" s="9">
        <v>3</v>
      </c>
      <c r="D33" s="9">
        <v>10</v>
      </c>
      <c r="E33" s="9">
        <v>20</v>
      </c>
      <c r="F33" s="9">
        <v>80</v>
      </c>
      <c r="G33" s="9">
        <v>12.2</v>
      </c>
      <c r="H33" s="9">
        <v>0.97</v>
      </c>
      <c r="I33" s="9">
        <v>7.28</v>
      </c>
      <c r="L33" s="36"/>
    </row>
    <row r="34" spans="1:12" x14ac:dyDescent="0.2">
      <c r="A34" s="9">
        <v>0</v>
      </c>
      <c r="B34" s="9">
        <v>40</v>
      </c>
      <c r="C34" s="9">
        <v>3</v>
      </c>
      <c r="D34" s="9">
        <v>18</v>
      </c>
      <c r="E34" s="9">
        <v>14</v>
      </c>
      <c r="F34" s="9">
        <v>0</v>
      </c>
      <c r="G34" s="9">
        <v>6.6</v>
      </c>
      <c r="H34" s="9">
        <v>3.33</v>
      </c>
      <c r="I34" s="9">
        <v>7.04</v>
      </c>
      <c r="L34" s="36"/>
    </row>
    <row r="35" spans="1:12" x14ac:dyDescent="0.2">
      <c r="A35" s="9">
        <v>1</v>
      </c>
      <c r="B35" s="9">
        <v>28</v>
      </c>
      <c r="C35" s="9">
        <v>1</v>
      </c>
      <c r="D35" s="9">
        <v>0</v>
      </c>
      <c r="E35" s="9">
        <v>2</v>
      </c>
      <c r="F35" s="9">
        <v>28</v>
      </c>
      <c r="G35" s="9">
        <v>0</v>
      </c>
      <c r="H35" s="9">
        <v>2.2799999999999998</v>
      </c>
      <c r="I35" s="9">
        <v>7.04</v>
      </c>
    </row>
    <row r="36" spans="1:12" x14ac:dyDescent="0.2">
      <c r="A36" s="9">
        <v>1</v>
      </c>
      <c r="B36" s="9">
        <v>39</v>
      </c>
      <c r="C36" s="9">
        <v>1</v>
      </c>
      <c r="D36" s="9">
        <v>19</v>
      </c>
      <c r="E36" s="9">
        <v>15</v>
      </c>
      <c r="F36" s="9">
        <v>60</v>
      </c>
      <c r="G36" s="9">
        <v>27.1</v>
      </c>
      <c r="H36" s="9">
        <v>0</v>
      </c>
      <c r="I36" s="9">
        <v>6.67</v>
      </c>
    </row>
    <row r="37" spans="1:12" x14ac:dyDescent="0.2">
      <c r="A37" s="9">
        <v>1</v>
      </c>
      <c r="B37" s="9">
        <v>53</v>
      </c>
      <c r="C37" s="9">
        <v>4</v>
      </c>
      <c r="D37" s="9">
        <v>5</v>
      </c>
      <c r="E37" s="9">
        <v>29</v>
      </c>
      <c r="F37" s="9">
        <v>78</v>
      </c>
      <c r="G37" s="9">
        <v>17.3</v>
      </c>
      <c r="H37" s="13">
        <v>5.4954845947359976</v>
      </c>
      <c r="I37" s="9">
        <v>6.56</v>
      </c>
    </row>
    <row r="38" spans="1:12" x14ac:dyDescent="0.2">
      <c r="A38" s="9">
        <v>0</v>
      </c>
      <c r="B38" s="9">
        <v>40</v>
      </c>
      <c r="C38" s="9">
        <v>1</v>
      </c>
      <c r="D38" s="9">
        <v>10</v>
      </c>
      <c r="E38" s="9">
        <v>15</v>
      </c>
      <c r="F38" s="9">
        <v>45</v>
      </c>
      <c r="G38" s="9">
        <v>18.8</v>
      </c>
      <c r="H38" s="9">
        <v>2.0099999999999998</v>
      </c>
      <c r="I38" s="9">
        <v>6.45</v>
      </c>
    </row>
    <row r="39" spans="1:12" x14ac:dyDescent="0.2">
      <c r="A39" s="9">
        <v>1</v>
      </c>
      <c r="B39" s="9">
        <v>45</v>
      </c>
      <c r="C39" s="9">
        <v>3</v>
      </c>
      <c r="D39" s="9">
        <v>5</v>
      </c>
      <c r="E39" s="9">
        <v>17</v>
      </c>
      <c r="F39" s="9">
        <v>94</v>
      </c>
      <c r="G39" s="9">
        <v>10.5</v>
      </c>
      <c r="H39" s="9">
        <v>3.61</v>
      </c>
      <c r="I39" s="9">
        <v>6.26</v>
      </c>
    </row>
    <row r="40" spans="1:12" x14ac:dyDescent="0.2">
      <c r="A40" s="9">
        <v>0</v>
      </c>
      <c r="B40" s="9">
        <v>39</v>
      </c>
      <c r="C40" s="9">
        <v>1</v>
      </c>
      <c r="D40" s="9">
        <v>16</v>
      </c>
      <c r="E40" s="9">
        <v>4</v>
      </c>
      <c r="F40" s="9">
        <v>52</v>
      </c>
      <c r="G40" s="9">
        <v>20</v>
      </c>
      <c r="H40" s="9">
        <v>4.16</v>
      </c>
      <c r="I40" s="9">
        <v>6.24</v>
      </c>
    </row>
    <row r="41" spans="1:12" x14ac:dyDescent="0.2">
      <c r="A41" s="9">
        <v>0</v>
      </c>
      <c r="B41" s="9">
        <v>50</v>
      </c>
      <c r="C41" s="9">
        <v>2</v>
      </c>
      <c r="D41" s="9">
        <v>16</v>
      </c>
      <c r="E41" s="9">
        <v>14</v>
      </c>
      <c r="F41" s="9">
        <v>71</v>
      </c>
      <c r="G41" s="9">
        <v>11.1</v>
      </c>
      <c r="H41" s="9">
        <v>1.66</v>
      </c>
      <c r="I41" s="9">
        <v>6.22</v>
      </c>
    </row>
    <row r="42" spans="1:12" x14ac:dyDescent="0.2">
      <c r="A42" s="9">
        <v>0</v>
      </c>
      <c r="B42" s="9">
        <v>35</v>
      </c>
      <c r="C42" s="9">
        <v>1</v>
      </c>
      <c r="D42" s="9">
        <v>15</v>
      </c>
      <c r="E42" s="9">
        <v>11</v>
      </c>
      <c r="F42" s="9">
        <v>40</v>
      </c>
      <c r="G42" s="9">
        <v>18.5</v>
      </c>
      <c r="H42" s="9">
        <v>1.21</v>
      </c>
      <c r="I42" s="9">
        <v>6.19</v>
      </c>
    </row>
    <row r="43" spans="1:12" x14ac:dyDescent="0.2">
      <c r="A43" s="9">
        <v>0</v>
      </c>
      <c r="B43" s="9">
        <v>36</v>
      </c>
      <c r="C43" s="9">
        <v>3</v>
      </c>
      <c r="D43" s="9">
        <v>11</v>
      </c>
      <c r="E43" s="9">
        <v>12</v>
      </c>
      <c r="F43" s="9">
        <v>44</v>
      </c>
      <c r="G43" s="9">
        <v>14.7</v>
      </c>
      <c r="H43" s="9">
        <v>0.45</v>
      </c>
      <c r="I43" s="9">
        <v>6.02</v>
      </c>
    </row>
    <row r="44" spans="1:12" x14ac:dyDescent="0.2">
      <c r="A44" s="9">
        <v>1</v>
      </c>
      <c r="B44" s="9">
        <v>33</v>
      </c>
      <c r="C44" s="9">
        <v>2</v>
      </c>
      <c r="D44" s="9">
        <v>2</v>
      </c>
      <c r="E44" s="9">
        <v>14</v>
      </c>
      <c r="F44" s="9">
        <v>35</v>
      </c>
      <c r="G44" s="9">
        <v>22.9</v>
      </c>
      <c r="H44" s="9">
        <v>2.12</v>
      </c>
      <c r="I44" s="9">
        <v>5.89</v>
      </c>
    </row>
    <row r="45" spans="1:12" x14ac:dyDescent="0.2">
      <c r="A45" s="9">
        <v>1</v>
      </c>
      <c r="B45" s="9">
        <v>39</v>
      </c>
      <c r="C45" s="9">
        <v>1</v>
      </c>
      <c r="D45" s="9">
        <v>6</v>
      </c>
      <c r="E45" s="9">
        <v>19</v>
      </c>
      <c r="F45" s="9">
        <v>42</v>
      </c>
      <c r="G45" s="9">
        <v>19.899999999999999</v>
      </c>
      <c r="H45" s="9">
        <v>2.54</v>
      </c>
      <c r="I45" s="9">
        <v>5.82</v>
      </c>
    </row>
    <row r="46" spans="1:12" x14ac:dyDescent="0.2">
      <c r="A46" s="9">
        <v>1</v>
      </c>
      <c r="B46" s="9">
        <v>33</v>
      </c>
      <c r="C46" s="9">
        <v>2</v>
      </c>
      <c r="D46" s="9">
        <v>10</v>
      </c>
      <c r="E46" s="9">
        <v>13</v>
      </c>
      <c r="F46" s="9">
        <v>57</v>
      </c>
      <c r="G46" s="9">
        <v>20.9</v>
      </c>
      <c r="H46" s="13">
        <v>5.4954845947359976</v>
      </c>
      <c r="I46" s="9">
        <v>5.8</v>
      </c>
    </row>
    <row r="47" spans="1:12" x14ac:dyDescent="0.2">
      <c r="A47" s="9">
        <v>0</v>
      </c>
      <c r="B47" s="9">
        <v>39</v>
      </c>
      <c r="C47" s="9">
        <v>1</v>
      </c>
      <c r="D47" s="9">
        <v>17</v>
      </c>
      <c r="E47" s="9">
        <v>20</v>
      </c>
      <c r="F47" s="9">
        <v>60</v>
      </c>
      <c r="G47" s="9">
        <v>13.7</v>
      </c>
      <c r="H47" s="9">
        <v>2.4500000000000002</v>
      </c>
      <c r="I47" s="9">
        <v>5.77</v>
      </c>
    </row>
    <row r="48" spans="1:12" x14ac:dyDescent="0.2">
      <c r="A48" s="9">
        <v>0</v>
      </c>
      <c r="B48" s="9">
        <v>37</v>
      </c>
      <c r="C48" s="9">
        <v>3</v>
      </c>
      <c r="D48" s="9">
        <v>5</v>
      </c>
      <c r="E48" s="9">
        <v>17</v>
      </c>
      <c r="F48" s="9">
        <v>29</v>
      </c>
      <c r="G48" s="9">
        <v>24.6</v>
      </c>
      <c r="H48" s="9">
        <v>1.41</v>
      </c>
      <c r="I48" s="9">
        <v>5.73</v>
      </c>
    </row>
    <row r="49" spans="1:9" x14ac:dyDescent="0.2">
      <c r="A49" s="9">
        <v>0</v>
      </c>
      <c r="B49" s="9">
        <v>39</v>
      </c>
      <c r="C49" s="9">
        <v>2</v>
      </c>
      <c r="D49" s="9">
        <v>9</v>
      </c>
      <c r="E49" s="9">
        <v>16</v>
      </c>
      <c r="F49" s="9">
        <v>56</v>
      </c>
      <c r="G49" s="9">
        <v>18.7</v>
      </c>
      <c r="H49" s="9">
        <v>4.76</v>
      </c>
      <c r="I49" s="9">
        <v>5.71</v>
      </c>
    </row>
    <row r="50" spans="1:9" x14ac:dyDescent="0.2">
      <c r="A50" s="9">
        <v>0</v>
      </c>
      <c r="B50" s="9">
        <v>26</v>
      </c>
      <c r="C50" s="9">
        <v>2</v>
      </c>
      <c r="D50" s="9">
        <v>6</v>
      </c>
      <c r="E50" s="9">
        <v>7</v>
      </c>
      <c r="F50" s="9">
        <v>45</v>
      </c>
      <c r="G50" s="9">
        <v>26</v>
      </c>
      <c r="H50" s="13">
        <v>5.4954845947359976</v>
      </c>
      <c r="I50" s="9">
        <v>5.65</v>
      </c>
    </row>
    <row r="51" spans="1:9" x14ac:dyDescent="0.2">
      <c r="A51" s="9">
        <v>0</v>
      </c>
      <c r="B51" s="9">
        <v>28</v>
      </c>
      <c r="C51" s="9">
        <v>4</v>
      </c>
      <c r="D51" s="9">
        <v>0</v>
      </c>
      <c r="E51" s="9">
        <v>7</v>
      </c>
      <c r="F51" s="9">
        <v>29</v>
      </c>
      <c r="G51" s="9">
        <v>24.2</v>
      </c>
      <c r="H51" s="9">
        <v>1.42</v>
      </c>
      <c r="I51" s="9">
        <v>5.59</v>
      </c>
    </row>
    <row r="52" spans="1:9" x14ac:dyDescent="0.2">
      <c r="A52" s="9">
        <v>0</v>
      </c>
      <c r="B52" s="9">
        <v>45</v>
      </c>
      <c r="C52" s="9">
        <v>2</v>
      </c>
      <c r="D52" s="9">
        <v>18</v>
      </c>
      <c r="E52" s="9">
        <v>19</v>
      </c>
      <c r="F52" s="9">
        <v>35</v>
      </c>
      <c r="G52" s="9">
        <v>17.399999999999999</v>
      </c>
      <c r="H52" s="9">
        <v>0.55000000000000004</v>
      </c>
      <c r="I52" s="9">
        <v>5.54</v>
      </c>
    </row>
    <row r="53" spans="1:9" x14ac:dyDescent="0.2">
      <c r="A53" s="9">
        <v>1</v>
      </c>
      <c r="B53" s="9">
        <v>31</v>
      </c>
      <c r="C53" s="9">
        <v>3</v>
      </c>
      <c r="D53" s="9">
        <v>9</v>
      </c>
      <c r="E53" s="9">
        <v>7</v>
      </c>
      <c r="F53" s="9">
        <v>59</v>
      </c>
      <c r="G53" s="9">
        <v>14.6</v>
      </c>
      <c r="H53" s="9">
        <v>3.11</v>
      </c>
      <c r="I53" s="9">
        <v>5.5</v>
      </c>
    </row>
    <row r="54" spans="1:9" x14ac:dyDescent="0.2">
      <c r="A54" s="9">
        <v>0</v>
      </c>
      <c r="B54" s="9">
        <v>48</v>
      </c>
      <c r="C54" s="9">
        <v>1</v>
      </c>
      <c r="D54" s="9">
        <v>22</v>
      </c>
      <c r="E54" s="9">
        <v>15</v>
      </c>
      <c r="F54" s="9">
        <v>100</v>
      </c>
      <c r="G54" s="9">
        <v>9.1</v>
      </c>
      <c r="H54" s="9">
        <v>3.7</v>
      </c>
      <c r="I54" s="9">
        <v>5.4</v>
      </c>
    </row>
    <row r="55" spans="1:9" x14ac:dyDescent="0.2">
      <c r="A55" s="9">
        <v>0</v>
      </c>
      <c r="B55" s="9">
        <v>44</v>
      </c>
      <c r="C55" s="9">
        <v>2</v>
      </c>
      <c r="D55" s="9">
        <v>18</v>
      </c>
      <c r="E55" s="9">
        <v>4</v>
      </c>
      <c r="F55" s="9">
        <v>74</v>
      </c>
      <c r="G55" s="9">
        <v>13.4</v>
      </c>
      <c r="H55" s="9">
        <v>4.5199999999999996</v>
      </c>
      <c r="I55" s="9">
        <v>5.39</v>
      </c>
    </row>
    <row r="56" spans="1:9" x14ac:dyDescent="0.2">
      <c r="A56" s="9">
        <v>0</v>
      </c>
      <c r="B56" s="9">
        <v>31</v>
      </c>
      <c r="C56" s="9">
        <v>1</v>
      </c>
      <c r="D56" s="9">
        <v>12</v>
      </c>
      <c r="E56" s="9">
        <v>4</v>
      </c>
      <c r="F56" s="9">
        <v>31</v>
      </c>
      <c r="G56" s="9">
        <v>23.7</v>
      </c>
      <c r="H56" s="9">
        <v>2.06</v>
      </c>
      <c r="I56" s="9">
        <v>5.29</v>
      </c>
    </row>
    <row r="57" spans="1:9" x14ac:dyDescent="0.2">
      <c r="A57" s="9">
        <v>1</v>
      </c>
      <c r="B57" s="9">
        <v>34</v>
      </c>
      <c r="C57" s="9">
        <v>1</v>
      </c>
      <c r="D57" s="9">
        <v>15</v>
      </c>
      <c r="E57" s="9">
        <v>2</v>
      </c>
      <c r="F57" s="9">
        <v>39</v>
      </c>
      <c r="G57" s="9">
        <v>24.7</v>
      </c>
      <c r="H57" s="9">
        <v>4.37</v>
      </c>
      <c r="I57" s="9">
        <v>5.26</v>
      </c>
    </row>
    <row r="58" spans="1:9" x14ac:dyDescent="0.2">
      <c r="A58" s="9">
        <v>1</v>
      </c>
      <c r="B58" s="9">
        <v>52</v>
      </c>
      <c r="C58" s="9">
        <v>5</v>
      </c>
      <c r="D58" s="9">
        <v>9</v>
      </c>
      <c r="E58" s="9">
        <v>0</v>
      </c>
      <c r="F58" s="9">
        <v>70</v>
      </c>
      <c r="G58" s="9">
        <v>9.4</v>
      </c>
      <c r="H58" s="9">
        <v>1.33</v>
      </c>
      <c r="I58" s="9">
        <v>5.25</v>
      </c>
    </row>
    <row r="59" spans="1:9" x14ac:dyDescent="0.2">
      <c r="A59" s="9">
        <v>0</v>
      </c>
      <c r="B59" s="9">
        <v>41</v>
      </c>
      <c r="C59" s="9">
        <v>1</v>
      </c>
      <c r="D59" s="9">
        <v>19</v>
      </c>
      <c r="E59" s="9">
        <v>1</v>
      </c>
      <c r="F59" s="9">
        <v>96</v>
      </c>
      <c r="G59" s="9">
        <v>7.8</v>
      </c>
      <c r="H59" s="9">
        <v>2.25</v>
      </c>
      <c r="I59" s="9">
        <v>5.23</v>
      </c>
    </row>
    <row r="60" spans="1:9" x14ac:dyDescent="0.2">
      <c r="A60" s="9">
        <v>1</v>
      </c>
      <c r="B60" s="9">
        <v>27</v>
      </c>
      <c r="C60" s="9">
        <v>1</v>
      </c>
      <c r="D60" s="9">
        <v>9</v>
      </c>
      <c r="E60" s="9">
        <v>6</v>
      </c>
      <c r="F60" s="9">
        <v>45</v>
      </c>
      <c r="G60" s="9">
        <v>17.8</v>
      </c>
      <c r="H60" s="9">
        <v>2.85</v>
      </c>
      <c r="I60" s="9">
        <v>5.16</v>
      </c>
    </row>
    <row r="61" spans="1:9" x14ac:dyDescent="0.2">
      <c r="A61" s="9">
        <v>0</v>
      </c>
      <c r="B61" s="9">
        <v>47</v>
      </c>
      <c r="C61" s="9">
        <v>1</v>
      </c>
      <c r="D61" s="9">
        <v>15</v>
      </c>
      <c r="E61" s="9">
        <v>1</v>
      </c>
      <c r="F61" s="9">
        <v>30</v>
      </c>
      <c r="G61" s="9">
        <v>24.5</v>
      </c>
      <c r="H61" s="9">
        <v>2.21</v>
      </c>
      <c r="I61" s="9">
        <v>5.14</v>
      </c>
    </row>
    <row r="62" spans="1:9" x14ac:dyDescent="0.2">
      <c r="A62" s="9">
        <v>1</v>
      </c>
      <c r="B62" s="9">
        <v>44</v>
      </c>
      <c r="C62" s="9">
        <v>3</v>
      </c>
      <c r="D62" s="9">
        <v>8</v>
      </c>
      <c r="E62" s="9">
        <v>10</v>
      </c>
      <c r="F62" s="9">
        <v>88</v>
      </c>
      <c r="G62" s="9">
        <v>6.1</v>
      </c>
      <c r="H62" s="9">
        <v>0.28000000000000003</v>
      </c>
      <c r="I62" s="9">
        <v>5.08</v>
      </c>
    </row>
    <row r="63" spans="1:9" x14ac:dyDescent="0.2">
      <c r="A63" s="9">
        <v>1</v>
      </c>
      <c r="B63" s="9">
        <v>23</v>
      </c>
      <c r="C63" s="9">
        <v>4</v>
      </c>
      <c r="D63" s="9">
        <v>0</v>
      </c>
      <c r="E63" s="9">
        <v>4</v>
      </c>
      <c r="F63" s="9">
        <v>32</v>
      </c>
      <c r="G63" s="9">
        <v>18.399999999999999</v>
      </c>
      <c r="H63" s="9">
        <v>0.82</v>
      </c>
      <c r="I63" s="9">
        <v>5.07</v>
      </c>
    </row>
    <row r="64" spans="1:9" x14ac:dyDescent="0.2">
      <c r="A64" s="9">
        <v>0</v>
      </c>
      <c r="B64" s="9">
        <v>26</v>
      </c>
      <c r="C64" s="9">
        <v>3</v>
      </c>
      <c r="D64" s="9">
        <v>2</v>
      </c>
      <c r="E64" s="9">
        <v>1</v>
      </c>
      <c r="F64" s="9">
        <v>37</v>
      </c>
      <c r="G64" s="9">
        <v>14.2</v>
      </c>
      <c r="H64" s="9">
        <v>0.2</v>
      </c>
      <c r="I64" s="9">
        <v>5.05</v>
      </c>
    </row>
    <row r="65" spans="1:9" x14ac:dyDescent="0.2">
      <c r="A65" s="9">
        <v>0</v>
      </c>
      <c r="B65" s="9">
        <v>31</v>
      </c>
      <c r="C65" s="9">
        <v>1</v>
      </c>
      <c r="D65" s="9">
        <v>8</v>
      </c>
      <c r="E65" s="9">
        <v>3</v>
      </c>
      <c r="F65" s="9">
        <v>41</v>
      </c>
      <c r="G65" s="9">
        <v>12.6</v>
      </c>
      <c r="H65" s="9">
        <v>0.13</v>
      </c>
      <c r="I65" s="9">
        <v>5.03</v>
      </c>
    </row>
    <row r="66" spans="1:9" x14ac:dyDescent="0.2">
      <c r="A66" s="9">
        <v>1</v>
      </c>
      <c r="B66" s="9">
        <v>41</v>
      </c>
      <c r="C66" s="9">
        <v>3</v>
      </c>
      <c r="D66" s="9">
        <v>17</v>
      </c>
      <c r="E66" s="9">
        <v>12</v>
      </c>
      <c r="F66" s="9">
        <v>0</v>
      </c>
      <c r="G66" s="9">
        <v>9.3000000000000007</v>
      </c>
      <c r="H66" s="9">
        <v>0.97</v>
      </c>
      <c r="I66" s="9">
        <v>5.01</v>
      </c>
    </row>
    <row r="67" spans="1:9" x14ac:dyDescent="0.2">
      <c r="A67" s="9">
        <v>0</v>
      </c>
      <c r="B67" s="9">
        <v>38</v>
      </c>
      <c r="C67" s="9">
        <v>1</v>
      </c>
      <c r="D67" s="9">
        <v>21</v>
      </c>
      <c r="E67" s="9">
        <v>16</v>
      </c>
      <c r="F67" s="9">
        <v>58</v>
      </c>
      <c r="G67" s="9">
        <v>16.5</v>
      </c>
      <c r="H67" s="9">
        <v>4.58</v>
      </c>
      <c r="I67" s="9">
        <v>4.99</v>
      </c>
    </row>
    <row r="68" spans="1:9" x14ac:dyDescent="0.2">
      <c r="A68" s="9">
        <v>0</v>
      </c>
      <c r="B68" s="9">
        <v>28</v>
      </c>
      <c r="C68" s="9">
        <v>2</v>
      </c>
      <c r="D68" s="9">
        <v>5</v>
      </c>
      <c r="E68" s="9">
        <v>9</v>
      </c>
      <c r="F68" s="9">
        <v>34</v>
      </c>
      <c r="G68" s="9">
        <v>23.8</v>
      </c>
      <c r="H68" s="9">
        <v>3.1</v>
      </c>
      <c r="I68" s="9">
        <v>4.99</v>
      </c>
    </row>
    <row r="69" spans="1:9" x14ac:dyDescent="0.2">
      <c r="A69" s="9">
        <v>0</v>
      </c>
      <c r="B69" s="9">
        <v>51</v>
      </c>
      <c r="C69" s="9">
        <v>2</v>
      </c>
      <c r="D69" s="9">
        <v>22</v>
      </c>
      <c r="E69" s="9">
        <v>23</v>
      </c>
      <c r="F69" s="13">
        <v>117.54291069294821</v>
      </c>
      <c r="G69" s="9">
        <v>7.6</v>
      </c>
      <c r="H69" s="9">
        <v>4.1399999999999997</v>
      </c>
      <c r="I69" s="9">
        <v>4.9800000000000004</v>
      </c>
    </row>
    <row r="70" spans="1:9" x14ac:dyDescent="0.2">
      <c r="A70" s="9">
        <v>0</v>
      </c>
      <c r="B70" s="9">
        <v>31</v>
      </c>
      <c r="C70" s="9">
        <v>1</v>
      </c>
      <c r="D70" s="9">
        <v>11</v>
      </c>
      <c r="E70" s="9">
        <v>12</v>
      </c>
      <c r="F70" s="9">
        <v>45</v>
      </c>
      <c r="G70" s="9">
        <v>17</v>
      </c>
      <c r="H70" s="9">
        <v>2.74</v>
      </c>
      <c r="I70" s="9">
        <v>4.91</v>
      </c>
    </row>
    <row r="71" spans="1:9" x14ac:dyDescent="0.2">
      <c r="A71" s="9">
        <v>0</v>
      </c>
      <c r="B71" s="9">
        <v>52</v>
      </c>
      <c r="C71" s="9">
        <v>2</v>
      </c>
      <c r="D71" s="9">
        <v>12</v>
      </c>
      <c r="E71" s="9">
        <v>16</v>
      </c>
      <c r="F71" s="9">
        <v>76</v>
      </c>
      <c r="G71" s="9">
        <v>7.7</v>
      </c>
      <c r="H71" s="9">
        <v>0.99</v>
      </c>
      <c r="I71" s="9">
        <v>4.8600000000000003</v>
      </c>
    </row>
    <row r="72" spans="1:9" x14ac:dyDescent="0.2">
      <c r="A72" s="9">
        <v>0</v>
      </c>
      <c r="B72" s="9">
        <v>27</v>
      </c>
      <c r="C72" s="9">
        <v>1</v>
      </c>
      <c r="D72" s="9">
        <v>11</v>
      </c>
      <c r="E72" s="9">
        <v>8</v>
      </c>
      <c r="F72" s="9">
        <v>56</v>
      </c>
      <c r="G72" s="9">
        <v>16.899999999999999</v>
      </c>
      <c r="H72" s="9">
        <v>4.6399999999999997</v>
      </c>
      <c r="I72" s="9">
        <v>4.83</v>
      </c>
    </row>
    <row r="73" spans="1:9" x14ac:dyDescent="0.2">
      <c r="A73" s="9">
        <v>0</v>
      </c>
      <c r="B73" s="9">
        <v>36</v>
      </c>
      <c r="C73" s="9">
        <v>3</v>
      </c>
      <c r="D73" s="9">
        <v>13</v>
      </c>
      <c r="E73" s="9">
        <v>3</v>
      </c>
      <c r="F73" s="9">
        <v>39</v>
      </c>
      <c r="G73" s="9">
        <v>19.2</v>
      </c>
      <c r="H73" s="9">
        <v>2.8</v>
      </c>
      <c r="I73" s="9">
        <v>4.6900000000000004</v>
      </c>
    </row>
    <row r="74" spans="1:9" x14ac:dyDescent="0.2">
      <c r="A74" s="9">
        <v>0</v>
      </c>
      <c r="B74" s="9">
        <v>43</v>
      </c>
      <c r="C74" s="9">
        <v>1</v>
      </c>
      <c r="D74" s="9">
        <v>25</v>
      </c>
      <c r="E74" s="9">
        <v>16</v>
      </c>
      <c r="F74" s="9">
        <v>0</v>
      </c>
      <c r="G74" s="9">
        <v>2.6</v>
      </c>
      <c r="H74" s="9">
        <v>1.64</v>
      </c>
      <c r="I74" s="9">
        <v>4.66</v>
      </c>
    </row>
    <row r="75" spans="1:9" x14ac:dyDescent="0.2">
      <c r="A75" s="9">
        <v>0</v>
      </c>
      <c r="B75" s="9">
        <v>41</v>
      </c>
      <c r="C75" s="9">
        <v>3</v>
      </c>
      <c r="D75" s="9">
        <v>16</v>
      </c>
      <c r="E75" s="9">
        <v>22</v>
      </c>
      <c r="F75" s="13">
        <v>117.54291069294821</v>
      </c>
      <c r="G75" s="9">
        <v>4.4000000000000004</v>
      </c>
      <c r="H75" s="9">
        <v>1.28</v>
      </c>
      <c r="I75" s="9">
        <v>4.66</v>
      </c>
    </row>
    <row r="76" spans="1:9" x14ac:dyDescent="0.2">
      <c r="A76" s="9">
        <v>1</v>
      </c>
      <c r="B76" s="9">
        <v>27</v>
      </c>
      <c r="C76" s="9">
        <v>3</v>
      </c>
      <c r="D76" s="9">
        <v>3</v>
      </c>
      <c r="E76" s="9">
        <v>4</v>
      </c>
      <c r="F76" s="9">
        <v>45</v>
      </c>
      <c r="G76" s="9">
        <v>11</v>
      </c>
      <c r="H76" s="9">
        <v>0.28999999999999998</v>
      </c>
      <c r="I76" s="9">
        <v>4.66</v>
      </c>
    </row>
    <row r="77" spans="1:9" x14ac:dyDescent="0.2">
      <c r="A77" s="9">
        <v>1</v>
      </c>
      <c r="B77" s="9">
        <v>41</v>
      </c>
      <c r="C77" s="9">
        <v>3</v>
      </c>
      <c r="D77" s="9">
        <v>18</v>
      </c>
      <c r="E77" s="9">
        <v>6</v>
      </c>
      <c r="F77" s="9">
        <v>71</v>
      </c>
      <c r="G77" s="9">
        <v>15.7</v>
      </c>
      <c r="H77" s="13">
        <v>5.4954845947359976</v>
      </c>
      <c r="I77" s="9">
        <v>4.58</v>
      </c>
    </row>
    <row r="78" spans="1:9" x14ac:dyDescent="0.2">
      <c r="A78" s="9">
        <v>0</v>
      </c>
      <c r="B78" s="9">
        <v>32</v>
      </c>
      <c r="C78" s="9">
        <v>2</v>
      </c>
      <c r="D78" s="9">
        <v>12</v>
      </c>
      <c r="E78" s="9">
        <v>1</v>
      </c>
      <c r="F78" s="9">
        <v>54</v>
      </c>
      <c r="G78" s="9">
        <v>14.4</v>
      </c>
      <c r="H78" s="9">
        <v>3.2</v>
      </c>
      <c r="I78" s="9">
        <v>4.58</v>
      </c>
    </row>
    <row r="79" spans="1:9" x14ac:dyDescent="0.2">
      <c r="A79" s="9">
        <v>0</v>
      </c>
      <c r="B79" s="9">
        <v>43</v>
      </c>
      <c r="C79" s="9">
        <v>2</v>
      </c>
      <c r="D79" s="9">
        <v>6</v>
      </c>
      <c r="E79" s="9">
        <v>24</v>
      </c>
      <c r="F79" s="9">
        <v>54</v>
      </c>
      <c r="G79" s="9">
        <v>9.6</v>
      </c>
      <c r="H79" s="9">
        <v>0.62</v>
      </c>
      <c r="I79" s="9">
        <v>4.5599999999999996</v>
      </c>
    </row>
    <row r="80" spans="1:9" x14ac:dyDescent="0.2">
      <c r="A80" s="9">
        <v>0</v>
      </c>
      <c r="B80" s="9">
        <v>40</v>
      </c>
      <c r="C80" s="9">
        <v>3</v>
      </c>
      <c r="D80" s="9">
        <v>17</v>
      </c>
      <c r="E80" s="9">
        <v>11</v>
      </c>
      <c r="F80" s="9">
        <v>116</v>
      </c>
      <c r="G80" s="9">
        <v>6</v>
      </c>
      <c r="H80" s="9">
        <v>2.56</v>
      </c>
      <c r="I80" s="9">
        <v>4.4000000000000004</v>
      </c>
    </row>
    <row r="81" spans="1:9" x14ac:dyDescent="0.2">
      <c r="A81" s="9">
        <v>1</v>
      </c>
      <c r="B81" s="9">
        <v>38</v>
      </c>
      <c r="C81" s="9">
        <v>3</v>
      </c>
      <c r="D81" s="9">
        <v>12</v>
      </c>
      <c r="E81" s="9">
        <v>14</v>
      </c>
      <c r="F81" s="9">
        <v>63</v>
      </c>
      <c r="G81" s="9">
        <v>16</v>
      </c>
      <c r="H81" s="13">
        <v>5.4954845947359976</v>
      </c>
      <c r="I81" s="9">
        <v>4.3600000000000003</v>
      </c>
    </row>
    <row r="82" spans="1:9" x14ac:dyDescent="0.2">
      <c r="A82" s="9">
        <v>0</v>
      </c>
      <c r="B82" s="9">
        <v>39</v>
      </c>
      <c r="C82" s="9">
        <v>1</v>
      </c>
      <c r="D82" s="9">
        <v>19</v>
      </c>
      <c r="E82" s="9">
        <v>5</v>
      </c>
      <c r="F82" s="9">
        <v>48</v>
      </c>
      <c r="G82" s="9">
        <v>13.1</v>
      </c>
      <c r="H82" s="9">
        <v>1.93</v>
      </c>
      <c r="I82" s="9">
        <v>4.3600000000000003</v>
      </c>
    </row>
    <row r="83" spans="1:9" x14ac:dyDescent="0.2">
      <c r="A83" s="9">
        <v>0</v>
      </c>
      <c r="B83" s="9">
        <v>34</v>
      </c>
      <c r="C83" s="9">
        <v>1</v>
      </c>
      <c r="D83" s="9">
        <v>3</v>
      </c>
      <c r="E83" s="9">
        <v>11</v>
      </c>
      <c r="F83" s="9">
        <v>27</v>
      </c>
      <c r="G83" s="9">
        <v>21.3</v>
      </c>
      <c r="H83" s="9">
        <v>1.4</v>
      </c>
      <c r="I83" s="9">
        <v>4.3499999999999996</v>
      </c>
    </row>
    <row r="84" spans="1:9" x14ac:dyDescent="0.2">
      <c r="A84" s="9">
        <v>0</v>
      </c>
      <c r="B84" s="9">
        <v>43</v>
      </c>
      <c r="C84" s="9">
        <v>1</v>
      </c>
      <c r="D84" s="9">
        <v>23</v>
      </c>
      <c r="E84" s="9">
        <v>19</v>
      </c>
      <c r="F84" s="9">
        <v>72</v>
      </c>
      <c r="G84" s="9">
        <v>7.6</v>
      </c>
      <c r="H84" s="9">
        <v>1.18</v>
      </c>
      <c r="I84" s="9">
        <v>4.29</v>
      </c>
    </row>
    <row r="85" spans="1:9" x14ac:dyDescent="0.2">
      <c r="A85" s="9">
        <v>0</v>
      </c>
      <c r="B85" s="9">
        <v>29</v>
      </c>
      <c r="C85" s="9">
        <v>2</v>
      </c>
      <c r="D85" s="9">
        <v>10</v>
      </c>
      <c r="E85" s="9">
        <v>8</v>
      </c>
      <c r="F85" s="9">
        <v>44</v>
      </c>
      <c r="G85" s="9">
        <v>18.100000000000001</v>
      </c>
      <c r="H85" s="9">
        <v>3.7</v>
      </c>
      <c r="I85" s="9">
        <v>4.26</v>
      </c>
    </row>
    <row r="86" spans="1:9" x14ac:dyDescent="0.2">
      <c r="A86" s="9">
        <v>0</v>
      </c>
      <c r="B86" s="9">
        <v>38</v>
      </c>
      <c r="C86" s="9">
        <v>1</v>
      </c>
      <c r="D86" s="9">
        <v>5</v>
      </c>
      <c r="E86" s="9">
        <v>5</v>
      </c>
      <c r="F86" s="9">
        <v>54</v>
      </c>
      <c r="G86" s="9">
        <v>10.6</v>
      </c>
      <c r="H86" s="9">
        <v>1.5</v>
      </c>
      <c r="I86" s="9">
        <v>4.22</v>
      </c>
    </row>
    <row r="87" spans="1:9" x14ac:dyDescent="0.2">
      <c r="A87" s="9">
        <v>0</v>
      </c>
      <c r="B87" s="9">
        <v>56</v>
      </c>
      <c r="C87" s="9">
        <v>1</v>
      </c>
      <c r="D87" s="9">
        <v>11</v>
      </c>
      <c r="E87" s="9">
        <v>20</v>
      </c>
      <c r="F87" s="9">
        <v>59</v>
      </c>
      <c r="G87" s="9">
        <v>15</v>
      </c>
      <c r="H87" s="9">
        <v>4.67</v>
      </c>
      <c r="I87" s="9">
        <v>4.18</v>
      </c>
    </row>
    <row r="88" spans="1:9" x14ac:dyDescent="0.2">
      <c r="A88" s="9">
        <v>1</v>
      </c>
      <c r="B88" s="9">
        <v>40</v>
      </c>
      <c r="C88" s="9">
        <v>2</v>
      </c>
      <c r="D88" s="9">
        <v>5</v>
      </c>
      <c r="E88" s="9">
        <v>12</v>
      </c>
      <c r="F88" s="9">
        <v>35</v>
      </c>
      <c r="G88" s="9">
        <v>16.399999999999999</v>
      </c>
      <c r="H88" s="9">
        <v>1.58</v>
      </c>
      <c r="I88" s="9">
        <v>4.16</v>
      </c>
    </row>
    <row r="89" spans="1:9" x14ac:dyDescent="0.2">
      <c r="A89" s="9">
        <v>0</v>
      </c>
      <c r="B89" s="9">
        <v>30</v>
      </c>
      <c r="C89" s="9">
        <v>2</v>
      </c>
      <c r="D89" s="9">
        <v>12</v>
      </c>
      <c r="E89" s="9">
        <v>9</v>
      </c>
      <c r="F89" s="9">
        <v>98</v>
      </c>
      <c r="G89" s="9">
        <v>7.2</v>
      </c>
      <c r="H89" s="9">
        <v>2.94</v>
      </c>
      <c r="I89" s="9">
        <v>4.12</v>
      </c>
    </row>
    <row r="90" spans="1:9" x14ac:dyDescent="0.2">
      <c r="A90" s="9">
        <v>0</v>
      </c>
      <c r="B90" s="9">
        <v>37</v>
      </c>
      <c r="C90" s="9">
        <v>2</v>
      </c>
      <c r="D90" s="9">
        <v>6</v>
      </c>
      <c r="E90" s="9">
        <v>13</v>
      </c>
      <c r="F90" s="9">
        <v>62</v>
      </c>
      <c r="G90" s="9">
        <v>8.5</v>
      </c>
      <c r="H90" s="9">
        <v>1.19</v>
      </c>
      <c r="I90" s="9">
        <v>4.08</v>
      </c>
    </row>
    <row r="91" spans="1:9" x14ac:dyDescent="0.2">
      <c r="A91" s="9">
        <v>1</v>
      </c>
      <c r="B91" s="9">
        <v>31</v>
      </c>
      <c r="C91" s="9">
        <v>2</v>
      </c>
      <c r="D91" s="9">
        <v>6</v>
      </c>
      <c r="E91" s="9">
        <v>6</v>
      </c>
      <c r="F91" s="9">
        <v>32</v>
      </c>
      <c r="G91" s="9">
        <v>23.1</v>
      </c>
      <c r="H91" s="9">
        <v>3.34</v>
      </c>
      <c r="I91" s="9">
        <v>4.05</v>
      </c>
    </row>
    <row r="92" spans="1:9" x14ac:dyDescent="0.2">
      <c r="A92" s="9">
        <v>0</v>
      </c>
      <c r="B92" s="9">
        <v>36</v>
      </c>
      <c r="C92" s="9">
        <v>1</v>
      </c>
      <c r="D92" s="9">
        <v>14</v>
      </c>
      <c r="E92" s="9">
        <v>11</v>
      </c>
      <c r="F92" s="9">
        <v>81</v>
      </c>
      <c r="G92" s="9">
        <v>7.2</v>
      </c>
      <c r="H92" s="9">
        <v>1.78</v>
      </c>
      <c r="I92" s="9">
        <v>4.05</v>
      </c>
    </row>
    <row r="93" spans="1:9" x14ac:dyDescent="0.2">
      <c r="A93" s="9">
        <v>0</v>
      </c>
      <c r="B93" s="9">
        <v>48</v>
      </c>
      <c r="C93" s="9">
        <v>1</v>
      </c>
      <c r="D93" s="9">
        <v>0</v>
      </c>
      <c r="E93" s="9">
        <v>23</v>
      </c>
      <c r="F93" s="9">
        <v>30</v>
      </c>
      <c r="G93" s="9">
        <v>22.3</v>
      </c>
      <c r="H93" s="9">
        <v>2.66</v>
      </c>
      <c r="I93" s="9">
        <v>4.03</v>
      </c>
    </row>
    <row r="94" spans="1:9" x14ac:dyDescent="0.2">
      <c r="A94" s="9">
        <v>0</v>
      </c>
      <c r="B94" s="9">
        <v>34</v>
      </c>
      <c r="C94" s="9">
        <v>3</v>
      </c>
      <c r="D94" s="9">
        <v>2</v>
      </c>
      <c r="E94" s="9">
        <v>14</v>
      </c>
      <c r="F94" s="9">
        <v>39</v>
      </c>
      <c r="G94" s="9">
        <v>13.2</v>
      </c>
      <c r="H94" s="9">
        <v>1.1399999999999999</v>
      </c>
      <c r="I94" s="9">
        <v>4.01</v>
      </c>
    </row>
    <row r="95" spans="1:9" x14ac:dyDescent="0.2">
      <c r="A95" s="9">
        <v>0</v>
      </c>
      <c r="B95" s="9">
        <v>27</v>
      </c>
      <c r="C95" s="9">
        <v>1</v>
      </c>
      <c r="D95" s="9">
        <v>10</v>
      </c>
      <c r="E95" s="9">
        <v>6</v>
      </c>
      <c r="F95" s="9">
        <v>31</v>
      </c>
      <c r="G95" s="9">
        <v>17.3</v>
      </c>
      <c r="H95" s="9">
        <v>1.36</v>
      </c>
      <c r="I95" s="9">
        <v>4</v>
      </c>
    </row>
    <row r="96" spans="1:9" x14ac:dyDescent="0.2">
      <c r="A96" s="9">
        <v>0</v>
      </c>
      <c r="B96" s="9">
        <v>35</v>
      </c>
      <c r="C96" s="9">
        <v>1</v>
      </c>
      <c r="D96" s="9">
        <v>5</v>
      </c>
      <c r="E96" s="9">
        <v>5</v>
      </c>
      <c r="F96" s="9">
        <v>32</v>
      </c>
      <c r="G96" s="9">
        <v>13</v>
      </c>
      <c r="H96" s="9">
        <v>0.17</v>
      </c>
      <c r="I96" s="9">
        <v>3.99</v>
      </c>
    </row>
    <row r="97" spans="1:9" x14ac:dyDescent="0.2">
      <c r="A97" s="9">
        <v>1</v>
      </c>
      <c r="B97" s="9">
        <v>27</v>
      </c>
      <c r="C97" s="9">
        <v>4</v>
      </c>
      <c r="D97" s="9">
        <v>0</v>
      </c>
      <c r="E97" s="9">
        <v>6</v>
      </c>
      <c r="F97" s="9">
        <v>70</v>
      </c>
      <c r="G97" s="9">
        <v>8</v>
      </c>
      <c r="H97" s="9">
        <v>1.62</v>
      </c>
      <c r="I97" s="9">
        <v>3.98</v>
      </c>
    </row>
    <row r="98" spans="1:9" x14ac:dyDescent="0.2">
      <c r="A98" s="9">
        <v>0</v>
      </c>
      <c r="B98" s="9">
        <v>36</v>
      </c>
      <c r="C98" s="9">
        <v>2</v>
      </c>
      <c r="D98" s="9">
        <v>7</v>
      </c>
      <c r="E98" s="9">
        <v>16</v>
      </c>
      <c r="F98" s="9">
        <v>43</v>
      </c>
      <c r="G98" s="9">
        <v>15.4</v>
      </c>
      <c r="H98" s="9">
        <v>2.65</v>
      </c>
      <c r="I98" s="9">
        <v>3.97</v>
      </c>
    </row>
    <row r="99" spans="1:9" x14ac:dyDescent="0.2">
      <c r="A99" s="9">
        <v>0</v>
      </c>
      <c r="B99" s="9">
        <v>42</v>
      </c>
      <c r="C99" s="9">
        <v>3</v>
      </c>
      <c r="D99" s="9">
        <v>0</v>
      </c>
      <c r="E99" s="9">
        <v>9</v>
      </c>
      <c r="F99" s="9">
        <v>64</v>
      </c>
      <c r="G99" s="9">
        <v>6.6</v>
      </c>
      <c r="H99" s="9">
        <v>0.28000000000000003</v>
      </c>
      <c r="I99" s="9">
        <v>3.95</v>
      </c>
    </row>
    <row r="100" spans="1:9" x14ac:dyDescent="0.2">
      <c r="A100" s="9">
        <v>0</v>
      </c>
      <c r="B100" s="9">
        <v>45</v>
      </c>
      <c r="C100" s="9">
        <v>2</v>
      </c>
      <c r="D100" s="9">
        <v>9</v>
      </c>
      <c r="E100" s="9">
        <v>26</v>
      </c>
      <c r="F100" s="9">
        <v>69</v>
      </c>
      <c r="G100" s="9">
        <v>6.7</v>
      </c>
      <c r="H100" s="9">
        <v>0.71</v>
      </c>
      <c r="I100" s="9">
        <v>3.92</v>
      </c>
    </row>
    <row r="101" spans="1:9" x14ac:dyDescent="0.2">
      <c r="A101" s="9">
        <v>0</v>
      </c>
      <c r="B101" s="9">
        <v>34</v>
      </c>
      <c r="C101" s="9">
        <v>1</v>
      </c>
      <c r="D101" s="9">
        <v>16</v>
      </c>
      <c r="E101" s="9">
        <v>3</v>
      </c>
      <c r="F101" s="9">
        <v>75</v>
      </c>
      <c r="G101" s="9">
        <v>10.4</v>
      </c>
      <c r="H101" s="9">
        <v>3.95</v>
      </c>
      <c r="I101" s="9">
        <v>3.85</v>
      </c>
    </row>
    <row r="102" spans="1:9" x14ac:dyDescent="0.2">
      <c r="A102" s="9">
        <v>1</v>
      </c>
      <c r="B102" s="9">
        <v>29</v>
      </c>
      <c r="C102" s="9">
        <v>2</v>
      </c>
      <c r="D102" s="9">
        <v>1</v>
      </c>
      <c r="E102" s="9">
        <v>7</v>
      </c>
      <c r="F102" s="9">
        <v>29</v>
      </c>
      <c r="G102" s="9">
        <v>21.2</v>
      </c>
      <c r="H102" s="9">
        <v>2.33</v>
      </c>
      <c r="I102" s="9">
        <v>3.82</v>
      </c>
    </row>
    <row r="103" spans="1:9" x14ac:dyDescent="0.2">
      <c r="A103" s="9">
        <v>1</v>
      </c>
      <c r="B103" s="9">
        <v>36</v>
      </c>
      <c r="C103" s="9">
        <v>2</v>
      </c>
      <c r="D103" s="9">
        <v>13</v>
      </c>
      <c r="E103" s="9">
        <v>6</v>
      </c>
      <c r="F103" s="9">
        <v>41</v>
      </c>
      <c r="G103" s="9">
        <v>16.399999999999999</v>
      </c>
      <c r="H103" s="9">
        <v>2.92</v>
      </c>
      <c r="I103" s="9">
        <v>3.81</v>
      </c>
    </row>
    <row r="104" spans="1:9" x14ac:dyDescent="0.2">
      <c r="A104" s="9">
        <v>1</v>
      </c>
      <c r="B104" s="9">
        <v>52</v>
      </c>
      <c r="C104" s="9">
        <v>1</v>
      </c>
      <c r="D104" s="9">
        <v>9</v>
      </c>
      <c r="E104" s="9">
        <v>11</v>
      </c>
      <c r="F104" s="9">
        <v>24</v>
      </c>
      <c r="G104" s="9">
        <v>19.2</v>
      </c>
      <c r="H104" s="9">
        <v>0.8</v>
      </c>
      <c r="I104" s="9">
        <v>3.81</v>
      </c>
    </row>
    <row r="105" spans="1:9" x14ac:dyDescent="0.2">
      <c r="A105" s="9">
        <v>1</v>
      </c>
      <c r="B105" s="9">
        <v>38</v>
      </c>
      <c r="C105" s="9">
        <v>2</v>
      </c>
      <c r="D105" s="9">
        <v>2</v>
      </c>
      <c r="E105" s="9">
        <v>16</v>
      </c>
      <c r="F105" s="9">
        <v>22</v>
      </c>
      <c r="G105" s="9">
        <v>22.7</v>
      </c>
      <c r="H105" s="9">
        <v>1.21</v>
      </c>
      <c r="I105" s="9">
        <v>3.79</v>
      </c>
    </row>
    <row r="106" spans="1:9" x14ac:dyDescent="0.2">
      <c r="A106" s="9">
        <v>1</v>
      </c>
      <c r="B106" s="9">
        <v>28</v>
      </c>
      <c r="C106" s="9">
        <v>3</v>
      </c>
      <c r="D106" s="9">
        <v>6</v>
      </c>
      <c r="E106" s="9">
        <v>8</v>
      </c>
      <c r="F106" s="9">
        <v>47</v>
      </c>
      <c r="G106" s="9">
        <v>19.8</v>
      </c>
      <c r="H106" s="13">
        <v>5.4954845947359976</v>
      </c>
      <c r="I106" s="9">
        <v>3.73</v>
      </c>
    </row>
    <row r="107" spans="1:9" x14ac:dyDescent="0.2">
      <c r="A107" s="9">
        <v>1</v>
      </c>
      <c r="B107" s="9">
        <v>46</v>
      </c>
      <c r="C107" s="9">
        <v>1</v>
      </c>
      <c r="D107" s="9">
        <v>16</v>
      </c>
      <c r="E107" s="9">
        <v>18</v>
      </c>
      <c r="F107" s="9">
        <v>52</v>
      </c>
      <c r="G107" s="9">
        <v>12.9</v>
      </c>
      <c r="H107" s="9">
        <v>3.03</v>
      </c>
      <c r="I107" s="9">
        <v>3.68</v>
      </c>
    </row>
    <row r="108" spans="1:9" x14ac:dyDescent="0.2">
      <c r="A108" s="9">
        <v>1</v>
      </c>
      <c r="B108" s="9">
        <v>40</v>
      </c>
      <c r="C108" s="9">
        <v>1</v>
      </c>
      <c r="D108" s="9">
        <v>14</v>
      </c>
      <c r="E108" s="9">
        <v>21</v>
      </c>
      <c r="F108" s="9">
        <v>43</v>
      </c>
      <c r="G108" s="9">
        <v>15</v>
      </c>
      <c r="H108" s="9">
        <v>2.79</v>
      </c>
      <c r="I108" s="9">
        <v>3.66</v>
      </c>
    </row>
    <row r="109" spans="1:9" x14ac:dyDescent="0.2">
      <c r="A109" s="9">
        <v>0</v>
      </c>
      <c r="B109" s="9">
        <v>52</v>
      </c>
      <c r="C109" s="9">
        <v>1</v>
      </c>
      <c r="D109" s="9">
        <v>16</v>
      </c>
      <c r="E109" s="9">
        <v>25</v>
      </c>
      <c r="F109" s="9">
        <v>64</v>
      </c>
      <c r="G109" s="9">
        <v>8.6</v>
      </c>
      <c r="H109" s="9">
        <v>1.87</v>
      </c>
      <c r="I109" s="9">
        <v>3.64</v>
      </c>
    </row>
    <row r="110" spans="1:9" x14ac:dyDescent="0.2">
      <c r="A110" s="9">
        <v>0</v>
      </c>
      <c r="B110" s="9">
        <v>34</v>
      </c>
      <c r="C110" s="9">
        <v>1</v>
      </c>
      <c r="D110" s="9">
        <v>14</v>
      </c>
      <c r="E110" s="9">
        <v>8</v>
      </c>
      <c r="F110" s="9">
        <v>28</v>
      </c>
      <c r="G110" s="9">
        <v>17</v>
      </c>
      <c r="H110" s="9">
        <v>1.1399999999999999</v>
      </c>
      <c r="I110" s="9">
        <v>3.62</v>
      </c>
    </row>
    <row r="111" spans="1:9" x14ac:dyDescent="0.2">
      <c r="A111" s="9">
        <v>0</v>
      </c>
      <c r="B111" s="9">
        <v>37</v>
      </c>
      <c r="C111" s="9">
        <v>1</v>
      </c>
      <c r="D111" s="9">
        <v>7</v>
      </c>
      <c r="E111" s="9">
        <v>3</v>
      </c>
      <c r="F111" s="9">
        <v>32</v>
      </c>
      <c r="G111" s="9">
        <v>19.600000000000001</v>
      </c>
      <c r="H111" s="9">
        <v>2.7</v>
      </c>
      <c r="I111" s="9">
        <v>3.58</v>
      </c>
    </row>
    <row r="112" spans="1:9" x14ac:dyDescent="0.2">
      <c r="A112" s="9">
        <v>1</v>
      </c>
      <c r="B112" s="9">
        <v>53</v>
      </c>
      <c r="C112" s="9">
        <v>1</v>
      </c>
      <c r="D112" s="9">
        <v>9</v>
      </c>
      <c r="E112" s="9">
        <v>18</v>
      </c>
      <c r="F112" s="9">
        <v>50</v>
      </c>
      <c r="G112" s="9">
        <v>11.2</v>
      </c>
      <c r="H112" s="9">
        <v>2.02</v>
      </c>
      <c r="I112" s="9">
        <v>3.58</v>
      </c>
    </row>
    <row r="113" spans="1:9" x14ac:dyDescent="0.2">
      <c r="A113" s="9">
        <v>1</v>
      </c>
      <c r="B113" s="9">
        <v>28</v>
      </c>
      <c r="C113" s="9">
        <v>1</v>
      </c>
      <c r="D113" s="9">
        <v>4</v>
      </c>
      <c r="E113" s="9">
        <v>2</v>
      </c>
      <c r="F113" s="9">
        <v>28</v>
      </c>
      <c r="G113" s="9">
        <v>14.2</v>
      </c>
      <c r="H113" s="9">
        <v>0.44</v>
      </c>
      <c r="I113" s="9">
        <v>3.54</v>
      </c>
    </row>
    <row r="114" spans="1:9" x14ac:dyDescent="0.2">
      <c r="A114" s="9">
        <v>0</v>
      </c>
      <c r="B114" s="9">
        <v>25</v>
      </c>
      <c r="C114" s="9">
        <v>4</v>
      </c>
      <c r="D114" s="9">
        <v>0</v>
      </c>
      <c r="E114" s="9">
        <v>2</v>
      </c>
      <c r="F114" s="9">
        <v>32</v>
      </c>
      <c r="G114" s="9">
        <v>17.600000000000001</v>
      </c>
      <c r="H114" s="9">
        <v>2.14</v>
      </c>
      <c r="I114" s="9">
        <v>3.49</v>
      </c>
    </row>
    <row r="115" spans="1:9" x14ac:dyDescent="0.2">
      <c r="A115" s="9">
        <v>0</v>
      </c>
      <c r="B115" s="9">
        <v>34</v>
      </c>
      <c r="C115" s="9">
        <v>2</v>
      </c>
      <c r="D115" s="9">
        <v>3</v>
      </c>
      <c r="E115" s="9">
        <v>8</v>
      </c>
      <c r="F115" s="9">
        <v>21</v>
      </c>
      <c r="G115" s="9">
        <v>23.1</v>
      </c>
      <c r="H115" s="9">
        <v>1.4</v>
      </c>
      <c r="I115" s="9">
        <v>3.45</v>
      </c>
    </row>
    <row r="116" spans="1:9" x14ac:dyDescent="0.2">
      <c r="A116" s="9">
        <v>0</v>
      </c>
      <c r="B116" s="9">
        <v>48</v>
      </c>
      <c r="C116" s="9">
        <v>4</v>
      </c>
      <c r="D116" s="9">
        <v>3</v>
      </c>
      <c r="E116" s="9">
        <v>23</v>
      </c>
      <c r="F116" s="9">
        <v>45</v>
      </c>
      <c r="G116" s="9">
        <v>9.8000000000000007</v>
      </c>
      <c r="H116" s="9">
        <v>0.97</v>
      </c>
      <c r="I116" s="9">
        <v>3.44</v>
      </c>
    </row>
    <row r="117" spans="1:9" x14ac:dyDescent="0.2">
      <c r="A117" s="9">
        <v>0</v>
      </c>
      <c r="B117" s="9">
        <v>34</v>
      </c>
      <c r="C117" s="9">
        <v>2</v>
      </c>
      <c r="D117" s="9">
        <v>9</v>
      </c>
      <c r="E117" s="9">
        <v>13</v>
      </c>
      <c r="F117" s="9">
        <v>45</v>
      </c>
      <c r="G117" s="9">
        <v>10.1</v>
      </c>
      <c r="H117" s="9">
        <v>1.1200000000000001</v>
      </c>
      <c r="I117" s="9">
        <v>3.43</v>
      </c>
    </row>
    <row r="118" spans="1:9" x14ac:dyDescent="0.2">
      <c r="A118" s="9">
        <v>0</v>
      </c>
      <c r="B118" s="9">
        <v>40</v>
      </c>
      <c r="C118" s="9">
        <v>1</v>
      </c>
      <c r="D118" s="9">
        <v>9</v>
      </c>
      <c r="E118" s="9">
        <v>4</v>
      </c>
      <c r="F118" s="9">
        <v>64</v>
      </c>
      <c r="G118" s="9">
        <v>6.6</v>
      </c>
      <c r="H118" s="9">
        <v>0.79</v>
      </c>
      <c r="I118" s="9">
        <v>3.43</v>
      </c>
    </row>
    <row r="119" spans="1:9" x14ac:dyDescent="0.2">
      <c r="A119" s="9">
        <v>0</v>
      </c>
      <c r="B119" s="9">
        <v>46</v>
      </c>
      <c r="C119" s="9">
        <v>5</v>
      </c>
      <c r="D119" s="9">
        <v>15</v>
      </c>
      <c r="E119" s="9">
        <v>0</v>
      </c>
      <c r="F119" s="13">
        <v>117.54291069294821</v>
      </c>
      <c r="G119" s="9">
        <v>3.1</v>
      </c>
      <c r="H119" s="9">
        <v>0.48</v>
      </c>
      <c r="I119" s="9">
        <v>3.43</v>
      </c>
    </row>
    <row r="120" spans="1:9" x14ac:dyDescent="0.2">
      <c r="A120" s="9">
        <v>1</v>
      </c>
      <c r="B120" s="9">
        <v>36</v>
      </c>
      <c r="C120" s="9">
        <v>2</v>
      </c>
      <c r="D120" s="9">
        <v>9</v>
      </c>
      <c r="E120" s="9">
        <v>6</v>
      </c>
      <c r="F120" s="9">
        <v>49</v>
      </c>
      <c r="G120" s="9">
        <v>8.6</v>
      </c>
      <c r="H120" s="9">
        <v>0.82</v>
      </c>
      <c r="I120" s="9">
        <v>3.4</v>
      </c>
    </row>
    <row r="121" spans="1:9" x14ac:dyDescent="0.2">
      <c r="A121" s="9">
        <v>1</v>
      </c>
      <c r="B121" s="9">
        <v>24</v>
      </c>
      <c r="C121" s="9">
        <v>1</v>
      </c>
      <c r="D121" s="9">
        <v>3</v>
      </c>
      <c r="E121" s="9">
        <v>3</v>
      </c>
      <c r="F121" s="9">
        <v>21</v>
      </c>
      <c r="G121" s="9">
        <v>28.9</v>
      </c>
      <c r="H121" s="9">
        <v>2.68</v>
      </c>
      <c r="I121" s="9">
        <v>3.39</v>
      </c>
    </row>
    <row r="122" spans="1:9" x14ac:dyDescent="0.2">
      <c r="A122" s="9">
        <v>0</v>
      </c>
      <c r="B122" s="9">
        <v>51</v>
      </c>
      <c r="C122" s="9">
        <v>2</v>
      </c>
      <c r="D122" s="9">
        <v>19</v>
      </c>
      <c r="E122" s="9">
        <v>25</v>
      </c>
      <c r="F122" s="9">
        <v>0</v>
      </c>
      <c r="G122" s="9">
        <v>2.8</v>
      </c>
      <c r="H122" s="9">
        <v>1.07</v>
      </c>
      <c r="I122" s="9">
        <v>3.38</v>
      </c>
    </row>
    <row r="123" spans="1:9" x14ac:dyDescent="0.2">
      <c r="A123" s="9">
        <v>0</v>
      </c>
      <c r="B123" s="9">
        <v>38</v>
      </c>
      <c r="C123" s="9">
        <v>1</v>
      </c>
      <c r="D123" s="9">
        <v>6</v>
      </c>
      <c r="E123" s="9">
        <v>0</v>
      </c>
      <c r="F123" s="9">
        <v>41</v>
      </c>
      <c r="G123" s="9">
        <v>8.9</v>
      </c>
      <c r="H123" s="9">
        <v>0.27</v>
      </c>
      <c r="I123" s="9">
        <v>3.38</v>
      </c>
    </row>
    <row r="124" spans="1:9" x14ac:dyDescent="0.2">
      <c r="A124" s="9">
        <v>1</v>
      </c>
      <c r="B124" s="9">
        <v>39</v>
      </c>
      <c r="C124" s="9">
        <v>2</v>
      </c>
      <c r="D124" s="9">
        <v>2</v>
      </c>
      <c r="E124" s="9">
        <v>12</v>
      </c>
      <c r="F124" s="9">
        <v>46</v>
      </c>
      <c r="G124" s="9">
        <v>16</v>
      </c>
      <c r="H124" s="9">
        <v>4</v>
      </c>
      <c r="I124" s="9">
        <v>3.36</v>
      </c>
    </row>
    <row r="125" spans="1:9" x14ac:dyDescent="0.2">
      <c r="A125" s="9">
        <v>0</v>
      </c>
      <c r="B125" s="9">
        <v>30</v>
      </c>
      <c r="C125" s="9">
        <v>2</v>
      </c>
      <c r="D125" s="9">
        <v>4</v>
      </c>
      <c r="E125" s="9">
        <v>4</v>
      </c>
      <c r="F125" s="9">
        <v>21</v>
      </c>
      <c r="G125" s="9">
        <v>18.3</v>
      </c>
      <c r="H125" s="9">
        <v>0.49</v>
      </c>
      <c r="I125" s="9">
        <v>3.35</v>
      </c>
    </row>
    <row r="126" spans="1:9" x14ac:dyDescent="0.2">
      <c r="A126" s="9">
        <v>0</v>
      </c>
      <c r="B126" s="9">
        <v>28</v>
      </c>
      <c r="C126" s="9">
        <v>4</v>
      </c>
      <c r="D126" s="9">
        <v>0</v>
      </c>
      <c r="E126" s="9">
        <v>5</v>
      </c>
      <c r="F126" s="9">
        <v>38</v>
      </c>
      <c r="G126" s="9">
        <v>10.4</v>
      </c>
      <c r="H126" s="9">
        <v>0.64</v>
      </c>
      <c r="I126" s="9">
        <v>3.32</v>
      </c>
    </row>
    <row r="127" spans="1:9" x14ac:dyDescent="0.2">
      <c r="A127" s="9">
        <v>1</v>
      </c>
      <c r="B127" s="9">
        <v>34</v>
      </c>
      <c r="C127" s="9">
        <v>1</v>
      </c>
      <c r="D127" s="9">
        <v>3</v>
      </c>
      <c r="E127" s="9">
        <v>4</v>
      </c>
      <c r="F127" s="9">
        <v>19</v>
      </c>
      <c r="G127" s="9">
        <v>24.4</v>
      </c>
      <c r="H127" s="9">
        <v>1.36</v>
      </c>
      <c r="I127" s="9">
        <v>3.28</v>
      </c>
    </row>
    <row r="128" spans="1:9" x14ac:dyDescent="0.2">
      <c r="A128" s="9">
        <v>0</v>
      </c>
      <c r="B128" s="9">
        <v>30</v>
      </c>
      <c r="C128" s="9">
        <v>2</v>
      </c>
      <c r="D128" s="9">
        <v>8</v>
      </c>
      <c r="E128" s="9">
        <v>4</v>
      </c>
      <c r="F128" s="9">
        <v>56</v>
      </c>
      <c r="G128" s="9">
        <v>6.4</v>
      </c>
      <c r="H128" s="9">
        <v>0.33</v>
      </c>
      <c r="I128" s="9">
        <v>3.25</v>
      </c>
    </row>
    <row r="129" spans="1:9" x14ac:dyDescent="0.2">
      <c r="A129" s="9">
        <v>0</v>
      </c>
      <c r="B129" s="9">
        <v>41</v>
      </c>
      <c r="C129" s="9">
        <v>1</v>
      </c>
      <c r="D129" s="9">
        <v>16</v>
      </c>
      <c r="E129" s="9">
        <v>17</v>
      </c>
      <c r="F129" s="9">
        <v>68</v>
      </c>
      <c r="G129" s="9">
        <v>5.4</v>
      </c>
      <c r="H129" s="9">
        <v>0.45</v>
      </c>
      <c r="I129" s="9">
        <v>3.22</v>
      </c>
    </row>
    <row r="130" spans="1:9" x14ac:dyDescent="0.2">
      <c r="A130" s="9">
        <v>1</v>
      </c>
      <c r="B130" s="9">
        <v>39</v>
      </c>
      <c r="C130" s="9">
        <v>1</v>
      </c>
      <c r="D130" s="9">
        <v>2</v>
      </c>
      <c r="E130" s="9">
        <v>15</v>
      </c>
      <c r="F130" s="9">
        <v>22</v>
      </c>
      <c r="G130" s="9">
        <v>23.1</v>
      </c>
      <c r="H130" s="9">
        <v>1.92</v>
      </c>
      <c r="I130" s="9">
        <v>3.17</v>
      </c>
    </row>
    <row r="131" spans="1:9" x14ac:dyDescent="0.2">
      <c r="A131" s="9">
        <v>1</v>
      </c>
      <c r="B131" s="9">
        <v>29</v>
      </c>
      <c r="C131" s="9">
        <v>1</v>
      </c>
      <c r="D131" s="9">
        <v>1</v>
      </c>
      <c r="E131" s="9">
        <v>2</v>
      </c>
      <c r="F131" s="9">
        <v>20</v>
      </c>
      <c r="G131" s="9">
        <v>18.600000000000001</v>
      </c>
      <c r="H131" s="9">
        <v>0.56999999999999995</v>
      </c>
      <c r="I131" s="9">
        <v>3.15</v>
      </c>
    </row>
    <row r="132" spans="1:9" x14ac:dyDescent="0.2">
      <c r="A132" s="9">
        <v>0</v>
      </c>
      <c r="B132" s="9">
        <v>34</v>
      </c>
      <c r="C132" s="9">
        <v>6</v>
      </c>
      <c r="D132" s="9">
        <v>18</v>
      </c>
      <c r="E132" s="9">
        <v>10</v>
      </c>
      <c r="F132" s="9">
        <v>34</v>
      </c>
      <c r="G132" s="9">
        <v>15.4</v>
      </c>
      <c r="H132" s="9">
        <v>2.1</v>
      </c>
      <c r="I132" s="9">
        <v>3.14</v>
      </c>
    </row>
    <row r="133" spans="1:9" x14ac:dyDescent="0.2">
      <c r="A133" s="9">
        <v>0</v>
      </c>
      <c r="B133" s="9">
        <v>43</v>
      </c>
      <c r="C133" s="9">
        <v>2</v>
      </c>
      <c r="D133" s="9">
        <v>16</v>
      </c>
      <c r="E133" s="9">
        <v>10</v>
      </c>
      <c r="F133" s="9">
        <v>83</v>
      </c>
      <c r="G133" s="9">
        <v>4.0999999999999996</v>
      </c>
      <c r="H133" s="9">
        <v>0.26</v>
      </c>
      <c r="I133" s="9">
        <v>3.14</v>
      </c>
    </row>
    <row r="134" spans="1:9" x14ac:dyDescent="0.2">
      <c r="A134" s="9">
        <v>1</v>
      </c>
      <c r="B134" s="9">
        <v>24</v>
      </c>
      <c r="C134" s="9">
        <v>2</v>
      </c>
      <c r="D134" s="9">
        <v>2</v>
      </c>
      <c r="E134" s="9">
        <v>0</v>
      </c>
      <c r="F134" s="9">
        <v>28</v>
      </c>
      <c r="G134" s="9">
        <v>17.3</v>
      </c>
      <c r="H134" s="9">
        <v>1.79</v>
      </c>
      <c r="I134" s="9">
        <v>3.06</v>
      </c>
    </row>
    <row r="135" spans="1:9" x14ac:dyDescent="0.2">
      <c r="A135" s="9">
        <v>0</v>
      </c>
      <c r="B135" s="9">
        <v>27</v>
      </c>
      <c r="C135" s="9">
        <v>3</v>
      </c>
      <c r="D135" s="9">
        <v>3</v>
      </c>
      <c r="E135" s="9">
        <v>4</v>
      </c>
      <c r="F135" s="9">
        <v>35</v>
      </c>
      <c r="G135" s="9">
        <v>13.3</v>
      </c>
      <c r="H135" s="9">
        <v>0.97</v>
      </c>
      <c r="I135" s="9">
        <v>3.05</v>
      </c>
    </row>
    <row r="136" spans="1:9" x14ac:dyDescent="0.2">
      <c r="A136" s="9">
        <v>0</v>
      </c>
      <c r="B136" s="9">
        <v>28</v>
      </c>
      <c r="C136" s="9">
        <v>3</v>
      </c>
      <c r="D136" s="9">
        <v>5</v>
      </c>
      <c r="E136" s="9">
        <v>9</v>
      </c>
      <c r="F136" s="9">
        <v>44</v>
      </c>
      <c r="G136" s="9">
        <v>8.6999999999999993</v>
      </c>
      <c r="H136" s="9">
        <v>0.77</v>
      </c>
      <c r="I136" s="9">
        <v>3.05</v>
      </c>
    </row>
    <row r="137" spans="1:9" x14ac:dyDescent="0.2">
      <c r="A137" s="9">
        <v>0</v>
      </c>
      <c r="B137" s="9">
        <v>34</v>
      </c>
      <c r="C137" s="9">
        <v>1</v>
      </c>
      <c r="D137" s="9">
        <v>13</v>
      </c>
      <c r="E137" s="9">
        <v>11</v>
      </c>
      <c r="F137" s="9">
        <v>51</v>
      </c>
      <c r="G137" s="9">
        <v>9.6</v>
      </c>
      <c r="H137" s="9">
        <v>1.88</v>
      </c>
      <c r="I137" s="9">
        <v>3.02</v>
      </c>
    </row>
    <row r="138" spans="1:9" x14ac:dyDescent="0.2">
      <c r="A138" s="9">
        <v>0</v>
      </c>
      <c r="B138" s="9">
        <v>36</v>
      </c>
      <c r="C138" s="9">
        <v>2</v>
      </c>
      <c r="D138" s="9">
        <v>12</v>
      </c>
      <c r="E138" s="9">
        <v>13</v>
      </c>
      <c r="F138" s="9">
        <v>60</v>
      </c>
      <c r="G138" s="9">
        <v>7.9</v>
      </c>
      <c r="H138" s="9">
        <v>1.72</v>
      </c>
      <c r="I138" s="9">
        <v>3.02</v>
      </c>
    </row>
    <row r="139" spans="1:9" x14ac:dyDescent="0.2">
      <c r="A139" s="9">
        <v>0</v>
      </c>
      <c r="B139" s="9">
        <v>37</v>
      </c>
      <c r="C139" s="9">
        <v>1</v>
      </c>
      <c r="D139" s="9">
        <v>6</v>
      </c>
      <c r="E139" s="9">
        <v>9</v>
      </c>
      <c r="F139" s="9">
        <v>29</v>
      </c>
      <c r="G139" s="9">
        <v>16.3</v>
      </c>
      <c r="H139" s="9">
        <v>1.72</v>
      </c>
      <c r="I139" s="9">
        <v>3.01</v>
      </c>
    </row>
    <row r="140" spans="1:9" x14ac:dyDescent="0.2">
      <c r="A140" s="9">
        <v>0</v>
      </c>
      <c r="B140" s="9">
        <v>21</v>
      </c>
      <c r="C140" s="9">
        <v>1</v>
      </c>
      <c r="D140" s="9">
        <v>1</v>
      </c>
      <c r="E140" s="9">
        <v>1</v>
      </c>
      <c r="F140" s="9">
        <v>18</v>
      </c>
      <c r="G140" s="9">
        <v>17.3</v>
      </c>
      <c r="H140" s="9">
        <v>0.16</v>
      </c>
      <c r="I140" s="9">
        <v>2.96</v>
      </c>
    </row>
    <row r="141" spans="1:9" x14ac:dyDescent="0.2">
      <c r="A141" s="9">
        <v>0</v>
      </c>
      <c r="B141" s="9">
        <v>47</v>
      </c>
      <c r="C141" s="9">
        <v>1</v>
      </c>
      <c r="D141" s="9">
        <v>22</v>
      </c>
      <c r="E141" s="9">
        <v>19</v>
      </c>
      <c r="F141" s="9">
        <v>81</v>
      </c>
      <c r="G141" s="9">
        <v>5.5</v>
      </c>
      <c r="H141" s="9">
        <v>1.51</v>
      </c>
      <c r="I141" s="9">
        <v>2.95</v>
      </c>
    </row>
    <row r="142" spans="1:9" x14ac:dyDescent="0.2">
      <c r="A142" s="9">
        <v>1</v>
      </c>
      <c r="B142" s="9">
        <v>29</v>
      </c>
      <c r="C142" s="9">
        <v>1</v>
      </c>
      <c r="D142" s="9">
        <v>7</v>
      </c>
      <c r="E142" s="9">
        <v>5</v>
      </c>
      <c r="F142" s="9">
        <v>20</v>
      </c>
      <c r="G142" s="9">
        <v>19.8</v>
      </c>
      <c r="H142" s="9">
        <v>1.01</v>
      </c>
      <c r="I142" s="9">
        <v>2.95</v>
      </c>
    </row>
    <row r="143" spans="1:9" x14ac:dyDescent="0.2">
      <c r="A143" s="9">
        <v>0</v>
      </c>
      <c r="B143" s="9">
        <v>34</v>
      </c>
      <c r="C143" s="9">
        <v>1</v>
      </c>
      <c r="D143" s="9">
        <v>17</v>
      </c>
      <c r="E143" s="9">
        <v>3</v>
      </c>
      <c r="F143" s="9">
        <v>59</v>
      </c>
      <c r="G143" s="9">
        <v>8</v>
      </c>
      <c r="H143" s="9">
        <v>1.81</v>
      </c>
      <c r="I143" s="9">
        <v>2.91</v>
      </c>
    </row>
    <row r="144" spans="1:9" x14ac:dyDescent="0.2">
      <c r="A144" s="9">
        <v>0</v>
      </c>
      <c r="B144" s="9">
        <v>39</v>
      </c>
      <c r="C144" s="9">
        <v>1</v>
      </c>
      <c r="D144" s="9">
        <v>6</v>
      </c>
      <c r="E144" s="9">
        <v>9</v>
      </c>
      <c r="F144" s="9">
        <v>61</v>
      </c>
      <c r="G144" s="9">
        <v>5.7</v>
      </c>
      <c r="H144" s="9">
        <v>0.56000000000000005</v>
      </c>
      <c r="I144" s="9">
        <v>2.91</v>
      </c>
    </row>
    <row r="145" spans="1:9" x14ac:dyDescent="0.2">
      <c r="A145" s="9">
        <v>0</v>
      </c>
      <c r="B145" s="9">
        <v>35</v>
      </c>
      <c r="C145" s="9">
        <v>1</v>
      </c>
      <c r="D145" s="9">
        <v>18</v>
      </c>
      <c r="E145" s="9">
        <v>2</v>
      </c>
      <c r="F145" s="9">
        <v>42</v>
      </c>
      <c r="G145" s="9">
        <v>7.4</v>
      </c>
      <c r="H145" s="9">
        <v>0.21</v>
      </c>
      <c r="I145" s="9">
        <v>2.9</v>
      </c>
    </row>
    <row r="146" spans="1:9" x14ac:dyDescent="0.2">
      <c r="A146" s="9">
        <v>0</v>
      </c>
      <c r="B146" s="9">
        <v>34</v>
      </c>
      <c r="C146" s="9">
        <v>3</v>
      </c>
      <c r="D146" s="9">
        <v>7</v>
      </c>
      <c r="E146" s="9">
        <v>1</v>
      </c>
      <c r="F146" s="9">
        <v>63</v>
      </c>
      <c r="G146" s="9">
        <v>5.5</v>
      </c>
      <c r="H146" s="9">
        <v>0.56999999999999995</v>
      </c>
      <c r="I146" s="9">
        <v>2.89</v>
      </c>
    </row>
    <row r="147" spans="1:9" x14ac:dyDescent="0.2">
      <c r="A147" s="9">
        <v>1</v>
      </c>
      <c r="B147" s="9">
        <v>25</v>
      </c>
      <c r="C147" s="9">
        <v>1</v>
      </c>
      <c r="D147" s="9">
        <v>0</v>
      </c>
      <c r="E147" s="9">
        <v>2</v>
      </c>
      <c r="F147" s="9">
        <v>18</v>
      </c>
      <c r="G147" s="9">
        <v>18.899999999999999</v>
      </c>
      <c r="H147" s="9">
        <v>0.51</v>
      </c>
      <c r="I147" s="9">
        <v>2.89</v>
      </c>
    </row>
    <row r="148" spans="1:9" x14ac:dyDescent="0.2">
      <c r="A148" s="9">
        <v>0</v>
      </c>
      <c r="B148" s="9">
        <v>25</v>
      </c>
      <c r="C148" s="9">
        <v>1</v>
      </c>
      <c r="D148" s="9">
        <v>8</v>
      </c>
      <c r="E148" s="9">
        <v>4</v>
      </c>
      <c r="F148" s="9">
        <v>27</v>
      </c>
      <c r="G148" s="9">
        <v>14.4</v>
      </c>
      <c r="H148" s="9">
        <v>1.02</v>
      </c>
      <c r="I148" s="9">
        <v>2.87</v>
      </c>
    </row>
    <row r="149" spans="1:9" x14ac:dyDescent="0.2">
      <c r="A149" s="9">
        <v>0</v>
      </c>
      <c r="B149" s="9">
        <v>41</v>
      </c>
      <c r="C149" s="9">
        <v>1</v>
      </c>
      <c r="D149" s="9">
        <v>14</v>
      </c>
      <c r="E149" s="9">
        <v>8</v>
      </c>
      <c r="F149" s="9">
        <v>52</v>
      </c>
      <c r="G149" s="9">
        <v>7.3</v>
      </c>
      <c r="H149" s="9">
        <v>0.93</v>
      </c>
      <c r="I149" s="9">
        <v>2.87</v>
      </c>
    </row>
    <row r="150" spans="1:9" x14ac:dyDescent="0.2">
      <c r="A150" s="9">
        <v>0</v>
      </c>
      <c r="B150" s="9">
        <v>31</v>
      </c>
      <c r="C150" s="9">
        <v>1</v>
      </c>
      <c r="D150" s="9">
        <v>4</v>
      </c>
      <c r="E150" s="9">
        <v>10</v>
      </c>
      <c r="F150" s="9">
        <v>28</v>
      </c>
      <c r="G150" s="9">
        <v>11.3</v>
      </c>
      <c r="H150" s="9">
        <v>0.28999999999999998</v>
      </c>
      <c r="I150" s="9">
        <v>2.87</v>
      </c>
    </row>
    <row r="151" spans="1:9" x14ac:dyDescent="0.2">
      <c r="A151" s="9">
        <v>0</v>
      </c>
      <c r="B151" s="9">
        <v>28</v>
      </c>
      <c r="C151" s="9">
        <v>4</v>
      </c>
      <c r="D151" s="9">
        <v>1</v>
      </c>
      <c r="E151" s="9">
        <v>3</v>
      </c>
      <c r="F151" s="9">
        <v>26</v>
      </c>
      <c r="G151" s="9">
        <v>12.4</v>
      </c>
      <c r="H151" s="9">
        <v>0.38</v>
      </c>
      <c r="I151" s="9">
        <v>2.85</v>
      </c>
    </row>
    <row r="152" spans="1:9" x14ac:dyDescent="0.2">
      <c r="A152" s="9">
        <v>0</v>
      </c>
      <c r="B152" s="9">
        <v>50</v>
      </c>
      <c r="C152" s="9">
        <v>1</v>
      </c>
      <c r="D152" s="9">
        <v>8</v>
      </c>
      <c r="E152" s="9">
        <v>27</v>
      </c>
      <c r="F152" s="9">
        <v>47</v>
      </c>
      <c r="G152" s="9">
        <v>6.9</v>
      </c>
      <c r="H152" s="9">
        <v>0.4</v>
      </c>
      <c r="I152" s="9">
        <v>2.84</v>
      </c>
    </row>
    <row r="153" spans="1:9" x14ac:dyDescent="0.2">
      <c r="A153" s="9">
        <v>0</v>
      </c>
      <c r="B153" s="9">
        <v>40</v>
      </c>
      <c r="C153" s="9">
        <v>1</v>
      </c>
      <c r="D153" s="9">
        <v>22</v>
      </c>
      <c r="E153" s="9">
        <v>4</v>
      </c>
      <c r="F153" s="9">
        <v>95</v>
      </c>
      <c r="G153" s="9">
        <v>3.6</v>
      </c>
      <c r="H153" s="9">
        <v>0.63</v>
      </c>
      <c r="I153" s="9">
        <v>2.79</v>
      </c>
    </row>
    <row r="154" spans="1:9" x14ac:dyDescent="0.2">
      <c r="A154" s="9">
        <v>1</v>
      </c>
      <c r="B154" s="9">
        <v>28</v>
      </c>
      <c r="C154" s="9">
        <v>2</v>
      </c>
      <c r="D154" s="9">
        <v>1</v>
      </c>
      <c r="E154" s="9">
        <v>8</v>
      </c>
      <c r="F154" s="9">
        <v>24</v>
      </c>
      <c r="G154" s="9">
        <v>17.100000000000001</v>
      </c>
      <c r="H154" s="9">
        <v>1.34</v>
      </c>
      <c r="I154" s="9">
        <v>2.77</v>
      </c>
    </row>
    <row r="155" spans="1:9" x14ac:dyDescent="0.2">
      <c r="A155" s="9">
        <v>0</v>
      </c>
      <c r="B155" s="9">
        <v>27</v>
      </c>
      <c r="C155" s="9">
        <v>2</v>
      </c>
      <c r="D155" s="9">
        <v>3</v>
      </c>
      <c r="E155" s="9">
        <v>5</v>
      </c>
      <c r="F155" s="9">
        <v>33</v>
      </c>
      <c r="G155" s="9">
        <v>13.2</v>
      </c>
      <c r="H155" s="9">
        <v>1.63</v>
      </c>
      <c r="I155" s="9">
        <v>2.72</v>
      </c>
    </row>
    <row r="156" spans="1:9" x14ac:dyDescent="0.2">
      <c r="A156" s="9">
        <v>0</v>
      </c>
      <c r="B156" s="9">
        <v>28</v>
      </c>
      <c r="C156" s="9">
        <v>1</v>
      </c>
      <c r="D156" s="9">
        <v>4</v>
      </c>
      <c r="E156" s="9">
        <v>1</v>
      </c>
      <c r="F156" s="9">
        <v>16</v>
      </c>
      <c r="G156" s="9">
        <v>23.8</v>
      </c>
      <c r="H156" s="9">
        <v>1.0900000000000001</v>
      </c>
      <c r="I156" s="9">
        <v>2.72</v>
      </c>
    </row>
    <row r="157" spans="1:9" x14ac:dyDescent="0.2">
      <c r="A157" s="9">
        <v>0</v>
      </c>
      <c r="B157" s="9">
        <v>33</v>
      </c>
      <c r="C157" s="9">
        <v>2</v>
      </c>
      <c r="D157" s="9">
        <v>13</v>
      </c>
      <c r="E157" s="9">
        <v>2</v>
      </c>
      <c r="F157" s="9">
        <v>40</v>
      </c>
      <c r="G157" s="9">
        <v>7.2</v>
      </c>
      <c r="H157" s="9">
        <v>0.18</v>
      </c>
      <c r="I157" s="9">
        <v>2.7</v>
      </c>
    </row>
    <row r="158" spans="1:9" x14ac:dyDescent="0.2">
      <c r="A158" s="9">
        <v>0</v>
      </c>
      <c r="B158" s="9">
        <v>29</v>
      </c>
      <c r="C158" s="9">
        <v>1</v>
      </c>
      <c r="D158" s="9">
        <v>6</v>
      </c>
      <c r="E158" s="9">
        <v>7</v>
      </c>
      <c r="F158" s="9">
        <v>21</v>
      </c>
      <c r="G158" s="9">
        <v>18.100000000000001</v>
      </c>
      <c r="H158" s="9">
        <v>1.1100000000000001</v>
      </c>
      <c r="I158" s="9">
        <v>2.69</v>
      </c>
    </row>
    <row r="159" spans="1:9" x14ac:dyDescent="0.2">
      <c r="A159" s="9">
        <v>0</v>
      </c>
      <c r="B159" s="9">
        <v>32</v>
      </c>
      <c r="C159" s="9">
        <v>1</v>
      </c>
      <c r="D159" s="9">
        <v>14</v>
      </c>
      <c r="E159" s="9">
        <v>7</v>
      </c>
      <c r="F159" s="9">
        <v>73</v>
      </c>
      <c r="G159" s="9">
        <v>8.8000000000000007</v>
      </c>
      <c r="H159" s="9">
        <v>3.75</v>
      </c>
      <c r="I159" s="9">
        <v>2.67</v>
      </c>
    </row>
    <row r="160" spans="1:9" x14ac:dyDescent="0.2">
      <c r="A160" s="9">
        <v>1</v>
      </c>
      <c r="B160" s="9">
        <v>23</v>
      </c>
      <c r="C160" s="9">
        <v>2</v>
      </c>
      <c r="D160" s="9">
        <v>0</v>
      </c>
      <c r="E160" s="9">
        <v>1</v>
      </c>
      <c r="F160" s="9">
        <v>17</v>
      </c>
      <c r="G160" s="9">
        <v>27.7</v>
      </c>
      <c r="H160" s="9">
        <v>2.04</v>
      </c>
      <c r="I160" s="9">
        <v>2.67</v>
      </c>
    </row>
    <row r="161" spans="1:9" x14ac:dyDescent="0.2">
      <c r="A161" s="9">
        <v>1</v>
      </c>
      <c r="B161" s="9">
        <v>33</v>
      </c>
      <c r="C161" s="9">
        <v>1</v>
      </c>
      <c r="D161" s="9">
        <v>9</v>
      </c>
      <c r="E161" s="9">
        <v>4</v>
      </c>
      <c r="F161" s="9">
        <v>29</v>
      </c>
      <c r="G161" s="9">
        <v>13.8</v>
      </c>
      <c r="H161" s="9">
        <v>1.35</v>
      </c>
      <c r="I161" s="9">
        <v>2.65</v>
      </c>
    </row>
    <row r="162" spans="1:9" x14ac:dyDescent="0.2">
      <c r="A162" s="9">
        <v>0</v>
      </c>
      <c r="B162" s="9">
        <v>44</v>
      </c>
      <c r="C162" s="9">
        <v>1</v>
      </c>
      <c r="D162" s="9">
        <v>12</v>
      </c>
      <c r="E162" s="9">
        <v>3</v>
      </c>
      <c r="F162" s="9">
        <v>31</v>
      </c>
      <c r="G162" s="9">
        <v>9.6999999999999993</v>
      </c>
      <c r="H162" s="9">
        <v>0.36</v>
      </c>
      <c r="I162" s="9">
        <v>2.65</v>
      </c>
    </row>
    <row r="163" spans="1:9" x14ac:dyDescent="0.2">
      <c r="A163" s="9">
        <v>1</v>
      </c>
      <c r="B163" s="9">
        <v>55</v>
      </c>
      <c r="C163" s="9">
        <v>1</v>
      </c>
      <c r="D163" s="9">
        <v>3</v>
      </c>
      <c r="E163" s="9">
        <v>11</v>
      </c>
      <c r="F163" s="9">
        <v>40</v>
      </c>
      <c r="G163" s="9">
        <v>8</v>
      </c>
      <c r="H163" s="9">
        <v>0.56000000000000005</v>
      </c>
      <c r="I163" s="9">
        <v>2.64</v>
      </c>
    </row>
    <row r="164" spans="1:9" x14ac:dyDescent="0.2">
      <c r="A164" s="9">
        <v>1</v>
      </c>
      <c r="B164" s="9">
        <v>21</v>
      </c>
      <c r="C164" s="9">
        <v>2</v>
      </c>
      <c r="D164" s="9">
        <v>1</v>
      </c>
      <c r="E164" s="9">
        <v>2</v>
      </c>
      <c r="F164" s="9">
        <v>16</v>
      </c>
      <c r="G164" s="9">
        <v>18</v>
      </c>
      <c r="H164" s="9">
        <v>0.24</v>
      </c>
      <c r="I164" s="9">
        <v>2.64</v>
      </c>
    </row>
    <row r="165" spans="1:9" x14ac:dyDescent="0.2">
      <c r="A165" s="9">
        <v>1</v>
      </c>
      <c r="B165" s="9">
        <v>46</v>
      </c>
      <c r="C165" s="9">
        <v>3</v>
      </c>
      <c r="D165" s="9">
        <v>3</v>
      </c>
      <c r="E165" s="9">
        <v>13</v>
      </c>
      <c r="F165" s="9">
        <v>43</v>
      </c>
      <c r="G165" s="9">
        <v>13.2</v>
      </c>
      <c r="H165" s="9">
        <v>3.04</v>
      </c>
      <c r="I165" s="9">
        <v>2.63</v>
      </c>
    </row>
    <row r="166" spans="1:9" x14ac:dyDescent="0.2">
      <c r="A166" s="9">
        <v>1</v>
      </c>
      <c r="B166" s="9">
        <v>37</v>
      </c>
      <c r="C166" s="9">
        <v>4</v>
      </c>
      <c r="D166" s="9">
        <v>1</v>
      </c>
      <c r="E166" s="9">
        <v>14</v>
      </c>
      <c r="F166" s="9">
        <v>33</v>
      </c>
      <c r="G166" s="9">
        <v>16.100000000000001</v>
      </c>
      <c r="H166" s="9">
        <v>2.69</v>
      </c>
      <c r="I166" s="9">
        <v>2.62</v>
      </c>
    </row>
    <row r="167" spans="1:9" x14ac:dyDescent="0.2">
      <c r="A167" s="9">
        <v>1</v>
      </c>
      <c r="B167" s="9">
        <v>54</v>
      </c>
      <c r="C167" s="9">
        <v>1</v>
      </c>
      <c r="D167" s="9">
        <v>9</v>
      </c>
      <c r="E167" s="9">
        <v>2</v>
      </c>
      <c r="F167" s="9">
        <v>28</v>
      </c>
      <c r="G167" s="9">
        <v>14.8</v>
      </c>
      <c r="H167" s="9">
        <v>1.56</v>
      </c>
      <c r="I167" s="9">
        <v>2.59</v>
      </c>
    </row>
    <row r="168" spans="1:9" x14ac:dyDescent="0.2">
      <c r="A168" s="9">
        <v>1</v>
      </c>
      <c r="B168" s="9">
        <v>34</v>
      </c>
      <c r="C168" s="9">
        <v>1</v>
      </c>
      <c r="D168" s="9">
        <v>2</v>
      </c>
      <c r="E168" s="9">
        <v>11</v>
      </c>
      <c r="F168" s="9">
        <v>25</v>
      </c>
      <c r="G168" s="9">
        <v>12.6</v>
      </c>
      <c r="H168" s="9">
        <v>0.56999999999999995</v>
      </c>
      <c r="I168" s="9">
        <v>2.58</v>
      </c>
    </row>
    <row r="169" spans="1:9" x14ac:dyDescent="0.2">
      <c r="A169" s="9">
        <v>1</v>
      </c>
      <c r="B169" s="9">
        <v>25</v>
      </c>
      <c r="C169" s="9">
        <v>1</v>
      </c>
      <c r="D169" s="9">
        <v>3</v>
      </c>
      <c r="E169" s="9">
        <v>2</v>
      </c>
      <c r="F169" s="9">
        <v>18</v>
      </c>
      <c r="G169" s="9">
        <v>16.3</v>
      </c>
      <c r="H169" s="9">
        <v>0.35</v>
      </c>
      <c r="I169" s="9">
        <v>2.58</v>
      </c>
    </row>
    <row r="170" spans="1:9" x14ac:dyDescent="0.2">
      <c r="A170" s="9">
        <v>0</v>
      </c>
      <c r="B170" s="9">
        <v>36</v>
      </c>
      <c r="C170" s="9">
        <v>6</v>
      </c>
      <c r="D170" s="9">
        <v>0</v>
      </c>
      <c r="E170" s="9">
        <v>17</v>
      </c>
      <c r="F170" s="9">
        <v>30</v>
      </c>
      <c r="G170" s="9">
        <v>9.6999999999999993</v>
      </c>
      <c r="H170" s="9">
        <v>0.33</v>
      </c>
      <c r="I170" s="9">
        <v>2.58</v>
      </c>
    </row>
    <row r="171" spans="1:9" x14ac:dyDescent="0.2">
      <c r="A171" s="9">
        <v>0</v>
      </c>
      <c r="B171" s="9">
        <v>47</v>
      </c>
      <c r="C171" s="9">
        <v>1</v>
      </c>
      <c r="D171" s="9">
        <v>4</v>
      </c>
      <c r="E171" s="9">
        <v>2</v>
      </c>
      <c r="F171" s="9">
        <v>26</v>
      </c>
      <c r="G171" s="9">
        <v>10.4</v>
      </c>
      <c r="H171" s="9">
        <v>0.12</v>
      </c>
      <c r="I171" s="9">
        <v>2.58</v>
      </c>
    </row>
    <row r="172" spans="1:9" x14ac:dyDescent="0.2">
      <c r="A172" s="9">
        <v>0</v>
      </c>
      <c r="B172" s="9">
        <v>42</v>
      </c>
      <c r="C172" s="9">
        <v>1</v>
      </c>
      <c r="D172" s="9">
        <v>6</v>
      </c>
      <c r="E172" s="9">
        <v>9</v>
      </c>
      <c r="F172" s="9">
        <v>31</v>
      </c>
      <c r="G172" s="9">
        <v>11.6</v>
      </c>
      <c r="H172" s="9">
        <v>1.02</v>
      </c>
      <c r="I172" s="9">
        <v>2.57</v>
      </c>
    </row>
    <row r="173" spans="1:9" x14ac:dyDescent="0.2">
      <c r="A173" s="9">
        <v>0</v>
      </c>
      <c r="B173" s="9">
        <v>27</v>
      </c>
      <c r="C173" s="9">
        <v>2</v>
      </c>
      <c r="D173" s="9">
        <v>1</v>
      </c>
      <c r="E173" s="9">
        <v>0</v>
      </c>
      <c r="F173" s="9">
        <v>23</v>
      </c>
      <c r="G173" s="9">
        <v>12.4</v>
      </c>
      <c r="H173" s="9">
        <v>0.28999999999999998</v>
      </c>
      <c r="I173" s="9">
        <v>2.57</v>
      </c>
    </row>
    <row r="174" spans="1:9" x14ac:dyDescent="0.2">
      <c r="A174" s="9">
        <v>0</v>
      </c>
      <c r="B174" s="9">
        <v>34</v>
      </c>
      <c r="C174" s="9">
        <v>2</v>
      </c>
      <c r="D174" s="9">
        <v>10</v>
      </c>
      <c r="E174" s="9">
        <v>2</v>
      </c>
      <c r="F174" s="9">
        <v>33</v>
      </c>
      <c r="G174" s="9">
        <v>9.5</v>
      </c>
      <c r="H174" s="9">
        <v>0.56999999999999995</v>
      </c>
      <c r="I174" s="9">
        <v>2.56</v>
      </c>
    </row>
    <row r="175" spans="1:9" x14ac:dyDescent="0.2">
      <c r="A175" s="9">
        <v>0</v>
      </c>
      <c r="B175" s="9">
        <v>34</v>
      </c>
      <c r="C175" s="9">
        <v>1</v>
      </c>
      <c r="D175" s="9">
        <v>13</v>
      </c>
      <c r="E175" s="9">
        <v>8</v>
      </c>
      <c r="F175" s="9">
        <v>56</v>
      </c>
      <c r="G175" s="9">
        <v>6.1</v>
      </c>
      <c r="H175" s="9">
        <v>0.86</v>
      </c>
      <c r="I175" s="9">
        <v>2.5499999999999998</v>
      </c>
    </row>
    <row r="176" spans="1:9" x14ac:dyDescent="0.2">
      <c r="A176" s="9">
        <v>1</v>
      </c>
      <c r="B176" s="9">
        <v>30</v>
      </c>
      <c r="C176" s="9">
        <v>1</v>
      </c>
      <c r="D176" s="9">
        <v>0</v>
      </c>
      <c r="E176" s="9">
        <v>8</v>
      </c>
      <c r="F176" s="9">
        <v>19</v>
      </c>
      <c r="G176" s="9">
        <v>16.600000000000001</v>
      </c>
      <c r="H176" s="9">
        <v>0.62</v>
      </c>
      <c r="I176" s="9">
        <v>2.5299999999999998</v>
      </c>
    </row>
    <row r="177" spans="1:9" x14ac:dyDescent="0.2">
      <c r="A177" s="9">
        <v>0</v>
      </c>
      <c r="B177" s="9">
        <v>27</v>
      </c>
      <c r="C177" s="9">
        <v>3</v>
      </c>
      <c r="D177" s="9">
        <v>5</v>
      </c>
      <c r="E177" s="9">
        <v>1</v>
      </c>
      <c r="F177" s="9">
        <v>75</v>
      </c>
      <c r="G177" s="9">
        <v>6.3</v>
      </c>
      <c r="H177" s="9">
        <v>2.21</v>
      </c>
      <c r="I177" s="9">
        <v>2.52</v>
      </c>
    </row>
    <row r="178" spans="1:9" x14ac:dyDescent="0.2">
      <c r="A178" s="9">
        <v>1</v>
      </c>
      <c r="B178" s="9">
        <v>41</v>
      </c>
      <c r="C178" s="9">
        <v>2</v>
      </c>
      <c r="D178" s="9">
        <v>6</v>
      </c>
      <c r="E178" s="9">
        <v>0</v>
      </c>
      <c r="F178" s="9">
        <v>36</v>
      </c>
      <c r="G178" s="9">
        <v>19.5</v>
      </c>
      <c r="H178" s="9">
        <v>4.51</v>
      </c>
      <c r="I178" s="9">
        <v>2.5099999999999998</v>
      </c>
    </row>
    <row r="179" spans="1:9" x14ac:dyDescent="0.2">
      <c r="A179" s="9">
        <v>1</v>
      </c>
      <c r="B179" s="9">
        <v>43</v>
      </c>
      <c r="C179" s="9">
        <v>1</v>
      </c>
      <c r="D179" s="9">
        <v>13</v>
      </c>
      <c r="E179" s="9">
        <v>23</v>
      </c>
      <c r="F179" s="9">
        <v>76</v>
      </c>
      <c r="G179" s="9">
        <v>6.1</v>
      </c>
      <c r="H179" s="9">
        <v>2.15</v>
      </c>
      <c r="I179" s="9">
        <v>2.48</v>
      </c>
    </row>
    <row r="180" spans="1:9" x14ac:dyDescent="0.2">
      <c r="A180" s="9">
        <v>0</v>
      </c>
      <c r="B180" s="9">
        <v>52</v>
      </c>
      <c r="C180" s="9">
        <v>1</v>
      </c>
      <c r="D180" s="9">
        <v>24</v>
      </c>
      <c r="E180" s="9">
        <v>14</v>
      </c>
      <c r="F180" s="9">
        <v>64</v>
      </c>
      <c r="G180" s="9">
        <v>10</v>
      </c>
      <c r="H180" s="9">
        <v>3.93</v>
      </c>
      <c r="I180" s="9">
        <v>2.4700000000000002</v>
      </c>
    </row>
    <row r="181" spans="1:9" x14ac:dyDescent="0.2">
      <c r="A181" s="9">
        <v>0</v>
      </c>
      <c r="B181" s="9">
        <v>39</v>
      </c>
      <c r="C181" s="9">
        <v>3</v>
      </c>
      <c r="D181" s="9">
        <v>11</v>
      </c>
      <c r="E181" s="9">
        <v>17</v>
      </c>
      <c r="F181" s="9">
        <v>39</v>
      </c>
      <c r="G181" s="9">
        <v>12.9</v>
      </c>
      <c r="H181" s="9">
        <v>2.56</v>
      </c>
      <c r="I181" s="9">
        <v>2.4700000000000002</v>
      </c>
    </row>
    <row r="182" spans="1:9" x14ac:dyDescent="0.2">
      <c r="A182" s="9">
        <v>0</v>
      </c>
      <c r="B182" s="9">
        <v>32</v>
      </c>
      <c r="C182" s="9">
        <v>1</v>
      </c>
      <c r="D182" s="9">
        <v>10</v>
      </c>
      <c r="E182" s="9">
        <v>13</v>
      </c>
      <c r="F182" s="9">
        <v>32</v>
      </c>
      <c r="G182" s="9">
        <v>11.3</v>
      </c>
      <c r="H182" s="9">
        <v>1.17</v>
      </c>
      <c r="I182" s="9">
        <v>2.4500000000000002</v>
      </c>
    </row>
    <row r="183" spans="1:9" x14ac:dyDescent="0.2">
      <c r="A183" s="9">
        <v>0</v>
      </c>
      <c r="B183" s="9">
        <v>41</v>
      </c>
      <c r="C183" s="9">
        <v>2</v>
      </c>
      <c r="D183" s="9">
        <v>19</v>
      </c>
      <c r="E183" s="9">
        <v>2</v>
      </c>
      <c r="F183" s="9">
        <v>68</v>
      </c>
      <c r="G183" s="9">
        <v>5.8</v>
      </c>
      <c r="H183" s="9">
        <v>1.51</v>
      </c>
      <c r="I183" s="9">
        <v>2.44</v>
      </c>
    </row>
    <row r="184" spans="1:9" x14ac:dyDescent="0.2">
      <c r="A184" s="9">
        <v>0</v>
      </c>
      <c r="B184" s="9">
        <v>26</v>
      </c>
      <c r="C184" s="9">
        <v>2</v>
      </c>
      <c r="D184" s="9">
        <v>4</v>
      </c>
      <c r="E184" s="9">
        <v>3</v>
      </c>
      <c r="F184" s="9">
        <v>28</v>
      </c>
      <c r="G184" s="9">
        <v>9.5</v>
      </c>
      <c r="H184" s="9">
        <v>0.23</v>
      </c>
      <c r="I184" s="9">
        <v>2.4300000000000002</v>
      </c>
    </row>
    <row r="185" spans="1:9" x14ac:dyDescent="0.2">
      <c r="A185" s="9">
        <v>0</v>
      </c>
      <c r="B185" s="9">
        <v>36</v>
      </c>
      <c r="C185" s="9">
        <v>1</v>
      </c>
      <c r="D185" s="9">
        <v>4</v>
      </c>
      <c r="E185" s="9">
        <v>10</v>
      </c>
      <c r="F185" s="9">
        <v>23</v>
      </c>
      <c r="G185" s="9">
        <v>16.3</v>
      </c>
      <c r="H185" s="9">
        <v>1.33</v>
      </c>
      <c r="I185" s="9">
        <v>2.42</v>
      </c>
    </row>
    <row r="186" spans="1:9" x14ac:dyDescent="0.2">
      <c r="A186" s="9">
        <v>0</v>
      </c>
      <c r="B186" s="9">
        <v>39</v>
      </c>
      <c r="C186" s="9">
        <v>1</v>
      </c>
      <c r="D186" s="9">
        <v>20</v>
      </c>
      <c r="E186" s="9">
        <v>12</v>
      </c>
      <c r="F186" s="9">
        <v>39</v>
      </c>
      <c r="G186" s="9">
        <v>8.1999999999999993</v>
      </c>
      <c r="H186" s="9">
        <v>0.77</v>
      </c>
      <c r="I186" s="9">
        <v>2.42</v>
      </c>
    </row>
    <row r="187" spans="1:9" x14ac:dyDescent="0.2">
      <c r="A187" s="9">
        <v>0</v>
      </c>
      <c r="B187" s="9">
        <v>36</v>
      </c>
      <c r="C187" s="9">
        <v>1</v>
      </c>
      <c r="D187" s="9">
        <v>4</v>
      </c>
      <c r="E187" s="9">
        <v>15</v>
      </c>
      <c r="F187" s="9">
        <v>17</v>
      </c>
      <c r="G187" s="9">
        <v>17.3</v>
      </c>
      <c r="H187" s="9">
        <v>0.52</v>
      </c>
      <c r="I187" s="9">
        <v>2.42</v>
      </c>
    </row>
    <row r="188" spans="1:9" x14ac:dyDescent="0.2">
      <c r="A188" s="9">
        <v>1</v>
      </c>
      <c r="B188" s="9">
        <v>35</v>
      </c>
      <c r="C188" s="9">
        <v>2</v>
      </c>
      <c r="D188" s="9">
        <v>1</v>
      </c>
      <c r="E188" s="9">
        <v>8</v>
      </c>
      <c r="F188" s="9">
        <v>24</v>
      </c>
      <c r="G188" s="9">
        <v>12.5</v>
      </c>
      <c r="H188" s="9">
        <v>0.59</v>
      </c>
      <c r="I188" s="9">
        <v>2.41</v>
      </c>
    </row>
    <row r="189" spans="1:9" x14ac:dyDescent="0.2">
      <c r="A189" s="9">
        <v>0</v>
      </c>
      <c r="B189" s="9">
        <v>29</v>
      </c>
      <c r="C189" s="9">
        <v>1</v>
      </c>
      <c r="D189" s="9">
        <v>9</v>
      </c>
      <c r="E189" s="9">
        <v>0</v>
      </c>
      <c r="F189" s="9">
        <v>25</v>
      </c>
      <c r="G189" s="9">
        <v>13.9</v>
      </c>
      <c r="H189" s="9">
        <v>1.07</v>
      </c>
      <c r="I189" s="9">
        <v>2.4</v>
      </c>
    </row>
    <row r="190" spans="1:9" x14ac:dyDescent="0.2">
      <c r="A190" s="9">
        <v>0</v>
      </c>
      <c r="B190" s="9">
        <v>42</v>
      </c>
      <c r="C190" s="9">
        <v>2</v>
      </c>
      <c r="D190" s="9">
        <v>21</v>
      </c>
      <c r="E190" s="9">
        <v>11</v>
      </c>
      <c r="F190" s="13">
        <v>117.54291069294821</v>
      </c>
      <c r="G190" s="9">
        <v>3.1</v>
      </c>
      <c r="H190" s="9">
        <v>1.37</v>
      </c>
      <c r="I190" s="9">
        <v>2.39</v>
      </c>
    </row>
    <row r="191" spans="1:9" x14ac:dyDescent="0.2">
      <c r="A191" s="9">
        <v>1</v>
      </c>
      <c r="B191" s="9">
        <v>31</v>
      </c>
      <c r="C191" s="9">
        <v>2</v>
      </c>
      <c r="D191" s="9">
        <v>0</v>
      </c>
      <c r="E191" s="9">
        <v>4</v>
      </c>
      <c r="F191" s="9">
        <v>27</v>
      </c>
      <c r="G191" s="9">
        <v>12.8</v>
      </c>
      <c r="H191" s="9">
        <v>1.0900000000000001</v>
      </c>
      <c r="I191" s="9">
        <v>2.37</v>
      </c>
    </row>
    <row r="192" spans="1:9" x14ac:dyDescent="0.2">
      <c r="A192" s="9">
        <v>0</v>
      </c>
      <c r="B192" s="9">
        <v>22</v>
      </c>
      <c r="C192" s="9">
        <v>1</v>
      </c>
      <c r="D192" s="9">
        <v>1</v>
      </c>
      <c r="E192" s="9">
        <v>3</v>
      </c>
      <c r="F192" s="9">
        <v>17</v>
      </c>
      <c r="G192" s="9">
        <v>18.600000000000001</v>
      </c>
      <c r="H192" s="9">
        <v>0.81</v>
      </c>
      <c r="I192" s="9">
        <v>2.36</v>
      </c>
    </row>
    <row r="193" spans="1:9" x14ac:dyDescent="0.2">
      <c r="A193" s="9">
        <v>1</v>
      </c>
      <c r="B193" s="9">
        <v>44</v>
      </c>
      <c r="C193" s="9">
        <v>1</v>
      </c>
      <c r="D193" s="9">
        <v>5</v>
      </c>
      <c r="E193" s="9">
        <v>3</v>
      </c>
      <c r="F193" s="9">
        <v>48</v>
      </c>
      <c r="G193" s="9">
        <v>9</v>
      </c>
      <c r="H193" s="9">
        <v>1.97</v>
      </c>
      <c r="I193" s="9">
        <v>2.35</v>
      </c>
    </row>
    <row r="194" spans="1:9" x14ac:dyDescent="0.2">
      <c r="A194" s="9">
        <v>0</v>
      </c>
      <c r="B194" s="9">
        <v>31</v>
      </c>
      <c r="C194" s="9">
        <v>1</v>
      </c>
      <c r="D194" s="9">
        <v>5</v>
      </c>
      <c r="E194" s="9">
        <v>3</v>
      </c>
      <c r="F194" s="9">
        <v>25</v>
      </c>
      <c r="G194" s="9">
        <v>14.1</v>
      </c>
      <c r="H194" s="9">
        <v>1.18</v>
      </c>
      <c r="I194" s="9">
        <v>2.35</v>
      </c>
    </row>
    <row r="195" spans="1:9" x14ac:dyDescent="0.2">
      <c r="A195" s="9">
        <v>0</v>
      </c>
      <c r="B195" s="9">
        <v>23</v>
      </c>
      <c r="C195" s="9">
        <v>1</v>
      </c>
      <c r="D195" s="9">
        <v>7</v>
      </c>
      <c r="E195" s="9">
        <v>3</v>
      </c>
      <c r="F195" s="9">
        <v>22</v>
      </c>
      <c r="G195" s="9">
        <v>14.4</v>
      </c>
      <c r="H195" s="9">
        <v>0.85</v>
      </c>
      <c r="I195" s="9">
        <v>2.3199999999999998</v>
      </c>
    </row>
    <row r="196" spans="1:9" x14ac:dyDescent="0.2">
      <c r="A196" s="9">
        <v>1</v>
      </c>
      <c r="B196" s="9">
        <v>36</v>
      </c>
      <c r="C196" s="9">
        <v>1</v>
      </c>
      <c r="D196" s="9">
        <v>10</v>
      </c>
      <c r="E196" s="9">
        <v>0</v>
      </c>
      <c r="F196" s="9">
        <v>28</v>
      </c>
      <c r="G196" s="9">
        <v>11.2</v>
      </c>
      <c r="H196" s="9">
        <v>0.82</v>
      </c>
      <c r="I196" s="9">
        <v>2.3199999999999998</v>
      </c>
    </row>
    <row r="197" spans="1:9" x14ac:dyDescent="0.2">
      <c r="A197" s="9">
        <v>0</v>
      </c>
      <c r="B197" s="9">
        <v>29</v>
      </c>
      <c r="C197" s="9">
        <v>1</v>
      </c>
      <c r="D197" s="9">
        <v>1</v>
      </c>
      <c r="E197" s="9">
        <v>8</v>
      </c>
      <c r="F197" s="9">
        <v>31</v>
      </c>
      <c r="G197" s="9">
        <v>8</v>
      </c>
      <c r="H197" s="9">
        <v>0.16</v>
      </c>
      <c r="I197" s="9">
        <v>2.3199999999999998</v>
      </c>
    </row>
    <row r="198" spans="1:9" x14ac:dyDescent="0.2">
      <c r="A198" s="9">
        <v>0</v>
      </c>
      <c r="B198" s="9">
        <v>40</v>
      </c>
      <c r="C198" s="9">
        <v>2</v>
      </c>
      <c r="D198" s="9">
        <v>8</v>
      </c>
      <c r="E198" s="9">
        <v>19</v>
      </c>
      <c r="F198" s="9">
        <v>57</v>
      </c>
      <c r="G198" s="9">
        <v>5.6</v>
      </c>
      <c r="H198" s="9">
        <v>0.88</v>
      </c>
      <c r="I198" s="9">
        <v>2.31</v>
      </c>
    </row>
    <row r="199" spans="1:9" x14ac:dyDescent="0.2">
      <c r="A199" s="9">
        <v>0</v>
      </c>
      <c r="B199" s="9">
        <v>32</v>
      </c>
      <c r="C199" s="9">
        <v>1</v>
      </c>
      <c r="D199" s="9">
        <v>10</v>
      </c>
      <c r="E199" s="9">
        <v>11</v>
      </c>
      <c r="F199" s="9">
        <v>42</v>
      </c>
      <c r="G199" s="9">
        <v>9.1</v>
      </c>
      <c r="H199" s="9">
        <v>1.54</v>
      </c>
      <c r="I199" s="9">
        <v>2.2799999999999998</v>
      </c>
    </row>
    <row r="200" spans="1:9" x14ac:dyDescent="0.2">
      <c r="A200" s="9">
        <v>0</v>
      </c>
      <c r="B200" s="9">
        <v>36</v>
      </c>
      <c r="C200" s="9">
        <v>1</v>
      </c>
      <c r="D200" s="9">
        <v>18</v>
      </c>
      <c r="E200" s="9">
        <v>9</v>
      </c>
      <c r="F200" s="9">
        <v>67</v>
      </c>
      <c r="G200" s="9">
        <v>11.2</v>
      </c>
      <c r="H200" s="9">
        <v>5.25</v>
      </c>
      <c r="I200" s="9">
        <v>2.2599999999999998</v>
      </c>
    </row>
    <row r="201" spans="1:9" x14ac:dyDescent="0.2">
      <c r="A201" s="9">
        <v>0</v>
      </c>
      <c r="B201" s="9">
        <v>29</v>
      </c>
      <c r="C201" s="9">
        <v>1</v>
      </c>
      <c r="D201" s="9">
        <v>8</v>
      </c>
      <c r="E201" s="9">
        <v>6</v>
      </c>
      <c r="F201" s="9">
        <v>27</v>
      </c>
      <c r="G201" s="9">
        <v>9.8000000000000007</v>
      </c>
      <c r="H201" s="9">
        <v>0.4</v>
      </c>
      <c r="I201" s="9">
        <v>2.2400000000000002</v>
      </c>
    </row>
    <row r="202" spans="1:9" x14ac:dyDescent="0.2">
      <c r="A202" s="9">
        <v>0</v>
      </c>
      <c r="B202" s="9">
        <v>46</v>
      </c>
      <c r="C202" s="9">
        <v>1</v>
      </c>
      <c r="D202" s="9">
        <v>14</v>
      </c>
      <c r="E202" s="9">
        <v>25</v>
      </c>
      <c r="F202" s="9">
        <v>35</v>
      </c>
      <c r="G202" s="9">
        <v>10.199999999999999</v>
      </c>
      <c r="H202" s="9">
        <v>1.35</v>
      </c>
      <c r="I202" s="9">
        <v>2.2200000000000002</v>
      </c>
    </row>
    <row r="203" spans="1:9" x14ac:dyDescent="0.2">
      <c r="A203" s="9">
        <v>0</v>
      </c>
      <c r="B203" s="9">
        <v>22</v>
      </c>
      <c r="C203" s="9">
        <v>1</v>
      </c>
      <c r="D203" s="9">
        <v>4</v>
      </c>
      <c r="E203" s="9">
        <v>3</v>
      </c>
      <c r="F203" s="9">
        <v>14</v>
      </c>
      <c r="G203" s="9">
        <v>17.5</v>
      </c>
      <c r="H203" s="9">
        <v>0.23</v>
      </c>
      <c r="I203" s="9">
        <v>2.2200000000000002</v>
      </c>
    </row>
    <row r="204" spans="1:9" x14ac:dyDescent="0.2">
      <c r="A204" s="9">
        <v>0</v>
      </c>
      <c r="B204" s="9">
        <v>28</v>
      </c>
      <c r="C204" s="9">
        <v>1</v>
      </c>
      <c r="D204" s="9">
        <v>4</v>
      </c>
      <c r="E204" s="9">
        <v>7</v>
      </c>
      <c r="F204" s="9">
        <v>26</v>
      </c>
      <c r="G204" s="9">
        <v>13.5</v>
      </c>
      <c r="H204" s="9">
        <v>1.3</v>
      </c>
      <c r="I204" s="9">
        <v>2.21</v>
      </c>
    </row>
    <row r="205" spans="1:9" x14ac:dyDescent="0.2">
      <c r="A205" s="9">
        <v>0</v>
      </c>
      <c r="B205" s="9">
        <v>45</v>
      </c>
      <c r="C205" s="9">
        <v>1</v>
      </c>
      <c r="D205" s="9">
        <v>12</v>
      </c>
      <c r="E205" s="9">
        <v>19</v>
      </c>
      <c r="F205" s="9">
        <v>37</v>
      </c>
      <c r="G205" s="9">
        <v>9.5</v>
      </c>
      <c r="H205" s="9">
        <v>1.34</v>
      </c>
      <c r="I205" s="9">
        <v>2.17</v>
      </c>
    </row>
    <row r="206" spans="1:9" x14ac:dyDescent="0.2">
      <c r="A206" s="9">
        <v>0</v>
      </c>
      <c r="B206" s="9">
        <v>40</v>
      </c>
      <c r="C206" s="9">
        <v>1</v>
      </c>
      <c r="D206" s="9">
        <v>15</v>
      </c>
      <c r="E206" s="9">
        <v>14</v>
      </c>
      <c r="F206" s="9">
        <v>55</v>
      </c>
      <c r="G206" s="9">
        <v>5.5</v>
      </c>
      <c r="H206" s="9">
        <v>0.86</v>
      </c>
      <c r="I206" s="9">
        <v>2.17</v>
      </c>
    </row>
    <row r="207" spans="1:9" x14ac:dyDescent="0.2">
      <c r="A207" s="9">
        <v>0</v>
      </c>
      <c r="B207" s="9">
        <v>28</v>
      </c>
      <c r="C207" s="9">
        <v>1</v>
      </c>
      <c r="D207" s="9">
        <v>3</v>
      </c>
      <c r="E207" s="9">
        <v>6</v>
      </c>
      <c r="F207" s="9">
        <v>26</v>
      </c>
      <c r="G207" s="9">
        <v>10</v>
      </c>
      <c r="H207" s="9">
        <v>0.43</v>
      </c>
      <c r="I207" s="9">
        <v>2.17</v>
      </c>
    </row>
    <row r="208" spans="1:9" x14ac:dyDescent="0.2">
      <c r="A208" s="9">
        <v>0</v>
      </c>
      <c r="B208" s="9">
        <v>41</v>
      </c>
      <c r="C208" s="9">
        <v>2</v>
      </c>
      <c r="D208" s="9">
        <v>5</v>
      </c>
      <c r="E208" s="9">
        <v>5</v>
      </c>
      <c r="F208" s="9">
        <v>25</v>
      </c>
      <c r="G208" s="9">
        <v>10.199999999999999</v>
      </c>
      <c r="H208" s="9">
        <v>0.39</v>
      </c>
      <c r="I208" s="9">
        <v>2.16</v>
      </c>
    </row>
    <row r="209" spans="1:9" x14ac:dyDescent="0.2">
      <c r="A209" s="9">
        <v>0</v>
      </c>
      <c r="B209" s="9">
        <v>36</v>
      </c>
      <c r="C209" s="9">
        <v>1</v>
      </c>
      <c r="D209" s="9">
        <v>0</v>
      </c>
      <c r="E209" s="9">
        <v>13</v>
      </c>
      <c r="F209" s="9">
        <v>25</v>
      </c>
      <c r="G209" s="9">
        <v>19.7</v>
      </c>
      <c r="H209" s="9">
        <v>2.78</v>
      </c>
      <c r="I209" s="9">
        <v>2.15</v>
      </c>
    </row>
    <row r="210" spans="1:9" x14ac:dyDescent="0.2">
      <c r="A210" s="9">
        <v>0</v>
      </c>
      <c r="B210" s="9">
        <v>31</v>
      </c>
      <c r="C210" s="9">
        <v>4</v>
      </c>
      <c r="D210" s="9">
        <v>1</v>
      </c>
      <c r="E210" s="9">
        <v>6</v>
      </c>
      <c r="F210" s="9">
        <v>29</v>
      </c>
      <c r="G210" s="9">
        <v>11.1</v>
      </c>
      <c r="H210" s="9">
        <v>1.07</v>
      </c>
      <c r="I210" s="9">
        <v>2.15</v>
      </c>
    </row>
    <row r="211" spans="1:9" x14ac:dyDescent="0.2">
      <c r="A211" s="9">
        <v>1</v>
      </c>
      <c r="B211" s="9">
        <v>21</v>
      </c>
      <c r="C211" s="9">
        <v>2</v>
      </c>
      <c r="D211" s="9">
        <v>0</v>
      </c>
      <c r="E211" s="9">
        <v>2</v>
      </c>
      <c r="F211" s="9">
        <v>21</v>
      </c>
      <c r="G211" s="9">
        <v>12.5</v>
      </c>
      <c r="H211" s="9">
        <v>0.49</v>
      </c>
      <c r="I211" s="9">
        <v>2.14</v>
      </c>
    </row>
    <row r="212" spans="1:9" x14ac:dyDescent="0.2">
      <c r="A212" s="9">
        <v>0</v>
      </c>
      <c r="B212" s="9">
        <v>30</v>
      </c>
      <c r="C212" s="9">
        <v>2</v>
      </c>
      <c r="D212" s="9">
        <v>10</v>
      </c>
      <c r="E212" s="9">
        <v>4</v>
      </c>
      <c r="F212" s="9">
        <v>22</v>
      </c>
      <c r="G212" s="9">
        <v>16.100000000000001</v>
      </c>
      <c r="H212" s="9">
        <v>1.41</v>
      </c>
      <c r="I212" s="9">
        <v>2.13</v>
      </c>
    </row>
    <row r="213" spans="1:9" x14ac:dyDescent="0.2">
      <c r="A213" s="9">
        <v>0</v>
      </c>
      <c r="B213" s="9">
        <v>36</v>
      </c>
      <c r="C213" s="9">
        <v>1</v>
      </c>
      <c r="D213" s="9">
        <v>6</v>
      </c>
      <c r="E213" s="9">
        <v>9</v>
      </c>
      <c r="F213" s="9">
        <v>26</v>
      </c>
      <c r="G213" s="9">
        <v>8.3000000000000007</v>
      </c>
      <c r="H213" s="9">
        <v>0.97</v>
      </c>
      <c r="I213" s="9">
        <v>2.13</v>
      </c>
    </row>
    <row r="214" spans="1:9" x14ac:dyDescent="0.2">
      <c r="A214" s="9">
        <v>0</v>
      </c>
      <c r="B214" s="9">
        <v>31</v>
      </c>
      <c r="C214" s="9">
        <v>1</v>
      </c>
      <c r="D214" s="9">
        <v>11</v>
      </c>
      <c r="E214" s="9">
        <v>8</v>
      </c>
      <c r="F214" s="9">
        <v>25</v>
      </c>
      <c r="G214" s="9">
        <v>9.1</v>
      </c>
      <c r="H214" s="9">
        <v>0.14000000000000001</v>
      </c>
      <c r="I214" s="9">
        <v>2.13</v>
      </c>
    </row>
    <row r="215" spans="1:9" x14ac:dyDescent="0.2">
      <c r="A215" s="9">
        <v>1</v>
      </c>
      <c r="B215" s="9">
        <v>22</v>
      </c>
      <c r="C215" s="9">
        <v>1</v>
      </c>
      <c r="D215" s="9">
        <v>4</v>
      </c>
      <c r="E215" s="9">
        <v>2</v>
      </c>
      <c r="F215" s="9">
        <v>24</v>
      </c>
      <c r="G215" s="9">
        <v>15.6</v>
      </c>
      <c r="H215" s="9">
        <v>1.64</v>
      </c>
      <c r="I215" s="9">
        <v>2.11</v>
      </c>
    </row>
    <row r="216" spans="1:9" x14ac:dyDescent="0.2">
      <c r="A216" s="9">
        <v>0</v>
      </c>
      <c r="B216" s="9">
        <v>40</v>
      </c>
      <c r="C216" s="9">
        <v>2</v>
      </c>
      <c r="D216" s="9">
        <v>3</v>
      </c>
      <c r="E216" s="9">
        <v>2</v>
      </c>
      <c r="F216" s="9">
        <v>28</v>
      </c>
      <c r="G216" s="9">
        <v>9.5</v>
      </c>
      <c r="H216" s="9">
        <v>0.55000000000000004</v>
      </c>
      <c r="I216" s="9">
        <v>2.11</v>
      </c>
    </row>
    <row r="217" spans="1:9" x14ac:dyDescent="0.2">
      <c r="A217" s="9">
        <v>0</v>
      </c>
      <c r="B217" s="9">
        <v>30</v>
      </c>
      <c r="C217" s="9">
        <v>1</v>
      </c>
      <c r="D217" s="9">
        <v>11</v>
      </c>
      <c r="E217" s="9">
        <v>1</v>
      </c>
      <c r="F217" s="9">
        <v>33</v>
      </c>
      <c r="G217" s="9">
        <v>8.4</v>
      </c>
      <c r="H217" s="9">
        <v>0.68</v>
      </c>
      <c r="I217" s="9">
        <v>2.09</v>
      </c>
    </row>
    <row r="218" spans="1:9" x14ac:dyDescent="0.2">
      <c r="A218" s="9">
        <v>1</v>
      </c>
      <c r="B218" s="9">
        <v>24</v>
      </c>
      <c r="C218" s="9">
        <v>2</v>
      </c>
      <c r="D218" s="9">
        <v>0</v>
      </c>
      <c r="E218" s="9">
        <v>2</v>
      </c>
      <c r="F218" s="9">
        <v>15</v>
      </c>
      <c r="G218" s="9">
        <v>16.100000000000001</v>
      </c>
      <c r="H218" s="9">
        <v>0.32</v>
      </c>
      <c r="I218" s="9">
        <v>2.09</v>
      </c>
    </row>
    <row r="219" spans="1:9" x14ac:dyDescent="0.2">
      <c r="A219" s="9">
        <v>0</v>
      </c>
      <c r="B219" s="9">
        <v>31</v>
      </c>
      <c r="C219" s="9">
        <v>1</v>
      </c>
      <c r="D219" s="9">
        <v>15</v>
      </c>
      <c r="E219" s="9">
        <v>2</v>
      </c>
      <c r="F219" s="9">
        <v>60</v>
      </c>
      <c r="G219" s="9">
        <v>4.8</v>
      </c>
      <c r="H219" s="9">
        <v>0.8</v>
      </c>
      <c r="I219" s="9">
        <v>2.08</v>
      </c>
    </row>
    <row r="220" spans="1:9" x14ac:dyDescent="0.2">
      <c r="A220" s="9">
        <v>0</v>
      </c>
      <c r="B220" s="9">
        <v>34</v>
      </c>
      <c r="C220" s="9">
        <v>2</v>
      </c>
      <c r="D220" s="9">
        <v>8</v>
      </c>
      <c r="E220" s="9">
        <v>6</v>
      </c>
      <c r="F220" s="9">
        <v>78</v>
      </c>
      <c r="G220" s="9">
        <v>5.4</v>
      </c>
      <c r="H220" s="9">
        <v>2.16</v>
      </c>
      <c r="I220" s="9">
        <v>2.06</v>
      </c>
    </row>
    <row r="221" spans="1:9" x14ac:dyDescent="0.2">
      <c r="A221" s="9">
        <v>0</v>
      </c>
      <c r="B221" s="9">
        <v>29</v>
      </c>
      <c r="C221" s="9">
        <v>2</v>
      </c>
      <c r="D221" s="9">
        <v>1</v>
      </c>
      <c r="E221" s="9">
        <v>7</v>
      </c>
      <c r="F221" s="9">
        <v>25</v>
      </c>
      <c r="G221" s="9">
        <v>10.4</v>
      </c>
      <c r="H221" s="9">
        <v>0.56999999999999995</v>
      </c>
      <c r="I221" s="9">
        <v>2.0299999999999998</v>
      </c>
    </row>
    <row r="222" spans="1:9" x14ac:dyDescent="0.2">
      <c r="A222" s="9">
        <v>0</v>
      </c>
      <c r="B222" s="9">
        <v>28</v>
      </c>
      <c r="C222" s="9">
        <v>2</v>
      </c>
      <c r="D222" s="9">
        <v>7</v>
      </c>
      <c r="E222" s="9">
        <v>2</v>
      </c>
      <c r="F222" s="9">
        <v>34</v>
      </c>
      <c r="G222" s="9">
        <v>7</v>
      </c>
      <c r="H222" s="9">
        <v>0.36</v>
      </c>
      <c r="I222" s="9">
        <v>2.02</v>
      </c>
    </row>
    <row r="223" spans="1:9" x14ac:dyDescent="0.2">
      <c r="A223" s="9">
        <v>0</v>
      </c>
      <c r="B223" s="9">
        <v>39</v>
      </c>
      <c r="C223" s="9">
        <v>1</v>
      </c>
      <c r="D223" s="9">
        <v>0</v>
      </c>
      <c r="E223" s="9">
        <v>8</v>
      </c>
      <c r="F223" s="9">
        <v>39</v>
      </c>
      <c r="G223" s="9">
        <v>7.9</v>
      </c>
      <c r="H223" s="9">
        <v>1.07</v>
      </c>
      <c r="I223" s="9">
        <v>2.0099999999999998</v>
      </c>
    </row>
    <row r="224" spans="1:9" x14ac:dyDescent="0.2">
      <c r="A224" s="9">
        <v>0</v>
      </c>
      <c r="B224" s="9">
        <v>30</v>
      </c>
      <c r="C224" s="9">
        <v>1</v>
      </c>
      <c r="D224" s="9">
        <v>8</v>
      </c>
      <c r="E224" s="9">
        <v>6</v>
      </c>
      <c r="F224" s="9">
        <v>23</v>
      </c>
      <c r="G224" s="9">
        <v>12</v>
      </c>
      <c r="H224" s="9">
        <v>0.76</v>
      </c>
      <c r="I224" s="9">
        <v>2</v>
      </c>
    </row>
    <row r="225" spans="1:9" x14ac:dyDescent="0.2">
      <c r="A225" s="9">
        <v>0</v>
      </c>
      <c r="B225" s="9">
        <v>25</v>
      </c>
      <c r="C225" s="9">
        <v>1</v>
      </c>
      <c r="D225" s="9">
        <v>5</v>
      </c>
      <c r="E225" s="9">
        <v>5</v>
      </c>
      <c r="F225" s="9">
        <v>22</v>
      </c>
      <c r="G225" s="9">
        <v>10.9</v>
      </c>
      <c r="H225" s="9">
        <v>0.4</v>
      </c>
      <c r="I225" s="9">
        <v>2</v>
      </c>
    </row>
    <row r="226" spans="1:9" x14ac:dyDescent="0.2">
      <c r="A226" s="9">
        <v>0</v>
      </c>
      <c r="B226" s="9">
        <v>46</v>
      </c>
      <c r="C226" s="9">
        <v>1</v>
      </c>
      <c r="D226" s="9">
        <v>1</v>
      </c>
      <c r="E226" s="9">
        <v>12</v>
      </c>
      <c r="F226" s="9">
        <v>20</v>
      </c>
      <c r="G226" s="9">
        <v>14</v>
      </c>
      <c r="H226" s="9">
        <v>0.81</v>
      </c>
      <c r="I226" s="9">
        <v>1.99</v>
      </c>
    </row>
    <row r="227" spans="1:9" x14ac:dyDescent="0.2">
      <c r="A227" s="9">
        <v>0</v>
      </c>
      <c r="B227" s="9">
        <v>37</v>
      </c>
      <c r="C227" s="9">
        <v>2</v>
      </c>
      <c r="D227" s="9">
        <v>11</v>
      </c>
      <c r="E227" s="9">
        <v>4</v>
      </c>
      <c r="F227" s="9">
        <v>75</v>
      </c>
      <c r="G227" s="9">
        <v>3.5</v>
      </c>
      <c r="H227" s="9">
        <v>0.63</v>
      </c>
      <c r="I227" s="9">
        <v>1.99</v>
      </c>
    </row>
    <row r="228" spans="1:9" x14ac:dyDescent="0.2">
      <c r="A228" s="9">
        <v>1</v>
      </c>
      <c r="B228" s="9">
        <v>41</v>
      </c>
      <c r="C228" s="9">
        <v>3</v>
      </c>
      <c r="D228" s="9">
        <v>2</v>
      </c>
      <c r="E228" s="9">
        <v>0</v>
      </c>
      <c r="F228" s="9">
        <v>15</v>
      </c>
      <c r="G228" s="9">
        <v>26.3</v>
      </c>
      <c r="H228" s="9">
        <v>1.96</v>
      </c>
      <c r="I228" s="9">
        <v>1.98</v>
      </c>
    </row>
    <row r="229" spans="1:9" x14ac:dyDescent="0.2">
      <c r="A229" s="9">
        <v>0</v>
      </c>
      <c r="B229" s="9">
        <v>37</v>
      </c>
      <c r="C229" s="9">
        <v>1</v>
      </c>
      <c r="D229" s="9">
        <v>4</v>
      </c>
      <c r="E229" s="9">
        <v>0</v>
      </c>
      <c r="F229" s="9">
        <v>23</v>
      </c>
      <c r="G229" s="9">
        <v>12.4</v>
      </c>
      <c r="H229" s="9">
        <v>0.87</v>
      </c>
      <c r="I229" s="9">
        <v>1.98</v>
      </c>
    </row>
    <row r="230" spans="1:9" x14ac:dyDescent="0.2">
      <c r="A230" s="9">
        <v>0</v>
      </c>
      <c r="B230" s="9">
        <v>28</v>
      </c>
      <c r="C230" s="9">
        <v>2</v>
      </c>
      <c r="D230" s="9">
        <v>6</v>
      </c>
      <c r="E230" s="9">
        <v>7</v>
      </c>
      <c r="F230" s="9">
        <v>38</v>
      </c>
      <c r="G230" s="9">
        <v>7.2</v>
      </c>
      <c r="H230" s="9">
        <v>0.77</v>
      </c>
      <c r="I230" s="9">
        <v>1.96</v>
      </c>
    </row>
    <row r="231" spans="1:9" x14ac:dyDescent="0.2">
      <c r="A231" s="9">
        <v>0</v>
      </c>
      <c r="B231" s="9">
        <v>28</v>
      </c>
      <c r="C231" s="9">
        <v>2</v>
      </c>
      <c r="D231" s="9">
        <v>5</v>
      </c>
      <c r="E231" s="9">
        <v>2</v>
      </c>
      <c r="F231" s="9">
        <v>37</v>
      </c>
      <c r="G231" s="9">
        <v>8.3000000000000007</v>
      </c>
      <c r="H231" s="9">
        <v>1.1200000000000001</v>
      </c>
      <c r="I231" s="9">
        <v>1.95</v>
      </c>
    </row>
    <row r="232" spans="1:9" x14ac:dyDescent="0.2">
      <c r="A232" s="9">
        <v>0</v>
      </c>
      <c r="B232" s="9">
        <v>39</v>
      </c>
      <c r="C232" s="9">
        <v>1</v>
      </c>
      <c r="D232" s="9">
        <v>22</v>
      </c>
      <c r="E232" s="9">
        <v>9</v>
      </c>
      <c r="F232" s="9">
        <v>113</v>
      </c>
      <c r="G232" s="9">
        <v>2.6</v>
      </c>
      <c r="H232" s="9">
        <v>0.99</v>
      </c>
      <c r="I232" s="9">
        <v>1.95</v>
      </c>
    </row>
    <row r="233" spans="1:9" x14ac:dyDescent="0.2">
      <c r="A233" s="9">
        <v>0</v>
      </c>
      <c r="B233" s="9">
        <v>37</v>
      </c>
      <c r="C233" s="9">
        <v>1</v>
      </c>
      <c r="D233" s="9">
        <v>18</v>
      </c>
      <c r="E233" s="9">
        <v>8</v>
      </c>
      <c r="F233" s="9">
        <v>54</v>
      </c>
      <c r="G233" s="9">
        <v>12.1</v>
      </c>
      <c r="H233" s="9">
        <v>4.59</v>
      </c>
      <c r="I233" s="9">
        <v>1.94</v>
      </c>
    </row>
    <row r="234" spans="1:9" x14ac:dyDescent="0.2">
      <c r="A234" s="9">
        <v>0</v>
      </c>
      <c r="B234" s="9">
        <v>34</v>
      </c>
      <c r="C234" s="9">
        <v>2</v>
      </c>
      <c r="D234" s="9">
        <v>9</v>
      </c>
      <c r="E234" s="9">
        <v>9</v>
      </c>
      <c r="F234" s="9">
        <v>65</v>
      </c>
      <c r="G234" s="9">
        <v>6.2</v>
      </c>
      <c r="H234" s="9">
        <v>2.11</v>
      </c>
      <c r="I234" s="9">
        <v>1.92</v>
      </c>
    </row>
    <row r="235" spans="1:9" x14ac:dyDescent="0.2">
      <c r="A235" s="9">
        <v>0</v>
      </c>
      <c r="B235" s="9">
        <v>39</v>
      </c>
      <c r="C235" s="9">
        <v>1</v>
      </c>
      <c r="D235" s="9">
        <v>4</v>
      </c>
      <c r="E235" s="9">
        <v>15</v>
      </c>
      <c r="F235" s="9">
        <v>33</v>
      </c>
      <c r="G235" s="9">
        <v>7</v>
      </c>
      <c r="H235" s="9">
        <v>0.4</v>
      </c>
      <c r="I235" s="9">
        <v>1.91</v>
      </c>
    </row>
    <row r="236" spans="1:9" x14ac:dyDescent="0.2">
      <c r="A236" s="9">
        <v>0</v>
      </c>
      <c r="B236" s="9">
        <v>41</v>
      </c>
      <c r="C236" s="9">
        <v>2</v>
      </c>
      <c r="D236" s="9">
        <v>2</v>
      </c>
      <c r="E236" s="9">
        <v>22</v>
      </c>
      <c r="F236" s="9">
        <v>30</v>
      </c>
      <c r="G236" s="9">
        <v>6.7</v>
      </c>
      <c r="H236" s="9">
        <v>0.11</v>
      </c>
      <c r="I236" s="9">
        <v>1.9</v>
      </c>
    </row>
    <row r="237" spans="1:9" x14ac:dyDescent="0.2">
      <c r="A237" s="9">
        <v>0</v>
      </c>
      <c r="B237" s="9">
        <v>45</v>
      </c>
      <c r="C237" s="9">
        <v>1</v>
      </c>
      <c r="D237" s="9">
        <v>10</v>
      </c>
      <c r="E237" s="9">
        <v>14</v>
      </c>
      <c r="F237" s="9">
        <v>52</v>
      </c>
      <c r="G237" s="9">
        <v>5.4</v>
      </c>
      <c r="H237" s="9">
        <v>0.93</v>
      </c>
      <c r="I237" s="9">
        <v>1.88</v>
      </c>
    </row>
    <row r="238" spans="1:9" x14ac:dyDescent="0.2">
      <c r="A238" s="9">
        <v>0</v>
      </c>
      <c r="B238" s="9">
        <v>28</v>
      </c>
      <c r="C238" s="9">
        <v>2</v>
      </c>
      <c r="D238" s="9">
        <v>6</v>
      </c>
      <c r="E238" s="9">
        <v>9</v>
      </c>
      <c r="F238" s="9">
        <v>22</v>
      </c>
      <c r="G238" s="9">
        <v>11.5</v>
      </c>
      <c r="H238" s="9">
        <v>0.65</v>
      </c>
      <c r="I238" s="9">
        <v>1.88</v>
      </c>
    </row>
    <row r="239" spans="1:9" x14ac:dyDescent="0.2">
      <c r="A239" s="9">
        <v>0</v>
      </c>
      <c r="B239" s="9">
        <v>21</v>
      </c>
      <c r="C239" s="9">
        <v>1</v>
      </c>
      <c r="D239" s="9">
        <v>5</v>
      </c>
      <c r="E239" s="9">
        <v>1</v>
      </c>
      <c r="F239" s="9">
        <v>25</v>
      </c>
      <c r="G239" s="9">
        <v>9</v>
      </c>
      <c r="H239" s="9">
        <v>0.37</v>
      </c>
      <c r="I239" s="9">
        <v>1.88</v>
      </c>
    </row>
    <row r="240" spans="1:9" x14ac:dyDescent="0.2">
      <c r="A240" s="9">
        <v>0</v>
      </c>
      <c r="B240" s="9">
        <v>50</v>
      </c>
      <c r="C240" s="9">
        <v>1</v>
      </c>
      <c r="D240" s="9">
        <v>1</v>
      </c>
      <c r="E240" s="9">
        <v>26</v>
      </c>
      <c r="F240" s="9">
        <v>26</v>
      </c>
      <c r="G240" s="9">
        <v>14.3</v>
      </c>
      <c r="H240" s="9">
        <v>1.85</v>
      </c>
      <c r="I240" s="9">
        <v>1.87</v>
      </c>
    </row>
    <row r="241" spans="1:9" x14ac:dyDescent="0.2">
      <c r="A241" s="9">
        <v>1</v>
      </c>
      <c r="B241" s="9">
        <v>31</v>
      </c>
      <c r="C241" s="9">
        <v>1</v>
      </c>
      <c r="D241" s="9">
        <v>2</v>
      </c>
      <c r="E241" s="9">
        <v>2</v>
      </c>
      <c r="F241" s="9">
        <v>22</v>
      </c>
      <c r="G241" s="9">
        <v>16.399999999999999</v>
      </c>
      <c r="H241" s="9">
        <v>1.74</v>
      </c>
      <c r="I241" s="9">
        <v>1.87</v>
      </c>
    </row>
    <row r="242" spans="1:9" x14ac:dyDescent="0.2">
      <c r="A242" s="9">
        <v>0</v>
      </c>
      <c r="B242" s="9">
        <v>34</v>
      </c>
      <c r="C242" s="9">
        <v>3</v>
      </c>
      <c r="D242" s="9">
        <v>12</v>
      </c>
      <c r="E242" s="9">
        <v>8</v>
      </c>
      <c r="F242" s="9">
        <v>47</v>
      </c>
      <c r="G242" s="9">
        <v>6.7</v>
      </c>
      <c r="H242" s="9">
        <v>1.3</v>
      </c>
      <c r="I242" s="9">
        <v>1.85</v>
      </c>
    </row>
    <row r="243" spans="1:9" x14ac:dyDescent="0.2">
      <c r="A243" s="9">
        <v>1</v>
      </c>
      <c r="B243" s="9">
        <v>25</v>
      </c>
      <c r="C243" s="9">
        <v>1</v>
      </c>
      <c r="D243" s="9">
        <v>3</v>
      </c>
      <c r="E243" s="9">
        <v>2</v>
      </c>
      <c r="F243" s="9">
        <v>16</v>
      </c>
      <c r="G243" s="9">
        <v>17.8</v>
      </c>
      <c r="H243" s="9">
        <v>1.01</v>
      </c>
      <c r="I243" s="9">
        <v>1.84</v>
      </c>
    </row>
    <row r="244" spans="1:9" x14ac:dyDescent="0.2">
      <c r="A244" s="9">
        <v>1</v>
      </c>
      <c r="B244" s="9">
        <v>37</v>
      </c>
      <c r="C244" s="9">
        <v>1</v>
      </c>
      <c r="D244" s="9">
        <v>1</v>
      </c>
      <c r="E244" s="9">
        <v>3</v>
      </c>
      <c r="F244" s="9">
        <v>24</v>
      </c>
      <c r="G244" s="9">
        <v>15.1</v>
      </c>
      <c r="H244" s="9">
        <v>1.8</v>
      </c>
      <c r="I244" s="9">
        <v>1.82</v>
      </c>
    </row>
    <row r="245" spans="1:9" x14ac:dyDescent="0.2">
      <c r="A245" s="9">
        <v>1</v>
      </c>
      <c r="B245" s="9">
        <v>27</v>
      </c>
      <c r="C245" s="9">
        <v>2</v>
      </c>
      <c r="D245" s="9">
        <v>4</v>
      </c>
      <c r="E245" s="9">
        <v>3</v>
      </c>
      <c r="F245" s="9">
        <v>22</v>
      </c>
      <c r="G245" s="9">
        <v>13.2</v>
      </c>
      <c r="H245" s="9">
        <v>1.0900000000000001</v>
      </c>
      <c r="I245" s="9">
        <v>1.82</v>
      </c>
    </row>
    <row r="246" spans="1:9" x14ac:dyDescent="0.2">
      <c r="A246" s="9">
        <v>0</v>
      </c>
      <c r="B246" s="9">
        <v>47</v>
      </c>
      <c r="C246" s="9">
        <v>1</v>
      </c>
      <c r="D246" s="9">
        <v>17</v>
      </c>
      <c r="E246" s="9">
        <v>21</v>
      </c>
      <c r="F246" s="9">
        <v>43</v>
      </c>
      <c r="G246" s="9">
        <v>5.6</v>
      </c>
      <c r="H246" s="9">
        <v>0.59</v>
      </c>
      <c r="I246" s="9">
        <v>1.82</v>
      </c>
    </row>
    <row r="247" spans="1:9" x14ac:dyDescent="0.2">
      <c r="A247" s="9">
        <v>0</v>
      </c>
      <c r="B247" s="9">
        <v>46</v>
      </c>
      <c r="C247" s="9">
        <v>1</v>
      </c>
      <c r="D247" s="9">
        <v>6</v>
      </c>
      <c r="E247" s="9">
        <v>19</v>
      </c>
      <c r="F247" s="9">
        <v>31</v>
      </c>
      <c r="G247" s="9">
        <v>12.2</v>
      </c>
      <c r="H247" s="9">
        <v>1.99</v>
      </c>
      <c r="I247" s="9">
        <v>1.8</v>
      </c>
    </row>
    <row r="248" spans="1:9" x14ac:dyDescent="0.2">
      <c r="A248" s="9">
        <v>0</v>
      </c>
      <c r="B248" s="9">
        <v>31</v>
      </c>
      <c r="C248" s="9">
        <v>1</v>
      </c>
      <c r="D248" s="9">
        <v>8</v>
      </c>
      <c r="E248" s="9">
        <v>4</v>
      </c>
      <c r="F248" s="9">
        <v>44</v>
      </c>
      <c r="G248" s="9">
        <v>8</v>
      </c>
      <c r="H248" s="9">
        <v>1.72</v>
      </c>
      <c r="I248" s="9">
        <v>1.8</v>
      </c>
    </row>
    <row r="249" spans="1:9" x14ac:dyDescent="0.2">
      <c r="A249" s="9">
        <v>1</v>
      </c>
      <c r="B249" s="9">
        <v>29</v>
      </c>
      <c r="C249" s="9">
        <v>2</v>
      </c>
      <c r="D249" s="9">
        <v>0</v>
      </c>
      <c r="E249" s="9">
        <v>8</v>
      </c>
      <c r="F249" s="9">
        <v>22</v>
      </c>
      <c r="G249" s="9">
        <v>12.9</v>
      </c>
      <c r="H249" s="9">
        <v>1.04</v>
      </c>
      <c r="I249" s="9">
        <v>1.8</v>
      </c>
    </row>
    <row r="250" spans="1:9" x14ac:dyDescent="0.2">
      <c r="A250" s="9">
        <v>0</v>
      </c>
      <c r="B250" s="9">
        <v>27</v>
      </c>
      <c r="C250" s="9">
        <v>3</v>
      </c>
      <c r="D250" s="9">
        <v>6</v>
      </c>
      <c r="E250" s="9">
        <v>4</v>
      </c>
      <c r="F250" s="9">
        <v>26</v>
      </c>
      <c r="G250" s="9">
        <v>10.4</v>
      </c>
      <c r="H250" s="9">
        <v>0.93</v>
      </c>
      <c r="I250" s="9">
        <v>1.77</v>
      </c>
    </row>
    <row r="251" spans="1:9" x14ac:dyDescent="0.2">
      <c r="A251" s="9">
        <v>0</v>
      </c>
      <c r="B251" s="9">
        <v>39</v>
      </c>
      <c r="C251" s="9">
        <v>1</v>
      </c>
      <c r="D251" s="9">
        <v>12</v>
      </c>
      <c r="E251" s="9">
        <v>10</v>
      </c>
      <c r="F251" s="9">
        <v>46</v>
      </c>
      <c r="G251" s="9">
        <v>5</v>
      </c>
      <c r="H251" s="9">
        <v>0.56000000000000005</v>
      </c>
      <c r="I251" s="9">
        <v>1.74</v>
      </c>
    </row>
    <row r="252" spans="1:9" x14ac:dyDescent="0.2">
      <c r="A252" s="9">
        <v>0</v>
      </c>
      <c r="B252" s="9">
        <v>27</v>
      </c>
      <c r="C252" s="9">
        <v>2</v>
      </c>
      <c r="D252" s="9">
        <v>8</v>
      </c>
      <c r="E252" s="9">
        <v>7</v>
      </c>
      <c r="F252" s="9">
        <v>18</v>
      </c>
      <c r="G252" s="9">
        <v>11.9</v>
      </c>
      <c r="H252" s="9">
        <v>0.4</v>
      </c>
      <c r="I252" s="9">
        <v>1.74</v>
      </c>
    </row>
    <row r="253" spans="1:9" x14ac:dyDescent="0.2">
      <c r="A253" s="9">
        <v>0</v>
      </c>
      <c r="B253" s="9">
        <v>30</v>
      </c>
      <c r="C253" s="9">
        <v>1</v>
      </c>
      <c r="D253" s="9">
        <v>0</v>
      </c>
      <c r="E253" s="9">
        <v>11</v>
      </c>
      <c r="F253" s="9">
        <v>17</v>
      </c>
      <c r="G253" s="9">
        <v>12</v>
      </c>
      <c r="H253" s="9">
        <v>0.3</v>
      </c>
      <c r="I253" s="9">
        <v>1.74</v>
      </c>
    </row>
    <row r="254" spans="1:9" x14ac:dyDescent="0.2">
      <c r="A254" s="9">
        <v>1</v>
      </c>
      <c r="B254" s="9">
        <v>46</v>
      </c>
      <c r="C254" s="9">
        <v>1</v>
      </c>
      <c r="D254" s="9">
        <v>1</v>
      </c>
      <c r="E254" s="9">
        <v>15</v>
      </c>
      <c r="F254" s="9">
        <v>21</v>
      </c>
      <c r="G254" s="9">
        <v>14.8</v>
      </c>
      <c r="H254" s="9">
        <v>1.38</v>
      </c>
      <c r="I254" s="9">
        <v>1.73</v>
      </c>
    </row>
    <row r="255" spans="1:9" x14ac:dyDescent="0.2">
      <c r="A255" s="9">
        <v>0</v>
      </c>
      <c r="B255" s="9">
        <v>27</v>
      </c>
      <c r="C255" s="9">
        <v>1</v>
      </c>
      <c r="D255" s="9">
        <v>7</v>
      </c>
      <c r="E255" s="9">
        <v>4</v>
      </c>
      <c r="F255" s="9">
        <v>26</v>
      </c>
      <c r="G255" s="9">
        <v>9.1</v>
      </c>
      <c r="H255" s="9">
        <v>0.64</v>
      </c>
      <c r="I255" s="9">
        <v>1.72</v>
      </c>
    </row>
    <row r="256" spans="1:9" x14ac:dyDescent="0.2">
      <c r="A256" s="9">
        <v>0</v>
      </c>
      <c r="B256" s="9">
        <v>23</v>
      </c>
      <c r="C256" s="9">
        <v>1</v>
      </c>
      <c r="D256" s="9">
        <v>7</v>
      </c>
      <c r="E256" s="9">
        <v>2</v>
      </c>
      <c r="F256" s="9">
        <v>31</v>
      </c>
      <c r="G256" s="9">
        <v>6.6</v>
      </c>
      <c r="H256" s="9">
        <v>0.34</v>
      </c>
      <c r="I256" s="9">
        <v>1.71</v>
      </c>
    </row>
    <row r="257" spans="1:9" x14ac:dyDescent="0.2">
      <c r="A257" s="9">
        <v>1</v>
      </c>
      <c r="B257" s="9">
        <v>31</v>
      </c>
      <c r="C257" s="9">
        <v>1</v>
      </c>
      <c r="D257" s="9">
        <v>2</v>
      </c>
      <c r="E257" s="9">
        <v>4</v>
      </c>
      <c r="F257" s="9">
        <v>22</v>
      </c>
      <c r="G257" s="9">
        <v>12.7</v>
      </c>
      <c r="H257" s="9">
        <v>1.0900000000000001</v>
      </c>
      <c r="I257" s="9">
        <v>1.7</v>
      </c>
    </row>
    <row r="258" spans="1:9" x14ac:dyDescent="0.2">
      <c r="A258" s="9">
        <v>0</v>
      </c>
      <c r="B258" s="9">
        <v>33</v>
      </c>
      <c r="C258" s="9">
        <v>2</v>
      </c>
      <c r="D258" s="9">
        <v>4</v>
      </c>
      <c r="E258" s="9">
        <v>9</v>
      </c>
      <c r="F258" s="9">
        <v>55</v>
      </c>
      <c r="G258" s="9">
        <v>7</v>
      </c>
      <c r="H258" s="9">
        <v>2.16</v>
      </c>
      <c r="I258" s="9">
        <v>1.69</v>
      </c>
    </row>
    <row r="259" spans="1:9" x14ac:dyDescent="0.2">
      <c r="A259" s="9">
        <v>1</v>
      </c>
      <c r="B259" s="9">
        <v>26</v>
      </c>
      <c r="C259" s="9">
        <v>2</v>
      </c>
      <c r="D259" s="9">
        <v>2</v>
      </c>
      <c r="E259" s="9">
        <v>6</v>
      </c>
      <c r="F259" s="9">
        <v>24</v>
      </c>
      <c r="G259" s="9">
        <v>13.6</v>
      </c>
      <c r="H259" s="9">
        <v>1.58</v>
      </c>
      <c r="I259" s="9">
        <v>1.69</v>
      </c>
    </row>
    <row r="260" spans="1:9" x14ac:dyDescent="0.2">
      <c r="A260" s="9">
        <v>1</v>
      </c>
      <c r="B260" s="9">
        <v>27</v>
      </c>
      <c r="C260" s="9">
        <v>2</v>
      </c>
      <c r="D260" s="9">
        <v>1</v>
      </c>
      <c r="E260" s="9">
        <v>0</v>
      </c>
      <c r="F260" s="9">
        <v>20</v>
      </c>
      <c r="G260" s="9">
        <v>10.3</v>
      </c>
      <c r="H260" s="9">
        <v>0.38</v>
      </c>
      <c r="I260" s="9">
        <v>1.68</v>
      </c>
    </row>
    <row r="261" spans="1:9" x14ac:dyDescent="0.2">
      <c r="A261" s="9">
        <v>0</v>
      </c>
      <c r="B261" s="9">
        <v>39</v>
      </c>
      <c r="C261" s="9">
        <v>1</v>
      </c>
      <c r="D261" s="9">
        <v>19</v>
      </c>
      <c r="E261" s="9">
        <v>8</v>
      </c>
      <c r="F261" s="9">
        <v>46</v>
      </c>
      <c r="G261" s="9">
        <v>9.1</v>
      </c>
      <c r="H261" s="9">
        <v>2.52</v>
      </c>
      <c r="I261" s="9">
        <v>1.67</v>
      </c>
    </row>
    <row r="262" spans="1:9" x14ac:dyDescent="0.2">
      <c r="A262" s="9">
        <v>0</v>
      </c>
      <c r="B262" s="9">
        <v>32</v>
      </c>
      <c r="C262" s="9">
        <v>1</v>
      </c>
      <c r="D262" s="9">
        <v>11</v>
      </c>
      <c r="E262" s="9">
        <v>2</v>
      </c>
      <c r="F262" s="9">
        <v>53</v>
      </c>
      <c r="G262" s="9">
        <v>3.3</v>
      </c>
      <c r="H262" s="9">
        <v>0.09</v>
      </c>
      <c r="I262" s="9">
        <v>1.66</v>
      </c>
    </row>
    <row r="263" spans="1:9" x14ac:dyDescent="0.2">
      <c r="A263" s="9">
        <v>0</v>
      </c>
      <c r="B263" s="9">
        <v>30</v>
      </c>
      <c r="C263" s="9">
        <v>1</v>
      </c>
      <c r="D263" s="9">
        <v>10</v>
      </c>
      <c r="E263" s="9">
        <v>11</v>
      </c>
      <c r="F263" s="9">
        <v>39</v>
      </c>
      <c r="G263" s="9">
        <v>9.5</v>
      </c>
      <c r="H263" s="9">
        <v>2.06</v>
      </c>
      <c r="I263" s="9">
        <v>1.65</v>
      </c>
    </row>
    <row r="264" spans="1:9" x14ac:dyDescent="0.2">
      <c r="A264" s="9">
        <v>1</v>
      </c>
      <c r="B264" s="9">
        <v>29</v>
      </c>
      <c r="C264" s="9">
        <v>1</v>
      </c>
      <c r="D264" s="9">
        <v>13</v>
      </c>
      <c r="E264" s="9">
        <v>1</v>
      </c>
      <c r="F264" s="9">
        <v>42</v>
      </c>
      <c r="G264" s="9">
        <v>7.4</v>
      </c>
      <c r="H264" s="9">
        <v>1.46</v>
      </c>
      <c r="I264" s="9">
        <v>1.65</v>
      </c>
    </row>
    <row r="265" spans="1:9" x14ac:dyDescent="0.2">
      <c r="A265" s="9">
        <v>0</v>
      </c>
      <c r="B265" s="9">
        <v>36</v>
      </c>
      <c r="C265" s="9">
        <v>1</v>
      </c>
      <c r="D265" s="9">
        <v>17</v>
      </c>
      <c r="E265" s="9">
        <v>6</v>
      </c>
      <c r="F265" s="9">
        <v>54</v>
      </c>
      <c r="G265" s="9">
        <v>4.4000000000000004</v>
      </c>
      <c r="H265" s="9">
        <v>0.73</v>
      </c>
      <c r="I265" s="9">
        <v>1.65</v>
      </c>
    </row>
    <row r="266" spans="1:9" x14ac:dyDescent="0.2">
      <c r="A266" s="9">
        <v>1</v>
      </c>
      <c r="B266" s="9">
        <v>24</v>
      </c>
      <c r="C266" s="9">
        <v>2</v>
      </c>
      <c r="D266" s="9">
        <v>2</v>
      </c>
      <c r="E266" s="9">
        <v>3</v>
      </c>
      <c r="F266" s="9">
        <v>26</v>
      </c>
      <c r="G266" s="9">
        <v>9.6999999999999993</v>
      </c>
      <c r="H266" s="9">
        <v>0.89</v>
      </c>
      <c r="I266" s="9">
        <v>1.63</v>
      </c>
    </row>
    <row r="267" spans="1:9" x14ac:dyDescent="0.2">
      <c r="A267" s="9">
        <v>0</v>
      </c>
      <c r="B267" s="9">
        <v>34</v>
      </c>
      <c r="C267" s="9">
        <v>1</v>
      </c>
      <c r="D267" s="9">
        <v>5</v>
      </c>
      <c r="E267" s="9">
        <v>3</v>
      </c>
      <c r="F267" s="9">
        <v>33</v>
      </c>
      <c r="G267" s="9">
        <v>7.3</v>
      </c>
      <c r="H267" s="9">
        <v>0.78</v>
      </c>
      <c r="I267" s="9">
        <v>1.63</v>
      </c>
    </row>
    <row r="268" spans="1:9" x14ac:dyDescent="0.2">
      <c r="A268" s="9">
        <v>0</v>
      </c>
      <c r="B268" s="9">
        <v>35</v>
      </c>
      <c r="C268" s="9">
        <v>2</v>
      </c>
      <c r="D268" s="9">
        <v>9</v>
      </c>
      <c r="E268" s="9">
        <v>16</v>
      </c>
      <c r="F268" s="9">
        <v>30</v>
      </c>
      <c r="G268" s="9">
        <v>7.6</v>
      </c>
      <c r="H268" s="9">
        <v>0.65</v>
      </c>
      <c r="I268" s="9">
        <v>1.63</v>
      </c>
    </row>
    <row r="269" spans="1:9" x14ac:dyDescent="0.2">
      <c r="A269" s="9">
        <v>1</v>
      </c>
      <c r="B269" s="9">
        <v>23</v>
      </c>
      <c r="C269" s="9">
        <v>2</v>
      </c>
      <c r="D269" s="9">
        <v>0</v>
      </c>
      <c r="E269" s="9">
        <v>2</v>
      </c>
      <c r="F269" s="9">
        <v>21</v>
      </c>
      <c r="G269" s="9">
        <v>11.4</v>
      </c>
      <c r="H269" s="9">
        <v>0.78</v>
      </c>
      <c r="I269" s="9">
        <v>1.62</v>
      </c>
    </row>
    <row r="270" spans="1:9" x14ac:dyDescent="0.2">
      <c r="A270" s="9">
        <v>0</v>
      </c>
      <c r="B270" s="9">
        <v>28</v>
      </c>
      <c r="C270" s="9">
        <v>1</v>
      </c>
      <c r="D270" s="9">
        <v>12</v>
      </c>
      <c r="E270" s="9">
        <v>7</v>
      </c>
      <c r="F270" s="9">
        <v>45</v>
      </c>
      <c r="G270" s="9">
        <v>7.7</v>
      </c>
      <c r="H270" s="9">
        <v>1.85</v>
      </c>
      <c r="I270" s="9">
        <v>1.61</v>
      </c>
    </row>
    <row r="271" spans="1:9" x14ac:dyDescent="0.2">
      <c r="A271" s="9">
        <v>0</v>
      </c>
      <c r="B271" s="9">
        <v>34</v>
      </c>
      <c r="C271" s="9">
        <v>4</v>
      </c>
      <c r="D271" s="9">
        <v>7</v>
      </c>
      <c r="E271" s="9">
        <v>15</v>
      </c>
      <c r="F271" s="9">
        <v>40</v>
      </c>
      <c r="G271" s="9">
        <v>6.4</v>
      </c>
      <c r="H271" s="9">
        <v>0.95</v>
      </c>
      <c r="I271" s="9">
        <v>1.61</v>
      </c>
    </row>
    <row r="272" spans="1:9" x14ac:dyDescent="0.2">
      <c r="A272" s="9">
        <v>0</v>
      </c>
      <c r="B272" s="9">
        <v>29</v>
      </c>
      <c r="C272" s="9">
        <v>1</v>
      </c>
      <c r="D272" s="9">
        <v>7</v>
      </c>
      <c r="E272" s="9">
        <v>9</v>
      </c>
      <c r="F272" s="9">
        <v>22</v>
      </c>
      <c r="G272" s="9">
        <v>9.6999999999999993</v>
      </c>
      <c r="H272" s="9">
        <v>0.55000000000000004</v>
      </c>
      <c r="I272" s="9">
        <v>1.58</v>
      </c>
    </row>
    <row r="273" spans="1:9" x14ac:dyDescent="0.2">
      <c r="A273" s="9">
        <v>1</v>
      </c>
      <c r="B273" s="9">
        <v>31</v>
      </c>
      <c r="C273" s="9">
        <v>1</v>
      </c>
      <c r="D273" s="9">
        <v>10</v>
      </c>
      <c r="E273" s="9">
        <v>12</v>
      </c>
      <c r="F273" s="9">
        <v>49</v>
      </c>
      <c r="G273" s="9">
        <v>9.8000000000000007</v>
      </c>
      <c r="H273" s="9">
        <v>3.24</v>
      </c>
      <c r="I273" s="9">
        <v>1.57</v>
      </c>
    </row>
    <row r="274" spans="1:9" x14ac:dyDescent="0.2">
      <c r="A274" s="9">
        <v>0</v>
      </c>
      <c r="B274" s="9">
        <v>28</v>
      </c>
      <c r="C274" s="9">
        <v>1</v>
      </c>
      <c r="D274" s="9">
        <v>2</v>
      </c>
      <c r="E274" s="9">
        <v>9</v>
      </c>
      <c r="F274" s="9">
        <v>16</v>
      </c>
      <c r="G274" s="9">
        <v>15.2</v>
      </c>
      <c r="H274" s="9">
        <v>0.87</v>
      </c>
      <c r="I274" s="9">
        <v>1.56</v>
      </c>
    </row>
    <row r="275" spans="1:9" x14ac:dyDescent="0.2">
      <c r="A275" s="9">
        <v>0</v>
      </c>
      <c r="B275" s="9">
        <v>24</v>
      </c>
      <c r="C275" s="9">
        <v>2</v>
      </c>
      <c r="D275" s="9">
        <v>1</v>
      </c>
      <c r="E275" s="9">
        <v>2</v>
      </c>
      <c r="F275" s="9">
        <v>42</v>
      </c>
      <c r="G275" s="9">
        <v>5.7</v>
      </c>
      <c r="H275" s="9">
        <v>0.84</v>
      </c>
      <c r="I275" s="9">
        <v>1.56</v>
      </c>
    </row>
    <row r="276" spans="1:9" x14ac:dyDescent="0.2">
      <c r="A276" s="9">
        <v>1</v>
      </c>
      <c r="B276" s="9">
        <v>38</v>
      </c>
      <c r="C276" s="9">
        <v>3</v>
      </c>
      <c r="D276" s="9">
        <v>4</v>
      </c>
      <c r="E276" s="9">
        <v>6</v>
      </c>
      <c r="F276" s="9">
        <v>31</v>
      </c>
      <c r="G276" s="9">
        <v>9.3000000000000007</v>
      </c>
      <c r="H276" s="9">
        <v>1.33</v>
      </c>
      <c r="I276" s="9">
        <v>1.55</v>
      </c>
    </row>
    <row r="277" spans="1:9" x14ac:dyDescent="0.2">
      <c r="A277" s="9">
        <v>1</v>
      </c>
      <c r="B277" s="9">
        <v>24</v>
      </c>
      <c r="C277" s="9">
        <v>1</v>
      </c>
      <c r="D277" s="9">
        <v>0</v>
      </c>
      <c r="E277" s="9">
        <v>2</v>
      </c>
      <c r="F277" s="9">
        <v>16</v>
      </c>
      <c r="G277" s="9">
        <v>16</v>
      </c>
      <c r="H277" s="9">
        <v>1.01</v>
      </c>
      <c r="I277" s="9">
        <v>1.55</v>
      </c>
    </row>
    <row r="278" spans="1:9" x14ac:dyDescent="0.2">
      <c r="A278" s="9">
        <v>0</v>
      </c>
      <c r="B278" s="9">
        <v>26</v>
      </c>
      <c r="C278" s="9">
        <v>1</v>
      </c>
      <c r="D278" s="9">
        <v>6</v>
      </c>
      <c r="E278" s="9">
        <v>0</v>
      </c>
      <c r="F278" s="9">
        <v>22</v>
      </c>
      <c r="G278" s="9">
        <v>10.3</v>
      </c>
      <c r="H278" s="9">
        <v>0.72</v>
      </c>
      <c r="I278" s="9">
        <v>1.55</v>
      </c>
    </row>
    <row r="279" spans="1:9" x14ac:dyDescent="0.2">
      <c r="A279" s="9">
        <v>0</v>
      </c>
      <c r="B279" s="9">
        <v>28</v>
      </c>
      <c r="C279" s="9">
        <v>1</v>
      </c>
      <c r="D279" s="9">
        <v>8</v>
      </c>
      <c r="E279" s="9">
        <v>6</v>
      </c>
      <c r="F279" s="9">
        <v>30</v>
      </c>
      <c r="G279" s="9">
        <v>7.2</v>
      </c>
      <c r="H279" s="9">
        <v>0.61</v>
      </c>
      <c r="I279" s="9">
        <v>1.55</v>
      </c>
    </row>
    <row r="280" spans="1:9" x14ac:dyDescent="0.2">
      <c r="A280" s="9">
        <v>0</v>
      </c>
      <c r="B280" s="9">
        <v>45</v>
      </c>
      <c r="C280" s="9">
        <v>1</v>
      </c>
      <c r="D280" s="9">
        <v>23</v>
      </c>
      <c r="E280" s="9">
        <v>5</v>
      </c>
      <c r="F280" s="9">
        <v>50</v>
      </c>
      <c r="G280" s="9">
        <v>4.2</v>
      </c>
      <c r="H280" s="9">
        <v>0.56000000000000005</v>
      </c>
      <c r="I280" s="9">
        <v>1.54</v>
      </c>
    </row>
    <row r="281" spans="1:9" x14ac:dyDescent="0.2">
      <c r="A281" s="9">
        <v>0</v>
      </c>
      <c r="B281" s="9">
        <v>37</v>
      </c>
      <c r="C281" s="9">
        <v>1</v>
      </c>
      <c r="D281" s="9">
        <v>13</v>
      </c>
      <c r="E281" s="9">
        <v>5</v>
      </c>
      <c r="F281" s="9">
        <v>24</v>
      </c>
      <c r="G281" s="9">
        <v>8.9</v>
      </c>
      <c r="H281" s="9">
        <v>0.6</v>
      </c>
      <c r="I281" s="9">
        <v>1.53</v>
      </c>
    </row>
    <row r="282" spans="1:9" x14ac:dyDescent="0.2">
      <c r="A282" s="9">
        <v>0</v>
      </c>
      <c r="B282" s="9">
        <v>39</v>
      </c>
      <c r="C282" s="9">
        <v>1</v>
      </c>
      <c r="D282" s="9">
        <v>9</v>
      </c>
      <c r="E282" s="9">
        <v>6</v>
      </c>
      <c r="F282" s="9">
        <v>35</v>
      </c>
      <c r="G282" s="9">
        <v>5</v>
      </c>
      <c r="H282" s="9">
        <v>0.23</v>
      </c>
      <c r="I282" s="9">
        <v>1.52</v>
      </c>
    </row>
    <row r="283" spans="1:9" x14ac:dyDescent="0.2">
      <c r="A283" s="9">
        <v>0</v>
      </c>
      <c r="B283" s="9">
        <v>33</v>
      </c>
      <c r="C283" s="9">
        <v>1</v>
      </c>
      <c r="D283" s="9">
        <v>12</v>
      </c>
      <c r="E283" s="9">
        <v>11</v>
      </c>
      <c r="F283" s="9">
        <v>32</v>
      </c>
      <c r="G283" s="9">
        <v>11.3</v>
      </c>
      <c r="H283" s="9">
        <v>2.1</v>
      </c>
      <c r="I283" s="9">
        <v>1.51</v>
      </c>
    </row>
    <row r="284" spans="1:9" x14ac:dyDescent="0.2">
      <c r="A284" s="9">
        <v>0</v>
      </c>
      <c r="B284" s="9">
        <v>45</v>
      </c>
      <c r="C284" s="9">
        <v>6</v>
      </c>
      <c r="D284" s="9">
        <v>16</v>
      </c>
      <c r="E284" s="9">
        <v>21</v>
      </c>
      <c r="F284" s="9">
        <v>80</v>
      </c>
      <c r="G284" s="9">
        <v>3</v>
      </c>
      <c r="H284" s="9">
        <v>0.91</v>
      </c>
      <c r="I284" s="9">
        <v>1.49</v>
      </c>
    </row>
    <row r="285" spans="1:9" x14ac:dyDescent="0.2">
      <c r="A285" s="9">
        <v>0</v>
      </c>
      <c r="B285" s="9">
        <v>29</v>
      </c>
      <c r="C285" s="9">
        <v>1</v>
      </c>
      <c r="D285" s="9">
        <v>11</v>
      </c>
      <c r="E285" s="9">
        <v>5</v>
      </c>
      <c r="F285" s="9">
        <v>36</v>
      </c>
      <c r="G285" s="9">
        <v>6.1</v>
      </c>
      <c r="H285" s="9">
        <v>0.71</v>
      </c>
      <c r="I285" s="9">
        <v>1.49</v>
      </c>
    </row>
    <row r="286" spans="1:9" x14ac:dyDescent="0.2">
      <c r="A286" s="9">
        <v>1</v>
      </c>
      <c r="B286" s="9">
        <v>31</v>
      </c>
      <c r="C286" s="9">
        <v>2</v>
      </c>
      <c r="D286" s="9">
        <v>2</v>
      </c>
      <c r="E286" s="9">
        <v>1</v>
      </c>
      <c r="F286" s="9">
        <v>26</v>
      </c>
      <c r="G286" s="9">
        <v>6.8</v>
      </c>
      <c r="H286" s="9">
        <v>0.28000000000000003</v>
      </c>
      <c r="I286" s="9">
        <v>1.49</v>
      </c>
    </row>
    <row r="287" spans="1:9" x14ac:dyDescent="0.2">
      <c r="A287" s="9">
        <v>0</v>
      </c>
      <c r="B287" s="9">
        <v>49</v>
      </c>
      <c r="C287" s="9">
        <v>1</v>
      </c>
      <c r="D287" s="9">
        <v>11</v>
      </c>
      <c r="E287" s="9">
        <v>5</v>
      </c>
      <c r="F287" s="9">
        <v>39</v>
      </c>
      <c r="G287" s="9">
        <v>10.1</v>
      </c>
      <c r="H287" s="9">
        <v>2.46</v>
      </c>
      <c r="I287" s="9">
        <v>1.48</v>
      </c>
    </row>
    <row r="288" spans="1:9" x14ac:dyDescent="0.2">
      <c r="A288" s="9">
        <v>0</v>
      </c>
      <c r="B288" s="9">
        <v>39</v>
      </c>
      <c r="C288" s="9">
        <v>1</v>
      </c>
      <c r="D288" s="9">
        <v>13</v>
      </c>
      <c r="E288" s="9">
        <v>1</v>
      </c>
      <c r="F288" s="9">
        <v>38</v>
      </c>
      <c r="G288" s="9">
        <v>8.9</v>
      </c>
      <c r="H288" s="9">
        <v>1.9</v>
      </c>
      <c r="I288" s="9">
        <v>1.48</v>
      </c>
    </row>
    <row r="289" spans="1:9" x14ac:dyDescent="0.2">
      <c r="A289" s="9">
        <v>0</v>
      </c>
      <c r="B289" s="9">
        <v>41</v>
      </c>
      <c r="C289" s="9">
        <v>1</v>
      </c>
      <c r="D289" s="9">
        <v>4</v>
      </c>
      <c r="E289" s="9">
        <v>19</v>
      </c>
      <c r="F289" s="9">
        <v>25</v>
      </c>
      <c r="G289" s="9">
        <v>10.1</v>
      </c>
      <c r="H289" s="9">
        <v>1.06</v>
      </c>
      <c r="I289" s="9">
        <v>1.46</v>
      </c>
    </row>
    <row r="290" spans="1:9" x14ac:dyDescent="0.2">
      <c r="A290" s="9">
        <v>0</v>
      </c>
      <c r="B290" s="9">
        <v>40</v>
      </c>
      <c r="C290" s="9">
        <v>2</v>
      </c>
      <c r="D290" s="9">
        <v>15</v>
      </c>
      <c r="E290" s="9">
        <v>16</v>
      </c>
      <c r="F290" s="9">
        <v>73</v>
      </c>
      <c r="G290" s="9">
        <v>3.4</v>
      </c>
      <c r="H290" s="9">
        <v>1.03</v>
      </c>
      <c r="I290" s="9">
        <v>1.45</v>
      </c>
    </row>
    <row r="291" spans="1:9" x14ac:dyDescent="0.2">
      <c r="A291" s="9">
        <v>0</v>
      </c>
      <c r="B291" s="9">
        <v>46</v>
      </c>
      <c r="C291" s="9">
        <v>3</v>
      </c>
      <c r="D291" s="9">
        <v>22</v>
      </c>
      <c r="E291" s="9">
        <v>4</v>
      </c>
      <c r="F291" s="9">
        <v>99</v>
      </c>
      <c r="G291" s="9">
        <v>2.2999999999999998</v>
      </c>
      <c r="H291" s="9">
        <v>0.83</v>
      </c>
      <c r="I291" s="9">
        <v>1.45</v>
      </c>
    </row>
    <row r="292" spans="1:9" x14ac:dyDescent="0.2">
      <c r="A292" s="9">
        <v>0</v>
      </c>
      <c r="B292" s="9">
        <v>45</v>
      </c>
      <c r="C292" s="9">
        <v>3</v>
      </c>
      <c r="D292" s="9">
        <v>2</v>
      </c>
      <c r="E292" s="9">
        <v>5</v>
      </c>
      <c r="F292" s="9">
        <v>39</v>
      </c>
      <c r="G292" s="9">
        <v>4.9000000000000004</v>
      </c>
      <c r="H292" s="9">
        <v>0.46</v>
      </c>
      <c r="I292" s="9">
        <v>1.45</v>
      </c>
    </row>
    <row r="293" spans="1:9" x14ac:dyDescent="0.2">
      <c r="A293" s="9">
        <v>0</v>
      </c>
      <c r="B293" s="9">
        <v>38</v>
      </c>
      <c r="C293" s="9">
        <v>1</v>
      </c>
      <c r="D293" s="9">
        <v>5</v>
      </c>
      <c r="E293" s="9">
        <v>13</v>
      </c>
      <c r="F293" s="9">
        <v>21</v>
      </c>
      <c r="G293" s="9">
        <v>9</v>
      </c>
      <c r="H293" s="9">
        <v>0.45</v>
      </c>
      <c r="I293" s="9">
        <v>1.44</v>
      </c>
    </row>
    <row r="294" spans="1:9" x14ac:dyDescent="0.2">
      <c r="A294" s="9">
        <v>0</v>
      </c>
      <c r="B294" s="9">
        <v>34</v>
      </c>
      <c r="C294" s="9">
        <v>1</v>
      </c>
      <c r="D294" s="9">
        <v>16</v>
      </c>
      <c r="E294" s="9">
        <v>9</v>
      </c>
      <c r="F294" s="9">
        <v>79</v>
      </c>
      <c r="G294" s="9">
        <v>4</v>
      </c>
      <c r="H294" s="9">
        <v>1.73</v>
      </c>
      <c r="I294" s="9">
        <v>1.43</v>
      </c>
    </row>
    <row r="295" spans="1:9" x14ac:dyDescent="0.2">
      <c r="A295" s="9">
        <v>1</v>
      </c>
      <c r="B295" s="9">
        <v>29</v>
      </c>
      <c r="C295" s="9">
        <v>1</v>
      </c>
      <c r="D295" s="9">
        <v>2</v>
      </c>
      <c r="E295" s="9">
        <v>0</v>
      </c>
      <c r="F295" s="9">
        <v>14</v>
      </c>
      <c r="G295" s="9">
        <v>14.4</v>
      </c>
      <c r="H295" s="9">
        <v>0.59</v>
      </c>
      <c r="I295" s="9">
        <v>1.43</v>
      </c>
    </row>
    <row r="296" spans="1:9" x14ac:dyDescent="0.2">
      <c r="A296" s="9">
        <v>1</v>
      </c>
      <c r="B296" s="9">
        <v>35</v>
      </c>
      <c r="C296" s="9">
        <v>3</v>
      </c>
      <c r="D296" s="9">
        <v>5</v>
      </c>
      <c r="E296" s="9">
        <v>3</v>
      </c>
      <c r="F296" s="9">
        <v>37</v>
      </c>
      <c r="G296" s="9">
        <v>5.4</v>
      </c>
      <c r="H296" s="9">
        <v>0.57999999999999996</v>
      </c>
      <c r="I296" s="9">
        <v>1.42</v>
      </c>
    </row>
    <row r="297" spans="1:9" x14ac:dyDescent="0.2">
      <c r="A297" s="9">
        <v>0</v>
      </c>
      <c r="B297" s="9">
        <v>45</v>
      </c>
      <c r="C297" s="9">
        <v>2</v>
      </c>
      <c r="D297" s="9">
        <v>21</v>
      </c>
      <c r="E297" s="9">
        <v>26</v>
      </c>
      <c r="F297" s="13">
        <v>117.54291069294821</v>
      </c>
      <c r="G297" s="9">
        <v>3</v>
      </c>
      <c r="H297" s="9">
        <v>2.56</v>
      </c>
      <c r="I297" s="9">
        <v>1.4</v>
      </c>
    </row>
    <row r="298" spans="1:9" x14ac:dyDescent="0.2">
      <c r="A298" s="9">
        <v>0</v>
      </c>
      <c r="B298" s="9">
        <v>42</v>
      </c>
      <c r="C298" s="9">
        <v>3</v>
      </c>
      <c r="D298" s="9">
        <v>13</v>
      </c>
      <c r="E298" s="9">
        <v>0</v>
      </c>
      <c r="F298" s="9">
        <v>82</v>
      </c>
      <c r="G298" s="9">
        <v>3.3</v>
      </c>
      <c r="H298" s="9">
        <v>1.32</v>
      </c>
      <c r="I298" s="9">
        <v>1.39</v>
      </c>
    </row>
    <row r="299" spans="1:9" x14ac:dyDescent="0.2">
      <c r="A299" s="9">
        <v>0</v>
      </c>
      <c r="B299" s="9">
        <v>34</v>
      </c>
      <c r="C299" s="9">
        <v>1</v>
      </c>
      <c r="D299" s="9">
        <v>0</v>
      </c>
      <c r="E299" s="9">
        <v>10</v>
      </c>
      <c r="F299" s="9">
        <v>20</v>
      </c>
      <c r="G299" s="9">
        <v>17.100000000000001</v>
      </c>
      <c r="H299" s="9">
        <v>2.0499999999999998</v>
      </c>
      <c r="I299" s="9">
        <v>1.37</v>
      </c>
    </row>
    <row r="300" spans="1:9" x14ac:dyDescent="0.2">
      <c r="A300" s="9">
        <v>0</v>
      </c>
      <c r="B300" s="9">
        <v>38</v>
      </c>
      <c r="C300" s="9">
        <v>1</v>
      </c>
      <c r="D300" s="9">
        <v>18</v>
      </c>
      <c r="E300" s="9">
        <v>19</v>
      </c>
      <c r="F300" s="9">
        <v>44</v>
      </c>
      <c r="G300" s="9">
        <v>4.5</v>
      </c>
      <c r="H300" s="9">
        <v>0.61</v>
      </c>
      <c r="I300" s="9">
        <v>1.37</v>
      </c>
    </row>
    <row r="301" spans="1:9" x14ac:dyDescent="0.2">
      <c r="A301" s="9">
        <v>0</v>
      </c>
      <c r="B301" s="9">
        <v>23</v>
      </c>
      <c r="C301" s="9">
        <v>2</v>
      </c>
      <c r="D301" s="9">
        <v>0</v>
      </c>
      <c r="E301" s="9">
        <v>4</v>
      </c>
      <c r="F301" s="9">
        <v>21</v>
      </c>
      <c r="G301" s="9">
        <v>8.6999999999999993</v>
      </c>
      <c r="H301" s="9">
        <v>0.45</v>
      </c>
      <c r="I301" s="9">
        <v>1.37</v>
      </c>
    </row>
    <row r="302" spans="1:9" x14ac:dyDescent="0.2">
      <c r="A302" s="9">
        <v>0</v>
      </c>
      <c r="B302" s="9">
        <v>32</v>
      </c>
      <c r="C302" s="9">
        <v>1</v>
      </c>
      <c r="D302" s="9">
        <v>3</v>
      </c>
      <c r="E302" s="9">
        <v>10</v>
      </c>
      <c r="F302" s="9">
        <v>23</v>
      </c>
      <c r="G302" s="9">
        <v>6.2</v>
      </c>
      <c r="H302" s="9">
        <v>0.05</v>
      </c>
      <c r="I302" s="9">
        <v>1.37</v>
      </c>
    </row>
    <row r="303" spans="1:9" x14ac:dyDescent="0.2">
      <c r="A303" s="9">
        <v>0</v>
      </c>
      <c r="B303" s="9">
        <v>27</v>
      </c>
      <c r="C303" s="9">
        <v>1</v>
      </c>
      <c r="D303" s="9">
        <v>10</v>
      </c>
      <c r="E303" s="9">
        <v>6</v>
      </c>
      <c r="F303" s="9">
        <v>34</v>
      </c>
      <c r="G303" s="9">
        <v>6.5</v>
      </c>
      <c r="H303" s="9">
        <v>0.85</v>
      </c>
      <c r="I303" s="9">
        <v>1.36</v>
      </c>
    </row>
    <row r="304" spans="1:9" x14ac:dyDescent="0.2">
      <c r="A304" s="9">
        <v>0</v>
      </c>
      <c r="B304" s="9">
        <v>35</v>
      </c>
      <c r="C304" s="9">
        <v>4</v>
      </c>
      <c r="D304" s="9">
        <v>4</v>
      </c>
      <c r="E304" s="9">
        <v>16</v>
      </c>
      <c r="F304" s="9">
        <v>29</v>
      </c>
      <c r="G304" s="9">
        <v>11</v>
      </c>
      <c r="H304" s="9">
        <v>1.84</v>
      </c>
      <c r="I304" s="9">
        <v>1.35</v>
      </c>
    </row>
    <row r="305" spans="1:9" x14ac:dyDescent="0.2">
      <c r="A305" s="9">
        <v>0</v>
      </c>
      <c r="B305" s="9">
        <v>33</v>
      </c>
      <c r="C305" s="9">
        <v>1</v>
      </c>
      <c r="D305" s="9">
        <v>5</v>
      </c>
      <c r="E305" s="9">
        <v>10</v>
      </c>
      <c r="F305" s="9">
        <v>18</v>
      </c>
      <c r="G305" s="9">
        <v>12.9</v>
      </c>
      <c r="H305" s="9">
        <v>0.98</v>
      </c>
      <c r="I305" s="9">
        <v>1.34</v>
      </c>
    </row>
    <row r="306" spans="1:9" x14ac:dyDescent="0.2">
      <c r="A306" s="9">
        <v>1</v>
      </c>
      <c r="B306" s="9">
        <v>25</v>
      </c>
      <c r="C306" s="9">
        <v>1</v>
      </c>
      <c r="D306" s="9">
        <v>1</v>
      </c>
      <c r="E306" s="9">
        <v>6</v>
      </c>
      <c r="F306" s="9">
        <v>15</v>
      </c>
      <c r="G306" s="9">
        <v>11.4</v>
      </c>
      <c r="H306" s="9">
        <v>0.37</v>
      </c>
      <c r="I306" s="9">
        <v>1.34</v>
      </c>
    </row>
    <row r="307" spans="1:9" x14ac:dyDescent="0.2">
      <c r="A307" s="9">
        <v>1</v>
      </c>
      <c r="B307" s="9">
        <v>35</v>
      </c>
      <c r="C307" s="9">
        <v>2</v>
      </c>
      <c r="D307" s="9">
        <v>0</v>
      </c>
      <c r="E307" s="9">
        <v>16</v>
      </c>
      <c r="F307" s="9">
        <v>22</v>
      </c>
      <c r="G307" s="9">
        <v>15</v>
      </c>
      <c r="H307" s="9">
        <v>1.97</v>
      </c>
      <c r="I307" s="9">
        <v>1.33</v>
      </c>
    </row>
    <row r="308" spans="1:9" x14ac:dyDescent="0.2">
      <c r="A308" s="9">
        <v>0</v>
      </c>
      <c r="B308" s="9">
        <v>26</v>
      </c>
      <c r="C308" s="9">
        <v>2</v>
      </c>
      <c r="D308" s="9">
        <v>0</v>
      </c>
      <c r="E308" s="9">
        <v>7</v>
      </c>
      <c r="F308" s="9">
        <v>28</v>
      </c>
      <c r="G308" s="9">
        <v>9.3000000000000007</v>
      </c>
      <c r="H308" s="9">
        <v>1.27</v>
      </c>
      <c r="I308" s="9">
        <v>1.33</v>
      </c>
    </row>
    <row r="309" spans="1:9" x14ac:dyDescent="0.2">
      <c r="A309" s="9">
        <v>1</v>
      </c>
      <c r="B309" s="9">
        <v>24</v>
      </c>
      <c r="C309" s="9">
        <v>4</v>
      </c>
      <c r="D309" s="9">
        <v>0</v>
      </c>
      <c r="E309" s="9">
        <v>3</v>
      </c>
      <c r="F309" s="9">
        <v>29</v>
      </c>
      <c r="G309" s="9">
        <v>6.6</v>
      </c>
      <c r="H309" s="9">
        <v>0.59</v>
      </c>
      <c r="I309" s="9">
        <v>1.32</v>
      </c>
    </row>
    <row r="310" spans="1:9" x14ac:dyDescent="0.2">
      <c r="A310" s="9">
        <v>1</v>
      </c>
      <c r="B310" s="9">
        <v>23</v>
      </c>
      <c r="C310" s="9">
        <v>1</v>
      </c>
      <c r="D310" s="9">
        <v>3</v>
      </c>
      <c r="E310" s="9">
        <v>0</v>
      </c>
      <c r="F310" s="9">
        <v>19</v>
      </c>
      <c r="G310" s="9">
        <v>8.4</v>
      </c>
      <c r="H310" s="9">
        <v>0.28000000000000003</v>
      </c>
      <c r="I310" s="9">
        <v>1.32</v>
      </c>
    </row>
    <row r="311" spans="1:9" x14ac:dyDescent="0.2">
      <c r="A311" s="9">
        <v>0</v>
      </c>
      <c r="B311" s="9">
        <v>34</v>
      </c>
      <c r="C311" s="9">
        <v>1</v>
      </c>
      <c r="D311" s="9">
        <v>0</v>
      </c>
      <c r="E311" s="9">
        <v>1</v>
      </c>
      <c r="F311" s="9">
        <v>21</v>
      </c>
      <c r="G311" s="9">
        <v>7.2</v>
      </c>
      <c r="H311" s="9">
        <v>0.19</v>
      </c>
      <c r="I311" s="9">
        <v>1.32</v>
      </c>
    </row>
    <row r="312" spans="1:9" x14ac:dyDescent="0.2">
      <c r="A312" s="9">
        <v>1</v>
      </c>
      <c r="B312" s="9">
        <v>25</v>
      </c>
      <c r="C312" s="9">
        <v>4</v>
      </c>
      <c r="D312" s="9">
        <v>0</v>
      </c>
      <c r="E312" s="9">
        <v>6</v>
      </c>
      <c r="F312" s="9">
        <v>24</v>
      </c>
      <c r="G312" s="9">
        <v>12.1</v>
      </c>
      <c r="H312" s="9">
        <v>1.6</v>
      </c>
      <c r="I312" s="9">
        <v>1.31</v>
      </c>
    </row>
    <row r="313" spans="1:9" x14ac:dyDescent="0.2">
      <c r="A313" s="9">
        <v>0</v>
      </c>
      <c r="B313" s="9">
        <v>35</v>
      </c>
      <c r="C313" s="9">
        <v>1</v>
      </c>
      <c r="D313" s="9">
        <v>9</v>
      </c>
      <c r="E313" s="9">
        <v>1</v>
      </c>
      <c r="F313" s="9">
        <v>34</v>
      </c>
      <c r="G313" s="9">
        <v>5</v>
      </c>
      <c r="H313" s="9">
        <v>0.4</v>
      </c>
      <c r="I313" s="9">
        <v>1.3</v>
      </c>
    </row>
    <row r="314" spans="1:9" x14ac:dyDescent="0.2">
      <c r="A314" s="9">
        <v>0</v>
      </c>
      <c r="B314" s="9">
        <v>39</v>
      </c>
      <c r="C314" s="9">
        <v>1</v>
      </c>
      <c r="D314" s="9">
        <v>10</v>
      </c>
      <c r="E314" s="9">
        <v>4</v>
      </c>
      <c r="F314" s="9">
        <v>31</v>
      </c>
      <c r="G314" s="9">
        <v>4.8</v>
      </c>
      <c r="H314" s="9">
        <v>0.18</v>
      </c>
      <c r="I314" s="9">
        <v>1.3</v>
      </c>
    </row>
    <row r="315" spans="1:9" x14ac:dyDescent="0.2">
      <c r="A315" s="9">
        <v>0</v>
      </c>
      <c r="B315" s="9">
        <v>39</v>
      </c>
      <c r="C315" s="9">
        <v>1</v>
      </c>
      <c r="D315" s="9">
        <v>4</v>
      </c>
      <c r="E315" s="9">
        <v>9</v>
      </c>
      <c r="F315" s="9">
        <v>38</v>
      </c>
      <c r="G315" s="9">
        <v>6.5</v>
      </c>
      <c r="H315" s="9">
        <v>1.18</v>
      </c>
      <c r="I315" s="9">
        <v>1.29</v>
      </c>
    </row>
    <row r="316" spans="1:9" x14ac:dyDescent="0.2">
      <c r="A316" s="9">
        <v>0</v>
      </c>
      <c r="B316" s="9">
        <v>35</v>
      </c>
      <c r="C316" s="9">
        <v>2</v>
      </c>
      <c r="D316" s="9">
        <v>1</v>
      </c>
      <c r="E316" s="9">
        <v>1</v>
      </c>
      <c r="F316" s="9">
        <v>21</v>
      </c>
      <c r="G316" s="9">
        <v>7.9</v>
      </c>
      <c r="H316" s="9">
        <v>0.97</v>
      </c>
      <c r="I316" s="9">
        <v>1.29</v>
      </c>
    </row>
    <row r="317" spans="1:9" x14ac:dyDescent="0.2">
      <c r="A317" s="9">
        <v>1</v>
      </c>
      <c r="B317" s="9">
        <v>28</v>
      </c>
      <c r="C317" s="9">
        <v>2</v>
      </c>
      <c r="D317" s="9">
        <v>2</v>
      </c>
      <c r="E317" s="9">
        <v>3</v>
      </c>
      <c r="F317" s="9">
        <v>23</v>
      </c>
      <c r="G317" s="9">
        <v>6.4</v>
      </c>
      <c r="H317" s="9">
        <v>0.19</v>
      </c>
      <c r="I317" s="9">
        <v>1.29</v>
      </c>
    </row>
    <row r="318" spans="1:9" x14ac:dyDescent="0.2">
      <c r="A318" s="9">
        <v>1</v>
      </c>
      <c r="B318" s="9">
        <v>29</v>
      </c>
      <c r="C318" s="9">
        <v>2</v>
      </c>
      <c r="D318" s="9">
        <v>4</v>
      </c>
      <c r="E318" s="9">
        <v>3</v>
      </c>
      <c r="F318" s="9">
        <v>37</v>
      </c>
      <c r="G318" s="9">
        <v>6.6</v>
      </c>
      <c r="H318" s="9">
        <v>1.1599999999999999</v>
      </c>
      <c r="I318" s="9">
        <v>1.28</v>
      </c>
    </row>
    <row r="319" spans="1:9" x14ac:dyDescent="0.2">
      <c r="A319" s="9">
        <v>0</v>
      </c>
      <c r="B319" s="9">
        <v>33</v>
      </c>
      <c r="C319" s="9">
        <v>1</v>
      </c>
      <c r="D319" s="9">
        <v>13</v>
      </c>
      <c r="E319" s="9">
        <v>13</v>
      </c>
      <c r="F319" s="9">
        <v>42</v>
      </c>
      <c r="G319" s="9">
        <v>3.6</v>
      </c>
      <c r="H319" s="9">
        <v>0.23</v>
      </c>
      <c r="I319" s="9">
        <v>1.28</v>
      </c>
    </row>
    <row r="320" spans="1:9" x14ac:dyDescent="0.2">
      <c r="A320" s="9">
        <v>0</v>
      </c>
      <c r="B320" s="9">
        <v>43</v>
      </c>
      <c r="C320" s="9">
        <v>1</v>
      </c>
      <c r="D320" s="9">
        <v>4</v>
      </c>
      <c r="E320" s="9">
        <v>2</v>
      </c>
      <c r="F320" s="9">
        <v>29</v>
      </c>
      <c r="G320" s="9">
        <v>4.5999999999999996</v>
      </c>
      <c r="H320" s="9">
        <v>0.05</v>
      </c>
      <c r="I320" s="9">
        <v>1.28</v>
      </c>
    </row>
    <row r="321" spans="1:9" x14ac:dyDescent="0.2">
      <c r="A321" s="9">
        <v>0</v>
      </c>
      <c r="B321" s="9">
        <v>39</v>
      </c>
      <c r="C321" s="9">
        <v>2</v>
      </c>
      <c r="D321" s="9">
        <v>16</v>
      </c>
      <c r="E321" s="9">
        <v>12</v>
      </c>
      <c r="F321" s="9">
        <v>53</v>
      </c>
      <c r="G321" s="9">
        <v>3.7</v>
      </c>
      <c r="H321" s="9">
        <v>0.69</v>
      </c>
      <c r="I321" s="9">
        <v>1.27</v>
      </c>
    </row>
    <row r="322" spans="1:9" x14ac:dyDescent="0.2">
      <c r="A322" s="9">
        <v>0</v>
      </c>
      <c r="B322" s="9">
        <v>33</v>
      </c>
      <c r="C322" s="9">
        <v>4</v>
      </c>
      <c r="D322" s="9">
        <v>9</v>
      </c>
      <c r="E322" s="9">
        <v>8</v>
      </c>
      <c r="F322" s="9">
        <v>32</v>
      </c>
      <c r="G322" s="9">
        <v>5.5</v>
      </c>
      <c r="H322" s="9">
        <v>0.5</v>
      </c>
      <c r="I322" s="9">
        <v>1.26</v>
      </c>
    </row>
    <row r="323" spans="1:9" x14ac:dyDescent="0.2">
      <c r="A323" s="9">
        <v>0</v>
      </c>
      <c r="B323" s="9">
        <v>27</v>
      </c>
      <c r="C323" s="9">
        <v>2</v>
      </c>
      <c r="D323" s="9">
        <v>6</v>
      </c>
      <c r="E323" s="9">
        <v>1</v>
      </c>
      <c r="F323" s="9">
        <v>34</v>
      </c>
      <c r="G323" s="9">
        <v>4.4000000000000004</v>
      </c>
      <c r="H323" s="9">
        <v>0.24</v>
      </c>
      <c r="I323" s="9">
        <v>1.26</v>
      </c>
    </row>
    <row r="324" spans="1:9" x14ac:dyDescent="0.2">
      <c r="A324" s="9">
        <v>1</v>
      </c>
      <c r="B324" s="9">
        <v>32</v>
      </c>
      <c r="C324" s="9">
        <v>2</v>
      </c>
      <c r="D324" s="9">
        <v>2</v>
      </c>
      <c r="E324" s="9">
        <v>11</v>
      </c>
      <c r="F324" s="9">
        <v>15</v>
      </c>
      <c r="G324" s="9">
        <v>9.1</v>
      </c>
      <c r="H324" s="9">
        <v>0.12</v>
      </c>
      <c r="I324" s="9">
        <v>1.25</v>
      </c>
    </row>
    <row r="325" spans="1:9" x14ac:dyDescent="0.2">
      <c r="A325" s="9">
        <v>0</v>
      </c>
      <c r="B325" s="9">
        <v>43</v>
      </c>
      <c r="C325" s="9">
        <v>4</v>
      </c>
      <c r="D325" s="9">
        <v>1</v>
      </c>
      <c r="E325" s="9">
        <v>5</v>
      </c>
      <c r="F325" s="9">
        <v>26</v>
      </c>
      <c r="G325" s="9">
        <v>10.6</v>
      </c>
      <c r="H325" s="9">
        <v>1.52</v>
      </c>
      <c r="I325" s="9">
        <v>1.24</v>
      </c>
    </row>
    <row r="326" spans="1:9" x14ac:dyDescent="0.2">
      <c r="A326" s="9">
        <v>0</v>
      </c>
      <c r="B326" s="9">
        <v>43</v>
      </c>
      <c r="C326" s="9">
        <v>1</v>
      </c>
      <c r="D326" s="9">
        <v>12</v>
      </c>
      <c r="E326" s="9">
        <v>11</v>
      </c>
      <c r="F326" s="9">
        <v>38</v>
      </c>
      <c r="G326" s="9">
        <v>3.6</v>
      </c>
      <c r="H326" s="9">
        <v>0.13</v>
      </c>
      <c r="I326" s="9">
        <v>1.24</v>
      </c>
    </row>
    <row r="327" spans="1:9" x14ac:dyDescent="0.2">
      <c r="A327" s="9">
        <v>0</v>
      </c>
      <c r="B327" s="9">
        <v>23</v>
      </c>
      <c r="C327" s="9">
        <v>2</v>
      </c>
      <c r="D327" s="9">
        <v>3</v>
      </c>
      <c r="E327" s="9">
        <v>4</v>
      </c>
      <c r="F327" s="9">
        <v>34</v>
      </c>
      <c r="G327" s="9">
        <v>4.4000000000000004</v>
      </c>
      <c r="H327" s="9">
        <v>0.26</v>
      </c>
      <c r="I327" s="9">
        <v>1.23</v>
      </c>
    </row>
    <row r="328" spans="1:9" x14ac:dyDescent="0.2">
      <c r="A328" s="9">
        <v>0</v>
      </c>
      <c r="B328" s="9">
        <v>48</v>
      </c>
      <c r="C328" s="9">
        <v>3</v>
      </c>
      <c r="D328" s="9">
        <v>0</v>
      </c>
      <c r="E328" s="9">
        <v>27</v>
      </c>
      <c r="F328" s="9">
        <v>19</v>
      </c>
      <c r="G328" s="9">
        <v>10.8</v>
      </c>
      <c r="H328" s="9">
        <v>0.85</v>
      </c>
      <c r="I328" s="9">
        <v>1.2</v>
      </c>
    </row>
    <row r="329" spans="1:9" x14ac:dyDescent="0.2">
      <c r="A329" s="9">
        <v>0</v>
      </c>
      <c r="B329" s="9">
        <v>41</v>
      </c>
      <c r="C329" s="9">
        <v>1</v>
      </c>
      <c r="D329" s="9">
        <v>7</v>
      </c>
      <c r="E329" s="9">
        <v>11</v>
      </c>
      <c r="F329" s="9">
        <v>43</v>
      </c>
      <c r="G329" s="9">
        <v>4.4000000000000004</v>
      </c>
      <c r="H329" s="9">
        <v>0.69</v>
      </c>
      <c r="I329" s="9">
        <v>1.2</v>
      </c>
    </row>
    <row r="330" spans="1:9" x14ac:dyDescent="0.2">
      <c r="A330" s="9">
        <v>0</v>
      </c>
      <c r="B330" s="9">
        <v>39</v>
      </c>
      <c r="C330" s="9">
        <v>1</v>
      </c>
      <c r="D330" s="9">
        <v>13</v>
      </c>
      <c r="E330" s="9">
        <v>9</v>
      </c>
      <c r="F330" s="9">
        <v>27</v>
      </c>
      <c r="G330" s="9">
        <v>8</v>
      </c>
      <c r="H330" s="9">
        <v>0.97</v>
      </c>
      <c r="I330" s="9">
        <v>1.19</v>
      </c>
    </row>
    <row r="331" spans="1:9" x14ac:dyDescent="0.2">
      <c r="A331" s="9">
        <v>0</v>
      </c>
      <c r="B331" s="9">
        <v>30</v>
      </c>
      <c r="C331" s="9">
        <v>1</v>
      </c>
      <c r="D331" s="9">
        <v>1</v>
      </c>
      <c r="E331" s="9">
        <v>10</v>
      </c>
      <c r="F331" s="9">
        <v>22</v>
      </c>
      <c r="G331" s="9">
        <v>10.5</v>
      </c>
      <c r="H331" s="9">
        <v>1.1399999999999999</v>
      </c>
      <c r="I331" s="9">
        <v>1.17</v>
      </c>
    </row>
    <row r="332" spans="1:9" x14ac:dyDescent="0.2">
      <c r="A332" s="9">
        <v>0</v>
      </c>
      <c r="B332" s="9">
        <v>44</v>
      </c>
      <c r="C332" s="9">
        <v>1</v>
      </c>
      <c r="D332" s="9">
        <v>9</v>
      </c>
      <c r="E332" s="9">
        <v>20</v>
      </c>
      <c r="F332" s="9">
        <v>33</v>
      </c>
      <c r="G332" s="9">
        <v>5.2</v>
      </c>
      <c r="H332" s="9">
        <v>0.55000000000000004</v>
      </c>
      <c r="I332" s="9">
        <v>1.17</v>
      </c>
    </row>
    <row r="333" spans="1:9" x14ac:dyDescent="0.2">
      <c r="A333" s="9">
        <v>0</v>
      </c>
      <c r="B333" s="9">
        <v>26</v>
      </c>
      <c r="C333" s="9">
        <v>2</v>
      </c>
      <c r="D333" s="9">
        <v>5</v>
      </c>
      <c r="E333" s="9">
        <v>7</v>
      </c>
      <c r="F333" s="9">
        <v>28</v>
      </c>
      <c r="G333" s="9">
        <v>7.8</v>
      </c>
      <c r="H333" s="9">
        <v>1.02</v>
      </c>
      <c r="I333" s="9">
        <v>1.1599999999999999</v>
      </c>
    </row>
    <row r="334" spans="1:9" x14ac:dyDescent="0.2">
      <c r="A334" s="9">
        <v>0</v>
      </c>
      <c r="B334" s="9">
        <v>30</v>
      </c>
      <c r="C334" s="9">
        <v>3</v>
      </c>
      <c r="D334" s="9">
        <v>8</v>
      </c>
      <c r="E334" s="9">
        <v>7</v>
      </c>
      <c r="F334" s="9">
        <v>61</v>
      </c>
      <c r="G334" s="9">
        <v>2.8</v>
      </c>
      <c r="H334" s="9">
        <v>0.55000000000000004</v>
      </c>
      <c r="I334" s="9">
        <v>1.1599999999999999</v>
      </c>
    </row>
    <row r="335" spans="1:9" x14ac:dyDescent="0.2">
      <c r="A335" s="9">
        <v>0</v>
      </c>
      <c r="B335" s="9">
        <v>25</v>
      </c>
      <c r="C335" s="9">
        <v>2</v>
      </c>
      <c r="D335" s="9">
        <v>4</v>
      </c>
      <c r="E335" s="9">
        <v>6</v>
      </c>
      <c r="F335" s="9">
        <v>33</v>
      </c>
      <c r="G335" s="9">
        <v>5.2</v>
      </c>
      <c r="H335" s="9">
        <v>0.55000000000000004</v>
      </c>
      <c r="I335" s="9">
        <v>1.1599999999999999</v>
      </c>
    </row>
    <row r="336" spans="1:9" x14ac:dyDescent="0.2">
      <c r="A336" s="9">
        <v>1</v>
      </c>
      <c r="B336" s="9">
        <v>47</v>
      </c>
      <c r="C336" s="9">
        <v>2</v>
      </c>
      <c r="D336" s="9">
        <v>4</v>
      </c>
      <c r="E336" s="9">
        <v>9</v>
      </c>
      <c r="F336" s="9">
        <v>33</v>
      </c>
      <c r="G336" s="9">
        <v>7.1</v>
      </c>
      <c r="H336" s="9">
        <v>1.19</v>
      </c>
      <c r="I336" s="9">
        <v>1.1499999999999999</v>
      </c>
    </row>
    <row r="337" spans="1:9" x14ac:dyDescent="0.2">
      <c r="A337" s="9">
        <v>0</v>
      </c>
      <c r="B337" s="9">
        <v>39</v>
      </c>
      <c r="C337" s="9">
        <v>2</v>
      </c>
      <c r="D337" s="9">
        <v>15</v>
      </c>
      <c r="E337" s="9">
        <v>19</v>
      </c>
      <c r="F337" s="9">
        <v>32</v>
      </c>
      <c r="G337" s="9">
        <v>4.9000000000000004</v>
      </c>
      <c r="H337" s="9">
        <v>0.42</v>
      </c>
      <c r="I337" s="9">
        <v>1.1499999999999999</v>
      </c>
    </row>
    <row r="338" spans="1:9" x14ac:dyDescent="0.2">
      <c r="A338" s="9">
        <v>0</v>
      </c>
      <c r="B338" s="9">
        <v>31</v>
      </c>
      <c r="C338" s="9">
        <v>2</v>
      </c>
      <c r="D338" s="9">
        <v>9</v>
      </c>
      <c r="E338" s="9">
        <v>1</v>
      </c>
      <c r="F338" s="9">
        <v>30</v>
      </c>
      <c r="G338" s="9">
        <v>5.8</v>
      </c>
      <c r="H338" s="9">
        <v>0.97</v>
      </c>
      <c r="I338" s="9">
        <v>1.1399999999999999</v>
      </c>
    </row>
    <row r="339" spans="1:9" x14ac:dyDescent="0.2">
      <c r="A339" s="9">
        <v>0</v>
      </c>
      <c r="B339" s="9">
        <v>29</v>
      </c>
      <c r="C339" s="9">
        <v>1</v>
      </c>
      <c r="D339" s="9">
        <v>8</v>
      </c>
      <c r="E339" s="9">
        <v>10</v>
      </c>
      <c r="F339" s="9">
        <v>24</v>
      </c>
      <c r="G339" s="9">
        <v>6.7</v>
      </c>
      <c r="H339" s="9">
        <v>0.47</v>
      </c>
      <c r="I339" s="9">
        <v>1.1399999999999999</v>
      </c>
    </row>
    <row r="340" spans="1:9" x14ac:dyDescent="0.2">
      <c r="A340" s="9">
        <v>0</v>
      </c>
      <c r="B340" s="9">
        <v>35</v>
      </c>
      <c r="C340" s="9">
        <v>1</v>
      </c>
      <c r="D340" s="9">
        <v>13</v>
      </c>
      <c r="E340" s="9">
        <v>15</v>
      </c>
      <c r="F340" s="9">
        <v>35</v>
      </c>
      <c r="G340" s="9">
        <v>4.5</v>
      </c>
      <c r="H340" s="9">
        <v>0.43</v>
      </c>
      <c r="I340" s="9">
        <v>1.1399999999999999</v>
      </c>
    </row>
    <row r="341" spans="1:9" x14ac:dyDescent="0.2">
      <c r="A341" s="9">
        <v>0</v>
      </c>
      <c r="B341" s="9">
        <v>36</v>
      </c>
      <c r="C341" s="9">
        <v>1</v>
      </c>
      <c r="D341" s="9">
        <v>14</v>
      </c>
      <c r="E341" s="9">
        <v>17</v>
      </c>
      <c r="F341" s="9">
        <v>53</v>
      </c>
      <c r="G341" s="9">
        <v>5.7</v>
      </c>
      <c r="H341" s="9">
        <v>1.89</v>
      </c>
      <c r="I341" s="9">
        <v>1.1299999999999999</v>
      </c>
    </row>
    <row r="342" spans="1:9" x14ac:dyDescent="0.2">
      <c r="A342" s="9">
        <v>0</v>
      </c>
      <c r="B342" s="9">
        <v>30</v>
      </c>
      <c r="C342" s="9">
        <v>1</v>
      </c>
      <c r="D342" s="9">
        <v>1</v>
      </c>
      <c r="E342" s="9">
        <v>8</v>
      </c>
      <c r="F342" s="9">
        <v>17</v>
      </c>
      <c r="G342" s="9">
        <v>11</v>
      </c>
      <c r="H342" s="9">
        <v>0.75</v>
      </c>
      <c r="I342" s="9">
        <v>1.1200000000000001</v>
      </c>
    </row>
    <row r="343" spans="1:9" x14ac:dyDescent="0.2">
      <c r="A343" s="9">
        <v>0</v>
      </c>
      <c r="B343" s="9">
        <v>31</v>
      </c>
      <c r="C343" s="9">
        <v>1</v>
      </c>
      <c r="D343" s="9">
        <v>13</v>
      </c>
      <c r="E343" s="9">
        <v>12</v>
      </c>
      <c r="F343" s="9">
        <v>27</v>
      </c>
      <c r="G343" s="9">
        <v>5</v>
      </c>
      <c r="H343" s="9">
        <v>0.24</v>
      </c>
      <c r="I343" s="9">
        <v>1.1100000000000001</v>
      </c>
    </row>
    <row r="344" spans="1:9" x14ac:dyDescent="0.2">
      <c r="A344" s="9">
        <v>0</v>
      </c>
      <c r="B344" s="9">
        <v>25</v>
      </c>
      <c r="C344" s="9">
        <v>2</v>
      </c>
      <c r="D344" s="9">
        <v>6</v>
      </c>
      <c r="E344" s="9">
        <v>2</v>
      </c>
      <c r="F344" s="9">
        <v>26</v>
      </c>
      <c r="G344" s="9">
        <v>4.5</v>
      </c>
      <c r="H344" s="9">
        <v>7.0000000000000007E-2</v>
      </c>
      <c r="I344" s="9">
        <v>1.1000000000000001</v>
      </c>
    </row>
    <row r="345" spans="1:9" x14ac:dyDescent="0.2">
      <c r="A345" s="9">
        <v>0</v>
      </c>
      <c r="B345" s="9">
        <v>40</v>
      </c>
      <c r="C345" s="9">
        <v>2</v>
      </c>
      <c r="D345" s="9">
        <v>2</v>
      </c>
      <c r="E345" s="9">
        <v>1</v>
      </c>
      <c r="F345" s="9">
        <v>36</v>
      </c>
      <c r="G345" s="9">
        <v>3.8</v>
      </c>
      <c r="H345" s="9">
        <v>0.28000000000000003</v>
      </c>
      <c r="I345" s="9">
        <v>1.0900000000000001</v>
      </c>
    </row>
    <row r="346" spans="1:9" x14ac:dyDescent="0.2">
      <c r="A346" s="9">
        <v>0</v>
      </c>
      <c r="B346" s="9">
        <v>23</v>
      </c>
      <c r="C346" s="9">
        <v>4</v>
      </c>
      <c r="D346" s="9">
        <v>0</v>
      </c>
      <c r="E346" s="9">
        <v>2</v>
      </c>
      <c r="F346" s="9">
        <v>23</v>
      </c>
      <c r="G346" s="9">
        <v>6.7</v>
      </c>
      <c r="H346" s="9">
        <v>0.47</v>
      </c>
      <c r="I346" s="9">
        <v>1.07</v>
      </c>
    </row>
    <row r="347" spans="1:9" x14ac:dyDescent="0.2">
      <c r="A347" s="9">
        <v>0</v>
      </c>
      <c r="B347" s="9">
        <v>39</v>
      </c>
      <c r="C347" s="9">
        <v>2</v>
      </c>
      <c r="D347" s="9">
        <v>20</v>
      </c>
      <c r="E347" s="9">
        <v>17</v>
      </c>
      <c r="F347" s="9">
        <v>101</v>
      </c>
      <c r="G347" s="9">
        <v>1.4</v>
      </c>
      <c r="H347" s="9">
        <v>0.34</v>
      </c>
      <c r="I347" s="9">
        <v>1.07</v>
      </c>
    </row>
    <row r="348" spans="1:9" x14ac:dyDescent="0.2">
      <c r="A348" s="9">
        <v>0</v>
      </c>
      <c r="B348" s="9">
        <v>29</v>
      </c>
      <c r="C348" s="9">
        <v>3</v>
      </c>
      <c r="D348" s="9">
        <v>1</v>
      </c>
      <c r="E348" s="9">
        <v>10</v>
      </c>
      <c r="F348" s="9">
        <v>30</v>
      </c>
      <c r="G348" s="9">
        <v>4.5</v>
      </c>
      <c r="H348" s="9">
        <v>0.28000000000000003</v>
      </c>
      <c r="I348" s="9">
        <v>1.07</v>
      </c>
    </row>
    <row r="349" spans="1:9" x14ac:dyDescent="0.2">
      <c r="A349" s="9">
        <v>0</v>
      </c>
      <c r="B349" s="9">
        <v>29</v>
      </c>
      <c r="C349" s="9">
        <v>1</v>
      </c>
      <c r="D349" s="9">
        <v>3</v>
      </c>
      <c r="E349" s="9">
        <v>1</v>
      </c>
      <c r="F349" s="9">
        <v>17</v>
      </c>
      <c r="G349" s="9">
        <v>9</v>
      </c>
      <c r="H349" s="9">
        <v>0.47</v>
      </c>
      <c r="I349" s="9">
        <v>1.06</v>
      </c>
    </row>
    <row r="350" spans="1:9" x14ac:dyDescent="0.2">
      <c r="A350" s="9">
        <v>0</v>
      </c>
      <c r="B350" s="9">
        <v>29</v>
      </c>
      <c r="C350" s="9">
        <v>1</v>
      </c>
      <c r="D350" s="9">
        <v>12</v>
      </c>
      <c r="E350" s="9">
        <v>2</v>
      </c>
      <c r="F350" s="9">
        <v>40</v>
      </c>
      <c r="G350" s="9">
        <v>6.7</v>
      </c>
      <c r="H350" s="9">
        <v>1.63</v>
      </c>
      <c r="I350" s="9">
        <v>1.05</v>
      </c>
    </row>
    <row r="351" spans="1:9" x14ac:dyDescent="0.2">
      <c r="A351" s="9">
        <v>1</v>
      </c>
      <c r="B351" s="9">
        <v>28</v>
      </c>
      <c r="C351" s="9">
        <v>2</v>
      </c>
      <c r="D351" s="9">
        <v>8</v>
      </c>
      <c r="E351" s="9">
        <v>3</v>
      </c>
      <c r="F351" s="9">
        <v>31</v>
      </c>
      <c r="G351" s="9">
        <v>8.1999999999999993</v>
      </c>
      <c r="H351" s="9">
        <v>1.49</v>
      </c>
      <c r="I351" s="9">
        <v>1.05</v>
      </c>
    </row>
    <row r="352" spans="1:9" x14ac:dyDescent="0.2">
      <c r="A352" s="9">
        <v>0</v>
      </c>
      <c r="B352" s="9">
        <v>36</v>
      </c>
      <c r="C352" s="9">
        <v>1</v>
      </c>
      <c r="D352" s="9">
        <v>1</v>
      </c>
      <c r="E352" s="9">
        <v>4</v>
      </c>
      <c r="F352" s="9">
        <v>16</v>
      </c>
      <c r="G352" s="9">
        <v>9.3000000000000007</v>
      </c>
      <c r="H352" s="9">
        <v>0.43</v>
      </c>
      <c r="I352" s="9">
        <v>1.05</v>
      </c>
    </row>
    <row r="353" spans="1:9" x14ac:dyDescent="0.2">
      <c r="A353" s="9">
        <v>0</v>
      </c>
      <c r="B353" s="9">
        <v>35</v>
      </c>
      <c r="C353" s="9">
        <v>1</v>
      </c>
      <c r="D353" s="9">
        <v>16</v>
      </c>
      <c r="E353" s="9">
        <v>15</v>
      </c>
      <c r="F353" s="9">
        <v>36</v>
      </c>
      <c r="G353" s="9">
        <v>3.4</v>
      </c>
      <c r="H353" s="9">
        <v>0.18</v>
      </c>
      <c r="I353" s="9">
        <v>1.05</v>
      </c>
    </row>
    <row r="354" spans="1:9" x14ac:dyDescent="0.2">
      <c r="A354" s="9">
        <v>0</v>
      </c>
      <c r="B354" s="9">
        <v>42</v>
      </c>
      <c r="C354" s="9">
        <v>2</v>
      </c>
      <c r="D354" s="9">
        <v>5</v>
      </c>
      <c r="E354" s="9">
        <v>3</v>
      </c>
      <c r="F354" s="9">
        <v>41</v>
      </c>
      <c r="G354" s="9">
        <v>3.4</v>
      </c>
      <c r="H354" s="9">
        <v>0.36</v>
      </c>
      <c r="I354" s="9">
        <v>1.04</v>
      </c>
    </row>
    <row r="355" spans="1:9" x14ac:dyDescent="0.2">
      <c r="A355" s="9">
        <v>0</v>
      </c>
      <c r="B355" s="9">
        <v>23</v>
      </c>
      <c r="C355" s="9">
        <v>1</v>
      </c>
      <c r="D355" s="9">
        <v>5</v>
      </c>
      <c r="E355" s="9">
        <v>2</v>
      </c>
      <c r="F355" s="9">
        <v>17</v>
      </c>
      <c r="G355" s="9">
        <v>7.9</v>
      </c>
      <c r="H355" s="9">
        <v>0.3</v>
      </c>
      <c r="I355" s="9">
        <v>1.04</v>
      </c>
    </row>
    <row r="356" spans="1:9" x14ac:dyDescent="0.2">
      <c r="A356" s="9">
        <v>0</v>
      </c>
      <c r="B356" s="9">
        <v>33</v>
      </c>
      <c r="C356" s="9">
        <v>1</v>
      </c>
      <c r="D356" s="9">
        <v>7</v>
      </c>
      <c r="E356" s="9">
        <v>6</v>
      </c>
      <c r="F356" s="9">
        <v>26</v>
      </c>
      <c r="G356" s="9">
        <v>6</v>
      </c>
      <c r="H356" s="9">
        <v>0.54</v>
      </c>
      <c r="I356" s="9">
        <v>1.02</v>
      </c>
    </row>
    <row r="357" spans="1:9" x14ac:dyDescent="0.2">
      <c r="A357" s="9">
        <v>0</v>
      </c>
      <c r="B357" s="9">
        <v>40</v>
      </c>
      <c r="C357" s="9">
        <v>3</v>
      </c>
      <c r="D357" s="9">
        <v>18</v>
      </c>
      <c r="E357" s="9">
        <v>6</v>
      </c>
      <c r="F357" s="9">
        <v>100</v>
      </c>
      <c r="G357" s="9">
        <v>2.5</v>
      </c>
      <c r="H357" s="9">
        <v>1.49</v>
      </c>
      <c r="I357" s="9">
        <v>1.01</v>
      </c>
    </row>
    <row r="358" spans="1:9" x14ac:dyDescent="0.2">
      <c r="A358" s="9">
        <v>0</v>
      </c>
      <c r="B358" s="9">
        <v>21</v>
      </c>
      <c r="C358" s="9">
        <v>3</v>
      </c>
      <c r="D358" s="9">
        <v>0</v>
      </c>
      <c r="E358" s="9">
        <v>2</v>
      </c>
      <c r="F358" s="9">
        <v>24</v>
      </c>
      <c r="G358" s="9">
        <v>7.7</v>
      </c>
      <c r="H358" s="9">
        <v>0.83</v>
      </c>
      <c r="I358" s="9">
        <v>1.01</v>
      </c>
    </row>
    <row r="359" spans="1:9" x14ac:dyDescent="0.2">
      <c r="A359" s="9">
        <v>0</v>
      </c>
      <c r="B359" s="9">
        <v>33</v>
      </c>
      <c r="C359" s="9">
        <v>1</v>
      </c>
      <c r="D359" s="9">
        <v>6</v>
      </c>
      <c r="E359" s="9">
        <v>14</v>
      </c>
      <c r="F359" s="9">
        <v>21</v>
      </c>
      <c r="G359" s="9">
        <v>7.5</v>
      </c>
      <c r="H359" s="9">
        <v>0.56999999999999995</v>
      </c>
      <c r="I359" s="9">
        <v>1.01</v>
      </c>
    </row>
    <row r="360" spans="1:9" x14ac:dyDescent="0.2">
      <c r="A360" s="9">
        <v>0</v>
      </c>
      <c r="B360" s="9">
        <v>38</v>
      </c>
      <c r="C360" s="9">
        <v>2</v>
      </c>
      <c r="D360" s="9">
        <v>13</v>
      </c>
      <c r="E360" s="9">
        <v>0</v>
      </c>
      <c r="F360" s="9">
        <v>59</v>
      </c>
      <c r="G360" s="9">
        <v>2.4</v>
      </c>
      <c r="H360" s="9">
        <v>0.41</v>
      </c>
      <c r="I360" s="9">
        <v>1.01</v>
      </c>
    </row>
    <row r="361" spans="1:9" x14ac:dyDescent="0.2">
      <c r="A361" s="9">
        <v>0</v>
      </c>
      <c r="B361" s="9">
        <v>51</v>
      </c>
      <c r="C361" s="9">
        <v>3</v>
      </c>
      <c r="D361" s="9">
        <v>16</v>
      </c>
      <c r="E361" s="9">
        <v>25</v>
      </c>
      <c r="F361" s="9">
        <v>82</v>
      </c>
      <c r="G361" s="9">
        <v>4.4000000000000004</v>
      </c>
      <c r="H361" s="9">
        <v>2.6</v>
      </c>
      <c r="I361" s="9">
        <v>1</v>
      </c>
    </row>
    <row r="362" spans="1:9" x14ac:dyDescent="0.2">
      <c r="A362" s="9">
        <v>1</v>
      </c>
      <c r="B362" s="9">
        <v>31</v>
      </c>
      <c r="C362" s="9">
        <v>1</v>
      </c>
      <c r="D362" s="9">
        <v>11</v>
      </c>
      <c r="E362" s="9">
        <v>6</v>
      </c>
      <c r="F362" s="9">
        <v>28</v>
      </c>
      <c r="G362" s="9">
        <v>4.8</v>
      </c>
      <c r="H362" s="9">
        <v>0.35</v>
      </c>
      <c r="I362" s="9">
        <v>1</v>
      </c>
    </row>
    <row r="363" spans="1:9" x14ac:dyDescent="0.2">
      <c r="A363" s="9">
        <v>1</v>
      </c>
      <c r="B363" s="9">
        <v>23</v>
      </c>
      <c r="C363" s="9">
        <v>1</v>
      </c>
      <c r="D363" s="9">
        <v>2</v>
      </c>
      <c r="E363" s="9">
        <v>1</v>
      </c>
      <c r="F363" s="9">
        <v>25</v>
      </c>
      <c r="G363" s="9">
        <v>4.5</v>
      </c>
      <c r="H363" s="9">
        <v>0.12</v>
      </c>
      <c r="I363" s="9">
        <v>1</v>
      </c>
    </row>
    <row r="364" spans="1:9" x14ac:dyDescent="0.2">
      <c r="A364" s="9">
        <v>0</v>
      </c>
      <c r="B364" s="9">
        <v>29</v>
      </c>
      <c r="C364" s="9">
        <v>1</v>
      </c>
      <c r="D364" s="9">
        <v>11</v>
      </c>
      <c r="E364" s="9">
        <v>7</v>
      </c>
      <c r="F364" s="9">
        <v>32</v>
      </c>
      <c r="G364" s="9">
        <v>6</v>
      </c>
      <c r="H364" s="9">
        <v>0.93</v>
      </c>
      <c r="I364" s="9">
        <v>0.99</v>
      </c>
    </row>
    <row r="365" spans="1:9" x14ac:dyDescent="0.2">
      <c r="A365" s="9">
        <v>1</v>
      </c>
      <c r="B365" s="9">
        <v>27</v>
      </c>
      <c r="C365" s="9">
        <v>4</v>
      </c>
      <c r="D365" s="9">
        <v>2</v>
      </c>
      <c r="E365" s="9">
        <v>8</v>
      </c>
      <c r="F365" s="9">
        <v>23</v>
      </c>
      <c r="G365" s="9">
        <v>5.7</v>
      </c>
      <c r="H365" s="9">
        <v>0.32</v>
      </c>
      <c r="I365" s="9">
        <v>0.99</v>
      </c>
    </row>
    <row r="366" spans="1:9" x14ac:dyDescent="0.2">
      <c r="A366" s="9">
        <v>0</v>
      </c>
      <c r="B366" s="9">
        <v>29</v>
      </c>
      <c r="C366" s="9">
        <v>1</v>
      </c>
      <c r="D366" s="9">
        <v>1</v>
      </c>
      <c r="E366" s="9">
        <v>9</v>
      </c>
      <c r="F366" s="9">
        <v>17</v>
      </c>
      <c r="G366" s="9">
        <v>6.7</v>
      </c>
      <c r="H366" s="9">
        <v>0.16</v>
      </c>
      <c r="I366" s="9">
        <v>0.98</v>
      </c>
    </row>
    <row r="367" spans="1:9" x14ac:dyDescent="0.2">
      <c r="A367" s="9">
        <v>0</v>
      </c>
      <c r="B367" s="9">
        <v>24</v>
      </c>
      <c r="C367" s="9">
        <v>1</v>
      </c>
      <c r="D367" s="9">
        <v>6</v>
      </c>
      <c r="E367" s="9">
        <v>2</v>
      </c>
      <c r="F367" s="9">
        <v>21</v>
      </c>
      <c r="G367" s="9">
        <v>5.2</v>
      </c>
      <c r="H367" s="9">
        <v>0.11</v>
      </c>
      <c r="I367" s="9">
        <v>0.98</v>
      </c>
    </row>
    <row r="368" spans="1:9" x14ac:dyDescent="0.2">
      <c r="A368" s="9">
        <v>1</v>
      </c>
      <c r="B368" s="9">
        <v>29</v>
      </c>
      <c r="C368" s="9">
        <v>2</v>
      </c>
      <c r="D368" s="9">
        <v>5</v>
      </c>
      <c r="E368" s="9">
        <v>4</v>
      </c>
      <c r="F368" s="9">
        <v>36</v>
      </c>
      <c r="G368" s="9">
        <v>12.4</v>
      </c>
      <c r="H368" s="9">
        <v>3.49</v>
      </c>
      <c r="I368" s="9">
        <v>0.97</v>
      </c>
    </row>
    <row r="369" spans="1:9" x14ac:dyDescent="0.2">
      <c r="A369" s="9">
        <v>1</v>
      </c>
      <c r="B369" s="9">
        <v>38</v>
      </c>
      <c r="C369" s="9">
        <v>1</v>
      </c>
      <c r="D369" s="9">
        <v>0</v>
      </c>
      <c r="E369" s="9">
        <v>8</v>
      </c>
      <c r="F369" s="9">
        <v>23</v>
      </c>
      <c r="G369" s="9">
        <v>8.1</v>
      </c>
      <c r="H369" s="9">
        <v>0.9</v>
      </c>
      <c r="I369" s="9">
        <v>0.97</v>
      </c>
    </row>
    <row r="370" spans="1:9" x14ac:dyDescent="0.2">
      <c r="A370" s="9">
        <v>1</v>
      </c>
      <c r="B370" s="9">
        <v>27</v>
      </c>
      <c r="C370" s="9">
        <v>3</v>
      </c>
      <c r="D370" s="9">
        <v>4</v>
      </c>
      <c r="E370" s="9">
        <v>1</v>
      </c>
      <c r="F370" s="9">
        <v>40</v>
      </c>
      <c r="G370" s="9">
        <v>3.1</v>
      </c>
      <c r="H370" s="9">
        <v>0.28000000000000003</v>
      </c>
      <c r="I370" s="9">
        <v>0.96</v>
      </c>
    </row>
    <row r="371" spans="1:9" x14ac:dyDescent="0.2">
      <c r="A371" s="9">
        <v>0</v>
      </c>
      <c r="B371" s="9">
        <v>42</v>
      </c>
      <c r="C371" s="9">
        <v>2</v>
      </c>
      <c r="D371" s="9">
        <v>7</v>
      </c>
      <c r="E371" s="9">
        <v>23</v>
      </c>
      <c r="F371" s="9">
        <v>41</v>
      </c>
      <c r="G371" s="9">
        <v>4.5999999999999996</v>
      </c>
      <c r="H371" s="9">
        <v>0.97</v>
      </c>
      <c r="I371" s="9">
        <v>0.94</v>
      </c>
    </row>
    <row r="372" spans="1:9" x14ac:dyDescent="0.2">
      <c r="A372" s="9">
        <v>0</v>
      </c>
      <c r="B372" s="9">
        <v>32</v>
      </c>
      <c r="C372" s="9">
        <v>2</v>
      </c>
      <c r="D372" s="9">
        <v>7</v>
      </c>
      <c r="E372" s="9">
        <v>10</v>
      </c>
      <c r="F372" s="9">
        <v>32</v>
      </c>
      <c r="G372" s="9">
        <v>4.3</v>
      </c>
      <c r="H372" s="9">
        <v>0.43</v>
      </c>
      <c r="I372" s="9">
        <v>0.94</v>
      </c>
    </row>
    <row r="373" spans="1:9" x14ac:dyDescent="0.2">
      <c r="A373" s="9">
        <v>1</v>
      </c>
      <c r="B373" s="9">
        <v>29</v>
      </c>
      <c r="C373" s="9">
        <v>3</v>
      </c>
      <c r="D373" s="9">
        <v>3</v>
      </c>
      <c r="E373" s="9">
        <v>3</v>
      </c>
      <c r="F373" s="9">
        <v>50</v>
      </c>
      <c r="G373" s="9">
        <v>2.4</v>
      </c>
      <c r="H373" s="9">
        <v>0.26</v>
      </c>
      <c r="I373" s="9">
        <v>0.94</v>
      </c>
    </row>
    <row r="374" spans="1:9" x14ac:dyDescent="0.2">
      <c r="A374" s="9">
        <v>0</v>
      </c>
      <c r="B374" s="9">
        <v>25</v>
      </c>
      <c r="C374" s="9">
        <v>1</v>
      </c>
      <c r="D374" s="9">
        <v>4</v>
      </c>
      <c r="E374" s="9">
        <v>0</v>
      </c>
      <c r="F374" s="9">
        <v>23</v>
      </c>
      <c r="G374" s="9">
        <v>5.2</v>
      </c>
      <c r="H374" s="9">
        <v>0.25</v>
      </c>
      <c r="I374" s="9">
        <v>0.94</v>
      </c>
    </row>
    <row r="375" spans="1:9" x14ac:dyDescent="0.2">
      <c r="A375" s="9">
        <v>0</v>
      </c>
      <c r="B375" s="9">
        <v>21</v>
      </c>
      <c r="C375" s="9">
        <v>2</v>
      </c>
      <c r="D375" s="9">
        <v>0</v>
      </c>
      <c r="E375" s="9">
        <v>1</v>
      </c>
      <c r="F375" s="9">
        <v>16</v>
      </c>
      <c r="G375" s="9">
        <v>6.8</v>
      </c>
      <c r="H375" s="9">
        <v>0.15</v>
      </c>
      <c r="I375" s="9">
        <v>0.94</v>
      </c>
    </row>
    <row r="376" spans="1:9" x14ac:dyDescent="0.2">
      <c r="A376" s="9">
        <v>0</v>
      </c>
      <c r="B376" s="9">
        <v>25</v>
      </c>
      <c r="C376" s="9">
        <v>1</v>
      </c>
      <c r="D376" s="9">
        <v>8</v>
      </c>
      <c r="E376" s="9">
        <v>1</v>
      </c>
      <c r="F376" s="9">
        <v>35</v>
      </c>
      <c r="G376" s="9">
        <v>2.9</v>
      </c>
      <c r="H376" s="9">
        <v>0.08</v>
      </c>
      <c r="I376" s="9">
        <v>0.94</v>
      </c>
    </row>
    <row r="377" spans="1:9" x14ac:dyDescent="0.2">
      <c r="A377" s="9">
        <v>0</v>
      </c>
      <c r="B377" s="9">
        <v>34</v>
      </c>
      <c r="C377" s="9">
        <v>6</v>
      </c>
      <c r="D377" s="9">
        <v>7</v>
      </c>
      <c r="E377" s="9">
        <v>12</v>
      </c>
      <c r="F377" s="9">
        <v>25</v>
      </c>
      <c r="G377" s="9">
        <v>10.199999999999999</v>
      </c>
      <c r="H377" s="9">
        <v>1.63</v>
      </c>
      <c r="I377" s="9">
        <v>0.92</v>
      </c>
    </row>
    <row r="378" spans="1:9" x14ac:dyDescent="0.2">
      <c r="A378" s="9">
        <v>0</v>
      </c>
      <c r="B378" s="9">
        <v>48</v>
      </c>
      <c r="C378" s="9">
        <v>1</v>
      </c>
      <c r="D378" s="9">
        <v>3</v>
      </c>
      <c r="E378" s="9">
        <v>7</v>
      </c>
      <c r="F378" s="9">
        <v>24</v>
      </c>
      <c r="G378" s="9">
        <v>7</v>
      </c>
      <c r="H378" s="9">
        <v>0.76</v>
      </c>
      <c r="I378" s="9">
        <v>0.92</v>
      </c>
    </row>
    <row r="379" spans="1:9" x14ac:dyDescent="0.2">
      <c r="A379" s="9">
        <v>0</v>
      </c>
      <c r="B379" s="9">
        <v>26</v>
      </c>
      <c r="C379" s="9">
        <v>1</v>
      </c>
      <c r="D379" s="9">
        <v>7</v>
      </c>
      <c r="E379" s="9">
        <v>3</v>
      </c>
      <c r="F379" s="9">
        <v>22</v>
      </c>
      <c r="G379" s="9">
        <v>5.0999999999999996</v>
      </c>
      <c r="H379" s="9">
        <v>0.21</v>
      </c>
      <c r="I379" s="9">
        <v>0.91</v>
      </c>
    </row>
    <row r="380" spans="1:9" x14ac:dyDescent="0.2">
      <c r="A380" s="9">
        <v>0</v>
      </c>
      <c r="B380" s="9">
        <v>22</v>
      </c>
      <c r="C380" s="9">
        <v>2</v>
      </c>
      <c r="D380" s="9">
        <v>0</v>
      </c>
      <c r="E380" s="9">
        <v>3</v>
      </c>
      <c r="F380" s="9">
        <v>20</v>
      </c>
      <c r="G380" s="9">
        <v>5.6</v>
      </c>
      <c r="H380" s="9">
        <v>0.21</v>
      </c>
      <c r="I380" s="9">
        <v>0.91</v>
      </c>
    </row>
    <row r="381" spans="1:9" x14ac:dyDescent="0.2">
      <c r="A381" s="9">
        <v>0</v>
      </c>
      <c r="B381" s="9">
        <v>31</v>
      </c>
      <c r="C381" s="9">
        <v>1</v>
      </c>
      <c r="D381" s="9">
        <v>7</v>
      </c>
      <c r="E381" s="9">
        <v>10</v>
      </c>
      <c r="F381" s="9">
        <v>23</v>
      </c>
      <c r="G381" s="9">
        <v>4.9000000000000004</v>
      </c>
      <c r="H381" s="9">
        <v>0.23</v>
      </c>
      <c r="I381" s="9">
        <v>0.9</v>
      </c>
    </row>
    <row r="382" spans="1:9" x14ac:dyDescent="0.2">
      <c r="A382" s="9">
        <v>0</v>
      </c>
      <c r="B382" s="9">
        <v>21</v>
      </c>
      <c r="C382" s="9">
        <v>1</v>
      </c>
      <c r="D382" s="9">
        <v>4</v>
      </c>
      <c r="E382" s="9">
        <v>0</v>
      </c>
      <c r="F382" s="9">
        <v>26</v>
      </c>
      <c r="G382" s="9">
        <v>8.9</v>
      </c>
      <c r="H382" s="9">
        <v>1.42</v>
      </c>
      <c r="I382" s="9">
        <v>0.89</v>
      </c>
    </row>
    <row r="383" spans="1:9" x14ac:dyDescent="0.2">
      <c r="A383" s="9">
        <v>0</v>
      </c>
      <c r="B383" s="9">
        <v>50</v>
      </c>
      <c r="C383" s="9">
        <v>1</v>
      </c>
      <c r="D383" s="9">
        <v>11</v>
      </c>
      <c r="E383" s="9">
        <v>5</v>
      </c>
      <c r="F383" s="9">
        <v>36</v>
      </c>
      <c r="G383" s="9">
        <v>4.8</v>
      </c>
      <c r="H383" s="9">
        <v>0.83</v>
      </c>
      <c r="I383" s="9">
        <v>0.89</v>
      </c>
    </row>
    <row r="384" spans="1:9" x14ac:dyDescent="0.2">
      <c r="A384" s="9">
        <v>0</v>
      </c>
      <c r="B384" s="9">
        <v>36</v>
      </c>
      <c r="C384" s="9">
        <v>5</v>
      </c>
      <c r="D384" s="9">
        <v>5</v>
      </c>
      <c r="E384" s="9">
        <v>12</v>
      </c>
      <c r="F384" s="9">
        <v>20</v>
      </c>
      <c r="G384" s="9">
        <v>8.1</v>
      </c>
      <c r="H384" s="9">
        <v>0.73</v>
      </c>
      <c r="I384" s="9">
        <v>0.89</v>
      </c>
    </row>
    <row r="385" spans="1:9" x14ac:dyDescent="0.2">
      <c r="A385" s="9">
        <v>0</v>
      </c>
      <c r="B385" s="9">
        <v>30</v>
      </c>
      <c r="C385" s="9">
        <v>1</v>
      </c>
      <c r="D385" s="9">
        <v>4</v>
      </c>
      <c r="E385" s="9">
        <v>0</v>
      </c>
      <c r="F385" s="9">
        <v>33</v>
      </c>
      <c r="G385" s="9">
        <v>4.2</v>
      </c>
      <c r="H385" s="9">
        <v>0.5</v>
      </c>
      <c r="I385" s="9">
        <v>0.89</v>
      </c>
    </row>
    <row r="386" spans="1:9" x14ac:dyDescent="0.2">
      <c r="A386" s="9">
        <v>0</v>
      </c>
      <c r="B386" s="9">
        <v>34</v>
      </c>
      <c r="C386" s="9">
        <v>2</v>
      </c>
      <c r="D386" s="9">
        <v>4</v>
      </c>
      <c r="E386" s="9">
        <v>10</v>
      </c>
      <c r="F386" s="9">
        <v>25</v>
      </c>
      <c r="G386" s="9">
        <v>5.8</v>
      </c>
      <c r="H386" s="9">
        <v>0.56999999999999995</v>
      </c>
      <c r="I386" s="9">
        <v>0.88</v>
      </c>
    </row>
    <row r="387" spans="1:9" x14ac:dyDescent="0.2">
      <c r="A387" s="9">
        <v>1</v>
      </c>
      <c r="B387" s="9">
        <v>25</v>
      </c>
      <c r="C387" s="9">
        <v>1</v>
      </c>
      <c r="D387" s="9">
        <v>1</v>
      </c>
      <c r="E387" s="9">
        <v>0</v>
      </c>
      <c r="F387" s="9">
        <v>20</v>
      </c>
      <c r="G387" s="9">
        <v>6.7</v>
      </c>
      <c r="H387" s="9">
        <v>0.47</v>
      </c>
      <c r="I387" s="9">
        <v>0.87</v>
      </c>
    </row>
    <row r="388" spans="1:9" x14ac:dyDescent="0.2">
      <c r="A388" s="9">
        <v>0</v>
      </c>
      <c r="B388" s="9">
        <v>31</v>
      </c>
      <c r="C388" s="9">
        <v>1</v>
      </c>
      <c r="D388" s="9">
        <v>9</v>
      </c>
      <c r="E388" s="9">
        <v>5</v>
      </c>
      <c r="F388" s="9">
        <v>26</v>
      </c>
      <c r="G388" s="9">
        <v>4.5</v>
      </c>
      <c r="H388" s="9">
        <v>0.31</v>
      </c>
      <c r="I388" s="9">
        <v>0.86</v>
      </c>
    </row>
    <row r="389" spans="1:9" x14ac:dyDescent="0.2">
      <c r="A389" s="9">
        <v>0</v>
      </c>
      <c r="B389" s="9">
        <v>31</v>
      </c>
      <c r="C389" s="9">
        <v>1</v>
      </c>
      <c r="D389" s="9">
        <v>1</v>
      </c>
      <c r="E389" s="9">
        <v>1</v>
      </c>
      <c r="F389" s="9">
        <v>24</v>
      </c>
      <c r="G389" s="9">
        <v>4.5</v>
      </c>
      <c r="H389" s="9">
        <v>0.22</v>
      </c>
      <c r="I389" s="9">
        <v>0.86</v>
      </c>
    </row>
    <row r="390" spans="1:9" x14ac:dyDescent="0.2">
      <c r="A390" s="9">
        <v>0</v>
      </c>
      <c r="B390" s="9">
        <v>27</v>
      </c>
      <c r="C390" s="9">
        <v>3</v>
      </c>
      <c r="D390" s="9">
        <v>2</v>
      </c>
      <c r="E390" s="9">
        <v>7</v>
      </c>
      <c r="F390" s="9">
        <v>26</v>
      </c>
      <c r="G390" s="9">
        <v>6</v>
      </c>
      <c r="H390" s="9">
        <v>0.72</v>
      </c>
      <c r="I390" s="9">
        <v>0.84</v>
      </c>
    </row>
    <row r="391" spans="1:9" x14ac:dyDescent="0.2">
      <c r="A391" s="9">
        <v>0</v>
      </c>
      <c r="B391" s="9">
        <v>33</v>
      </c>
      <c r="C391" s="9">
        <v>1</v>
      </c>
      <c r="D391" s="9">
        <v>2</v>
      </c>
      <c r="E391" s="9">
        <v>14</v>
      </c>
      <c r="F391" s="9">
        <v>44</v>
      </c>
      <c r="G391" s="9">
        <v>3.1</v>
      </c>
      <c r="H391" s="9">
        <v>0.53</v>
      </c>
      <c r="I391" s="9">
        <v>0.84</v>
      </c>
    </row>
    <row r="392" spans="1:9" x14ac:dyDescent="0.2">
      <c r="A392" s="9">
        <v>0</v>
      </c>
      <c r="B392" s="9">
        <v>33</v>
      </c>
      <c r="C392" s="9">
        <v>4</v>
      </c>
      <c r="D392" s="9">
        <v>9</v>
      </c>
      <c r="E392" s="9">
        <v>10</v>
      </c>
      <c r="F392" s="9">
        <v>28</v>
      </c>
      <c r="G392" s="9">
        <v>4.3</v>
      </c>
      <c r="H392" s="9">
        <v>0.38</v>
      </c>
      <c r="I392" s="9">
        <v>0.83</v>
      </c>
    </row>
    <row r="393" spans="1:9" x14ac:dyDescent="0.2">
      <c r="A393" s="9">
        <v>0</v>
      </c>
      <c r="B393" s="9">
        <v>41</v>
      </c>
      <c r="C393" s="9">
        <v>1</v>
      </c>
      <c r="D393" s="9">
        <v>15</v>
      </c>
      <c r="E393" s="9">
        <v>14</v>
      </c>
      <c r="F393" s="13">
        <v>117.54291069294821</v>
      </c>
      <c r="G393" s="9">
        <v>2.9</v>
      </c>
      <c r="H393" s="9">
        <v>2.66</v>
      </c>
      <c r="I393" s="9">
        <v>0.82</v>
      </c>
    </row>
    <row r="394" spans="1:9" x14ac:dyDescent="0.2">
      <c r="A394" s="9">
        <v>0</v>
      </c>
      <c r="B394" s="9">
        <v>24</v>
      </c>
      <c r="C394" s="9">
        <v>1</v>
      </c>
      <c r="D394" s="9">
        <v>8</v>
      </c>
      <c r="E394" s="9">
        <v>4</v>
      </c>
      <c r="F394" s="9">
        <v>24</v>
      </c>
      <c r="G394" s="9">
        <v>5</v>
      </c>
      <c r="H394" s="9">
        <v>0.38</v>
      </c>
      <c r="I394" s="9">
        <v>0.82</v>
      </c>
    </row>
    <row r="395" spans="1:9" x14ac:dyDescent="0.2">
      <c r="A395" s="9">
        <v>1</v>
      </c>
      <c r="B395" s="9">
        <v>24</v>
      </c>
      <c r="C395" s="9">
        <v>1</v>
      </c>
      <c r="D395" s="9">
        <v>1</v>
      </c>
      <c r="E395" s="9">
        <v>0</v>
      </c>
      <c r="F395" s="9">
        <v>18</v>
      </c>
      <c r="G395" s="9">
        <v>5.9</v>
      </c>
      <c r="H395" s="9">
        <v>0.24</v>
      </c>
      <c r="I395" s="9">
        <v>0.82</v>
      </c>
    </row>
    <row r="396" spans="1:9" x14ac:dyDescent="0.2">
      <c r="A396" s="9">
        <v>0</v>
      </c>
      <c r="B396" s="9">
        <v>35</v>
      </c>
      <c r="C396" s="9">
        <v>2</v>
      </c>
      <c r="D396" s="9">
        <v>5</v>
      </c>
      <c r="E396" s="9">
        <v>1</v>
      </c>
      <c r="F396" s="9">
        <v>33</v>
      </c>
      <c r="G396" s="9">
        <v>2.8</v>
      </c>
      <c r="H396" s="9">
        <v>0.1</v>
      </c>
      <c r="I396" s="9">
        <v>0.82</v>
      </c>
    </row>
    <row r="397" spans="1:9" x14ac:dyDescent="0.2">
      <c r="A397" s="9">
        <v>0</v>
      </c>
      <c r="B397" s="9">
        <v>43</v>
      </c>
      <c r="C397" s="9">
        <v>1</v>
      </c>
      <c r="D397" s="9">
        <v>8</v>
      </c>
      <c r="E397" s="9">
        <v>11</v>
      </c>
      <c r="F397" s="9">
        <v>45</v>
      </c>
      <c r="G397" s="9">
        <v>3.3</v>
      </c>
      <c r="H397" s="9">
        <v>0.68</v>
      </c>
      <c r="I397" s="9">
        <v>0.81</v>
      </c>
    </row>
    <row r="398" spans="1:9" x14ac:dyDescent="0.2">
      <c r="A398" s="9">
        <v>1</v>
      </c>
      <c r="B398" s="9">
        <v>25</v>
      </c>
      <c r="C398" s="9">
        <v>2</v>
      </c>
      <c r="D398" s="9">
        <v>4</v>
      </c>
      <c r="E398" s="9">
        <v>5</v>
      </c>
      <c r="F398" s="9">
        <v>27</v>
      </c>
      <c r="G398" s="9">
        <v>5</v>
      </c>
      <c r="H398" s="9">
        <v>0.55000000000000004</v>
      </c>
      <c r="I398" s="9">
        <v>0.8</v>
      </c>
    </row>
    <row r="399" spans="1:9" x14ac:dyDescent="0.2">
      <c r="A399" s="9">
        <v>0</v>
      </c>
      <c r="B399" s="9">
        <v>24</v>
      </c>
      <c r="C399" s="9">
        <v>1</v>
      </c>
      <c r="D399" s="9">
        <v>7</v>
      </c>
      <c r="E399" s="9">
        <v>2</v>
      </c>
      <c r="F399" s="9">
        <v>21</v>
      </c>
      <c r="G399" s="9">
        <v>6.3</v>
      </c>
      <c r="H399" s="9">
        <v>0.52</v>
      </c>
      <c r="I399" s="9">
        <v>0.8</v>
      </c>
    </row>
    <row r="400" spans="1:9" x14ac:dyDescent="0.2">
      <c r="A400" s="9">
        <v>0</v>
      </c>
      <c r="B400" s="9">
        <v>29</v>
      </c>
      <c r="C400" s="9">
        <v>2</v>
      </c>
      <c r="D400" s="9">
        <v>6</v>
      </c>
      <c r="E400" s="9">
        <v>7</v>
      </c>
      <c r="F400" s="9">
        <v>57</v>
      </c>
      <c r="G400" s="9">
        <v>2.2000000000000002</v>
      </c>
      <c r="H400" s="9">
        <v>0.45</v>
      </c>
      <c r="I400" s="9">
        <v>0.8</v>
      </c>
    </row>
    <row r="401" spans="1:9" x14ac:dyDescent="0.2">
      <c r="A401" s="9">
        <v>0</v>
      </c>
      <c r="B401" s="9">
        <v>33</v>
      </c>
      <c r="C401" s="9">
        <v>1</v>
      </c>
      <c r="D401" s="9">
        <v>8</v>
      </c>
      <c r="E401" s="9">
        <v>7</v>
      </c>
      <c r="F401" s="9">
        <v>27</v>
      </c>
      <c r="G401" s="9">
        <v>5.8</v>
      </c>
      <c r="H401" s="9">
        <v>0.78</v>
      </c>
      <c r="I401" s="9">
        <v>0.79</v>
      </c>
    </row>
    <row r="402" spans="1:9" x14ac:dyDescent="0.2">
      <c r="A402" s="9">
        <v>0</v>
      </c>
      <c r="B402" s="9">
        <v>33</v>
      </c>
      <c r="C402" s="9">
        <v>1</v>
      </c>
      <c r="D402" s="9">
        <v>7</v>
      </c>
      <c r="E402" s="9">
        <v>0</v>
      </c>
      <c r="F402" s="9">
        <v>22</v>
      </c>
      <c r="G402" s="9">
        <v>6.4</v>
      </c>
      <c r="H402" s="9">
        <v>0.63</v>
      </c>
      <c r="I402" s="9">
        <v>0.78</v>
      </c>
    </row>
    <row r="403" spans="1:9" x14ac:dyDescent="0.2">
      <c r="A403" s="9">
        <v>0</v>
      </c>
      <c r="B403" s="9">
        <v>26</v>
      </c>
      <c r="C403" s="9">
        <v>1</v>
      </c>
      <c r="D403" s="9">
        <v>4</v>
      </c>
      <c r="E403" s="9">
        <v>3</v>
      </c>
      <c r="F403" s="9">
        <v>20</v>
      </c>
      <c r="G403" s="9">
        <v>5.4</v>
      </c>
      <c r="H403" s="9">
        <v>0.32</v>
      </c>
      <c r="I403" s="9">
        <v>0.76</v>
      </c>
    </row>
    <row r="404" spans="1:9" x14ac:dyDescent="0.2">
      <c r="A404" s="9">
        <v>0</v>
      </c>
      <c r="B404" s="9">
        <v>33</v>
      </c>
      <c r="C404" s="9">
        <v>1</v>
      </c>
      <c r="D404" s="9">
        <v>14</v>
      </c>
      <c r="E404" s="9">
        <v>2</v>
      </c>
      <c r="F404" s="9">
        <v>37</v>
      </c>
      <c r="G404" s="9">
        <v>2.6</v>
      </c>
      <c r="H404" s="9">
        <v>0.2</v>
      </c>
      <c r="I404" s="9">
        <v>0.76</v>
      </c>
    </row>
    <row r="405" spans="1:9" x14ac:dyDescent="0.2">
      <c r="A405" s="9">
        <v>0</v>
      </c>
      <c r="B405" s="9">
        <v>39</v>
      </c>
      <c r="C405" s="9">
        <v>1</v>
      </c>
      <c r="D405" s="9">
        <v>19</v>
      </c>
      <c r="E405" s="9">
        <v>16</v>
      </c>
      <c r="F405" s="9">
        <v>45</v>
      </c>
      <c r="G405" s="9">
        <v>3.7</v>
      </c>
      <c r="H405" s="9">
        <v>0.92</v>
      </c>
      <c r="I405" s="9">
        <v>0.75</v>
      </c>
    </row>
    <row r="406" spans="1:9" x14ac:dyDescent="0.2">
      <c r="A406" s="9">
        <v>1</v>
      </c>
      <c r="B406" s="9">
        <v>27</v>
      </c>
      <c r="C406" s="9">
        <v>2</v>
      </c>
      <c r="D406" s="9">
        <v>7</v>
      </c>
      <c r="E406" s="9">
        <v>8</v>
      </c>
      <c r="F406" s="9">
        <v>30</v>
      </c>
      <c r="G406" s="9">
        <v>4</v>
      </c>
      <c r="H406" s="9">
        <v>0.45</v>
      </c>
      <c r="I406" s="9">
        <v>0.75</v>
      </c>
    </row>
    <row r="407" spans="1:9" x14ac:dyDescent="0.2">
      <c r="A407" s="9">
        <v>1</v>
      </c>
      <c r="B407" s="9">
        <v>32</v>
      </c>
      <c r="C407" s="9">
        <v>2</v>
      </c>
      <c r="D407" s="9">
        <v>0</v>
      </c>
      <c r="E407" s="9">
        <v>6</v>
      </c>
      <c r="F407" s="9">
        <v>18</v>
      </c>
      <c r="G407" s="9">
        <v>5.8</v>
      </c>
      <c r="H407" s="9">
        <v>0.3</v>
      </c>
      <c r="I407" s="9">
        <v>0.75</v>
      </c>
    </row>
    <row r="408" spans="1:9" x14ac:dyDescent="0.2">
      <c r="A408" s="9">
        <v>1</v>
      </c>
      <c r="B408" s="9">
        <v>26</v>
      </c>
      <c r="C408" s="9">
        <v>1</v>
      </c>
      <c r="D408" s="9">
        <v>0</v>
      </c>
      <c r="E408" s="9">
        <v>0</v>
      </c>
      <c r="F408" s="9">
        <v>14</v>
      </c>
      <c r="G408" s="9">
        <v>7.5</v>
      </c>
      <c r="H408" s="9">
        <v>0.3</v>
      </c>
      <c r="I408" s="9">
        <v>0.75</v>
      </c>
    </row>
    <row r="409" spans="1:9" x14ac:dyDescent="0.2">
      <c r="A409" s="9">
        <v>1</v>
      </c>
      <c r="B409" s="9">
        <v>24</v>
      </c>
      <c r="C409" s="9">
        <v>3</v>
      </c>
      <c r="D409" s="9">
        <v>2</v>
      </c>
      <c r="E409" s="9">
        <v>5</v>
      </c>
      <c r="F409" s="9">
        <v>16</v>
      </c>
      <c r="G409" s="9">
        <v>6.4</v>
      </c>
      <c r="H409" s="9">
        <v>0.27</v>
      </c>
      <c r="I409" s="9">
        <v>0.75</v>
      </c>
    </row>
    <row r="410" spans="1:9" x14ac:dyDescent="0.2">
      <c r="A410" s="9">
        <v>1</v>
      </c>
      <c r="B410" s="9">
        <v>37</v>
      </c>
      <c r="C410" s="9">
        <v>1</v>
      </c>
      <c r="D410" s="9">
        <v>0</v>
      </c>
      <c r="E410" s="9">
        <v>18</v>
      </c>
      <c r="F410" s="9">
        <v>18</v>
      </c>
      <c r="G410" s="9">
        <v>12.9</v>
      </c>
      <c r="H410" s="9">
        <v>1.58</v>
      </c>
      <c r="I410" s="9">
        <v>0.74</v>
      </c>
    </row>
    <row r="411" spans="1:9" x14ac:dyDescent="0.2">
      <c r="A411" s="9">
        <v>0</v>
      </c>
      <c r="B411" s="9">
        <v>32</v>
      </c>
      <c r="C411" s="9">
        <v>1</v>
      </c>
      <c r="D411" s="9">
        <v>8</v>
      </c>
      <c r="E411" s="9">
        <v>6</v>
      </c>
      <c r="F411" s="9">
        <v>26</v>
      </c>
      <c r="G411" s="9">
        <v>4.0999999999999996</v>
      </c>
      <c r="H411" s="9">
        <v>0.33</v>
      </c>
      <c r="I411" s="9">
        <v>0.74</v>
      </c>
    </row>
    <row r="412" spans="1:9" x14ac:dyDescent="0.2">
      <c r="A412" s="9">
        <v>0</v>
      </c>
      <c r="B412" s="9">
        <v>30</v>
      </c>
      <c r="C412" s="9">
        <v>4</v>
      </c>
      <c r="D412" s="9">
        <v>2</v>
      </c>
      <c r="E412" s="9">
        <v>8</v>
      </c>
      <c r="F412" s="9">
        <v>25</v>
      </c>
      <c r="G412" s="9">
        <v>10</v>
      </c>
      <c r="H412" s="9">
        <v>1.77</v>
      </c>
      <c r="I412" s="9">
        <v>0.73</v>
      </c>
    </row>
    <row r="413" spans="1:9" x14ac:dyDescent="0.2">
      <c r="A413" s="9">
        <v>1</v>
      </c>
      <c r="B413" s="9">
        <v>23</v>
      </c>
      <c r="C413" s="9">
        <v>1</v>
      </c>
      <c r="D413" s="9">
        <v>2</v>
      </c>
      <c r="E413" s="9">
        <v>2</v>
      </c>
      <c r="F413" s="9">
        <v>16</v>
      </c>
      <c r="G413" s="9">
        <v>9.6</v>
      </c>
      <c r="H413" s="9">
        <v>0.8</v>
      </c>
      <c r="I413" s="9">
        <v>0.73</v>
      </c>
    </row>
    <row r="414" spans="1:9" x14ac:dyDescent="0.2">
      <c r="A414" s="9">
        <v>0</v>
      </c>
      <c r="B414" s="9">
        <v>32</v>
      </c>
      <c r="C414" s="9">
        <v>3</v>
      </c>
      <c r="D414" s="9">
        <v>5</v>
      </c>
      <c r="E414" s="9">
        <v>9</v>
      </c>
      <c r="F414" s="9">
        <v>23</v>
      </c>
      <c r="G414" s="9">
        <v>4.5</v>
      </c>
      <c r="H414" s="9">
        <v>0.33</v>
      </c>
      <c r="I414" s="9">
        <v>0.71</v>
      </c>
    </row>
    <row r="415" spans="1:9" x14ac:dyDescent="0.2">
      <c r="A415" s="9">
        <v>0</v>
      </c>
      <c r="B415" s="9">
        <v>32</v>
      </c>
      <c r="C415" s="9">
        <v>1</v>
      </c>
      <c r="D415" s="9">
        <v>12</v>
      </c>
      <c r="E415" s="9">
        <v>12</v>
      </c>
      <c r="F415" s="9">
        <v>28</v>
      </c>
      <c r="G415" s="9">
        <v>2.9</v>
      </c>
      <c r="H415" s="9">
        <v>0.12</v>
      </c>
      <c r="I415" s="9">
        <v>0.7</v>
      </c>
    </row>
    <row r="416" spans="1:9" x14ac:dyDescent="0.2">
      <c r="A416" s="9">
        <v>0</v>
      </c>
      <c r="B416" s="9">
        <v>40</v>
      </c>
      <c r="C416" s="9">
        <v>1</v>
      </c>
      <c r="D416" s="9">
        <v>13</v>
      </c>
      <c r="E416" s="9">
        <v>2</v>
      </c>
      <c r="F416" s="9">
        <v>28</v>
      </c>
      <c r="G416" s="9">
        <v>5.9</v>
      </c>
      <c r="H416" s="9">
        <v>0.96</v>
      </c>
      <c r="I416" s="9">
        <v>0.69</v>
      </c>
    </row>
    <row r="417" spans="1:9" x14ac:dyDescent="0.2">
      <c r="A417" s="9">
        <v>0</v>
      </c>
      <c r="B417" s="9">
        <v>32</v>
      </c>
      <c r="C417" s="9">
        <v>2</v>
      </c>
      <c r="D417" s="9">
        <v>8</v>
      </c>
      <c r="E417" s="9">
        <v>2</v>
      </c>
      <c r="F417" s="9">
        <v>45</v>
      </c>
      <c r="G417" s="9">
        <v>3.7</v>
      </c>
      <c r="H417" s="9">
        <v>0.98</v>
      </c>
      <c r="I417" s="9">
        <v>0.68</v>
      </c>
    </row>
    <row r="418" spans="1:9" x14ac:dyDescent="0.2">
      <c r="A418" s="9">
        <v>0</v>
      </c>
      <c r="B418" s="9">
        <v>41</v>
      </c>
      <c r="C418" s="9">
        <v>1</v>
      </c>
      <c r="D418" s="9">
        <v>13</v>
      </c>
      <c r="E418" s="9">
        <v>10</v>
      </c>
      <c r="F418" s="9">
        <v>44</v>
      </c>
      <c r="G418" s="9">
        <v>1.7</v>
      </c>
      <c r="H418" s="9">
        <v>7.0000000000000007E-2</v>
      </c>
      <c r="I418" s="9">
        <v>0.68</v>
      </c>
    </row>
    <row r="419" spans="1:9" x14ac:dyDescent="0.2">
      <c r="A419" s="9">
        <v>1</v>
      </c>
      <c r="B419" s="9">
        <v>32</v>
      </c>
      <c r="C419" s="9">
        <v>1</v>
      </c>
      <c r="D419" s="9">
        <v>1</v>
      </c>
      <c r="E419" s="9">
        <v>0</v>
      </c>
      <c r="F419" s="9">
        <v>20</v>
      </c>
      <c r="G419" s="9">
        <v>4.8</v>
      </c>
      <c r="H419" s="9">
        <v>0.31</v>
      </c>
      <c r="I419" s="9">
        <v>0.65</v>
      </c>
    </row>
    <row r="420" spans="1:9" x14ac:dyDescent="0.2">
      <c r="A420" s="9">
        <v>0</v>
      </c>
      <c r="B420" s="9">
        <v>37</v>
      </c>
      <c r="C420" s="9">
        <v>1</v>
      </c>
      <c r="D420" s="9">
        <v>3</v>
      </c>
      <c r="E420" s="9">
        <v>3</v>
      </c>
      <c r="F420" s="9">
        <v>25</v>
      </c>
      <c r="G420" s="9">
        <v>3.7</v>
      </c>
      <c r="H420" s="9">
        <v>0.28000000000000003</v>
      </c>
      <c r="I420" s="9">
        <v>0.65</v>
      </c>
    </row>
    <row r="421" spans="1:9" x14ac:dyDescent="0.2">
      <c r="A421" s="9">
        <v>0</v>
      </c>
      <c r="B421" s="9">
        <v>24</v>
      </c>
      <c r="C421" s="9">
        <v>1</v>
      </c>
      <c r="D421" s="9">
        <v>7</v>
      </c>
      <c r="E421" s="9">
        <v>0</v>
      </c>
      <c r="F421" s="9">
        <v>18</v>
      </c>
      <c r="G421" s="9">
        <v>6.5</v>
      </c>
      <c r="H421" s="9">
        <v>0.53</v>
      </c>
      <c r="I421" s="9">
        <v>0.64</v>
      </c>
    </row>
    <row r="422" spans="1:9" x14ac:dyDescent="0.2">
      <c r="A422" s="9">
        <v>0</v>
      </c>
      <c r="B422" s="9">
        <v>30</v>
      </c>
      <c r="C422" s="9">
        <v>2</v>
      </c>
      <c r="D422" s="9">
        <v>4</v>
      </c>
      <c r="E422" s="9">
        <v>8</v>
      </c>
      <c r="F422" s="9">
        <v>15</v>
      </c>
      <c r="G422" s="9">
        <v>6.5</v>
      </c>
      <c r="H422" s="9">
        <v>0.35</v>
      </c>
      <c r="I422" s="9">
        <v>0.62</v>
      </c>
    </row>
    <row r="423" spans="1:9" x14ac:dyDescent="0.2">
      <c r="A423" s="9">
        <v>0</v>
      </c>
      <c r="B423" s="9">
        <v>31</v>
      </c>
      <c r="C423" s="9">
        <v>1</v>
      </c>
      <c r="D423" s="9">
        <v>9</v>
      </c>
      <c r="E423" s="9">
        <v>10</v>
      </c>
      <c r="F423" s="9">
        <v>28</v>
      </c>
      <c r="G423" s="9">
        <v>2.4</v>
      </c>
      <c r="H423" s="9">
        <v>0.05</v>
      </c>
      <c r="I423" s="9">
        <v>0.62</v>
      </c>
    </row>
    <row r="424" spans="1:9" x14ac:dyDescent="0.2">
      <c r="A424" s="9">
        <v>0</v>
      </c>
      <c r="B424" s="9">
        <v>38</v>
      </c>
      <c r="C424" s="9">
        <v>3</v>
      </c>
      <c r="D424" s="9">
        <v>3</v>
      </c>
      <c r="E424" s="9">
        <v>18</v>
      </c>
      <c r="F424" s="9">
        <v>25</v>
      </c>
      <c r="G424" s="9">
        <v>3.7</v>
      </c>
      <c r="H424" s="9">
        <v>0.31</v>
      </c>
      <c r="I424" s="9">
        <v>0.61</v>
      </c>
    </row>
    <row r="425" spans="1:9" x14ac:dyDescent="0.2">
      <c r="A425" s="9">
        <v>1</v>
      </c>
      <c r="B425" s="9">
        <v>21</v>
      </c>
      <c r="C425" s="9">
        <v>2</v>
      </c>
      <c r="D425" s="9">
        <v>2</v>
      </c>
      <c r="E425" s="9">
        <v>0</v>
      </c>
      <c r="F425" s="9">
        <v>20</v>
      </c>
      <c r="G425" s="9">
        <v>4.5</v>
      </c>
      <c r="H425" s="9">
        <v>0.28999999999999998</v>
      </c>
      <c r="I425" s="9">
        <v>0.61</v>
      </c>
    </row>
    <row r="426" spans="1:9" x14ac:dyDescent="0.2">
      <c r="A426" s="9">
        <v>0</v>
      </c>
      <c r="B426" s="9">
        <v>31</v>
      </c>
      <c r="C426" s="9">
        <v>3</v>
      </c>
      <c r="D426" s="9">
        <v>9</v>
      </c>
      <c r="E426" s="9">
        <v>2</v>
      </c>
      <c r="F426" s="9">
        <v>28</v>
      </c>
      <c r="G426" s="9">
        <v>2.6</v>
      </c>
      <c r="H426" s="9">
        <v>0.12</v>
      </c>
      <c r="I426" s="9">
        <v>0.61</v>
      </c>
    </row>
    <row r="427" spans="1:9" x14ac:dyDescent="0.2">
      <c r="A427" s="9">
        <v>0</v>
      </c>
      <c r="B427" s="9">
        <v>39</v>
      </c>
      <c r="C427" s="9">
        <v>2</v>
      </c>
      <c r="D427" s="9">
        <v>16</v>
      </c>
      <c r="E427" s="9">
        <v>13</v>
      </c>
      <c r="F427" s="9">
        <v>69</v>
      </c>
      <c r="G427" s="9">
        <v>2.4</v>
      </c>
      <c r="H427" s="9">
        <v>1.06</v>
      </c>
      <c r="I427" s="9">
        <v>0.59</v>
      </c>
    </row>
    <row r="428" spans="1:9" x14ac:dyDescent="0.2">
      <c r="A428" s="9">
        <v>0</v>
      </c>
      <c r="B428" s="9">
        <v>32</v>
      </c>
      <c r="C428" s="9">
        <v>1</v>
      </c>
      <c r="D428" s="9">
        <v>14</v>
      </c>
      <c r="E428" s="9">
        <v>0</v>
      </c>
      <c r="F428" s="9">
        <v>36</v>
      </c>
      <c r="G428" s="9">
        <v>2.4</v>
      </c>
      <c r="H428" s="9">
        <v>0.27</v>
      </c>
      <c r="I428" s="9">
        <v>0.59</v>
      </c>
    </row>
    <row r="429" spans="1:9" x14ac:dyDescent="0.2">
      <c r="A429" s="9">
        <v>0</v>
      </c>
      <c r="B429" s="9">
        <v>35</v>
      </c>
      <c r="C429" s="9">
        <v>2</v>
      </c>
      <c r="D429" s="9">
        <v>13</v>
      </c>
      <c r="E429" s="9">
        <v>3</v>
      </c>
      <c r="F429" s="9">
        <v>105</v>
      </c>
      <c r="G429" s="9">
        <v>1.9</v>
      </c>
      <c r="H429" s="9">
        <v>1.42</v>
      </c>
      <c r="I429" s="9">
        <v>0.57999999999999996</v>
      </c>
    </row>
    <row r="430" spans="1:9" x14ac:dyDescent="0.2">
      <c r="A430" s="9">
        <v>0</v>
      </c>
      <c r="B430" s="9">
        <v>26</v>
      </c>
      <c r="C430" s="9">
        <v>2</v>
      </c>
      <c r="D430" s="9">
        <v>6</v>
      </c>
      <c r="E430" s="9">
        <v>0</v>
      </c>
      <c r="F430" s="9">
        <v>35</v>
      </c>
      <c r="G430" s="9">
        <v>1.9</v>
      </c>
      <c r="H430" s="9">
        <v>0.09</v>
      </c>
      <c r="I430" s="9">
        <v>0.57999999999999996</v>
      </c>
    </row>
    <row r="431" spans="1:9" x14ac:dyDescent="0.2">
      <c r="A431" s="9">
        <v>1</v>
      </c>
      <c r="B431" s="9">
        <v>28</v>
      </c>
      <c r="C431" s="9">
        <v>4</v>
      </c>
      <c r="D431" s="9">
        <v>2</v>
      </c>
      <c r="E431" s="9">
        <v>4</v>
      </c>
      <c r="F431" s="9">
        <v>41</v>
      </c>
      <c r="G431" s="9">
        <v>2.5</v>
      </c>
      <c r="H431" s="9">
        <v>0.46</v>
      </c>
      <c r="I431" s="9">
        <v>0.56999999999999995</v>
      </c>
    </row>
    <row r="432" spans="1:9" x14ac:dyDescent="0.2">
      <c r="A432" s="9">
        <v>0</v>
      </c>
      <c r="B432" s="9">
        <v>36</v>
      </c>
      <c r="C432" s="9">
        <v>1</v>
      </c>
      <c r="D432" s="9">
        <v>15</v>
      </c>
      <c r="E432" s="9">
        <v>10</v>
      </c>
      <c r="F432" s="9">
        <v>39</v>
      </c>
      <c r="G432" s="9">
        <v>3.2</v>
      </c>
      <c r="H432" s="9">
        <v>0.69</v>
      </c>
      <c r="I432" s="9">
        <v>0.56000000000000005</v>
      </c>
    </row>
    <row r="433" spans="1:9" x14ac:dyDescent="0.2">
      <c r="A433" s="9">
        <v>0</v>
      </c>
      <c r="B433" s="9">
        <v>39</v>
      </c>
      <c r="C433" s="9">
        <v>2</v>
      </c>
      <c r="D433" s="9">
        <v>18</v>
      </c>
      <c r="E433" s="9">
        <v>9</v>
      </c>
      <c r="F433" s="9">
        <v>44</v>
      </c>
      <c r="G433" s="9">
        <v>2.1</v>
      </c>
      <c r="H433" s="9">
        <v>0.37</v>
      </c>
      <c r="I433" s="9">
        <v>0.56000000000000005</v>
      </c>
    </row>
    <row r="434" spans="1:9" x14ac:dyDescent="0.2">
      <c r="A434" s="9">
        <v>0</v>
      </c>
      <c r="B434" s="9">
        <v>39</v>
      </c>
      <c r="C434" s="9">
        <v>1</v>
      </c>
      <c r="D434" s="9">
        <v>8</v>
      </c>
      <c r="E434" s="9">
        <v>0</v>
      </c>
      <c r="F434" s="9">
        <v>21</v>
      </c>
      <c r="G434" s="9">
        <v>4</v>
      </c>
      <c r="H434" s="9">
        <v>0.28000000000000003</v>
      </c>
      <c r="I434" s="9">
        <v>0.56000000000000005</v>
      </c>
    </row>
    <row r="435" spans="1:9" x14ac:dyDescent="0.2">
      <c r="A435" s="9">
        <v>0</v>
      </c>
      <c r="B435" s="9">
        <v>39</v>
      </c>
      <c r="C435" s="9">
        <v>1</v>
      </c>
      <c r="D435" s="9">
        <v>15</v>
      </c>
      <c r="E435" s="9">
        <v>16</v>
      </c>
      <c r="F435" s="9">
        <v>39</v>
      </c>
      <c r="G435" s="9">
        <v>1.8</v>
      </c>
      <c r="H435" s="9">
        <v>0.14000000000000001</v>
      </c>
      <c r="I435" s="9">
        <v>0.56000000000000005</v>
      </c>
    </row>
    <row r="436" spans="1:9" x14ac:dyDescent="0.2">
      <c r="A436" s="9">
        <v>0</v>
      </c>
      <c r="B436" s="9">
        <v>29</v>
      </c>
      <c r="C436" s="9">
        <v>1</v>
      </c>
      <c r="D436" s="9">
        <v>13</v>
      </c>
      <c r="E436" s="9">
        <v>7</v>
      </c>
      <c r="F436" s="9">
        <v>27</v>
      </c>
      <c r="G436" s="9">
        <v>2.2999999999999998</v>
      </c>
      <c r="H436" s="9">
        <v>7.0000000000000007E-2</v>
      </c>
      <c r="I436" s="9">
        <v>0.55000000000000004</v>
      </c>
    </row>
    <row r="437" spans="1:9" x14ac:dyDescent="0.2">
      <c r="A437" s="9">
        <v>0</v>
      </c>
      <c r="B437" s="9">
        <v>40</v>
      </c>
      <c r="C437" s="9">
        <v>4</v>
      </c>
      <c r="D437" s="9">
        <v>5</v>
      </c>
      <c r="E437" s="9">
        <v>6</v>
      </c>
      <c r="F437" s="9">
        <v>75</v>
      </c>
      <c r="G437" s="9">
        <v>1.9</v>
      </c>
      <c r="H437" s="9">
        <v>0.88</v>
      </c>
      <c r="I437" s="9">
        <v>0.54</v>
      </c>
    </row>
    <row r="438" spans="1:9" x14ac:dyDescent="0.2">
      <c r="A438" s="9">
        <v>0</v>
      </c>
      <c r="B438" s="9">
        <v>29</v>
      </c>
      <c r="C438" s="9">
        <v>2</v>
      </c>
      <c r="D438" s="9">
        <v>4</v>
      </c>
      <c r="E438" s="9">
        <v>9</v>
      </c>
      <c r="F438" s="9">
        <v>19</v>
      </c>
      <c r="G438" s="9">
        <v>6.3</v>
      </c>
      <c r="H438" s="9">
        <v>0.68</v>
      </c>
      <c r="I438" s="9">
        <v>0.52</v>
      </c>
    </row>
    <row r="439" spans="1:9" x14ac:dyDescent="0.2">
      <c r="A439" s="9">
        <v>0</v>
      </c>
      <c r="B439" s="9">
        <v>37</v>
      </c>
      <c r="C439" s="9">
        <v>1</v>
      </c>
      <c r="D439" s="9">
        <v>20</v>
      </c>
      <c r="E439" s="9">
        <v>2</v>
      </c>
      <c r="F439" s="9">
        <v>56</v>
      </c>
      <c r="G439" s="9">
        <v>1.9</v>
      </c>
      <c r="H439" s="9">
        <v>0.54</v>
      </c>
      <c r="I439" s="9">
        <v>0.52</v>
      </c>
    </row>
    <row r="440" spans="1:9" x14ac:dyDescent="0.2">
      <c r="A440" s="9">
        <v>0</v>
      </c>
      <c r="B440" s="9">
        <v>22</v>
      </c>
      <c r="C440" s="9">
        <v>1</v>
      </c>
      <c r="D440" s="9">
        <v>1</v>
      </c>
      <c r="E440" s="9">
        <v>0</v>
      </c>
      <c r="F440" s="9">
        <v>18</v>
      </c>
      <c r="G440" s="9">
        <v>4.4000000000000004</v>
      </c>
      <c r="H440" s="9">
        <v>0.27</v>
      </c>
      <c r="I440" s="9">
        <v>0.52</v>
      </c>
    </row>
    <row r="441" spans="1:9" x14ac:dyDescent="0.2">
      <c r="A441" s="9">
        <v>0</v>
      </c>
      <c r="B441" s="9">
        <v>28</v>
      </c>
      <c r="C441" s="9">
        <v>1</v>
      </c>
      <c r="D441" s="9">
        <v>3</v>
      </c>
      <c r="E441" s="9">
        <v>7</v>
      </c>
      <c r="F441" s="9">
        <v>19</v>
      </c>
      <c r="G441" s="9">
        <v>4.0999999999999996</v>
      </c>
      <c r="H441" s="9">
        <v>0.26</v>
      </c>
      <c r="I441" s="9">
        <v>0.52</v>
      </c>
    </row>
    <row r="442" spans="1:9" x14ac:dyDescent="0.2">
      <c r="A442" s="9">
        <v>0</v>
      </c>
      <c r="B442" s="9">
        <v>39</v>
      </c>
      <c r="C442" s="9">
        <v>1</v>
      </c>
      <c r="D442" s="9">
        <v>22</v>
      </c>
      <c r="E442" s="9">
        <v>3</v>
      </c>
      <c r="F442" s="9">
        <v>52</v>
      </c>
      <c r="G442" s="9">
        <v>3.2</v>
      </c>
      <c r="H442" s="9">
        <v>1.1499999999999999</v>
      </c>
      <c r="I442" s="9">
        <v>0.51</v>
      </c>
    </row>
    <row r="443" spans="1:9" x14ac:dyDescent="0.2">
      <c r="A443" s="9">
        <v>0</v>
      </c>
      <c r="B443" s="9">
        <v>30</v>
      </c>
      <c r="C443" s="9">
        <v>1</v>
      </c>
      <c r="D443" s="9">
        <v>10</v>
      </c>
      <c r="E443" s="9">
        <v>2</v>
      </c>
      <c r="F443" s="9">
        <v>19</v>
      </c>
      <c r="G443" s="9">
        <v>4.4000000000000004</v>
      </c>
      <c r="H443" s="9">
        <v>0.34</v>
      </c>
      <c r="I443" s="9">
        <v>0.5</v>
      </c>
    </row>
    <row r="444" spans="1:9" x14ac:dyDescent="0.2">
      <c r="A444" s="9">
        <v>0</v>
      </c>
      <c r="B444" s="9">
        <v>36</v>
      </c>
      <c r="C444" s="9">
        <v>4</v>
      </c>
      <c r="D444" s="9">
        <v>8</v>
      </c>
      <c r="E444" s="9">
        <v>0</v>
      </c>
      <c r="F444" s="9">
        <v>32</v>
      </c>
      <c r="G444" s="9">
        <v>1.6</v>
      </c>
      <c r="H444" s="9">
        <v>0.02</v>
      </c>
      <c r="I444" s="9">
        <v>0.49</v>
      </c>
    </row>
    <row r="445" spans="1:9" x14ac:dyDescent="0.2">
      <c r="A445" s="9">
        <v>0</v>
      </c>
      <c r="B445" s="9">
        <v>28</v>
      </c>
      <c r="C445" s="9">
        <v>1</v>
      </c>
      <c r="D445" s="9">
        <v>5</v>
      </c>
      <c r="E445" s="9">
        <v>9</v>
      </c>
      <c r="F445" s="9">
        <v>22</v>
      </c>
      <c r="G445" s="9">
        <v>2.8</v>
      </c>
      <c r="H445" s="9">
        <v>0.14000000000000001</v>
      </c>
      <c r="I445" s="9">
        <v>0.48</v>
      </c>
    </row>
    <row r="446" spans="1:9" x14ac:dyDescent="0.2">
      <c r="A446" s="9">
        <v>0</v>
      </c>
      <c r="B446" s="9">
        <v>21</v>
      </c>
      <c r="C446" s="9">
        <v>3</v>
      </c>
      <c r="D446" s="9">
        <v>0</v>
      </c>
      <c r="E446" s="9">
        <v>1</v>
      </c>
      <c r="F446" s="9">
        <v>26</v>
      </c>
      <c r="G446" s="9">
        <v>7.7</v>
      </c>
      <c r="H446" s="9">
        <v>1.53</v>
      </c>
      <c r="I446" s="9">
        <v>0.47</v>
      </c>
    </row>
    <row r="447" spans="1:9" x14ac:dyDescent="0.2">
      <c r="A447" s="9">
        <v>0</v>
      </c>
      <c r="B447" s="9">
        <v>26</v>
      </c>
      <c r="C447" s="9">
        <v>1</v>
      </c>
      <c r="D447" s="9">
        <v>10</v>
      </c>
      <c r="E447" s="9">
        <v>1</v>
      </c>
      <c r="F447" s="9">
        <v>25</v>
      </c>
      <c r="G447" s="9">
        <v>7.1</v>
      </c>
      <c r="H447" s="9">
        <v>1.31</v>
      </c>
      <c r="I447" s="9">
        <v>0.47</v>
      </c>
    </row>
    <row r="448" spans="1:9" x14ac:dyDescent="0.2">
      <c r="A448" s="9">
        <v>0</v>
      </c>
      <c r="B448" s="9">
        <v>40</v>
      </c>
      <c r="C448" s="9">
        <v>1</v>
      </c>
      <c r="D448" s="9">
        <v>8</v>
      </c>
      <c r="E448" s="9">
        <v>17</v>
      </c>
      <c r="F448" s="9">
        <v>28</v>
      </c>
      <c r="G448" s="9">
        <v>3.6</v>
      </c>
      <c r="H448" s="9">
        <v>0.53</v>
      </c>
      <c r="I448" s="9">
        <v>0.47</v>
      </c>
    </row>
    <row r="449" spans="1:9" x14ac:dyDescent="0.2">
      <c r="A449" s="9">
        <v>0</v>
      </c>
      <c r="B449" s="9">
        <v>26</v>
      </c>
      <c r="C449" s="9">
        <v>4</v>
      </c>
      <c r="D449" s="9">
        <v>1</v>
      </c>
      <c r="E449" s="9">
        <v>7</v>
      </c>
      <c r="F449" s="9">
        <v>27</v>
      </c>
      <c r="G449" s="9">
        <v>2.9</v>
      </c>
      <c r="H449" s="9">
        <v>0.31</v>
      </c>
      <c r="I449" s="9">
        <v>0.47</v>
      </c>
    </row>
    <row r="450" spans="1:9" x14ac:dyDescent="0.2">
      <c r="A450" s="9">
        <v>0</v>
      </c>
      <c r="B450" s="9">
        <v>28</v>
      </c>
      <c r="C450" s="9">
        <v>1</v>
      </c>
      <c r="D450" s="9">
        <v>11</v>
      </c>
      <c r="E450" s="9">
        <v>6</v>
      </c>
      <c r="F450" s="9">
        <v>24</v>
      </c>
      <c r="G450" s="9">
        <v>2.4</v>
      </c>
      <c r="H450" s="9">
        <v>0.11</v>
      </c>
      <c r="I450" s="9">
        <v>0.47</v>
      </c>
    </row>
    <row r="451" spans="1:9" x14ac:dyDescent="0.2">
      <c r="A451" s="9">
        <v>0</v>
      </c>
      <c r="B451" s="9">
        <v>32</v>
      </c>
      <c r="C451" s="9">
        <v>2</v>
      </c>
      <c r="D451" s="9">
        <v>3</v>
      </c>
      <c r="E451" s="9">
        <v>13</v>
      </c>
      <c r="F451" s="9">
        <v>47</v>
      </c>
      <c r="G451" s="9">
        <v>1.9</v>
      </c>
      <c r="H451" s="9">
        <v>0.43</v>
      </c>
      <c r="I451" s="9">
        <v>0.46</v>
      </c>
    </row>
    <row r="452" spans="1:9" x14ac:dyDescent="0.2">
      <c r="A452" s="9">
        <v>0</v>
      </c>
      <c r="B452" s="9">
        <v>24</v>
      </c>
      <c r="C452" s="9">
        <v>6</v>
      </c>
      <c r="D452" s="9">
        <v>3</v>
      </c>
      <c r="E452" s="9">
        <v>0</v>
      </c>
      <c r="F452" s="9">
        <v>19</v>
      </c>
      <c r="G452" s="9">
        <v>4.3</v>
      </c>
      <c r="H452" s="9">
        <v>0.36</v>
      </c>
      <c r="I452" s="9">
        <v>0.46</v>
      </c>
    </row>
    <row r="453" spans="1:9" x14ac:dyDescent="0.2">
      <c r="A453" s="9">
        <v>0</v>
      </c>
      <c r="B453" s="9">
        <v>38</v>
      </c>
      <c r="C453" s="9">
        <v>2</v>
      </c>
      <c r="D453" s="9">
        <v>4</v>
      </c>
      <c r="E453" s="9">
        <v>13</v>
      </c>
      <c r="F453" s="9">
        <v>56</v>
      </c>
      <c r="G453" s="9">
        <v>1.6</v>
      </c>
      <c r="H453" s="9">
        <v>0.44</v>
      </c>
      <c r="I453" s="9">
        <v>0.45</v>
      </c>
    </row>
    <row r="454" spans="1:9" x14ac:dyDescent="0.2">
      <c r="A454" s="9">
        <v>0</v>
      </c>
      <c r="B454" s="9">
        <v>24</v>
      </c>
      <c r="C454" s="9">
        <v>1</v>
      </c>
      <c r="D454" s="9">
        <v>4</v>
      </c>
      <c r="E454" s="9">
        <v>2</v>
      </c>
      <c r="F454" s="9">
        <v>21</v>
      </c>
      <c r="G454" s="9">
        <v>2.6</v>
      </c>
      <c r="H454" s="9">
        <v>0.1</v>
      </c>
      <c r="I454" s="9">
        <v>0.45</v>
      </c>
    </row>
    <row r="455" spans="1:9" x14ac:dyDescent="0.2">
      <c r="A455" s="9">
        <v>0</v>
      </c>
      <c r="B455" s="9">
        <v>26</v>
      </c>
      <c r="C455" s="9">
        <v>1</v>
      </c>
      <c r="D455" s="9">
        <v>1</v>
      </c>
      <c r="E455" s="9">
        <v>0</v>
      </c>
      <c r="F455" s="9">
        <v>21</v>
      </c>
      <c r="G455" s="9">
        <v>4.9000000000000004</v>
      </c>
      <c r="H455" s="9">
        <v>0.61</v>
      </c>
      <c r="I455" s="9">
        <v>0.42</v>
      </c>
    </row>
    <row r="456" spans="1:9" x14ac:dyDescent="0.2">
      <c r="A456" s="9">
        <v>0</v>
      </c>
      <c r="B456" s="9">
        <v>41</v>
      </c>
      <c r="C456" s="9">
        <v>4</v>
      </c>
      <c r="D456" s="9">
        <v>14</v>
      </c>
      <c r="E456" s="9">
        <v>3</v>
      </c>
      <c r="F456" s="9">
        <v>44</v>
      </c>
      <c r="G456" s="9">
        <v>1.7</v>
      </c>
      <c r="H456" s="9">
        <v>0.35</v>
      </c>
      <c r="I456" s="9">
        <v>0.39</v>
      </c>
    </row>
    <row r="457" spans="1:9" x14ac:dyDescent="0.2">
      <c r="A457" s="9">
        <v>0</v>
      </c>
      <c r="B457" s="9">
        <v>29</v>
      </c>
      <c r="C457" s="9">
        <v>2</v>
      </c>
      <c r="D457" s="9">
        <v>9</v>
      </c>
      <c r="E457" s="9">
        <v>3</v>
      </c>
      <c r="F457" s="9">
        <v>36</v>
      </c>
      <c r="G457" s="9">
        <v>1.4</v>
      </c>
      <c r="H457" s="9">
        <v>0.13</v>
      </c>
      <c r="I457" s="9">
        <v>0.38</v>
      </c>
    </row>
    <row r="458" spans="1:9" x14ac:dyDescent="0.2">
      <c r="A458" s="9">
        <v>0</v>
      </c>
      <c r="B458" s="9">
        <v>38</v>
      </c>
      <c r="C458" s="9">
        <v>1</v>
      </c>
      <c r="D458" s="9">
        <v>10</v>
      </c>
      <c r="E458" s="9">
        <v>8</v>
      </c>
      <c r="F458" s="9">
        <v>34</v>
      </c>
      <c r="G458" s="9">
        <v>1.2</v>
      </c>
      <c r="H458" s="9">
        <v>0.04</v>
      </c>
      <c r="I458" s="9">
        <v>0.37</v>
      </c>
    </row>
    <row r="459" spans="1:9" x14ac:dyDescent="0.2">
      <c r="A459" s="9">
        <v>1</v>
      </c>
      <c r="B459" s="9">
        <v>26</v>
      </c>
      <c r="C459" s="9">
        <v>1</v>
      </c>
      <c r="D459" s="9">
        <v>4</v>
      </c>
      <c r="E459" s="9">
        <v>3</v>
      </c>
      <c r="F459" s="9">
        <v>27</v>
      </c>
      <c r="G459" s="9">
        <v>10.5</v>
      </c>
      <c r="H459" s="9">
        <v>2.4700000000000002</v>
      </c>
      <c r="I459" s="9">
        <v>0.36</v>
      </c>
    </row>
    <row r="460" spans="1:9" x14ac:dyDescent="0.2">
      <c r="A460" s="9">
        <v>0</v>
      </c>
      <c r="B460" s="9">
        <v>41</v>
      </c>
      <c r="C460" s="9">
        <v>1</v>
      </c>
      <c r="D460" s="9">
        <v>16</v>
      </c>
      <c r="E460" s="9">
        <v>22</v>
      </c>
      <c r="F460" s="9">
        <v>49</v>
      </c>
      <c r="G460" s="9">
        <v>1.6</v>
      </c>
      <c r="H460" s="9">
        <v>0.43</v>
      </c>
      <c r="I460" s="9">
        <v>0.35</v>
      </c>
    </row>
    <row r="461" spans="1:9" x14ac:dyDescent="0.2">
      <c r="A461" s="9">
        <v>0</v>
      </c>
      <c r="B461" s="9">
        <v>20</v>
      </c>
      <c r="C461" s="9">
        <v>3</v>
      </c>
      <c r="D461" s="9">
        <v>0</v>
      </c>
      <c r="E461" s="9">
        <v>1</v>
      </c>
      <c r="F461" s="9">
        <v>17</v>
      </c>
      <c r="G461" s="9">
        <v>2.2999999999999998</v>
      </c>
      <c r="H461" s="9">
        <v>0.04</v>
      </c>
      <c r="I461" s="9">
        <v>0.35</v>
      </c>
    </row>
    <row r="462" spans="1:9" x14ac:dyDescent="0.2">
      <c r="A462" s="9">
        <v>0</v>
      </c>
      <c r="B462" s="9">
        <v>26</v>
      </c>
      <c r="C462" s="9">
        <v>1</v>
      </c>
      <c r="D462" s="9">
        <v>10</v>
      </c>
      <c r="E462" s="9">
        <v>6</v>
      </c>
      <c r="F462" s="9">
        <v>24</v>
      </c>
      <c r="G462" s="9">
        <v>2.7</v>
      </c>
      <c r="H462" s="9">
        <v>0.31</v>
      </c>
      <c r="I462" s="9">
        <v>0.34</v>
      </c>
    </row>
    <row r="463" spans="1:9" x14ac:dyDescent="0.2">
      <c r="A463" s="9">
        <v>0</v>
      </c>
      <c r="B463" s="9">
        <v>41</v>
      </c>
      <c r="C463" s="9">
        <v>3</v>
      </c>
      <c r="D463" s="9">
        <v>0</v>
      </c>
      <c r="E463" s="9">
        <v>21</v>
      </c>
      <c r="F463" s="9">
        <v>26</v>
      </c>
      <c r="G463" s="9">
        <v>1.7</v>
      </c>
      <c r="H463" s="9">
        <v>0.1</v>
      </c>
      <c r="I463" s="9">
        <v>0.34</v>
      </c>
    </row>
    <row r="464" spans="1:9" x14ac:dyDescent="0.2">
      <c r="A464" s="9">
        <v>0</v>
      </c>
      <c r="B464" s="9">
        <v>40</v>
      </c>
      <c r="C464" s="9">
        <v>1</v>
      </c>
      <c r="D464" s="9">
        <v>2</v>
      </c>
      <c r="E464" s="9">
        <v>4</v>
      </c>
      <c r="F464" s="9">
        <v>32</v>
      </c>
      <c r="G464" s="9">
        <v>3.7</v>
      </c>
      <c r="H464" s="9">
        <v>0.85</v>
      </c>
      <c r="I464" s="9">
        <v>0.33</v>
      </c>
    </row>
    <row r="465" spans="1:9" x14ac:dyDescent="0.2">
      <c r="A465" s="9">
        <v>0</v>
      </c>
      <c r="B465" s="9">
        <v>45</v>
      </c>
      <c r="C465" s="9">
        <v>6</v>
      </c>
      <c r="D465" s="9">
        <v>3</v>
      </c>
      <c r="E465" s="9">
        <v>15</v>
      </c>
      <c r="F465" s="9">
        <v>20</v>
      </c>
      <c r="G465" s="9">
        <v>2.1</v>
      </c>
      <c r="H465" s="9">
        <v>0.11</v>
      </c>
      <c r="I465" s="9">
        <v>0.32</v>
      </c>
    </row>
    <row r="466" spans="1:9" x14ac:dyDescent="0.2">
      <c r="A466" s="9">
        <v>0</v>
      </c>
      <c r="B466" s="9">
        <v>29</v>
      </c>
      <c r="C466" s="9">
        <v>1</v>
      </c>
      <c r="D466" s="9">
        <v>1</v>
      </c>
      <c r="E466" s="9">
        <v>4</v>
      </c>
      <c r="F466" s="9">
        <v>17</v>
      </c>
      <c r="G466" s="9">
        <v>2.5</v>
      </c>
      <c r="H466" s="9">
        <v>0.13</v>
      </c>
      <c r="I466" s="9">
        <v>0.28999999999999998</v>
      </c>
    </row>
    <row r="467" spans="1:9" x14ac:dyDescent="0.2">
      <c r="A467" s="9">
        <v>1</v>
      </c>
      <c r="B467" s="9">
        <v>31</v>
      </c>
      <c r="C467" s="9">
        <v>1</v>
      </c>
      <c r="D467" s="9">
        <v>1</v>
      </c>
      <c r="E467" s="9">
        <v>6</v>
      </c>
      <c r="F467" s="9">
        <v>21</v>
      </c>
      <c r="G467" s="9">
        <v>2.5</v>
      </c>
      <c r="H467" s="9">
        <v>0.28000000000000003</v>
      </c>
      <c r="I467" s="9">
        <v>0.25</v>
      </c>
    </row>
    <row r="468" spans="1:9" x14ac:dyDescent="0.2">
      <c r="A468" s="9">
        <v>0</v>
      </c>
      <c r="B468" s="9">
        <v>29</v>
      </c>
      <c r="C468" s="9">
        <v>2</v>
      </c>
      <c r="D468" s="9">
        <v>3</v>
      </c>
      <c r="E468" s="9">
        <v>8</v>
      </c>
      <c r="F468" s="9">
        <v>15</v>
      </c>
      <c r="G468" s="9">
        <v>2.6</v>
      </c>
      <c r="H468" s="9">
        <v>0.15</v>
      </c>
      <c r="I468" s="9">
        <v>0.24</v>
      </c>
    </row>
    <row r="469" spans="1:9" x14ac:dyDescent="0.2">
      <c r="A469" s="9">
        <v>0</v>
      </c>
      <c r="B469" s="9">
        <v>41</v>
      </c>
      <c r="C469" s="9">
        <v>2</v>
      </c>
      <c r="D469" s="9">
        <v>8</v>
      </c>
      <c r="E469" s="9">
        <v>21</v>
      </c>
      <c r="F469" s="9">
        <v>43</v>
      </c>
      <c r="G469" s="9">
        <v>0.7</v>
      </c>
      <c r="H469" s="9">
        <v>0.09</v>
      </c>
      <c r="I469" s="9">
        <v>0.22</v>
      </c>
    </row>
    <row r="470" spans="1:9" x14ac:dyDescent="0.2">
      <c r="A470" s="9">
        <v>0</v>
      </c>
      <c r="B470" s="9">
        <v>43</v>
      </c>
      <c r="C470" s="9">
        <v>1</v>
      </c>
      <c r="D470" s="9">
        <v>16</v>
      </c>
      <c r="E470" s="9">
        <v>7</v>
      </c>
      <c r="F470" s="9">
        <v>89</v>
      </c>
      <c r="G470" s="9">
        <v>0.4</v>
      </c>
      <c r="H470" s="9">
        <v>0.16</v>
      </c>
      <c r="I470" s="9">
        <v>0.2</v>
      </c>
    </row>
    <row r="471" spans="1:9" x14ac:dyDescent="0.2">
      <c r="A471" s="9">
        <v>0</v>
      </c>
      <c r="B471" s="9">
        <v>34</v>
      </c>
      <c r="C471" s="9">
        <v>2</v>
      </c>
      <c r="D471" s="9">
        <v>8</v>
      </c>
      <c r="E471" s="9">
        <v>16</v>
      </c>
      <c r="F471" s="9">
        <v>38</v>
      </c>
      <c r="G471" s="9">
        <v>0.6</v>
      </c>
      <c r="H471" s="9">
        <v>0.03</v>
      </c>
      <c r="I471" s="9">
        <v>0.2</v>
      </c>
    </row>
    <row r="472" spans="1:9" x14ac:dyDescent="0.2">
      <c r="A472" s="9">
        <v>0</v>
      </c>
      <c r="B472" s="9">
        <v>35</v>
      </c>
      <c r="C472" s="9">
        <v>2</v>
      </c>
      <c r="D472" s="9">
        <v>14</v>
      </c>
      <c r="E472" s="9">
        <v>3</v>
      </c>
      <c r="F472" s="9">
        <v>82</v>
      </c>
      <c r="G472" s="9">
        <v>0.8</v>
      </c>
      <c r="H472" s="9">
        <v>0.47</v>
      </c>
      <c r="I472" s="9">
        <v>0.19</v>
      </c>
    </row>
    <row r="473" spans="1:9" x14ac:dyDescent="0.2">
      <c r="A473" s="9">
        <v>0</v>
      </c>
      <c r="B473" s="9">
        <v>50</v>
      </c>
      <c r="C473" s="9">
        <v>2</v>
      </c>
      <c r="D473" s="9">
        <v>15</v>
      </c>
      <c r="E473" s="9">
        <v>31</v>
      </c>
      <c r="F473" s="9">
        <v>60</v>
      </c>
      <c r="G473" s="9">
        <v>1.1000000000000001</v>
      </c>
      <c r="H473" s="9">
        <v>0.47</v>
      </c>
      <c r="I473" s="9">
        <v>0.19</v>
      </c>
    </row>
    <row r="474" spans="1:9" x14ac:dyDescent="0.2">
      <c r="A474" s="9">
        <v>1</v>
      </c>
      <c r="B474" s="9">
        <v>30</v>
      </c>
      <c r="C474" s="9">
        <v>1</v>
      </c>
      <c r="D474" s="9">
        <v>0</v>
      </c>
      <c r="E474" s="9">
        <v>11</v>
      </c>
      <c r="F474" s="9">
        <v>17</v>
      </c>
      <c r="G474" s="9">
        <v>3.7</v>
      </c>
      <c r="H474" s="9">
        <v>0.45</v>
      </c>
      <c r="I474" s="9">
        <v>0.18</v>
      </c>
    </row>
    <row r="475" spans="1:9" x14ac:dyDescent="0.2">
      <c r="A475" s="9">
        <v>0</v>
      </c>
      <c r="B475" s="9">
        <v>30</v>
      </c>
      <c r="C475" s="9">
        <v>1</v>
      </c>
      <c r="D475" s="9">
        <v>11</v>
      </c>
      <c r="E475" s="9">
        <v>9</v>
      </c>
      <c r="F475" s="9">
        <v>27</v>
      </c>
      <c r="G475" s="9">
        <v>0.9</v>
      </c>
      <c r="H475" s="9">
        <v>7.0000000000000007E-2</v>
      </c>
      <c r="I475" s="9">
        <v>0.17</v>
      </c>
    </row>
    <row r="476" spans="1:9" x14ac:dyDescent="0.2">
      <c r="A476" s="9">
        <v>0</v>
      </c>
      <c r="B476" s="9">
        <v>29</v>
      </c>
      <c r="C476" s="9">
        <v>1</v>
      </c>
      <c r="D476" s="9">
        <v>1</v>
      </c>
      <c r="E476" s="9">
        <v>1</v>
      </c>
      <c r="F476" s="9">
        <v>18</v>
      </c>
      <c r="G476" s="9">
        <v>1.1000000000000001</v>
      </c>
      <c r="H476" s="9">
        <v>0.03</v>
      </c>
      <c r="I476" s="9">
        <v>0.17</v>
      </c>
    </row>
    <row r="477" spans="1:9" x14ac:dyDescent="0.2">
      <c r="A477" s="9">
        <v>0</v>
      </c>
      <c r="B477" s="9">
        <v>26</v>
      </c>
      <c r="C477" s="9">
        <v>2</v>
      </c>
      <c r="D477" s="9">
        <v>6</v>
      </c>
      <c r="E477" s="9">
        <v>6</v>
      </c>
      <c r="F477" s="9">
        <v>30</v>
      </c>
      <c r="G477" s="9">
        <v>1</v>
      </c>
      <c r="H477" s="9">
        <v>0.14000000000000001</v>
      </c>
      <c r="I477" s="9">
        <v>0.16</v>
      </c>
    </row>
    <row r="478" spans="1:9" x14ac:dyDescent="0.2">
      <c r="A478" s="9">
        <v>0</v>
      </c>
      <c r="B478" s="9">
        <v>25</v>
      </c>
      <c r="C478" s="9">
        <v>1</v>
      </c>
      <c r="D478" s="9">
        <v>9</v>
      </c>
      <c r="E478" s="9">
        <v>4</v>
      </c>
      <c r="F478" s="9">
        <v>18</v>
      </c>
      <c r="G478" s="9">
        <v>1.2</v>
      </c>
      <c r="H478" s="9">
        <v>7.0000000000000007E-2</v>
      </c>
      <c r="I478" s="9">
        <v>0.15</v>
      </c>
    </row>
    <row r="479" spans="1:9" x14ac:dyDescent="0.2">
      <c r="A479" s="9">
        <v>0</v>
      </c>
      <c r="B479" s="9">
        <v>22</v>
      </c>
      <c r="C479" s="9">
        <v>1</v>
      </c>
      <c r="D479" s="9">
        <v>4</v>
      </c>
      <c r="E479" s="9">
        <v>1</v>
      </c>
      <c r="F479" s="9">
        <v>16</v>
      </c>
      <c r="G479" s="9">
        <v>1.2</v>
      </c>
      <c r="H479" s="9">
        <v>0.08</v>
      </c>
      <c r="I479" s="9">
        <v>0.11</v>
      </c>
    </row>
    <row r="480" spans="1:9" x14ac:dyDescent="0.2">
      <c r="A480" s="9">
        <v>0</v>
      </c>
      <c r="B480" s="9">
        <v>24</v>
      </c>
      <c r="C480" s="9">
        <v>1</v>
      </c>
      <c r="D480" s="9">
        <v>2</v>
      </c>
      <c r="E480" s="9">
        <v>1</v>
      </c>
      <c r="F480" s="9">
        <v>21</v>
      </c>
      <c r="G480" s="9">
        <v>0.6</v>
      </c>
      <c r="H480" s="9">
        <v>0.03</v>
      </c>
      <c r="I480" s="9">
        <v>0.1</v>
      </c>
    </row>
    <row r="481" spans="1:9" x14ac:dyDescent="0.2">
      <c r="A481" s="9">
        <v>0</v>
      </c>
      <c r="B481" s="9">
        <v>27</v>
      </c>
      <c r="C481" s="9">
        <v>1</v>
      </c>
      <c r="D481" s="9">
        <v>0</v>
      </c>
      <c r="E481" s="9">
        <v>1</v>
      </c>
      <c r="F481" s="9">
        <v>16</v>
      </c>
      <c r="G481" s="9">
        <v>1.7</v>
      </c>
      <c r="H481" s="9">
        <v>0.18</v>
      </c>
      <c r="I481" s="9">
        <v>0.09</v>
      </c>
    </row>
    <row r="482" spans="1:9" x14ac:dyDescent="0.2">
      <c r="A482" s="9">
        <v>0</v>
      </c>
      <c r="B482" s="9">
        <v>27</v>
      </c>
      <c r="C482" s="9">
        <v>1</v>
      </c>
      <c r="D482" s="9">
        <v>0</v>
      </c>
      <c r="E482" s="9">
        <v>5</v>
      </c>
      <c r="F482" s="9">
        <v>16</v>
      </c>
      <c r="G482" s="9">
        <v>1.1000000000000001</v>
      </c>
      <c r="H482" s="9">
        <v>0.13</v>
      </c>
      <c r="I482" s="9">
        <v>0.05</v>
      </c>
    </row>
    <row r="483" spans="1:9" x14ac:dyDescent="0.2">
      <c r="A483" s="9">
        <v>1</v>
      </c>
      <c r="B483" s="9">
        <v>40</v>
      </c>
      <c r="C483" s="9">
        <v>3</v>
      </c>
      <c r="D483" s="9">
        <v>5</v>
      </c>
      <c r="E483" s="9">
        <v>3</v>
      </c>
      <c r="F483" s="9">
        <v>0</v>
      </c>
      <c r="G483" s="9">
        <v>16</v>
      </c>
      <c r="H483" s="13">
        <v>5.4954845947359976</v>
      </c>
      <c r="I483" s="9">
        <v>0</v>
      </c>
    </row>
    <row r="484" spans="1:9" x14ac:dyDescent="0.2">
      <c r="A484" s="9">
        <v>1</v>
      </c>
      <c r="B484" s="9">
        <v>40</v>
      </c>
      <c r="C484" s="9">
        <v>2</v>
      </c>
      <c r="D484" s="9">
        <v>13</v>
      </c>
      <c r="E484" s="9">
        <v>11</v>
      </c>
      <c r="F484" s="9">
        <v>102</v>
      </c>
      <c r="G484" s="9">
        <v>18.899999999999999</v>
      </c>
      <c r="H484" s="13">
        <v>5.4954845947359976</v>
      </c>
      <c r="I484" s="9">
        <v>0</v>
      </c>
    </row>
    <row r="485" spans="1:9" x14ac:dyDescent="0.2">
      <c r="A485" s="9">
        <v>1</v>
      </c>
      <c r="B485" s="9">
        <v>30</v>
      </c>
      <c r="C485" s="9">
        <v>3</v>
      </c>
      <c r="D485" s="9">
        <v>0</v>
      </c>
      <c r="E485" s="9">
        <v>8</v>
      </c>
      <c r="F485" s="9">
        <v>65</v>
      </c>
      <c r="G485" s="9">
        <v>29.7</v>
      </c>
      <c r="H485" s="9">
        <v>3.9</v>
      </c>
      <c r="I485" s="9">
        <v>0</v>
      </c>
    </row>
    <row r="486" spans="1:9" x14ac:dyDescent="0.2">
      <c r="A486" s="9">
        <v>0</v>
      </c>
      <c r="B486" s="9">
        <v>39</v>
      </c>
      <c r="C486" s="9">
        <v>1</v>
      </c>
      <c r="D486" s="9">
        <v>20</v>
      </c>
      <c r="E486" s="9">
        <v>9</v>
      </c>
      <c r="F486" s="9">
        <v>67</v>
      </c>
      <c r="G486" s="9">
        <v>30.6</v>
      </c>
      <c r="H486" s="9">
        <v>3.83</v>
      </c>
      <c r="I486" s="9">
        <v>0</v>
      </c>
    </row>
    <row r="487" spans="1:9" x14ac:dyDescent="0.2">
      <c r="A487" s="9">
        <v>0</v>
      </c>
      <c r="B487" s="9">
        <v>41</v>
      </c>
      <c r="C487" s="9">
        <v>2</v>
      </c>
      <c r="D487" s="9">
        <v>21</v>
      </c>
      <c r="E487" s="9">
        <v>22</v>
      </c>
      <c r="F487" s="13">
        <v>117.54291069294821</v>
      </c>
      <c r="G487" s="9">
        <v>12.2</v>
      </c>
      <c r="H487" s="9">
        <v>3.24</v>
      </c>
      <c r="I487" s="9">
        <v>0</v>
      </c>
    </row>
    <row r="488" spans="1:9" x14ac:dyDescent="0.2">
      <c r="A488" s="9">
        <v>1</v>
      </c>
      <c r="B488" s="9">
        <v>41</v>
      </c>
      <c r="C488" s="9">
        <v>3</v>
      </c>
      <c r="D488" s="9">
        <v>13</v>
      </c>
      <c r="E488" s="9">
        <v>13</v>
      </c>
      <c r="F488" s="9">
        <v>91</v>
      </c>
      <c r="G488" s="9">
        <v>25.2</v>
      </c>
      <c r="H488" s="9">
        <v>2.3199999999999998</v>
      </c>
      <c r="I488" s="9">
        <v>0</v>
      </c>
    </row>
    <row r="489" spans="1:9" x14ac:dyDescent="0.2">
      <c r="A489" s="9">
        <v>0</v>
      </c>
      <c r="B489" s="9">
        <v>51</v>
      </c>
      <c r="C489" s="9">
        <v>2</v>
      </c>
      <c r="D489" s="9">
        <v>27</v>
      </c>
      <c r="E489" s="9">
        <v>21</v>
      </c>
      <c r="F489" s="9">
        <v>0</v>
      </c>
      <c r="G489" s="9">
        <v>11.5</v>
      </c>
      <c r="H489" s="9">
        <v>0.82</v>
      </c>
      <c r="I489" s="9">
        <v>0</v>
      </c>
    </row>
    <row r="490" spans="1:9" x14ac:dyDescent="0.2">
      <c r="A490" s="9">
        <v>1</v>
      </c>
      <c r="B490" s="9">
        <v>54</v>
      </c>
      <c r="C490" s="9">
        <v>1</v>
      </c>
      <c r="D490" s="9">
        <v>25</v>
      </c>
      <c r="E490" s="9">
        <v>12</v>
      </c>
      <c r="F490" s="13">
        <v>117.54291069294821</v>
      </c>
      <c r="G490" s="9">
        <v>26.5</v>
      </c>
      <c r="H490" s="9">
        <v>0</v>
      </c>
      <c r="I490" s="9">
        <v>0</v>
      </c>
    </row>
    <row r="491" spans="1:9" x14ac:dyDescent="0.2">
      <c r="A491" s="9">
        <v>1</v>
      </c>
      <c r="B491" s="9">
        <v>33</v>
      </c>
      <c r="C491" s="9">
        <v>1</v>
      </c>
      <c r="D491" s="9">
        <v>14</v>
      </c>
      <c r="E491" s="9">
        <v>8</v>
      </c>
      <c r="F491" s="9">
        <v>72</v>
      </c>
      <c r="G491" s="9">
        <v>0</v>
      </c>
      <c r="H491" s="9">
        <v>0</v>
      </c>
      <c r="I491" s="9">
        <v>0</v>
      </c>
    </row>
    <row r="492" spans="1:9" x14ac:dyDescent="0.2">
      <c r="A492" s="9">
        <v>1</v>
      </c>
      <c r="B492" s="9">
        <v>47</v>
      </c>
      <c r="C492" s="9">
        <v>3</v>
      </c>
      <c r="D492" s="9">
        <v>16</v>
      </c>
      <c r="E492" s="9">
        <v>26</v>
      </c>
      <c r="F492" s="9">
        <v>0</v>
      </c>
      <c r="G492" s="9">
        <v>17.600000000000001</v>
      </c>
      <c r="H492" s="9">
        <v>0</v>
      </c>
      <c r="I492" s="9">
        <v>0</v>
      </c>
    </row>
    <row r="493" spans="1:9" x14ac:dyDescent="0.2">
      <c r="A493" s="9">
        <v>1</v>
      </c>
      <c r="B493" s="9">
        <v>43</v>
      </c>
      <c r="C493" s="9">
        <v>4</v>
      </c>
      <c r="D493" s="9">
        <v>18</v>
      </c>
      <c r="E493" s="9">
        <v>14</v>
      </c>
      <c r="F493" s="9">
        <v>0</v>
      </c>
      <c r="G493" s="9">
        <v>6.5</v>
      </c>
      <c r="H493" s="9">
        <v>0</v>
      </c>
      <c r="I493" s="13">
        <v>10.154483815851645</v>
      </c>
    </row>
    <row r="494" spans="1:9" x14ac:dyDescent="0.2">
      <c r="A494" s="9">
        <v>0</v>
      </c>
      <c r="B494" s="9">
        <v>40</v>
      </c>
      <c r="C494" s="9">
        <v>1</v>
      </c>
      <c r="D494" s="9">
        <v>12</v>
      </c>
      <c r="E494" s="9">
        <v>6</v>
      </c>
      <c r="F494" s="9">
        <v>89</v>
      </c>
      <c r="G494" s="9">
        <v>17.399999999999999</v>
      </c>
      <c r="H494" s="9">
        <v>2.77</v>
      </c>
      <c r="I494" s="13">
        <v>10.154483815851645</v>
      </c>
    </row>
    <row r="495" spans="1:9" x14ac:dyDescent="0.2">
      <c r="A495" s="9">
        <v>0</v>
      </c>
      <c r="B495" s="9">
        <v>46</v>
      </c>
      <c r="C495" s="9">
        <v>2</v>
      </c>
      <c r="D495" s="9">
        <v>22</v>
      </c>
      <c r="E495" s="9">
        <v>17</v>
      </c>
      <c r="F495" s="13">
        <v>117.54291069294821</v>
      </c>
      <c r="G495" s="9">
        <v>11.1</v>
      </c>
      <c r="H495" s="9">
        <v>3.32</v>
      </c>
      <c r="I495" s="13">
        <v>10.154483815851645</v>
      </c>
    </row>
    <row r="496" spans="1:9" x14ac:dyDescent="0.2">
      <c r="A496" s="9">
        <v>0</v>
      </c>
      <c r="B496" s="9">
        <v>40</v>
      </c>
      <c r="C496" s="9">
        <v>3</v>
      </c>
      <c r="D496" s="9">
        <v>16</v>
      </c>
      <c r="E496" s="9">
        <v>6</v>
      </c>
      <c r="F496" s="9">
        <v>116</v>
      </c>
      <c r="G496" s="9">
        <v>12.1</v>
      </c>
      <c r="H496" s="9">
        <v>1.61</v>
      </c>
      <c r="I496" s="13">
        <v>10.154483815851645</v>
      </c>
    </row>
    <row r="497" spans="1:9" x14ac:dyDescent="0.2">
      <c r="A497" s="9">
        <v>1</v>
      </c>
      <c r="B497" s="9">
        <v>47</v>
      </c>
      <c r="C497" s="9">
        <v>1</v>
      </c>
      <c r="D497" s="9">
        <v>27</v>
      </c>
      <c r="E497" s="9">
        <v>18</v>
      </c>
      <c r="F497" s="13">
        <v>117.54291069294821</v>
      </c>
      <c r="G497" s="9">
        <v>25.3</v>
      </c>
      <c r="H497" s="9">
        <v>0</v>
      </c>
      <c r="I497" s="13">
        <v>10.154483815851645</v>
      </c>
    </row>
    <row r="498" spans="1:9" x14ac:dyDescent="0.2">
      <c r="A498" s="9">
        <v>0</v>
      </c>
      <c r="B498" s="9">
        <v>34</v>
      </c>
      <c r="C498" s="9">
        <v>1</v>
      </c>
      <c r="D498" s="9">
        <v>19</v>
      </c>
      <c r="E498" s="9">
        <v>7</v>
      </c>
      <c r="F498" s="9">
        <v>50</v>
      </c>
      <c r="G498" s="9">
        <v>30.1</v>
      </c>
      <c r="H498" s="9">
        <v>3.18</v>
      </c>
      <c r="I498" s="13">
        <v>10.154483815851645</v>
      </c>
    </row>
    <row r="499" spans="1:9" x14ac:dyDescent="0.2">
      <c r="A499" s="9">
        <v>0</v>
      </c>
      <c r="B499" s="9">
        <v>39</v>
      </c>
      <c r="C499" s="9">
        <v>1</v>
      </c>
      <c r="D499" s="9">
        <v>23</v>
      </c>
      <c r="E499" s="9">
        <v>1</v>
      </c>
      <c r="F499" s="9">
        <v>75</v>
      </c>
      <c r="G499" s="9">
        <v>18.899999999999999</v>
      </c>
      <c r="H499" s="9">
        <v>3.13</v>
      </c>
      <c r="I499" s="13">
        <v>10.154483815851645</v>
      </c>
    </row>
    <row r="500" spans="1:9" x14ac:dyDescent="0.2">
      <c r="A500" s="9">
        <v>1</v>
      </c>
      <c r="B500" s="9">
        <v>29</v>
      </c>
      <c r="C500" s="9">
        <v>3</v>
      </c>
      <c r="D500" s="9">
        <v>5</v>
      </c>
      <c r="E500" s="9">
        <v>6</v>
      </c>
      <c r="F500" s="9">
        <v>70</v>
      </c>
      <c r="G500" s="9">
        <v>19.899999999999999</v>
      </c>
      <c r="H500" s="9">
        <v>3.18</v>
      </c>
      <c r="I500" s="13">
        <v>10.154483815851645</v>
      </c>
    </row>
    <row r="501" spans="1:9" x14ac:dyDescent="0.2">
      <c r="A501" s="9">
        <v>0</v>
      </c>
      <c r="B501" s="9">
        <v>48</v>
      </c>
      <c r="C501" s="9">
        <v>3</v>
      </c>
      <c r="D501" s="9">
        <v>17</v>
      </c>
      <c r="E501" s="9">
        <v>26</v>
      </c>
      <c r="F501" s="9">
        <v>113</v>
      </c>
      <c r="G501" s="9">
        <v>12</v>
      </c>
      <c r="H501" s="9">
        <v>3.38</v>
      </c>
      <c r="I501" s="13">
        <v>10.154483815851645</v>
      </c>
    </row>
  </sheetData>
  <autoFilter ref="A1:I501" xr:uid="{6A93DD0E-3F72-9345-93C5-A7364473C1AE}">
    <sortState xmlns:xlrd2="http://schemas.microsoft.com/office/spreadsheetml/2017/richdata2" ref="A2:I501">
      <sortCondition sortBy="cellColor" ref="I1:I501" dxfId="2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4C6E7-0506-EE41-987F-AD08304E41AF}">
  <dimension ref="A1:N501"/>
  <sheetViews>
    <sheetView showGridLines="0" workbookViewId="0">
      <selection activeCell="J1" sqref="A1:J1048576"/>
    </sheetView>
  </sheetViews>
  <sheetFormatPr baseColWidth="10" defaultRowHeight="16" x14ac:dyDescent="0.2"/>
  <cols>
    <col min="1" max="9" width="10.83203125" style="6"/>
    <col min="10" max="10" width="13.1640625" style="14" bestFit="1" customWidth="1"/>
    <col min="12" max="12" width="13.1640625" bestFit="1" customWidth="1"/>
  </cols>
  <sheetData>
    <row r="1" spans="1:14" x14ac:dyDescent="0.2">
      <c r="A1" s="9" t="s">
        <v>71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47</v>
      </c>
    </row>
    <row r="2" spans="1:14" x14ac:dyDescent="0.2">
      <c r="A2" s="9">
        <v>0</v>
      </c>
      <c r="B2" s="9">
        <v>29</v>
      </c>
      <c r="C2" s="9">
        <v>2</v>
      </c>
      <c r="D2" s="9">
        <v>6</v>
      </c>
      <c r="E2" s="9">
        <v>10</v>
      </c>
      <c r="F2" s="9">
        <v>65</v>
      </c>
      <c r="G2" s="9">
        <v>18.399999999999999</v>
      </c>
      <c r="H2" s="9">
        <v>1.99</v>
      </c>
      <c r="I2" s="9">
        <v>9.9700000000000006</v>
      </c>
      <c r="J2" s="7" t="s">
        <v>49</v>
      </c>
    </row>
    <row r="3" spans="1:14" x14ac:dyDescent="0.2">
      <c r="A3" s="9">
        <v>0</v>
      </c>
      <c r="B3" s="9">
        <v>43</v>
      </c>
      <c r="C3" s="9">
        <v>1</v>
      </c>
      <c r="D3" s="9">
        <v>25</v>
      </c>
      <c r="E3" s="9">
        <v>21</v>
      </c>
      <c r="F3" s="9">
        <v>64</v>
      </c>
      <c r="G3" s="9">
        <v>16.7</v>
      </c>
      <c r="H3" s="9">
        <v>0.95</v>
      </c>
      <c r="I3" s="9">
        <v>9.74</v>
      </c>
      <c r="J3" s="7" t="s">
        <v>49</v>
      </c>
    </row>
    <row r="4" spans="1:14" x14ac:dyDescent="0.2">
      <c r="A4" s="9">
        <v>1</v>
      </c>
      <c r="B4" s="9">
        <v>32</v>
      </c>
      <c r="C4" s="9">
        <v>2</v>
      </c>
      <c r="D4" s="9">
        <v>11</v>
      </c>
      <c r="E4" s="9">
        <v>6</v>
      </c>
      <c r="F4" s="9">
        <v>75</v>
      </c>
      <c r="G4" s="9">
        <v>23.3</v>
      </c>
      <c r="H4" s="13">
        <v>5.4954845947359976</v>
      </c>
      <c r="I4" s="9">
        <v>9.7200000000000006</v>
      </c>
      <c r="J4" s="7" t="s">
        <v>49</v>
      </c>
      <c r="L4" s="11"/>
      <c r="M4" s="9" t="s">
        <v>51</v>
      </c>
      <c r="N4" s="9" t="s">
        <v>52</v>
      </c>
    </row>
    <row r="5" spans="1:14" x14ac:dyDescent="0.2">
      <c r="A5" s="9">
        <v>0</v>
      </c>
      <c r="B5" s="9">
        <v>37</v>
      </c>
      <c r="C5" s="9">
        <v>5</v>
      </c>
      <c r="D5" s="9">
        <v>9</v>
      </c>
      <c r="E5" s="9">
        <v>16</v>
      </c>
      <c r="F5" s="9">
        <v>0</v>
      </c>
      <c r="G5" s="9">
        <v>5.9</v>
      </c>
      <c r="H5" s="9">
        <v>0.89</v>
      </c>
      <c r="I5" s="9">
        <v>9.56</v>
      </c>
      <c r="J5" s="7" t="s">
        <v>49</v>
      </c>
      <c r="L5" s="11" t="s">
        <v>49</v>
      </c>
      <c r="M5" s="9">
        <f>COUNTIF($J$2:$J$501,L5)</f>
        <v>350</v>
      </c>
      <c r="N5" s="15">
        <f>M5/$M$7</f>
        <v>0.7</v>
      </c>
    </row>
    <row r="6" spans="1:14" x14ac:dyDescent="0.2">
      <c r="A6" s="9">
        <v>0</v>
      </c>
      <c r="B6" s="9">
        <v>45</v>
      </c>
      <c r="C6" s="9">
        <v>6</v>
      </c>
      <c r="D6" s="9">
        <v>22</v>
      </c>
      <c r="E6" s="9">
        <v>24</v>
      </c>
      <c r="F6" s="9">
        <v>91</v>
      </c>
      <c r="G6" s="9">
        <v>11.7</v>
      </c>
      <c r="H6" s="9">
        <v>1.26</v>
      </c>
      <c r="I6" s="9">
        <v>9.39</v>
      </c>
      <c r="J6" s="7" t="s">
        <v>49</v>
      </c>
      <c r="L6" s="11" t="s">
        <v>50</v>
      </c>
      <c r="M6" s="9">
        <f>COUNTIF($J$2:$J$501,L6)</f>
        <v>150</v>
      </c>
      <c r="N6" s="15">
        <f>M6/$M$7</f>
        <v>0.3</v>
      </c>
    </row>
    <row r="7" spans="1:14" x14ac:dyDescent="0.2">
      <c r="A7" s="9">
        <v>1</v>
      </c>
      <c r="B7" s="9">
        <v>48</v>
      </c>
      <c r="C7" s="9">
        <v>1</v>
      </c>
      <c r="D7" s="9">
        <v>13</v>
      </c>
      <c r="E7" s="9">
        <v>20</v>
      </c>
      <c r="F7" s="9">
        <v>50</v>
      </c>
      <c r="G7" s="9">
        <v>30.8</v>
      </c>
      <c r="H7" s="13">
        <v>5.4954845947359976</v>
      </c>
      <c r="I7" s="9">
        <v>9.2899999999999991</v>
      </c>
      <c r="J7" s="7" t="s">
        <v>49</v>
      </c>
      <c r="L7" s="11" t="s">
        <v>48</v>
      </c>
      <c r="M7" s="9">
        <f>COUNTA(J2:J501)</f>
        <v>500</v>
      </c>
      <c r="N7" s="9"/>
    </row>
    <row r="8" spans="1:14" x14ac:dyDescent="0.2">
      <c r="A8" s="9">
        <v>1</v>
      </c>
      <c r="B8" s="9">
        <v>34</v>
      </c>
      <c r="C8" s="9">
        <v>1</v>
      </c>
      <c r="D8" s="9">
        <v>12</v>
      </c>
      <c r="E8" s="9">
        <v>5</v>
      </c>
      <c r="F8" s="9">
        <v>68</v>
      </c>
      <c r="G8" s="9">
        <v>25.1</v>
      </c>
      <c r="H8" s="13">
        <v>5.4954845947359976</v>
      </c>
      <c r="I8" s="9">
        <v>9.25</v>
      </c>
      <c r="J8" s="7" t="s">
        <v>49</v>
      </c>
    </row>
    <row r="9" spans="1:14" x14ac:dyDescent="0.2">
      <c r="A9" s="9">
        <v>0</v>
      </c>
      <c r="B9" s="9">
        <v>41</v>
      </c>
      <c r="C9" s="9">
        <v>1</v>
      </c>
      <c r="D9" s="9">
        <v>21</v>
      </c>
      <c r="E9" s="9">
        <v>2</v>
      </c>
      <c r="F9" s="9">
        <v>76</v>
      </c>
      <c r="G9" s="9">
        <v>20.5</v>
      </c>
      <c r="H9" s="13">
        <v>5.4954845947359976</v>
      </c>
      <c r="I9" s="9">
        <v>8.6300000000000008</v>
      </c>
      <c r="J9" s="7" t="s">
        <v>49</v>
      </c>
    </row>
    <row r="10" spans="1:14" x14ac:dyDescent="0.2">
      <c r="A10" s="9">
        <v>0</v>
      </c>
      <c r="B10" s="9">
        <v>42</v>
      </c>
      <c r="C10" s="9">
        <v>1</v>
      </c>
      <c r="D10" s="9">
        <v>12</v>
      </c>
      <c r="E10" s="9">
        <v>11</v>
      </c>
      <c r="F10" s="9">
        <v>51</v>
      </c>
      <c r="G10" s="9">
        <v>21.4</v>
      </c>
      <c r="H10" s="9">
        <v>2.41</v>
      </c>
      <c r="I10" s="9">
        <v>8.5</v>
      </c>
      <c r="J10" s="7" t="s">
        <v>49</v>
      </c>
    </row>
    <row r="11" spans="1:14" x14ac:dyDescent="0.2">
      <c r="A11" s="9">
        <v>0</v>
      </c>
      <c r="B11" s="9">
        <v>47</v>
      </c>
      <c r="C11" s="9">
        <v>1</v>
      </c>
      <c r="D11" s="9">
        <v>13</v>
      </c>
      <c r="E11" s="9">
        <v>25</v>
      </c>
      <c r="F11" s="9">
        <v>51</v>
      </c>
      <c r="G11" s="9">
        <v>23.8</v>
      </c>
      <c r="H11" s="9">
        <v>3.74</v>
      </c>
      <c r="I11" s="9">
        <v>8.4</v>
      </c>
      <c r="J11" s="7" t="s">
        <v>49</v>
      </c>
    </row>
    <row r="12" spans="1:14" x14ac:dyDescent="0.2">
      <c r="A12" s="9">
        <v>1</v>
      </c>
      <c r="B12" s="9">
        <v>33</v>
      </c>
      <c r="C12" s="9">
        <v>1</v>
      </c>
      <c r="D12" s="9">
        <v>13</v>
      </c>
      <c r="E12" s="9">
        <v>3</v>
      </c>
      <c r="F12" s="9">
        <v>52</v>
      </c>
      <c r="G12" s="9">
        <v>21.3</v>
      </c>
      <c r="H12" s="9">
        <v>2.71</v>
      </c>
      <c r="I12" s="9">
        <v>8.36</v>
      </c>
      <c r="J12" s="7" t="s">
        <v>49</v>
      </c>
    </row>
    <row r="13" spans="1:14" x14ac:dyDescent="0.2">
      <c r="A13" s="9">
        <v>1</v>
      </c>
      <c r="B13" s="9">
        <v>43</v>
      </c>
      <c r="C13" s="9">
        <v>2</v>
      </c>
      <c r="D13" s="9">
        <v>9</v>
      </c>
      <c r="E13" s="9">
        <v>5</v>
      </c>
      <c r="F13" s="9">
        <v>60</v>
      </c>
      <c r="G13" s="9">
        <v>20.399999999999999</v>
      </c>
      <c r="H13" s="9">
        <v>4.04</v>
      </c>
      <c r="I13" s="9">
        <v>8.1999999999999993</v>
      </c>
      <c r="J13" s="7" t="s">
        <v>49</v>
      </c>
    </row>
    <row r="14" spans="1:14" x14ac:dyDescent="0.2">
      <c r="A14" s="9">
        <v>1</v>
      </c>
      <c r="B14" s="9">
        <v>32</v>
      </c>
      <c r="C14" s="9">
        <v>2</v>
      </c>
      <c r="D14" s="9">
        <v>11</v>
      </c>
      <c r="E14" s="9">
        <v>4</v>
      </c>
      <c r="F14" s="9">
        <v>57</v>
      </c>
      <c r="G14" s="9">
        <v>23.8</v>
      </c>
      <c r="H14" s="9">
        <v>5.44</v>
      </c>
      <c r="I14" s="9">
        <v>8.1300000000000008</v>
      </c>
      <c r="J14" s="7" t="s">
        <v>49</v>
      </c>
    </row>
    <row r="15" spans="1:14" x14ac:dyDescent="0.2">
      <c r="A15" s="9">
        <v>1</v>
      </c>
      <c r="B15" s="9">
        <v>39</v>
      </c>
      <c r="C15" s="9">
        <v>2</v>
      </c>
      <c r="D15" s="9">
        <v>7</v>
      </c>
      <c r="E15" s="9">
        <v>2</v>
      </c>
      <c r="F15" s="9">
        <v>68</v>
      </c>
      <c r="G15" s="9">
        <v>13</v>
      </c>
      <c r="H15" s="9">
        <v>0.97</v>
      </c>
      <c r="I15" s="9">
        <v>7.82</v>
      </c>
      <c r="J15" s="7" t="s">
        <v>49</v>
      </c>
    </row>
    <row r="16" spans="1:14" x14ac:dyDescent="0.2">
      <c r="A16" s="9">
        <v>0</v>
      </c>
      <c r="B16" s="9">
        <v>41</v>
      </c>
      <c r="C16" s="9">
        <v>2</v>
      </c>
      <c r="D16" s="9">
        <v>22</v>
      </c>
      <c r="E16" s="9">
        <v>17</v>
      </c>
      <c r="F16" s="9">
        <v>75</v>
      </c>
      <c r="G16" s="9">
        <v>23.6</v>
      </c>
      <c r="H16" s="9">
        <v>0</v>
      </c>
      <c r="I16" s="9">
        <v>7.82</v>
      </c>
      <c r="J16" s="7" t="s">
        <v>49</v>
      </c>
    </row>
    <row r="17" spans="1:10" x14ac:dyDescent="0.2">
      <c r="A17" s="9">
        <v>0</v>
      </c>
      <c r="B17" s="9">
        <v>39</v>
      </c>
      <c r="C17" s="9">
        <v>2</v>
      </c>
      <c r="D17" s="9">
        <v>16</v>
      </c>
      <c r="E17" s="9">
        <v>9</v>
      </c>
      <c r="F17" s="9">
        <v>89</v>
      </c>
      <c r="G17" s="9">
        <v>14.3</v>
      </c>
      <c r="H17" s="9">
        <v>5</v>
      </c>
      <c r="I17" s="9">
        <v>7.73</v>
      </c>
      <c r="J17" s="7" t="s">
        <v>49</v>
      </c>
    </row>
    <row r="18" spans="1:10" x14ac:dyDescent="0.2">
      <c r="A18" s="9">
        <v>0</v>
      </c>
      <c r="B18" s="9">
        <v>33</v>
      </c>
      <c r="C18" s="9">
        <v>2</v>
      </c>
      <c r="D18" s="9">
        <v>12</v>
      </c>
      <c r="E18" s="9">
        <v>8</v>
      </c>
      <c r="F18" s="9">
        <v>58</v>
      </c>
      <c r="G18" s="9">
        <v>18.399999999999999</v>
      </c>
      <c r="H18" s="9">
        <v>3.08</v>
      </c>
      <c r="I18" s="9">
        <v>7.59</v>
      </c>
      <c r="J18" s="7" t="s">
        <v>49</v>
      </c>
    </row>
    <row r="19" spans="1:10" x14ac:dyDescent="0.2">
      <c r="A19" s="9">
        <v>0</v>
      </c>
      <c r="B19" s="9">
        <v>54</v>
      </c>
      <c r="C19" s="9">
        <v>3</v>
      </c>
      <c r="D19" s="9">
        <v>21</v>
      </c>
      <c r="E19" s="9">
        <v>20</v>
      </c>
      <c r="F19" s="13">
        <v>117.54291069294821</v>
      </c>
      <c r="G19" s="9">
        <v>14.4</v>
      </c>
      <c r="H19" s="9">
        <v>0</v>
      </c>
      <c r="I19" s="9">
        <v>7.39</v>
      </c>
      <c r="J19" s="7" t="s">
        <v>49</v>
      </c>
    </row>
    <row r="20" spans="1:10" x14ac:dyDescent="0.2">
      <c r="A20" s="9">
        <v>0</v>
      </c>
      <c r="B20" s="9">
        <v>32</v>
      </c>
      <c r="C20" s="9">
        <v>1</v>
      </c>
      <c r="D20" s="9">
        <v>16</v>
      </c>
      <c r="E20" s="9">
        <v>10</v>
      </c>
      <c r="F20" s="9">
        <v>38</v>
      </c>
      <c r="G20" s="9">
        <v>21</v>
      </c>
      <c r="H20" s="9">
        <v>0.69</v>
      </c>
      <c r="I20" s="9">
        <v>7.29</v>
      </c>
      <c r="J20" s="7" t="s">
        <v>49</v>
      </c>
    </row>
    <row r="21" spans="1:10" x14ac:dyDescent="0.2">
      <c r="A21" s="9">
        <v>0</v>
      </c>
      <c r="B21" s="9">
        <v>50</v>
      </c>
      <c r="C21" s="9">
        <v>3</v>
      </c>
      <c r="D21" s="9">
        <v>10</v>
      </c>
      <c r="E21" s="9">
        <v>20</v>
      </c>
      <c r="F21" s="9">
        <v>80</v>
      </c>
      <c r="G21" s="9">
        <v>12.2</v>
      </c>
      <c r="H21" s="9">
        <v>0.97</v>
      </c>
      <c r="I21" s="9">
        <v>7.28</v>
      </c>
      <c r="J21" s="7" t="s">
        <v>49</v>
      </c>
    </row>
    <row r="22" spans="1:10" x14ac:dyDescent="0.2">
      <c r="A22" s="9">
        <v>0</v>
      </c>
      <c r="B22" s="9">
        <v>40</v>
      </c>
      <c r="C22" s="9">
        <v>3</v>
      </c>
      <c r="D22" s="9">
        <v>18</v>
      </c>
      <c r="E22" s="9">
        <v>14</v>
      </c>
      <c r="F22" s="9">
        <v>0</v>
      </c>
      <c r="G22" s="9">
        <v>6.6</v>
      </c>
      <c r="H22" s="9">
        <v>3.33</v>
      </c>
      <c r="I22" s="9">
        <v>7.04</v>
      </c>
      <c r="J22" s="7" t="s">
        <v>49</v>
      </c>
    </row>
    <row r="23" spans="1:10" x14ac:dyDescent="0.2">
      <c r="A23" s="9">
        <v>1</v>
      </c>
      <c r="B23" s="9">
        <v>39</v>
      </c>
      <c r="C23" s="9">
        <v>1</v>
      </c>
      <c r="D23" s="9">
        <v>19</v>
      </c>
      <c r="E23" s="9">
        <v>15</v>
      </c>
      <c r="F23" s="9">
        <v>60</v>
      </c>
      <c r="G23" s="9">
        <v>27.1</v>
      </c>
      <c r="H23" s="9">
        <v>0</v>
      </c>
      <c r="I23" s="9">
        <v>6.67</v>
      </c>
      <c r="J23" s="7" t="s">
        <v>49</v>
      </c>
    </row>
    <row r="24" spans="1:10" x14ac:dyDescent="0.2">
      <c r="A24" s="9">
        <v>0</v>
      </c>
      <c r="B24" s="9">
        <v>40</v>
      </c>
      <c r="C24" s="9">
        <v>1</v>
      </c>
      <c r="D24" s="9">
        <v>10</v>
      </c>
      <c r="E24" s="9">
        <v>15</v>
      </c>
      <c r="F24" s="9">
        <v>45</v>
      </c>
      <c r="G24" s="9">
        <v>18.8</v>
      </c>
      <c r="H24" s="9">
        <v>2.0099999999999998</v>
      </c>
      <c r="I24" s="9">
        <v>6.45</v>
      </c>
      <c r="J24" s="7" t="s">
        <v>49</v>
      </c>
    </row>
    <row r="25" spans="1:10" x14ac:dyDescent="0.2">
      <c r="A25" s="9">
        <v>0</v>
      </c>
      <c r="B25" s="9">
        <v>39</v>
      </c>
      <c r="C25" s="9">
        <v>1</v>
      </c>
      <c r="D25" s="9">
        <v>16</v>
      </c>
      <c r="E25" s="9">
        <v>4</v>
      </c>
      <c r="F25" s="9">
        <v>52</v>
      </c>
      <c r="G25" s="9">
        <v>20</v>
      </c>
      <c r="H25" s="9">
        <v>4.16</v>
      </c>
      <c r="I25" s="9">
        <v>6.24</v>
      </c>
      <c r="J25" s="7" t="s">
        <v>49</v>
      </c>
    </row>
    <row r="26" spans="1:10" x14ac:dyDescent="0.2">
      <c r="A26" s="9">
        <v>0</v>
      </c>
      <c r="B26" s="9">
        <v>35</v>
      </c>
      <c r="C26" s="9">
        <v>1</v>
      </c>
      <c r="D26" s="9">
        <v>15</v>
      </c>
      <c r="E26" s="9">
        <v>11</v>
      </c>
      <c r="F26" s="9">
        <v>40</v>
      </c>
      <c r="G26" s="9">
        <v>18.5</v>
      </c>
      <c r="H26" s="9">
        <v>1.21</v>
      </c>
      <c r="I26" s="9">
        <v>6.19</v>
      </c>
      <c r="J26" s="7" t="s">
        <v>49</v>
      </c>
    </row>
    <row r="27" spans="1:10" x14ac:dyDescent="0.2">
      <c r="A27" s="9">
        <v>0</v>
      </c>
      <c r="B27" s="9">
        <v>36</v>
      </c>
      <c r="C27" s="9">
        <v>3</v>
      </c>
      <c r="D27" s="9">
        <v>11</v>
      </c>
      <c r="E27" s="9">
        <v>12</v>
      </c>
      <c r="F27" s="9">
        <v>44</v>
      </c>
      <c r="G27" s="9">
        <v>14.7</v>
      </c>
      <c r="H27" s="9">
        <v>0.45</v>
      </c>
      <c r="I27" s="9">
        <v>6.02</v>
      </c>
      <c r="J27" s="7" t="s">
        <v>49</v>
      </c>
    </row>
    <row r="28" spans="1:10" x14ac:dyDescent="0.2">
      <c r="A28" s="9">
        <v>1</v>
      </c>
      <c r="B28" s="9">
        <v>39</v>
      </c>
      <c r="C28" s="9">
        <v>1</v>
      </c>
      <c r="D28" s="9">
        <v>6</v>
      </c>
      <c r="E28" s="9">
        <v>19</v>
      </c>
      <c r="F28" s="9">
        <v>42</v>
      </c>
      <c r="G28" s="9">
        <v>19.899999999999999</v>
      </c>
      <c r="H28" s="9">
        <v>2.54</v>
      </c>
      <c r="I28" s="9">
        <v>5.82</v>
      </c>
      <c r="J28" s="7" t="s">
        <v>49</v>
      </c>
    </row>
    <row r="29" spans="1:10" x14ac:dyDescent="0.2">
      <c r="A29" s="9">
        <v>0</v>
      </c>
      <c r="B29" s="9">
        <v>39</v>
      </c>
      <c r="C29" s="9">
        <v>1</v>
      </c>
      <c r="D29" s="9">
        <v>17</v>
      </c>
      <c r="E29" s="9">
        <v>20</v>
      </c>
      <c r="F29" s="9">
        <v>60</v>
      </c>
      <c r="G29" s="9">
        <v>13.7</v>
      </c>
      <c r="H29" s="9">
        <v>2.4500000000000002</v>
      </c>
      <c r="I29" s="9">
        <v>5.77</v>
      </c>
      <c r="J29" s="7" t="s">
        <v>49</v>
      </c>
    </row>
    <row r="30" spans="1:10" x14ac:dyDescent="0.2">
      <c r="A30" s="9">
        <v>0</v>
      </c>
      <c r="B30" s="9">
        <v>37</v>
      </c>
      <c r="C30" s="9">
        <v>3</v>
      </c>
      <c r="D30" s="9">
        <v>5</v>
      </c>
      <c r="E30" s="9">
        <v>17</v>
      </c>
      <c r="F30" s="9">
        <v>29</v>
      </c>
      <c r="G30" s="9">
        <v>24.6</v>
      </c>
      <c r="H30" s="9">
        <v>1.41</v>
      </c>
      <c r="I30" s="9">
        <v>5.73</v>
      </c>
      <c r="J30" s="7" t="s">
        <v>49</v>
      </c>
    </row>
    <row r="31" spans="1:10" x14ac:dyDescent="0.2">
      <c r="A31" s="9">
        <v>0</v>
      </c>
      <c r="B31" s="9">
        <v>45</v>
      </c>
      <c r="C31" s="9">
        <v>2</v>
      </c>
      <c r="D31" s="9">
        <v>18</v>
      </c>
      <c r="E31" s="9">
        <v>19</v>
      </c>
      <c r="F31" s="9">
        <v>35</v>
      </c>
      <c r="G31" s="9">
        <v>17.399999999999999</v>
      </c>
      <c r="H31" s="9">
        <v>0.55000000000000004</v>
      </c>
      <c r="I31" s="9">
        <v>5.54</v>
      </c>
      <c r="J31" s="7" t="s">
        <v>49</v>
      </c>
    </row>
    <row r="32" spans="1:10" x14ac:dyDescent="0.2">
      <c r="A32" s="9">
        <v>0</v>
      </c>
      <c r="B32" s="9">
        <v>48</v>
      </c>
      <c r="C32" s="9">
        <v>1</v>
      </c>
      <c r="D32" s="9">
        <v>22</v>
      </c>
      <c r="E32" s="9">
        <v>15</v>
      </c>
      <c r="F32" s="9">
        <v>100</v>
      </c>
      <c r="G32" s="9">
        <v>9.1</v>
      </c>
      <c r="H32" s="9">
        <v>3.7</v>
      </c>
      <c r="I32" s="9">
        <v>5.4</v>
      </c>
      <c r="J32" s="7" t="s">
        <v>49</v>
      </c>
    </row>
    <row r="33" spans="1:10" x14ac:dyDescent="0.2">
      <c r="A33" s="9">
        <v>0</v>
      </c>
      <c r="B33" s="9">
        <v>44</v>
      </c>
      <c r="C33" s="9">
        <v>2</v>
      </c>
      <c r="D33" s="9">
        <v>18</v>
      </c>
      <c r="E33" s="9">
        <v>4</v>
      </c>
      <c r="F33" s="9">
        <v>74</v>
      </c>
      <c r="G33" s="9">
        <v>13.4</v>
      </c>
      <c r="H33" s="9">
        <v>4.5199999999999996</v>
      </c>
      <c r="I33" s="9">
        <v>5.39</v>
      </c>
      <c r="J33" s="7" t="s">
        <v>49</v>
      </c>
    </row>
    <row r="34" spans="1:10" x14ac:dyDescent="0.2">
      <c r="A34" s="9">
        <v>0</v>
      </c>
      <c r="B34" s="9">
        <v>31</v>
      </c>
      <c r="C34" s="9">
        <v>1</v>
      </c>
      <c r="D34" s="9">
        <v>12</v>
      </c>
      <c r="E34" s="9">
        <v>4</v>
      </c>
      <c r="F34" s="9">
        <v>31</v>
      </c>
      <c r="G34" s="9">
        <v>23.7</v>
      </c>
      <c r="H34" s="9">
        <v>2.06</v>
      </c>
      <c r="I34" s="9">
        <v>5.29</v>
      </c>
      <c r="J34" s="7" t="s">
        <v>49</v>
      </c>
    </row>
    <row r="35" spans="1:10" x14ac:dyDescent="0.2">
      <c r="A35" s="9">
        <v>1</v>
      </c>
      <c r="B35" s="9">
        <v>34</v>
      </c>
      <c r="C35" s="9">
        <v>1</v>
      </c>
      <c r="D35" s="9">
        <v>15</v>
      </c>
      <c r="E35" s="9">
        <v>2</v>
      </c>
      <c r="F35" s="9">
        <v>39</v>
      </c>
      <c r="G35" s="9">
        <v>24.7</v>
      </c>
      <c r="H35" s="9">
        <v>4.37</v>
      </c>
      <c r="I35" s="9">
        <v>5.26</v>
      </c>
      <c r="J35" s="7" t="s">
        <v>49</v>
      </c>
    </row>
    <row r="36" spans="1:10" x14ac:dyDescent="0.2">
      <c r="A36" s="9">
        <v>1</v>
      </c>
      <c r="B36" s="9">
        <v>52</v>
      </c>
      <c r="C36" s="9">
        <v>5</v>
      </c>
      <c r="D36" s="9">
        <v>9</v>
      </c>
      <c r="E36" s="9">
        <v>0</v>
      </c>
      <c r="F36" s="9">
        <v>70</v>
      </c>
      <c r="G36" s="9">
        <v>9.4</v>
      </c>
      <c r="H36" s="9">
        <v>1.33</v>
      </c>
      <c r="I36" s="9">
        <v>5.25</v>
      </c>
      <c r="J36" s="7" t="s">
        <v>49</v>
      </c>
    </row>
    <row r="37" spans="1:10" x14ac:dyDescent="0.2">
      <c r="A37" s="9">
        <v>0</v>
      </c>
      <c r="B37" s="9">
        <v>41</v>
      </c>
      <c r="C37" s="9">
        <v>1</v>
      </c>
      <c r="D37" s="9">
        <v>19</v>
      </c>
      <c r="E37" s="9">
        <v>1</v>
      </c>
      <c r="F37" s="9">
        <v>96</v>
      </c>
      <c r="G37" s="9">
        <v>7.8</v>
      </c>
      <c r="H37" s="9">
        <v>2.25</v>
      </c>
      <c r="I37" s="9">
        <v>5.23</v>
      </c>
      <c r="J37" s="7" t="s">
        <v>49</v>
      </c>
    </row>
    <row r="38" spans="1:10" x14ac:dyDescent="0.2">
      <c r="A38" s="9">
        <v>0</v>
      </c>
      <c r="B38" s="9">
        <v>47</v>
      </c>
      <c r="C38" s="9">
        <v>1</v>
      </c>
      <c r="D38" s="9">
        <v>15</v>
      </c>
      <c r="E38" s="9">
        <v>1</v>
      </c>
      <c r="F38" s="9">
        <v>30</v>
      </c>
      <c r="G38" s="9">
        <v>24.5</v>
      </c>
      <c r="H38" s="9">
        <v>2.21</v>
      </c>
      <c r="I38" s="9">
        <v>5.14</v>
      </c>
      <c r="J38" s="7" t="s">
        <v>49</v>
      </c>
    </row>
    <row r="39" spans="1:10" x14ac:dyDescent="0.2">
      <c r="A39" s="9">
        <v>1</v>
      </c>
      <c r="B39" s="9">
        <v>44</v>
      </c>
      <c r="C39" s="9">
        <v>3</v>
      </c>
      <c r="D39" s="9">
        <v>8</v>
      </c>
      <c r="E39" s="9">
        <v>10</v>
      </c>
      <c r="F39" s="9">
        <v>88</v>
      </c>
      <c r="G39" s="9">
        <v>6.1</v>
      </c>
      <c r="H39" s="9">
        <v>0.28000000000000003</v>
      </c>
      <c r="I39" s="9">
        <v>5.08</v>
      </c>
      <c r="J39" s="7" t="s">
        <v>49</v>
      </c>
    </row>
    <row r="40" spans="1:10" x14ac:dyDescent="0.2">
      <c r="A40" s="9">
        <v>1</v>
      </c>
      <c r="B40" s="9">
        <v>23</v>
      </c>
      <c r="C40" s="9">
        <v>4</v>
      </c>
      <c r="D40" s="9">
        <v>0</v>
      </c>
      <c r="E40" s="9">
        <v>4</v>
      </c>
      <c r="F40" s="9">
        <v>32</v>
      </c>
      <c r="G40" s="9">
        <v>18.399999999999999</v>
      </c>
      <c r="H40" s="9">
        <v>0.82</v>
      </c>
      <c r="I40" s="9">
        <v>5.07</v>
      </c>
      <c r="J40" s="7" t="s">
        <v>49</v>
      </c>
    </row>
    <row r="41" spans="1:10" x14ac:dyDescent="0.2">
      <c r="A41" s="9">
        <v>0</v>
      </c>
      <c r="B41" s="9">
        <v>31</v>
      </c>
      <c r="C41" s="9">
        <v>1</v>
      </c>
      <c r="D41" s="9">
        <v>8</v>
      </c>
      <c r="E41" s="9">
        <v>3</v>
      </c>
      <c r="F41" s="9">
        <v>41</v>
      </c>
      <c r="G41" s="9">
        <v>12.6</v>
      </c>
      <c r="H41" s="9">
        <v>0.13</v>
      </c>
      <c r="I41" s="9">
        <v>5.03</v>
      </c>
      <c r="J41" s="7" t="s">
        <v>49</v>
      </c>
    </row>
    <row r="42" spans="1:10" x14ac:dyDescent="0.2">
      <c r="A42" s="9">
        <v>0</v>
      </c>
      <c r="B42" s="9">
        <v>38</v>
      </c>
      <c r="C42" s="9">
        <v>1</v>
      </c>
      <c r="D42" s="9">
        <v>21</v>
      </c>
      <c r="E42" s="9">
        <v>16</v>
      </c>
      <c r="F42" s="9">
        <v>58</v>
      </c>
      <c r="G42" s="9">
        <v>16.5</v>
      </c>
      <c r="H42" s="9">
        <v>4.58</v>
      </c>
      <c r="I42" s="9">
        <v>4.99</v>
      </c>
      <c r="J42" s="7" t="s">
        <v>49</v>
      </c>
    </row>
    <row r="43" spans="1:10" x14ac:dyDescent="0.2">
      <c r="A43" s="9">
        <v>0</v>
      </c>
      <c r="B43" s="9">
        <v>28</v>
      </c>
      <c r="C43" s="9">
        <v>2</v>
      </c>
      <c r="D43" s="9">
        <v>5</v>
      </c>
      <c r="E43" s="9">
        <v>9</v>
      </c>
      <c r="F43" s="9">
        <v>34</v>
      </c>
      <c r="G43" s="9">
        <v>23.8</v>
      </c>
      <c r="H43" s="9">
        <v>3.1</v>
      </c>
      <c r="I43" s="9">
        <v>4.99</v>
      </c>
      <c r="J43" s="7" t="s">
        <v>49</v>
      </c>
    </row>
    <row r="44" spans="1:10" x14ac:dyDescent="0.2">
      <c r="A44" s="9">
        <v>0</v>
      </c>
      <c r="B44" s="9">
        <v>52</v>
      </c>
      <c r="C44" s="9">
        <v>2</v>
      </c>
      <c r="D44" s="9">
        <v>12</v>
      </c>
      <c r="E44" s="9">
        <v>16</v>
      </c>
      <c r="F44" s="9">
        <v>76</v>
      </c>
      <c r="G44" s="9">
        <v>7.7</v>
      </c>
      <c r="H44" s="9">
        <v>0.99</v>
      </c>
      <c r="I44" s="9">
        <v>4.8600000000000003</v>
      </c>
      <c r="J44" s="7" t="s">
        <v>49</v>
      </c>
    </row>
    <row r="45" spans="1:10" x14ac:dyDescent="0.2">
      <c r="A45" s="9">
        <v>0</v>
      </c>
      <c r="B45" s="9">
        <v>27</v>
      </c>
      <c r="C45" s="9">
        <v>1</v>
      </c>
      <c r="D45" s="9">
        <v>11</v>
      </c>
      <c r="E45" s="9">
        <v>8</v>
      </c>
      <c r="F45" s="9">
        <v>56</v>
      </c>
      <c r="G45" s="9">
        <v>16.899999999999999</v>
      </c>
      <c r="H45" s="9">
        <v>4.6399999999999997</v>
      </c>
      <c r="I45" s="9">
        <v>4.83</v>
      </c>
      <c r="J45" s="7" t="s">
        <v>49</v>
      </c>
    </row>
    <row r="46" spans="1:10" x14ac:dyDescent="0.2">
      <c r="A46" s="9">
        <v>0</v>
      </c>
      <c r="B46" s="9">
        <v>36</v>
      </c>
      <c r="C46" s="9">
        <v>3</v>
      </c>
      <c r="D46" s="9">
        <v>13</v>
      </c>
      <c r="E46" s="9">
        <v>3</v>
      </c>
      <c r="F46" s="9">
        <v>39</v>
      </c>
      <c r="G46" s="9">
        <v>19.2</v>
      </c>
      <c r="H46" s="9">
        <v>2.8</v>
      </c>
      <c r="I46" s="9">
        <v>4.6900000000000004</v>
      </c>
      <c r="J46" s="7" t="s">
        <v>49</v>
      </c>
    </row>
    <row r="47" spans="1:10" x14ac:dyDescent="0.2">
      <c r="A47" s="9">
        <v>0</v>
      </c>
      <c r="B47" s="9">
        <v>43</v>
      </c>
      <c r="C47" s="9">
        <v>1</v>
      </c>
      <c r="D47" s="9">
        <v>25</v>
      </c>
      <c r="E47" s="9">
        <v>16</v>
      </c>
      <c r="F47" s="9">
        <v>0</v>
      </c>
      <c r="G47" s="9">
        <v>2.6</v>
      </c>
      <c r="H47" s="9">
        <v>1.64</v>
      </c>
      <c r="I47" s="9">
        <v>4.66</v>
      </c>
      <c r="J47" s="7" t="s">
        <v>49</v>
      </c>
    </row>
    <row r="48" spans="1:10" x14ac:dyDescent="0.2">
      <c r="A48" s="9">
        <v>0</v>
      </c>
      <c r="B48" s="9">
        <v>41</v>
      </c>
      <c r="C48" s="9">
        <v>3</v>
      </c>
      <c r="D48" s="9">
        <v>16</v>
      </c>
      <c r="E48" s="9">
        <v>22</v>
      </c>
      <c r="F48" s="13">
        <v>117.54291069294821</v>
      </c>
      <c r="G48" s="9">
        <v>4.4000000000000004</v>
      </c>
      <c r="H48" s="9">
        <v>1.28</v>
      </c>
      <c r="I48" s="9">
        <v>4.66</v>
      </c>
      <c r="J48" s="7" t="s">
        <v>49</v>
      </c>
    </row>
    <row r="49" spans="1:10" x14ac:dyDescent="0.2">
      <c r="A49" s="9">
        <v>1</v>
      </c>
      <c r="B49" s="9">
        <v>41</v>
      </c>
      <c r="C49" s="9">
        <v>3</v>
      </c>
      <c r="D49" s="9">
        <v>18</v>
      </c>
      <c r="E49" s="9">
        <v>6</v>
      </c>
      <c r="F49" s="9">
        <v>71</v>
      </c>
      <c r="G49" s="9">
        <v>15.7</v>
      </c>
      <c r="H49" s="13">
        <v>5.4954845947359976</v>
      </c>
      <c r="I49" s="9">
        <v>4.58</v>
      </c>
      <c r="J49" s="7" t="s">
        <v>49</v>
      </c>
    </row>
    <row r="50" spans="1:10" x14ac:dyDescent="0.2">
      <c r="A50" s="9">
        <v>0</v>
      </c>
      <c r="B50" s="9">
        <v>43</v>
      </c>
      <c r="C50" s="9">
        <v>2</v>
      </c>
      <c r="D50" s="9">
        <v>6</v>
      </c>
      <c r="E50" s="9">
        <v>24</v>
      </c>
      <c r="F50" s="9">
        <v>54</v>
      </c>
      <c r="G50" s="9">
        <v>9.6</v>
      </c>
      <c r="H50" s="9">
        <v>0.62</v>
      </c>
      <c r="I50" s="9">
        <v>4.5599999999999996</v>
      </c>
      <c r="J50" s="7" t="s">
        <v>49</v>
      </c>
    </row>
    <row r="51" spans="1:10" x14ac:dyDescent="0.2">
      <c r="A51" s="9">
        <v>1</v>
      </c>
      <c r="B51" s="9">
        <v>38</v>
      </c>
      <c r="C51" s="9">
        <v>3</v>
      </c>
      <c r="D51" s="9">
        <v>12</v>
      </c>
      <c r="E51" s="9">
        <v>14</v>
      </c>
      <c r="F51" s="9">
        <v>63</v>
      </c>
      <c r="G51" s="9">
        <v>16</v>
      </c>
      <c r="H51" s="13">
        <v>5.4954845947359976</v>
      </c>
      <c r="I51" s="9">
        <v>4.3600000000000003</v>
      </c>
      <c r="J51" s="7" t="s">
        <v>49</v>
      </c>
    </row>
    <row r="52" spans="1:10" x14ac:dyDescent="0.2">
      <c r="A52" s="9">
        <v>0</v>
      </c>
      <c r="B52" s="9">
        <v>43</v>
      </c>
      <c r="C52" s="9">
        <v>1</v>
      </c>
      <c r="D52" s="9">
        <v>23</v>
      </c>
      <c r="E52" s="9">
        <v>19</v>
      </c>
      <c r="F52" s="9">
        <v>72</v>
      </c>
      <c r="G52" s="9">
        <v>7.6</v>
      </c>
      <c r="H52" s="9">
        <v>1.18</v>
      </c>
      <c r="I52" s="9">
        <v>4.29</v>
      </c>
      <c r="J52" s="7" t="s">
        <v>49</v>
      </c>
    </row>
    <row r="53" spans="1:10" x14ac:dyDescent="0.2">
      <c r="A53" s="9">
        <v>0</v>
      </c>
      <c r="B53" s="9">
        <v>56</v>
      </c>
      <c r="C53" s="9">
        <v>1</v>
      </c>
      <c r="D53" s="9">
        <v>11</v>
      </c>
      <c r="E53" s="9">
        <v>20</v>
      </c>
      <c r="F53" s="9">
        <v>59</v>
      </c>
      <c r="G53" s="9">
        <v>15</v>
      </c>
      <c r="H53" s="9">
        <v>4.67</v>
      </c>
      <c r="I53" s="9">
        <v>4.18</v>
      </c>
      <c r="J53" s="7" t="s">
        <v>49</v>
      </c>
    </row>
    <row r="54" spans="1:10" x14ac:dyDescent="0.2">
      <c r="A54" s="9">
        <v>1</v>
      </c>
      <c r="B54" s="9">
        <v>40</v>
      </c>
      <c r="C54" s="9">
        <v>2</v>
      </c>
      <c r="D54" s="9">
        <v>5</v>
      </c>
      <c r="E54" s="9">
        <v>12</v>
      </c>
      <c r="F54" s="9">
        <v>35</v>
      </c>
      <c r="G54" s="9">
        <v>16.399999999999999</v>
      </c>
      <c r="H54" s="9">
        <v>1.58</v>
      </c>
      <c r="I54" s="9">
        <v>4.16</v>
      </c>
      <c r="J54" s="7" t="s">
        <v>49</v>
      </c>
    </row>
    <row r="55" spans="1:10" x14ac:dyDescent="0.2">
      <c r="A55" s="9">
        <v>0</v>
      </c>
      <c r="B55" s="9">
        <v>30</v>
      </c>
      <c r="C55" s="9">
        <v>2</v>
      </c>
      <c r="D55" s="9">
        <v>12</v>
      </c>
      <c r="E55" s="9">
        <v>9</v>
      </c>
      <c r="F55" s="9">
        <v>98</v>
      </c>
      <c r="G55" s="9">
        <v>7.2</v>
      </c>
      <c r="H55" s="9">
        <v>2.94</v>
      </c>
      <c r="I55" s="9">
        <v>4.12</v>
      </c>
      <c r="J55" s="7" t="s">
        <v>49</v>
      </c>
    </row>
    <row r="56" spans="1:10" x14ac:dyDescent="0.2">
      <c r="A56" s="9">
        <v>0</v>
      </c>
      <c r="B56" s="9">
        <v>37</v>
      </c>
      <c r="C56" s="9">
        <v>2</v>
      </c>
      <c r="D56" s="9">
        <v>6</v>
      </c>
      <c r="E56" s="9">
        <v>13</v>
      </c>
      <c r="F56" s="9">
        <v>62</v>
      </c>
      <c r="G56" s="9">
        <v>8.5</v>
      </c>
      <c r="H56" s="9">
        <v>1.19</v>
      </c>
      <c r="I56" s="9">
        <v>4.08</v>
      </c>
      <c r="J56" s="7" t="s">
        <v>49</v>
      </c>
    </row>
    <row r="57" spans="1:10" x14ac:dyDescent="0.2">
      <c r="A57" s="9">
        <v>1</v>
      </c>
      <c r="B57" s="9">
        <v>31</v>
      </c>
      <c r="C57" s="9">
        <v>2</v>
      </c>
      <c r="D57" s="9">
        <v>6</v>
      </c>
      <c r="E57" s="9">
        <v>6</v>
      </c>
      <c r="F57" s="9">
        <v>32</v>
      </c>
      <c r="G57" s="9">
        <v>23.1</v>
      </c>
      <c r="H57" s="9">
        <v>3.34</v>
      </c>
      <c r="I57" s="9">
        <v>4.05</v>
      </c>
      <c r="J57" s="7" t="s">
        <v>49</v>
      </c>
    </row>
    <row r="58" spans="1:10" x14ac:dyDescent="0.2">
      <c r="A58" s="9">
        <v>0</v>
      </c>
      <c r="B58" s="9">
        <v>48</v>
      </c>
      <c r="C58" s="9">
        <v>1</v>
      </c>
      <c r="D58" s="9">
        <v>0</v>
      </c>
      <c r="E58" s="9">
        <v>23</v>
      </c>
      <c r="F58" s="9">
        <v>30</v>
      </c>
      <c r="G58" s="9">
        <v>22.3</v>
      </c>
      <c r="H58" s="9">
        <v>2.66</v>
      </c>
      <c r="I58" s="9">
        <v>4.03</v>
      </c>
      <c r="J58" s="7" t="s">
        <v>49</v>
      </c>
    </row>
    <row r="59" spans="1:10" x14ac:dyDescent="0.2">
      <c r="A59" s="9">
        <v>0</v>
      </c>
      <c r="B59" s="9">
        <v>34</v>
      </c>
      <c r="C59" s="9">
        <v>3</v>
      </c>
      <c r="D59" s="9">
        <v>2</v>
      </c>
      <c r="E59" s="9">
        <v>14</v>
      </c>
      <c r="F59" s="9">
        <v>39</v>
      </c>
      <c r="G59" s="9">
        <v>13.2</v>
      </c>
      <c r="H59" s="9">
        <v>1.1399999999999999</v>
      </c>
      <c r="I59" s="9">
        <v>4.01</v>
      </c>
      <c r="J59" s="7" t="s">
        <v>49</v>
      </c>
    </row>
    <row r="60" spans="1:10" x14ac:dyDescent="0.2">
      <c r="A60" s="9">
        <v>0</v>
      </c>
      <c r="B60" s="9">
        <v>27</v>
      </c>
      <c r="C60" s="9">
        <v>1</v>
      </c>
      <c r="D60" s="9">
        <v>10</v>
      </c>
      <c r="E60" s="9">
        <v>6</v>
      </c>
      <c r="F60" s="9">
        <v>31</v>
      </c>
      <c r="G60" s="9">
        <v>17.3</v>
      </c>
      <c r="H60" s="9">
        <v>1.36</v>
      </c>
      <c r="I60" s="9">
        <v>4</v>
      </c>
      <c r="J60" s="7" t="s">
        <v>49</v>
      </c>
    </row>
    <row r="61" spans="1:10" x14ac:dyDescent="0.2">
      <c r="A61" s="9">
        <v>0</v>
      </c>
      <c r="B61" s="9">
        <v>35</v>
      </c>
      <c r="C61" s="9">
        <v>1</v>
      </c>
      <c r="D61" s="9">
        <v>5</v>
      </c>
      <c r="E61" s="9">
        <v>5</v>
      </c>
      <c r="F61" s="9">
        <v>32</v>
      </c>
      <c r="G61" s="9">
        <v>13</v>
      </c>
      <c r="H61" s="9">
        <v>0.17</v>
      </c>
      <c r="I61" s="9">
        <v>3.99</v>
      </c>
      <c r="J61" s="7" t="s">
        <v>49</v>
      </c>
    </row>
    <row r="62" spans="1:10" x14ac:dyDescent="0.2">
      <c r="A62" s="9">
        <v>0</v>
      </c>
      <c r="B62" s="9">
        <v>36</v>
      </c>
      <c r="C62" s="9">
        <v>2</v>
      </c>
      <c r="D62" s="9">
        <v>7</v>
      </c>
      <c r="E62" s="9">
        <v>16</v>
      </c>
      <c r="F62" s="9">
        <v>43</v>
      </c>
      <c r="G62" s="9">
        <v>15.4</v>
      </c>
      <c r="H62" s="9">
        <v>2.65</v>
      </c>
      <c r="I62" s="9">
        <v>3.97</v>
      </c>
      <c r="J62" s="7" t="s">
        <v>49</v>
      </c>
    </row>
    <row r="63" spans="1:10" x14ac:dyDescent="0.2">
      <c r="A63" s="9">
        <v>0</v>
      </c>
      <c r="B63" s="9">
        <v>42</v>
      </c>
      <c r="C63" s="9">
        <v>3</v>
      </c>
      <c r="D63" s="9">
        <v>0</v>
      </c>
      <c r="E63" s="9">
        <v>9</v>
      </c>
      <c r="F63" s="9">
        <v>64</v>
      </c>
      <c r="G63" s="9">
        <v>6.6</v>
      </c>
      <c r="H63" s="9">
        <v>0.28000000000000003</v>
      </c>
      <c r="I63" s="9">
        <v>3.95</v>
      </c>
      <c r="J63" s="7" t="s">
        <v>49</v>
      </c>
    </row>
    <row r="64" spans="1:10" x14ac:dyDescent="0.2">
      <c r="A64" s="9">
        <v>0</v>
      </c>
      <c r="B64" s="9">
        <v>45</v>
      </c>
      <c r="C64" s="9">
        <v>2</v>
      </c>
      <c r="D64" s="9">
        <v>9</v>
      </c>
      <c r="E64" s="9">
        <v>26</v>
      </c>
      <c r="F64" s="9">
        <v>69</v>
      </c>
      <c r="G64" s="9">
        <v>6.7</v>
      </c>
      <c r="H64" s="9">
        <v>0.71</v>
      </c>
      <c r="I64" s="9">
        <v>3.92</v>
      </c>
      <c r="J64" s="7" t="s">
        <v>49</v>
      </c>
    </row>
    <row r="65" spans="1:10" x14ac:dyDescent="0.2">
      <c r="A65" s="9">
        <v>0</v>
      </c>
      <c r="B65" s="9">
        <v>34</v>
      </c>
      <c r="C65" s="9">
        <v>1</v>
      </c>
      <c r="D65" s="9">
        <v>16</v>
      </c>
      <c r="E65" s="9">
        <v>3</v>
      </c>
      <c r="F65" s="9">
        <v>75</v>
      </c>
      <c r="G65" s="9">
        <v>10.4</v>
      </c>
      <c r="H65" s="9">
        <v>3.95</v>
      </c>
      <c r="I65" s="9">
        <v>3.85</v>
      </c>
      <c r="J65" s="7" t="s">
        <v>49</v>
      </c>
    </row>
    <row r="66" spans="1:10" x14ac:dyDescent="0.2">
      <c r="A66" s="9">
        <v>1</v>
      </c>
      <c r="B66" s="9">
        <v>29</v>
      </c>
      <c r="C66" s="9">
        <v>2</v>
      </c>
      <c r="D66" s="9">
        <v>1</v>
      </c>
      <c r="E66" s="9">
        <v>7</v>
      </c>
      <c r="F66" s="9">
        <v>29</v>
      </c>
      <c r="G66" s="9">
        <v>21.2</v>
      </c>
      <c r="H66" s="9">
        <v>2.33</v>
      </c>
      <c r="I66" s="9">
        <v>3.82</v>
      </c>
      <c r="J66" s="7" t="s">
        <v>49</v>
      </c>
    </row>
    <row r="67" spans="1:10" x14ac:dyDescent="0.2">
      <c r="A67" s="9">
        <v>1</v>
      </c>
      <c r="B67" s="9">
        <v>36</v>
      </c>
      <c r="C67" s="9">
        <v>2</v>
      </c>
      <c r="D67" s="9">
        <v>13</v>
      </c>
      <c r="E67" s="9">
        <v>6</v>
      </c>
      <c r="F67" s="9">
        <v>41</v>
      </c>
      <c r="G67" s="9">
        <v>16.399999999999999</v>
      </c>
      <c r="H67" s="9">
        <v>2.92</v>
      </c>
      <c r="I67" s="9">
        <v>3.81</v>
      </c>
      <c r="J67" s="7" t="s">
        <v>49</v>
      </c>
    </row>
    <row r="68" spans="1:10" x14ac:dyDescent="0.2">
      <c r="A68" s="9">
        <v>1</v>
      </c>
      <c r="B68" s="9">
        <v>38</v>
      </c>
      <c r="C68" s="9">
        <v>2</v>
      </c>
      <c r="D68" s="9">
        <v>2</v>
      </c>
      <c r="E68" s="9">
        <v>16</v>
      </c>
      <c r="F68" s="9">
        <v>22</v>
      </c>
      <c r="G68" s="9">
        <v>22.7</v>
      </c>
      <c r="H68" s="9">
        <v>1.21</v>
      </c>
      <c r="I68" s="9">
        <v>3.79</v>
      </c>
      <c r="J68" s="7" t="s">
        <v>49</v>
      </c>
    </row>
    <row r="69" spans="1:10" x14ac:dyDescent="0.2">
      <c r="A69" s="9">
        <v>0</v>
      </c>
      <c r="B69" s="9">
        <v>52</v>
      </c>
      <c r="C69" s="9">
        <v>1</v>
      </c>
      <c r="D69" s="9">
        <v>16</v>
      </c>
      <c r="E69" s="9">
        <v>25</v>
      </c>
      <c r="F69" s="9">
        <v>64</v>
      </c>
      <c r="G69" s="9">
        <v>8.6</v>
      </c>
      <c r="H69" s="9">
        <v>1.87</v>
      </c>
      <c r="I69" s="9">
        <v>3.64</v>
      </c>
      <c r="J69" s="7" t="s">
        <v>49</v>
      </c>
    </row>
    <row r="70" spans="1:10" x14ac:dyDescent="0.2">
      <c r="A70" s="9">
        <v>0</v>
      </c>
      <c r="B70" s="9">
        <v>34</v>
      </c>
      <c r="C70" s="9">
        <v>1</v>
      </c>
      <c r="D70" s="9">
        <v>14</v>
      </c>
      <c r="E70" s="9">
        <v>8</v>
      </c>
      <c r="F70" s="9">
        <v>28</v>
      </c>
      <c r="G70" s="9">
        <v>17</v>
      </c>
      <c r="H70" s="9">
        <v>1.1399999999999999</v>
      </c>
      <c r="I70" s="9">
        <v>3.62</v>
      </c>
      <c r="J70" s="7" t="s">
        <v>49</v>
      </c>
    </row>
    <row r="71" spans="1:10" x14ac:dyDescent="0.2">
      <c r="A71" s="9">
        <v>1</v>
      </c>
      <c r="B71" s="9">
        <v>28</v>
      </c>
      <c r="C71" s="9">
        <v>1</v>
      </c>
      <c r="D71" s="9">
        <v>4</v>
      </c>
      <c r="E71" s="9">
        <v>2</v>
      </c>
      <c r="F71" s="9">
        <v>28</v>
      </c>
      <c r="G71" s="9">
        <v>14.2</v>
      </c>
      <c r="H71" s="9">
        <v>0.44</v>
      </c>
      <c r="I71" s="9">
        <v>3.54</v>
      </c>
      <c r="J71" s="7" t="s">
        <v>49</v>
      </c>
    </row>
    <row r="72" spans="1:10" x14ac:dyDescent="0.2">
      <c r="A72" s="9">
        <v>0</v>
      </c>
      <c r="B72" s="9">
        <v>34</v>
      </c>
      <c r="C72" s="9">
        <v>2</v>
      </c>
      <c r="D72" s="9">
        <v>3</v>
      </c>
      <c r="E72" s="9">
        <v>8</v>
      </c>
      <c r="F72" s="9">
        <v>21</v>
      </c>
      <c r="G72" s="9">
        <v>23.1</v>
      </c>
      <c r="H72" s="9">
        <v>1.4</v>
      </c>
      <c r="I72" s="9">
        <v>3.45</v>
      </c>
      <c r="J72" s="7" t="s">
        <v>49</v>
      </c>
    </row>
    <row r="73" spans="1:10" x14ac:dyDescent="0.2">
      <c r="A73" s="9">
        <v>0</v>
      </c>
      <c r="B73" s="9">
        <v>48</v>
      </c>
      <c r="C73" s="9">
        <v>4</v>
      </c>
      <c r="D73" s="9">
        <v>3</v>
      </c>
      <c r="E73" s="9">
        <v>23</v>
      </c>
      <c r="F73" s="9">
        <v>45</v>
      </c>
      <c r="G73" s="9">
        <v>9.8000000000000007</v>
      </c>
      <c r="H73" s="9">
        <v>0.97</v>
      </c>
      <c r="I73" s="9">
        <v>3.44</v>
      </c>
      <c r="J73" s="7" t="s">
        <v>49</v>
      </c>
    </row>
    <row r="74" spans="1:10" x14ac:dyDescent="0.2">
      <c r="A74" s="9">
        <v>1</v>
      </c>
      <c r="B74" s="9">
        <v>36</v>
      </c>
      <c r="C74" s="9">
        <v>2</v>
      </c>
      <c r="D74" s="9">
        <v>9</v>
      </c>
      <c r="E74" s="9">
        <v>6</v>
      </c>
      <c r="F74" s="9">
        <v>49</v>
      </c>
      <c r="G74" s="9">
        <v>8.6</v>
      </c>
      <c r="H74" s="9">
        <v>0.82</v>
      </c>
      <c r="I74" s="9">
        <v>3.4</v>
      </c>
      <c r="J74" s="7" t="s">
        <v>49</v>
      </c>
    </row>
    <row r="75" spans="1:10" x14ac:dyDescent="0.2">
      <c r="A75" s="9">
        <v>0</v>
      </c>
      <c r="B75" s="9">
        <v>51</v>
      </c>
      <c r="C75" s="9">
        <v>2</v>
      </c>
      <c r="D75" s="9">
        <v>19</v>
      </c>
      <c r="E75" s="9">
        <v>25</v>
      </c>
      <c r="F75" s="9">
        <v>0</v>
      </c>
      <c r="G75" s="9">
        <v>2.8</v>
      </c>
      <c r="H75" s="9">
        <v>1.07</v>
      </c>
      <c r="I75" s="9">
        <v>3.38</v>
      </c>
      <c r="J75" s="7" t="s">
        <v>49</v>
      </c>
    </row>
    <row r="76" spans="1:10" x14ac:dyDescent="0.2">
      <c r="A76" s="9">
        <v>0</v>
      </c>
      <c r="B76" s="9">
        <v>38</v>
      </c>
      <c r="C76" s="9">
        <v>1</v>
      </c>
      <c r="D76" s="9">
        <v>6</v>
      </c>
      <c r="E76" s="9">
        <v>0</v>
      </c>
      <c r="F76" s="9">
        <v>41</v>
      </c>
      <c r="G76" s="9">
        <v>8.9</v>
      </c>
      <c r="H76" s="9">
        <v>0.27</v>
      </c>
      <c r="I76" s="9">
        <v>3.38</v>
      </c>
      <c r="J76" s="7" t="s">
        <v>49</v>
      </c>
    </row>
    <row r="77" spans="1:10" x14ac:dyDescent="0.2">
      <c r="A77" s="9">
        <v>1</v>
      </c>
      <c r="B77" s="9">
        <v>39</v>
      </c>
      <c r="C77" s="9">
        <v>2</v>
      </c>
      <c r="D77" s="9">
        <v>2</v>
      </c>
      <c r="E77" s="9">
        <v>12</v>
      </c>
      <c r="F77" s="9">
        <v>46</v>
      </c>
      <c r="G77" s="9">
        <v>16</v>
      </c>
      <c r="H77" s="9">
        <v>4</v>
      </c>
      <c r="I77" s="9">
        <v>3.36</v>
      </c>
      <c r="J77" s="7" t="s">
        <v>49</v>
      </c>
    </row>
    <row r="78" spans="1:10" x14ac:dyDescent="0.2">
      <c r="A78" s="9">
        <v>0</v>
      </c>
      <c r="B78" s="9">
        <v>30</v>
      </c>
      <c r="C78" s="9">
        <v>2</v>
      </c>
      <c r="D78" s="9">
        <v>4</v>
      </c>
      <c r="E78" s="9">
        <v>4</v>
      </c>
      <c r="F78" s="9">
        <v>21</v>
      </c>
      <c r="G78" s="9">
        <v>18.3</v>
      </c>
      <c r="H78" s="9">
        <v>0.49</v>
      </c>
      <c r="I78" s="9">
        <v>3.35</v>
      </c>
      <c r="J78" s="7" t="s">
        <v>49</v>
      </c>
    </row>
    <row r="79" spans="1:10" x14ac:dyDescent="0.2">
      <c r="A79" s="9">
        <v>0</v>
      </c>
      <c r="B79" s="9">
        <v>30</v>
      </c>
      <c r="C79" s="9">
        <v>2</v>
      </c>
      <c r="D79" s="9">
        <v>8</v>
      </c>
      <c r="E79" s="9">
        <v>4</v>
      </c>
      <c r="F79" s="9">
        <v>56</v>
      </c>
      <c r="G79" s="9">
        <v>6.4</v>
      </c>
      <c r="H79" s="9">
        <v>0.33</v>
      </c>
      <c r="I79" s="9">
        <v>3.25</v>
      </c>
      <c r="J79" s="7" t="s">
        <v>49</v>
      </c>
    </row>
    <row r="80" spans="1:10" x14ac:dyDescent="0.2">
      <c r="A80" s="9">
        <v>1</v>
      </c>
      <c r="B80" s="9">
        <v>39</v>
      </c>
      <c r="C80" s="9">
        <v>1</v>
      </c>
      <c r="D80" s="9">
        <v>2</v>
      </c>
      <c r="E80" s="9">
        <v>15</v>
      </c>
      <c r="F80" s="9">
        <v>22</v>
      </c>
      <c r="G80" s="9">
        <v>23.1</v>
      </c>
      <c r="H80" s="9">
        <v>1.92</v>
      </c>
      <c r="I80" s="9">
        <v>3.17</v>
      </c>
      <c r="J80" s="7" t="s">
        <v>49</v>
      </c>
    </row>
    <row r="81" spans="1:10" x14ac:dyDescent="0.2">
      <c r="A81" s="9">
        <v>0</v>
      </c>
      <c r="B81" s="9">
        <v>34</v>
      </c>
      <c r="C81" s="9">
        <v>6</v>
      </c>
      <c r="D81" s="9">
        <v>18</v>
      </c>
      <c r="E81" s="9">
        <v>10</v>
      </c>
      <c r="F81" s="9">
        <v>34</v>
      </c>
      <c r="G81" s="9">
        <v>15.4</v>
      </c>
      <c r="H81" s="9">
        <v>2.1</v>
      </c>
      <c r="I81" s="9">
        <v>3.14</v>
      </c>
      <c r="J81" s="7" t="s">
        <v>49</v>
      </c>
    </row>
    <row r="82" spans="1:10" x14ac:dyDescent="0.2">
      <c r="A82" s="9">
        <v>0</v>
      </c>
      <c r="B82" s="9">
        <v>43</v>
      </c>
      <c r="C82" s="9">
        <v>2</v>
      </c>
      <c r="D82" s="9">
        <v>16</v>
      </c>
      <c r="E82" s="9">
        <v>10</v>
      </c>
      <c r="F82" s="9">
        <v>83</v>
      </c>
      <c r="G82" s="9">
        <v>4.0999999999999996</v>
      </c>
      <c r="H82" s="9">
        <v>0.26</v>
      </c>
      <c r="I82" s="9">
        <v>3.14</v>
      </c>
      <c r="J82" s="7" t="s">
        <v>49</v>
      </c>
    </row>
    <row r="83" spans="1:10" x14ac:dyDescent="0.2">
      <c r="A83" s="9">
        <v>1</v>
      </c>
      <c r="B83" s="9">
        <v>24</v>
      </c>
      <c r="C83" s="9">
        <v>2</v>
      </c>
      <c r="D83" s="9">
        <v>2</v>
      </c>
      <c r="E83" s="9">
        <v>0</v>
      </c>
      <c r="F83" s="9">
        <v>28</v>
      </c>
      <c r="G83" s="9">
        <v>17.3</v>
      </c>
      <c r="H83" s="9">
        <v>1.79</v>
      </c>
      <c r="I83" s="9">
        <v>3.06</v>
      </c>
      <c r="J83" s="7" t="s">
        <v>49</v>
      </c>
    </row>
    <row r="84" spans="1:10" x14ac:dyDescent="0.2">
      <c r="A84" s="9">
        <v>0</v>
      </c>
      <c r="B84" s="9">
        <v>27</v>
      </c>
      <c r="C84" s="9">
        <v>3</v>
      </c>
      <c r="D84" s="9">
        <v>3</v>
      </c>
      <c r="E84" s="9">
        <v>4</v>
      </c>
      <c r="F84" s="9">
        <v>35</v>
      </c>
      <c r="G84" s="9">
        <v>13.3</v>
      </c>
      <c r="H84" s="9">
        <v>0.97</v>
      </c>
      <c r="I84" s="9">
        <v>3.05</v>
      </c>
      <c r="J84" s="7" t="s">
        <v>49</v>
      </c>
    </row>
    <row r="85" spans="1:10" x14ac:dyDescent="0.2">
      <c r="A85" s="9">
        <v>0</v>
      </c>
      <c r="B85" s="9">
        <v>34</v>
      </c>
      <c r="C85" s="9">
        <v>1</v>
      </c>
      <c r="D85" s="9">
        <v>13</v>
      </c>
      <c r="E85" s="9">
        <v>11</v>
      </c>
      <c r="F85" s="9">
        <v>51</v>
      </c>
      <c r="G85" s="9">
        <v>9.6</v>
      </c>
      <c r="H85" s="9">
        <v>1.88</v>
      </c>
      <c r="I85" s="9">
        <v>3.02</v>
      </c>
      <c r="J85" s="7" t="s">
        <v>49</v>
      </c>
    </row>
    <row r="86" spans="1:10" x14ac:dyDescent="0.2">
      <c r="A86" s="9">
        <v>0</v>
      </c>
      <c r="B86" s="9">
        <v>47</v>
      </c>
      <c r="C86" s="9">
        <v>1</v>
      </c>
      <c r="D86" s="9">
        <v>22</v>
      </c>
      <c r="E86" s="9">
        <v>19</v>
      </c>
      <c r="F86" s="9">
        <v>81</v>
      </c>
      <c r="G86" s="9">
        <v>5.5</v>
      </c>
      <c r="H86" s="9">
        <v>1.51</v>
      </c>
      <c r="I86" s="9">
        <v>2.95</v>
      </c>
      <c r="J86" s="7" t="s">
        <v>49</v>
      </c>
    </row>
    <row r="87" spans="1:10" x14ac:dyDescent="0.2">
      <c r="A87" s="9">
        <v>1</v>
      </c>
      <c r="B87" s="9">
        <v>29</v>
      </c>
      <c r="C87" s="9">
        <v>1</v>
      </c>
      <c r="D87" s="9">
        <v>7</v>
      </c>
      <c r="E87" s="9">
        <v>5</v>
      </c>
      <c r="F87" s="9">
        <v>20</v>
      </c>
      <c r="G87" s="9">
        <v>19.8</v>
      </c>
      <c r="H87" s="9">
        <v>1.01</v>
      </c>
      <c r="I87" s="9">
        <v>2.95</v>
      </c>
      <c r="J87" s="7" t="s">
        <v>49</v>
      </c>
    </row>
    <row r="88" spans="1:10" x14ac:dyDescent="0.2">
      <c r="A88" s="9">
        <v>0</v>
      </c>
      <c r="B88" s="9">
        <v>34</v>
      </c>
      <c r="C88" s="9">
        <v>1</v>
      </c>
      <c r="D88" s="9">
        <v>17</v>
      </c>
      <c r="E88" s="9">
        <v>3</v>
      </c>
      <c r="F88" s="9">
        <v>59</v>
      </c>
      <c r="G88" s="9">
        <v>8</v>
      </c>
      <c r="H88" s="9">
        <v>1.81</v>
      </c>
      <c r="I88" s="9">
        <v>2.91</v>
      </c>
      <c r="J88" s="7" t="s">
        <v>49</v>
      </c>
    </row>
    <row r="89" spans="1:10" x14ac:dyDescent="0.2">
      <c r="A89" s="9">
        <v>0</v>
      </c>
      <c r="B89" s="9">
        <v>39</v>
      </c>
      <c r="C89" s="9">
        <v>1</v>
      </c>
      <c r="D89" s="9">
        <v>6</v>
      </c>
      <c r="E89" s="9">
        <v>9</v>
      </c>
      <c r="F89" s="9">
        <v>61</v>
      </c>
      <c r="G89" s="9">
        <v>5.7</v>
      </c>
      <c r="H89" s="9">
        <v>0.56000000000000005</v>
      </c>
      <c r="I89" s="9">
        <v>2.91</v>
      </c>
      <c r="J89" s="7" t="s">
        <v>49</v>
      </c>
    </row>
    <row r="90" spans="1:10" x14ac:dyDescent="0.2">
      <c r="A90" s="9">
        <v>0</v>
      </c>
      <c r="B90" s="9">
        <v>35</v>
      </c>
      <c r="C90" s="9">
        <v>1</v>
      </c>
      <c r="D90" s="9">
        <v>18</v>
      </c>
      <c r="E90" s="9">
        <v>2</v>
      </c>
      <c r="F90" s="9">
        <v>42</v>
      </c>
      <c r="G90" s="9">
        <v>7.4</v>
      </c>
      <c r="H90" s="9">
        <v>0.21</v>
      </c>
      <c r="I90" s="9">
        <v>2.9</v>
      </c>
      <c r="J90" s="7" t="s">
        <v>49</v>
      </c>
    </row>
    <row r="91" spans="1:10" x14ac:dyDescent="0.2">
      <c r="A91" s="9">
        <v>0</v>
      </c>
      <c r="B91" s="9">
        <v>34</v>
      </c>
      <c r="C91" s="9">
        <v>3</v>
      </c>
      <c r="D91" s="9">
        <v>7</v>
      </c>
      <c r="E91" s="9">
        <v>1</v>
      </c>
      <c r="F91" s="9">
        <v>63</v>
      </c>
      <c r="G91" s="9">
        <v>5.5</v>
      </c>
      <c r="H91" s="9">
        <v>0.56999999999999995</v>
      </c>
      <c r="I91" s="9">
        <v>2.89</v>
      </c>
      <c r="J91" s="7" t="s">
        <v>49</v>
      </c>
    </row>
    <row r="92" spans="1:10" x14ac:dyDescent="0.2">
      <c r="A92" s="9">
        <v>1</v>
      </c>
      <c r="B92" s="9">
        <v>25</v>
      </c>
      <c r="C92" s="9">
        <v>1</v>
      </c>
      <c r="D92" s="9">
        <v>0</v>
      </c>
      <c r="E92" s="9">
        <v>2</v>
      </c>
      <c r="F92" s="9">
        <v>18</v>
      </c>
      <c r="G92" s="9">
        <v>18.899999999999999</v>
      </c>
      <c r="H92" s="9">
        <v>0.51</v>
      </c>
      <c r="I92" s="9">
        <v>2.89</v>
      </c>
      <c r="J92" s="7" t="s">
        <v>49</v>
      </c>
    </row>
    <row r="93" spans="1:10" x14ac:dyDescent="0.2">
      <c r="A93" s="9">
        <v>0</v>
      </c>
      <c r="B93" s="9">
        <v>25</v>
      </c>
      <c r="C93" s="9">
        <v>1</v>
      </c>
      <c r="D93" s="9">
        <v>8</v>
      </c>
      <c r="E93" s="9">
        <v>4</v>
      </c>
      <c r="F93" s="9">
        <v>27</v>
      </c>
      <c r="G93" s="9">
        <v>14.4</v>
      </c>
      <c r="H93" s="9">
        <v>1.02</v>
      </c>
      <c r="I93" s="9">
        <v>2.87</v>
      </c>
      <c r="J93" s="7" t="s">
        <v>49</v>
      </c>
    </row>
    <row r="94" spans="1:10" x14ac:dyDescent="0.2">
      <c r="A94" s="9">
        <v>0</v>
      </c>
      <c r="B94" s="9">
        <v>28</v>
      </c>
      <c r="C94" s="9">
        <v>4</v>
      </c>
      <c r="D94" s="9">
        <v>1</v>
      </c>
      <c r="E94" s="9">
        <v>3</v>
      </c>
      <c r="F94" s="9">
        <v>26</v>
      </c>
      <c r="G94" s="9">
        <v>12.4</v>
      </c>
      <c r="H94" s="9">
        <v>0.38</v>
      </c>
      <c r="I94" s="9">
        <v>2.85</v>
      </c>
      <c r="J94" s="7" t="s">
        <v>49</v>
      </c>
    </row>
    <row r="95" spans="1:10" x14ac:dyDescent="0.2">
      <c r="A95" s="9">
        <v>1</v>
      </c>
      <c r="B95" s="9">
        <v>28</v>
      </c>
      <c r="C95" s="9">
        <v>2</v>
      </c>
      <c r="D95" s="9">
        <v>1</v>
      </c>
      <c r="E95" s="9">
        <v>8</v>
      </c>
      <c r="F95" s="9">
        <v>24</v>
      </c>
      <c r="G95" s="9">
        <v>17.100000000000001</v>
      </c>
      <c r="H95" s="9">
        <v>1.34</v>
      </c>
      <c r="I95" s="9">
        <v>2.77</v>
      </c>
      <c r="J95" s="7" t="s">
        <v>49</v>
      </c>
    </row>
    <row r="96" spans="1:10" x14ac:dyDescent="0.2">
      <c r="A96" s="9">
        <v>0</v>
      </c>
      <c r="B96" s="9">
        <v>27</v>
      </c>
      <c r="C96" s="9">
        <v>2</v>
      </c>
      <c r="D96" s="9">
        <v>3</v>
      </c>
      <c r="E96" s="9">
        <v>5</v>
      </c>
      <c r="F96" s="9">
        <v>33</v>
      </c>
      <c r="G96" s="9">
        <v>13.2</v>
      </c>
      <c r="H96" s="9">
        <v>1.63</v>
      </c>
      <c r="I96" s="9">
        <v>2.72</v>
      </c>
      <c r="J96" s="7" t="s">
        <v>49</v>
      </c>
    </row>
    <row r="97" spans="1:10" x14ac:dyDescent="0.2">
      <c r="A97" s="9">
        <v>0</v>
      </c>
      <c r="B97" s="9">
        <v>28</v>
      </c>
      <c r="C97" s="9">
        <v>1</v>
      </c>
      <c r="D97" s="9">
        <v>4</v>
      </c>
      <c r="E97" s="9">
        <v>1</v>
      </c>
      <c r="F97" s="9">
        <v>16</v>
      </c>
      <c r="G97" s="9">
        <v>23.8</v>
      </c>
      <c r="H97" s="9">
        <v>1.0900000000000001</v>
      </c>
      <c r="I97" s="9">
        <v>2.72</v>
      </c>
      <c r="J97" s="7" t="s">
        <v>49</v>
      </c>
    </row>
    <row r="98" spans="1:10" x14ac:dyDescent="0.2">
      <c r="A98" s="9">
        <v>0</v>
      </c>
      <c r="B98" s="9">
        <v>33</v>
      </c>
      <c r="C98" s="9">
        <v>2</v>
      </c>
      <c r="D98" s="9">
        <v>13</v>
      </c>
      <c r="E98" s="9">
        <v>2</v>
      </c>
      <c r="F98" s="9">
        <v>40</v>
      </c>
      <c r="G98" s="9">
        <v>7.2</v>
      </c>
      <c r="H98" s="9">
        <v>0.18</v>
      </c>
      <c r="I98" s="9">
        <v>2.7</v>
      </c>
      <c r="J98" s="7" t="s">
        <v>49</v>
      </c>
    </row>
    <row r="99" spans="1:10" x14ac:dyDescent="0.2">
      <c r="A99" s="9">
        <v>0</v>
      </c>
      <c r="B99" s="9">
        <v>29</v>
      </c>
      <c r="C99" s="9">
        <v>1</v>
      </c>
      <c r="D99" s="9">
        <v>6</v>
      </c>
      <c r="E99" s="9">
        <v>7</v>
      </c>
      <c r="F99" s="9">
        <v>21</v>
      </c>
      <c r="G99" s="9">
        <v>18.100000000000001</v>
      </c>
      <c r="H99" s="9">
        <v>1.1100000000000001</v>
      </c>
      <c r="I99" s="9">
        <v>2.69</v>
      </c>
      <c r="J99" s="7" t="s">
        <v>49</v>
      </c>
    </row>
    <row r="100" spans="1:10" x14ac:dyDescent="0.2">
      <c r="A100" s="9">
        <v>0</v>
      </c>
      <c r="B100" s="9">
        <v>32</v>
      </c>
      <c r="C100" s="9">
        <v>1</v>
      </c>
      <c r="D100" s="9">
        <v>14</v>
      </c>
      <c r="E100" s="9">
        <v>7</v>
      </c>
      <c r="F100" s="9">
        <v>73</v>
      </c>
      <c r="G100" s="9">
        <v>8.8000000000000007</v>
      </c>
      <c r="H100" s="9">
        <v>3.75</v>
      </c>
      <c r="I100" s="9">
        <v>2.67</v>
      </c>
      <c r="J100" s="7" t="s">
        <v>49</v>
      </c>
    </row>
    <row r="101" spans="1:10" x14ac:dyDescent="0.2">
      <c r="A101" s="9">
        <v>1</v>
      </c>
      <c r="B101" s="9">
        <v>33</v>
      </c>
      <c r="C101" s="9">
        <v>1</v>
      </c>
      <c r="D101" s="9">
        <v>9</v>
      </c>
      <c r="E101" s="9">
        <v>4</v>
      </c>
      <c r="F101" s="9">
        <v>29</v>
      </c>
      <c r="G101" s="9">
        <v>13.8</v>
      </c>
      <c r="H101" s="9">
        <v>1.35</v>
      </c>
      <c r="I101" s="9">
        <v>2.65</v>
      </c>
      <c r="J101" s="7" t="s">
        <v>49</v>
      </c>
    </row>
    <row r="102" spans="1:10" x14ac:dyDescent="0.2">
      <c r="A102" s="9">
        <v>1</v>
      </c>
      <c r="B102" s="9">
        <v>55</v>
      </c>
      <c r="C102" s="9">
        <v>1</v>
      </c>
      <c r="D102" s="9">
        <v>3</v>
      </c>
      <c r="E102" s="9">
        <v>11</v>
      </c>
      <c r="F102" s="9">
        <v>40</v>
      </c>
      <c r="G102" s="9">
        <v>8</v>
      </c>
      <c r="H102" s="9">
        <v>0.56000000000000005</v>
      </c>
      <c r="I102" s="9">
        <v>2.64</v>
      </c>
      <c r="J102" s="7" t="s">
        <v>49</v>
      </c>
    </row>
    <row r="103" spans="1:10" x14ac:dyDescent="0.2">
      <c r="A103" s="9">
        <v>1</v>
      </c>
      <c r="B103" s="9">
        <v>21</v>
      </c>
      <c r="C103" s="9">
        <v>2</v>
      </c>
      <c r="D103" s="9">
        <v>1</v>
      </c>
      <c r="E103" s="9">
        <v>2</v>
      </c>
      <c r="F103" s="9">
        <v>16</v>
      </c>
      <c r="G103" s="9">
        <v>18</v>
      </c>
      <c r="H103" s="9">
        <v>0.24</v>
      </c>
      <c r="I103" s="9">
        <v>2.64</v>
      </c>
      <c r="J103" s="7" t="s">
        <v>49</v>
      </c>
    </row>
    <row r="104" spans="1:10" x14ac:dyDescent="0.2">
      <c r="A104" s="9">
        <v>1</v>
      </c>
      <c r="B104" s="9">
        <v>54</v>
      </c>
      <c r="C104" s="9">
        <v>1</v>
      </c>
      <c r="D104" s="9">
        <v>9</v>
      </c>
      <c r="E104" s="9">
        <v>2</v>
      </c>
      <c r="F104" s="9">
        <v>28</v>
      </c>
      <c r="G104" s="9">
        <v>14.8</v>
      </c>
      <c r="H104" s="9">
        <v>1.56</v>
      </c>
      <c r="I104" s="9">
        <v>2.59</v>
      </c>
      <c r="J104" s="7" t="s">
        <v>49</v>
      </c>
    </row>
    <row r="105" spans="1:10" x14ac:dyDescent="0.2">
      <c r="A105" s="9">
        <v>1</v>
      </c>
      <c r="B105" s="9">
        <v>34</v>
      </c>
      <c r="C105" s="9">
        <v>1</v>
      </c>
      <c r="D105" s="9">
        <v>2</v>
      </c>
      <c r="E105" s="9">
        <v>11</v>
      </c>
      <c r="F105" s="9">
        <v>25</v>
      </c>
      <c r="G105" s="9">
        <v>12.6</v>
      </c>
      <c r="H105" s="9">
        <v>0.56999999999999995</v>
      </c>
      <c r="I105" s="9">
        <v>2.58</v>
      </c>
      <c r="J105" s="7" t="s">
        <v>49</v>
      </c>
    </row>
    <row r="106" spans="1:10" x14ac:dyDescent="0.2">
      <c r="A106" s="9">
        <v>0</v>
      </c>
      <c r="B106" s="9">
        <v>36</v>
      </c>
      <c r="C106" s="9">
        <v>6</v>
      </c>
      <c r="D106" s="9">
        <v>0</v>
      </c>
      <c r="E106" s="9">
        <v>17</v>
      </c>
      <c r="F106" s="9">
        <v>30</v>
      </c>
      <c r="G106" s="9">
        <v>9.6999999999999993</v>
      </c>
      <c r="H106" s="9">
        <v>0.33</v>
      </c>
      <c r="I106" s="9">
        <v>2.58</v>
      </c>
      <c r="J106" s="7" t="s">
        <v>49</v>
      </c>
    </row>
    <row r="107" spans="1:10" x14ac:dyDescent="0.2">
      <c r="A107" s="9">
        <v>0</v>
      </c>
      <c r="B107" s="9">
        <v>47</v>
      </c>
      <c r="C107" s="9">
        <v>1</v>
      </c>
      <c r="D107" s="9">
        <v>4</v>
      </c>
      <c r="E107" s="9">
        <v>2</v>
      </c>
      <c r="F107" s="9">
        <v>26</v>
      </c>
      <c r="G107" s="9">
        <v>10.4</v>
      </c>
      <c r="H107" s="9">
        <v>0.12</v>
      </c>
      <c r="I107" s="9">
        <v>2.58</v>
      </c>
      <c r="J107" s="7" t="s">
        <v>49</v>
      </c>
    </row>
    <row r="108" spans="1:10" x14ac:dyDescent="0.2">
      <c r="A108" s="9">
        <v>0</v>
      </c>
      <c r="B108" s="9">
        <v>42</v>
      </c>
      <c r="C108" s="9">
        <v>1</v>
      </c>
      <c r="D108" s="9">
        <v>6</v>
      </c>
      <c r="E108" s="9">
        <v>9</v>
      </c>
      <c r="F108" s="9">
        <v>31</v>
      </c>
      <c r="G108" s="9">
        <v>11.6</v>
      </c>
      <c r="H108" s="9">
        <v>1.02</v>
      </c>
      <c r="I108" s="9">
        <v>2.57</v>
      </c>
      <c r="J108" s="7" t="s">
        <v>49</v>
      </c>
    </row>
    <row r="109" spans="1:10" x14ac:dyDescent="0.2">
      <c r="A109" s="9">
        <v>0</v>
      </c>
      <c r="B109" s="9">
        <v>34</v>
      </c>
      <c r="C109" s="9">
        <v>1</v>
      </c>
      <c r="D109" s="9">
        <v>13</v>
      </c>
      <c r="E109" s="9">
        <v>8</v>
      </c>
      <c r="F109" s="9">
        <v>56</v>
      </c>
      <c r="G109" s="9">
        <v>6.1</v>
      </c>
      <c r="H109" s="9">
        <v>0.86</v>
      </c>
      <c r="I109" s="9">
        <v>2.5499999999999998</v>
      </c>
      <c r="J109" s="7" t="s">
        <v>49</v>
      </c>
    </row>
    <row r="110" spans="1:10" x14ac:dyDescent="0.2">
      <c r="A110" s="9">
        <v>1</v>
      </c>
      <c r="B110" s="9">
        <v>30</v>
      </c>
      <c r="C110" s="9">
        <v>1</v>
      </c>
      <c r="D110" s="9">
        <v>0</v>
      </c>
      <c r="E110" s="9">
        <v>8</v>
      </c>
      <c r="F110" s="9">
        <v>19</v>
      </c>
      <c r="G110" s="9">
        <v>16.600000000000001</v>
      </c>
      <c r="H110" s="9">
        <v>0.62</v>
      </c>
      <c r="I110" s="9">
        <v>2.5299999999999998</v>
      </c>
      <c r="J110" s="7" t="s">
        <v>49</v>
      </c>
    </row>
    <row r="111" spans="1:10" x14ac:dyDescent="0.2">
      <c r="A111" s="9">
        <v>0</v>
      </c>
      <c r="B111" s="9">
        <v>27</v>
      </c>
      <c r="C111" s="9">
        <v>3</v>
      </c>
      <c r="D111" s="9">
        <v>5</v>
      </c>
      <c r="E111" s="9">
        <v>1</v>
      </c>
      <c r="F111" s="9">
        <v>75</v>
      </c>
      <c r="G111" s="9">
        <v>6.3</v>
      </c>
      <c r="H111" s="9">
        <v>2.21</v>
      </c>
      <c r="I111" s="9">
        <v>2.52</v>
      </c>
      <c r="J111" s="7" t="s">
        <v>49</v>
      </c>
    </row>
    <row r="112" spans="1:10" x14ac:dyDescent="0.2">
      <c r="A112" s="9">
        <v>1</v>
      </c>
      <c r="B112" s="9">
        <v>43</v>
      </c>
      <c r="C112" s="9">
        <v>1</v>
      </c>
      <c r="D112" s="9">
        <v>13</v>
      </c>
      <c r="E112" s="9">
        <v>23</v>
      </c>
      <c r="F112" s="9">
        <v>76</v>
      </c>
      <c r="G112" s="9">
        <v>6.1</v>
      </c>
      <c r="H112" s="9">
        <v>2.15</v>
      </c>
      <c r="I112" s="9">
        <v>2.48</v>
      </c>
      <c r="J112" s="7" t="s">
        <v>49</v>
      </c>
    </row>
    <row r="113" spans="1:10" x14ac:dyDescent="0.2">
      <c r="A113" s="9">
        <v>0</v>
      </c>
      <c r="B113" s="9">
        <v>52</v>
      </c>
      <c r="C113" s="9">
        <v>1</v>
      </c>
      <c r="D113" s="9">
        <v>24</v>
      </c>
      <c r="E113" s="9">
        <v>14</v>
      </c>
      <c r="F113" s="9">
        <v>64</v>
      </c>
      <c r="G113" s="9">
        <v>10</v>
      </c>
      <c r="H113" s="9">
        <v>3.93</v>
      </c>
      <c r="I113" s="9">
        <v>2.4700000000000002</v>
      </c>
      <c r="J113" s="7" t="s">
        <v>49</v>
      </c>
    </row>
    <row r="114" spans="1:10" x14ac:dyDescent="0.2">
      <c r="A114" s="9">
        <v>0</v>
      </c>
      <c r="B114" s="9">
        <v>39</v>
      </c>
      <c r="C114" s="9">
        <v>3</v>
      </c>
      <c r="D114" s="9">
        <v>11</v>
      </c>
      <c r="E114" s="9">
        <v>17</v>
      </c>
      <c r="F114" s="9">
        <v>39</v>
      </c>
      <c r="G114" s="9">
        <v>12.9</v>
      </c>
      <c r="H114" s="9">
        <v>2.56</v>
      </c>
      <c r="I114" s="9">
        <v>2.4700000000000002</v>
      </c>
      <c r="J114" s="7" t="s">
        <v>49</v>
      </c>
    </row>
    <row r="115" spans="1:10" x14ac:dyDescent="0.2">
      <c r="A115" s="9">
        <v>0</v>
      </c>
      <c r="B115" s="9">
        <v>32</v>
      </c>
      <c r="C115" s="9">
        <v>1</v>
      </c>
      <c r="D115" s="9">
        <v>10</v>
      </c>
      <c r="E115" s="9">
        <v>13</v>
      </c>
      <c r="F115" s="9">
        <v>32</v>
      </c>
      <c r="G115" s="9">
        <v>11.3</v>
      </c>
      <c r="H115" s="9">
        <v>1.17</v>
      </c>
      <c r="I115" s="9">
        <v>2.4500000000000002</v>
      </c>
      <c r="J115" s="7" t="s">
        <v>49</v>
      </c>
    </row>
    <row r="116" spans="1:10" x14ac:dyDescent="0.2">
      <c r="A116" s="9">
        <v>0</v>
      </c>
      <c r="B116" s="9">
        <v>26</v>
      </c>
      <c r="C116" s="9">
        <v>2</v>
      </c>
      <c r="D116" s="9">
        <v>4</v>
      </c>
      <c r="E116" s="9">
        <v>3</v>
      </c>
      <c r="F116" s="9">
        <v>28</v>
      </c>
      <c r="G116" s="9">
        <v>9.5</v>
      </c>
      <c r="H116" s="9">
        <v>0.23</v>
      </c>
      <c r="I116" s="9">
        <v>2.4300000000000002</v>
      </c>
      <c r="J116" s="7" t="s">
        <v>49</v>
      </c>
    </row>
    <row r="117" spans="1:10" x14ac:dyDescent="0.2">
      <c r="A117" s="9">
        <v>0</v>
      </c>
      <c r="B117" s="9">
        <v>39</v>
      </c>
      <c r="C117" s="9">
        <v>1</v>
      </c>
      <c r="D117" s="9">
        <v>20</v>
      </c>
      <c r="E117" s="9">
        <v>12</v>
      </c>
      <c r="F117" s="9">
        <v>39</v>
      </c>
      <c r="G117" s="9">
        <v>8.1999999999999993</v>
      </c>
      <c r="H117" s="9">
        <v>0.77</v>
      </c>
      <c r="I117" s="9">
        <v>2.42</v>
      </c>
      <c r="J117" s="7" t="s">
        <v>49</v>
      </c>
    </row>
    <row r="118" spans="1:10" x14ac:dyDescent="0.2">
      <c r="A118" s="9">
        <v>0</v>
      </c>
      <c r="B118" s="9">
        <v>36</v>
      </c>
      <c r="C118" s="9">
        <v>1</v>
      </c>
      <c r="D118" s="9">
        <v>4</v>
      </c>
      <c r="E118" s="9">
        <v>15</v>
      </c>
      <c r="F118" s="9">
        <v>17</v>
      </c>
      <c r="G118" s="9">
        <v>17.3</v>
      </c>
      <c r="H118" s="9">
        <v>0.52</v>
      </c>
      <c r="I118" s="9">
        <v>2.42</v>
      </c>
      <c r="J118" s="7" t="s">
        <v>49</v>
      </c>
    </row>
    <row r="119" spans="1:10" x14ac:dyDescent="0.2">
      <c r="A119" s="9">
        <v>1</v>
      </c>
      <c r="B119" s="9">
        <v>35</v>
      </c>
      <c r="C119" s="9">
        <v>2</v>
      </c>
      <c r="D119" s="9">
        <v>1</v>
      </c>
      <c r="E119" s="9">
        <v>8</v>
      </c>
      <c r="F119" s="9">
        <v>24</v>
      </c>
      <c r="G119" s="9">
        <v>12.5</v>
      </c>
      <c r="H119" s="9">
        <v>0.59</v>
      </c>
      <c r="I119" s="9">
        <v>2.41</v>
      </c>
      <c r="J119" s="7" t="s">
        <v>49</v>
      </c>
    </row>
    <row r="120" spans="1:10" x14ac:dyDescent="0.2">
      <c r="A120" s="9">
        <v>0</v>
      </c>
      <c r="B120" s="9">
        <v>29</v>
      </c>
      <c r="C120" s="9">
        <v>1</v>
      </c>
      <c r="D120" s="9">
        <v>9</v>
      </c>
      <c r="E120" s="9">
        <v>0</v>
      </c>
      <c r="F120" s="9">
        <v>25</v>
      </c>
      <c r="G120" s="9">
        <v>13.9</v>
      </c>
      <c r="H120" s="9">
        <v>1.07</v>
      </c>
      <c r="I120" s="9">
        <v>2.4</v>
      </c>
      <c r="J120" s="7" t="s">
        <v>49</v>
      </c>
    </row>
    <row r="121" spans="1:10" x14ac:dyDescent="0.2">
      <c r="A121" s="9">
        <v>0</v>
      </c>
      <c r="B121" s="9">
        <v>42</v>
      </c>
      <c r="C121" s="9">
        <v>2</v>
      </c>
      <c r="D121" s="9">
        <v>21</v>
      </c>
      <c r="E121" s="9">
        <v>11</v>
      </c>
      <c r="F121" s="13">
        <v>117.54291069294821</v>
      </c>
      <c r="G121" s="9">
        <v>3.1</v>
      </c>
      <c r="H121" s="9">
        <v>1.37</v>
      </c>
      <c r="I121" s="9">
        <v>2.39</v>
      </c>
      <c r="J121" s="7" t="s">
        <v>49</v>
      </c>
    </row>
    <row r="122" spans="1:10" x14ac:dyDescent="0.2">
      <c r="A122" s="9">
        <v>0</v>
      </c>
      <c r="B122" s="9">
        <v>22</v>
      </c>
      <c r="C122" s="9">
        <v>1</v>
      </c>
      <c r="D122" s="9">
        <v>1</v>
      </c>
      <c r="E122" s="9">
        <v>3</v>
      </c>
      <c r="F122" s="9">
        <v>17</v>
      </c>
      <c r="G122" s="9">
        <v>18.600000000000001</v>
      </c>
      <c r="H122" s="9">
        <v>0.81</v>
      </c>
      <c r="I122" s="9">
        <v>2.36</v>
      </c>
      <c r="J122" s="7" t="s">
        <v>49</v>
      </c>
    </row>
    <row r="123" spans="1:10" x14ac:dyDescent="0.2">
      <c r="A123" s="9">
        <v>0</v>
      </c>
      <c r="B123" s="9">
        <v>31</v>
      </c>
      <c r="C123" s="9">
        <v>1</v>
      </c>
      <c r="D123" s="9">
        <v>5</v>
      </c>
      <c r="E123" s="9">
        <v>3</v>
      </c>
      <c r="F123" s="9">
        <v>25</v>
      </c>
      <c r="G123" s="9">
        <v>14.1</v>
      </c>
      <c r="H123" s="9">
        <v>1.18</v>
      </c>
      <c r="I123" s="9">
        <v>2.35</v>
      </c>
      <c r="J123" s="7" t="s">
        <v>49</v>
      </c>
    </row>
    <row r="124" spans="1:10" x14ac:dyDescent="0.2">
      <c r="A124" s="9">
        <v>0</v>
      </c>
      <c r="B124" s="9">
        <v>23</v>
      </c>
      <c r="C124" s="9">
        <v>1</v>
      </c>
      <c r="D124" s="9">
        <v>7</v>
      </c>
      <c r="E124" s="9">
        <v>3</v>
      </c>
      <c r="F124" s="9">
        <v>22</v>
      </c>
      <c r="G124" s="9">
        <v>14.4</v>
      </c>
      <c r="H124" s="9">
        <v>0.85</v>
      </c>
      <c r="I124" s="9">
        <v>2.3199999999999998</v>
      </c>
      <c r="J124" s="7" t="s">
        <v>49</v>
      </c>
    </row>
    <row r="125" spans="1:10" x14ac:dyDescent="0.2">
      <c r="A125" s="9">
        <v>1</v>
      </c>
      <c r="B125" s="9">
        <v>36</v>
      </c>
      <c r="C125" s="9">
        <v>1</v>
      </c>
      <c r="D125" s="9">
        <v>10</v>
      </c>
      <c r="E125" s="9">
        <v>0</v>
      </c>
      <c r="F125" s="9">
        <v>28</v>
      </c>
      <c r="G125" s="9">
        <v>11.2</v>
      </c>
      <c r="H125" s="9">
        <v>0.82</v>
      </c>
      <c r="I125" s="9">
        <v>2.3199999999999998</v>
      </c>
      <c r="J125" s="7" t="s">
        <v>49</v>
      </c>
    </row>
    <row r="126" spans="1:10" x14ac:dyDescent="0.2">
      <c r="A126" s="9">
        <v>0</v>
      </c>
      <c r="B126" s="9">
        <v>29</v>
      </c>
      <c r="C126" s="9">
        <v>1</v>
      </c>
      <c r="D126" s="9">
        <v>1</v>
      </c>
      <c r="E126" s="9">
        <v>8</v>
      </c>
      <c r="F126" s="9">
        <v>31</v>
      </c>
      <c r="G126" s="9">
        <v>8</v>
      </c>
      <c r="H126" s="9">
        <v>0.16</v>
      </c>
      <c r="I126" s="9">
        <v>2.3199999999999998</v>
      </c>
      <c r="J126" s="7" t="s">
        <v>49</v>
      </c>
    </row>
    <row r="127" spans="1:10" x14ac:dyDescent="0.2">
      <c r="A127" s="9">
        <v>0</v>
      </c>
      <c r="B127" s="9">
        <v>40</v>
      </c>
      <c r="C127" s="9">
        <v>2</v>
      </c>
      <c r="D127" s="9">
        <v>8</v>
      </c>
      <c r="E127" s="9">
        <v>19</v>
      </c>
      <c r="F127" s="9">
        <v>57</v>
      </c>
      <c r="G127" s="9">
        <v>5.6</v>
      </c>
      <c r="H127" s="9">
        <v>0.88</v>
      </c>
      <c r="I127" s="9">
        <v>2.31</v>
      </c>
      <c r="J127" s="7" t="s">
        <v>49</v>
      </c>
    </row>
    <row r="128" spans="1:10" x14ac:dyDescent="0.2">
      <c r="A128" s="9">
        <v>0</v>
      </c>
      <c r="B128" s="9">
        <v>32</v>
      </c>
      <c r="C128" s="9">
        <v>1</v>
      </c>
      <c r="D128" s="9">
        <v>10</v>
      </c>
      <c r="E128" s="9">
        <v>11</v>
      </c>
      <c r="F128" s="9">
        <v>42</v>
      </c>
      <c r="G128" s="9">
        <v>9.1</v>
      </c>
      <c r="H128" s="9">
        <v>1.54</v>
      </c>
      <c r="I128" s="9">
        <v>2.2799999999999998</v>
      </c>
      <c r="J128" s="7" t="s">
        <v>49</v>
      </c>
    </row>
    <row r="129" spans="1:10" x14ac:dyDescent="0.2">
      <c r="A129" s="9">
        <v>0</v>
      </c>
      <c r="B129" s="9">
        <v>36</v>
      </c>
      <c r="C129" s="9">
        <v>1</v>
      </c>
      <c r="D129" s="9">
        <v>18</v>
      </c>
      <c r="E129" s="9">
        <v>9</v>
      </c>
      <c r="F129" s="9">
        <v>67</v>
      </c>
      <c r="G129" s="9">
        <v>11.2</v>
      </c>
      <c r="H129" s="9">
        <v>5.25</v>
      </c>
      <c r="I129" s="9">
        <v>2.2599999999999998</v>
      </c>
      <c r="J129" s="7" t="s">
        <v>49</v>
      </c>
    </row>
    <row r="130" spans="1:10" x14ac:dyDescent="0.2">
      <c r="A130" s="9">
        <v>0</v>
      </c>
      <c r="B130" s="9">
        <v>46</v>
      </c>
      <c r="C130" s="9">
        <v>1</v>
      </c>
      <c r="D130" s="9">
        <v>14</v>
      </c>
      <c r="E130" s="9">
        <v>25</v>
      </c>
      <c r="F130" s="9">
        <v>35</v>
      </c>
      <c r="G130" s="9">
        <v>10.199999999999999</v>
      </c>
      <c r="H130" s="9">
        <v>1.35</v>
      </c>
      <c r="I130" s="9">
        <v>2.2200000000000002</v>
      </c>
      <c r="J130" s="7" t="s">
        <v>49</v>
      </c>
    </row>
    <row r="131" spans="1:10" x14ac:dyDescent="0.2">
      <c r="A131" s="9">
        <v>0</v>
      </c>
      <c r="B131" s="9">
        <v>22</v>
      </c>
      <c r="C131" s="9">
        <v>1</v>
      </c>
      <c r="D131" s="9">
        <v>4</v>
      </c>
      <c r="E131" s="9">
        <v>3</v>
      </c>
      <c r="F131" s="9">
        <v>14</v>
      </c>
      <c r="G131" s="9">
        <v>17.5</v>
      </c>
      <c r="H131" s="9">
        <v>0.23</v>
      </c>
      <c r="I131" s="9">
        <v>2.2200000000000002</v>
      </c>
      <c r="J131" s="7" t="s">
        <v>49</v>
      </c>
    </row>
    <row r="132" spans="1:10" x14ac:dyDescent="0.2">
      <c r="A132" s="9">
        <v>0</v>
      </c>
      <c r="B132" s="9">
        <v>45</v>
      </c>
      <c r="C132" s="9">
        <v>1</v>
      </c>
      <c r="D132" s="9">
        <v>12</v>
      </c>
      <c r="E132" s="9">
        <v>19</v>
      </c>
      <c r="F132" s="9">
        <v>37</v>
      </c>
      <c r="G132" s="9">
        <v>9.5</v>
      </c>
      <c r="H132" s="9">
        <v>1.34</v>
      </c>
      <c r="I132" s="9">
        <v>2.17</v>
      </c>
      <c r="J132" s="7" t="s">
        <v>49</v>
      </c>
    </row>
    <row r="133" spans="1:10" x14ac:dyDescent="0.2">
      <c r="A133" s="9">
        <v>0</v>
      </c>
      <c r="B133" s="9">
        <v>40</v>
      </c>
      <c r="C133" s="9">
        <v>1</v>
      </c>
      <c r="D133" s="9">
        <v>15</v>
      </c>
      <c r="E133" s="9">
        <v>14</v>
      </c>
      <c r="F133" s="9">
        <v>55</v>
      </c>
      <c r="G133" s="9">
        <v>5.5</v>
      </c>
      <c r="H133" s="9">
        <v>0.86</v>
      </c>
      <c r="I133" s="9">
        <v>2.17</v>
      </c>
      <c r="J133" s="7" t="s">
        <v>49</v>
      </c>
    </row>
    <row r="134" spans="1:10" x14ac:dyDescent="0.2">
      <c r="A134" s="9">
        <v>0</v>
      </c>
      <c r="B134" s="9">
        <v>41</v>
      </c>
      <c r="C134" s="9">
        <v>2</v>
      </c>
      <c r="D134" s="9">
        <v>5</v>
      </c>
      <c r="E134" s="9">
        <v>5</v>
      </c>
      <c r="F134" s="9">
        <v>25</v>
      </c>
      <c r="G134" s="9">
        <v>10.199999999999999</v>
      </c>
      <c r="H134" s="9">
        <v>0.39</v>
      </c>
      <c r="I134" s="9">
        <v>2.16</v>
      </c>
      <c r="J134" s="7" t="s">
        <v>49</v>
      </c>
    </row>
    <row r="135" spans="1:10" x14ac:dyDescent="0.2">
      <c r="A135" s="9">
        <v>0</v>
      </c>
      <c r="B135" s="9">
        <v>36</v>
      </c>
      <c r="C135" s="9">
        <v>1</v>
      </c>
      <c r="D135" s="9">
        <v>0</v>
      </c>
      <c r="E135" s="9">
        <v>13</v>
      </c>
      <c r="F135" s="9">
        <v>25</v>
      </c>
      <c r="G135" s="9">
        <v>19.7</v>
      </c>
      <c r="H135" s="9">
        <v>2.78</v>
      </c>
      <c r="I135" s="9">
        <v>2.15</v>
      </c>
      <c r="J135" s="7" t="s">
        <v>49</v>
      </c>
    </row>
    <row r="136" spans="1:10" x14ac:dyDescent="0.2">
      <c r="A136" s="9">
        <v>0</v>
      </c>
      <c r="B136" s="9">
        <v>31</v>
      </c>
      <c r="C136" s="9">
        <v>4</v>
      </c>
      <c r="D136" s="9">
        <v>1</v>
      </c>
      <c r="E136" s="9">
        <v>6</v>
      </c>
      <c r="F136" s="9">
        <v>29</v>
      </c>
      <c r="G136" s="9">
        <v>11.1</v>
      </c>
      <c r="H136" s="9">
        <v>1.07</v>
      </c>
      <c r="I136" s="9">
        <v>2.15</v>
      </c>
      <c r="J136" s="7" t="s">
        <v>49</v>
      </c>
    </row>
    <row r="137" spans="1:10" x14ac:dyDescent="0.2">
      <c r="A137" s="9">
        <v>1</v>
      </c>
      <c r="B137" s="9">
        <v>21</v>
      </c>
      <c r="C137" s="9">
        <v>2</v>
      </c>
      <c r="D137" s="9">
        <v>0</v>
      </c>
      <c r="E137" s="9">
        <v>2</v>
      </c>
      <c r="F137" s="9">
        <v>21</v>
      </c>
      <c r="G137" s="9">
        <v>12.5</v>
      </c>
      <c r="H137" s="9">
        <v>0.49</v>
      </c>
      <c r="I137" s="9">
        <v>2.14</v>
      </c>
      <c r="J137" s="7" t="s">
        <v>49</v>
      </c>
    </row>
    <row r="138" spans="1:10" x14ac:dyDescent="0.2">
      <c r="A138" s="9">
        <v>0</v>
      </c>
      <c r="B138" s="9">
        <v>30</v>
      </c>
      <c r="C138" s="9">
        <v>2</v>
      </c>
      <c r="D138" s="9">
        <v>10</v>
      </c>
      <c r="E138" s="9">
        <v>4</v>
      </c>
      <c r="F138" s="9">
        <v>22</v>
      </c>
      <c r="G138" s="9">
        <v>16.100000000000001</v>
      </c>
      <c r="H138" s="9">
        <v>1.41</v>
      </c>
      <c r="I138" s="9">
        <v>2.13</v>
      </c>
      <c r="J138" s="7" t="s">
        <v>49</v>
      </c>
    </row>
    <row r="139" spans="1:10" x14ac:dyDescent="0.2">
      <c r="A139" s="9">
        <v>0</v>
      </c>
      <c r="B139" s="9">
        <v>31</v>
      </c>
      <c r="C139" s="9">
        <v>1</v>
      </c>
      <c r="D139" s="9">
        <v>11</v>
      </c>
      <c r="E139" s="9">
        <v>8</v>
      </c>
      <c r="F139" s="9">
        <v>25</v>
      </c>
      <c r="G139" s="9">
        <v>9.1</v>
      </c>
      <c r="H139" s="9">
        <v>0.14000000000000001</v>
      </c>
      <c r="I139" s="9">
        <v>2.13</v>
      </c>
      <c r="J139" s="7" t="s">
        <v>49</v>
      </c>
    </row>
    <row r="140" spans="1:10" x14ac:dyDescent="0.2">
      <c r="A140" s="9">
        <v>1</v>
      </c>
      <c r="B140" s="9">
        <v>22</v>
      </c>
      <c r="C140" s="9">
        <v>1</v>
      </c>
      <c r="D140" s="9">
        <v>4</v>
      </c>
      <c r="E140" s="9">
        <v>2</v>
      </c>
      <c r="F140" s="9">
        <v>24</v>
      </c>
      <c r="G140" s="9">
        <v>15.6</v>
      </c>
      <c r="H140" s="9">
        <v>1.64</v>
      </c>
      <c r="I140" s="9">
        <v>2.11</v>
      </c>
      <c r="J140" s="7" t="s">
        <v>49</v>
      </c>
    </row>
    <row r="141" spans="1:10" x14ac:dyDescent="0.2">
      <c r="A141" s="9">
        <v>0</v>
      </c>
      <c r="B141" s="9">
        <v>40</v>
      </c>
      <c r="C141" s="9">
        <v>2</v>
      </c>
      <c r="D141" s="9">
        <v>3</v>
      </c>
      <c r="E141" s="9">
        <v>2</v>
      </c>
      <c r="F141" s="9">
        <v>28</v>
      </c>
      <c r="G141" s="9">
        <v>9.5</v>
      </c>
      <c r="H141" s="9">
        <v>0.55000000000000004</v>
      </c>
      <c r="I141" s="9">
        <v>2.11</v>
      </c>
      <c r="J141" s="7" t="s">
        <v>49</v>
      </c>
    </row>
    <row r="142" spans="1:10" x14ac:dyDescent="0.2">
      <c r="A142" s="9">
        <v>0</v>
      </c>
      <c r="B142" s="9">
        <v>30</v>
      </c>
      <c r="C142" s="9">
        <v>1</v>
      </c>
      <c r="D142" s="9">
        <v>11</v>
      </c>
      <c r="E142" s="9">
        <v>1</v>
      </c>
      <c r="F142" s="9">
        <v>33</v>
      </c>
      <c r="G142" s="9">
        <v>8.4</v>
      </c>
      <c r="H142" s="9">
        <v>0.68</v>
      </c>
      <c r="I142" s="9">
        <v>2.09</v>
      </c>
      <c r="J142" s="7" t="s">
        <v>49</v>
      </c>
    </row>
    <row r="143" spans="1:10" x14ac:dyDescent="0.2">
      <c r="A143" s="9">
        <v>1</v>
      </c>
      <c r="B143" s="9">
        <v>24</v>
      </c>
      <c r="C143" s="9">
        <v>2</v>
      </c>
      <c r="D143" s="9">
        <v>0</v>
      </c>
      <c r="E143" s="9">
        <v>2</v>
      </c>
      <c r="F143" s="9">
        <v>15</v>
      </c>
      <c r="G143" s="9">
        <v>16.100000000000001</v>
      </c>
      <c r="H143" s="9">
        <v>0.32</v>
      </c>
      <c r="I143" s="9">
        <v>2.09</v>
      </c>
      <c r="J143" s="7" t="s">
        <v>49</v>
      </c>
    </row>
    <row r="144" spans="1:10" x14ac:dyDescent="0.2">
      <c r="A144" s="9">
        <v>0</v>
      </c>
      <c r="B144" s="9">
        <v>31</v>
      </c>
      <c r="C144" s="9">
        <v>1</v>
      </c>
      <c r="D144" s="9">
        <v>15</v>
      </c>
      <c r="E144" s="9">
        <v>2</v>
      </c>
      <c r="F144" s="9">
        <v>60</v>
      </c>
      <c r="G144" s="9">
        <v>4.8</v>
      </c>
      <c r="H144" s="9">
        <v>0.8</v>
      </c>
      <c r="I144" s="9">
        <v>2.08</v>
      </c>
      <c r="J144" s="7" t="s">
        <v>49</v>
      </c>
    </row>
    <row r="145" spans="1:10" x14ac:dyDescent="0.2">
      <c r="A145" s="9">
        <v>0</v>
      </c>
      <c r="B145" s="9">
        <v>34</v>
      </c>
      <c r="C145" s="9">
        <v>2</v>
      </c>
      <c r="D145" s="9">
        <v>8</v>
      </c>
      <c r="E145" s="9">
        <v>6</v>
      </c>
      <c r="F145" s="9">
        <v>78</v>
      </c>
      <c r="G145" s="9">
        <v>5.4</v>
      </c>
      <c r="H145" s="9">
        <v>2.16</v>
      </c>
      <c r="I145" s="9">
        <v>2.06</v>
      </c>
      <c r="J145" s="7" t="s">
        <v>49</v>
      </c>
    </row>
    <row r="146" spans="1:10" x14ac:dyDescent="0.2">
      <c r="A146" s="9">
        <v>0</v>
      </c>
      <c r="B146" s="9">
        <v>29</v>
      </c>
      <c r="C146" s="9">
        <v>2</v>
      </c>
      <c r="D146" s="9">
        <v>1</v>
      </c>
      <c r="E146" s="9">
        <v>7</v>
      </c>
      <c r="F146" s="9">
        <v>25</v>
      </c>
      <c r="G146" s="9">
        <v>10.4</v>
      </c>
      <c r="H146" s="9">
        <v>0.56999999999999995</v>
      </c>
      <c r="I146" s="9">
        <v>2.0299999999999998</v>
      </c>
      <c r="J146" s="7" t="s">
        <v>49</v>
      </c>
    </row>
    <row r="147" spans="1:10" x14ac:dyDescent="0.2">
      <c r="A147" s="9">
        <v>0</v>
      </c>
      <c r="B147" s="9">
        <v>28</v>
      </c>
      <c r="C147" s="9">
        <v>2</v>
      </c>
      <c r="D147" s="9">
        <v>7</v>
      </c>
      <c r="E147" s="9">
        <v>2</v>
      </c>
      <c r="F147" s="9">
        <v>34</v>
      </c>
      <c r="G147" s="9">
        <v>7</v>
      </c>
      <c r="H147" s="9">
        <v>0.36</v>
      </c>
      <c r="I147" s="9">
        <v>2.02</v>
      </c>
      <c r="J147" s="7" t="s">
        <v>49</v>
      </c>
    </row>
    <row r="148" spans="1:10" x14ac:dyDescent="0.2">
      <c r="A148" s="9">
        <v>0</v>
      </c>
      <c r="B148" s="9">
        <v>25</v>
      </c>
      <c r="C148" s="9">
        <v>1</v>
      </c>
      <c r="D148" s="9">
        <v>5</v>
      </c>
      <c r="E148" s="9">
        <v>5</v>
      </c>
      <c r="F148" s="9">
        <v>22</v>
      </c>
      <c r="G148" s="9">
        <v>10.9</v>
      </c>
      <c r="H148" s="9">
        <v>0.4</v>
      </c>
      <c r="I148" s="9">
        <v>2</v>
      </c>
      <c r="J148" s="7" t="s">
        <v>49</v>
      </c>
    </row>
    <row r="149" spans="1:10" x14ac:dyDescent="0.2">
      <c r="A149" s="9">
        <v>0</v>
      </c>
      <c r="B149" s="9">
        <v>46</v>
      </c>
      <c r="C149" s="9">
        <v>1</v>
      </c>
      <c r="D149" s="9">
        <v>1</v>
      </c>
      <c r="E149" s="9">
        <v>12</v>
      </c>
      <c r="F149" s="9">
        <v>20</v>
      </c>
      <c r="G149" s="9">
        <v>14</v>
      </c>
      <c r="H149" s="9">
        <v>0.81</v>
      </c>
      <c r="I149" s="9">
        <v>1.99</v>
      </c>
      <c r="J149" s="7" t="s">
        <v>49</v>
      </c>
    </row>
    <row r="150" spans="1:10" x14ac:dyDescent="0.2">
      <c r="A150" s="9">
        <v>0</v>
      </c>
      <c r="B150" s="9">
        <v>37</v>
      </c>
      <c r="C150" s="9">
        <v>2</v>
      </c>
      <c r="D150" s="9">
        <v>11</v>
      </c>
      <c r="E150" s="9">
        <v>4</v>
      </c>
      <c r="F150" s="9">
        <v>75</v>
      </c>
      <c r="G150" s="9">
        <v>3.5</v>
      </c>
      <c r="H150" s="9">
        <v>0.63</v>
      </c>
      <c r="I150" s="9">
        <v>1.99</v>
      </c>
      <c r="J150" s="7" t="s">
        <v>49</v>
      </c>
    </row>
    <row r="151" spans="1:10" x14ac:dyDescent="0.2">
      <c r="A151" s="9">
        <v>1</v>
      </c>
      <c r="B151" s="9">
        <v>41</v>
      </c>
      <c r="C151" s="9">
        <v>3</v>
      </c>
      <c r="D151" s="9">
        <v>2</v>
      </c>
      <c r="E151" s="9">
        <v>0</v>
      </c>
      <c r="F151" s="9">
        <v>15</v>
      </c>
      <c r="G151" s="9">
        <v>26.3</v>
      </c>
      <c r="H151" s="9">
        <v>1.96</v>
      </c>
      <c r="I151" s="9">
        <v>1.98</v>
      </c>
      <c r="J151" s="7" t="s">
        <v>49</v>
      </c>
    </row>
    <row r="152" spans="1:10" x14ac:dyDescent="0.2">
      <c r="A152" s="9">
        <v>0</v>
      </c>
      <c r="B152" s="9">
        <v>37</v>
      </c>
      <c r="C152" s="9">
        <v>1</v>
      </c>
      <c r="D152" s="9">
        <v>4</v>
      </c>
      <c r="E152" s="9">
        <v>0</v>
      </c>
      <c r="F152" s="9">
        <v>23</v>
      </c>
      <c r="G152" s="9">
        <v>12.4</v>
      </c>
      <c r="H152" s="9">
        <v>0.87</v>
      </c>
      <c r="I152" s="9">
        <v>1.98</v>
      </c>
      <c r="J152" s="7" t="s">
        <v>49</v>
      </c>
    </row>
    <row r="153" spans="1:10" x14ac:dyDescent="0.2">
      <c r="A153" s="9">
        <v>0</v>
      </c>
      <c r="B153" s="9">
        <v>28</v>
      </c>
      <c r="C153" s="9">
        <v>2</v>
      </c>
      <c r="D153" s="9">
        <v>6</v>
      </c>
      <c r="E153" s="9">
        <v>7</v>
      </c>
      <c r="F153" s="9">
        <v>38</v>
      </c>
      <c r="G153" s="9">
        <v>7.2</v>
      </c>
      <c r="H153" s="9">
        <v>0.77</v>
      </c>
      <c r="I153" s="9">
        <v>1.96</v>
      </c>
      <c r="J153" s="7" t="s">
        <v>49</v>
      </c>
    </row>
    <row r="154" spans="1:10" x14ac:dyDescent="0.2">
      <c r="A154" s="9">
        <v>0</v>
      </c>
      <c r="B154" s="9">
        <v>28</v>
      </c>
      <c r="C154" s="9">
        <v>2</v>
      </c>
      <c r="D154" s="9">
        <v>5</v>
      </c>
      <c r="E154" s="9">
        <v>2</v>
      </c>
      <c r="F154" s="9">
        <v>37</v>
      </c>
      <c r="G154" s="9">
        <v>8.3000000000000007</v>
      </c>
      <c r="H154" s="9">
        <v>1.1200000000000001</v>
      </c>
      <c r="I154" s="9">
        <v>1.95</v>
      </c>
      <c r="J154" s="7" t="s">
        <v>49</v>
      </c>
    </row>
    <row r="155" spans="1:10" x14ac:dyDescent="0.2">
      <c r="A155" s="9">
        <v>0</v>
      </c>
      <c r="B155" s="9">
        <v>39</v>
      </c>
      <c r="C155" s="9">
        <v>1</v>
      </c>
      <c r="D155" s="9">
        <v>22</v>
      </c>
      <c r="E155" s="9">
        <v>9</v>
      </c>
      <c r="F155" s="9">
        <v>113</v>
      </c>
      <c r="G155" s="9">
        <v>2.6</v>
      </c>
      <c r="H155" s="9">
        <v>0.99</v>
      </c>
      <c r="I155" s="9">
        <v>1.95</v>
      </c>
      <c r="J155" s="7" t="s">
        <v>49</v>
      </c>
    </row>
    <row r="156" spans="1:10" x14ac:dyDescent="0.2">
      <c r="A156" s="9">
        <v>0</v>
      </c>
      <c r="B156" s="9">
        <v>39</v>
      </c>
      <c r="C156" s="9">
        <v>1</v>
      </c>
      <c r="D156" s="9">
        <v>4</v>
      </c>
      <c r="E156" s="9">
        <v>15</v>
      </c>
      <c r="F156" s="9">
        <v>33</v>
      </c>
      <c r="G156" s="9">
        <v>7</v>
      </c>
      <c r="H156" s="9">
        <v>0.4</v>
      </c>
      <c r="I156" s="9">
        <v>1.91</v>
      </c>
      <c r="J156" s="7" t="s">
        <v>49</v>
      </c>
    </row>
    <row r="157" spans="1:10" x14ac:dyDescent="0.2">
      <c r="A157" s="9">
        <v>0</v>
      </c>
      <c r="B157" s="9">
        <v>41</v>
      </c>
      <c r="C157" s="9">
        <v>2</v>
      </c>
      <c r="D157" s="9">
        <v>2</v>
      </c>
      <c r="E157" s="9">
        <v>22</v>
      </c>
      <c r="F157" s="9">
        <v>30</v>
      </c>
      <c r="G157" s="9">
        <v>6.7</v>
      </c>
      <c r="H157" s="9">
        <v>0.11</v>
      </c>
      <c r="I157" s="9">
        <v>1.9</v>
      </c>
      <c r="J157" s="7" t="s">
        <v>49</v>
      </c>
    </row>
    <row r="158" spans="1:10" x14ac:dyDescent="0.2">
      <c r="A158" s="9">
        <v>0</v>
      </c>
      <c r="B158" s="9">
        <v>45</v>
      </c>
      <c r="C158" s="9">
        <v>1</v>
      </c>
      <c r="D158" s="9">
        <v>10</v>
      </c>
      <c r="E158" s="9">
        <v>14</v>
      </c>
      <c r="F158" s="9">
        <v>52</v>
      </c>
      <c r="G158" s="9">
        <v>5.4</v>
      </c>
      <c r="H158" s="9">
        <v>0.93</v>
      </c>
      <c r="I158" s="9">
        <v>1.88</v>
      </c>
      <c r="J158" s="7" t="s">
        <v>49</v>
      </c>
    </row>
    <row r="159" spans="1:10" x14ac:dyDescent="0.2">
      <c r="A159" s="9">
        <v>0</v>
      </c>
      <c r="B159" s="9">
        <v>28</v>
      </c>
      <c r="C159" s="9">
        <v>2</v>
      </c>
      <c r="D159" s="9">
        <v>6</v>
      </c>
      <c r="E159" s="9">
        <v>9</v>
      </c>
      <c r="F159" s="9">
        <v>22</v>
      </c>
      <c r="G159" s="9">
        <v>11.5</v>
      </c>
      <c r="H159" s="9">
        <v>0.65</v>
      </c>
      <c r="I159" s="9">
        <v>1.88</v>
      </c>
      <c r="J159" s="7" t="s">
        <v>49</v>
      </c>
    </row>
    <row r="160" spans="1:10" x14ac:dyDescent="0.2">
      <c r="A160" s="9">
        <v>0</v>
      </c>
      <c r="B160" s="9">
        <v>21</v>
      </c>
      <c r="C160" s="9">
        <v>1</v>
      </c>
      <c r="D160" s="9">
        <v>5</v>
      </c>
      <c r="E160" s="9">
        <v>1</v>
      </c>
      <c r="F160" s="9">
        <v>25</v>
      </c>
      <c r="G160" s="9">
        <v>9</v>
      </c>
      <c r="H160" s="9">
        <v>0.37</v>
      </c>
      <c r="I160" s="9">
        <v>1.88</v>
      </c>
      <c r="J160" s="7" t="s">
        <v>49</v>
      </c>
    </row>
    <row r="161" spans="1:10" x14ac:dyDescent="0.2">
      <c r="A161" s="9">
        <v>0</v>
      </c>
      <c r="B161" s="9">
        <v>50</v>
      </c>
      <c r="C161" s="9">
        <v>1</v>
      </c>
      <c r="D161" s="9">
        <v>1</v>
      </c>
      <c r="E161" s="9">
        <v>26</v>
      </c>
      <c r="F161" s="9">
        <v>26</v>
      </c>
      <c r="G161" s="9">
        <v>14.3</v>
      </c>
      <c r="H161" s="9">
        <v>1.85</v>
      </c>
      <c r="I161" s="9">
        <v>1.87</v>
      </c>
      <c r="J161" s="7" t="s">
        <v>49</v>
      </c>
    </row>
    <row r="162" spans="1:10" x14ac:dyDescent="0.2">
      <c r="A162" s="9">
        <v>1</v>
      </c>
      <c r="B162" s="9">
        <v>31</v>
      </c>
      <c r="C162" s="9">
        <v>1</v>
      </c>
      <c r="D162" s="9">
        <v>2</v>
      </c>
      <c r="E162" s="9">
        <v>2</v>
      </c>
      <c r="F162" s="9">
        <v>22</v>
      </c>
      <c r="G162" s="9">
        <v>16.399999999999999</v>
      </c>
      <c r="H162" s="9">
        <v>1.74</v>
      </c>
      <c r="I162" s="9">
        <v>1.87</v>
      </c>
      <c r="J162" s="7" t="s">
        <v>49</v>
      </c>
    </row>
    <row r="163" spans="1:10" x14ac:dyDescent="0.2">
      <c r="A163" s="9">
        <v>1</v>
      </c>
      <c r="B163" s="9">
        <v>27</v>
      </c>
      <c r="C163" s="9">
        <v>2</v>
      </c>
      <c r="D163" s="9">
        <v>4</v>
      </c>
      <c r="E163" s="9">
        <v>3</v>
      </c>
      <c r="F163" s="9">
        <v>22</v>
      </c>
      <c r="G163" s="9">
        <v>13.2</v>
      </c>
      <c r="H163" s="9">
        <v>1.0900000000000001</v>
      </c>
      <c r="I163" s="9">
        <v>1.82</v>
      </c>
      <c r="J163" s="7" t="s">
        <v>49</v>
      </c>
    </row>
    <row r="164" spans="1:10" x14ac:dyDescent="0.2">
      <c r="A164" s="9">
        <v>0</v>
      </c>
      <c r="B164" s="9">
        <v>47</v>
      </c>
      <c r="C164" s="9">
        <v>1</v>
      </c>
      <c r="D164" s="9">
        <v>17</v>
      </c>
      <c r="E164" s="9">
        <v>21</v>
      </c>
      <c r="F164" s="9">
        <v>43</v>
      </c>
      <c r="G164" s="9">
        <v>5.6</v>
      </c>
      <c r="H164" s="9">
        <v>0.59</v>
      </c>
      <c r="I164" s="9">
        <v>1.82</v>
      </c>
      <c r="J164" s="7" t="s">
        <v>49</v>
      </c>
    </row>
    <row r="165" spans="1:10" x14ac:dyDescent="0.2">
      <c r="A165" s="9">
        <v>0</v>
      </c>
      <c r="B165" s="9">
        <v>46</v>
      </c>
      <c r="C165" s="9">
        <v>1</v>
      </c>
      <c r="D165" s="9">
        <v>6</v>
      </c>
      <c r="E165" s="9">
        <v>19</v>
      </c>
      <c r="F165" s="9">
        <v>31</v>
      </c>
      <c r="G165" s="9">
        <v>12.2</v>
      </c>
      <c r="H165" s="9">
        <v>1.99</v>
      </c>
      <c r="I165" s="9">
        <v>1.8</v>
      </c>
      <c r="J165" s="7" t="s">
        <v>49</v>
      </c>
    </row>
    <row r="166" spans="1:10" x14ac:dyDescent="0.2">
      <c r="A166" s="9">
        <v>0</v>
      </c>
      <c r="B166" s="9">
        <v>31</v>
      </c>
      <c r="C166" s="9">
        <v>1</v>
      </c>
      <c r="D166" s="9">
        <v>8</v>
      </c>
      <c r="E166" s="9">
        <v>4</v>
      </c>
      <c r="F166" s="9">
        <v>44</v>
      </c>
      <c r="G166" s="9">
        <v>8</v>
      </c>
      <c r="H166" s="9">
        <v>1.72</v>
      </c>
      <c r="I166" s="9">
        <v>1.8</v>
      </c>
      <c r="J166" s="7" t="s">
        <v>49</v>
      </c>
    </row>
    <row r="167" spans="1:10" x14ac:dyDescent="0.2">
      <c r="A167" s="9">
        <v>1</v>
      </c>
      <c r="B167" s="9">
        <v>29</v>
      </c>
      <c r="C167" s="9">
        <v>2</v>
      </c>
      <c r="D167" s="9">
        <v>0</v>
      </c>
      <c r="E167" s="9">
        <v>8</v>
      </c>
      <c r="F167" s="9">
        <v>22</v>
      </c>
      <c r="G167" s="9">
        <v>12.9</v>
      </c>
      <c r="H167" s="9">
        <v>1.04</v>
      </c>
      <c r="I167" s="9">
        <v>1.8</v>
      </c>
      <c r="J167" s="7" t="s">
        <v>49</v>
      </c>
    </row>
    <row r="168" spans="1:10" x14ac:dyDescent="0.2">
      <c r="A168" s="9">
        <v>0</v>
      </c>
      <c r="B168" s="9">
        <v>27</v>
      </c>
      <c r="C168" s="9">
        <v>3</v>
      </c>
      <c r="D168" s="9">
        <v>6</v>
      </c>
      <c r="E168" s="9">
        <v>4</v>
      </c>
      <c r="F168" s="9">
        <v>26</v>
      </c>
      <c r="G168" s="9">
        <v>10.4</v>
      </c>
      <c r="H168" s="9">
        <v>0.93</v>
      </c>
      <c r="I168" s="9">
        <v>1.77</v>
      </c>
      <c r="J168" s="7" t="s">
        <v>49</v>
      </c>
    </row>
    <row r="169" spans="1:10" x14ac:dyDescent="0.2">
      <c r="A169" s="9">
        <v>0</v>
      </c>
      <c r="B169" s="9">
        <v>27</v>
      </c>
      <c r="C169" s="9">
        <v>2</v>
      </c>
      <c r="D169" s="9">
        <v>8</v>
      </c>
      <c r="E169" s="9">
        <v>7</v>
      </c>
      <c r="F169" s="9">
        <v>18</v>
      </c>
      <c r="G169" s="9">
        <v>11.9</v>
      </c>
      <c r="H169" s="9">
        <v>0.4</v>
      </c>
      <c r="I169" s="9">
        <v>1.74</v>
      </c>
      <c r="J169" s="7" t="s">
        <v>49</v>
      </c>
    </row>
    <row r="170" spans="1:10" x14ac:dyDescent="0.2">
      <c r="A170" s="9">
        <v>0</v>
      </c>
      <c r="B170" s="9">
        <v>30</v>
      </c>
      <c r="C170" s="9">
        <v>1</v>
      </c>
      <c r="D170" s="9">
        <v>0</v>
      </c>
      <c r="E170" s="9">
        <v>11</v>
      </c>
      <c r="F170" s="9">
        <v>17</v>
      </c>
      <c r="G170" s="9">
        <v>12</v>
      </c>
      <c r="H170" s="9">
        <v>0.3</v>
      </c>
      <c r="I170" s="9">
        <v>1.74</v>
      </c>
      <c r="J170" s="7" t="s">
        <v>49</v>
      </c>
    </row>
    <row r="171" spans="1:10" x14ac:dyDescent="0.2">
      <c r="A171" s="9">
        <v>1</v>
      </c>
      <c r="B171" s="9">
        <v>46</v>
      </c>
      <c r="C171" s="9">
        <v>1</v>
      </c>
      <c r="D171" s="9">
        <v>1</v>
      </c>
      <c r="E171" s="9">
        <v>15</v>
      </c>
      <c r="F171" s="9">
        <v>21</v>
      </c>
      <c r="G171" s="9">
        <v>14.8</v>
      </c>
      <c r="H171" s="9">
        <v>1.38</v>
      </c>
      <c r="I171" s="9">
        <v>1.73</v>
      </c>
      <c r="J171" s="7" t="s">
        <v>49</v>
      </c>
    </row>
    <row r="172" spans="1:10" x14ac:dyDescent="0.2">
      <c r="A172" s="9">
        <v>0</v>
      </c>
      <c r="B172" s="9">
        <v>27</v>
      </c>
      <c r="C172" s="9">
        <v>1</v>
      </c>
      <c r="D172" s="9">
        <v>7</v>
      </c>
      <c r="E172" s="9">
        <v>4</v>
      </c>
      <c r="F172" s="9">
        <v>26</v>
      </c>
      <c r="G172" s="9">
        <v>9.1</v>
      </c>
      <c r="H172" s="9">
        <v>0.64</v>
      </c>
      <c r="I172" s="9">
        <v>1.72</v>
      </c>
      <c r="J172" s="7" t="s">
        <v>49</v>
      </c>
    </row>
    <row r="173" spans="1:10" x14ac:dyDescent="0.2">
      <c r="A173" s="9">
        <v>0</v>
      </c>
      <c r="B173" s="9">
        <v>23</v>
      </c>
      <c r="C173" s="9">
        <v>1</v>
      </c>
      <c r="D173" s="9">
        <v>7</v>
      </c>
      <c r="E173" s="9">
        <v>2</v>
      </c>
      <c r="F173" s="9">
        <v>31</v>
      </c>
      <c r="G173" s="9">
        <v>6.6</v>
      </c>
      <c r="H173" s="9">
        <v>0.34</v>
      </c>
      <c r="I173" s="9">
        <v>1.71</v>
      </c>
      <c r="J173" s="7" t="s">
        <v>49</v>
      </c>
    </row>
    <row r="174" spans="1:10" x14ac:dyDescent="0.2">
      <c r="A174" s="9">
        <v>1</v>
      </c>
      <c r="B174" s="9">
        <v>26</v>
      </c>
      <c r="C174" s="9">
        <v>2</v>
      </c>
      <c r="D174" s="9">
        <v>2</v>
      </c>
      <c r="E174" s="9">
        <v>6</v>
      </c>
      <c r="F174" s="9">
        <v>24</v>
      </c>
      <c r="G174" s="9">
        <v>13.6</v>
      </c>
      <c r="H174" s="9">
        <v>1.58</v>
      </c>
      <c r="I174" s="9">
        <v>1.69</v>
      </c>
      <c r="J174" s="7" t="s">
        <v>49</v>
      </c>
    </row>
    <row r="175" spans="1:10" x14ac:dyDescent="0.2">
      <c r="A175" s="9">
        <v>1</v>
      </c>
      <c r="B175" s="9">
        <v>27</v>
      </c>
      <c r="C175" s="9">
        <v>2</v>
      </c>
      <c r="D175" s="9">
        <v>1</v>
      </c>
      <c r="E175" s="9">
        <v>0</v>
      </c>
      <c r="F175" s="9">
        <v>20</v>
      </c>
      <c r="G175" s="9">
        <v>10.3</v>
      </c>
      <c r="H175" s="9">
        <v>0.38</v>
      </c>
      <c r="I175" s="9">
        <v>1.68</v>
      </c>
      <c r="J175" s="7" t="s">
        <v>49</v>
      </c>
    </row>
    <row r="176" spans="1:10" x14ac:dyDescent="0.2">
      <c r="A176" s="9">
        <v>0</v>
      </c>
      <c r="B176" s="9">
        <v>32</v>
      </c>
      <c r="C176" s="9">
        <v>1</v>
      </c>
      <c r="D176" s="9">
        <v>11</v>
      </c>
      <c r="E176" s="9">
        <v>2</v>
      </c>
      <c r="F176" s="9">
        <v>53</v>
      </c>
      <c r="G176" s="9">
        <v>3.3</v>
      </c>
      <c r="H176" s="9">
        <v>0.09</v>
      </c>
      <c r="I176" s="9">
        <v>1.66</v>
      </c>
      <c r="J176" s="7" t="s">
        <v>49</v>
      </c>
    </row>
    <row r="177" spans="1:10" x14ac:dyDescent="0.2">
      <c r="A177" s="9">
        <v>1</v>
      </c>
      <c r="B177" s="9">
        <v>29</v>
      </c>
      <c r="C177" s="9">
        <v>1</v>
      </c>
      <c r="D177" s="9">
        <v>13</v>
      </c>
      <c r="E177" s="9">
        <v>1</v>
      </c>
      <c r="F177" s="9">
        <v>42</v>
      </c>
      <c r="G177" s="9">
        <v>7.4</v>
      </c>
      <c r="H177" s="9">
        <v>1.46</v>
      </c>
      <c r="I177" s="9">
        <v>1.65</v>
      </c>
      <c r="J177" s="7" t="s">
        <v>49</v>
      </c>
    </row>
    <row r="178" spans="1:10" x14ac:dyDescent="0.2">
      <c r="A178" s="9">
        <v>0</v>
      </c>
      <c r="B178" s="9">
        <v>36</v>
      </c>
      <c r="C178" s="9">
        <v>1</v>
      </c>
      <c r="D178" s="9">
        <v>17</v>
      </c>
      <c r="E178" s="9">
        <v>6</v>
      </c>
      <c r="F178" s="9">
        <v>54</v>
      </c>
      <c r="G178" s="9">
        <v>4.4000000000000004</v>
      </c>
      <c r="H178" s="9">
        <v>0.73</v>
      </c>
      <c r="I178" s="9">
        <v>1.65</v>
      </c>
      <c r="J178" s="7" t="s">
        <v>49</v>
      </c>
    </row>
    <row r="179" spans="1:10" x14ac:dyDescent="0.2">
      <c r="A179" s="9">
        <v>0</v>
      </c>
      <c r="B179" s="9">
        <v>34</v>
      </c>
      <c r="C179" s="9">
        <v>1</v>
      </c>
      <c r="D179" s="9">
        <v>5</v>
      </c>
      <c r="E179" s="9">
        <v>3</v>
      </c>
      <c r="F179" s="9">
        <v>33</v>
      </c>
      <c r="G179" s="9">
        <v>7.3</v>
      </c>
      <c r="H179" s="9">
        <v>0.78</v>
      </c>
      <c r="I179" s="9">
        <v>1.63</v>
      </c>
      <c r="J179" s="7" t="s">
        <v>49</v>
      </c>
    </row>
    <row r="180" spans="1:10" x14ac:dyDescent="0.2">
      <c r="A180" s="9">
        <v>0</v>
      </c>
      <c r="B180" s="9">
        <v>35</v>
      </c>
      <c r="C180" s="9">
        <v>2</v>
      </c>
      <c r="D180" s="9">
        <v>9</v>
      </c>
      <c r="E180" s="9">
        <v>16</v>
      </c>
      <c r="F180" s="9">
        <v>30</v>
      </c>
      <c r="G180" s="9">
        <v>7.6</v>
      </c>
      <c r="H180" s="9">
        <v>0.65</v>
      </c>
      <c r="I180" s="9">
        <v>1.63</v>
      </c>
      <c r="J180" s="7" t="s">
        <v>49</v>
      </c>
    </row>
    <row r="181" spans="1:10" x14ac:dyDescent="0.2">
      <c r="A181" s="9">
        <v>1</v>
      </c>
      <c r="B181" s="9">
        <v>23</v>
      </c>
      <c r="C181" s="9">
        <v>2</v>
      </c>
      <c r="D181" s="9">
        <v>0</v>
      </c>
      <c r="E181" s="9">
        <v>2</v>
      </c>
      <c r="F181" s="9">
        <v>21</v>
      </c>
      <c r="G181" s="9">
        <v>11.4</v>
      </c>
      <c r="H181" s="9">
        <v>0.78</v>
      </c>
      <c r="I181" s="9">
        <v>1.62</v>
      </c>
      <c r="J181" s="7" t="s">
        <v>49</v>
      </c>
    </row>
    <row r="182" spans="1:10" x14ac:dyDescent="0.2">
      <c r="A182" s="9">
        <v>0</v>
      </c>
      <c r="B182" s="9">
        <v>29</v>
      </c>
      <c r="C182" s="9">
        <v>1</v>
      </c>
      <c r="D182" s="9">
        <v>7</v>
      </c>
      <c r="E182" s="9">
        <v>9</v>
      </c>
      <c r="F182" s="9">
        <v>22</v>
      </c>
      <c r="G182" s="9">
        <v>9.6999999999999993</v>
      </c>
      <c r="H182" s="9">
        <v>0.55000000000000004</v>
      </c>
      <c r="I182" s="9">
        <v>1.58</v>
      </c>
      <c r="J182" s="7" t="s">
        <v>49</v>
      </c>
    </row>
    <row r="183" spans="1:10" x14ac:dyDescent="0.2">
      <c r="A183" s="9">
        <v>0</v>
      </c>
      <c r="B183" s="9">
        <v>24</v>
      </c>
      <c r="C183" s="9">
        <v>2</v>
      </c>
      <c r="D183" s="9">
        <v>1</v>
      </c>
      <c r="E183" s="9">
        <v>2</v>
      </c>
      <c r="F183" s="9">
        <v>42</v>
      </c>
      <c r="G183" s="9">
        <v>5.7</v>
      </c>
      <c r="H183" s="9">
        <v>0.84</v>
      </c>
      <c r="I183" s="9">
        <v>1.56</v>
      </c>
      <c r="J183" s="7" t="s">
        <v>49</v>
      </c>
    </row>
    <row r="184" spans="1:10" x14ac:dyDescent="0.2">
      <c r="A184" s="9">
        <v>1</v>
      </c>
      <c r="B184" s="9">
        <v>38</v>
      </c>
      <c r="C184" s="9">
        <v>3</v>
      </c>
      <c r="D184" s="9">
        <v>4</v>
      </c>
      <c r="E184" s="9">
        <v>6</v>
      </c>
      <c r="F184" s="9">
        <v>31</v>
      </c>
      <c r="G184" s="9">
        <v>9.3000000000000007</v>
      </c>
      <c r="H184" s="9">
        <v>1.33</v>
      </c>
      <c r="I184" s="9">
        <v>1.55</v>
      </c>
      <c r="J184" s="7" t="s">
        <v>49</v>
      </c>
    </row>
    <row r="185" spans="1:10" x14ac:dyDescent="0.2">
      <c r="A185" s="9">
        <v>1</v>
      </c>
      <c r="B185" s="9">
        <v>24</v>
      </c>
      <c r="C185" s="9">
        <v>1</v>
      </c>
      <c r="D185" s="9">
        <v>0</v>
      </c>
      <c r="E185" s="9">
        <v>2</v>
      </c>
      <c r="F185" s="9">
        <v>16</v>
      </c>
      <c r="G185" s="9">
        <v>16</v>
      </c>
      <c r="H185" s="9">
        <v>1.01</v>
      </c>
      <c r="I185" s="9">
        <v>1.55</v>
      </c>
      <c r="J185" s="7" t="s">
        <v>49</v>
      </c>
    </row>
    <row r="186" spans="1:10" x14ac:dyDescent="0.2">
      <c r="A186" s="9">
        <v>0</v>
      </c>
      <c r="B186" s="9">
        <v>26</v>
      </c>
      <c r="C186" s="9">
        <v>1</v>
      </c>
      <c r="D186" s="9">
        <v>6</v>
      </c>
      <c r="E186" s="9">
        <v>0</v>
      </c>
      <c r="F186" s="9">
        <v>22</v>
      </c>
      <c r="G186" s="9">
        <v>10.3</v>
      </c>
      <c r="H186" s="9">
        <v>0.72</v>
      </c>
      <c r="I186" s="9">
        <v>1.55</v>
      </c>
      <c r="J186" s="7" t="s">
        <v>49</v>
      </c>
    </row>
    <row r="187" spans="1:10" x14ac:dyDescent="0.2">
      <c r="A187" s="9">
        <v>0</v>
      </c>
      <c r="B187" s="9">
        <v>45</v>
      </c>
      <c r="C187" s="9">
        <v>1</v>
      </c>
      <c r="D187" s="9">
        <v>23</v>
      </c>
      <c r="E187" s="9">
        <v>5</v>
      </c>
      <c r="F187" s="9">
        <v>50</v>
      </c>
      <c r="G187" s="9">
        <v>4.2</v>
      </c>
      <c r="H187" s="9">
        <v>0.56000000000000005</v>
      </c>
      <c r="I187" s="9">
        <v>1.54</v>
      </c>
      <c r="J187" s="7" t="s">
        <v>49</v>
      </c>
    </row>
    <row r="188" spans="1:10" x14ac:dyDescent="0.2">
      <c r="A188" s="9">
        <v>0</v>
      </c>
      <c r="B188" s="9">
        <v>37</v>
      </c>
      <c r="C188" s="9">
        <v>1</v>
      </c>
      <c r="D188" s="9">
        <v>13</v>
      </c>
      <c r="E188" s="9">
        <v>5</v>
      </c>
      <c r="F188" s="9">
        <v>24</v>
      </c>
      <c r="G188" s="9">
        <v>8.9</v>
      </c>
      <c r="H188" s="9">
        <v>0.6</v>
      </c>
      <c r="I188" s="9">
        <v>1.53</v>
      </c>
      <c r="J188" s="7" t="s">
        <v>49</v>
      </c>
    </row>
    <row r="189" spans="1:10" x14ac:dyDescent="0.2">
      <c r="A189" s="9">
        <v>0</v>
      </c>
      <c r="B189" s="9">
        <v>39</v>
      </c>
      <c r="C189" s="9">
        <v>1</v>
      </c>
      <c r="D189" s="9">
        <v>9</v>
      </c>
      <c r="E189" s="9">
        <v>6</v>
      </c>
      <c r="F189" s="9">
        <v>35</v>
      </c>
      <c r="G189" s="9">
        <v>5</v>
      </c>
      <c r="H189" s="9">
        <v>0.23</v>
      </c>
      <c r="I189" s="9">
        <v>1.52</v>
      </c>
      <c r="J189" s="7" t="s">
        <v>49</v>
      </c>
    </row>
    <row r="190" spans="1:10" x14ac:dyDescent="0.2">
      <c r="A190" s="9">
        <v>0</v>
      </c>
      <c r="B190" s="9">
        <v>33</v>
      </c>
      <c r="C190" s="9">
        <v>1</v>
      </c>
      <c r="D190" s="9">
        <v>12</v>
      </c>
      <c r="E190" s="9">
        <v>11</v>
      </c>
      <c r="F190" s="9">
        <v>32</v>
      </c>
      <c r="G190" s="9">
        <v>11.3</v>
      </c>
      <c r="H190" s="9">
        <v>2.1</v>
      </c>
      <c r="I190" s="9">
        <v>1.51</v>
      </c>
      <c r="J190" s="7" t="s">
        <v>49</v>
      </c>
    </row>
    <row r="191" spans="1:10" x14ac:dyDescent="0.2">
      <c r="A191" s="9">
        <v>0</v>
      </c>
      <c r="B191" s="9">
        <v>45</v>
      </c>
      <c r="C191" s="9">
        <v>6</v>
      </c>
      <c r="D191" s="9">
        <v>16</v>
      </c>
      <c r="E191" s="9">
        <v>21</v>
      </c>
      <c r="F191" s="9">
        <v>80</v>
      </c>
      <c r="G191" s="9">
        <v>3</v>
      </c>
      <c r="H191" s="9">
        <v>0.91</v>
      </c>
      <c r="I191" s="9">
        <v>1.49</v>
      </c>
      <c r="J191" s="7" t="s">
        <v>49</v>
      </c>
    </row>
    <row r="192" spans="1:10" x14ac:dyDescent="0.2">
      <c r="A192" s="9">
        <v>0</v>
      </c>
      <c r="B192" s="9">
        <v>49</v>
      </c>
      <c r="C192" s="9">
        <v>1</v>
      </c>
      <c r="D192" s="9">
        <v>11</v>
      </c>
      <c r="E192" s="9">
        <v>5</v>
      </c>
      <c r="F192" s="9">
        <v>39</v>
      </c>
      <c r="G192" s="9">
        <v>10.1</v>
      </c>
      <c r="H192" s="9">
        <v>2.46</v>
      </c>
      <c r="I192" s="9">
        <v>1.48</v>
      </c>
      <c r="J192" s="7" t="s">
        <v>49</v>
      </c>
    </row>
    <row r="193" spans="1:10" x14ac:dyDescent="0.2">
      <c r="A193" s="9">
        <v>0</v>
      </c>
      <c r="B193" s="9">
        <v>41</v>
      </c>
      <c r="C193" s="9">
        <v>1</v>
      </c>
      <c r="D193" s="9">
        <v>4</v>
      </c>
      <c r="E193" s="9">
        <v>19</v>
      </c>
      <c r="F193" s="9">
        <v>25</v>
      </c>
      <c r="G193" s="9">
        <v>10.1</v>
      </c>
      <c r="H193" s="9">
        <v>1.06</v>
      </c>
      <c r="I193" s="9">
        <v>1.46</v>
      </c>
      <c r="J193" s="7" t="s">
        <v>49</v>
      </c>
    </row>
    <row r="194" spans="1:10" x14ac:dyDescent="0.2">
      <c r="A194" s="9">
        <v>0</v>
      </c>
      <c r="B194" s="9">
        <v>46</v>
      </c>
      <c r="C194" s="9">
        <v>3</v>
      </c>
      <c r="D194" s="9">
        <v>22</v>
      </c>
      <c r="E194" s="9">
        <v>4</v>
      </c>
      <c r="F194" s="9">
        <v>99</v>
      </c>
      <c r="G194" s="9">
        <v>2.2999999999999998</v>
      </c>
      <c r="H194" s="9">
        <v>0.83</v>
      </c>
      <c r="I194" s="9">
        <v>1.45</v>
      </c>
      <c r="J194" s="7" t="s">
        <v>49</v>
      </c>
    </row>
    <row r="195" spans="1:10" x14ac:dyDescent="0.2">
      <c r="A195" s="9">
        <v>0</v>
      </c>
      <c r="B195" s="9">
        <v>45</v>
      </c>
      <c r="C195" s="9">
        <v>3</v>
      </c>
      <c r="D195" s="9">
        <v>2</v>
      </c>
      <c r="E195" s="9">
        <v>5</v>
      </c>
      <c r="F195" s="9">
        <v>39</v>
      </c>
      <c r="G195" s="9">
        <v>4.9000000000000004</v>
      </c>
      <c r="H195" s="9">
        <v>0.46</v>
      </c>
      <c r="I195" s="9">
        <v>1.45</v>
      </c>
      <c r="J195" s="7" t="s">
        <v>49</v>
      </c>
    </row>
    <row r="196" spans="1:10" x14ac:dyDescent="0.2">
      <c r="A196" s="9">
        <v>1</v>
      </c>
      <c r="B196" s="9">
        <v>35</v>
      </c>
      <c r="C196" s="9">
        <v>3</v>
      </c>
      <c r="D196" s="9">
        <v>5</v>
      </c>
      <c r="E196" s="9">
        <v>3</v>
      </c>
      <c r="F196" s="9">
        <v>37</v>
      </c>
      <c r="G196" s="9">
        <v>5.4</v>
      </c>
      <c r="H196" s="9">
        <v>0.57999999999999996</v>
      </c>
      <c r="I196" s="9">
        <v>1.42</v>
      </c>
      <c r="J196" s="7" t="s">
        <v>49</v>
      </c>
    </row>
    <row r="197" spans="1:10" x14ac:dyDescent="0.2">
      <c r="A197" s="9">
        <v>0</v>
      </c>
      <c r="B197" s="9">
        <v>45</v>
      </c>
      <c r="C197" s="9">
        <v>2</v>
      </c>
      <c r="D197" s="9">
        <v>21</v>
      </c>
      <c r="E197" s="9">
        <v>26</v>
      </c>
      <c r="F197" s="13">
        <v>117.54291069294821</v>
      </c>
      <c r="G197" s="9">
        <v>3</v>
      </c>
      <c r="H197" s="9">
        <v>2.56</v>
      </c>
      <c r="I197" s="9">
        <v>1.4</v>
      </c>
      <c r="J197" s="7" t="s">
        <v>49</v>
      </c>
    </row>
    <row r="198" spans="1:10" x14ac:dyDescent="0.2">
      <c r="A198" s="9">
        <v>0</v>
      </c>
      <c r="B198" s="9">
        <v>42</v>
      </c>
      <c r="C198" s="9">
        <v>3</v>
      </c>
      <c r="D198" s="9">
        <v>13</v>
      </c>
      <c r="E198" s="9">
        <v>0</v>
      </c>
      <c r="F198" s="9">
        <v>82</v>
      </c>
      <c r="G198" s="9">
        <v>3.3</v>
      </c>
      <c r="H198" s="9">
        <v>1.32</v>
      </c>
      <c r="I198" s="9">
        <v>1.39</v>
      </c>
      <c r="J198" s="7" t="s">
        <v>49</v>
      </c>
    </row>
    <row r="199" spans="1:10" x14ac:dyDescent="0.2">
      <c r="A199" s="9">
        <v>0</v>
      </c>
      <c r="B199" s="9">
        <v>34</v>
      </c>
      <c r="C199" s="9">
        <v>1</v>
      </c>
      <c r="D199" s="9">
        <v>0</v>
      </c>
      <c r="E199" s="9">
        <v>10</v>
      </c>
      <c r="F199" s="9">
        <v>20</v>
      </c>
      <c r="G199" s="9">
        <v>17.100000000000001</v>
      </c>
      <c r="H199" s="9">
        <v>2.0499999999999998</v>
      </c>
      <c r="I199" s="9">
        <v>1.37</v>
      </c>
      <c r="J199" s="7" t="s">
        <v>49</v>
      </c>
    </row>
    <row r="200" spans="1:10" x14ac:dyDescent="0.2">
      <c r="A200" s="9">
        <v>0</v>
      </c>
      <c r="B200" s="9">
        <v>38</v>
      </c>
      <c r="C200" s="9">
        <v>1</v>
      </c>
      <c r="D200" s="9">
        <v>18</v>
      </c>
      <c r="E200" s="9">
        <v>19</v>
      </c>
      <c r="F200" s="9">
        <v>44</v>
      </c>
      <c r="G200" s="9">
        <v>4.5</v>
      </c>
      <c r="H200" s="9">
        <v>0.61</v>
      </c>
      <c r="I200" s="9">
        <v>1.37</v>
      </c>
      <c r="J200" s="7" t="s">
        <v>49</v>
      </c>
    </row>
    <row r="201" spans="1:10" x14ac:dyDescent="0.2">
      <c r="A201" s="9">
        <v>0</v>
      </c>
      <c r="B201" s="9">
        <v>23</v>
      </c>
      <c r="C201" s="9">
        <v>2</v>
      </c>
      <c r="D201" s="9">
        <v>0</v>
      </c>
      <c r="E201" s="9">
        <v>4</v>
      </c>
      <c r="F201" s="9">
        <v>21</v>
      </c>
      <c r="G201" s="9">
        <v>8.6999999999999993</v>
      </c>
      <c r="H201" s="9">
        <v>0.45</v>
      </c>
      <c r="I201" s="9">
        <v>1.37</v>
      </c>
      <c r="J201" s="7" t="s">
        <v>49</v>
      </c>
    </row>
    <row r="202" spans="1:10" x14ac:dyDescent="0.2">
      <c r="A202" s="9">
        <v>0</v>
      </c>
      <c r="B202" s="9">
        <v>32</v>
      </c>
      <c r="C202" s="9">
        <v>1</v>
      </c>
      <c r="D202" s="9">
        <v>3</v>
      </c>
      <c r="E202" s="9">
        <v>10</v>
      </c>
      <c r="F202" s="9">
        <v>23</v>
      </c>
      <c r="G202" s="9">
        <v>6.2</v>
      </c>
      <c r="H202" s="9">
        <v>0.05</v>
      </c>
      <c r="I202" s="9">
        <v>1.37</v>
      </c>
      <c r="J202" s="7" t="s">
        <v>49</v>
      </c>
    </row>
    <row r="203" spans="1:10" x14ac:dyDescent="0.2">
      <c r="A203" s="9">
        <v>0</v>
      </c>
      <c r="B203" s="9">
        <v>35</v>
      </c>
      <c r="C203" s="9">
        <v>4</v>
      </c>
      <c r="D203" s="9">
        <v>4</v>
      </c>
      <c r="E203" s="9">
        <v>16</v>
      </c>
      <c r="F203" s="9">
        <v>29</v>
      </c>
      <c r="G203" s="9">
        <v>11</v>
      </c>
      <c r="H203" s="9">
        <v>1.84</v>
      </c>
      <c r="I203" s="9">
        <v>1.35</v>
      </c>
      <c r="J203" s="7" t="s">
        <v>49</v>
      </c>
    </row>
    <row r="204" spans="1:10" x14ac:dyDescent="0.2">
      <c r="A204" s="9">
        <v>0</v>
      </c>
      <c r="B204" s="9">
        <v>33</v>
      </c>
      <c r="C204" s="9">
        <v>1</v>
      </c>
      <c r="D204" s="9">
        <v>5</v>
      </c>
      <c r="E204" s="9">
        <v>10</v>
      </c>
      <c r="F204" s="9">
        <v>18</v>
      </c>
      <c r="G204" s="9">
        <v>12.9</v>
      </c>
      <c r="H204" s="9">
        <v>0.98</v>
      </c>
      <c r="I204" s="9">
        <v>1.34</v>
      </c>
      <c r="J204" s="7" t="s">
        <v>49</v>
      </c>
    </row>
    <row r="205" spans="1:10" x14ac:dyDescent="0.2">
      <c r="A205" s="9">
        <v>1</v>
      </c>
      <c r="B205" s="9">
        <v>25</v>
      </c>
      <c r="C205" s="9">
        <v>1</v>
      </c>
      <c r="D205" s="9">
        <v>1</v>
      </c>
      <c r="E205" s="9">
        <v>6</v>
      </c>
      <c r="F205" s="9">
        <v>15</v>
      </c>
      <c r="G205" s="9">
        <v>11.4</v>
      </c>
      <c r="H205" s="9">
        <v>0.37</v>
      </c>
      <c r="I205" s="9">
        <v>1.34</v>
      </c>
      <c r="J205" s="7" t="s">
        <v>49</v>
      </c>
    </row>
    <row r="206" spans="1:10" x14ac:dyDescent="0.2">
      <c r="A206" s="9">
        <v>0</v>
      </c>
      <c r="B206" s="9">
        <v>26</v>
      </c>
      <c r="C206" s="9">
        <v>2</v>
      </c>
      <c r="D206" s="9">
        <v>0</v>
      </c>
      <c r="E206" s="9">
        <v>7</v>
      </c>
      <c r="F206" s="9">
        <v>28</v>
      </c>
      <c r="G206" s="9">
        <v>9.3000000000000007</v>
      </c>
      <c r="H206" s="9">
        <v>1.27</v>
      </c>
      <c r="I206" s="9">
        <v>1.33</v>
      </c>
      <c r="J206" s="7" t="s">
        <v>49</v>
      </c>
    </row>
    <row r="207" spans="1:10" x14ac:dyDescent="0.2">
      <c r="A207" s="9">
        <v>1</v>
      </c>
      <c r="B207" s="9">
        <v>23</v>
      </c>
      <c r="C207" s="9">
        <v>1</v>
      </c>
      <c r="D207" s="9">
        <v>3</v>
      </c>
      <c r="E207" s="9">
        <v>0</v>
      </c>
      <c r="F207" s="9">
        <v>19</v>
      </c>
      <c r="G207" s="9">
        <v>8.4</v>
      </c>
      <c r="H207" s="9">
        <v>0.28000000000000003</v>
      </c>
      <c r="I207" s="9">
        <v>1.32</v>
      </c>
      <c r="J207" s="7" t="s">
        <v>49</v>
      </c>
    </row>
    <row r="208" spans="1:10" x14ac:dyDescent="0.2">
      <c r="A208" s="9">
        <v>0</v>
      </c>
      <c r="B208" s="9">
        <v>34</v>
      </c>
      <c r="C208" s="9">
        <v>1</v>
      </c>
      <c r="D208" s="9">
        <v>0</v>
      </c>
      <c r="E208" s="9">
        <v>1</v>
      </c>
      <c r="F208" s="9">
        <v>21</v>
      </c>
      <c r="G208" s="9">
        <v>7.2</v>
      </c>
      <c r="H208" s="9">
        <v>0.19</v>
      </c>
      <c r="I208" s="9">
        <v>1.32</v>
      </c>
      <c r="J208" s="7" t="s">
        <v>49</v>
      </c>
    </row>
    <row r="209" spans="1:10" x14ac:dyDescent="0.2">
      <c r="A209" s="9">
        <v>0</v>
      </c>
      <c r="B209" s="9">
        <v>39</v>
      </c>
      <c r="C209" s="9">
        <v>1</v>
      </c>
      <c r="D209" s="9">
        <v>10</v>
      </c>
      <c r="E209" s="9">
        <v>4</v>
      </c>
      <c r="F209" s="9">
        <v>31</v>
      </c>
      <c r="G209" s="9">
        <v>4.8</v>
      </c>
      <c r="H209" s="9">
        <v>0.18</v>
      </c>
      <c r="I209" s="9">
        <v>1.3</v>
      </c>
      <c r="J209" s="7" t="s">
        <v>49</v>
      </c>
    </row>
    <row r="210" spans="1:10" x14ac:dyDescent="0.2">
      <c r="A210" s="9">
        <v>0</v>
      </c>
      <c r="B210" s="9">
        <v>39</v>
      </c>
      <c r="C210" s="9">
        <v>1</v>
      </c>
      <c r="D210" s="9">
        <v>4</v>
      </c>
      <c r="E210" s="9">
        <v>9</v>
      </c>
      <c r="F210" s="9">
        <v>38</v>
      </c>
      <c r="G210" s="9">
        <v>6.5</v>
      </c>
      <c r="H210" s="9">
        <v>1.18</v>
      </c>
      <c r="I210" s="9">
        <v>1.29</v>
      </c>
      <c r="J210" s="7" t="s">
        <v>49</v>
      </c>
    </row>
    <row r="211" spans="1:10" x14ac:dyDescent="0.2">
      <c r="A211" s="9">
        <v>0</v>
      </c>
      <c r="B211" s="9">
        <v>35</v>
      </c>
      <c r="C211" s="9">
        <v>2</v>
      </c>
      <c r="D211" s="9">
        <v>1</v>
      </c>
      <c r="E211" s="9">
        <v>1</v>
      </c>
      <c r="F211" s="9">
        <v>21</v>
      </c>
      <c r="G211" s="9">
        <v>7.9</v>
      </c>
      <c r="H211" s="9">
        <v>0.97</v>
      </c>
      <c r="I211" s="9">
        <v>1.29</v>
      </c>
      <c r="J211" s="7" t="s">
        <v>49</v>
      </c>
    </row>
    <row r="212" spans="1:10" x14ac:dyDescent="0.2">
      <c r="A212" s="9">
        <v>1</v>
      </c>
      <c r="B212" s="9">
        <v>29</v>
      </c>
      <c r="C212" s="9">
        <v>2</v>
      </c>
      <c r="D212" s="9">
        <v>4</v>
      </c>
      <c r="E212" s="9">
        <v>3</v>
      </c>
      <c r="F212" s="9">
        <v>37</v>
      </c>
      <c r="G212" s="9">
        <v>6.6</v>
      </c>
      <c r="H212" s="9">
        <v>1.1599999999999999</v>
      </c>
      <c r="I212" s="9">
        <v>1.28</v>
      </c>
      <c r="J212" s="7" t="s">
        <v>49</v>
      </c>
    </row>
    <row r="213" spans="1:10" x14ac:dyDescent="0.2">
      <c r="A213" s="9">
        <v>0</v>
      </c>
      <c r="B213" s="9">
        <v>33</v>
      </c>
      <c r="C213" s="9">
        <v>4</v>
      </c>
      <c r="D213" s="9">
        <v>9</v>
      </c>
      <c r="E213" s="9">
        <v>8</v>
      </c>
      <c r="F213" s="9">
        <v>32</v>
      </c>
      <c r="G213" s="9">
        <v>5.5</v>
      </c>
      <c r="H213" s="9">
        <v>0.5</v>
      </c>
      <c r="I213" s="9">
        <v>1.26</v>
      </c>
      <c r="J213" s="7" t="s">
        <v>49</v>
      </c>
    </row>
    <row r="214" spans="1:10" x14ac:dyDescent="0.2">
      <c r="A214" s="9">
        <v>0</v>
      </c>
      <c r="B214" s="9">
        <v>27</v>
      </c>
      <c r="C214" s="9">
        <v>2</v>
      </c>
      <c r="D214" s="9">
        <v>6</v>
      </c>
      <c r="E214" s="9">
        <v>1</v>
      </c>
      <c r="F214" s="9">
        <v>34</v>
      </c>
      <c r="G214" s="9">
        <v>4.4000000000000004</v>
      </c>
      <c r="H214" s="9">
        <v>0.24</v>
      </c>
      <c r="I214" s="9">
        <v>1.26</v>
      </c>
      <c r="J214" s="7" t="s">
        <v>49</v>
      </c>
    </row>
    <row r="215" spans="1:10" x14ac:dyDescent="0.2">
      <c r="A215" s="9">
        <v>1</v>
      </c>
      <c r="B215" s="9">
        <v>32</v>
      </c>
      <c r="C215" s="9">
        <v>2</v>
      </c>
      <c r="D215" s="9">
        <v>2</v>
      </c>
      <c r="E215" s="9">
        <v>11</v>
      </c>
      <c r="F215" s="9">
        <v>15</v>
      </c>
      <c r="G215" s="9">
        <v>9.1</v>
      </c>
      <c r="H215" s="9">
        <v>0.12</v>
      </c>
      <c r="I215" s="9">
        <v>1.25</v>
      </c>
      <c r="J215" s="7" t="s">
        <v>49</v>
      </c>
    </row>
    <row r="216" spans="1:10" x14ac:dyDescent="0.2">
      <c r="A216" s="9">
        <v>0</v>
      </c>
      <c r="B216" s="9">
        <v>43</v>
      </c>
      <c r="C216" s="9">
        <v>4</v>
      </c>
      <c r="D216" s="9">
        <v>1</v>
      </c>
      <c r="E216" s="9">
        <v>5</v>
      </c>
      <c r="F216" s="9">
        <v>26</v>
      </c>
      <c r="G216" s="9">
        <v>10.6</v>
      </c>
      <c r="H216" s="9">
        <v>1.52</v>
      </c>
      <c r="I216" s="9">
        <v>1.24</v>
      </c>
      <c r="J216" s="7" t="s">
        <v>49</v>
      </c>
    </row>
    <row r="217" spans="1:10" x14ac:dyDescent="0.2">
      <c r="A217" s="9">
        <v>0</v>
      </c>
      <c r="B217" s="9">
        <v>43</v>
      </c>
      <c r="C217" s="9">
        <v>1</v>
      </c>
      <c r="D217" s="9">
        <v>12</v>
      </c>
      <c r="E217" s="9">
        <v>11</v>
      </c>
      <c r="F217" s="9">
        <v>38</v>
      </c>
      <c r="G217" s="9">
        <v>3.6</v>
      </c>
      <c r="H217" s="9">
        <v>0.13</v>
      </c>
      <c r="I217" s="9">
        <v>1.24</v>
      </c>
      <c r="J217" s="7" t="s">
        <v>49</v>
      </c>
    </row>
    <row r="218" spans="1:10" x14ac:dyDescent="0.2">
      <c r="A218" s="9">
        <v>0</v>
      </c>
      <c r="B218" s="9">
        <v>23</v>
      </c>
      <c r="C218" s="9">
        <v>2</v>
      </c>
      <c r="D218" s="9">
        <v>3</v>
      </c>
      <c r="E218" s="9">
        <v>4</v>
      </c>
      <c r="F218" s="9">
        <v>34</v>
      </c>
      <c r="G218" s="9">
        <v>4.4000000000000004</v>
      </c>
      <c r="H218" s="9">
        <v>0.26</v>
      </c>
      <c r="I218" s="9">
        <v>1.23</v>
      </c>
      <c r="J218" s="7" t="s">
        <v>49</v>
      </c>
    </row>
    <row r="219" spans="1:10" x14ac:dyDescent="0.2">
      <c r="A219" s="9">
        <v>0</v>
      </c>
      <c r="B219" s="9">
        <v>39</v>
      </c>
      <c r="C219" s="9">
        <v>1</v>
      </c>
      <c r="D219" s="9">
        <v>13</v>
      </c>
      <c r="E219" s="9">
        <v>9</v>
      </c>
      <c r="F219" s="9">
        <v>27</v>
      </c>
      <c r="G219" s="9">
        <v>8</v>
      </c>
      <c r="H219" s="9">
        <v>0.97</v>
      </c>
      <c r="I219" s="9">
        <v>1.19</v>
      </c>
      <c r="J219" s="7" t="s">
        <v>49</v>
      </c>
    </row>
    <row r="220" spans="1:10" x14ac:dyDescent="0.2">
      <c r="A220" s="9">
        <v>0</v>
      </c>
      <c r="B220" s="9">
        <v>44</v>
      </c>
      <c r="C220" s="9">
        <v>1</v>
      </c>
      <c r="D220" s="9">
        <v>9</v>
      </c>
      <c r="E220" s="9">
        <v>20</v>
      </c>
      <c r="F220" s="9">
        <v>33</v>
      </c>
      <c r="G220" s="9">
        <v>5.2</v>
      </c>
      <c r="H220" s="9">
        <v>0.55000000000000004</v>
      </c>
      <c r="I220" s="9">
        <v>1.17</v>
      </c>
      <c r="J220" s="7" t="s">
        <v>49</v>
      </c>
    </row>
    <row r="221" spans="1:10" x14ac:dyDescent="0.2">
      <c r="A221" s="9">
        <v>0</v>
      </c>
      <c r="B221" s="9">
        <v>26</v>
      </c>
      <c r="C221" s="9">
        <v>2</v>
      </c>
      <c r="D221" s="9">
        <v>5</v>
      </c>
      <c r="E221" s="9">
        <v>7</v>
      </c>
      <c r="F221" s="9">
        <v>28</v>
      </c>
      <c r="G221" s="9">
        <v>7.8</v>
      </c>
      <c r="H221" s="9">
        <v>1.02</v>
      </c>
      <c r="I221" s="9">
        <v>1.1599999999999999</v>
      </c>
      <c r="J221" s="7" t="s">
        <v>49</v>
      </c>
    </row>
    <row r="222" spans="1:10" x14ac:dyDescent="0.2">
      <c r="A222" s="9">
        <v>0</v>
      </c>
      <c r="B222" s="9">
        <v>30</v>
      </c>
      <c r="C222" s="9">
        <v>3</v>
      </c>
      <c r="D222" s="9">
        <v>8</v>
      </c>
      <c r="E222" s="9">
        <v>7</v>
      </c>
      <c r="F222" s="9">
        <v>61</v>
      </c>
      <c r="G222" s="9">
        <v>2.8</v>
      </c>
      <c r="H222" s="9">
        <v>0.55000000000000004</v>
      </c>
      <c r="I222" s="9">
        <v>1.1599999999999999</v>
      </c>
      <c r="J222" s="7" t="s">
        <v>49</v>
      </c>
    </row>
    <row r="223" spans="1:10" x14ac:dyDescent="0.2">
      <c r="A223" s="9">
        <v>0</v>
      </c>
      <c r="B223" s="9">
        <v>25</v>
      </c>
      <c r="C223" s="9">
        <v>2</v>
      </c>
      <c r="D223" s="9">
        <v>4</v>
      </c>
      <c r="E223" s="9">
        <v>6</v>
      </c>
      <c r="F223" s="9">
        <v>33</v>
      </c>
      <c r="G223" s="9">
        <v>5.2</v>
      </c>
      <c r="H223" s="9">
        <v>0.55000000000000004</v>
      </c>
      <c r="I223" s="9">
        <v>1.1599999999999999</v>
      </c>
      <c r="J223" s="7" t="s">
        <v>49</v>
      </c>
    </row>
    <row r="224" spans="1:10" x14ac:dyDescent="0.2">
      <c r="A224" s="9">
        <v>0</v>
      </c>
      <c r="B224" s="9">
        <v>39</v>
      </c>
      <c r="C224" s="9">
        <v>2</v>
      </c>
      <c r="D224" s="9">
        <v>15</v>
      </c>
      <c r="E224" s="9">
        <v>19</v>
      </c>
      <c r="F224" s="9">
        <v>32</v>
      </c>
      <c r="G224" s="9">
        <v>4.9000000000000004</v>
      </c>
      <c r="H224" s="9">
        <v>0.42</v>
      </c>
      <c r="I224" s="9">
        <v>1.1499999999999999</v>
      </c>
      <c r="J224" s="7" t="s">
        <v>49</v>
      </c>
    </row>
    <row r="225" spans="1:10" x14ac:dyDescent="0.2">
      <c r="A225" s="9">
        <v>0</v>
      </c>
      <c r="B225" s="9">
        <v>31</v>
      </c>
      <c r="C225" s="9">
        <v>2</v>
      </c>
      <c r="D225" s="9">
        <v>9</v>
      </c>
      <c r="E225" s="9">
        <v>1</v>
      </c>
      <c r="F225" s="9">
        <v>30</v>
      </c>
      <c r="G225" s="9">
        <v>5.8</v>
      </c>
      <c r="H225" s="9">
        <v>0.97</v>
      </c>
      <c r="I225" s="9">
        <v>1.1399999999999999</v>
      </c>
      <c r="J225" s="7" t="s">
        <v>49</v>
      </c>
    </row>
    <row r="226" spans="1:10" x14ac:dyDescent="0.2">
      <c r="A226" s="9">
        <v>0</v>
      </c>
      <c r="B226" s="9">
        <v>29</v>
      </c>
      <c r="C226" s="9">
        <v>1</v>
      </c>
      <c r="D226" s="9">
        <v>8</v>
      </c>
      <c r="E226" s="9">
        <v>10</v>
      </c>
      <c r="F226" s="9">
        <v>24</v>
      </c>
      <c r="G226" s="9">
        <v>6.7</v>
      </c>
      <c r="H226" s="9">
        <v>0.47</v>
      </c>
      <c r="I226" s="9">
        <v>1.1399999999999999</v>
      </c>
      <c r="J226" s="7" t="s">
        <v>49</v>
      </c>
    </row>
    <row r="227" spans="1:10" x14ac:dyDescent="0.2">
      <c r="A227" s="9">
        <v>0</v>
      </c>
      <c r="B227" s="9">
        <v>35</v>
      </c>
      <c r="C227" s="9">
        <v>1</v>
      </c>
      <c r="D227" s="9">
        <v>13</v>
      </c>
      <c r="E227" s="9">
        <v>15</v>
      </c>
      <c r="F227" s="9">
        <v>35</v>
      </c>
      <c r="G227" s="9">
        <v>4.5</v>
      </c>
      <c r="H227" s="9">
        <v>0.43</v>
      </c>
      <c r="I227" s="9">
        <v>1.1399999999999999</v>
      </c>
      <c r="J227" s="7" t="s">
        <v>49</v>
      </c>
    </row>
    <row r="228" spans="1:10" x14ac:dyDescent="0.2">
      <c r="A228" s="9">
        <v>0</v>
      </c>
      <c r="B228" s="9">
        <v>30</v>
      </c>
      <c r="C228" s="9">
        <v>1</v>
      </c>
      <c r="D228" s="9">
        <v>1</v>
      </c>
      <c r="E228" s="9">
        <v>8</v>
      </c>
      <c r="F228" s="9">
        <v>17</v>
      </c>
      <c r="G228" s="9">
        <v>11</v>
      </c>
      <c r="H228" s="9">
        <v>0.75</v>
      </c>
      <c r="I228" s="9">
        <v>1.1200000000000001</v>
      </c>
      <c r="J228" s="7" t="s">
        <v>49</v>
      </c>
    </row>
    <row r="229" spans="1:10" x14ac:dyDescent="0.2">
      <c r="A229" s="9">
        <v>0</v>
      </c>
      <c r="B229" s="9">
        <v>31</v>
      </c>
      <c r="C229" s="9">
        <v>1</v>
      </c>
      <c r="D229" s="9">
        <v>13</v>
      </c>
      <c r="E229" s="9">
        <v>12</v>
      </c>
      <c r="F229" s="9">
        <v>27</v>
      </c>
      <c r="G229" s="9">
        <v>5</v>
      </c>
      <c r="H229" s="9">
        <v>0.24</v>
      </c>
      <c r="I229" s="9">
        <v>1.1100000000000001</v>
      </c>
      <c r="J229" s="7" t="s">
        <v>49</v>
      </c>
    </row>
    <row r="230" spans="1:10" x14ac:dyDescent="0.2">
      <c r="A230" s="9">
        <v>0</v>
      </c>
      <c r="B230" s="9">
        <v>25</v>
      </c>
      <c r="C230" s="9">
        <v>2</v>
      </c>
      <c r="D230" s="9">
        <v>6</v>
      </c>
      <c r="E230" s="9">
        <v>2</v>
      </c>
      <c r="F230" s="9">
        <v>26</v>
      </c>
      <c r="G230" s="9">
        <v>4.5</v>
      </c>
      <c r="H230" s="9">
        <v>7.0000000000000007E-2</v>
      </c>
      <c r="I230" s="9">
        <v>1.1000000000000001</v>
      </c>
      <c r="J230" s="7" t="s">
        <v>49</v>
      </c>
    </row>
    <row r="231" spans="1:10" x14ac:dyDescent="0.2">
      <c r="A231" s="9">
        <v>0</v>
      </c>
      <c r="B231" s="9">
        <v>40</v>
      </c>
      <c r="C231" s="9">
        <v>2</v>
      </c>
      <c r="D231" s="9">
        <v>2</v>
      </c>
      <c r="E231" s="9">
        <v>1</v>
      </c>
      <c r="F231" s="9">
        <v>36</v>
      </c>
      <c r="G231" s="9">
        <v>3.8</v>
      </c>
      <c r="H231" s="9">
        <v>0.28000000000000003</v>
      </c>
      <c r="I231" s="9">
        <v>1.0900000000000001</v>
      </c>
      <c r="J231" s="7" t="s">
        <v>49</v>
      </c>
    </row>
    <row r="232" spans="1:10" x14ac:dyDescent="0.2">
      <c r="A232" s="9">
        <v>0</v>
      </c>
      <c r="B232" s="9">
        <v>39</v>
      </c>
      <c r="C232" s="9">
        <v>2</v>
      </c>
      <c r="D232" s="9">
        <v>20</v>
      </c>
      <c r="E232" s="9">
        <v>17</v>
      </c>
      <c r="F232" s="9">
        <v>101</v>
      </c>
      <c r="G232" s="9">
        <v>1.4</v>
      </c>
      <c r="H232" s="9">
        <v>0.34</v>
      </c>
      <c r="I232" s="9">
        <v>1.07</v>
      </c>
      <c r="J232" s="7" t="s">
        <v>49</v>
      </c>
    </row>
    <row r="233" spans="1:10" x14ac:dyDescent="0.2">
      <c r="A233" s="9">
        <v>0</v>
      </c>
      <c r="B233" s="9">
        <v>29</v>
      </c>
      <c r="C233" s="9">
        <v>3</v>
      </c>
      <c r="D233" s="9">
        <v>1</v>
      </c>
      <c r="E233" s="9">
        <v>10</v>
      </c>
      <c r="F233" s="9">
        <v>30</v>
      </c>
      <c r="G233" s="9">
        <v>4.5</v>
      </c>
      <c r="H233" s="9">
        <v>0.28000000000000003</v>
      </c>
      <c r="I233" s="9">
        <v>1.07</v>
      </c>
      <c r="J233" s="7" t="s">
        <v>49</v>
      </c>
    </row>
    <row r="234" spans="1:10" x14ac:dyDescent="0.2">
      <c r="A234" s="9">
        <v>0</v>
      </c>
      <c r="B234" s="9">
        <v>29</v>
      </c>
      <c r="C234" s="9">
        <v>1</v>
      </c>
      <c r="D234" s="9">
        <v>3</v>
      </c>
      <c r="E234" s="9">
        <v>1</v>
      </c>
      <c r="F234" s="9">
        <v>17</v>
      </c>
      <c r="G234" s="9">
        <v>9</v>
      </c>
      <c r="H234" s="9">
        <v>0.47</v>
      </c>
      <c r="I234" s="9">
        <v>1.06</v>
      </c>
      <c r="J234" s="7" t="s">
        <v>49</v>
      </c>
    </row>
    <row r="235" spans="1:10" x14ac:dyDescent="0.2">
      <c r="A235" s="9">
        <v>0</v>
      </c>
      <c r="B235" s="9">
        <v>29</v>
      </c>
      <c r="C235" s="9">
        <v>1</v>
      </c>
      <c r="D235" s="9">
        <v>12</v>
      </c>
      <c r="E235" s="9">
        <v>2</v>
      </c>
      <c r="F235" s="9">
        <v>40</v>
      </c>
      <c r="G235" s="9">
        <v>6.7</v>
      </c>
      <c r="H235" s="9">
        <v>1.63</v>
      </c>
      <c r="I235" s="9">
        <v>1.05</v>
      </c>
      <c r="J235" s="7" t="s">
        <v>49</v>
      </c>
    </row>
    <row r="236" spans="1:10" x14ac:dyDescent="0.2">
      <c r="A236" s="9">
        <v>1</v>
      </c>
      <c r="B236" s="9">
        <v>28</v>
      </c>
      <c r="C236" s="9">
        <v>2</v>
      </c>
      <c r="D236" s="9">
        <v>8</v>
      </c>
      <c r="E236" s="9">
        <v>3</v>
      </c>
      <c r="F236" s="9">
        <v>31</v>
      </c>
      <c r="G236" s="9">
        <v>8.1999999999999993</v>
      </c>
      <c r="H236" s="9">
        <v>1.49</v>
      </c>
      <c r="I236" s="9">
        <v>1.05</v>
      </c>
      <c r="J236" s="7" t="s">
        <v>49</v>
      </c>
    </row>
    <row r="237" spans="1:10" x14ac:dyDescent="0.2">
      <c r="A237" s="9">
        <v>0</v>
      </c>
      <c r="B237" s="9">
        <v>36</v>
      </c>
      <c r="C237" s="9">
        <v>1</v>
      </c>
      <c r="D237" s="9">
        <v>1</v>
      </c>
      <c r="E237" s="9">
        <v>4</v>
      </c>
      <c r="F237" s="9">
        <v>16</v>
      </c>
      <c r="G237" s="9">
        <v>9.3000000000000007</v>
      </c>
      <c r="H237" s="9">
        <v>0.43</v>
      </c>
      <c r="I237" s="9">
        <v>1.05</v>
      </c>
      <c r="J237" s="7" t="s">
        <v>49</v>
      </c>
    </row>
    <row r="238" spans="1:10" x14ac:dyDescent="0.2">
      <c r="A238" s="9">
        <v>0</v>
      </c>
      <c r="B238" s="9">
        <v>35</v>
      </c>
      <c r="C238" s="9">
        <v>1</v>
      </c>
      <c r="D238" s="9">
        <v>16</v>
      </c>
      <c r="E238" s="9">
        <v>15</v>
      </c>
      <c r="F238" s="9">
        <v>36</v>
      </c>
      <c r="G238" s="9">
        <v>3.4</v>
      </c>
      <c r="H238" s="9">
        <v>0.18</v>
      </c>
      <c r="I238" s="9">
        <v>1.05</v>
      </c>
      <c r="J238" s="7" t="s">
        <v>49</v>
      </c>
    </row>
    <row r="239" spans="1:10" x14ac:dyDescent="0.2">
      <c r="A239" s="9">
        <v>0</v>
      </c>
      <c r="B239" s="9">
        <v>42</v>
      </c>
      <c r="C239" s="9">
        <v>2</v>
      </c>
      <c r="D239" s="9">
        <v>5</v>
      </c>
      <c r="E239" s="9">
        <v>3</v>
      </c>
      <c r="F239" s="9">
        <v>41</v>
      </c>
      <c r="G239" s="9">
        <v>3.4</v>
      </c>
      <c r="H239" s="9">
        <v>0.36</v>
      </c>
      <c r="I239" s="9">
        <v>1.04</v>
      </c>
      <c r="J239" s="7" t="s">
        <v>49</v>
      </c>
    </row>
    <row r="240" spans="1:10" x14ac:dyDescent="0.2">
      <c r="A240" s="9">
        <v>0</v>
      </c>
      <c r="B240" s="9">
        <v>23</v>
      </c>
      <c r="C240" s="9">
        <v>1</v>
      </c>
      <c r="D240" s="9">
        <v>5</v>
      </c>
      <c r="E240" s="9">
        <v>2</v>
      </c>
      <c r="F240" s="9">
        <v>17</v>
      </c>
      <c r="G240" s="9">
        <v>7.9</v>
      </c>
      <c r="H240" s="9">
        <v>0.3</v>
      </c>
      <c r="I240" s="9">
        <v>1.04</v>
      </c>
      <c r="J240" s="7" t="s">
        <v>49</v>
      </c>
    </row>
    <row r="241" spans="1:10" x14ac:dyDescent="0.2">
      <c r="A241" s="9">
        <v>0</v>
      </c>
      <c r="B241" s="9">
        <v>33</v>
      </c>
      <c r="C241" s="9">
        <v>1</v>
      </c>
      <c r="D241" s="9">
        <v>7</v>
      </c>
      <c r="E241" s="9">
        <v>6</v>
      </c>
      <c r="F241" s="9">
        <v>26</v>
      </c>
      <c r="G241" s="9">
        <v>6</v>
      </c>
      <c r="H241" s="9">
        <v>0.54</v>
      </c>
      <c r="I241" s="9">
        <v>1.02</v>
      </c>
      <c r="J241" s="7" t="s">
        <v>49</v>
      </c>
    </row>
    <row r="242" spans="1:10" x14ac:dyDescent="0.2">
      <c r="A242" s="9">
        <v>0</v>
      </c>
      <c r="B242" s="9">
        <v>40</v>
      </c>
      <c r="C242" s="9">
        <v>3</v>
      </c>
      <c r="D242" s="9">
        <v>18</v>
      </c>
      <c r="E242" s="9">
        <v>6</v>
      </c>
      <c r="F242" s="9">
        <v>100</v>
      </c>
      <c r="G242" s="9">
        <v>2.5</v>
      </c>
      <c r="H242" s="9">
        <v>1.49</v>
      </c>
      <c r="I242" s="9">
        <v>1.01</v>
      </c>
      <c r="J242" s="7" t="s">
        <v>49</v>
      </c>
    </row>
    <row r="243" spans="1:10" x14ac:dyDescent="0.2">
      <c r="A243" s="9">
        <v>0</v>
      </c>
      <c r="B243" s="9">
        <v>21</v>
      </c>
      <c r="C243" s="9">
        <v>3</v>
      </c>
      <c r="D243" s="9">
        <v>0</v>
      </c>
      <c r="E243" s="9">
        <v>2</v>
      </c>
      <c r="F243" s="9">
        <v>24</v>
      </c>
      <c r="G243" s="9">
        <v>7.7</v>
      </c>
      <c r="H243" s="9">
        <v>0.83</v>
      </c>
      <c r="I243" s="9">
        <v>1.01</v>
      </c>
      <c r="J243" s="7" t="s">
        <v>49</v>
      </c>
    </row>
    <row r="244" spans="1:10" x14ac:dyDescent="0.2">
      <c r="A244" s="9">
        <v>0</v>
      </c>
      <c r="B244" s="9">
        <v>38</v>
      </c>
      <c r="C244" s="9">
        <v>2</v>
      </c>
      <c r="D244" s="9">
        <v>13</v>
      </c>
      <c r="E244" s="9">
        <v>0</v>
      </c>
      <c r="F244" s="9">
        <v>59</v>
      </c>
      <c r="G244" s="9">
        <v>2.4</v>
      </c>
      <c r="H244" s="9">
        <v>0.41</v>
      </c>
      <c r="I244" s="9">
        <v>1.01</v>
      </c>
      <c r="J244" s="7" t="s">
        <v>49</v>
      </c>
    </row>
    <row r="245" spans="1:10" x14ac:dyDescent="0.2">
      <c r="A245" s="9">
        <v>0</v>
      </c>
      <c r="B245" s="9">
        <v>51</v>
      </c>
      <c r="C245" s="9">
        <v>3</v>
      </c>
      <c r="D245" s="9">
        <v>16</v>
      </c>
      <c r="E245" s="9">
        <v>25</v>
      </c>
      <c r="F245" s="9">
        <v>82</v>
      </c>
      <c r="G245" s="9">
        <v>4.4000000000000004</v>
      </c>
      <c r="H245" s="9">
        <v>2.6</v>
      </c>
      <c r="I245" s="9">
        <v>1</v>
      </c>
      <c r="J245" s="7" t="s">
        <v>49</v>
      </c>
    </row>
    <row r="246" spans="1:10" x14ac:dyDescent="0.2">
      <c r="A246" s="9">
        <v>1</v>
      </c>
      <c r="B246" s="9">
        <v>23</v>
      </c>
      <c r="C246" s="9">
        <v>1</v>
      </c>
      <c r="D246" s="9">
        <v>2</v>
      </c>
      <c r="E246" s="9">
        <v>1</v>
      </c>
      <c r="F246" s="9">
        <v>25</v>
      </c>
      <c r="G246" s="9">
        <v>4.5</v>
      </c>
      <c r="H246" s="9">
        <v>0.12</v>
      </c>
      <c r="I246" s="9">
        <v>1</v>
      </c>
      <c r="J246" s="7" t="s">
        <v>49</v>
      </c>
    </row>
    <row r="247" spans="1:10" x14ac:dyDescent="0.2">
      <c r="A247" s="9">
        <v>0</v>
      </c>
      <c r="B247" s="9">
        <v>29</v>
      </c>
      <c r="C247" s="9">
        <v>1</v>
      </c>
      <c r="D247" s="9">
        <v>11</v>
      </c>
      <c r="E247" s="9">
        <v>7</v>
      </c>
      <c r="F247" s="9">
        <v>32</v>
      </c>
      <c r="G247" s="9">
        <v>6</v>
      </c>
      <c r="H247" s="9">
        <v>0.93</v>
      </c>
      <c r="I247" s="9">
        <v>0.99</v>
      </c>
      <c r="J247" s="7" t="s">
        <v>49</v>
      </c>
    </row>
    <row r="248" spans="1:10" x14ac:dyDescent="0.2">
      <c r="A248" s="9">
        <v>1</v>
      </c>
      <c r="B248" s="9">
        <v>27</v>
      </c>
      <c r="C248" s="9">
        <v>4</v>
      </c>
      <c r="D248" s="9">
        <v>2</v>
      </c>
      <c r="E248" s="9">
        <v>8</v>
      </c>
      <c r="F248" s="9">
        <v>23</v>
      </c>
      <c r="G248" s="9">
        <v>5.7</v>
      </c>
      <c r="H248" s="9">
        <v>0.32</v>
      </c>
      <c r="I248" s="9">
        <v>0.99</v>
      </c>
      <c r="J248" s="7" t="s">
        <v>49</v>
      </c>
    </row>
    <row r="249" spans="1:10" x14ac:dyDescent="0.2">
      <c r="A249" s="9">
        <v>0</v>
      </c>
      <c r="B249" s="9">
        <v>29</v>
      </c>
      <c r="C249" s="9">
        <v>1</v>
      </c>
      <c r="D249" s="9">
        <v>1</v>
      </c>
      <c r="E249" s="9">
        <v>9</v>
      </c>
      <c r="F249" s="9">
        <v>17</v>
      </c>
      <c r="G249" s="9">
        <v>6.7</v>
      </c>
      <c r="H249" s="9">
        <v>0.16</v>
      </c>
      <c r="I249" s="9">
        <v>0.98</v>
      </c>
      <c r="J249" s="7" t="s">
        <v>49</v>
      </c>
    </row>
    <row r="250" spans="1:10" x14ac:dyDescent="0.2">
      <c r="A250" s="9">
        <v>0</v>
      </c>
      <c r="B250" s="9">
        <v>24</v>
      </c>
      <c r="C250" s="9">
        <v>1</v>
      </c>
      <c r="D250" s="9">
        <v>6</v>
      </c>
      <c r="E250" s="9">
        <v>2</v>
      </c>
      <c r="F250" s="9">
        <v>21</v>
      </c>
      <c r="G250" s="9">
        <v>5.2</v>
      </c>
      <c r="H250" s="9">
        <v>0.11</v>
      </c>
      <c r="I250" s="9">
        <v>0.98</v>
      </c>
      <c r="J250" s="7" t="s">
        <v>49</v>
      </c>
    </row>
    <row r="251" spans="1:10" x14ac:dyDescent="0.2">
      <c r="A251" s="9">
        <v>1</v>
      </c>
      <c r="B251" s="9">
        <v>38</v>
      </c>
      <c r="C251" s="9">
        <v>1</v>
      </c>
      <c r="D251" s="9">
        <v>0</v>
      </c>
      <c r="E251" s="9">
        <v>8</v>
      </c>
      <c r="F251" s="9">
        <v>23</v>
      </c>
      <c r="G251" s="9">
        <v>8.1</v>
      </c>
      <c r="H251" s="9">
        <v>0.9</v>
      </c>
      <c r="I251" s="9">
        <v>0.97</v>
      </c>
      <c r="J251" s="7" t="s">
        <v>49</v>
      </c>
    </row>
    <row r="252" spans="1:10" x14ac:dyDescent="0.2">
      <c r="A252" s="9">
        <v>1</v>
      </c>
      <c r="B252" s="9">
        <v>27</v>
      </c>
      <c r="C252" s="9">
        <v>3</v>
      </c>
      <c r="D252" s="9">
        <v>4</v>
      </c>
      <c r="E252" s="9">
        <v>1</v>
      </c>
      <c r="F252" s="9">
        <v>40</v>
      </c>
      <c r="G252" s="9">
        <v>3.1</v>
      </c>
      <c r="H252" s="9">
        <v>0.28000000000000003</v>
      </c>
      <c r="I252" s="9">
        <v>0.96</v>
      </c>
      <c r="J252" s="7" t="s">
        <v>49</v>
      </c>
    </row>
    <row r="253" spans="1:10" x14ac:dyDescent="0.2">
      <c r="A253" s="9">
        <v>0</v>
      </c>
      <c r="B253" s="9">
        <v>42</v>
      </c>
      <c r="C253" s="9">
        <v>2</v>
      </c>
      <c r="D253" s="9">
        <v>7</v>
      </c>
      <c r="E253" s="9">
        <v>23</v>
      </c>
      <c r="F253" s="9">
        <v>41</v>
      </c>
      <c r="G253" s="9">
        <v>4.5999999999999996</v>
      </c>
      <c r="H253" s="9">
        <v>0.97</v>
      </c>
      <c r="I253" s="9">
        <v>0.94</v>
      </c>
      <c r="J253" s="7" t="s">
        <v>49</v>
      </c>
    </row>
    <row r="254" spans="1:10" x14ac:dyDescent="0.2">
      <c r="A254" s="9">
        <v>0</v>
      </c>
      <c r="B254" s="9">
        <v>32</v>
      </c>
      <c r="C254" s="9">
        <v>2</v>
      </c>
      <c r="D254" s="9">
        <v>7</v>
      </c>
      <c r="E254" s="9">
        <v>10</v>
      </c>
      <c r="F254" s="9">
        <v>32</v>
      </c>
      <c r="G254" s="9">
        <v>4.3</v>
      </c>
      <c r="H254" s="9">
        <v>0.43</v>
      </c>
      <c r="I254" s="9">
        <v>0.94</v>
      </c>
      <c r="J254" s="7" t="s">
        <v>49</v>
      </c>
    </row>
    <row r="255" spans="1:10" x14ac:dyDescent="0.2">
      <c r="A255" s="9">
        <v>0</v>
      </c>
      <c r="B255" s="9">
        <v>21</v>
      </c>
      <c r="C255" s="9">
        <v>2</v>
      </c>
      <c r="D255" s="9">
        <v>0</v>
      </c>
      <c r="E255" s="9">
        <v>1</v>
      </c>
      <c r="F255" s="9">
        <v>16</v>
      </c>
      <c r="G255" s="9">
        <v>6.8</v>
      </c>
      <c r="H255" s="9">
        <v>0.15</v>
      </c>
      <c r="I255" s="9">
        <v>0.94</v>
      </c>
      <c r="J255" s="7" t="s">
        <v>49</v>
      </c>
    </row>
    <row r="256" spans="1:10" x14ac:dyDescent="0.2">
      <c r="A256" s="9">
        <v>0</v>
      </c>
      <c r="B256" s="9">
        <v>25</v>
      </c>
      <c r="C256" s="9">
        <v>1</v>
      </c>
      <c r="D256" s="9">
        <v>8</v>
      </c>
      <c r="E256" s="9">
        <v>1</v>
      </c>
      <c r="F256" s="9">
        <v>35</v>
      </c>
      <c r="G256" s="9">
        <v>2.9</v>
      </c>
      <c r="H256" s="9">
        <v>0.08</v>
      </c>
      <c r="I256" s="9">
        <v>0.94</v>
      </c>
      <c r="J256" s="7" t="s">
        <v>49</v>
      </c>
    </row>
    <row r="257" spans="1:10" x14ac:dyDescent="0.2">
      <c r="A257" s="9">
        <v>0</v>
      </c>
      <c r="B257" s="9">
        <v>34</v>
      </c>
      <c r="C257" s="9">
        <v>6</v>
      </c>
      <c r="D257" s="9">
        <v>7</v>
      </c>
      <c r="E257" s="9">
        <v>12</v>
      </c>
      <c r="F257" s="9">
        <v>25</v>
      </c>
      <c r="G257" s="9">
        <v>10.199999999999999</v>
      </c>
      <c r="H257" s="9">
        <v>1.63</v>
      </c>
      <c r="I257" s="9">
        <v>0.92</v>
      </c>
      <c r="J257" s="7" t="s">
        <v>49</v>
      </c>
    </row>
    <row r="258" spans="1:10" x14ac:dyDescent="0.2">
      <c r="A258" s="9">
        <v>0</v>
      </c>
      <c r="B258" s="9">
        <v>48</v>
      </c>
      <c r="C258" s="9">
        <v>1</v>
      </c>
      <c r="D258" s="9">
        <v>3</v>
      </c>
      <c r="E258" s="9">
        <v>7</v>
      </c>
      <c r="F258" s="9">
        <v>24</v>
      </c>
      <c r="G258" s="9">
        <v>7</v>
      </c>
      <c r="H258" s="9">
        <v>0.76</v>
      </c>
      <c r="I258" s="9">
        <v>0.92</v>
      </c>
      <c r="J258" s="7" t="s">
        <v>49</v>
      </c>
    </row>
    <row r="259" spans="1:10" x14ac:dyDescent="0.2">
      <c r="A259" s="9">
        <v>0</v>
      </c>
      <c r="B259" s="9">
        <v>26</v>
      </c>
      <c r="C259" s="9">
        <v>1</v>
      </c>
      <c r="D259" s="9">
        <v>7</v>
      </c>
      <c r="E259" s="9">
        <v>3</v>
      </c>
      <c r="F259" s="9">
        <v>22</v>
      </c>
      <c r="G259" s="9">
        <v>5.0999999999999996</v>
      </c>
      <c r="H259" s="9">
        <v>0.21</v>
      </c>
      <c r="I259" s="9">
        <v>0.91</v>
      </c>
      <c r="J259" s="7" t="s">
        <v>49</v>
      </c>
    </row>
    <row r="260" spans="1:10" x14ac:dyDescent="0.2">
      <c r="A260" s="9">
        <v>0</v>
      </c>
      <c r="B260" s="9">
        <v>22</v>
      </c>
      <c r="C260" s="9">
        <v>2</v>
      </c>
      <c r="D260" s="9">
        <v>0</v>
      </c>
      <c r="E260" s="9">
        <v>3</v>
      </c>
      <c r="F260" s="9">
        <v>20</v>
      </c>
      <c r="G260" s="9">
        <v>5.6</v>
      </c>
      <c r="H260" s="9">
        <v>0.21</v>
      </c>
      <c r="I260" s="9">
        <v>0.91</v>
      </c>
      <c r="J260" s="7" t="s">
        <v>49</v>
      </c>
    </row>
    <row r="261" spans="1:10" x14ac:dyDescent="0.2">
      <c r="A261" s="9">
        <v>0</v>
      </c>
      <c r="B261" s="9">
        <v>21</v>
      </c>
      <c r="C261" s="9">
        <v>1</v>
      </c>
      <c r="D261" s="9">
        <v>4</v>
      </c>
      <c r="E261" s="9">
        <v>0</v>
      </c>
      <c r="F261" s="9">
        <v>26</v>
      </c>
      <c r="G261" s="9">
        <v>8.9</v>
      </c>
      <c r="H261" s="9">
        <v>1.42</v>
      </c>
      <c r="I261" s="9">
        <v>0.89</v>
      </c>
      <c r="J261" s="7" t="s">
        <v>49</v>
      </c>
    </row>
    <row r="262" spans="1:10" x14ac:dyDescent="0.2">
      <c r="A262" s="9">
        <v>0</v>
      </c>
      <c r="B262" s="9">
        <v>50</v>
      </c>
      <c r="C262" s="9">
        <v>1</v>
      </c>
      <c r="D262" s="9">
        <v>11</v>
      </c>
      <c r="E262" s="9">
        <v>5</v>
      </c>
      <c r="F262" s="9">
        <v>36</v>
      </c>
      <c r="G262" s="9">
        <v>4.8</v>
      </c>
      <c r="H262" s="9">
        <v>0.83</v>
      </c>
      <c r="I262" s="9">
        <v>0.89</v>
      </c>
      <c r="J262" s="7" t="s">
        <v>49</v>
      </c>
    </row>
    <row r="263" spans="1:10" x14ac:dyDescent="0.2">
      <c r="A263" s="9">
        <v>0</v>
      </c>
      <c r="B263" s="9">
        <v>36</v>
      </c>
      <c r="C263" s="9">
        <v>5</v>
      </c>
      <c r="D263" s="9">
        <v>5</v>
      </c>
      <c r="E263" s="9">
        <v>12</v>
      </c>
      <c r="F263" s="9">
        <v>20</v>
      </c>
      <c r="G263" s="9">
        <v>8.1</v>
      </c>
      <c r="H263" s="9">
        <v>0.73</v>
      </c>
      <c r="I263" s="9">
        <v>0.89</v>
      </c>
      <c r="J263" s="7" t="s">
        <v>49</v>
      </c>
    </row>
    <row r="264" spans="1:10" x14ac:dyDescent="0.2">
      <c r="A264" s="9">
        <v>0</v>
      </c>
      <c r="B264" s="9">
        <v>30</v>
      </c>
      <c r="C264" s="9">
        <v>1</v>
      </c>
      <c r="D264" s="9">
        <v>4</v>
      </c>
      <c r="E264" s="9">
        <v>0</v>
      </c>
      <c r="F264" s="9">
        <v>33</v>
      </c>
      <c r="G264" s="9">
        <v>4.2</v>
      </c>
      <c r="H264" s="9">
        <v>0.5</v>
      </c>
      <c r="I264" s="9">
        <v>0.89</v>
      </c>
      <c r="J264" s="7" t="s">
        <v>49</v>
      </c>
    </row>
    <row r="265" spans="1:10" x14ac:dyDescent="0.2">
      <c r="A265" s="9">
        <v>0</v>
      </c>
      <c r="B265" s="9">
        <v>34</v>
      </c>
      <c r="C265" s="9">
        <v>2</v>
      </c>
      <c r="D265" s="9">
        <v>4</v>
      </c>
      <c r="E265" s="9">
        <v>10</v>
      </c>
      <c r="F265" s="9">
        <v>25</v>
      </c>
      <c r="G265" s="9">
        <v>5.8</v>
      </c>
      <c r="H265" s="9">
        <v>0.56999999999999995</v>
      </c>
      <c r="I265" s="9">
        <v>0.88</v>
      </c>
      <c r="J265" s="7" t="s">
        <v>49</v>
      </c>
    </row>
    <row r="266" spans="1:10" x14ac:dyDescent="0.2">
      <c r="A266" s="9">
        <v>1</v>
      </c>
      <c r="B266" s="9">
        <v>25</v>
      </c>
      <c r="C266" s="9">
        <v>1</v>
      </c>
      <c r="D266" s="9">
        <v>1</v>
      </c>
      <c r="E266" s="9">
        <v>0</v>
      </c>
      <c r="F266" s="9">
        <v>20</v>
      </c>
      <c r="G266" s="9">
        <v>6.7</v>
      </c>
      <c r="H266" s="9">
        <v>0.47</v>
      </c>
      <c r="I266" s="9">
        <v>0.87</v>
      </c>
      <c r="J266" s="7" t="s">
        <v>49</v>
      </c>
    </row>
    <row r="267" spans="1:10" x14ac:dyDescent="0.2">
      <c r="A267" s="9">
        <v>0</v>
      </c>
      <c r="B267" s="9">
        <v>31</v>
      </c>
      <c r="C267" s="9">
        <v>1</v>
      </c>
      <c r="D267" s="9">
        <v>9</v>
      </c>
      <c r="E267" s="9">
        <v>5</v>
      </c>
      <c r="F267" s="9">
        <v>26</v>
      </c>
      <c r="G267" s="9">
        <v>4.5</v>
      </c>
      <c r="H267" s="9">
        <v>0.31</v>
      </c>
      <c r="I267" s="9">
        <v>0.86</v>
      </c>
      <c r="J267" s="7" t="s">
        <v>49</v>
      </c>
    </row>
    <row r="268" spans="1:10" x14ac:dyDescent="0.2">
      <c r="A268" s="9">
        <v>0</v>
      </c>
      <c r="B268" s="9">
        <v>27</v>
      </c>
      <c r="C268" s="9">
        <v>3</v>
      </c>
      <c r="D268" s="9">
        <v>2</v>
      </c>
      <c r="E268" s="9">
        <v>7</v>
      </c>
      <c r="F268" s="9">
        <v>26</v>
      </c>
      <c r="G268" s="9">
        <v>6</v>
      </c>
      <c r="H268" s="9">
        <v>0.72</v>
      </c>
      <c r="I268" s="9">
        <v>0.84</v>
      </c>
      <c r="J268" s="7" t="s">
        <v>49</v>
      </c>
    </row>
    <row r="269" spans="1:10" x14ac:dyDescent="0.2">
      <c r="A269" s="9">
        <v>0</v>
      </c>
      <c r="B269" s="9">
        <v>33</v>
      </c>
      <c r="C269" s="9">
        <v>4</v>
      </c>
      <c r="D269" s="9">
        <v>9</v>
      </c>
      <c r="E269" s="9">
        <v>10</v>
      </c>
      <c r="F269" s="9">
        <v>28</v>
      </c>
      <c r="G269" s="9">
        <v>4.3</v>
      </c>
      <c r="H269" s="9">
        <v>0.38</v>
      </c>
      <c r="I269" s="9">
        <v>0.83</v>
      </c>
      <c r="J269" s="7" t="s">
        <v>49</v>
      </c>
    </row>
    <row r="270" spans="1:10" x14ac:dyDescent="0.2">
      <c r="A270" s="9">
        <v>0</v>
      </c>
      <c r="B270" s="9">
        <v>41</v>
      </c>
      <c r="C270" s="9">
        <v>1</v>
      </c>
      <c r="D270" s="9">
        <v>15</v>
      </c>
      <c r="E270" s="9">
        <v>14</v>
      </c>
      <c r="F270" s="13">
        <v>117.54291069294821</v>
      </c>
      <c r="G270" s="9">
        <v>2.9</v>
      </c>
      <c r="H270" s="9">
        <v>2.66</v>
      </c>
      <c r="I270" s="9">
        <v>0.82</v>
      </c>
      <c r="J270" s="7" t="s">
        <v>49</v>
      </c>
    </row>
    <row r="271" spans="1:10" x14ac:dyDescent="0.2">
      <c r="A271" s="9">
        <v>0</v>
      </c>
      <c r="B271" s="9">
        <v>24</v>
      </c>
      <c r="C271" s="9">
        <v>1</v>
      </c>
      <c r="D271" s="9">
        <v>8</v>
      </c>
      <c r="E271" s="9">
        <v>4</v>
      </c>
      <c r="F271" s="9">
        <v>24</v>
      </c>
      <c r="G271" s="9">
        <v>5</v>
      </c>
      <c r="H271" s="9">
        <v>0.38</v>
      </c>
      <c r="I271" s="9">
        <v>0.82</v>
      </c>
      <c r="J271" s="7" t="s">
        <v>49</v>
      </c>
    </row>
    <row r="272" spans="1:10" x14ac:dyDescent="0.2">
      <c r="A272" s="9">
        <v>1</v>
      </c>
      <c r="B272" s="9">
        <v>24</v>
      </c>
      <c r="C272" s="9">
        <v>1</v>
      </c>
      <c r="D272" s="9">
        <v>1</v>
      </c>
      <c r="E272" s="9">
        <v>0</v>
      </c>
      <c r="F272" s="9">
        <v>18</v>
      </c>
      <c r="G272" s="9">
        <v>5.9</v>
      </c>
      <c r="H272" s="9">
        <v>0.24</v>
      </c>
      <c r="I272" s="9">
        <v>0.82</v>
      </c>
      <c r="J272" s="7" t="s">
        <v>49</v>
      </c>
    </row>
    <row r="273" spans="1:10" x14ac:dyDescent="0.2">
      <c r="A273" s="9">
        <v>0</v>
      </c>
      <c r="B273" s="9">
        <v>35</v>
      </c>
      <c r="C273" s="9">
        <v>2</v>
      </c>
      <c r="D273" s="9">
        <v>5</v>
      </c>
      <c r="E273" s="9">
        <v>1</v>
      </c>
      <c r="F273" s="9">
        <v>33</v>
      </c>
      <c r="G273" s="9">
        <v>2.8</v>
      </c>
      <c r="H273" s="9">
        <v>0.1</v>
      </c>
      <c r="I273" s="9">
        <v>0.82</v>
      </c>
      <c r="J273" s="7" t="s">
        <v>49</v>
      </c>
    </row>
    <row r="274" spans="1:10" x14ac:dyDescent="0.2">
      <c r="A274" s="9">
        <v>0</v>
      </c>
      <c r="B274" s="9">
        <v>43</v>
      </c>
      <c r="C274" s="9">
        <v>1</v>
      </c>
      <c r="D274" s="9">
        <v>8</v>
      </c>
      <c r="E274" s="9">
        <v>11</v>
      </c>
      <c r="F274" s="9">
        <v>45</v>
      </c>
      <c r="G274" s="9">
        <v>3.3</v>
      </c>
      <c r="H274" s="9">
        <v>0.68</v>
      </c>
      <c r="I274" s="9">
        <v>0.81</v>
      </c>
      <c r="J274" s="7" t="s">
        <v>49</v>
      </c>
    </row>
    <row r="275" spans="1:10" x14ac:dyDescent="0.2">
      <c r="A275" s="9">
        <v>0</v>
      </c>
      <c r="B275" s="9">
        <v>24</v>
      </c>
      <c r="C275" s="9">
        <v>1</v>
      </c>
      <c r="D275" s="9">
        <v>7</v>
      </c>
      <c r="E275" s="9">
        <v>2</v>
      </c>
      <c r="F275" s="9">
        <v>21</v>
      </c>
      <c r="G275" s="9">
        <v>6.3</v>
      </c>
      <c r="H275" s="9">
        <v>0.52</v>
      </c>
      <c r="I275" s="9">
        <v>0.8</v>
      </c>
      <c r="J275" s="7" t="s">
        <v>49</v>
      </c>
    </row>
    <row r="276" spans="1:10" x14ac:dyDescent="0.2">
      <c r="A276" s="9">
        <v>0</v>
      </c>
      <c r="B276" s="9">
        <v>33</v>
      </c>
      <c r="C276" s="9">
        <v>1</v>
      </c>
      <c r="D276" s="9">
        <v>7</v>
      </c>
      <c r="E276" s="9">
        <v>0</v>
      </c>
      <c r="F276" s="9">
        <v>22</v>
      </c>
      <c r="G276" s="9">
        <v>6.4</v>
      </c>
      <c r="H276" s="9">
        <v>0.63</v>
      </c>
      <c r="I276" s="9">
        <v>0.78</v>
      </c>
      <c r="J276" s="7" t="s">
        <v>49</v>
      </c>
    </row>
    <row r="277" spans="1:10" x14ac:dyDescent="0.2">
      <c r="A277" s="9">
        <v>0</v>
      </c>
      <c r="B277" s="9">
        <v>26</v>
      </c>
      <c r="C277" s="9">
        <v>1</v>
      </c>
      <c r="D277" s="9">
        <v>4</v>
      </c>
      <c r="E277" s="9">
        <v>3</v>
      </c>
      <c r="F277" s="9">
        <v>20</v>
      </c>
      <c r="G277" s="9">
        <v>5.4</v>
      </c>
      <c r="H277" s="9">
        <v>0.32</v>
      </c>
      <c r="I277" s="9">
        <v>0.76</v>
      </c>
      <c r="J277" s="7" t="s">
        <v>49</v>
      </c>
    </row>
    <row r="278" spans="1:10" x14ac:dyDescent="0.2">
      <c r="A278" s="9">
        <v>0</v>
      </c>
      <c r="B278" s="9">
        <v>33</v>
      </c>
      <c r="C278" s="9">
        <v>1</v>
      </c>
      <c r="D278" s="9">
        <v>14</v>
      </c>
      <c r="E278" s="9">
        <v>2</v>
      </c>
      <c r="F278" s="9">
        <v>37</v>
      </c>
      <c r="G278" s="9">
        <v>2.6</v>
      </c>
      <c r="H278" s="9">
        <v>0.2</v>
      </c>
      <c r="I278" s="9">
        <v>0.76</v>
      </c>
      <c r="J278" s="7" t="s">
        <v>49</v>
      </c>
    </row>
    <row r="279" spans="1:10" x14ac:dyDescent="0.2">
      <c r="A279" s="9">
        <v>0</v>
      </c>
      <c r="B279" s="9">
        <v>39</v>
      </c>
      <c r="C279" s="9">
        <v>1</v>
      </c>
      <c r="D279" s="9">
        <v>19</v>
      </c>
      <c r="E279" s="9">
        <v>16</v>
      </c>
      <c r="F279" s="9">
        <v>45</v>
      </c>
      <c r="G279" s="9">
        <v>3.7</v>
      </c>
      <c r="H279" s="9">
        <v>0.92</v>
      </c>
      <c r="I279" s="9">
        <v>0.75</v>
      </c>
      <c r="J279" s="7" t="s">
        <v>49</v>
      </c>
    </row>
    <row r="280" spans="1:10" x14ac:dyDescent="0.2">
      <c r="A280" s="9">
        <v>1</v>
      </c>
      <c r="B280" s="9">
        <v>27</v>
      </c>
      <c r="C280" s="9">
        <v>2</v>
      </c>
      <c r="D280" s="9">
        <v>7</v>
      </c>
      <c r="E280" s="9">
        <v>8</v>
      </c>
      <c r="F280" s="9">
        <v>30</v>
      </c>
      <c r="G280" s="9">
        <v>4</v>
      </c>
      <c r="H280" s="9">
        <v>0.45</v>
      </c>
      <c r="I280" s="9">
        <v>0.75</v>
      </c>
      <c r="J280" s="7" t="s">
        <v>49</v>
      </c>
    </row>
    <row r="281" spans="1:10" x14ac:dyDescent="0.2">
      <c r="A281" s="9">
        <v>1</v>
      </c>
      <c r="B281" s="9">
        <v>32</v>
      </c>
      <c r="C281" s="9">
        <v>2</v>
      </c>
      <c r="D281" s="9">
        <v>0</v>
      </c>
      <c r="E281" s="9">
        <v>6</v>
      </c>
      <c r="F281" s="9">
        <v>18</v>
      </c>
      <c r="G281" s="9">
        <v>5.8</v>
      </c>
      <c r="H281" s="9">
        <v>0.3</v>
      </c>
      <c r="I281" s="9">
        <v>0.75</v>
      </c>
      <c r="J281" s="7" t="s">
        <v>49</v>
      </c>
    </row>
    <row r="282" spans="1:10" x14ac:dyDescent="0.2">
      <c r="A282" s="9">
        <v>1</v>
      </c>
      <c r="B282" s="9">
        <v>26</v>
      </c>
      <c r="C282" s="9">
        <v>1</v>
      </c>
      <c r="D282" s="9">
        <v>0</v>
      </c>
      <c r="E282" s="9">
        <v>0</v>
      </c>
      <c r="F282" s="9">
        <v>14</v>
      </c>
      <c r="G282" s="9">
        <v>7.5</v>
      </c>
      <c r="H282" s="9">
        <v>0.3</v>
      </c>
      <c r="I282" s="9">
        <v>0.75</v>
      </c>
      <c r="J282" s="7" t="s">
        <v>49</v>
      </c>
    </row>
    <row r="283" spans="1:10" x14ac:dyDescent="0.2">
      <c r="A283" s="9">
        <v>1</v>
      </c>
      <c r="B283" s="9">
        <v>24</v>
      </c>
      <c r="C283" s="9">
        <v>3</v>
      </c>
      <c r="D283" s="9">
        <v>2</v>
      </c>
      <c r="E283" s="9">
        <v>5</v>
      </c>
      <c r="F283" s="9">
        <v>16</v>
      </c>
      <c r="G283" s="9">
        <v>6.4</v>
      </c>
      <c r="H283" s="9">
        <v>0.27</v>
      </c>
      <c r="I283" s="9">
        <v>0.75</v>
      </c>
      <c r="J283" s="7" t="s">
        <v>49</v>
      </c>
    </row>
    <row r="284" spans="1:10" x14ac:dyDescent="0.2">
      <c r="A284" s="9">
        <v>1</v>
      </c>
      <c r="B284" s="9">
        <v>37</v>
      </c>
      <c r="C284" s="9">
        <v>1</v>
      </c>
      <c r="D284" s="9">
        <v>0</v>
      </c>
      <c r="E284" s="9">
        <v>18</v>
      </c>
      <c r="F284" s="9">
        <v>18</v>
      </c>
      <c r="G284" s="9">
        <v>12.9</v>
      </c>
      <c r="H284" s="9">
        <v>1.58</v>
      </c>
      <c r="I284" s="9">
        <v>0.74</v>
      </c>
      <c r="J284" s="7" t="s">
        <v>49</v>
      </c>
    </row>
    <row r="285" spans="1:10" x14ac:dyDescent="0.2">
      <c r="A285" s="9">
        <v>0</v>
      </c>
      <c r="B285" s="9">
        <v>32</v>
      </c>
      <c r="C285" s="9">
        <v>1</v>
      </c>
      <c r="D285" s="9">
        <v>8</v>
      </c>
      <c r="E285" s="9">
        <v>6</v>
      </c>
      <c r="F285" s="9">
        <v>26</v>
      </c>
      <c r="G285" s="9">
        <v>4.0999999999999996</v>
      </c>
      <c r="H285" s="9">
        <v>0.33</v>
      </c>
      <c r="I285" s="9">
        <v>0.74</v>
      </c>
      <c r="J285" s="7" t="s">
        <v>49</v>
      </c>
    </row>
    <row r="286" spans="1:10" x14ac:dyDescent="0.2">
      <c r="A286" s="9">
        <v>0</v>
      </c>
      <c r="B286" s="9">
        <v>30</v>
      </c>
      <c r="C286" s="9">
        <v>4</v>
      </c>
      <c r="D286" s="9">
        <v>2</v>
      </c>
      <c r="E286" s="9">
        <v>8</v>
      </c>
      <c r="F286" s="9">
        <v>25</v>
      </c>
      <c r="G286" s="9">
        <v>10</v>
      </c>
      <c r="H286" s="9">
        <v>1.77</v>
      </c>
      <c r="I286" s="9">
        <v>0.73</v>
      </c>
      <c r="J286" s="7" t="s">
        <v>49</v>
      </c>
    </row>
    <row r="287" spans="1:10" x14ac:dyDescent="0.2">
      <c r="A287" s="9">
        <v>1</v>
      </c>
      <c r="B287" s="9">
        <v>23</v>
      </c>
      <c r="C287" s="9">
        <v>1</v>
      </c>
      <c r="D287" s="9">
        <v>2</v>
      </c>
      <c r="E287" s="9">
        <v>2</v>
      </c>
      <c r="F287" s="9">
        <v>16</v>
      </c>
      <c r="G287" s="9">
        <v>9.6</v>
      </c>
      <c r="H287" s="9">
        <v>0.8</v>
      </c>
      <c r="I287" s="9">
        <v>0.73</v>
      </c>
      <c r="J287" s="7" t="s">
        <v>49</v>
      </c>
    </row>
    <row r="288" spans="1:10" x14ac:dyDescent="0.2">
      <c r="A288" s="9">
        <v>0</v>
      </c>
      <c r="B288" s="9">
        <v>32</v>
      </c>
      <c r="C288" s="9">
        <v>3</v>
      </c>
      <c r="D288" s="9">
        <v>5</v>
      </c>
      <c r="E288" s="9">
        <v>9</v>
      </c>
      <c r="F288" s="9">
        <v>23</v>
      </c>
      <c r="G288" s="9">
        <v>4.5</v>
      </c>
      <c r="H288" s="9">
        <v>0.33</v>
      </c>
      <c r="I288" s="9">
        <v>0.71</v>
      </c>
      <c r="J288" s="7" t="s">
        <v>49</v>
      </c>
    </row>
    <row r="289" spans="1:10" x14ac:dyDescent="0.2">
      <c r="A289" s="9">
        <v>0</v>
      </c>
      <c r="B289" s="9">
        <v>32</v>
      </c>
      <c r="C289" s="9">
        <v>1</v>
      </c>
      <c r="D289" s="9">
        <v>12</v>
      </c>
      <c r="E289" s="9">
        <v>12</v>
      </c>
      <c r="F289" s="9">
        <v>28</v>
      </c>
      <c r="G289" s="9">
        <v>2.9</v>
      </c>
      <c r="H289" s="9">
        <v>0.12</v>
      </c>
      <c r="I289" s="9">
        <v>0.7</v>
      </c>
      <c r="J289" s="7" t="s">
        <v>49</v>
      </c>
    </row>
    <row r="290" spans="1:10" x14ac:dyDescent="0.2">
      <c r="A290" s="9">
        <v>0</v>
      </c>
      <c r="B290" s="9">
        <v>40</v>
      </c>
      <c r="C290" s="9">
        <v>1</v>
      </c>
      <c r="D290" s="9">
        <v>13</v>
      </c>
      <c r="E290" s="9">
        <v>2</v>
      </c>
      <c r="F290" s="9">
        <v>28</v>
      </c>
      <c r="G290" s="9">
        <v>5.9</v>
      </c>
      <c r="H290" s="9">
        <v>0.96</v>
      </c>
      <c r="I290" s="9">
        <v>0.69</v>
      </c>
      <c r="J290" s="7" t="s">
        <v>49</v>
      </c>
    </row>
    <row r="291" spans="1:10" x14ac:dyDescent="0.2">
      <c r="A291" s="9">
        <v>0</v>
      </c>
      <c r="B291" s="9">
        <v>32</v>
      </c>
      <c r="C291" s="9">
        <v>2</v>
      </c>
      <c r="D291" s="9">
        <v>8</v>
      </c>
      <c r="E291" s="9">
        <v>2</v>
      </c>
      <c r="F291" s="9">
        <v>45</v>
      </c>
      <c r="G291" s="9">
        <v>3.7</v>
      </c>
      <c r="H291" s="9">
        <v>0.98</v>
      </c>
      <c r="I291" s="9">
        <v>0.68</v>
      </c>
      <c r="J291" s="7" t="s">
        <v>49</v>
      </c>
    </row>
    <row r="292" spans="1:10" x14ac:dyDescent="0.2">
      <c r="A292" s="9">
        <v>0</v>
      </c>
      <c r="B292" s="9">
        <v>41</v>
      </c>
      <c r="C292" s="9">
        <v>1</v>
      </c>
      <c r="D292" s="9">
        <v>13</v>
      </c>
      <c r="E292" s="9">
        <v>10</v>
      </c>
      <c r="F292" s="9">
        <v>44</v>
      </c>
      <c r="G292" s="9">
        <v>1.7</v>
      </c>
      <c r="H292" s="9">
        <v>7.0000000000000007E-2</v>
      </c>
      <c r="I292" s="9">
        <v>0.68</v>
      </c>
      <c r="J292" s="7" t="s">
        <v>49</v>
      </c>
    </row>
    <row r="293" spans="1:10" x14ac:dyDescent="0.2">
      <c r="A293" s="9">
        <v>1</v>
      </c>
      <c r="B293" s="9">
        <v>32</v>
      </c>
      <c r="C293" s="9">
        <v>1</v>
      </c>
      <c r="D293" s="9">
        <v>1</v>
      </c>
      <c r="E293" s="9">
        <v>0</v>
      </c>
      <c r="F293" s="9">
        <v>20</v>
      </c>
      <c r="G293" s="9">
        <v>4.8</v>
      </c>
      <c r="H293" s="9">
        <v>0.31</v>
      </c>
      <c r="I293" s="9">
        <v>0.65</v>
      </c>
      <c r="J293" s="7" t="s">
        <v>49</v>
      </c>
    </row>
    <row r="294" spans="1:10" x14ac:dyDescent="0.2">
      <c r="A294" s="9">
        <v>0</v>
      </c>
      <c r="B294" s="9">
        <v>37</v>
      </c>
      <c r="C294" s="9">
        <v>1</v>
      </c>
      <c r="D294" s="9">
        <v>3</v>
      </c>
      <c r="E294" s="9">
        <v>3</v>
      </c>
      <c r="F294" s="9">
        <v>25</v>
      </c>
      <c r="G294" s="9">
        <v>3.7</v>
      </c>
      <c r="H294" s="9">
        <v>0.28000000000000003</v>
      </c>
      <c r="I294" s="9">
        <v>0.65</v>
      </c>
      <c r="J294" s="7" t="s">
        <v>49</v>
      </c>
    </row>
    <row r="295" spans="1:10" x14ac:dyDescent="0.2">
      <c r="A295" s="9">
        <v>0</v>
      </c>
      <c r="B295" s="9">
        <v>31</v>
      </c>
      <c r="C295" s="9">
        <v>1</v>
      </c>
      <c r="D295" s="9">
        <v>9</v>
      </c>
      <c r="E295" s="9">
        <v>10</v>
      </c>
      <c r="F295" s="9">
        <v>28</v>
      </c>
      <c r="G295" s="9">
        <v>2.4</v>
      </c>
      <c r="H295" s="9">
        <v>0.05</v>
      </c>
      <c r="I295" s="9">
        <v>0.62</v>
      </c>
      <c r="J295" s="7" t="s">
        <v>49</v>
      </c>
    </row>
    <row r="296" spans="1:10" x14ac:dyDescent="0.2">
      <c r="A296" s="9">
        <v>0</v>
      </c>
      <c r="B296" s="9">
        <v>38</v>
      </c>
      <c r="C296" s="9">
        <v>3</v>
      </c>
      <c r="D296" s="9">
        <v>3</v>
      </c>
      <c r="E296" s="9">
        <v>18</v>
      </c>
      <c r="F296" s="9">
        <v>25</v>
      </c>
      <c r="G296" s="9">
        <v>3.7</v>
      </c>
      <c r="H296" s="9">
        <v>0.31</v>
      </c>
      <c r="I296" s="9">
        <v>0.61</v>
      </c>
      <c r="J296" s="7" t="s">
        <v>49</v>
      </c>
    </row>
    <row r="297" spans="1:10" x14ac:dyDescent="0.2">
      <c r="A297" s="9">
        <v>0</v>
      </c>
      <c r="B297" s="9">
        <v>32</v>
      </c>
      <c r="C297" s="9">
        <v>1</v>
      </c>
      <c r="D297" s="9">
        <v>14</v>
      </c>
      <c r="E297" s="9">
        <v>0</v>
      </c>
      <c r="F297" s="9">
        <v>36</v>
      </c>
      <c r="G297" s="9">
        <v>2.4</v>
      </c>
      <c r="H297" s="9">
        <v>0.27</v>
      </c>
      <c r="I297" s="9">
        <v>0.59</v>
      </c>
      <c r="J297" s="7" t="s">
        <v>49</v>
      </c>
    </row>
    <row r="298" spans="1:10" x14ac:dyDescent="0.2">
      <c r="A298" s="9">
        <v>0</v>
      </c>
      <c r="B298" s="9">
        <v>35</v>
      </c>
      <c r="C298" s="9">
        <v>2</v>
      </c>
      <c r="D298" s="9">
        <v>13</v>
      </c>
      <c r="E298" s="9">
        <v>3</v>
      </c>
      <c r="F298" s="9">
        <v>105</v>
      </c>
      <c r="G298" s="9">
        <v>1.9</v>
      </c>
      <c r="H298" s="9">
        <v>1.42</v>
      </c>
      <c r="I298" s="9">
        <v>0.57999999999999996</v>
      </c>
      <c r="J298" s="7" t="s">
        <v>49</v>
      </c>
    </row>
    <row r="299" spans="1:10" x14ac:dyDescent="0.2">
      <c r="A299" s="9">
        <v>0</v>
      </c>
      <c r="B299" s="9">
        <v>26</v>
      </c>
      <c r="C299" s="9">
        <v>2</v>
      </c>
      <c r="D299" s="9">
        <v>6</v>
      </c>
      <c r="E299" s="9">
        <v>0</v>
      </c>
      <c r="F299" s="9">
        <v>35</v>
      </c>
      <c r="G299" s="9">
        <v>1.9</v>
      </c>
      <c r="H299" s="9">
        <v>0.09</v>
      </c>
      <c r="I299" s="9">
        <v>0.57999999999999996</v>
      </c>
      <c r="J299" s="7" t="s">
        <v>49</v>
      </c>
    </row>
    <row r="300" spans="1:10" x14ac:dyDescent="0.2">
      <c r="A300" s="9">
        <v>1</v>
      </c>
      <c r="B300" s="9">
        <v>28</v>
      </c>
      <c r="C300" s="9">
        <v>4</v>
      </c>
      <c r="D300" s="9">
        <v>2</v>
      </c>
      <c r="E300" s="9">
        <v>4</v>
      </c>
      <c r="F300" s="9">
        <v>41</v>
      </c>
      <c r="G300" s="9">
        <v>2.5</v>
      </c>
      <c r="H300" s="9">
        <v>0.46</v>
      </c>
      <c r="I300" s="9">
        <v>0.56999999999999995</v>
      </c>
      <c r="J300" s="7" t="s">
        <v>49</v>
      </c>
    </row>
    <row r="301" spans="1:10" x14ac:dyDescent="0.2">
      <c r="A301" s="9">
        <v>0</v>
      </c>
      <c r="B301" s="9">
        <v>36</v>
      </c>
      <c r="C301" s="9">
        <v>1</v>
      </c>
      <c r="D301" s="9">
        <v>15</v>
      </c>
      <c r="E301" s="9">
        <v>10</v>
      </c>
      <c r="F301" s="9">
        <v>39</v>
      </c>
      <c r="G301" s="9">
        <v>3.2</v>
      </c>
      <c r="H301" s="9">
        <v>0.69</v>
      </c>
      <c r="I301" s="9">
        <v>0.56000000000000005</v>
      </c>
      <c r="J301" s="7" t="s">
        <v>49</v>
      </c>
    </row>
    <row r="302" spans="1:10" x14ac:dyDescent="0.2">
      <c r="A302" s="9">
        <v>0</v>
      </c>
      <c r="B302" s="9">
        <v>39</v>
      </c>
      <c r="C302" s="9">
        <v>2</v>
      </c>
      <c r="D302" s="9">
        <v>18</v>
      </c>
      <c r="E302" s="9">
        <v>9</v>
      </c>
      <c r="F302" s="9">
        <v>44</v>
      </c>
      <c r="G302" s="9">
        <v>2.1</v>
      </c>
      <c r="H302" s="9">
        <v>0.37</v>
      </c>
      <c r="I302" s="9">
        <v>0.56000000000000005</v>
      </c>
      <c r="J302" s="7" t="s">
        <v>49</v>
      </c>
    </row>
    <row r="303" spans="1:10" x14ac:dyDescent="0.2">
      <c r="A303" s="9">
        <v>0</v>
      </c>
      <c r="B303" s="9">
        <v>39</v>
      </c>
      <c r="C303" s="9">
        <v>1</v>
      </c>
      <c r="D303" s="9">
        <v>8</v>
      </c>
      <c r="E303" s="9">
        <v>0</v>
      </c>
      <c r="F303" s="9">
        <v>21</v>
      </c>
      <c r="G303" s="9">
        <v>4</v>
      </c>
      <c r="H303" s="9">
        <v>0.28000000000000003</v>
      </c>
      <c r="I303" s="9">
        <v>0.56000000000000005</v>
      </c>
      <c r="J303" s="7" t="s">
        <v>49</v>
      </c>
    </row>
    <row r="304" spans="1:10" x14ac:dyDescent="0.2">
      <c r="A304" s="9">
        <v>0</v>
      </c>
      <c r="B304" s="9">
        <v>39</v>
      </c>
      <c r="C304" s="9">
        <v>1</v>
      </c>
      <c r="D304" s="9">
        <v>15</v>
      </c>
      <c r="E304" s="9">
        <v>16</v>
      </c>
      <c r="F304" s="9">
        <v>39</v>
      </c>
      <c r="G304" s="9">
        <v>1.8</v>
      </c>
      <c r="H304" s="9">
        <v>0.14000000000000001</v>
      </c>
      <c r="I304" s="9">
        <v>0.56000000000000005</v>
      </c>
      <c r="J304" s="7" t="s">
        <v>49</v>
      </c>
    </row>
    <row r="305" spans="1:10" x14ac:dyDescent="0.2">
      <c r="A305" s="9">
        <v>0</v>
      </c>
      <c r="B305" s="9">
        <v>29</v>
      </c>
      <c r="C305" s="9">
        <v>1</v>
      </c>
      <c r="D305" s="9">
        <v>13</v>
      </c>
      <c r="E305" s="9">
        <v>7</v>
      </c>
      <c r="F305" s="9">
        <v>27</v>
      </c>
      <c r="G305" s="9">
        <v>2.2999999999999998</v>
      </c>
      <c r="H305" s="9">
        <v>7.0000000000000007E-2</v>
      </c>
      <c r="I305" s="9">
        <v>0.55000000000000004</v>
      </c>
      <c r="J305" s="7" t="s">
        <v>49</v>
      </c>
    </row>
    <row r="306" spans="1:10" x14ac:dyDescent="0.2">
      <c r="A306" s="9">
        <v>0</v>
      </c>
      <c r="B306" s="9">
        <v>40</v>
      </c>
      <c r="C306" s="9">
        <v>4</v>
      </c>
      <c r="D306" s="9">
        <v>5</v>
      </c>
      <c r="E306" s="9">
        <v>6</v>
      </c>
      <c r="F306" s="9">
        <v>75</v>
      </c>
      <c r="G306" s="9">
        <v>1.9</v>
      </c>
      <c r="H306" s="9">
        <v>0.88</v>
      </c>
      <c r="I306" s="9">
        <v>0.54</v>
      </c>
      <c r="J306" s="7" t="s">
        <v>49</v>
      </c>
    </row>
    <row r="307" spans="1:10" x14ac:dyDescent="0.2">
      <c r="A307" s="9">
        <v>0</v>
      </c>
      <c r="B307" s="9">
        <v>29</v>
      </c>
      <c r="C307" s="9">
        <v>2</v>
      </c>
      <c r="D307" s="9">
        <v>4</v>
      </c>
      <c r="E307" s="9">
        <v>9</v>
      </c>
      <c r="F307" s="9">
        <v>19</v>
      </c>
      <c r="G307" s="9">
        <v>6.3</v>
      </c>
      <c r="H307" s="9">
        <v>0.68</v>
      </c>
      <c r="I307" s="9">
        <v>0.52</v>
      </c>
      <c r="J307" s="7" t="s">
        <v>49</v>
      </c>
    </row>
    <row r="308" spans="1:10" x14ac:dyDescent="0.2">
      <c r="A308" s="9">
        <v>0</v>
      </c>
      <c r="B308" s="9">
        <v>37</v>
      </c>
      <c r="C308" s="9">
        <v>1</v>
      </c>
      <c r="D308" s="9">
        <v>20</v>
      </c>
      <c r="E308" s="9">
        <v>2</v>
      </c>
      <c r="F308" s="9">
        <v>56</v>
      </c>
      <c r="G308" s="9">
        <v>1.9</v>
      </c>
      <c r="H308" s="9">
        <v>0.54</v>
      </c>
      <c r="I308" s="9">
        <v>0.52</v>
      </c>
      <c r="J308" s="7" t="s">
        <v>49</v>
      </c>
    </row>
    <row r="309" spans="1:10" x14ac:dyDescent="0.2">
      <c r="A309" s="9">
        <v>0</v>
      </c>
      <c r="B309" s="9">
        <v>22</v>
      </c>
      <c r="C309" s="9">
        <v>1</v>
      </c>
      <c r="D309" s="9">
        <v>1</v>
      </c>
      <c r="E309" s="9">
        <v>0</v>
      </c>
      <c r="F309" s="9">
        <v>18</v>
      </c>
      <c r="G309" s="9">
        <v>4.4000000000000004</v>
      </c>
      <c r="H309" s="9">
        <v>0.27</v>
      </c>
      <c r="I309" s="9">
        <v>0.52</v>
      </c>
      <c r="J309" s="7" t="s">
        <v>49</v>
      </c>
    </row>
    <row r="310" spans="1:10" x14ac:dyDescent="0.2">
      <c r="A310" s="9">
        <v>0</v>
      </c>
      <c r="B310" s="9">
        <v>28</v>
      </c>
      <c r="C310" s="9">
        <v>1</v>
      </c>
      <c r="D310" s="9">
        <v>3</v>
      </c>
      <c r="E310" s="9">
        <v>7</v>
      </c>
      <c r="F310" s="9">
        <v>19</v>
      </c>
      <c r="G310" s="9">
        <v>4.0999999999999996</v>
      </c>
      <c r="H310" s="9">
        <v>0.26</v>
      </c>
      <c r="I310" s="9">
        <v>0.52</v>
      </c>
      <c r="J310" s="7" t="s">
        <v>49</v>
      </c>
    </row>
    <row r="311" spans="1:10" x14ac:dyDescent="0.2">
      <c r="A311" s="9">
        <v>0</v>
      </c>
      <c r="B311" s="9">
        <v>39</v>
      </c>
      <c r="C311" s="9">
        <v>1</v>
      </c>
      <c r="D311" s="9">
        <v>22</v>
      </c>
      <c r="E311" s="9">
        <v>3</v>
      </c>
      <c r="F311" s="9">
        <v>52</v>
      </c>
      <c r="G311" s="9">
        <v>3.2</v>
      </c>
      <c r="H311" s="9">
        <v>1.1499999999999999</v>
      </c>
      <c r="I311" s="9">
        <v>0.51</v>
      </c>
      <c r="J311" s="7" t="s">
        <v>49</v>
      </c>
    </row>
    <row r="312" spans="1:10" x14ac:dyDescent="0.2">
      <c r="A312" s="9">
        <v>0</v>
      </c>
      <c r="B312" s="9">
        <v>30</v>
      </c>
      <c r="C312" s="9">
        <v>1</v>
      </c>
      <c r="D312" s="9">
        <v>10</v>
      </c>
      <c r="E312" s="9">
        <v>2</v>
      </c>
      <c r="F312" s="9">
        <v>19</v>
      </c>
      <c r="G312" s="9">
        <v>4.4000000000000004</v>
      </c>
      <c r="H312" s="9">
        <v>0.34</v>
      </c>
      <c r="I312" s="9">
        <v>0.5</v>
      </c>
      <c r="J312" s="7" t="s">
        <v>49</v>
      </c>
    </row>
    <row r="313" spans="1:10" x14ac:dyDescent="0.2">
      <c r="A313" s="9">
        <v>0</v>
      </c>
      <c r="B313" s="9">
        <v>36</v>
      </c>
      <c r="C313" s="9">
        <v>4</v>
      </c>
      <c r="D313" s="9">
        <v>8</v>
      </c>
      <c r="E313" s="9">
        <v>0</v>
      </c>
      <c r="F313" s="9">
        <v>32</v>
      </c>
      <c r="G313" s="9">
        <v>1.6</v>
      </c>
      <c r="H313" s="9">
        <v>0.02</v>
      </c>
      <c r="I313" s="9">
        <v>0.49</v>
      </c>
      <c r="J313" s="7" t="s">
        <v>49</v>
      </c>
    </row>
    <row r="314" spans="1:10" x14ac:dyDescent="0.2">
      <c r="A314" s="9">
        <v>0</v>
      </c>
      <c r="B314" s="9">
        <v>28</v>
      </c>
      <c r="C314" s="9">
        <v>1</v>
      </c>
      <c r="D314" s="9">
        <v>5</v>
      </c>
      <c r="E314" s="9">
        <v>9</v>
      </c>
      <c r="F314" s="9">
        <v>22</v>
      </c>
      <c r="G314" s="9">
        <v>2.8</v>
      </c>
      <c r="H314" s="9">
        <v>0.14000000000000001</v>
      </c>
      <c r="I314" s="9">
        <v>0.48</v>
      </c>
      <c r="J314" s="7" t="s">
        <v>49</v>
      </c>
    </row>
    <row r="315" spans="1:10" x14ac:dyDescent="0.2">
      <c r="A315" s="9">
        <v>0</v>
      </c>
      <c r="B315" s="9">
        <v>26</v>
      </c>
      <c r="C315" s="9">
        <v>1</v>
      </c>
      <c r="D315" s="9">
        <v>10</v>
      </c>
      <c r="E315" s="9">
        <v>1</v>
      </c>
      <c r="F315" s="9">
        <v>25</v>
      </c>
      <c r="G315" s="9">
        <v>7.1</v>
      </c>
      <c r="H315" s="9">
        <v>1.31</v>
      </c>
      <c r="I315" s="9">
        <v>0.47</v>
      </c>
      <c r="J315" s="7" t="s">
        <v>49</v>
      </c>
    </row>
    <row r="316" spans="1:10" x14ac:dyDescent="0.2">
      <c r="A316" s="9">
        <v>0</v>
      </c>
      <c r="B316" s="9">
        <v>40</v>
      </c>
      <c r="C316" s="9">
        <v>1</v>
      </c>
      <c r="D316" s="9">
        <v>8</v>
      </c>
      <c r="E316" s="9">
        <v>17</v>
      </c>
      <c r="F316" s="9">
        <v>28</v>
      </c>
      <c r="G316" s="9">
        <v>3.6</v>
      </c>
      <c r="H316" s="9">
        <v>0.53</v>
      </c>
      <c r="I316" s="9">
        <v>0.47</v>
      </c>
      <c r="J316" s="7" t="s">
        <v>49</v>
      </c>
    </row>
    <row r="317" spans="1:10" x14ac:dyDescent="0.2">
      <c r="A317" s="9">
        <v>0</v>
      </c>
      <c r="B317" s="9">
        <v>26</v>
      </c>
      <c r="C317" s="9">
        <v>4</v>
      </c>
      <c r="D317" s="9">
        <v>1</v>
      </c>
      <c r="E317" s="9">
        <v>7</v>
      </c>
      <c r="F317" s="9">
        <v>27</v>
      </c>
      <c r="G317" s="9">
        <v>2.9</v>
      </c>
      <c r="H317" s="9">
        <v>0.31</v>
      </c>
      <c r="I317" s="9">
        <v>0.47</v>
      </c>
      <c r="J317" s="7" t="s">
        <v>49</v>
      </c>
    </row>
    <row r="318" spans="1:10" x14ac:dyDescent="0.2">
      <c r="A318" s="9">
        <v>0</v>
      </c>
      <c r="B318" s="9">
        <v>32</v>
      </c>
      <c r="C318" s="9">
        <v>2</v>
      </c>
      <c r="D318" s="9">
        <v>3</v>
      </c>
      <c r="E318" s="9">
        <v>13</v>
      </c>
      <c r="F318" s="9">
        <v>47</v>
      </c>
      <c r="G318" s="9">
        <v>1.9</v>
      </c>
      <c r="H318" s="9">
        <v>0.43</v>
      </c>
      <c r="I318" s="9">
        <v>0.46</v>
      </c>
      <c r="J318" s="7" t="s">
        <v>49</v>
      </c>
    </row>
    <row r="319" spans="1:10" x14ac:dyDescent="0.2">
      <c r="A319" s="9">
        <v>0</v>
      </c>
      <c r="B319" s="9">
        <v>24</v>
      </c>
      <c r="C319" s="9">
        <v>6</v>
      </c>
      <c r="D319" s="9">
        <v>3</v>
      </c>
      <c r="E319" s="9">
        <v>0</v>
      </c>
      <c r="F319" s="9">
        <v>19</v>
      </c>
      <c r="G319" s="9">
        <v>4.3</v>
      </c>
      <c r="H319" s="9">
        <v>0.36</v>
      </c>
      <c r="I319" s="9">
        <v>0.46</v>
      </c>
      <c r="J319" s="7" t="s">
        <v>49</v>
      </c>
    </row>
    <row r="320" spans="1:10" x14ac:dyDescent="0.2">
      <c r="A320" s="9">
        <v>0</v>
      </c>
      <c r="B320" s="9">
        <v>38</v>
      </c>
      <c r="C320" s="9">
        <v>2</v>
      </c>
      <c r="D320" s="9">
        <v>4</v>
      </c>
      <c r="E320" s="9">
        <v>13</v>
      </c>
      <c r="F320" s="9">
        <v>56</v>
      </c>
      <c r="G320" s="9">
        <v>1.6</v>
      </c>
      <c r="H320" s="9">
        <v>0.44</v>
      </c>
      <c r="I320" s="9">
        <v>0.45</v>
      </c>
      <c r="J320" s="7" t="s">
        <v>49</v>
      </c>
    </row>
    <row r="321" spans="1:10" x14ac:dyDescent="0.2">
      <c r="A321" s="9">
        <v>0</v>
      </c>
      <c r="B321" s="9">
        <v>24</v>
      </c>
      <c r="C321" s="9">
        <v>1</v>
      </c>
      <c r="D321" s="9">
        <v>4</v>
      </c>
      <c r="E321" s="9">
        <v>2</v>
      </c>
      <c r="F321" s="9">
        <v>21</v>
      </c>
      <c r="G321" s="9">
        <v>2.6</v>
      </c>
      <c r="H321" s="9">
        <v>0.1</v>
      </c>
      <c r="I321" s="9">
        <v>0.45</v>
      </c>
      <c r="J321" s="7" t="s">
        <v>49</v>
      </c>
    </row>
    <row r="322" spans="1:10" x14ac:dyDescent="0.2">
      <c r="A322" s="9">
        <v>0</v>
      </c>
      <c r="B322" s="9">
        <v>41</v>
      </c>
      <c r="C322" s="9">
        <v>4</v>
      </c>
      <c r="D322" s="9">
        <v>14</v>
      </c>
      <c r="E322" s="9">
        <v>3</v>
      </c>
      <c r="F322" s="9">
        <v>44</v>
      </c>
      <c r="G322" s="9">
        <v>1.7</v>
      </c>
      <c r="H322" s="9">
        <v>0.35</v>
      </c>
      <c r="I322" s="9">
        <v>0.39</v>
      </c>
      <c r="J322" s="7" t="s">
        <v>49</v>
      </c>
    </row>
    <row r="323" spans="1:10" x14ac:dyDescent="0.2">
      <c r="A323" s="9">
        <v>1</v>
      </c>
      <c r="B323" s="9">
        <v>26</v>
      </c>
      <c r="C323" s="9">
        <v>1</v>
      </c>
      <c r="D323" s="9">
        <v>4</v>
      </c>
      <c r="E323" s="9">
        <v>3</v>
      </c>
      <c r="F323" s="9">
        <v>27</v>
      </c>
      <c r="G323" s="9">
        <v>10.5</v>
      </c>
      <c r="H323" s="9">
        <v>2.4700000000000002</v>
      </c>
      <c r="I323" s="9">
        <v>0.36</v>
      </c>
      <c r="J323" s="7" t="s">
        <v>49</v>
      </c>
    </row>
    <row r="324" spans="1:10" x14ac:dyDescent="0.2">
      <c r="A324" s="9">
        <v>0</v>
      </c>
      <c r="B324" s="9">
        <v>41</v>
      </c>
      <c r="C324" s="9">
        <v>1</v>
      </c>
      <c r="D324" s="9">
        <v>16</v>
      </c>
      <c r="E324" s="9">
        <v>22</v>
      </c>
      <c r="F324" s="9">
        <v>49</v>
      </c>
      <c r="G324" s="9">
        <v>1.6</v>
      </c>
      <c r="H324" s="9">
        <v>0.43</v>
      </c>
      <c r="I324" s="9">
        <v>0.35</v>
      </c>
      <c r="J324" s="7" t="s">
        <v>49</v>
      </c>
    </row>
    <row r="325" spans="1:10" x14ac:dyDescent="0.2">
      <c r="A325" s="9">
        <v>0</v>
      </c>
      <c r="B325" s="9">
        <v>41</v>
      </c>
      <c r="C325" s="9">
        <v>3</v>
      </c>
      <c r="D325" s="9">
        <v>0</v>
      </c>
      <c r="E325" s="9">
        <v>21</v>
      </c>
      <c r="F325" s="9">
        <v>26</v>
      </c>
      <c r="G325" s="9">
        <v>1.7</v>
      </c>
      <c r="H325" s="9">
        <v>0.1</v>
      </c>
      <c r="I325" s="9">
        <v>0.34</v>
      </c>
      <c r="J325" s="7" t="s">
        <v>49</v>
      </c>
    </row>
    <row r="326" spans="1:10" x14ac:dyDescent="0.2">
      <c r="A326" s="9">
        <v>0</v>
      </c>
      <c r="B326" s="9">
        <v>45</v>
      </c>
      <c r="C326" s="9">
        <v>6</v>
      </c>
      <c r="D326" s="9">
        <v>3</v>
      </c>
      <c r="E326" s="9">
        <v>15</v>
      </c>
      <c r="F326" s="9">
        <v>20</v>
      </c>
      <c r="G326" s="9">
        <v>2.1</v>
      </c>
      <c r="H326" s="9">
        <v>0.11</v>
      </c>
      <c r="I326" s="9">
        <v>0.32</v>
      </c>
      <c r="J326" s="7" t="s">
        <v>49</v>
      </c>
    </row>
    <row r="327" spans="1:10" x14ac:dyDescent="0.2">
      <c r="A327" s="9">
        <v>0</v>
      </c>
      <c r="B327" s="9">
        <v>29</v>
      </c>
      <c r="C327" s="9">
        <v>1</v>
      </c>
      <c r="D327" s="9">
        <v>1</v>
      </c>
      <c r="E327" s="9">
        <v>4</v>
      </c>
      <c r="F327" s="9">
        <v>17</v>
      </c>
      <c r="G327" s="9">
        <v>2.5</v>
      </c>
      <c r="H327" s="9">
        <v>0.13</v>
      </c>
      <c r="I327" s="9">
        <v>0.28999999999999998</v>
      </c>
      <c r="J327" s="7" t="s">
        <v>49</v>
      </c>
    </row>
    <row r="328" spans="1:10" x14ac:dyDescent="0.2">
      <c r="A328" s="9">
        <v>1</v>
      </c>
      <c r="B328" s="9">
        <v>31</v>
      </c>
      <c r="C328" s="9">
        <v>1</v>
      </c>
      <c r="D328" s="9">
        <v>1</v>
      </c>
      <c r="E328" s="9">
        <v>6</v>
      </c>
      <c r="F328" s="9">
        <v>21</v>
      </c>
      <c r="G328" s="9">
        <v>2.5</v>
      </c>
      <c r="H328" s="9">
        <v>0.28000000000000003</v>
      </c>
      <c r="I328" s="9">
        <v>0.25</v>
      </c>
      <c r="J328" s="7" t="s">
        <v>49</v>
      </c>
    </row>
    <row r="329" spans="1:10" x14ac:dyDescent="0.2">
      <c r="A329" s="9">
        <v>0</v>
      </c>
      <c r="B329" s="9">
        <v>29</v>
      </c>
      <c r="C329" s="9">
        <v>2</v>
      </c>
      <c r="D329" s="9">
        <v>3</v>
      </c>
      <c r="E329" s="9">
        <v>8</v>
      </c>
      <c r="F329" s="9">
        <v>15</v>
      </c>
      <c r="G329" s="9">
        <v>2.6</v>
      </c>
      <c r="H329" s="9">
        <v>0.15</v>
      </c>
      <c r="I329" s="9">
        <v>0.24</v>
      </c>
      <c r="J329" s="7" t="s">
        <v>49</v>
      </c>
    </row>
    <row r="330" spans="1:10" x14ac:dyDescent="0.2">
      <c r="A330" s="9">
        <v>0</v>
      </c>
      <c r="B330" s="9">
        <v>41</v>
      </c>
      <c r="C330" s="9">
        <v>2</v>
      </c>
      <c r="D330" s="9">
        <v>8</v>
      </c>
      <c r="E330" s="9">
        <v>21</v>
      </c>
      <c r="F330" s="9">
        <v>43</v>
      </c>
      <c r="G330" s="9">
        <v>0.7</v>
      </c>
      <c r="H330" s="9">
        <v>0.09</v>
      </c>
      <c r="I330" s="9">
        <v>0.22</v>
      </c>
      <c r="J330" s="7" t="s">
        <v>49</v>
      </c>
    </row>
    <row r="331" spans="1:10" x14ac:dyDescent="0.2">
      <c r="A331" s="9">
        <v>0</v>
      </c>
      <c r="B331" s="9">
        <v>43</v>
      </c>
      <c r="C331" s="9">
        <v>1</v>
      </c>
      <c r="D331" s="9">
        <v>16</v>
      </c>
      <c r="E331" s="9">
        <v>7</v>
      </c>
      <c r="F331" s="9">
        <v>89</v>
      </c>
      <c r="G331" s="9">
        <v>0.4</v>
      </c>
      <c r="H331" s="9">
        <v>0.16</v>
      </c>
      <c r="I331" s="9">
        <v>0.2</v>
      </c>
      <c r="J331" s="7" t="s">
        <v>49</v>
      </c>
    </row>
    <row r="332" spans="1:10" x14ac:dyDescent="0.2">
      <c r="A332" s="9">
        <v>0</v>
      </c>
      <c r="B332" s="9">
        <v>34</v>
      </c>
      <c r="C332" s="9">
        <v>2</v>
      </c>
      <c r="D332" s="9">
        <v>8</v>
      </c>
      <c r="E332" s="9">
        <v>16</v>
      </c>
      <c r="F332" s="9">
        <v>38</v>
      </c>
      <c r="G332" s="9">
        <v>0.6</v>
      </c>
      <c r="H332" s="9">
        <v>0.03</v>
      </c>
      <c r="I332" s="9">
        <v>0.2</v>
      </c>
      <c r="J332" s="7" t="s">
        <v>49</v>
      </c>
    </row>
    <row r="333" spans="1:10" x14ac:dyDescent="0.2">
      <c r="A333" s="9">
        <v>0</v>
      </c>
      <c r="B333" s="9">
        <v>35</v>
      </c>
      <c r="C333" s="9">
        <v>2</v>
      </c>
      <c r="D333" s="9">
        <v>14</v>
      </c>
      <c r="E333" s="9">
        <v>3</v>
      </c>
      <c r="F333" s="9">
        <v>82</v>
      </c>
      <c r="G333" s="9">
        <v>0.8</v>
      </c>
      <c r="H333" s="9">
        <v>0.47</v>
      </c>
      <c r="I333" s="9">
        <v>0.19</v>
      </c>
      <c r="J333" s="7" t="s">
        <v>49</v>
      </c>
    </row>
    <row r="334" spans="1:10" x14ac:dyDescent="0.2">
      <c r="A334" s="9">
        <v>0</v>
      </c>
      <c r="B334" s="9">
        <v>50</v>
      </c>
      <c r="C334" s="9">
        <v>2</v>
      </c>
      <c r="D334" s="9">
        <v>15</v>
      </c>
      <c r="E334" s="9">
        <v>31</v>
      </c>
      <c r="F334" s="9">
        <v>60</v>
      </c>
      <c r="G334" s="9">
        <v>1.1000000000000001</v>
      </c>
      <c r="H334" s="9">
        <v>0.47</v>
      </c>
      <c r="I334" s="9">
        <v>0.19</v>
      </c>
      <c r="J334" s="7" t="s">
        <v>49</v>
      </c>
    </row>
    <row r="335" spans="1:10" x14ac:dyDescent="0.2">
      <c r="A335" s="9">
        <v>0</v>
      </c>
      <c r="B335" s="9">
        <v>29</v>
      </c>
      <c r="C335" s="9">
        <v>1</v>
      </c>
      <c r="D335" s="9">
        <v>1</v>
      </c>
      <c r="E335" s="9">
        <v>1</v>
      </c>
      <c r="F335" s="9">
        <v>18</v>
      </c>
      <c r="G335" s="9">
        <v>1.1000000000000001</v>
      </c>
      <c r="H335" s="9">
        <v>0.03</v>
      </c>
      <c r="I335" s="9">
        <v>0.17</v>
      </c>
      <c r="J335" s="7" t="s">
        <v>49</v>
      </c>
    </row>
    <row r="336" spans="1:10" x14ac:dyDescent="0.2">
      <c r="A336" s="9">
        <v>0</v>
      </c>
      <c r="B336" s="9">
        <v>26</v>
      </c>
      <c r="C336" s="9">
        <v>2</v>
      </c>
      <c r="D336" s="9">
        <v>6</v>
      </c>
      <c r="E336" s="9">
        <v>6</v>
      </c>
      <c r="F336" s="9">
        <v>30</v>
      </c>
      <c r="G336" s="9">
        <v>1</v>
      </c>
      <c r="H336" s="9">
        <v>0.14000000000000001</v>
      </c>
      <c r="I336" s="9">
        <v>0.16</v>
      </c>
      <c r="J336" s="7" t="s">
        <v>49</v>
      </c>
    </row>
    <row r="337" spans="1:10" x14ac:dyDescent="0.2">
      <c r="A337" s="9">
        <v>0</v>
      </c>
      <c r="B337" s="9">
        <v>22</v>
      </c>
      <c r="C337" s="9">
        <v>1</v>
      </c>
      <c r="D337" s="9">
        <v>4</v>
      </c>
      <c r="E337" s="9">
        <v>1</v>
      </c>
      <c r="F337" s="9">
        <v>16</v>
      </c>
      <c r="G337" s="9">
        <v>1.2</v>
      </c>
      <c r="H337" s="9">
        <v>0.08</v>
      </c>
      <c r="I337" s="9">
        <v>0.11</v>
      </c>
      <c r="J337" s="7" t="s">
        <v>49</v>
      </c>
    </row>
    <row r="338" spans="1:10" x14ac:dyDescent="0.2">
      <c r="A338" s="9">
        <v>0</v>
      </c>
      <c r="B338" s="9">
        <v>24</v>
      </c>
      <c r="C338" s="9">
        <v>1</v>
      </c>
      <c r="D338" s="9">
        <v>2</v>
      </c>
      <c r="E338" s="9">
        <v>1</v>
      </c>
      <c r="F338" s="9">
        <v>21</v>
      </c>
      <c r="G338" s="9">
        <v>0.6</v>
      </c>
      <c r="H338" s="9">
        <v>0.03</v>
      </c>
      <c r="I338" s="9">
        <v>0.1</v>
      </c>
      <c r="J338" s="7" t="s">
        <v>49</v>
      </c>
    </row>
    <row r="339" spans="1:10" x14ac:dyDescent="0.2">
      <c r="A339" s="9">
        <v>1</v>
      </c>
      <c r="B339" s="9">
        <v>40</v>
      </c>
      <c r="C339" s="9">
        <v>3</v>
      </c>
      <c r="D339" s="9">
        <v>5</v>
      </c>
      <c r="E339" s="9">
        <v>3</v>
      </c>
      <c r="F339" s="9">
        <v>0</v>
      </c>
      <c r="G339" s="9">
        <v>16</v>
      </c>
      <c r="H339" s="13">
        <v>5.4954845947359976</v>
      </c>
      <c r="I339" s="9">
        <v>0</v>
      </c>
      <c r="J339" s="7" t="s">
        <v>49</v>
      </c>
    </row>
    <row r="340" spans="1:10" x14ac:dyDescent="0.2">
      <c r="A340" s="9">
        <v>1</v>
      </c>
      <c r="B340" s="9">
        <v>30</v>
      </c>
      <c r="C340" s="9">
        <v>3</v>
      </c>
      <c r="D340" s="9">
        <v>0</v>
      </c>
      <c r="E340" s="9">
        <v>8</v>
      </c>
      <c r="F340" s="9">
        <v>65</v>
      </c>
      <c r="G340" s="9">
        <v>29.7</v>
      </c>
      <c r="H340" s="9">
        <v>3.9</v>
      </c>
      <c r="I340" s="9">
        <v>0</v>
      </c>
      <c r="J340" s="7" t="s">
        <v>49</v>
      </c>
    </row>
    <row r="341" spans="1:10" x14ac:dyDescent="0.2">
      <c r="A341" s="9">
        <v>0</v>
      </c>
      <c r="B341" s="9">
        <v>41</v>
      </c>
      <c r="C341" s="9">
        <v>2</v>
      </c>
      <c r="D341" s="9">
        <v>21</v>
      </c>
      <c r="E341" s="9">
        <v>22</v>
      </c>
      <c r="F341" s="13">
        <v>117.54291069294821</v>
      </c>
      <c r="G341" s="9">
        <v>12.2</v>
      </c>
      <c r="H341" s="9">
        <v>3.24</v>
      </c>
      <c r="I341" s="9">
        <v>0</v>
      </c>
      <c r="J341" s="7" t="s">
        <v>49</v>
      </c>
    </row>
    <row r="342" spans="1:10" x14ac:dyDescent="0.2">
      <c r="A342" s="9">
        <v>0</v>
      </c>
      <c r="B342" s="9">
        <v>51</v>
      </c>
      <c r="C342" s="9">
        <v>2</v>
      </c>
      <c r="D342" s="9">
        <v>27</v>
      </c>
      <c r="E342" s="9">
        <v>21</v>
      </c>
      <c r="F342" s="9">
        <v>0</v>
      </c>
      <c r="G342" s="9">
        <v>11.5</v>
      </c>
      <c r="H342" s="9">
        <v>0.82</v>
      </c>
      <c r="I342" s="9">
        <v>0</v>
      </c>
      <c r="J342" s="7" t="s">
        <v>49</v>
      </c>
    </row>
    <row r="343" spans="1:10" x14ac:dyDescent="0.2">
      <c r="A343" s="9">
        <v>1</v>
      </c>
      <c r="B343" s="9">
        <v>33</v>
      </c>
      <c r="C343" s="9">
        <v>1</v>
      </c>
      <c r="D343" s="9">
        <v>14</v>
      </c>
      <c r="E343" s="9">
        <v>8</v>
      </c>
      <c r="F343" s="9">
        <v>72</v>
      </c>
      <c r="G343" s="9">
        <v>0</v>
      </c>
      <c r="H343" s="9">
        <v>0</v>
      </c>
      <c r="I343" s="9">
        <v>0</v>
      </c>
      <c r="J343" s="7" t="s">
        <v>49</v>
      </c>
    </row>
    <row r="344" spans="1:10" x14ac:dyDescent="0.2">
      <c r="A344" s="9">
        <v>1</v>
      </c>
      <c r="B344" s="9">
        <v>47</v>
      </c>
      <c r="C344" s="9">
        <v>3</v>
      </c>
      <c r="D344" s="9">
        <v>16</v>
      </c>
      <c r="E344" s="9">
        <v>26</v>
      </c>
      <c r="F344" s="9">
        <v>0</v>
      </c>
      <c r="G344" s="9">
        <v>17.600000000000001</v>
      </c>
      <c r="H344" s="9">
        <v>0</v>
      </c>
      <c r="I344" s="9">
        <v>0</v>
      </c>
      <c r="J344" s="7" t="s">
        <v>49</v>
      </c>
    </row>
    <row r="345" spans="1:10" x14ac:dyDescent="0.2">
      <c r="A345" s="9">
        <v>0</v>
      </c>
      <c r="B345" s="9">
        <v>40</v>
      </c>
      <c r="C345" s="9">
        <v>1</v>
      </c>
      <c r="D345" s="9">
        <v>12</v>
      </c>
      <c r="E345" s="9">
        <v>6</v>
      </c>
      <c r="F345" s="9">
        <v>89</v>
      </c>
      <c r="G345" s="9">
        <v>17.399999999999999</v>
      </c>
      <c r="H345" s="9">
        <v>2.77</v>
      </c>
      <c r="I345" s="13">
        <v>10.154483815851645</v>
      </c>
      <c r="J345" s="7" t="s">
        <v>49</v>
      </c>
    </row>
    <row r="346" spans="1:10" x14ac:dyDescent="0.2">
      <c r="A346" s="9">
        <v>0</v>
      </c>
      <c r="B346" s="9">
        <v>46</v>
      </c>
      <c r="C346" s="9">
        <v>2</v>
      </c>
      <c r="D346" s="9">
        <v>22</v>
      </c>
      <c r="E346" s="9">
        <v>17</v>
      </c>
      <c r="F346" s="13">
        <v>117.54291069294821</v>
      </c>
      <c r="G346" s="9">
        <v>11.1</v>
      </c>
      <c r="H346" s="9">
        <v>3.32</v>
      </c>
      <c r="I346" s="13">
        <v>10.154483815851645</v>
      </c>
      <c r="J346" s="7" t="s">
        <v>49</v>
      </c>
    </row>
    <row r="347" spans="1:10" x14ac:dyDescent="0.2">
      <c r="A347" s="9">
        <v>0</v>
      </c>
      <c r="B347" s="9">
        <v>40</v>
      </c>
      <c r="C347" s="9">
        <v>3</v>
      </c>
      <c r="D347" s="9">
        <v>16</v>
      </c>
      <c r="E347" s="9">
        <v>6</v>
      </c>
      <c r="F347" s="9">
        <v>116</v>
      </c>
      <c r="G347" s="9">
        <v>12.1</v>
      </c>
      <c r="H347" s="9">
        <v>1.61</v>
      </c>
      <c r="I347" s="13">
        <v>10.154483815851645</v>
      </c>
      <c r="J347" s="7" t="s">
        <v>49</v>
      </c>
    </row>
    <row r="348" spans="1:10" x14ac:dyDescent="0.2">
      <c r="A348" s="9">
        <v>1</v>
      </c>
      <c r="B348" s="9">
        <v>47</v>
      </c>
      <c r="C348" s="9">
        <v>1</v>
      </c>
      <c r="D348" s="9">
        <v>27</v>
      </c>
      <c r="E348" s="9">
        <v>18</v>
      </c>
      <c r="F348" s="13">
        <v>117.54291069294821</v>
      </c>
      <c r="G348" s="9">
        <v>25.3</v>
      </c>
      <c r="H348" s="9">
        <v>0</v>
      </c>
      <c r="I348" s="13">
        <v>10.154483815851645</v>
      </c>
      <c r="J348" s="7" t="s">
        <v>49</v>
      </c>
    </row>
    <row r="349" spans="1:10" x14ac:dyDescent="0.2">
      <c r="A349" s="9">
        <v>0</v>
      </c>
      <c r="B349" s="9">
        <v>34</v>
      </c>
      <c r="C349" s="9">
        <v>1</v>
      </c>
      <c r="D349" s="9">
        <v>19</v>
      </c>
      <c r="E349" s="9">
        <v>7</v>
      </c>
      <c r="F349" s="9">
        <v>50</v>
      </c>
      <c r="G349" s="9">
        <v>30.1</v>
      </c>
      <c r="H349" s="9">
        <v>3.18</v>
      </c>
      <c r="I349" s="13">
        <v>10.154483815851645</v>
      </c>
      <c r="J349" s="7" t="s">
        <v>49</v>
      </c>
    </row>
    <row r="350" spans="1:10" x14ac:dyDescent="0.2">
      <c r="A350" s="9">
        <v>0</v>
      </c>
      <c r="B350" s="9">
        <v>39</v>
      </c>
      <c r="C350" s="9">
        <v>1</v>
      </c>
      <c r="D350" s="9">
        <v>23</v>
      </c>
      <c r="E350" s="9">
        <v>1</v>
      </c>
      <c r="F350" s="9">
        <v>75</v>
      </c>
      <c r="G350" s="9">
        <v>18.899999999999999</v>
      </c>
      <c r="H350" s="9">
        <v>3.13</v>
      </c>
      <c r="I350" s="13">
        <v>10.154483815851645</v>
      </c>
      <c r="J350" s="7" t="s">
        <v>49</v>
      </c>
    </row>
    <row r="351" spans="1:10" x14ac:dyDescent="0.2">
      <c r="A351" s="9">
        <v>1</v>
      </c>
      <c r="B351" s="9">
        <v>29</v>
      </c>
      <c r="C351" s="9">
        <v>3</v>
      </c>
      <c r="D351" s="9">
        <v>5</v>
      </c>
      <c r="E351" s="9">
        <v>6</v>
      </c>
      <c r="F351" s="9">
        <v>70</v>
      </c>
      <c r="G351" s="9">
        <v>19.899999999999999</v>
      </c>
      <c r="H351" s="9">
        <v>3.18</v>
      </c>
      <c r="I351" s="13">
        <v>10.154483815851645</v>
      </c>
      <c r="J351" s="7" t="s">
        <v>49</v>
      </c>
    </row>
    <row r="352" spans="1:10" x14ac:dyDescent="0.2">
      <c r="A352" s="9">
        <v>0</v>
      </c>
      <c r="B352" s="9">
        <v>44</v>
      </c>
      <c r="C352" s="9">
        <v>2</v>
      </c>
      <c r="D352" s="9">
        <v>12</v>
      </c>
      <c r="E352" s="9">
        <v>5</v>
      </c>
      <c r="F352" s="9">
        <v>86</v>
      </c>
      <c r="G352" s="9">
        <v>13</v>
      </c>
      <c r="H352" s="9">
        <v>1.48</v>
      </c>
      <c r="I352" s="9">
        <v>9.6999999999999993</v>
      </c>
      <c r="J352" s="7" t="s">
        <v>50</v>
      </c>
    </row>
    <row r="353" spans="1:10" x14ac:dyDescent="0.2">
      <c r="A353" s="9">
        <v>0</v>
      </c>
      <c r="B353" s="9">
        <v>39</v>
      </c>
      <c r="C353" s="9">
        <v>1</v>
      </c>
      <c r="D353" s="9">
        <v>16</v>
      </c>
      <c r="E353" s="9">
        <v>20</v>
      </c>
      <c r="F353" s="9">
        <v>57</v>
      </c>
      <c r="G353" s="9">
        <v>19.399999999999999</v>
      </c>
      <c r="H353" s="9">
        <v>1.56</v>
      </c>
      <c r="I353" s="9">
        <v>9.5</v>
      </c>
      <c r="J353" s="7" t="s">
        <v>50</v>
      </c>
    </row>
    <row r="354" spans="1:10" x14ac:dyDescent="0.2">
      <c r="A354" s="9">
        <v>0</v>
      </c>
      <c r="B354" s="9">
        <v>40</v>
      </c>
      <c r="C354" s="9">
        <v>1</v>
      </c>
      <c r="D354" s="9">
        <v>22</v>
      </c>
      <c r="E354" s="9">
        <v>1</v>
      </c>
      <c r="F354" s="9">
        <v>100</v>
      </c>
      <c r="G354" s="9">
        <v>14.6</v>
      </c>
      <c r="H354" s="9">
        <v>5.4</v>
      </c>
      <c r="I354" s="9">
        <v>9.1999999999999993</v>
      </c>
      <c r="J354" s="7" t="s">
        <v>50</v>
      </c>
    </row>
    <row r="355" spans="1:10" x14ac:dyDescent="0.2">
      <c r="A355" s="9">
        <v>0</v>
      </c>
      <c r="B355" s="9">
        <v>32</v>
      </c>
      <c r="C355" s="9">
        <v>3</v>
      </c>
      <c r="D355" s="9">
        <v>9</v>
      </c>
      <c r="E355" s="9">
        <v>10</v>
      </c>
      <c r="F355" s="9">
        <v>51</v>
      </c>
      <c r="G355" s="9">
        <v>23</v>
      </c>
      <c r="H355" s="9">
        <v>2.69</v>
      </c>
      <c r="I355" s="9">
        <v>9.0399999999999991</v>
      </c>
      <c r="J355" s="7" t="s">
        <v>50</v>
      </c>
    </row>
    <row r="356" spans="1:10" x14ac:dyDescent="0.2">
      <c r="A356" s="9">
        <v>0</v>
      </c>
      <c r="B356" s="9">
        <v>47</v>
      </c>
      <c r="C356" s="9">
        <v>1</v>
      </c>
      <c r="D356" s="9">
        <v>26</v>
      </c>
      <c r="E356" s="9">
        <v>21</v>
      </c>
      <c r="F356" s="9">
        <v>100</v>
      </c>
      <c r="G356" s="9">
        <v>12.8</v>
      </c>
      <c r="H356" s="9">
        <v>4.58</v>
      </c>
      <c r="I356" s="9">
        <v>8.2200000000000006</v>
      </c>
      <c r="J356" s="7" t="s">
        <v>50</v>
      </c>
    </row>
    <row r="357" spans="1:10" x14ac:dyDescent="0.2">
      <c r="A357" s="9">
        <v>0</v>
      </c>
      <c r="B357" s="9">
        <v>35</v>
      </c>
      <c r="C357" s="9">
        <v>2</v>
      </c>
      <c r="D357" s="9">
        <v>10</v>
      </c>
      <c r="E357" s="9">
        <v>16</v>
      </c>
      <c r="F357" s="9">
        <v>98</v>
      </c>
      <c r="G357" s="9">
        <v>13.3</v>
      </c>
      <c r="H357" s="9">
        <v>0.97</v>
      </c>
      <c r="I357" s="9">
        <v>8.16</v>
      </c>
      <c r="J357" s="7" t="s">
        <v>50</v>
      </c>
    </row>
    <row r="358" spans="1:10" x14ac:dyDescent="0.2">
      <c r="A358" s="9">
        <v>1</v>
      </c>
      <c r="B358" s="9">
        <v>47</v>
      </c>
      <c r="C358" s="9">
        <v>3</v>
      </c>
      <c r="D358" s="9">
        <v>9</v>
      </c>
      <c r="E358" s="9">
        <v>1</v>
      </c>
      <c r="F358" s="9">
        <v>52</v>
      </c>
      <c r="G358" s="9">
        <v>20.100000000000001</v>
      </c>
      <c r="H358" s="9">
        <v>2.54</v>
      </c>
      <c r="I358" s="9">
        <v>7.91</v>
      </c>
      <c r="J358" s="7" t="s">
        <v>50</v>
      </c>
    </row>
    <row r="359" spans="1:10" x14ac:dyDescent="0.2">
      <c r="A359" s="9">
        <v>0</v>
      </c>
      <c r="B359" s="9">
        <v>55</v>
      </c>
      <c r="C359" s="9">
        <v>1</v>
      </c>
      <c r="D359" s="9">
        <v>19</v>
      </c>
      <c r="E359" s="9">
        <v>2</v>
      </c>
      <c r="F359" s="9">
        <v>78</v>
      </c>
      <c r="G359" s="9">
        <v>15.6</v>
      </c>
      <c r="H359" s="9">
        <v>4.4000000000000004</v>
      </c>
      <c r="I359" s="9">
        <v>7.76</v>
      </c>
      <c r="J359" s="7" t="s">
        <v>50</v>
      </c>
    </row>
    <row r="360" spans="1:10" x14ac:dyDescent="0.2">
      <c r="A360" s="9">
        <v>1</v>
      </c>
      <c r="B360" s="9">
        <v>41</v>
      </c>
      <c r="C360" s="9">
        <v>3</v>
      </c>
      <c r="D360" s="9">
        <v>7</v>
      </c>
      <c r="E360" s="9">
        <v>6</v>
      </c>
      <c r="F360" s="9">
        <v>56</v>
      </c>
      <c r="G360" s="9">
        <v>14.5</v>
      </c>
      <c r="H360" s="9">
        <v>0.37</v>
      </c>
      <c r="I360" s="9">
        <v>7.75</v>
      </c>
      <c r="J360" s="7" t="s">
        <v>50</v>
      </c>
    </row>
    <row r="361" spans="1:10" x14ac:dyDescent="0.2">
      <c r="A361" s="9">
        <v>0</v>
      </c>
      <c r="B361" s="9">
        <v>45</v>
      </c>
      <c r="C361" s="9">
        <v>2</v>
      </c>
      <c r="D361" s="9">
        <v>15</v>
      </c>
      <c r="E361" s="9">
        <v>14</v>
      </c>
      <c r="F361" s="9">
        <v>51</v>
      </c>
      <c r="G361" s="9">
        <v>18.100000000000001</v>
      </c>
      <c r="H361" s="9">
        <v>1.55</v>
      </c>
      <c r="I361" s="9">
        <v>7.68</v>
      </c>
      <c r="J361" s="7" t="s">
        <v>50</v>
      </c>
    </row>
    <row r="362" spans="1:10" x14ac:dyDescent="0.2">
      <c r="A362" s="9">
        <v>0</v>
      </c>
      <c r="B362" s="9">
        <v>46</v>
      </c>
      <c r="C362" s="9">
        <v>3</v>
      </c>
      <c r="D362" s="9">
        <v>9</v>
      </c>
      <c r="E362" s="9">
        <v>10</v>
      </c>
      <c r="F362" s="9">
        <v>60</v>
      </c>
      <c r="G362" s="9">
        <v>15.3</v>
      </c>
      <c r="H362" s="9">
        <v>1.61</v>
      </c>
      <c r="I362" s="9">
        <v>7.57</v>
      </c>
      <c r="J362" s="7" t="s">
        <v>50</v>
      </c>
    </row>
    <row r="363" spans="1:10" x14ac:dyDescent="0.2">
      <c r="A363" s="9">
        <v>1</v>
      </c>
      <c r="B363" s="9">
        <v>34</v>
      </c>
      <c r="C363" s="9">
        <v>4</v>
      </c>
      <c r="D363" s="9">
        <v>6</v>
      </c>
      <c r="E363" s="9">
        <v>3</v>
      </c>
      <c r="F363" s="9">
        <v>27</v>
      </c>
      <c r="G363" s="9">
        <v>0</v>
      </c>
      <c r="H363" s="9">
        <v>1.98</v>
      </c>
      <c r="I363" s="9">
        <v>7.55</v>
      </c>
      <c r="J363" s="7" t="s">
        <v>50</v>
      </c>
    </row>
    <row r="364" spans="1:10" x14ac:dyDescent="0.2">
      <c r="A364" s="9">
        <v>1</v>
      </c>
      <c r="B364" s="9">
        <v>28</v>
      </c>
      <c r="C364" s="9">
        <v>1</v>
      </c>
      <c r="D364" s="9">
        <v>0</v>
      </c>
      <c r="E364" s="9">
        <v>2</v>
      </c>
      <c r="F364" s="9">
        <v>28</v>
      </c>
      <c r="G364" s="9">
        <v>0</v>
      </c>
      <c r="H364" s="9">
        <v>2.2799999999999998</v>
      </c>
      <c r="I364" s="9">
        <v>7.04</v>
      </c>
      <c r="J364" s="7" t="s">
        <v>50</v>
      </c>
    </row>
    <row r="365" spans="1:10" x14ac:dyDescent="0.2">
      <c r="A365" s="9">
        <v>1</v>
      </c>
      <c r="B365" s="9">
        <v>53</v>
      </c>
      <c r="C365" s="9">
        <v>4</v>
      </c>
      <c r="D365" s="9">
        <v>5</v>
      </c>
      <c r="E365" s="9">
        <v>29</v>
      </c>
      <c r="F365" s="9">
        <v>78</v>
      </c>
      <c r="G365" s="9">
        <v>17.3</v>
      </c>
      <c r="H365" s="13">
        <v>5.4954845947359976</v>
      </c>
      <c r="I365" s="9">
        <v>6.56</v>
      </c>
      <c r="J365" s="7" t="s">
        <v>50</v>
      </c>
    </row>
    <row r="366" spans="1:10" x14ac:dyDescent="0.2">
      <c r="A366" s="9">
        <v>1</v>
      </c>
      <c r="B366" s="9">
        <v>45</v>
      </c>
      <c r="C366" s="9">
        <v>3</v>
      </c>
      <c r="D366" s="9">
        <v>5</v>
      </c>
      <c r="E366" s="9">
        <v>17</v>
      </c>
      <c r="F366" s="9">
        <v>94</v>
      </c>
      <c r="G366" s="9">
        <v>10.5</v>
      </c>
      <c r="H366" s="9">
        <v>3.61</v>
      </c>
      <c r="I366" s="9">
        <v>6.26</v>
      </c>
      <c r="J366" s="7" t="s">
        <v>50</v>
      </c>
    </row>
    <row r="367" spans="1:10" x14ac:dyDescent="0.2">
      <c r="A367" s="9">
        <v>0</v>
      </c>
      <c r="B367" s="9">
        <v>50</v>
      </c>
      <c r="C367" s="9">
        <v>2</v>
      </c>
      <c r="D367" s="9">
        <v>16</v>
      </c>
      <c r="E367" s="9">
        <v>14</v>
      </c>
      <c r="F367" s="9">
        <v>71</v>
      </c>
      <c r="G367" s="9">
        <v>11.1</v>
      </c>
      <c r="H367" s="9">
        <v>1.66</v>
      </c>
      <c r="I367" s="9">
        <v>6.22</v>
      </c>
      <c r="J367" s="7" t="s">
        <v>50</v>
      </c>
    </row>
    <row r="368" spans="1:10" x14ac:dyDescent="0.2">
      <c r="A368" s="9">
        <v>1</v>
      </c>
      <c r="B368" s="9">
        <v>33</v>
      </c>
      <c r="C368" s="9">
        <v>2</v>
      </c>
      <c r="D368" s="9">
        <v>2</v>
      </c>
      <c r="E368" s="9">
        <v>14</v>
      </c>
      <c r="F368" s="9">
        <v>35</v>
      </c>
      <c r="G368" s="9">
        <v>22.9</v>
      </c>
      <c r="H368" s="9">
        <v>2.12</v>
      </c>
      <c r="I368" s="9">
        <v>5.89</v>
      </c>
      <c r="J368" s="7" t="s">
        <v>50</v>
      </c>
    </row>
    <row r="369" spans="1:10" x14ac:dyDescent="0.2">
      <c r="A369" s="9">
        <v>1</v>
      </c>
      <c r="B369" s="9">
        <v>33</v>
      </c>
      <c r="C369" s="9">
        <v>2</v>
      </c>
      <c r="D369" s="9">
        <v>10</v>
      </c>
      <c r="E369" s="9">
        <v>13</v>
      </c>
      <c r="F369" s="9">
        <v>57</v>
      </c>
      <c r="G369" s="9">
        <v>20.9</v>
      </c>
      <c r="H369" s="13">
        <v>5.4954845947359976</v>
      </c>
      <c r="I369" s="9">
        <v>5.8</v>
      </c>
      <c r="J369" s="7" t="s">
        <v>50</v>
      </c>
    </row>
    <row r="370" spans="1:10" x14ac:dyDescent="0.2">
      <c r="A370" s="9">
        <v>0</v>
      </c>
      <c r="B370" s="9">
        <v>39</v>
      </c>
      <c r="C370" s="9">
        <v>2</v>
      </c>
      <c r="D370" s="9">
        <v>9</v>
      </c>
      <c r="E370" s="9">
        <v>16</v>
      </c>
      <c r="F370" s="9">
        <v>56</v>
      </c>
      <c r="G370" s="9">
        <v>18.7</v>
      </c>
      <c r="H370" s="9">
        <v>4.76</v>
      </c>
      <c r="I370" s="9">
        <v>5.71</v>
      </c>
      <c r="J370" s="7" t="s">
        <v>50</v>
      </c>
    </row>
    <row r="371" spans="1:10" x14ac:dyDescent="0.2">
      <c r="A371" s="9">
        <v>0</v>
      </c>
      <c r="B371" s="9">
        <v>26</v>
      </c>
      <c r="C371" s="9">
        <v>2</v>
      </c>
      <c r="D371" s="9">
        <v>6</v>
      </c>
      <c r="E371" s="9">
        <v>7</v>
      </c>
      <c r="F371" s="9">
        <v>45</v>
      </c>
      <c r="G371" s="9">
        <v>26</v>
      </c>
      <c r="H371" s="13">
        <v>5.4954845947359976</v>
      </c>
      <c r="I371" s="9">
        <v>5.65</v>
      </c>
      <c r="J371" s="7" t="s">
        <v>50</v>
      </c>
    </row>
    <row r="372" spans="1:10" x14ac:dyDescent="0.2">
      <c r="A372" s="9">
        <v>0</v>
      </c>
      <c r="B372" s="9">
        <v>28</v>
      </c>
      <c r="C372" s="9">
        <v>4</v>
      </c>
      <c r="D372" s="9">
        <v>0</v>
      </c>
      <c r="E372" s="9">
        <v>7</v>
      </c>
      <c r="F372" s="9">
        <v>29</v>
      </c>
      <c r="G372" s="9">
        <v>24.2</v>
      </c>
      <c r="H372" s="9">
        <v>1.42</v>
      </c>
      <c r="I372" s="9">
        <v>5.59</v>
      </c>
      <c r="J372" s="7" t="s">
        <v>50</v>
      </c>
    </row>
    <row r="373" spans="1:10" x14ac:dyDescent="0.2">
      <c r="A373" s="9">
        <v>1</v>
      </c>
      <c r="B373" s="9">
        <v>31</v>
      </c>
      <c r="C373" s="9">
        <v>3</v>
      </c>
      <c r="D373" s="9">
        <v>9</v>
      </c>
      <c r="E373" s="9">
        <v>7</v>
      </c>
      <c r="F373" s="9">
        <v>59</v>
      </c>
      <c r="G373" s="9">
        <v>14.6</v>
      </c>
      <c r="H373" s="9">
        <v>3.11</v>
      </c>
      <c r="I373" s="9">
        <v>5.5</v>
      </c>
      <c r="J373" s="7" t="s">
        <v>50</v>
      </c>
    </row>
    <row r="374" spans="1:10" x14ac:dyDescent="0.2">
      <c r="A374" s="9">
        <v>1</v>
      </c>
      <c r="B374" s="9">
        <v>27</v>
      </c>
      <c r="C374" s="9">
        <v>1</v>
      </c>
      <c r="D374" s="9">
        <v>9</v>
      </c>
      <c r="E374" s="9">
        <v>6</v>
      </c>
      <c r="F374" s="9">
        <v>45</v>
      </c>
      <c r="G374" s="9">
        <v>17.8</v>
      </c>
      <c r="H374" s="9">
        <v>2.85</v>
      </c>
      <c r="I374" s="9">
        <v>5.16</v>
      </c>
      <c r="J374" s="7" t="s">
        <v>50</v>
      </c>
    </row>
    <row r="375" spans="1:10" x14ac:dyDescent="0.2">
      <c r="A375" s="9">
        <v>0</v>
      </c>
      <c r="B375" s="9">
        <v>26</v>
      </c>
      <c r="C375" s="9">
        <v>3</v>
      </c>
      <c r="D375" s="9">
        <v>2</v>
      </c>
      <c r="E375" s="9">
        <v>1</v>
      </c>
      <c r="F375" s="9">
        <v>37</v>
      </c>
      <c r="G375" s="9">
        <v>14.2</v>
      </c>
      <c r="H375" s="9">
        <v>0.2</v>
      </c>
      <c r="I375" s="9">
        <v>5.05</v>
      </c>
      <c r="J375" s="7" t="s">
        <v>50</v>
      </c>
    </row>
    <row r="376" spans="1:10" x14ac:dyDescent="0.2">
      <c r="A376" s="9">
        <v>1</v>
      </c>
      <c r="B376" s="9">
        <v>41</v>
      </c>
      <c r="C376" s="9">
        <v>3</v>
      </c>
      <c r="D376" s="9">
        <v>17</v>
      </c>
      <c r="E376" s="9">
        <v>12</v>
      </c>
      <c r="F376" s="9">
        <v>0</v>
      </c>
      <c r="G376" s="9">
        <v>9.3000000000000007</v>
      </c>
      <c r="H376" s="9">
        <v>0.97</v>
      </c>
      <c r="I376" s="9">
        <v>5.01</v>
      </c>
      <c r="J376" s="7" t="s">
        <v>50</v>
      </c>
    </row>
    <row r="377" spans="1:10" x14ac:dyDescent="0.2">
      <c r="A377" s="9">
        <v>0</v>
      </c>
      <c r="B377" s="9">
        <v>51</v>
      </c>
      <c r="C377" s="9">
        <v>2</v>
      </c>
      <c r="D377" s="9">
        <v>22</v>
      </c>
      <c r="E377" s="9">
        <v>23</v>
      </c>
      <c r="F377" s="13">
        <v>117.54291069294821</v>
      </c>
      <c r="G377" s="9">
        <v>7.6</v>
      </c>
      <c r="H377" s="9">
        <v>4.1399999999999997</v>
      </c>
      <c r="I377" s="9">
        <v>4.9800000000000004</v>
      </c>
      <c r="J377" s="7" t="s">
        <v>50</v>
      </c>
    </row>
    <row r="378" spans="1:10" x14ac:dyDescent="0.2">
      <c r="A378" s="9">
        <v>0</v>
      </c>
      <c r="B378" s="9">
        <v>31</v>
      </c>
      <c r="C378" s="9">
        <v>1</v>
      </c>
      <c r="D378" s="9">
        <v>11</v>
      </c>
      <c r="E378" s="9">
        <v>12</v>
      </c>
      <c r="F378" s="9">
        <v>45</v>
      </c>
      <c r="G378" s="9">
        <v>17</v>
      </c>
      <c r="H378" s="9">
        <v>2.74</v>
      </c>
      <c r="I378" s="9">
        <v>4.91</v>
      </c>
      <c r="J378" s="7" t="s">
        <v>50</v>
      </c>
    </row>
    <row r="379" spans="1:10" x14ac:dyDescent="0.2">
      <c r="A379" s="9">
        <v>1</v>
      </c>
      <c r="B379" s="9">
        <v>27</v>
      </c>
      <c r="C379" s="9">
        <v>3</v>
      </c>
      <c r="D379" s="9">
        <v>3</v>
      </c>
      <c r="E379" s="9">
        <v>4</v>
      </c>
      <c r="F379" s="9">
        <v>45</v>
      </c>
      <c r="G379" s="9">
        <v>11</v>
      </c>
      <c r="H379" s="9">
        <v>0.28999999999999998</v>
      </c>
      <c r="I379" s="9">
        <v>4.66</v>
      </c>
      <c r="J379" s="7" t="s">
        <v>50</v>
      </c>
    </row>
    <row r="380" spans="1:10" x14ac:dyDescent="0.2">
      <c r="A380" s="9">
        <v>0</v>
      </c>
      <c r="B380" s="9">
        <v>32</v>
      </c>
      <c r="C380" s="9">
        <v>2</v>
      </c>
      <c r="D380" s="9">
        <v>12</v>
      </c>
      <c r="E380" s="9">
        <v>1</v>
      </c>
      <c r="F380" s="9">
        <v>54</v>
      </c>
      <c r="G380" s="9">
        <v>14.4</v>
      </c>
      <c r="H380" s="9">
        <v>3.2</v>
      </c>
      <c r="I380" s="9">
        <v>4.58</v>
      </c>
      <c r="J380" s="7" t="s">
        <v>50</v>
      </c>
    </row>
    <row r="381" spans="1:10" x14ac:dyDescent="0.2">
      <c r="A381" s="9">
        <v>0</v>
      </c>
      <c r="B381" s="9">
        <v>40</v>
      </c>
      <c r="C381" s="9">
        <v>3</v>
      </c>
      <c r="D381" s="9">
        <v>17</v>
      </c>
      <c r="E381" s="9">
        <v>11</v>
      </c>
      <c r="F381" s="9">
        <v>116</v>
      </c>
      <c r="G381" s="9">
        <v>6</v>
      </c>
      <c r="H381" s="9">
        <v>2.56</v>
      </c>
      <c r="I381" s="9">
        <v>4.4000000000000004</v>
      </c>
      <c r="J381" s="7" t="s">
        <v>50</v>
      </c>
    </row>
    <row r="382" spans="1:10" x14ac:dyDescent="0.2">
      <c r="A382" s="9">
        <v>0</v>
      </c>
      <c r="B382" s="9">
        <v>39</v>
      </c>
      <c r="C382" s="9">
        <v>1</v>
      </c>
      <c r="D382" s="9">
        <v>19</v>
      </c>
      <c r="E382" s="9">
        <v>5</v>
      </c>
      <c r="F382" s="9">
        <v>48</v>
      </c>
      <c r="G382" s="9">
        <v>13.1</v>
      </c>
      <c r="H382" s="9">
        <v>1.93</v>
      </c>
      <c r="I382" s="9">
        <v>4.3600000000000003</v>
      </c>
      <c r="J382" s="7" t="s">
        <v>50</v>
      </c>
    </row>
    <row r="383" spans="1:10" x14ac:dyDescent="0.2">
      <c r="A383" s="9">
        <v>0</v>
      </c>
      <c r="B383" s="9">
        <v>34</v>
      </c>
      <c r="C383" s="9">
        <v>1</v>
      </c>
      <c r="D383" s="9">
        <v>3</v>
      </c>
      <c r="E383" s="9">
        <v>11</v>
      </c>
      <c r="F383" s="9">
        <v>27</v>
      </c>
      <c r="G383" s="9">
        <v>21.3</v>
      </c>
      <c r="H383" s="9">
        <v>1.4</v>
      </c>
      <c r="I383" s="9">
        <v>4.3499999999999996</v>
      </c>
      <c r="J383" s="7" t="s">
        <v>50</v>
      </c>
    </row>
    <row r="384" spans="1:10" x14ac:dyDescent="0.2">
      <c r="A384" s="9">
        <v>0</v>
      </c>
      <c r="B384" s="9">
        <v>29</v>
      </c>
      <c r="C384" s="9">
        <v>2</v>
      </c>
      <c r="D384" s="9">
        <v>10</v>
      </c>
      <c r="E384" s="9">
        <v>8</v>
      </c>
      <c r="F384" s="9">
        <v>44</v>
      </c>
      <c r="G384" s="9">
        <v>18.100000000000001</v>
      </c>
      <c r="H384" s="9">
        <v>3.7</v>
      </c>
      <c r="I384" s="9">
        <v>4.26</v>
      </c>
      <c r="J384" s="7" t="s">
        <v>50</v>
      </c>
    </row>
    <row r="385" spans="1:10" x14ac:dyDescent="0.2">
      <c r="A385" s="9">
        <v>0</v>
      </c>
      <c r="B385" s="9">
        <v>38</v>
      </c>
      <c r="C385" s="9">
        <v>1</v>
      </c>
      <c r="D385" s="9">
        <v>5</v>
      </c>
      <c r="E385" s="9">
        <v>5</v>
      </c>
      <c r="F385" s="9">
        <v>54</v>
      </c>
      <c r="G385" s="9">
        <v>10.6</v>
      </c>
      <c r="H385" s="9">
        <v>1.5</v>
      </c>
      <c r="I385" s="9">
        <v>4.22</v>
      </c>
      <c r="J385" s="7" t="s">
        <v>50</v>
      </c>
    </row>
    <row r="386" spans="1:10" x14ac:dyDescent="0.2">
      <c r="A386" s="9">
        <v>0</v>
      </c>
      <c r="B386" s="9">
        <v>36</v>
      </c>
      <c r="C386" s="9">
        <v>1</v>
      </c>
      <c r="D386" s="9">
        <v>14</v>
      </c>
      <c r="E386" s="9">
        <v>11</v>
      </c>
      <c r="F386" s="9">
        <v>81</v>
      </c>
      <c r="G386" s="9">
        <v>7.2</v>
      </c>
      <c r="H386" s="9">
        <v>1.78</v>
      </c>
      <c r="I386" s="9">
        <v>4.05</v>
      </c>
      <c r="J386" s="7" t="s">
        <v>50</v>
      </c>
    </row>
    <row r="387" spans="1:10" x14ac:dyDescent="0.2">
      <c r="A387" s="9">
        <v>1</v>
      </c>
      <c r="B387" s="9">
        <v>27</v>
      </c>
      <c r="C387" s="9">
        <v>4</v>
      </c>
      <c r="D387" s="9">
        <v>0</v>
      </c>
      <c r="E387" s="9">
        <v>6</v>
      </c>
      <c r="F387" s="9">
        <v>70</v>
      </c>
      <c r="G387" s="9">
        <v>8</v>
      </c>
      <c r="H387" s="9">
        <v>1.62</v>
      </c>
      <c r="I387" s="9">
        <v>3.98</v>
      </c>
      <c r="J387" s="7" t="s">
        <v>50</v>
      </c>
    </row>
    <row r="388" spans="1:10" x14ac:dyDescent="0.2">
      <c r="A388" s="9">
        <v>1</v>
      </c>
      <c r="B388" s="9">
        <v>52</v>
      </c>
      <c r="C388" s="9">
        <v>1</v>
      </c>
      <c r="D388" s="9">
        <v>9</v>
      </c>
      <c r="E388" s="9">
        <v>11</v>
      </c>
      <c r="F388" s="9">
        <v>24</v>
      </c>
      <c r="G388" s="9">
        <v>19.2</v>
      </c>
      <c r="H388" s="9">
        <v>0.8</v>
      </c>
      <c r="I388" s="9">
        <v>3.81</v>
      </c>
      <c r="J388" s="7" t="s">
        <v>50</v>
      </c>
    </row>
    <row r="389" spans="1:10" x14ac:dyDescent="0.2">
      <c r="A389" s="9">
        <v>1</v>
      </c>
      <c r="B389" s="9">
        <v>28</v>
      </c>
      <c r="C389" s="9">
        <v>3</v>
      </c>
      <c r="D389" s="9">
        <v>6</v>
      </c>
      <c r="E389" s="9">
        <v>8</v>
      </c>
      <c r="F389" s="9">
        <v>47</v>
      </c>
      <c r="G389" s="9">
        <v>19.8</v>
      </c>
      <c r="H389" s="13">
        <v>5.4954845947359976</v>
      </c>
      <c r="I389" s="9">
        <v>3.73</v>
      </c>
      <c r="J389" s="7" t="s">
        <v>50</v>
      </c>
    </row>
    <row r="390" spans="1:10" x14ac:dyDescent="0.2">
      <c r="A390" s="9">
        <v>1</v>
      </c>
      <c r="B390" s="9">
        <v>46</v>
      </c>
      <c r="C390" s="9">
        <v>1</v>
      </c>
      <c r="D390" s="9">
        <v>16</v>
      </c>
      <c r="E390" s="9">
        <v>18</v>
      </c>
      <c r="F390" s="9">
        <v>52</v>
      </c>
      <c r="G390" s="9">
        <v>12.9</v>
      </c>
      <c r="H390" s="9">
        <v>3.03</v>
      </c>
      <c r="I390" s="9">
        <v>3.68</v>
      </c>
      <c r="J390" s="7" t="s">
        <v>50</v>
      </c>
    </row>
    <row r="391" spans="1:10" x14ac:dyDescent="0.2">
      <c r="A391" s="9">
        <v>1</v>
      </c>
      <c r="B391" s="9">
        <v>40</v>
      </c>
      <c r="C391" s="9">
        <v>1</v>
      </c>
      <c r="D391" s="9">
        <v>14</v>
      </c>
      <c r="E391" s="9">
        <v>21</v>
      </c>
      <c r="F391" s="9">
        <v>43</v>
      </c>
      <c r="G391" s="9">
        <v>15</v>
      </c>
      <c r="H391" s="9">
        <v>2.79</v>
      </c>
      <c r="I391" s="9">
        <v>3.66</v>
      </c>
      <c r="J391" s="7" t="s">
        <v>50</v>
      </c>
    </row>
    <row r="392" spans="1:10" x14ac:dyDescent="0.2">
      <c r="A392" s="9">
        <v>0</v>
      </c>
      <c r="B392" s="9">
        <v>37</v>
      </c>
      <c r="C392" s="9">
        <v>1</v>
      </c>
      <c r="D392" s="9">
        <v>7</v>
      </c>
      <c r="E392" s="9">
        <v>3</v>
      </c>
      <c r="F392" s="9">
        <v>32</v>
      </c>
      <c r="G392" s="9">
        <v>19.600000000000001</v>
      </c>
      <c r="H392" s="9">
        <v>2.7</v>
      </c>
      <c r="I392" s="9">
        <v>3.58</v>
      </c>
      <c r="J392" s="7" t="s">
        <v>50</v>
      </c>
    </row>
    <row r="393" spans="1:10" x14ac:dyDescent="0.2">
      <c r="A393" s="9">
        <v>1</v>
      </c>
      <c r="B393" s="9">
        <v>53</v>
      </c>
      <c r="C393" s="9">
        <v>1</v>
      </c>
      <c r="D393" s="9">
        <v>9</v>
      </c>
      <c r="E393" s="9">
        <v>18</v>
      </c>
      <c r="F393" s="9">
        <v>50</v>
      </c>
      <c r="G393" s="9">
        <v>11.2</v>
      </c>
      <c r="H393" s="9">
        <v>2.02</v>
      </c>
      <c r="I393" s="9">
        <v>3.58</v>
      </c>
      <c r="J393" s="7" t="s">
        <v>50</v>
      </c>
    </row>
    <row r="394" spans="1:10" x14ac:dyDescent="0.2">
      <c r="A394" s="9">
        <v>0</v>
      </c>
      <c r="B394" s="9">
        <v>25</v>
      </c>
      <c r="C394" s="9">
        <v>4</v>
      </c>
      <c r="D394" s="9">
        <v>0</v>
      </c>
      <c r="E394" s="9">
        <v>2</v>
      </c>
      <c r="F394" s="9">
        <v>32</v>
      </c>
      <c r="G394" s="9">
        <v>17.600000000000001</v>
      </c>
      <c r="H394" s="9">
        <v>2.14</v>
      </c>
      <c r="I394" s="9">
        <v>3.49</v>
      </c>
      <c r="J394" s="7" t="s">
        <v>50</v>
      </c>
    </row>
    <row r="395" spans="1:10" x14ac:dyDescent="0.2">
      <c r="A395" s="9">
        <v>0</v>
      </c>
      <c r="B395" s="9">
        <v>34</v>
      </c>
      <c r="C395" s="9">
        <v>2</v>
      </c>
      <c r="D395" s="9">
        <v>9</v>
      </c>
      <c r="E395" s="9">
        <v>13</v>
      </c>
      <c r="F395" s="9">
        <v>45</v>
      </c>
      <c r="G395" s="9">
        <v>10.1</v>
      </c>
      <c r="H395" s="9">
        <v>1.1200000000000001</v>
      </c>
      <c r="I395" s="9">
        <v>3.43</v>
      </c>
      <c r="J395" s="7" t="s">
        <v>50</v>
      </c>
    </row>
    <row r="396" spans="1:10" x14ac:dyDescent="0.2">
      <c r="A396" s="9">
        <v>0</v>
      </c>
      <c r="B396" s="9">
        <v>40</v>
      </c>
      <c r="C396" s="9">
        <v>1</v>
      </c>
      <c r="D396" s="9">
        <v>9</v>
      </c>
      <c r="E396" s="9">
        <v>4</v>
      </c>
      <c r="F396" s="9">
        <v>64</v>
      </c>
      <c r="G396" s="9">
        <v>6.6</v>
      </c>
      <c r="H396" s="9">
        <v>0.79</v>
      </c>
      <c r="I396" s="9">
        <v>3.43</v>
      </c>
      <c r="J396" s="7" t="s">
        <v>50</v>
      </c>
    </row>
    <row r="397" spans="1:10" x14ac:dyDescent="0.2">
      <c r="A397" s="9">
        <v>0</v>
      </c>
      <c r="B397" s="9">
        <v>46</v>
      </c>
      <c r="C397" s="9">
        <v>5</v>
      </c>
      <c r="D397" s="9">
        <v>15</v>
      </c>
      <c r="E397" s="9">
        <v>0</v>
      </c>
      <c r="F397" s="13">
        <v>117.54291069294821</v>
      </c>
      <c r="G397" s="9">
        <v>3.1</v>
      </c>
      <c r="H397" s="9">
        <v>0.48</v>
      </c>
      <c r="I397" s="9">
        <v>3.43</v>
      </c>
      <c r="J397" s="7" t="s">
        <v>50</v>
      </c>
    </row>
    <row r="398" spans="1:10" x14ac:dyDescent="0.2">
      <c r="A398" s="9">
        <v>1</v>
      </c>
      <c r="B398" s="9">
        <v>24</v>
      </c>
      <c r="C398" s="9">
        <v>1</v>
      </c>
      <c r="D398" s="9">
        <v>3</v>
      </c>
      <c r="E398" s="9">
        <v>3</v>
      </c>
      <c r="F398" s="9">
        <v>21</v>
      </c>
      <c r="G398" s="9">
        <v>28.9</v>
      </c>
      <c r="H398" s="9">
        <v>2.68</v>
      </c>
      <c r="I398" s="9">
        <v>3.39</v>
      </c>
      <c r="J398" s="7" t="s">
        <v>50</v>
      </c>
    </row>
    <row r="399" spans="1:10" x14ac:dyDescent="0.2">
      <c r="A399" s="9">
        <v>0</v>
      </c>
      <c r="B399" s="9">
        <v>28</v>
      </c>
      <c r="C399" s="9">
        <v>4</v>
      </c>
      <c r="D399" s="9">
        <v>0</v>
      </c>
      <c r="E399" s="9">
        <v>5</v>
      </c>
      <c r="F399" s="9">
        <v>38</v>
      </c>
      <c r="G399" s="9">
        <v>10.4</v>
      </c>
      <c r="H399" s="9">
        <v>0.64</v>
      </c>
      <c r="I399" s="9">
        <v>3.32</v>
      </c>
      <c r="J399" s="7" t="s">
        <v>50</v>
      </c>
    </row>
    <row r="400" spans="1:10" x14ac:dyDescent="0.2">
      <c r="A400" s="9">
        <v>1</v>
      </c>
      <c r="B400" s="9">
        <v>34</v>
      </c>
      <c r="C400" s="9">
        <v>1</v>
      </c>
      <c r="D400" s="9">
        <v>3</v>
      </c>
      <c r="E400" s="9">
        <v>4</v>
      </c>
      <c r="F400" s="9">
        <v>19</v>
      </c>
      <c r="G400" s="9">
        <v>24.4</v>
      </c>
      <c r="H400" s="9">
        <v>1.36</v>
      </c>
      <c r="I400" s="9">
        <v>3.28</v>
      </c>
      <c r="J400" s="7" t="s">
        <v>50</v>
      </c>
    </row>
    <row r="401" spans="1:10" x14ac:dyDescent="0.2">
      <c r="A401" s="9">
        <v>0</v>
      </c>
      <c r="B401" s="9">
        <v>41</v>
      </c>
      <c r="C401" s="9">
        <v>1</v>
      </c>
      <c r="D401" s="9">
        <v>16</v>
      </c>
      <c r="E401" s="9">
        <v>17</v>
      </c>
      <c r="F401" s="9">
        <v>68</v>
      </c>
      <c r="G401" s="9">
        <v>5.4</v>
      </c>
      <c r="H401" s="9">
        <v>0.45</v>
      </c>
      <c r="I401" s="9">
        <v>3.22</v>
      </c>
      <c r="J401" s="7" t="s">
        <v>50</v>
      </c>
    </row>
    <row r="402" spans="1:10" x14ac:dyDescent="0.2">
      <c r="A402" s="9">
        <v>1</v>
      </c>
      <c r="B402" s="9">
        <v>29</v>
      </c>
      <c r="C402" s="9">
        <v>1</v>
      </c>
      <c r="D402" s="9">
        <v>1</v>
      </c>
      <c r="E402" s="9">
        <v>2</v>
      </c>
      <c r="F402" s="9">
        <v>20</v>
      </c>
      <c r="G402" s="9">
        <v>18.600000000000001</v>
      </c>
      <c r="H402" s="9">
        <v>0.56999999999999995</v>
      </c>
      <c r="I402" s="9">
        <v>3.15</v>
      </c>
      <c r="J402" s="7" t="s">
        <v>50</v>
      </c>
    </row>
    <row r="403" spans="1:10" x14ac:dyDescent="0.2">
      <c r="A403" s="9">
        <v>0</v>
      </c>
      <c r="B403" s="9">
        <v>28</v>
      </c>
      <c r="C403" s="9">
        <v>3</v>
      </c>
      <c r="D403" s="9">
        <v>5</v>
      </c>
      <c r="E403" s="9">
        <v>9</v>
      </c>
      <c r="F403" s="9">
        <v>44</v>
      </c>
      <c r="G403" s="9">
        <v>8.6999999999999993</v>
      </c>
      <c r="H403" s="9">
        <v>0.77</v>
      </c>
      <c r="I403" s="9">
        <v>3.05</v>
      </c>
      <c r="J403" s="7" t="s">
        <v>50</v>
      </c>
    </row>
    <row r="404" spans="1:10" x14ac:dyDescent="0.2">
      <c r="A404" s="9">
        <v>0</v>
      </c>
      <c r="B404" s="9">
        <v>36</v>
      </c>
      <c r="C404" s="9">
        <v>2</v>
      </c>
      <c r="D404" s="9">
        <v>12</v>
      </c>
      <c r="E404" s="9">
        <v>13</v>
      </c>
      <c r="F404" s="9">
        <v>60</v>
      </c>
      <c r="G404" s="9">
        <v>7.9</v>
      </c>
      <c r="H404" s="9">
        <v>1.72</v>
      </c>
      <c r="I404" s="9">
        <v>3.02</v>
      </c>
      <c r="J404" s="7" t="s">
        <v>50</v>
      </c>
    </row>
    <row r="405" spans="1:10" x14ac:dyDescent="0.2">
      <c r="A405" s="9">
        <v>0</v>
      </c>
      <c r="B405" s="9">
        <v>37</v>
      </c>
      <c r="C405" s="9">
        <v>1</v>
      </c>
      <c r="D405" s="9">
        <v>6</v>
      </c>
      <c r="E405" s="9">
        <v>9</v>
      </c>
      <c r="F405" s="9">
        <v>29</v>
      </c>
      <c r="G405" s="9">
        <v>16.3</v>
      </c>
      <c r="H405" s="9">
        <v>1.72</v>
      </c>
      <c r="I405" s="9">
        <v>3.01</v>
      </c>
      <c r="J405" s="7" t="s">
        <v>50</v>
      </c>
    </row>
    <row r="406" spans="1:10" x14ac:dyDescent="0.2">
      <c r="A406" s="9">
        <v>0</v>
      </c>
      <c r="B406" s="9">
        <v>21</v>
      </c>
      <c r="C406" s="9">
        <v>1</v>
      </c>
      <c r="D406" s="9">
        <v>1</v>
      </c>
      <c r="E406" s="9">
        <v>1</v>
      </c>
      <c r="F406" s="9">
        <v>18</v>
      </c>
      <c r="G406" s="9">
        <v>17.3</v>
      </c>
      <c r="H406" s="9">
        <v>0.16</v>
      </c>
      <c r="I406" s="9">
        <v>2.96</v>
      </c>
      <c r="J406" s="7" t="s">
        <v>50</v>
      </c>
    </row>
    <row r="407" spans="1:10" x14ac:dyDescent="0.2">
      <c r="A407" s="9">
        <v>0</v>
      </c>
      <c r="B407" s="9">
        <v>41</v>
      </c>
      <c r="C407" s="9">
        <v>1</v>
      </c>
      <c r="D407" s="9">
        <v>14</v>
      </c>
      <c r="E407" s="9">
        <v>8</v>
      </c>
      <c r="F407" s="9">
        <v>52</v>
      </c>
      <c r="G407" s="9">
        <v>7.3</v>
      </c>
      <c r="H407" s="9">
        <v>0.93</v>
      </c>
      <c r="I407" s="9">
        <v>2.87</v>
      </c>
      <c r="J407" s="7" t="s">
        <v>50</v>
      </c>
    </row>
    <row r="408" spans="1:10" x14ac:dyDescent="0.2">
      <c r="A408" s="9">
        <v>0</v>
      </c>
      <c r="B408" s="9">
        <v>31</v>
      </c>
      <c r="C408" s="9">
        <v>1</v>
      </c>
      <c r="D408" s="9">
        <v>4</v>
      </c>
      <c r="E408" s="9">
        <v>10</v>
      </c>
      <c r="F408" s="9">
        <v>28</v>
      </c>
      <c r="G408" s="9">
        <v>11.3</v>
      </c>
      <c r="H408" s="9">
        <v>0.28999999999999998</v>
      </c>
      <c r="I408" s="9">
        <v>2.87</v>
      </c>
      <c r="J408" s="7" t="s">
        <v>50</v>
      </c>
    </row>
    <row r="409" spans="1:10" x14ac:dyDescent="0.2">
      <c r="A409" s="9">
        <v>0</v>
      </c>
      <c r="B409" s="9">
        <v>50</v>
      </c>
      <c r="C409" s="9">
        <v>1</v>
      </c>
      <c r="D409" s="9">
        <v>8</v>
      </c>
      <c r="E409" s="9">
        <v>27</v>
      </c>
      <c r="F409" s="9">
        <v>47</v>
      </c>
      <c r="G409" s="9">
        <v>6.9</v>
      </c>
      <c r="H409" s="9">
        <v>0.4</v>
      </c>
      <c r="I409" s="9">
        <v>2.84</v>
      </c>
      <c r="J409" s="7" t="s">
        <v>50</v>
      </c>
    </row>
    <row r="410" spans="1:10" x14ac:dyDescent="0.2">
      <c r="A410" s="9">
        <v>0</v>
      </c>
      <c r="B410" s="9">
        <v>40</v>
      </c>
      <c r="C410" s="9">
        <v>1</v>
      </c>
      <c r="D410" s="9">
        <v>22</v>
      </c>
      <c r="E410" s="9">
        <v>4</v>
      </c>
      <c r="F410" s="9">
        <v>95</v>
      </c>
      <c r="G410" s="9">
        <v>3.6</v>
      </c>
      <c r="H410" s="9">
        <v>0.63</v>
      </c>
      <c r="I410" s="9">
        <v>2.79</v>
      </c>
      <c r="J410" s="7" t="s">
        <v>50</v>
      </c>
    </row>
    <row r="411" spans="1:10" x14ac:dyDescent="0.2">
      <c r="A411" s="9">
        <v>1</v>
      </c>
      <c r="B411" s="9">
        <v>23</v>
      </c>
      <c r="C411" s="9">
        <v>2</v>
      </c>
      <c r="D411" s="9">
        <v>0</v>
      </c>
      <c r="E411" s="9">
        <v>1</v>
      </c>
      <c r="F411" s="9">
        <v>17</v>
      </c>
      <c r="G411" s="9">
        <v>27.7</v>
      </c>
      <c r="H411" s="9">
        <v>2.04</v>
      </c>
      <c r="I411" s="9">
        <v>2.67</v>
      </c>
      <c r="J411" s="7" t="s">
        <v>50</v>
      </c>
    </row>
    <row r="412" spans="1:10" x14ac:dyDescent="0.2">
      <c r="A412" s="9">
        <v>0</v>
      </c>
      <c r="B412" s="9">
        <v>44</v>
      </c>
      <c r="C412" s="9">
        <v>1</v>
      </c>
      <c r="D412" s="9">
        <v>12</v>
      </c>
      <c r="E412" s="9">
        <v>3</v>
      </c>
      <c r="F412" s="9">
        <v>31</v>
      </c>
      <c r="G412" s="9">
        <v>9.6999999999999993</v>
      </c>
      <c r="H412" s="9">
        <v>0.36</v>
      </c>
      <c r="I412" s="9">
        <v>2.65</v>
      </c>
      <c r="J412" s="7" t="s">
        <v>50</v>
      </c>
    </row>
    <row r="413" spans="1:10" x14ac:dyDescent="0.2">
      <c r="A413" s="9">
        <v>1</v>
      </c>
      <c r="B413" s="9">
        <v>46</v>
      </c>
      <c r="C413" s="9">
        <v>3</v>
      </c>
      <c r="D413" s="9">
        <v>3</v>
      </c>
      <c r="E413" s="9">
        <v>13</v>
      </c>
      <c r="F413" s="9">
        <v>43</v>
      </c>
      <c r="G413" s="9">
        <v>13.2</v>
      </c>
      <c r="H413" s="9">
        <v>3.04</v>
      </c>
      <c r="I413" s="9">
        <v>2.63</v>
      </c>
      <c r="J413" s="7" t="s">
        <v>50</v>
      </c>
    </row>
    <row r="414" spans="1:10" x14ac:dyDescent="0.2">
      <c r="A414" s="9">
        <v>1</v>
      </c>
      <c r="B414" s="9">
        <v>37</v>
      </c>
      <c r="C414" s="9">
        <v>4</v>
      </c>
      <c r="D414" s="9">
        <v>1</v>
      </c>
      <c r="E414" s="9">
        <v>14</v>
      </c>
      <c r="F414" s="9">
        <v>33</v>
      </c>
      <c r="G414" s="9">
        <v>16.100000000000001</v>
      </c>
      <c r="H414" s="9">
        <v>2.69</v>
      </c>
      <c r="I414" s="9">
        <v>2.62</v>
      </c>
      <c r="J414" s="7" t="s">
        <v>50</v>
      </c>
    </row>
    <row r="415" spans="1:10" x14ac:dyDescent="0.2">
      <c r="A415" s="9">
        <v>1</v>
      </c>
      <c r="B415" s="9">
        <v>25</v>
      </c>
      <c r="C415" s="9">
        <v>1</v>
      </c>
      <c r="D415" s="9">
        <v>3</v>
      </c>
      <c r="E415" s="9">
        <v>2</v>
      </c>
      <c r="F415" s="9">
        <v>18</v>
      </c>
      <c r="G415" s="9">
        <v>16.3</v>
      </c>
      <c r="H415" s="9">
        <v>0.35</v>
      </c>
      <c r="I415" s="9">
        <v>2.58</v>
      </c>
      <c r="J415" s="7" t="s">
        <v>50</v>
      </c>
    </row>
    <row r="416" spans="1:10" x14ac:dyDescent="0.2">
      <c r="A416" s="9">
        <v>0</v>
      </c>
      <c r="B416" s="9">
        <v>27</v>
      </c>
      <c r="C416" s="9">
        <v>2</v>
      </c>
      <c r="D416" s="9">
        <v>1</v>
      </c>
      <c r="E416" s="9">
        <v>0</v>
      </c>
      <c r="F416" s="9">
        <v>23</v>
      </c>
      <c r="G416" s="9">
        <v>12.4</v>
      </c>
      <c r="H416" s="9">
        <v>0.28999999999999998</v>
      </c>
      <c r="I416" s="9">
        <v>2.57</v>
      </c>
      <c r="J416" s="7" t="s">
        <v>50</v>
      </c>
    </row>
    <row r="417" spans="1:10" x14ac:dyDescent="0.2">
      <c r="A417" s="9">
        <v>0</v>
      </c>
      <c r="B417" s="9">
        <v>34</v>
      </c>
      <c r="C417" s="9">
        <v>2</v>
      </c>
      <c r="D417" s="9">
        <v>10</v>
      </c>
      <c r="E417" s="9">
        <v>2</v>
      </c>
      <c r="F417" s="9">
        <v>33</v>
      </c>
      <c r="G417" s="9">
        <v>9.5</v>
      </c>
      <c r="H417" s="9">
        <v>0.56999999999999995</v>
      </c>
      <c r="I417" s="9">
        <v>2.56</v>
      </c>
      <c r="J417" s="7" t="s">
        <v>50</v>
      </c>
    </row>
    <row r="418" spans="1:10" x14ac:dyDescent="0.2">
      <c r="A418" s="9">
        <v>1</v>
      </c>
      <c r="B418" s="9">
        <v>41</v>
      </c>
      <c r="C418" s="9">
        <v>2</v>
      </c>
      <c r="D418" s="9">
        <v>6</v>
      </c>
      <c r="E418" s="9">
        <v>0</v>
      </c>
      <c r="F418" s="9">
        <v>36</v>
      </c>
      <c r="G418" s="9">
        <v>19.5</v>
      </c>
      <c r="H418" s="9">
        <v>4.51</v>
      </c>
      <c r="I418" s="9">
        <v>2.5099999999999998</v>
      </c>
      <c r="J418" s="7" t="s">
        <v>50</v>
      </c>
    </row>
    <row r="419" spans="1:10" x14ac:dyDescent="0.2">
      <c r="A419" s="9">
        <v>0</v>
      </c>
      <c r="B419" s="9">
        <v>41</v>
      </c>
      <c r="C419" s="9">
        <v>2</v>
      </c>
      <c r="D419" s="9">
        <v>19</v>
      </c>
      <c r="E419" s="9">
        <v>2</v>
      </c>
      <c r="F419" s="9">
        <v>68</v>
      </c>
      <c r="G419" s="9">
        <v>5.8</v>
      </c>
      <c r="H419" s="9">
        <v>1.51</v>
      </c>
      <c r="I419" s="9">
        <v>2.44</v>
      </c>
      <c r="J419" s="7" t="s">
        <v>50</v>
      </c>
    </row>
    <row r="420" spans="1:10" x14ac:dyDescent="0.2">
      <c r="A420" s="9">
        <v>0</v>
      </c>
      <c r="B420" s="9">
        <v>36</v>
      </c>
      <c r="C420" s="9">
        <v>1</v>
      </c>
      <c r="D420" s="9">
        <v>4</v>
      </c>
      <c r="E420" s="9">
        <v>10</v>
      </c>
      <c r="F420" s="9">
        <v>23</v>
      </c>
      <c r="G420" s="9">
        <v>16.3</v>
      </c>
      <c r="H420" s="9">
        <v>1.33</v>
      </c>
      <c r="I420" s="9">
        <v>2.42</v>
      </c>
      <c r="J420" s="7" t="s">
        <v>50</v>
      </c>
    </row>
    <row r="421" spans="1:10" x14ac:dyDescent="0.2">
      <c r="A421" s="9">
        <v>1</v>
      </c>
      <c r="B421" s="9">
        <v>31</v>
      </c>
      <c r="C421" s="9">
        <v>2</v>
      </c>
      <c r="D421" s="9">
        <v>0</v>
      </c>
      <c r="E421" s="9">
        <v>4</v>
      </c>
      <c r="F421" s="9">
        <v>27</v>
      </c>
      <c r="G421" s="9">
        <v>12.8</v>
      </c>
      <c r="H421" s="9">
        <v>1.0900000000000001</v>
      </c>
      <c r="I421" s="9">
        <v>2.37</v>
      </c>
      <c r="J421" s="7" t="s">
        <v>50</v>
      </c>
    </row>
    <row r="422" spans="1:10" x14ac:dyDescent="0.2">
      <c r="A422" s="9">
        <v>1</v>
      </c>
      <c r="B422" s="9">
        <v>44</v>
      </c>
      <c r="C422" s="9">
        <v>1</v>
      </c>
      <c r="D422" s="9">
        <v>5</v>
      </c>
      <c r="E422" s="9">
        <v>3</v>
      </c>
      <c r="F422" s="9">
        <v>48</v>
      </c>
      <c r="G422" s="9">
        <v>9</v>
      </c>
      <c r="H422" s="9">
        <v>1.97</v>
      </c>
      <c r="I422" s="9">
        <v>2.35</v>
      </c>
      <c r="J422" s="7" t="s">
        <v>50</v>
      </c>
    </row>
    <row r="423" spans="1:10" x14ac:dyDescent="0.2">
      <c r="A423" s="9">
        <v>0</v>
      </c>
      <c r="B423" s="9">
        <v>29</v>
      </c>
      <c r="C423" s="9">
        <v>1</v>
      </c>
      <c r="D423" s="9">
        <v>8</v>
      </c>
      <c r="E423" s="9">
        <v>6</v>
      </c>
      <c r="F423" s="9">
        <v>27</v>
      </c>
      <c r="G423" s="9">
        <v>9.8000000000000007</v>
      </c>
      <c r="H423" s="9">
        <v>0.4</v>
      </c>
      <c r="I423" s="9">
        <v>2.2400000000000002</v>
      </c>
      <c r="J423" s="7" t="s">
        <v>50</v>
      </c>
    </row>
    <row r="424" spans="1:10" x14ac:dyDescent="0.2">
      <c r="A424" s="9">
        <v>0</v>
      </c>
      <c r="B424" s="9">
        <v>28</v>
      </c>
      <c r="C424" s="9">
        <v>1</v>
      </c>
      <c r="D424" s="9">
        <v>4</v>
      </c>
      <c r="E424" s="9">
        <v>7</v>
      </c>
      <c r="F424" s="9">
        <v>26</v>
      </c>
      <c r="G424" s="9">
        <v>13.5</v>
      </c>
      <c r="H424" s="9">
        <v>1.3</v>
      </c>
      <c r="I424" s="9">
        <v>2.21</v>
      </c>
      <c r="J424" s="7" t="s">
        <v>50</v>
      </c>
    </row>
    <row r="425" spans="1:10" x14ac:dyDescent="0.2">
      <c r="A425" s="9">
        <v>0</v>
      </c>
      <c r="B425" s="9">
        <v>28</v>
      </c>
      <c r="C425" s="9">
        <v>1</v>
      </c>
      <c r="D425" s="9">
        <v>3</v>
      </c>
      <c r="E425" s="9">
        <v>6</v>
      </c>
      <c r="F425" s="9">
        <v>26</v>
      </c>
      <c r="G425" s="9">
        <v>10</v>
      </c>
      <c r="H425" s="9">
        <v>0.43</v>
      </c>
      <c r="I425" s="9">
        <v>2.17</v>
      </c>
      <c r="J425" s="7" t="s">
        <v>50</v>
      </c>
    </row>
    <row r="426" spans="1:10" x14ac:dyDescent="0.2">
      <c r="A426" s="9">
        <v>0</v>
      </c>
      <c r="B426" s="9">
        <v>36</v>
      </c>
      <c r="C426" s="9">
        <v>1</v>
      </c>
      <c r="D426" s="9">
        <v>6</v>
      </c>
      <c r="E426" s="9">
        <v>9</v>
      </c>
      <c r="F426" s="9">
        <v>26</v>
      </c>
      <c r="G426" s="9">
        <v>8.3000000000000007</v>
      </c>
      <c r="H426" s="9">
        <v>0.97</v>
      </c>
      <c r="I426" s="9">
        <v>2.13</v>
      </c>
      <c r="J426" s="7" t="s">
        <v>50</v>
      </c>
    </row>
    <row r="427" spans="1:10" x14ac:dyDescent="0.2">
      <c r="A427" s="9">
        <v>0</v>
      </c>
      <c r="B427" s="9">
        <v>39</v>
      </c>
      <c r="C427" s="9">
        <v>1</v>
      </c>
      <c r="D427" s="9">
        <v>0</v>
      </c>
      <c r="E427" s="9">
        <v>8</v>
      </c>
      <c r="F427" s="9">
        <v>39</v>
      </c>
      <c r="G427" s="9">
        <v>7.9</v>
      </c>
      <c r="H427" s="9">
        <v>1.07</v>
      </c>
      <c r="I427" s="9">
        <v>2.0099999999999998</v>
      </c>
      <c r="J427" s="7" t="s">
        <v>50</v>
      </c>
    </row>
    <row r="428" spans="1:10" x14ac:dyDescent="0.2">
      <c r="A428" s="9">
        <v>0</v>
      </c>
      <c r="B428" s="9">
        <v>30</v>
      </c>
      <c r="C428" s="9">
        <v>1</v>
      </c>
      <c r="D428" s="9">
        <v>8</v>
      </c>
      <c r="E428" s="9">
        <v>6</v>
      </c>
      <c r="F428" s="9">
        <v>23</v>
      </c>
      <c r="G428" s="9">
        <v>12</v>
      </c>
      <c r="H428" s="9">
        <v>0.76</v>
      </c>
      <c r="I428" s="9">
        <v>2</v>
      </c>
      <c r="J428" s="7" t="s">
        <v>50</v>
      </c>
    </row>
    <row r="429" spans="1:10" x14ac:dyDescent="0.2">
      <c r="A429" s="9">
        <v>0</v>
      </c>
      <c r="B429" s="9">
        <v>37</v>
      </c>
      <c r="C429" s="9">
        <v>1</v>
      </c>
      <c r="D429" s="9">
        <v>18</v>
      </c>
      <c r="E429" s="9">
        <v>8</v>
      </c>
      <c r="F429" s="9">
        <v>54</v>
      </c>
      <c r="G429" s="9">
        <v>12.1</v>
      </c>
      <c r="H429" s="9">
        <v>4.59</v>
      </c>
      <c r="I429" s="9">
        <v>1.94</v>
      </c>
      <c r="J429" s="7" t="s">
        <v>50</v>
      </c>
    </row>
    <row r="430" spans="1:10" x14ac:dyDescent="0.2">
      <c r="A430" s="9">
        <v>0</v>
      </c>
      <c r="B430" s="9">
        <v>34</v>
      </c>
      <c r="C430" s="9">
        <v>2</v>
      </c>
      <c r="D430" s="9">
        <v>9</v>
      </c>
      <c r="E430" s="9">
        <v>9</v>
      </c>
      <c r="F430" s="9">
        <v>65</v>
      </c>
      <c r="G430" s="9">
        <v>6.2</v>
      </c>
      <c r="H430" s="9">
        <v>2.11</v>
      </c>
      <c r="I430" s="9">
        <v>1.92</v>
      </c>
      <c r="J430" s="7" t="s">
        <v>50</v>
      </c>
    </row>
    <row r="431" spans="1:10" x14ac:dyDescent="0.2">
      <c r="A431" s="9">
        <v>0</v>
      </c>
      <c r="B431" s="9">
        <v>34</v>
      </c>
      <c r="C431" s="9">
        <v>3</v>
      </c>
      <c r="D431" s="9">
        <v>12</v>
      </c>
      <c r="E431" s="9">
        <v>8</v>
      </c>
      <c r="F431" s="9">
        <v>47</v>
      </c>
      <c r="G431" s="9">
        <v>6.7</v>
      </c>
      <c r="H431" s="9">
        <v>1.3</v>
      </c>
      <c r="I431" s="9">
        <v>1.85</v>
      </c>
      <c r="J431" s="7" t="s">
        <v>50</v>
      </c>
    </row>
    <row r="432" spans="1:10" x14ac:dyDescent="0.2">
      <c r="A432" s="9">
        <v>1</v>
      </c>
      <c r="B432" s="9">
        <v>25</v>
      </c>
      <c r="C432" s="9">
        <v>1</v>
      </c>
      <c r="D432" s="9">
        <v>3</v>
      </c>
      <c r="E432" s="9">
        <v>2</v>
      </c>
      <c r="F432" s="9">
        <v>16</v>
      </c>
      <c r="G432" s="9">
        <v>17.8</v>
      </c>
      <c r="H432" s="9">
        <v>1.01</v>
      </c>
      <c r="I432" s="9">
        <v>1.84</v>
      </c>
      <c r="J432" s="7" t="s">
        <v>50</v>
      </c>
    </row>
    <row r="433" spans="1:10" x14ac:dyDescent="0.2">
      <c r="A433" s="9">
        <v>1</v>
      </c>
      <c r="B433" s="9">
        <v>37</v>
      </c>
      <c r="C433" s="9">
        <v>1</v>
      </c>
      <c r="D433" s="9">
        <v>1</v>
      </c>
      <c r="E433" s="9">
        <v>3</v>
      </c>
      <c r="F433" s="9">
        <v>24</v>
      </c>
      <c r="G433" s="9">
        <v>15.1</v>
      </c>
      <c r="H433" s="9">
        <v>1.8</v>
      </c>
      <c r="I433" s="9">
        <v>1.82</v>
      </c>
      <c r="J433" s="7" t="s">
        <v>50</v>
      </c>
    </row>
    <row r="434" spans="1:10" x14ac:dyDescent="0.2">
      <c r="A434" s="9">
        <v>0</v>
      </c>
      <c r="B434" s="9">
        <v>39</v>
      </c>
      <c r="C434" s="9">
        <v>1</v>
      </c>
      <c r="D434" s="9">
        <v>12</v>
      </c>
      <c r="E434" s="9">
        <v>10</v>
      </c>
      <c r="F434" s="9">
        <v>46</v>
      </c>
      <c r="G434" s="9">
        <v>5</v>
      </c>
      <c r="H434" s="9">
        <v>0.56000000000000005</v>
      </c>
      <c r="I434" s="9">
        <v>1.74</v>
      </c>
      <c r="J434" s="7" t="s">
        <v>50</v>
      </c>
    </row>
    <row r="435" spans="1:10" x14ac:dyDescent="0.2">
      <c r="A435" s="9">
        <v>1</v>
      </c>
      <c r="B435" s="9">
        <v>31</v>
      </c>
      <c r="C435" s="9">
        <v>1</v>
      </c>
      <c r="D435" s="9">
        <v>2</v>
      </c>
      <c r="E435" s="9">
        <v>4</v>
      </c>
      <c r="F435" s="9">
        <v>22</v>
      </c>
      <c r="G435" s="9">
        <v>12.7</v>
      </c>
      <c r="H435" s="9">
        <v>1.0900000000000001</v>
      </c>
      <c r="I435" s="9">
        <v>1.7</v>
      </c>
      <c r="J435" s="7" t="s">
        <v>50</v>
      </c>
    </row>
    <row r="436" spans="1:10" x14ac:dyDescent="0.2">
      <c r="A436" s="9">
        <v>0</v>
      </c>
      <c r="B436" s="9">
        <v>33</v>
      </c>
      <c r="C436" s="9">
        <v>2</v>
      </c>
      <c r="D436" s="9">
        <v>4</v>
      </c>
      <c r="E436" s="9">
        <v>9</v>
      </c>
      <c r="F436" s="9">
        <v>55</v>
      </c>
      <c r="G436" s="9">
        <v>7</v>
      </c>
      <c r="H436" s="9">
        <v>2.16</v>
      </c>
      <c r="I436" s="9">
        <v>1.69</v>
      </c>
      <c r="J436" s="7" t="s">
        <v>50</v>
      </c>
    </row>
    <row r="437" spans="1:10" x14ac:dyDescent="0.2">
      <c r="A437" s="9">
        <v>0</v>
      </c>
      <c r="B437" s="9">
        <v>39</v>
      </c>
      <c r="C437" s="9">
        <v>1</v>
      </c>
      <c r="D437" s="9">
        <v>19</v>
      </c>
      <c r="E437" s="9">
        <v>8</v>
      </c>
      <c r="F437" s="9">
        <v>46</v>
      </c>
      <c r="G437" s="9">
        <v>9.1</v>
      </c>
      <c r="H437" s="9">
        <v>2.52</v>
      </c>
      <c r="I437" s="9">
        <v>1.67</v>
      </c>
      <c r="J437" s="7" t="s">
        <v>50</v>
      </c>
    </row>
    <row r="438" spans="1:10" x14ac:dyDescent="0.2">
      <c r="A438" s="9">
        <v>0</v>
      </c>
      <c r="B438" s="9">
        <v>30</v>
      </c>
      <c r="C438" s="9">
        <v>1</v>
      </c>
      <c r="D438" s="9">
        <v>10</v>
      </c>
      <c r="E438" s="9">
        <v>11</v>
      </c>
      <c r="F438" s="9">
        <v>39</v>
      </c>
      <c r="G438" s="9">
        <v>9.5</v>
      </c>
      <c r="H438" s="9">
        <v>2.06</v>
      </c>
      <c r="I438" s="9">
        <v>1.65</v>
      </c>
      <c r="J438" s="7" t="s">
        <v>50</v>
      </c>
    </row>
    <row r="439" spans="1:10" x14ac:dyDescent="0.2">
      <c r="A439" s="9">
        <v>1</v>
      </c>
      <c r="B439" s="9">
        <v>24</v>
      </c>
      <c r="C439" s="9">
        <v>2</v>
      </c>
      <c r="D439" s="9">
        <v>2</v>
      </c>
      <c r="E439" s="9">
        <v>3</v>
      </c>
      <c r="F439" s="9">
        <v>26</v>
      </c>
      <c r="G439" s="9">
        <v>9.6999999999999993</v>
      </c>
      <c r="H439" s="9">
        <v>0.89</v>
      </c>
      <c r="I439" s="9">
        <v>1.63</v>
      </c>
      <c r="J439" s="7" t="s">
        <v>50</v>
      </c>
    </row>
    <row r="440" spans="1:10" x14ac:dyDescent="0.2">
      <c r="A440" s="9">
        <v>0</v>
      </c>
      <c r="B440" s="9">
        <v>28</v>
      </c>
      <c r="C440" s="9">
        <v>1</v>
      </c>
      <c r="D440" s="9">
        <v>12</v>
      </c>
      <c r="E440" s="9">
        <v>7</v>
      </c>
      <c r="F440" s="9">
        <v>45</v>
      </c>
      <c r="G440" s="9">
        <v>7.7</v>
      </c>
      <c r="H440" s="9">
        <v>1.85</v>
      </c>
      <c r="I440" s="9">
        <v>1.61</v>
      </c>
      <c r="J440" s="7" t="s">
        <v>50</v>
      </c>
    </row>
    <row r="441" spans="1:10" x14ac:dyDescent="0.2">
      <c r="A441" s="9">
        <v>0</v>
      </c>
      <c r="B441" s="9">
        <v>34</v>
      </c>
      <c r="C441" s="9">
        <v>4</v>
      </c>
      <c r="D441" s="9">
        <v>7</v>
      </c>
      <c r="E441" s="9">
        <v>15</v>
      </c>
      <c r="F441" s="9">
        <v>40</v>
      </c>
      <c r="G441" s="9">
        <v>6.4</v>
      </c>
      <c r="H441" s="9">
        <v>0.95</v>
      </c>
      <c r="I441" s="9">
        <v>1.61</v>
      </c>
      <c r="J441" s="7" t="s">
        <v>50</v>
      </c>
    </row>
    <row r="442" spans="1:10" x14ac:dyDescent="0.2">
      <c r="A442" s="9">
        <v>1</v>
      </c>
      <c r="B442" s="9">
        <v>31</v>
      </c>
      <c r="C442" s="9">
        <v>1</v>
      </c>
      <c r="D442" s="9">
        <v>10</v>
      </c>
      <c r="E442" s="9">
        <v>12</v>
      </c>
      <c r="F442" s="9">
        <v>49</v>
      </c>
      <c r="G442" s="9">
        <v>9.8000000000000007</v>
      </c>
      <c r="H442" s="9">
        <v>3.24</v>
      </c>
      <c r="I442" s="9">
        <v>1.57</v>
      </c>
      <c r="J442" s="7" t="s">
        <v>50</v>
      </c>
    </row>
    <row r="443" spans="1:10" x14ac:dyDescent="0.2">
      <c r="A443" s="9">
        <v>0</v>
      </c>
      <c r="B443" s="9">
        <v>28</v>
      </c>
      <c r="C443" s="9">
        <v>1</v>
      </c>
      <c r="D443" s="9">
        <v>2</v>
      </c>
      <c r="E443" s="9">
        <v>9</v>
      </c>
      <c r="F443" s="9">
        <v>16</v>
      </c>
      <c r="G443" s="9">
        <v>15.2</v>
      </c>
      <c r="H443" s="9">
        <v>0.87</v>
      </c>
      <c r="I443" s="9">
        <v>1.56</v>
      </c>
      <c r="J443" s="7" t="s">
        <v>50</v>
      </c>
    </row>
    <row r="444" spans="1:10" x14ac:dyDescent="0.2">
      <c r="A444" s="9">
        <v>0</v>
      </c>
      <c r="B444" s="9">
        <v>28</v>
      </c>
      <c r="C444" s="9">
        <v>1</v>
      </c>
      <c r="D444" s="9">
        <v>8</v>
      </c>
      <c r="E444" s="9">
        <v>6</v>
      </c>
      <c r="F444" s="9">
        <v>30</v>
      </c>
      <c r="G444" s="9">
        <v>7.2</v>
      </c>
      <c r="H444" s="9">
        <v>0.61</v>
      </c>
      <c r="I444" s="9">
        <v>1.55</v>
      </c>
      <c r="J444" s="7" t="s">
        <v>50</v>
      </c>
    </row>
    <row r="445" spans="1:10" x14ac:dyDescent="0.2">
      <c r="A445" s="9">
        <v>0</v>
      </c>
      <c r="B445" s="9">
        <v>29</v>
      </c>
      <c r="C445" s="9">
        <v>1</v>
      </c>
      <c r="D445" s="9">
        <v>11</v>
      </c>
      <c r="E445" s="9">
        <v>5</v>
      </c>
      <c r="F445" s="9">
        <v>36</v>
      </c>
      <c r="G445" s="9">
        <v>6.1</v>
      </c>
      <c r="H445" s="9">
        <v>0.71</v>
      </c>
      <c r="I445" s="9">
        <v>1.49</v>
      </c>
      <c r="J445" s="7" t="s">
        <v>50</v>
      </c>
    </row>
    <row r="446" spans="1:10" x14ac:dyDescent="0.2">
      <c r="A446" s="9">
        <v>1</v>
      </c>
      <c r="B446" s="9">
        <v>31</v>
      </c>
      <c r="C446" s="9">
        <v>2</v>
      </c>
      <c r="D446" s="9">
        <v>2</v>
      </c>
      <c r="E446" s="9">
        <v>1</v>
      </c>
      <c r="F446" s="9">
        <v>26</v>
      </c>
      <c r="G446" s="9">
        <v>6.8</v>
      </c>
      <c r="H446" s="9">
        <v>0.28000000000000003</v>
      </c>
      <c r="I446" s="9">
        <v>1.49</v>
      </c>
      <c r="J446" s="7" t="s">
        <v>50</v>
      </c>
    </row>
    <row r="447" spans="1:10" x14ac:dyDescent="0.2">
      <c r="A447" s="9">
        <v>0</v>
      </c>
      <c r="B447" s="9">
        <v>39</v>
      </c>
      <c r="C447" s="9">
        <v>1</v>
      </c>
      <c r="D447" s="9">
        <v>13</v>
      </c>
      <c r="E447" s="9">
        <v>1</v>
      </c>
      <c r="F447" s="9">
        <v>38</v>
      </c>
      <c r="G447" s="9">
        <v>8.9</v>
      </c>
      <c r="H447" s="9">
        <v>1.9</v>
      </c>
      <c r="I447" s="9">
        <v>1.48</v>
      </c>
      <c r="J447" s="7" t="s">
        <v>50</v>
      </c>
    </row>
    <row r="448" spans="1:10" x14ac:dyDescent="0.2">
      <c r="A448" s="9">
        <v>0</v>
      </c>
      <c r="B448" s="9">
        <v>40</v>
      </c>
      <c r="C448" s="9">
        <v>2</v>
      </c>
      <c r="D448" s="9">
        <v>15</v>
      </c>
      <c r="E448" s="9">
        <v>16</v>
      </c>
      <c r="F448" s="9">
        <v>73</v>
      </c>
      <c r="G448" s="9">
        <v>3.4</v>
      </c>
      <c r="H448" s="9">
        <v>1.03</v>
      </c>
      <c r="I448" s="9">
        <v>1.45</v>
      </c>
      <c r="J448" s="7" t="s">
        <v>50</v>
      </c>
    </row>
    <row r="449" spans="1:10" x14ac:dyDescent="0.2">
      <c r="A449" s="9">
        <v>0</v>
      </c>
      <c r="B449" s="9">
        <v>38</v>
      </c>
      <c r="C449" s="9">
        <v>1</v>
      </c>
      <c r="D449" s="9">
        <v>5</v>
      </c>
      <c r="E449" s="9">
        <v>13</v>
      </c>
      <c r="F449" s="9">
        <v>21</v>
      </c>
      <c r="G449" s="9">
        <v>9</v>
      </c>
      <c r="H449" s="9">
        <v>0.45</v>
      </c>
      <c r="I449" s="9">
        <v>1.44</v>
      </c>
      <c r="J449" s="7" t="s">
        <v>50</v>
      </c>
    </row>
    <row r="450" spans="1:10" x14ac:dyDescent="0.2">
      <c r="A450" s="9">
        <v>0</v>
      </c>
      <c r="B450" s="9">
        <v>34</v>
      </c>
      <c r="C450" s="9">
        <v>1</v>
      </c>
      <c r="D450" s="9">
        <v>16</v>
      </c>
      <c r="E450" s="9">
        <v>9</v>
      </c>
      <c r="F450" s="9">
        <v>79</v>
      </c>
      <c r="G450" s="9">
        <v>4</v>
      </c>
      <c r="H450" s="9">
        <v>1.73</v>
      </c>
      <c r="I450" s="9">
        <v>1.43</v>
      </c>
      <c r="J450" s="7" t="s">
        <v>50</v>
      </c>
    </row>
    <row r="451" spans="1:10" x14ac:dyDescent="0.2">
      <c r="A451" s="9">
        <v>1</v>
      </c>
      <c r="B451" s="9">
        <v>29</v>
      </c>
      <c r="C451" s="9">
        <v>1</v>
      </c>
      <c r="D451" s="9">
        <v>2</v>
      </c>
      <c r="E451" s="9">
        <v>0</v>
      </c>
      <c r="F451" s="9">
        <v>14</v>
      </c>
      <c r="G451" s="9">
        <v>14.4</v>
      </c>
      <c r="H451" s="9">
        <v>0.59</v>
      </c>
      <c r="I451" s="9">
        <v>1.43</v>
      </c>
      <c r="J451" s="7" t="s">
        <v>50</v>
      </c>
    </row>
    <row r="452" spans="1:10" x14ac:dyDescent="0.2">
      <c r="A452" s="9">
        <v>0</v>
      </c>
      <c r="B452" s="9">
        <v>27</v>
      </c>
      <c r="C452" s="9">
        <v>1</v>
      </c>
      <c r="D452" s="9">
        <v>10</v>
      </c>
      <c r="E452" s="9">
        <v>6</v>
      </c>
      <c r="F452" s="9">
        <v>34</v>
      </c>
      <c r="G452" s="9">
        <v>6.5</v>
      </c>
      <c r="H452" s="9">
        <v>0.85</v>
      </c>
      <c r="I452" s="9">
        <v>1.36</v>
      </c>
      <c r="J452" s="7" t="s">
        <v>50</v>
      </c>
    </row>
    <row r="453" spans="1:10" x14ac:dyDescent="0.2">
      <c r="A453" s="9">
        <v>1</v>
      </c>
      <c r="B453" s="9">
        <v>35</v>
      </c>
      <c r="C453" s="9">
        <v>2</v>
      </c>
      <c r="D453" s="9">
        <v>0</v>
      </c>
      <c r="E453" s="9">
        <v>16</v>
      </c>
      <c r="F453" s="9">
        <v>22</v>
      </c>
      <c r="G453" s="9">
        <v>15</v>
      </c>
      <c r="H453" s="9">
        <v>1.97</v>
      </c>
      <c r="I453" s="9">
        <v>1.33</v>
      </c>
      <c r="J453" s="7" t="s">
        <v>50</v>
      </c>
    </row>
    <row r="454" spans="1:10" x14ac:dyDescent="0.2">
      <c r="A454" s="9">
        <v>1</v>
      </c>
      <c r="B454" s="9">
        <v>24</v>
      </c>
      <c r="C454" s="9">
        <v>4</v>
      </c>
      <c r="D454" s="9">
        <v>0</v>
      </c>
      <c r="E454" s="9">
        <v>3</v>
      </c>
      <c r="F454" s="9">
        <v>29</v>
      </c>
      <c r="G454" s="9">
        <v>6.6</v>
      </c>
      <c r="H454" s="9">
        <v>0.59</v>
      </c>
      <c r="I454" s="9">
        <v>1.32</v>
      </c>
      <c r="J454" s="7" t="s">
        <v>50</v>
      </c>
    </row>
    <row r="455" spans="1:10" x14ac:dyDescent="0.2">
      <c r="A455" s="9">
        <v>1</v>
      </c>
      <c r="B455" s="9">
        <v>25</v>
      </c>
      <c r="C455" s="9">
        <v>4</v>
      </c>
      <c r="D455" s="9">
        <v>0</v>
      </c>
      <c r="E455" s="9">
        <v>6</v>
      </c>
      <c r="F455" s="9">
        <v>24</v>
      </c>
      <c r="G455" s="9">
        <v>12.1</v>
      </c>
      <c r="H455" s="9">
        <v>1.6</v>
      </c>
      <c r="I455" s="9">
        <v>1.31</v>
      </c>
      <c r="J455" s="7" t="s">
        <v>50</v>
      </c>
    </row>
    <row r="456" spans="1:10" x14ac:dyDescent="0.2">
      <c r="A456" s="9">
        <v>0</v>
      </c>
      <c r="B456" s="9">
        <v>35</v>
      </c>
      <c r="C456" s="9">
        <v>1</v>
      </c>
      <c r="D456" s="9">
        <v>9</v>
      </c>
      <c r="E456" s="9">
        <v>1</v>
      </c>
      <c r="F456" s="9">
        <v>34</v>
      </c>
      <c r="G456" s="9">
        <v>5</v>
      </c>
      <c r="H456" s="9">
        <v>0.4</v>
      </c>
      <c r="I456" s="9">
        <v>1.3</v>
      </c>
      <c r="J456" s="7" t="s">
        <v>50</v>
      </c>
    </row>
    <row r="457" spans="1:10" x14ac:dyDescent="0.2">
      <c r="A457" s="9">
        <v>1</v>
      </c>
      <c r="B457" s="9">
        <v>28</v>
      </c>
      <c r="C457" s="9">
        <v>2</v>
      </c>
      <c r="D457" s="9">
        <v>2</v>
      </c>
      <c r="E457" s="9">
        <v>3</v>
      </c>
      <c r="F457" s="9">
        <v>23</v>
      </c>
      <c r="G457" s="9">
        <v>6.4</v>
      </c>
      <c r="H457" s="9">
        <v>0.19</v>
      </c>
      <c r="I457" s="9">
        <v>1.29</v>
      </c>
      <c r="J457" s="7" t="s">
        <v>50</v>
      </c>
    </row>
    <row r="458" spans="1:10" x14ac:dyDescent="0.2">
      <c r="A458" s="9">
        <v>0</v>
      </c>
      <c r="B458" s="9">
        <v>33</v>
      </c>
      <c r="C458" s="9">
        <v>1</v>
      </c>
      <c r="D458" s="9">
        <v>13</v>
      </c>
      <c r="E458" s="9">
        <v>13</v>
      </c>
      <c r="F458" s="9">
        <v>42</v>
      </c>
      <c r="G458" s="9">
        <v>3.6</v>
      </c>
      <c r="H458" s="9">
        <v>0.23</v>
      </c>
      <c r="I458" s="9">
        <v>1.28</v>
      </c>
      <c r="J458" s="7" t="s">
        <v>50</v>
      </c>
    </row>
    <row r="459" spans="1:10" x14ac:dyDescent="0.2">
      <c r="A459" s="9">
        <v>0</v>
      </c>
      <c r="B459" s="9">
        <v>43</v>
      </c>
      <c r="C459" s="9">
        <v>1</v>
      </c>
      <c r="D459" s="9">
        <v>4</v>
      </c>
      <c r="E459" s="9">
        <v>2</v>
      </c>
      <c r="F459" s="9">
        <v>29</v>
      </c>
      <c r="G459" s="9">
        <v>4.5999999999999996</v>
      </c>
      <c r="H459" s="9">
        <v>0.05</v>
      </c>
      <c r="I459" s="9">
        <v>1.28</v>
      </c>
      <c r="J459" s="7" t="s">
        <v>50</v>
      </c>
    </row>
    <row r="460" spans="1:10" x14ac:dyDescent="0.2">
      <c r="A460" s="9">
        <v>0</v>
      </c>
      <c r="B460" s="9">
        <v>39</v>
      </c>
      <c r="C460" s="9">
        <v>2</v>
      </c>
      <c r="D460" s="9">
        <v>16</v>
      </c>
      <c r="E460" s="9">
        <v>12</v>
      </c>
      <c r="F460" s="9">
        <v>53</v>
      </c>
      <c r="G460" s="9">
        <v>3.7</v>
      </c>
      <c r="H460" s="9">
        <v>0.69</v>
      </c>
      <c r="I460" s="9">
        <v>1.27</v>
      </c>
      <c r="J460" s="7" t="s">
        <v>50</v>
      </c>
    </row>
    <row r="461" spans="1:10" x14ac:dyDescent="0.2">
      <c r="A461" s="9">
        <v>0</v>
      </c>
      <c r="B461" s="9">
        <v>48</v>
      </c>
      <c r="C461" s="9">
        <v>3</v>
      </c>
      <c r="D461" s="9">
        <v>0</v>
      </c>
      <c r="E461" s="9">
        <v>27</v>
      </c>
      <c r="F461" s="9">
        <v>19</v>
      </c>
      <c r="G461" s="9">
        <v>10.8</v>
      </c>
      <c r="H461" s="9">
        <v>0.85</v>
      </c>
      <c r="I461" s="9">
        <v>1.2</v>
      </c>
      <c r="J461" s="7" t="s">
        <v>50</v>
      </c>
    </row>
    <row r="462" spans="1:10" x14ac:dyDescent="0.2">
      <c r="A462" s="9">
        <v>0</v>
      </c>
      <c r="B462" s="9">
        <v>41</v>
      </c>
      <c r="C462" s="9">
        <v>1</v>
      </c>
      <c r="D462" s="9">
        <v>7</v>
      </c>
      <c r="E462" s="9">
        <v>11</v>
      </c>
      <c r="F462" s="9">
        <v>43</v>
      </c>
      <c r="G462" s="9">
        <v>4.4000000000000004</v>
      </c>
      <c r="H462" s="9">
        <v>0.69</v>
      </c>
      <c r="I462" s="9">
        <v>1.2</v>
      </c>
      <c r="J462" s="7" t="s">
        <v>50</v>
      </c>
    </row>
    <row r="463" spans="1:10" x14ac:dyDescent="0.2">
      <c r="A463" s="9">
        <v>0</v>
      </c>
      <c r="B463" s="9">
        <v>30</v>
      </c>
      <c r="C463" s="9">
        <v>1</v>
      </c>
      <c r="D463" s="9">
        <v>1</v>
      </c>
      <c r="E463" s="9">
        <v>10</v>
      </c>
      <c r="F463" s="9">
        <v>22</v>
      </c>
      <c r="G463" s="9">
        <v>10.5</v>
      </c>
      <c r="H463" s="9">
        <v>1.1399999999999999</v>
      </c>
      <c r="I463" s="9">
        <v>1.17</v>
      </c>
      <c r="J463" s="7" t="s">
        <v>50</v>
      </c>
    </row>
    <row r="464" spans="1:10" x14ac:dyDescent="0.2">
      <c r="A464" s="9">
        <v>1</v>
      </c>
      <c r="B464" s="9">
        <v>47</v>
      </c>
      <c r="C464" s="9">
        <v>2</v>
      </c>
      <c r="D464" s="9">
        <v>4</v>
      </c>
      <c r="E464" s="9">
        <v>9</v>
      </c>
      <c r="F464" s="9">
        <v>33</v>
      </c>
      <c r="G464" s="9">
        <v>7.1</v>
      </c>
      <c r="H464" s="9">
        <v>1.19</v>
      </c>
      <c r="I464" s="9">
        <v>1.1499999999999999</v>
      </c>
      <c r="J464" s="7" t="s">
        <v>50</v>
      </c>
    </row>
    <row r="465" spans="1:10" x14ac:dyDescent="0.2">
      <c r="A465" s="9">
        <v>0</v>
      </c>
      <c r="B465" s="9">
        <v>36</v>
      </c>
      <c r="C465" s="9">
        <v>1</v>
      </c>
      <c r="D465" s="9">
        <v>14</v>
      </c>
      <c r="E465" s="9">
        <v>17</v>
      </c>
      <c r="F465" s="9">
        <v>53</v>
      </c>
      <c r="G465" s="9">
        <v>5.7</v>
      </c>
      <c r="H465" s="9">
        <v>1.89</v>
      </c>
      <c r="I465" s="9">
        <v>1.1299999999999999</v>
      </c>
      <c r="J465" s="7" t="s">
        <v>50</v>
      </c>
    </row>
    <row r="466" spans="1:10" x14ac:dyDescent="0.2">
      <c r="A466" s="9">
        <v>0</v>
      </c>
      <c r="B466" s="9">
        <v>23</v>
      </c>
      <c r="C466" s="9">
        <v>4</v>
      </c>
      <c r="D466" s="9">
        <v>0</v>
      </c>
      <c r="E466" s="9">
        <v>2</v>
      </c>
      <c r="F466" s="9">
        <v>23</v>
      </c>
      <c r="G466" s="9">
        <v>6.7</v>
      </c>
      <c r="H466" s="9">
        <v>0.47</v>
      </c>
      <c r="I466" s="9">
        <v>1.07</v>
      </c>
      <c r="J466" s="7" t="s">
        <v>50</v>
      </c>
    </row>
    <row r="467" spans="1:10" x14ac:dyDescent="0.2">
      <c r="A467" s="9">
        <v>0</v>
      </c>
      <c r="B467" s="9">
        <v>33</v>
      </c>
      <c r="C467" s="9">
        <v>1</v>
      </c>
      <c r="D467" s="9">
        <v>6</v>
      </c>
      <c r="E467" s="9">
        <v>14</v>
      </c>
      <c r="F467" s="9">
        <v>21</v>
      </c>
      <c r="G467" s="9">
        <v>7.5</v>
      </c>
      <c r="H467" s="9">
        <v>0.56999999999999995</v>
      </c>
      <c r="I467" s="9">
        <v>1.01</v>
      </c>
      <c r="J467" s="7" t="s">
        <v>50</v>
      </c>
    </row>
    <row r="468" spans="1:10" x14ac:dyDescent="0.2">
      <c r="A468" s="9">
        <v>1</v>
      </c>
      <c r="B468" s="9">
        <v>31</v>
      </c>
      <c r="C468" s="9">
        <v>1</v>
      </c>
      <c r="D468" s="9">
        <v>11</v>
      </c>
      <c r="E468" s="9">
        <v>6</v>
      </c>
      <c r="F468" s="9">
        <v>28</v>
      </c>
      <c r="G468" s="9">
        <v>4.8</v>
      </c>
      <c r="H468" s="9">
        <v>0.35</v>
      </c>
      <c r="I468" s="9">
        <v>1</v>
      </c>
      <c r="J468" s="7" t="s">
        <v>50</v>
      </c>
    </row>
    <row r="469" spans="1:10" x14ac:dyDescent="0.2">
      <c r="A469" s="9">
        <v>1</v>
      </c>
      <c r="B469" s="9">
        <v>29</v>
      </c>
      <c r="C469" s="9">
        <v>2</v>
      </c>
      <c r="D469" s="9">
        <v>5</v>
      </c>
      <c r="E469" s="9">
        <v>4</v>
      </c>
      <c r="F469" s="9">
        <v>36</v>
      </c>
      <c r="G469" s="9">
        <v>12.4</v>
      </c>
      <c r="H469" s="9">
        <v>3.49</v>
      </c>
      <c r="I469" s="9">
        <v>0.97</v>
      </c>
      <c r="J469" s="7" t="s">
        <v>50</v>
      </c>
    </row>
    <row r="470" spans="1:10" x14ac:dyDescent="0.2">
      <c r="A470" s="9">
        <v>1</v>
      </c>
      <c r="B470" s="9">
        <v>29</v>
      </c>
      <c r="C470" s="9">
        <v>3</v>
      </c>
      <c r="D470" s="9">
        <v>3</v>
      </c>
      <c r="E470" s="9">
        <v>3</v>
      </c>
      <c r="F470" s="9">
        <v>50</v>
      </c>
      <c r="G470" s="9">
        <v>2.4</v>
      </c>
      <c r="H470" s="9">
        <v>0.26</v>
      </c>
      <c r="I470" s="9">
        <v>0.94</v>
      </c>
      <c r="J470" s="7" t="s">
        <v>50</v>
      </c>
    </row>
    <row r="471" spans="1:10" x14ac:dyDescent="0.2">
      <c r="A471" s="9">
        <v>0</v>
      </c>
      <c r="B471" s="9">
        <v>25</v>
      </c>
      <c r="C471" s="9">
        <v>1</v>
      </c>
      <c r="D471" s="9">
        <v>4</v>
      </c>
      <c r="E471" s="9">
        <v>0</v>
      </c>
      <c r="F471" s="9">
        <v>23</v>
      </c>
      <c r="G471" s="9">
        <v>5.2</v>
      </c>
      <c r="H471" s="9">
        <v>0.25</v>
      </c>
      <c r="I471" s="9">
        <v>0.94</v>
      </c>
      <c r="J471" s="7" t="s">
        <v>50</v>
      </c>
    </row>
    <row r="472" spans="1:10" x14ac:dyDescent="0.2">
      <c r="A472" s="9">
        <v>0</v>
      </c>
      <c r="B472" s="9">
        <v>31</v>
      </c>
      <c r="C472" s="9">
        <v>1</v>
      </c>
      <c r="D472" s="9">
        <v>7</v>
      </c>
      <c r="E472" s="9">
        <v>10</v>
      </c>
      <c r="F472" s="9">
        <v>23</v>
      </c>
      <c r="G472" s="9">
        <v>4.9000000000000004</v>
      </c>
      <c r="H472" s="9">
        <v>0.23</v>
      </c>
      <c r="I472" s="9">
        <v>0.9</v>
      </c>
      <c r="J472" s="7" t="s">
        <v>50</v>
      </c>
    </row>
    <row r="473" spans="1:10" x14ac:dyDescent="0.2">
      <c r="A473" s="9">
        <v>0</v>
      </c>
      <c r="B473" s="9">
        <v>31</v>
      </c>
      <c r="C473" s="9">
        <v>1</v>
      </c>
      <c r="D473" s="9">
        <v>1</v>
      </c>
      <c r="E473" s="9">
        <v>1</v>
      </c>
      <c r="F473" s="9">
        <v>24</v>
      </c>
      <c r="G473" s="9">
        <v>4.5</v>
      </c>
      <c r="H473" s="9">
        <v>0.22</v>
      </c>
      <c r="I473" s="9">
        <v>0.86</v>
      </c>
      <c r="J473" s="7" t="s">
        <v>50</v>
      </c>
    </row>
    <row r="474" spans="1:10" x14ac:dyDescent="0.2">
      <c r="A474" s="9">
        <v>0</v>
      </c>
      <c r="B474" s="9">
        <v>33</v>
      </c>
      <c r="C474" s="9">
        <v>1</v>
      </c>
      <c r="D474" s="9">
        <v>2</v>
      </c>
      <c r="E474" s="9">
        <v>14</v>
      </c>
      <c r="F474" s="9">
        <v>44</v>
      </c>
      <c r="G474" s="9">
        <v>3.1</v>
      </c>
      <c r="H474" s="9">
        <v>0.53</v>
      </c>
      <c r="I474" s="9">
        <v>0.84</v>
      </c>
      <c r="J474" s="7" t="s">
        <v>50</v>
      </c>
    </row>
    <row r="475" spans="1:10" x14ac:dyDescent="0.2">
      <c r="A475" s="9">
        <v>1</v>
      </c>
      <c r="B475" s="9">
        <v>25</v>
      </c>
      <c r="C475" s="9">
        <v>2</v>
      </c>
      <c r="D475" s="9">
        <v>4</v>
      </c>
      <c r="E475" s="9">
        <v>5</v>
      </c>
      <c r="F475" s="9">
        <v>27</v>
      </c>
      <c r="G475" s="9">
        <v>5</v>
      </c>
      <c r="H475" s="9">
        <v>0.55000000000000004</v>
      </c>
      <c r="I475" s="9">
        <v>0.8</v>
      </c>
      <c r="J475" s="7" t="s">
        <v>50</v>
      </c>
    </row>
    <row r="476" spans="1:10" x14ac:dyDescent="0.2">
      <c r="A476" s="9">
        <v>0</v>
      </c>
      <c r="B476" s="9">
        <v>29</v>
      </c>
      <c r="C476" s="9">
        <v>2</v>
      </c>
      <c r="D476" s="9">
        <v>6</v>
      </c>
      <c r="E476" s="9">
        <v>7</v>
      </c>
      <c r="F476" s="9">
        <v>57</v>
      </c>
      <c r="G476" s="9">
        <v>2.2000000000000002</v>
      </c>
      <c r="H476" s="9">
        <v>0.45</v>
      </c>
      <c r="I476" s="9">
        <v>0.8</v>
      </c>
      <c r="J476" s="7" t="s">
        <v>50</v>
      </c>
    </row>
    <row r="477" spans="1:10" x14ac:dyDescent="0.2">
      <c r="A477" s="9">
        <v>0</v>
      </c>
      <c r="B477" s="9">
        <v>33</v>
      </c>
      <c r="C477" s="9">
        <v>1</v>
      </c>
      <c r="D477" s="9">
        <v>8</v>
      </c>
      <c r="E477" s="9">
        <v>7</v>
      </c>
      <c r="F477" s="9">
        <v>27</v>
      </c>
      <c r="G477" s="9">
        <v>5.8</v>
      </c>
      <c r="H477" s="9">
        <v>0.78</v>
      </c>
      <c r="I477" s="9">
        <v>0.79</v>
      </c>
      <c r="J477" s="7" t="s">
        <v>50</v>
      </c>
    </row>
    <row r="478" spans="1:10" x14ac:dyDescent="0.2">
      <c r="A478" s="9">
        <v>0</v>
      </c>
      <c r="B478" s="9">
        <v>24</v>
      </c>
      <c r="C478" s="9">
        <v>1</v>
      </c>
      <c r="D478" s="9">
        <v>7</v>
      </c>
      <c r="E478" s="9">
        <v>0</v>
      </c>
      <c r="F478" s="9">
        <v>18</v>
      </c>
      <c r="G478" s="9">
        <v>6.5</v>
      </c>
      <c r="H478" s="9">
        <v>0.53</v>
      </c>
      <c r="I478" s="9">
        <v>0.64</v>
      </c>
      <c r="J478" s="7" t="s">
        <v>50</v>
      </c>
    </row>
    <row r="479" spans="1:10" x14ac:dyDescent="0.2">
      <c r="A479" s="9">
        <v>0</v>
      </c>
      <c r="B479" s="9">
        <v>30</v>
      </c>
      <c r="C479" s="9">
        <v>2</v>
      </c>
      <c r="D479" s="9">
        <v>4</v>
      </c>
      <c r="E479" s="9">
        <v>8</v>
      </c>
      <c r="F479" s="9">
        <v>15</v>
      </c>
      <c r="G479" s="9">
        <v>6.5</v>
      </c>
      <c r="H479" s="9">
        <v>0.35</v>
      </c>
      <c r="I479" s="9">
        <v>0.62</v>
      </c>
      <c r="J479" s="7" t="s">
        <v>50</v>
      </c>
    </row>
    <row r="480" spans="1:10" x14ac:dyDescent="0.2">
      <c r="A480" s="9">
        <v>1</v>
      </c>
      <c r="B480" s="9">
        <v>21</v>
      </c>
      <c r="C480" s="9">
        <v>2</v>
      </c>
      <c r="D480" s="9">
        <v>2</v>
      </c>
      <c r="E480" s="9">
        <v>0</v>
      </c>
      <c r="F480" s="9">
        <v>20</v>
      </c>
      <c r="G480" s="9">
        <v>4.5</v>
      </c>
      <c r="H480" s="9">
        <v>0.28999999999999998</v>
      </c>
      <c r="I480" s="9">
        <v>0.61</v>
      </c>
      <c r="J480" s="7" t="s">
        <v>50</v>
      </c>
    </row>
    <row r="481" spans="1:10" x14ac:dyDescent="0.2">
      <c r="A481" s="9">
        <v>0</v>
      </c>
      <c r="B481" s="9">
        <v>31</v>
      </c>
      <c r="C481" s="9">
        <v>3</v>
      </c>
      <c r="D481" s="9">
        <v>9</v>
      </c>
      <c r="E481" s="9">
        <v>2</v>
      </c>
      <c r="F481" s="9">
        <v>28</v>
      </c>
      <c r="G481" s="9">
        <v>2.6</v>
      </c>
      <c r="H481" s="9">
        <v>0.12</v>
      </c>
      <c r="I481" s="9">
        <v>0.61</v>
      </c>
      <c r="J481" s="7" t="s">
        <v>50</v>
      </c>
    </row>
    <row r="482" spans="1:10" x14ac:dyDescent="0.2">
      <c r="A482" s="9">
        <v>0</v>
      </c>
      <c r="B482" s="9">
        <v>39</v>
      </c>
      <c r="C482" s="9">
        <v>2</v>
      </c>
      <c r="D482" s="9">
        <v>16</v>
      </c>
      <c r="E482" s="9">
        <v>13</v>
      </c>
      <c r="F482" s="9">
        <v>69</v>
      </c>
      <c r="G482" s="9">
        <v>2.4</v>
      </c>
      <c r="H482" s="9">
        <v>1.06</v>
      </c>
      <c r="I482" s="9">
        <v>0.59</v>
      </c>
      <c r="J482" s="7" t="s">
        <v>50</v>
      </c>
    </row>
    <row r="483" spans="1:10" x14ac:dyDescent="0.2">
      <c r="A483" s="9">
        <v>0</v>
      </c>
      <c r="B483" s="9">
        <v>21</v>
      </c>
      <c r="C483" s="9">
        <v>3</v>
      </c>
      <c r="D483" s="9">
        <v>0</v>
      </c>
      <c r="E483" s="9">
        <v>1</v>
      </c>
      <c r="F483" s="9">
        <v>26</v>
      </c>
      <c r="G483" s="9">
        <v>7.7</v>
      </c>
      <c r="H483" s="9">
        <v>1.53</v>
      </c>
      <c r="I483" s="9">
        <v>0.47</v>
      </c>
      <c r="J483" s="7" t="s">
        <v>50</v>
      </c>
    </row>
    <row r="484" spans="1:10" x14ac:dyDescent="0.2">
      <c r="A484" s="9">
        <v>0</v>
      </c>
      <c r="B484" s="9">
        <v>28</v>
      </c>
      <c r="C484" s="9">
        <v>1</v>
      </c>
      <c r="D484" s="9">
        <v>11</v>
      </c>
      <c r="E484" s="9">
        <v>6</v>
      </c>
      <c r="F484" s="9">
        <v>24</v>
      </c>
      <c r="G484" s="9">
        <v>2.4</v>
      </c>
      <c r="H484" s="9">
        <v>0.11</v>
      </c>
      <c r="I484" s="9">
        <v>0.47</v>
      </c>
      <c r="J484" s="7" t="s">
        <v>50</v>
      </c>
    </row>
    <row r="485" spans="1:10" x14ac:dyDescent="0.2">
      <c r="A485" s="9">
        <v>0</v>
      </c>
      <c r="B485" s="9">
        <v>26</v>
      </c>
      <c r="C485" s="9">
        <v>1</v>
      </c>
      <c r="D485" s="9">
        <v>1</v>
      </c>
      <c r="E485" s="9">
        <v>0</v>
      </c>
      <c r="F485" s="9">
        <v>21</v>
      </c>
      <c r="G485" s="9">
        <v>4.9000000000000004</v>
      </c>
      <c r="H485" s="9">
        <v>0.61</v>
      </c>
      <c r="I485" s="9">
        <v>0.42</v>
      </c>
      <c r="J485" s="7" t="s">
        <v>50</v>
      </c>
    </row>
    <row r="486" spans="1:10" x14ac:dyDescent="0.2">
      <c r="A486" s="9">
        <v>0</v>
      </c>
      <c r="B486" s="9">
        <v>29</v>
      </c>
      <c r="C486" s="9">
        <v>2</v>
      </c>
      <c r="D486" s="9">
        <v>9</v>
      </c>
      <c r="E486" s="9">
        <v>3</v>
      </c>
      <c r="F486" s="9">
        <v>36</v>
      </c>
      <c r="G486" s="9">
        <v>1.4</v>
      </c>
      <c r="H486" s="9">
        <v>0.13</v>
      </c>
      <c r="I486" s="9">
        <v>0.38</v>
      </c>
      <c r="J486" s="7" t="s">
        <v>50</v>
      </c>
    </row>
    <row r="487" spans="1:10" x14ac:dyDescent="0.2">
      <c r="A487" s="9">
        <v>0</v>
      </c>
      <c r="B487" s="9">
        <v>38</v>
      </c>
      <c r="C487" s="9">
        <v>1</v>
      </c>
      <c r="D487" s="9">
        <v>10</v>
      </c>
      <c r="E487" s="9">
        <v>8</v>
      </c>
      <c r="F487" s="9">
        <v>34</v>
      </c>
      <c r="G487" s="9">
        <v>1.2</v>
      </c>
      <c r="H487" s="9">
        <v>0.04</v>
      </c>
      <c r="I487" s="9">
        <v>0.37</v>
      </c>
      <c r="J487" s="7" t="s">
        <v>50</v>
      </c>
    </row>
    <row r="488" spans="1:10" x14ac:dyDescent="0.2">
      <c r="A488" s="9">
        <v>0</v>
      </c>
      <c r="B488" s="9">
        <v>20</v>
      </c>
      <c r="C488" s="9">
        <v>3</v>
      </c>
      <c r="D488" s="9">
        <v>0</v>
      </c>
      <c r="E488" s="9">
        <v>1</v>
      </c>
      <c r="F488" s="9">
        <v>17</v>
      </c>
      <c r="G488" s="9">
        <v>2.2999999999999998</v>
      </c>
      <c r="H488" s="9">
        <v>0.04</v>
      </c>
      <c r="I488" s="9">
        <v>0.35</v>
      </c>
      <c r="J488" s="7" t="s">
        <v>50</v>
      </c>
    </row>
    <row r="489" spans="1:10" x14ac:dyDescent="0.2">
      <c r="A489" s="9">
        <v>0</v>
      </c>
      <c r="B489" s="9">
        <v>26</v>
      </c>
      <c r="C489" s="9">
        <v>1</v>
      </c>
      <c r="D489" s="9">
        <v>10</v>
      </c>
      <c r="E489" s="9">
        <v>6</v>
      </c>
      <c r="F489" s="9">
        <v>24</v>
      </c>
      <c r="G489" s="9">
        <v>2.7</v>
      </c>
      <c r="H489" s="9">
        <v>0.31</v>
      </c>
      <c r="I489" s="9">
        <v>0.34</v>
      </c>
      <c r="J489" s="7" t="s">
        <v>50</v>
      </c>
    </row>
    <row r="490" spans="1:10" x14ac:dyDescent="0.2">
      <c r="A490" s="9">
        <v>0</v>
      </c>
      <c r="B490" s="9">
        <v>40</v>
      </c>
      <c r="C490" s="9">
        <v>1</v>
      </c>
      <c r="D490" s="9">
        <v>2</v>
      </c>
      <c r="E490" s="9">
        <v>4</v>
      </c>
      <c r="F490" s="9">
        <v>32</v>
      </c>
      <c r="G490" s="9">
        <v>3.7</v>
      </c>
      <c r="H490" s="9">
        <v>0.85</v>
      </c>
      <c r="I490" s="9">
        <v>0.33</v>
      </c>
      <c r="J490" s="7" t="s">
        <v>50</v>
      </c>
    </row>
    <row r="491" spans="1:10" x14ac:dyDescent="0.2">
      <c r="A491" s="9">
        <v>1</v>
      </c>
      <c r="B491" s="9">
        <v>30</v>
      </c>
      <c r="C491" s="9">
        <v>1</v>
      </c>
      <c r="D491" s="9">
        <v>0</v>
      </c>
      <c r="E491" s="9">
        <v>11</v>
      </c>
      <c r="F491" s="9">
        <v>17</v>
      </c>
      <c r="G491" s="9">
        <v>3.7</v>
      </c>
      <c r="H491" s="9">
        <v>0.45</v>
      </c>
      <c r="I491" s="9">
        <v>0.18</v>
      </c>
      <c r="J491" s="7" t="s">
        <v>50</v>
      </c>
    </row>
    <row r="492" spans="1:10" x14ac:dyDescent="0.2">
      <c r="A492" s="9">
        <v>0</v>
      </c>
      <c r="B492" s="9">
        <v>30</v>
      </c>
      <c r="C492" s="9">
        <v>1</v>
      </c>
      <c r="D492" s="9">
        <v>11</v>
      </c>
      <c r="E492" s="9">
        <v>9</v>
      </c>
      <c r="F492" s="9">
        <v>27</v>
      </c>
      <c r="G492" s="9">
        <v>0.9</v>
      </c>
      <c r="H492" s="9">
        <v>7.0000000000000007E-2</v>
      </c>
      <c r="I492" s="9">
        <v>0.17</v>
      </c>
      <c r="J492" s="7" t="s">
        <v>50</v>
      </c>
    </row>
    <row r="493" spans="1:10" x14ac:dyDescent="0.2">
      <c r="A493" s="9">
        <v>0</v>
      </c>
      <c r="B493" s="9">
        <v>25</v>
      </c>
      <c r="C493" s="9">
        <v>1</v>
      </c>
      <c r="D493" s="9">
        <v>9</v>
      </c>
      <c r="E493" s="9">
        <v>4</v>
      </c>
      <c r="F493" s="9">
        <v>18</v>
      </c>
      <c r="G493" s="9">
        <v>1.2</v>
      </c>
      <c r="H493" s="9">
        <v>7.0000000000000007E-2</v>
      </c>
      <c r="I493" s="9">
        <v>0.15</v>
      </c>
      <c r="J493" s="7" t="s">
        <v>50</v>
      </c>
    </row>
    <row r="494" spans="1:10" x14ac:dyDescent="0.2">
      <c r="A494" s="9">
        <v>0</v>
      </c>
      <c r="B494" s="9">
        <v>27</v>
      </c>
      <c r="C494" s="9">
        <v>1</v>
      </c>
      <c r="D494" s="9">
        <v>0</v>
      </c>
      <c r="E494" s="9">
        <v>1</v>
      </c>
      <c r="F494" s="9">
        <v>16</v>
      </c>
      <c r="G494" s="9">
        <v>1.7</v>
      </c>
      <c r="H494" s="9">
        <v>0.18</v>
      </c>
      <c r="I494" s="9">
        <v>0.09</v>
      </c>
      <c r="J494" s="7" t="s">
        <v>50</v>
      </c>
    </row>
    <row r="495" spans="1:10" x14ac:dyDescent="0.2">
      <c r="A495" s="9">
        <v>0</v>
      </c>
      <c r="B495" s="9">
        <v>27</v>
      </c>
      <c r="C495" s="9">
        <v>1</v>
      </c>
      <c r="D495" s="9">
        <v>0</v>
      </c>
      <c r="E495" s="9">
        <v>5</v>
      </c>
      <c r="F495" s="9">
        <v>16</v>
      </c>
      <c r="G495" s="9">
        <v>1.1000000000000001</v>
      </c>
      <c r="H495" s="9">
        <v>0.13</v>
      </c>
      <c r="I495" s="9">
        <v>0.05</v>
      </c>
      <c r="J495" s="7" t="s">
        <v>50</v>
      </c>
    </row>
    <row r="496" spans="1:10" x14ac:dyDescent="0.2">
      <c r="A496" s="9">
        <v>1</v>
      </c>
      <c r="B496" s="9">
        <v>40</v>
      </c>
      <c r="C496" s="9">
        <v>2</v>
      </c>
      <c r="D496" s="9">
        <v>13</v>
      </c>
      <c r="E496" s="9">
        <v>11</v>
      </c>
      <c r="F496" s="9">
        <v>102</v>
      </c>
      <c r="G496" s="9">
        <v>18.899999999999999</v>
      </c>
      <c r="H496" s="13">
        <v>5.4954845947359976</v>
      </c>
      <c r="I496" s="9">
        <v>0</v>
      </c>
      <c r="J496" s="7" t="s">
        <v>50</v>
      </c>
    </row>
    <row r="497" spans="1:10" x14ac:dyDescent="0.2">
      <c r="A497" s="9">
        <v>0</v>
      </c>
      <c r="B497" s="9">
        <v>39</v>
      </c>
      <c r="C497" s="9">
        <v>1</v>
      </c>
      <c r="D497" s="9">
        <v>20</v>
      </c>
      <c r="E497" s="9">
        <v>9</v>
      </c>
      <c r="F497" s="9">
        <v>67</v>
      </c>
      <c r="G497" s="9">
        <v>30.6</v>
      </c>
      <c r="H497" s="9">
        <v>3.83</v>
      </c>
      <c r="I497" s="9">
        <v>0</v>
      </c>
      <c r="J497" s="7" t="s">
        <v>50</v>
      </c>
    </row>
    <row r="498" spans="1:10" x14ac:dyDescent="0.2">
      <c r="A498" s="9">
        <v>1</v>
      </c>
      <c r="B498" s="9">
        <v>41</v>
      </c>
      <c r="C498" s="9">
        <v>3</v>
      </c>
      <c r="D498" s="9">
        <v>13</v>
      </c>
      <c r="E498" s="9">
        <v>13</v>
      </c>
      <c r="F498" s="9">
        <v>91</v>
      </c>
      <c r="G498" s="9">
        <v>25.2</v>
      </c>
      <c r="H498" s="9">
        <v>2.3199999999999998</v>
      </c>
      <c r="I498" s="9">
        <v>0</v>
      </c>
      <c r="J498" s="7" t="s">
        <v>50</v>
      </c>
    </row>
    <row r="499" spans="1:10" x14ac:dyDescent="0.2">
      <c r="A499" s="9">
        <v>1</v>
      </c>
      <c r="B499" s="9">
        <v>54</v>
      </c>
      <c r="C499" s="9">
        <v>1</v>
      </c>
      <c r="D499" s="9">
        <v>25</v>
      </c>
      <c r="E499" s="9">
        <v>12</v>
      </c>
      <c r="F499" s="13">
        <v>117.54291069294821</v>
      </c>
      <c r="G499" s="9">
        <v>26.5</v>
      </c>
      <c r="H499" s="9">
        <v>0</v>
      </c>
      <c r="I499" s="9">
        <v>0</v>
      </c>
      <c r="J499" s="7" t="s">
        <v>50</v>
      </c>
    </row>
    <row r="500" spans="1:10" x14ac:dyDescent="0.2">
      <c r="A500" s="9">
        <v>1</v>
      </c>
      <c r="B500" s="9">
        <v>43</v>
      </c>
      <c r="C500" s="9">
        <v>4</v>
      </c>
      <c r="D500" s="9">
        <v>18</v>
      </c>
      <c r="E500" s="9">
        <v>14</v>
      </c>
      <c r="F500" s="9">
        <v>0</v>
      </c>
      <c r="G500" s="9">
        <v>6.5</v>
      </c>
      <c r="H500" s="9">
        <v>0</v>
      </c>
      <c r="I500" s="13">
        <v>10.154483815851645</v>
      </c>
      <c r="J500" s="7" t="s">
        <v>50</v>
      </c>
    </row>
    <row r="501" spans="1:10" x14ac:dyDescent="0.2">
      <c r="A501" s="9">
        <v>0</v>
      </c>
      <c r="B501" s="9">
        <v>48</v>
      </c>
      <c r="C501" s="9">
        <v>3</v>
      </c>
      <c r="D501" s="9">
        <v>17</v>
      </c>
      <c r="E501" s="9">
        <v>26</v>
      </c>
      <c r="F501" s="9">
        <v>113</v>
      </c>
      <c r="G501" s="9">
        <v>12</v>
      </c>
      <c r="H501" s="9">
        <v>3.38</v>
      </c>
      <c r="I501" s="13">
        <v>10.154483815851645</v>
      </c>
      <c r="J501" s="7" t="s">
        <v>50</v>
      </c>
    </row>
  </sheetData>
  <autoFilter ref="A1:J501" xr:uid="{3874C6E7-0506-EE41-987F-AD08304E41AF}">
    <sortState xmlns:xlrd2="http://schemas.microsoft.com/office/spreadsheetml/2017/richdata2" ref="A2:J501">
      <sortCondition ref="J1:J50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E39FE-B12C-6B43-803A-6241157A1BB6}">
  <dimension ref="B3:J11"/>
  <sheetViews>
    <sheetView showGridLines="0" zoomScale="185" workbookViewId="0">
      <selection activeCell="C20" sqref="C20"/>
    </sheetView>
  </sheetViews>
  <sheetFormatPr baseColWidth="10" defaultRowHeight="14" x14ac:dyDescent="0.2"/>
  <cols>
    <col min="1" max="16384" width="10.83203125" style="5"/>
  </cols>
  <sheetData>
    <row r="3" spans="2:10" ht="16" x14ac:dyDescent="0.2">
      <c r="B3" s="16"/>
      <c r="C3" s="16" t="s">
        <v>1</v>
      </c>
      <c r="D3" s="16" t="s">
        <v>2</v>
      </c>
      <c r="E3" s="16" t="s">
        <v>3</v>
      </c>
      <c r="F3" s="16" t="s">
        <v>4</v>
      </c>
      <c r="G3" s="16" t="s">
        <v>5</v>
      </c>
      <c r="H3" s="16" t="s">
        <v>6</v>
      </c>
      <c r="I3" s="16" t="s">
        <v>7</v>
      </c>
      <c r="J3" s="16" t="s">
        <v>8</v>
      </c>
    </row>
    <row r="4" spans="2:10" ht="16" x14ac:dyDescent="0.2">
      <c r="B4" s="17" t="s">
        <v>1</v>
      </c>
      <c r="C4" s="18">
        <v>1</v>
      </c>
      <c r="D4" s="18"/>
      <c r="E4" s="18"/>
      <c r="F4" s="18"/>
      <c r="G4" s="18"/>
      <c r="H4" s="18"/>
      <c r="I4" s="18"/>
      <c r="J4" s="18"/>
    </row>
    <row r="5" spans="2:10" ht="16" x14ac:dyDescent="0.2">
      <c r="B5" s="17" t="s">
        <v>2</v>
      </c>
      <c r="C5" s="18">
        <v>6.3372140357622911E-2</v>
      </c>
      <c r="D5" s="18">
        <v>1</v>
      </c>
      <c r="E5" s="18"/>
      <c r="F5" s="18"/>
      <c r="G5" s="18"/>
      <c r="H5" s="18"/>
      <c r="I5" s="18"/>
      <c r="J5" s="18"/>
    </row>
    <row r="6" spans="2:10" ht="16" x14ac:dyDescent="0.2">
      <c r="B6" s="17" t="s">
        <v>3</v>
      </c>
      <c r="C6" s="18">
        <v>0.50292146802155302</v>
      </c>
      <c r="D6" s="18">
        <v>-0.11441221863472234</v>
      </c>
      <c r="E6" s="18">
        <v>1</v>
      </c>
      <c r="F6" s="18"/>
      <c r="G6" s="18"/>
      <c r="H6" s="18"/>
      <c r="I6" s="18"/>
      <c r="J6" s="18"/>
    </row>
    <row r="7" spans="2:10" ht="16" x14ac:dyDescent="0.2">
      <c r="B7" s="17" t="s">
        <v>4</v>
      </c>
      <c r="C7" s="18">
        <v>0.60854909527639667</v>
      </c>
      <c r="D7" s="18">
        <v>0.10891069534178453</v>
      </c>
      <c r="E7" s="18">
        <v>0.32260877235947716</v>
      </c>
      <c r="F7" s="18">
        <v>1</v>
      </c>
      <c r="G7" s="18"/>
      <c r="H7" s="18"/>
      <c r="I7" s="18"/>
      <c r="J7" s="18"/>
    </row>
    <row r="8" spans="2:10" ht="16" x14ac:dyDescent="0.2">
      <c r="B8" s="17" t="s">
        <v>5</v>
      </c>
      <c r="C8" s="18">
        <v>0.4425385171929847</v>
      </c>
      <c r="D8" s="18">
        <v>9.387191138705693E-2</v>
      </c>
      <c r="E8" s="18">
        <v>0.60653253359866499</v>
      </c>
      <c r="F8" s="18">
        <v>0.25618938504470845</v>
      </c>
      <c r="G8" s="18">
        <v>1</v>
      </c>
      <c r="H8" s="18"/>
      <c r="I8" s="18"/>
      <c r="J8" s="18"/>
    </row>
    <row r="9" spans="2:10" ht="16" x14ac:dyDescent="0.2">
      <c r="B9" s="17" t="s">
        <v>6</v>
      </c>
      <c r="C9" s="18">
        <v>3.3798407420226335E-2</v>
      </c>
      <c r="D9" s="18">
        <v>-6.995554266902676E-2</v>
      </c>
      <c r="E9" s="18">
        <v>-1.7186288469719809E-2</v>
      </c>
      <c r="F9" s="18">
        <v>5.1709599038462305E-2</v>
      </c>
      <c r="G9" s="18">
        <v>-3.2348167251069766E-2</v>
      </c>
      <c r="H9" s="18">
        <v>1</v>
      </c>
      <c r="I9" s="18"/>
      <c r="J9" s="18"/>
    </row>
    <row r="10" spans="2:10" ht="16" x14ac:dyDescent="0.2">
      <c r="B10" s="17" t="s">
        <v>7</v>
      </c>
      <c r="C10" s="18">
        <v>0.24270865635805022</v>
      </c>
      <c r="D10" s="18">
        <v>-7.218307891466629E-3</v>
      </c>
      <c r="E10" s="18">
        <v>0.29492606036938163</v>
      </c>
      <c r="F10" s="18">
        <v>0.12647220835329542</v>
      </c>
      <c r="G10" s="18">
        <v>0.35305792747652659</v>
      </c>
      <c r="H10" s="18">
        <v>0.55347905271017506</v>
      </c>
      <c r="I10" s="18">
        <v>1</v>
      </c>
      <c r="J10" s="18"/>
    </row>
    <row r="11" spans="2:10" ht="16" x14ac:dyDescent="0.2">
      <c r="B11" s="17" t="s">
        <v>8</v>
      </c>
      <c r="C11" s="18">
        <v>0.27320068499178707</v>
      </c>
      <c r="D11" s="18">
        <v>3.5418161548316014E-2</v>
      </c>
      <c r="E11" s="18">
        <v>0.35896548822321395</v>
      </c>
      <c r="F11" s="18">
        <v>0.18665777949369122</v>
      </c>
      <c r="G11" s="18">
        <v>0.41674078554240446</v>
      </c>
      <c r="H11" s="18">
        <v>0.65291208430775016</v>
      </c>
      <c r="I11" s="18">
        <v>0.52477262269786495</v>
      </c>
      <c r="J11" s="18">
        <v>1</v>
      </c>
    </row>
  </sheetData>
  <conditionalFormatting sqref="C4:J11">
    <cfRule type="cellIs" dxfId="1" priority="1" operator="lessThan">
      <formula>-0.7</formula>
    </cfRule>
    <cfRule type="cellIs" dxfId="0" priority="2" operator="greaterThan">
      <formula>0.7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F61DD-C0C6-0846-A050-C4632F425B4B}">
  <dimension ref="A3:L23"/>
  <sheetViews>
    <sheetView showGridLines="0" topLeftCell="A2" workbookViewId="0">
      <selection activeCell="R17" sqref="R17"/>
    </sheetView>
  </sheetViews>
  <sheetFormatPr baseColWidth="10" defaultRowHeight="13" x14ac:dyDescent="0.15"/>
  <cols>
    <col min="1" max="1" width="16.83203125" bestFit="1" customWidth="1"/>
    <col min="2" max="2" width="21.5" bestFit="1" customWidth="1"/>
    <col min="3" max="3" width="4.1640625" bestFit="1" customWidth="1"/>
    <col min="4" max="4" width="11.83203125" bestFit="1" customWidth="1"/>
    <col min="5" max="5" width="18.5" bestFit="1" customWidth="1"/>
    <col min="6" max="6" width="20" bestFit="1" customWidth="1"/>
    <col min="7" max="7" width="18.5" bestFit="1" customWidth="1"/>
    <col min="9" max="9" width="16.83203125" bestFit="1" customWidth="1"/>
    <col min="10" max="10" width="21.5" bestFit="1" customWidth="1"/>
    <col min="11" max="11" width="4.1640625" bestFit="1" customWidth="1"/>
    <col min="12" max="12" width="11.83203125" bestFit="1" customWidth="1"/>
  </cols>
  <sheetData>
    <row r="3" spans="1:12" x14ac:dyDescent="0.15">
      <c r="A3" s="3" t="s">
        <v>30</v>
      </c>
      <c r="B3" s="3" t="s">
        <v>29</v>
      </c>
      <c r="I3" s="3" t="s">
        <v>72</v>
      </c>
      <c r="J3" s="3" t="s">
        <v>29</v>
      </c>
    </row>
    <row r="4" spans="1:12" x14ac:dyDescent="0.15">
      <c r="A4" s="3" t="s">
        <v>27</v>
      </c>
      <c r="B4">
        <v>0</v>
      </c>
      <c r="C4">
        <v>1</v>
      </c>
      <c r="D4" t="s">
        <v>28</v>
      </c>
      <c r="E4" s="2"/>
      <c r="F4" s="2"/>
      <c r="I4" s="3" t="s">
        <v>27</v>
      </c>
      <c r="J4">
        <v>0</v>
      </c>
      <c r="K4">
        <v>1</v>
      </c>
      <c r="L4" t="s">
        <v>28</v>
      </c>
    </row>
    <row r="5" spans="1:12" x14ac:dyDescent="0.15">
      <c r="A5" s="4" t="s">
        <v>31</v>
      </c>
      <c r="B5">
        <v>28</v>
      </c>
      <c r="C5">
        <v>3</v>
      </c>
      <c r="D5">
        <v>31</v>
      </c>
      <c r="I5" s="4" t="s">
        <v>53</v>
      </c>
      <c r="J5">
        <v>7</v>
      </c>
      <c r="K5">
        <v>3</v>
      </c>
      <c r="L5">
        <v>10</v>
      </c>
    </row>
    <row r="6" spans="1:12" x14ac:dyDescent="0.15">
      <c r="A6" s="4" t="s">
        <v>32</v>
      </c>
      <c r="B6">
        <v>53</v>
      </c>
      <c r="C6">
        <v>5</v>
      </c>
      <c r="D6">
        <v>58</v>
      </c>
      <c r="I6" s="4" t="s">
        <v>54</v>
      </c>
      <c r="J6">
        <v>11</v>
      </c>
      <c r="K6">
        <v>7</v>
      </c>
      <c r="L6">
        <v>18</v>
      </c>
    </row>
    <row r="7" spans="1:12" x14ac:dyDescent="0.15">
      <c r="A7" s="4" t="s">
        <v>33</v>
      </c>
      <c r="B7">
        <v>64</v>
      </c>
      <c r="C7">
        <v>10</v>
      </c>
      <c r="D7">
        <v>74</v>
      </c>
      <c r="I7" s="4" t="s">
        <v>55</v>
      </c>
      <c r="J7">
        <v>16</v>
      </c>
      <c r="K7">
        <v>15</v>
      </c>
      <c r="L7">
        <v>31</v>
      </c>
    </row>
    <row r="8" spans="1:12" x14ac:dyDescent="0.15">
      <c r="A8" s="4" t="s">
        <v>34</v>
      </c>
      <c r="B8">
        <v>59</v>
      </c>
      <c r="C8">
        <v>12</v>
      </c>
      <c r="D8">
        <v>71</v>
      </c>
      <c r="I8" s="4" t="s">
        <v>56</v>
      </c>
      <c r="J8">
        <v>28</v>
      </c>
      <c r="K8">
        <v>11</v>
      </c>
      <c r="L8">
        <v>39</v>
      </c>
    </row>
    <row r="9" spans="1:12" x14ac:dyDescent="0.15">
      <c r="A9" s="4" t="s">
        <v>35</v>
      </c>
      <c r="B9">
        <v>40</v>
      </c>
      <c r="C9">
        <v>14</v>
      </c>
      <c r="D9">
        <v>54</v>
      </c>
      <c r="I9" s="4" t="s">
        <v>57</v>
      </c>
      <c r="J9">
        <v>40</v>
      </c>
      <c r="K9">
        <v>17</v>
      </c>
      <c r="L9">
        <v>57</v>
      </c>
    </row>
    <row r="10" spans="1:12" x14ac:dyDescent="0.15">
      <c r="A10" s="4" t="s">
        <v>36</v>
      </c>
      <c r="B10">
        <v>34</v>
      </c>
      <c r="C10">
        <v>8</v>
      </c>
      <c r="D10">
        <v>42</v>
      </c>
      <c r="I10" s="4" t="s">
        <v>58</v>
      </c>
      <c r="J10">
        <v>32</v>
      </c>
      <c r="K10">
        <v>12</v>
      </c>
      <c r="L10">
        <v>44</v>
      </c>
    </row>
    <row r="11" spans="1:12" x14ac:dyDescent="0.15">
      <c r="A11" s="4" t="s">
        <v>37</v>
      </c>
      <c r="B11">
        <v>26</v>
      </c>
      <c r="C11">
        <v>15</v>
      </c>
      <c r="D11">
        <v>41</v>
      </c>
      <c r="I11" s="4" t="s">
        <v>59</v>
      </c>
      <c r="J11">
        <v>29</v>
      </c>
      <c r="K11">
        <v>10</v>
      </c>
      <c r="L11">
        <v>39</v>
      </c>
    </row>
    <row r="12" spans="1:12" x14ac:dyDescent="0.15">
      <c r="A12" s="4" t="s">
        <v>38</v>
      </c>
      <c r="B12">
        <v>17</v>
      </c>
      <c r="C12">
        <v>11</v>
      </c>
      <c r="D12">
        <v>28</v>
      </c>
      <c r="I12" s="4" t="s">
        <v>60</v>
      </c>
      <c r="J12">
        <v>37</v>
      </c>
      <c r="K12">
        <v>8</v>
      </c>
      <c r="L12">
        <v>45</v>
      </c>
    </row>
    <row r="13" spans="1:12" x14ac:dyDescent="0.15">
      <c r="A13" s="4" t="s">
        <v>39</v>
      </c>
      <c r="B13">
        <v>16</v>
      </c>
      <c r="C13">
        <v>17</v>
      </c>
      <c r="D13">
        <v>33</v>
      </c>
      <c r="I13" s="4" t="s">
        <v>61</v>
      </c>
      <c r="J13">
        <v>28</v>
      </c>
      <c r="K13">
        <v>6</v>
      </c>
      <c r="L13">
        <v>34</v>
      </c>
    </row>
    <row r="14" spans="1:12" x14ac:dyDescent="0.15">
      <c r="A14" s="4" t="s">
        <v>40</v>
      </c>
      <c r="B14">
        <v>15</v>
      </c>
      <c r="C14">
        <v>11</v>
      </c>
      <c r="D14">
        <v>26</v>
      </c>
      <c r="I14" s="4" t="s">
        <v>62</v>
      </c>
      <c r="J14">
        <v>39</v>
      </c>
      <c r="K14">
        <v>9</v>
      </c>
      <c r="L14">
        <v>48</v>
      </c>
    </row>
    <row r="15" spans="1:12" x14ac:dyDescent="0.15">
      <c r="A15" s="4" t="s">
        <v>41</v>
      </c>
      <c r="B15">
        <v>5</v>
      </c>
      <c r="C15">
        <v>5</v>
      </c>
      <c r="D15">
        <v>10</v>
      </c>
      <c r="I15" s="4" t="s">
        <v>63</v>
      </c>
      <c r="J15">
        <v>36</v>
      </c>
      <c r="K15">
        <v>10</v>
      </c>
      <c r="L15">
        <v>46</v>
      </c>
    </row>
    <row r="16" spans="1:12" x14ac:dyDescent="0.15">
      <c r="A16" s="4" t="s">
        <v>42</v>
      </c>
      <c r="B16">
        <v>8</v>
      </c>
      <c r="C16">
        <v>6</v>
      </c>
      <c r="D16">
        <v>14</v>
      </c>
      <c r="I16" s="4" t="s">
        <v>64</v>
      </c>
      <c r="J16">
        <v>17</v>
      </c>
      <c r="K16">
        <v>3</v>
      </c>
      <c r="L16">
        <v>20</v>
      </c>
    </row>
    <row r="17" spans="1:12" x14ac:dyDescent="0.15">
      <c r="A17" s="4" t="s">
        <v>43</v>
      </c>
      <c r="B17">
        <v>3</v>
      </c>
      <c r="C17">
        <v>5</v>
      </c>
      <c r="D17">
        <v>8</v>
      </c>
      <c r="I17" s="4" t="s">
        <v>65</v>
      </c>
      <c r="J17">
        <v>15</v>
      </c>
      <c r="K17">
        <v>3</v>
      </c>
      <c r="L17">
        <v>18</v>
      </c>
    </row>
    <row r="18" spans="1:12" x14ac:dyDescent="0.15">
      <c r="A18" s="4" t="s">
        <v>44</v>
      </c>
      <c r="B18">
        <v>1</v>
      </c>
      <c r="C18">
        <v>4</v>
      </c>
      <c r="D18">
        <v>5</v>
      </c>
      <c r="I18" s="4" t="s">
        <v>66</v>
      </c>
      <c r="J18">
        <v>13</v>
      </c>
      <c r="K18">
        <v>7</v>
      </c>
      <c r="L18">
        <v>20</v>
      </c>
    </row>
    <row r="19" spans="1:12" x14ac:dyDescent="0.15">
      <c r="A19" s="4" t="s">
        <v>45</v>
      </c>
      <c r="C19">
        <v>2</v>
      </c>
      <c r="D19">
        <v>2</v>
      </c>
      <c r="I19" s="4" t="s">
        <v>67</v>
      </c>
      <c r="J19">
        <v>7</v>
      </c>
      <c r="K19">
        <v>1</v>
      </c>
      <c r="L19">
        <v>8</v>
      </c>
    </row>
    <row r="20" spans="1:12" x14ac:dyDescent="0.15">
      <c r="A20" s="4" t="s">
        <v>46</v>
      </c>
      <c r="B20">
        <v>2</v>
      </c>
      <c r="C20">
        <v>1</v>
      </c>
      <c r="D20">
        <v>3</v>
      </c>
      <c r="I20" s="4" t="s">
        <v>68</v>
      </c>
      <c r="J20">
        <v>10</v>
      </c>
      <c r="L20">
        <v>10</v>
      </c>
    </row>
    <row r="21" spans="1:12" x14ac:dyDescent="0.15">
      <c r="A21" s="4" t="s">
        <v>28</v>
      </c>
      <c r="B21">
        <v>371</v>
      </c>
      <c r="C21">
        <v>129</v>
      </c>
      <c r="D21">
        <v>500</v>
      </c>
      <c r="I21" s="4" t="s">
        <v>69</v>
      </c>
      <c r="J21">
        <v>3</v>
      </c>
      <c r="K21">
        <v>4</v>
      </c>
      <c r="L21">
        <v>7</v>
      </c>
    </row>
    <row r="22" spans="1:12" x14ac:dyDescent="0.15">
      <c r="I22" s="4" t="s">
        <v>70</v>
      </c>
      <c r="J22">
        <v>3</v>
      </c>
      <c r="K22">
        <v>3</v>
      </c>
      <c r="L22">
        <v>6</v>
      </c>
    </row>
    <row r="23" spans="1:12" x14ac:dyDescent="0.15">
      <c r="I23" s="4" t="s">
        <v>28</v>
      </c>
      <c r="J23">
        <v>371</v>
      </c>
      <c r="K23">
        <v>129</v>
      </c>
      <c r="L23">
        <v>500</v>
      </c>
    </row>
  </sheetData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451D1-08F0-CB45-A26F-48B8890ECBA6}">
  <dimension ref="A1:V501"/>
  <sheetViews>
    <sheetView showGridLines="0" zoomScale="125" workbookViewId="0">
      <selection activeCell="N6" sqref="N6"/>
    </sheetView>
  </sheetViews>
  <sheetFormatPr baseColWidth="10" defaultRowHeight="16" x14ac:dyDescent="0.2"/>
  <cols>
    <col min="1" max="9" width="10.83203125" style="6"/>
    <col min="10" max="10" width="13.1640625" style="14" bestFit="1" customWidth="1"/>
    <col min="11" max="11" width="10.83203125" style="1"/>
    <col min="13" max="13" width="15.83203125" customWidth="1"/>
  </cols>
  <sheetData>
    <row r="1" spans="1:22" x14ac:dyDescent="0.2">
      <c r="A1" s="9" t="s">
        <v>71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47</v>
      </c>
      <c r="K1" s="19"/>
    </row>
    <row r="2" spans="1:22" x14ac:dyDescent="0.2">
      <c r="A2" s="9">
        <v>0</v>
      </c>
      <c r="B2" s="9">
        <v>29</v>
      </c>
      <c r="C2" s="9">
        <v>2</v>
      </c>
      <c r="D2" s="9">
        <v>6</v>
      </c>
      <c r="E2" s="9">
        <v>10</v>
      </c>
      <c r="F2" s="9">
        <v>65</v>
      </c>
      <c r="G2" s="9">
        <v>18.399999999999999</v>
      </c>
      <c r="H2" s="9">
        <v>1.99</v>
      </c>
      <c r="I2" s="9">
        <v>9.9700000000000006</v>
      </c>
      <c r="J2" s="7" t="s">
        <v>49</v>
      </c>
    </row>
    <row r="3" spans="1:22" x14ac:dyDescent="0.2">
      <c r="A3" s="9">
        <v>0</v>
      </c>
      <c r="B3" s="9">
        <v>43</v>
      </c>
      <c r="C3" s="9">
        <v>1</v>
      </c>
      <c r="D3" s="9">
        <v>25</v>
      </c>
      <c r="E3" s="9">
        <v>21</v>
      </c>
      <c r="F3" s="9">
        <v>64</v>
      </c>
      <c r="G3" s="9">
        <v>16.7</v>
      </c>
      <c r="H3" s="9">
        <v>0.95</v>
      </c>
      <c r="I3" s="9">
        <v>9.74</v>
      </c>
      <c r="J3" s="7" t="s">
        <v>49</v>
      </c>
    </row>
    <row r="4" spans="1:22" x14ac:dyDescent="0.2">
      <c r="A4" s="9">
        <v>1</v>
      </c>
      <c r="B4" s="9">
        <v>32</v>
      </c>
      <c r="C4" s="9">
        <v>2</v>
      </c>
      <c r="D4" s="9">
        <v>11</v>
      </c>
      <c r="E4" s="9">
        <v>6</v>
      </c>
      <c r="F4" s="9">
        <v>75</v>
      </c>
      <c r="G4" s="9">
        <v>23.3</v>
      </c>
      <c r="H4" s="13">
        <v>5.4954845947359976</v>
      </c>
      <c r="I4" s="9">
        <v>9.7200000000000006</v>
      </c>
      <c r="J4" s="7" t="s">
        <v>49</v>
      </c>
    </row>
    <row r="5" spans="1:22" x14ac:dyDescent="0.2">
      <c r="A5" s="9">
        <v>0</v>
      </c>
      <c r="B5" s="9">
        <v>37</v>
      </c>
      <c r="C5" s="9">
        <v>5</v>
      </c>
      <c r="D5" s="9">
        <v>9</v>
      </c>
      <c r="E5" s="9">
        <v>16</v>
      </c>
      <c r="F5" s="9">
        <v>0</v>
      </c>
      <c r="G5" s="9">
        <v>5.9</v>
      </c>
      <c r="H5" s="9">
        <v>0.89</v>
      </c>
      <c r="I5" s="9">
        <v>9.56</v>
      </c>
      <c r="J5" s="7" t="s">
        <v>49</v>
      </c>
      <c r="M5" s="7"/>
      <c r="N5" s="20" t="s">
        <v>73</v>
      </c>
      <c r="O5" s="20" t="s">
        <v>1</v>
      </c>
      <c r="P5" s="20" t="s">
        <v>2</v>
      </c>
      <c r="Q5" s="20" t="s">
        <v>3</v>
      </c>
      <c r="R5" s="20" t="s">
        <v>4</v>
      </c>
      <c r="S5" s="20" t="s">
        <v>5</v>
      </c>
      <c r="T5" s="20" t="s">
        <v>6</v>
      </c>
      <c r="U5" s="20" t="s">
        <v>7</v>
      </c>
      <c r="V5" s="20" t="s">
        <v>8</v>
      </c>
    </row>
    <row r="6" spans="1:22" x14ac:dyDescent="0.2">
      <c r="A6" s="9">
        <v>0</v>
      </c>
      <c r="B6" s="9">
        <v>45</v>
      </c>
      <c r="C6" s="9">
        <v>6</v>
      </c>
      <c r="D6" s="9">
        <v>22</v>
      </c>
      <c r="E6" s="9">
        <v>24</v>
      </c>
      <c r="F6" s="9">
        <v>91</v>
      </c>
      <c r="G6" s="9">
        <v>11.7</v>
      </c>
      <c r="H6" s="9">
        <v>1.26</v>
      </c>
      <c r="I6" s="9">
        <v>9.39</v>
      </c>
      <c r="J6" s="7" t="s">
        <v>49</v>
      </c>
      <c r="M6" s="7" t="s">
        <v>20</v>
      </c>
      <c r="N6" s="27">
        <f t="array" ref="N6:V12">LOGIT(A2:A351,B2:I351,1,1)</f>
        <v>-2.7225796261852593</v>
      </c>
      <c r="O6" s="27">
        <v>1.5451097757248901E-2</v>
      </c>
      <c r="P6" s="27">
        <v>3.857763216311532E-2</v>
      </c>
      <c r="Q6" s="27">
        <v>-0.17974978273048819</v>
      </c>
      <c r="R6" s="27">
        <v>-8.7866626553254806E-2</v>
      </c>
      <c r="S6" s="27">
        <v>2.6137343018136579E-2</v>
      </c>
      <c r="T6" s="27">
        <v>0.19289461009061409</v>
      </c>
      <c r="U6" s="27">
        <v>0.14234898959004905</v>
      </c>
      <c r="V6" s="27">
        <v>-0.18806838463153391</v>
      </c>
    </row>
    <row r="7" spans="1:22" x14ac:dyDescent="0.2">
      <c r="A7" s="9">
        <v>1</v>
      </c>
      <c r="B7" s="9">
        <v>48</v>
      </c>
      <c r="C7" s="9">
        <v>1</v>
      </c>
      <c r="D7" s="9">
        <v>13</v>
      </c>
      <c r="E7" s="9">
        <v>20</v>
      </c>
      <c r="F7" s="9">
        <v>50</v>
      </c>
      <c r="G7" s="9">
        <v>30.8</v>
      </c>
      <c r="H7" s="13">
        <v>5.4954845947359976</v>
      </c>
      <c r="I7" s="9">
        <v>9.2899999999999991</v>
      </c>
      <c r="J7" s="7" t="s">
        <v>49</v>
      </c>
      <c r="M7" s="7" t="s">
        <v>21</v>
      </c>
      <c r="N7" s="27">
        <v>0.89246134203455907</v>
      </c>
      <c r="O7" s="27">
        <v>2.4537260034897545E-2</v>
      </c>
      <c r="P7" s="27">
        <v>0.15222096935059445</v>
      </c>
      <c r="Q7" s="27">
        <v>4.1706096666713814E-2</v>
      </c>
      <c r="R7" s="27">
        <v>3.1395748359358933E-2</v>
      </c>
      <c r="S7" s="27">
        <v>1.3910970457444966E-2</v>
      </c>
      <c r="T7" s="27">
        <v>4.9560819406027246E-2</v>
      </c>
      <c r="U7" s="27">
        <v>0.1617420683974132</v>
      </c>
      <c r="V7" s="27">
        <v>0.13497644749248333</v>
      </c>
    </row>
    <row r="8" spans="1:22" x14ac:dyDescent="0.2">
      <c r="A8" s="9">
        <v>1</v>
      </c>
      <c r="B8" s="9">
        <v>34</v>
      </c>
      <c r="C8" s="9">
        <v>1</v>
      </c>
      <c r="D8" s="9">
        <v>12</v>
      </c>
      <c r="E8" s="9">
        <v>5</v>
      </c>
      <c r="F8" s="9">
        <v>68</v>
      </c>
      <c r="G8" s="9">
        <v>25.1</v>
      </c>
      <c r="H8" s="13">
        <v>5.4954845947359976</v>
      </c>
      <c r="I8" s="9">
        <v>9.25</v>
      </c>
      <c r="J8" s="7" t="s">
        <v>49</v>
      </c>
      <c r="M8" s="7" t="s">
        <v>22</v>
      </c>
      <c r="N8" s="27">
        <v>-3.0506415213218636</v>
      </c>
      <c r="O8" s="27">
        <v>0.6296993933012055</v>
      </c>
      <c r="P8" s="27">
        <v>0.25343178622298446</v>
      </c>
      <c r="Q8" s="27">
        <v>-4.3099162256042263</v>
      </c>
      <c r="R8" s="27">
        <v>-2.7986791570477778</v>
      </c>
      <c r="S8" s="27">
        <v>1.8789014826890256</v>
      </c>
      <c r="T8" s="27">
        <v>3.892078710610575</v>
      </c>
      <c r="U8" s="27">
        <v>0.88009873374616543</v>
      </c>
      <c r="V8" s="27">
        <v>-1.3933422321105851</v>
      </c>
    </row>
    <row r="9" spans="1:22" x14ac:dyDescent="0.2">
      <c r="A9" s="9">
        <v>0</v>
      </c>
      <c r="B9" s="9">
        <v>41</v>
      </c>
      <c r="C9" s="9">
        <v>1</v>
      </c>
      <c r="D9" s="9">
        <v>21</v>
      </c>
      <c r="E9" s="9">
        <v>2</v>
      </c>
      <c r="F9" s="9">
        <v>76</v>
      </c>
      <c r="G9" s="9">
        <v>20.5</v>
      </c>
      <c r="H9" s="13">
        <v>5.4954845947359976</v>
      </c>
      <c r="I9" s="9">
        <v>8.6300000000000008</v>
      </c>
      <c r="J9" s="7" t="s">
        <v>49</v>
      </c>
      <c r="M9" s="7" t="s">
        <v>23</v>
      </c>
      <c r="N9" s="12">
        <v>2.2835303541417495E-3</v>
      </c>
      <c r="O9" s="21">
        <v>0.52889127958168158</v>
      </c>
      <c r="P9" s="21">
        <v>0.79993456734508928</v>
      </c>
      <c r="Q9" s="12">
        <v>1.633164019243516E-5</v>
      </c>
      <c r="R9" s="12">
        <v>5.1312095059543594E-3</v>
      </c>
      <c r="S9" s="12">
        <v>6.0257946368090121E-2</v>
      </c>
      <c r="T9" s="12">
        <v>9.9388987303106191E-5</v>
      </c>
      <c r="U9" s="21">
        <v>0.37880582504779015</v>
      </c>
      <c r="V9" s="21">
        <v>0.16351632551797612</v>
      </c>
    </row>
    <row r="10" spans="1:22" x14ac:dyDescent="0.2">
      <c r="A10" s="9">
        <v>0</v>
      </c>
      <c r="B10" s="9">
        <v>42</v>
      </c>
      <c r="C10" s="9">
        <v>1</v>
      </c>
      <c r="D10" s="9">
        <v>12</v>
      </c>
      <c r="E10" s="9">
        <v>11</v>
      </c>
      <c r="F10" s="9">
        <v>51</v>
      </c>
      <c r="G10" s="9">
        <v>21.4</v>
      </c>
      <c r="H10" s="9">
        <v>2.41</v>
      </c>
      <c r="I10" s="9">
        <v>8.5</v>
      </c>
      <c r="J10" s="7" t="s">
        <v>49</v>
      </c>
      <c r="M10" s="7" t="s">
        <v>24</v>
      </c>
      <c r="N10" s="28">
        <v>0.23219800263172852</v>
      </c>
      <c r="O10" s="27">
        <v>7</v>
      </c>
      <c r="P10" s="27" t="str">
        <v>#N/A</v>
      </c>
      <c r="Q10" s="27" t="str">
        <v>#N/A</v>
      </c>
      <c r="R10" s="27" t="str">
        <v>#N/A</v>
      </c>
      <c r="S10" s="27" t="str">
        <v>#N/A</v>
      </c>
      <c r="T10" s="27" t="str">
        <v>#N/A</v>
      </c>
      <c r="U10" s="27" t="str">
        <v>#N/A</v>
      </c>
      <c r="V10" s="27" t="str">
        <v>#N/A</v>
      </c>
    </row>
    <row r="11" spans="1:22" x14ac:dyDescent="0.2">
      <c r="A11" s="9">
        <v>0</v>
      </c>
      <c r="B11" s="9">
        <v>47</v>
      </c>
      <c r="C11" s="9">
        <v>1</v>
      </c>
      <c r="D11" s="9">
        <v>13</v>
      </c>
      <c r="E11" s="9">
        <v>25</v>
      </c>
      <c r="F11" s="9">
        <v>51</v>
      </c>
      <c r="G11" s="9">
        <v>23.8</v>
      </c>
      <c r="H11" s="9">
        <v>3.74</v>
      </c>
      <c r="I11" s="9">
        <v>8.4</v>
      </c>
      <c r="J11" s="7" t="s">
        <v>49</v>
      </c>
      <c r="M11" s="7" t="s">
        <v>25</v>
      </c>
      <c r="N11" s="27">
        <v>86.803054524423317</v>
      </c>
      <c r="O11" s="27">
        <v>2.0685639169447874E-15</v>
      </c>
      <c r="P11" s="27" t="str">
        <v>#N/A</v>
      </c>
      <c r="Q11" s="27" t="str">
        <v>#N/A</v>
      </c>
      <c r="R11" s="27" t="str">
        <v>#N/A</v>
      </c>
      <c r="S11" s="27" t="str">
        <v>#N/A</v>
      </c>
      <c r="T11" s="27" t="str">
        <v>#N/A</v>
      </c>
      <c r="U11" s="27" t="str">
        <v>#N/A</v>
      </c>
      <c r="V11" s="27" t="str">
        <v>#N/A</v>
      </c>
    </row>
    <row r="12" spans="1:22" x14ac:dyDescent="0.2">
      <c r="A12" s="9">
        <v>1</v>
      </c>
      <c r="B12" s="9">
        <v>33</v>
      </c>
      <c r="C12" s="9">
        <v>1</v>
      </c>
      <c r="D12" s="9">
        <v>13</v>
      </c>
      <c r="E12" s="9">
        <v>3</v>
      </c>
      <c r="F12" s="9">
        <v>52</v>
      </c>
      <c r="G12" s="9">
        <v>21.3</v>
      </c>
      <c r="H12" s="9">
        <v>2.71</v>
      </c>
      <c r="I12" s="9">
        <v>8.36</v>
      </c>
      <c r="J12" s="7" t="s">
        <v>49</v>
      </c>
      <c r="M12" s="7" t="s">
        <v>26</v>
      </c>
      <c r="N12" s="27">
        <v>-143.51449600370549</v>
      </c>
      <c r="O12" s="27">
        <v>-186.91602326591715</v>
      </c>
      <c r="P12" s="27" t="str">
        <v>#N/A</v>
      </c>
      <c r="Q12" s="27" t="str">
        <v>#N/A</v>
      </c>
      <c r="R12" s="27" t="str">
        <v>#N/A</v>
      </c>
      <c r="S12" s="27" t="str">
        <v>#N/A</v>
      </c>
      <c r="T12" s="27" t="str">
        <v>#N/A</v>
      </c>
      <c r="U12" s="27" t="str">
        <v>#N/A</v>
      </c>
      <c r="V12" s="27" t="str">
        <v>#N/A</v>
      </c>
    </row>
    <row r="13" spans="1:22" x14ac:dyDescent="0.2">
      <c r="A13" s="9">
        <v>1</v>
      </c>
      <c r="B13" s="9">
        <v>43</v>
      </c>
      <c r="C13" s="9">
        <v>2</v>
      </c>
      <c r="D13" s="9">
        <v>9</v>
      </c>
      <c r="E13" s="9">
        <v>5</v>
      </c>
      <c r="F13" s="9">
        <v>60</v>
      </c>
      <c r="G13" s="9">
        <v>20.399999999999999</v>
      </c>
      <c r="H13" s="9">
        <v>4.04</v>
      </c>
      <c r="I13" s="9">
        <v>8.1999999999999993</v>
      </c>
      <c r="J13" s="7" t="s">
        <v>49</v>
      </c>
    </row>
    <row r="14" spans="1:22" x14ac:dyDescent="0.2">
      <c r="A14" s="9">
        <v>1</v>
      </c>
      <c r="B14" s="9">
        <v>32</v>
      </c>
      <c r="C14" s="9">
        <v>2</v>
      </c>
      <c r="D14" s="9">
        <v>11</v>
      </c>
      <c r="E14" s="9">
        <v>4</v>
      </c>
      <c r="F14" s="9">
        <v>57</v>
      </c>
      <c r="G14" s="9">
        <v>23.8</v>
      </c>
      <c r="H14" s="9">
        <v>5.44</v>
      </c>
      <c r="I14" s="9">
        <v>8.1300000000000008</v>
      </c>
      <c r="J14" s="7" t="s">
        <v>49</v>
      </c>
    </row>
    <row r="15" spans="1:22" x14ac:dyDescent="0.2">
      <c r="A15" s="9">
        <v>1</v>
      </c>
      <c r="B15" s="9">
        <v>39</v>
      </c>
      <c r="C15" s="9">
        <v>2</v>
      </c>
      <c r="D15" s="9">
        <v>7</v>
      </c>
      <c r="E15" s="9">
        <v>2</v>
      </c>
      <c r="F15" s="9">
        <v>68</v>
      </c>
      <c r="G15" s="9">
        <v>13</v>
      </c>
      <c r="H15" s="9">
        <v>0.97</v>
      </c>
      <c r="I15" s="9">
        <v>7.82</v>
      </c>
      <c r="J15" s="7" t="s">
        <v>49</v>
      </c>
      <c r="M15" s="2"/>
      <c r="N15" s="1"/>
      <c r="O15" s="1"/>
      <c r="P15" s="1"/>
      <c r="Q15" s="1"/>
      <c r="R15" s="1"/>
      <c r="S15" s="1"/>
      <c r="T15" s="1"/>
      <c r="U15" s="1"/>
    </row>
    <row r="16" spans="1:22" x14ac:dyDescent="0.2">
      <c r="A16" s="9">
        <v>0</v>
      </c>
      <c r="B16" s="9">
        <v>41</v>
      </c>
      <c r="C16" s="9">
        <v>2</v>
      </c>
      <c r="D16" s="9">
        <v>22</v>
      </c>
      <c r="E16" s="9">
        <v>17</v>
      </c>
      <c r="F16" s="9">
        <v>75</v>
      </c>
      <c r="G16" s="9">
        <v>23.6</v>
      </c>
      <c r="H16" s="9">
        <v>0</v>
      </c>
      <c r="I16" s="9">
        <v>7.82</v>
      </c>
      <c r="J16" s="7" t="s">
        <v>49</v>
      </c>
      <c r="M16" s="2"/>
      <c r="N16" s="23"/>
      <c r="O16" s="23"/>
      <c r="P16" s="23"/>
      <c r="Q16" s="23"/>
      <c r="R16" s="23"/>
      <c r="S16" s="23"/>
      <c r="T16" s="23"/>
      <c r="U16" s="23"/>
    </row>
    <row r="17" spans="1:21" x14ac:dyDescent="0.2">
      <c r="A17" s="9">
        <v>0</v>
      </c>
      <c r="B17" s="9">
        <v>39</v>
      </c>
      <c r="C17" s="9">
        <v>2</v>
      </c>
      <c r="D17" s="9">
        <v>16</v>
      </c>
      <c r="E17" s="9">
        <v>9</v>
      </c>
      <c r="F17" s="9">
        <v>89</v>
      </c>
      <c r="G17" s="9">
        <v>14.3</v>
      </c>
      <c r="H17" s="9">
        <v>5</v>
      </c>
      <c r="I17" s="9">
        <v>7.73</v>
      </c>
      <c r="J17" s="7" t="s">
        <v>49</v>
      </c>
      <c r="M17" s="2"/>
    </row>
    <row r="18" spans="1:21" x14ac:dyDescent="0.2">
      <c r="A18" s="9">
        <v>0</v>
      </c>
      <c r="B18" s="9">
        <v>33</v>
      </c>
      <c r="C18" s="9">
        <v>2</v>
      </c>
      <c r="D18" s="9">
        <v>12</v>
      </c>
      <c r="E18" s="9">
        <v>8</v>
      </c>
      <c r="F18" s="9">
        <v>58</v>
      </c>
      <c r="G18" s="9">
        <v>18.399999999999999</v>
      </c>
      <c r="H18" s="9">
        <v>3.08</v>
      </c>
      <c r="I18" s="9">
        <v>7.59</v>
      </c>
      <c r="J18" s="7" t="s">
        <v>49</v>
      </c>
      <c r="M18" s="2"/>
    </row>
    <row r="19" spans="1:21" x14ac:dyDescent="0.2">
      <c r="A19" s="9">
        <v>0</v>
      </c>
      <c r="B19" s="9">
        <v>54</v>
      </c>
      <c r="C19" s="9">
        <v>3</v>
      </c>
      <c r="D19" s="9">
        <v>21</v>
      </c>
      <c r="E19" s="9">
        <v>20</v>
      </c>
      <c r="F19" s="13">
        <v>117.54291069294821</v>
      </c>
      <c r="G19" s="9">
        <v>14.4</v>
      </c>
      <c r="H19" s="9">
        <v>0</v>
      </c>
      <c r="I19" s="9">
        <v>7.39</v>
      </c>
      <c r="J19" s="7" t="s">
        <v>49</v>
      </c>
      <c r="M19" s="2"/>
      <c r="N19" s="22"/>
      <c r="O19" s="22"/>
      <c r="P19" s="22"/>
      <c r="Q19" s="22"/>
      <c r="R19" s="22"/>
      <c r="S19" s="22"/>
      <c r="T19" s="22"/>
      <c r="U19" s="22"/>
    </row>
    <row r="20" spans="1:21" x14ac:dyDescent="0.2">
      <c r="A20" s="9">
        <v>0</v>
      </c>
      <c r="B20" s="9">
        <v>32</v>
      </c>
      <c r="C20" s="9">
        <v>1</v>
      </c>
      <c r="D20" s="9">
        <v>16</v>
      </c>
      <c r="E20" s="9">
        <v>10</v>
      </c>
      <c r="F20" s="9">
        <v>38</v>
      </c>
      <c r="G20" s="9">
        <v>21</v>
      </c>
      <c r="H20" s="9">
        <v>0.69</v>
      </c>
      <c r="I20" s="9">
        <v>7.29</v>
      </c>
      <c r="J20" s="7" t="s">
        <v>49</v>
      </c>
      <c r="M20" s="2"/>
      <c r="N20" s="24"/>
    </row>
    <row r="21" spans="1:21" x14ac:dyDescent="0.2">
      <c r="A21" s="9">
        <v>0</v>
      </c>
      <c r="B21" s="9">
        <v>50</v>
      </c>
      <c r="C21" s="9">
        <v>3</v>
      </c>
      <c r="D21" s="9">
        <v>10</v>
      </c>
      <c r="E21" s="9">
        <v>20</v>
      </c>
      <c r="F21" s="9">
        <v>80</v>
      </c>
      <c r="G21" s="9">
        <v>12.2</v>
      </c>
      <c r="H21" s="9">
        <v>0.97</v>
      </c>
      <c r="I21" s="9">
        <v>7.28</v>
      </c>
      <c r="J21" s="7" t="s">
        <v>49</v>
      </c>
      <c r="M21" s="2"/>
    </row>
    <row r="22" spans="1:21" x14ac:dyDescent="0.2">
      <c r="A22" s="9">
        <v>0</v>
      </c>
      <c r="B22" s="9">
        <v>40</v>
      </c>
      <c r="C22" s="9">
        <v>3</v>
      </c>
      <c r="D22" s="9">
        <v>18</v>
      </c>
      <c r="E22" s="9">
        <v>14</v>
      </c>
      <c r="F22" s="9">
        <v>0</v>
      </c>
      <c r="G22" s="9">
        <v>6.6</v>
      </c>
      <c r="H22" s="9">
        <v>3.33</v>
      </c>
      <c r="I22" s="9">
        <v>7.04</v>
      </c>
      <c r="J22" s="7" t="s">
        <v>49</v>
      </c>
      <c r="M22" s="2"/>
    </row>
    <row r="23" spans="1:21" x14ac:dyDescent="0.2">
      <c r="A23" s="9">
        <v>1</v>
      </c>
      <c r="B23" s="9">
        <v>39</v>
      </c>
      <c r="C23" s="9">
        <v>1</v>
      </c>
      <c r="D23" s="9">
        <v>19</v>
      </c>
      <c r="E23" s="9">
        <v>15</v>
      </c>
      <c r="F23" s="9">
        <v>60</v>
      </c>
      <c r="G23" s="9">
        <v>27.1</v>
      </c>
      <c r="H23" s="9">
        <v>0</v>
      </c>
      <c r="I23" s="9">
        <v>6.67</v>
      </c>
      <c r="J23" s="7" t="s">
        <v>49</v>
      </c>
    </row>
    <row r="24" spans="1:21" x14ac:dyDescent="0.2">
      <c r="A24" s="9">
        <v>0</v>
      </c>
      <c r="B24" s="9">
        <v>40</v>
      </c>
      <c r="C24" s="9">
        <v>1</v>
      </c>
      <c r="D24" s="9">
        <v>10</v>
      </c>
      <c r="E24" s="9">
        <v>15</v>
      </c>
      <c r="F24" s="9">
        <v>45</v>
      </c>
      <c r="G24" s="9">
        <v>18.8</v>
      </c>
      <c r="H24" s="9">
        <v>2.0099999999999998</v>
      </c>
      <c r="I24" s="9">
        <v>6.45</v>
      </c>
      <c r="J24" s="7" t="s">
        <v>49</v>
      </c>
    </row>
    <row r="25" spans="1:21" x14ac:dyDescent="0.2">
      <c r="A25" s="9">
        <v>0</v>
      </c>
      <c r="B25" s="9">
        <v>39</v>
      </c>
      <c r="C25" s="9">
        <v>1</v>
      </c>
      <c r="D25" s="9">
        <v>16</v>
      </c>
      <c r="E25" s="9">
        <v>4</v>
      </c>
      <c r="F25" s="9">
        <v>52</v>
      </c>
      <c r="G25" s="9">
        <v>20</v>
      </c>
      <c r="H25" s="9">
        <v>4.16</v>
      </c>
      <c r="I25" s="9">
        <v>6.24</v>
      </c>
      <c r="J25" s="7" t="s">
        <v>49</v>
      </c>
      <c r="M25" s="2"/>
      <c r="N25" s="1"/>
      <c r="O25" s="1"/>
      <c r="P25" s="1"/>
      <c r="Q25" s="1"/>
      <c r="R25" s="1"/>
      <c r="S25" s="1"/>
      <c r="T25" s="1"/>
    </row>
    <row r="26" spans="1:21" x14ac:dyDescent="0.2">
      <c r="A26" s="9">
        <v>0</v>
      </c>
      <c r="B26" s="9">
        <v>35</v>
      </c>
      <c r="C26" s="9">
        <v>1</v>
      </c>
      <c r="D26" s="9">
        <v>15</v>
      </c>
      <c r="E26" s="9">
        <v>11</v>
      </c>
      <c r="F26" s="9">
        <v>40</v>
      </c>
      <c r="G26" s="9">
        <v>18.5</v>
      </c>
      <c r="H26" s="9">
        <v>1.21</v>
      </c>
      <c r="I26" s="9">
        <v>6.19</v>
      </c>
      <c r="J26" s="7" t="s">
        <v>49</v>
      </c>
      <c r="M26" s="2"/>
      <c r="N26" s="23"/>
      <c r="O26" s="23"/>
      <c r="P26" s="23"/>
      <c r="Q26" s="23"/>
      <c r="R26" s="23"/>
      <c r="S26" s="23"/>
      <c r="T26" s="23"/>
    </row>
    <row r="27" spans="1:21" x14ac:dyDescent="0.2">
      <c r="A27" s="9">
        <v>0</v>
      </c>
      <c r="B27" s="9">
        <v>36</v>
      </c>
      <c r="C27" s="9">
        <v>3</v>
      </c>
      <c r="D27" s="9">
        <v>11</v>
      </c>
      <c r="E27" s="9">
        <v>12</v>
      </c>
      <c r="F27" s="9">
        <v>44</v>
      </c>
      <c r="G27" s="9">
        <v>14.7</v>
      </c>
      <c r="H27" s="9">
        <v>0.45</v>
      </c>
      <c r="I27" s="9">
        <v>6.02</v>
      </c>
      <c r="J27" s="7" t="s">
        <v>49</v>
      </c>
      <c r="M27" s="2"/>
    </row>
    <row r="28" spans="1:21" x14ac:dyDescent="0.2">
      <c r="A28" s="9">
        <v>1</v>
      </c>
      <c r="B28" s="9">
        <v>39</v>
      </c>
      <c r="C28" s="9">
        <v>1</v>
      </c>
      <c r="D28" s="9">
        <v>6</v>
      </c>
      <c r="E28" s="9">
        <v>19</v>
      </c>
      <c r="F28" s="9">
        <v>42</v>
      </c>
      <c r="G28" s="9">
        <v>19.899999999999999</v>
      </c>
      <c r="H28" s="9">
        <v>2.54</v>
      </c>
      <c r="I28" s="9">
        <v>5.82</v>
      </c>
      <c r="J28" s="7" t="s">
        <v>49</v>
      </c>
      <c r="M28" s="2"/>
    </row>
    <row r="29" spans="1:21" x14ac:dyDescent="0.2">
      <c r="A29" s="9">
        <v>0</v>
      </c>
      <c r="B29" s="9">
        <v>39</v>
      </c>
      <c r="C29" s="9">
        <v>1</v>
      </c>
      <c r="D29" s="9">
        <v>17</v>
      </c>
      <c r="E29" s="9">
        <v>20</v>
      </c>
      <c r="F29" s="9">
        <v>60</v>
      </c>
      <c r="G29" s="9">
        <v>13.7</v>
      </c>
      <c r="H29" s="9">
        <v>2.4500000000000002</v>
      </c>
      <c r="I29" s="9">
        <v>5.77</v>
      </c>
      <c r="J29" s="7" t="s">
        <v>49</v>
      </c>
      <c r="M29" s="2"/>
      <c r="N29" s="22"/>
      <c r="O29" s="22"/>
      <c r="P29" s="22"/>
      <c r="Q29" s="22"/>
      <c r="R29" s="22"/>
      <c r="S29" s="22"/>
      <c r="T29" s="22"/>
    </row>
    <row r="30" spans="1:21" x14ac:dyDescent="0.2">
      <c r="A30" s="9">
        <v>0</v>
      </c>
      <c r="B30" s="9">
        <v>37</v>
      </c>
      <c r="C30" s="9">
        <v>3</v>
      </c>
      <c r="D30" s="9">
        <v>5</v>
      </c>
      <c r="E30" s="9">
        <v>17</v>
      </c>
      <c r="F30" s="9">
        <v>29</v>
      </c>
      <c r="G30" s="9">
        <v>24.6</v>
      </c>
      <c r="H30" s="9">
        <v>1.41</v>
      </c>
      <c r="I30" s="9">
        <v>5.73</v>
      </c>
      <c r="J30" s="7" t="s">
        <v>49</v>
      </c>
      <c r="M30" s="2"/>
      <c r="N30" s="24"/>
    </row>
    <row r="31" spans="1:21" x14ac:dyDescent="0.2">
      <c r="A31" s="9">
        <v>0</v>
      </c>
      <c r="B31" s="9">
        <v>45</v>
      </c>
      <c r="C31" s="9">
        <v>2</v>
      </c>
      <c r="D31" s="9">
        <v>18</v>
      </c>
      <c r="E31" s="9">
        <v>19</v>
      </c>
      <c r="F31" s="9">
        <v>35</v>
      </c>
      <c r="G31" s="9">
        <v>17.399999999999999</v>
      </c>
      <c r="H31" s="9">
        <v>0.55000000000000004</v>
      </c>
      <c r="I31" s="9">
        <v>5.54</v>
      </c>
      <c r="J31" s="7" t="s">
        <v>49</v>
      </c>
      <c r="M31" s="2"/>
    </row>
    <row r="32" spans="1:21" x14ac:dyDescent="0.2">
      <c r="A32" s="9">
        <v>0</v>
      </c>
      <c r="B32" s="9">
        <v>48</v>
      </c>
      <c r="C32" s="9">
        <v>1</v>
      </c>
      <c r="D32" s="9">
        <v>22</v>
      </c>
      <c r="E32" s="9">
        <v>15</v>
      </c>
      <c r="F32" s="9">
        <v>100</v>
      </c>
      <c r="G32" s="9">
        <v>9.1</v>
      </c>
      <c r="H32" s="9">
        <v>3.7</v>
      </c>
      <c r="I32" s="9">
        <v>5.4</v>
      </c>
      <c r="J32" s="7" t="s">
        <v>49</v>
      </c>
      <c r="M32" s="2"/>
    </row>
    <row r="33" spans="1:19" x14ac:dyDescent="0.2">
      <c r="A33" s="9">
        <v>0</v>
      </c>
      <c r="B33" s="9">
        <v>44</v>
      </c>
      <c r="C33" s="9">
        <v>2</v>
      </c>
      <c r="D33" s="9">
        <v>18</v>
      </c>
      <c r="E33" s="9">
        <v>4</v>
      </c>
      <c r="F33" s="9">
        <v>74</v>
      </c>
      <c r="G33" s="9">
        <v>13.4</v>
      </c>
      <c r="H33" s="9">
        <v>4.5199999999999996</v>
      </c>
      <c r="I33" s="9">
        <v>5.39</v>
      </c>
      <c r="J33" s="7" t="s">
        <v>49</v>
      </c>
    </row>
    <row r="34" spans="1:19" x14ac:dyDescent="0.2">
      <c r="A34" s="9">
        <v>0</v>
      </c>
      <c r="B34" s="9">
        <v>31</v>
      </c>
      <c r="C34" s="9">
        <v>1</v>
      </c>
      <c r="D34" s="9">
        <v>12</v>
      </c>
      <c r="E34" s="9">
        <v>4</v>
      </c>
      <c r="F34" s="9">
        <v>31</v>
      </c>
      <c r="G34" s="9">
        <v>23.7</v>
      </c>
      <c r="H34" s="9">
        <v>2.06</v>
      </c>
      <c r="I34" s="9">
        <v>5.29</v>
      </c>
      <c r="J34" s="7" t="s">
        <v>49</v>
      </c>
    </row>
    <row r="35" spans="1:19" x14ac:dyDescent="0.2">
      <c r="A35" s="9">
        <v>1</v>
      </c>
      <c r="B35" s="9">
        <v>34</v>
      </c>
      <c r="C35" s="9">
        <v>1</v>
      </c>
      <c r="D35" s="9">
        <v>15</v>
      </c>
      <c r="E35" s="9">
        <v>2</v>
      </c>
      <c r="F35" s="9">
        <v>39</v>
      </c>
      <c r="G35" s="9">
        <v>24.7</v>
      </c>
      <c r="H35" s="9">
        <v>4.37</v>
      </c>
      <c r="I35" s="9">
        <v>5.26</v>
      </c>
      <c r="J35" s="7" t="s">
        <v>49</v>
      </c>
      <c r="M35" s="2"/>
      <c r="N35" s="1"/>
      <c r="O35" s="1"/>
      <c r="P35" s="1"/>
      <c r="Q35" s="1"/>
      <c r="R35" s="1"/>
      <c r="S35" s="1"/>
    </row>
    <row r="36" spans="1:19" x14ac:dyDescent="0.2">
      <c r="A36" s="9">
        <v>1</v>
      </c>
      <c r="B36" s="9">
        <v>52</v>
      </c>
      <c r="C36" s="9">
        <v>5</v>
      </c>
      <c r="D36" s="9">
        <v>9</v>
      </c>
      <c r="E36" s="9">
        <v>0</v>
      </c>
      <c r="F36" s="9">
        <v>70</v>
      </c>
      <c r="G36" s="9">
        <v>9.4</v>
      </c>
      <c r="H36" s="9">
        <v>1.33</v>
      </c>
      <c r="I36" s="9">
        <v>5.25</v>
      </c>
      <c r="J36" s="7" t="s">
        <v>49</v>
      </c>
      <c r="M36" s="2"/>
      <c r="N36" s="23"/>
      <c r="O36" s="23"/>
      <c r="P36" s="23"/>
      <c r="Q36" s="23"/>
      <c r="R36" s="23"/>
      <c r="S36" s="23"/>
    </row>
    <row r="37" spans="1:19" x14ac:dyDescent="0.2">
      <c r="A37" s="9">
        <v>0</v>
      </c>
      <c r="B37" s="9">
        <v>41</v>
      </c>
      <c r="C37" s="9">
        <v>1</v>
      </c>
      <c r="D37" s="9">
        <v>19</v>
      </c>
      <c r="E37" s="9">
        <v>1</v>
      </c>
      <c r="F37" s="9">
        <v>96</v>
      </c>
      <c r="G37" s="9">
        <v>7.8</v>
      </c>
      <c r="H37" s="9">
        <v>2.25</v>
      </c>
      <c r="I37" s="9">
        <v>5.23</v>
      </c>
      <c r="J37" s="7" t="s">
        <v>49</v>
      </c>
      <c r="M37" s="2"/>
    </row>
    <row r="38" spans="1:19" x14ac:dyDescent="0.2">
      <c r="A38" s="9">
        <v>0</v>
      </c>
      <c r="B38" s="9">
        <v>47</v>
      </c>
      <c r="C38" s="9">
        <v>1</v>
      </c>
      <c r="D38" s="9">
        <v>15</v>
      </c>
      <c r="E38" s="9">
        <v>1</v>
      </c>
      <c r="F38" s="9">
        <v>30</v>
      </c>
      <c r="G38" s="9">
        <v>24.5</v>
      </c>
      <c r="H38" s="9">
        <v>2.21</v>
      </c>
      <c r="I38" s="9">
        <v>5.14</v>
      </c>
      <c r="J38" s="7" t="s">
        <v>49</v>
      </c>
      <c r="M38" s="2"/>
    </row>
    <row r="39" spans="1:19" x14ac:dyDescent="0.2">
      <c r="A39" s="9">
        <v>1</v>
      </c>
      <c r="B39" s="9">
        <v>44</v>
      </c>
      <c r="C39" s="9">
        <v>3</v>
      </c>
      <c r="D39" s="9">
        <v>8</v>
      </c>
      <c r="E39" s="9">
        <v>10</v>
      </c>
      <c r="F39" s="9">
        <v>88</v>
      </c>
      <c r="G39" s="9">
        <v>6.1</v>
      </c>
      <c r="H39" s="9">
        <v>0.28000000000000003</v>
      </c>
      <c r="I39" s="9">
        <v>5.08</v>
      </c>
      <c r="J39" s="7" t="s">
        <v>49</v>
      </c>
      <c r="M39" s="2"/>
      <c r="N39" s="22"/>
      <c r="O39" s="22"/>
      <c r="P39" s="22"/>
      <c r="Q39" s="22"/>
      <c r="R39" s="22"/>
      <c r="S39" s="22"/>
    </row>
    <row r="40" spans="1:19" x14ac:dyDescent="0.2">
      <c r="A40" s="9">
        <v>1</v>
      </c>
      <c r="B40" s="9">
        <v>23</v>
      </c>
      <c r="C40" s="9">
        <v>4</v>
      </c>
      <c r="D40" s="9">
        <v>0</v>
      </c>
      <c r="E40" s="9">
        <v>4</v>
      </c>
      <c r="F40" s="9">
        <v>32</v>
      </c>
      <c r="G40" s="9">
        <v>18.399999999999999</v>
      </c>
      <c r="H40" s="9">
        <v>0.82</v>
      </c>
      <c r="I40" s="9">
        <v>5.07</v>
      </c>
      <c r="J40" s="7" t="s">
        <v>49</v>
      </c>
      <c r="M40" s="2"/>
      <c r="N40" s="24"/>
    </row>
    <row r="41" spans="1:19" x14ac:dyDescent="0.2">
      <c r="A41" s="9">
        <v>0</v>
      </c>
      <c r="B41" s="9">
        <v>31</v>
      </c>
      <c r="C41" s="9">
        <v>1</v>
      </c>
      <c r="D41" s="9">
        <v>8</v>
      </c>
      <c r="E41" s="9">
        <v>3</v>
      </c>
      <c r="F41" s="9">
        <v>41</v>
      </c>
      <c r="G41" s="9">
        <v>12.6</v>
      </c>
      <c r="H41" s="9">
        <v>0.13</v>
      </c>
      <c r="I41" s="9">
        <v>5.03</v>
      </c>
      <c r="J41" s="7" t="s">
        <v>49</v>
      </c>
      <c r="M41" s="2"/>
    </row>
    <row r="42" spans="1:19" x14ac:dyDescent="0.2">
      <c r="A42" s="9">
        <v>0</v>
      </c>
      <c r="B42" s="9">
        <v>38</v>
      </c>
      <c r="C42" s="9">
        <v>1</v>
      </c>
      <c r="D42" s="9">
        <v>21</v>
      </c>
      <c r="E42" s="9">
        <v>16</v>
      </c>
      <c r="F42" s="9">
        <v>58</v>
      </c>
      <c r="G42" s="9">
        <v>16.5</v>
      </c>
      <c r="H42" s="9">
        <v>4.58</v>
      </c>
      <c r="I42" s="9">
        <v>4.99</v>
      </c>
      <c r="J42" s="7" t="s">
        <v>49</v>
      </c>
      <c r="M42" s="2"/>
    </row>
    <row r="43" spans="1:19" x14ac:dyDescent="0.2">
      <c r="A43" s="9">
        <v>0</v>
      </c>
      <c r="B43" s="9">
        <v>28</v>
      </c>
      <c r="C43" s="9">
        <v>2</v>
      </c>
      <c r="D43" s="9">
        <v>5</v>
      </c>
      <c r="E43" s="9">
        <v>9</v>
      </c>
      <c r="F43" s="9">
        <v>34</v>
      </c>
      <c r="G43" s="9">
        <v>23.8</v>
      </c>
      <c r="H43" s="9">
        <v>3.1</v>
      </c>
      <c r="I43" s="9">
        <v>4.99</v>
      </c>
      <c r="J43" s="7" t="s">
        <v>49</v>
      </c>
    </row>
    <row r="44" spans="1:19" x14ac:dyDescent="0.2">
      <c r="A44" s="9">
        <v>0</v>
      </c>
      <c r="B44" s="9">
        <v>52</v>
      </c>
      <c r="C44" s="9">
        <v>2</v>
      </c>
      <c r="D44" s="9">
        <v>12</v>
      </c>
      <c r="E44" s="9">
        <v>16</v>
      </c>
      <c r="F44" s="9">
        <v>76</v>
      </c>
      <c r="G44" s="9">
        <v>7.7</v>
      </c>
      <c r="H44" s="9">
        <v>0.99</v>
      </c>
      <c r="I44" s="9">
        <v>4.8600000000000003</v>
      </c>
      <c r="J44" s="7" t="s">
        <v>49</v>
      </c>
    </row>
    <row r="45" spans="1:19" x14ac:dyDescent="0.2">
      <c r="A45" s="9">
        <v>0</v>
      </c>
      <c r="B45" s="9">
        <v>27</v>
      </c>
      <c r="C45" s="9">
        <v>1</v>
      </c>
      <c r="D45" s="9">
        <v>11</v>
      </c>
      <c r="E45" s="9">
        <v>8</v>
      </c>
      <c r="F45" s="9">
        <v>56</v>
      </c>
      <c r="G45" s="9">
        <v>16.899999999999999</v>
      </c>
      <c r="H45" s="9">
        <v>4.6399999999999997</v>
      </c>
      <c r="I45" s="9">
        <v>4.83</v>
      </c>
      <c r="J45" s="7" t="s">
        <v>49</v>
      </c>
      <c r="M45" s="2"/>
      <c r="N45" s="1"/>
      <c r="O45" s="1"/>
      <c r="P45" s="1"/>
      <c r="Q45" s="1"/>
      <c r="R45" s="1"/>
    </row>
    <row r="46" spans="1:19" x14ac:dyDescent="0.2">
      <c r="A46" s="9">
        <v>0</v>
      </c>
      <c r="B46" s="9">
        <v>36</v>
      </c>
      <c r="C46" s="9">
        <v>3</v>
      </c>
      <c r="D46" s="9">
        <v>13</v>
      </c>
      <c r="E46" s="9">
        <v>3</v>
      </c>
      <c r="F46" s="9">
        <v>39</v>
      </c>
      <c r="G46" s="9">
        <v>19.2</v>
      </c>
      <c r="H46" s="9">
        <v>2.8</v>
      </c>
      <c r="I46" s="9">
        <v>4.6900000000000004</v>
      </c>
      <c r="J46" s="7" t="s">
        <v>49</v>
      </c>
      <c r="M46" s="2"/>
      <c r="N46" s="23"/>
      <c r="O46" s="23"/>
      <c r="P46" s="23"/>
      <c r="Q46" s="23"/>
      <c r="R46" s="23"/>
    </row>
    <row r="47" spans="1:19" x14ac:dyDescent="0.2">
      <c r="A47" s="9">
        <v>0</v>
      </c>
      <c r="B47" s="9">
        <v>43</v>
      </c>
      <c r="C47" s="9">
        <v>1</v>
      </c>
      <c r="D47" s="9">
        <v>25</v>
      </c>
      <c r="E47" s="9">
        <v>16</v>
      </c>
      <c r="F47" s="9">
        <v>0</v>
      </c>
      <c r="G47" s="9">
        <v>2.6</v>
      </c>
      <c r="H47" s="9">
        <v>1.64</v>
      </c>
      <c r="I47" s="9">
        <v>4.66</v>
      </c>
      <c r="J47" s="7" t="s">
        <v>49</v>
      </c>
      <c r="M47" s="2"/>
    </row>
    <row r="48" spans="1:19" x14ac:dyDescent="0.2">
      <c r="A48" s="9">
        <v>0</v>
      </c>
      <c r="B48" s="9">
        <v>41</v>
      </c>
      <c r="C48" s="9">
        <v>3</v>
      </c>
      <c r="D48" s="9">
        <v>16</v>
      </c>
      <c r="E48" s="9">
        <v>22</v>
      </c>
      <c r="F48" s="13">
        <v>117.54291069294821</v>
      </c>
      <c r="G48" s="9">
        <v>4.4000000000000004</v>
      </c>
      <c r="H48" s="9">
        <v>1.28</v>
      </c>
      <c r="I48" s="9">
        <v>4.66</v>
      </c>
      <c r="J48" s="7" t="s">
        <v>49</v>
      </c>
      <c r="M48" s="2"/>
    </row>
    <row r="49" spans="1:18" x14ac:dyDescent="0.2">
      <c r="A49" s="9">
        <v>1</v>
      </c>
      <c r="B49" s="9">
        <v>41</v>
      </c>
      <c r="C49" s="9">
        <v>3</v>
      </c>
      <c r="D49" s="9">
        <v>18</v>
      </c>
      <c r="E49" s="9">
        <v>6</v>
      </c>
      <c r="F49" s="9">
        <v>71</v>
      </c>
      <c r="G49" s="9">
        <v>15.7</v>
      </c>
      <c r="H49" s="13">
        <v>5.4954845947359976</v>
      </c>
      <c r="I49" s="9">
        <v>4.58</v>
      </c>
      <c r="J49" s="7" t="s">
        <v>49</v>
      </c>
      <c r="M49" s="2"/>
      <c r="N49" s="22"/>
      <c r="O49" s="22"/>
      <c r="P49" s="22"/>
      <c r="Q49" s="22"/>
      <c r="R49" s="22"/>
    </row>
    <row r="50" spans="1:18" x14ac:dyDescent="0.2">
      <c r="A50" s="9">
        <v>0</v>
      </c>
      <c r="B50" s="9">
        <v>43</v>
      </c>
      <c r="C50" s="9">
        <v>2</v>
      </c>
      <c r="D50" s="9">
        <v>6</v>
      </c>
      <c r="E50" s="9">
        <v>24</v>
      </c>
      <c r="F50" s="9">
        <v>54</v>
      </c>
      <c r="G50" s="9">
        <v>9.6</v>
      </c>
      <c r="H50" s="9">
        <v>0.62</v>
      </c>
      <c r="I50" s="9">
        <v>4.5599999999999996</v>
      </c>
      <c r="J50" s="7" t="s">
        <v>49</v>
      </c>
      <c r="M50" s="2"/>
      <c r="N50" s="24"/>
    </row>
    <row r="51" spans="1:18" x14ac:dyDescent="0.2">
      <c r="A51" s="9">
        <v>1</v>
      </c>
      <c r="B51" s="9">
        <v>38</v>
      </c>
      <c r="C51" s="9">
        <v>3</v>
      </c>
      <c r="D51" s="9">
        <v>12</v>
      </c>
      <c r="E51" s="9">
        <v>14</v>
      </c>
      <c r="F51" s="9">
        <v>63</v>
      </c>
      <c r="G51" s="9">
        <v>16</v>
      </c>
      <c r="H51" s="13">
        <v>5.4954845947359976</v>
      </c>
      <c r="I51" s="9">
        <v>4.3600000000000003</v>
      </c>
      <c r="J51" s="7" t="s">
        <v>49</v>
      </c>
      <c r="M51" s="2"/>
    </row>
    <row r="52" spans="1:18" x14ac:dyDescent="0.2">
      <c r="A52" s="9">
        <v>0</v>
      </c>
      <c r="B52" s="9">
        <v>43</v>
      </c>
      <c r="C52" s="9">
        <v>1</v>
      </c>
      <c r="D52" s="9">
        <v>23</v>
      </c>
      <c r="E52" s="9">
        <v>19</v>
      </c>
      <c r="F52" s="9">
        <v>72</v>
      </c>
      <c r="G52" s="9">
        <v>7.6</v>
      </c>
      <c r="H52" s="9">
        <v>1.18</v>
      </c>
      <c r="I52" s="9">
        <v>4.29</v>
      </c>
      <c r="J52" s="7" t="s">
        <v>49</v>
      </c>
      <c r="M52" s="2"/>
    </row>
    <row r="53" spans="1:18" x14ac:dyDescent="0.2">
      <c r="A53" s="9">
        <v>0</v>
      </c>
      <c r="B53" s="9">
        <v>56</v>
      </c>
      <c r="C53" s="9">
        <v>1</v>
      </c>
      <c r="D53" s="9">
        <v>11</v>
      </c>
      <c r="E53" s="9">
        <v>20</v>
      </c>
      <c r="F53" s="9">
        <v>59</v>
      </c>
      <c r="G53" s="9">
        <v>15</v>
      </c>
      <c r="H53" s="9">
        <v>4.67</v>
      </c>
      <c r="I53" s="9">
        <v>4.18</v>
      </c>
      <c r="J53" s="7" t="s">
        <v>49</v>
      </c>
    </row>
    <row r="54" spans="1:18" x14ac:dyDescent="0.2">
      <c r="A54" s="9">
        <v>1</v>
      </c>
      <c r="B54" s="9">
        <v>40</v>
      </c>
      <c r="C54" s="9">
        <v>2</v>
      </c>
      <c r="D54" s="9">
        <v>5</v>
      </c>
      <c r="E54" s="9">
        <v>12</v>
      </c>
      <c r="F54" s="9">
        <v>35</v>
      </c>
      <c r="G54" s="9">
        <v>16.399999999999999</v>
      </c>
      <c r="H54" s="9">
        <v>1.58</v>
      </c>
      <c r="I54" s="9">
        <v>4.16</v>
      </c>
      <c r="J54" s="7" t="s">
        <v>49</v>
      </c>
    </row>
    <row r="55" spans="1:18" x14ac:dyDescent="0.2">
      <c r="A55" s="9">
        <v>0</v>
      </c>
      <c r="B55" s="9">
        <v>30</v>
      </c>
      <c r="C55" s="9">
        <v>2</v>
      </c>
      <c r="D55" s="9">
        <v>12</v>
      </c>
      <c r="E55" s="9">
        <v>9</v>
      </c>
      <c r="F55" s="9">
        <v>98</v>
      </c>
      <c r="G55" s="9">
        <v>7.2</v>
      </c>
      <c r="H55" s="9">
        <v>2.94</v>
      </c>
      <c r="I55" s="9">
        <v>4.12</v>
      </c>
      <c r="J55" s="7" t="s">
        <v>49</v>
      </c>
      <c r="M55" s="2"/>
      <c r="N55" s="1"/>
      <c r="O55" s="1"/>
      <c r="P55" s="1"/>
      <c r="Q55" s="1"/>
    </row>
    <row r="56" spans="1:18" x14ac:dyDescent="0.2">
      <c r="A56" s="9">
        <v>0</v>
      </c>
      <c r="B56" s="9">
        <v>37</v>
      </c>
      <c r="C56" s="9">
        <v>2</v>
      </c>
      <c r="D56" s="9">
        <v>6</v>
      </c>
      <c r="E56" s="9">
        <v>13</v>
      </c>
      <c r="F56" s="9">
        <v>62</v>
      </c>
      <c r="G56" s="9">
        <v>8.5</v>
      </c>
      <c r="H56" s="9">
        <v>1.19</v>
      </c>
      <c r="I56" s="9">
        <v>4.08</v>
      </c>
      <c r="J56" s="7" t="s">
        <v>49</v>
      </c>
      <c r="M56" s="2"/>
      <c r="N56" s="23"/>
      <c r="O56" s="23"/>
      <c r="P56" s="23"/>
      <c r="Q56" s="23"/>
    </row>
    <row r="57" spans="1:18" x14ac:dyDescent="0.2">
      <c r="A57" s="9">
        <v>1</v>
      </c>
      <c r="B57" s="9">
        <v>31</v>
      </c>
      <c r="C57" s="9">
        <v>2</v>
      </c>
      <c r="D57" s="9">
        <v>6</v>
      </c>
      <c r="E57" s="9">
        <v>6</v>
      </c>
      <c r="F57" s="9">
        <v>32</v>
      </c>
      <c r="G57" s="9">
        <v>23.1</v>
      </c>
      <c r="H57" s="9">
        <v>3.34</v>
      </c>
      <c r="I57" s="9">
        <v>4.05</v>
      </c>
      <c r="J57" s="7" t="s">
        <v>49</v>
      </c>
      <c r="M57" s="2"/>
    </row>
    <row r="58" spans="1:18" x14ac:dyDescent="0.2">
      <c r="A58" s="9">
        <v>0</v>
      </c>
      <c r="B58" s="9">
        <v>48</v>
      </c>
      <c r="C58" s="9">
        <v>1</v>
      </c>
      <c r="D58" s="9">
        <v>0</v>
      </c>
      <c r="E58" s="9">
        <v>23</v>
      </c>
      <c r="F58" s="9">
        <v>30</v>
      </c>
      <c r="G58" s="9">
        <v>22.3</v>
      </c>
      <c r="H58" s="9">
        <v>2.66</v>
      </c>
      <c r="I58" s="9">
        <v>4.03</v>
      </c>
      <c r="J58" s="7" t="s">
        <v>49</v>
      </c>
      <c r="M58" s="2"/>
    </row>
    <row r="59" spans="1:18" x14ac:dyDescent="0.2">
      <c r="A59" s="9">
        <v>0</v>
      </c>
      <c r="B59" s="9">
        <v>34</v>
      </c>
      <c r="C59" s="9">
        <v>3</v>
      </c>
      <c r="D59" s="9">
        <v>2</v>
      </c>
      <c r="E59" s="9">
        <v>14</v>
      </c>
      <c r="F59" s="9">
        <v>39</v>
      </c>
      <c r="G59" s="9">
        <v>13.2</v>
      </c>
      <c r="H59" s="9">
        <v>1.1399999999999999</v>
      </c>
      <c r="I59" s="9">
        <v>4.01</v>
      </c>
      <c r="J59" s="7" t="s">
        <v>49</v>
      </c>
      <c r="M59" s="2"/>
      <c r="N59" s="22"/>
      <c r="O59" s="22"/>
      <c r="P59" s="22"/>
      <c r="Q59" s="22"/>
    </row>
    <row r="60" spans="1:18" x14ac:dyDescent="0.2">
      <c r="A60" s="9">
        <v>0</v>
      </c>
      <c r="B60" s="9">
        <v>27</v>
      </c>
      <c r="C60" s="9">
        <v>1</v>
      </c>
      <c r="D60" s="9">
        <v>10</v>
      </c>
      <c r="E60" s="9">
        <v>6</v>
      </c>
      <c r="F60" s="9">
        <v>31</v>
      </c>
      <c r="G60" s="9">
        <v>17.3</v>
      </c>
      <c r="H60" s="9">
        <v>1.36</v>
      </c>
      <c r="I60" s="9">
        <v>4</v>
      </c>
      <c r="J60" s="7" t="s">
        <v>49</v>
      </c>
      <c r="M60" s="2"/>
      <c r="N60" s="24"/>
    </row>
    <row r="61" spans="1:18" x14ac:dyDescent="0.2">
      <c r="A61" s="9">
        <v>0</v>
      </c>
      <c r="B61" s="9">
        <v>35</v>
      </c>
      <c r="C61" s="9">
        <v>1</v>
      </c>
      <c r="D61" s="9">
        <v>5</v>
      </c>
      <c r="E61" s="9">
        <v>5</v>
      </c>
      <c r="F61" s="9">
        <v>32</v>
      </c>
      <c r="G61" s="9">
        <v>13</v>
      </c>
      <c r="H61" s="9">
        <v>0.17</v>
      </c>
      <c r="I61" s="9">
        <v>3.99</v>
      </c>
      <c r="J61" s="7" t="s">
        <v>49</v>
      </c>
      <c r="M61" s="2"/>
    </row>
    <row r="62" spans="1:18" x14ac:dyDescent="0.2">
      <c r="A62" s="9">
        <v>0</v>
      </c>
      <c r="B62" s="9">
        <v>36</v>
      </c>
      <c r="C62" s="9">
        <v>2</v>
      </c>
      <c r="D62" s="9">
        <v>7</v>
      </c>
      <c r="E62" s="9">
        <v>16</v>
      </c>
      <c r="F62" s="9">
        <v>43</v>
      </c>
      <c r="G62" s="9">
        <v>15.4</v>
      </c>
      <c r="H62" s="9">
        <v>2.65</v>
      </c>
      <c r="I62" s="9">
        <v>3.97</v>
      </c>
      <c r="J62" s="7" t="s">
        <v>49</v>
      </c>
      <c r="M62" s="2"/>
    </row>
    <row r="63" spans="1:18" x14ac:dyDescent="0.2">
      <c r="A63" s="9">
        <v>0</v>
      </c>
      <c r="B63" s="9">
        <v>42</v>
      </c>
      <c r="C63" s="9">
        <v>3</v>
      </c>
      <c r="D63" s="9">
        <v>0</v>
      </c>
      <c r="E63" s="9">
        <v>9</v>
      </c>
      <c r="F63" s="9">
        <v>64</v>
      </c>
      <c r="G63" s="9">
        <v>6.6</v>
      </c>
      <c r="H63" s="9">
        <v>0.28000000000000003</v>
      </c>
      <c r="I63" s="9">
        <v>3.95</v>
      </c>
      <c r="J63" s="7" t="s">
        <v>49</v>
      </c>
    </row>
    <row r="64" spans="1:18" x14ac:dyDescent="0.2">
      <c r="A64" s="9">
        <v>0</v>
      </c>
      <c r="B64" s="9">
        <v>45</v>
      </c>
      <c r="C64" s="9">
        <v>2</v>
      </c>
      <c r="D64" s="9">
        <v>9</v>
      </c>
      <c r="E64" s="9">
        <v>26</v>
      </c>
      <c r="F64" s="9">
        <v>69</v>
      </c>
      <c r="G64" s="9">
        <v>6.7</v>
      </c>
      <c r="H64" s="9">
        <v>0.71</v>
      </c>
      <c r="I64" s="9">
        <v>3.92</v>
      </c>
      <c r="J64" s="7" t="s">
        <v>49</v>
      </c>
      <c r="M64" s="97"/>
      <c r="N64" s="100"/>
      <c r="O64" s="100"/>
      <c r="P64" s="100"/>
      <c r="Q64" s="100"/>
    </row>
    <row r="65" spans="1:17" x14ac:dyDescent="0.2">
      <c r="A65" s="9">
        <v>0</v>
      </c>
      <c r="B65" s="9">
        <v>34</v>
      </c>
      <c r="C65" s="9">
        <v>1</v>
      </c>
      <c r="D65" s="9">
        <v>16</v>
      </c>
      <c r="E65" s="9">
        <v>3</v>
      </c>
      <c r="F65" s="9">
        <v>75</v>
      </c>
      <c r="G65" s="9">
        <v>10.4</v>
      </c>
      <c r="H65" s="9">
        <v>3.95</v>
      </c>
      <c r="I65" s="9">
        <v>3.85</v>
      </c>
      <c r="J65" s="7" t="s">
        <v>49</v>
      </c>
      <c r="M65" s="100"/>
      <c r="N65" s="100"/>
      <c r="O65" s="100"/>
      <c r="P65" s="100"/>
      <c r="Q65" s="100"/>
    </row>
    <row r="66" spans="1:17" x14ac:dyDescent="0.2">
      <c r="A66" s="9">
        <v>1</v>
      </c>
      <c r="B66" s="9">
        <v>29</v>
      </c>
      <c r="C66" s="9">
        <v>2</v>
      </c>
      <c r="D66" s="9">
        <v>1</v>
      </c>
      <c r="E66" s="9">
        <v>7</v>
      </c>
      <c r="F66" s="9">
        <v>29</v>
      </c>
      <c r="G66" s="9">
        <v>21.2</v>
      </c>
      <c r="H66" s="9">
        <v>2.33</v>
      </c>
      <c r="I66" s="9">
        <v>3.82</v>
      </c>
      <c r="J66" s="7" t="s">
        <v>49</v>
      </c>
    </row>
    <row r="67" spans="1:17" x14ac:dyDescent="0.2">
      <c r="A67" s="9">
        <v>1</v>
      </c>
      <c r="B67" s="9">
        <v>36</v>
      </c>
      <c r="C67" s="9">
        <v>2</v>
      </c>
      <c r="D67" s="9">
        <v>13</v>
      </c>
      <c r="E67" s="9">
        <v>6</v>
      </c>
      <c r="F67" s="9">
        <v>41</v>
      </c>
      <c r="G67" s="9">
        <v>16.399999999999999</v>
      </c>
      <c r="H67" s="9">
        <v>2.92</v>
      </c>
      <c r="I67" s="9">
        <v>3.81</v>
      </c>
      <c r="J67" s="7" t="s">
        <v>49</v>
      </c>
      <c r="M67" s="97"/>
      <c r="N67" s="97"/>
      <c r="O67" s="98"/>
      <c r="P67" s="98"/>
    </row>
    <row r="68" spans="1:17" x14ac:dyDescent="0.2">
      <c r="A68" s="9">
        <v>1</v>
      </c>
      <c r="B68" s="9">
        <v>38</v>
      </c>
      <c r="C68" s="9">
        <v>2</v>
      </c>
      <c r="D68" s="9">
        <v>2</v>
      </c>
      <c r="E68" s="9">
        <v>16</v>
      </c>
      <c r="F68" s="9">
        <v>22</v>
      </c>
      <c r="G68" s="9">
        <v>22.7</v>
      </c>
      <c r="H68" s="9">
        <v>1.21</v>
      </c>
      <c r="I68" s="9">
        <v>3.79</v>
      </c>
      <c r="J68" s="7" t="s">
        <v>49</v>
      </c>
      <c r="M68" s="97"/>
      <c r="N68" s="97"/>
      <c r="O68" s="1"/>
      <c r="P68" s="1"/>
    </row>
    <row r="69" spans="1:17" x14ac:dyDescent="0.2">
      <c r="A69" s="9">
        <v>0</v>
      </c>
      <c r="B69" s="9">
        <v>52</v>
      </c>
      <c r="C69" s="9">
        <v>1</v>
      </c>
      <c r="D69" s="9">
        <v>16</v>
      </c>
      <c r="E69" s="9">
        <v>25</v>
      </c>
      <c r="F69" s="9">
        <v>64</v>
      </c>
      <c r="G69" s="9">
        <v>8.6</v>
      </c>
      <c r="H69" s="9">
        <v>1.87</v>
      </c>
      <c r="I69" s="9">
        <v>3.64</v>
      </c>
      <c r="J69" s="7" t="s">
        <v>49</v>
      </c>
      <c r="M69" s="97"/>
      <c r="N69" s="1"/>
      <c r="O69" s="1"/>
      <c r="P69" s="1"/>
    </row>
    <row r="70" spans="1:17" x14ac:dyDescent="0.2">
      <c r="A70" s="9">
        <v>0</v>
      </c>
      <c r="B70" s="9">
        <v>34</v>
      </c>
      <c r="C70" s="9">
        <v>1</v>
      </c>
      <c r="D70" s="9">
        <v>14</v>
      </c>
      <c r="E70" s="9">
        <v>8</v>
      </c>
      <c r="F70" s="9">
        <v>28</v>
      </c>
      <c r="G70" s="9">
        <v>17</v>
      </c>
      <c r="H70" s="9">
        <v>1.1399999999999999</v>
      </c>
      <c r="I70" s="9">
        <v>3.62</v>
      </c>
      <c r="J70" s="7" t="s">
        <v>49</v>
      </c>
      <c r="M70" s="97"/>
      <c r="N70" s="1"/>
      <c r="O70" s="1"/>
      <c r="P70" s="1"/>
    </row>
    <row r="71" spans="1:17" x14ac:dyDescent="0.2">
      <c r="A71" s="9">
        <v>1</v>
      </c>
      <c r="B71" s="9">
        <v>28</v>
      </c>
      <c r="C71" s="9">
        <v>1</v>
      </c>
      <c r="D71" s="9">
        <v>4</v>
      </c>
      <c r="E71" s="9">
        <v>2</v>
      </c>
      <c r="F71" s="9">
        <v>28</v>
      </c>
      <c r="G71" s="9">
        <v>14.2</v>
      </c>
      <c r="H71" s="9">
        <v>0.44</v>
      </c>
      <c r="I71" s="9">
        <v>3.54</v>
      </c>
      <c r="J71" s="7" t="s">
        <v>49</v>
      </c>
      <c r="M71" s="99"/>
      <c r="N71" s="99"/>
      <c r="O71" s="99"/>
      <c r="P71" s="99"/>
    </row>
    <row r="72" spans="1:17" x14ac:dyDescent="0.2">
      <c r="A72" s="9">
        <v>0</v>
      </c>
      <c r="B72" s="9">
        <v>34</v>
      </c>
      <c r="C72" s="9">
        <v>2</v>
      </c>
      <c r="D72" s="9">
        <v>3</v>
      </c>
      <c r="E72" s="9">
        <v>8</v>
      </c>
      <c r="F72" s="9">
        <v>21</v>
      </c>
      <c r="G72" s="9">
        <v>23.1</v>
      </c>
      <c r="H72" s="9">
        <v>1.4</v>
      </c>
      <c r="I72" s="9">
        <v>3.45</v>
      </c>
      <c r="J72" s="7" t="s">
        <v>49</v>
      </c>
      <c r="M72" s="2"/>
      <c r="N72" s="26"/>
      <c r="O72" s="99"/>
      <c r="P72" s="99"/>
    </row>
    <row r="73" spans="1:17" x14ac:dyDescent="0.2">
      <c r="A73" s="9">
        <v>0</v>
      </c>
      <c r="B73" s="9">
        <v>48</v>
      </c>
      <c r="C73" s="9">
        <v>4</v>
      </c>
      <c r="D73" s="9">
        <v>3</v>
      </c>
      <c r="E73" s="9">
        <v>23</v>
      </c>
      <c r="F73" s="9">
        <v>45</v>
      </c>
      <c r="G73" s="9">
        <v>9.8000000000000007</v>
      </c>
      <c r="H73" s="9">
        <v>0.97</v>
      </c>
      <c r="I73" s="9">
        <v>3.44</v>
      </c>
      <c r="J73" s="7" t="s">
        <v>49</v>
      </c>
      <c r="M73" s="2"/>
      <c r="N73" s="26"/>
      <c r="O73" s="99"/>
      <c r="P73" s="99"/>
    </row>
    <row r="74" spans="1:17" x14ac:dyDescent="0.2">
      <c r="A74" s="9">
        <v>1</v>
      </c>
      <c r="B74" s="9">
        <v>36</v>
      </c>
      <c r="C74" s="9">
        <v>2</v>
      </c>
      <c r="D74" s="9">
        <v>9</v>
      </c>
      <c r="E74" s="9">
        <v>6</v>
      </c>
      <c r="F74" s="9">
        <v>49</v>
      </c>
      <c r="G74" s="9">
        <v>8.6</v>
      </c>
      <c r="H74" s="9">
        <v>0.82</v>
      </c>
      <c r="I74" s="9">
        <v>3.4</v>
      </c>
      <c r="J74" s="7" t="s">
        <v>49</v>
      </c>
      <c r="M74" s="2"/>
      <c r="N74" s="26"/>
      <c r="O74" s="99"/>
      <c r="P74" s="99"/>
    </row>
    <row r="75" spans="1:17" x14ac:dyDescent="0.2">
      <c r="A75" s="9">
        <v>0</v>
      </c>
      <c r="B75" s="9">
        <v>51</v>
      </c>
      <c r="C75" s="9">
        <v>2</v>
      </c>
      <c r="D75" s="9">
        <v>19</v>
      </c>
      <c r="E75" s="9">
        <v>25</v>
      </c>
      <c r="F75" s="9">
        <v>0</v>
      </c>
      <c r="G75" s="9">
        <v>2.8</v>
      </c>
      <c r="H75" s="9">
        <v>1.07</v>
      </c>
      <c r="I75" s="9">
        <v>3.38</v>
      </c>
      <c r="J75" s="7" t="s">
        <v>49</v>
      </c>
    </row>
    <row r="76" spans="1:17" x14ac:dyDescent="0.2">
      <c r="A76" s="9">
        <v>0</v>
      </c>
      <c r="B76" s="9">
        <v>38</v>
      </c>
      <c r="C76" s="9">
        <v>1</v>
      </c>
      <c r="D76" s="9">
        <v>6</v>
      </c>
      <c r="E76" s="9">
        <v>0</v>
      </c>
      <c r="F76" s="9">
        <v>41</v>
      </c>
      <c r="G76" s="9">
        <v>8.9</v>
      </c>
      <c r="H76" s="9">
        <v>0.27</v>
      </c>
      <c r="I76" s="9">
        <v>3.38</v>
      </c>
      <c r="J76" s="7" t="s">
        <v>49</v>
      </c>
    </row>
    <row r="77" spans="1:17" x14ac:dyDescent="0.2">
      <c r="A77" s="9">
        <v>1</v>
      </c>
      <c r="B77" s="9">
        <v>39</v>
      </c>
      <c r="C77" s="9">
        <v>2</v>
      </c>
      <c r="D77" s="9">
        <v>2</v>
      </c>
      <c r="E77" s="9">
        <v>12</v>
      </c>
      <c r="F77" s="9">
        <v>46</v>
      </c>
      <c r="G77" s="9">
        <v>16</v>
      </c>
      <c r="H77" s="9">
        <v>4</v>
      </c>
      <c r="I77" s="9">
        <v>3.36</v>
      </c>
      <c r="J77" s="7" t="s">
        <v>49</v>
      </c>
      <c r="M77" s="97"/>
      <c r="N77" s="97"/>
      <c r="O77" s="98"/>
      <c r="P77" s="98"/>
    </row>
    <row r="78" spans="1:17" x14ac:dyDescent="0.2">
      <c r="A78" s="9">
        <v>0</v>
      </c>
      <c r="B78" s="9">
        <v>30</v>
      </c>
      <c r="C78" s="9">
        <v>2</v>
      </c>
      <c r="D78" s="9">
        <v>4</v>
      </c>
      <c r="E78" s="9">
        <v>4</v>
      </c>
      <c r="F78" s="9">
        <v>21</v>
      </c>
      <c r="G78" s="9">
        <v>18.3</v>
      </c>
      <c r="H78" s="9">
        <v>0.49</v>
      </c>
      <c r="I78" s="9">
        <v>3.35</v>
      </c>
      <c r="J78" s="7" t="s">
        <v>49</v>
      </c>
      <c r="M78" s="97"/>
      <c r="N78" s="97"/>
      <c r="O78" s="1"/>
      <c r="P78" s="1"/>
    </row>
    <row r="79" spans="1:17" x14ac:dyDescent="0.2">
      <c r="A79" s="9">
        <v>0</v>
      </c>
      <c r="B79" s="9">
        <v>30</v>
      </c>
      <c r="C79" s="9">
        <v>2</v>
      </c>
      <c r="D79" s="9">
        <v>8</v>
      </c>
      <c r="E79" s="9">
        <v>4</v>
      </c>
      <c r="F79" s="9">
        <v>56</v>
      </c>
      <c r="G79" s="9">
        <v>6.4</v>
      </c>
      <c r="H79" s="9">
        <v>0.33</v>
      </c>
      <c r="I79" s="9">
        <v>3.25</v>
      </c>
      <c r="J79" s="7" t="s">
        <v>49</v>
      </c>
      <c r="M79" s="97"/>
      <c r="N79" s="1"/>
      <c r="O79" s="1"/>
      <c r="P79" s="1"/>
    </row>
    <row r="80" spans="1:17" x14ac:dyDescent="0.2">
      <c r="A80" s="9">
        <v>1</v>
      </c>
      <c r="B80" s="9">
        <v>39</v>
      </c>
      <c r="C80" s="9">
        <v>1</v>
      </c>
      <c r="D80" s="9">
        <v>2</v>
      </c>
      <c r="E80" s="9">
        <v>15</v>
      </c>
      <c r="F80" s="9">
        <v>22</v>
      </c>
      <c r="G80" s="9">
        <v>23.1</v>
      </c>
      <c r="H80" s="9">
        <v>1.92</v>
      </c>
      <c r="I80" s="9">
        <v>3.17</v>
      </c>
      <c r="J80" s="7" t="s">
        <v>49</v>
      </c>
      <c r="M80" s="97"/>
      <c r="N80" s="1"/>
      <c r="O80" s="1"/>
      <c r="P80" s="1"/>
    </row>
    <row r="81" spans="1:16" x14ac:dyDescent="0.2">
      <c r="A81" s="9">
        <v>0</v>
      </c>
      <c r="B81" s="9">
        <v>34</v>
      </c>
      <c r="C81" s="9">
        <v>6</v>
      </c>
      <c r="D81" s="9">
        <v>18</v>
      </c>
      <c r="E81" s="9">
        <v>10</v>
      </c>
      <c r="F81" s="9">
        <v>34</v>
      </c>
      <c r="G81" s="9">
        <v>15.4</v>
      </c>
      <c r="H81" s="9">
        <v>2.1</v>
      </c>
      <c r="I81" s="9">
        <v>3.14</v>
      </c>
      <c r="J81" s="7" t="s">
        <v>49</v>
      </c>
      <c r="M81" s="99"/>
      <c r="N81" s="99"/>
      <c r="O81" s="99"/>
      <c r="P81" s="99"/>
    </row>
    <row r="82" spans="1:16" x14ac:dyDescent="0.2">
      <c r="A82" s="9">
        <v>0</v>
      </c>
      <c r="B82" s="9">
        <v>43</v>
      </c>
      <c r="C82" s="9">
        <v>2</v>
      </c>
      <c r="D82" s="9">
        <v>16</v>
      </c>
      <c r="E82" s="9">
        <v>10</v>
      </c>
      <c r="F82" s="9">
        <v>83</v>
      </c>
      <c r="G82" s="9">
        <v>4.0999999999999996</v>
      </c>
      <c r="H82" s="9">
        <v>0.26</v>
      </c>
      <c r="I82" s="9">
        <v>3.14</v>
      </c>
      <c r="J82" s="7" t="s">
        <v>49</v>
      </c>
      <c r="M82" s="2"/>
      <c r="N82" s="26"/>
      <c r="O82" s="99"/>
      <c r="P82" s="99"/>
    </row>
    <row r="83" spans="1:16" x14ac:dyDescent="0.2">
      <c r="A83" s="9">
        <v>1</v>
      </c>
      <c r="B83" s="9">
        <v>24</v>
      </c>
      <c r="C83" s="9">
        <v>2</v>
      </c>
      <c r="D83" s="9">
        <v>2</v>
      </c>
      <c r="E83" s="9">
        <v>0</v>
      </c>
      <c r="F83" s="9">
        <v>28</v>
      </c>
      <c r="G83" s="9">
        <v>17.3</v>
      </c>
      <c r="H83" s="9">
        <v>1.79</v>
      </c>
      <c r="I83" s="9">
        <v>3.06</v>
      </c>
      <c r="J83" s="7" t="s">
        <v>49</v>
      </c>
      <c r="M83" s="2"/>
      <c r="N83" s="26"/>
      <c r="O83" s="99"/>
      <c r="P83" s="99"/>
    </row>
    <row r="84" spans="1:16" x14ac:dyDescent="0.2">
      <c r="A84" s="9">
        <v>0</v>
      </c>
      <c r="B84" s="9">
        <v>27</v>
      </c>
      <c r="C84" s="9">
        <v>3</v>
      </c>
      <c r="D84" s="9">
        <v>3</v>
      </c>
      <c r="E84" s="9">
        <v>4</v>
      </c>
      <c r="F84" s="9">
        <v>35</v>
      </c>
      <c r="G84" s="9">
        <v>13.3</v>
      </c>
      <c r="H84" s="9">
        <v>0.97</v>
      </c>
      <c r="I84" s="9">
        <v>3.05</v>
      </c>
      <c r="J84" s="7" t="s">
        <v>49</v>
      </c>
      <c r="M84" s="2"/>
      <c r="N84" s="26"/>
      <c r="O84" s="99"/>
      <c r="P84" s="99"/>
    </row>
    <row r="85" spans="1:16" x14ac:dyDescent="0.2">
      <c r="A85" s="9">
        <v>0</v>
      </c>
      <c r="B85" s="9">
        <v>34</v>
      </c>
      <c r="C85" s="9">
        <v>1</v>
      </c>
      <c r="D85" s="9">
        <v>13</v>
      </c>
      <c r="E85" s="9">
        <v>11</v>
      </c>
      <c r="F85" s="9">
        <v>51</v>
      </c>
      <c r="G85" s="9">
        <v>9.6</v>
      </c>
      <c r="H85" s="9">
        <v>1.88</v>
      </c>
      <c r="I85" s="9">
        <v>3.02</v>
      </c>
      <c r="J85" s="7" t="s">
        <v>49</v>
      </c>
    </row>
    <row r="86" spans="1:16" x14ac:dyDescent="0.2">
      <c r="A86" s="9">
        <v>0</v>
      </c>
      <c r="B86" s="9">
        <v>47</v>
      </c>
      <c r="C86" s="9">
        <v>1</v>
      </c>
      <c r="D86" s="9">
        <v>22</v>
      </c>
      <c r="E86" s="9">
        <v>19</v>
      </c>
      <c r="F86" s="9">
        <v>81</v>
      </c>
      <c r="G86" s="9">
        <v>5.5</v>
      </c>
      <c r="H86" s="9">
        <v>1.51</v>
      </c>
      <c r="I86" s="9">
        <v>2.95</v>
      </c>
      <c r="J86" s="7" t="s">
        <v>49</v>
      </c>
    </row>
    <row r="87" spans="1:16" x14ac:dyDescent="0.2">
      <c r="A87" s="9">
        <v>1</v>
      </c>
      <c r="B87" s="9">
        <v>29</v>
      </c>
      <c r="C87" s="9">
        <v>1</v>
      </c>
      <c r="D87" s="9">
        <v>7</v>
      </c>
      <c r="E87" s="9">
        <v>5</v>
      </c>
      <c r="F87" s="9">
        <v>20</v>
      </c>
      <c r="G87" s="9">
        <v>19.8</v>
      </c>
      <c r="H87" s="9">
        <v>1.01</v>
      </c>
      <c r="I87" s="9">
        <v>2.95</v>
      </c>
      <c r="J87" s="7" t="s">
        <v>49</v>
      </c>
    </row>
    <row r="88" spans="1:16" x14ac:dyDescent="0.2">
      <c r="A88" s="9">
        <v>0</v>
      </c>
      <c r="B88" s="9">
        <v>34</v>
      </c>
      <c r="C88" s="9">
        <v>1</v>
      </c>
      <c r="D88" s="9">
        <v>17</v>
      </c>
      <c r="E88" s="9">
        <v>3</v>
      </c>
      <c r="F88" s="9">
        <v>59</v>
      </c>
      <c r="G88" s="9">
        <v>8</v>
      </c>
      <c r="H88" s="9">
        <v>1.81</v>
      </c>
      <c r="I88" s="9">
        <v>2.91</v>
      </c>
      <c r="J88" s="7" t="s">
        <v>49</v>
      </c>
    </row>
    <row r="89" spans="1:16" x14ac:dyDescent="0.2">
      <c r="A89" s="9">
        <v>0</v>
      </c>
      <c r="B89" s="9">
        <v>39</v>
      </c>
      <c r="C89" s="9">
        <v>1</v>
      </c>
      <c r="D89" s="9">
        <v>6</v>
      </c>
      <c r="E89" s="9">
        <v>9</v>
      </c>
      <c r="F89" s="9">
        <v>61</v>
      </c>
      <c r="G89" s="9">
        <v>5.7</v>
      </c>
      <c r="H89" s="9">
        <v>0.56000000000000005</v>
      </c>
      <c r="I89" s="9">
        <v>2.91</v>
      </c>
      <c r="J89" s="7" t="s">
        <v>49</v>
      </c>
    </row>
    <row r="90" spans="1:16" x14ac:dyDescent="0.2">
      <c r="A90" s="9">
        <v>0</v>
      </c>
      <c r="B90" s="9">
        <v>35</v>
      </c>
      <c r="C90" s="9">
        <v>1</v>
      </c>
      <c r="D90" s="9">
        <v>18</v>
      </c>
      <c r="E90" s="9">
        <v>2</v>
      </c>
      <c r="F90" s="9">
        <v>42</v>
      </c>
      <c r="G90" s="9">
        <v>7.4</v>
      </c>
      <c r="H90" s="9">
        <v>0.21</v>
      </c>
      <c r="I90" s="9">
        <v>2.9</v>
      </c>
      <c r="J90" s="7" t="s">
        <v>49</v>
      </c>
    </row>
    <row r="91" spans="1:16" x14ac:dyDescent="0.2">
      <c r="A91" s="9">
        <v>0</v>
      </c>
      <c r="B91" s="9">
        <v>34</v>
      </c>
      <c r="C91" s="9">
        <v>3</v>
      </c>
      <c r="D91" s="9">
        <v>7</v>
      </c>
      <c r="E91" s="9">
        <v>1</v>
      </c>
      <c r="F91" s="9">
        <v>63</v>
      </c>
      <c r="G91" s="9">
        <v>5.5</v>
      </c>
      <c r="H91" s="9">
        <v>0.56999999999999995</v>
      </c>
      <c r="I91" s="9">
        <v>2.89</v>
      </c>
      <c r="J91" s="7" t="s">
        <v>49</v>
      </c>
    </row>
    <row r="92" spans="1:16" x14ac:dyDescent="0.2">
      <c r="A92" s="9">
        <v>1</v>
      </c>
      <c r="B92" s="9">
        <v>25</v>
      </c>
      <c r="C92" s="9">
        <v>1</v>
      </c>
      <c r="D92" s="9">
        <v>0</v>
      </c>
      <c r="E92" s="9">
        <v>2</v>
      </c>
      <c r="F92" s="9">
        <v>18</v>
      </c>
      <c r="G92" s="9">
        <v>18.899999999999999</v>
      </c>
      <c r="H92" s="9">
        <v>0.51</v>
      </c>
      <c r="I92" s="9">
        <v>2.89</v>
      </c>
      <c r="J92" s="7" t="s">
        <v>49</v>
      </c>
    </row>
    <row r="93" spans="1:16" x14ac:dyDescent="0.2">
      <c r="A93" s="9">
        <v>0</v>
      </c>
      <c r="B93" s="9">
        <v>25</v>
      </c>
      <c r="C93" s="9">
        <v>1</v>
      </c>
      <c r="D93" s="9">
        <v>8</v>
      </c>
      <c r="E93" s="9">
        <v>4</v>
      </c>
      <c r="F93" s="9">
        <v>27</v>
      </c>
      <c r="G93" s="9">
        <v>14.4</v>
      </c>
      <c r="H93" s="9">
        <v>1.02</v>
      </c>
      <c r="I93" s="9">
        <v>2.87</v>
      </c>
      <c r="J93" s="7" t="s">
        <v>49</v>
      </c>
    </row>
    <row r="94" spans="1:16" x14ac:dyDescent="0.2">
      <c r="A94" s="9">
        <v>0</v>
      </c>
      <c r="B94" s="9">
        <v>28</v>
      </c>
      <c r="C94" s="9">
        <v>4</v>
      </c>
      <c r="D94" s="9">
        <v>1</v>
      </c>
      <c r="E94" s="9">
        <v>3</v>
      </c>
      <c r="F94" s="9">
        <v>26</v>
      </c>
      <c r="G94" s="9">
        <v>12.4</v>
      </c>
      <c r="H94" s="9">
        <v>0.38</v>
      </c>
      <c r="I94" s="9">
        <v>2.85</v>
      </c>
      <c r="J94" s="7" t="s">
        <v>49</v>
      </c>
    </row>
    <row r="95" spans="1:16" x14ac:dyDescent="0.2">
      <c r="A95" s="9">
        <v>1</v>
      </c>
      <c r="B95" s="9">
        <v>28</v>
      </c>
      <c r="C95" s="9">
        <v>2</v>
      </c>
      <c r="D95" s="9">
        <v>1</v>
      </c>
      <c r="E95" s="9">
        <v>8</v>
      </c>
      <c r="F95" s="9">
        <v>24</v>
      </c>
      <c r="G95" s="9">
        <v>17.100000000000001</v>
      </c>
      <c r="H95" s="9">
        <v>1.34</v>
      </c>
      <c r="I95" s="9">
        <v>2.77</v>
      </c>
      <c r="J95" s="7" t="s">
        <v>49</v>
      </c>
    </row>
    <row r="96" spans="1:16" x14ac:dyDescent="0.2">
      <c r="A96" s="9">
        <v>0</v>
      </c>
      <c r="B96" s="9">
        <v>27</v>
      </c>
      <c r="C96" s="9">
        <v>2</v>
      </c>
      <c r="D96" s="9">
        <v>3</v>
      </c>
      <c r="E96" s="9">
        <v>5</v>
      </c>
      <c r="F96" s="9">
        <v>33</v>
      </c>
      <c r="G96" s="9">
        <v>13.2</v>
      </c>
      <c r="H96" s="9">
        <v>1.63</v>
      </c>
      <c r="I96" s="9">
        <v>2.72</v>
      </c>
      <c r="J96" s="7" t="s">
        <v>49</v>
      </c>
    </row>
    <row r="97" spans="1:10" x14ac:dyDescent="0.2">
      <c r="A97" s="9">
        <v>0</v>
      </c>
      <c r="B97" s="9">
        <v>28</v>
      </c>
      <c r="C97" s="9">
        <v>1</v>
      </c>
      <c r="D97" s="9">
        <v>4</v>
      </c>
      <c r="E97" s="9">
        <v>1</v>
      </c>
      <c r="F97" s="9">
        <v>16</v>
      </c>
      <c r="G97" s="9">
        <v>23.8</v>
      </c>
      <c r="H97" s="9">
        <v>1.0900000000000001</v>
      </c>
      <c r="I97" s="9">
        <v>2.72</v>
      </c>
      <c r="J97" s="7" t="s">
        <v>49</v>
      </c>
    </row>
    <row r="98" spans="1:10" x14ac:dyDescent="0.2">
      <c r="A98" s="9">
        <v>0</v>
      </c>
      <c r="B98" s="9">
        <v>33</v>
      </c>
      <c r="C98" s="9">
        <v>2</v>
      </c>
      <c r="D98" s="9">
        <v>13</v>
      </c>
      <c r="E98" s="9">
        <v>2</v>
      </c>
      <c r="F98" s="9">
        <v>40</v>
      </c>
      <c r="G98" s="9">
        <v>7.2</v>
      </c>
      <c r="H98" s="9">
        <v>0.18</v>
      </c>
      <c r="I98" s="9">
        <v>2.7</v>
      </c>
      <c r="J98" s="7" t="s">
        <v>49</v>
      </c>
    </row>
    <row r="99" spans="1:10" x14ac:dyDescent="0.2">
      <c r="A99" s="9">
        <v>0</v>
      </c>
      <c r="B99" s="9">
        <v>29</v>
      </c>
      <c r="C99" s="9">
        <v>1</v>
      </c>
      <c r="D99" s="9">
        <v>6</v>
      </c>
      <c r="E99" s="9">
        <v>7</v>
      </c>
      <c r="F99" s="9">
        <v>21</v>
      </c>
      <c r="G99" s="9">
        <v>18.100000000000001</v>
      </c>
      <c r="H99" s="9">
        <v>1.1100000000000001</v>
      </c>
      <c r="I99" s="9">
        <v>2.69</v>
      </c>
      <c r="J99" s="7" t="s">
        <v>49</v>
      </c>
    </row>
    <row r="100" spans="1:10" x14ac:dyDescent="0.2">
      <c r="A100" s="9">
        <v>0</v>
      </c>
      <c r="B100" s="9">
        <v>32</v>
      </c>
      <c r="C100" s="9">
        <v>1</v>
      </c>
      <c r="D100" s="9">
        <v>14</v>
      </c>
      <c r="E100" s="9">
        <v>7</v>
      </c>
      <c r="F100" s="9">
        <v>73</v>
      </c>
      <c r="G100" s="9">
        <v>8.8000000000000007</v>
      </c>
      <c r="H100" s="9">
        <v>3.75</v>
      </c>
      <c r="I100" s="9">
        <v>2.67</v>
      </c>
      <c r="J100" s="7" t="s">
        <v>49</v>
      </c>
    </row>
    <row r="101" spans="1:10" x14ac:dyDescent="0.2">
      <c r="A101" s="9">
        <v>1</v>
      </c>
      <c r="B101" s="9">
        <v>33</v>
      </c>
      <c r="C101" s="9">
        <v>1</v>
      </c>
      <c r="D101" s="9">
        <v>9</v>
      </c>
      <c r="E101" s="9">
        <v>4</v>
      </c>
      <c r="F101" s="9">
        <v>29</v>
      </c>
      <c r="G101" s="9">
        <v>13.8</v>
      </c>
      <c r="H101" s="9">
        <v>1.35</v>
      </c>
      <c r="I101" s="9">
        <v>2.65</v>
      </c>
      <c r="J101" s="7" t="s">
        <v>49</v>
      </c>
    </row>
    <row r="102" spans="1:10" x14ac:dyDescent="0.2">
      <c r="A102" s="9">
        <v>1</v>
      </c>
      <c r="B102" s="9">
        <v>55</v>
      </c>
      <c r="C102" s="9">
        <v>1</v>
      </c>
      <c r="D102" s="9">
        <v>3</v>
      </c>
      <c r="E102" s="9">
        <v>11</v>
      </c>
      <c r="F102" s="9">
        <v>40</v>
      </c>
      <c r="G102" s="9">
        <v>8</v>
      </c>
      <c r="H102" s="9">
        <v>0.56000000000000005</v>
      </c>
      <c r="I102" s="9">
        <v>2.64</v>
      </c>
      <c r="J102" s="7" t="s">
        <v>49</v>
      </c>
    </row>
    <row r="103" spans="1:10" x14ac:dyDescent="0.2">
      <c r="A103" s="9">
        <v>1</v>
      </c>
      <c r="B103" s="9">
        <v>21</v>
      </c>
      <c r="C103" s="9">
        <v>2</v>
      </c>
      <c r="D103" s="9">
        <v>1</v>
      </c>
      <c r="E103" s="9">
        <v>2</v>
      </c>
      <c r="F103" s="9">
        <v>16</v>
      </c>
      <c r="G103" s="9">
        <v>18</v>
      </c>
      <c r="H103" s="9">
        <v>0.24</v>
      </c>
      <c r="I103" s="9">
        <v>2.64</v>
      </c>
      <c r="J103" s="7" t="s">
        <v>49</v>
      </c>
    </row>
    <row r="104" spans="1:10" x14ac:dyDescent="0.2">
      <c r="A104" s="9">
        <v>1</v>
      </c>
      <c r="B104" s="9">
        <v>54</v>
      </c>
      <c r="C104" s="9">
        <v>1</v>
      </c>
      <c r="D104" s="9">
        <v>9</v>
      </c>
      <c r="E104" s="9">
        <v>2</v>
      </c>
      <c r="F104" s="9">
        <v>28</v>
      </c>
      <c r="G104" s="9">
        <v>14.8</v>
      </c>
      <c r="H104" s="9">
        <v>1.56</v>
      </c>
      <c r="I104" s="9">
        <v>2.59</v>
      </c>
      <c r="J104" s="7" t="s">
        <v>49</v>
      </c>
    </row>
    <row r="105" spans="1:10" x14ac:dyDescent="0.2">
      <c r="A105" s="9">
        <v>1</v>
      </c>
      <c r="B105" s="9">
        <v>34</v>
      </c>
      <c r="C105" s="9">
        <v>1</v>
      </c>
      <c r="D105" s="9">
        <v>2</v>
      </c>
      <c r="E105" s="9">
        <v>11</v>
      </c>
      <c r="F105" s="9">
        <v>25</v>
      </c>
      <c r="G105" s="9">
        <v>12.6</v>
      </c>
      <c r="H105" s="9">
        <v>0.56999999999999995</v>
      </c>
      <c r="I105" s="9">
        <v>2.58</v>
      </c>
      <c r="J105" s="7" t="s">
        <v>49</v>
      </c>
    </row>
    <row r="106" spans="1:10" x14ac:dyDescent="0.2">
      <c r="A106" s="9">
        <v>0</v>
      </c>
      <c r="B106" s="9">
        <v>36</v>
      </c>
      <c r="C106" s="9">
        <v>6</v>
      </c>
      <c r="D106" s="9">
        <v>0</v>
      </c>
      <c r="E106" s="9">
        <v>17</v>
      </c>
      <c r="F106" s="9">
        <v>30</v>
      </c>
      <c r="G106" s="9">
        <v>9.6999999999999993</v>
      </c>
      <c r="H106" s="9">
        <v>0.33</v>
      </c>
      <c r="I106" s="9">
        <v>2.58</v>
      </c>
      <c r="J106" s="7" t="s">
        <v>49</v>
      </c>
    </row>
    <row r="107" spans="1:10" x14ac:dyDescent="0.2">
      <c r="A107" s="9">
        <v>0</v>
      </c>
      <c r="B107" s="9">
        <v>47</v>
      </c>
      <c r="C107" s="9">
        <v>1</v>
      </c>
      <c r="D107" s="9">
        <v>4</v>
      </c>
      <c r="E107" s="9">
        <v>2</v>
      </c>
      <c r="F107" s="9">
        <v>26</v>
      </c>
      <c r="G107" s="9">
        <v>10.4</v>
      </c>
      <c r="H107" s="9">
        <v>0.12</v>
      </c>
      <c r="I107" s="9">
        <v>2.58</v>
      </c>
      <c r="J107" s="7" t="s">
        <v>49</v>
      </c>
    </row>
    <row r="108" spans="1:10" x14ac:dyDescent="0.2">
      <c r="A108" s="9">
        <v>0</v>
      </c>
      <c r="B108" s="9">
        <v>42</v>
      </c>
      <c r="C108" s="9">
        <v>1</v>
      </c>
      <c r="D108" s="9">
        <v>6</v>
      </c>
      <c r="E108" s="9">
        <v>9</v>
      </c>
      <c r="F108" s="9">
        <v>31</v>
      </c>
      <c r="G108" s="9">
        <v>11.6</v>
      </c>
      <c r="H108" s="9">
        <v>1.02</v>
      </c>
      <c r="I108" s="9">
        <v>2.57</v>
      </c>
      <c r="J108" s="7" t="s">
        <v>49</v>
      </c>
    </row>
    <row r="109" spans="1:10" x14ac:dyDescent="0.2">
      <c r="A109" s="9">
        <v>0</v>
      </c>
      <c r="B109" s="9">
        <v>34</v>
      </c>
      <c r="C109" s="9">
        <v>1</v>
      </c>
      <c r="D109" s="9">
        <v>13</v>
      </c>
      <c r="E109" s="9">
        <v>8</v>
      </c>
      <c r="F109" s="9">
        <v>56</v>
      </c>
      <c r="G109" s="9">
        <v>6.1</v>
      </c>
      <c r="H109" s="9">
        <v>0.86</v>
      </c>
      <c r="I109" s="9">
        <v>2.5499999999999998</v>
      </c>
      <c r="J109" s="7" t="s">
        <v>49</v>
      </c>
    </row>
    <row r="110" spans="1:10" x14ac:dyDescent="0.2">
      <c r="A110" s="9">
        <v>1</v>
      </c>
      <c r="B110" s="9">
        <v>30</v>
      </c>
      <c r="C110" s="9">
        <v>1</v>
      </c>
      <c r="D110" s="9">
        <v>0</v>
      </c>
      <c r="E110" s="9">
        <v>8</v>
      </c>
      <c r="F110" s="9">
        <v>19</v>
      </c>
      <c r="G110" s="9">
        <v>16.600000000000001</v>
      </c>
      <c r="H110" s="9">
        <v>0.62</v>
      </c>
      <c r="I110" s="9">
        <v>2.5299999999999998</v>
      </c>
      <c r="J110" s="7" t="s">
        <v>49</v>
      </c>
    </row>
    <row r="111" spans="1:10" x14ac:dyDescent="0.2">
      <c r="A111" s="9">
        <v>0</v>
      </c>
      <c r="B111" s="9">
        <v>27</v>
      </c>
      <c r="C111" s="9">
        <v>3</v>
      </c>
      <c r="D111" s="9">
        <v>5</v>
      </c>
      <c r="E111" s="9">
        <v>1</v>
      </c>
      <c r="F111" s="9">
        <v>75</v>
      </c>
      <c r="G111" s="9">
        <v>6.3</v>
      </c>
      <c r="H111" s="9">
        <v>2.21</v>
      </c>
      <c r="I111" s="9">
        <v>2.52</v>
      </c>
      <c r="J111" s="7" t="s">
        <v>49</v>
      </c>
    </row>
    <row r="112" spans="1:10" x14ac:dyDescent="0.2">
      <c r="A112" s="9">
        <v>1</v>
      </c>
      <c r="B112" s="9">
        <v>43</v>
      </c>
      <c r="C112" s="9">
        <v>1</v>
      </c>
      <c r="D112" s="9">
        <v>13</v>
      </c>
      <c r="E112" s="9">
        <v>23</v>
      </c>
      <c r="F112" s="9">
        <v>76</v>
      </c>
      <c r="G112" s="9">
        <v>6.1</v>
      </c>
      <c r="H112" s="9">
        <v>2.15</v>
      </c>
      <c r="I112" s="9">
        <v>2.48</v>
      </c>
      <c r="J112" s="7" t="s">
        <v>49</v>
      </c>
    </row>
    <row r="113" spans="1:10" x14ac:dyDescent="0.2">
      <c r="A113" s="9">
        <v>0</v>
      </c>
      <c r="B113" s="9">
        <v>52</v>
      </c>
      <c r="C113" s="9">
        <v>1</v>
      </c>
      <c r="D113" s="9">
        <v>24</v>
      </c>
      <c r="E113" s="9">
        <v>14</v>
      </c>
      <c r="F113" s="9">
        <v>64</v>
      </c>
      <c r="G113" s="9">
        <v>10</v>
      </c>
      <c r="H113" s="9">
        <v>3.93</v>
      </c>
      <c r="I113" s="9">
        <v>2.4700000000000002</v>
      </c>
      <c r="J113" s="7" t="s">
        <v>49</v>
      </c>
    </row>
    <row r="114" spans="1:10" x14ac:dyDescent="0.2">
      <c r="A114" s="9">
        <v>0</v>
      </c>
      <c r="B114" s="9">
        <v>39</v>
      </c>
      <c r="C114" s="9">
        <v>3</v>
      </c>
      <c r="D114" s="9">
        <v>11</v>
      </c>
      <c r="E114" s="9">
        <v>17</v>
      </c>
      <c r="F114" s="9">
        <v>39</v>
      </c>
      <c r="G114" s="9">
        <v>12.9</v>
      </c>
      <c r="H114" s="9">
        <v>2.56</v>
      </c>
      <c r="I114" s="9">
        <v>2.4700000000000002</v>
      </c>
      <c r="J114" s="7" t="s">
        <v>49</v>
      </c>
    </row>
    <row r="115" spans="1:10" x14ac:dyDescent="0.2">
      <c r="A115" s="9">
        <v>0</v>
      </c>
      <c r="B115" s="9">
        <v>32</v>
      </c>
      <c r="C115" s="9">
        <v>1</v>
      </c>
      <c r="D115" s="9">
        <v>10</v>
      </c>
      <c r="E115" s="9">
        <v>13</v>
      </c>
      <c r="F115" s="9">
        <v>32</v>
      </c>
      <c r="G115" s="9">
        <v>11.3</v>
      </c>
      <c r="H115" s="9">
        <v>1.17</v>
      </c>
      <c r="I115" s="9">
        <v>2.4500000000000002</v>
      </c>
      <c r="J115" s="7" t="s">
        <v>49</v>
      </c>
    </row>
    <row r="116" spans="1:10" x14ac:dyDescent="0.2">
      <c r="A116" s="9">
        <v>0</v>
      </c>
      <c r="B116" s="9">
        <v>26</v>
      </c>
      <c r="C116" s="9">
        <v>2</v>
      </c>
      <c r="D116" s="9">
        <v>4</v>
      </c>
      <c r="E116" s="9">
        <v>3</v>
      </c>
      <c r="F116" s="9">
        <v>28</v>
      </c>
      <c r="G116" s="9">
        <v>9.5</v>
      </c>
      <c r="H116" s="9">
        <v>0.23</v>
      </c>
      <c r="I116" s="9">
        <v>2.4300000000000002</v>
      </c>
      <c r="J116" s="7" t="s">
        <v>49</v>
      </c>
    </row>
    <row r="117" spans="1:10" x14ac:dyDescent="0.2">
      <c r="A117" s="9">
        <v>0</v>
      </c>
      <c r="B117" s="9">
        <v>39</v>
      </c>
      <c r="C117" s="9">
        <v>1</v>
      </c>
      <c r="D117" s="9">
        <v>20</v>
      </c>
      <c r="E117" s="9">
        <v>12</v>
      </c>
      <c r="F117" s="9">
        <v>39</v>
      </c>
      <c r="G117" s="9">
        <v>8.1999999999999993</v>
      </c>
      <c r="H117" s="9">
        <v>0.77</v>
      </c>
      <c r="I117" s="9">
        <v>2.42</v>
      </c>
      <c r="J117" s="7" t="s">
        <v>49</v>
      </c>
    </row>
    <row r="118" spans="1:10" x14ac:dyDescent="0.2">
      <c r="A118" s="9">
        <v>0</v>
      </c>
      <c r="B118" s="9">
        <v>36</v>
      </c>
      <c r="C118" s="9">
        <v>1</v>
      </c>
      <c r="D118" s="9">
        <v>4</v>
      </c>
      <c r="E118" s="9">
        <v>15</v>
      </c>
      <c r="F118" s="9">
        <v>17</v>
      </c>
      <c r="G118" s="9">
        <v>17.3</v>
      </c>
      <c r="H118" s="9">
        <v>0.52</v>
      </c>
      <c r="I118" s="9">
        <v>2.42</v>
      </c>
      <c r="J118" s="7" t="s">
        <v>49</v>
      </c>
    </row>
    <row r="119" spans="1:10" x14ac:dyDescent="0.2">
      <c r="A119" s="9">
        <v>1</v>
      </c>
      <c r="B119" s="9">
        <v>35</v>
      </c>
      <c r="C119" s="9">
        <v>2</v>
      </c>
      <c r="D119" s="9">
        <v>1</v>
      </c>
      <c r="E119" s="9">
        <v>8</v>
      </c>
      <c r="F119" s="9">
        <v>24</v>
      </c>
      <c r="G119" s="9">
        <v>12.5</v>
      </c>
      <c r="H119" s="9">
        <v>0.59</v>
      </c>
      <c r="I119" s="9">
        <v>2.41</v>
      </c>
      <c r="J119" s="7" t="s">
        <v>49</v>
      </c>
    </row>
    <row r="120" spans="1:10" x14ac:dyDescent="0.2">
      <c r="A120" s="9">
        <v>0</v>
      </c>
      <c r="B120" s="9">
        <v>29</v>
      </c>
      <c r="C120" s="9">
        <v>1</v>
      </c>
      <c r="D120" s="9">
        <v>9</v>
      </c>
      <c r="E120" s="9">
        <v>0</v>
      </c>
      <c r="F120" s="9">
        <v>25</v>
      </c>
      <c r="G120" s="9">
        <v>13.9</v>
      </c>
      <c r="H120" s="9">
        <v>1.07</v>
      </c>
      <c r="I120" s="9">
        <v>2.4</v>
      </c>
      <c r="J120" s="7" t="s">
        <v>49</v>
      </c>
    </row>
    <row r="121" spans="1:10" x14ac:dyDescent="0.2">
      <c r="A121" s="9">
        <v>0</v>
      </c>
      <c r="B121" s="9">
        <v>42</v>
      </c>
      <c r="C121" s="9">
        <v>2</v>
      </c>
      <c r="D121" s="9">
        <v>21</v>
      </c>
      <c r="E121" s="9">
        <v>11</v>
      </c>
      <c r="F121" s="13">
        <v>117.54291069294821</v>
      </c>
      <c r="G121" s="9">
        <v>3.1</v>
      </c>
      <c r="H121" s="9">
        <v>1.37</v>
      </c>
      <c r="I121" s="9">
        <v>2.39</v>
      </c>
      <c r="J121" s="7" t="s">
        <v>49</v>
      </c>
    </row>
    <row r="122" spans="1:10" x14ac:dyDescent="0.2">
      <c r="A122" s="9">
        <v>0</v>
      </c>
      <c r="B122" s="9">
        <v>22</v>
      </c>
      <c r="C122" s="9">
        <v>1</v>
      </c>
      <c r="D122" s="9">
        <v>1</v>
      </c>
      <c r="E122" s="9">
        <v>3</v>
      </c>
      <c r="F122" s="9">
        <v>17</v>
      </c>
      <c r="G122" s="9">
        <v>18.600000000000001</v>
      </c>
      <c r="H122" s="9">
        <v>0.81</v>
      </c>
      <c r="I122" s="9">
        <v>2.36</v>
      </c>
      <c r="J122" s="7" t="s">
        <v>49</v>
      </c>
    </row>
    <row r="123" spans="1:10" x14ac:dyDescent="0.2">
      <c r="A123" s="9">
        <v>0</v>
      </c>
      <c r="B123" s="9">
        <v>31</v>
      </c>
      <c r="C123" s="9">
        <v>1</v>
      </c>
      <c r="D123" s="9">
        <v>5</v>
      </c>
      <c r="E123" s="9">
        <v>3</v>
      </c>
      <c r="F123" s="9">
        <v>25</v>
      </c>
      <c r="G123" s="9">
        <v>14.1</v>
      </c>
      <c r="H123" s="9">
        <v>1.18</v>
      </c>
      <c r="I123" s="9">
        <v>2.35</v>
      </c>
      <c r="J123" s="7" t="s">
        <v>49</v>
      </c>
    </row>
    <row r="124" spans="1:10" x14ac:dyDescent="0.2">
      <c r="A124" s="9">
        <v>0</v>
      </c>
      <c r="B124" s="9">
        <v>23</v>
      </c>
      <c r="C124" s="9">
        <v>1</v>
      </c>
      <c r="D124" s="9">
        <v>7</v>
      </c>
      <c r="E124" s="9">
        <v>3</v>
      </c>
      <c r="F124" s="9">
        <v>22</v>
      </c>
      <c r="G124" s="9">
        <v>14.4</v>
      </c>
      <c r="H124" s="9">
        <v>0.85</v>
      </c>
      <c r="I124" s="9">
        <v>2.3199999999999998</v>
      </c>
      <c r="J124" s="7" t="s">
        <v>49</v>
      </c>
    </row>
    <row r="125" spans="1:10" x14ac:dyDescent="0.2">
      <c r="A125" s="9">
        <v>1</v>
      </c>
      <c r="B125" s="9">
        <v>36</v>
      </c>
      <c r="C125" s="9">
        <v>1</v>
      </c>
      <c r="D125" s="9">
        <v>10</v>
      </c>
      <c r="E125" s="9">
        <v>0</v>
      </c>
      <c r="F125" s="9">
        <v>28</v>
      </c>
      <c r="G125" s="9">
        <v>11.2</v>
      </c>
      <c r="H125" s="9">
        <v>0.82</v>
      </c>
      <c r="I125" s="9">
        <v>2.3199999999999998</v>
      </c>
      <c r="J125" s="7" t="s">
        <v>49</v>
      </c>
    </row>
    <row r="126" spans="1:10" x14ac:dyDescent="0.2">
      <c r="A126" s="9">
        <v>0</v>
      </c>
      <c r="B126" s="9">
        <v>29</v>
      </c>
      <c r="C126" s="9">
        <v>1</v>
      </c>
      <c r="D126" s="9">
        <v>1</v>
      </c>
      <c r="E126" s="9">
        <v>8</v>
      </c>
      <c r="F126" s="9">
        <v>31</v>
      </c>
      <c r="G126" s="9">
        <v>8</v>
      </c>
      <c r="H126" s="9">
        <v>0.16</v>
      </c>
      <c r="I126" s="9">
        <v>2.3199999999999998</v>
      </c>
      <c r="J126" s="7" t="s">
        <v>49</v>
      </c>
    </row>
    <row r="127" spans="1:10" x14ac:dyDescent="0.2">
      <c r="A127" s="9">
        <v>0</v>
      </c>
      <c r="B127" s="9">
        <v>40</v>
      </c>
      <c r="C127" s="9">
        <v>2</v>
      </c>
      <c r="D127" s="9">
        <v>8</v>
      </c>
      <c r="E127" s="9">
        <v>19</v>
      </c>
      <c r="F127" s="9">
        <v>57</v>
      </c>
      <c r="G127" s="9">
        <v>5.6</v>
      </c>
      <c r="H127" s="9">
        <v>0.88</v>
      </c>
      <c r="I127" s="9">
        <v>2.31</v>
      </c>
      <c r="J127" s="7" t="s">
        <v>49</v>
      </c>
    </row>
    <row r="128" spans="1:10" x14ac:dyDescent="0.2">
      <c r="A128" s="9">
        <v>0</v>
      </c>
      <c r="B128" s="9">
        <v>32</v>
      </c>
      <c r="C128" s="9">
        <v>1</v>
      </c>
      <c r="D128" s="9">
        <v>10</v>
      </c>
      <c r="E128" s="9">
        <v>11</v>
      </c>
      <c r="F128" s="9">
        <v>42</v>
      </c>
      <c r="G128" s="9">
        <v>9.1</v>
      </c>
      <c r="H128" s="9">
        <v>1.54</v>
      </c>
      <c r="I128" s="9">
        <v>2.2799999999999998</v>
      </c>
      <c r="J128" s="7" t="s">
        <v>49</v>
      </c>
    </row>
    <row r="129" spans="1:10" x14ac:dyDescent="0.2">
      <c r="A129" s="9">
        <v>0</v>
      </c>
      <c r="B129" s="9">
        <v>36</v>
      </c>
      <c r="C129" s="9">
        <v>1</v>
      </c>
      <c r="D129" s="9">
        <v>18</v>
      </c>
      <c r="E129" s="9">
        <v>9</v>
      </c>
      <c r="F129" s="9">
        <v>67</v>
      </c>
      <c r="G129" s="9">
        <v>11.2</v>
      </c>
      <c r="H129" s="9">
        <v>5.25</v>
      </c>
      <c r="I129" s="9">
        <v>2.2599999999999998</v>
      </c>
      <c r="J129" s="7" t="s">
        <v>49</v>
      </c>
    </row>
    <row r="130" spans="1:10" x14ac:dyDescent="0.2">
      <c r="A130" s="9">
        <v>0</v>
      </c>
      <c r="B130" s="9">
        <v>46</v>
      </c>
      <c r="C130" s="9">
        <v>1</v>
      </c>
      <c r="D130" s="9">
        <v>14</v>
      </c>
      <c r="E130" s="9">
        <v>25</v>
      </c>
      <c r="F130" s="9">
        <v>35</v>
      </c>
      <c r="G130" s="9">
        <v>10.199999999999999</v>
      </c>
      <c r="H130" s="9">
        <v>1.35</v>
      </c>
      <c r="I130" s="9">
        <v>2.2200000000000002</v>
      </c>
      <c r="J130" s="7" t="s">
        <v>49</v>
      </c>
    </row>
    <row r="131" spans="1:10" x14ac:dyDescent="0.2">
      <c r="A131" s="9">
        <v>0</v>
      </c>
      <c r="B131" s="9">
        <v>22</v>
      </c>
      <c r="C131" s="9">
        <v>1</v>
      </c>
      <c r="D131" s="9">
        <v>4</v>
      </c>
      <c r="E131" s="9">
        <v>3</v>
      </c>
      <c r="F131" s="9">
        <v>14</v>
      </c>
      <c r="G131" s="9">
        <v>17.5</v>
      </c>
      <c r="H131" s="9">
        <v>0.23</v>
      </c>
      <c r="I131" s="9">
        <v>2.2200000000000002</v>
      </c>
      <c r="J131" s="7" t="s">
        <v>49</v>
      </c>
    </row>
    <row r="132" spans="1:10" x14ac:dyDescent="0.2">
      <c r="A132" s="9">
        <v>0</v>
      </c>
      <c r="B132" s="9">
        <v>45</v>
      </c>
      <c r="C132" s="9">
        <v>1</v>
      </c>
      <c r="D132" s="9">
        <v>12</v>
      </c>
      <c r="E132" s="9">
        <v>19</v>
      </c>
      <c r="F132" s="9">
        <v>37</v>
      </c>
      <c r="G132" s="9">
        <v>9.5</v>
      </c>
      <c r="H132" s="9">
        <v>1.34</v>
      </c>
      <c r="I132" s="9">
        <v>2.17</v>
      </c>
      <c r="J132" s="7" t="s">
        <v>49</v>
      </c>
    </row>
    <row r="133" spans="1:10" x14ac:dyDescent="0.2">
      <c r="A133" s="9">
        <v>0</v>
      </c>
      <c r="B133" s="9">
        <v>40</v>
      </c>
      <c r="C133" s="9">
        <v>1</v>
      </c>
      <c r="D133" s="9">
        <v>15</v>
      </c>
      <c r="E133" s="9">
        <v>14</v>
      </c>
      <c r="F133" s="9">
        <v>55</v>
      </c>
      <c r="G133" s="9">
        <v>5.5</v>
      </c>
      <c r="H133" s="9">
        <v>0.86</v>
      </c>
      <c r="I133" s="9">
        <v>2.17</v>
      </c>
      <c r="J133" s="7" t="s">
        <v>49</v>
      </c>
    </row>
    <row r="134" spans="1:10" x14ac:dyDescent="0.2">
      <c r="A134" s="9">
        <v>0</v>
      </c>
      <c r="B134" s="9">
        <v>41</v>
      </c>
      <c r="C134" s="9">
        <v>2</v>
      </c>
      <c r="D134" s="9">
        <v>5</v>
      </c>
      <c r="E134" s="9">
        <v>5</v>
      </c>
      <c r="F134" s="9">
        <v>25</v>
      </c>
      <c r="G134" s="9">
        <v>10.199999999999999</v>
      </c>
      <c r="H134" s="9">
        <v>0.39</v>
      </c>
      <c r="I134" s="9">
        <v>2.16</v>
      </c>
      <c r="J134" s="7" t="s">
        <v>49</v>
      </c>
    </row>
    <row r="135" spans="1:10" x14ac:dyDescent="0.2">
      <c r="A135" s="9">
        <v>0</v>
      </c>
      <c r="B135" s="9">
        <v>36</v>
      </c>
      <c r="C135" s="9">
        <v>1</v>
      </c>
      <c r="D135" s="9">
        <v>0</v>
      </c>
      <c r="E135" s="9">
        <v>13</v>
      </c>
      <c r="F135" s="9">
        <v>25</v>
      </c>
      <c r="G135" s="9">
        <v>19.7</v>
      </c>
      <c r="H135" s="9">
        <v>2.78</v>
      </c>
      <c r="I135" s="9">
        <v>2.15</v>
      </c>
      <c r="J135" s="7" t="s">
        <v>49</v>
      </c>
    </row>
    <row r="136" spans="1:10" x14ac:dyDescent="0.2">
      <c r="A136" s="9">
        <v>0</v>
      </c>
      <c r="B136" s="9">
        <v>31</v>
      </c>
      <c r="C136" s="9">
        <v>4</v>
      </c>
      <c r="D136" s="9">
        <v>1</v>
      </c>
      <c r="E136" s="9">
        <v>6</v>
      </c>
      <c r="F136" s="9">
        <v>29</v>
      </c>
      <c r="G136" s="9">
        <v>11.1</v>
      </c>
      <c r="H136" s="9">
        <v>1.07</v>
      </c>
      <c r="I136" s="9">
        <v>2.15</v>
      </c>
      <c r="J136" s="7" t="s">
        <v>49</v>
      </c>
    </row>
    <row r="137" spans="1:10" x14ac:dyDescent="0.2">
      <c r="A137" s="9">
        <v>1</v>
      </c>
      <c r="B137" s="9">
        <v>21</v>
      </c>
      <c r="C137" s="9">
        <v>2</v>
      </c>
      <c r="D137" s="9">
        <v>0</v>
      </c>
      <c r="E137" s="9">
        <v>2</v>
      </c>
      <c r="F137" s="9">
        <v>21</v>
      </c>
      <c r="G137" s="9">
        <v>12.5</v>
      </c>
      <c r="H137" s="9">
        <v>0.49</v>
      </c>
      <c r="I137" s="9">
        <v>2.14</v>
      </c>
      <c r="J137" s="7" t="s">
        <v>49</v>
      </c>
    </row>
    <row r="138" spans="1:10" x14ac:dyDescent="0.2">
      <c r="A138" s="9">
        <v>0</v>
      </c>
      <c r="B138" s="9">
        <v>30</v>
      </c>
      <c r="C138" s="9">
        <v>2</v>
      </c>
      <c r="D138" s="9">
        <v>10</v>
      </c>
      <c r="E138" s="9">
        <v>4</v>
      </c>
      <c r="F138" s="9">
        <v>22</v>
      </c>
      <c r="G138" s="9">
        <v>16.100000000000001</v>
      </c>
      <c r="H138" s="9">
        <v>1.41</v>
      </c>
      <c r="I138" s="9">
        <v>2.13</v>
      </c>
      <c r="J138" s="7" t="s">
        <v>49</v>
      </c>
    </row>
    <row r="139" spans="1:10" x14ac:dyDescent="0.2">
      <c r="A139" s="9">
        <v>0</v>
      </c>
      <c r="B139" s="9">
        <v>31</v>
      </c>
      <c r="C139" s="9">
        <v>1</v>
      </c>
      <c r="D139" s="9">
        <v>11</v>
      </c>
      <c r="E139" s="9">
        <v>8</v>
      </c>
      <c r="F139" s="9">
        <v>25</v>
      </c>
      <c r="G139" s="9">
        <v>9.1</v>
      </c>
      <c r="H139" s="9">
        <v>0.14000000000000001</v>
      </c>
      <c r="I139" s="9">
        <v>2.13</v>
      </c>
      <c r="J139" s="7" t="s">
        <v>49</v>
      </c>
    </row>
    <row r="140" spans="1:10" x14ac:dyDescent="0.2">
      <c r="A140" s="9">
        <v>1</v>
      </c>
      <c r="B140" s="9">
        <v>22</v>
      </c>
      <c r="C140" s="9">
        <v>1</v>
      </c>
      <c r="D140" s="9">
        <v>4</v>
      </c>
      <c r="E140" s="9">
        <v>2</v>
      </c>
      <c r="F140" s="9">
        <v>24</v>
      </c>
      <c r="G140" s="9">
        <v>15.6</v>
      </c>
      <c r="H140" s="9">
        <v>1.64</v>
      </c>
      <c r="I140" s="9">
        <v>2.11</v>
      </c>
      <c r="J140" s="7" t="s">
        <v>49</v>
      </c>
    </row>
    <row r="141" spans="1:10" x14ac:dyDescent="0.2">
      <c r="A141" s="9">
        <v>0</v>
      </c>
      <c r="B141" s="9">
        <v>40</v>
      </c>
      <c r="C141" s="9">
        <v>2</v>
      </c>
      <c r="D141" s="9">
        <v>3</v>
      </c>
      <c r="E141" s="9">
        <v>2</v>
      </c>
      <c r="F141" s="9">
        <v>28</v>
      </c>
      <c r="G141" s="9">
        <v>9.5</v>
      </c>
      <c r="H141" s="9">
        <v>0.55000000000000004</v>
      </c>
      <c r="I141" s="9">
        <v>2.11</v>
      </c>
      <c r="J141" s="7" t="s">
        <v>49</v>
      </c>
    </row>
    <row r="142" spans="1:10" x14ac:dyDescent="0.2">
      <c r="A142" s="9">
        <v>0</v>
      </c>
      <c r="B142" s="9">
        <v>30</v>
      </c>
      <c r="C142" s="9">
        <v>1</v>
      </c>
      <c r="D142" s="9">
        <v>11</v>
      </c>
      <c r="E142" s="9">
        <v>1</v>
      </c>
      <c r="F142" s="9">
        <v>33</v>
      </c>
      <c r="G142" s="9">
        <v>8.4</v>
      </c>
      <c r="H142" s="9">
        <v>0.68</v>
      </c>
      <c r="I142" s="9">
        <v>2.09</v>
      </c>
      <c r="J142" s="7" t="s">
        <v>49</v>
      </c>
    </row>
    <row r="143" spans="1:10" x14ac:dyDescent="0.2">
      <c r="A143" s="9">
        <v>1</v>
      </c>
      <c r="B143" s="9">
        <v>24</v>
      </c>
      <c r="C143" s="9">
        <v>2</v>
      </c>
      <c r="D143" s="9">
        <v>0</v>
      </c>
      <c r="E143" s="9">
        <v>2</v>
      </c>
      <c r="F143" s="9">
        <v>15</v>
      </c>
      <c r="G143" s="9">
        <v>16.100000000000001</v>
      </c>
      <c r="H143" s="9">
        <v>0.32</v>
      </c>
      <c r="I143" s="9">
        <v>2.09</v>
      </c>
      <c r="J143" s="7" t="s">
        <v>49</v>
      </c>
    </row>
    <row r="144" spans="1:10" x14ac:dyDescent="0.2">
      <c r="A144" s="9">
        <v>0</v>
      </c>
      <c r="B144" s="9">
        <v>31</v>
      </c>
      <c r="C144" s="9">
        <v>1</v>
      </c>
      <c r="D144" s="9">
        <v>15</v>
      </c>
      <c r="E144" s="9">
        <v>2</v>
      </c>
      <c r="F144" s="9">
        <v>60</v>
      </c>
      <c r="G144" s="9">
        <v>4.8</v>
      </c>
      <c r="H144" s="9">
        <v>0.8</v>
      </c>
      <c r="I144" s="9">
        <v>2.08</v>
      </c>
      <c r="J144" s="7" t="s">
        <v>49</v>
      </c>
    </row>
    <row r="145" spans="1:10" x14ac:dyDescent="0.2">
      <c r="A145" s="9">
        <v>0</v>
      </c>
      <c r="B145" s="9">
        <v>34</v>
      </c>
      <c r="C145" s="9">
        <v>2</v>
      </c>
      <c r="D145" s="9">
        <v>8</v>
      </c>
      <c r="E145" s="9">
        <v>6</v>
      </c>
      <c r="F145" s="9">
        <v>78</v>
      </c>
      <c r="G145" s="9">
        <v>5.4</v>
      </c>
      <c r="H145" s="9">
        <v>2.16</v>
      </c>
      <c r="I145" s="9">
        <v>2.06</v>
      </c>
      <c r="J145" s="7" t="s">
        <v>49</v>
      </c>
    </row>
    <row r="146" spans="1:10" x14ac:dyDescent="0.2">
      <c r="A146" s="9">
        <v>0</v>
      </c>
      <c r="B146" s="9">
        <v>29</v>
      </c>
      <c r="C146" s="9">
        <v>2</v>
      </c>
      <c r="D146" s="9">
        <v>1</v>
      </c>
      <c r="E146" s="9">
        <v>7</v>
      </c>
      <c r="F146" s="9">
        <v>25</v>
      </c>
      <c r="G146" s="9">
        <v>10.4</v>
      </c>
      <c r="H146" s="9">
        <v>0.56999999999999995</v>
      </c>
      <c r="I146" s="9">
        <v>2.0299999999999998</v>
      </c>
      <c r="J146" s="7" t="s">
        <v>49</v>
      </c>
    </row>
    <row r="147" spans="1:10" x14ac:dyDescent="0.2">
      <c r="A147" s="9">
        <v>0</v>
      </c>
      <c r="B147" s="9">
        <v>28</v>
      </c>
      <c r="C147" s="9">
        <v>2</v>
      </c>
      <c r="D147" s="9">
        <v>7</v>
      </c>
      <c r="E147" s="9">
        <v>2</v>
      </c>
      <c r="F147" s="9">
        <v>34</v>
      </c>
      <c r="G147" s="9">
        <v>7</v>
      </c>
      <c r="H147" s="9">
        <v>0.36</v>
      </c>
      <c r="I147" s="9">
        <v>2.02</v>
      </c>
      <c r="J147" s="7" t="s">
        <v>49</v>
      </c>
    </row>
    <row r="148" spans="1:10" x14ac:dyDescent="0.2">
      <c r="A148" s="9">
        <v>0</v>
      </c>
      <c r="B148" s="9">
        <v>25</v>
      </c>
      <c r="C148" s="9">
        <v>1</v>
      </c>
      <c r="D148" s="9">
        <v>5</v>
      </c>
      <c r="E148" s="9">
        <v>5</v>
      </c>
      <c r="F148" s="9">
        <v>22</v>
      </c>
      <c r="G148" s="9">
        <v>10.9</v>
      </c>
      <c r="H148" s="9">
        <v>0.4</v>
      </c>
      <c r="I148" s="9">
        <v>2</v>
      </c>
      <c r="J148" s="7" t="s">
        <v>49</v>
      </c>
    </row>
    <row r="149" spans="1:10" x14ac:dyDescent="0.2">
      <c r="A149" s="9">
        <v>0</v>
      </c>
      <c r="B149" s="9">
        <v>46</v>
      </c>
      <c r="C149" s="9">
        <v>1</v>
      </c>
      <c r="D149" s="9">
        <v>1</v>
      </c>
      <c r="E149" s="9">
        <v>12</v>
      </c>
      <c r="F149" s="9">
        <v>20</v>
      </c>
      <c r="G149" s="9">
        <v>14</v>
      </c>
      <c r="H149" s="9">
        <v>0.81</v>
      </c>
      <c r="I149" s="9">
        <v>1.99</v>
      </c>
      <c r="J149" s="7" t="s">
        <v>49</v>
      </c>
    </row>
    <row r="150" spans="1:10" x14ac:dyDescent="0.2">
      <c r="A150" s="9">
        <v>0</v>
      </c>
      <c r="B150" s="9">
        <v>37</v>
      </c>
      <c r="C150" s="9">
        <v>2</v>
      </c>
      <c r="D150" s="9">
        <v>11</v>
      </c>
      <c r="E150" s="9">
        <v>4</v>
      </c>
      <c r="F150" s="9">
        <v>75</v>
      </c>
      <c r="G150" s="9">
        <v>3.5</v>
      </c>
      <c r="H150" s="9">
        <v>0.63</v>
      </c>
      <c r="I150" s="9">
        <v>1.99</v>
      </c>
      <c r="J150" s="7" t="s">
        <v>49</v>
      </c>
    </row>
    <row r="151" spans="1:10" x14ac:dyDescent="0.2">
      <c r="A151" s="9">
        <v>1</v>
      </c>
      <c r="B151" s="9">
        <v>41</v>
      </c>
      <c r="C151" s="9">
        <v>3</v>
      </c>
      <c r="D151" s="9">
        <v>2</v>
      </c>
      <c r="E151" s="9">
        <v>0</v>
      </c>
      <c r="F151" s="9">
        <v>15</v>
      </c>
      <c r="G151" s="9">
        <v>26.3</v>
      </c>
      <c r="H151" s="9">
        <v>1.96</v>
      </c>
      <c r="I151" s="9">
        <v>1.98</v>
      </c>
      <c r="J151" s="7" t="s">
        <v>49</v>
      </c>
    </row>
    <row r="152" spans="1:10" x14ac:dyDescent="0.2">
      <c r="A152" s="9">
        <v>0</v>
      </c>
      <c r="B152" s="9">
        <v>37</v>
      </c>
      <c r="C152" s="9">
        <v>1</v>
      </c>
      <c r="D152" s="9">
        <v>4</v>
      </c>
      <c r="E152" s="9">
        <v>0</v>
      </c>
      <c r="F152" s="9">
        <v>23</v>
      </c>
      <c r="G152" s="9">
        <v>12.4</v>
      </c>
      <c r="H152" s="9">
        <v>0.87</v>
      </c>
      <c r="I152" s="9">
        <v>1.98</v>
      </c>
      <c r="J152" s="7" t="s">
        <v>49</v>
      </c>
    </row>
    <row r="153" spans="1:10" x14ac:dyDescent="0.2">
      <c r="A153" s="9">
        <v>0</v>
      </c>
      <c r="B153" s="9">
        <v>28</v>
      </c>
      <c r="C153" s="9">
        <v>2</v>
      </c>
      <c r="D153" s="9">
        <v>6</v>
      </c>
      <c r="E153" s="9">
        <v>7</v>
      </c>
      <c r="F153" s="9">
        <v>38</v>
      </c>
      <c r="G153" s="9">
        <v>7.2</v>
      </c>
      <c r="H153" s="9">
        <v>0.77</v>
      </c>
      <c r="I153" s="9">
        <v>1.96</v>
      </c>
      <c r="J153" s="7" t="s">
        <v>49</v>
      </c>
    </row>
    <row r="154" spans="1:10" x14ac:dyDescent="0.2">
      <c r="A154" s="9">
        <v>0</v>
      </c>
      <c r="B154" s="9">
        <v>28</v>
      </c>
      <c r="C154" s="9">
        <v>2</v>
      </c>
      <c r="D154" s="9">
        <v>5</v>
      </c>
      <c r="E154" s="9">
        <v>2</v>
      </c>
      <c r="F154" s="9">
        <v>37</v>
      </c>
      <c r="G154" s="9">
        <v>8.3000000000000007</v>
      </c>
      <c r="H154" s="9">
        <v>1.1200000000000001</v>
      </c>
      <c r="I154" s="9">
        <v>1.95</v>
      </c>
      <c r="J154" s="7" t="s">
        <v>49</v>
      </c>
    </row>
    <row r="155" spans="1:10" x14ac:dyDescent="0.2">
      <c r="A155" s="9">
        <v>0</v>
      </c>
      <c r="B155" s="9">
        <v>39</v>
      </c>
      <c r="C155" s="9">
        <v>1</v>
      </c>
      <c r="D155" s="9">
        <v>22</v>
      </c>
      <c r="E155" s="9">
        <v>9</v>
      </c>
      <c r="F155" s="9">
        <v>113</v>
      </c>
      <c r="G155" s="9">
        <v>2.6</v>
      </c>
      <c r="H155" s="9">
        <v>0.99</v>
      </c>
      <c r="I155" s="9">
        <v>1.95</v>
      </c>
      <c r="J155" s="7" t="s">
        <v>49</v>
      </c>
    </row>
    <row r="156" spans="1:10" x14ac:dyDescent="0.2">
      <c r="A156" s="9">
        <v>0</v>
      </c>
      <c r="B156" s="9">
        <v>39</v>
      </c>
      <c r="C156" s="9">
        <v>1</v>
      </c>
      <c r="D156" s="9">
        <v>4</v>
      </c>
      <c r="E156" s="9">
        <v>15</v>
      </c>
      <c r="F156" s="9">
        <v>33</v>
      </c>
      <c r="G156" s="9">
        <v>7</v>
      </c>
      <c r="H156" s="9">
        <v>0.4</v>
      </c>
      <c r="I156" s="9">
        <v>1.91</v>
      </c>
      <c r="J156" s="7" t="s">
        <v>49</v>
      </c>
    </row>
    <row r="157" spans="1:10" x14ac:dyDescent="0.2">
      <c r="A157" s="9">
        <v>0</v>
      </c>
      <c r="B157" s="9">
        <v>41</v>
      </c>
      <c r="C157" s="9">
        <v>2</v>
      </c>
      <c r="D157" s="9">
        <v>2</v>
      </c>
      <c r="E157" s="9">
        <v>22</v>
      </c>
      <c r="F157" s="9">
        <v>30</v>
      </c>
      <c r="G157" s="9">
        <v>6.7</v>
      </c>
      <c r="H157" s="9">
        <v>0.11</v>
      </c>
      <c r="I157" s="9">
        <v>1.9</v>
      </c>
      <c r="J157" s="7" t="s">
        <v>49</v>
      </c>
    </row>
    <row r="158" spans="1:10" x14ac:dyDescent="0.2">
      <c r="A158" s="9">
        <v>0</v>
      </c>
      <c r="B158" s="9">
        <v>45</v>
      </c>
      <c r="C158" s="9">
        <v>1</v>
      </c>
      <c r="D158" s="9">
        <v>10</v>
      </c>
      <c r="E158" s="9">
        <v>14</v>
      </c>
      <c r="F158" s="9">
        <v>52</v>
      </c>
      <c r="G158" s="9">
        <v>5.4</v>
      </c>
      <c r="H158" s="9">
        <v>0.93</v>
      </c>
      <c r="I158" s="9">
        <v>1.88</v>
      </c>
      <c r="J158" s="7" t="s">
        <v>49</v>
      </c>
    </row>
    <row r="159" spans="1:10" x14ac:dyDescent="0.2">
      <c r="A159" s="9">
        <v>0</v>
      </c>
      <c r="B159" s="9">
        <v>28</v>
      </c>
      <c r="C159" s="9">
        <v>2</v>
      </c>
      <c r="D159" s="9">
        <v>6</v>
      </c>
      <c r="E159" s="9">
        <v>9</v>
      </c>
      <c r="F159" s="9">
        <v>22</v>
      </c>
      <c r="G159" s="9">
        <v>11.5</v>
      </c>
      <c r="H159" s="9">
        <v>0.65</v>
      </c>
      <c r="I159" s="9">
        <v>1.88</v>
      </c>
      <c r="J159" s="7" t="s">
        <v>49</v>
      </c>
    </row>
    <row r="160" spans="1:10" x14ac:dyDescent="0.2">
      <c r="A160" s="9">
        <v>0</v>
      </c>
      <c r="B160" s="9">
        <v>21</v>
      </c>
      <c r="C160" s="9">
        <v>1</v>
      </c>
      <c r="D160" s="9">
        <v>5</v>
      </c>
      <c r="E160" s="9">
        <v>1</v>
      </c>
      <c r="F160" s="9">
        <v>25</v>
      </c>
      <c r="G160" s="9">
        <v>9</v>
      </c>
      <c r="H160" s="9">
        <v>0.37</v>
      </c>
      <c r="I160" s="9">
        <v>1.88</v>
      </c>
      <c r="J160" s="7" t="s">
        <v>49</v>
      </c>
    </row>
    <row r="161" spans="1:10" x14ac:dyDescent="0.2">
      <c r="A161" s="9">
        <v>0</v>
      </c>
      <c r="B161" s="9">
        <v>50</v>
      </c>
      <c r="C161" s="9">
        <v>1</v>
      </c>
      <c r="D161" s="9">
        <v>1</v>
      </c>
      <c r="E161" s="9">
        <v>26</v>
      </c>
      <c r="F161" s="9">
        <v>26</v>
      </c>
      <c r="G161" s="9">
        <v>14.3</v>
      </c>
      <c r="H161" s="9">
        <v>1.85</v>
      </c>
      <c r="I161" s="9">
        <v>1.87</v>
      </c>
      <c r="J161" s="7" t="s">
        <v>49</v>
      </c>
    </row>
    <row r="162" spans="1:10" x14ac:dyDescent="0.2">
      <c r="A162" s="9">
        <v>1</v>
      </c>
      <c r="B162" s="9">
        <v>31</v>
      </c>
      <c r="C162" s="9">
        <v>1</v>
      </c>
      <c r="D162" s="9">
        <v>2</v>
      </c>
      <c r="E162" s="9">
        <v>2</v>
      </c>
      <c r="F162" s="9">
        <v>22</v>
      </c>
      <c r="G162" s="9">
        <v>16.399999999999999</v>
      </c>
      <c r="H162" s="9">
        <v>1.74</v>
      </c>
      <c r="I162" s="9">
        <v>1.87</v>
      </c>
      <c r="J162" s="7" t="s">
        <v>49</v>
      </c>
    </row>
    <row r="163" spans="1:10" x14ac:dyDescent="0.2">
      <c r="A163" s="9">
        <v>1</v>
      </c>
      <c r="B163" s="9">
        <v>27</v>
      </c>
      <c r="C163" s="9">
        <v>2</v>
      </c>
      <c r="D163" s="9">
        <v>4</v>
      </c>
      <c r="E163" s="9">
        <v>3</v>
      </c>
      <c r="F163" s="9">
        <v>22</v>
      </c>
      <c r="G163" s="9">
        <v>13.2</v>
      </c>
      <c r="H163" s="9">
        <v>1.0900000000000001</v>
      </c>
      <c r="I163" s="9">
        <v>1.82</v>
      </c>
      <c r="J163" s="7" t="s">
        <v>49</v>
      </c>
    </row>
    <row r="164" spans="1:10" x14ac:dyDescent="0.2">
      <c r="A164" s="9">
        <v>0</v>
      </c>
      <c r="B164" s="9">
        <v>47</v>
      </c>
      <c r="C164" s="9">
        <v>1</v>
      </c>
      <c r="D164" s="9">
        <v>17</v>
      </c>
      <c r="E164" s="9">
        <v>21</v>
      </c>
      <c r="F164" s="9">
        <v>43</v>
      </c>
      <c r="G164" s="9">
        <v>5.6</v>
      </c>
      <c r="H164" s="9">
        <v>0.59</v>
      </c>
      <c r="I164" s="9">
        <v>1.82</v>
      </c>
      <c r="J164" s="7" t="s">
        <v>49</v>
      </c>
    </row>
    <row r="165" spans="1:10" x14ac:dyDescent="0.2">
      <c r="A165" s="9">
        <v>0</v>
      </c>
      <c r="B165" s="9">
        <v>46</v>
      </c>
      <c r="C165" s="9">
        <v>1</v>
      </c>
      <c r="D165" s="9">
        <v>6</v>
      </c>
      <c r="E165" s="9">
        <v>19</v>
      </c>
      <c r="F165" s="9">
        <v>31</v>
      </c>
      <c r="G165" s="9">
        <v>12.2</v>
      </c>
      <c r="H165" s="9">
        <v>1.99</v>
      </c>
      <c r="I165" s="9">
        <v>1.8</v>
      </c>
      <c r="J165" s="7" t="s">
        <v>49</v>
      </c>
    </row>
    <row r="166" spans="1:10" x14ac:dyDescent="0.2">
      <c r="A166" s="9">
        <v>0</v>
      </c>
      <c r="B166" s="9">
        <v>31</v>
      </c>
      <c r="C166" s="9">
        <v>1</v>
      </c>
      <c r="D166" s="9">
        <v>8</v>
      </c>
      <c r="E166" s="9">
        <v>4</v>
      </c>
      <c r="F166" s="9">
        <v>44</v>
      </c>
      <c r="G166" s="9">
        <v>8</v>
      </c>
      <c r="H166" s="9">
        <v>1.72</v>
      </c>
      <c r="I166" s="9">
        <v>1.8</v>
      </c>
      <c r="J166" s="7" t="s">
        <v>49</v>
      </c>
    </row>
    <row r="167" spans="1:10" x14ac:dyDescent="0.2">
      <c r="A167" s="9">
        <v>1</v>
      </c>
      <c r="B167" s="9">
        <v>29</v>
      </c>
      <c r="C167" s="9">
        <v>2</v>
      </c>
      <c r="D167" s="9">
        <v>0</v>
      </c>
      <c r="E167" s="9">
        <v>8</v>
      </c>
      <c r="F167" s="9">
        <v>22</v>
      </c>
      <c r="G167" s="9">
        <v>12.9</v>
      </c>
      <c r="H167" s="9">
        <v>1.04</v>
      </c>
      <c r="I167" s="9">
        <v>1.8</v>
      </c>
      <c r="J167" s="7" t="s">
        <v>49</v>
      </c>
    </row>
    <row r="168" spans="1:10" x14ac:dyDescent="0.2">
      <c r="A168" s="9">
        <v>0</v>
      </c>
      <c r="B168" s="9">
        <v>27</v>
      </c>
      <c r="C168" s="9">
        <v>3</v>
      </c>
      <c r="D168" s="9">
        <v>6</v>
      </c>
      <c r="E168" s="9">
        <v>4</v>
      </c>
      <c r="F168" s="9">
        <v>26</v>
      </c>
      <c r="G168" s="9">
        <v>10.4</v>
      </c>
      <c r="H168" s="9">
        <v>0.93</v>
      </c>
      <c r="I168" s="9">
        <v>1.77</v>
      </c>
      <c r="J168" s="7" t="s">
        <v>49</v>
      </c>
    </row>
    <row r="169" spans="1:10" x14ac:dyDescent="0.2">
      <c r="A169" s="9">
        <v>0</v>
      </c>
      <c r="B169" s="9">
        <v>27</v>
      </c>
      <c r="C169" s="9">
        <v>2</v>
      </c>
      <c r="D169" s="9">
        <v>8</v>
      </c>
      <c r="E169" s="9">
        <v>7</v>
      </c>
      <c r="F169" s="9">
        <v>18</v>
      </c>
      <c r="G169" s="9">
        <v>11.9</v>
      </c>
      <c r="H169" s="9">
        <v>0.4</v>
      </c>
      <c r="I169" s="9">
        <v>1.74</v>
      </c>
      <c r="J169" s="7" t="s">
        <v>49</v>
      </c>
    </row>
    <row r="170" spans="1:10" x14ac:dyDescent="0.2">
      <c r="A170" s="9">
        <v>0</v>
      </c>
      <c r="B170" s="9">
        <v>30</v>
      </c>
      <c r="C170" s="9">
        <v>1</v>
      </c>
      <c r="D170" s="9">
        <v>0</v>
      </c>
      <c r="E170" s="9">
        <v>11</v>
      </c>
      <c r="F170" s="9">
        <v>17</v>
      </c>
      <c r="G170" s="9">
        <v>12</v>
      </c>
      <c r="H170" s="9">
        <v>0.3</v>
      </c>
      <c r="I170" s="9">
        <v>1.74</v>
      </c>
      <c r="J170" s="7" t="s">
        <v>49</v>
      </c>
    </row>
    <row r="171" spans="1:10" x14ac:dyDescent="0.2">
      <c r="A171" s="9">
        <v>1</v>
      </c>
      <c r="B171" s="9">
        <v>46</v>
      </c>
      <c r="C171" s="9">
        <v>1</v>
      </c>
      <c r="D171" s="9">
        <v>1</v>
      </c>
      <c r="E171" s="9">
        <v>15</v>
      </c>
      <c r="F171" s="9">
        <v>21</v>
      </c>
      <c r="G171" s="9">
        <v>14.8</v>
      </c>
      <c r="H171" s="9">
        <v>1.38</v>
      </c>
      <c r="I171" s="9">
        <v>1.73</v>
      </c>
      <c r="J171" s="7" t="s">
        <v>49</v>
      </c>
    </row>
    <row r="172" spans="1:10" x14ac:dyDescent="0.2">
      <c r="A172" s="9">
        <v>0</v>
      </c>
      <c r="B172" s="9">
        <v>27</v>
      </c>
      <c r="C172" s="9">
        <v>1</v>
      </c>
      <c r="D172" s="9">
        <v>7</v>
      </c>
      <c r="E172" s="9">
        <v>4</v>
      </c>
      <c r="F172" s="9">
        <v>26</v>
      </c>
      <c r="G172" s="9">
        <v>9.1</v>
      </c>
      <c r="H172" s="9">
        <v>0.64</v>
      </c>
      <c r="I172" s="9">
        <v>1.72</v>
      </c>
      <c r="J172" s="7" t="s">
        <v>49</v>
      </c>
    </row>
    <row r="173" spans="1:10" x14ac:dyDescent="0.2">
      <c r="A173" s="9">
        <v>0</v>
      </c>
      <c r="B173" s="9">
        <v>23</v>
      </c>
      <c r="C173" s="9">
        <v>1</v>
      </c>
      <c r="D173" s="9">
        <v>7</v>
      </c>
      <c r="E173" s="9">
        <v>2</v>
      </c>
      <c r="F173" s="9">
        <v>31</v>
      </c>
      <c r="G173" s="9">
        <v>6.6</v>
      </c>
      <c r="H173" s="9">
        <v>0.34</v>
      </c>
      <c r="I173" s="9">
        <v>1.71</v>
      </c>
      <c r="J173" s="7" t="s">
        <v>49</v>
      </c>
    </row>
    <row r="174" spans="1:10" x14ac:dyDescent="0.2">
      <c r="A174" s="9">
        <v>1</v>
      </c>
      <c r="B174" s="9">
        <v>26</v>
      </c>
      <c r="C174" s="9">
        <v>2</v>
      </c>
      <c r="D174" s="9">
        <v>2</v>
      </c>
      <c r="E174" s="9">
        <v>6</v>
      </c>
      <c r="F174" s="9">
        <v>24</v>
      </c>
      <c r="G174" s="9">
        <v>13.6</v>
      </c>
      <c r="H174" s="9">
        <v>1.58</v>
      </c>
      <c r="I174" s="9">
        <v>1.69</v>
      </c>
      <c r="J174" s="7" t="s">
        <v>49</v>
      </c>
    </row>
    <row r="175" spans="1:10" x14ac:dyDescent="0.2">
      <c r="A175" s="9">
        <v>1</v>
      </c>
      <c r="B175" s="9">
        <v>27</v>
      </c>
      <c r="C175" s="9">
        <v>2</v>
      </c>
      <c r="D175" s="9">
        <v>1</v>
      </c>
      <c r="E175" s="9">
        <v>0</v>
      </c>
      <c r="F175" s="9">
        <v>20</v>
      </c>
      <c r="G175" s="9">
        <v>10.3</v>
      </c>
      <c r="H175" s="9">
        <v>0.38</v>
      </c>
      <c r="I175" s="9">
        <v>1.68</v>
      </c>
      <c r="J175" s="7" t="s">
        <v>49</v>
      </c>
    </row>
    <row r="176" spans="1:10" x14ac:dyDescent="0.2">
      <c r="A176" s="9">
        <v>0</v>
      </c>
      <c r="B176" s="9">
        <v>32</v>
      </c>
      <c r="C176" s="9">
        <v>1</v>
      </c>
      <c r="D176" s="9">
        <v>11</v>
      </c>
      <c r="E176" s="9">
        <v>2</v>
      </c>
      <c r="F176" s="9">
        <v>53</v>
      </c>
      <c r="G176" s="9">
        <v>3.3</v>
      </c>
      <c r="H176" s="9">
        <v>0.09</v>
      </c>
      <c r="I176" s="9">
        <v>1.66</v>
      </c>
      <c r="J176" s="7" t="s">
        <v>49</v>
      </c>
    </row>
    <row r="177" spans="1:10" x14ac:dyDescent="0.2">
      <c r="A177" s="9">
        <v>1</v>
      </c>
      <c r="B177" s="9">
        <v>29</v>
      </c>
      <c r="C177" s="9">
        <v>1</v>
      </c>
      <c r="D177" s="9">
        <v>13</v>
      </c>
      <c r="E177" s="9">
        <v>1</v>
      </c>
      <c r="F177" s="9">
        <v>42</v>
      </c>
      <c r="G177" s="9">
        <v>7.4</v>
      </c>
      <c r="H177" s="9">
        <v>1.46</v>
      </c>
      <c r="I177" s="9">
        <v>1.65</v>
      </c>
      <c r="J177" s="7" t="s">
        <v>49</v>
      </c>
    </row>
    <row r="178" spans="1:10" x14ac:dyDescent="0.2">
      <c r="A178" s="9">
        <v>0</v>
      </c>
      <c r="B178" s="9">
        <v>36</v>
      </c>
      <c r="C178" s="9">
        <v>1</v>
      </c>
      <c r="D178" s="9">
        <v>17</v>
      </c>
      <c r="E178" s="9">
        <v>6</v>
      </c>
      <c r="F178" s="9">
        <v>54</v>
      </c>
      <c r="G178" s="9">
        <v>4.4000000000000004</v>
      </c>
      <c r="H178" s="9">
        <v>0.73</v>
      </c>
      <c r="I178" s="9">
        <v>1.65</v>
      </c>
      <c r="J178" s="7" t="s">
        <v>49</v>
      </c>
    </row>
    <row r="179" spans="1:10" x14ac:dyDescent="0.2">
      <c r="A179" s="9">
        <v>0</v>
      </c>
      <c r="B179" s="9">
        <v>34</v>
      </c>
      <c r="C179" s="9">
        <v>1</v>
      </c>
      <c r="D179" s="9">
        <v>5</v>
      </c>
      <c r="E179" s="9">
        <v>3</v>
      </c>
      <c r="F179" s="9">
        <v>33</v>
      </c>
      <c r="G179" s="9">
        <v>7.3</v>
      </c>
      <c r="H179" s="9">
        <v>0.78</v>
      </c>
      <c r="I179" s="9">
        <v>1.63</v>
      </c>
      <c r="J179" s="7" t="s">
        <v>49</v>
      </c>
    </row>
    <row r="180" spans="1:10" x14ac:dyDescent="0.2">
      <c r="A180" s="9">
        <v>0</v>
      </c>
      <c r="B180" s="9">
        <v>35</v>
      </c>
      <c r="C180" s="9">
        <v>2</v>
      </c>
      <c r="D180" s="9">
        <v>9</v>
      </c>
      <c r="E180" s="9">
        <v>16</v>
      </c>
      <c r="F180" s="9">
        <v>30</v>
      </c>
      <c r="G180" s="9">
        <v>7.6</v>
      </c>
      <c r="H180" s="9">
        <v>0.65</v>
      </c>
      <c r="I180" s="9">
        <v>1.63</v>
      </c>
      <c r="J180" s="7" t="s">
        <v>49</v>
      </c>
    </row>
    <row r="181" spans="1:10" x14ac:dyDescent="0.2">
      <c r="A181" s="9">
        <v>1</v>
      </c>
      <c r="B181" s="9">
        <v>23</v>
      </c>
      <c r="C181" s="9">
        <v>2</v>
      </c>
      <c r="D181" s="9">
        <v>0</v>
      </c>
      <c r="E181" s="9">
        <v>2</v>
      </c>
      <c r="F181" s="9">
        <v>21</v>
      </c>
      <c r="G181" s="9">
        <v>11.4</v>
      </c>
      <c r="H181" s="9">
        <v>0.78</v>
      </c>
      <c r="I181" s="9">
        <v>1.62</v>
      </c>
      <c r="J181" s="7" t="s">
        <v>49</v>
      </c>
    </row>
    <row r="182" spans="1:10" x14ac:dyDescent="0.2">
      <c r="A182" s="9">
        <v>0</v>
      </c>
      <c r="B182" s="9">
        <v>29</v>
      </c>
      <c r="C182" s="9">
        <v>1</v>
      </c>
      <c r="D182" s="9">
        <v>7</v>
      </c>
      <c r="E182" s="9">
        <v>9</v>
      </c>
      <c r="F182" s="9">
        <v>22</v>
      </c>
      <c r="G182" s="9">
        <v>9.6999999999999993</v>
      </c>
      <c r="H182" s="9">
        <v>0.55000000000000004</v>
      </c>
      <c r="I182" s="9">
        <v>1.58</v>
      </c>
      <c r="J182" s="7" t="s">
        <v>49</v>
      </c>
    </row>
    <row r="183" spans="1:10" x14ac:dyDescent="0.2">
      <c r="A183" s="9">
        <v>0</v>
      </c>
      <c r="B183" s="9">
        <v>24</v>
      </c>
      <c r="C183" s="9">
        <v>2</v>
      </c>
      <c r="D183" s="9">
        <v>1</v>
      </c>
      <c r="E183" s="9">
        <v>2</v>
      </c>
      <c r="F183" s="9">
        <v>42</v>
      </c>
      <c r="G183" s="9">
        <v>5.7</v>
      </c>
      <c r="H183" s="9">
        <v>0.84</v>
      </c>
      <c r="I183" s="9">
        <v>1.56</v>
      </c>
      <c r="J183" s="7" t="s">
        <v>49</v>
      </c>
    </row>
    <row r="184" spans="1:10" x14ac:dyDescent="0.2">
      <c r="A184" s="9">
        <v>1</v>
      </c>
      <c r="B184" s="9">
        <v>38</v>
      </c>
      <c r="C184" s="9">
        <v>3</v>
      </c>
      <c r="D184" s="9">
        <v>4</v>
      </c>
      <c r="E184" s="9">
        <v>6</v>
      </c>
      <c r="F184" s="9">
        <v>31</v>
      </c>
      <c r="G184" s="9">
        <v>9.3000000000000007</v>
      </c>
      <c r="H184" s="9">
        <v>1.33</v>
      </c>
      <c r="I184" s="9">
        <v>1.55</v>
      </c>
      <c r="J184" s="7" t="s">
        <v>49</v>
      </c>
    </row>
    <row r="185" spans="1:10" x14ac:dyDescent="0.2">
      <c r="A185" s="9">
        <v>1</v>
      </c>
      <c r="B185" s="9">
        <v>24</v>
      </c>
      <c r="C185" s="9">
        <v>1</v>
      </c>
      <c r="D185" s="9">
        <v>0</v>
      </c>
      <c r="E185" s="9">
        <v>2</v>
      </c>
      <c r="F185" s="9">
        <v>16</v>
      </c>
      <c r="G185" s="9">
        <v>16</v>
      </c>
      <c r="H185" s="9">
        <v>1.01</v>
      </c>
      <c r="I185" s="9">
        <v>1.55</v>
      </c>
      <c r="J185" s="7" t="s">
        <v>49</v>
      </c>
    </row>
    <row r="186" spans="1:10" x14ac:dyDescent="0.2">
      <c r="A186" s="9">
        <v>0</v>
      </c>
      <c r="B186" s="9">
        <v>26</v>
      </c>
      <c r="C186" s="9">
        <v>1</v>
      </c>
      <c r="D186" s="9">
        <v>6</v>
      </c>
      <c r="E186" s="9">
        <v>0</v>
      </c>
      <c r="F186" s="9">
        <v>22</v>
      </c>
      <c r="G186" s="9">
        <v>10.3</v>
      </c>
      <c r="H186" s="9">
        <v>0.72</v>
      </c>
      <c r="I186" s="9">
        <v>1.55</v>
      </c>
      <c r="J186" s="7" t="s">
        <v>49</v>
      </c>
    </row>
    <row r="187" spans="1:10" x14ac:dyDescent="0.2">
      <c r="A187" s="9">
        <v>0</v>
      </c>
      <c r="B187" s="9">
        <v>45</v>
      </c>
      <c r="C187" s="9">
        <v>1</v>
      </c>
      <c r="D187" s="9">
        <v>23</v>
      </c>
      <c r="E187" s="9">
        <v>5</v>
      </c>
      <c r="F187" s="9">
        <v>50</v>
      </c>
      <c r="G187" s="9">
        <v>4.2</v>
      </c>
      <c r="H187" s="9">
        <v>0.56000000000000005</v>
      </c>
      <c r="I187" s="9">
        <v>1.54</v>
      </c>
      <c r="J187" s="7" t="s">
        <v>49</v>
      </c>
    </row>
    <row r="188" spans="1:10" x14ac:dyDescent="0.2">
      <c r="A188" s="9">
        <v>0</v>
      </c>
      <c r="B188" s="9">
        <v>37</v>
      </c>
      <c r="C188" s="9">
        <v>1</v>
      </c>
      <c r="D188" s="9">
        <v>13</v>
      </c>
      <c r="E188" s="9">
        <v>5</v>
      </c>
      <c r="F188" s="9">
        <v>24</v>
      </c>
      <c r="G188" s="9">
        <v>8.9</v>
      </c>
      <c r="H188" s="9">
        <v>0.6</v>
      </c>
      <c r="I188" s="9">
        <v>1.53</v>
      </c>
      <c r="J188" s="7" t="s">
        <v>49</v>
      </c>
    </row>
    <row r="189" spans="1:10" x14ac:dyDescent="0.2">
      <c r="A189" s="9">
        <v>0</v>
      </c>
      <c r="B189" s="9">
        <v>39</v>
      </c>
      <c r="C189" s="9">
        <v>1</v>
      </c>
      <c r="D189" s="9">
        <v>9</v>
      </c>
      <c r="E189" s="9">
        <v>6</v>
      </c>
      <c r="F189" s="9">
        <v>35</v>
      </c>
      <c r="G189" s="9">
        <v>5</v>
      </c>
      <c r="H189" s="9">
        <v>0.23</v>
      </c>
      <c r="I189" s="9">
        <v>1.52</v>
      </c>
      <c r="J189" s="7" t="s">
        <v>49</v>
      </c>
    </row>
    <row r="190" spans="1:10" x14ac:dyDescent="0.2">
      <c r="A190" s="9">
        <v>0</v>
      </c>
      <c r="B190" s="9">
        <v>33</v>
      </c>
      <c r="C190" s="9">
        <v>1</v>
      </c>
      <c r="D190" s="9">
        <v>12</v>
      </c>
      <c r="E190" s="9">
        <v>11</v>
      </c>
      <c r="F190" s="9">
        <v>32</v>
      </c>
      <c r="G190" s="9">
        <v>11.3</v>
      </c>
      <c r="H190" s="9">
        <v>2.1</v>
      </c>
      <c r="I190" s="9">
        <v>1.51</v>
      </c>
      <c r="J190" s="7" t="s">
        <v>49</v>
      </c>
    </row>
    <row r="191" spans="1:10" x14ac:dyDescent="0.2">
      <c r="A191" s="9">
        <v>0</v>
      </c>
      <c r="B191" s="9">
        <v>45</v>
      </c>
      <c r="C191" s="9">
        <v>6</v>
      </c>
      <c r="D191" s="9">
        <v>16</v>
      </c>
      <c r="E191" s="9">
        <v>21</v>
      </c>
      <c r="F191" s="9">
        <v>80</v>
      </c>
      <c r="G191" s="9">
        <v>3</v>
      </c>
      <c r="H191" s="9">
        <v>0.91</v>
      </c>
      <c r="I191" s="9">
        <v>1.49</v>
      </c>
      <c r="J191" s="7" t="s">
        <v>49</v>
      </c>
    </row>
    <row r="192" spans="1:10" x14ac:dyDescent="0.2">
      <c r="A192" s="9">
        <v>0</v>
      </c>
      <c r="B192" s="9">
        <v>49</v>
      </c>
      <c r="C192" s="9">
        <v>1</v>
      </c>
      <c r="D192" s="9">
        <v>11</v>
      </c>
      <c r="E192" s="9">
        <v>5</v>
      </c>
      <c r="F192" s="9">
        <v>39</v>
      </c>
      <c r="G192" s="9">
        <v>10.1</v>
      </c>
      <c r="H192" s="9">
        <v>2.46</v>
      </c>
      <c r="I192" s="9">
        <v>1.48</v>
      </c>
      <c r="J192" s="7" t="s">
        <v>49</v>
      </c>
    </row>
    <row r="193" spans="1:10" x14ac:dyDescent="0.2">
      <c r="A193" s="9">
        <v>0</v>
      </c>
      <c r="B193" s="9">
        <v>41</v>
      </c>
      <c r="C193" s="9">
        <v>1</v>
      </c>
      <c r="D193" s="9">
        <v>4</v>
      </c>
      <c r="E193" s="9">
        <v>19</v>
      </c>
      <c r="F193" s="9">
        <v>25</v>
      </c>
      <c r="G193" s="9">
        <v>10.1</v>
      </c>
      <c r="H193" s="9">
        <v>1.06</v>
      </c>
      <c r="I193" s="9">
        <v>1.46</v>
      </c>
      <c r="J193" s="7" t="s">
        <v>49</v>
      </c>
    </row>
    <row r="194" spans="1:10" x14ac:dyDescent="0.2">
      <c r="A194" s="9">
        <v>0</v>
      </c>
      <c r="B194" s="9">
        <v>46</v>
      </c>
      <c r="C194" s="9">
        <v>3</v>
      </c>
      <c r="D194" s="9">
        <v>22</v>
      </c>
      <c r="E194" s="9">
        <v>4</v>
      </c>
      <c r="F194" s="9">
        <v>99</v>
      </c>
      <c r="G194" s="9">
        <v>2.2999999999999998</v>
      </c>
      <c r="H194" s="9">
        <v>0.83</v>
      </c>
      <c r="I194" s="9">
        <v>1.45</v>
      </c>
      <c r="J194" s="7" t="s">
        <v>49</v>
      </c>
    </row>
    <row r="195" spans="1:10" x14ac:dyDescent="0.2">
      <c r="A195" s="9">
        <v>0</v>
      </c>
      <c r="B195" s="9">
        <v>45</v>
      </c>
      <c r="C195" s="9">
        <v>3</v>
      </c>
      <c r="D195" s="9">
        <v>2</v>
      </c>
      <c r="E195" s="9">
        <v>5</v>
      </c>
      <c r="F195" s="9">
        <v>39</v>
      </c>
      <c r="G195" s="9">
        <v>4.9000000000000004</v>
      </c>
      <c r="H195" s="9">
        <v>0.46</v>
      </c>
      <c r="I195" s="9">
        <v>1.45</v>
      </c>
      <c r="J195" s="7" t="s">
        <v>49</v>
      </c>
    </row>
    <row r="196" spans="1:10" x14ac:dyDescent="0.2">
      <c r="A196" s="9">
        <v>1</v>
      </c>
      <c r="B196" s="9">
        <v>35</v>
      </c>
      <c r="C196" s="9">
        <v>3</v>
      </c>
      <c r="D196" s="9">
        <v>5</v>
      </c>
      <c r="E196" s="9">
        <v>3</v>
      </c>
      <c r="F196" s="9">
        <v>37</v>
      </c>
      <c r="G196" s="9">
        <v>5.4</v>
      </c>
      <c r="H196" s="9">
        <v>0.57999999999999996</v>
      </c>
      <c r="I196" s="9">
        <v>1.42</v>
      </c>
      <c r="J196" s="7" t="s">
        <v>49</v>
      </c>
    </row>
    <row r="197" spans="1:10" x14ac:dyDescent="0.2">
      <c r="A197" s="9">
        <v>0</v>
      </c>
      <c r="B197" s="9">
        <v>45</v>
      </c>
      <c r="C197" s="9">
        <v>2</v>
      </c>
      <c r="D197" s="9">
        <v>21</v>
      </c>
      <c r="E197" s="9">
        <v>26</v>
      </c>
      <c r="F197" s="13">
        <v>117.54291069294821</v>
      </c>
      <c r="G197" s="9">
        <v>3</v>
      </c>
      <c r="H197" s="9">
        <v>2.56</v>
      </c>
      <c r="I197" s="9">
        <v>1.4</v>
      </c>
      <c r="J197" s="7" t="s">
        <v>49</v>
      </c>
    </row>
    <row r="198" spans="1:10" x14ac:dyDescent="0.2">
      <c r="A198" s="9">
        <v>0</v>
      </c>
      <c r="B198" s="9">
        <v>42</v>
      </c>
      <c r="C198" s="9">
        <v>3</v>
      </c>
      <c r="D198" s="9">
        <v>13</v>
      </c>
      <c r="E198" s="9">
        <v>0</v>
      </c>
      <c r="F198" s="9">
        <v>82</v>
      </c>
      <c r="G198" s="9">
        <v>3.3</v>
      </c>
      <c r="H198" s="9">
        <v>1.32</v>
      </c>
      <c r="I198" s="9">
        <v>1.39</v>
      </c>
      <c r="J198" s="7" t="s">
        <v>49</v>
      </c>
    </row>
    <row r="199" spans="1:10" x14ac:dyDescent="0.2">
      <c r="A199" s="9">
        <v>0</v>
      </c>
      <c r="B199" s="9">
        <v>34</v>
      </c>
      <c r="C199" s="9">
        <v>1</v>
      </c>
      <c r="D199" s="9">
        <v>0</v>
      </c>
      <c r="E199" s="9">
        <v>10</v>
      </c>
      <c r="F199" s="9">
        <v>20</v>
      </c>
      <c r="G199" s="9">
        <v>17.100000000000001</v>
      </c>
      <c r="H199" s="9">
        <v>2.0499999999999998</v>
      </c>
      <c r="I199" s="9">
        <v>1.37</v>
      </c>
      <c r="J199" s="7" t="s">
        <v>49</v>
      </c>
    </row>
    <row r="200" spans="1:10" x14ac:dyDescent="0.2">
      <c r="A200" s="9">
        <v>0</v>
      </c>
      <c r="B200" s="9">
        <v>38</v>
      </c>
      <c r="C200" s="9">
        <v>1</v>
      </c>
      <c r="D200" s="9">
        <v>18</v>
      </c>
      <c r="E200" s="9">
        <v>19</v>
      </c>
      <c r="F200" s="9">
        <v>44</v>
      </c>
      <c r="G200" s="9">
        <v>4.5</v>
      </c>
      <c r="H200" s="9">
        <v>0.61</v>
      </c>
      <c r="I200" s="9">
        <v>1.37</v>
      </c>
      <c r="J200" s="7" t="s">
        <v>49</v>
      </c>
    </row>
    <row r="201" spans="1:10" x14ac:dyDescent="0.2">
      <c r="A201" s="9">
        <v>0</v>
      </c>
      <c r="B201" s="9">
        <v>23</v>
      </c>
      <c r="C201" s="9">
        <v>2</v>
      </c>
      <c r="D201" s="9">
        <v>0</v>
      </c>
      <c r="E201" s="9">
        <v>4</v>
      </c>
      <c r="F201" s="9">
        <v>21</v>
      </c>
      <c r="G201" s="9">
        <v>8.6999999999999993</v>
      </c>
      <c r="H201" s="9">
        <v>0.45</v>
      </c>
      <c r="I201" s="9">
        <v>1.37</v>
      </c>
      <c r="J201" s="7" t="s">
        <v>49</v>
      </c>
    </row>
    <row r="202" spans="1:10" x14ac:dyDescent="0.2">
      <c r="A202" s="9">
        <v>0</v>
      </c>
      <c r="B202" s="9">
        <v>32</v>
      </c>
      <c r="C202" s="9">
        <v>1</v>
      </c>
      <c r="D202" s="9">
        <v>3</v>
      </c>
      <c r="E202" s="9">
        <v>10</v>
      </c>
      <c r="F202" s="9">
        <v>23</v>
      </c>
      <c r="G202" s="9">
        <v>6.2</v>
      </c>
      <c r="H202" s="9">
        <v>0.05</v>
      </c>
      <c r="I202" s="9">
        <v>1.37</v>
      </c>
      <c r="J202" s="7" t="s">
        <v>49</v>
      </c>
    </row>
    <row r="203" spans="1:10" x14ac:dyDescent="0.2">
      <c r="A203" s="9">
        <v>0</v>
      </c>
      <c r="B203" s="9">
        <v>35</v>
      </c>
      <c r="C203" s="9">
        <v>4</v>
      </c>
      <c r="D203" s="9">
        <v>4</v>
      </c>
      <c r="E203" s="9">
        <v>16</v>
      </c>
      <c r="F203" s="9">
        <v>29</v>
      </c>
      <c r="G203" s="9">
        <v>11</v>
      </c>
      <c r="H203" s="9">
        <v>1.84</v>
      </c>
      <c r="I203" s="9">
        <v>1.35</v>
      </c>
      <c r="J203" s="7" t="s">
        <v>49</v>
      </c>
    </row>
    <row r="204" spans="1:10" x14ac:dyDescent="0.2">
      <c r="A204" s="9">
        <v>0</v>
      </c>
      <c r="B204" s="9">
        <v>33</v>
      </c>
      <c r="C204" s="9">
        <v>1</v>
      </c>
      <c r="D204" s="9">
        <v>5</v>
      </c>
      <c r="E204" s="9">
        <v>10</v>
      </c>
      <c r="F204" s="9">
        <v>18</v>
      </c>
      <c r="G204" s="9">
        <v>12.9</v>
      </c>
      <c r="H204" s="9">
        <v>0.98</v>
      </c>
      <c r="I204" s="9">
        <v>1.34</v>
      </c>
      <c r="J204" s="7" t="s">
        <v>49</v>
      </c>
    </row>
    <row r="205" spans="1:10" x14ac:dyDescent="0.2">
      <c r="A205" s="9">
        <v>1</v>
      </c>
      <c r="B205" s="9">
        <v>25</v>
      </c>
      <c r="C205" s="9">
        <v>1</v>
      </c>
      <c r="D205" s="9">
        <v>1</v>
      </c>
      <c r="E205" s="9">
        <v>6</v>
      </c>
      <c r="F205" s="9">
        <v>15</v>
      </c>
      <c r="G205" s="9">
        <v>11.4</v>
      </c>
      <c r="H205" s="9">
        <v>0.37</v>
      </c>
      <c r="I205" s="9">
        <v>1.34</v>
      </c>
      <c r="J205" s="7" t="s">
        <v>49</v>
      </c>
    </row>
    <row r="206" spans="1:10" x14ac:dyDescent="0.2">
      <c r="A206" s="9">
        <v>0</v>
      </c>
      <c r="B206" s="9">
        <v>26</v>
      </c>
      <c r="C206" s="9">
        <v>2</v>
      </c>
      <c r="D206" s="9">
        <v>0</v>
      </c>
      <c r="E206" s="9">
        <v>7</v>
      </c>
      <c r="F206" s="9">
        <v>28</v>
      </c>
      <c r="G206" s="9">
        <v>9.3000000000000007</v>
      </c>
      <c r="H206" s="9">
        <v>1.27</v>
      </c>
      <c r="I206" s="9">
        <v>1.33</v>
      </c>
      <c r="J206" s="7" t="s">
        <v>49</v>
      </c>
    </row>
    <row r="207" spans="1:10" x14ac:dyDescent="0.2">
      <c r="A207" s="9">
        <v>1</v>
      </c>
      <c r="B207" s="9">
        <v>23</v>
      </c>
      <c r="C207" s="9">
        <v>1</v>
      </c>
      <c r="D207" s="9">
        <v>3</v>
      </c>
      <c r="E207" s="9">
        <v>0</v>
      </c>
      <c r="F207" s="9">
        <v>19</v>
      </c>
      <c r="G207" s="9">
        <v>8.4</v>
      </c>
      <c r="H207" s="9">
        <v>0.28000000000000003</v>
      </c>
      <c r="I207" s="9">
        <v>1.32</v>
      </c>
      <c r="J207" s="7" t="s">
        <v>49</v>
      </c>
    </row>
    <row r="208" spans="1:10" x14ac:dyDescent="0.2">
      <c r="A208" s="9">
        <v>0</v>
      </c>
      <c r="B208" s="9">
        <v>34</v>
      </c>
      <c r="C208" s="9">
        <v>1</v>
      </c>
      <c r="D208" s="9">
        <v>0</v>
      </c>
      <c r="E208" s="9">
        <v>1</v>
      </c>
      <c r="F208" s="9">
        <v>21</v>
      </c>
      <c r="G208" s="9">
        <v>7.2</v>
      </c>
      <c r="H208" s="9">
        <v>0.19</v>
      </c>
      <c r="I208" s="9">
        <v>1.32</v>
      </c>
      <c r="J208" s="7" t="s">
        <v>49</v>
      </c>
    </row>
    <row r="209" spans="1:10" x14ac:dyDescent="0.2">
      <c r="A209" s="9">
        <v>0</v>
      </c>
      <c r="B209" s="9">
        <v>39</v>
      </c>
      <c r="C209" s="9">
        <v>1</v>
      </c>
      <c r="D209" s="9">
        <v>10</v>
      </c>
      <c r="E209" s="9">
        <v>4</v>
      </c>
      <c r="F209" s="9">
        <v>31</v>
      </c>
      <c r="G209" s="9">
        <v>4.8</v>
      </c>
      <c r="H209" s="9">
        <v>0.18</v>
      </c>
      <c r="I209" s="9">
        <v>1.3</v>
      </c>
      <c r="J209" s="7" t="s">
        <v>49</v>
      </c>
    </row>
    <row r="210" spans="1:10" x14ac:dyDescent="0.2">
      <c r="A210" s="9">
        <v>0</v>
      </c>
      <c r="B210" s="9">
        <v>39</v>
      </c>
      <c r="C210" s="9">
        <v>1</v>
      </c>
      <c r="D210" s="9">
        <v>4</v>
      </c>
      <c r="E210" s="9">
        <v>9</v>
      </c>
      <c r="F210" s="9">
        <v>38</v>
      </c>
      <c r="G210" s="9">
        <v>6.5</v>
      </c>
      <c r="H210" s="9">
        <v>1.18</v>
      </c>
      <c r="I210" s="9">
        <v>1.29</v>
      </c>
      <c r="J210" s="7" t="s">
        <v>49</v>
      </c>
    </row>
    <row r="211" spans="1:10" x14ac:dyDescent="0.2">
      <c r="A211" s="9">
        <v>0</v>
      </c>
      <c r="B211" s="9">
        <v>35</v>
      </c>
      <c r="C211" s="9">
        <v>2</v>
      </c>
      <c r="D211" s="9">
        <v>1</v>
      </c>
      <c r="E211" s="9">
        <v>1</v>
      </c>
      <c r="F211" s="9">
        <v>21</v>
      </c>
      <c r="G211" s="9">
        <v>7.9</v>
      </c>
      <c r="H211" s="9">
        <v>0.97</v>
      </c>
      <c r="I211" s="9">
        <v>1.29</v>
      </c>
      <c r="J211" s="7" t="s">
        <v>49</v>
      </c>
    </row>
    <row r="212" spans="1:10" x14ac:dyDescent="0.2">
      <c r="A212" s="9">
        <v>1</v>
      </c>
      <c r="B212" s="9">
        <v>29</v>
      </c>
      <c r="C212" s="9">
        <v>2</v>
      </c>
      <c r="D212" s="9">
        <v>4</v>
      </c>
      <c r="E212" s="9">
        <v>3</v>
      </c>
      <c r="F212" s="9">
        <v>37</v>
      </c>
      <c r="G212" s="9">
        <v>6.6</v>
      </c>
      <c r="H212" s="9">
        <v>1.1599999999999999</v>
      </c>
      <c r="I212" s="9">
        <v>1.28</v>
      </c>
      <c r="J212" s="7" t="s">
        <v>49</v>
      </c>
    </row>
    <row r="213" spans="1:10" x14ac:dyDescent="0.2">
      <c r="A213" s="9">
        <v>0</v>
      </c>
      <c r="B213" s="9">
        <v>33</v>
      </c>
      <c r="C213" s="9">
        <v>4</v>
      </c>
      <c r="D213" s="9">
        <v>9</v>
      </c>
      <c r="E213" s="9">
        <v>8</v>
      </c>
      <c r="F213" s="9">
        <v>32</v>
      </c>
      <c r="G213" s="9">
        <v>5.5</v>
      </c>
      <c r="H213" s="9">
        <v>0.5</v>
      </c>
      <c r="I213" s="9">
        <v>1.26</v>
      </c>
      <c r="J213" s="7" t="s">
        <v>49</v>
      </c>
    </row>
    <row r="214" spans="1:10" x14ac:dyDescent="0.2">
      <c r="A214" s="9">
        <v>0</v>
      </c>
      <c r="B214" s="9">
        <v>27</v>
      </c>
      <c r="C214" s="9">
        <v>2</v>
      </c>
      <c r="D214" s="9">
        <v>6</v>
      </c>
      <c r="E214" s="9">
        <v>1</v>
      </c>
      <c r="F214" s="9">
        <v>34</v>
      </c>
      <c r="G214" s="9">
        <v>4.4000000000000004</v>
      </c>
      <c r="H214" s="9">
        <v>0.24</v>
      </c>
      <c r="I214" s="9">
        <v>1.26</v>
      </c>
      <c r="J214" s="7" t="s">
        <v>49</v>
      </c>
    </row>
    <row r="215" spans="1:10" x14ac:dyDescent="0.2">
      <c r="A215" s="9">
        <v>1</v>
      </c>
      <c r="B215" s="9">
        <v>32</v>
      </c>
      <c r="C215" s="9">
        <v>2</v>
      </c>
      <c r="D215" s="9">
        <v>2</v>
      </c>
      <c r="E215" s="9">
        <v>11</v>
      </c>
      <c r="F215" s="9">
        <v>15</v>
      </c>
      <c r="G215" s="9">
        <v>9.1</v>
      </c>
      <c r="H215" s="9">
        <v>0.12</v>
      </c>
      <c r="I215" s="9">
        <v>1.25</v>
      </c>
      <c r="J215" s="7" t="s">
        <v>49</v>
      </c>
    </row>
    <row r="216" spans="1:10" x14ac:dyDescent="0.2">
      <c r="A216" s="9">
        <v>0</v>
      </c>
      <c r="B216" s="9">
        <v>43</v>
      </c>
      <c r="C216" s="9">
        <v>4</v>
      </c>
      <c r="D216" s="9">
        <v>1</v>
      </c>
      <c r="E216" s="9">
        <v>5</v>
      </c>
      <c r="F216" s="9">
        <v>26</v>
      </c>
      <c r="G216" s="9">
        <v>10.6</v>
      </c>
      <c r="H216" s="9">
        <v>1.52</v>
      </c>
      <c r="I216" s="9">
        <v>1.24</v>
      </c>
      <c r="J216" s="7" t="s">
        <v>49</v>
      </c>
    </row>
    <row r="217" spans="1:10" x14ac:dyDescent="0.2">
      <c r="A217" s="9">
        <v>0</v>
      </c>
      <c r="B217" s="9">
        <v>43</v>
      </c>
      <c r="C217" s="9">
        <v>1</v>
      </c>
      <c r="D217" s="9">
        <v>12</v>
      </c>
      <c r="E217" s="9">
        <v>11</v>
      </c>
      <c r="F217" s="9">
        <v>38</v>
      </c>
      <c r="G217" s="9">
        <v>3.6</v>
      </c>
      <c r="H217" s="9">
        <v>0.13</v>
      </c>
      <c r="I217" s="9">
        <v>1.24</v>
      </c>
      <c r="J217" s="7" t="s">
        <v>49</v>
      </c>
    </row>
    <row r="218" spans="1:10" x14ac:dyDescent="0.2">
      <c r="A218" s="9">
        <v>0</v>
      </c>
      <c r="B218" s="9">
        <v>23</v>
      </c>
      <c r="C218" s="9">
        <v>2</v>
      </c>
      <c r="D218" s="9">
        <v>3</v>
      </c>
      <c r="E218" s="9">
        <v>4</v>
      </c>
      <c r="F218" s="9">
        <v>34</v>
      </c>
      <c r="G218" s="9">
        <v>4.4000000000000004</v>
      </c>
      <c r="H218" s="9">
        <v>0.26</v>
      </c>
      <c r="I218" s="9">
        <v>1.23</v>
      </c>
      <c r="J218" s="7" t="s">
        <v>49</v>
      </c>
    </row>
    <row r="219" spans="1:10" x14ac:dyDescent="0.2">
      <c r="A219" s="9">
        <v>0</v>
      </c>
      <c r="B219" s="9">
        <v>39</v>
      </c>
      <c r="C219" s="9">
        <v>1</v>
      </c>
      <c r="D219" s="9">
        <v>13</v>
      </c>
      <c r="E219" s="9">
        <v>9</v>
      </c>
      <c r="F219" s="9">
        <v>27</v>
      </c>
      <c r="G219" s="9">
        <v>8</v>
      </c>
      <c r="H219" s="9">
        <v>0.97</v>
      </c>
      <c r="I219" s="9">
        <v>1.19</v>
      </c>
      <c r="J219" s="7" t="s">
        <v>49</v>
      </c>
    </row>
    <row r="220" spans="1:10" x14ac:dyDescent="0.2">
      <c r="A220" s="9">
        <v>0</v>
      </c>
      <c r="B220" s="9">
        <v>44</v>
      </c>
      <c r="C220" s="9">
        <v>1</v>
      </c>
      <c r="D220" s="9">
        <v>9</v>
      </c>
      <c r="E220" s="9">
        <v>20</v>
      </c>
      <c r="F220" s="9">
        <v>33</v>
      </c>
      <c r="G220" s="9">
        <v>5.2</v>
      </c>
      <c r="H220" s="9">
        <v>0.55000000000000004</v>
      </c>
      <c r="I220" s="9">
        <v>1.17</v>
      </c>
      <c r="J220" s="7" t="s">
        <v>49</v>
      </c>
    </row>
    <row r="221" spans="1:10" x14ac:dyDescent="0.2">
      <c r="A221" s="9">
        <v>0</v>
      </c>
      <c r="B221" s="9">
        <v>26</v>
      </c>
      <c r="C221" s="9">
        <v>2</v>
      </c>
      <c r="D221" s="9">
        <v>5</v>
      </c>
      <c r="E221" s="9">
        <v>7</v>
      </c>
      <c r="F221" s="9">
        <v>28</v>
      </c>
      <c r="G221" s="9">
        <v>7.8</v>
      </c>
      <c r="H221" s="9">
        <v>1.02</v>
      </c>
      <c r="I221" s="9">
        <v>1.1599999999999999</v>
      </c>
      <c r="J221" s="7" t="s">
        <v>49</v>
      </c>
    </row>
    <row r="222" spans="1:10" x14ac:dyDescent="0.2">
      <c r="A222" s="9">
        <v>0</v>
      </c>
      <c r="B222" s="9">
        <v>30</v>
      </c>
      <c r="C222" s="9">
        <v>3</v>
      </c>
      <c r="D222" s="9">
        <v>8</v>
      </c>
      <c r="E222" s="9">
        <v>7</v>
      </c>
      <c r="F222" s="9">
        <v>61</v>
      </c>
      <c r="G222" s="9">
        <v>2.8</v>
      </c>
      <c r="H222" s="9">
        <v>0.55000000000000004</v>
      </c>
      <c r="I222" s="9">
        <v>1.1599999999999999</v>
      </c>
      <c r="J222" s="7" t="s">
        <v>49</v>
      </c>
    </row>
    <row r="223" spans="1:10" x14ac:dyDescent="0.2">
      <c r="A223" s="9">
        <v>0</v>
      </c>
      <c r="B223" s="9">
        <v>25</v>
      </c>
      <c r="C223" s="9">
        <v>2</v>
      </c>
      <c r="D223" s="9">
        <v>4</v>
      </c>
      <c r="E223" s="9">
        <v>6</v>
      </c>
      <c r="F223" s="9">
        <v>33</v>
      </c>
      <c r="G223" s="9">
        <v>5.2</v>
      </c>
      <c r="H223" s="9">
        <v>0.55000000000000004</v>
      </c>
      <c r="I223" s="9">
        <v>1.1599999999999999</v>
      </c>
      <c r="J223" s="7" t="s">
        <v>49</v>
      </c>
    </row>
    <row r="224" spans="1:10" x14ac:dyDescent="0.2">
      <c r="A224" s="9">
        <v>0</v>
      </c>
      <c r="B224" s="9">
        <v>39</v>
      </c>
      <c r="C224" s="9">
        <v>2</v>
      </c>
      <c r="D224" s="9">
        <v>15</v>
      </c>
      <c r="E224" s="9">
        <v>19</v>
      </c>
      <c r="F224" s="9">
        <v>32</v>
      </c>
      <c r="G224" s="9">
        <v>4.9000000000000004</v>
      </c>
      <c r="H224" s="9">
        <v>0.42</v>
      </c>
      <c r="I224" s="9">
        <v>1.1499999999999999</v>
      </c>
      <c r="J224" s="7" t="s">
        <v>49</v>
      </c>
    </row>
    <row r="225" spans="1:10" x14ac:dyDescent="0.2">
      <c r="A225" s="9">
        <v>0</v>
      </c>
      <c r="B225" s="9">
        <v>31</v>
      </c>
      <c r="C225" s="9">
        <v>2</v>
      </c>
      <c r="D225" s="9">
        <v>9</v>
      </c>
      <c r="E225" s="9">
        <v>1</v>
      </c>
      <c r="F225" s="9">
        <v>30</v>
      </c>
      <c r="G225" s="9">
        <v>5.8</v>
      </c>
      <c r="H225" s="9">
        <v>0.97</v>
      </c>
      <c r="I225" s="9">
        <v>1.1399999999999999</v>
      </c>
      <c r="J225" s="7" t="s">
        <v>49</v>
      </c>
    </row>
    <row r="226" spans="1:10" x14ac:dyDescent="0.2">
      <c r="A226" s="9">
        <v>0</v>
      </c>
      <c r="B226" s="9">
        <v>29</v>
      </c>
      <c r="C226" s="9">
        <v>1</v>
      </c>
      <c r="D226" s="9">
        <v>8</v>
      </c>
      <c r="E226" s="9">
        <v>10</v>
      </c>
      <c r="F226" s="9">
        <v>24</v>
      </c>
      <c r="G226" s="9">
        <v>6.7</v>
      </c>
      <c r="H226" s="9">
        <v>0.47</v>
      </c>
      <c r="I226" s="9">
        <v>1.1399999999999999</v>
      </c>
      <c r="J226" s="7" t="s">
        <v>49</v>
      </c>
    </row>
    <row r="227" spans="1:10" x14ac:dyDescent="0.2">
      <c r="A227" s="9">
        <v>0</v>
      </c>
      <c r="B227" s="9">
        <v>35</v>
      </c>
      <c r="C227" s="9">
        <v>1</v>
      </c>
      <c r="D227" s="9">
        <v>13</v>
      </c>
      <c r="E227" s="9">
        <v>15</v>
      </c>
      <c r="F227" s="9">
        <v>35</v>
      </c>
      <c r="G227" s="9">
        <v>4.5</v>
      </c>
      <c r="H227" s="9">
        <v>0.43</v>
      </c>
      <c r="I227" s="9">
        <v>1.1399999999999999</v>
      </c>
      <c r="J227" s="7" t="s">
        <v>49</v>
      </c>
    </row>
    <row r="228" spans="1:10" x14ac:dyDescent="0.2">
      <c r="A228" s="9">
        <v>0</v>
      </c>
      <c r="B228" s="9">
        <v>30</v>
      </c>
      <c r="C228" s="9">
        <v>1</v>
      </c>
      <c r="D228" s="9">
        <v>1</v>
      </c>
      <c r="E228" s="9">
        <v>8</v>
      </c>
      <c r="F228" s="9">
        <v>17</v>
      </c>
      <c r="G228" s="9">
        <v>11</v>
      </c>
      <c r="H228" s="9">
        <v>0.75</v>
      </c>
      <c r="I228" s="9">
        <v>1.1200000000000001</v>
      </c>
      <c r="J228" s="7" t="s">
        <v>49</v>
      </c>
    </row>
    <row r="229" spans="1:10" x14ac:dyDescent="0.2">
      <c r="A229" s="9">
        <v>0</v>
      </c>
      <c r="B229" s="9">
        <v>31</v>
      </c>
      <c r="C229" s="9">
        <v>1</v>
      </c>
      <c r="D229" s="9">
        <v>13</v>
      </c>
      <c r="E229" s="9">
        <v>12</v>
      </c>
      <c r="F229" s="9">
        <v>27</v>
      </c>
      <c r="G229" s="9">
        <v>5</v>
      </c>
      <c r="H229" s="9">
        <v>0.24</v>
      </c>
      <c r="I229" s="9">
        <v>1.1100000000000001</v>
      </c>
      <c r="J229" s="7" t="s">
        <v>49</v>
      </c>
    </row>
    <row r="230" spans="1:10" x14ac:dyDescent="0.2">
      <c r="A230" s="9">
        <v>0</v>
      </c>
      <c r="B230" s="9">
        <v>25</v>
      </c>
      <c r="C230" s="9">
        <v>2</v>
      </c>
      <c r="D230" s="9">
        <v>6</v>
      </c>
      <c r="E230" s="9">
        <v>2</v>
      </c>
      <c r="F230" s="9">
        <v>26</v>
      </c>
      <c r="G230" s="9">
        <v>4.5</v>
      </c>
      <c r="H230" s="9">
        <v>7.0000000000000007E-2</v>
      </c>
      <c r="I230" s="9">
        <v>1.1000000000000001</v>
      </c>
      <c r="J230" s="7" t="s">
        <v>49</v>
      </c>
    </row>
    <row r="231" spans="1:10" x14ac:dyDescent="0.2">
      <c r="A231" s="9">
        <v>0</v>
      </c>
      <c r="B231" s="9">
        <v>40</v>
      </c>
      <c r="C231" s="9">
        <v>2</v>
      </c>
      <c r="D231" s="9">
        <v>2</v>
      </c>
      <c r="E231" s="9">
        <v>1</v>
      </c>
      <c r="F231" s="9">
        <v>36</v>
      </c>
      <c r="G231" s="9">
        <v>3.8</v>
      </c>
      <c r="H231" s="9">
        <v>0.28000000000000003</v>
      </c>
      <c r="I231" s="9">
        <v>1.0900000000000001</v>
      </c>
      <c r="J231" s="7" t="s">
        <v>49</v>
      </c>
    </row>
    <row r="232" spans="1:10" x14ac:dyDescent="0.2">
      <c r="A232" s="9">
        <v>0</v>
      </c>
      <c r="B232" s="9">
        <v>39</v>
      </c>
      <c r="C232" s="9">
        <v>2</v>
      </c>
      <c r="D232" s="9">
        <v>20</v>
      </c>
      <c r="E232" s="9">
        <v>17</v>
      </c>
      <c r="F232" s="9">
        <v>101</v>
      </c>
      <c r="G232" s="9">
        <v>1.4</v>
      </c>
      <c r="H232" s="9">
        <v>0.34</v>
      </c>
      <c r="I232" s="9">
        <v>1.07</v>
      </c>
      <c r="J232" s="7" t="s">
        <v>49</v>
      </c>
    </row>
    <row r="233" spans="1:10" x14ac:dyDescent="0.2">
      <c r="A233" s="9">
        <v>0</v>
      </c>
      <c r="B233" s="9">
        <v>29</v>
      </c>
      <c r="C233" s="9">
        <v>3</v>
      </c>
      <c r="D233" s="9">
        <v>1</v>
      </c>
      <c r="E233" s="9">
        <v>10</v>
      </c>
      <c r="F233" s="9">
        <v>30</v>
      </c>
      <c r="G233" s="9">
        <v>4.5</v>
      </c>
      <c r="H233" s="9">
        <v>0.28000000000000003</v>
      </c>
      <c r="I233" s="9">
        <v>1.07</v>
      </c>
      <c r="J233" s="7" t="s">
        <v>49</v>
      </c>
    </row>
    <row r="234" spans="1:10" x14ac:dyDescent="0.2">
      <c r="A234" s="9">
        <v>0</v>
      </c>
      <c r="B234" s="9">
        <v>29</v>
      </c>
      <c r="C234" s="9">
        <v>1</v>
      </c>
      <c r="D234" s="9">
        <v>3</v>
      </c>
      <c r="E234" s="9">
        <v>1</v>
      </c>
      <c r="F234" s="9">
        <v>17</v>
      </c>
      <c r="G234" s="9">
        <v>9</v>
      </c>
      <c r="H234" s="9">
        <v>0.47</v>
      </c>
      <c r="I234" s="9">
        <v>1.06</v>
      </c>
      <c r="J234" s="7" t="s">
        <v>49</v>
      </c>
    </row>
    <row r="235" spans="1:10" x14ac:dyDescent="0.2">
      <c r="A235" s="9">
        <v>0</v>
      </c>
      <c r="B235" s="9">
        <v>29</v>
      </c>
      <c r="C235" s="9">
        <v>1</v>
      </c>
      <c r="D235" s="9">
        <v>12</v>
      </c>
      <c r="E235" s="9">
        <v>2</v>
      </c>
      <c r="F235" s="9">
        <v>40</v>
      </c>
      <c r="G235" s="9">
        <v>6.7</v>
      </c>
      <c r="H235" s="9">
        <v>1.63</v>
      </c>
      <c r="I235" s="9">
        <v>1.05</v>
      </c>
      <c r="J235" s="7" t="s">
        <v>49</v>
      </c>
    </row>
    <row r="236" spans="1:10" x14ac:dyDescent="0.2">
      <c r="A236" s="9">
        <v>1</v>
      </c>
      <c r="B236" s="9">
        <v>28</v>
      </c>
      <c r="C236" s="9">
        <v>2</v>
      </c>
      <c r="D236" s="9">
        <v>8</v>
      </c>
      <c r="E236" s="9">
        <v>3</v>
      </c>
      <c r="F236" s="9">
        <v>31</v>
      </c>
      <c r="G236" s="9">
        <v>8.1999999999999993</v>
      </c>
      <c r="H236" s="9">
        <v>1.49</v>
      </c>
      <c r="I236" s="9">
        <v>1.05</v>
      </c>
      <c r="J236" s="7" t="s">
        <v>49</v>
      </c>
    </row>
    <row r="237" spans="1:10" x14ac:dyDescent="0.2">
      <c r="A237" s="9">
        <v>0</v>
      </c>
      <c r="B237" s="9">
        <v>36</v>
      </c>
      <c r="C237" s="9">
        <v>1</v>
      </c>
      <c r="D237" s="9">
        <v>1</v>
      </c>
      <c r="E237" s="9">
        <v>4</v>
      </c>
      <c r="F237" s="9">
        <v>16</v>
      </c>
      <c r="G237" s="9">
        <v>9.3000000000000007</v>
      </c>
      <c r="H237" s="9">
        <v>0.43</v>
      </c>
      <c r="I237" s="9">
        <v>1.05</v>
      </c>
      <c r="J237" s="7" t="s">
        <v>49</v>
      </c>
    </row>
    <row r="238" spans="1:10" x14ac:dyDescent="0.2">
      <c r="A238" s="9">
        <v>0</v>
      </c>
      <c r="B238" s="9">
        <v>35</v>
      </c>
      <c r="C238" s="9">
        <v>1</v>
      </c>
      <c r="D238" s="9">
        <v>16</v>
      </c>
      <c r="E238" s="9">
        <v>15</v>
      </c>
      <c r="F238" s="9">
        <v>36</v>
      </c>
      <c r="G238" s="9">
        <v>3.4</v>
      </c>
      <c r="H238" s="9">
        <v>0.18</v>
      </c>
      <c r="I238" s="9">
        <v>1.05</v>
      </c>
      <c r="J238" s="7" t="s">
        <v>49</v>
      </c>
    </row>
    <row r="239" spans="1:10" x14ac:dyDescent="0.2">
      <c r="A239" s="9">
        <v>0</v>
      </c>
      <c r="B239" s="9">
        <v>42</v>
      </c>
      <c r="C239" s="9">
        <v>2</v>
      </c>
      <c r="D239" s="9">
        <v>5</v>
      </c>
      <c r="E239" s="9">
        <v>3</v>
      </c>
      <c r="F239" s="9">
        <v>41</v>
      </c>
      <c r="G239" s="9">
        <v>3.4</v>
      </c>
      <c r="H239" s="9">
        <v>0.36</v>
      </c>
      <c r="I239" s="9">
        <v>1.04</v>
      </c>
      <c r="J239" s="7" t="s">
        <v>49</v>
      </c>
    </row>
    <row r="240" spans="1:10" x14ac:dyDescent="0.2">
      <c r="A240" s="9">
        <v>0</v>
      </c>
      <c r="B240" s="9">
        <v>23</v>
      </c>
      <c r="C240" s="9">
        <v>1</v>
      </c>
      <c r="D240" s="9">
        <v>5</v>
      </c>
      <c r="E240" s="9">
        <v>2</v>
      </c>
      <c r="F240" s="9">
        <v>17</v>
      </c>
      <c r="G240" s="9">
        <v>7.9</v>
      </c>
      <c r="H240" s="9">
        <v>0.3</v>
      </c>
      <c r="I240" s="9">
        <v>1.04</v>
      </c>
      <c r="J240" s="7" t="s">
        <v>49</v>
      </c>
    </row>
    <row r="241" spans="1:10" x14ac:dyDescent="0.2">
      <c r="A241" s="9">
        <v>0</v>
      </c>
      <c r="B241" s="9">
        <v>33</v>
      </c>
      <c r="C241" s="9">
        <v>1</v>
      </c>
      <c r="D241" s="9">
        <v>7</v>
      </c>
      <c r="E241" s="9">
        <v>6</v>
      </c>
      <c r="F241" s="9">
        <v>26</v>
      </c>
      <c r="G241" s="9">
        <v>6</v>
      </c>
      <c r="H241" s="9">
        <v>0.54</v>
      </c>
      <c r="I241" s="9">
        <v>1.02</v>
      </c>
      <c r="J241" s="7" t="s">
        <v>49</v>
      </c>
    </row>
    <row r="242" spans="1:10" x14ac:dyDescent="0.2">
      <c r="A242" s="9">
        <v>0</v>
      </c>
      <c r="B242" s="9">
        <v>40</v>
      </c>
      <c r="C242" s="9">
        <v>3</v>
      </c>
      <c r="D242" s="9">
        <v>18</v>
      </c>
      <c r="E242" s="9">
        <v>6</v>
      </c>
      <c r="F242" s="9">
        <v>100</v>
      </c>
      <c r="G242" s="9">
        <v>2.5</v>
      </c>
      <c r="H242" s="9">
        <v>1.49</v>
      </c>
      <c r="I242" s="9">
        <v>1.01</v>
      </c>
      <c r="J242" s="7" t="s">
        <v>49</v>
      </c>
    </row>
    <row r="243" spans="1:10" x14ac:dyDescent="0.2">
      <c r="A243" s="9">
        <v>0</v>
      </c>
      <c r="B243" s="9">
        <v>21</v>
      </c>
      <c r="C243" s="9">
        <v>3</v>
      </c>
      <c r="D243" s="9">
        <v>0</v>
      </c>
      <c r="E243" s="9">
        <v>2</v>
      </c>
      <c r="F243" s="9">
        <v>24</v>
      </c>
      <c r="G243" s="9">
        <v>7.7</v>
      </c>
      <c r="H243" s="9">
        <v>0.83</v>
      </c>
      <c r="I243" s="9">
        <v>1.01</v>
      </c>
      <c r="J243" s="7" t="s">
        <v>49</v>
      </c>
    </row>
    <row r="244" spans="1:10" x14ac:dyDescent="0.2">
      <c r="A244" s="9">
        <v>0</v>
      </c>
      <c r="B244" s="9">
        <v>38</v>
      </c>
      <c r="C244" s="9">
        <v>2</v>
      </c>
      <c r="D244" s="9">
        <v>13</v>
      </c>
      <c r="E244" s="9">
        <v>0</v>
      </c>
      <c r="F244" s="9">
        <v>59</v>
      </c>
      <c r="G244" s="9">
        <v>2.4</v>
      </c>
      <c r="H244" s="9">
        <v>0.41</v>
      </c>
      <c r="I244" s="9">
        <v>1.01</v>
      </c>
      <c r="J244" s="7" t="s">
        <v>49</v>
      </c>
    </row>
    <row r="245" spans="1:10" x14ac:dyDescent="0.2">
      <c r="A245" s="9">
        <v>0</v>
      </c>
      <c r="B245" s="9">
        <v>51</v>
      </c>
      <c r="C245" s="9">
        <v>3</v>
      </c>
      <c r="D245" s="9">
        <v>16</v>
      </c>
      <c r="E245" s="9">
        <v>25</v>
      </c>
      <c r="F245" s="9">
        <v>82</v>
      </c>
      <c r="G245" s="9">
        <v>4.4000000000000004</v>
      </c>
      <c r="H245" s="9">
        <v>2.6</v>
      </c>
      <c r="I245" s="9">
        <v>1</v>
      </c>
      <c r="J245" s="7" t="s">
        <v>49</v>
      </c>
    </row>
    <row r="246" spans="1:10" x14ac:dyDescent="0.2">
      <c r="A246" s="9">
        <v>1</v>
      </c>
      <c r="B246" s="9">
        <v>23</v>
      </c>
      <c r="C246" s="9">
        <v>1</v>
      </c>
      <c r="D246" s="9">
        <v>2</v>
      </c>
      <c r="E246" s="9">
        <v>1</v>
      </c>
      <c r="F246" s="9">
        <v>25</v>
      </c>
      <c r="G246" s="9">
        <v>4.5</v>
      </c>
      <c r="H246" s="9">
        <v>0.12</v>
      </c>
      <c r="I246" s="9">
        <v>1</v>
      </c>
      <c r="J246" s="7" t="s">
        <v>49</v>
      </c>
    </row>
    <row r="247" spans="1:10" x14ac:dyDescent="0.2">
      <c r="A247" s="9">
        <v>0</v>
      </c>
      <c r="B247" s="9">
        <v>29</v>
      </c>
      <c r="C247" s="9">
        <v>1</v>
      </c>
      <c r="D247" s="9">
        <v>11</v>
      </c>
      <c r="E247" s="9">
        <v>7</v>
      </c>
      <c r="F247" s="9">
        <v>32</v>
      </c>
      <c r="G247" s="9">
        <v>6</v>
      </c>
      <c r="H247" s="9">
        <v>0.93</v>
      </c>
      <c r="I247" s="9">
        <v>0.99</v>
      </c>
      <c r="J247" s="7" t="s">
        <v>49</v>
      </c>
    </row>
    <row r="248" spans="1:10" x14ac:dyDescent="0.2">
      <c r="A248" s="9">
        <v>1</v>
      </c>
      <c r="B248" s="9">
        <v>27</v>
      </c>
      <c r="C248" s="9">
        <v>4</v>
      </c>
      <c r="D248" s="9">
        <v>2</v>
      </c>
      <c r="E248" s="9">
        <v>8</v>
      </c>
      <c r="F248" s="9">
        <v>23</v>
      </c>
      <c r="G248" s="9">
        <v>5.7</v>
      </c>
      <c r="H248" s="9">
        <v>0.32</v>
      </c>
      <c r="I248" s="9">
        <v>0.99</v>
      </c>
      <c r="J248" s="7" t="s">
        <v>49</v>
      </c>
    </row>
    <row r="249" spans="1:10" x14ac:dyDescent="0.2">
      <c r="A249" s="9">
        <v>0</v>
      </c>
      <c r="B249" s="9">
        <v>29</v>
      </c>
      <c r="C249" s="9">
        <v>1</v>
      </c>
      <c r="D249" s="9">
        <v>1</v>
      </c>
      <c r="E249" s="9">
        <v>9</v>
      </c>
      <c r="F249" s="9">
        <v>17</v>
      </c>
      <c r="G249" s="9">
        <v>6.7</v>
      </c>
      <c r="H249" s="9">
        <v>0.16</v>
      </c>
      <c r="I249" s="9">
        <v>0.98</v>
      </c>
      <c r="J249" s="7" t="s">
        <v>49</v>
      </c>
    </row>
    <row r="250" spans="1:10" x14ac:dyDescent="0.2">
      <c r="A250" s="9">
        <v>0</v>
      </c>
      <c r="B250" s="9">
        <v>24</v>
      </c>
      <c r="C250" s="9">
        <v>1</v>
      </c>
      <c r="D250" s="9">
        <v>6</v>
      </c>
      <c r="E250" s="9">
        <v>2</v>
      </c>
      <c r="F250" s="9">
        <v>21</v>
      </c>
      <c r="G250" s="9">
        <v>5.2</v>
      </c>
      <c r="H250" s="9">
        <v>0.11</v>
      </c>
      <c r="I250" s="9">
        <v>0.98</v>
      </c>
      <c r="J250" s="7" t="s">
        <v>49</v>
      </c>
    </row>
    <row r="251" spans="1:10" x14ac:dyDescent="0.2">
      <c r="A251" s="9">
        <v>1</v>
      </c>
      <c r="B251" s="9">
        <v>38</v>
      </c>
      <c r="C251" s="9">
        <v>1</v>
      </c>
      <c r="D251" s="9">
        <v>0</v>
      </c>
      <c r="E251" s="9">
        <v>8</v>
      </c>
      <c r="F251" s="9">
        <v>23</v>
      </c>
      <c r="G251" s="9">
        <v>8.1</v>
      </c>
      <c r="H251" s="9">
        <v>0.9</v>
      </c>
      <c r="I251" s="9">
        <v>0.97</v>
      </c>
      <c r="J251" s="7" t="s">
        <v>49</v>
      </c>
    </row>
    <row r="252" spans="1:10" x14ac:dyDescent="0.2">
      <c r="A252" s="9">
        <v>1</v>
      </c>
      <c r="B252" s="9">
        <v>27</v>
      </c>
      <c r="C252" s="9">
        <v>3</v>
      </c>
      <c r="D252" s="9">
        <v>4</v>
      </c>
      <c r="E252" s="9">
        <v>1</v>
      </c>
      <c r="F252" s="9">
        <v>40</v>
      </c>
      <c r="G252" s="9">
        <v>3.1</v>
      </c>
      <c r="H252" s="9">
        <v>0.28000000000000003</v>
      </c>
      <c r="I252" s="9">
        <v>0.96</v>
      </c>
      <c r="J252" s="7" t="s">
        <v>49</v>
      </c>
    </row>
    <row r="253" spans="1:10" x14ac:dyDescent="0.2">
      <c r="A253" s="9">
        <v>0</v>
      </c>
      <c r="B253" s="9">
        <v>42</v>
      </c>
      <c r="C253" s="9">
        <v>2</v>
      </c>
      <c r="D253" s="9">
        <v>7</v>
      </c>
      <c r="E253" s="9">
        <v>23</v>
      </c>
      <c r="F253" s="9">
        <v>41</v>
      </c>
      <c r="G253" s="9">
        <v>4.5999999999999996</v>
      </c>
      <c r="H253" s="9">
        <v>0.97</v>
      </c>
      <c r="I253" s="9">
        <v>0.94</v>
      </c>
      <c r="J253" s="7" t="s">
        <v>49</v>
      </c>
    </row>
    <row r="254" spans="1:10" x14ac:dyDescent="0.2">
      <c r="A254" s="9">
        <v>0</v>
      </c>
      <c r="B254" s="9">
        <v>32</v>
      </c>
      <c r="C254" s="9">
        <v>2</v>
      </c>
      <c r="D254" s="9">
        <v>7</v>
      </c>
      <c r="E254" s="9">
        <v>10</v>
      </c>
      <c r="F254" s="9">
        <v>32</v>
      </c>
      <c r="G254" s="9">
        <v>4.3</v>
      </c>
      <c r="H254" s="9">
        <v>0.43</v>
      </c>
      <c r="I254" s="9">
        <v>0.94</v>
      </c>
      <c r="J254" s="7" t="s">
        <v>49</v>
      </c>
    </row>
    <row r="255" spans="1:10" x14ac:dyDescent="0.2">
      <c r="A255" s="9">
        <v>0</v>
      </c>
      <c r="B255" s="9">
        <v>21</v>
      </c>
      <c r="C255" s="9">
        <v>2</v>
      </c>
      <c r="D255" s="9">
        <v>0</v>
      </c>
      <c r="E255" s="9">
        <v>1</v>
      </c>
      <c r="F255" s="9">
        <v>16</v>
      </c>
      <c r="G255" s="9">
        <v>6.8</v>
      </c>
      <c r="H255" s="9">
        <v>0.15</v>
      </c>
      <c r="I255" s="9">
        <v>0.94</v>
      </c>
      <c r="J255" s="7" t="s">
        <v>49</v>
      </c>
    </row>
    <row r="256" spans="1:10" x14ac:dyDescent="0.2">
      <c r="A256" s="9">
        <v>0</v>
      </c>
      <c r="B256" s="9">
        <v>25</v>
      </c>
      <c r="C256" s="9">
        <v>1</v>
      </c>
      <c r="D256" s="9">
        <v>8</v>
      </c>
      <c r="E256" s="9">
        <v>1</v>
      </c>
      <c r="F256" s="9">
        <v>35</v>
      </c>
      <c r="G256" s="9">
        <v>2.9</v>
      </c>
      <c r="H256" s="9">
        <v>0.08</v>
      </c>
      <c r="I256" s="9">
        <v>0.94</v>
      </c>
      <c r="J256" s="7" t="s">
        <v>49</v>
      </c>
    </row>
    <row r="257" spans="1:10" x14ac:dyDescent="0.2">
      <c r="A257" s="9">
        <v>0</v>
      </c>
      <c r="B257" s="9">
        <v>34</v>
      </c>
      <c r="C257" s="9">
        <v>6</v>
      </c>
      <c r="D257" s="9">
        <v>7</v>
      </c>
      <c r="E257" s="9">
        <v>12</v>
      </c>
      <c r="F257" s="9">
        <v>25</v>
      </c>
      <c r="G257" s="9">
        <v>10.199999999999999</v>
      </c>
      <c r="H257" s="9">
        <v>1.63</v>
      </c>
      <c r="I257" s="9">
        <v>0.92</v>
      </c>
      <c r="J257" s="7" t="s">
        <v>49</v>
      </c>
    </row>
    <row r="258" spans="1:10" x14ac:dyDescent="0.2">
      <c r="A258" s="9">
        <v>0</v>
      </c>
      <c r="B258" s="9">
        <v>48</v>
      </c>
      <c r="C258" s="9">
        <v>1</v>
      </c>
      <c r="D258" s="9">
        <v>3</v>
      </c>
      <c r="E258" s="9">
        <v>7</v>
      </c>
      <c r="F258" s="9">
        <v>24</v>
      </c>
      <c r="G258" s="9">
        <v>7</v>
      </c>
      <c r="H258" s="9">
        <v>0.76</v>
      </c>
      <c r="I258" s="9">
        <v>0.92</v>
      </c>
      <c r="J258" s="7" t="s">
        <v>49</v>
      </c>
    </row>
    <row r="259" spans="1:10" x14ac:dyDescent="0.2">
      <c r="A259" s="9">
        <v>0</v>
      </c>
      <c r="B259" s="9">
        <v>26</v>
      </c>
      <c r="C259" s="9">
        <v>1</v>
      </c>
      <c r="D259" s="9">
        <v>7</v>
      </c>
      <c r="E259" s="9">
        <v>3</v>
      </c>
      <c r="F259" s="9">
        <v>22</v>
      </c>
      <c r="G259" s="9">
        <v>5.0999999999999996</v>
      </c>
      <c r="H259" s="9">
        <v>0.21</v>
      </c>
      <c r="I259" s="9">
        <v>0.91</v>
      </c>
      <c r="J259" s="7" t="s">
        <v>49</v>
      </c>
    </row>
    <row r="260" spans="1:10" x14ac:dyDescent="0.2">
      <c r="A260" s="9">
        <v>0</v>
      </c>
      <c r="B260" s="9">
        <v>22</v>
      </c>
      <c r="C260" s="9">
        <v>2</v>
      </c>
      <c r="D260" s="9">
        <v>0</v>
      </c>
      <c r="E260" s="9">
        <v>3</v>
      </c>
      <c r="F260" s="9">
        <v>20</v>
      </c>
      <c r="G260" s="9">
        <v>5.6</v>
      </c>
      <c r="H260" s="9">
        <v>0.21</v>
      </c>
      <c r="I260" s="9">
        <v>0.91</v>
      </c>
      <c r="J260" s="7" t="s">
        <v>49</v>
      </c>
    </row>
    <row r="261" spans="1:10" x14ac:dyDescent="0.2">
      <c r="A261" s="9">
        <v>0</v>
      </c>
      <c r="B261" s="9">
        <v>21</v>
      </c>
      <c r="C261" s="9">
        <v>1</v>
      </c>
      <c r="D261" s="9">
        <v>4</v>
      </c>
      <c r="E261" s="9">
        <v>0</v>
      </c>
      <c r="F261" s="9">
        <v>26</v>
      </c>
      <c r="G261" s="9">
        <v>8.9</v>
      </c>
      <c r="H261" s="9">
        <v>1.42</v>
      </c>
      <c r="I261" s="9">
        <v>0.89</v>
      </c>
      <c r="J261" s="7" t="s">
        <v>49</v>
      </c>
    </row>
    <row r="262" spans="1:10" x14ac:dyDescent="0.2">
      <c r="A262" s="9">
        <v>0</v>
      </c>
      <c r="B262" s="9">
        <v>50</v>
      </c>
      <c r="C262" s="9">
        <v>1</v>
      </c>
      <c r="D262" s="9">
        <v>11</v>
      </c>
      <c r="E262" s="9">
        <v>5</v>
      </c>
      <c r="F262" s="9">
        <v>36</v>
      </c>
      <c r="G262" s="9">
        <v>4.8</v>
      </c>
      <c r="H262" s="9">
        <v>0.83</v>
      </c>
      <c r="I262" s="9">
        <v>0.89</v>
      </c>
      <c r="J262" s="7" t="s">
        <v>49</v>
      </c>
    </row>
    <row r="263" spans="1:10" x14ac:dyDescent="0.2">
      <c r="A263" s="9">
        <v>0</v>
      </c>
      <c r="B263" s="9">
        <v>36</v>
      </c>
      <c r="C263" s="9">
        <v>5</v>
      </c>
      <c r="D263" s="9">
        <v>5</v>
      </c>
      <c r="E263" s="9">
        <v>12</v>
      </c>
      <c r="F263" s="9">
        <v>20</v>
      </c>
      <c r="G263" s="9">
        <v>8.1</v>
      </c>
      <c r="H263" s="9">
        <v>0.73</v>
      </c>
      <c r="I263" s="9">
        <v>0.89</v>
      </c>
      <c r="J263" s="7" t="s">
        <v>49</v>
      </c>
    </row>
    <row r="264" spans="1:10" x14ac:dyDescent="0.2">
      <c r="A264" s="9">
        <v>0</v>
      </c>
      <c r="B264" s="9">
        <v>30</v>
      </c>
      <c r="C264" s="9">
        <v>1</v>
      </c>
      <c r="D264" s="9">
        <v>4</v>
      </c>
      <c r="E264" s="9">
        <v>0</v>
      </c>
      <c r="F264" s="9">
        <v>33</v>
      </c>
      <c r="G264" s="9">
        <v>4.2</v>
      </c>
      <c r="H264" s="9">
        <v>0.5</v>
      </c>
      <c r="I264" s="9">
        <v>0.89</v>
      </c>
      <c r="J264" s="7" t="s">
        <v>49</v>
      </c>
    </row>
    <row r="265" spans="1:10" x14ac:dyDescent="0.2">
      <c r="A265" s="9">
        <v>0</v>
      </c>
      <c r="B265" s="9">
        <v>34</v>
      </c>
      <c r="C265" s="9">
        <v>2</v>
      </c>
      <c r="D265" s="9">
        <v>4</v>
      </c>
      <c r="E265" s="9">
        <v>10</v>
      </c>
      <c r="F265" s="9">
        <v>25</v>
      </c>
      <c r="G265" s="9">
        <v>5.8</v>
      </c>
      <c r="H265" s="9">
        <v>0.56999999999999995</v>
      </c>
      <c r="I265" s="9">
        <v>0.88</v>
      </c>
      <c r="J265" s="7" t="s">
        <v>49</v>
      </c>
    </row>
    <row r="266" spans="1:10" x14ac:dyDescent="0.2">
      <c r="A266" s="9">
        <v>1</v>
      </c>
      <c r="B266" s="9">
        <v>25</v>
      </c>
      <c r="C266" s="9">
        <v>1</v>
      </c>
      <c r="D266" s="9">
        <v>1</v>
      </c>
      <c r="E266" s="9">
        <v>0</v>
      </c>
      <c r="F266" s="9">
        <v>20</v>
      </c>
      <c r="G266" s="9">
        <v>6.7</v>
      </c>
      <c r="H266" s="9">
        <v>0.47</v>
      </c>
      <c r="I266" s="9">
        <v>0.87</v>
      </c>
      <c r="J266" s="7" t="s">
        <v>49</v>
      </c>
    </row>
    <row r="267" spans="1:10" x14ac:dyDescent="0.2">
      <c r="A267" s="9">
        <v>0</v>
      </c>
      <c r="B267" s="9">
        <v>31</v>
      </c>
      <c r="C267" s="9">
        <v>1</v>
      </c>
      <c r="D267" s="9">
        <v>9</v>
      </c>
      <c r="E267" s="9">
        <v>5</v>
      </c>
      <c r="F267" s="9">
        <v>26</v>
      </c>
      <c r="G267" s="9">
        <v>4.5</v>
      </c>
      <c r="H267" s="9">
        <v>0.31</v>
      </c>
      <c r="I267" s="9">
        <v>0.86</v>
      </c>
      <c r="J267" s="7" t="s">
        <v>49</v>
      </c>
    </row>
    <row r="268" spans="1:10" x14ac:dyDescent="0.2">
      <c r="A268" s="9">
        <v>0</v>
      </c>
      <c r="B268" s="9">
        <v>27</v>
      </c>
      <c r="C268" s="9">
        <v>3</v>
      </c>
      <c r="D268" s="9">
        <v>2</v>
      </c>
      <c r="E268" s="9">
        <v>7</v>
      </c>
      <c r="F268" s="9">
        <v>26</v>
      </c>
      <c r="G268" s="9">
        <v>6</v>
      </c>
      <c r="H268" s="9">
        <v>0.72</v>
      </c>
      <c r="I268" s="9">
        <v>0.84</v>
      </c>
      <c r="J268" s="7" t="s">
        <v>49</v>
      </c>
    </row>
    <row r="269" spans="1:10" x14ac:dyDescent="0.2">
      <c r="A269" s="9">
        <v>0</v>
      </c>
      <c r="B269" s="9">
        <v>33</v>
      </c>
      <c r="C269" s="9">
        <v>4</v>
      </c>
      <c r="D269" s="9">
        <v>9</v>
      </c>
      <c r="E269" s="9">
        <v>10</v>
      </c>
      <c r="F269" s="9">
        <v>28</v>
      </c>
      <c r="G269" s="9">
        <v>4.3</v>
      </c>
      <c r="H269" s="9">
        <v>0.38</v>
      </c>
      <c r="I269" s="9">
        <v>0.83</v>
      </c>
      <c r="J269" s="7" t="s">
        <v>49</v>
      </c>
    </row>
    <row r="270" spans="1:10" x14ac:dyDescent="0.2">
      <c r="A270" s="9">
        <v>0</v>
      </c>
      <c r="B270" s="9">
        <v>41</v>
      </c>
      <c r="C270" s="9">
        <v>1</v>
      </c>
      <c r="D270" s="9">
        <v>15</v>
      </c>
      <c r="E270" s="9">
        <v>14</v>
      </c>
      <c r="F270" s="13">
        <v>117.54291069294821</v>
      </c>
      <c r="G270" s="9">
        <v>2.9</v>
      </c>
      <c r="H270" s="9">
        <v>2.66</v>
      </c>
      <c r="I270" s="9">
        <v>0.82</v>
      </c>
      <c r="J270" s="7" t="s">
        <v>49</v>
      </c>
    </row>
    <row r="271" spans="1:10" x14ac:dyDescent="0.2">
      <c r="A271" s="9">
        <v>0</v>
      </c>
      <c r="B271" s="9">
        <v>24</v>
      </c>
      <c r="C271" s="9">
        <v>1</v>
      </c>
      <c r="D271" s="9">
        <v>8</v>
      </c>
      <c r="E271" s="9">
        <v>4</v>
      </c>
      <c r="F271" s="9">
        <v>24</v>
      </c>
      <c r="G271" s="9">
        <v>5</v>
      </c>
      <c r="H271" s="9">
        <v>0.38</v>
      </c>
      <c r="I271" s="9">
        <v>0.82</v>
      </c>
      <c r="J271" s="7" t="s">
        <v>49</v>
      </c>
    </row>
    <row r="272" spans="1:10" x14ac:dyDescent="0.2">
      <c r="A272" s="9">
        <v>1</v>
      </c>
      <c r="B272" s="9">
        <v>24</v>
      </c>
      <c r="C272" s="9">
        <v>1</v>
      </c>
      <c r="D272" s="9">
        <v>1</v>
      </c>
      <c r="E272" s="9">
        <v>0</v>
      </c>
      <c r="F272" s="9">
        <v>18</v>
      </c>
      <c r="G272" s="9">
        <v>5.9</v>
      </c>
      <c r="H272" s="9">
        <v>0.24</v>
      </c>
      <c r="I272" s="9">
        <v>0.82</v>
      </c>
      <c r="J272" s="7" t="s">
        <v>49</v>
      </c>
    </row>
    <row r="273" spans="1:10" x14ac:dyDescent="0.2">
      <c r="A273" s="9">
        <v>0</v>
      </c>
      <c r="B273" s="9">
        <v>35</v>
      </c>
      <c r="C273" s="9">
        <v>2</v>
      </c>
      <c r="D273" s="9">
        <v>5</v>
      </c>
      <c r="E273" s="9">
        <v>1</v>
      </c>
      <c r="F273" s="9">
        <v>33</v>
      </c>
      <c r="G273" s="9">
        <v>2.8</v>
      </c>
      <c r="H273" s="9">
        <v>0.1</v>
      </c>
      <c r="I273" s="9">
        <v>0.82</v>
      </c>
      <c r="J273" s="7" t="s">
        <v>49</v>
      </c>
    </row>
    <row r="274" spans="1:10" x14ac:dyDescent="0.2">
      <c r="A274" s="9">
        <v>0</v>
      </c>
      <c r="B274" s="9">
        <v>43</v>
      </c>
      <c r="C274" s="9">
        <v>1</v>
      </c>
      <c r="D274" s="9">
        <v>8</v>
      </c>
      <c r="E274" s="9">
        <v>11</v>
      </c>
      <c r="F274" s="9">
        <v>45</v>
      </c>
      <c r="G274" s="9">
        <v>3.3</v>
      </c>
      <c r="H274" s="9">
        <v>0.68</v>
      </c>
      <c r="I274" s="9">
        <v>0.81</v>
      </c>
      <c r="J274" s="7" t="s">
        <v>49</v>
      </c>
    </row>
    <row r="275" spans="1:10" x14ac:dyDescent="0.2">
      <c r="A275" s="9">
        <v>0</v>
      </c>
      <c r="B275" s="9">
        <v>24</v>
      </c>
      <c r="C275" s="9">
        <v>1</v>
      </c>
      <c r="D275" s="9">
        <v>7</v>
      </c>
      <c r="E275" s="9">
        <v>2</v>
      </c>
      <c r="F275" s="9">
        <v>21</v>
      </c>
      <c r="G275" s="9">
        <v>6.3</v>
      </c>
      <c r="H275" s="9">
        <v>0.52</v>
      </c>
      <c r="I275" s="9">
        <v>0.8</v>
      </c>
      <c r="J275" s="7" t="s">
        <v>49</v>
      </c>
    </row>
    <row r="276" spans="1:10" x14ac:dyDescent="0.2">
      <c r="A276" s="9">
        <v>0</v>
      </c>
      <c r="B276" s="9">
        <v>33</v>
      </c>
      <c r="C276" s="9">
        <v>1</v>
      </c>
      <c r="D276" s="9">
        <v>7</v>
      </c>
      <c r="E276" s="9">
        <v>0</v>
      </c>
      <c r="F276" s="9">
        <v>22</v>
      </c>
      <c r="G276" s="9">
        <v>6.4</v>
      </c>
      <c r="H276" s="9">
        <v>0.63</v>
      </c>
      <c r="I276" s="9">
        <v>0.78</v>
      </c>
      <c r="J276" s="7" t="s">
        <v>49</v>
      </c>
    </row>
    <row r="277" spans="1:10" x14ac:dyDescent="0.2">
      <c r="A277" s="9">
        <v>0</v>
      </c>
      <c r="B277" s="9">
        <v>26</v>
      </c>
      <c r="C277" s="9">
        <v>1</v>
      </c>
      <c r="D277" s="9">
        <v>4</v>
      </c>
      <c r="E277" s="9">
        <v>3</v>
      </c>
      <c r="F277" s="9">
        <v>20</v>
      </c>
      <c r="G277" s="9">
        <v>5.4</v>
      </c>
      <c r="H277" s="9">
        <v>0.32</v>
      </c>
      <c r="I277" s="9">
        <v>0.76</v>
      </c>
      <c r="J277" s="7" t="s">
        <v>49</v>
      </c>
    </row>
    <row r="278" spans="1:10" x14ac:dyDescent="0.2">
      <c r="A278" s="9">
        <v>0</v>
      </c>
      <c r="B278" s="9">
        <v>33</v>
      </c>
      <c r="C278" s="9">
        <v>1</v>
      </c>
      <c r="D278" s="9">
        <v>14</v>
      </c>
      <c r="E278" s="9">
        <v>2</v>
      </c>
      <c r="F278" s="9">
        <v>37</v>
      </c>
      <c r="G278" s="9">
        <v>2.6</v>
      </c>
      <c r="H278" s="9">
        <v>0.2</v>
      </c>
      <c r="I278" s="9">
        <v>0.76</v>
      </c>
      <c r="J278" s="7" t="s">
        <v>49</v>
      </c>
    </row>
    <row r="279" spans="1:10" x14ac:dyDescent="0.2">
      <c r="A279" s="9">
        <v>0</v>
      </c>
      <c r="B279" s="9">
        <v>39</v>
      </c>
      <c r="C279" s="9">
        <v>1</v>
      </c>
      <c r="D279" s="9">
        <v>19</v>
      </c>
      <c r="E279" s="9">
        <v>16</v>
      </c>
      <c r="F279" s="9">
        <v>45</v>
      </c>
      <c r="G279" s="9">
        <v>3.7</v>
      </c>
      <c r="H279" s="9">
        <v>0.92</v>
      </c>
      <c r="I279" s="9">
        <v>0.75</v>
      </c>
      <c r="J279" s="7" t="s">
        <v>49</v>
      </c>
    </row>
    <row r="280" spans="1:10" x14ac:dyDescent="0.2">
      <c r="A280" s="9">
        <v>1</v>
      </c>
      <c r="B280" s="9">
        <v>27</v>
      </c>
      <c r="C280" s="9">
        <v>2</v>
      </c>
      <c r="D280" s="9">
        <v>7</v>
      </c>
      <c r="E280" s="9">
        <v>8</v>
      </c>
      <c r="F280" s="9">
        <v>30</v>
      </c>
      <c r="G280" s="9">
        <v>4</v>
      </c>
      <c r="H280" s="9">
        <v>0.45</v>
      </c>
      <c r="I280" s="9">
        <v>0.75</v>
      </c>
      <c r="J280" s="7" t="s">
        <v>49</v>
      </c>
    </row>
    <row r="281" spans="1:10" x14ac:dyDescent="0.2">
      <c r="A281" s="9">
        <v>1</v>
      </c>
      <c r="B281" s="9">
        <v>32</v>
      </c>
      <c r="C281" s="9">
        <v>2</v>
      </c>
      <c r="D281" s="9">
        <v>0</v>
      </c>
      <c r="E281" s="9">
        <v>6</v>
      </c>
      <c r="F281" s="9">
        <v>18</v>
      </c>
      <c r="G281" s="9">
        <v>5.8</v>
      </c>
      <c r="H281" s="9">
        <v>0.3</v>
      </c>
      <c r="I281" s="9">
        <v>0.75</v>
      </c>
      <c r="J281" s="7" t="s">
        <v>49</v>
      </c>
    </row>
    <row r="282" spans="1:10" x14ac:dyDescent="0.2">
      <c r="A282" s="9">
        <v>1</v>
      </c>
      <c r="B282" s="9">
        <v>26</v>
      </c>
      <c r="C282" s="9">
        <v>1</v>
      </c>
      <c r="D282" s="9">
        <v>0</v>
      </c>
      <c r="E282" s="9">
        <v>0</v>
      </c>
      <c r="F282" s="9">
        <v>14</v>
      </c>
      <c r="G282" s="9">
        <v>7.5</v>
      </c>
      <c r="H282" s="9">
        <v>0.3</v>
      </c>
      <c r="I282" s="9">
        <v>0.75</v>
      </c>
      <c r="J282" s="7" t="s">
        <v>49</v>
      </c>
    </row>
    <row r="283" spans="1:10" x14ac:dyDescent="0.2">
      <c r="A283" s="9">
        <v>1</v>
      </c>
      <c r="B283" s="9">
        <v>24</v>
      </c>
      <c r="C283" s="9">
        <v>3</v>
      </c>
      <c r="D283" s="9">
        <v>2</v>
      </c>
      <c r="E283" s="9">
        <v>5</v>
      </c>
      <c r="F283" s="9">
        <v>16</v>
      </c>
      <c r="G283" s="9">
        <v>6.4</v>
      </c>
      <c r="H283" s="9">
        <v>0.27</v>
      </c>
      <c r="I283" s="9">
        <v>0.75</v>
      </c>
      <c r="J283" s="7" t="s">
        <v>49</v>
      </c>
    </row>
    <row r="284" spans="1:10" x14ac:dyDescent="0.2">
      <c r="A284" s="9">
        <v>1</v>
      </c>
      <c r="B284" s="9">
        <v>37</v>
      </c>
      <c r="C284" s="9">
        <v>1</v>
      </c>
      <c r="D284" s="9">
        <v>0</v>
      </c>
      <c r="E284" s="9">
        <v>18</v>
      </c>
      <c r="F284" s="9">
        <v>18</v>
      </c>
      <c r="G284" s="9">
        <v>12.9</v>
      </c>
      <c r="H284" s="9">
        <v>1.58</v>
      </c>
      <c r="I284" s="9">
        <v>0.74</v>
      </c>
      <c r="J284" s="7" t="s">
        <v>49</v>
      </c>
    </row>
    <row r="285" spans="1:10" x14ac:dyDescent="0.2">
      <c r="A285" s="9">
        <v>0</v>
      </c>
      <c r="B285" s="9">
        <v>32</v>
      </c>
      <c r="C285" s="9">
        <v>1</v>
      </c>
      <c r="D285" s="9">
        <v>8</v>
      </c>
      <c r="E285" s="9">
        <v>6</v>
      </c>
      <c r="F285" s="9">
        <v>26</v>
      </c>
      <c r="G285" s="9">
        <v>4.0999999999999996</v>
      </c>
      <c r="H285" s="9">
        <v>0.33</v>
      </c>
      <c r="I285" s="9">
        <v>0.74</v>
      </c>
      <c r="J285" s="7" t="s">
        <v>49</v>
      </c>
    </row>
    <row r="286" spans="1:10" x14ac:dyDescent="0.2">
      <c r="A286" s="9">
        <v>0</v>
      </c>
      <c r="B286" s="9">
        <v>30</v>
      </c>
      <c r="C286" s="9">
        <v>4</v>
      </c>
      <c r="D286" s="9">
        <v>2</v>
      </c>
      <c r="E286" s="9">
        <v>8</v>
      </c>
      <c r="F286" s="9">
        <v>25</v>
      </c>
      <c r="G286" s="9">
        <v>10</v>
      </c>
      <c r="H286" s="9">
        <v>1.77</v>
      </c>
      <c r="I286" s="9">
        <v>0.73</v>
      </c>
      <c r="J286" s="7" t="s">
        <v>49</v>
      </c>
    </row>
    <row r="287" spans="1:10" x14ac:dyDescent="0.2">
      <c r="A287" s="9">
        <v>1</v>
      </c>
      <c r="B287" s="9">
        <v>23</v>
      </c>
      <c r="C287" s="9">
        <v>1</v>
      </c>
      <c r="D287" s="9">
        <v>2</v>
      </c>
      <c r="E287" s="9">
        <v>2</v>
      </c>
      <c r="F287" s="9">
        <v>16</v>
      </c>
      <c r="G287" s="9">
        <v>9.6</v>
      </c>
      <c r="H287" s="9">
        <v>0.8</v>
      </c>
      <c r="I287" s="9">
        <v>0.73</v>
      </c>
      <c r="J287" s="7" t="s">
        <v>49</v>
      </c>
    </row>
    <row r="288" spans="1:10" x14ac:dyDescent="0.2">
      <c r="A288" s="9">
        <v>0</v>
      </c>
      <c r="B288" s="9">
        <v>32</v>
      </c>
      <c r="C288" s="9">
        <v>3</v>
      </c>
      <c r="D288" s="9">
        <v>5</v>
      </c>
      <c r="E288" s="9">
        <v>9</v>
      </c>
      <c r="F288" s="9">
        <v>23</v>
      </c>
      <c r="G288" s="9">
        <v>4.5</v>
      </c>
      <c r="H288" s="9">
        <v>0.33</v>
      </c>
      <c r="I288" s="9">
        <v>0.71</v>
      </c>
      <c r="J288" s="7" t="s">
        <v>49</v>
      </c>
    </row>
    <row r="289" spans="1:10" x14ac:dyDescent="0.2">
      <c r="A289" s="9">
        <v>0</v>
      </c>
      <c r="B289" s="9">
        <v>32</v>
      </c>
      <c r="C289" s="9">
        <v>1</v>
      </c>
      <c r="D289" s="9">
        <v>12</v>
      </c>
      <c r="E289" s="9">
        <v>12</v>
      </c>
      <c r="F289" s="9">
        <v>28</v>
      </c>
      <c r="G289" s="9">
        <v>2.9</v>
      </c>
      <c r="H289" s="9">
        <v>0.12</v>
      </c>
      <c r="I289" s="9">
        <v>0.7</v>
      </c>
      <c r="J289" s="7" t="s">
        <v>49</v>
      </c>
    </row>
    <row r="290" spans="1:10" x14ac:dyDescent="0.2">
      <c r="A290" s="9">
        <v>0</v>
      </c>
      <c r="B290" s="9">
        <v>40</v>
      </c>
      <c r="C290" s="9">
        <v>1</v>
      </c>
      <c r="D290" s="9">
        <v>13</v>
      </c>
      <c r="E290" s="9">
        <v>2</v>
      </c>
      <c r="F290" s="9">
        <v>28</v>
      </c>
      <c r="G290" s="9">
        <v>5.9</v>
      </c>
      <c r="H290" s="9">
        <v>0.96</v>
      </c>
      <c r="I290" s="9">
        <v>0.69</v>
      </c>
      <c r="J290" s="7" t="s">
        <v>49</v>
      </c>
    </row>
    <row r="291" spans="1:10" x14ac:dyDescent="0.2">
      <c r="A291" s="9">
        <v>0</v>
      </c>
      <c r="B291" s="9">
        <v>32</v>
      </c>
      <c r="C291" s="9">
        <v>2</v>
      </c>
      <c r="D291" s="9">
        <v>8</v>
      </c>
      <c r="E291" s="9">
        <v>2</v>
      </c>
      <c r="F291" s="9">
        <v>45</v>
      </c>
      <c r="G291" s="9">
        <v>3.7</v>
      </c>
      <c r="H291" s="9">
        <v>0.98</v>
      </c>
      <c r="I291" s="9">
        <v>0.68</v>
      </c>
      <c r="J291" s="7" t="s">
        <v>49</v>
      </c>
    </row>
    <row r="292" spans="1:10" x14ac:dyDescent="0.2">
      <c r="A292" s="9">
        <v>0</v>
      </c>
      <c r="B292" s="9">
        <v>41</v>
      </c>
      <c r="C292" s="9">
        <v>1</v>
      </c>
      <c r="D292" s="9">
        <v>13</v>
      </c>
      <c r="E292" s="9">
        <v>10</v>
      </c>
      <c r="F292" s="9">
        <v>44</v>
      </c>
      <c r="G292" s="9">
        <v>1.7</v>
      </c>
      <c r="H292" s="9">
        <v>7.0000000000000007E-2</v>
      </c>
      <c r="I292" s="9">
        <v>0.68</v>
      </c>
      <c r="J292" s="7" t="s">
        <v>49</v>
      </c>
    </row>
    <row r="293" spans="1:10" x14ac:dyDescent="0.2">
      <c r="A293" s="9">
        <v>1</v>
      </c>
      <c r="B293" s="9">
        <v>32</v>
      </c>
      <c r="C293" s="9">
        <v>1</v>
      </c>
      <c r="D293" s="9">
        <v>1</v>
      </c>
      <c r="E293" s="9">
        <v>0</v>
      </c>
      <c r="F293" s="9">
        <v>20</v>
      </c>
      <c r="G293" s="9">
        <v>4.8</v>
      </c>
      <c r="H293" s="9">
        <v>0.31</v>
      </c>
      <c r="I293" s="9">
        <v>0.65</v>
      </c>
      <c r="J293" s="7" t="s">
        <v>49</v>
      </c>
    </row>
    <row r="294" spans="1:10" x14ac:dyDescent="0.2">
      <c r="A294" s="9">
        <v>0</v>
      </c>
      <c r="B294" s="9">
        <v>37</v>
      </c>
      <c r="C294" s="9">
        <v>1</v>
      </c>
      <c r="D294" s="9">
        <v>3</v>
      </c>
      <c r="E294" s="9">
        <v>3</v>
      </c>
      <c r="F294" s="9">
        <v>25</v>
      </c>
      <c r="G294" s="9">
        <v>3.7</v>
      </c>
      <c r="H294" s="9">
        <v>0.28000000000000003</v>
      </c>
      <c r="I294" s="9">
        <v>0.65</v>
      </c>
      <c r="J294" s="7" t="s">
        <v>49</v>
      </c>
    </row>
    <row r="295" spans="1:10" x14ac:dyDescent="0.2">
      <c r="A295" s="9">
        <v>0</v>
      </c>
      <c r="B295" s="9">
        <v>31</v>
      </c>
      <c r="C295" s="9">
        <v>1</v>
      </c>
      <c r="D295" s="9">
        <v>9</v>
      </c>
      <c r="E295" s="9">
        <v>10</v>
      </c>
      <c r="F295" s="9">
        <v>28</v>
      </c>
      <c r="G295" s="9">
        <v>2.4</v>
      </c>
      <c r="H295" s="9">
        <v>0.05</v>
      </c>
      <c r="I295" s="9">
        <v>0.62</v>
      </c>
      <c r="J295" s="7" t="s">
        <v>49</v>
      </c>
    </row>
    <row r="296" spans="1:10" x14ac:dyDescent="0.2">
      <c r="A296" s="9">
        <v>0</v>
      </c>
      <c r="B296" s="9">
        <v>38</v>
      </c>
      <c r="C296" s="9">
        <v>3</v>
      </c>
      <c r="D296" s="9">
        <v>3</v>
      </c>
      <c r="E296" s="9">
        <v>18</v>
      </c>
      <c r="F296" s="9">
        <v>25</v>
      </c>
      <c r="G296" s="9">
        <v>3.7</v>
      </c>
      <c r="H296" s="9">
        <v>0.31</v>
      </c>
      <c r="I296" s="9">
        <v>0.61</v>
      </c>
      <c r="J296" s="7" t="s">
        <v>49</v>
      </c>
    </row>
    <row r="297" spans="1:10" x14ac:dyDescent="0.2">
      <c r="A297" s="9">
        <v>0</v>
      </c>
      <c r="B297" s="9">
        <v>32</v>
      </c>
      <c r="C297" s="9">
        <v>1</v>
      </c>
      <c r="D297" s="9">
        <v>14</v>
      </c>
      <c r="E297" s="9">
        <v>0</v>
      </c>
      <c r="F297" s="9">
        <v>36</v>
      </c>
      <c r="G297" s="9">
        <v>2.4</v>
      </c>
      <c r="H297" s="9">
        <v>0.27</v>
      </c>
      <c r="I297" s="9">
        <v>0.59</v>
      </c>
      <c r="J297" s="7" t="s">
        <v>49</v>
      </c>
    </row>
    <row r="298" spans="1:10" x14ac:dyDescent="0.2">
      <c r="A298" s="9">
        <v>0</v>
      </c>
      <c r="B298" s="9">
        <v>35</v>
      </c>
      <c r="C298" s="9">
        <v>2</v>
      </c>
      <c r="D298" s="9">
        <v>13</v>
      </c>
      <c r="E298" s="9">
        <v>3</v>
      </c>
      <c r="F298" s="9">
        <v>105</v>
      </c>
      <c r="G298" s="9">
        <v>1.9</v>
      </c>
      <c r="H298" s="9">
        <v>1.42</v>
      </c>
      <c r="I298" s="9">
        <v>0.57999999999999996</v>
      </c>
      <c r="J298" s="7" t="s">
        <v>49</v>
      </c>
    </row>
    <row r="299" spans="1:10" x14ac:dyDescent="0.2">
      <c r="A299" s="9">
        <v>0</v>
      </c>
      <c r="B299" s="9">
        <v>26</v>
      </c>
      <c r="C299" s="9">
        <v>2</v>
      </c>
      <c r="D299" s="9">
        <v>6</v>
      </c>
      <c r="E299" s="9">
        <v>0</v>
      </c>
      <c r="F299" s="9">
        <v>35</v>
      </c>
      <c r="G299" s="9">
        <v>1.9</v>
      </c>
      <c r="H299" s="9">
        <v>0.09</v>
      </c>
      <c r="I299" s="9">
        <v>0.57999999999999996</v>
      </c>
      <c r="J299" s="7" t="s">
        <v>49</v>
      </c>
    </row>
    <row r="300" spans="1:10" x14ac:dyDescent="0.2">
      <c r="A300" s="9">
        <v>1</v>
      </c>
      <c r="B300" s="9">
        <v>28</v>
      </c>
      <c r="C300" s="9">
        <v>4</v>
      </c>
      <c r="D300" s="9">
        <v>2</v>
      </c>
      <c r="E300" s="9">
        <v>4</v>
      </c>
      <c r="F300" s="9">
        <v>41</v>
      </c>
      <c r="G300" s="9">
        <v>2.5</v>
      </c>
      <c r="H300" s="9">
        <v>0.46</v>
      </c>
      <c r="I300" s="9">
        <v>0.56999999999999995</v>
      </c>
      <c r="J300" s="7" t="s">
        <v>49</v>
      </c>
    </row>
    <row r="301" spans="1:10" x14ac:dyDescent="0.2">
      <c r="A301" s="9">
        <v>0</v>
      </c>
      <c r="B301" s="9">
        <v>36</v>
      </c>
      <c r="C301" s="9">
        <v>1</v>
      </c>
      <c r="D301" s="9">
        <v>15</v>
      </c>
      <c r="E301" s="9">
        <v>10</v>
      </c>
      <c r="F301" s="9">
        <v>39</v>
      </c>
      <c r="G301" s="9">
        <v>3.2</v>
      </c>
      <c r="H301" s="9">
        <v>0.69</v>
      </c>
      <c r="I301" s="9">
        <v>0.56000000000000005</v>
      </c>
      <c r="J301" s="7" t="s">
        <v>49</v>
      </c>
    </row>
    <row r="302" spans="1:10" x14ac:dyDescent="0.2">
      <c r="A302" s="9">
        <v>0</v>
      </c>
      <c r="B302" s="9">
        <v>39</v>
      </c>
      <c r="C302" s="9">
        <v>2</v>
      </c>
      <c r="D302" s="9">
        <v>18</v>
      </c>
      <c r="E302" s="9">
        <v>9</v>
      </c>
      <c r="F302" s="9">
        <v>44</v>
      </c>
      <c r="G302" s="9">
        <v>2.1</v>
      </c>
      <c r="H302" s="9">
        <v>0.37</v>
      </c>
      <c r="I302" s="9">
        <v>0.56000000000000005</v>
      </c>
      <c r="J302" s="7" t="s">
        <v>49</v>
      </c>
    </row>
    <row r="303" spans="1:10" x14ac:dyDescent="0.2">
      <c r="A303" s="9">
        <v>0</v>
      </c>
      <c r="B303" s="9">
        <v>39</v>
      </c>
      <c r="C303" s="9">
        <v>1</v>
      </c>
      <c r="D303" s="9">
        <v>8</v>
      </c>
      <c r="E303" s="9">
        <v>0</v>
      </c>
      <c r="F303" s="9">
        <v>21</v>
      </c>
      <c r="G303" s="9">
        <v>4</v>
      </c>
      <c r="H303" s="9">
        <v>0.28000000000000003</v>
      </c>
      <c r="I303" s="9">
        <v>0.56000000000000005</v>
      </c>
      <c r="J303" s="7" t="s">
        <v>49</v>
      </c>
    </row>
    <row r="304" spans="1:10" x14ac:dyDescent="0.2">
      <c r="A304" s="9">
        <v>0</v>
      </c>
      <c r="B304" s="9">
        <v>39</v>
      </c>
      <c r="C304" s="9">
        <v>1</v>
      </c>
      <c r="D304" s="9">
        <v>15</v>
      </c>
      <c r="E304" s="9">
        <v>16</v>
      </c>
      <c r="F304" s="9">
        <v>39</v>
      </c>
      <c r="G304" s="9">
        <v>1.8</v>
      </c>
      <c r="H304" s="9">
        <v>0.14000000000000001</v>
      </c>
      <c r="I304" s="9">
        <v>0.56000000000000005</v>
      </c>
      <c r="J304" s="7" t="s">
        <v>49</v>
      </c>
    </row>
    <row r="305" spans="1:10" x14ac:dyDescent="0.2">
      <c r="A305" s="9">
        <v>0</v>
      </c>
      <c r="B305" s="9">
        <v>29</v>
      </c>
      <c r="C305" s="9">
        <v>1</v>
      </c>
      <c r="D305" s="9">
        <v>13</v>
      </c>
      <c r="E305" s="9">
        <v>7</v>
      </c>
      <c r="F305" s="9">
        <v>27</v>
      </c>
      <c r="G305" s="9">
        <v>2.2999999999999998</v>
      </c>
      <c r="H305" s="9">
        <v>7.0000000000000007E-2</v>
      </c>
      <c r="I305" s="9">
        <v>0.55000000000000004</v>
      </c>
      <c r="J305" s="7" t="s">
        <v>49</v>
      </c>
    </row>
    <row r="306" spans="1:10" x14ac:dyDescent="0.2">
      <c r="A306" s="9">
        <v>0</v>
      </c>
      <c r="B306" s="9">
        <v>40</v>
      </c>
      <c r="C306" s="9">
        <v>4</v>
      </c>
      <c r="D306" s="9">
        <v>5</v>
      </c>
      <c r="E306" s="9">
        <v>6</v>
      </c>
      <c r="F306" s="9">
        <v>75</v>
      </c>
      <c r="G306" s="9">
        <v>1.9</v>
      </c>
      <c r="H306" s="9">
        <v>0.88</v>
      </c>
      <c r="I306" s="9">
        <v>0.54</v>
      </c>
      <c r="J306" s="7" t="s">
        <v>49</v>
      </c>
    </row>
    <row r="307" spans="1:10" x14ac:dyDescent="0.2">
      <c r="A307" s="9">
        <v>0</v>
      </c>
      <c r="B307" s="9">
        <v>29</v>
      </c>
      <c r="C307" s="9">
        <v>2</v>
      </c>
      <c r="D307" s="9">
        <v>4</v>
      </c>
      <c r="E307" s="9">
        <v>9</v>
      </c>
      <c r="F307" s="9">
        <v>19</v>
      </c>
      <c r="G307" s="9">
        <v>6.3</v>
      </c>
      <c r="H307" s="9">
        <v>0.68</v>
      </c>
      <c r="I307" s="9">
        <v>0.52</v>
      </c>
      <c r="J307" s="7" t="s">
        <v>49</v>
      </c>
    </row>
    <row r="308" spans="1:10" x14ac:dyDescent="0.2">
      <c r="A308" s="9">
        <v>0</v>
      </c>
      <c r="B308" s="9">
        <v>37</v>
      </c>
      <c r="C308" s="9">
        <v>1</v>
      </c>
      <c r="D308" s="9">
        <v>20</v>
      </c>
      <c r="E308" s="9">
        <v>2</v>
      </c>
      <c r="F308" s="9">
        <v>56</v>
      </c>
      <c r="G308" s="9">
        <v>1.9</v>
      </c>
      <c r="H308" s="9">
        <v>0.54</v>
      </c>
      <c r="I308" s="9">
        <v>0.52</v>
      </c>
      <c r="J308" s="7" t="s">
        <v>49</v>
      </c>
    </row>
    <row r="309" spans="1:10" x14ac:dyDescent="0.2">
      <c r="A309" s="9">
        <v>0</v>
      </c>
      <c r="B309" s="9">
        <v>22</v>
      </c>
      <c r="C309" s="9">
        <v>1</v>
      </c>
      <c r="D309" s="9">
        <v>1</v>
      </c>
      <c r="E309" s="9">
        <v>0</v>
      </c>
      <c r="F309" s="9">
        <v>18</v>
      </c>
      <c r="G309" s="9">
        <v>4.4000000000000004</v>
      </c>
      <c r="H309" s="9">
        <v>0.27</v>
      </c>
      <c r="I309" s="9">
        <v>0.52</v>
      </c>
      <c r="J309" s="7" t="s">
        <v>49</v>
      </c>
    </row>
    <row r="310" spans="1:10" x14ac:dyDescent="0.2">
      <c r="A310" s="9">
        <v>0</v>
      </c>
      <c r="B310" s="9">
        <v>28</v>
      </c>
      <c r="C310" s="9">
        <v>1</v>
      </c>
      <c r="D310" s="9">
        <v>3</v>
      </c>
      <c r="E310" s="9">
        <v>7</v>
      </c>
      <c r="F310" s="9">
        <v>19</v>
      </c>
      <c r="G310" s="9">
        <v>4.0999999999999996</v>
      </c>
      <c r="H310" s="9">
        <v>0.26</v>
      </c>
      <c r="I310" s="9">
        <v>0.52</v>
      </c>
      <c r="J310" s="7" t="s">
        <v>49</v>
      </c>
    </row>
    <row r="311" spans="1:10" x14ac:dyDescent="0.2">
      <c r="A311" s="9">
        <v>0</v>
      </c>
      <c r="B311" s="9">
        <v>39</v>
      </c>
      <c r="C311" s="9">
        <v>1</v>
      </c>
      <c r="D311" s="9">
        <v>22</v>
      </c>
      <c r="E311" s="9">
        <v>3</v>
      </c>
      <c r="F311" s="9">
        <v>52</v>
      </c>
      <c r="G311" s="9">
        <v>3.2</v>
      </c>
      <c r="H311" s="9">
        <v>1.1499999999999999</v>
      </c>
      <c r="I311" s="9">
        <v>0.51</v>
      </c>
      <c r="J311" s="7" t="s">
        <v>49</v>
      </c>
    </row>
    <row r="312" spans="1:10" x14ac:dyDescent="0.2">
      <c r="A312" s="9">
        <v>0</v>
      </c>
      <c r="B312" s="9">
        <v>30</v>
      </c>
      <c r="C312" s="9">
        <v>1</v>
      </c>
      <c r="D312" s="9">
        <v>10</v>
      </c>
      <c r="E312" s="9">
        <v>2</v>
      </c>
      <c r="F312" s="9">
        <v>19</v>
      </c>
      <c r="G312" s="9">
        <v>4.4000000000000004</v>
      </c>
      <c r="H312" s="9">
        <v>0.34</v>
      </c>
      <c r="I312" s="9">
        <v>0.5</v>
      </c>
      <c r="J312" s="7" t="s">
        <v>49</v>
      </c>
    </row>
    <row r="313" spans="1:10" x14ac:dyDescent="0.2">
      <c r="A313" s="9">
        <v>0</v>
      </c>
      <c r="B313" s="9">
        <v>36</v>
      </c>
      <c r="C313" s="9">
        <v>4</v>
      </c>
      <c r="D313" s="9">
        <v>8</v>
      </c>
      <c r="E313" s="9">
        <v>0</v>
      </c>
      <c r="F313" s="9">
        <v>32</v>
      </c>
      <c r="G313" s="9">
        <v>1.6</v>
      </c>
      <c r="H313" s="9">
        <v>0.02</v>
      </c>
      <c r="I313" s="9">
        <v>0.49</v>
      </c>
      <c r="J313" s="7" t="s">
        <v>49</v>
      </c>
    </row>
    <row r="314" spans="1:10" x14ac:dyDescent="0.2">
      <c r="A314" s="9">
        <v>0</v>
      </c>
      <c r="B314" s="9">
        <v>28</v>
      </c>
      <c r="C314" s="9">
        <v>1</v>
      </c>
      <c r="D314" s="9">
        <v>5</v>
      </c>
      <c r="E314" s="9">
        <v>9</v>
      </c>
      <c r="F314" s="9">
        <v>22</v>
      </c>
      <c r="G314" s="9">
        <v>2.8</v>
      </c>
      <c r="H314" s="9">
        <v>0.14000000000000001</v>
      </c>
      <c r="I314" s="9">
        <v>0.48</v>
      </c>
      <c r="J314" s="7" t="s">
        <v>49</v>
      </c>
    </row>
    <row r="315" spans="1:10" x14ac:dyDescent="0.2">
      <c r="A315" s="9">
        <v>0</v>
      </c>
      <c r="B315" s="9">
        <v>26</v>
      </c>
      <c r="C315" s="9">
        <v>1</v>
      </c>
      <c r="D315" s="9">
        <v>10</v>
      </c>
      <c r="E315" s="9">
        <v>1</v>
      </c>
      <c r="F315" s="9">
        <v>25</v>
      </c>
      <c r="G315" s="9">
        <v>7.1</v>
      </c>
      <c r="H315" s="9">
        <v>1.31</v>
      </c>
      <c r="I315" s="9">
        <v>0.47</v>
      </c>
      <c r="J315" s="7" t="s">
        <v>49</v>
      </c>
    </row>
    <row r="316" spans="1:10" x14ac:dyDescent="0.2">
      <c r="A316" s="9">
        <v>0</v>
      </c>
      <c r="B316" s="9">
        <v>40</v>
      </c>
      <c r="C316" s="9">
        <v>1</v>
      </c>
      <c r="D316" s="9">
        <v>8</v>
      </c>
      <c r="E316" s="9">
        <v>17</v>
      </c>
      <c r="F316" s="9">
        <v>28</v>
      </c>
      <c r="G316" s="9">
        <v>3.6</v>
      </c>
      <c r="H316" s="9">
        <v>0.53</v>
      </c>
      <c r="I316" s="9">
        <v>0.47</v>
      </c>
      <c r="J316" s="7" t="s">
        <v>49</v>
      </c>
    </row>
    <row r="317" spans="1:10" x14ac:dyDescent="0.2">
      <c r="A317" s="9">
        <v>0</v>
      </c>
      <c r="B317" s="9">
        <v>26</v>
      </c>
      <c r="C317" s="9">
        <v>4</v>
      </c>
      <c r="D317" s="9">
        <v>1</v>
      </c>
      <c r="E317" s="9">
        <v>7</v>
      </c>
      <c r="F317" s="9">
        <v>27</v>
      </c>
      <c r="G317" s="9">
        <v>2.9</v>
      </c>
      <c r="H317" s="9">
        <v>0.31</v>
      </c>
      <c r="I317" s="9">
        <v>0.47</v>
      </c>
      <c r="J317" s="7" t="s">
        <v>49</v>
      </c>
    </row>
    <row r="318" spans="1:10" x14ac:dyDescent="0.2">
      <c r="A318" s="9">
        <v>0</v>
      </c>
      <c r="B318" s="9">
        <v>32</v>
      </c>
      <c r="C318" s="9">
        <v>2</v>
      </c>
      <c r="D318" s="9">
        <v>3</v>
      </c>
      <c r="E318" s="9">
        <v>13</v>
      </c>
      <c r="F318" s="9">
        <v>47</v>
      </c>
      <c r="G318" s="9">
        <v>1.9</v>
      </c>
      <c r="H318" s="9">
        <v>0.43</v>
      </c>
      <c r="I318" s="9">
        <v>0.46</v>
      </c>
      <c r="J318" s="7" t="s">
        <v>49</v>
      </c>
    </row>
    <row r="319" spans="1:10" x14ac:dyDescent="0.2">
      <c r="A319" s="9">
        <v>0</v>
      </c>
      <c r="B319" s="9">
        <v>24</v>
      </c>
      <c r="C319" s="9">
        <v>6</v>
      </c>
      <c r="D319" s="9">
        <v>3</v>
      </c>
      <c r="E319" s="9">
        <v>0</v>
      </c>
      <c r="F319" s="9">
        <v>19</v>
      </c>
      <c r="G319" s="9">
        <v>4.3</v>
      </c>
      <c r="H319" s="9">
        <v>0.36</v>
      </c>
      <c r="I319" s="9">
        <v>0.46</v>
      </c>
      <c r="J319" s="7" t="s">
        <v>49</v>
      </c>
    </row>
    <row r="320" spans="1:10" x14ac:dyDescent="0.2">
      <c r="A320" s="9">
        <v>0</v>
      </c>
      <c r="B320" s="9">
        <v>38</v>
      </c>
      <c r="C320" s="9">
        <v>2</v>
      </c>
      <c r="D320" s="9">
        <v>4</v>
      </c>
      <c r="E320" s="9">
        <v>13</v>
      </c>
      <c r="F320" s="9">
        <v>56</v>
      </c>
      <c r="G320" s="9">
        <v>1.6</v>
      </c>
      <c r="H320" s="9">
        <v>0.44</v>
      </c>
      <c r="I320" s="9">
        <v>0.45</v>
      </c>
      <c r="J320" s="7" t="s">
        <v>49</v>
      </c>
    </row>
    <row r="321" spans="1:10" x14ac:dyDescent="0.2">
      <c r="A321" s="9">
        <v>0</v>
      </c>
      <c r="B321" s="9">
        <v>24</v>
      </c>
      <c r="C321" s="9">
        <v>1</v>
      </c>
      <c r="D321" s="9">
        <v>4</v>
      </c>
      <c r="E321" s="9">
        <v>2</v>
      </c>
      <c r="F321" s="9">
        <v>21</v>
      </c>
      <c r="G321" s="9">
        <v>2.6</v>
      </c>
      <c r="H321" s="9">
        <v>0.1</v>
      </c>
      <c r="I321" s="9">
        <v>0.45</v>
      </c>
      <c r="J321" s="7" t="s">
        <v>49</v>
      </c>
    </row>
    <row r="322" spans="1:10" x14ac:dyDescent="0.2">
      <c r="A322" s="9">
        <v>0</v>
      </c>
      <c r="B322" s="9">
        <v>41</v>
      </c>
      <c r="C322" s="9">
        <v>4</v>
      </c>
      <c r="D322" s="9">
        <v>14</v>
      </c>
      <c r="E322" s="9">
        <v>3</v>
      </c>
      <c r="F322" s="9">
        <v>44</v>
      </c>
      <c r="G322" s="9">
        <v>1.7</v>
      </c>
      <c r="H322" s="9">
        <v>0.35</v>
      </c>
      <c r="I322" s="9">
        <v>0.39</v>
      </c>
      <c r="J322" s="7" t="s">
        <v>49</v>
      </c>
    </row>
    <row r="323" spans="1:10" x14ac:dyDescent="0.2">
      <c r="A323" s="9">
        <v>1</v>
      </c>
      <c r="B323" s="9">
        <v>26</v>
      </c>
      <c r="C323" s="9">
        <v>1</v>
      </c>
      <c r="D323" s="9">
        <v>4</v>
      </c>
      <c r="E323" s="9">
        <v>3</v>
      </c>
      <c r="F323" s="9">
        <v>27</v>
      </c>
      <c r="G323" s="9">
        <v>10.5</v>
      </c>
      <c r="H323" s="9">
        <v>2.4700000000000002</v>
      </c>
      <c r="I323" s="9">
        <v>0.36</v>
      </c>
      <c r="J323" s="7" t="s">
        <v>49</v>
      </c>
    </row>
    <row r="324" spans="1:10" x14ac:dyDescent="0.2">
      <c r="A324" s="9">
        <v>0</v>
      </c>
      <c r="B324" s="9">
        <v>41</v>
      </c>
      <c r="C324" s="9">
        <v>1</v>
      </c>
      <c r="D324" s="9">
        <v>16</v>
      </c>
      <c r="E324" s="9">
        <v>22</v>
      </c>
      <c r="F324" s="9">
        <v>49</v>
      </c>
      <c r="G324" s="9">
        <v>1.6</v>
      </c>
      <c r="H324" s="9">
        <v>0.43</v>
      </c>
      <c r="I324" s="9">
        <v>0.35</v>
      </c>
      <c r="J324" s="7" t="s">
        <v>49</v>
      </c>
    </row>
    <row r="325" spans="1:10" x14ac:dyDescent="0.2">
      <c r="A325" s="9">
        <v>0</v>
      </c>
      <c r="B325" s="9">
        <v>41</v>
      </c>
      <c r="C325" s="9">
        <v>3</v>
      </c>
      <c r="D325" s="9">
        <v>0</v>
      </c>
      <c r="E325" s="9">
        <v>21</v>
      </c>
      <c r="F325" s="9">
        <v>26</v>
      </c>
      <c r="G325" s="9">
        <v>1.7</v>
      </c>
      <c r="H325" s="9">
        <v>0.1</v>
      </c>
      <c r="I325" s="9">
        <v>0.34</v>
      </c>
      <c r="J325" s="7" t="s">
        <v>49</v>
      </c>
    </row>
    <row r="326" spans="1:10" x14ac:dyDescent="0.2">
      <c r="A326" s="9">
        <v>0</v>
      </c>
      <c r="B326" s="9">
        <v>45</v>
      </c>
      <c r="C326" s="9">
        <v>6</v>
      </c>
      <c r="D326" s="9">
        <v>3</v>
      </c>
      <c r="E326" s="9">
        <v>15</v>
      </c>
      <c r="F326" s="9">
        <v>20</v>
      </c>
      <c r="G326" s="9">
        <v>2.1</v>
      </c>
      <c r="H326" s="9">
        <v>0.11</v>
      </c>
      <c r="I326" s="9">
        <v>0.32</v>
      </c>
      <c r="J326" s="7" t="s">
        <v>49</v>
      </c>
    </row>
    <row r="327" spans="1:10" x14ac:dyDescent="0.2">
      <c r="A327" s="9">
        <v>0</v>
      </c>
      <c r="B327" s="9">
        <v>29</v>
      </c>
      <c r="C327" s="9">
        <v>1</v>
      </c>
      <c r="D327" s="9">
        <v>1</v>
      </c>
      <c r="E327" s="9">
        <v>4</v>
      </c>
      <c r="F327" s="9">
        <v>17</v>
      </c>
      <c r="G327" s="9">
        <v>2.5</v>
      </c>
      <c r="H327" s="9">
        <v>0.13</v>
      </c>
      <c r="I327" s="9">
        <v>0.28999999999999998</v>
      </c>
      <c r="J327" s="7" t="s">
        <v>49</v>
      </c>
    </row>
    <row r="328" spans="1:10" x14ac:dyDescent="0.2">
      <c r="A328" s="9">
        <v>1</v>
      </c>
      <c r="B328" s="9">
        <v>31</v>
      </c>
      <c r="C328" s="9">
        <v>1</v>
      </c>
      <c r="D328" s="9">
        <v>1</v>
      </c>
      <c r="E328" s="9">
        <v>6</v>
      </c>
      <c r="F328" s="9">
        <v>21</v>
      </c>
      <c r="G328" s="9">
        <v>2.5</v>
      </c>
      <c r="H328" s="9">
        <v>0.28000000000000003</v>
      </c>
      <c r="I328" s="9">
        <v>0.25</v>
      </c>
      <c r="J328" s="7" t="s">
        <v>49</v>
      </c>
    </row>
    <row r="329" spans="1:10" x14ac:dyDescent="0.2">
      <c r="A329" s="9">
        <v>0</v>
      </c>
      <c r="B329" s="9">
        <v>29</v>
      </c>
      <c r="C329" s="9">
        <v>2</v>
      </c>
      <c r="D329" s="9">
        <v>3</v>
      </c>
      <c r="E329" s="9">
        <v>8</v>
      </c>
      <c r="F329" s="9">
        <v>15</v>
      </c>
      <c r="G329" s="9">
        <v>2.6</v>
      </c>
      <c r="H329" s="9">
        <v>0.15</v>
      </c>
      <c r="I329" s="9">
        <v>0.24</v>
      </c>
      <c r="J329" s="7" t="s">
        <v>49</v>
      </c>
    </row>
    <row r="330" spans="1:10" x14ac:dyDescent="0.2">
      <c r="A330" s="9">
        <v>0</v>
      </c>
      <c r="B330" s="9">
        <v>41</v>
      </c>
      <c r="C330" s="9">
        <v>2</v>
      </c>
      <c r="D330" s="9">
        <v>8</v>
      </c>
      <c r="E330" s="9">
        <v>21</v>
      </c>
      <c r="F330" s="9">
        <v>43</v>
      </c>
      <c r="G330" s="9">
        <v>0.7</v>
      </c>
      <c r="H330" s="9">
        <v>0.09</v>
      </c>
      <c r="I330" s="9">
        <v>0.22</v>
      </c>
      <c r="J330" s="7" t="s">
        <v>49</v>
      </c>
    </row>
    <row r="331" spans="1:10" x14ac:dyDescent="0.2">
      <c r="A331" s="9">
        <v>0</v>
      </c>
      <c r="B331" s="9">
        <v>43</v>
      </c>
      <c r="C331" s="9">
        <v>1</v>
      </c>
      <c r="D331" s="9">
        <v>16</v>
      </c>
      <c r="E331" s="9">
        <v>7</v>
      </c>
      <c r="F331" s="9">
        <v>89</v>
      </c>
      <c r="G331" s="9">
        <v>0.4</v>
      </c>
      <c r="H331" s="9">
        <v>0.16</v>
      </c>
      <c r="I331" s="9">
        <v>0.2</v>
      </c>
      <c r="J331" s="7" t="s">
        <v>49</v>
      </c>
    </row>
    <row r="332" spans="1:10" x14ac:dyDescent="0.2">
      <c r="A332" s="9">
        <v>0</v>
      </c>
      <c r="B332" s="9">
        <v>34</v>
      </c>
      <c r="C332" s="9">
        <v>2</v>
      </c>
      <c r="D332" s="9">
        <v>8</v>
      </c>
      <c r="E332" s="9">
        <v>16</v>
      </c>
      <c r="F332" s="9">
        <v>38</v>
      </c>
      <c r="G332" s="9">
        <v>0.6</v>
      </c>
      <c r="H332" s="9">
        <v>0.03</v>
      </c>
      <c r="I332" s="9">
        <v>0.2</v>
      </c>
      <c r="J332" s="7" t="s">
        <v>49</v>
      </c>
    </row>
    <row r="333" spans="1:10" x14ac:dyDescent="0.2">
      <c r="A333" s="9">
        <v>0</v>
      </c>
      <c r="B333" s="9">
        <v>35</v>
      </c>
      <c r="C333" s="9">
        <v>2</v>
      </c>
      <c r="D333" s="9">
        <v>14</v>
      </c>
      <c r="E333" s="9">
        <v>3</v>
      </c>
      <c r="F333" s="9">
        <v>82</v>
      </c>
      <c r="G333" s="9">
        <v>0.8</v>
      </c>
      <c r="H333" s="9">
        <v>0.47</v>
      </c>
      <c r="I333" s="9">
        <v>0.19</v>
      </c>
      <c r="J333" s="7" t="s">
        <v>49</v>
      </c>
    </row>
    <row r="334" spans="1:10" x14ac:dyDescent="0.2">
      <c r="A334" s="9">
        <v>0</v>
      </c>
      <c r="B334" s="9">
        <v>50</v>
      </c>
      <c r="C334" s="9">
        <v>2</v>
      </c>
      <c r="D334" s="9">
        <v>15</v>
      </c>
      <c r="E334" s="9">
        <v>31</v>
      </c>
      <c r="F334" s="9">
        <v>60</v>
      </c>
      <c r="G334" s="9">
        <v>1.1000000000000001</v>
      </c>
      <c r="H334" s="9">
        <v>0.47</v>
      </c>
      <c r="I334" s="9">
        <v>0.19</v>
      </c>
      <c r="J334" s="7" t="s">
        <v>49</v>
      </c>
    </row>
    <row r="335" spans="1:10" x14ac:dyDescent="0.2">
      <c r="A335" s="9">
        <v>0</v>
      </c>
      <c r="B335" s="9">
        <v>29</v>
      </c>
      <c r="C335" s="9">
        <v>1</v>
      </c>
      <c r="D335" s="9">
        <v>1</v>
      </c>
      <c r="E335" s="9">
        <v>1</v>
      </c>
      <c r="F335" s="9">
        <v>18</v>
      </c>
      <c r="G335" s="9">
        <v>1.1000000000000001</v>
      </c>
      <c r="H335" s="9">
        <v>0.03</v>
      </c>
      <c r="I335" s="9">
        <v>0.17</v>
      </c>
      <c r="J335" s="7" t="s">
        <v>49</v>
      </c>
    </row>
    <row r="336" spans="1:10" x14ac:dyDescent="0.2">
      <c r="A336" s="9">
        <v>0</v>
      </c>
      <c r="B336" s="9">
        <v>26</v>
      </c>
      <c r="C336" s="9">
        <v>2</v>
      </c>
      <c r="D336" s="9">
        <v>6</v>
      </c>
      <c r="E336" s="9">
        <v>6</v>
      </c>
      <c r="F336" s="9">
        <v>30</v>
      </c>
      <c r="G336" s="9">
        <v>1</v>
      </c>
      <c r="H336" s="9">
        <v>0.14000000000000001</v>
      </c>
      <c r="I336" s="9">
        <v>0.16</v>
      </c>
      <c r="J336" s="7" t="s">
        <v>49</v>
      </c>
    </row>
    <row r="337" spans="1:10" x14ac:dyDescent="0.2">
      <c r="A337" s="9">
        <v>0</v>
      </c>
      <c r="B337" s="9">
        <v>22</v>
      </c>
      <c r="C337" s="9">
        <v>1</v>
      </c>
      <c r="D337" s="9">
        <v>4</v>
      </c>
      <c r="E337" s="9">
        <v>1</v>
      </c>
      <c r="F337" s="9">
        <v>16</v>
      </c>
      <c r="G337" s="9">
        <v>1.2</v>
      </c>
      <c r="H337" s="9">
        <v>0.08</v>
      </c>
      <c r="I337" s="9">
        <v>0.11</v>
      </c>
      <c r="J337" s="7" t="s">
        <v>49</v>
      </c>
    </row>
    <row r="338" spans="1:10" x14ac:dyDescent="0.2">
      <c r="A338" s="9">
        <v>0</v>
      </c>
      <c r="B338" s="9">
        <v>24</v>
      </c>
      <c r="C338" s="9">
        <v>1</v>
      </c>
      <c r="D338" s="9">
        <v>2</v>
      </c>
      <c r="E338" s="9">
        <v>1</v>
      </c>
      <c r="F338" s="9">
        <v>21</v>
      </c>
      <c r="G338" s="9">
        <v>0.6</v>
      </c>
      <c r="H338" s="9">
        <v>0.03</v>
      </c>
      <c r="I338" s="9">
        <v>0.1</v>
      </c>
      <c r="J338" s="7" t="s">
        <v>49</v>
      </c>
    </row>
    <row r="339" spans="1:10" x14ac:dyDescent="0.2">
      <c r="A339" s="9">
        <v>1</v>
      </c>
      <c r="B339" s="9">
        <v>40</v>
      </c>
      <c r="C339" s="9">
        <v>3</v>
      </c>
      <c r="D339" s="9">
        <v>5</v>
      </c>
      <c r="E339" s="9">
        <v>3</v>
      </c>
      <c r="F339" s="9">
        <v>0</v>
      </c>
      <c r="G339" s="9">
        <v>16</v>
      </c>
      <c r="H339" s="13">
        <v>5.4954845947359976</v>
      </c>
      <c r="I339" s="9">
        <v>0</v>
      </c>
      <c r="J339" s="7" t="s">
        <v>49</v>
      </c>
    </row>
    <row r="340" spans="1:10" x14ac:dyDescent="0.2">
      <c r="A340" s="9">
        <v>1</v>
      </c>
      <c r="B340" s="9">
        <v>30</v>
      </c>
      <c r="C340" s="9">
        <v>3</v>
      </c>
      <c r="D340" s="9">
        <v>0</v>
      </c>
      <c r="E340" s="9">
        <v>8</v>
      </c>
      <c r="F340" s="9">
        <v>65</v>
      </c>
      <c r="G340" s="9">
        <v>29.7</v>
      </c>
      <c r="H340" s="9">
        <v>3.9</v>
      </c>
      <c r="I340" s="9">
        <v>0</v>
      </c>
      <c r="J340" s="7" t="s">
        <v>49</v>
      </c>
    </row>
    <row r="341" spans="1:10" x14ac:dyDescent="0.2">
      <c r="A341" s="9">
        <v>0</v>
      </c>
      <c r="B341" s="9">
        <v>41</v>
      </c>
      <c r="C341" s="9">
        <v>2</v>
      </c>
      <c r="D341" s="9">
        <v>21</v>
      </c>
      <c r="E341" s="9">
        <v>22</v>
      </c>
      <c r="F341" s="13">
        <v>117.54291069294821</v>
      </c>
      <c r="G341" s="9">
        <v>12.2</v>
      </c>
      <c r="H341" s="9">
        <v>3.24</v>
      </c>
      <c r="I341" s="9">
        <v>0</v>
      </c>
      <c r="J341" s="7" t="s">
        <v>49</v>
      </c>
    </row>
    <row r="342" spans="1:10" x14ac:dyDescent="0.2">
      <c r="A342" s="9">
        <v>0</v>
      </c>
      <c r="B342" s="9">
        <v>51</v>
      </c>
      <c r="C342" s="9">
        <v>2</v>
      </c>
      <c r="D342" s="9">
        <v>27</v>
      </c>
      <c r="E342" s="9">
        <v>21</v>
      </c>
      <c r="F342" s="9">
        <v>0</v>
      </c>
      <c r="G342" s="9">
        <v>11.5</v>
      </c>
      <c r="H342" s="9">
        <v>0.82</v>
      </c>
      <c r="I342" s="9">
        <v>0</v>
      </c>
      <c r="J342" s="7" t="s">
        <v>49</v>
      </c>
    </row>
    <row r="343" spans="1:10" x14ac:dyDescent="0.2">
      <c r="A343" s="9">
        <v>1</v>
      </c>
      <c r="B343" s="9">
        <v>33</v>
      </c>
      <c r="C343" s="9">
        <v>1</v>
      </c>
      <c r="D343" s="9">
        <v>14</v>
      </c>
      <c r="E343" s="9">
        <v>8</v>
      </c>
      <c r="F343" s="9">
        <v>72</v>
      </c>
      <c r="G343" s="9">
        <v>0</v>
      </c>
      <c r="H343" s="9">
        <v>0</v>
      </c>
      <c r="I343" s="9">
        <v>0</v>
      </c>
      <c r="J343" s="7" t="s">
        <v>49</v>
      </c>
    </row>
    <row r="344" spans="1:10" x14ac:dyDescent="0.2">
      <c r="A344" s="9">
        <v>1</v>
      </c>
      <c r="B344" s="9">
        <v>47</v>
      </c>
      <c r="C344" s="9">
        <v>3</v>
      </c>
      <c r="D344" s="9">
        <v>16</v>
      </c>
      <c r="E344" s="9">
        <v>26</v>
      </c>
      <c r="F344" s="9">
        <v>0</v>
      </c>
      <c r="G344" s="9">
        <v>17.600000000000001</v>
      </c>
      <c r="H344" s="9">
        <v>0</v>
      </c>
      <c r="I344" s="9">
        <v>0</v>
      </c>
      <c r="J344" s="7" t="s">
        <v>49</v>
      </c>
    </row>
    <row r="345" spans="1:10" x14ac:dyDescent="0.2">
      <c r="A345" s="9">
        <v>0</v>
      </c>
      <c r="B345" s="9">
        <v>40</v>
      </c>
      <c r="C345" s="9">
        <v>1</v>
      </c>
      <c r="D345" s="9">
        <v>12</v>
      </c>
      <c r="E345" s="9">
        <v>6</v>
      </c>
      <c r="F345" s="9">
        <v>89</v>
      </c>
      <c r="G345" s="9">
        <v>17.399999999999999</v>
      </c>
      <c r="H345" s="9">
        <v>2.77</v>
      </c>
      <c r="I345" s="13">
        <v>10.154483815851645</v>
      </c>
      <c r="J345" s="7" t="s">
        <v>49</v>
      </c>
    </row>
    <row r="346" spans="1:10" x14ac:dyDescent="0.2">
      <c r="A346" s="9">
        <v>0</v>
      </c>
      <c r="B346" s="9">
        <v>46</v>
      </c>
      <c r="C346" s="9">
        <v>2</v>
      </c>
      <c r="D346" s="9">
        <v>22</v>
      </c>
      <c r="E346" s="9">
        <v>17</v>
      </c>
      <c r="F346" s="13">
        <v>117.54291069294821</v>
      </c>
      <c r="G346" s="9">
        <v>11.1</v>
      </c>
      <c r="H346" s="9">
        <v>3.32</v>
      </c>
      <c r="I346" s="13">
        <v>10.154483815851645</v>
      </c>
      <c r="J346" s="7" t="s">
        <v>49</v>
      </c>
    </row>
    <row r="347" spans="1:10" x14ac:dyDescent="0.2">
      <c r="A347" s="9">
        <v>0</v>
      </c>
      <c r="B347" s="9">
        <v>40</v>
      </c>
      <c r="C347" s="9">
        <v>3</v>
      </c>
      <c r="D347" s="9">
        <v>16</v>
      </c>
      <c r="E347" s="9">
        <v>6</v>
      </c>
      <c r="F347" s="9">
        <v>116</v>
      </c>
      <c r="G347" s="9">
        <v>12.1</v>
      </c>
      <c r="H347" s="9">
        <v>1.61</v>
      </c>
      <c r="I347" s="13">
        <v>10.154483815851645</v>
      </c>
      <c r="J347" s="7" t="s">
        <v>49</v>
      </c>
    </row>
    <row r="348" spans="1:10" x14ac:dyDescent="0.2">
      <c r="A348" s="9">
        <v>1</v>
      </c>
      <c r="B348" s="9">
        <v>47</v>
      </c>
      <c r="C348" s="9">
        <v>1</v>
      </c>
      <c r="D348" s="9">
        <v>27</v>
      </c>
      <c r="E348" s="9">
        <v>18</v>
      </c>
      <c r="F348" s="13">
        <v>117.54291069294821</v>
      </c>
      <c r="G348" s="9">
        <v>25.3</v>
      </c>
      <c r="H348" s="9">
        <v>0</v>
      </c>
      <c r="I348" s="13">
        <v>10.154483815851645</v>
      </c>
      <c r="J348" s="7" t="s">
        <v>49</v>
      </c>
    </row>
    <row r="349" spans="1:10" x14ac:dyDescent="0.2">
      <c r="A349" s="9">
        <v>0</v>
      </c>
      <c r="B349" s="9">
        <v>34</v>
      </c>
      <c r="C349" s="9">
        <v>1</v>
      </c>
      <c r="D349" s="9">
        <v>19</v>
      </c>
      <c r="E349" s="9">
        <v>7</v>
      </c>
      <c r="F349" s="9">
        <v>50</v>
      </c>
      <c r="G349" s="9">
        <v>30.1</v>
      </c>
      <c r="H349" s="9">
        <v>3.18</v>
      </c>
      <c r="I349" s="13">
        <v>10.154483815851645</v>
      </c>
      <c r="J349" s="7" t="s">
        <v>49</v>
      </c>
    </row>
    <row r="350" spans="1:10" x14ac:dyDescent="0.2">
      <c r="A350" s="9">
        <v>0</v>
      </c>
      <c r="B350" s="9">
        <v>39</v>
      </c>
      <c r="C350" s="9">
        <v>1</v>
      </c>
      <c r="D350" s="9">
        <v>23</v>
      </c>
      <c r="E350" s="9">
        <v>1</v>
      </c>
      <c r="F350" s="9">
        <v>75</v>
      </c>
      <c r="G350" s="9">
        <v>18.899999999999999</v>
      </c>
      <c r="H350" s="9">
        <v>3.13</v>
      </c>
      <c r="I350" s="13">
        <v>10.154483815851645</v>
      </c>
      <c r="J350" s="7" t="s">
        <v>49</v>
      </c>
    </row>
    <row r="351" spans="1:10" x14ac:dyDescent="0.2">
      <c r="A351" s="9">
        <v>1</v>
      </c>
      <c r="B351" s="9">
        <v>29</v>
      </c>
      <c r="C351" s="9">
        <v>3</v>
      </c>
      <c r="D351" s="9">
        <v>5</v>
      </c>
      <c r="E351" s="9">
        <v>6</v>
      </c>
      <c r="F351" s="9">
        <v>70</v>
      </c>
      <c r="G351" s="9">
        <v>19.899999999999999</v>
      </c>
      <c r="H351" s="9">
        <v>3.18</v>
      </c>
      <c r="I351" s="13">
        <v>10.154483815851645</v>
      </c>
      <c r="J351" s="7" t="s">
        <v>49</v>
      </c>
    </row>
    <row r="352" spans="1:10" x14ac:dyDescent="0.2">
      <c r="A352" s="9">
        <v>0</v>
      </c>
      <c r="B352" s="9">
        <v>44</v>
      </c>
      <c r="C352" s="9">
        <v>2</v>
      </c>
      <c r="D352" s="9">
        <v>12</v>
      </c>
      <c r="E352" s="9">
        <v>5</v>
      </c>
      <c r="F352" s="9">
        <v>86</v>
      </c>
      <c r="G352" s="9">
        <v>13</v>
      </c>
      <c r="H352" s="9">
        <v>1.48</v>
      </c>
      <c r="I352" s="9">
        <v>9.6999999999999993</v>
      </c>
      <c r="J352" s="7" t="s">
        <v>50</v>
      </c>
    </row>
    <row r="353" spans="1:10" x14ac:dyDescent="0.2">
      <c r="A353" s="9">
        <v>0</v>
      </c>
      <c r="B353" s="9">
        <v>39</v>
      </c>
      <c r="C353" s="9">
        <v>1</v>
      </c>
      <c r="D353" s="9">
        <v>16</v>
      </c>
      <c r="E353" s="9">
        <v>20</v>
      </c>
      <c r="F353" s="9">
        <v>57</v>
      </c>
      <c r="G353" s="9">
        <v>19.399999999999999</v>
      </c>
      <c r="H353" s="9">
        <v>1.56</v>
      </c>
      <c r="I353" s="9">
        <v>9.5</v>
      </c>
      <c r="J353" s="7" t="s">
        <v>50</v>
      </c>
    </row>
    <row r="354" spans="1:10" x14ac:dyDescent="0.2">
      <c r="A354" s="9">
        <v>0</v>
      </c>
      <c r="B354" s="9">
        <v>40</v>
      </c>
      <c r="C354" s="9">
        <v>1</v>
      </c>
      <c r="D354" s="9">
        <v>22</v>
      </c>
      <c r="E354" s="9">
        <v>1</v>
      </c>
      <c r="F354" s="9">
        <v>100</v>
      </c>
      <c r="G354" s="9">
        <v>14.6</v>
      </c>
      <c r="H354" s="9">
        <v>5.4</v>
      </c>
      <c r="I354" s="9">
        <v>9.1999999999999993</v>
      </c>
      <c r="J354" s="7" t="s">
        <v>50</v>
      </c>
    </row>
    <row r="355" spans="1:10" x14ac:dyDescent="0.2">
      <c r="A355" s="9">
        <v>0</v>
      </c>
      <c r="B355" s="9">
        <v>32</v>
      </c>
      <c r="C355" s="9">
        <v>3</v>
      </c>
      <c r="D355" s="9">
        <v>9</v>
      </c>
      <c r="E355" s="9">
        <v>10</v>
      </c>
      <c r="F355" s="9">
        <v>51</v>
      </c>
      <c r="G355" s="9">
        <v>23</v>
      </c>
      <c r="H355" s="9">
        <v>2.69</v>
      </c>
      <c r="I355" s="9">
        <v>9.0399999999999991</v>
      </c>
      <c r="J355" s="7" t="s">
        <v>50</v>
      </c>
    </row>
    <row r="356" spans="1:10" x14ac:dyDescent="0.2">
      <c r="A356" s="9">
        <v>0</v>
      </c>
      <c r="B356" s="9">
        <v>47</v>
      </c>
      <c r="C356" s="9">
        <v>1</v>
      </c>
      <c r="D356" s="9">
        <v>26</v>
      </c>
      <c r="E356" s="9">
        <v>21</v>
      </c>
      <c r="F356" s="9">
        <v>100</v>
      </c>
      <c r="G356" s="9">
        <v>12.8</v>
      </c>
      <c r="H356" s="9">
        <v>4.58</v>
      </c>
      <c r="I356" s="9">
        <v>8.2200000000000006</v>
      </c>
      <c r="J356" s="7" t="s">
        <v>50</v>
      </c>
    </row>
    <row r="357" spans="1:10" x14ac:dyDescent="0.2">
      <c r="A357" s="9">
        <v>0</v>
      </c>
      <c r="B357" s="9">
        <v>35</v>
      </c>
      <c r="C357" s="9">
        <v>2</v>
      </c>
      <c r="D357" s="9">
        <v>10</v>
      </c>
      <c r="E357" s="9">
        <v>16</v>
      </c>
      <c r="F357" s="9">
        <v>98</v>
      </c>
      <c r="G357" s="9">
        <v>13.3</v>
      </c>
      <c r="H357" s="9">
        <v>0.97</v>
      </c>
      <c r="I357" s="9">
        <v>8.16</v>
      </c>
      <c r="J357" s="7" t="s">
        <v>50</v>
      </c>
    </row>
    <row r="358" spans="1:10" x14ac:dyDescent="0.2">
      <c r="A358" s="9">
        <v>1</v>
      </c>
      <c r="B358" s="9">
        <v>47</v>
      </c>
      <c r="C358" s="9">
        <v>3</v>
      </c>
      <c r="D358" s="9">
        <v>9</v>
      </c>
      <c r="E358" s="9">
        <v>1</v>
      </c>
      <c r="F358" s="9">
        <v>52</v>
      </c>
      <c r="G358" s="9">
        <v>20.100000000000001</v>
      </c>
      <c r="H358" s="9">
        <v>2.54</v>
      </c>
      <c r="I358" s="9">
        <v>7.91</v>
      </c>
      <c r="J358" s="7" t="s">
        <v>50</v>
      </c>
    </row>
    <row r="359" spans="1:10" x14ac:dyDescent="0.2">
      <c r="A359" s="9">
        <v>0</v>
      </c>
      <c r="B359" s="9">
        <v>55</v>
      </c>
      <c r="C359" s="9">
        <v>1</v>
      </c>
      <c r="D359" s="9">
        <v>19</v>
      </c>
      <c r="E359" s="9">
        <v>2</v>
      </c>
      <c r="F359" s="9">
        <v>78</v>
      </c>
      <c r="G359" s="9">
        <v>15.6</v>
      </c>
      <c r="H359" s="9">
        <v>4.4000000000000004</v>
      </c>
      <c r="I359" s="9">
        <v>7.76</v>
      </c>
      <c r="J359" s="7" t="s">
        <v>50</v>
      </c>
    </row>
    <row r="360" spans="1:10" x14ac:dyDescent="0.2">
      <c r="A360" s="9">
        <v>1</v>
      </c>
      <c r="B360" s="9">
        <v>41</v>
      </c>
      <c r="C360" s="9">
        <v>3</v>
      </c>
      <c r="D360" s="9">
        <v>7</v>
      </c>
      <c r="E360" s="9">
        <v>6</v>
      </c>
      <c r="F360" s="9">
        <v>56</v>
      </c>
      <c r="G360" s="9">
        <v>14.5</v>
      </c>
      <c r="H360" s="9">
        <v>0.37</v>
      </c>
      <c r="I360" s="9">
        <v>7.75</v>
      </c>
      <c r="J360" s="7" t="s">
        <v>50</v>
      </c>
    </row>
    <row r="361" spans="1:10" x14ac:dyDescent="0.2">
      <c r="A361" s="9">
        <v>0</v>
      </c>
      <c r="B361" s="9">
        <v>45</v>
      </c>
      <c r="C361" s="9">
        <v>2</v>
      </c>
      <c r="D361" s="9">
        <v>15</v>
      </c>
      <c r="E361" s="9">
        <v>14</v>
      </c>
      <c r="F361" s="9">
        <v>51</v>
      </c>
      <c r="G361" s="9">
        <v>18.100000000000001</v>
      </c>
      <c r="H361" s="9">
        <v>1.55</v>
      </c>
      <c r="I361" s="9">
        <v>7.68</v>
      </c>
      <c r="J361" s="7" t="s">
        <v>50</v>
      </c>
    </row>
    <row r="362" spans="1:10" x14ac:dyDescent="0.2">
      <c r="A362" s="9">
        <v>0</v>
      </c>
      <c r="B362" s="9">
        <v>46</v>
      </c>
      <c r="C362" s="9">
        <v>3</v>
      </c>
      <c r="D362" s="9">
        <v>9</v>
      </c>
      <c r="E362" s="9">
        <v>10</v>
      </c>
      <c r="F362" s="9">
        <v>60</v>
      </c>
      <c r="G362" s="9">
        <v>15.3</v>
      </c>
      <c r="H362" s="9">
        <v>1.61</v>
      </c>
      <c r="I362" s="9">
        <v>7.57</v>
      </c>
      <c r="J362" s="7" t="s">
        <v>50</v>
      </c>
    </row>
    <row r="363" spans="1:10" x14ac:dyDescent="0.2">
      <c r="A363" s="9">
        <v>1</v>
      </c>
      <c r="B363" s="9">
        <v>34</v>
      </c>
      <c r="C363" s="9">
        <v>4</v>
      </c>
      <c r="D363" s="9">
        <v>6</v>
      </c>
      <c r="E363" s="9">
        <v>3</v>
      </c>
      <c r="F363" s="9">
        <v>27</v>
      </c>
      <c r="G363" s="9">
        <v>0</v>
      </c>
      <c r="H363" s="9">
        <v>1.98</v>
      </c>
      <c r="I363" s="9">
        <v>7.55</v>
      </c>
      <c r="J363" s="7" t="s">
        <v>50</v>
      </c>
    </row>
    <row r="364" spans="1:10" x14ac:dyDescent="0.2">
      <c r="A364" s="9">
        <v>1</v>
      </c>
      <c r="B364" s="9">
        <v>28</v>
      </c>
      <c r="C364" s="9">
        <v>1</v>
      </c>
      <c r="D364" s="9">
        <v>0</v>
      </c>
      <c r="E364" s="9">
        <v>2</v>
      </c>
      <c r="F364" s="9">
        <v>28</v>
      </c>
      <c r="G364" s="9">
        <v>0</v>
      </c>
      <c r="H364" s="9">
        <v>2.2799999999999998</v>
      </c>
      <c r="I364" s="9">
        <v>7.04</v>
      </c>
      <c r="J364" s="7" t="s">
        <v>50</v>
      </c>
    </row>
    <row r="365" spans="1:10" x14ac:dyDescent="0.2">
      <c r="A365" s="9">
        <v>1</v>
      </c>
      <c r="B365" s="9">
        <v>53</v>
      </c>
      <c r="C365" s="9">
        <v>4</v>
      </c>
      <c r="D365" s="9">
        <v>5</v>
      </c>
      <c r="E365" s="9">
        <v>29</v>
      </c>
      <c r="F365" s="9">
        <v>78</v>
      </c>
      <c r="G365" s="9">
        <v>17.3</v>
      </c>
      <c r="H365" s="13">
        <v>5.4954845947359976</v>
      </c>
      <c r="I365" s="9">
        <v>6.56</v>
      </c>
      <c r="J365" s="7" t="s">
        <v>50</v>
      </c>
    </row>
    <row r="366" spans="1:10" x14ac:dyDescent="0.2">
      <c r="A366" s="9">
        <v>1</v>
      </c>
      <c r="B366" s="9">
        <v>45</v>
      </c>
      <c r="C366" s="9">
        <v>3</v>
      </c>
      <c r="D366" s="9">
        <v>5</v>
      </c>
      <c r="E366" s="9">
        <v>17</v>
      </c>
      <c r="F366" s="9">
        <v>94</v>
      </c>
      <c r="G366" s="9">
        <v>10.5</v>
      </c>
      <c r="H366" s="9">
        <v>3.61</v>
      </c>
      <c r="I366" s="9">
        <v>6.26</v>
      </c>
      <c r="J366" s="7" t="s">
        <v>50</v>
      </c>
    </row>
    <row r="367" spans="1:10" x14ac:dyDescent="0.2">
      <c r="A367" s="9">
        <v>0</v>
      </c>
      <c r="B367" s="9">
        <v>50</v>
      </c>
      <c r="C367" s="9">
        <v>2</v>
      </c>
      <c r="D367" s="9">
        <v>16</v>
      </c>
      <c r="E367" s="9">
        <v>14</v>
      </c>
      <c r="F367" s="9">
        <v>71</v>
      </c>
      <c r="G367" s="9">
        <v>11.1</v>
      </c>
      <c r="H367" s="9">
        <v>1.66</v>
      </c>
      <c r="I367" s="9">
        <v>6.22</v>
      </c>
      <c r="J367" s="7" t="s">
        <v>50</v>
      </c>
    </row>
    <row r="368" spans="1:10" x14ac:dyDescent="0.2">
      <c r="A368" s="9">
        <v>1</v>
      </c>
      <c r="B368" s="9">
        <v>33</v>
      </c>
      <c r="C368" s="9">
        <v>2</v>
      </c>
      <c r="D368" s="9">
        <v>2</v>
      </c>
      <c r="E368" s="9">
        <v>14</v>
      </c>
      <c r="F368" s="9">
        <v>35</v>
      </c>
      <c r="G368" s="9">
        <v>22.9</v>
      </c>
      <c r="H368" s="9">
        <v>2.12</v>
      </c>
      <c r="I368" s="9">
        <v>5.89</v>
      </c>
      <c r="J368" s="7" t="s">
        <v>50</v>
      </c>
    </row>
    <row r="369" spans="1:10" x14ac:dyDescent="0.2">
      <c r="A369" s="9">
        <v>1</v>
      </c>
      <c r="B369" s="9">
        <v>33</v>
      </c>
      <c r="C369" s="9">
        <v>2</v>
      </c>
      <c r="D369" s="9">
        <v>10</v>
      </c>
      <c r="E369" s="9">
        <v>13</v>
      </c>
      <c r="F369" s="9">
        <v>57</v>
      </c>
      <c r="G369" s="9">
        <v>20.9</v>
      </c>
      <c r="H369" s="13">
        <v>5.4954845947359976</v>
      </c>
      <c r="I369" s="9">
        <v>5.8</v>
      </c>
      <c r="J369" s="7" t="s">
        <v>50</v>
      </c>
    </row>
    <row r="370" spans="1:10" x14ac:dyDescent="0.2">
      <c r="A370" s="9">
        <v>0</v>
      </c>
      <c r="B370" s="9">
        <v>39</v>
      </c>
      <c r="C370" s="9">
        <v>2</v>
      </c>
      <c r="D370" s="9">
        <v>9</v>
      </c>
      <c r="E370" s="9">
        <v>16</v>
      </c>
      <c r="F370" s="9">
        <v>56</v>
      </c>
      <c r="G370" s="9">
        <v>18.7</v>
      </c>
      <c r="H370" s="9">
        <v>4.76</v>
      </c>
      <c r="I370" s="9">
        <v>5.71</v>
      </c>
      <c r="J370" s="7" t="s">
        <v>50</v>
      </c>
    </row>
    <row r="371" spans="1:10" x14ac:dyDescent="0.2">
      <c r="A371" s="9">
        <v>0</v>
      </c>
      <c r="B371" s="9">
        <v>26</v>
      </c>
      <c r="C371" s="9">
        <v>2</v>
      </c>
      <c r="D371" s="9">
        <v>6</v>
      </c>
      <c r="E371" s="9">
        <v>7</v>
      </c>
      <c r="F371" s="9">
        <v>45</v>
      </c>
      <c r="G371" s="9">
        <v>26</v>
      </c>
      <c r="H371" s="13">
        <v>5.4954845947359976</v>
      </c>
      <c r="I371" s="9">
        <v>5.65</v>
      </c>
      <c r="J371" s="7" t="s">
        <v>50</v>
      </c>
    </row>
    <row r="372" spans="1:10" x14ac:dyDescent="0.2">
      <c r="A372" s="9">
        <v>0</v>
      </c>
      <c r="B372" s="9">
        <v>28</v>
      </c>
      <c r="C372" s="9">
        <v>4</v>
      </c>
      <c r="D372" s="9">
        <v>0</v>
      </c>
      <c r="E372" s="9">
        <v>7</v>
      </c>
      <c r="F372" s="9">
        <v>29</v>
      </c>
      <c r="G372" s="9">
        <v>24.2</v>
      </c>
      <c r="H372" s="9">
        <v>1.42</v>
      </c>
      <c r="I372" s="9">
        <v>5.59</v>
      </c>
      <c r="J372" s="7" t="s">
        <v>50</v>
      </c>
    </row>
    <row r="373" spans="1:10" x14ac:dyDescent="0.2">
      <c r="A373" s="9">
        <v>1</v>
      </c>
      <c r="B373" s="9">
        <v>31</v>
      </c>
      <c r="C373" s="9">
        <v>3</v>
      </c>
      <c r="D373" s="9">
        <v>9</v>
      </c>
      <c r="E373" s="9">
        <v>7</v>
      </c>
      <c r="F373" s="9">
        <v>59</v>
      </c>
      <c r="G373" s="9">
        <v>14.6</v>
      </c>
      <c r="H373" s="9">
        <v>3.11</v>
      </c>
      <c r="I373" s="9">
        <v>5.5</v>
      </c>
      <c r="J373" s="7" t="s">
        <v>50</v>
      </c>
    </row>
    <row r="374" spans="1:10" x14ac:dyDescent="0.2">
      <c r="A374" s="9">
        <v>1</v>
      </c>
      <c r="B374" s="9">
        <v>27</v>
      </c>
      <c r="C374" s="9">
        <v>1</v>
      </c>
      <c r="D374" s="9">
        <v>9</v>
      </c>
      <c r="E374" s="9">
        <v>6</v>
      </c>
      <c r="F374" s="9">
        <v>45</v>
      </c>
      <c r="G374" s="9">
        <v>17.8</v>
      </c>
      <c r="H374" s="9">
        <v>2.85</v>
      </c>
      <c r="I374" s="9">
        <v>5.16</v>
      </c>
      <c r="J374" s="7" t="s">
        <v>50</v>
      </c>
    </row>
    <row r="375" spans="1:10" x14ac:dyDescent="0.2">
      <c r="A375" s="9">
        <v>0</v>
      </c>
      <c r="B375" s="9">
        <v>26</v>
      </c>
      <c r="C375" s="9">
        <v>3</v>
      </c>
      <c r="D375" s="9">
        <v>2</v>
      </c>
      <c r="E375" s="9">
        <v>1</v>
      </c>
      <c r="F375" s="9">
        <v>37</v>
      </c>
      <c r="G375" s="9">
        <v>14.2</v>
      </c>
      <c r="H375" s="9">
        <v>0.2</v>
      </c>
      <c r="I375" s="9">
        <v>5.05</v>
      </c>
      <c r="J375" s="7" t="s">
        <v>50</v>
      </c>
    </row>
    <row r="376" spans="1:10" x14ac:dyDescent="0.2">
      <c r="A376" s="9">
        <v>1</v>
      </c>
      <c r="B376" s="9">
        <v>41</v>
      </c>
      <c r="C376" s="9">
        <v>3</v>
      </c>
      <c r="D376" s="9">
        <v>17</v>
      </c>
      <c r="E376" s="9">
        <v>12</v>
      </c>
      <c r="F376" s="9">
        <v>0</v>
      </c>
      <c r="G376" s="9">
        <v>9.3000000000000007</v>
      </c>
      <c r="H376" s="9">
        <v>0.97</v>
      </c>
      <c r="I376" s="9">
        <v>5.01</v>
      </c>
      <c r="J376" s="7" t="s">
        <v>50</v>
      </c>
    </row>
    <row r="377" spans="1:10" x14ac:dyDescent="0.2">
      <c r="A377" s="9">
        <v>0</v>
      </c>
      <c r="B377" s="9">
        <v>51</v>
      </c>
      <c r="C377" s="9">
        <v>2</v>
      </c>
      <c r="D377" s="9">
        <v>22</v>
      </c>
      <c r="E377" s="9">
        <v>23</v>
      </c>
      <c r="F377" s="13">
        <v>117.54291069294821</v>
      </c>
      <c r="G377" s="9">
        <v>7.6</v>
      </c>
      <c r="H377" s="9">
        <v>4.1399999999999997</v>
      </c>
      <c r="I377" s="9">
        <v>4.9800000000000004</v>
      </c>
      <c r="J377" s="7" t="s">
        <v>50</v>
      </c>
    </row>
    <row r="378" spans="1:10" x14ac:dyDescent="0.2">
      <c r="A378" s="9">
        <v>0</v>
      </c>
      <c r="B378" s="9">
        <v>31</v>
      </c>
      <c r="C378" s="9">
        <v>1</v>
      </c>
      <c r="D378" s="9">
        <v>11</v>
      </c>
      <c r="E378" s="9">
        <v>12</v>
      </c>
      <c r="F378" s="9">
        <v>45</v>
      </c>
      <c r="G378" s="9">
        <v>17</v>
      </c>
      <c r="H378" s="9">
        <v>2.74</v>
      </c>
      <c r="I378" s="9">
        <v>4.91</v>
      </c>
      <c r="J378" s="7" t="s">
        <v>50</v>
      </c>
    </row>
    <row r="379" spans="1:10" x14ac:dyDescent="0.2">
      <c r="A379" s="9">
        <v>1</v>
      </c>
      <c r="B379" s="9">
        <v>27</v>
      </c>
      <c r="C379" s="9">
        <v>3</v>
      </c>
      <c r="D379" s="9">
        <v>3</v>
      </c>
      <c r="E379" s="9">
        <v>4</v>
      </c>
      <c r="F379" s="9">
        <v>45</v>
      </c>
      <c r="G379" s="9">
        <v>11</v>
      </c>
      <c r="H379" s="9">
        <v>0.28999999999999998</v>
      </c>
      <c r="I379" s="9">
        <v>4.66</v>
      </c>
      <c r="J379" s="7" t="s">
        <v>50</v>
      </c>
    </row>
    <row r="380" spans="1:10" x14ac:dyDescent="0.2">
      <c r="A380" s="9">
        <v>0</v>
      </c>
      <c r="B380" s="9">
        <v>32</v>
      </c>
      <c r="C380" s="9">
        <v>2</v>
      </c>
      <c r="D380" s="9">
        <v>12</v>
      </c>
      <c r="E380" s="9">
        <v>1</v>
      </c>
      <c r="F380" s="9">
        <v>54</v>
      </c>
      <c r="G380" s="9">
        <v>14.4</v>
      </c>
      <c r="H380" s="9">
        <v>3.2</v>
      </c>
      <c r="I380" s="9">
        <v>4.58</v>
      </c>
      <c r="J380" s="7" t="s">
        <v>50</v>
      </c>
    </row>
    <row r="381" spans="1:10" x14ac:dyDescent="0.2">
      <c r="A381" s="9">
        <v>0</v>
      </c>
      <c r="B381" s="9">
        <v>40</v>
      </c>
      <c r="C381" s="9">
        <v>3</v>
      </c>
      <c r="D381" s="9">
        <v>17</v>
      </c>
      <c r="E381" s="9">
        <v>11</v>
      </c>
      <c r="F381" s="9">
        <v>116</v>
      </c>
      <c r="G381" s="9">
        <v>6</v>
      </c>
      <c r="H381" s="9">
        <v>2.56</v>
      </c>
      <c r="I381" s="9">
        <v>4.4000000000000004</v>
      </c>
      <c r="J381" s="7" t="s">
        <v>50</v>
      </c>
    </row>
    <row r="382" spans="1:10" x14ac:dyDescent="0.2">
      <c r="A382" s="9">
        <v>0</v>
      </c>
      <c r="B382" s="9">
        <v>39</v>
      </c>
      <c r="C382" s="9">
        <v>1</v>
      </c>
      <c r="D382" s="9">
        <v>19</v>
      </c>
      <c r="E382" s="9">
        <v>5</v>
      </c>
      <c r="F382" s="9">
        <v>48</v>
      </c>
      <c r="G382" s="9">
        <v>13.1</v>
      </c>
      <c r="H382" s="9">
        <v>1.93</v>
      </c>
      <c r="I382" s="9">
        <v>4.3600000000000003</v>
      </c>
      <c r="J382" s="7" t="s">
        <v>50</v>
      </c>
    </row>
    <row r="383" spans="1:10" x14ac:dyDescent="0.2">
      <c r="A383" s="9">
        <v>0</v>
      </c>
      <c r="B383" s="9">
        <v>34</v>
      </c>
      <c r="C383" s="9">
        <v>1</v>
      </c>
      <c r="D383" s="9">
        <v>3</v>
      </c>
      <c r="E383" s="9">
        <v>11</v>
      </c>
      <c r="F383" s="9">
        <v>27</v>
      </c>
      <c r="G383" s="9">
        <v>21.3</v>
      </c>
      <c r="H383" s="9">
        <v>1.4</v>
      </c>
      <c r="I383" s="9">
        <v>4.3499999999999996</v>
      </c>
      <c r="J383" s="7" t="s">
        <v>50</v>
      </c>
    </row>
    <row r="384" spans="1:10" x14ac:dyDescent="0.2">
      <c r="A384" s="9">
        <v>0</v>
      </c>
      <c r="B384" s="9">
        <v>29</v>
      </c>
      <c r="C384" s="9">
        <v>2</v>
      </c>
      <c r="D384" s="9">
        <v>10</v>
      </c>
      <c r="E384" s="9">
        <v>8</v>
      </c>
      <c r="F384" s="9">
        <v>44</v>
      </c>
      <c r="G384" s="9">
        <v>18.100000000000001</v>
      </c>
      <c r="H384" s="9">
        <v>3.7</v>
      </c>
      <c r="I384" s="9">
        <v>4.26</v>
      </c>
      <c r="J384" s="7" t="s">
        <v>50</v>
      </c>
    </row>
    <row r="385" spans="1:10" x14ac:dyDescent="0.2">
      <c r="A385" s="9">
        <v>0</v>
      </c>
      <c r="B385" s="9">
        <v>38</v>
      </c>
      <c r="C385" s="9">
        <v>1</v>
      </c>
      <c r="D385" s="9">
        <v>5</v>
      </c>
      <c r="E385" s="9">
        <v>5</v>
      </c>
      <c r="F385" s="9">
        <v>54</v>
      </c>
      <c r="G385" s="9">
        <v>10.6</v>
      </c>
      <c r="H385" s="9">
        <v>1.5</v>
      </c>
      <c r="I385" s="9">
        <v>4.22</v>
      </c>
      <c r="J385" s="7" t="s">
        <v>50</v>
      </c>
    </row>
    <row r="386" spans="1:10" x14ac:dyDescent="0.2">
      <c r="A386" s="9">
        <v>0</v>
      </c>
      <c r="B386" s="9">
        <v>36</v>
      </c>
      <c r="C386" s="9">
        <v>1</v>
      </c>
      <c r="D386" s="9">
        <v>14</v>
      </c>
      <c r="E386" s="9">
        <v>11</v>
      </c>
      <c r="F386" s="9">
        <v>81</v>
      </c>
      <c r="G386" s="9">
        <v>7.2</v>
      </c>
      <c r="H386" s="9">
        <v>1.78</v>
      </c>
      <c r="I386" s="9">
        <v>4.05</v>
      </c>
      <c r="J386" s="7" t="s">
        <v>50</v>
      </c>
    </row>
    <row r="387" spans="1:10" x14ac:dyDescent="0.2">
      <c r="A387" s="9">
        <v>1</v>
      </c>
      <c r="B387" s="9">
        <v>27</v>
      </c>
      <c r="C387" s="9">
        <v>4</v>
      </c>
      <c r="D387" s="9">
        <v>0</v>
      </c>
      <c r="E387" s="9">
        <v>6</v>
      </c>
      <c r="F387" s="9">
        <v>70</v>
      </c>
      <c r="G387" s="9">
        <v>8</v>
      </c>
      <c r="H387" s="9">
        <v>1.62</v>
      </c>
      <c r="I387" s="9">
        <v>3.98</v>
      </c>
      <c r="J387" s="7" t="s">
        <v>50</v>
      </c>
    </row>
    <row r="388" spans="1:10" x14ac:dyDescent="0.2">
      <c r="A388" s="9">
        <v>1</v>
      </c>
      <c r="B388" s="9">
        <v>52</v>
      </c>
      <c r="C388" s="9">
        <v>1</v>
      </c>
      <c r="D388" s="9">
        <v>9</v>
      </c>
      <c r="E388" s="9">
        <v>11</v>
      </c>
      <c r="F388" s="9">
        <v>24</v>
      </c>
      <c r="G388" s="9">
        <v>19.2</v>
      </c>
      <c r="H388" s="9">
        <v>0.8</v>
      </c>
      <c r="I388" s="9">
        <v>3.81</v>
      </c>
      <c r="J388" s="7" t="s">
        <v>50</v>
      </c>
    </row>
    <row r="389" spans="1:10" x14ac:dyDescent="0.2">
      <c r="A389" s="9">
        <v>1</v>
      </c>
      <c r="B389" s="9">
        <v>28</v>
      </c>
      <c r="C389" s="9">
        <v>3</v>
      </c>
      <c r="D389" s="9">
        <v>6</v>
      </c>
      <c r="E389" s="9">
        <v>8</v>
      </c>
      <c r="F389" s="9">
        <v>47</v>
      </c>
      <c r="G389" s="9">
        <v>19.8</v>
      </c>
      <c r="H389" s="13">
        <v>5.4954845947359976</v>
      </c>
      <c r="I389" s="9">
        <v>3.73</v>
      </c>
      <c r="J389" s="7" t="s">
        <v>50</v>
      </c>
    </row>
    <row r="390" spans="1:10" x14ac:dyDescent="0.2">
      <c r="A390" s="9">
        <v>1</v>
      </c>
      <c r="B390" s="9">
        <v>46</v>
      </c>
      <c r="C390" s="9">
        <v>1</v>
      </c>
      <c r="D390" s="9">
        <v>16</v>
      </c>
      <c r="E390" s="9">
        <v>18</v>
      </c>
      <c r="F390" s="9">
        <v>52</v>
      </c>
      <c r="G390" s="9">
        <v>12.9</v>
      </c>
      <c r="H390" s="9">
        <v>3.03</v>
      </c>
      <c r="I390" s="9">
        <v>3.68</v>
      </c>
      <c r="J390" s="7" t="s">
        <v>50</v>
      </c>
    </row>
    <row r="391" spans="1:10" x14ac:dyDescent="0.2">
      <c r="A391" s="9">
        <v>1</v>
      </c>
      <c r="B391" s="9">
        <v>40</v>
      </c>
      <c r="C391" s="9">
        <v>1</v>
      </c>
      <c r="D391" s="9">
        <v>14</v>
      </c>
      <c r="E391" s="9">
        <v>21</v>
      </c>
      <c r="F391" s="9">
        <v>43</v>
      </c>
      <c r="G391" s="9">
        <v>15</v>
      </c>
      <c r="H391" s="9">
        <v>2.79</v>
      </c>
      <c r="I391" s="9">
        <v>3.66</v>
      </c>
      <c r="J391" s="7" t="s">
        <v>50</v>
      </c>
    </row>
    <row r="392" spans="1:10" x14ac:dyDescent="0.2">
      <c r="A392" s="9">
        <v>0</v>
      </c>
      <c r="B392" s="9">
        <v>37</v>
      </c>
      <c r="C392" s="9">
        <v>1</v>
      </c>
      <c r="D392" s="9">
        <v>7</v>
      </c>
      <c r="E392" s="9">
        <v>3</v>
      </c>
      <c r="F392" s="9">
        <v>32</v>
      </c>
      <c r="G392" s="9">
        <v>19.600000000000001</v>
      </c>
      <c r="H392" s="9">
        <v>2.7</v>
      </c>
      <c r="I392" s="9">
        <v>3.58</v>
      </c>
      <c r="J392" s="7" t="s">
        <v>50</v>
      </c>
    </row>
    <row r="393" spans="1:10" x14ac:dyDescent="0.2">
      <c r="A393" s="9">
        <v>1</v>
      </c>
      <c r="B393" s="9">
        <v>53</v>
      </c>
      <c r="C393" s="9">
        <v>1</v>
      </c>
      <c r="D393" s="9">
        <v>9</v>
      </c>
      <c r="E393" s="9">
        <v>18</v>
      </c>
      <c r="F393" s="9">
        <v>50</v>
      </c>
      <c r="G393" s="9">
        <v>11.2</v>
      </c>
      <c r="H393" s="9">
        <v>2.02</v>
      </c>
      <c r="I393" s="9">
        <v>3.58</v>
      </c>
      <c r="J393" s="7" t="s">
        <v>50</v>
      </c>
    </row>
    <row r="394" spans="1:10" x14ac:dyDescent="0.2">
      <c r="A394" s="9">
        <v>0</v>
      </c>
      <c r="B394" s="9">
        <v>25</v>
      </c>
      <c r="C394" s="9">
        <v>4</v>
      </c>
      <c r="D394" s="9">
        <v>0</v>
      </c>
      <c r="E394" s="9">
        <v>2</v>
      </c>
      <c r="F394" s="9">
        <v>32</v>
      </c>
      <c r="G394" s="9">
        <v>17.600000000000001</v>
      </c>
      <c r="H394" s="9">
        <v>2.14</v>
      </c>
      <c r="I394" s="9">
        <v>3.49</v>
      </c>
      <c r="J394" s="7" t="s">
        <v>50</v>
      </c>
    </row>
    <row r="395" spans="1:10" x14ac:dyDescent="0.2">
      <c r="A395" s="9">
        <v>0</v>
      </c>
      <c r="B395" s="9">
        <v>34</v>
      </c>
      <c r="C395" s="9">
        <v>2</v>
      </c>
      <c r="D395" s="9">
        <v>9</v>
      </c>
      <c r="E395" s="9">
        <v>13</v>
      </c>
      <c r="F395" s="9">
        <v>45</v>
      </c>
      <c r="G395" s="9">
        <v>10.1</v>
      </c>
      <c r="H395" s="9">
        <v>1.1200000000000001</v>
      </c>
      <c r="I395" s="9">
        <v>3.43</v>
      </c>
      <c r="J395" s="7" t="s">
        <v>50</v>
      </c>
    </row>
    <row r="396" spans="1:10" x14ac:dyDescent="0.2">
      <c r="A396" s="9">
        <v>0</v>
      </c>
      <c r="B396" s="9">
        <v>40</v>
      </c>
      <c r="C396" s="9">
        <v>1</v>
      </c>
      <c r="D396" s="9">
        <v>9</v>
      </c>
      <c r="E396" s="9">
        <v>4</v>
      </c>
      <c r="F396" s="9">
        <v>64</v>
      </c>
      <c r="G396" s="9">
        <v>6.6</v>
      </c>
      <c r="H396" s="9">
        <v>0.79</v>
      </c>
      <c r="I396" s="9">
        <v>3.43</v>
      </c>
      <c r="J396" s="7" t="s">
        <v>50</v>
      </c>
    </row>
    <row r="397" spans="1:10" x14ac:dyDescent="0.2">
      <c r="A397" s="9">
        <v>0</v>
      </c>
      <c r="B397" s="9">
        <v>46</v>
      </c>
      <c r="C397" s="9">
        <v>5</v>
      </c>
      <c r="D397" s="9">
        <v>15</v>
      </c>
      <c r="E397" s="9">
        <v>0</v>
      </c>
      <c r="F397" s="13">
        <v>117.54291069294821</v>
      </c>
      <c r="G397" s="9">
        <v>3.1</v>
      </c>
      <c r="H397" s="9">
        <v>0.48</v>
      </c>
      <c r="I397" s="9">
        <v>3.43</v>
      </c>
      <c r="J397" s="7" t="s">
        <v>50</v>
      </c>
    </row>
    <row r="398" spans="1:10" x14ac:dyDescent="0.2">
      <c r="A398" s="9">
        <v>1</v>
      </c>
      <c r="B398" s="9">
        <v>24</v>
      </c>
      <c r="C398" s="9">
        <v>1</v>
      </c>
      <c r="D398" s="9">
        <v>3</v>
      </c>
      <c r="E398" s="9">
        <v>3</v>
      </c>
      <c r="F398" s="9">
        <v>21</v>
      </c>
      <c r="G398" s="9">
        <v>28.9</v>
      </c>
      <c r="H398" s="9">
        <v>2.68</v>
      </c>
      <c r="I398" s="9">
        <v>3.39</v>
      </c>
      <c r="J398" s="7" t="s">
        <v>50</v>
      </c>
    </row>
    <row r="399" spans="1:10" x14ac:dyDescent="0.2">
      <c r="A399" s="9">
        <v>0</v>
      </c>
      <c r="B399" s="9">
        <v>28</v>
      </c>
      <c r="C399" s="9">
        <v>4</v>
      </c>
      <c r="D399" s="9">
        <v>0</v>
      </c>
      <c r="E399" s="9">
        <v>5</v>
      </c>
      <c r="F399" s="9">
        <v>38</v>
      </c>
      <c r="G399" s="9">
        <v>10.4</v>
      </c>
      <c r="H399" s="9">
        <v>0.64</v>
      </c>
      <c r="I399" s="9">
        <v>3.32</v>
      </c>
      <c r="J399" s="7" t="s">
        <v>50</v>
      </c>
    </row>
    <row r="400" spans="1:10" x14ac:dyDescent="0.2">
      <c r="A400" s="9">
        <v>1</v>
      </c>
      <c r="B400" s="9">
        <v>34</v>
      </c>
      <c r="C400" s="9">
        <v>1</v>
      </c>
      <c r="D400" s="9">
        <v>3</v>
      </c>
      <c r="E400" s="9">
        <v>4</v>
      </c>
      <c r="F400" s="9">
        <v>19</v>
      </c>
      <c r="G400" s="9">
        <v>24.4</v>
      </c>
      <c r="H400" s="9">
        <v>1.36</v>
      </c>
      <c r="I400" s="9">
        <v>3.28</v>
      </c>
      <c r="J400" s="7" t="s">
        <v>50</v>
      </c>
    </row>
    <row r="401" spans="1:10" x14ac:dyDescent="0.2">
      <c r="A401" s="9">
        <v>0</v>
      </c>
      <c r="B401" s="9">
        <v>41</v>
      </c>
      <c r="C401" s="9">
        <v>1</v>
      </c>
      <c r="D401" s="9">
        <v>16</v>
      </c>
      <c r="E401" s="9">
        <v>17</v>
      </c>
      <c r="F401" s="9">
        <v>68</v>
      </c>
      <c r="G401" s="9">
        <v>5.4</v>
      </c>
      <c r="H401" s="9">
        <v>0.45</v>
      </c>
      <c r="I401" s="9">
        <v>3.22</v>
      </c>
      <c r="J401" s="7" t="s">
        <v>50</v>
      </c>
    </row>
    <row r="402" spans="1:10" x14ac:dyDescent="0.2">
      <c r="A402" s="9">
        <v>1</v>
      </c>
      <c r="B402" s="9">
        <v>29</v>
      </c>
      <c r="C402" s="9">
        <v>1</v>
      </c>
      <c r="D402" s="9">
        <v>1</v>
      </c>
      <c r="E402" s="9">
        <v>2</v>
      </c>
      <c r="F402" s="9">
        <v>20</v>
      </c>
      <c r="G402" s="9">
        <v>18.600000000000001</v>
      </c>
      <c r="H402" s="9">
        <v>0.56999999999999995</v>
      </c>
      <c r="I402" s="9">
        <v>3.15</v>
      </c>
      <c r="J402" s="7" t="s">
        <v>50</v>
      </c>
    </row>
    <row r="403" spans="1:10" x14ac:dyDescent="0.2">
      <c r="A403" s="9">
        <v>0</v>
      </c>
      <c r="B403" s="9">
        <v>28</v>
      </c>
      <c r="C403" s="9">
        <v>3</v>
      </c>
      <c r="D403" s="9">
        <v>5</v>
      </c>
      <c r="E403" s="9">
        <v>9</v>
      </c>
      <c r="F403" s="9">
        <v>44</v>
      </c>
      <c r="G403" s="9">
        <v>8.6999999999999993</v>
      </c>
      <c r="H403" s="9">
        <v>0.77</v>
      </c>
      <c r="I403" s="9">
        <v>3.05</v>
      </c>
      <c r="J403" s="7" t="s">
        <v>50</v>
      </c>
    </row>
    <row r="404" spans="1:10" x14ac:dyDescent="0.2">
      <c r="A404" s="9">
        <v>0</v>
      </c>
      <c r="B404" s="9">
        <v>36</v>
      </c>
      <c r="C404" s="9">
        <v>2</v>
      </c>
      <c r="D404" s="9">
        <v>12</v>
      </c>
      <c r="E404" s="9">
        <v>13</v>
      </c>
      <c r="F404" s="9">
        <v>60</v>
      </c>
      <c r="G404" s="9">
        <v>7.9</v>
      </c>
      <c r="H404" s="9">
        <v>1.72</v>
      </c>
      <c r="I404" s="9">
        <v>3.02</v>
      </c>
      <c r="J404" s="7" t="s">
        <v>50</v>
      </c>
    </row>
    <row r="405" spans="1:10" x14ac:dyDescent="0.2">
      <c r="A405" s="9">
        <v>0</v>
      </c>
      <c r="B405" s="9">
        <v>37</v>
      </c>
      <c r="C405" s="9">
        <v>1</v>
      </c>
      <c r="D405" s="9">
        <v>6</v>
      </c>
      <c r="E405" s="9">
        <v>9</v>
      </c>
      <c r="F405" s="9">
        <v>29</v>
      </c>
      <c r="G405" s="9">
        <v>16.3</v>
      </c>
      <c r="H405" s="9">
        <v>1.72</v>
      </c>
      <c r="I405" s="9">
        <v>3.01</v>
      </c>
      <c r="J405" s="7" t="s">
        <v>50</v>
      </c>
    </row>
    <row r="406" spans="1:10" x14ac:dyDescent="0.2">
      <c r="A406" s="9">
        <v>0</v>
      </c>
      <c r="B406" s="9">
        <v>21</v>
      </c>
      <c r="C406" s="9">
        <v>1</v>
      </c>
      <c r="D406" s="9">
        <v>1</v>
      </c>
      <c r="E406" s="9">
        <v>1</v>
      </c>
      <c r="F406" s="9">
        <v>18</v>
      </c>
      <c r="G406" s="9">
        <v>17.3</v>
      </c>
      <c r="H406" s="9">
        <v>0.16</v>
      </c>
      <c r="I406" s="9">
        <v>2.96</v>
      </c>
      <c r="J406" s="7" t="s">
        <v>50</v>
      </c>
    </row>
    <row r="407" spans="1:10" x14ac:dyDescent="0.2">
      <c r="A407" s="9">
        <v>0</v>
      </c>
      <c r="B407" s="9">
        <v>41</v>
      </c>
      <c r="C407" s="9">
        <v>1</v>
      </c>
      <c r="D407" s="9">
        <v>14</v>
      </c>
      <c r="E407" s="9">
        <v>8</v>
      </c>
      <c r="F407" s="9">
        <v>52</v>
      </c>
      <c r="G407" s="9">
        <v>7.3</v>
      </c>
      <c r="H407" s="9">
        <v>0.93</v>
      </c>
      <c r="I407" s="9">
        <v>2.87</v>
      </c>
      <c r="J407" s="7" t="s">
        <v>50</v>
      </c>
    </row>
    <row r="408" spans="1:10" x14ac:dyDescent="0.2">
      <c r="A408" s="9">
        <v>0</v>
      </c>
      <c r="B408" s="9">
        <v>31</v>
      </c>
      <c r="C408" s="9">
        <v>1</v>
      </c>
      <c r="D408" s="9">
        <v>4</v>
      </c>
      <c r="E408" s="9">
        <v>10</v>
      </c>
      <c r="F408" s="9">
        <v>28</v>
      </c>
      <c r="G408" s="9">
        <v>11.3</v>
      </c>
      <c r="H408" s="9">
        <v>0.28999999999999998</v>
      </c>
      <c r="I408" s="9">
        <v>2.87</v>
      </c>
      <c r="J408" s="7" t="s">
        <v>50</v>
      </c>
    </row>
    <row r="409" spans="1:10" x14ac:dyDescent="0.2">
      <c r="A409" s="9">
        <v>0</v>
      </c>
      <c r="B409" s="9">
        <v>50</v>
      </c>
      <c r="C409" s="9">
        <v>1</v>
      </c>
      <c r="D409" s="9">
        <v>8</v>
      </c>
      <c r="E409" s="9">
        <v>27</v>
      </c>
      <c r="F409" s="9">
        <v>47</v>
      </c>
      <c r="G409" s="9">
        <v>6.9</v>
      </c>
      <c r="H409" s="9">
        <v>0.4</v>
      </c>
      <c r="I409" s="9">
        <v>2.84</v>
      </c>
      <c r="J409" s="7" t="s">
        <v>50</v>
      </c>
    </row>
    <row r="410" spans="1:10" x14ac:dyDescent="0.2">
      <c r="A410" s="9">
        <v>0</v>
      </c>
      <c r="B410" s="9">
        <v>40</v>
      </c>
      <c r="C410" s="9">
        <v>1</v>
      </c>
      <c r="D410" s="9">
        <v>22</v>
      </c>
      <c r="E410" s="9">
        <v>4</v>
      </c>
      <c r="F410" s="9">
        <v>95</v>
      </c>
      <c r="G410" s="9">
        <v>3.6</v>
      </c>
      <c r="H410" s="9">
        <v>0.63</v>
      </c>
      <c r="I410" s="9">
        <v>2.79</v>
      </c>
      <c r="J410" s="7" t="s">
        <v>50</v>
      </c>
    </row>
    <row r="411" spans="1:10" x14ac:dyDescent="0.2">
      <c r="A411" s="9">
        <v>1</v>
      </c>
      <c r="B411" s="9">
        <v>23</v>
      </c>
      <c r="C411" s="9">
        <v>2</v>
      </c>
      <c r="D411" s="9">
        <v>0</v>
      </c>
      <c r="E411" s="9">
        <v>1</v>
      </c>
      <c r="F411" s="9">
        <v>17</v>
      </c>
      <c r="G411" s="9">
        <v>27.7</v>
      </c>
      <c r="H411" s="9">
        <v>2.04</v>
      </c>
      <c r="I411" s="9">
        <v>2.67</v>
      </c>
      <c r="J411" s="7" t="s">
        <v>50</v>
      </c>
    </row>
    <row r="412" spans="1:10" x14ac:dyDescent="0.2">
      <c r="A412" s="9">
        <v>0</v>
      </c>
      <c r="B412" s="9">
        <v>44</v>
      </c>
      <c r="C412" s="9">
        <v>1</v>
      </c>
      <c r="D412" s="9">
        <v>12</v>
      </c>
      <c r="E412" s="9">
        <v>3</v>
      </c>
      <c r="F412" s="9">
        <v>31</v>
      </c>
      <c r="G412" s="9">
        <v>9.6999999999999993</v>
      </c>
      <c r="H412" s="9">
        <v>0.36</v>
      </c>
      <c r="I412" s="9">
        <v>2.65</v>
      </c>
      <c r="J412" s="7" t="s">
        <v>50</v>
      </c>
    </row>
    <row r="413" spans="1:10" x14ac:dyDescent="0.2">
      <c r="A413" s="9">
        <v>1</v>
      </c>
      <c r="B413" s="9">
        <v>46</v>
      </c>
      <c r="C413" s="9">
        <v>3</v>
      </c>
      <c r="D413" s="9">
        <v>3</v>
      </c>
      <c r="E413" s="9">
        <v>13</v>
      </c>
      <c r="F413" s="9">
        <v>43</v>
      </c>
      <c r="G413" s="9">
        <v>13.2</v>
      </c>
      <c r="H413" s="9">
        <v>3.04</v>
      </c>
      <c r="I413" s="9">
        <v>2.63</v>
      </c>
      <c r="J413" s="7" t="s">
        <v>50</v>
      </c>
    </row>
    <row r="414" spans="1:10" x14ac:dyDescent="0.2">
      <c r="A414" s="9">
        <v>1</v>
      </c>
      <c r="B414" s="9">
        <v>37</v>
      </c>
      <c r="C414" s="9">
        <v>4</v>
      </c>
      <c r="D414" s="9">
        <v>1</v>
      </c>
      <c r="E414" s="9">
        <v>14</v>
      </c>
      <c r="F414" s="9">
        <v>33</v>
      </c>
      <c r="G414" s="9">
        <v>16.100000000000001</v>
      </c>
      <c r="H414" s="9">
        <v>2.69</v>
      </c>
      <c r="I414" s="9">
        <v>2.62</v>
      </c>
      <c r="J414" s="7" t="s">
        <v>50</v>
      </c>
    </row>
    <row r="415" spans="1:10" x14ac:dyDescent="0.2">
      <c r="A415" s="9">
        <v>1</v>
      </c>
      <c r="B415" s="9">
        <v>25</v>
      </c>
      <c r="C415" s="9">
        <v>1</v>
      </c>
      <c r="D415" s="9">
        <v>3</v>
      </c>
      <c r="E415" s="9">
        <v>2</v>
      </c>
      <c r="F415" s="9">
        <v>18</v>
      </c>
      <c r="G415" s="9">
        <v>16.3</v>
      </c>
      <c r="H415" s="9">
        <v>0.35</v>
      </c>
      <c r="I415" s="9">
        <v>2.58</v>
      </c>
      <c r="J415" s="7" t="s">
        <v>50</v>
      </c>
    </row>
    <row r="416" spans="1:10" x14ac:dyDescent="0.2">
      <c r="A416" s="9">
        <v>0</v>
      </c>
      <c r="B416" s="9">
        <v>27</v>
      </c>
      <c r="C416" s="9">
        <v>2</v>
      </c>
      <c r="D416" s="9">
        <v>1</v>
      </c>
      <c r="E416" s="9">
        <v>0</v>
      </c>
      <c r="F416" s="9">
        <v>23</v>
      </c>
      <c r="G416" s="9">
        <v>12.4</v>
      </c>
      <c r="H416" s="9">
        <v>0.28999999999999998</v>
      </c>
      <c r="I416" s="9">
        <v>2.57</v>
      </c>
      <c r="J416" s="7" t="s">
        <v>50</v>
      </c>
    </row>
    <row r="417" spans="1:10" x14ac:dyDescent="0.2">
      <c r="A417" s="9">
        <v>0</v>
      </c>
      <c r="B417" s="9">
        <v>34</v>
      </c>
      <c r="C417" s="9">
        <v>2</v>
      </c>
      <c r="D417" s="9">
        <v>10</v>
      </c>
      <c r="E417" s="9">
        <v>2</v>
      </c>
      <c r="F417" s="9">
        <v>33</v>
      </c>
      <c r="G417" s="9">
        <v>9.5</v>
      </c>
      <c r="H417" s="9">
        <v>0.56999999999999995</v>
      </c>
      <c r="I417" s="9">
        <v>2.56</v>
      </c>
      <c r="J417" s="7" t="s">
        <v>50</v>
      </c>
    </row>
    <row r="418" spans="1:10" x14ac:dyDescent="0.2">
      <c r="A418" s="9">
        <v>1</v>
      </c>
      <c r="B418" s="9">
        <v>41</v>
      </c>
      <c r="C418" s="9">
        <v>2</v>
      </c>
      <c r="D418" s="9">
        <v>6</v>
      </c>
      <c r="E418" s="9">
        <v>0</v>
      </c>
      <c r="F418" s="9">
        <v>36</v>
      </c>
      <c r="G418" s="9">
        <v>19.5</v>
      </c>
      <c r="H418" s="9">
        <v>4.51</v>
      </c>
      <c r="I418" s="9">
        <v>2.5099999999999998</v>
      </c>
      <c r="J418" s="7" t="s">
        <v>50</v>
      </c>
    </row>
    <row r="419" spans="1:10" x14ac:dyDescent="0.2">
      <c r="A419" s="9">
        <v>0</v>
      </c>
      <c r="B419" s="9">
        <v>41</v>
      </c>
      <c r="C419" s="9">
        <v>2</v>
      </c>
      <c r="D419" s="9">
        <v>19</v>
      </c>
      <c r="E419" s="9">
        <v>2</v>
      </c>
      <c r="F419" s="9">
        <v>68</v>
      </c>
      <c r="G419" s="9">
        <v>5.8</v>
      </c>
      <c r="H419" s="9">
        <v>1.51</v>
      </c>
      <c r="I419" s="9">
        <v>2.44</v>
      </c>
      <c r="J419" s="7" t="s">
        <v>50</v>
      </c>
    </row>
    <row r="420" spans="1:10" x14ac:dyDescent="0.2">
      <c r="A420" s="9">
        <v>0</v>
      </c>
      <c r="B420" s="9">
        <v>36</v>
      </c>
      <c r="C420" s="9">
        <v>1</v>
      </c>
      <c r="D420" s="9">
        <v>4</v>
      </c>
      <c r="E420" s="9">
        <v>10</v>
      </c>
      <c r="F420" s="9">
        <v>23</v>
      </c>
      <c r="G420" s="9">
        <v>16.3</v>
      </c>
      <c r="H420" s="9">
        <v>1.33</v>
      </c>
      <c r="I420" s="9">
        <v>2.42</v>
      </c>
      <c r="J420" s="7" t="s">
        <v>50</v>
      </c>
    </row>
    <row r="421" spans="1:10" x14ac:dyDescent="0.2">
      <c r="A421" s="9">
        <v>1</v>
      </c>
      <c r="B421" s="9">
        <v>31</v>
      </c>
      <c r="C421" s="9">
        <v>2</v>
      </c>
      <c r="D421" s="9">
        <v>0</v>
      </c>
      <c r="E421" s="9">
        <v>4</v>
      </c>
      <c r="F421" s="9">
        <v>27</v>
      </c>
      <c r="G421" s="9">
        <v>12.8</v>
      </c>
      <c r="H421" s="9">
        <v>1.0900000000000001</v>
      </c>
      <c r="I421" s="9">
        <v>2.37</v>
      </c>
      <c r="J421" s="7" t="s">
        <v>50</v>
      </c>
    </row>
    <row r="422" spans="1:10" x14ac:dyDescent="0.2">
      <c r="A422" s="9">
        <v>1</v>
      </c>
      <c r="B422" s="9">
        <v>44</v>
      </c>
      <c r="C422" s="9">
        <v>1</v>
      </c>
      <c r="D422" s="9">
        <v>5</v>
      </c>
      <c r="E422" s="9">
        <v>3</v>
      </c>
      <c r="F422" s="9">
        <v>48</v>
      </c>
      <c r="G422" s="9">
        <v>9</v>
      </c>
      <c r="H422" s="9">
        <v>1.97</v>
      </c>
      <c r="I422" s="9">
        <v>2.35</v>
      </c>
      <c r="J422" s="7" t="s">
        <v>50</v>
      </c>
    </row>
    <row r="423" spans="1:10" x14ac:dyDescent="0.2">
      <c r="A423" s="9">
        <v>0</v>
      </c>
      <c r="B423" s="9">
        <v>29</v>
      </c>
      <c r="C423" s="9">
        <v>1</v>
      </c>
      <c r="D423" s="9">
        <v>8</v>
      </c>
      <c r="E423" s="9">
        <v>6</v>
      </c>
      <c r="F423" s="9">
        <v>27</v>
      </c>
      <c r="G423" s="9">
        <v>9.8000000000000007</v>
      </c>
      <c r="H423" s="9">
        <v>0.4</v>
      </c>
      <c r="I423" s="9">
        <v>2.2400000000000002</v>
      </c>
      <c r="J423" s="7" t="s">
        <v>50</v>
      </c>
    </row>
    <row r="424" spans="1:10" x14ac:dyDescent="0.2">
      <c r="A424" s="9">
        <v>0</v>
      </c>
      <c r="B424" s="9">
        <v>28</v>
      </c>
      <c r="C424" s="9">
        <v>1</v>
      </c>
      <c r="D424" s="9">
        <v>4</v>
      </c>
      <c r="E424" s="9">
        <v>7</v>
      </c>
      <c r="F424" s="9">
        <v>26</v>
      </c>
      <c r="G424" s="9">
        <v>13.5</v>
      </c>
      <c r="H424" s="9">
        <v>1.3</v>
      </c>
      <c r="I424" s="9">
        <v>2.21</v>
      </c>
      <c r="J424" s="7" t="s">
        <v>50</v>
      </c>
    </row>
    <row r="425" spans="1:10" x14ac:dyDescent="0.2">
      <c r="A425" s="9">
        <v>0</v>
      </c>
      <c r="B425" s="9">
        <v>28</v>
      </c>
      <c r="C425" s="9">
        <v>1</v>
      </c>
      <c r="D425" s="9">
        <v>3</v>
      </c>
      <c r="E425" s="9">
        <v>6</v>
      </c>
      <c r="F425" s="9">
        <v>26</v>
      </c>
      <c r="G425" s="9">
        <v>10</v>
      </c>
      <c r="H425" s="9">
        <v>0.43</v>
      </c>
      <c r="I425" s="9">
        <v>2.17</v>
      </c>
      <c r="J425" s="7" t="s">
        <v>50</v>
      </c>
    </row>
    <row r="426" spans="1:10" x14ac:dyDescent="0.2">
      <c r="A426" s="9">
        <v>0</v>
      </c>
      <c r="B426" s="9">
        <v>36</v>
      </c>
      <c r="C426" s="9">
        <v>1</v>
      </c>
      <c r="D426" s="9">
        <v>6</v>
      </c>
      <c r="E426" s="9">
        <v>9</v>
      </c>
      <c r="F426" s="9">
        <v>26</v>
      </c>
      <c r="G426" s="9">
        <v>8.3000000000000007</v>
      </c>
      <c r="H426" s="9">
        <v>0.97</v>
      </c>
      <c r="I426" s="9">
        <v>2.13</v>
      </c>
      <c r="J426" s="7" t="s">
        <v>50</v>
      </c>
    </row>
    <row r="427" spans="1:10" x14ac:dyDescent="0.2">
      <c r="A427" s="9">
        <v>0</v>
      </c>
      <c r="B427" s="9">
        <v>39</v>
      </c>
      <c r="C427" s="9">
        <v>1</v>
      </c>
      <c r="D427" s="9">
        <v>0</v>
      </c>
      <c r="E427" s="9">
        <v>8</v>
      </c>
      <c r="F427" s="9">
        <v>39</v>
      </c>
      <c r="G427" s="9">
        <v>7.9</v>
      </c>
      <c r="H427" s="9">
        <v>1.07</v>
      </c>
      <c r="I427" s="9">
        <v>2.0099999999999998</v>
      </c>
      <c r="J427" s="7" t="s">
        <v>50</v>
      </c>
    </row>
    <row r="428" spans="1:10" x14ac:dyDescent="0.2">
      <c r="A428" s="9">
        <v>0</v>
      </c>
      <c r="B428" s="9">
        <v>30</v>
      </c>
      <c r="C428" s="9">
        <v>1</v>
      </c>
      <c r="D428" s="9">
        <v>8</v>
      </c>
      <c r="E428" s="9">
        <v>6</v>
      </c>
      <c r="F428" s="9">
        <v>23</v>
      </c>
      <c r="G428" s="9">
        <v>12</v>
      </c>
      <c r="H428" s="9">
        <v>0.76</v>
      </c>
      <c r="I428" s="9">
        <v>2</v>
      </c>
      <c r="J428" s="7" t="s">
        <v>50</v>
      </c>
    </row>
    <row r="429" spans="1:10" x14ac:dyDescent="0.2">
      <c r="A429" s="9">
        <v>0</v>
      </c>
      <c r="B429" s="9">
        <v>37</v>
      </c>
      <c r="C429" s="9">
        <v>1</v>
      </c>
      <c r="D429" s="9">
        <v>18</v>
      </c>
      <c r="E429" s="9">
        <v>8</v>
      </c>
      <c r="F429" s="9">
        <v>54</v>
      </c>
      <c r="G429" s="9">
        <v>12.1</v>
      </c>
      <c r="H429" s="9">
        <v>4.59</v>
      </c>
      <c r="I429" s="9">
        <v>1.94</v>
      </c>
      <c r="J429" s="7" t="s">
        <v>50</v>
      </c>
    </row>
    <row r="430" spans="1:10" x14ac:dyDescent="0.2">
      <c r="A430" s="9">
        <v>0</v>
      </c>
      <c r="B430" s="9">
        <v>34</v>
      </c>
      <c r="C430" s="9">
        <v>2</v>
      </c>
      <c r="D430" s="9">
        <v>9</v>
      </c>
      <c r="E430" s="9">
        <v>9</v>
      </c>
      <c r="F430" s="9">
        <v>65</v>
      </c>
      <c r="G430" s="9">
        <v>6.2</v>
      </c>
      <c r="H430" s="9">
        <v>2.11</v>
      </c>
      <c r="I430" s="9">
        <v>1.92</v>
      </c>
      <c r="J430" s="7" t="s">
        <v>50</v>
      </c>
    </row>
    <row r="431" spans="1:10" x14ac:dyDescent="0.2">
      <c r="A431" s="9">
        <v>0</v>
      </c>
      <c r="B431" s="9">
        <v>34</v>
      </c>
      <c r="C431" s="9">
        <v>3</v>
      </c>
      <c r="D431" s="9">
        <v>12</v>
      </c>
      <c r="E431" s="9">
        <v>8</v>
      </c>
      <c r="F431" s="9">
        <v>47</v>
      </c>
      <c r="G431" s="9">
        <v>6.7</v>
      </c>
      <c r="H431" s="9">
        <v>1.3</v>
      </c>
      <c r="I431" s="9">
        <v>1.85</v>
      </c>
      <c r="J431" s="7" t="s">
        <v>50</v>
      </c>
    </row>
    <row r="432" spans="1:10" x14ac:dyDescent="0.2">
      <c r="A432" s="9">
        <v>1</v>
      </c>
      <c r="B432" s="9">
        <v>25</v>
      </c>
      <c r="C432" s="9">
        <v>1</v>
      </c>
      <c r="D432" s="9">
        <v>3</v>
      </c>
      <c r="E432" s="9">
        <v>2</v>
      </c>
      <c r="F432" s="9">
        <v>16</v>
      </c>
      <c r="G432" s="9">
        <v>17.8</v>
      </c>
      <c r="H432" s="9">
        <v>1.01</v>
      </c>
      <c r="I432" s="9">
        <v>1.84</v>
      </c>
      <c r="J432" s="7" t="s">
        <v>50</v>
      </c>
    </row>
    <row r="433" spans="1:10" x14ac:dyDescent="0.2">
      <c r="A433" s="9">
        <v>1</v>
      </c>
      <c r="B433" s="9">
        <v>37</v>
      </c>
      <c r="C433" s="9">
        <v>1</v>
      </c>
      <c r="D433" s="9">
        <v>1</v>
      </c>
      <c r="E433" s="9">
        <v>3</v>
      </c>
      <c r="F433" s="9">
        <v>24</v>
      </c>
      <c r="G433" s="9">
        <v>15.1</v>
      </c>
      <c r="H433" s="9">
        <v>1.8</v>
      </c>
      <c r="I433" s="9">
        <v>1.82</v>
      </c>
      <c r="J433" s="7" t="s">
        <v>50</v>
      </c>
    </row>
    <row r="434" spans="1:10" x14ac:dyDescent="0.2">
      <c r="A434" s="9">
        <v>0</v>
      </c>
      <c r="B434" s="9">
        <v>39</v>
      </c>
      <c r="C434" s="9">
        <v>1</v>
      </c>
      <c r="D434" s="9">
        <v>12</v>
      </c>
      <c r="E434" s="9">
        <v>10</v>
      </c>
      <c r="F434" s="9">
        <v>46</v>
      </c>
      <c r="G434" s="9">
        <v>5</v>
      </c>
      <c r="H434" s="9">
        <v>0.56000000000000005</v>
      </c>
      <c r="I434" s="9">
        <v>1.74</v>
      </c>
      <c r="J434" s="7" t="s">
        <v>50</v>
      </c>
    </row>
    <row r="435" spans="1:10" x14ac:dyDescent="0.2">
      <c r="A435" s="9">
        <v>1</v>
      </c>
      <c r="B435" s="9">
        <v>31</v>
      </c>
      <c r="C435" s="9">
        <v>1</v>
      </c>
      <c r="D435" s="9">
        <v>2</v>
      </c>
      <c r="E435" s="9">
        <v>4</v>
      </c>
      <c r="F435" s="9">
        <v>22</v>
      </c>
      <c r="G435" s="9">
        <v>12.7</v>
      </c>
      <c r="H435" s="9">
        <v>1.0900000000000001</v>
      </c>
      <c r="I435" s="9">
        <v>1.7</v>
      </c>
      <c r="J435" s="7" t="s">
        <v>50</v>
      </c>
    </row>
    <row r="436" spans="1:10" x14ac:dyDescent="0.2">
      <c r="A436" s="9">
        <v>0</v>
      </c>
      <c r="B436" s="9">
        <v>33</v>
      </c>
      <c r="C436" s="9">
        <v>2</v>
      </c>
      <c r="D436" s="9">
        <v>4</v>
      </c>
      <c r="E436" s="9">
        <v>9</v>
      </c>
      <c r="F436" s="9">
        <v>55</v>
      </c>
      <c r="G436" s="9">
        <v>7</v>
      </c>
      <c r="H436" s="9">
        <v>2.16</v>
      </c>
      <c r="I436" s="9">
        <v>1.69</v>
      </c>
      <c r="J436" s="7" t="s">
        <v>50</v>
      </c>
    </row>
    <row r="437" spans="1:10" x14ac:dyDescent="0.2">
      <c r="A437" s="9">
        <v>0</v>
      </c>
      <c r="B437" s="9">
        <v>39</v>
      </c>
      <c r="C437" s="9">
        <v>1</v>
      </c>
      <c r="D437" s="9">
        <v>19</v>
      </c>
      <c r="E437" s="9">
        <v>8</v>
      </c>
      <c r="F437" s="9">
        <v>46</v>
      </c>
      <c r="G437" s="9">
        <v>9.1</v>
      </c>
      <c r="H437" s="9">
        <v>2.52</v>
      </c>
      <c r="I437" s="9">
        <v>1.67</v>
      </c>
      <c r="J437" s="7" t="s">
        <v>50</v>
      </c>
    </row>
    <row r="438" spans="1:10" x14ac:dyDescent="0.2">
      <c r="A438" s="9">
        <v>0</v>
      </c>
      <c r="B438" s="9">
        <v>30</v>
      </c>
      <c r="C438" s="9">
        <v>1</v>
      </c>
      <c r="D438" s="9">
        <v>10</v>
      </c>
      <c r="E438" s="9">
        <v>11</v>
      </c>
      <c r="F438" s="9">
        <v>39</v>
      </c>
      <c r="G438" s="9">
        <v>9.5</v>
      </c>
      <c r="H438" s="9">
        <v>2.06</v>
      </c>
      <c r="I438" s="9">
        <v>1.65</v>
      </c>
      <c r="J438" s="7" t="s">
        <v>50</v>
      </c>
    </row>
    <row r="439" spans="1:10" x14ac:dyDescent="0.2">
      <c r="A439" s="9">
        <v>1</v>
      </c>
      <c r="B439" s="9">
        <v>24</v>
      </c>
      <c r="C439" s="9">
        <v>2</v>
      </c>
      <c r="D439" s="9">
        <v>2</v>
      </c>
      <c r="E439" s="9">
        <v>3</v>
      </c>
      <c r="F439" s="9">
        <v>26</v>
      </c>
      <c r="G439" s="9">
        <v>9.6999999999999993</v>
      </c>
      <c r="H439" s="9">
        <v>0.89</v>
      </c>
      <c r="I439" s="9">
        <v>1.63</v>
      </c>
      <c r="J439" s="7" t="s">
        <v>50</v>
      </c>
    </row>
    <row r="440" spans="1:10" x14ac:dyDescent="0.2">
      <c r="A440" s="9">
        <v>0</v>
      </c>
      <c r="B440" s="9">
        <v>28</v>
      </c>
      <c r="C440" s="9">
        <v>1</v>
      </c>
      <c r="D440" s="9">
        <v>12</v>
      </c>
      <c r="E440" s="9">
        <v>7</v>
      </c>
      <c r="F440" s="9">
        <v>45</v>
      </c>
      <c r="G440" s="9">
        <v>7.7</v>
      </c>
      <c r="H440" s="9">
        <v>1.85</v>
      </c>
      <c r="I440" s="9">
        <v>1.61</v>
      </c>
      <c r="J440" s="7" t="s">
        <v>50</v>
      </c>
    </row>
    <row r="441" spans="1:10" x14ac:dyDescent="0.2">
      <c r="A441" s="9">
        <v>0</v>
      </c>
      <c r="B441" s="9">
        <v>34</v>
      </c>
      <c r="C441" s="9">
        <v>4</v>
      </c>
      <c r="D441" s="9">
        <v>7</v>
      </c>
      <c r="E441" s="9">
        <v>15</v>
      </c>
      <c r="F441" s="9">
        <v>40</v>
      </c>
      <c r="G441" s="9">
        <v>6.4</v>
      </c>
      <c r="H441" s="9">
        <v>0.95</v>
      </c>
      <c r="I441" s="9">
        <v>1.61</v>
      </c>
      <c r="J441" s="7" t="s">
        <v>50</v>
      </c>
    </row>
    <row r="442" spans="1:10" x14ac:dyDescent="0.2">
      <c r="A442" s="9">
        <v>1</v>
      </c>
      <c r="B442" s="9">
        <v>31</v>
      </c>
      <c r="C442" s="9">
        <v>1</v>
      </c>
      <c r="D442" s="9">
        <v>10</v>
      </c>
      <c r="E442" s="9">
        <v>12</v>
      </c>
      <c r="F442" s="9">
        <v>49</v>
      </c>
      <c r="G442" s="9">
        <v>9.8000000000000007</v>
      </c>
      <c r="H442" s="9">
        <v>3.24</v>
      </c>
      <c r="I442" s="9">
        <v>1.57</v>
      </c>
      <c r="J442" s="7" t="s">
        <v>50</v>
      </c>
    </row>
    <row r="443" spans="1:10" x14ac:dyDescent="0.2">
      <c r="A443" s="9">
        <v>0</v>
      </c>
      <c r="B443" s="9">
        <v>28</v>
      </c>
      <c r="C443" s="9">
        <v>1</v>
      </c>
      <c r="D443" s="9">
        <v>2</v>
      </c>
      <c r="E443" s="9">
        <v>9</v>
      </c>
      <c r="F443" s="9">
        <v>16</v>
      </c>
      <c r="G443" s="9">
        <v>15.2</v>
      </c>
      <c r="H443" s="9">
        <v>0.87</v>
      </c>
      <c r="I443" s="9">
        <v>1.56</v>
      </c>
      <c r="J443" s="7" t="s">
        <v>50</v>
      </c>
    </row>
    <row r="444" spans="1:10" x14ac:dyDescent="0.2">
      <c r="A444" s="9">
        <v>0</v>
      </c>
      <c r="B444" s="9">
        <v>28</v>
      </c>
      <c r="C444" s="9">
        <v>1</v>
      </c>
      <c r="D444" s="9">
        <v>8</v>
      </c>
      <c r="E444" s="9">
        <v>6</v>
      </c>
      <c r="F444" s="9">
        <v>30</v>
      </c>
      <c r="G444" s="9">
        <v>7.2</v>
      </c>
      <c r="H444" s="9">
        <v>0.61</v>
      </c>
      <c r="I444" s="9">
        <v>1.55</v>
      </c>
      <c r="J444" s="7" t="s">
        <v>50</v>
      </c>
    </row>
    <row r="445" spans="1:10" x14ac:dyDescent="0.2">
      <c r="A445" s="9">
        <v>0</v>
      </c>
      <c r="B445" s="9">
        <v>29</v>
      </c>
      <c r="C445" s="9">
        <v>1</v>
      </c>
      <c r="D445" s="9">
        <v>11</v>
      </c>
      <c r="E445" s="9">
        <v>5</v>
      </c>
      <c r="F445" s="9">
        <v>36</v>
      </c>
      <c r="G445" s="9">
        <v>6.1</v>
      </c>
      <c r="H445" s="9">
        <v>0.71</v>
      </c>
      <c r="I445" s="9">
        <v>1.49</v>
      </c>
      <c r="J445" s="7" t="s">
        <v>50</v>
      </c>
    </row>
    <row r="446" spans="1:10" x14ac:dyDescent="0.2">
      <c r="A446" s="9">
        <v>1</v>
      </c>
      <c r="B446" s="9">
        <v>31</v>
      </c>
      <c r="C446" s="9">
        <v>2</v>
      </c>
      <c r="D446" s="9">
        <v>2</v>
      </c>
      <c r="E446" s="9">
        <v>1</v>
      </c>
      <c r="F446" s="9">
        <v>26</v>
      </c>
      <c r="G446" s="9">
        <v>6.8</v>
      </c>
      <c r="H446" s="9">
        <v>0.28000000000000003</v>
      </c>
      <c r="I446" s="9">
        <v>1.49</v>
      </c>
      <c r="J446" s="7" t="s">
        <v>50</v>
      </c>
    </row>
    <row r="447" spans="1:10" x14ac:dyDescent="0.2">
      <c r="A447" s="9">
        <v>0</v>
      </c>
      <c r="B447" s="9">
        <v>39</v>
      </c>
      <c r="C447" s="9">
        <v>1</v>
      </c>
      <c r="D447" s="9">
        <v>13</v>
      </c>
      <c r="E447" s="9">
        <v>1</v>
      </c>
      <c r="F447" s="9">
        <v>38</v>
      </c>
      <c r="G447" s="9">
        <v>8.9</v>
      </c>
      <c r="H447" s="9">
        <v>1.9</v>
      </c>
      <c r="I447" s="9">
        <v>1.48</v>
      </c>
      <c r="J447" s="7" t="s">
        <v>50</v>
      </c>
    </row>
    <row r="448" spans="1:10" x14ac:dyDescent="0.2">
      <c r="A448" s="9">
        <v>0</v>
      </c>
      <c r="B448" s="9">
        <v>40</v>
      </c>
      <c r="C448" s="9">
        <v>2</v>
      </c>
      <c r="D448" s="9">
        <v>15</v>
      </c>
      <c r="E448" s="9">
        <v>16</v>
      </c>
      <c r="F448" s="9">
        <v>73</v>
      </c>
      <c r="G448" s="9">
        <v>3.4</v>
      </c>
      <c r="H448" s="9">
        <v>1.03</v>
      </c>
      <c r="I448" s="9">
        <v>1.45</v>
      </c>
      <c r="J448" s="7" t="s">
        <v>50</v>
      </c>
    </row>
    <row r="449" spans="1:10" x14ac:dyDescent="0.2">
      <c r="A449" s="9">
        <v>0</v>
      </c>
      <c r="B449" s="9">
        <v>38</v>
      </c>
      <c r="C449" s="9">
        <v>1</v>
      </c>
      <c r="D449" s="9">
        <v>5</v>
      </c>
      <c r="E449" s="9">
        <v>13</v>
      </c>
      <c r="F449" s="9">
        <v>21</v>
      </c>
      <c r="G449" s="9">
        <v>9</v>
      </c>
      <c r="H449" s="9">
        <v>0.45</v>
      </c>
      <c r="I449" s="9">
        <v>1.44</v>
      </c>
      <c r="J449" s="7" t="s">
        <v>50</v>
      </c>
    </row>
    <row r="450" spans="1:10" x14ac:dyDescent="0.2">
      <c r="A450" s="9">
        <v>0</v>
      </c>
      <c r="B450" s="9">
        <v>34</v>
      </c>
      <c r="C450" s="9">
        <v>1</v>
      </c>
      <c r="D450" s="9">
        <v>16</v>
      </c>
      <c r="E450" s="9">
        <v>9</v>
      </c>
      <c r="F450" s="9">
        <v>79</v>
      </c>
      <c r="G450" s="9">
        <v>4</v>
      </c>
      <c r="H450" s="9">
        <v>1.73</v>
      </c>
      <c r="I450" s="9">
        <v>1.43</v>
      </c>
      <c r="J450" s="7" t="s">
        <v>50</v>
      </c>
    </row>
    <row r="451" spans="1:10" x14ac:dyDescent="0.2">
      <c r="A451" s="9">
        <v>1</v>
      </c>
      <c r="B451" s="9">
        <v>29</v>
      </c>
      <c r="C451" s="9">
        <v>1</v>
      </c>
      <c r="D451" s="9">
        <v>2</v>
      </c>
      <c r="E451" s="9">
        <v>0</v>
      </c>
      <c r="F451" s="9">
        <v>14</v>
      </c>
      <c r="G451" s="9">
        <v>14.4</v>
      </c>
      <c r="H451" s="9">
        <v>0.59</v>
      </c>
      <c r="I451" s="9">
        <v>1.43</v>
      </c>
      <c r="J451" s="7" t="s">
        <v>50</v>
      </c>
    </row>
    <row r="452" spans="1:10" x14ac:dyDescent="0.2">
      <c r="A452" s="9">
        <v>0</v>
      </c>
      <c r="B452" s="9">
        <v>27</v>
      </c>
      <c r="C452" s="9">
        <v>1</v>
      </c>
      <c r="D452" s="9">
        <v>10</v>
      </c>
      <c r="E452" s="9">
        <v>6</v>
      </c>
      <c r="F452" s="9">
        <v>34</v>
      </c>
      <c r="G452" s="9">
        <v>6.5</v>
      </c>
      <c r="H452" s="9">
        <v>0.85</v>
      </c>
      <c r="I452" s="9">
        <v>1.36</v>
      </c>
      <c r="J452" s="7" t="s">
        <v>50</v>
      </c>
    </row>
    <row r="453" spans="1:10" x14ac:dyDescent="0.2">
      <c r="A453" s="9">
        <v>1</v>
      </c>
      <c r="B453" s="9">
        <v>35</v>
      </c>
      <c r="C453" s="9">
        <v>2</v>
      </c>
      <c r="D453" s="9">
        <v>0</v>
      </c>
      <c r="E453" s="9">
        <v>16</v>
      </c>
      <c r="F453" s="9">
        <v>22</v>
      </c>
      <c r="G453" s="9">
        <v>15</v>
      </c>
      <c r="H453" s="9">
        <v>1.97</v>
      </c>
      <c r="I453" s="9">
        <v>1.33</v>
      </c>
      <c r="J453" s="7" t="s">
        <v>50</v>
      </c>
    </row>
    <row r="454" spans="1:10" x14ac:dyDescent="0.2">
      <c r="A454" s="9">
        <v>1</v>
      </c>
      <c r="B454" s="9">
        <v>24</v>
      </c>
      <c r="C454" s="9">
        <v>4</v>
      </c>
      <c r="D454" s="9">
        <v>0</v>
      </c>
      <c r="E454" s="9">
        <v>3</v>
      </c>
      <c r="F454" s="9">
        <v>29</v>
      </c>
      <c r="G454" s="9">
        <v>6.6</v>
      </c>
      <c r="H454" s="9">
        <v>0.59</v>
      </c>
      <c r="I454" s="9">
        <v>1.32</v>
      </c>
      <c r="J454" s="7" t="s">
        <v>50</v>
      </c>
    </row>
    <row r="455" spans="1:10" x14ac:dyDescent="0.2">
      <c r="A455" s="9">
        <v>1</v>
      </c>
      <c r="B455" s="9">
        <v>25</v>
      </c>
      <c r="C455" s="9">
        <v>4</v>
      </c>
      <c r="D455" s="9">
        <v>0</v>
      </c>
      <c r="E455" s="9">
        <v>6</v>
      </c>
      <c r="F455" s="9">
        <v>24</v>
      </c>
      <c r="G455" s="9">
        <v>12.1</v>
      </c>
      <c r="H455" s="9">
        <v>1.6</v>
      </c>
      <c r="I455" s="9">
        <v>1.31</v>
      </c>
      <c r="J455" s="7" t="s">
        <v>50</v>
      </c>
    </row>
    <row r="456" spans="1:10" x14ac:dyDescent="0.2">
      <c r="A456" s="9">
        <v>0</v>
      </c>
      <c r="B456" s="9">
        <v>35</v>
      </c>
      <c r="C456" s="9">
        <v>1</v>
      </c>
      <c r="D456" s="9">
        <v>9</v>
      </c>
      <c r="E456" s="9">
        <v>1</v>
      </c>
      <c r="F456" s="9">
        <v>34</v>
      </c>
      <c r="G456" s="9">
        <v>5</v>
      </c>
      <c r="H456" s="9">
        <v>0.4</v>
      </c>
      <c r="I456" s="9">
        <v>1.3</v>
      </c>
      <c r="J456" s="7" t="s">
        <v>50</v>
      </c>
    </row>
    <row r="457" spans="1:10" x14ac:dyDescent="0.2">
      <c r="A457" s="9">
        <v>1</v>
      </c>
      <c r="B457" s="9">
        <v>28</v>
      </c>
      <c r="C457" s="9">
        <v>2</v>
      </c>
      <c r="D457" s="9">
        <v>2</v>
      </c>
      <c r="E457" s="9">
        <v>3</v>
      </c>
      <c r="F457" s="9">
        <v>23</v>
      </c>
      <c r="G457" s="9">
        <v>6.4</v>
      </c>
      <c r="H457" s="9">
        <v>0.19</v>
      </c>
      <c r="I457" s="9">
        <v>1.29</v>
      </c>
      <c r="J457" s="7" t="s">
        <v>50</v>
      </c>
    </row>
    <row r="458" spans="1:10" x14ac:dyDescent="0.2">
      <c r="A458" s="9">
        <v>0</v>
      </c>
      <c r="B458" s="9">
        <v>33</v>
      </c>
      <c r="C458" s="9">
        <v>1</v>
      </c>
      <c r="D458" s="9">
        <v>13</v>
      </c>
      <c r="E458" s="9">
        <v>13</v>
      </c>
      <c r="F458" s="9">
        <v>42</v>
      </c>
      <c r="G458" s="9">
        <v>3.6</v>
      </c>
      <c r="H458" s="9">
        <v>0.23</v>
      </c>
      <c r="I458" s="9">
        <v>1.28</v>
      </c>
      <c r="J458" s="7" t="s">
        <v>50</v>
      </c>
    </row>
    <row r="459" spans="1:10" x14ac:dyDescent="0.2">
      <c r="A459" s="9">
        <v>0</v>
      </c>
      <c r="B459" s="9">
        <v>43</v>
      </c>
      <c r="C459" s="9">
        <v>1</v>
      </c>
      <c r="D459" s="9">
        <v>4</v>
      </c>
      <c r="E459" s="9">
        <v>2</v>
      </c>
      <c r="F459" s="9">
        <v>29</v>
      </c>
      <c r="G459" s="9">
        <v>4.5999999999999996</v>
      </c>
      <c r="H459" s="9">
        <v>0.05</v>
      </c>
      <c r="I459" s="9">
        <v>1.28</v>
      </c>
      <c r="J459" s="7" t="s">
        <v>50</v>
      </c>
    </row>
    <row r="460" spans="1:10" x14ac:dyDescent="0.2">
      <c r="A460" s="9">
        <v>0</v>
      </c>
      <c r="B460" s="9">
        <v>39</v>
      </c>
      <c r="C460" s="9">
        <v>2</v>
      </c>
      <c r="D460" s="9">
        <v>16</v>
      </c>
      <c r="E460" s="9">
        <v>12</v>
      </c>
      <c r="F460" s="9">
        <v>53</v>
      </c>
      <c r="G460" s="9">
        <v>3.7</v>
      </c>
      <c r="H460" s="9">
        <v>0.69</v>
      </c>
      <c r="I460" s="9">
        <v>1.27</v>
      </c>
      <c r="J460" s="7" t="s">
        <v>50</v>
      </c>
    </row>
    <row r="461" spans="1:10" x14ac:dyDescent="0.2">
      <c r="A461" s="9">
        <v>0</v>
      </c>
      <c r="B461" s="9">
        <v>48</v>
      </c>
      <c r="C461" s="9">
        <v>3</v>
      </c>
      <c r="D461" s="9">
        <v>0</v>
      </c>
      <c r="E461" s="9">
        <v>27</v>
      </c>
      <c r="F461" s="9">
        <v>19</v>
      </c>
      <c r="G461" s="9">
        <v>10.8</v>
      </c>
      <c r="H461" s="9">
        <v>0.85</v>
      </c>
      <c r="I461" s="9">
        <v>1.2</v>
      </c>
      <c r="J461" s="7" t="s">
        <v>50</v>
      </c>
    </row>
    <row r="462" spans="1:10" x14ac:dyDescent="0.2">
      <c r="A462" s="9">
        <v>0</v>
      </c>
      <c r="B462" s="9">
        <v>41</v>
      </c>
      <c r="C462" s="9">
        <v>1</v>
      </c>
      <c r="D462" s="9">
        <v>7</v>
      </c>
      <c r="E462" s="9">
        <v>11</v>
      </c>
      <c r="F462" s="9">
        <v>43</v>
      </c>
      <c r="G462" s="9">
        <v>4.4000000000000004</v>
      </c>
      <c r="H462" s="9">
        <v>0.69</v>
      </c>
      <c r="I462" s="9">
        <v>1.2</v>
      </c>
      <c r="J462" s="7" t="s">
        <v>50</v>
      </c>
    </row>
    <row r="463" spans="1:10" x14ac:dyDescent="0.2">
      <c r="A463" s="9">
        <v>0</v>
      </c>
      <c r="B463" s="9">
        <v>30</v>
      </c>
      <c r="C463" s="9">
        <v>1</v>
      </c>
      <c r="D463" s="9">
        <v>1</v>
      </c>
      <c r="E463" s="9">
        <v>10</v>
      </c>
      <c r="F463" s="9">
        <v>22</v>
      </c>
      <c r="G463" s="9">
        <v>10.5</v>
      </c>
      <c r="H463" s="9">
        <v>1.1399999999999999</v>
      </c>
      <c r="I463" s="9">
        <v>1.17</v>
      </c>
      <c r="J463" s="7" t="s">
        <v>50</v>
      </c>
    </row>
    <row r="464" spans="1:10" x14ac:dyDescent="0.2">
      <c r="A464" s="9">
        <v>1</v>
      </c>
      <c r="B464" s="9">
        <v>47</v>
      </c>
      <c r="C464" s="9">
        <v>2</v>
      </c>
      <c r="D464" s="9">
        <v>4</v>
      </c>
      <c r="E464" s="9">
        <v>9</v>
      </c>
      <c r="F464" s="9">
        <v>33</v>
      </c>
      <c r="G464" s="9">
        <v>7.1</v>
      </c>
      <c r="H464" s="9">
        <v>1.19</v>
      </c>
      <c r="I464" s="9">
        <v>1.1499999999999999</v>
      </c>
      <c r="J464" s="7" t="s">
        <v>50</v>
      </c>
    </row>
    <row r="465" spans="1:10" x14ac:dyDescent="0.2">
      <c r="A465" s="9">
        <v>0</v>
      </c>
      <c r="B465" s="9">
        <v>36</v>
      </c>
      <c r="C465" s="9">
        <v>1</v>
      </c>
      <c r="D465" s="9">
        <v>14</v>
      </c>
      <c r="E465" s="9">
        <v>17</v>
      </c>
      <c r="F465" s="9">
        <v>53</v>
      </c>
      <c r="G465" s="9">
        <v>5.7</v>
      </c>
      <c r="H465" s="9">
        <v>1.89</v>
      </c>
      <c r="I465" s="9">
        <v>1.1299999999999999</v>
      </c>
      <c r="J465" s="7" t="s">
        <v>50</v>
      </c>
    </row>
    <row r="466" spans="1:10" x14ac:dyDescent="0.2">
      <c r="A466" s="9">
        <v>0</v>
      </c>
      <c r="B466" s="9">
        <v>23</v>
      </c>
      <c r="C466" s="9">
        <v>4</v>
      </c>
      <c r="D466" s="9">
        <v>0</v>
      </c>
      <c r="E466" s="9">
        <v>2</v>
      </c>
      <c r="F466" s="9">
        <v>23</v>
      </c>
      <c r="G466" s="9">
        <v>6.7</v>
      </c>
      <c r="H466" s="9">
        <v>0.47</v>
      </c>
      <c r="I466" s="9">
        <v>1.07</v>
      </c>
      <c r="J466" s="7" t="s">
        <v>50</v>
      </c>
    </row>
    <row r="467" spans="1:10" x14ac:dyDescent="0.2">
      <c r="A467" s="9">
        <v>0</v>
      </c>
      <c r="B467" s="9">
        <v>33</v>
      </c>
      <c r="C467" s="9">
        <v>1</v>
      </c>
      <c r="D467" s="9">
        <v>6</v>
      </c>
      <c r="E467" s="9">
        <v>14</v>
      </c>
      <c r="F467" s="9">
        <v>21</v>
      </c>
      <c r="G467" s="9">
        <v>7.5</v>
      </c>
      <c r="H467" s="9">
        <v>0.56999999999999995</v>
      </c>
      <c r="I467" s="9">
        <v>1.01</v>
      </c>
      <c r="J467" s="7" t="s">
        <v>50</v>
      </c>
    </row>
    <row r="468" spans="1:10" x14ac:dyDescent="0.2">
      <c r="A468" s="9">
        <v>1</v>
      </c>
      <c r="B468" s="9">
        <v>31</v>
      </c>
      <c r="C468" s="9">
        <v>1</v>
      </c>
      <c r="D468" s="9">
        <v>11</v>
      </c>
      <c r="E468" s="9">
        <v>6</v>
      </c>
      <c r="F468" s="9">
        <v>28</v>
      </c>
      <c r="G468" s="9">
        <v>4.8</v>
      </c>
      <c r="H468" s="9">
        <v>0.35</v>
      </c>
      <c r="I468" s="9">
        <v>1</v>
      </c>
      <c r="J468" s="7" t="s">
        <v>50</v>
      </c>
    </row>
    <row r="469" spans="1:10" x14ac:dyDescent="0.2">
      <c r="A469" s="9">
        <v>1</v>
      </c>
      <c r="B469" s="9">
        <v>29</v>
      </c>
      <c r="C469" s="9">
        <v>2</v>
      </c>
      <c r="D469" s="9">
        <v>5</v>
      </c>
      <c r="E469" s="9">
        <v>4</v>
      </c>
      <c r="F469" s="9">
        <v>36</v>
      </c>
      <c r="G469" s="9">
        <v>12.4</v>
      </c>
      <c r="H469" s="9">
        <v>3.49</v>
      </c>
      <c r="I469" s="9">
        <v>0.97</v>
      </c>
      <c r="J469" s="7" t="s">
        <v>50</v>
      </c>
    </row>
    <row r="470" spans="1:10" x14ac:dyDescent="0.2">
      <c r="A470" s="9">
        <v>1</v>
      </c>
      <c r="B470" s="9">
        <v>29</v>
      </c>
      <c r="C470" s="9">
        <v>3</v>
      </c>
      <c r="D470" s="9">
        <v>3</v>
      </c>
      <c r="E470" s="9">
        <v>3</v>
      </c>
      <c r="F470" s="9">
        <v>50</v>
      </c>
      <c r="G470" s="9">
        <v>2.4</v>
      </c>
      <c r="H470" s="9">
        <v>0.26</v>
      </c>
      <c r="I470" s="9">
        <v>0.94</v>
      </c>
      <c r="J470" s="7" t="s">
        <v>50</v>
      </c>
    </row>
    <row r="471" spans="1:10" x14ac:dyDescent="0.2">
      <c r="A471" s="9">
        <v>0</v>
      </c>
      <c r="B471" s="9">
        <v>25</v>
      </c>
      <c r="C471" s="9">
        <v>1</v>
      </c>
      <c r="D471" s="9">
        <v>4</v>
      </c>
      <c r="E471" s="9">
        <v>0</v>
      </c>
      <c r="F471" s="9">
        <v>23</v>
      </c>
      <c r="G471" s="9">
        <v>5.2</v>
      </c>
      <c r="H471" s="9">
        <v>0.25</v>
      </c>
      <c r="I471" s="9">
        <v>0.94</v>
      </c>
      <c r="J471" s="7" t="s">
        <v>50</v>
      </c>
    </row>
    <row r="472" spans="1:10" x14ac:dyDescent="0.2">
      <c r="A472" s="9">
        <v>0</v>
      </c>
      <c r="B472" s="9">
        <v>31</v>
      </c>
      <c r="C472" s="9">
        <v>1</v>
      </c>
      <c r="D472" s="9">
        <v>7</v>
      </c>
      <c r="E472" s="9">
        <v>10</v>
      </c>
      <c r="F472" s="9">
        <v>23</v>
      </c>
      <c r="G472" s="9">
        <v>4.9000000000000004</v>
      </c>
      <c r="H472" s="9">
        <v>0.23</v>
      </c>
      <c r="I472" s="9">
        <v>0.9</v>
      </c>
      <c r="J472" s="7" t="s">
        <v>50</v>
      </c>
    </row>
    <row r="473" spans="1:10" x14ac:dyDescent="0.2">
      <c r="A473" s="9">
        <v>0</v>
      </c>
      <c r="B473" s="9">
        <v>31</v>
      </c>
      <c r="C473" s="9">
        <v>1</v>
      </c>
      <c r="D473" s="9">
        <v>1</v>
      </c>
      <c r="E473" s="9">
        <v>1</v>
      </c>
      <c r="F473" s="9">
        <v>24</v>
      </c>
      <c r="G473" s="9">
        <v>4.5</v>
      </c>
      <c r="H473" s="9">
        <v>0.22</v>
      </c>
      <c r="I473" s="9">
        <v>0.86</v>
      </c>
      <c r="J473" s="7" t="s">
        <v>50</v>
      </c>
    </row>
    <row r="474" spans="1:10" x14ac:dyDescent="0.2">
      <c r="A474" s="9">
        <v>0</v>
      </c>
      <c r="B474" s="9">
        <v>33</v>
      </c>
      <c r="C474" s="9">
        <v>1</v>
      </c>
      <c r="D474" s="9">
        <v>2</v>
      </c>
      <c r="E474" s="9">
        <v>14</v>
      </c>
      <c r="F474" s="9">
        <v>44</v>
      </c>
      <c r="G474" s="9">
        <v>3.1</v>
      </c>
      <c r="H474" s="9">
        <v>0.53</v>
      </c>
      <c r="I474" s="9">
        <v>0.84</v>
      </c>
      <c r="J474" s="7" t="s">
        <v>50</v>
      </c>
    </row>
    <row r="475" spans="1:10" x14ac:dyDescent="0.2">
      <c r="A475" s="9">
        <v>1</v>
      </c>
      <c r="B475" s="9">
        <v>25</v>
      </c>
      <c r="C475" s="9">
        <v>2</v>
      </c>
      <c r="D475" s="9">
        <v>4</v>
      </c>
      <c r="E475" s="9">
        <v>5</v>
      </c>
      <c r="F475" s="9">
        <v>27</v>
      </c>
      <c r="G475" s="9">
        <v>5</v>
      </c>
      <c r="H475" s="9">
        <v>0.55000000000000004</v>
      </c>
      <c r="I475" s="9">
        <v>0.8</v>
      </c>
      <c r="J475" s="7" t="s">
        <v>50</v>
      </c>
    </row>
    <row r="476" spans="1:10" x14ac:dyDescent="0.2">
      <c r="A476" s="9">
        <v>0</v>
      </c>
      <c r="B476" s="9">
        <v>29</v>
      </c>
      <c r="C476" s="9">
        <v>2</v>
      </c>
      <c r="D476" s="9">
        <v>6</v>
      </c>
      <c r="E476" s="9">
        <v>7</v>
      </c>
      <c r="F476" s="9">
        <v>57</v>
      </c>
      <c r="G476" s="9">
        <v>2.2000000000000002</v>
      </c>
      <c r="H476" s="9">
        <v>0.45</v>
      </c>
      <c r="I476" s="9">
        <v>0.8</v>
      </c>
      <c r="J476" s="7" t="s">
        <v>50</v>
      </c>
    </row>
    <row r="477" spans="1:10" x14ac:dyDescent="0.2">
      <c r="A477" s="9">
        <v>0</v>
      </c>
      <c r="B477" s="9">
        <v>33</v>
      </c>
      <c r="C477" s="9">
        <v>1</v>
      </c>
      <c r="D477" s="9">
        <v>8</v>
      </c>
      <c r="E477" s="9">
        <v>7</v>
      </c>
      <c r="F477" s="9">
        <v>27</v>
      </c>
      <c r="G477" s="9">
        <v>5.8</v>
      </c>
      <c r="H477" s="9">
        <v>0.78</v>
      </c>
      <c r="I477" s="9">
        <v>0.79</v>
      </c>
      <c r="J477" s="7" t="s">
        <v>50</v>
      </c>
    </row>
    <row r="478" spans="1:10" x14ac:dyDescent="0.2">
      <c r="A478" s="9">
        <v>0</v>
      </c>
      <c r="B478" s="9">
        <v>24</v>
      </c>
      <c r="C478" s="9">
        <v>1</v>
      </c>
      <c r="D478" s="9">
        <v>7</v>
      </c>
      <c r="E478" s="9">
        <v>0</v>
      </c>
      <c r="F478" s="9">
        <v>18</v>
      </c>
      <c r="G478" s="9">
        <v>6.5</v>
      </c>
      <c r="H478" s="9">
        <v>0.53</v>
      </c>
      <c r="I478" s="9">
        <v>0.64</v>
      </c>
      <c r="J478" s="7" t="s">
        <v>50</v>
      </c>
    </row>
    <row r="479" spans="1:10" x14ac:dyDescent="0.2">
      <c r="A479" s="9">
        <v>0</v>
      </c>
      <c r="B479" s="9">
        <v>30</v>
      </c>
      <c r="C479" s="9">
        <v>2</v>
      </c>
      <c r="D479" s="9">
        <v>4</v>
      </c>
      <c r="E479" s="9">
        <v>8</v>
      </c>
      <c r="F479" s="9">
        <v>15</v>
      </c>
      <c r="G479" s="9">
        <v>6.5</v>
      </c>
      <c r="H479" s="9">
        <v>0.35</v>
      </c>
      <c r="I479" s="9">
        <v>0.62</v>
      </c>
      <c r="J479" s="7" t="s">
        <v>50</v>
      </c>
    </row>
    <row r="480" spans="1:10" x14ac:dyDescent="0.2">
      <c r="A480" s="9">
        <v>1</v>
      </c>
      <c r="B480" s="9">
        <v>21</v>
      </c>
      <c r="C480" s="9">
        <v>2</v>
      </c>
      <c r="D480" s="9">
        <v>2</v>
      </c>
      <c r="E480" s="9">
        <v>0</v>
      </c>
      <c r="F480" s="9">
        <v>20</v>
      </c>
      <c r="G480" s="9">
        <v>4.5</v>
      </c>
      <c r="H480" s="9">
        <v>0.28999999999999998</v>
      </c>
      <c r="I480" s="9">
        <v>0.61</v>
      </c>
      <c r="J480" s="7" t="s">
        <v>50</v>
      </c>
    </row>
    <row r="481" spans="1:10" x14ac:dyDescent="0.2">
      <c r="A481" s="9">
        <v>0</v>
      </c>
      <c r="B481" s="9">
        <v>31</v>
      </c>
      <c r="C481" s="9">
        <v>3</v>
      </c>
      <c r="D481" s="9">
        <v>9</v>
      </c>
      <c r="E481" s="9">
        <v>2</v>
      </c>
      <c r="F481" s="9">
        <v>28</v>
      </c>
      <c r="G481" s="9">
        <v>2.6</v>
      </c>
      <c r="H481" s="9">
        <v>0.12</v>
      </c>
      <c r="I481" s="9">
        <v>0.61</v>
      </c>
      <c r="J481" s="7" t="s">
        <v>50</v>
      </c>
    </row>
    <row r="482" spans="1:10" x14ac:dyDescent="0.2">
      <c r="A482" s="9">
        <v>0</v>
      </c>
      <c r="B482" s="9">
        <v>39</v>
      </c>
      <c r="C482" s="9">
        <v>2</v>
      </c>
      <c r="D482" s="9">
        <v>16</v>
      </c>
      <c r="E482" s="9">
        <v>13</v>
      </c>
      <c r="F482" s="9">
        <v>69</v>
      </c>
      <c r="G482" s="9">
        <v>2.4</v>
      </c>
      <c r="H482" s="9">
        <v>1.06</v>
      </c>
      <c r="I482" s="9">
        <v>0.59</v>
      </c>
      <c r="J482" s="7" t="s">
        <v>50</v>
      </c>
    </row>
    <row r="483" spans="1:10" x14ac:dyDescent="0.2">
      <c r="A483" s="9">
        <v>0</v>
      </c>
      <c r="B483" s="9">
        <v>21</v>
      </c>
      <c r="C483" s="9">
        <v>3</v>
      </c>
      <c r="D483" s="9">
        <v>0</v>
      </c>
      <c r="E483" s="9">
        <v>1</v>
      </c>
      <c r="F483" s="9">
        <v>26</v>
      </c>
      <c r="G483" s="9">
        <v>7.7</v>
      </c>
      <c r="H483" s="9">
        <v>1.53</v>
      </c>
      <c r="I483" s="9">
        <v>0.47</v>
      </c>
      <c r="J483" s="7" t="s">
        <v>50</v>
      </c>
    </row>
    <row r="484" spans="1:10" x14ac:dyDescent="0.2">
      <c r="A484" s="9">
        <v>0</v>
      </c>
      <c r="B484" s="9">
        <v>28</v>
      </c>
      <c r="C484" s="9">
        <v>1</v>
      </c>
      <c r="D484" s="9">
        <v>11</v>
      </c>
      <c r="E484" s="9">
        <v>6</v>
      </c>
      <c r="F484" s="9">
        <v>24</v>
      </c>
      <c r="G484" s="9">
        <v>2.4</v>
      </c>
      <c r="H484" s="9">
        <v>0.11</v>
      </c>
      <c r="I484" s="9">
        <v>0.47</v>
      </c>
      <c r="J484" s="7" t="s">
        <v>50</v>
      </c>
    </row>
    <row r="485" spans="1:10" x14ac:dyDescent="0.2">
      <c r="A485" s="9">
        <v>0</v>
      </c>
      <c r="B485" s="9">
        <v>26</v>
      </c>
      <c r="C485" s="9">
        <v>1</v>
      </c>
      <c r="D485" s="9">
        <v>1</v>
      </c>
      <c r="E485" s="9">
        <v>0</v>
      </c>
      <c r="F485" s="9">
        <v>21</v>
      </c>
      <c r="G485" s="9">
        <v>4.9000000000000004</v>
      </c>
      <c r="H485" s="9">
        <v>0.61</v>
      </c>
      <c r="I485" s="9">
        <v>0.42</v>
      </c>
      <c r="J485" s="7" t="s">
        <v>50</v>
      </c>
    </row>
    <row r="486" spans="1:10" x14ac:dyDescent="0.2">
      <c r="A486" s="9">
        <v>0</v>
      </c>
      <c r="B486" s="9">
        <v>29</v>
      </c>
      <c r="C486" s="9">
        <v>2</v>
      </c>
      <c r="D486" s="9">
        <v>9</v>
      </c>
      <c r="E486" s="9">
        <v>3</v>
      </c>
      <c r="F486" s="9">
        <v>36</v>
      </c>
      <c r="G486" s="9">
        <v>1.4</v>
      </c>
      <c r="H486" s="9">
        <v>0.13</v>
      </c>
      <c r="I486" s="9">
        <v>0.38</v>
      </c>
      <c r="J486" s="7" t="s">
        <v>50</v>
      </c>
    </row>
    <row r="487" spans="1:10" x14ac:dyDescent="0.2">
      <c r="A487" s="9">
        <v>0</v>
      </c>
      <c r="B487" s="9">
        <v>38</v>
      </c>
      <c r="C487" s="9">
        <v>1</v>
      </c>
      <c r="D487" s="9">
        <v>10</v>
      </c>
      <c r="E487" s="9">
        <v>8</v>
      </c>
      <c r="F487" s="9">
        <v>34</v>
      </c>
      <c r="G487" s="9">
        <v>1.2</v>
      </c>
      <c r="H487" s="9">
        <v>0.04</v>
      </c>
      <c r="I487" s="9">
        <v>0.37</v>
      </c>
      <c r="J487" s="7" t="s">
        <v>50</v>
      </c>
    </row>
    <row r="488" spans="1:10" x14ac:dyDescent="0.2">
      <c r="A488" s="9">
        <v>0</v>
      </c>
      <c r="B488" s="9">
        <v>20</v>
      </c>
      <c r="C488" s="9">
        <v>3</v>
      </c>
      <c r="D488" s="9">
        <v>0</v>
      </c>
      <c r="E488" s="9">
        <v>1</v>
      </c>
      <c r="F488" s="9">
        <v>17</v>
      </c>
      <c r="G488" s="9">
        <v>2.2999999999999998</v>
      </c>
      <c r="H488" s="9">
        <v>0.04</v>
      </c>
      <c r="I488" s="9">
        <v>0.35</v>
      </c>
      <c r="J488" s="7" t="s">
        <v>50</v>
      </c>
    </row>
    <row r="489" spans="1:10" x14ac:dyDescent="0.2">
      <c r="A489" s="9">
        <v>0</v>
      </c>
      <c r="B489" s="9">
        <v>26</v>
      </c>
      <c r="C489" s="9">
        <v>1</v>
      </c>
      <c r="D489" s="9">
        <v>10</v>
      </c>
      <c r="E489" s="9">
        <v>6</v>
      </c>
      <c r="F489" s="9">
        <v>24</v>
      </c>
      <c r="G489" s="9">
        <v>2.7</v>
      </c>
      <c r="H489" s="9">
        <v>0.31</v>
      </c>
      <c r="I489" s="9">
        <v>0.34</v>
      </c>
      <c r="J489" s="7" t="s">
        <v>50</v>
      </c>
    </row>
    <row r="490" spans="1:10" x14ac:dyDescent="0.2">
      <c r="A490" s="9">
        <v>0</v>
      </c>
      <c r="B490" s="9">
        <v>40</v>
      </c>
      <c r="C490" s="9">
        <v>1</v>
      </c>
      <c r="D490" s="9">
        <v>2</v>
      </c>
      <c r="E490" s="9">
        <v>4</v>
      </c>
      <c r="F490" s="9">
        <v>32</v>
      </c>
      <c r="G490" s="9">
        <v>3.7</v>
      </c>
      <c r="H490" s="9">
        <v>0.85</v>
      </c>
      <c r="I490" s="9">
        <v>0.33</v>
      </c>
      <c r="J490" s="7" t="s">
        <v>50</v>
      </c>
    </row>
    <row r="491" spans="1:10" x14ac:dyDescent="0.2">
      <c r="A491" s="9">
        <v>1</v>
      </c>
      <c r="B491" s="9">
        <v>30</v>
      </c>
      <c r="C491" s="9">
        <v>1</v>
      </c>
      <c r="D491" s="9">
        <v>0</v>
      </c>
      <c r="E491" s="9">
        <v>11</v>
      </c>
      <c r="F491" s="9">
        <v>17</v>
      </c>
      <c r="G491" s="9">
        <v>3.7</v>
      </c>
      <c r="H491" s="9">
        <v>0.45</v>
      </c>
      <c r="I491" s="9">
        <v>0.18</v>
      </c>
      <c r="J491" s="7" t="s">
        <v>50</v>
      </c>
    </row>
    <row r="492" spans="1:10" x14ac:dyDescent="0.2">
      <c r="A492" s="9">
        <v>0</v>
      </c>
      <c r="B492" s="9">
        <v>30</v>
      </c>
      <c r="C492" s="9">
        <v>1</v>
      </c>
      <c r="D492" s="9">
        <v>11</v>
      </c>
      <c r="E492" s="9">
        <v>9</v>
      </c>
      <c r="F492" s="9">
        <v>27</v>
      </c>
      <c r="G492" s="9">
        <v>0.9</v>
      </c>
      <c r="H492" s="9">
        <v>7.0000000000000007E-2</v>
      </c>
      <c r="I492" s="9">
        <v>0.17</v>
      </c>
      <c r="J492" s="7" t="s">
        <v>50</v>
      </c>
    </row>
    <row r="493" spans="1:10" x14ac:dyDescent="0.2">
      <c r="A493" s="9">
        <v>0</v>
      </c>
      <c r="B493" s="9">
        <v>25</v>
      </c>
      <c r="C493" s="9">
        <v>1</v>
      </c>
      <c r="D493" s="9">
        <v>9</v>
      </c>
      <c r="E493" s="9">
        <v>4</v>
      </c>
      <c r="F493" s="9">
        <v>18</v>
      </c>
      <c r="G493" s="9">
        <v>1.2</v>
      </c>
      <c r="H493" s="9">
        <v>7.0000000000000007E-2</v>
      </c>
      <c r="I493" s="9">
        <v>0.15</v>
      </c>
      <c r="J493" s="7" t="s">
        <v>50</v>
      </c>
    </row>
    <row r="494" spans="1:10" x14ac:dyDescent="0.2">
      <c r="A494" s="9">
        <v>0</v>
      </c>
      <c r="B494" s="9">
        <v>27</v>
      </c>
      <c r="C494" s="9">
        <v>1</v>
      </c>
      <c r="D494" s="9">
        <v>0</v>
      </c>
      <c r="E494" s="9">
        <v>1</v>
      </c>
      <c r="F494" s="9">
        <v>16</v>
      </c>
      <c r="G494" s="9">
        <v>1.7</v>
      </c>
      <c r="H494" s="9">
        <v>0.18</v>
      </c>
      <c r="I494" s="9">
        <v>0.09</v>
      </c>
      <c r="J494" s="7" t="s">
        <v>50</v>
      </c>
    </row>
    <row r="495" spans="1:10" x14ac:dyDescent="0.2">
      <c r="A495" s="9">
        <v>0</v>
      </c>
      <c r="B495" s="9">
        <v>27</v>
      </c>
      <c r="C495" s="9">
        <v>1</v>
      </c>
      <c r="D495" s="9">
        <v>0</v>
      </c>
      <c r="E495" s="9">
        <v>5</v>
      </c>
      <c r="F495" s="9">
        <v>16</v>
      </c>
      <c r="G495" s="9">
        <v>1.1000000000000001</v>
      </c>
      <c r="H495" s="9">
        <v>0.13</v>
      </c>
      <c r="I495" s="9">
        <v>0.05</v>
      </c>
      <c r="J495" s="7" t="s">
        <v>50</v>
      </c>
    </row>
    <row r="496" spans="1:10" x14ac:dyDescent="0.2">
      <c r="A496" s="9">
        <v>1</v>
      </c>
      <c r="B496" s="9">
        <v>40</v>
      </c>
      <c r="C496" s="9">
        <v>2</v>
      </c>
      <c r="D496" s="9">
        <v>13</v>
      </c>
      <c r="E496" s="9">
        <v>11</v>
      </c>
      <c r="F496" s="9">
        <v>102</v>
      </c>
      <c r="G496" s="9">
        <v>18.899999999999999</v>
      </c>
      <c r="H496" s="13">
        <v>5.4954845947359976</v>
      </c>
      <c r="I496" s="9">
        <v>0</v>
      </c>
      <c r="J496" s="7" t="s">
        <v>50</v>
      </c>
    </row>
    <row r="497" spans="1:10" x14ac:dyDescent="0.2">
      <c r="A497" s="9">
        <v>0</v>
      </c>
      <c r="B497" s="9">
        <v>39</v>
      </c>
      <c r="C497" s="9">
        <v>1</v>
      </c>
      <c r="D497" s="9">
        <v>20</v>
      </c>
      <c r="E497" s="9">
        <v>9</v>
      </c>
      <c r="F497" s="9">
        <v>67</v>
      </c>
      <c r="G497" s="9">
        <v>30.6</v>
      </c>
      <c r="H497" s="9">
        <v>3.83</v>
      </c>
      <c r="I497" s="9">
        <v>0</v>
      </c>
      <c r="J497" s="7" t="s">
        <v>50</v>
      </c>
    </row>
    <row r="498" spans="1:10" x14ac:dyDescent="0.2">
      <c r="A498" s="9">
        <v>1</v>
      </c>
      <c r="B498" s="9">
        <v>41</v>
      </c>
      <c r="C498" s="9">
        <v>3</v>
      </c>
      <c r="D498" s="9">
        <v>13</v>
      </c>
      <c r="E498" s="9">
        <v>13</v>
      </c>
      <c r="F498" s="9">
        <v>91</v>
      </c>
      <c r="G498" s="9">
        <v>25.2</v>
      </c>
      <c r="H498" s="9">
        <v>2.3199999999999998</v>
      </c>
      <c r="I498" s="9">
        <v>0</v>
      </c>
      <c r="J498" s="7" t="s">
        <v>50</v>
      </c>
    </row>
    <row r="499" spans="1:10" x14ac:dyDescent="0.2">
      <c r="A499" s="9">
        <v>1</v>
      </c>
      <c r="B499" s="9">
        <v>54</v>
      </c>
      <c r="C499" s="9">
        <v>1</v>
      </c>
      <c r="D499" s="9">
        <v>25</v>
      </c>
      <c r="E499" s="9">
        <v>12</v>
      </c>
      <c r="F499" s="13">
        <v>117.54291069294821</v>
      </c>
      <c r="G499" s="9">
        <v>26.5</v>
      </c>
      <c r="H499" s="9">
        <v>0</v>
      </c>
      <c r="I499" s="9">
        <v>0</v>
      </c>
      <c r="J499" s="7" t="s">
        <v>50</v>
      </c>
    </row>
    <row r="500" spans="1:10" x14ac:dyDescent="0.2">
      <c r="A500" s="9">
        <v>1</v>
      </c>
      <c r="B500" s="9">
        <v>43</v>
      </c>
      <c r="C500" s="9">
        <v>4</v>
      </c>
      <c r="D500" s="9">
        <v>18</v>
      </c>
      <c r="E500" s="9">
        <v>14</v>
      </c>
      <c r="F500" s="9">
        <v>0</v>
      </c>
      <c r="G500" s="9">
        <v>6.5</v>
      </c>
      <c r="H500" s="9">
        <v>0</v>
      </c>
      <c r="I500" s="13">
        <v>10.154483815851645</v>
      </c>
      <c r="J500" s="7" t="s">
        <v>50</v>
      </c>
    </row>
    <row r="501" spans="1:10" x14ac:dyDescent="0.2">
      <c r="A501" s="9">
        <v>0</v>
      </c>
      <c r="B501" s="9">
        <v>48</v>
      </c>
      <c r="C501" s="9">
        <v>3</v>
      </c>
      <c r="D501" s="9">
        <v>17</v>
      </c>
      <c r="E501" s="9">
        <v>26</v>
      </c>
      <c r="F501" s="9">
        <v>113</v>
      </c>
      <c r="G501" s="9">
        <v>12</v>
      </c>
      <c r="H501" s="9">
        <v>3.38</v>
      </c>
      <c r="I501" s="13">
        <v>10.154483815851645</v>
      </c>
      <c r="J501" s="7" t="s">
        <v>50</v>
      </c>
    </row>
  </sheetData>
  <mergeCells count="11">
    <mergeCell ref="M64:Q65"/>
    <mergeCell ref="M67:N68"/>
    <mergeCell ref="O67:P67"/>
    <mergeCell ref="M69:M70"/>
    <mergeCell ref="M71:N71"/>
    <mergeCell ref="O71:P74"/>
    <mergeCell ref="M77:N78"/>
    <mergeCell ref="O77:P77"/>
    <mergeCell ref="M79:M80"/>
    <mergeCell ref="M81:N81"/>
    <mergeCell ref="O81:P8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FD4F6-2C2E-494F-BD15-FFB8F475372E}">
  <dimension ref="A1:S501"/>
  <sheetViews>
    <sheetView showGridLines="0" zoomScale="150" workbookViewId="0">
      <selection activeCell="H24" sqref="H24"/>
    </sheetView>
  </sheetViews>
  <sheetFormatPr baseColWidth="10" defaultRowHeight="16" x14ac:dyDescent="0.2"/>
  <cols>
    <col min="1" max="8" width="10.83203125" style="6"/>
    <col min="9" max="9" width="13.1640625" style="14" bestFit="1" customWidth="1"/>
    <col min="10" max="10" width="10.83203125" style="1"/>
    <col min="11" max="11" width="15.83203125" customWidth="1"/>
  </cols>
  <sheetData>
    <row r="1" spans="1:19" x14ac:dyDescent="0.2">
      <c r="A1" s="9" t="s">
        <v>71</v>
      </c>
      <c r="B1" s="9" t="s">
        <v>1</v>
      </c>
      <c r="C1" s="9" t="s">
        <v>3</v>
      </c>
      <c r="D1" s="9" t="s">
        <v>4</v>
      </c>
      <c r="E1" s="9" t="s">
        <v>5</v>
      </c>
      <c r="F1" s="9" t="s">
        <v>6</v>
      </c>
      <c r="G1" s="9" t="s">
        <v>7</v>
      </c>
      <c r="H1" s="9" t="s">
        <v>8</v>
      </c>
      <c r="I1" s="9" t="s">
        <v>47</v>
      </c>
      <c r="J1" s="19"/>
    </row>
    <row r="2" spans="1:19" x14ac:dyDescent="0.2">
      <c r="A2" s="9">
        <v>0</v>
      </c>
      <c r="B2" s="9">
        <v>29</v>
      </c>
      <c r="C2" s="9">
        <v>6</v>
      </c>
      <c r="D2" s="9">
        <v>10</v>
      </c>
      <c r="E2" s="9">
        <v>65</v>
      </c>
      <c r="F2" s="9">
        <v>18.399999999999999</v>
      </c>
      <c r="G2" s="9">
        <v>1.99</v>
      </c>
      <c r="H2" s="9">
        <v>9.9700000000000006</v>
      </c>
      <c r="I2" s="7" t="s">
        <v>49</v>
      </c>
    </row>
    <row r="3" spans="1:19" x14ac:dyDescent="0.2">
      <c r="A3" s="9">
        <v>0</v>
      </c>
      <c r="B3" s="9">
        <v>43</v>
      </c>
      <c r="C3" s="9">
        <v>25</v>
      </c>
      <c r="D3" s="9">
        <v>21</v>
      </c>
      <c r="E3" s="9">
        <v>64</v>
      </c>
      <c r="F3" s="9">
        <v>16.7</v>
      </c>
      <c r="G3" s="9">
        <v>0.95</v>
      </c>
      <c r="H3" s="9">
        <v>9.74</v>
      </c>
      <c r="I3" s="7" t="s">
        <v>49</v>
      </c>
    </row>
    <row r="4" spans="1:19" x14ac:dyDescent="0.2">
      <c r="A4" s="9">
        <v>1</v>
      </c>
      <c r="B4" s="9">
        <v>32</v>
      </c>
      <c r="C4" s="9">
        <v>11</v>
      </c>
      <c r="D4" s="9">
        <v>6</v>
      </c>
      <c r="E4" s="9">
        <v>75</v>
      </c>
      <c r="F4" s="9">
        <v>23.3</v>
      </c>
      <c r="G4" s="13">
        <v>5.4954845947359976</v>
      </c>
      <c r="H4" s="9">
        <v>9.7200000000000006</v>
      </c>
      <c r="I4" s="7" t="s">
        <v>49</v>
      </c>
    </row>
    <row r="5" spans="1:19" x14ac:dyDescent="0.2">
      <c r="A5" s="9">
        <v>0</v>
      </c>
      <c r="B5" s="9">
        <v>37</v>
      </c>
      <c r="C5" s="9">
        <v>9</v>
      </c>
      <c r="D5" s="9">
        <v>16</v>
      </c>
      <c r="E5" s="9">
        <v>0</v>
      </c>
      <c r="F5" s="9">
        <v>5.9</v>
      </c>
      <c r="G5" s="9">
        <v>0.89</v>
      </c>
      <c r="H5" s="9">
        <v>9.56</v>
      </c>
      <c r="I5" s="7" t="s">
        <v>49</v>
      </c>
      <c r="K5" s="7"/>
      <c r="L5" s="20" t="s">
        <v>73</v>
      </c>
      <c r="M5" s="20" t="s">
        <v>1</v>
      </c>
      <c r="N5" s="20" t="s">
        <v>3</v>
      </c>
      <c r="O5" s="20" t="s">
        <v>4</v>
      </c>
      <c r="P5" s="20" t="s">
        <v>5</v>
      </c>
      <c r="Q5" s="20" t="s">
        <v>6</v>
      </c>
      <c r="R5" s="20" t="s">
        <v>7</v>
      </c>
      <c r="S5" s="20" t="s">
        <v>8</v>
      </c>
    </row>
    <row r="6" spans="1:19" x14ac:dyDescent="0.2">
      <c r="A6" s="9">
        <v>0</v>
      </c>
      <c r="B6" s="9">
        <v>45</v>
      </c>
      <c r="C6" s="9">
        <v>22</v>
      </c>
      <c r="D6" s="9">
        <v>24</v>
      </c>
      <c r="E6" s="9">
        <v>91</v>
      </c>
      <c r="F6" s="9">
        <v>11.7</v>
      </c>
      <c r="G6" s="9">
        <v>1.26</v>
      </c>
      <c r="H6" s="9">
        <v>9.39</v>
      </c>
      <c r="I6" s="7" t="s">
        <v>49</v>
      </c>
      <c r="K6" s="7" t="s">
        <v>20</v>
      </c>
      <c r="L6" s="27">
        <f t="array" ref="L6:S12">LOGIT(A2:A351,B2:H351,1,1)</f>
        <v>-2.652310783965278</v>
      </c>
      <c r="M6" s="27">
        <v>1.540449167477983E-2</v>
      </c>
      <c r="N6" s="27">
        <v>-0.18245552232998968</v>
      </c>
      <c r="O6" s="27">
        <v>-8.7440427486157005E-2</v>
      </c>
      <c r="P6" s="27">
        <v>2.6730342536707096E-2</v>
      </c>
      <c r="Q6" s="27">
        <v>0.19173444144634097</v>
      </c>
      <c r="R6" s="27">
        <v>0.14469179500725288</v>
      </c>
      <c r="S6" s="27">
        <v>-0.18712852662850946</v>
      </c>
    </row>
    <row r="7" spans="1:19" x14ac:dyDescent="0.2">
      <c r="A7" s="9">
        <v>1</v>
      </c>
      <c r="B7" s="9">
        <v>48</v>
      </c>
      <c r="C7" s="9">
        <v>13</v>
      </c>
      <c r="D7" s="9">
        <v>20</v>
      </c>
      <c r="E7" s="9">
        <v>50</v>
      </c>
      <c r="F7" s="9">
        <v>30.8</v>
      </c>
      <c r="G7" s="13">
        <v>5.4954845947359976</v>
      </c>
      <c r="H7" s="9">
        <v>9.2899999999999991</v>
      </c>
      <c r="I7" s="7" t="s">
        <v>49</v>
      </c>
      <c r="K7" s="7" t="s">
        <v>21</v>
      </c>
      <c r="L7" s="27">
        <v>0.84676952028568597</v>
      </c>
      <c r="M7" s="27">
        <v>2.4506813949489014E-2</v>
      </c>
      <c r="N7" s="27">
        <v>4.0446632835828618E-2</v>
      </c>
      <c r="O7" s="27">
        <v>3.1383095073274435E-2</v>
      </c>
      <c r="P7" s="27">
        <v>1.3710438380878504E-2</v>
      </c>
      <c r="Q7" s="27">
        <v>4.9315237053498738E-2</v>
      </c>
      <c r="R7" s="27">
        <v>0.16141745845839359</v>
      </c>
      <c r="S7" s="27">
        <v>0.13477710608569593</v>
      </c>
    </row>
    <row r="8" spans="1:19" x14ac:dyDescent="0.2">
      <c r="A8" s="9">
        <v>1</v>
      </c>
      <c r="B8" s="9">
        <v>34</v>
      </c>
      <c r="C8" s="9">
        <v>12</v>
      </c>
      <c r="D8" s="9">
        <v>5</v>
      </c>
      <c r="E8" s="9">
        <v>68</v>
      </c>
      <c r="F8" s="9">
        <v>25.1</v>
      </c>
      <c r="G8" s="13">
        <v>5.4954845947359976</v>
      </c>
      <c r="H8" s="9">
        <v>9.25</v>
      </c>
      <c r="I8" s="7" t="s">
        <v>49</v>
      </c>
      <c r="K8" s="7" t="s">
        <v>22</v>
      </c>
      <c r="L8" s="27">
        <v>-3.1322700220367312</v>
      </c>
      <c r="M8" s="27">
        <v>0.62857994133917294</v>
      </c>
      <c r="N8" s="27">
        <v>-4.5110188299374609</v>
      </c>
      <c r="O8" s="27">
        <v>-2.7862270206937141</v>
      </c>
      <c r="P8" s="27">
        <v>1.9496344167949453</v>
      </c>
      <c r="Q8" s="27">
        <v>3.8879351069192132</v>
      </c>
      <c r="R8" s="27">
        <v>0.89638256226508572</v>
      </c>
      <c r="S8" s="27">
        <v>-1.3884296232739015</v>
      </c>
    </row>
    <row r="9" spans="1:19" x14ac:dyDescent="0.2">
      <c r="A9" s="9">
        <v>0</v>
      </c>
      <c r="B9" s="9">
        <v>41</v>
      </c>
      <c r="C9" s="9">
        <v>21</v>
      </c>
      <c r="D9" s="9">
        <v>2</v>
      </c>
      <c r="E9" s="9">
        <v>76</v>
      </c>
      <c r="F9" s="9">
        <v>20.5</v>
      </c>
      <c r="G9" s="13">
        <v>5.4954845947359976</v>
      </c>
      <c r="H9" s="9">
        <v>8.6300000000000008</v>
      </c>
      <c r="I9" s="7" t="s">
        <v>49</v>
      </c>
      <c r="K9" s="7" t="s">
        <v>23</v>
      </c>
      <c r="L9" s="12">
        <v>1.7346026301079398E-3</v>
      </c>
      <c r="M9" s="21">
        <v>0.52962409567918001</v>
      </c>
      <c r="N9" s="12">
        <v>6.4516992672736251E-6</v>
      </c>
      <c r="O9" s="12">
        <v>5.3325510962658473E-3</v>
      </c>
      <c r="P9" s="12">
        <v>5.1219708224844229E-2</v>
      </c>
      <c r="Q9" s="12">
        <v>1.0110064622037562E-4</v>
      </c>
      <c r="R9" s="21">
        <v>0.37004847729355816</v>
      </c>
      <c r="S9" s="21">
        <v>0.16500626110255734</v>
      </c>
    </row>
    <row r="10" spans="1:19" x14ac:dyDescent="0.2">
      <c r="A10" s="9">
        <v>0</v>
      </c>
      <c r="B10" s="9">
        <v>42</v>
      </c>
      <c r="C10" s="9">
        <v>12</v>
      </c>
      <c r="D10" s="9">
        <v>11</v>
      </c>
      <c r="E10" s="9">
        <v>51</v>
      </c>
      <c r="F10" s="9">
        <v>21.4</v>
      </c>
      <c r="G10" s="9">
        <v>2.41</v>
      </c>
      <c r="H10" s="9">
        <v>8.5</v>
      </c>
      <c r="I10" s="7" t="s">
        <v>49</v>
      </c>
      <c r="K10" s="7" t="s">
        <v>24</v>
      </c>
      <c r="L10" s="28">
        <v>0.23202823423963548</v>
      </c>
      <c r="M10" s="27">
        <v>7</v>
      </c>
      <c r="N10" s="27" t="str">
        <v>#N/A</v>
      </c>
      <c r="O10" s="27" t="str">
        <v>#N/A</v>
      </c>
      <c r="P10" s="27" t="str">
        <v>#N/A</v>
      </c>
      <c r="Q10" s="27" t="str">
        <v>#N/A</v>
      </c>
      <c r="R10" s="27" t="str">
        <v>#N/A</v>
      </c>
      <c r="S10" s="27" t="str">
        <v>#N/A</v>
      </c>
    </row>
    <row r="11" spans="1:19" x14ac:dyDescent="0.2">
      <c r="A11" s="9">
        <v>0</v>
      </c>
      <c r="B11" s="9">
        <v>47</v>
      </c>
      <c r="C11" s="9">
        <v>13</v>
      </c>
      <c r="D11" s="9">
        <v>25</v>
      </c>
      <c r="E11" s="9">
        <v>51</v>
      </c>
      <c r="F11" s="9">
        <v>23.8</v>
      </c>
      <c r="G11" s="9">
        <v>3.74</v>
      </c>
      <c r="H11" s="9">
        <v>8.4</v>
      </c>
      <c r="I11" s="7" t="s">
        <v>49</v>
      </c>
      <c r="K11" s="7" t="s">
        <v>25</v>
      </c>
      <c r="L11" s="27">
        <v>86.739589658970772</v>
      </c>
      <c r="M11" s="27">
        <v>5.7716005401120623E-16</v>
      </c>
      <c r="N11" s="27" t="str">
        <v>#N/A</v>
      </c>
      <c r="O11" s="27" t="str">
        <v>#N/A</v>
      </c>
      <c r="P11" s="27" t="str">
        <v>#N/A</v>
      </c>
      <c r="Q11" s="27" t="str">
        <v>#N/A</v>
      </c>
      <c r="R11" s="27" t="str">
        <v>#N/A</v>
      </c>
      <c r="S11" s="27" t="str">
        <v>#N/A</v>
      </c>
    </row>
    <row r="12" spans="1:19" x14ac:dyDescent="0.2">
      <c r="A12" s="9">
        <v>1</v>
      </c>
      <c r="B12" s="9">
        <v>33</v>
      </c>
      <c r="C12" s="9">
        <v>13</v>
      </c>
      <c r="D12" s="9">
        <v>3</v>
      </c>
      <c r="E12" s="9">
        <v>52</v>
      </c>
      <c r="F12" s="9">
        <v>21.3</v>
      </c>
      <c r="G12" s="9">
        <v>2.71</v>
      </c>
      <c r="H12" s="9">
        <v>8.36</v>
      </c>
      <c r="I12" s="7" t="s">
        <v>49</v>
      </c>
      <c r="K12" s="7" t="s">
        <v>26</v>
      </c>
      <c r="L12" s="27">
        <v>-143.54622843643176</v>
      </c>
      <c r="M12" s="27">
        <v>-186.91602326591715</v>
      </c>
      <c r="N12" s="27" t="str">
        <v>#N/A</v>
      </c>
      <c r="O12" s="27" t="str">
        <v>#N/A</v>
      </c>
      <c r="P12" s="27" t="str">
        <v>#N/A</v>
      </c>
      <c r="Q12" s="27" t="str">
        <v>#N/A</v>
      </c>
      <c r="R12" s="27" t="str">
        <v>#N/A</v>
      </c>
      <c r="S12" s="27" t="str">
        <v>#N/A</v>
      </c>
    </row>
    <row r="13" spans="1:19" x14ac:dyDescent="0.2">
      <c r="A13" s="9">
        <v>1</v>
      </c>
      <c r="B13" s="9">
        <v>43</v>
      </c>
      <c r="C13" s="9">
        <v>9</v>
      </c>
      <c r="D13" s="9">
        <v>5</v>
      </c>
      <c r="E13" s="9">
        <v>60</v>
      </c>
      <c r="F13" s="9">
        <v>20.399999999999999</v>
      </c>
      <c r="G13" s="9">
        <v>4.04</v>
      </c>
      <c r="H13" s="9">
        <v>8.1999999999999993</v>
      </c>
      <c r="I13" s="7" t="s">
        <v>49</v>
      </c>
    </row>
    <row r="14" spans="1:19" x14ac:dyDescent="0.2">
      <c r="A14" s="9">
        <v>1</v>
      </c>
      <c r="B14" s="9">
        <v>32</v>
      </c>
      <c r="C14" s="9">
        <v>11</v>
      </c>
      <c r="D14" s="9">
        <v>4</v>
      </c>
      <c r="E14" s="9">
        <v>57</v>
      </c>
      <c r="F14" s="9">
        <v>23.8</v>
      </c>
      <c r="G14" s="9">
        <v>5.44</v>
      </c>
      <c r="H14" s="9">
        <v>8.1300000000000008</v>
      </c>
      <c r="I14" s="7" t="s">
        <v>49</v>
      </c>
    </row>
    <row r="15" spans="1:19" x14ac:dyDescent="0.2">
      <c r="A15" s="9">
        <v>1</v>
      </c>
      <c r="B15" s="9">
        <v>39</v>
      </c>
      <c r="C15" s="9">
        <v>7</v>
      </c>
      <c r="D15" s="9">
        <v>2</v>
      </c>
      <c r="E15" s="9">
        <v>68</v>
      </c>
      <c r="F15" s="9">
        <v>13</v>
      </c>
      <c r="G15" s="9">
        <v>0.97</v>
      </c>
      <c r="H15" s="9">
        <v>7.82</v>
      </c>
      <c r="I15" s="7" t="s">
        <v>49</v>
      </c>
      <c r="K15" s="2"/>
      <c r="L15" s="1"/>
      <c r="M15" s="1"/>
      <c r="N15" s="1"/>
      <c r="O15" s="1"/>
      <c r="P15" s="1"/>
      <c r="Q15" s="1"/>
      <c r="R15" s="1"/>
      <c r="S15" s="1"/>
    </row>
    <row r="16" spans="1:19" x14ac:dyDescent="0.2">
      <c r="A16" s="9">
        <v>0</v>
      </c>
      <c r="B16" s="9">
        <v>41</v>
      </c>
      <c r="C16" s="9">
        <v>22</v>
      </c>
      <c r="D16" s="9">
        <v>17</v>
      </c>
      <c r="E16" s="9">
        <v>75</v>
      </c>
      <c r="F16" s="9">
        <v>23.6</v>
      </c>
      <c r="G16" s="9">
        <v>0</v>
      </c>
      <c r="H16" s="9">
        <v>7.82</v>
      </c>
      <c r="I16" s="7" t="s">
        <v>49</v>
      </c>
      <c r="K16" s="2"/>
      <c r="L16" s="23"/>
      <c r="M16" s="23"/>
      <c r="N16" s="23"/>
      <c r="O16" s="23"/>
      <c r="P16" s="23"/>
      <c r="Q16" s="23"/>
      <c r="R16" s="23"/>
      <c r="S16" s="23"/>
    </row>
    <row r="17" spans="1:19" x14ac:dyDescent="0.2">
      <c r="A17" s="9">
        <v>0</v>
      </c>
      <c r="B17" s="9">
        <v>39</v>
      </c>
      <c r="C17" s="9">
        <v>16</v>
      </c>
      <c r="D17" s="9">
        <v>9</v>
      </c>
      <c r="E17" s="9">
        <v>89</v>
      </c>
      <c r="F17" s="9">
        <v>14.3</v>
      </c>
      <c r="G17" s="9">
        <v>5</v>
      </c>
      <c r="H17" s="9">
        <v>7.73</v>
      </c>
      <c r="I17" s="7" t="s">
        <v>49</v>
      </c>
      <c r="K17" s="2"/>
    </row>
    <row r="18" spans="1:19" x14ac:dyDescent="0.2">
      <c r="A18" s="9">
        <v>0</v>
      </c>
      <c r="B18" s="9">
        <v>33</v>
      </c>
      <c r="C18" s="9">
        <v>12</v>
      </c>
      <c r="D18" s="9">
        <v>8</v>
      </c>
      <c r="E18" s="9">
        <v>58</v>
      </c>
      <c r="F18" s="9">
        <v>18.399999999999999</v>
      </c>
      <c r="G18" s="9">
        <v>3.08</v>
      </c>
      <c r="H18" s="9">
        <v>7.59</v>
      </c>
      <c r="I18" s="7" t="s">
        <v>49</v>
      </c>
      <c r="K18" s="2"/>
    </row>
    <row r="19" spans="1:19" x14ac:dyDescent="0.2">
      <c r="A19" s="9">
        <v>0</v>
      </c>
      <c r="B19" s="9">
        <v>54</v>
      </c>
      <c r="C19" s="9">
        <v>21</v>
      </c>
      <c r="D19" s="9">
        <v>20</v>
      </c>
      <c r="E19" s="13">
        <v>117.54291069294821</v>
      </c>
      <c r="F19" s="9">
        <v>14.4</v>
      </c>
      <c r="G19" s="9">
        <v>0</v>
      </c>
      <c r="H19" s="9">
        <v>7.39</v>
      </c>
      <c r="I19" s="7" t="s">
        <v>49</v>
      </c>
      <c r="K19" s="2"/>
      <c r="L19" s="22"/>
      <c r="M19" s="22"/>
      <c r="N19" s="22"/>
      <c r="O19" s="22"/>
      <c r="P19" s="22"/>
      <c r="Q19" s="22"/>
      <c r="R19" s="22"/>
      <c r="S19" s="22"/>
    </row>
    <row r="20" spans="1:19" x14ac:dyDescent="0.2">
      <c r="A20" s="9">
        <v>0</v>
      </c>
      <c r="B20" s="9">
        <v>32</v>
      </c>
      <c r="C20" s="9">
        <v>16</v>
      </c>
      <c r="D20" s="9">
        <v>10</v>
      </c>
      <c r="E20" s="9">
        <v>38</v>
      </c>
      <c r="F20" s="9">
        <v>21</v>
      </c>
      <c r="G20" s="9">
        <v>0.69</v>
      </c>
      <c r="H20" s="9">
        <v>7.29</v>
      </c>
      <c r="I20" s="7" t="s">
        <v>49</v>
      </c>
      <c r="K20" s="2"/>
      <c r="L20" s="24"/>
    </row>
    <row r="21" spans="1:19" x14ac:dyDescent="0.2">
      <c r="A21" s="9">
        <v>0</v>
      </c>
      <c r="B21" s="9">
        <v>50</v>
      </c>
      <c r="C21" s="9">
        <v>10</v>
      </c>
      <c r="D21" s="9">
        <v>20</v>
      </c>
      <c r="E21" s="9">
        <v>80</v>
      </c>
      <c r="F21" s="9">
        <v>12.2</v>
      </c>
      <c r="G21" s="9">
        <v>0.97</v>
      </c>
      <c r="H21" s="9">
        <v>7.28</v>
      </c>
      <c r="I21" s="7" t="s">
        <v>49</v>
      </c>
      <c r="K21" s="2"/>
    </row>
    <row r="22" spans="1:19" x14ac:dyDescent="0.2">
      <c r="A22" s="9">
        <v>0</v>
      </c>
      <c r="B22" s="9">
        <v>40</v>
      </c>
      <c r="C22" s="9">
        <v>18</v>
      </c>
      <c r="D22" s="9">
        <v>14</v>
      </c>
      <c r="E22" s="9">
        <v>0</v>
      </c>
      <c r="F22" s="9">
        <v>6.6</v>
      </c>
      <c r="G22" s="9">
        <v>3.33</v>
      </c>
      <c r="H22" s="9">
        <v>7.04</v>
      </c>
      <c r="I22" s="7" t="s">
        <v>49</v>
      </c>
      <c r="K22" s="2"/>
    </row>
    <row r="23" spans="1:19" x14ac:dyDescent="0.2">
      <c r="A23" s="9">
        <v>1</v>
      </c>
      <c r="B23" s="9">
        <v>39</v>
      </c>
      <c r="C23" s="9">
        <v>19</v>
      </c>
      <c r="D23" s="9">
        <v>15</v>
      </c>
      <c r="E23" s="9">
        <v>60</v>
      </c>
      <c r="F23" s="9">
        <v>27.1</v>
      </c>
      <c r="G23" s="9">
        <v>0</v>
      </c>
      <c r="H23" s="9">
        <v>6.67</v>
      </c>
      <c r="I23" s="7" t="s">
        <v>49</v>
      </c>
    </row>
    <row r="24" spans="1:19" x14ac:dyDescent="0.2">
      <c r="A24" s="9">
        <v>0</v>
      </c>
      <c r="B24" s="9">
        <v>40</v>
      </c>
      <c r="C24" s="9">
        <v>10</v>
      </c>
      <c r="D24" s="9">
        <v>15</v>
      </c>
      <c r="E24" s="9">
        <v>45</v>
      </c>
      <c r="F24" s="9">
        <v>18.8</v>
      </c>
      <c r="G24" s="9">
        <v>2.0099999999999998</v>
      </c>
      <c r="H24" s="9">
        <v>6.45</v>
      </c>
      <c r="I24" s="7" t="s">
        <v>49</v>
      </c>
    </row>
    <row r="25" spans="1:19" x14ac:dyDescent="0.2">
      <c r="A25" s="9">
        <v>0</v>
      </c>
      <c r="B25" s="9">
        <v>39</v>
      </c>
      <c r="C25" s="9">
        <v>16</v>
      </c>
      <c r="D25" s="9">
        <v>4</v>
      </c>
      <c r="E25" s="9">
        <v>52</v>
      </c>
      <c r="F25" s="9">
        <v>20</v>
      </c>
      <c r="G25" s="9">
        <v>4.16</v>
      </c>
      <c r="H25" s="9">
        <v>6.24</v>
      </c>
      <c r="I25" s="7" t="s">
        <v>49</v>
      </c>
      <c r="K25" s="2"/>
      <c r="L25" s="1"/>
      <c r="M25" s="1"/>
      <c r="N25" s="1"/>
      <c r="O25" s="1"/>
      <c r="P25" s="1"/>
      <c r="Q25" s="1"/>
      <c r="R25" s="1"/>
    </row>
    <row r="26" spans="1:19" x14ac:dyDescent="0.2">
      <c r="A26" s="9">
        <v>0</v>
      </c>
      <c r="B26" s="9">
        <v>35</v>
      </c>
      <c r="C26" s="9">
        <v>15</v>
      </c>
      <c r="D26" s="9">
        <v>11</v>
      </c>
      <c r="E26" s="9">
        <v>40</v>
      </c>
      <c r="F26" s="9">
        <v>18.5</v>
      </c>
      <c r="G26" s="9">
        <v>1.21</v>
      </c>
      <c r="H26" s="9">
        <v>6.19</v>
      </c>
      <c r="I26" s="7" t="s">
        <v>49</v>
      </c>
      <c r="K26" s="2"/>
      <c r="L26" s="23"/>
      <c r="M26" s="23"/>
      <c r="N26" s="23"/>
      <c r="O26" s="23"/>
      <c r="P26" s="23"/>
      <c r="Q26" s="23"/>
      <c r="R26" s="23"/>
    </row>
    <row r="27" spans="1:19" x14ac:dyDescent="0.2">
      <c r="A27" s="9">
        <v>0</v>
      </c>
      <c r="B27" s="9">
        <v>36</v>
      </c>
      <c r="C27" s="9">
        <v>11</v>
      </c>
      <c r="D27" s="9">
        <v>12</v>
      </c>
      <c r="E27" s="9">
        <v>44</v>
      </c>
      <c r="F27" s="9">
        <v>14.7</v>
      </c>
      <c r="G27" s="9">
        <v>0.45</v>
      </c>
      <c r="H27" s="9">
        <v>6.02</v>
      </c>
      <c r="I27" s="7" t="s">
        <v>49</v>
      </c>
      <c r="K27" s="2"/>
    </row>
    <row r="28" spans="1:19" x14ac:dyDescent="0.2">
      <c r="A28" s="9">
        <v>1</v>
      </c>
      <c r="B28" s="9">
        <v>39</v>
      </c>
      <c r="C28" s="9">
        <v>6</v>
      </c>
      <c r="D28" s="9">
        <v>19</v>
      </c>
      <c r="E28" s="9">
        <v>42</v>
      </c>
      <c r="F28" s="9">
        <v>19.899999999999999</v>
      </c>
      <c r="G28" s="9">
        <v>2.54</v>
      </c>
      <c r="H28" s="9">
        <v>5.82</v>
      </c>
      <c r="I28" s="7" t="s">
        <v>49</v>
      </c>
      <c r="K28" s="2"/>
    </row>
    <row r="29" spans="1:19" x14ac:dyDescent="0.2">
      <c r="A29" s="9">
        <v>0</v>
      </c>
      <c r="B29" s="9">
        <v>39</v>
      </c>
      <c r="C29" s="9">
        <v>17</v>
      </c>
      <c r="D29" s="9">
        <v>20</v>
      </c>
      <c r="E29" s="9">
        <v>60</v>
      </c>
      <c r="F29" s="9">
        <v>13.7</v>
      </c>
      <c r="G29" s="9">
        <v>2.4500000000000002</v>
      </c>
      <c r="H29" s="9">
        <v>5.77</v>
      </c>
      <c r="I29" s="7" t="s">
        <v>49</v>
      </c>
      <c r="K29" s="2"/>
      <c r="L29" s="22"/>
      <c r="M29" s="22"/>
      <c r="N29" s="22"/>
      <c r="O29" s="22"/>
      <c r="P29" s="22"/>
      <c r="Q29" s="22"/>
      <c r="R29" s="22"/>
    </row>
    <row r="30" spans="1:19" x14ac:dyDescent="0.2">
      <c r="A30" s="9">
        <v>0</v>
      </c>
      <c r="B30" s="9">
        <v>37</v>
      </c>
      <c r="C30" s="9">
        <v>5</v>
      </c>
      <c r="D30" s="9">
        <v>17</v>
      </c>
      <c r="E30" s="9">
        <v>29</v>
      </c>
      <c r="F30" s="9">
        <v>24.6</v>
      </c>
      <c r="G30" s="9">
        <v>1.41</v>
      </c>
      <c r="H30" s="9">
        <v>5.73</v>
      </c>
      <c r="I30" s="7" t="s">
        <v>49</v>
      </c>
      <c r="K30" s="2"/>
      <c r="L30" s="24"/>
    </row>
    <row r="31" spans="1:19" x14ac:dyDescent="0.2">
      <c r="A31" s="9">
        <v>0</v>
      </c>
      <c r="B31" s="9">
        <v>45</v>
      </c>
      <c r="C31" s="9">
        <v>18</v>
      </c>
      <c r="D31" s="9">
        <v>19</v>
      </c>
      <c r="E31" s="9">
        <v>35</v>
      </c>
      <c r="F31" s="9">
        <v>17.399999999999999</v>
      </c>
      <c r="G31" s="9">
        <v>0.55000000000000004</v>
      </c>
      <c r="H31" s="9">
        <v>5.54</v>
      </c>
      <c r="I31" s="7" t="s">
        <v>49</v>
      </c>
      <c r="K31" s="2"/>
    </row>
    <row r="32" spans="1:19" x14ac:dyDescent="0.2">
      <c r="A32" s="9">
        <v>0</v>
      </c>
      <c r="B32" s="9">
        <v>48</v>
      </c>
      <c r="C32" s="9">
        <v>22</v>
      </c>
      <c r="D32" s="9">
        <v>15</v>
      </c>
      <c r="E32" s="9">
        <v>100</v>
      </c>
      <c r="F32" s="9">
        <v>9.1</v>
      </c>
      <c r="G32" s="9">
        <v>3.7</v>
      </c>
      <c r="H32" s="9">
        <v>5.4</v>
      </c>
      <c r="I32" s="7" t="s">
        <v>49</v>
      </c>
      <c r="K32" s="2"/>
    </row>
    <row r="33" spans="1:17" x14ac:dyDescent="0.2">
      <c r="A33" s="9">
        <v>0</v>
      </c>
      <c r="B33" s="9">
        <v>44</v>
      </c>
      <c r="C33" s="9">
        <v>18</v>
      </c>
      <c r="D33" s="9">
        <v>4</v>
      </c>
      <c r="E33" s="9">
        <v>74</v>
      </c>
      <c r="F33" s="9">
        <v>13.4</v>
      </c>
      <c r="G33" s="9">
        <v>4.5199999999999996</v>
      </c>
      <c r="H33" s="9">
        <v>5.39</v>
      </c>
      <c r="I33" s="7" t="s">
        <v>49</v>
      </c>
    </row>
    <row r="34" spans="1:17" x14ac:dyDescent="0.2">
      <c r="A34" s="9">
        <v>0</v>
      </c>
      <c r="B34" s="9">
        <v>31</v>
      </c>
      <c r="C34" s="9">
        <v>12</v>
      </c>
      <c r="D34" s="9">
        <v>4</v>
      </c>
      <c r="E34" s="9">
        <v>31</v>
      </c>
      <c r="F34" s="9">
        <v>23.7</v>
      </c>
      <c r="G34" s="9">
        <v>2.06</v>
      </c>
      <c r="H34" s="9">
        <v>5.29</v>
      </c>
      <c r="I34" s="7" t="s">
        <v>49</v>
      </c>
    </row>
    <row r="35" spans="1:17" x14ac:dyDescent="0.2">
      <c r="A35" s="9">
        <v>1</v>
      </c>
      <c r="B35" s="9">
        <v>34</v>
      </c>
      <c r="C35" s="9">
        <v>15</v>
      </c>
      <c r="D35" s="9">
        <v>2</v>
      </c>
      <c r="E35" s="9">
        <v>39</v>
      </c>
      <c r="F35" s="9">
        <v>24.7</v>
      </c>
      <c r="G35" s="9">
        <v>4.37</v>
      </c>
      <c r="H35" s="9">
        <v>5.26</v>
      </c>
      <c r="I35" s="7" t="s">
        <v>49</v>
      </c>
      <c r="K35" s="2"/>
      <c r="L35" s="1"/>
      <c r="M35" s="1"/>
      <c r="N35" s="1"/>
      <c r="O35" s="1"/>
      <c r="P35" s="1"/>
      <c r="Q35" s="1"/>
    </row>
    <row r="36" spans="1:17" x14ac:dyDescent="0.2">
      <c r="A36" s="9">
        <v>1</v>
      </c>
      <c r="B36" s="9">
        <v>52</v>
      </c>
      <c r="C36" s="9">
        <v>9</v>
      </c>
      <c r="D36" s="9">
        <v>0</v>
      </c>
      <c r="E36" s="9">
        <v>70</v>
      </c>
      <c r="F36" s="9">
        <v>9.4</v>
      </c>
      <c r="G36" s="9">
        <v>1.33</v>
      </c>
      <c r="H36" s="9">
        <v>5.25</v>
      </c>
      <c r="I36" s="7" t="s">
        <v>49</v>
      </c>
      <c r="K36" s="2"/>
      <c r="L36" s="23"/>
      <c r="M36" s="23"/>
      <c r="N36" s="23"/>
      <c r="O36" s="23"/>
      <c r="P36" s="23"/>
      <c r="Q36" s="23"/>
    </row>
    <row r="37" spans="1:17" x14ac:dyDescent="0.2">
      <c r="A37" s="9">
        <v>0</v>
      </c>
      <c r="B37" s="9">
        <v>41</v>
      </c>
      <c r="C37" s="9">
        <v>19</v>
      </c>
      <c r="D37" s="9">
        <v>1</v>
      </c>
      <c r="E37" s="9">
        <v>96</v>
      </c>
      <c r="F37" s="9">
        <v>7.8</v>
      </c>
      <c r="G37" s="9">
        <v>2.25</v>
      </c>
      <c r="H37" s="9">
        <v>5.23</v>
      </c>
      <c r="I37" s="7" t="s">
        <v>49</v>
      </c>
      <c r="K37" s="2"/>
    </row>
    <row r="38" spans="1:17" x14ac:dyDescent="0.2">
      <c r="A38" s="9">
        <v>0</v>
      </c>
      <c r="B38" s="9">
        <v>47</v>
      </c>
      <c r="C38" s="9">
        <v>15</v>
      </c>
      <c r="D38" s="9">
        <v>1</v>
      </c>
      <c r="E38" s="9">
        <v>30</v>
      </c>
      <c r="F38" s="9">
        <v>24.5</v>
      </c>
      <c r="G38" s="9">
        <v>2.21</v>
      </c>
      <c r="H38" s="9">
        <v>5.14</v>
      </c>
      <c r="I38" s="7" t="s">
        <v>49</v>
      </c>
      <c r="K38" s="2"/>
    </row>
    <row r="39" spans="1:17" x14ac:dyDescent="0.2">
      <c r="A39" s="9">
        <v>1</v>
      </c>
      <c r="B39" s="9">
        <v>44</v>
      </c>
      <c r="C39" s="9">
        <v>8</v>
      </c>
      <c r="D39" s="9">
        <v>10</v>
      </c>
      <c r="E39" s="9">
        <v>88</v>
      </c>
      <c r="F39" s="9">
        <v>6.1</v>
      </c>
      <c r="G39" s="9">
        <v>0.28000000000000003</v>
      </c>
      <c r="H39" s="9">
        <v>5.08</v>
      </c>
      <c r="I39" s="7" t="s">
        <v>49</v>
      </c>
      <c r="K39" s="2"/>
      <c r="L39" s="22"/>
      <c r="M39" s="22"/>
      <c r="N39" s="22"/>
      <c r="O39" s="22"/>
      <c r="P39" s="22"/>
      <c r="Q39" s="22"/>
    </row>
    <row r="40" spans="1:17" x14ac:dyDescent="0.2">
      <c r="A40" s="9">
        <v>1</v>
      </c>
      <c r="B40" s="9">
        <v>23</v>
      </c>
      <c r="C40" s="9">
        <v>0</v>
      </c>
      <c r="D40" s="9">
        <v>4</v>
      </c>
      <c r="E40" s="9">
        <v>32</v>
      </c>
      <c r="F40" s="9">
        <v>18.399999999999999</v>
      </c>
      <c r="G40" s="9">
        <v>0.82</v>
      </c>
      <c r="H40" s="9">
        <v>5.07</v>
      </c>
      <c r="I40" s="7" t="s">
        <v>49</v>
      </c>
      <c r="K40" s="2"/>
      <c r="L40" s="24"/>
    </row>
    <row r="41" spans="1:17" x14ac:dyDescent="0.2">
      <c r="A41" s="9">
        <v>0</v>
      </c>
      <c r="B41" s="9">
        <v>31</v>
      </c>
      <c r="C41" s="9">
        <v>8</v>
      </c>
      <c r="D41" s="9">
        <v>3</v>
      </c>
      <c r="E41" s="9">
        <v>41</v>
      </c>
      <c r="F41" s="9">
        <v>12.6</v>
      </c>
      <c r="G41" s="9">
        <v>0.13</v>
      </c>
      <c r="H41" s="9">
        <v>5.03</v>
      </c>
      <c r="I41" s="7" t="s">
        <v>49</v>
      </c>
      <c r="K41" s="2"/>
    </row>
    <row r="42" spans="1:17" x14ac:dyDescent="0.2">
      <c r="A42" s="9">
        <v>0</v>
      </c>
      <c r="B42" s="9">
        <v>38</v>
      </c>
      <c r="C42" s="9">
        <v>21</v>
      </c>
      <c r="D42" s="9">
        <v>16</v>
      </c>
      <c r="E42" s="9">
        <v>58</v>
      </c>
      <c r="F42" s="9">
        <v>16.5</v>
      </c>
      <c r="G42" s="9">
        <v>4.58</v>
      </c>
      <c r="H42" s="9">
        <v>4.99</v>
      </c>
      <c r="I42" s="7" t="s">
        <v>49</v>
      </c>
      <c r="K42" s="2"/>
    </row>
    <row r="43" spans="1:17" x14ac:dyDescent="0.2">
      <c r="A43" s="9">
        <v>0</v>
      </c>
      <c r="B43" s="9">
        <v>28</v>
      </c>
      <c r="C43" s="9">
        <v>5</v>
      </c>
      <c r="D43" s="9">
        <v>9</v>
      </c>
      <c r="E43" s="9">
        <v>34</v>
      </c>
      <c r="F43" s="9">
        <v>23.8</v>
      </c>
      <c r="G43" s="9">
        <v>3.1</v>
      </c>
      <c r="H43" s="9">
        <v>4.99</v>
      </c>
      <c r="I43" s="7" t="s">
        <v>49</v>
      </c>
    </row>
    <row r="44" spans="1:17" x14ac:dyDescent="0.2">
      <c r="A44" s="9">
        <v>0</v>
      </c>
      <c r="B44" s="9">
        <v>52</v>
      </c>
      <c r="C44" s="9">
        <v>12</v>
      </c>
      <c r="D44" s="9">
        <v>16</v>
      </c>
      <c r="E44" s="9">
        <v>76</v>
      </c>
      <c r="F44" s="9">
        <v>7.7</v>
      </c>
      <c r="G44" s="9">
        <v>0.99</v>
      </c>
      <c r="H44" s="9">
        <v>4.8600000000000003</v>
      </c>
      <c r="I44" s="7" t="s">
        <v>49</v>
      </c>
    </row>
    <row r="45" spans="1:17" x14ac:dyDescent="0.2">
      <c r="A45" s="9">
        <v>0</v>
      </c>
      <c r="B45" s="9">
        <v>27</v>
      </c>
      <c r="C45" s="9">
        <v>11</v>
      </c>
      <c r="D45" s="9">
        <v>8</v>
      </c>
      <c r="E45" s="9">
        <v>56</v>
      </c>
      <c r="F45" s="9">
        <v>16.899999999999999</v>
      </c>
      <c r="G45" s="9">
        <v>4.6399999999999997</v>
      </c>
      <c r="H45" s="9">
        <v>4.83</v>
      </c>
      <c r="I45" s="7" t="s">
        <v>49</v>
      </c>
      <c r="K45" s="2"/>
      <c r="L45" s="1"/>
      <c r="M45" s="1"/>
      <c r="N45" s="1"/>
      <c r="O45" s="1"/>
      <c r="P45" s="1"/>
    </row>
    <row r="46" spans="1:17" x14ac:dyDescent="0.2">
      <c r="A46" s="9">
        <v>0</v>
      </c>
      <c r="B46" s="9">
        <v>36</v>
      </c>
      <c r="C46" s="9">
        <v>13</v>
      </c>
      <c r="D46" s="9">
        <v>3</v>
      </c>
      <c r="E46" s="9">
        <v>39</v>
      </c>
      <c r="F46" s="9">
        <v>19.2</v>
      </c>
      <c r="G46" s="9">
        <v>2.8</v>
      </c>
      <c r="H46" s="9">
        <v>4.6900000000000004</v>
      </c>
      <c r="I46" s="7" t="s">
        <v>49</v>
      </c>
      <c r="K46" s="2"/>
      <c r="L46" s="23"/>
      <c r="M46" s="23"/>
      <c r="N46" s="23"/>
      <c r="O46" s="23"/>
      <c r="P46" s="23"/>
    </row>
    <row r="47" spans="1:17" x14ac:dyDescent="0.2">
      <c r="A47" s="9">
        <v>0</v>
      </c>
      <c r="B47" s="9">
        <v>43</v>
      </c>
      <c r="C47" s="9">
        <v>25</v>
      </c>
      <c r="D47" s="9">
        <v>16</v>
      </c>
      <c r="E47" s="9">
        <v>0</v>
      </c>
      <c r="F47" s="9">
        <v>2.6</v>
      </c>
      <c r="G47" s="9">
        <v>1.64</v>
      </c>
      <c r="H47" s="9">
        <v>4.66</v>
      </c>
      <c r="I47" s="7" t="s">
        <v>49</v>
      </c>
      <c r="K47" s="2"/>
    </row>
    <row r="48" spans="1:17" x14ac:dyDescent="0.2">
      <c r="A48" s="9">
        <v>0</v>
      </c>
      <c r="B48" s="9">
        <v>41</v>
      </c>
      <c r="C48" s="9">
        <v>16</v>
      </c>
      <c r="D48" s="9">
        <v>22</v>
      </c>
      <c r="E48" s="13">
        <v>117.54291069294821</v>
      </c>
      <c r="F48" s="9">
        <v>4.4000000000000004</v>
      </c>
      <c r="G48" s="9">
        <v>1.28</v>
      </c>
      <c r="H48" s="9">
        <v>4.66</v>
      </c>
      <c r="I48" s="7" t="s">
        <v>49</v>
      </c>
      <c r="K48" s="2"/>
    </row>
    <row r="49" spans="1:16" x14ac:dyDescent="0.2">
      <c r="A49" s="9">
        <v>1</v>
      </c>
      <c r="B49" s="9">
        <v>41</v>
      </c>
      <c r="C49" s="9">
        <v>18</v>
      </c>
      <c r="D49" s="9">
        <v>6</v>
      </c>
      <c r="E49" s="9">
        <v>71</v>
      </c>
      <c r="F49" s="9">
        <v>15.7</v>
      </c>
      <c r="G49" s="13">
        <v>5.4954845947359976</v>
      </c>
      <c r="H49" s="9">
        <v>4.58</v>
      </c>
      <c r="I49" s="7" t="s">
        <v>49</v>
      </c>
      <c r="K49" s="2"/>
      <c r="L49" s="22"/>
      <c r="M49" s="22"/>
      <c r="N49" s="22"/>
      <c r="O49" s="22"/>
      <c r="P49" s="22"/>
    </row>
    <row r="50" spans="1:16" x14ac:dyDescent="0.2">
      <c r="A50" s="9">
        <v>0</v>
      </c>
      <c r="B50" s="9">
        <v>43</v>
      </c>
      <c r="C50" s="9">
        <v>6</v>
      </c>
      <c r="D50" s="9">
        <v>24</v>
      </c>
      <c r="E50" s="9">
        <v>54</v>
      </c>
      <c r="F50" s="9">
        <v>9.6</v>
      </c>
      <c r="G50" s="9">
        <v>0.62</v>
      </c>
      <c r="H50" s="9">
        <v>4.5599999999999996</v>
      </c>
      <c r="I50" s="7" t="s">
        <v>49</v>
      </c>
      <c r="K50" s="2"/>
      <c r="L50" s="24"/>
    </row>
    <row r="51" spans="1:16" x14ac:dyDescent="0.2">
      <c r="A51" s="9">
        <v>1</v>
      </c>
      <c r="B51" s="9">
        <v>38</v>
      </c>
      <c r="C51" s="9">
        <v>12</v>
      </c>
      <c r="D51" s="9">
        <v>14</v>
      </c>
      <c r="E51" s="9">
        <v>63</v>
      </c>
      <c r="F51" s="9">
        <v>16</v>
      </c>
      <c r="G51" s="13">
        <v>5.4954845947359976</v>
      </c>
      <c r="H51" s="9">
        <v>4.3600000000000003</v>
      </c>
      <c r="I51" s="7" t="s">
        <v>49</v>
      </c>
      <c r="K51" s="2"/>
    </row>
    <row r="52" spans="1:16" x14ac:dyDescent="0.2">
      <c r="A52" s="9">
        <v>0</v>
      </c>
      <c r="B52" s="9">
        <v>43</v>
      </c>
      <c r="C52" s="9">
        <v>23</v>
      </c>
      <c r="D52" s="9">
        <v>19</v>
      </c>
      <c r="E52" s="9">
        <v>72</v>
      </c>
      <c r="F52" s="9">
        <v>7.6</v>
      </c>
      <c r="G52" s="9">
        <v>1.18</v>
      </c>
      <c r="H52" s="9">
        <v>4.29</v>
      </c>
      <c r="I52" s="7" t="s">
        <v>49</v>
      </c>
      <c r="K52" s="2"/>
    </row>
    <row r="53" spans="1:16" x14ac:dyDescent="0.2">
      <c r="A53" s="9">
        <v>0</v>
      </c>
      <c r="B53" s="9">
        <v>56</v>
      </c>
      <c r="C53" s="9">
        <v>11</v>
      </c>
      <c r="D53" s="9">
        <v>20</v>
      </c>
      <c r="E53" s="9">
        <v>59</v>
      </c>
      <c r="F53" s="9">
        <v>15</v>
      </c>
      <c r="G53" s="9">
        <v>4.67</v>
      </c>
      <c r="H53" s="9">
        <v>4.18</v>
      </c>
      <c r="I53" s="7" t="s">
        <v>49</v>
      </c>
    </row>
    <row r="54" spans="1:16" x14ac:dyDescent="0.2">
      <c r="A54" s="9">
        <v>1</v>
      </c>
      <c r="B54" s="9">
        <v>40</v>
      </c>
      <c r="C54" s="9">
        <v>5</v>
      </c>
      <c r="D54" s="9">
        <v>12</v>
      </c>
      <c r="E54" s="9">
        <v>35</v>
      </c>
      <c r="F54" s="9">
        <v>16.399999999999999</v>
      </c>
      <c r="G54" s="9">
        <v>1.58</v>
      </c>
      <c r="H54" s="9">
        <v>4.16</v>
      </c>
      <c r="I54" s="7" t="s">
        <v>49</v>
      </c>
    </row>
    <row r="55" spans="1:16" x14ac:dyDescent="0.2">
      <c r="A55" s="9">
        <v>0</v>
      </c>
      <c r="B55" s="9">
        <v>30</v>
      </c>
      <c r="C55" s="9">
        <v>12</v>
      </c>
      <c r="D55" s="9">
        <v>9</v>
      </c>
      <c r="E55" s="9">
        <v>98</v>
      </c>
      <c r="F55" s="9">
        <v>7.2</v>
      </c>
      <c r="G55" s="9">
        <v>2.94</v>
      </c>
      <c r="H55" s="9">
        <v>4.12</v>
      </c>
      <c r="I55" s="7" t="s">
        <v>49</v>
      </c>
      <c r="K55" s="2"/>
      <c r="L55" s="1"/>
      <c r="M55" s="1"/>
      <c r="N55" s="1"/>
      <c r="O55" s="1"/>
    </row>
    <row r="56" spans="1:16" x14ac:dyDescent="0.2">
      <c r="A56" s="9">
        <v>0</v>
      </c>
      <c r="B56" s="9">
        <v>37</v>
      </c>
      <c r="C56" s="9">
        <v>6</v>
      </c>
      <c r="D56" s="9">
        <v>13</v>
      </c>
      <c r="E56" s="9">
        <v>62</v>
      </c>
      <c r="F56" s="9">
        <v>8.5</v>
      </c>
      <c r="G56" s="9">
        <v>1.19</v>
      </c>
      <c r="H56" s="9">
        <v>4.08</v>
      </c>
      <c r="I56" s="7" t="s">
        <v>49</v>
      </c>
      <c r="K56" s="2"/>
      <c r="L56" s="23"/>
      <c r="M56" s="23"/>
      <c r="N56" s="23"/>
      <c r="O56" s="23"/>
    </row>
    <row r="57" spans="1:16" x14ac:dyDescent="0.2">
      <c r="A57" s="9">
        <v>1</v>
      </c>
      <c r="B57" s="9">
        <v>31</v>
      </c>
      <c r="C57" s="9">
        <v>6</v>
      </c>
      <c r="D57" s="9">
        <v>6</v>
      </c>
      <c r="E57" s="9">
        <v>32</v>
      </c>
      <c r="F57" s="9">
        <v>23.1</v>
      </c>
      <c r="G57" s="9">
        <v>3.34</v>
      </c>
      <c r="H57" s="9">
        <v>4.05</v>
      </c>
      <c r="I57" s="7" t="s">
        <v>49</v>
      </c>
      <c r="K57" s="2"/>
    </row>
    <row r="58" spans="1:16" x14ac:dyDescent="0.2">
      <c r="A58" s="9">
        <v>0</v>
      </c>
      <c r="B58" s="9">
        <v>48</v>
      </c>
      <c r="C58" s="9">
        <v>0</v>
      </c>
      <c r="D58" s="9">
        <v>23</v>
      </c>
      <c r="E58" s="9">
        <v>30</v>
      </c>
      <c r="F58" s="9">
        <v>22.3</v>
      </c>
      <c r="G58" s="9">
        <v>2.66</v>
      </c>
      <c r="H58" s="9">
        <v>4.03</v>
      </c>
      <c r="I58" s="7" t="s">
        <v>49</v>
      </c>
      <c r="K58" s="2"/>
    </row>
    <row r="59" spans="1:16" x14ac:dyDescent="0.2">
      <c r="A59" s="9">
        <v>0</v>
      </c>
      <c r="B59" s="9">
        <v>34</v>
      </c>
      <c r="C59" s="9">
        <v>2</v>
      </c>
      <c r="D59" s="9">
        <v>14</v>
      </c>
      <c r="E59" s="9">
        <v>39</v>
      </c>
      <c r="F59" s="9">
        <v>13.2</v>
      </c>
      <c r="G59" s="9">
        <v>1.1399999999999999</v>
      </c>
      <c r="H59" s="9">
        <v>4.01</v>
      </c>
      <c r="I59" s="7" t="s">
        <v>49</v>
      </c>
      <c r="K59" s="2"/>
      <c r="L59" s="22"/>
      <c r="M59" s="22"/>
      <c r="N59" s="22"/>
      <c r="O59" s="22"/>
    </row>
    <row r="60" spans="1:16" x14ac:dyDescent="0.2">
      <c r="A60" s="9">
        <v>0</v>
      </c>
      <c r="B60" s="9">
        <v>27</v>
      </c>
      <c r="C60" s="9">
        <v>10</v>
      </c>
      <c r="D60" s="9">
        <v>6</v>
      </c>
      <c r="E60" s="9">
        <v>31</v>
      </c>
      <c r="F60" s="9">
        <v>17.3</v>
      </c>
      <c r="G60" s="9">
        <v>1.36</v>
      </c>
      <c r="H60" s="9">
        <v>4</v>
      </c>
      <c r="I60" s="7" t="s">
        <v>49</v>
      </c>
      <c r="K60" s="2"/>
      <c r="L60" s="24"/>
    </row>
    <row r="61" spans="1:16" x14ac:dyDescent="0.2">
      <c r="A61" s="9">
        <v>0</v>
      </c>
      <c r="B61" s="9">
        <v>35</v>
      </c>
      <c r="C61" s="9">
        <v>5</v>
      </c>
      <c r="D61" s="9">
        <v>5</v>
      </c>
      <c r="E61" s="9">
        <v>32</v>
      </c>
      <c r="F61" s="9">
        <v>13</v>
      </c>
      <c r="G61" s="9">
        <v>0.17</v>
      </c>
      <c r="H61" s="9">
        <v>3.99</v>
      </c>
      <c r="I61" s="7" t="s">
        <v>49</v>
      </c>
      <c r="K61" s="2"/>
    </row>
    <row r="62" spans="1:16" x14ac:dyDescent="0.2">
      <c r="A62" s="9">
        <v>0</v>
      </c>
      <c r="B62" s="9">
        <v>36</v>
      </c>
      <c r="C62" s="9">
        <v>7</v>
      </c>
      <c r="D62" s="9">
        <v>16</v>
      </c>
      <c r="E62" s="9">
        <v>43</v>
      </c>
      <c r="F62" s="9">
        <v>15.4</v>
      </c>
      <c r="G62" s="9">
        <v>2.65</v>
      </c>
      <c r="H62" s="9">
        <v>3.97</v>
      </c>
      <c r="I62" s="7" t="s">
        <v>49</v>
      </c>
      <c r="K62" s="2"/>
    </row>
    <row r="63" spans="1:16" x14ac:dyDescent="0.2">
      <c r="A63" s="9">
        <v>0</v>
      </c>
      <c r="B63" s="9">
        <v>42</v>
      </c>
      <c r="C63" s="9">
        <v>0</v>
      </c>
      <c r="D63" s="9">
        <v>9</v>
      </c>
      <c r="E63" s="9">
        <v>64</v>
      </c>
      <c r="F63" s="9">
        <v>6.6</v>
      </c>
      <c r="G63" s="9">
        <v>0.28000000000000003</v>
      </c>
      <c r="H63" s="9">
        <v>3.95</v>
      </c>
      <c r="I63" s="7" t="s">
        <v>49</v>
      </c>
    </row>
    <row r="64" spans="1:16" x14ac:dyDescent="0.2">
      <c r="A64" s="9">
        <v>0</v>
      </c>
      <c r="B64" s="9">
        <v>45</v>
      </c>
      <c r="C64" s="9">
        <v>9</v>
      </c>
      <c r="D64" s="9">
        <v>26</v>
      </c>
      <c r="E64" s="9">
        <v>69</v>
      </c>
      <c r="F64" s="9">
        <v>6.7</v>
      </c>
      <c r="G64" s="9">
        <v>0.71</v>
      </c>
      <c r="H64" s="9">
        <v>3.92</v>
      </c>
      <c r="I64" s="7" t="s">
        <v>49</v>
      </c>
      <c r="K64" s="97"/>
      <c r="L64" s="100"/>
      <c r="M64" s="100"/>
      <c r="N64" s="100"/>
      <c r="O64" s="100"/>
    </row>
    <row r="65" spans="1:15" x14ac:dyDescent="0.2">
      <c r="A65" s="9">
        <v>0</v>
      </c>
      <c r="B65" s="9">
        <v>34</v>
      </c>
      <c r="C65" s="9">
        <v>16</v>
      </c>
      <c r="D65" s="9">
        <v>3</v>
      </c>
      <c r="E65" s="9">
        <v>75</v>
      </c>
      <c r="F65" s="9">
        <v>10.4</v>
      </c>
      <c r="G65" s="9">
        <v>3.95</v>
      </c>
      <c r="H65" s="9">
        <v>3.85</v>
      </c>
      <c r="I65" s="7" t="s">
        <v>49</v>
      </c>
      <c r="K65" s="100"/>
      <c r="L65" s="100"/>
      <c r="M65" s="100"/>
      <c r="N65" s="100"/>
      <c r="O65" s="100"/>
    </row>
    <row r="66" spans="1:15" x14ac:dyDescent="0.2">
      <c r="A66" s="9">
        <v>1</v>
      </c>
      <c r="B66" s="9">
        <v>29</v>
      </c>
      <c r="C66" s="9">
        <v>1</v>
      </c>
      <c r="D66" s="9">
        <v>7</v>
      </c>
      <c r="E66" s="9">
        <v>29</v>
      </c>
      <c r="F66" s="9">
        <v>21.2</v>
      </c>
      <c r="G66" s="9">
        <v>2.33</v>
      </c>
      <c r="H66" s="9">
        <v>3.82</v>
      </c>
      <c r="I66" s="7" t="s">
        <v>49</v>
      </c>
    </row>
    <row r="67" spans="1:15" x14ac:dyDescent="0.2">
      <c r="A67" s="9">
        <v>1</v>
      </c>
      <c r="B67" s="9">
        <v>36</v>
      </c>
      <c r="C67" s="9">
        <v>13</v>
      </c>
      <c r="D67" s="9">
        <v>6</v>
      </c>
      <c r="E67" s="9">
        <v>41</v>
      </c>
      <c r="F67" s="9">
        <v>16.399999999999999</v>
      </c>
      <c r="G67" s="9">
        <v>2.92</v>
      </c>
      <c r="H67" s="9">
        <v>3.81</v>
      </c>
      <c r="I67" s="7" t="s">
        <v>49</v>
      </c>
      <c r="K67" s="97"/>
      <c r="L67" s="97"/>
      <c r="M67" s="98"/>
      <c r="N67" s="98"/>
    </row>
    <row r="68" spans="1:15" x14ac:dyDescent="0.2">
      <c r="A68" s="9">
        <v>1</v>
      </c>
      <c r="B68" s="9">
        <v>38</v>
      </c>
      <c r="C68" s="9">
        <v>2</v>
      </c>
      <c r="D68" s="9">
        <v>16</v>
      </c>
      <c r="E68" s="9">
        <v>22</v>
      </c>
      <c r="F68" s="9">
        <v>22.7</v>
      </c>
      <c r="G68" s="9">
        <v>1.21</v>
      </c>
      <c r="H68" s="9">
        <v>3.79</v>
      </c>
      <c r="I68" s="7" t="s">
        <v>49</v>
      </c>
      <c r="K68" s="97"/>
      <c r="L68" s="97"/>
      <c r="M68" s="1"/>
      <c r="N68" s="1"/>
    </row>
    <row r="69" spans="1:15" x14ac:dyDescent="0.2">
      <c r="A69" s="9">
        <v>0</v>
      </c>
      <c r="B69" s="9">
        <v>52</v>
      </c>
      <c r="C69" s="9">
        <v>16</v>
      </c>
      <c r="D69" s="9">
        <v>25</v>
      </c>
      <c r="E69" s="9">
        <v>64</v>
      </c>
      <c r="F69" s="9">
        <v>8.6</v>
      </c>
      <c r="G69" s="9">
        <v>1.87</v>
      </c>
      <c r="H69" s="9">
        <v>3.64</v>
      </c>
      <c r="I69" s="7" t="s">
        <v>49</v>
      </c>
      <c r="K69" s="97"/>
      <c r="L69" s="1"/>
      <c r="M69" s="1"/>
      <c r="N69" s="1"/>
    </row>
    <row r="70" spans="1:15" x14ac:dyDescent="0.2">
      <c r="A70" s="9">
        <v>0</v>
      </c>
      <c r="B70" s="9">
        <v>34</v>
      </c>
      <c r="C70" s="9">
        <v>14</v>
      </c>
      <c r="D70" s="9">
        <v>8</v>
      </c>
      <c r="E70" s="9">
        <v>28</v>
      </c>
      <c r="F70" s="9">
        <v>17</v>
      </c>
      <c r="G70" s="9">
        <v>1.1399999999999999</v>
      </c>
      <c r="H70" s="9">
        <v>3.62</v>
      </c>
      <c r="I70" s="7" t="s">
        <v>49</v>
      </c>
      <c r="K70" s="97"/>
      <c r="L70" s="1"/>
      <c r="M70" s="1"/>
      <c r="N70" s="1"/>
    </row>
    <row r="71" spans="1:15" x14ac:dyDescent="0.2">
      <c r="A71" s="9">
        <v>1</v>
      </c>
      <c r="B71" s="9">
        <v>28</v>
      </c>
      <c r="C71" s="9">
        <v>4</v>
      </c>
      <c r="D71" s="9">
        <v>2</v>
      </c>
      <c r="E71" s="9">
        <v>28</v>
      </c>
      <c r="F71" s="9">
        <v>14.2</v>
      </c>
      <c r="G71" s="9">
        <v>0.44</v>
      </c>
      <c r="H71" s="9">
        <v>3.54</v>
      </c>
      <c r="I71" s="7" t="s">
        <v>49</v>
      </c>
      <c r="K71" s="99"/>
      <c r="L71" s="99"/>
      <c r="M71" s="99"/>
      <c r="N71" s="99"/>
    </row>
    <row r="72" spans="1:15" x14ac:dyDescent="0.2">
      <c r="A72" s="9">
        <v>0</v>
      </c>
      <c r="B72" s="9">
        <v>34</v>
      </c>
      <c r="C72" s="9">
        <v>3</v>
      </c>
      <c r="D72" s="9">
        <v>8</v>
      </c>
      <c r="E72" s="9">
        <v>21</v>
      </c>
      <c r="F72" s="9">
        <v>23.1</v>
      </c>
      <c r="G72" s="9">
        <v>1.4</v>
      </c>
      <c r="H72" s="9">
        <v>3.45</v>
      </c>
      <c r="I72" s="7" t="s">
        <v>49</v>
      </c>
      <c r="K72" s="2"/>
      <c r="L72" s="26"/>
      <c r="M72" s="99"/>
      <c r="N72" s="99"/>
    </row>
    <row r="73" spans="1:15" x14ac:dyDescent="0.2">
      <c r="A73" s="9">
        <v>0</v>
      </c>
      <c r="B73" s="9">
        <v>48</v>
      </c>
      <c r="C73" s="9">
        <v>3</v>
      </c>
      <c r="D73" s="9">
        <v>23</v>
      </c>
      <c r="E73" s="9">
        <v>45</v>
      </c>
      <c r="F73" s="9">
        <v>9.8000000000000007</v>
      </c>
      <c r="G73" s="9">
        <v>0.97</v>
      </c>
      <c r="H73" s="9">
        <v>3.44</v>
      </c>
      <c r="I73" s="7" t="s">
        <v>49</v>
      </c>
      <c r="K73" s="2"/>
      <c r="L73" s="26"/>
      <c r="M73" s="99"/>
      <c r="N73" s="99"/>
    </row>
    <row r="74" spans="1:15" x14ac:dyDescent="0.2">
      <c r="A74" s="9">
        <v>1</v>
      </c>
      <c r="B74" s="9">
        <v>36</v>
      </c>
      <c r="C74" s="9">
        <v>9</v>
      </c>
      <c r="D74" s="9">
        <v>6</v>
      </c>
      <c r="E74" s="9">
        <v>49</v>
      </c>
      <c r="F74" s="9">
        <v>8.6</v>
      </c>
      <c r="G74" s="9">
        <v>0.82</v>
      </c>
      <c r="H74" s="9">
        <v>3.4</v>
      </c>
      <c r="I74" s="7" t="s">
        <v>49</v>
      </c>
      <c r="K74" s="2"/>
      <c r="L74" s="26"/>
      <c r="M74" s="99"/>
      <c r="N74" s="99"/>
    </row>
    <row r="75" spans="1:15" x14ac:dyDescent="0.2">
      <c r="A75" s="9">
        <v>0</v>
      </c>
      <c r="B75" s="9">
        <v>51</v>
      </c>
      <c r="C75" s="9">
        <v>19</v>
      </c>
      <c r="D75" s="9">
        <v>25</v>
      </c>
      <c r="E75" s="9">
        <v>0</v>
      </c>
      <c r="F75" s="9">
        <v>2.8</v>
      </c>
      <c r="G75" s="9">
        <v>1.07</v>
      </c>
      <c r="H75" s="9">
        <v>3.38</v>
      </c>
      <c r="I75" s="7" t="s">
        <v>49</v>
      </c>
    </row>
    <row r="76" spans="1:15" x14ac:dyDescent="0.2">
      <c r="A76" s="9">
        <v>0</v>
      </c>
      <c r="B76" s="9">
        <v>38</v>
      </c>
      <c r="C76" s="9">
        <v>6</v>
      </c>
      <c r="D76" s="9">
        <v>0</v>
      </c>
      <c r="E76" s="9">
        <v>41</v>
      </c>
      <c r="F76" s="9">
        <v>8.9</v>
      </c>
      <c r="G76" s="9">
        <v>0.27</v>
      </c>
      <c r="H76" s="9">
        <v>3.38</v>
      </c>
      <c r="I76" s="7" t="s">
        <v>49</v>
      </c>
    </row>
    <row r="77" spans="1:15" x14ac:dyDescent="0.2">
      <c r="A77" s="9">
        <v>1</v>
      </c>
      <c r="B77" s="9">
        <v>39</v>
      </c>
      <c r="C77" s="9">
        <v>2</v>
      </c>
      <c r="D77" s="9">
        <v>12</v>
      </c>
      <c r="E77" s="9">
        <v>46</v>
      </c>
      <c r="F77" s="9">
        <v>16</v>
      </c>
      <c r="G77" s="9">
        <v>4</v>
      </c>
      <c r="H77" s="9">
        <v>3.36</v>
      </c>
      <c r="I77" s="7" t="s">
        <v>49</v>
      </c>
      <c r="K77" s="97"/>
      <c r="L77" s="97"/>
      <c r="M77" s="98"/>
      <c r="N77" s="98"/>
    </row>
    <row r="78" spans="1:15" x14ac:dyDescent="0.2">
      <c r="A78" s="9">
        <v>0</v>
      </c>
      <c r="B78" s="9">
        <v>30</v>
      </c>
      <c r="C78" s="9">
        <v>4</v>
      </c>
      <c r="D78" s="9">
        <v>4</v>
      </c>
      <c r="E78" s="9">
        <v>21</v>
      </c>
      <c r="F78" s="9">
        <v>18.3</v>
      </c>
      <c r="G78" s="9">
        <v>0.49</v>
      </c>
      <c r="H78" s="9">
        <v>3.35</v>
      </c>
      <c r="I78" s="7" t="s">
        <v>49</v>
      </c>
      <c r="K78" s="97"/>
      <c r="L78" s="97"/>
      <c r="M78" s="1"/>
      <c r="N78" s="1"/>
    </row>
    <row r="79" spans="1:15" x14ac:dyDescent="0.2">
      <c r="A79" s="9">
        <v>0</v>
      </c>
      <c r="B79" s="9">
        <v>30</v>
      </c>
      <c r="C79" s="9">
        <v>8</v>
      </c>
      <c r="D79" s="9">
        <v>4</v>
      </c>
      <c r="E79" s="9">
        <v>56</v>
      </c>
      <c r="F79" s="9">
        <v>6.4</v>
      </c>
      <c r="G79" s="9">
        <v>0.33</v>
      </c>
      <c r="H79" s="9">
        <v>3.25</v>
      </c>
      <c r="I79" s="7" t="s">
        <v>49</v>
      </c>
      <c r="K79" s="97"/>
      <c r="L79" s="1"/>
      <c r="M79" s="1"/>
      <c r="N79" s="1"/>
    </row>
    <row r="80" spans="1:15" x14ac:dyDescent="0.2">
      <c r="A80" s="9">
        <v>1</v>
      </c>
      <c r="B80" s="9">
        <v>39</v>
      </c>
      <c r="C80" s="9">
        <v>2</v>
      </c>
      <c r="D80" s="9">
        <v>15</v>
      </c>
      <c r="E80" s="9">
        <v>22</v>
      </c>
      <c r="F80" s="9">
        <v>23.1</v>
      </c>
      <c r="G80" s="9">
        <v>1.92</v>
      </c>
      <c r="H80" s="9">
        <v>3.17</v>
      </c>
      <c r="I80" s="7" t="s">
        <v>49</v>
      </c>
      <c r="K80" s="97"/>
      <c r="L80" s="1"/>
      <c r="M80" s="1"/>
      <c r="N80" s="1"/>
    </row>
    <row r="81" spans="1:14" x14ac:dyDescent="0.2">
      <c r="A81" s="9">
        <v>0</v>
      </c>
      <c r="B81" s="9">
        <v>34</v>
      </c>
      <c r="C81" s="9">
        <v>18</v>
      </c>
      <c r="D81" s="9">
        <v>10</v>
      </c>
      <c r="E81" s="9">
        <v>34</v>
      </c>
      <c r="F81" s="9">
        <v>15.4</v>
      </c>
      <c r="G81" s="9">
        <v>2.1</v>
      </c>
      <c r="H81" s="9">
        <v>3.14</v>
      </c>
      <c r="I81" s="7" t="s">
        <v>49</v>
      </c>
      <c r="K81" s="99"/>
      <c r="L81" s="99"/>
      <c r="M81" s="99"/>
      <c r="N81" s="99"/>
    </row>
    <row r="82" spans="1:14" x14ac:dyDescent="0.2">
      <c r="A82" s="9">
        <v>0</v>
      </c>
      <c r="B82" s="9">
        <v>43</v>
      </c>
      <c r="C82" s="9">
        <v>16</v>
      </c>
      <c r="D82" s="9">
        <v>10</v>
      </c>
      <c r="E82" s="9">
        <v>83</v>
      </c>
      <c r="F82" s="9">
        <v>4.0999999999999996</v>
      </c>
      <c r="G82" s="9">
        <v>0.26</v>
      </c>
      <c r="H82" s="9">
        <v>3.14</v>
      </c>
      <c r="I82" s="7" t="s">
        <v>49</v>
      </c>
      <c r="K82" s="2"/>
      <c r="L82" s="26"/>
      <c r="M82" s="99"/>
      <c r="N82" s="99"/>
    </row>
    <row r="83" spans="1:14" x14ac:dyDescent="0.2">
      <c r="A83" s="9">
        <v>1</v>
      </c>
      <c r="B83" s="9">
        <v>24</v>
      </c>
      <c r="C83" s="9">
        <v>2</v>
      </c>
      <c r="D83" s="9">
        <v>0</v>
      </c>
      <c r="E83" s="9">
        <v>28</v>
      </c>
      <c r="F83" s="9">
        <v>17.3</v>
      </c>
      <c r="G83" s="9">
        <v>1.79</v>
      </c>
      <c r="H83" s="9">
        <v>3.06</v>
      </c>
      <c r="I83" s="7" t="s">
        <v>49</v>
      </c>
      <c r="K83" s="2"/>
      <c r="L83" s="26"/>
      <c r="M83" s="99"/>
      <c r="N83" s="99"/>
    </row>
    <row r="84" spans="1:14" x14ac:dyDescent="0.2">
      <c r="A84" s="9">
        <v>0</v>
      </c>
      <c r="B84" s="9">
        <v>27</v>
      </c>
      <c r="C84" s="9">
        <v>3</v>
      </c>
      <c r="D84" s="9">
        <v>4</v>
      </c>
      <c r="E84" s="9">
        <v>35</v>
      </c>
      <c r="F84" s="9">
        <v>13.3</v>
      </c>
      <c r="G84" s="9">
        <v>0.97</v>
      </c>
      <c r="H84" s="9">
        <v>3.05</v>
      </c>
      <c r="I84" s="7" t="s">
        <v>49</v>
      </c>
      <c r="K84" s="2"/>
      <c r="L84" s="26"/>
      <c r="M84" s="99"/>
      <c r="N84" s="99"/>
    </row>
    <row r="85" spans="1:14" x14ac:dyDescent="0.2">
      <c r="A85" s="9">
        <v>0</v>
      </c>
      <c r="B85" s="9">
        <v>34</v>
      </c>
      <c r="C85" s="9">
        <v>13</v>
      </c>
      <c r="D85" s="9">
        <v>11</v>
      </c>
      <c r="E85" s="9">
        <v>51</v>
      </c>
      <c r="F85" s="9">
        <v>9.6</v>
      </c>
      <c r="G85" s="9">
        <v>1.88</v>
      </c>
      <c r="H85" s="9">
        <v>3.02</v>
      </c>
      <c r="I85" s="7" t="s">
        <v>49</v>
      </c>
    </row>
    <row r="86" spans="1:14" x14ac:dyDescent="0.2">
      <c r="A86" s="9">
        <v>0</v>
      </c>
      <c r="B86" s="9">
        <v>47</v>
      </c>
      <c r="C86" s="9">
        <v>22</v>
      </c>
      <c r="D86" s="9">
        <v>19</v>
      </c>
      <c r="E86" s="9">
        <v>81</v>
      </c>
      <c r="F86" s="9">
        <v>5.5</v>
      </c>
      <c r="G86" s="9">
        <v>1.51</v>
      </c>
      <c r="H86" s="9">
        <v>2.95</v>
      </c>
      <c r="I86" s="7" t="s">
        <v>49</v>
      </c>
    </row>
    <row r="87" spans="1:14" x14ac:dyDescent="0.2">
      <c r="A87" s="9">
        <v>1</v>
      </c>
      <c r="B87" s="9">
        <v>29</v>
      </c>
      <c r="C87" s="9">
        <v>7</v>
      </c>
      <c r="D87" s="9">
        <v>5</v>
      </c>
      <c r="E87" s="9">
        <v>20</v>
      </c>
      <c r="F87" s="9">
        <v>19.8</v>
      </c>
      <c r="G87" s="9">
        <v>1.01</v>
      </c>
      <c r="H87" s="9">
        <v>2.95</v>
      </c>
      <c r="I87" s="7" t="s">
        <v>49</v>
      </c>
    </row>
    <row r="88" spans="1:14" x14ac:dyDescent="0.2">
      <c r="A88" s="9">
        <v>0</v>
      </c>
      <c r="B88" s="9">
        <v>34</v>
      </c>
      <c r="C88" s="9">
        <v>17</v>
      </c>
      <c r="D88" s="9">
        <v>3</v>
      </c>
      <c r="E88" s="9">
        <v>59</v>
      </c>
      <c r="F88" s="9">
        <v>8</v>
      </c>
      <c r="G88" s="9">
        <v>1.81</v>
      </c>
      <c r="H88" s="9">
        <v>2.91</v>
      </c>
      <c r="I88" s="7" t="s">
        <v>49</v>
      </c>
    </row>
    <row r="89" spans="1:14" x14ac:dyDescent="0.2">
      <c r="A89" s="9">
        <v>0</v>
      </c>
      <c r="B89" s="9">
        <v>39</v>
      </c>
      <c r="C89" s="9">
        <v>6</v>
      </c>
      <c r="D89" s="9">
        <v>9</v>
      </c>
      <c r="E89" s="9">
        <v>61</v>
      </c>
      <c r="F89" s="9">
        <v>5.7</v>
      </c>
      <c r="G89" s="9">
        <v>0.56000000000000005</v>
      </c>
      <c r="H89" s="9">
        <v>2.91</v>
      </c>
      <c r="I89" s="7" t="s">
        <v>49</v>
      </c>
    </row>
    <row r="90" spans="1:14" x14ac:dyDescent="0.2">
      <c r="A90" s="9">
        <v>0</v>
      </c>
      <c r="B90" s="9">
        <v>35</v>
      </c>
      <c r="C90" s="9">
        <v>18</v>
      </c>
      <c r="D90" s="9">
        <v>2</v>
      </c>
      <c r="E90" s="9">
        <v>42</v>
      </c>
      <c r="F90" s="9">
        <v>7.4</v>
      </c>
      <c r="G90" s="9">
        <v>0.21</v>
      </c>
      <c r="H90" s="9">
        <v>2.9</v>
      </c>
      <c r="I90" s="7" t="s">
        <v>49</v>
      </c>
    </row>
    <row r="91" spans="1:14" x14ac:dyDescent="0.2">
      <c r="A91" s="9">
        <v>0</v>
      </c>
      <c r="B91" s="9">
        <v>34</v>
      </c>
      <c r="C91" s="9">
        <v>7</v>
      </c>
      <c r="D91" s="9">
        <v>1</v>
      </c>
      <c r="E91" s="9">
        <v>63</v>
      </c>
      <c r="F91" s="9">
        <v>5.5</v>
      </c>
      <c r="G91" s="9">
        <v>0.56999999999999995</v>
      </c>
      <c r="H91" s="9">
        <v>2.89</v>
      </c>
      <c r="I91" s="7" t="s">
        <v>49</v>
      </c>
    </row>
    <row r="92" spans="1:14" x14ac:dyDescent="0.2">
      <c r="A92" s="9">
        <v>1</v>
      </c>
      <c r="B92" s="9">
        <v>25</v>
      </c>
      <c r="C92" s="9">
        <v>0</v>
      </c>
      <c r="D92" s="9">
        <v>2</v>
      </c>
      <c r="E92" s="9">
        <v>18</v>
      </c>
      <c r="F92" s="9">
        <v>18.899999999999999</v>
      </c>
      <c r="G92" s="9">
        <v>0.51</v>
      </c>
      <c r="H92" s="9">
        <v>2.89</v>
      </c>
      <c r="I92" s="7" t="s">
        <v>49</v>
      </c>
    </row>
    <row r="93" spans="1:14" x14ac:dyDescent="0.2">
      <c r="A93" s="9">
        <v>0</v>
      </c>
      <c r="B93" s="9">
        <v>25</v>
      </c>
      <c r="C93" s="9">
        <v>8</v>
      </c>
      <c r="D93" s="9">
        <v>4</v>
      </c>
      <c r="E93" s="9">
        <v>27</v>
      </c>
      <c r="F93" s="9">
        <v>14.4</v>
      </c>
      <c r="G93" s="9">
        <v>1.02</v>
      </c>
      <c r="H93" s="9">
        <v>2.87</v>
      </c>
      <c r="I93" s="7" t="s">
        <v>49</v>
      </c>
    </row>
    <row r="94" spans="1:14" x14ac:dyDescent="0.2">
      <c r="A94" s="9">
        <v>0</v>
      </c>
      <c r="B94" s="9">
        <v>28</v>
      </c>
      <c r="C94" s="9">
        <v>1</v>
      </c>
      <c r="D94" s="9">
        <v>3</v>
      </c>
      <c r="E94" s="9">
        <v>26</v>
      </c>
      <c r="F94" s="9">
        <v>12.4</v>
      </c>
      <c r="G94" s="9">
        <v>0.38</v>
      </c>
      <c r="H94" s="9">
        <v>2.85</v>
      </c>
      <c r="I94" s="7" t="s">
        <v>49</v>
      </c>
    </row>
    <row r="95" spans="1:14" x14ac:dyDescent="0.2">
      <c r="A95" s="9">
        <v>1</v>
      </c>
      <c r="B95" s="9">
        <v>28</v>
      </c>
      <c r="C95" s="9">
        <v>1</v>
      </c>
      <c r="D95" s="9">
        <v>8</v>
      </c>
      <c r="E95" s="9">
        <v>24</v>
      </c>
      <c r="F95" s="9">
        <v>17.100000000000001</v>
      </c>
      <c r="G95" s="9">
        <v>1.34</v>
      </c>
      <c r="H95" s="9">
        <v>2.77</v>
      </c>
      <c r="I95" s="7" t="s">
        <v>49</v>
      </c>
    </row>
    <row r="96" spans="1:14" x14ac:dyDescent="0.2">
      <c r="A96" s="9">
        <v>0</v>
      </c>
      <c r="B96" s="9">
        <v>27</v>
      </c>
      <c r="C96" s="9">
        <v>3</v>
      </c>
      <c r="D96" s="9">
        <v>5</v>
      </c>
      <c r="E96" s="9">
        <v>33</v>
      </c>
      <c r="F96" s="9">
        <v>13.2</v>
      </c>
      <c r="G96" s="9">
        <v>1.63</v>
      </c>
      <c r="H96" s="9">
        <v>2.72</v>
      </c>
      <c r="I96" s="7" t="s">
        <v>49</v>
      </c>
    </row>
    <row r="97" spans="1:9" x14ac:dyDescent="0.2">
      <c r="A97" s="9">
        <v>0</v>
      </c>
      <c r="B97" s="9">
        <v>28</v>
      </c>
      <c r="C97" s="9">
        <v>4</v>
      </c>
      <c r="D97" s="9">
        <v>1</v>
      </c>
      <c r="E97" s="9">
        <v>16</v>
      </c>
      <c r="F97" s="9">
        <v>23.8</v>
      </c>
      <c r="G97" s="9">
        <v>1.0900000000000001</v>
      </c>
      <c r="H97" s="9">
        <v>2.72</v>
      </c>
      <c r="I97" s="7" t="s">
        <v>49</v>
      </c>
    </row>
    <row r="98" spans="1:9" x14ac:dyDescent="0.2">
      <c r="A98" s="9">
        <v>0</v>
      </c>
      <c r="B98" s="9">
        <v>33</v>
      </c>
      <c r="C98" s="9">
        <v>13</v>
      </c>
      <c r="D98" s="9">
        <v>2</v>
      </c>
      <c r="E98" s="9">
        <v>40</v>
      </c>
      <c r="F98" s="9">
        <v>7.2</v>
      </c>
      <c r="G98" s="9">
        <v>0.18</v>
      </c>
      <c r="H98" s="9">
        <v>2.7</v>
      </c>
      <c r="I98" s="7" t="s">
        <v>49</v>
      </c>
    </row>
    <row r="99" spans="1:9" x14ac:dyDescent="0.2">
      <c r="A99" s="9">
        <v>0</v>
      </c>
      <c r="B99" s="9">
        <v>29</v>
      </c>
      <c r="C99" s="9">
        <v>6</v>
      </c>
      <c r="D99" s="9">
        <v>7</v>
      </c>
      <c r="E99" s="9">
        <v>21</v>
      </c>
      <c r="F99" s="9">
        <v>18.100000000000001</v>
      </c>
      <c r="G99" s="9">
        <v>1.1100000000000001</v>
      </c>
      <c r="H99" s="9">
        <v>2.69</v>
      </c>
      <c r="I99" s="7" t="s">
        <v>49</v>
      </c>
    </row>
    <row r="100" spans="1:9" x14ac:dyDescent="0.2">
      <c r="A100" s="9">
        <v>0</v>
      </c>
      <c r="B100" s="9">
        <v>32</v>
      </c>
      <c r="C100" s="9">
        <v>14</v>
      </c>
      <c r="D100" s="9">
        <v>7</v>
      </c>
      <c r="E100" s="9">
        <v>73</v>
      </c>
      <c r="F100" s="9">
        <v>8.8000000000000007</v>
      </c>
      <c r="G100" s="9">
        <v>3.75</v>
      </c>
      <c r="H100" s="9">
        <v>2.67</v>
      </c>
      <c r="I100" s="7" t="s">
        <v>49</v>
      </c>
    </row>
    <row r="101" spans="1:9" x14ac:dyDescent="0.2">
      <c r="A101" s="9">
        <v>1</v>
      </c>
      <c r="B101" s="9">
        <v>33</v>
      </c>
      <c r="C101" s="9">
        <v>9</v>
      </c>
      <c r="D101" s="9">
        <v>4</v>
      </c>
      <c r="E101" s="9">
        <v>29</v>
      </c>
      <c r="F101" s="9">
        <v>13.8</v>
      </c>
      <c r="G101" s="9">
        <v>1.35</v>
      </c>
      <c r="H101" s="9">
        <v>2.65</v>
      </c>
      <c r="I101" s="7" t="s">
        <v>49</v>
      </c>
    </row>
    <row r="102" spans="1:9" x14ac:dyDescent="0.2">
      <c r="A102" s="9">
        <v>1</v>
      </c>
      <c r="B102" s="9">
        <v>55</v>
      </c>
      <c r="C102" s="9">
        <v>3</v>
      </c>
      <c r="D102" s="9">
        <v>11</v>
      </c>
      <c r="E102" s="9">
        <v>40</v>
      </c>
      <c r="F102" s="9">
        <v>8</v>
      </c>
      <c r="G102" s="9">
        <v>0.56000000000000005</v>
      </c>
      <c r="H102" s="9">
        <v>2.64</v>
      </c>
      <c r="I102" s="7" t="s">
        <v>49</v>
      </c>
    </row>
    <row r="103" spans="1:9" x14ac:dyDescent="0.2">
      <c r="A103" s="9">
        <v>1</v>
      </c>
      <c r="B103" s="9">
        <v>21</v>
      </c>
      <c r="C103" s="9">
        <v>1</v>
      </c>
      <c r="D103" s="9">
        <v>2</v>
      </c>
      <c r="E103" s="9">
        <v>16</v>
      </c>
      <c r="F103" s="9">
        <v>18</v>
      </c>
      <c r="G103" s="9">
        <v>0.24</v>
      </c>
      <c r="H103" s="9">
        <v>2.64</v>
      </c>
      <c r="I103" s="7" t="s">
        <v>49</v>
      </c>
    </row>
    <row r="104" spans="1:9" x14ac:dyDescent="0.2">
      <c r="A104" s="9">
        <v>1</v>
      </c>
      <c r="B104" s="9">
        <v>54</v>
      </c>
      <c r="C104" s="9">
        <v>9</v>
      </c>
      <c r="D104" s="9">
        <v>2</v>
      </c>
      <c r="E104" s="9">
        <v>28</v>
      </c>
      <c r="F104" s="9">
        <v>14.8</v>
      </c>
      <c r="G104" s="9">
        <v>1.56</v>
      </c>
      <c r="H104" s="9">
        <v>2.59</v>
      </c>
      <c r="I104" s="7" t="s">
        <v>49</v>
      </c>
    </row>
    <row r="105" spans="1:9" x14ac:dyDescent="0.2">
      <c r="A105" s="9">
        <v>1</v>
      </c>
      <c r="B105" s="9">
        <v>34</v>
      </c>
      <c r="C105" s="9">
        <v>2</v>
      </c>
      <c r="D105" s="9">
        <v>11</v>
      </c>
      <c r="E105" s="9">
        <v>25</v>
      </c>
      <c r="F105" s="9">
        <v>12.6</v>
      </c>
      <c r="G105" s="9">
        <v>0.56999999999999995</v>
      </c>
      <c r="H105" s="9">
        <v>2.58</v>
      </c>
      <c r="I105" s="7" t="s">
        <v>49</v>
      </c>
    </row>
    <row r="106" spans="1:9" x14ac:dyDescent="0.2">
      <c r="A106" s="9">
        <v>0</v>
      </c>
      <c r="B106" s="9">
        <v>36</v>
      </c>
      <c r="C106" s="9">
        <v>0</v>
      </c>
      <c r="D106" s="9">
        <v>17</v>
      </c>
      <c r="E106" s="9">
        <v>30</v>
      </c>
      <c r="F106" s="9">
        <v>9.6999999999999993</v>
      </c>
      <c r="G106" s="9">
        <v>0.33</v>
      </c>
      <c r="H106" s="9">
        <v>2.58</v>
      </c>
      <c r="I106" s="7" t="s">
        <v>49</v>
      </c>
    </row>
    <row r="107" spans="1:9" x14ac:dyDescent="0.2">
      <c r="A107" s="9">
        <v>0</v>
      </c>
      <c r="B107" s="9">
        <v>47</v>
      </c>
      <c r="C107" s="9">
        <v>4</v>
      </c>
      <c r="D107" s="9">
        <v>2</v>
      </c>
      <c r="E107" s="9">
        <v>26</v>
      </c>
      <c r="F107" s="9">
        <v>10.4</v>
      </c>
      <c r="G107" s="9">
        <v>0.12</v>
      </c>
      <c r="H107" s="9">
        <v>2.58</v>
      </c>
      <c r="I107" s="7" t="s">
        <v>49</v>
      </c>
    </row>
    <row r="108" spans="1:9" x14ac:dyDescent="0.2">
      <c r="A108" s="9">
        <v>0</v>
      </c>
      <c r="B108" s="9">
        <v>42</v>
      </c>
      <c r="C108" s="9">
        <v>6</v>
      </c>
      <c r="D108" s="9">
        <v>9</v>
      </c>
      <c r="E108" s="9">
        <v>31</v>
      </c>
      <c r="F108" s="9">
        <v>11.6</v>
      </c>
      <c r="G108" s="9">
        <v>1.02</v>
      </c>
      <c r="H108" s="9">
        <v>2.57</v>
      </c>
      <c r="I108" s="7" t="s">
        <v>49</v>
      </c>
    </row>
    <row r="109" spans="1:9" x14ac:dyDescent="0.2">
      <c r="A109" s="9">
        <v>0</v>
      </c>
      <c r="B109" s="9">
        <v>34</v>
      </c>
      <c r="C109" s="9">
        <v>13</v>
      </c>
      <c r="D109" s="9">
        <v>8</v>
      </c>
      <c r="E109" s="9">
        <v>56</v>
      </c>
      <c r="F109" s="9">
        <v>6.1</v>
      </c>
      <c r="G109" s="9">
        <v>0.86</v>
      </c>
      <c r="H109" s="9">
        <v>2.5499999999999998</v>
      </c>
      <c r="I109" s="7" t="s">
        <v>49</v>
      </c>
    </row>
    <row r="110" spans="1:9" x14ac:dyDescent="0.2">
      <c r="A110" s="9">
        <v>1</v>
      </c>
      <c r="B110" s="9">
        <v>30</v>
      </c>
      <c r="C110" s="9">
        <v>0</v>
      </c>
      <c r="D110" s="9">
        <v>8</v>
      </c>
      <c r="E110" s="9">
        <v>19</v>
      </c>
      <c r="F110" s="9">
        <v>16.600000000000001</v>
      </c>
      <c r="G110" s="9">
        <v>0.62</v>
      </c>
      <c r="H110" s="9">
        <v>2.5299999999999998</v>
      </c>
      <c r="I110" s="7" t="s">
        <v>49</v>
      </c>
    </row>
    <row r="111" spans="1:9" x14ac:dyDescent="0.2">
      <c r="A111" s="9">
        <v>0</v>
      </c>
      <c r="B111" s="9">
        <v>27</v>
      </c>
      <c r="C111" s="9">
        <v>5</v>
      </c>
      <c r="D111" s="9">
        <v>1</v>
      </c>
      <c r="E111" s="9">
        <v>75</v>
      </c>
      <c r="F111" s="9">
        <v>6.3</v>
      </c>
      <c r="G111" s="9">
        <v>2.21</v>
      </c>
      <c r="H111" s="9">
        <v>2.52</v>
      </c>
      <c r="I111" s="7" t="s">
        <v>49</v>
      </c>
    </row>
    <row r="112" spans="1:9" x14ac:dyDescent="0.2">
      <c r="A112" s="9">
        <v>1</v>
      </c>
      <c r="B112" s="9">
        <v>43</v>
      </c>
      <c r="C112" s="9">
        <v>13</v>
      </c>
      <c r="D112" s="9">
        <v>23</v>
      </c>
      <c r="E112" s="9">
        <v>76</v>
      </c>
      <c r="F112" s="9">
        <v>6.1</v>
      </c>
      <c r="G112" s="9">
        <v>2.15</v>
      </c>
      <c r="H112" s="9">
        <v>2.48</v>
      </c>
      <c r="I112" s="7" t="s">
        <v>49</v>
      </c>
    </row>
    <row r="113" spans="1:9" x14ac:dyDescent="0.2">
      <c r="A113" s="9">
        <v>0</v>
      </c>
      <c r="B113" s="9">
        <v>52</v>
      </c>
      <c r="C113" s="9">
        <v>24</v>
      </c>
      <c r="D113" s="9">
        <v>14</v>
      </c>
      <c r="E113" s="9">
        <v>64</v>
      </c>
      <c r="F113" s="9">
        <v>10</v>
      </c>
      <c r="G113" s="9">
        <v>3.93</v>
      </c>
      <c r="H113" s="9">
        <v>2.4700000000000002</v>
      </c>
      <c r="I113" s="7" t="s">
        <v>49</v>
      </c>
    </row>
    <row r="114" spans="1:9" x14ac:dyDescent="0.2">
      <c r="A114" s="9">
        <v>0</v>
      </c>
      <c r="B114" s="9">
        <v>39</v>
      </c>
      <c r="C114" s="9">
        <v>11</v>
      </c>
      <c r="D114" s="9">
        <v>17</v>
      </c>
      <c r="E114" s="9">
        <v>39</v>
      </c>
      <c r="F114" s="9">
        <v>12.9</v>
      </c>
      <c r="G114" s="9">
        <v>2.56</v>
      </c>
      <c r="H114" s="9">
        <v>2.4700000000000002</v>
      </c>
      <c r="I114" s="7" t="s">
        <v>49</v>
      </c>
    </row>
    <row r="115" spans="1:9" x14ac:dyDescent="0.2">
      <c r="A115" s="9">
        <v>0</v>
      </c>
      <c r="B115" s="9">
        <v>32</v>
      </c>
      <c r="C115" s="9">
        <v>10</v>
      </c>
      <c r="D115" s="9">
        <v>13</v>
      </c>
      <c r="E115" s="9">
        <v>32</v>
      </c>
      <c r="F115" s="9">
        <v>11.3</v>
      </c>
      <c r="G115" s="9">
        <v>1.17</v>
      </c>
      <c r="H115" s="9">
        <v>2.4500000000000002</v>
      </c>
      <c r="I115" s="7" t="s">
        <v>49</v>
      </c>
    </row>
    <row r="116" spans="1:9" x14ac:dyDescent="0.2">
      <c r="A116" s="9">
        <v>0</v>
      </c>
      <c r="B116" s="9">
        <v>26</v>
      </c>
      <c r="C116" s="9">
        <v>4</v>
      </c>
      <c r="D116" s="9">
        <v>3</v>
      </c>
      <c r="E116" s="9">
        <v>28</v>
      </c>
      <c r="F116" s="9">
        <v>9.5</v>
      </c>
      <c r="G116" s="9">
        <v>0.23</v>
      </c>
      <c r="H116" s="9">
        <v>2.4300000000000002</v>
      </c>
      <c r="I116" s="7" t="s">
        <v>49</v>
      </c>
    </row>
    <row r="117" spans="1:9" x14ac:dyDescent="0.2">
      <c r="A117" s="9">
        <v>0</v>
      </c>
      <c r="B117" s="9">
        <v>39</v>
      </c>
      <c r="C117" s="9">
        <v>20</v>
      </c>
      <c r="D117" s="9">
        <v>12</v>
      </c>
      <c r="E117" s="9">
        <v>39</v>
      </c>
      <c r="F117" s="9">
        <v>8.1999999999999993</v>
      </c>
      <c r="G117" s="9">
        <v>0.77</v>
      </c>
      <c r="H117" s="9">
        <v>2.42</v>
      </c>
      <c r="I117" s="7" t="s">
        <v>49</v>
      </c>
    </row>
    <row r="118" spans="1:9" x14ac:dyDescent="0.2">
      <c r="A118" s="9">
        <v>0</v>
      </c>
      <c r="B118" s="9">
        <v>36</v>
      </c>
      <c r="C118" s="9">
        <v>4</v>
      </c>
      <c r="D118" s="9">
        <v>15</v>
      </c>
      <c r="E118" s="9">
        <v>17</v>
      </c>
      <c r="F118" s="9">
        <v>17.3</v>
      </c>
      <c r="G118" s="9">
        <v>0.52</v>
      </c>
      <c r="H118" s="9">
        <v>2.42</v>
      </c>
      <c r="I118" s="7" t="s">
        <v>49</v>
      </c>
    </row>
    <row r="119" spans="1:9" x14ac:dyDescent="0.2">
      <c r="A119" s="9">
        <v>1</v>
      </c>
      <c r="B119" s="9">
        <v>35</v>
      </c>
      <c r="C119" s="9">
        <v>1</v>
      </c>
      <c r="D119" s="9">
        <v>8</v>
      </c>
      <c r="E119" s="9">
        <v>24</v>
      </c>
      <c r="F119" s="9">
        <v>12.5</v>
      </c>
      <c r="G119" s="9">
        <v>0.59</v>
      </c>
      <c r="H119" s="9">
        <v>2.41</v>
      </c>
      <c r="I119" s="7" t="s">
        <v>49</v>
      </c>
    </row>
    <row r="120" spans="1:9" x14ac:dyDescent="0.2">
      <c r="A120" s="9">
        <v>0</v>
      </c>
      <c r="B120" s="9">
        <v>29</v>
      </c>
      <c r="C120" s="9">
        <v>9</v>
      </c>
      <c r="D120" s="9">
        <v>0</v>
      </c>
      <c r="E120" s="9">
        <v>25</v>
      </c>
      <c r="F120" s="9">
        <v>13.9</v>
      </c>
      <c r="G120" s="9">
        <v>1.07</v>
      </c>
      <c r="H120" s="9">
        <v>2.4</v>
      </c>
      <c r="I120" s="7" t="s">
        <v>49</v>
      </c>
    </row>
    <row r="121" spans="1:9" x14ac:dyDescent="0.2">
      <c r="A121" s="9">
        <v>0</v>
      </c>
      <c r="B121" s="9">
        <v>42</v>
      </c>
      <c r="C121" s="9">
        <v>21</v>
      </c>
      <c r="D121" s="9">
        <v>11</v>
      </c>
      <c r="E121" s="13">
        <v>117.54291069294821</v>
      </c>
      <c r="F121" s="9">
        <v>3.1</v>
      </c>
      <c r="G121" s="9">
        <v>1.37</v>
      </c>
      <c r="H121" s="9">
        <v>2.39</v>
      </c>
      <c r="I121" s="7" t="s">
        <v>49</v>
      </c>
    </row>
    <row r="122" spans="1:9" x14ac:dyDescent="0.2">
      <c r="A122" s="9">
        <v>0</v>
      </c>
      <c r="B122" s="9">
        <v>22</v>
      </c>
      <c r="C122" s="9">
        <v>1</v>
      </c>
      <c r="D122" s="9">
        <v>3</v>
      </c>
      <c r="E122" s="9">
        <v>17</v>
      </c>
      <c r="F122" s="9">
        <v>18.600000000000001</v>
      </c>
      <c r="G122" s="9">
        <v>0.81</v>
      </c>
      <c r="H122" s="9">
        <v>2.36</v>
      </c>
      <c r="I122" s="7" t="s">
        <v>49</v>
      </c>
    </row>
    <row r="123" spans="1:9" x14ac:dyDescent="0.2">
      <c r="A123" s="9">
        <v>0</v>
      </c>
      <c r="B123" s="9">
        <v>31</v>
      </c>
      <c r="C123" s="9">
        <v>5</v>
      </c>
      <c r="D123" s="9">
        <v>3</v>
      </c>
      <c r="E123" s="9">
        <v>25</v>
      </c>
      <c r="F123" s="9">
        <v>14.1</v>
      </c>
      <c r="G123" s="9">
        <v>1.18</v>
      </c>
      <c r="H123" s="9">
        <v>2.35</v>
      </c>
      <c r="I123" s="7" t="s">
        <v>49</v>
      </c>
    </row>
    <row r="124" spans="1:9" x14ac:dyDescent="0.2">
      <c r="A124" s="9">
        <v>0</v>
      </c>
      <c r="B124" s="9">
        <v>23</v>
      </c>
      <c r="C124" s="9">
        <v>7</v>
      </c>
      <c r="D124" s="9">
        <v>3</v>
      </c>
      <c r="E124" s="9">
        <v>22</v>
      </c>
      <c r="F124" s="9">
        <v>14.4</v>
      </c>
      <c r="G124" s="9">
        <v>0.85</v>
      </c>
      <c r="H124" s="9">
        <v>2.3199999999999998</v>
      </c>
      <c r="I124" s="7" t="s">
        <v>49</v>
      </c>
    </row>
    <row r="125" spans="1:9" x14ac:dyDescent="0.2">
      <c r="A125" s="9">
        <v>1</v>
      </c>
      <c r="B125" s="9">
        <v>36</v>
      </c>
      <c r="C125" s="9">
        <v>10</v>
      </c>
      <c r="D125" s="9">
        <v>0</v>
      </c>
      <c r="E125" s="9">
        <v>28</v>
      </c>
      <c r="F125" s="9">
        <v>11.2</v>
      </c>
      <c r="G125" s="9">
        <v>0.82</v>
      </c>
      <c r="H125" s="9">
        <v>2.3199999999999998</v>
      </c>
      <c r="I125" s="7" t="s">
        <v>49</v>
      </c>
    </row>
    <row r="126" spans="1:9" x14ac:dyDescent="0.2">
      <c r="A126" s="9">
        <v>0</v>
      </c>
      <c r="B126" s="9">
        <v>29</v>
      </c>
      <c r="C126" s="9">
        <v>1</v>
      </c>
      <c r="D126" s="9">
        <v>8</v>
      </c>
      <c r="E126" s="9">
        <v>31</v>
      </c>
      <c r="F126" s="9">
        <v>8</v>
      </c>
      <c r="G126" s="9">
        <v>0.16</v>
      </c>
      <c r="H126" s="9">
        <v>2.3199999999999998</v>
      </c>
      <c r="I126" s="7" t="s">
        <v>49</v>
      </c>
    </row>
    <row r="127" spans="1:9" x14ac:dyDescent="0.2">
      <c r="A127" s="9">
        <v>0</v>
      </c>
      <c r="B127" s="9">
        <v>40</v>
      </c>
      <c r="C127" s="9">
        <v>8</v>
      </c>
      <c r="D127" s="9">
        <v>19</v>
      </c>
      <c r="E127" s="9">
        <v>57</v>
      </c>
      <c r="F127" s="9">
        <v>5.6</v>
      </c>
      <c r="G127" s="9">
        <v>0.88</v>
      </c>
      <c r="H127" s="9">
        <v>2.31</v>
      </c>
      <c r="I127" s="7" t="s">
        <v>49</v>
      </c>
    </row>
    <row r="128" spans="1:9" x14ac:dyDescent="0.2">
      <c r="A128" s="9">
        <v>0</v>
      </c>
      <c r="B128" s="9">
        <v>32</v>
      </c>
      <c r="C128" s="9">
        <v>10</v>
      </c>
      <c r="D128" s="9">
        <v>11</v>
      </c>
      <c r="E128" s="9">
        <v>42</v>
      </c>
      <c r="F128" s="9">
        <v>9.1</v>
      </c>
      <c r="G128" s="9">
        <v>1.54</v>
      </c>
      <c r="H128" s="9">
        <v>2.2799999999999998</v>
      </c>
      <c r="I128" s="7" t="s">
        <v>49</v>
      </c>
    </row>
    <row r="129" spans="1:9" x14ac:dyDescent="0.2">
      <c r="A129" s="9">
        <v>0</v>
      </c>
      <c r="B129" s="9">
        <v>36</v>
      </c>
      <c r="C129" s="9">
        <v>18</v>
      </c>
      <c r="D129" s="9">
        <v>9</v>
      </c>
      <c r="E129" s="9">
        <v>67</v>
      </c>
      <c r="F129" s="9">
        <v>11.2</v>
      </c>
      <c r="G129" s="9">
        <v>5.25</v>
      </c>
      <c r="H129" s="9">
        <v>2.2599999999999998</v>
      </c>
      <c r="I129" s="7" t="s">
        <v>49</v>
      </c>
    </row>
    <row r="130" spans="1:9" x14ac:dyDescent="0.2">
      <c r="A130" s="9">
        <v>0</v>
      </c>
      <c r="B130" s="9">
        <v>46</v>
      </c>
      <c r="C130" s="9">
        <v>14</v>
      </c>
      <c r="D130" s="9">
        <v>25</v>
      </c>
      <c r="E130" s="9">
        <v>35</v>
      </c>
      <c r="F130" s="9">
        <v>10.199999999999999</v>
      </c>
      <c r="G130" s="9">
        <v>1.35</v>
      </c>
      <c r="H130" s="9">
        <v>2.2200000000000002</v>
      </c>
      <c r="I130" s="7" t="s">
        <v>49</v>
      </c>
    </row>
    <row r="131" spans="1:9" x14ac:dyDescent="0.2">
      <c r="A131" s="9">
        <v>0</v>
      </c>
      <c r="B131" s="9">
        <v>22</v>
      </c>
      <c r="C131" s="9">
        <v>4</v>
      </c>
      <c r="D131" s="9">
        <v>3</v>
      </c>
      <c r="E131" s="9">
        <v>14</v>
      </c>
      <c r="F131" s="9">
        <v>17.5</v>
      </c>
      <c r="G131" s="9">
        <v>0.23</v>
      </c>
      <c r="H131" s="9">
        <v>2.2200000000000002</v>
      </c>
      <c r="I131" s="7" t="s">
        <v>49</v>
      </c>
    </row>
    <row r="132" spans="1:9" x14ac:dyDescent="0.2">
      <c r="A132" s="9">
        <v>0</v>
      </c>
      <c r="B132" s="9">
        <v>45</v>
      </c>
      <c r="C132" s="9">
        <v>12</v>
      </c>
      <c r="D132" s="9">
        <v>19</v>
      </c>
      <c r="E132" s="9">
        <v>37</v>
      </c>
      <c r="F132" s="9">
        <v>9.5</v>
      </c>
      <c r="G132" s="9">
        <v>1.34</v>
      </c>
      <c r="H132" s="9">
        <v>2.17</v>
      </c>
      <c r="I132" s="7" t="s">
        <v>49</v>
      </c>
    </row>
    <row r="133" spans="1:9" x14ac:dyDescent="0.2">
      <c r="A133" s="9">
        <v>0</v>
      </c>
      <c r="B133" s="9">
        <v>40</v>
      </c>
      <c r="C133" s="9">
        <v>15</v>
      </c>
      <c r="D133" s="9">
        <v>14</v>
      </c>
      <c r="E133" s="9">
        <v>55</v>
      </c>
      <c r="F133" s="9">
        <v>5.5</v>
      </c>
      <c r="G133" s="9">
        <v>0.86</v>
      </c>
      <c r="H133" s="9">
        <v>2.17</v>
      </c>
      <c r="I133" s="7" t="s">
        <v>49</v>
      </c>
    </row>
    <row r="134" spans="1:9" x14ac:dyDescent="0.2">
      <c r="A134" s="9">
        <v>0</v>
      </c>
      <c r="B134" s="9">
        <v>41</v>
      </c>
      <c r="C134" s="9">
        <v>5</v>
      </c>
      <c r="D134" s="9">
        <v>5</v>
      </c>
      <c r="E134" s="9">
        <v>25</v>
      </c>
      <c r="F134" s="9">
        <v>10.199999999999999</v>
      </c>
      <c r="G134" s="9">
        <v>0.39</v>
      </c>
      <c r="H134" s="9">
        <v>2.16</v>
      </c>
      <c r="I134" s="7" t="s">
        <v>49</v>
      </c>
    </row>
    <row r="135" spans="1:9" x14ac:dyDescent="0.2">
      <c r="A135" s="9">
        <v>0</v>
      </c>
      <c r="B135" s="9">
        <v>36</v>
      </c>
      <c r="C135" s="9">
        <v>0</v>
      </c>
      <c r="D135" s="9">
        <v>13</v>
      </c>
      <c r="E135" s="9">
        <v>25</v>
      </c>
      <c r="F135" s="9">
        <v>19.7</v>
      </c>
      <c r="G135" s="9">
        <v>2.78</v>
      </c>
      <c r="H135" s="9">
        <v>2.15</v>
      </c>
      <c r="I135" s="7" t="s">
        <v>49</v>
      </c>
    </row>
    <row r="136" spans="1:9" x14ac:dyDescent="0.2">
      <c r="A136" s="9">
        <v>0</v>
      </c>
      <c r="B136" s="9">
        <v>31</v>
      </c>
      <c r="C136" s="9">
        <v>1</v>
      </c>
      <c r="D136" s="9">
        <v>6</v>
      </c>
      <c r="E136" s="9">
        <v>29</v>
      </c>
      <c r="F136" s="9">
        <v>11.1</v>
      </c>
      <c r="G136" s="9">
        <v>1.07</v>
      </c>
      <c r="H136" s="9">
        <v>2.15</v>
      </c>
      <c r="I136" s="7" t="s">
        <v>49</v>
      </c>
    </row>
    <row r="137" spans="1:9" x14ac:dyDescent="0.2">
      <c r="A137" s="9">
        <v>1</v>
      </c>
      <c r="B137" s="9">
        <v>21</v>
      </c>
      <c r="C137" s="9">
        <v>0</v>
      </c>
      <c r="D137" s="9">
        <v>2</v>
      </c>
      <c r="E137" s="9">
        <v>21</v>
      </c>
      <c r="F137" s="9">
        <v>12.5</v>
      </c>
      <c r="G137" s="9">
        <v>0.49</v>
      </c>
      <c r="H137" s="9">
        <v>2.14</v>
      </c>
      <c r="I137" s="7" t="s">
        <v>49</v>
      </c>
    </row>
    <row r="138" spans="1:9" x14ac:dyDescent="0.2">
      <c r="A138" s="9">
        <v>0</v>
      </c>
      <c r="B138" s="9">
        <v>30</v>
      </c>
      <c r="C138" s="9">
        <v>10</v>
      </c>
      <c r="D138" s="9">
        <v>4</v>
      </c>
      <c r="E138" s="9">
        <v>22</v>
      </c>
      <c r="F138" s="9">
        <v>16.100000000000001</v>
      </c>
      <c r="G138" s="9">
        <v>1.41</v>
      </c>
      <c r="H138" s="9">
        <v>2.13</v>
      </c>
      <c r="I138" s="7" t="s">
        <v>49</v>
      </c>
    </row>
    <row r="139" spans="1:9" x14ac:dyDescent="0.2">
      <c r="A139" s="9">
        <v>0</v>
      </c>
      <c r="B139" s="9">
        <v>31</v>
      </c>
      <c r="C139" s="9">
        <v>11</v>
      </c>
      <c r="D139" s="9">
        <v>8</v>
      </c>
      <c r="E139" s="9">
        <v>25</v>
      </c>
      <c r="F139" s="9">
        <v>9.1</v>
      </c>
      <c r="G139" s="9">
        <v>0.14000000000000001</v>
      </c>
      <c r="H139" s="9">
        <v>2.13</v>
      </c>
      <c r="I139" s="7" t="s">
        <v>49</v>
      </c>
    </row>
    <row r="140" spans="1:9" x14ac:dyDescent="0.2">
      <c r="A140" s="9">
        <v>1</v>
      </c>
      <c r="B140" s="9">
        <v>22</v>
      </c>
      <c r="C140" s="9">
        <v>4</v>
      </c>
      <c r="D140" s="9">
        <v>2</v>
      </c>
      <c r="E140" s="9">
        <v>24</v>
      </c>
      <c r="F140" s="9">
        <v>15.6</v>
      </c>
      <c r="G140" s="9">
        <v>1.64</v>
      </c>
      <c r="H140" s="9">
        <v>2.11</v>
      </c>
      <c r="I140" s="7" t="s">
        <v>49</v>
      </c>
    </row>
    <row r="141" spans="1:9" x14ac:dyDescent="0.2">
      <c r="A141" s="9">
        <v>0</v>
      </c>
      <c r="B141" s="9">
        <v>40</v>
      </c>
      <c r="C141" s="9">
        <v>3</v>
      </c>
      <c r="D141" s="9">
        <v>2</v>
      </c>
      <c r="E141" s="9">
        <v>28</v>
      </c>
      <c r="F141" s="9">
        <v>9.5</v>
      </c>
      <c r="G141" s="9">
        <v>0.55000000000000004</v>
      </c>
      <c r="H141" s="9">
        <v>2.11</v>
      </c>
      <c r="I141" s="7" t="s">
        <v>49</v>
      </c>
    </row>
    <row r="142" spans="1:9" x14ac:dyDescent="0.2">
      <c r="A142" s="9">
        <v>0</v>
      </c>
      <c r="B142" s="9">
        <v>30</v>
      </c>
      <c r="C142" s="9">
        <v>11</v>
      </c>
      <c r="D142" s="9">
        <v>1</v>
      </c>
      <c r="E142" s="9">
        <v>33</v>
      </c>
      <c r="F142" s="9">
        <v>8.4</v>
      </c>
      <c r="G142" s="9">
        <v>0.68</v>
      </c>
      <c r="H142" s="9">
        <v>2.09</v>
      </c>
      <c r="I142" s="7" t="s">
        <v>49</v>
      </c>
    </row>
    <row r="143" spans="1:9" x14ac:dyDescent="0.2">
      <c r="A143" s="9">
        <v>1</v>
      </c>
      <c r="B143" s="9">
        <v>24</v>
      </c>
      <c r="C143" s="9">
        <v>0</v>
      </c>
      <c r="D143" s="9">
        <v>2</v>
      </c>
      <c r="E143" s="9">
        <v>15</v>
      </c>
      <c r="F143" s="9">
        <v>16.100000000000001</v>
      </c>
      <c r="G143" s="9">
        <v>0.32</v>
      </c>
      <c r="H143" s="9">
        <v>2.09</v>
      </c>
      <c r="I143" s="7" t="s">
        <v>49</v>
      </c>
    </row>
    <row r="144" spans="1:9" x14ac:dyDescent="0.2">
      <c r="A144" s="9">
        <v>0</v>
      </c>
      <c r="B144" s="9">
        <v>31</v>
      </c>
      <c r="C144" s="9">
        <v>15</v>
      </c>
      <c r="D144" s="9">
        <v>2</v>
      </c>
      <c r="E144" s="9">
        <v>60</v>
      </c>
      <c r="F144" s="9">
        <v>4.8</v>
      </c>
      <c r="G144" s="9">
        <v>0.8</v>
      </c>
      <c r="H144" s="9">
        <v>2.08</v>
      </c>
      <c r="I144" s="7" t="s">
        <v>49</v>
      </c>
    </row>
    <row r="145" spans="1:9" x14ac:dyDescent="0.2">
      <c r="A145" s="9">
        <v>0</v>
      </c>
      <c r="B145" s="9">
        <v>34</v>
      </c>
      <c r="C145" s="9">
        <v>8</v>
      </c>
      <c r="D145" s="9">
        <v>6</v>
      </c>
      <c r="E145" s="9">
        <v>78</v>
      </c>
      <c r="F145" s="9">
        <v>5.4</v>
      </c>
      <c r="G145" s="9">
        <v>2.16</v>
      </c>
      <c r="H145" s="9">
        <v>2.06</v>
      </c>
      <c r="I145" s="7" t="s">
        <v>49</v>
      </c>
    </row>
    <row r="146" spans="1:9" x14ac:dyDescent="0.2">
      <c r="A146" s="9">
        <v>0</v>
      </c>
      <c r="B146" s="9">
        <v>29</v>
      </c>
      <c r="C146" s="9">
        <v>1</v>
      </c>
      <c r="D146" s="9">
        <v>7</v>
      </c>
      <c r="E146" s="9">
        <v>25</v>
      </c>
      <c r="F146" s="9">
        <v>10.4</v>
      </c>
      <c r="G146" s="9">
        <v>0.56999999999999995</v>
      </c>
      <c r="H146" s="9">
        <v>2.0299999999999998</v>
      </c>
      <c r="I146" s="7" t="s">
        <v>49</v>
      </c>
    </row>
    <row r="147" spans="1:9" x14ac:dyDescent="0.2">
      <c r="A147" s="9">
        <v>0</v>
      </c>
      <c r="B147" s="9">
        <v>28</v>
      </c>
      <c r="C147" s="9">
        <v>7</v>
      </c>
      <c r="D147" s="9">
        <v>2</v>
      </c>
      <c r="E147" s="9">
        <v>34</v>
      </c>
      <c r="F147" s="9">
        <v>7</v>
      </c>
      <c r="G147" s="9">
        <v>0.36</v>
      </c>
      <c r="H147" s="9">
        <v>2.02</v>
      </c>
      <c r="I147" s="7" t="s">
        <v>49</v>
      </c>
    </row>
    <row r="148" spans="1:9" x14ac:dyDescent="0.2">
      <c r="A148" s="9">
        <v>0</v>
      </c>
      <c r="B148" s="9">
        <v>25</v>
      </c>
      <c r="C148" s="9">
        <v>5</v>
      </c>
      <c r="D148" s="9">
        <v>5</v>
      </c>
      <c r="E148" s="9">
        <v>22</v>
      </c>
      <c r="F148" s="9">
        <v>10.9</v>
      </c>
      <c r="G148" s="9">
        <v>0.4</v>
      </c>
      <c r="H148" s="9">
        <v>2</v>
      </c>
      <c r="I148" s="7" t="s">
        <v>49</v>
      </c>
    </row>
    <row r="149" spans="1:9" x14ac:dyDescent="0.2">
      <c r="A149" s="9">
        <v>0</v>
      </c>
      <c r="B149" s="9">
        <v>46</v>
      </c>
      <c r="C149" s="9">
        <v>1</v>
      </c>
      <c r="D149" s="9">
        <v>12</v>
      </c>
      <c r="E149" s="9">
        <v>20</v>
      </c>
      <c r="F149" s="9">
        <v>14</v>
      </c>
      <c r="G149" s="9">
        <v>0.81</v>
      </c>
      <c r="H149" s="9">
        <v>1.99</v>
      </c>
      <c r="I149" s="7" t="s">
        <v>49</v>
      </c>
    </row>
    <row r="150" spans="1:9" x14ac:dyDescent="0.2">
      <c r="A150" s="9">
        <v>0</v>
      </c>
      <c r="B150" s="9">
        <v>37</v>
      </c>
      <c r="C150" s="9">
        <v>11</v>
      </c>
      <c r="D150" s="9">
        <v>4</v>
      </c>
      <c r="E150" s="9">
        <v>75</v>
      </c>
      <c r="F150" s="9">
        <v>3.5</v>
      </c>
      <c r="G150" s="9">
        <v>0.63</v>
      </c>
      <c r="H150" s="9">
        <v>1.99</v>
      </c>
      <c r="I150" s="7" t="s">
        <v>49</v>
      </c>
    </row>
    <row r="151" spans="1:9" x14ac:dyDescent="0.2">
      <c r="A151" s="9">
        <v>1</v>
      </c>
      <c r="B151" s="9">
        <v>41</v>
      </c>
      <c r="C151" s="9">
        <v>2</v>
      </c>
      <c r="D151" s="9">
        <v>0</v>
      </c>
      <c r="E151" s="9">
        <v>15</v>
      </c>
      <c r="F151" s="9">
        <v>26.3</v>
      </c>
      <c r="G151" s="9">
        <v>1.96</v>
      </c>
      <c r="H151" s="9">
        <v>1.98</v>
      </c>
      <c r="I151" s="7" t="s">
        <v>49</v>
      </c>
    </row>
    <row r="152" spans="1:9" x14ac:dyDescent="0.2">
      <c r="A152" s="9">
        <v>0</v>
      </c>
      <c r="B152" s="9">
        <v>37</v>
      </c>
      <c r="C152" s="9">
        <v>4</v>
      </c>
      <c r="D152" s="9">
        <v>0</v>
      </c>
      <c r="E152" s="9">
        <v>23</v>
      </c>
      <c r="F152" s="9">
        <v>12.4</v>
      </c>
      <c r="G152" s="9">
        <v>0.87</v>
      </c>
      <c r="H152" s="9">
        <v>1.98</v>
      </c>
      <c r="I152" s="7" t="s">
        <v>49</v>
      </c>
    </row>
    <row r="153" spans="1:9" x14ac:dyDescent="0.2">
      <c r="A153" s="9">
        <v>0</v>
      </c>
      <c r="B153" s="9">
        <v>28</v>
      </c>
      <c r="C153" s="9">
        <v>6</v>
      </c>
      <c r="D153" s="9">
        <v>7</v>
      </c>
      <c r="E153" s="9">
        <v>38</v>
      </c>
      <c r="F153" s="9">
        <v>7.2</v>
      </c>
      <c r="G153" s="9">
        <v>0.77</v>
      </c>
      <c r="H153" s="9">
        <v>1.96</v>
      </c>
      <c r="I153" s="7" t="s">
        <v>49</v>
      </c>
    </row>
    <row r="154" spans="1:9" x14ac:dyDescent="0.2">
      <c r="A154" s="9">
        <v>0</v>
      </c>
      <c r="B154" s="9">
        <v>28</v>
      </c>
      <c r="C154" s="9">
        <v>5</v>
      </c>
      <c r="D154" s="9">
        <v>2</v>
      </c>
      <c r="E154" s="9">
        <v>37</v>
      </c>
      <c r="F154" s="9">
        <v>8.3000000000000007</v>
      </c>
      <c r="G154" s="9">
        <v>1.1200000000000001</v>
      </c>
      <c r="H154" s="9">
        <v>1.95</v>
      </c>
      <c r="I154" s="7" t="s">
        <v>49</v>
      </c>
    </row>
    <row r="155" spans="1:9" x14ac:dyDescent="0.2">
      <c r="A155" s="9">
        <v>0</v>
      </c>
      <c r="B155" s="9">
        <v>39</v>
      </c>
      <c r="C155" s="9">
        <v>22</v>
      </c>
      <c r="D155" s="9">
        <v>9</v>
      </c>
      <c r="E155" s="9">
        <v>113</v>
      </c>
      <c r="F155" s="9">
        <v>2.6</v>
      </c>
      <c r="G155" s="9">
        <v>0.99</v>
      </c>
      <c r="H155" s="9">
        <v>1.95</v>
      </c>
      <c r="I155" s="7" t="s">
        <v>49</v>
      </c>
    </row>
    <row r="156" spans="1:9" x14ac:dyDescent="0.2">
      <c r="A156" s="9">
        <v>0</v>
      </c>
      <c r="B156" s="9">
        <v>39</v>
      </c>
      <c r="C156" s="9">
        <v>4</v>
      </c>
      <c r="D156" s="9">
        <v>15</v>
      </c>
      <c r="E156" s="9">
        <v>33</v>
      </c>
      <c r="F156" s="9">
        <v>7</v>
      </c>
      <c r="G156" s="9">
        <v>0.4</v>
      </c>
      <c r="H156" s="9">
        <v>1.91</v>
      </c>
      <c r="I156" s="7" t="s">
        <v>49</v>
      </c>
    </row>
    <row r="157" spans="1:9" x14ac:dyDescent="0.2">
      <c r="A157" s="9">
        <v>0</v>
      </c>
      <c r="B157" s="9">
        <v>41</v>
      </c>
      <c r="C157" s="9">
        <v>2</v>
      </c>
      <c r="D157" s="9">
        <v>22</v>
      </c>
      <c r="E157" s="9">
        <v>30</v>
      </c>
      <c r="F157" s="9">
        <v>6.7</v>
      </c>
      <c r="G157" s="9">
        <v>0.11</v>
      </c>
      <c r="H157" s="9">
        <v>1.9</v>
      </c>
      <c r="I157" s="7" t="s">
        <v>49</v>
      </c>
    </row>
    <row r="158" spans="1:9" x14ac:dyDescent="0.2">
      <c r="A158" s="9">
        <v>0</v>
      </c>
      <c r="B158" s="9">
        <v>45</v>
      </c>
      <c r="C158" s="9">
        <v>10</v>
      </c>
      <c r="D158" s="9">
        <v>14</v>
      </c>
      <c r="E158" s="9">
        <v>52</v>
      </c>
      <c r="F158" s="9">
        <v>5.4</v>
      </c>
      <c r="G158" s="9">
        <v>0.93</v>
      </c>
      <c r="H158" s="9">
        <v>1.88</v>
      </c>
      <c r="I158" s="7" t="s">
        <v>49</v>
      </c>
    </row>
    <row r="159" spans="1:9" x14ac:dyDescent="0.2">
      <c r="A159" s="9">
        <v>0</v>
      </c>
      <c r="B159" s="9">
        <v>28</v>
      </c>
      <c r="C159" s="9">
        <v>6</v>
      </c>
      <c r="D159" s="9">
        <v>9</v>
      </c>
      <c r="E159" s="9">
        <v>22</v>
      </c>
      <c r="F159" s="9">
        <v>11.5</v>
      </c>
      <c r="G159" s="9">
        <v>0.65</v>
      </c>
      <c r="H159" s="9">
        <v>1.88</v>
      </c>
      <c r="I159" s="7" t="s">
        <v>49</v>
      </c>
    </row>
    <row r="160" spans="1:9" x14ac:dyDescent="0.2">
      <c r="A160" s="9">
        <v>0</v>
      </c>
      <c r="B160" s="9">
        <v>21</v>
      </c>
      <c r="C160" s="9">
        <v>5</v>
      </c>
      <c r="D160" s="9">
        <v>1</v>
      </c>
      <c r="E160" s="9">
        <v>25</v>
      </c>
      <c r="F160" s="9">
        <v>9</v>
      </c>
      <c r="G160" s="9">
        <v>0.37</v>
      </c>
      <c r="H160" s="9">
        <v>1.88</v>
      </c>
      <c r="I160" s="7" t="s">
        <v>49</v>
      </c>
    </row>
    <row r="161" spans="1:9" x14ac:dyDescent="0.2">
      <c r="A161" s="9">
        <v>0</v>
      </c>
      <c r="B161" s="9">
        <v>50</v>
      </c>
      <c r="C161" s="9">
        <v>1</v>
      </c>
      <c r="D161" s="9">
        <v>26</v>
      </c>
      <c r="E161" s="9">
        <v>26</v>
      </c>
      <c r="F161" s="9">
        <v>14.3</v>
      </c>
      <c r="G161" s="9">
        <v>1.85</v>
      </c>
      <c r="H161" s="9">
        <v>1.87</v>
      </c>
      <c r="I161" s="7" t="s">
        <v>49</v>
      </c>
    </row>
    <row r="162" spans="1:9" x14ac:dyDescent="0.2">
      <c r="A162" s="9">
        <v>1</v>
      </c>
      <c r="B162" s="9">
        <v>31</v>
      </c>
      <c r="C162" s="9">
        <v>2</v>
      </c>
      <c r="D162" s="9">
        <v>2</v>
      </c>
      <c r="E162" s="9">
        <v>22</v>
      </c>
      <c r="F162" s="9">
        <v>16.399999999999999</v>
      </c>
      <c r="G162" s="9">
        <v>1.74</v>
      </c>
      <c r="H162" s="9">
        <v>1.87</v>
      </c>
      <c r="I162" s="7" t="s">
        <v>49</v>
      </c>
    </row>
    <row r="163" spans="1:9" x14ac:dyDescent="0.2">
      <c r="A163" s="9">
        <v>1</v>
      </c>
      <c r="B163" s="9">
        <v>27</v>
      </c>
      <c r="C163" s="9">
        <v>4</v>
      </c>
      <c r="D163" s="9">
        <v>3</v>
      </c>
      <c r="E163" s="9">
        <v>22</v>
      </c>
      <c r="F163" s="9">
        <v>13.2</v>
      </c>
      <c r="G163" s="9">
        <v>1.0900000000000001</v>
      </c>
      <c r="H163" s="9">
        <v>1.82</v>
      </c>
      <c r="I163" s="7" t="s">
        <v>49</v>
      </c>
    </row>
    <row r="164" spans="1:9" x14ac:dyDescent="0.2">
      <c r="A164" s="9">
        <v>0</v>
      </c>
      <c r="B164" s="9">
        <v>47</v>
      </c>
      <c r="C164" s="9">
        <v>17</v>
      </c>
      <c r="D164" s="9">
        <v>21</v>
      </c>
      <c r="E164" s="9">
        <v>43</v>
      </c>
      <c r="F164" s="9">
        <v>5.6</v>
      </c>
      <c r="G164" s="9">
        <v>0.59</v>
      </c>
      <c r="H164" s="9">
        <v>1.82</v>
      </c>
      <c r="I164" s="7" t="s">
        <v>49</v>
      </c>
    </row>
    <row r="165" spans="1:9" x14ac:dyDescent="0.2">
      <c r="A165" s="9">
        <v>0</v>
      </c>
      <c r="B165" s="9">
        <v>46</v>
      </c>
      <c r="C165" s="9">
        <v>6</v>
      </c>
      <c r="D165" s="9">
        <v>19</v>
      </c>
      <c r="E165" s="9">
        <v>31</v>
      </c>
      <c r="F165" s="9">
        <v>12.2</v>
      </c>
      <c r="G165" s="9">
        <v>1.99</v>
      </c>
      <c r="H165" s="9">
        <v>1.8</v>
      </c>
      <c r="I165" s="7" t="s">
        <v>49</v>
      </c>
    </row>
    <row r="166" spans="1:9" x14ac:dyDescent="0.2">
      <c r="A166" s="9">
        <v>0</v>
      </c>
      <c r="B166" s="9">
        <v>31</v>
      </c>
      <c r="C166" s="9">
        <v>8</v>
      </c>
      <c r="D166" s="9">
        <v>4</v>
      </c>
      <c r="E166" s="9">
        <v>44</v>
      </c>
      <c r="F166" s="9">
        <v>8</v>
      </c>
      <c r="G166" s="9">
        <v>1.72</v>
      </c>
      <c r="H166" s="9">
        <v>1.8</v>
      </c>
      <c r="I166" s="7" t="s">
        <v>49</v>
      </c>
    </row>
    <row r="167" spans="1:9" x14ac:dyDescent="0.2">
      <c r="A167" s="9">
        <v>1</v>
      </c>
      <c r="B167" s="9">
        <v>29</v>
      </c>
      <c r="C167" s="9">
        <v>0</v>
      </c>
      <c r="D167" s="9">
        <v>8</v>
      </c>
      <c r="E167" s="9">
        <v>22</v>
      </c>
      <c r="F167" s="9">
        <v>12.9</v>
      </c>
      <c r="G167" s="9">
        <v>1.04</v>
      </c>
      <c r="H167" s="9">
        <v>1.8</v>
      </c>
      <c r="I167" s="7" t="s">
        <v>49</v>
      </c>
    </row>
    <row r="168" spans="1:9" x14ac:dyDescent="0.2">
      <c r="A168" s="9">
        <v>0</v>
      </c>
      <c r="B168" s="9">
        <v>27</v>
      </c>
      <c r="C168" s="9">
        <v>6</v>
      </c>
      <c r="D168" s="9">
        <v>4</v>
      </c>
      <c r="E168" s="9">
        <v>26</v>
      </c>
      <c r="F168" s="9">
        <v>10.4</v>
      </c>
      <c r="G168" s="9">
        <v>0.93</v>
      </c>
      <c r="H168" s="9">
        <v>1.77</v>
      </c>
      <c r="I168" s="7" t="s">
        <v>49</v>
      </c>
    </row>
    <row r="169" spans="1:9" x14ac:dyDescent="0.2">
      <c r="A169" s="9">
        <v>0</v>
      </c>
      <c r="B169" s="9">
        <v>27</v>
      </c>
      <c r="C169" s="9">
        <v>8</v>
      </c>
      <c r="D169" s="9">
        <v>7</v>
      </c>
      <c r="E169" s="9">
        <v>18</v>
      </c>
      <c r="F169" s="9">
        <v>11.9</v>
      </c>
      <c r="G169" s="9">
        <v>0.4</v>
      </c>
      <c r="H169" s="9">
        <v>1.74</v>
      </c>
      <c r="I169" s="7" t="s">
        <v>49</v>
      </c>
    </row>
    <row r="170" spans="1:9" x14ac:dyDescent="0.2">
      <c r="A170" s="9">
        <v>0</v>
      </c>
      <c r="B170" s="9">
        <v>30</v>
      </c>
      <c r="C170" s="9">
        <v>0</v>
      </c>
      <c r="D170" s="9">
        <v>11</v>
      </c>
      <c r="E170" s="9">
        <v>17</v>
      </c>
      <c r="F170" s="9">
        <v>12</v>
      </c>
      <c r="G170" s="9">
        <v>0.3</v>
      </c>
      <c r="H170" s="9">
        <v>1.74</v>
      </c>
      <c r="I170" s="7" t="s">
        <v>49</v>
      </c>
    </row>
    <row r="171" spans="1:9" x14ac:dyDescent="0.2">
      <c r="A171" s="9">
        <v>1</v>
      </c>
      <c r="B171" s="9">
        <v>46</v>
      </c>
      <c r="C171" s="9">
        <v>1</v>
      </c>
      <c r="D171" s="9">
        <v>15</v>
      </c>
      <c r="E171" s="9">
        <v>21</v>
      </c>
      <c r="F171" s="9">
        <v>14.8</v>
      </c>
      <c r="G171" s="9">
        <v>1.38</v>
      </c>
      <c r="H171" s="9">
        <v>1.73</v>
      </c>
      <c r="I171" s="7" t="s">
        <v>49</v>
      </c>
    </row>
    <row r="172" spans="1:9" x14ac:dyDescent="0.2">
      <c r="A172" s="9">
        <v>0</v>
      </c>
      <c r="B172" s="9">
        <v>27</v>
      </c>
      <c r="C172" s="9">
        <v>7</v>
      </c>
      <c r="D172" s="9">
        <v>4</v>
      </c>
      <c r="E172" s="9">
        <v>26</v>
      </c>
      <c r="F172" s="9">
        <v>9.1</v>
      </c>
      <c r="G172" s="9">
        <v>0.64</v>
      </c>
      <c r="H172" s="9">
        <v>1.72</v>
      </c>
      <c r="I172" s="7" t="s">
        <v>49</v>
      </c>
    </row>
    <row r="173" spans="1:9" x14ac:dyDescent="0.2">
      <c r="A173" s="9">
        <v>0</v>
      </c>
      <c r="B173" s="9">
        <v>23</v>
      </c>
      <c r="C173" s="9">
        <v>7</v>
      </c>
      <c r="D173" s="9">
        <v>2</v>
      </c>
      <c r="E173" s="9">
        <v>31</v>
      </c>
      <c r="F173" s="9">
        <v>6.6</v>
      </c>
      <c r="G173" s="9">
        <v>0.34</v>
      </c>
      <c r="H173" s="9">
        <v>1.71</v>
      </c>
      <c r="I173" s="7" t="s">
        <v>49</v>
      </c>
    </row>
    <row r="174" spans="1:9" x14ac:dyDescent="0.2">
      <c r="A174" s="9">
        <v>1</v>
      </c>
      <c r="B174" s="9">
        <v>26</v>
      </c>
      <c r="C174" s="9">
        <v>2</v>
      </c>
      <c r="D174" s="9">
        <v>6</v>
      </c>
      <c r="E174" s="9">
        <v>24</v>
      </c>
      <c r="F174" s="9">
        <v>13.6</v>
      </c>
      <c r="G174" s="9">
        <v>1.58</v>
      </c>
      <c r="H174" s="9">
        <v>1.69</v>
      </c>
      <c r="I174" s="7" t="s">
        <v>49</v>
      </c>
    </row>
    <row r="175" spans="1:9" x14ac:dyDescent="0.2">
      <c r="A175" s="9">
        <v>1</v>
      </c>
      <c r="B175" s="9">
        <v>27</v>
      </c>
      <c r="C175" s="9">
        <v>1</v>
      </c>
      <c r="D175" s="9">
        <v>0</v>
      </c>
      <c r="E175" s="9">
        <v>20</v>
      </c>
      <c r="F175" s="9">
        <v>10.3</v>
      </c>
      <c r="G175" s="9">
        <v>0.38</v>
      </c>
      <c r="H175" s="9">
        <v>1.68</v>
      </c>
      <c r="I175" s="7" t="s">
        <v>49</v>
      </c>
    </row>
    <row r="176" spans="1:9" x14ac:dyDescent="0.2">
      <c r="A176" s="9">
        <v>0</v>
      </c>
      <c r="B176" s="9">
        <v>32</v>
      </c>
      <c r="C176" s="9">
        <v>11</v>
      </c>
      <c r="D176" s="9">
        <v>2</v>
      </c>
      <c r="E176" s="9">
        <v>53</v>
      </c>
      <c r="F176" s="9">
        <v>3.3</v>
      </c>
      <c r="G176" s="9">
        <v>0.09</v>
      </c>
      <c r="H176" s="9">
        <v>1.66</v>
      </c>
      <c r="I176" s="7" t="s">
        <v>49</v>
      </c>
    </row>
    <row r="177" spans="1:9" x14ac:dyDescent="0.2">
      <c r="A177" s="9">
        <v>1</v>
      </c>
      <c r="B177" s="9">
        <v>29</v>
      </c>
      <c r="C177" s="9">
        <v>13</v>
      </c>
      <c r="D177" s="9">
        <v>1</v>
      </c>
      <c r="E177" s="9">
        <v>42</v>
      </c>
      <c r="F177" s="9">
        <v>7.4</v>
      </c>
      <c r="G177" s="9">
        <v>1.46</v>
      </c>
      <c r="H177" s="9">
        <v>1.65</v>
      </c>
      <c r="I177" s="7" t="s">
        <v>49</v>
      </c>
    </row>
    <row r="178" spans="1:9" x14ac:dyDescent="0.2">
      <c r="A178" s="9">
        <v>0</v>
      </c>
      <c r="B178" s="9">
        <v>36</v>
      </c>
      <c r="C178" s="9">
        <v>17</v>
      </c>
      <c r="D178" s="9">
        <v>6</v>
      </c>
      <c r="E178" s="9">
        <v>54</v>
      </c>
      <c r="F178" s="9">
        <v>4.4000000000000004</v>
      </c>
      <c r="G178" s="9">
        <v>0.73</v>
      </c>
      <c r="H178" s="9">
        <v>1.65</v>
      </c>
      <c r="I178" s="7" t="s">
        <v>49</v>
      </c>
    </row>
    <row r="179" spans="1:9" x14ac:dyDescent="0.2">
      <c r="A179" s="9">
        <v>0</v>
      </c>
      <c r="B179" s="9">
        <v>34</v>
      </c>
      <c r="C179" s="9">
        <v>5</v>
      </c>
      <c r="D179" s="9">
        <v>3</v>
      </c>
      <c r="E179" s="9">
        <v>33</v>
      </c>
      <c r="F179" s="9">
        <v>7.3</v>
      </c>
      <c r="G179" s="9">
        <v>0.78</v>
      </c>
      <c r="H179" s="9">
        <v>1.63</v>
      </c>
      <c r="I179" s="7" t="s">
        <v>49</v>
      </c>
    </row>
    <row r="180" spans="1:9" x14ac:dyDescent="0.2">
      <c r="A180" s="9">
        <v>0</v>
      </c>
      <c r="B180" s="9">
        <v>35</v>
      </c>
      <c r="C180" s="9">
        <v>9</v>
      </c>
      <c r="D180" s="9">
        <v>16</v>
      </c>
      <c r="E180" s="9">
        <v>30</v>
      </c>
      <c r="F180" s="9">
        <v>7.6</v>
      </c>
      <c r="G180" s="9">
        <v>0.65</v>
      </c>
      <c r="H180" s="9">
        <v>1.63</v>
      </c>
      <c r="I180" s="7" t="s">
        <v>49</v>
      </c>
    </row>
    <row r="181" spans="1:9" x14ac:dyDescent="0.2">
      <c r="A181" s="9">
        <v>1</v>
      </c>
      <c r="B181" s="9">
        <v>23</v>
      </c>
      <c r="C181" s="9">
        <v>0</v>
      </c>
      <c r="D181" s="9">
        <v>2</v>
      </c>
      <c r="E181" s="9">
        <v>21</v>
      </c>
      <c r="F181" s="9">
        <v>11.4</v>
      </c>
      <c r="G181" s="9">
        <v>0.78</v>
      </c>
      <c r="H181" s="9">
        <v>1.62</v>
      </c>
      <c r="I181" s="7" t="s">
        <v>49</v>
      </c>
    </row>
    <row r="182" spans="1:9" x14ac:dyDescent="0.2">
      <c r="A182" s="9">
        <v>0</v>
      </c>
      <c r="B182" s="9">
        <v>29</v>
      </c>
      <c r="C182" s="9">
        <v>7</v>
      </c>
      <c r="D182" s="9">
        <v>9</v>
      </c>
      <c r="E182" s="9">
        <v>22</v>
      </c>
      <c r="F182" s="9">
        <v>9.6999999999999993</v>
      </c>
      <c r="G182" s="9">
        <v>0.55000000000000004</v>
      </c>
      <c r="H182" s="9">
        <v>1.58</v>
      </c>
      <c r="I182" s="7" t="s">
        <v>49</v>
      </c>
    </row>
    <row r="183" spans="1:9" x14ac:dyDescent="0.2">
      <c r="A183" s="9">
        <v>0</v>
      </c>
      <c r="B183" s="9">
        <v>24</v>
      </c>
      <c r="C183" s="9">
        <v>1</v>
      </c>
      <c r="D183" s="9">
        <v>2</v>
      </c>
      <c r="E183" s="9">
        <v>42</v>
      </c>
      <c r="F183" s="9">
        <v>5.7</v>
      </c>
      <c r="G183" s="9">
        <v>0.84</v>
      </c>
      <c r="H183" s="9">
        <v>1.56</v>
      </c>
      <c r="I183" s="7" t="s">
        <v>49</v>
      </c>
    </row>
    <row r="184" spans="1:9" x14ac:dyDescent="0.2">
      <c r="A184" s="9">
        <v>1</v>
      </c>
      <c r="B184" s="9">
        <v>38</v>
      </c>
      <c r="C184" s="9">
        <v>4</v>
      </c>
      <c r="D184" s="9">
        <v>6</v>
      </c>
      <c r="E184" s="9">
        <v>31</v>
      </c>
      <c r="F184" s="9">
        <v>9.3000000000000007</v>
      </c>
      <c r="G184" s="9">
        <v>1.33</v>
      </c>
      <c r="H184" s="9">
        <v>1.55</v>
      </c>
      <c r="I184" s="7" t="s">
        <v>49</v>
      </c>
    </row>
    <row r="185" spans="1:9" x14ac:dyDescent="0.2">
      <c r="A185" s="9">
        <v>1</v>
      </c>
      <c r="B185" s="9">
        <v>24</v>
      </c>
      <c r="C185" s="9">
        <v>0</v>
      </c>
      <c r="D185" s="9">
        <v>2</v>
      </c>
      <c r="E185" s="9">
        <v>16</v>
      </c>
      <c r="F185" s="9">
        <v>16</v>
      </c>
      <c r="G185" s="9">
        <v>1.01</v>
      </c>
      <c r="H185" s="9">
        <v>1.55</v>
      </c>
      <c r="I185" s="7" t="s">
        <v>49</v>
      </c>
    </row>
    <row r="186" spans="1:9" x14ac:dyDescent="0.2">
      <c r="A186" s="9">
        <v>0</v>
      </c>
      <c r="B186" s="9">
        <v>26</v>
      </c>
      <c r="C186" s="9">
        <v>6</v>
      </c>
      <c r="D186" s="9">
        <v>0</v>
      </c>
      <c r="E186" s="9">
        <v>22</v>
      </c>
      <c r="F186" s="9">
        <v>10.3</v>
      </c>
      <c r="G186" s="9">
        <v>0.72</v>
      </c>
      <c r="H186" s="9">
        <v>1.55</v>
      </c>
      <c r="I186" s="7" t="s">
        <v>49</v>
      </c>
    </row>
    <row r="187" spans="1:9" x14ac:dyDescent="0.2">
      <c r="A187" s="9">
        <v>0</v>
      </c>
      <c r="B187" s="9">
        <v>45</v>
      </c>
      <c r="C187" s="9">
        <v>23</v>
      </c>
      <c r="D187" s="9">
        <v>5</v>
      </c>
      <c r="E187" s="9">
        <v>50</v>
      </c>
      <c r="F187" s="9">
        <v>4.2</v>
      </c>
      <c r="G187" s="9">
        <v>0.56000000000000005</v>
      </c>
      <c r="H187" s="9">
        <v>1.54</v>
      </c>
      <c r="I187" s="7" t="s">
        <v>49</v>
      </c>
    </row>
    <row r="188" spans="1:9" x14ac:dyDescent="0.2">
      <c r="A188" s="9">
        <v>0</v>
      </c>
      <c r="B188" s="9">
        <v>37</v>
      </c>
      <c r="C188" s="9">
        <v>13</v>
      </c>
      <c r="D188" s="9">
        <v>5</v>
      </c>
      <c r="E188" s="9">
        <v>24</v>
      </c>
      <c r="F188" s="9">
        <v>8.9</v>
      </c>
      <c r="G188" s="9">
        <v>0.6</v>
      </c>
      <c r="H188" s="9">
        <v>1.53</v>
      </c>
      <c r="I188" s="7" t="s">
        <v>49</v>
      </c>
    </row>
    <row r="189" spans="1:9" x14ac:dyDescent="0.2">
      <c r="A189" s="9">
        <v>0</v>
      </c>
      <c r="B189" s="9">
        <v>39</v>
      </c>
      <c r="C189" s="9">
        <v>9</v>
      </c>
      <c r="D189" s="9">
        <v>6</v>
      </c>
      <c r="E189" s="9">
        <v>35</v>
      </c>
      <c r="F189" s="9">
        <v>5</v>
      </c>
      <c r="G189" s="9">
        <v>0.23</v>
      </c>
      <c r="H189" s="9">
        <v>1.52</v>
      </c>
      <c r="I189" s="7" t="s">
        <v>49</v>
      </c>
    </row>
    <row r="190" spans="1:9" x14ac:dyDescent="0.2">
      <c r="A190" s="9">
        <v>0</v>
      </c>
      <c r="B190" s="9">
        <v>33</v>
      </c>
      <c r="C190" s="9">
        <v>12</v>
      </c>
      <c r="D190" s="9">
        <v>11</v>
      </c>
      <c r="E190" s="9">
        <v>32</v>
      </c>
      <c r="F190" s="9">
        <v>11.3</v>
      </c>
      <c r="G190" s="9">
        <v>2.1</v>
      </c>
      <c r="H190" s="9">
        <v>1.51</v>
      </c>
      <c r="I190" s="7" t="s">
        <v>49</v>
      </c>
    </row>
    <row r="191" spans="1:9" x14ac:dyDescent="0.2">
      <c r="A191" s="9">
        <v>0</v>
      </c>
      <c r="B191" s="9">
        <v>45</v>
      </c>
      <c r="C191" s="9">
        <v>16</v>
      </c>
      <c r="D191" s="9">
        <v>21</v>
      </c>
      <c r="E191" s="9">
        <v>80</v>
      </c>
      <c r="F191" s="9">
        <v>3</v>
      </c>
      <c r="G191" s="9">
        <v>0.91</v>
      </c>
      <c r="H191" s="9">
        <v>1.49</v>
      </c>
      <c r="I191" s="7" t="s">
        <v>49</v>
      </c>
    </row>
    <row r="192" spans="1:9" x14ac:dyDescent="0.2">
      <c r="A192" s="9">
        <v>0</v>
      </c>
      <c r="B192" s="9">
        <v>49</v>
      </c>
      <c r="C192" s="9">
        <v>11</v>
      </c>
      <c r="D192" s="9">
        <v>5</v>
      </c>
      <c r="E192" s="9">
        <v>39</v>
      </c>
      <c r="F192" s="9">
        <v>10.1</v>
      </c>
      <c r="G192" s="9">
        <v>2.46</v>
      </c>
      <c r="H192" s="9">
        <v>1.48</v>
      </c>
      <c r="I192" s="7" t="s">
        <v>49</v>
      </c>
    </row>
    <row r="193" spans="1:9" x14ac:dyDescent="0.2">
      <c r="A193" s="9">
        <v>0</v>
      </c>
      <c r="B193" s="9">
        <v>41</v>
      </c>
      <c r="C193" s="9">
        <v>4</v>
      </c>
      <c r="D193" s="9">
        <v>19</v>
      </c>
      <c r="E193" s="9">
        <v>25</v>
      </c>
      <c r="F193" s="9">
        <v>10.1</v>
      </c>
      <c r="G193" s="9">
        <v>1.06</v>
      </c>
      <c r="H193" s="9">
        <v>1.46</v>
      </c>
      <c r="I193" s="7" t="s">
        <v>49</v>
      </c>
    </row>
    <row r="194" spans="1:9" x14ac:dyDescent="0.2">
      <c r="A194" s="9">
        <v>0</v>
      </c>
      <c r="B194" s="9">
        <v>46</v>
      </c>
      <c r="C194" s="9">
        <v>22</v>
      </c>
      <c r="D194" s="9">
        <v>4</v>
      </c>
      <c r="E194" s="9">
        <v>99</v>
      </c>
      <c r="F194" s="9">
        <v>2.2999999999999998</v>
      </c>
      <c r="G194" s="9">
        <v>0.83</v>
      </c>
      <c r="H194" s="9">
        <v>1.45</v>
      </c>
      <c r="I194" s="7" t="s">
        <v>49</v>
      </c>
    </row>
    <row r="195" spans="1:9" x14ac:dyDescent="0.2">
      <c r="A195" s="9">
        <v>0</v>
      </c>
      <c r="B195" s="9">
        <v>45</v>
      </c>
      <c r="C195" s="9">
        <v>2</v>
      </c>
      <c r="D195" s="9">
        <v>5</v>
      </c>
      <c r="E195" s="9">
        <v>39</v>
      </c>
      <c r="F195" s="9">
        <v>4.9000000000000004</v>
      </c>
      <c r="G195" s="9">
        <v>0.46</v>
      </c>
      <c r="H195" s="9">
        <v>1.45</v>
      </c>
      <c r="I195" s="7" t="s">
        <v>49</v>
      </c>
    </row>
    <row r="196" spans="1:9" x14ac:dyDescent="0.2">
      <c r="A196" s="9">
        <v>1</v>
      </c>
      <c r="B196" s="9">
        <v>35</v>
      </c>
      <c r="C196" s="9">
        <v>5</v>
      </c>
      <c r="D196" s="9">
        <v>3</v>
      </c>
      <c r="E196" s="9">
        <v>37</v>
      </c>
      <c r="F196" s="9">
        <v>5.4</v>
      </c>
      <c r="G196" s="9">
        <v>0.57999999999999996</v>
      </c>
      <c r="H196" s="9">
        <v>1.42</v>
      </c>
      <c r="I196" s="7" t="s">
        <v>49</v>
      </c>
    </row>
    <row r="197" spans="1:9" x14ac:dyDescent="0.2">
      <c r="A197" s="9">
        <v>0</v>
      </c>
      <c r="B197" s="9">
        <v>45</v>
      </c>
      <c r="C197" s="9">
        <v>21</v>
      </c>
      <c r="D197" s="9">
        <v>26</v>
      </c>
      <c r="E197" s="13">
        <v>117.54291069294821</v>
      </c>
      <c r="F197" s="9">
        <v>3</v>
      </c>
      <c r="G197" s="9">
        <v>2.56</v>
      </c>
      <c r="H197" s="9">
        <v>1.4</v>
      </c>
      <c r="I197" s="7" t="s">
        <v>49</v>
      </c>
    </row>
    <row r="198" spans="1:9" x14ac:dyDescent="0.2">
      <c r="A198" s="9">
        <v>0</v>
      </c>
      <c r="B198" s="9">
        <v>42</v>
      </c>
      <c r="C198" s="9">
        <v>13</v>
      </c>
      <c r="D198" s="9">
        <v>0</v>
      </c>
      <c r="E198" s="9">
        <v>82</v>
      </c>
      <c r="F198" s="9">
        <v>3.3</v>
      </c>
      <c r="G198" s="9">
        <v>1.32</v>
      </c>
      <c r="H198" s="9">
        <v>1.39</v>
      </c>
      <c r="I198" s="7" t="s">
        <v>49</v>
      </c>
    </row>
    <row r="199" spans="1:9" x14ac:dyDescent="0.2">
      <c r="A199" s="9">
        <v>0</v>
      </c>
      <c r="B199" s="9">
        <v>34</v>
      </c>
      <c r="C199" s="9">
        <v>0</v>
      </c>
      <c r="D199" s="9">
        <v>10</v>
      </c>
      <c r="E199" s="9">
        <v>20</v>
      </c>
      <c r="F199" s="9">
        <v>17.100000000000001</v>
      </c>
      <c r="G199" s="9">
        <v>2.0499999999999998</v>
      </c>
      <c r="H199" s="9">
        <v>1.37</v>
      </c>
      <c r="I199" s="7" t="s">
        <v>49</v>
      </c>
    </row>
    <row r="200" spans="1:9" x14ac:dyDescent="0.2">
      <c r="A200" s="9">
        <v>0</v>
      </c>
      <c r="B200" s="9">
        <v>38</v>
      </c>
      <c r="C200" s="9">
        <v>18</v>
      </c>
      <c r="D200" s="9">
        <v>19</v>
      </c>
      <c r="E200" s="9">
        <v>44</v>
      </c>
      <c r="F200" s="9">
        <v>4.5</v>
      </c>
      <c r="G200" s="9">
        <v>0.61</v>
      </c>
      <c r="H200" s="9">
        <v>1.37</v>
      </c>
      <c r="I200" s="7" t="s">
        <v>49</v>
      </c>
    </row>
    <row r="201" spans="1:9" x14ac:dyDescent="0.2">
      <c r="A201" s="9">
        <v>0</v>
      </c>
      <c r="B201" s="9">
        <v>23</v>
      </c>
      <c r="C201" s="9">
        <v>0</v>
      </c>
      <c r="D201" s="9">
        <v>4</v>
      </c>
      <c r="E201" s="9">
        <v>21</v>
      </c>
      <c r="F201" s="9">
        <v>8.6999999999999993</v>
      </c>
      <c r="G201" s="9">
        <v>0.45</v>
      </c>
      <c r="H201" s="9">
        <v>1.37</v>
      </c>
      <c r="I201" s="7" t="s">
        <v>49</v>
      </c>
    </row>
    <row r="202" spans="1:9" x14ac:dyDescent="0.2">
      <c r="A202" s="9">
        <v>0</v>
      </c>
      <c r="B202" s="9">
        <v>32</v>
      </c>
      <c r="C202" s="9">
        <v>3</v>
      </c>
      <c r="D202" s="9">
        <v>10</v>
      </c>
      <c r="E202" s="9">
        <v>23</v>
      </c>
      <c r="F202" s="9">
        <v>6.2</v>
      </c>
      <c r="G202" s="9">
        <v>0.05</v>
      </c>
      <c r="H202" s="9">
        <v>1.37</v>
      </c>
      <c r="I202" s="7" t="s">
        <v>49</v>
      </c>
    </row>
    <row r="203" spans="1:9" x14ac:dyDescent="0.2">
      <c r="A203" s="9">
        <v>0</v>
      </c>
      <c r="B203" s="9">
        <v>35</v>
      </c>
      <c r="C203" s="9">
        <v>4</v>
      </c>
      <c r="D203" s="9">
        <v>16</v>
      </c>
      <c r="E203" s="9">
        <v>29</v>
      </c>
      <c r="F203" s="9">
        <v>11</v>
      </c>
      <c r="G203" s="9">
        <v>1.84</v>
      </c>
      <c r="H203" s="9">
        <v>1.35</v>
      </c>
      <c r="I203" s="7" t="s">
        <v>49</v>
      </c>
    </row>
    <row r="204" spans="1:9" x14ac:dyDescent="0.2">
      <c r="A204" s="9">
        <v>0</v>
      </c>
      <c r="B204" s="9">
        <v>33</v>
      </c>
      <c r="C204" s="9">
        <v>5</v>
      </c>
      <c r="D204" s="9">
        <v>10</v>
      </c>
      <c r="E204" s="9">
        <v>18</v>
      </c>
      <c r="F204" s="9">
        <v>12.9</v>
      </c>
      <c r="G204" s="9">
        <v>0.98</v>
      </c>
      <c r="H204" s="9">
        <v>1.34</v>
      </c>
      <c r="I204" s="7" t="s">
        <v>49</v>
      </c>
    </row>
    <row r="205" spans="1:9" x14ac:dyDescent="0.2">
      <c r="A205" s="9">
        <v>1</v>
      </c>
      <c r="B205" s="9">
        <v>25</v>
      </c>
      <c r="C205" s="9">
        <v>1</v>
      </c>
      <c r="D205" s="9">
        <v>6</v>
      </c>
      <c r="E205" s="9">
        <v>15</v>
      </c>
      <c r="F205" s="9">
        <v>11.4</v>
      </c>
      <c r="G205" s="9">
        <v>0.37</v>
      </c>
      <c r="H205" s="9">
        <v>1.34</v>
      </c>
      <c r="I205" s="7" t="s">
        <v>49</v>
      </c>
    </row>
    <row r="206" spans="1:9" x14ac:dyDescent="0.2">
      <c r="A206" s="9">
        <v>0</v>
      </c>
      <c r="B206" s="9">
        <v>26</v>
      </c>
      <c r="C206" s="9">
        <v>0</v>
      </c>
      <c r="D206" s="9">
        <v>7</v>
      </c>
      <c r="E206" s="9">
        <v>28</v>
      </c>
      <c r="F206" s="9">
        <v>9.3000000000000007</v>
      </c>
      <c r="G206" s="9">
        <v>1.27</v>
      </c>
      <c r="H206" s="9">
        <v>1.33</v>
      </c>
      <c r="I206" s="7" t="s">
        <v>49</v>
      </c>
    </row>
    <row r="207" spans="1:9" x14ac:dyDescent="0.2">
      <c r="A207" s="9">
        <v>1</v>
      </c>
      <c r="B207" s="9">
        <v>23</v>
      </c>
      <c r="C207" s="9">
        <v>3</v>
      </c>
      <c r="D207" s="9">
        <v>0</v>
      </c>
      <c r="E207" s="9">
        <v>19</v>
      </c>
      <c r="F207" s="9">
        <v>8.4</v>
      </c>
      <c r="G207" s="9">
        <v>0.28000000000000003</v>
      </c>
      <c r="H207" s="9">
        <v>1.32</v>
      </c>
      <c r="I207" s="7" t="s">
        <v>49</v>
      </c>
    </row>
    <row r="208" spans="1:9" x14ac:dyDescent="0.2">
      <c r="A208" s="9">
        <v>0</v>
      </c>
      <c r="B208" s="9">
        <v>34</v>
      </c>
      <c r="C208" s="9">
        <v>0</v>
      </c>
      <c r="D208" s="9">
        <v>1</v>
      </c>
      <c r="E208" s="9">
        <v>21</v>
      </c>
      <c r="F208" s="9">
        <v>7.2</v>
      </c>
      <c r="G208" s="9">
        <v>0.19</v>
      </c>
      <c r="H208" s="9">
        <v>1.32</v>
      </c>
      <c r="I208" s="7" t="s">
        <v>49</v>
      </c>
    </row>
    <row r="209" spans="1:9" x14ac:dyDescent="0.2">
      <c r="A209" s="9">
        <v>0</v>
      </c>
      <c r="B209" s="9">
        <v>39</v>
      </c>
      <c r="C209" s="9">
        <v>10</v>
      </c>
      <c r="D209" s="9">
        <v>4</v>
      </c>
      <c r="E209" s="9">
        <v>31</v>
      </c>
      <c r="F209" s="9">
        <v>4.8</v>
      </c>
      <c r="G209" s="9">
        <v>0.18</v>
      </c>
      <c r="H209" s="9">
        <v>1.3</v>
      </c>
      <c r="I209" s="7" t="s">
        <v>49</v>
      </c>
    </row>
    <row r="210" spans="1:9" x14ac:dyDescent="0.2">
      <c r="A210" s="9">
        <v>0</v>
      </c>
      <c r="B210" s="9">
        <v>39</v>
      </c>
      <c r="C210" s="9">
        <v>4</v>
      </c>
      <c r="D210" s="9">
        <v>9</v>
      </c>
      <c r="E210" s="9">
        <v>38</v>
      </c>
      <c r="F210" s="9">
        <v>6.5</v>
      </c>
      <c r="G210" s="9">
        <v>1.18</v>
      </c>
      <c r="H210" s="9">
        <v>1.29</v>
      </c>
      <c r="I210" s="7" t="s">
        <v>49</v>
      </c>
    </row>
    <row r="211" spans="1:9" x14ac:dyDescent="0.2">
      <c r="A211" s="9">
        <v>0</v>
      </c>
      <c r="B211" s="9">
        <v>35</v>
      </c>
      <c r="C211" s="9">
        <v>1</v>
      </c>
      <c r="D211" s="9">
        <v>1</v>
      </c>
      <c r="E211" s="9">
        <v>21</v>
      </c>
      <c r="F211" s="9">
        <v>7.9</v>
      </c>
      <c r="G211" s="9">
        <v>0.97</v>
      </c>
      <c r="H211" s="9">
        <v>1.29</v>
      </c>
      <c r="I211" s="7" t="s">
        <v>49</v>
      </c>
    </row>
    <row r="212" spans="1:9" x14ac:dyDescent="0.2">
      <c r="A212" s="9">
        <v>1</v>
      </c>
      <c r="B212" s="9">
        <v>29</v>
      </c>
      <c r="C212" s="9">
        <v>4</v>
      </c>
      <c r="D212" s="9">
        <v>3</v>
      </c>
      <c r="E212" s="9">
        <v>37</v>
      </c>
      <c r="F212" s="9">
        <v>6.6</v>
      </c>
      <c r="G212" s="9">
        <v>1.1599999999999999</v>
      </c>
      <c r="H212" s="9">
        <v>1.28</v>
      </c>
      <c r="I212" s="7" t="s">
        <v>49</v>
      </c>
    </row>
    <row r="213" spans="1:9" x14ac:dyDescent="0.2">
      <c r="A213" s="9">
        <v>0</v>
      </c>
      <c r="B213" s="9">
        <v>33</v>
      </c>
      <c r="C213" s="9">
        <v>9</v>
      </c>
      <c r="D213" s="9">
        <v>8</v>
      </c>
      <c r="E213" s="9">
        <v>32</v>
      </c>
      <c r="F213" s="9">
        <v>5.5</v>
      </c>
      <c r="G213" s="9">
        <v>0.5</v>
      </c>
      <c r="H213" s="9">
        <v>1.26</v>
      </c>
      <c r="I213" s="7" t="s">
        <v>49</v>
      </c>
    </row>
    <row r="214" spans="1:9" x14ac:dyDescent="0.2">
      <c r="A214" s="9">
        <v>0</v>
      </c>
      <c r="B214" s="9">
        <v>27</v>
      </c>
      <c r="C214" s="9">
        <v>6</v>
      </c>
      <c r="D214" s="9">
        <v>1</v>
      </c>
      <c r="E214" s="9">
        <v>34</v>
      </c>
      <c r="F214" s="9">
        <v>4.4000000000000004</v>
      </c>
      <c r="G214" s="9">
        <v>0.24</v>
      </c>
      <c r="H214" s="9">
        <v>1.26</v>
      </c>
      <c r="I214" s="7" t="s">
        <v>49</v>
      </c>
    </row>
    <row r="215" spans="1:9" x14ac:dyDescent="0.2">
      <c r="A215" s="9">
        <v>1</v>
      </c>
      <c r="B215" s="9">
        <v>32</v>
      </c>
      <c r="C215" s="9">
        <v>2</v>
      </c>
      <c r="D215" s="9">
        <v>11</v>
      </c>
      <c r="E215" s="9">
        <v>15</v>
      </c>
      <c r="F215" s="9">
        <v>9.1</v>
      </c>
      <c r="G215" s="9">
        <v>0.12</v>
      </c>
      <c r="H215" s="9">
        <v>1.25</v>
      </c>
      <c r="I215" s="7" t="s">
        <v>49</v>
      </c>
    </row>
    <row r="216" spans="1:9" x14ac:dyDescent="0.2">
      <c r="A216" s="9">
        <v>0</v>
      </c>
      <c r="B216" s="9">
        <v>43</v>
      </c>
      <c r="C216" s="9">
        <v>1</v>
      </c>
      <c r="D216" s="9">
        <v>5</v>
      </c>
      <c r="E216" s="9">
        <v>26</v>
      </c>
      <c r="F216" s="9">
        <v>10.6</v>
      </c>
      <c r="G216" s="9">
        <v>1.52</v>
      </c>
      <c r="H216" s="9">
        <v>1.24</v>
      </c>
      <c r="I216" s="7" t="s">
        <v>49</v>
      </c>
    </row>
    <row r="217" spans="1:9" x14ac:dyDescent="0.2">
      <c r="A217" s="9">
        <v>0</v>
      </c>
      <c r="B217" s="9">
        <v>43</v>
      </c>
      <c r="C217" s="9">
        <v>12</v>
      </c>
      <c r="D217" s="9">
        <v>11</v>
      </c>
      <c r="E217" s="9">
        <v>38</v>
      </c>
      <c r="F217" s="9">
        <v>3.6</v>
      </c>
      <c r="G217" s="9">
        <v>0.13</v>
      </c>
      <c r="H217" s="9">
        <v>1.24</v>
      </c>
      <c r="I217" s="7" t="s">
        <v>49</v>
      </c>
    </row>
    <row r="218" spans="1:9" x14ac:dyDescent="0.2">
      <c r="A218" s="9">
        <v>0</v>
      </c>
      <c r="B218" s="9">
        <v>23</v>
      </c>
      <c r="C218" s="9">
        <v>3</v>
      </c>
      <c r="D218" s="9">
        <v>4</v>
      </c>
      <c r="E218" s="9">
        <v>34</v>
      </c>
      <c r="F218" s="9">
        <v>4.4000000000000004</v>
      </c>
      <c r="G218" s="9">
        <v>0.26</v>
      </c>
      <c r="H218" s="9">
        <v>1.23</v>
      </c>
      <c r="I218" s="7" t="s">
        <v>49</v>
      </c>
    </row>
    <row r="219" spans="1:9" x14ac:dyDescent="0.2">
      <c r="A219" s="9">
        <v>0</v>
      </c>
      <c r="B219" s="9">
        <v>39</v>
      </c>
      <c r="C219" s="9">
        <v>13</v>
      </c>
      <c r="D219" s="9">
        <v>9</v>
      </c>
      <c r="E219" s="9">
        <v>27</v>
      </c>
      <c r="F219" s="9">
        <v>8</v>
      </c>
      <c r="G219" s="9">
        <v>0.97</v>
      </c>
      <c r="H219" s="9">
        <v>1.19</v>
      </c>
      <c r="I219" s="7" t="s">
        <v>49</v>
      </c>
    </row>
    <row r="220" spans="1:9" x14ac:dyDescent="0.2">
      <c r="A220" s="9">
        <v>0</v>
      </c>
      <c r="B220" s="9">
        <v>44</v>
      </c>
      <c r="C220" s="9">
        <v>9</v>
      </c>
      <c r="D220" s="9">
        <v>20</v>
      </c>
      <c r="E220" s="9">
        <v>33</v>
      </c>
      <c r="F220" s="9">
        <v>5.2</v>
      </c>
      <c r="G220" s="9">
        <v>0.55000000000000004</v>
      </c>
      <c r="H220" s="9">
        <v>1.17</v>
      </c>
      <c r="I220" s="7" t="s">
        <v>49</v>
      </c>
    </row>
    <row r="221" spans="1:9" x14ac:dyDescent="0.2">
      <c r="A221" s="9">
        <v>0</v>
      </c>
      <c r="B221" s="9">
        <v>26</v>
      </c>
      <c r="C221" s="9">
        <v>5</v>
      </c>
      <c r="D221" s="9">
        <v>7</v>
      </c>
      <c r="E221" s="9">
        <v>28</v>
      </c>
      <c r="F221" s="9">
        <v>7.8</v>
      </c>
      <c r="G221" s="9">
        <v>1.02</v>
      </c>
      <c r="H221" s="9">
        <v>1.1599999999999999</v>
      </c>
      <c r="I221" s="7" t="s">
        <v>49</v>
      </c>
    </row>
    <row r="222" spans="1:9" x14ac:dyDescent="0.2">
      <c r="A222" s="9">
        <v>0</v>
      </c>
      <c r="B222" s="9">
        <v>30</v>
      </c>
      <c r="C222" s="9">
        <v>8</v>
      </c>
      <c r="D222" s="9">
        <v>7</v>
      </c>
      <c r="E222" s="9">
        <v>61</v>
      </c>
      <c r="F222" s="9">
        <v>2.8</v>
      </c>
      <c r="G222" s="9">
        <v>0.55000000000000004</v>
      </c>
      <c r="H222" s="9">
        <v>1.1599999999999999</v>
      </c>
      <c r="I222" s="7" t="s">
        <v>49</v>
      </c>
    </row>
    <row r="223" spans="1:9" x14ac:dyDescent="0.2">
      <c r="A223" s="9">
        <v>0</v>
      </c>
      <c r="B223" s="9">
        <v>25</v>
      </c>
      <c r="C223" s="9">
        <v>4</v>
      </c>
      <c r="D223" s="9">
        <v>6</v>
      </c>
      <c r="E223" s="9">
        <v>33</v>
      </c>
      <c r="F223" s="9">
        <v>5.2</v>
      </c>
      <c r="G223" s="9">
        <v>0.55000000000000004</v>
      </c>
      <c r="H223" s="9">
        <v>1.1599999999999999</v>
      </c>
      <c r="I223" s="7" t="s">
        <v>49</v>
      </c>
    </row>
    <row r="224" spans="1:9" x14ac:dyDescent="0.2">
      <c r="A224" s="9">
        <v>0</v>
      </c>
      <c r="B224" s="9">
        <v>39</v>
      </c>
      <c r="C224" s="9">
        <v>15</v>
      </c>
      <c r="D224" s="9">
        <v>19</v>
      </c>
      <c r="E224" s="9">
        <v>32</v>
      </c>
      <c r="F224" s="9">
        <v>4.9000000000000004</v>
      </c>
      <c r="G224" s="9">
        <v>0.42</v>
      </c>
      <c r="H224" s="9">
        <v>1.1499999999999999</v>
      </c>
      <c r="I224" s="7" t="s">
        <v>49</v>
      </c>
    </row>
    <row r="225" spans="1:9" x14ac:dyDescent="0.2">
      <c r="A225" s="9">
        <v>0</v>
      </c>
      <c r="B225" s="9">
        <v>31</v>
      </c>
      <c r="C225" s="9">
        <v>9</v>
      </c>
      <c r="D225" s="9">
        <v>1</v>
      </c>
      <c r="E225" s="9">
        <v>30</v>
      </c>
      <c r="F225" s="9">
        <v>5.8</v>
      </c>
      <c r="G225" s="9">
        <v>0.97</v>
      </c>
      <c r="H225" s="9">
        <v>1.1399999999999999</v>
      </c>
      <c r="I225" s="7" t="s">
        <v>49</v>
      </c>
    </row>
    <row r="226" spans="1:9" x14ac:dyDescent="0.2">
      <c r="A226" s="9">
        <v>0</v>
      </c>
      <c r="B226" s="9">
        <v>29</v>
      </c>
      <c r="C226" s="9">
        <v>8</v>
      </c>
      <c r="D226" s="9">
        <v>10</v>
      </c>
      <c r="E226" s="9">
        <v>24</v>
      </c>
      <c r="F226" s="9">
        <v>6.7</v>
      </c>
      <c r="G226" s="9">
        <v>0.47</v>
      </c>
      <c r="H226" s="9">
        <v>1.1399999999999999</v>
      </c>
      <c r="I226" s="7" t="s">
        <v>49</v>
      </c>
    </row>
    <row r="227" spans="1:9" x14ac:dyDescent="0.2">
      <c r="A227" s="9">
        <v>0</v>
      </c>
      <c r="B227" s="9">
        <v>35</v>
      </c>
      <c r="C227" s="9">
        <v>13</v>
      </c>
      <c r="D227" s="9">
        <v>15</v>
      </c>
      <c r="E227" s="9">
        <v>35</v>
      </c>
      <c r="F227" s="9">
        <v>4.5</v>
      </c>
      <c r="G227" s="9">
        <v>0.43</v>
      </c>
      <c r="H227" s="9">
        <v>1.1399999999999999</v>
      </c>
      <c r="I227" s="7" t="s">
        <v>49</v>
      </c>
    </row>
    <row r="228" spans="1:9" x14ac:dyDescent="0.2">
      <c r="A228" s="9">
        <v>0</v>
      </c>
      <c r="B228" s="9">
        <v>30</v>
      </c>
      <c r="C228" s="9">
        <v>1</v>
      </c>
      <c r="D228" s="9">
        <v>8</v>
      </c>
      <c r="E228" s="9">
        <v>17</v>
      </c>
      <c r="F228" s="9">
        <v>11</v>
      </c>
      <c r="G228" s="9">
        <v>0.75</v>
      </c>
      <c r="H228" s="9">
        <v>1.1200000000000001</v>
      </c>
      <c r="I228" s="7" t="s">
        <v>49</v>
      </c>
    </row>
    <row r="229" spans="1:9" x14ac:dyDescent="0.2">
      <c r="A229" s="9">
        <v>0</v>
      </c>
      <c r="B229" s="9">
        <v>31</v>
      </c>
      <c r="C229" s="9">
        <v>13</v>
      </c>
      <c r="D229" s="9">
        <v>12</v>
      </c>
      <c r="E229" s="9">
        <v>27</v>
      </c>
      <c r="F229" s="9">
        <v>5</v>
      </c>
      <c r="G229" s="9">
        <v>0.24</v>
      </c>
      <c r="H229" s="9">
        <v>1.1100000000000001</v>
      </c>
      <c r="I229" s="7" t="s">
        <v>49</v>
      </c>
    </row>
    <row r="230" spans="1:9" x14ac:dyDescent="0.2">
      <c r="A230" s="9">
        <v>0</v>
      </c>
      <c r="B230" s="9">
        <v>25</v>
      </c>
      <c r="C230" s="9">
        <v>6</v>
      </c>
      <c r="D230" s="9">
        <v>2</v>
      </c>
      <c r="E230" s="9">
        <v>26</v>
      </c>
      <c r="F230" s="9">
        <v>4.5</v>
      </c>
      <c r="G230" s="9">
        <v>7.0000000000000007E-2</v>
      </c>
      <c r="H230" s="9">
        <v>1.1000000000000001</v>
      </c>
      <c r="I230" s="7" t="s">
        <v>49</v>
      </c>
    </row>
    <row r="231" spans="1:9" x14ac:dyDescent="0.2">
      <c r="A231" s="9">
        <v>0</v>
      </c>
      <c r="B231" s="9">
        <v>40</v>
      </c>
      <c r="C231" s="9">
        <v>2</v>
      </c>
      <c r="D231" s="9">
        <v>1</v>
      </c>
      <c r="E231" s="9">
        <v>36</v>
      </c>
      <c r="F231" s="9">
        <v>3.8</v>
      </c>
      <c r="G231" s="9">
        <v>0.28000000000000003</v>
      </c>
      <c r="H231" s="9">
        <v>1.0900000000000001</v>
      </c>
      <c r="I231" s="7" t="s">
        <v>49</v>
      </c>
    </row>
    <row r="232" spans="1:9" x14ac:dyDescent="0.2">
      <c r="A232" s="9">
        <v>0</v>
      </c>
      <c r="B232" s="9">
        <v>39</v>
      </c>
      <c r="C232" s="9">
        <v>20</v>
      </c>
      <c r="D232" s="9">
        <v>17</v>
      </c>
      <c r="E232" s="9">
        <v>101</v>
      </c>
      <c r="F232" s="9">
        <v>1.4</v>
      </c>
      <c r="G232" s="9">
        <v>0.34</v>
      </c>
      <c r="H232" s="9">
        <v>1.07</v>
      </c>
      <c r="I232" s="7" t="s">
        <v>49</v>
      </c>
    </row>
    <row r="233" spans="1:9" x14ac:dyDescent="0.2">
      <c r="A233" s="9">
        <v>0</v>
      </c>
      <c r="B233" s="9">
        <v>29</v>
      </c>
      <c r="C233" s="9">
        <v>1</v>
      </c>
      <c r="D233" s="9">
        <v>10</v>
      </c>
      <c r="E233" s="9">
        <v>30</v>
      </c>
      <c r="F233" s="9">
        <v>4.5</v>
      </c>
      <c r="G233" s="9">
        <v>0.28000000000000003</v>
      </c>
      <c r="H233" s="9">
        <v>1.07</v>
      </c>
      <c r="I233" s="7" t="s">
        <v>49</v>
      </c>
    </row>
    <row r="234" spans="1:9" x14ac:dyDescent="0.2">
      <c r="A234" s="9">
        <v>0</v>
      </c>
      <c r="B234" s="9">
        <v>29</v>
      </c>
      <c r="C234" s="9">
        <v>3</v>
      </c>
      <c r="D234" s="9">
        <v>1</v>
      </c>
      <c r="E234" s="9">
        <v>17</v>
      </c>
      <c r="F234" s="9">
        <v>9</v>
      </c>
      <c r="G234" s="9">
        <v>0.47</v>
      </c>
      <c r="H234" s="9">
        <v>1.06</v>
      </c>
      <c r="I234" s="7" t="s">
        <v>49</v>
      </c>
    </row>
    <row r="235" spans="1:9" x14ac:dyDescent="0.2">
      <c r="A235" s="9">
        <v>0</v>
      </c>
      <c r="B235" s="9">
        <v>29</v>
      </c>
      <c r="C235" s="9">
        <v>12</v>
      </c>
      <c r="D235" s="9">
        <v>2</v>
      </c>
      <c r="E235" s="9">
        <v>40</v>
      </c>
      <c r="F235" s="9">
        <v>6.7</v>
      </c>
      <c r="G235" s="9">
        <v>1.63</v>
      </c>
      <c r="H235" s="9">
        <v>1.05</v>
      </c>
      <c r="I235" s="7" t="s">
        <v>49</v>
      </c>
    </row>
    <row r="236" spans="1:9" x14ac:dyDescent="0.2">
      <c r="A236" s="9">
        <v>1</v>
      </c>
      <c r="B236" s="9">
        <v>28</v>
      </c>
      <c r="C236" s="9">
        <v>8</v>
      </c>
      <c r="D236" s="9">
        <v>3</v>
      </c>
      <c r="E236" s="9">
        <v>31</v>
      </c>
      <c r="F236" s="9">
        <v>8.1999999999999993</v>
      </c>
      <c r="G236" s="9">
        <v>1.49</v>
      </c>
      <c r="H236" s="9">
        <v>1.05</v>
      </c>
      <c r="I236" s="7" t="s">
        <v>49</v>
      </c>
    </row>
    <row r="237" spans="1:9" x14ac:dyDescent="0.2">
      <c r="A237" s="9">
        <v>0</v>
      </c>
      <c r="B237" s="9">
        <v>36</v>
      </c>
      <c r="C237" s="9">
        <v>1</v>
      </c>
      <c r="D237" s="9">
        <v>4</v>
      </c>
      <c r="E237" s="9">
        <v>16</v>
      </c>
      <c r="F237" s="9">
        <v>9.3000000000000007</v>
      </c>
      <c r="G237" s="9">
        <v>0.43</v>
      </c>
      <c r="H237" s="9">
        <v>1.05</v>
      </c>
      <c r="I237" s="7" t="s">
        <v>49</v>
      </c>
    </row>
    <row r="238" spans="1:9" x14ac:dyDescent="0.2">
      <c r="A238" s="9">
        <v>0</v>
      </c>
      <c r="B238" s="9">
        <v>35</v>
      </c>
      <c r="C238" s="9">
        <v>16</v>
      </c>
      <c r="D238" s="9">
        <v>15</v>
      </c>
      <c r="E238" s="9">
        <v>36</v>
      </c>
      <c r="F238" s="9">
        <v>3.4</v>
      </c>
      <c r="G238" s="9">
        <v>0.18</v>
      </c>
      <c r="H238" s="9">
        <v>1.05</v>
      </c>
      <c r="I238" s="7" t="s">
        <v>49</v>
      </c>
    </row>
    <row r="239" spans="1:9" x14ac:dyDescent="0.2">
      <c r="A239" s="9">
        <v>0</v>
      </c>
      <c r="B239" s="9">
        <v>42</v>
      </c>
      <c r="C239" s="9">
        <v>5</v>
      </c>
      <c r="D239" s="9">
        <v>3</v>
      </c>
      <c r="E239" s="9">
        <v>41</v>
      </c>
      <c r="F239" s="9">
        <v>3.4</v>
      </c>
      <c r="G239" s="9">
        <v>0.36</v>
      </c>
      <c r="H239" s="9">
        <v>1.04</v>
      </c>
      <c r="I239" s="7" t="s">
        <v>49</v>
      </c>
    </row>
    <row r="240" spans="1:9" x14ac:dyDescent="0.2">
      <c r="A240" s="9">
        <v>0</v>
      </c>
      <c r="B240" s="9">
        <v>23</v>
      </c>
      <c r="C240" s="9">
        <v>5</v>
      </c>
      <c r="D240" s="9">
        <v>2</v>
      </c>
      <c r="E240" s="9">
        <v>17</v>
      </c>
      <c r="F240" s="9">
        <v>7.9</v>
      </c>
      <c r="G240" s="9">
        <v>0.3</v>
      </c>
      <c r="H240" s="9">
        <v>1.04</v>
      </c>
      <c r="I240" s="7" t="s">
        <v>49</v>
      </c>
    </row>
    <row r="241" spans="1:9" x14ac:dyDescent="0.2">
      <c r="A241" s="9">
        <v>0</v>
      </c>
      <c r="B241" s="9">
        <v>33</v>
      </c>
      <c r="C241" s="9">
        <v>7</v>
      </c>
      <c r="D241" s="9">
        <v>6</v>
      </c>
      <c r="E241" s="9">
        <v>26</v>
      </c>
      <c r="F241" s="9">
        <v>6</v>
      </c>
      <c r="G241" s="9">
        <v>0.54</v>
      </c>
      <c r="H241" s="9">
        <v>1.02</v>
      </c>
      <c r="I241" s="7" t="s">
        <v>49</v>
      </c>
    </row>
    <row r="242" spans="1:9" x14ac:dyDescent="0.2">
      <c r="A242" s="9">
        <v>0</v>
      </c>
      <c r="B242" s="9">
        <v>40</v>
      </c>
      <c r="C242" s="9">
        <v>18</v>
      </c>
      <c r="D242" s="9">
        <v>6</v>
      </c>
      <c r="E242" s="9">
        <v>100</v>
      </c>
      <c r="F242" s="9">
        <v>2.5</v>
      </c>
      <c r="G242" s="9">
        <v>1.49</v>
      </c>
      <c r="H242" s="9">
        <v>1.01</v>
      </c>
      <c r="I242" s="7" t="s">
        <v>49</v>
      </c>
    </row>
    <row r="243" spans="1:9" x14ac:dyDescent="0.2">
      <c r="A243" s="9">
        <v>0</v>
      </c>
      <c r="B243" s="9">
        <v>21</v>
      </c>
      <c r="C243" s="9">
        <v>0</v>
      </c>
      <c r="D243" s="9">
        <v>2</v>
      </c>
      <c r="E243" s="9">
        <v>24</v>
      </c>
      <c r="F243" s="9">
        <v>7.7</v>
      </c>
      <c r="G243" s="9">
        <v>0.83</v>
      </c>
      <c r="H243" s="9">
        <v>1.01</v>
      </c>
      <c r="I243" s="7" t="s">
        <v>49</v>
      </c>
    </row>
    <row r="244" spans="1:9" x14ac:dyDescent="0.2">
      <c r="A244" s="9">
        <v>0</v>
      </c>
      <c r="B244" s="9">
        <v>38</v>
      </c>
      <c r="C244" s="9">
        <v>13</v>
      </c>
      <c r="D244" s="9">
        <v>0</v>
      </c>
      <c r="E244" s="9">
        <v>59</v>
      </c>
      <c r="F244" s="9">
        <v>2.4</v>
      </c>
      <c r="G244" s="9">
        <v>0.41</v>
      </c>
      <c r="H244" s="9">
        <v>1.01</v>
      </c>
      <c r="I244" s="7" t="s">
        <v>49</v>
      </c>
    </row>
    <row r="245" spans="1:9" x14ac:dyDescent="0.2">
      <c r="A245" s="9">
        <v>0</v>
      </c>
      <c r="B245" s="9">
        <v>51</v>
      </c>
      <c r="C245" s="9">
        <v>16</v>
      </c>
      <c r="D245" s="9">
        <v>25</v>
      </c>
      <c r="E245" s="9">
        <v>82</v>
      </c>
      <c r="F245" s="9">
        <v>4.4000000000000004</v>
      </c>
      <c r="G245" s="9">
        <v>2.6</v>
      </c>
      <c r="H245" s="9">
        <v>1</v>
      </c>
      <c r="I245" s="7" t="s">
        <v>49</v>
      </c>
    </row>
    <row r="246" spans="1:9" x14ac:dyDescent="0.2">
      <c r="A246" s="9">
        <v>1</v>
      </c>
      <c r="B246" s="9">
        <v>23</v>
      </c>
      <c r="C246" s="9">
        <v>2</v>
      </c>
      <c r="D246" s="9">
        <v>1</v>
      </c>
      <c r="E246" s="9">
        <v>25</v>
      </c>
      <c r="F246" s="9">
        <v>4.5</v>
      </c>
      <c r="G246" s="9">
        <v>0.12</v>
      </c>
      <c r="H246" s="9">
        <v>1</v>
      </c>
      <c r="I246" s="7" t="s">
        <v>49</v>
      </c>
    </row>
    <row r="247" spans="1:9" x14ac:dyDescent="0.2">
      <c r="A247" s="9">
        <v>0</v>
      </c>
      <c r="B247" s="9">
        <v>29</v>
      </c>
      <c r="C247" s="9">
        <v>11</v>
      </c>
      <c r="D247" s="9">
        <v>7</v>
      </c>
      <c r="E247" s="9">
        <v>32</v>
      </c>
      <c r="F247" s="9">
        <v>6</v>
      </c>
      <c r="G247" s="9">
        <v>0.93</v>
      </c>
      <c r="H247" s="9">
        <v>0.99</v>
      </c>
      <c r="I247" s="7" t="s">
        <v>49</v>
      </c>
    </row>
    <row r="248" spans="1:9" x14ac:dyDescent="0.2">
      <c r="A248" s="9">
        <v>1</v>
      </c>
      <c r="B248" s="9">
        <v>27</v>
      </c>
      <c r="C248" s="9">
        <v>2</v>
      </c>
      <c r="D248" s="9">
        <v>8</v>
      </c>
      <c r="E248" s="9">
        <v>23</v>
      </c>
      <c r="F248" s="9">
        <v>5.7</v>
      </c>
      <c r="G248" s="9">
        <v>0.32</v>
      </c>
      <c r="H248" s="9">
        <v>0.99</v>
      </c>
      <c r="I248" s="7" t="s">
        <v>49</v>
      </c>
    </row>
    <row r="249" spans="1:9" x14ac:dyDescent="0.2">
      <c r="A249" s="9">
        <v>0</v>
      </c>
      <c r="B249" s="9">
        <v>29</v>
      </c>
      <c r="C249" s="9">
        <v>1</v>
      </c>
      <c r="D249" s="9">
        <v>9</v>
      </c>
      <c r="E249" s="9">
        <v>17</v>
      </c>
      <c r="F249" s="9">
        <v>6.7</v>
      </c>
      <c r="G249" s="9">
        <v>0.16</v>
      </c>
      <c r="H249" s="9">
        <v>0.98</v>
      </c>
      <c r="I249" s="7" t="s">
        <v>49</v>
      </c>
    </row>
    <row r="250" spans="1:9" x14ac:dyDescent="0.2">
      <c r="A250" s="9">
        <v>0</v>
      </c>
      <c r="B250" s="9">
        <v>24</v>
      </c>
      <c r="C250" s="9">
        <v>6</v>
      </c>
      <c r="D250" s="9">
        <v>2</v>
      </c>
      <c r="E250" s="9">
        <v>21</v>
      </c>
      <c r="F250" s="9">
        <v>5.2</v>
      </c>
      <c r="G250" s="9">
        <v>0.11</v>
      </c>
      <c r="H250" s="9">
        <v>0.98</v>
      </c>
      <c r="I250" s="7" t="s">
        <v>49</v>
      </c>
    </row>
    <row r="251" spans="1:9" x14ac:dyDescent="0.2">
      <c r="A251" s="9">
        <v>1</v>
      </c>
      <c r="B251" s="9">
        <v>38</v>
      </c>
      <c r="C251" s="9">
        <v>0</v>
      </c>
      <c r="D251" s="9">
        <v>8</v>
      </c>
      <c r="E251" s="9">
        <v>23</v>
      </c>
      <c r="F251" s="9">
        <v>8.1</v>
      </c>
      <c r="G251" s="9">
        <v>0.9</v>
      </c>
      <c r="H251" s="9">
        <v>0.97</v>
      </c>
      <c r="I251" s="7" t="s">
        <v>49</v>
      </c>
    </row>
    <row r="252" spans="1:9" x14ac:dyDescent="0.2">
      <c r="A252" s="9">
        <v>1</v>
      </c>
      <c r="B252" s="9">
        <v>27</v>
      </c>
      <c r="C252" s="9">
        <v>4</v>
      </c>
      <c r="D252" s="9">
        <v>1</v>
      </c>
      <c r="E252" s="9">
        <v>40</v>
      </c>
      <c r="F252" s="9">
        <v>3.1</v>
      </c>
      <c r="G252" s="9">
        <v>0.28000000000000003</v>
      </c>
      <c r="H252" s="9">
        <v>0.96</v>
      </c>
      <c r="I252" s="7" t="s">
        <v>49</v>
      </c>
    </row>
    <row r="253" spans="1:9" x14ac:dyDescent="0.2">
      <c r="A253" s="9">
        <v>0</v>
      </c>
      <c r="B253" s="9">
        <v>42</v>
      </c>
      <c r="C253" s="9">
        <v>7</v>
      </c>
      <c r="D253" s="9">
        <v>23</v>
      </c>
      <c r="E253" s="9">
        <v>41</v>
      </c>
      <c r="F253" s="9">
        <v>4.5999999999999996</v>
      </c>
      <c r="G253" s="9">
        <v>0.97</v>
      </c>
      <c r="H253" s="9">
        <v>0.94</v>
      </c>
      <c r="I253" s="7" t="s">
        <v>49</v>
      </c>
    </row>
    <row r="254" spans="1:9" x14ac:dyDescent="0.2">
      <c r="A254" s="9">
        <v>0</v>
      </c>
      <c r="B254" s="9">
        <v>32</v>
      </c>
      <c r="C254" s="9">
        <v>7</v>
      </c>
      <c r="D254" s="9">
        <v>10</v>
      </c>
      <c r="E254" s="9">
        <v>32</v>
      </c>
      <c r="F254" s="9">
        <v>4.3</v>
      </c>
      <c r="G254" s="9">
        <v>0.43</v>
      </c>
      <c r="H254" s="9">
        <v>0.94</v>
      </c>
      <c r="I254" s="7" t="s">
        <v>49</v>
      </c>
    </row>
    <row r="255" spans="1:9" x14ac:dyDescent="0.2">
      <c r="A255" s="9">
        <v>0</v>
      </c>
      <c r="B255" s="9">
        <v>21</v>
      </c>
      <c r="C255" s="9">
        <v>0</v>
      </c>
      <c r="D255" s="9">
        <v>1</v>
      </c>
      <c r="E255" s="9">
        <v>16</v>
      </c>
      <c r="F255" s="9">
        <v>6.8</v>
      </c>
      <c r="G255" s="9">
        <v>0.15</v>
      </c>
      <c r="H255" s="9">
        <v>0.94</v>
      </c>
      <c r="I255" s="7" t="s">
        <v>49</v>
      </c>
    </row>
    <row r="256" spans="1:9" x14ac:dyDescent="0.2">
      <c r="A256" s="9">
        <v>0</v>
      </c>
      <c r="B256" s="9">
        <v>25</v>
      </c>
      <c r="C256" s="9">
        <v>8</v>
      </c>
      <c r="D256" s="9">
        <v>1</v>
      </c>
      <c r="E256" s="9">
        <v>35</v>
      </c>
      <c r="F256" s="9">
        <v>2.9</v>
      </c>
      <c r="G256" s="9">
        <v>0.08</v>
      </c>
      <c r="H256" s="9">
        <v>0.94</v>
      </c>
      <c r="I256" s="7" t="s">
        <v>49</v>
      </c>
    </row>
    <row r="257" spans="1:9" x14ac:dyDescent="0.2">
      <c r="A257" s="9">
        <v>0</v>
      </c>
      <c r="B257" s="9">
        <v>34</v>
      </c>
      <c r="C257" s="9">
        <v>7</v>
      </c>
      <c r="D257" s="9">
        <v>12</v>
      </c>
      <c r="E257" s="9">
        <v>25</v>
      </c>
      <c r="F257" s="9">
        <v>10.199999999999999</v>
      </c>
      <c r="G257" s="9">
        <v>1.63</v>
      </c>
      <c r="H257" s="9">
        <v>0.92</v>
      </c>
      <c r="I257" s="7" t="s">
        <v>49</v>
      </c>
    </row>
    <row r="258" spans="1:9" x14ac:dyDescent="0.2">
      <c r="A258" s="9">
        <v>0</v>
      </c>
      <c r="B258" s="9">
        <v>48</v>
      </c>
      <c r="C258" s="9">
        <v>3</v>
      </c>
      <c r="D258" s="9">
        <v>7</v>
      </c>
      <c r="E258" s="9">
        <v>24</v>
      </c>
      <c r="F258" s="9">
        <v>7</v>
      </c>
      <c r="G258" s="9">
        <v>0.76</v>
      </c>
      <c r="H258" s="9">
        <v>0.92</v>
      </c>
      <c r="I258" s="7" t="s">
        <v>49</v>
      </c>
    </row>
    <row r="259" spans="1:9" x14ac:dyDescent="0.2">
      <c r="A259" s="9">
        <v>0</v>
      </c>
      <c r="B259" s="9">
        <v>26</v>
      </c>
      <c r="C259" s="9">
        <v>7</v>
      </c>
      <c r="D259" s="9">
        <v>3</v>
      </c>
      <c r="E259" s="9">
        <v>22</v>
      </c>
      <c r="F259" s="9">
        <v>5.0999999999999996</v>
      </c>
      <c r="G259" s="9">
        <v>0.21</v>
      </c>
      <c r="H259" s="9">
        <v>0.91</v>
      </c>
      <c r="I259" s="7" t="s">
        <v>49</v>
      </c>
    </row>
    <row r="260" spans="1:9" x14ac:dyDescent="0.2">
      <c r="A260" s="9">
        <v>0</v>
      </c>
      <c r="B260" s="9">
        <v>22</v>
      </c>
      <c r="C260" s="9">
        <v>0</v>
      </c>
      <c r="D260" s="9">
        <v>3</v>
      </c>
      <c r="E260" s="9">
        <v>20</v>
      </c>
      <c r="F260" s="9">
        <v>5.6</v>
      </c>
      <c r="G260" s="9">
        <v>0.21</v>
      </c>
      <c r="H260" s="9">
        <v>0.91</v>
      </c>
      <c r="I260" s="7" t="s">
        <v>49</v>
      </c>
    </row>
    <row r="261" spans="1:9" x14ac:dyDescent="0.2">
      <c r="A261" s="9">
        <v>0</v>
      </c>
      <c r="B261" s="9">
        <v>21</v>
      </c>
      <c r="C261" s="9">
        <v>4</v>
      </c>
      <c r="D261" s="9">
        <v>0</v>
      </c>
      <c r="E261" s="9">
        <v>26</v>
      </c>
      <c r="F261" s="9">
        <v>8.9</v>
      </c>
      <c r="G261" s="9">
        <v>1.42</v>
      </c>
      <c r="H261" s="9">
        <v>0.89</v>
      </c>
      <c r="I261" s="7" t="s">
        <v>49</v>
      </c>
    </row>
    <row r="262" spans="1:9" x14ac:dyDescent="0.2">
      <c r="A262" s="9">
        <v>0</v>
      </c>
      <c r="B262" s="9">
        <v>50</v>
      </c>
      <c r="C262" s="9">
        <v>11</v>
      </c>
      <c r="D262" s="9">
        <v>5</v>
      </c>
      <c r="E262" s="9">
        <v>36</v>
      </c>
      <c r="F262" s="9">
        <v>4.8</v>
      </c>
      <c r="G262" s="9">
        <v>0.83</v>
      </c>
      <c r="H262" s="9">
        <v>0.89</v>
      </c>
      <c r="I262" s="7" t="s">
        <v>49</v>
      </c>
    </row>
    <row r="263" spans="1:9" x14ac:dyDescent="0.2">
      <c r="A263" s="9">
        <v>0</v>
      </c>
      <c r="B263" s="9">
        <v>36</v>
      </c>
      <c r="C263" s="9">
        <v>5</v>
      </c>
      <c r="D263" s="9">
        <v>12</v>
      </c>
      <c r="E263" s="9">
        <v>20</v>
      </c>
      <c r="F263" s="9">
        <v>8.1</v>
      </c>
      <c r="G263" s="9">
        <v>0.73</v>
      </c>
      <c r="H263" s="9">
        <v>0.89</v>
      </c>
      <c r="I263" s="7" t="s">
        <v>49</v>
      </c>
    </row>
    <row r="264" spans="1:9" x14ac:dyDescent="0.2">
      <c r="A264" s="9">
        <v>0</v>
      </c>
      <c r="B264" s="9">
        <v>30</v>
      </c>
      <c r="C264" s="9">
        <v>4</v>
      </c>
      <c r="D264" s="9">
        <v>0</v>
      </c>
      <c r="E264" s="9">
        <v>33</v>
      </c>
      <c r="F264" s="9">
        <v>4.2</v>
      </c>
      <c r="G264" s="9">
        <v>0.5</v>
      </c>
      <c r="H264" s="9">
        <v>0.89</v>
      </c>
      <c r="I264" s="7" t="s">
        <v>49</v>
      </c>
    </row>
    <row r="265" spans="1:9" x14ac:dyDescent="0.2">
      <c r="A265" s="9">
        <v>0</v>
      </c>
      <c r="B265" s="9">
        <v>34</v>
      </c>
      <c r="C265" s="9">
        <v>4</v>
      </c>
      <c r="D265" s="9">
        <v>10</v>
      </c>
      <c r="E265" s="9">
        <v>25</v>
      </c>
      <c r="F265" s="9">
        <v>5.8</v>
      </c>
      <c r="G265" s="9">
        <v>0.56999999999999995</v>
      </c>
      <c r="H265" s="9">
        <v>0.88</v>
      </c>
      <c r="I265" s="7" t="s">
        <v>49</v>
      </c>
    </row>
    <row r="266" spans="1:9" x14ac:dyDescent="0.2">
      <c r="A266" s="9">
        <v>1</v>
      </c>
      <c r="B266" s="9">
        <v>25</v>
      </c>
      <c r="C266" s="9">
        <v>1</v>
      </c>
      <c r="D266" s="9">
        <v>0</v>
      </c>
      <c r="E266" s="9">
        <v>20</v>
      </c>
      <c r="F266" s="9">
        <v>6.7</v>
      </c>
      <c r="G266" s="9">
        <v>0.47</v>
      </c>
      <c r="H266" s="9">
        <v>0.87</v>
      </c>
      <c r="I266" s="7" t="s">
        <v>49</v>
      </c>
    </row>
    <row r="267" spans="1:9" x14ac:dyDescent="0.2">
      <c r="A267" s="9">
        <v>0</v>
      </c>
      <c r="B267" s="9">
        <v>31</v>
      </c>
      <c r="C267" s="9">
        <v>9</v>
      </c>
      <c r="D267" s="9">
        <v>5</v>
      </c>
      <c r="E267" s="9">
        <v>26</v>
      </c>
      <c r="F267" s="9">
        <v>4.5</v>
      </c>
      <c r="G267" s="9">
        <v>0.31</v>
      </c>
      <c r="H267" s="9">
        <v>0.86</v>
      </c>
      <c r="I267" s="7" t="s">
        <v>49</v>
      </c>
    </row>
    <row r="268" spans="1:9" x14ac:dyDescent="0.2">
      <c r="A268" s="9">
        <v>0</v>
      </c>
      <c r="B268" s="9">
        <v>27</v>
      </c>
      <c r="C268" s="9">
        <v>2</v>
      </c>
      <c r="D268" s="9">
        <v>7</v>
      </c>
      <c r="E268" s="9">
        <v>26</v>
      </c>
      <c r="F268" s="9">
        <v>6</v>
      </c>
      <c r="G268" s="9">
        <v>0.72</v>
      </c>
      <c r="H268" s="9">
        <v>0.84</v>
      </c>
      <c r="I268" s="7" t="s">
        <v>49</v>
      </c>
    </row>
    <row r="269" spans="1:9" x14ac:dyDescent="0.2">
      <c r="A269" s="9">
        <v>0</v>
      </c>
      <c r="B269" s="9">
        <v>33</v>
      </c>
      <c r="C269" s="9">
        <v>9</v>
      </c>
      <c r="D269" s="9">
        <v>10</v>
      </c>
      <c r="E269" s="9">
        <v>28</v>
      </c>
      <c r="F269" s="9">
        <v>4.3</v>
      </c>
      <c r="G269" s="9">
        <v>0.38</v>
      </c>
      <c r="H269" s="9">
        <v>0.83</v>
      </c>
      <c r="I269" s="7" t="s">
        <v>49</v>
      </c>
    </row>
    <row r="270" spans="1:9" x14ac:dyDescent="0.2">
      <c r="A270" s="9">
        <v>0</v>
      </c>
      <c r="B270" s="9">
        <v>41</v>
      </c>
      <c r="C270" s="9">
        <v>15</v>
      </c>
      <c r="D270" s="9">
        <v>14</v>
      </c>
      <c r="E270" s="13">
        <v>117.54291069294821</v>
      </c>
      <c r="F270" s="9">
        <v>2.9</v>
      </c>
      <c r="G270" s="9">
        <v>2.66</v>
      </c>
      <c r="H270" s="9">
        <v>0.82</v>
      </c>
      <c r="I270" s="7" t="s">
        <v>49</v>
      </c>
    </row>
    <row r="271" spans="1:9" x14ac:dyDescent="0.2">
      <c r="A271" s="9">
        <v>0</v>
      </c>
      <c r="B271" s="9">
        <v>24</v>
      </c>
      <c r="C271" s="9">
        <v>8</v>
      </c>
      <c r="D271" s="9">
        <v>4</v>
      </c>
      <c r="E271" s="9">
        <v>24</v>
      </c>
      <c r="F271" s="9">
        <v>5</v>
      </c>
      <c r="G271" s="9">
        <v>0.38</v>
      </c>
      <c r="H271" s="9">
        <v>0.82</v>
      </c>
      <c r="I271" s="7" t="s">
        <v>49</v>
      </c>
    </row>
    <row r="272" spans="1:9" x14ac:dyDescent="0.2">
      <c r="A272" s="9">
        <v>1</v>
      </c>
      <c r="B272" s="9">
        <v>24</v>
      </c>
      <c r="C272" s="9">
        <v>1</v>
      </c>
      <c r="D272" s="9">
        <v>0</v>
      </c>
      <c r="E272" s="9">
        <v>18</v>
      </c>
      <c r="F272" s="9">
        <v>5.9</v>
      </c>
      <c r="G272" s="9">
        <v>0.24</v>
      </c>
      <c r="H272" s="9">
        <v>0.82</v>
      </c>
      <c r="I272" s="7" t="s">
        <v>49</v>
      </c>
    </row>
    <row r="273" spans="1:9" x14ac:dyDescent="0.2">
      <c r="A273" s="9">
        <v>0</v>
      </c>
      <c r="B273" s="9">
        <v>35</v>
      </c>
      <c r="C273" s="9">
        <v>5</v>
      </c>
      <c r="D273" s="9">
        <v>1</v>
      </c>
      <c r="E273" s="9">
        <v>33</v>
      </c>
      <c r="F273" s="9">
        <v>2.8</v>
      </c>
      <c r="G273" s="9">
        <v>0.1</v>
      </c>
      <c r="H273" s="9">
        <v>0.82</v>
      </c>
      <c r="I273" s="7" t="s">
        <v>49</v>
      </c>
    </row>
    <row r="274" spans="1:9" x14ac:dyDescent="0.2">
      <c r="A274" s="9">
        <v>0</v>
      </c>
      <c r="B274" s="9">
        <v>43</v>
      </c>
      <c r="C274" s="9">
        <v>8</v>
      </c>
      <c r="D274" s="9">
        <v>11</v>
      </c>
      <c r="E274" s="9">
        <v>45</v>
      </c>
      <c r="F274" s="9">
        <v>3.3</v>
      </c>
      <c r="G274" s="9">
        <v>0.68</v>
      </c>
      <c r="H274" s="9">
        <v>0.81</v>
      </c>
      <c r="I274" s="7" t="s">
        <v>49</v>
      </c>
    </row>
    <row r="275" spans="1:9" x14ac:dyDescent="0.2">
      <c r="A275" s="9">
        <v>0</v>
      </c>
      <c r="B275" s="9">
        <v>24</v>
      </c>
      <c r="C275" s="9">
        <v>7</v>
      </c>
      <c r="D275" s="9">
        <v>2</v>
      </c>
      <c r="E275" s="9">
        <v>21</v>
      </c>
      <c r="F275" s="9">
        <v>6.3</v>
      </c>
      <c r="G275" s="9">
        <v>0.52</v>
      </c>
      <c r="H275" s="9">
        <v>0.8</v>
      </c>
      <c r="I275" s="7" t="s">
        <v>49</v>
      </c>
    </row>
    <row r="276" spans="1:9" x14ac:dyDescent="0.2">
      <c r="A276" s="9">
        <v>0</v>
      </c>
      <c r="B276" s="9">
        <v>33</v>
      </c>
      <c r="C276" s="9">
        <v>7</v>
      </c>
      <c r="D276" s="9">
        <v>0</v>
      </c>
      <c r="E276" s="9">
        <v>22</v>
      </c>
      <c r="F276" s="9">
        <v>6.4</v>
      </c>
      <c r="G276" s="9">
        <v>0.63</v>
      </c>
      <c r="H276" s="9">
        <v>0.78</v>
      </c>
      <c r="I276" s="7" t="s">
        <v>49</v>
      </c>
    </row>
    <row r="277" spans="1:9" x14ac:dyDescent="0.2">
      <c r="A277" s="9">
        <v>0</v>
      </c>
      <c r="B277" s="9">
        <v>26</v>
      </c>
      <c r="C277" s="9">
        <v>4</v>
      </c>
      <c r="D277" s="9">
        <v>3</v>
      </c>
      <c r="E277" s="9">
        <v>20</v>
      </c>
      <c r="F277" s="9">
        <v>5.4</v>
      </c>
      <c r="G277" s="9">
        <v>0.32</v>
      </c>
      <c r="H277" s="9">
        <v>0.76</v>
      </c>
      <c r="I277" s="7" t="s">
        <v>49</v>
      </c>
    </row>
    <row r="278" spans="1:9" x14ac:dyDescent="0.2">
      <c r="A278" s="9">
        <v>0</v>
      </c>
      <c r="B278" s="9">
        <v>33</v>
      </c>
      <c r="C278" s="9">
        <v>14</v>
      </c>
      <c r="D278" s="9">
        <v>2</v>
      </c>
      <c r="E278" s="9">
        <v>37</v>
      </c>
      <c r="F278" s="9">
        <v>2.6</v>
      </c>
      <c r="G278" s="9">
        <v>0.2</v>
      </c>
      <c r="H278" s="9">
        <v>0.76</v>
      </c>
      <c r="I278" s="7" t="s">
        <v>49</v>
      </c>
    </row>
    <row r="279" spans="1:9" x14ac:dyDescent="0.2">
      <c r="A279" s="9">
        <v>0</v>
      </c>
      <c r="B279" s="9">
        <v>39</v>
      </c>
      <c r="C279" s="9">
        <v>19</v>
      </c>
      <c r="D279" s="9">
        <v>16</v>
      </c>
      <c r="E279" s="9">
        <v>45</v>
      </c>
      <c r="F279" s="9">
        <v>3.7</v>
      </c>
      <c r="G279" s="9">
        <v>0.92</v>
      </c>
      <c r="H279" s="9">
        <v>0.75</v>
      </c>
      <c r="I279" s="7" t="s">
        <v>49</v>
      </c>
    </row>
    <row r="280" spans="1:9" x14ac:dyDescent="0.2">
      <c r="A280" s="9">
        <v>1</v>
      </c>
      <c r="B280" s="9">
        <v>27</v>
      </c>
      <c r="C280" s="9">
        <v>7</v>
      </c>
      <c r="D280" s="9">
        <v>8</v>
      </c>
      <c r="E280" s="9">
        <v>30</v>
      </c>
      <c r="F280" s="9">
        <v>4</v>
      </c>
      <c r="G280" s="9">
        <v>0.45</v>
      </c>
      <c r="H280" s="9">
        <v>0.75</v>
      </c>
      <c r="I280" s="7" t="s">
        <v>49</v>
      </c>
    </row>
    <row r="281" spans="1:9" x14ac:dyDescent="0.2">
      <c r="A281" s="9">
        <v>1</v>
      </c>
      <c r="B281" s="9">
        <v>32</v>
      </c>
      <c r="C281" s="9">
        <v>0</v>
      </c>
      <c r="D281" s="9">
        <v>6</v>
      </c>
      <c r="E281" s="9">
        <v>18</v>
      </c>
      <c r="F281" s="9">
        <v>5.8</v>
      </c>
      <c r="G281" s="9">
        <v>0.3</v>
      </c>
      <c r="H281" s="9">
        <v>0.75</v>
      </c>
      <c r="I281" s="7" t="s">
        <v>49</v>
      </c>
    </row>
    <row r="282" spans="1:9" x14ac:dyDescent="0.2">
      <c r="A282" s="9">
        <v>1</v>
      </c>
      <c r="B282" s="9">
        <v>26</v>
      </c>
      <c r="C282" s="9">
        <v>0</v>
      </c>
      <c r="D282" s="9">
        <v>0</v>
      </c>
      <c r="E282" s="9">
        <v>14</v>
      </c>
      <c r="F282" s="9">
        <v>7.5</v>
      </c>
      <c r="G282" s="9">
        <v>0.3</v>
      </c>
      <c r="H282" s="9">
        <v>0.75</v>
      </c>
      <c r="I282" s="7" t="s">
        <v>49</v>
      </c>
    </row>
    <row r="283" spans="1:9" x14ac:dyDescent="0.2">
      <c r="A283" s="9">
        <v>1</v>
      </c>
      <c r="B283" s="9">
        <v>24</v>
      </c>
      <c r="C283" s="9">
        <v>2</v>
      </c>
      <c r="D283" s="9">
        <v>5</v>
      </c>
      <c r="E283" s="9">
        <v>16</v>
      </c>
      <c r="F283" s="9">
        <v>6.4</v>
      </c>
      <c r="G283" s="9">
        <v>0.27</v>
      </c>
      <c r="H283" s="9">
        <v>0.75</v>
      </c>
      <c r="I283" s="7" t="s">
        <v>49</v>
      </c>
    </row>
    <row r="284" spans="1:9" x14ac:dyDescent="0.2">
      <c r="A284" s="9">
        <v>1</v>
      </c>
      <c r="B284" s="9">
        <v>37</v>
      </c>
      <c r="C284" s="9">
        <v>0</v>
      </c>
      <c r="D284" s="9">
        <v>18</v>
      </c>
      <c r="E284" s="9">
        <v>18</v>
      </c>
      <c r="F284" s="9">
        <v>12.9</v>
      </c>
      <c r="G284" s="9">
        <v>1.58</v>
      </c>
      <c r="H284" s="9">
        <v>0.74</v>
      </c>
      <c r="I284" s="7" t="s">
        <v>49</v>
      </c>
    </row>
    <row r="285" spans="1:9" x14ac:dyDescent="0.2">
      <c r="A285" s="9">
        <v>0</v>
      </c>
      <c r="B285" s="9">
        <v>32</v>
      </c>
      <c r="C285" s="9">
        <v>8</v>
      </c>
      <c r="D285" s="9">
        <v>6</v>
      </c>
      <c r="E285" s="9">
        <v>26</v>
      </c>
      <c r="F285" s="9">
        <v>4.0999999999999996</v>
      </c>
      <c r="G285" s="9">
        <v>0.33</v>
      </c>
      <c r="H285" s="9">
        <v>0.74</v>
      </c>
      <c r="I285" s="7" t="s">
        <v>49</v>
      </c>
    </row>
    <row r="286" spans="1:9" x14ac:dyDescent="0.2">
      <c r="A286" s="9">
        <v>0</v>
      </c>
      <c r="B286" s="9">
        <v>30</v>
      </c>
      <c r="C286" s="9">
        <v>2</v>
      </c>
      <c r="D286" s="9">
        <v>8</v>
      </c>
      <c r="E286" s="9">
        <v>25</v>
      </c>
      <c r="F286" s="9">
        <v>10</v>
      </c>
      <c r="G286" s="9">
        <v>1.77</v>
      </c>
      <c r="H286" s="9">
        <v>0.73</v>
      </c>
      <c r="I286" s="7" t="s">
        <v>49</v>
      </c>
    </row>
    <row r="287" spans="1:9" x14ac:dyDescent="0.2">
      <c r="A287" s="9">
        <v>1</v>
      </c>
      <c r="B287" s="9">
        <v>23</v>
      </c>
      <c r="C287" s="9">
        <v>2</v>
      </c>
      <c r="D287" s="9">
        <v>2</v>
      </c>
      <c r="E287" s="9">
        <v>16</v>
      </c>
      <c r="F287" s="9">
        <v>9.6</v>
      </c>
      <c r="G287" s="9">
        <v>0.8</v>
      </c>
      <c r="H287" s="9">
        <v>0.73</v>
      </c>
      <c r="I287" s="7" t="s">
        <v>49</v>
      </c>
    </row>
    <row r="288" spans="1:9" x14ac:dyDescent="0.2">
      <c r="A288" s="9">
        <v>0</v>
      </c>
      <c r="B288" s="9">
        <v>32</v>
      </c>
      <c r="C288" s="9">
        <v>5</v>
      </c>
      <c r="D288" s="9">
        <v>9</v>
      </c>
      <c r="E288" s="9">
        <v>23</v>
      </c>
      <c r="F288" s="9">
        <v>4.5</v>
      </c>
      <c r="G288" s="9">
        <v>0.33</v>
      </c>
      <c r="H288" s="9">
        <v>0.71</v>
      </c>
      <c r="I288" s="7" t="s">
        <v>49</v>
      </c>
    </row>
    <row r="289" spans="1:9" x14ac:dyDescent="0.2">
      <c r="A289" s="9">
        <v>0</v>
      </c>
      <c r="B289" s="9">
        <v>32</v>
      </c>
      <c r="C289" s="9">
        <v>12</v>
      </c>
      <c r="D289" s="9">
        <v>12</v>
      </c>
      <c r="E289" s="9">
        <v>28</v>
      </c>
      <c r="F289" s="9">
        <v>2.9</v>
      </c>
      <c r="G289" s="9">
        <v>0.12</v>
      </c>
      <c r="H289" s="9">
        <v>0.7</v>
      </c>
      <c r="I289" s="7" t="s">
        <v>49</v>
      </c>
    </row>
    <row r="290" spans="1:9" x14ac:dyDescent="0.2">
      <c r="A290" s="9">
        <v>0</v>
      </c>
      <c r="B290" s="9">
        <v>40</v>
      </c>
      <c r="C290" s="9">
        <v>13</v>
      </c>
      <c r="D290" s="9">
        <v>2</v>
      </c>
      <c r="E290" s="9">
        <v>28</v>
      </c>
      <c r="F290" s="9">
        <v>5.9</v>
      </c>
      <c r="G290" s="9">
        <v>0.96</v>
      </c>
      <c r="H290" s="9">
        <v>0.69</v>
      </c>
      <c r="I290" s="7" t="s">
        <v>49</v>
      </c>
    </row>
    <row r="291" spans="1:9" x14ac:dyDescent="0.2">
      <c r="A291" s="9">
        <v>0</v>
      </c>
      <c r="B291" s="9">
        <v>32</v>
      </c>
      <c r="C291" s="9">
        <v>8</v>
      </c>
      <c r="D291" s="9">
        <v>2</v>
      </c>
      <c r="E291" s="9">
        <v>45</v>
      </c>
      <c r="F291" s="9">
        <v>3.7</v>
      </c>
      <c r="G291" s="9">
        <v>0.98</v>
      </c>
      <c r="H291" s="9">
        <v>0.68</v>
      </c>
      <c r="I291" s="7" t="s">
        <v>49</v>
      </c>
    </row>
    <row r="292" spans="1:9" x14ac:dyDescent="0.2">
      <c r="A292" s="9">
        <v>0</v>
      </c>
      <c r="B292" s="9">
        <v>41</v>
      </c>
      <c r="C292" s="9">
        <v>13</v>
      </c>
      <c r="D292" s="9">
        <v>10</v>
      </c>
      <c r="E292" s="9">
        <v>44</v>
      </c>
      <c r="F292" s="9">
        <v>1.7</v>
      </c>
      <c r="G292" s="9">
        <v>7.0000000000000007E-2</v>
      </c>
      <c r="H292" s="9">
        <v>0.68</v>
      </c>
      <c r="I292" s="7" t="s">
        <v>49</v>
      </c>
    </row>
    <row r="293" spans="1:9" x14ac:dyDescent="0.2">
      <c r="A293" s="9">
        <v>1</v>
      </c>
      <c r="B293" s="9">
        <v>32</v>
      </c>
      <c r="C293" s="9">
        <v>1</v>
      </c>
      <c r="D293" s="9">
        <v>0</v>
      </c>
      <c r="E293" s="9">
        <v>20</v>
      </c>
      <c r="F293" s="9">
        <v>4.8</v>
      </c>
      <c r="G293" s="9">
        <v>0.31</v>
      </c>
      <c r="H293" s="9">
        <v>0.65</v>
      </c>
      <c r="I293" s="7" t="s">
        <v>49</v>
      </c>
    </row>
    <row r="294" spans="1:9" x14ac:dyDescent="0.2">
      <c r="A294" s="9">
        <v>0</v>
      </c>
      <c r="B294" s="9">
        <v>37</v>
      </c>
      <c r="C294" s="9">
        <v>3</v>
      </c>
      <c r="D294" s="9">
        <v>3</v>
      </c>
      <c r="E294" s="9">
        <v>25</v>
      </c>
      <c r="F294" s="9">
        <v>3.7</v>
      </c>
      <c r="G294" s="9">
        <v>0.28000000000000003</v>
      </c>
      <c r="H294" s="9">
        <v>0.65</v>
      </c>
      <c r="I294" s="7" t="s">
        <v>49</v>
      </c>
    </row>
    <row r="295" spans="1:9" x14ac:dyDescent="0.2">
      <c r="A295" s="9">
        <v>0</v>
      </c>
      <c r="B295" s="9">
        <v>31</v>
      </c>
      <c r="C295" s="9">
        <v>9</v>
      </c>
      <c r="D295" s="9">
        <v>10</v>
      </c>
      <c r="E295" s="9">
        <v>28</v>
      </c>
      <c r="F295" s="9">
        <v>2.4</v>
      </c>
      <c r="G295" s="9">
        <v>0.05</v>
      </c>
      <c r="H295" s="9">
        <v>0.62</v>
      </c>
      <c r="I295" s="7" t="s">
        <v>49</v>
      </c>
    </row>
    <row r="296" spans="1:9" x14ac:dyDescent="0.2">
      <c r="A296" s="9">
        <v>0</v>
      </c>
      <c r="B296" s="9">
        <v>38</v>
      </c>
      <c r="C296" s="9">
        <v>3</v>
      </c>
      <c r="D296" s="9">
        <v>18</v>
      </c>
      <c r="E296" s="9">
        <v>25</v>
      </c>
      <c r="F296" s="9">
        <v>3.7</v>
      </c>
      <c r="G296" s="9">
        <v>0.31</v>
      </c>
      <c r="H296" s="9">
        <v>0.61</v>
      </c>
      <c r="I296" s="7" t="s">
        <v>49</v>
      </c>
    </row>
    <row r="297" spans="1:9" x14ac:dyDescent="0.2">
      <c r="A297" s="9">
        <v>0</v>
      </c>
      <c r="B297" s="9">
        <v>32</v>
      </c>
      <c r="C297" s="9">
        <v>14</v>
      </c>
      <c r="D297" s="9">
        <v>0</v>
      </c>
      <c r="E297" s="9">
        <v>36</v>
      </c>
      <c r="F297" s="9">
        <v>2.4</v>
      </c>
      <c r="G297" s="9">
        <v>0.27</v>
      </c>
      <c r="H297" s="9">
        <v>0.59</v>
      </c>
      <c r="I297" s="7" t="s">
        <v>49</v>
      </c>
    </row>
    <row r="298" spans="1:9" x14ac:dyDescent="0.2">
      <c r="A298" s="9">
        <v>0</v>
      </c>
      <c r="B298" s="9">
        <v>35</v>
      </c>
      <c r="C298" s="9">
        <v>13</v>
      </c>
      <c r="D298" s="9">
        <v>3</v>
      </c>
      <c r="E298" s="9">
        <v>105</v>
      </c>
      <c r="F298" s="9">
        <v>1.9</v>
      </c>
      <c r="G298" s="9">
        <v>1.42</v>
      </c>
      <c r="H298" s="9">
        <v>0.57999999999999996</v>
      </c>
      <c r="I298" s="7" t="s">
        <v>49</v>
      </c>
    </row>
    <row r="299" spans="1:9" x14ac:dyDescent="0.2">
      <c r="A299" s="9">
        <v>0</v>
      </c>
      <c r="B299" s="9">
        <v>26</v>
      </c>
      <c r="C299" s="9">
        <v>6</v>
      </c>
      <c r="D299" s="9">
        <v>0</v>
      </c>
      <c r="E299" s="9">
        <v>35</v>
      </c>
      <c r="F299" s="9">
        <v>1.9</v>
      </c>
      <c r="G299" s="9">
        <v>0.09</v>
      </c>
      <c r="H299" s="9">
        <v>0.57999999999999996</v>
      </c>
      <c r="I299" s="7" t="s">
        <v>49</v>
      </c>
    </row>
    <row r="300" spans="1:9" x14ac:dyDescent="0.2">
      <c r="A300" s="9">
        <v>1</v>
      </c>
      <c r="B300" s="9">
        <v>28</v>
      </c>
      <c r="C300" s="9">
        <v>2</v>
      </c>
      <c r="D300" s="9">
        <v>4</v>
      </c>
      <c r="E300" s="9">
        <v>41</v>
      </c>
      <c r="F300" s="9">
        <v>2.5</v>
      </c>
      <c r="G300" s="9">
        <v>0.46</v>
      </c>
      <c r="H300" s="9">
        <v>0.56999999999999995</v>
      </c>
      <c r="I300" s="7" t="s">
        <v>49</v>
      </c>
    </row>
    <row r="301" spans="1:9" x14ac:dyDescent="0.2">
      <c r="A301" s="9">
        <v>0</v>
      </c>
      <c r="B301" s="9">
        <v>36</v>
      </c>
      <c r="C301" s="9">
        <v>15</v>
      </c>
      <c r="D301" s="9">
        <v>10</v>
      </c>
      <c r="E301" s="9">
        <v>39</v>
      </c>
      <c r="F301" s="9">
        <v>3.2</v>
      </c>
      <c r="G301" s="9">
        <v>0.69</v>
      </c>
      <c r="H301" s="9">
        <v>0.56000000000000005</v>
      </c>
      <c r="I301" s="7" t="s">
        <v>49</v>
      </c>
    </row>
    <row r="302" spans="1:9" x14ac:dyDescent="0.2">
      <c r="A302" s="9">
        <v>0</v>
      </c>
      <c r="B302" s="9">
        <v>39</v>
      </c>
      <c r="C302" s="9">
        <v>18</v>
      </c>
      <c r="D302" s="9">
        <v>9</v>
      </c>
      <c r="E302" s="9">
        <v>44</v>
      </c>
      <c r="F302" s="9">
        <v>2.1</v>
      </c>
      <c r="G302" s="9">
        <v>0.37</v>
      </c>
      <c r="H302" s="9">
        <v>0.56000000000000005</v>
      </c>
      <c r="I302" s="7" t="s">
        <v>49</v>
      </c>
    </row>
    <row r="303" spans="1:9" x14ac:dyDescent="0.2">
      <c r="A303" s="9">
        <v>0</v>
      </c>
      <c r="B303" s="9">
        <v>39</v>
      </c>
      <c r="C303" s="9">
        <v>8</v>
      </c>
      <c r="D303" s="9">
        <v>0</v>
      </c>
      <c r="E303" s="9">
        <v>21</v>
      </c>
      <c r="F303" s="9">
        <v>4</v>
      </c>
      <c r="G303" s="9">
        <v>0.28000000000000003</v>
      </c>
      <c r="H303" s="9">
        <v>0.56000000000000005</v>
      </c>
      <c r="I303" s="7" t="s">
        <v>49</v>
      </c>
    </row>
    <row r="304" spans="1:9" x14ac:dyDescent="0.2">
      <c r="A304" s="9">
        <v>0</v>
      </c>
      <c r="B304" s="9">
        <v>39</v>
      </c>
      <c r="C304" s="9">
        <v>15</v>
      </c>
      <c r="D304" s="9">
        <v>16</v>
      </c>
      <c r="E304" s="9">
        <v>39</v>
      </c>
      <c r="F304" s="9">
        <v>1.8</v>
      </c>
      <c r="G304" s="9">
        <v>0.14000000000000001</v>
      </c>
      <c r="H304" s="9">
        <v>0.56000000000000005</v>
      </c>
      <c r="I304" s="7" t="s">
        <v>49</v>
      </c>
    </row>
    <row r="305" spans="1:9" x14ac:dyDescent="0.2">
      <c r="A305" s="9">
        <v>0</v>
      </c>
      <c r="B305" s="9">
        <v>29</v>
      </c>
      <c r="C305" s="9">
        <v>13</v>
      </c>
      <c r="D305" s="9">
        <v>7</v>
      </c>
      <c r="E305" s="9">
        <v>27</v>
      </c>
      <c r="F305" s="9">
        <v>2.2999999999999998</v>
      </c>
      <c r="G305" s="9">
        <v>7.0000000000000007E-2</v>
      </c>
      <c r="H305" s="9">
        <v>0.55000000000000004</v>
      </c>
      <c r="I305" s="7" t="s">
        <v>49</v>
      </c>
    </row>
    <row r="306" spans="1:9" x14ac:dyDescent="0.2">
      <c r="A306" s="9">
        <v>0</v>
      </c>
      <c r="B306" s="9">
        <v>40</v>
      </c>
      <c r="C306" s="9">
        <v>5</v>
      </c>
      <c r="D306" s="9">
        <v>6</v>
      </c>
      <c r="E306" s="9">
        <v>75</v>
      </c>
      <c r="F306" s="9">
        <v>1.9</v>
      </c>
      <c r="G306" s="9">
        <v>0.88</v>
      </c>
      <c r="H306" s="9">
        <v>0.54</v>
      </c>
      <c r="I306" s="7" t="s">
        <v>49</v>
      </c>
    </row>
    <row r="307" spans="1:9" x14ac:dyDescent="0.2">
      <c r="A307" s="9">
        <v>0</v>
      </c>
      <c r="B307" s="9">
        <v>29</v>
      </c>
      <c r="C307" s="9">
        <v>4</v>
      </c>
      <c r="D307" s="9">
        <v>9</v>
      </c>
      <c r="E307" s="9">
        <v>19</v>
      </c>
      <c r="F307" s="9">
        <v>6.3</v>
      </c>
      <c r="G307" s="9">
        <v>0.68</v>
      </c>
      <c r="H307" s="9">
        <v>0.52</v>
      </c>
      <c r="I307" s="7" t="s">
        <v>49</v>
      </c>
    </row>
    <row r="308" spans="1:9" x14ac:dyDescent="0.2">
      <c r="A308" s="9">
        <v>0</v>
      </c>
      <c r="B308" s="9">
        <v>37</v>
      </c>
      <c r="C308" s="9">
        <v>20</v>
      </c>
      <c r="D308" s="9">
        <v>2</v>
      </c>
      <c r="E308" s="9">
        <v>56</v>
      </c>
      <c r="F308" s="9">
        <v>1.9</v>
      </c>
      <c r="G308" s="9">
        <v>0.54</v>
      </c>
      <c r="H308" s="9">
        <v>0.52</v>
      </c>
      <c r="I308" s="7" t="s">
        <v>49</v>
      </c>
    </row>
    <row r="309" spans="1:9" x14ac:dyDescent="0.2">
      <c r="A309" s="9">
        <v>0</v>
      </c>
      <c r="B309" s="9">
        <v>22</v>
      </c>
      <c r="C309" s="9">
        <v>1</v>
      </c>
      <c r="D309" s="9">
        <v>0</v>
      </c>
      <c r="E309" s="9">
        <v>18</v>
      </c>
      <c r="F309" s="9">
        <v>4.4000000000000004</v>
      </c>
      <c r="G309" s="9">
        <v>0.27</v>
      </c>
      <c r="H309" s="9">
        <v>0.52</v>
      </c>
      <c r="I309" s="7" t="s">
        <v>49</v>
      </c>
    </row>
    <row r="310" spans="1:9" x14ac:dyDescent="0.2">
      <c r="A310" s="9">
        <v>0</v>
      </c>
      <c r="B310" s="9">
        <v>28</v>
      </c>
      <c r="C310" s="9">
        <v>3</v>
      </c>
      <c r="D310" s="9">
        <v>7</v>
      </c>
      <c r="E310" s="9">
        <v>19</v>
      </c>
      <c r="F310" s="9">
        <v>4.0999999999999996</v>
      </c>
      <c r="G310" s="9">
        <v>0.26</v>
      </c>
      <c r="H310" s="9">
        <v>0.52</v>
      </c>
      <c r="I310" s="7" t="s">
        <v>49</v>
      </c>
    </row>
    <row r="311" spans="1:9" x14ac:dyDescent="0.2">
      <c r="A311" s="9">
        <v>0</v>
      </c>
      <c r="B311" s="9">
        <v>39</v>
      </c>
      <c r="C311" s="9">
        <v>22</v>
      </c>
      <c r="D311" s="9">
        <v>3</v>
      </c>
      <c r="E311" s="9">
        <v>52</v>
      </c>
      <c r="F311" s="9">
        <v>3.2</v>
      </c>
      <c r="G311" s="9">
        <v>1.1499999999999999</v>
      </c>
      <c r="H311" s="9">
        <v>0.51</v>
      </c>
      <c r="I311" s="7" t="s">
        <v>49</v>
      </c>
    </row>
    <row r="312" spans="1:9" x14ac:dyDescent="0.2">
      <c r="A312" s="9">
        <v>0</v>
      </c>
      <c r="B312" s="9">
        <v>30</v>
      </c>
      <c r="C312" s="9">
        <v>10</v>
      </c>
      <c r="D312" s="9">
        <v>2</v>
      </c>
      <c r="E312" s="9">
        <v>19</v>
      </c>
      <c r="F312" s="9">
        <v>4.4000000000000004</v>
      </c>
      <c r="G312" s="9">
        <v>0.34</v>
      </c>
      <c r="H312" s="9">
        <v>0.5</v>
      </c>
      <c r="I312" s="7" t="s">
        <v>49</v>
      </c>
    </row>
    <row r="313" spans="1:9" x14ac:dyDescent="0.2">
      <c r="A313" s="9">
        <v>0</v>
      </c>
      <c r="B313" s="9">
        <v>36</v>
      </c>
      <c r="C313" s="9">
        <v>8</v>
      </c>
      <c r="D313" s="9">
        <v>0</v>
      </c>
      <c r="E313" s="9">
        <v>32</v>
      </c>
      <c r="F313" s="9">
        <v>1.6</v>
      </c>
      <c r="G313" s="9">
        <v>0.02</v>
      </c>
      <c r="H313" s="9">
        <v>0.49</v>
      </c>
      <c r="I313" s="7" t="s">
        <v>49</v>
      </c>
    </row>
    <row r="314" spans="1:9" x14ac:dyDescent="0.2">
      <c r="A314" s="9">
        <v>0</v>
      </c>
      <c r="B314" s="9">
        <v>28</v>
      </c>
      <c r="C314" s="9">
        <v>5</v>
      </c>
      <c r="D314" s="9">
        <v>9</v>
      </c>
      <c r="E314" s="9">
        <v>22</v>
      </c>
      <c r="F314" s="9">
        <v>2.8</v>
      </c>
      <c r="G314" s="9">
        <v>0.14000000000000001</v>
      </c>
      <c r="H314" s="9">
        <v>0.48</v>
      </c>
      <c r="I314" s="7" t="s">
        <v>49</v>
      </c>
    </row>
    <row r="315" spans="1:9" x14ac:dyDescent="0.2">
      <c r="A315" s="9">
        <v>0</v>
      </c>
      <c r="B315" s="9">
        <v>26</v>
      </c>
      <c r="C315" s="9">
        <v>10</v>
      </c>
      <c r="D315" s="9">
        <v>1</v>
      </c>
      <c r="E315" s="9">
        <v>25</v>
      </c>
      <c r="F315" s="9">
        <v>7.1</v>
      </c>
      <c r="G315" s="9">
        <v>1.31</v>
      </c>
      <c r="H315" s="9">
        <v>0.47</v>
      </c>
      <c r="I315" s="7" t="s">
        <v>49</v>
      </c>
    </row>
    <row r="316" spans="1:9" x14ac:dyDescent="0.2">
      <c r="A316" s="9">
        <v>0</v>
      </c>
      <c r="B316" s="9">
        <v>40</v>
      </c>
      <c r="C316" s="9">
        <v>8</v>
      </c>
      <c r="D316" s="9">
        <v>17</v>
      </c>
      <c r="E316" s="9">
        <v>28</v>
      </c>
      <c r="F316" s="9">
        <v>3.6</v>
      </c>
      <c r="G316" s="9">
        <v>0.53</v>
      </c>
      <c r="H316" s="9">
        <v>0.47</v>
      </c>
      <c r="I316" s="7" t="s">
        <v>49</v>
      </c>
    </row>
    <row r="317" spans="1:9" x14ac:dyDescent="0.2">
      <c r="A317" s="9">
        <v>0</v>
      </c>
      <c r="B317" s="9">
        <v>26</v>
      </c>
      <c r="C317" s="9">
        <v>1</v>
      </c>
      <c r="D317" s="9">
        <v>7</v>
      </c>
      <c r="E317" s="9">
        <v>27</v>
      </c>
      <c r="F317" s="9">
        <v>2.9</v>
      </c>
      <c r="G317" s="9">
        <v>0.31</v>
      </c>
      <c r="H317" s="9">
        <v>0.47</v>
      </c>
      <c r="I317" s="7" t="s">
        <v>49</v>
      </c>
    </row>
    <row r="318" spans="1:9" x14ac:dyDescent="0.2">
      <c r="A318" s="9">
        <v>0</v>
      </c>
      <c r="B318" s="9">
        <v>32</v>
      </c>
      <c r="C318" s="9">
        <v>3</v>
      </c>
      <c r="D318" s="9">
        <v>13</v>
      </c>
      <c r="E318" s="9">
        <v>47</v>
      </c>
      <c r="F318" s="9">
        <v>1.9</v>
      </c>
      <c r="G318" s="9">
        <v>0.43</v>
      </c>
      <c r="H318" s="9">
        <v>0.46</v>
      </c>
      <c r="I318" s="7" t="s">
        <v>49</v>
      </c>
    </row>
    <row r="319" spans="1:9" x14ac:dyDescent="0.2">
      <c r="A319" s="9">
        <v>0</v>
      </c>
      <c r="B319" s="9">
        <v>24</v>
      </c>
      <c r="C319" s="9">
        <v>3</v>
      </c>
      <c r="D319" s="9">
        <v>0</v>
      </c>
      <c r="E319" s="9">
        <v>19</v>
      </c>
      <c r="F319" s="9">
        <v>4.3</v>
      </c>
      <c r="G319" s="9">
        <v>0.36</v>
      </c>
      <c r="H319" s="9">
        <v>0.46</v>
      </c>
      <c r="I319" s="7" t="s">
        <v>49</v>
      </c>
    </row>
    <row r="320" spans="1:9" x14ac:dyDescent="0.2">
      <c r="A320" s="9">
        <v>0</v>
      </c>
      <c r="B320" s="9">
        <v>38</v>
      </c>
      <c r="C320" s="9">
        <v>4</v>
      </c>
      <c r="D320" s="9">
        <v>13</v>
      </c>
      <c r="E320" s="9">
        <v>56</v>
      </c>
      <c r="F320" s="9">
        <v>1.6</v>
      </c>
      <c r="G320" s="9">
        <v>0.44</v>
      </c>
      <c r="H320" s="9">
        <v>0.45</v>
      </c>
      <c r="I320" s="7" t="s">
        <v>49</v>
      </c>
    </row>
    <row r="321" spans="1:9" x14ac:dyDescent="0.2">
      <c r="A321" s="9">
        <v>0</v>
      </c>
      <c r="B321" s="9">
        <v>24</v>
      </c>
      <c r="C321" s="9">
        <v>4</v>
      </c>
      <c r="D321" s="9">
        <v>2</v>
      </c>
      <c r="E321" s="9">
        <v>21</v>
      </c>
      <c r="F321" s="9">
        <v>2.6</v>
      </c>
      <c r="G321" s="9">
        <v>0.1</v>
      </c>
      <c r="H321" s="9">
        <v>0.45</v>
      </c>
      <c r="I321" s="7" t="s">
        <v>49</v>
      </c>
    </row>
    <row r="322" spans="1:9" x14ac:dyDescent="0.2">
      <c r="A322" s="9">
        <v>0</v>
      </c>
      <c r="B322" s="9">
        <v>41</v>
      </c>
      <c r="C322" s="9">
        <v>14</v>
      </c>
      <c r="D322" s="9">
        <v>3</v>
      </c>
      <c r="E322" s="9">
        <v>44</v>
      </c>
      <c r="F322" s="9">
        <v>1.7</v>
      </c>
      <c r="G322" s="9">
        <v>0.35</v>
      </c>
      <c r="H322" s="9">
        <v>0.39</v>
      </c>
      <c r="I322" s="7" t="s">
        <v>49</v>
      </c>
    </row>
    <row r="323" spans="1:9" x14ac:dyDescent="0.2">
      <c r="A323" s="9">
        <v>1</v>
      </c>
      <c r="B323" s="9">
        <v>26</v>
      </c>
      <c r="C323" s="9">
        <v>4</v>
      </c>
      <c r="D323" s="9">
        <v>3</v>
      </c>
      <c r="E323" s="9">
        <v>27</v>
      </c>
      <c r="F323" s="9">
        <v>10.5</v>
      </c>
      <c r="G323" s="9">
        <v>2.4700000000000002</v>
      </c>
      <c r="H323" s="9">
        <v>0.36</v>
      </c>
      <c r="I323" s="7" t="s">
        <v>49</v>
      </c>
    </row>
    <row r="324" spans="1:9" x14ac:dyDescent="0.2">
      <c r="A324" s="9">
        <v>0</v>
      </c>
      <c r="B324" s="9">
        <v>41</v>
      </c>
      <c r="C324" s="9">
        <v>16</v>
      </c>
      <c r="D324" s="9">
        <v>22</v>
      </c>
      <c r="E324" s="9">
        <v>49</v>
      </c>
      <c r="F324" s="9">
        <v>1.6</v>
      </c>
      <c r="G324" s="9">
        <v>0.43</v>
      </c>
      <c r="H324" s="9">
        <v>0.35</v>
      </c>
      <c r="I324" s="7" t="s">
        <v>49</v>
      </c>
    </row>
    <row r="325" spans="1:9" x14ac:dyDescent="0.2">
      <c r="A325" s="9">
        <v>0</v>
      </c>
      <c r="B325" s="9">
        <v>41</v>
      </c>
      <c r="C325" s="9">
        <v>0</v>
      </c>
      <c r="D325" s="9">
        <v>21</v>
      </c>
      <c r="E325" s="9">
        <v>26</v>
      </c>
      <c r="F325" s="9">
        <v>1.7</v>
      </c>
      <c r="G325" s="9">
        <v>0.1</v>
      </c>
      <c r="H325" s="9">
        <v>0.34</v>
      </c>
      <c r="I325" s="7" t="s">
        <v>49</v>
      </c>
    </row>
    <row r="326" spans="1:9" x14ac:dyDescent="0.2">
      <c r="A326" s="9">
        <v>0</v>
      </c>
      <c r="B326" s="9">
        <v>45</v>
      </c>
      <c r="C326" s="9">
        <v>3</v>
      </c>
      <c r="D326" s="9">
        <v>15</v>
      </c>
      <c r="E326" s="9">
        <v>20</v>
      </c>
      <c r="F326" s="9">
        <v>2.1</v>
      </c>
      <c r="G326" s="9">
        <v>0.11</v>
      </c>
      <c r="H326" s="9">
        <v>0.32</v>
      </c>
      <c r="I326" s="7" t="s">
        <v>49</v>
      </c>
    </row>
    <row r="327" spans="1:9" x14ac:dyDescent="0.2">
      <c r="A327" s="9">
        <v>0</v>
      </c>
      <c r="B327" s="9">
        <v>29</v>
      </c>
      <c r="C327" s="9">
        <v>1</v>
      </c>
      <c r="D327" s="9">
        <v>4</v>
      </c>
      <c r="E327" s="9">
        <v>17</v>
      </c>
      <c r="F327" s="9">
        <v>2.5</v>
      </c>
      <c r="G327" s="9">
        <v>0.13</v>
      </c>
      <c r="H327" s="9">
        <v>0.28999999999999998</v>
      </c>
      <c r="I327" s="7" t="s">
        <v>49</v>
      </c>
    </row>
    <row r="328" spans="1:9" x14ac:dyDescent="0.2">
      <c r="A328" s="9">
        <v>1</v>
      </c>
      <c r="B328" s="9">
        <v>31</v>
      </c>
      <c r="C328" s="9">
        <v>1</v>
      </c>
      <c r="D328" s="9">
        <v>6</v>
      </c>
      <c r="E328" s="9">
        <v>21</v>
      </c>
      <c r="F328" s="9">
        <v>2.5</v>
      </c>
      <c r="G328" s="9">
        <v>0.28000000000000003</v>
      </c>
      <c r="H328" s="9">
        <v>0.25</v>
      </c>
      <c r="I328" s="7" t="s">
        <v>49</v>
      </c>
    </row>
    <row r="329" spans="1:9" x14ac:dyDescent="0.2">
      <c r="A329" s="9">
        <v>0</v>
      </c>
      <c r="B329" s="9">
        <v>29</v>
      </c>
      <c r="C329" s="9">
        <v>3</v>
      </c>
      <c r="D329" s="9">
        <v>8</v>
      </c>
      <c r="E329" s="9">
        <v>15</v>
      </c>
      <c r="F329" s="9">
        <v>2.6</v>
      </c>
      <c r="G329" s="9">
        <v>0.15</v>
      </c>
      <c r="H329" s="9">
        <v>0.24</v>
      </c>
      <c r="I329" s="7" t="s">
        <v>49</v>
      </c>
    </row>
    <row r="330" spans="1:9" x14ac:dyDescent="0.2">
      <c r="A330" s="9">
        <v>0</v>
      </c>
      <c r="B330" s="9">
        <v>41</v>
      </c>
      <c r="C330" s="9">
        <v>8</v>
      </c>
      <c r="D330" s="9">
        <v>21</v>
      </c>
      <c r="E330" s="9">
        <v>43</v>
      </c>
      <c r="F330" s="9">
        <v>0.7</v>
      </c>
      <c r="G330" s="9">
        <v>0.09</v>
      </c>
      <c r="H330" s="9">
        <v>0.22</v>
      </c>
      <c r="I330" s="7" t="s">
        <v>49</v>
      </c>
    </row>
    <row r="331" spans="1:9" x14ac:dyDescent="0.2">
      <c r="A331" s="9">
        <v>0</v>
      </c>
      <c r="B331" s="9">
        <v>43</v>
      </c>
      <c r="C331" s="9">
        <v>16</v>
      </c>
      <c r="D331" s="9">
        <v>7</v>
      </c>
      <c r="E331" s="9">
        <v>89</v>
      </c>
      <c r="F331" s="9">
        <v>0.4</v>
      </c>
      <c r="G331" s="9">
        <v>0.16</v>
      </c>
      <c r="H331" s="9">
        <v>0.2</v>
      </c>
      <c r="I331" s="7" t="s">
        <v>49</v>
      </c>
    </row>
    <row r="332" spans="1:9" x14ac:dyDescent="0.2">
      <c r="A332" s="9">
        <v>0</v>
      </c>
      <c r="B332" s="9">
        <v>34</v>
      </c>
      <c r="C332" s="9">
        <v>8</v>
      </c>
      <c r="D332" s="9">
        <v>16</v>
      </c>
      <c r="E332" s="9">
        <v>38</v>
      </c>
      <c r="F332" s="9">
        <v>0.6</v>
      </c>
      <c r="G332" s="9">
        <v>0.03</v>
      </c>
      <c r="H332" s="9">
        <v>0.2</v>
      </c>
      <c r="I332" s="7" t="s">
        <v>49</v>
      </c>
    </row>
    <row r="333" spans="1:9" x14ac:dyDescent="0.2">
      <c r="A333" s="9">
        <v>0</v>
      </c>
      <c r="B333" s="9">
        <v>35</v>
      </c>
      <c r="C333" s="9">
        <v>14</v>
      </c>
      <c r="D333" s="9">
        <v>3</v>
      </c>
      <c r="E333" s="9">
        <v>82</v>
      </c>
      <c r="F333" s="9">
        <v>0.8</v>
      </c>
      <c r="G333" s="9">
        <v>0.47</v>
      </c>
      <c r="H333" s="9">
        <v>0.19</v>
      </c>
      <c r="I333" s="7" t="s">
        <v>49</v>
      </c>
    </row>
    <row r="334" spans="1:9" x14ac:dyDescent="0.2">
      <c r="A334" s="9">
        <v>0</v>
      </c>
      <c r="B334" s="9">
        <v>50</v>
      </c>
      <c r="C334" s="9">
        <v>15</v>
      </c>
      <c r="D334" s="9">
        <v>31</v>
      </c>
      <c r="E334" s="9">
        <v>60</v>
      </c>
      <c r="F334" s="9">
        <v>1.1000000000000001</v>
      </c>
      <c r="G334" s="9">
        <v>0.47</v>
      </c>
      <c r="H334" s="9">
        <v>0.19</v>
      </c>
      <c r="I334" s="7" t="s">
        <v>49</v>
      </c>
    </row>
    <row r="335" spans="1:9" x14ac:dyDescent="0.2">
      <c r="A335" s="9">
        <v>0</v>
      </c>
      <c r="B335" s="9">
        <v>29</v>
      </c>
      <c r="C335" s="9">
        <v>1</v>
      </c>
      <c r="D335" s="9">
        <v>1</v>
      </c>
      <c r="E335" s="9">
        <v>18</v>
      </c>
      <c r="F335" s="9">
        <v>1.1000000000000001</v>
      </c>
      <c r="G335" s="9">
        <v>0.03</v>
      </c>
      <c r="H335" s="9">
        <v>0.17</v>
      </c>
      <c r="I335" s="7" t="s">
        <v>49</v>
      </c>
    </row>
    <row r="336" spans="1:9" x14ac:dyDescent="0.2">
      <c r="A336" s="9">
        <v>0</v>
      </c>
      <c r="B336" s="9">
        <v>26</v>
      </c>
      <c r="C336" s="9">
        <v>6</v>
      </c>
      <c r="D336" s="9">
        <v>6</v>
      </c>
      <c r="E336" s="9">
        <v>30</v>
      </c>
      <c r="F336" s="9">
        <v>1</v>
      </c>
      <c r="G336" s="9">
        <v>0.14000000000000001</v>
      </c>
      <c r="H336" s="9">
        <v>0.16</v>
      </c>
      <c r="I336" s="7" t="s">
        <v>49</v>
      </c>
    </row>
    <row r="337" spans="1:9" x14ac:dyDescent="0.2">
      <c r="A337" s="9">
        <v>0</v>
      </c>
      <c r="B337" s="9">
        <v>22</v>
      </c>
      <c r="C337" s="9">
        <v>4</v>
      </c>
      <c r="D337" s="9">
        <v>1</v>
      </c>
      <c r="E337" s="9">
        <v>16</v>
      </c>
      <c r="F337" s="9">
        <v>1.2</v>
      </c>
      <c r="G337" s="9">
        <v>0.08</v>
      </c>
      <c r="H337" s="9">
        <v>0.11</v>
      </c>
      <c r="I337" s="7" t="s">
        <v>49</v>
      </c>
    </row>
    <row r="338" spans="1:9" x14ac:dyDescent="0.2">
      <c r="A338" s="9">
        <v>0</v>
      </c>
      <c r="B338" s="9">
        <v>24</v>
      </c>
      <c r="C338" s="9">
        <v>2</v>
      </c>
      <c r="D338" s="9">
        <v>1</v>
      </c>
      <c r="E338" s="9">
        <v>21</v>
      </c>
      <c r="F338" s="9">
        <v>0.6</v>
      </c>
      <c r="G338" s="9">
        <v>0.03</v>
      </c>
      <c r="H338" s="9">
        <v>0.1</v>
      </c>
      <c r="I338" s="7" t="s">
        <v>49</v>
      </c>
    </row>
    <row r="339" spans="1:9" x14ac:dyDescent="0.2">
      <c r="A339" s="9">
        <v>1</v>
      </c>
      <c r="B339" s="9">
        <v>40</v>
      </c>
      <c r="C339" s="9">
        <v>5</v>
      </c>
      <c r="D339" s="9">
        <v>3</v>
      </c>
      <c r="E339" s="9">
        <v>0</v>
      </c>
      <c r="F339" s="9">
        <v>16</v>
      </c>
      <c r="G339" s="13">
        <v>5.4954845947359976</v>
      </c>
      <c r="H339" s="9">
        <v>0</v>
      </c>
      <c r="I339" s="7" t="s">
        <v>49</v>
      </c>
    </row>
    <row r="340" spans="1:9" x14ac:dyDescent="0.2">
      <c r="A340" s="9">
        <v>1</v>
      </c>
      <c r="B340" s="9">
        <v>30</v>
      </c>
      <c r="C340" s="9">
        <v>0</v>
      </c>
      <c r="D340" s="9">
        <v>8</v>
      </c>
      <c r="E340" s="9">
        <v>65</v>
      </c>
      <c r="F340" s="9">
        <v>29.7</v>
      </c>
      <c r="G340" s="9">
        <v>3.9</v>
      </c>
      <c r="H340" s="9">
        <v>0</v>
      </c>
      <c r="I340" s="7" t="s">
        <v>49</v>
      </c>
    </row>
    <row r="341" spans="1:9" x14ac:dyDescent="0.2">
      <c r="A341" s="9">
        <v>0</v>
      </c>
      <c r="B341" s="9">
        <v>41</v>
      </c>
      <c r="C341" s="9">
        <v>21</v>
      </c>
      <c r="D341" s="9">
        <v>22</v>
      </c>
      <c r="E341" s="13">
        <v>117.54291069294821</v>
      </c>
      <c r="F341" s="9">
        <v>12.2</v>
      </c>
      <c r="G341" s="9">
        <v>3.24</v>
      </c>
      <c r="H341" s="9">
        <v>0</v>
      </c>
      <c r="I341" s="7" t="s">
        <v>49</v>
      </c>
    </row>
    <row r="342" spans="1:9" x14ac:dyDescent="0.2">
      <c r="A342" s="9">
        <v>0</v>
      </c>
      <c r="B342" s="9">
        <v>51</v>
      </c>
      <c r="C342" s="9">
        <v>27</v>
      </c>
      <c r="D342" s="9">
        <v>21</v>
      </c>
      <c r="E342" s="9">
        <v>0</v>
      </c>
      <c r="F342" s="9">
        <v>11.5</v>
      </c>
      <c r="G342" s="9">
        <v>0.82</v>
      </c>
      <c r="H342" s="9">
        <v>0</v>
      </c>
      <c r="I342" s="7" t="s">
        <v>49</v>
      </c>
    </row>
    <row r="343" spans="1:9" x14ac:dyDescent="0.2">
      <c r="A343" s="9">
        <v>1</v>
      </c>
      <c r="B343" s="9">
        <v>33</v>
      </c>
      <c r="C343" s="9">
        <v>14</v>
      </c>
      <c r="D343" s="9">
        <v>8</v>
      </c>
      <c r="E343" s="9">
        <v>72</v>
      </c>
      <c r="F343" s="9">
        <v>0</v>
      </c>
      <c r="G343" s="9">
        <v>0</v>
      </c>
      <c r="H343" s="9">
        <v>0</v>
      </c>
      <c r="I343" s="7" t="s">
        <v>49</v>
      </c>
    </row>
    <row r="344" spans="1:9" x14ac:dyDescent="0.2">
      <c r="A344" s="9">
        <v>1</v>
      </c>
      <c r="B344" s="9">
        <v>47</v>
      </c>
      <c r="C344" s="9">
        <v>16</v>
      </c>
      <c r="D344" s="9">
        <v>26</v>
      </c>
      <c r="E344" s="9">
        <v>0</v>
      </c>
      <c r="F344" s="9">
        <v>17.600000000000001</v>
      </c>
      <c r="G344" s="9">
        <v>0</v>
      </c>
      <c r="H344" s="9">
        <v>0</v>
      </c>
      <c r="I344" s="7" t="s">
        <v>49</v>
      </c>
    </row>
    <row r="345" spans="1:9" x14ac:dyDescent="0.2">
      <c r="A345" s="9">
        <v>0</v>
      </c>
      <c r="B345" s="9">
        <v>40</v>
      </c>
      <c r="C345" s="9">
        <v>12</v>
      </c>
      <c r="D345" s="9">
        <v>6</v>
      </c>
      <c r="E345" s="9">
        <v>89</v>
      </c>
      <c r="F345" s="9">
        <v>17.399999999999999</v>
      </c>
      <c r="G345" s="9">
        <v>2.77</v>
      </c>
      <c r="H345" s="13">
        <v>10.154483815851645</v>
      </c>
      <c r="I345" s="7" t="s">
        <v>49</v>
      </c>
    </row>
    <row r="346" spans="1:9" x14ac:dyDescent="0.2">
      <c r="A346" s="9">
        <v>0</v>
      </c>
      <c r="B346" s="9">
        <v>46</v>
      </c>
      <c r="C346" s="9">
        <v>22</v>
      </c>
      <c r="D346" s="9">
        <v>17</v>
      </c>
      <c r="E346" s="13">
        <v>117.54291069294821</v>
      </c>
      <c r="F346" s="9">
        <v>11.1</v>
      </c>
      <c r="G346" s="9">
        <v>3.32</v>
      </c>
      <c r="H346" s="13">
        <v>10.154483815851645</v>
      </c>
      <c r="I346" s="7" t="s">
        <v>49</v>
      </c>
    </row>
    <row r="347" spans="1:9" x14ac:dyDescent="0.2">
      <c r="A347" s="9">
        <v>0</v>
      </c>
      <c r="B347" s="9">
        <v>40</v>
      </c>
      <c r="C347" s="9">
        <v>16</v>
      </c>
      <c r="D347" s="9">
        <v>6</v>
      </c>
      <c r="E347" s="9">
        <v>116</v>
      </c>
      <c r="F347" s="9">
        <v>12.1</v>
      </c>
      <c r="G347" s="9">
        <v>1.61</v>
      </c>
      <c r="H347" s="13">
        <v>10.154483815851645</v>
      </c>
      <c r="I347" s="7" t="s">
        <v>49</v>
      </c>
    </row>
    <row r="348" spans="1:9" x14ac:dyDescent="0.2">
      <c r="A348" s="9">
        <v>1</v>
      </c>
      <c r="B348" s="9">
        <v>47</v>
      </c>
      <c r="C348" s="9">
        <v>27</v>
      </c>
      <c r="D348" s="9">
        <v>18</v>
      </c>
      <c r="E348" s="13">
        <v>117.54291069294821</v>
      </c>
      <c r="F348" s="9">
        <v>25.3</v>
      </c>
      <c r="G348" s="9">
        <v>0</v>
      </c>
      <c r="H348" s="13">
        <v>10.154483815851645</v>
      </c>
      <c r="I348" s="7" t="s">
        <v>49</v>
      </c>
    </row>
    <row r="349" spans="1:9" x14ac:dyDescent="0.2">
      <c r="A349" s="9">
        <v>0</v>
      </c>
      <c r="B349" s="9">
        <v>34</v>
      </c>
      <c r="C349" s="9">
        <v>19</v>
      </c>
      <c r="D349" s="9">
        <v>7</v>
      </c>
      <c r="E349" s="9">
        <v>50</v>
      </c>
      <c r="F349" s="9">
        <v>30.1</v>
      </c>
      <c r="G349" s="9">
        <v>3.18</v>
      </c>
      <c r="H349" s="13">
        <v>10.154483815851645</v>
      </c>
      <c r="I349" s="7" t="s">
        <v>49</v>
      </c>
    </row>
    <row r="350" spans="1:9" x14ac:dyDescent="0.2">
      <c r="A350" s="9">
        <v>0</v>
      </c>
      <c r="B350" s="9">
        <v>39</v>
      </c>
      <c r="C350" s="9">
        <v>23</v>
      </c>
      <c r="D350" s="9">
        <v>1</v>
      </c>
      <c r="E350" s="9">
        <v>75</v>
      </c>
      <c r="F350" s="9">
        <v>18.899999999999999</v>
      </c>
      <c r="G350" s="9">
        <v>3.13</v>
      </c>
      <c r="H350" s="13">
        <v>10.154483815851645</v>
      </c>
      <c r="I350" s="7" t="s">
        <v>49</v>
      </c>
    </row>
    <row r="351" spans="1:9" x14ac:dyDescent="0.2">
      <c r="A351" s="9">
        <v>1</v>
      </c>
      <c r="B351" s="9">
        <v>29</v>
      </c>
      <c r="C351" s="9">
        <v>5</v>
      </c>
      <c r="D351" s="9">
        <v>6</v>
      </c>
      <c r="E351" s="9">
        <v>70</v>
      </c>
      <c r="F351" s="9">
        <v>19.899999999999999</v>
      </c>
      <c r="G351" s="9">
        <v>3.18</v>
      </c>
      <c r="H351" s="13">
        <v>10.154483815851645</v>
      </c>
      <c r="I351" s="7" t="s">
        <v>49</v>
      </c>
    </row>
    <row r="352" spans="1:9" x14ac:dyDescent="0.2">
      <c r="A352" s="9">
        <v>0</v>
      </c>
      <c r="B352" s="9">
        <v>44</v>
      </c>
      <c r="C352" s="9">
        <v>12</v>
      </c>
      <c r="D352" s="9">
        <v>5</v>
      </c>
      <c r="E352" s="9">
        <v>86</v>
      </c>
      <c r="F352" s="9">
        <v>13</v>
      </c>
      <c r="G352" s="9">
        <v>1.48</v>
      </c>
      <c r="H352" s="9">
        <v>9.6999999999999993</v>
      </c>
      <c r="I352" s="7" t="s">
        <v>50</v>
      </c>
    </row>
    <row r="353" spans="1:9" x14ac:dyDescent="0.2">
      <c r="A353" s="9">
        <v>0</v>
      </c>
      <c r="B353" s="9">
        <v>39</v>
      </c>
      <c r="C353" s="9">
        <v>16</v>
      </c>
      <c r="D353" s="9">
        <v>20</v>
      </c>
      <c r="E353" s="9">
        <v>57</v>
      </c>
      <c r="F353" s="9">
        <v>19.399999999999999</v>
      </c>
      <c r="G353" s="9">
        <v>1.56</v>
      </c>
      <c r="H353" s="9">
        <v>9.5</v>
      </c>
      <c r="I353" s="7" t="s">
        <v>50</v>
      </c>
    </row>
    <row r="354" spans="1:9" x14ac:dyDescent="0.2">
      <c r="A354" s="9">
        <v>0</v>
      </c>
      <c r="B354" s="9">
        <v>40</v>
      </c>
      <c r="C354" s="9">
        <v>22</v>
      </c>
      <c r="D354" s="9">
        <v>1</v>
      </c>
      <c r="E354" s="9">
        <v>100</v>
      </c>
      <c r="F354" s="9">
        <v>14.6</v>
      </c>
      <c r="G354" s="9">
        <v>5.4</v>
      </c>
      <c r="H354" s="9">
        <v>9.1999999999999993</v>
      </c>
      <c r="I354" s="7" t="s">
        <v>50</v>
      </c>
    </row>
    <row r="355" spans="1:9" x14ac:dyDescent="0.2">
      <c r="A355" s="9">
        <v>0</v>
      </c>
      <c r="B355" s="9">
        <v>32</v>
      </c>
      <c r="C355" s="9">
        <v>9</v>
      </c>
      <c r="D355" s="9">
        <v>10</v>
      </c>
      <c r="E355" s="9">
        <v>51</v>
      </c>
      <c r="F355" s="9">
        <v>23</v>
      </c>
      <c r="G355" s="9">
        <v>2.69</v>
      </c>
      <c r="H355" s="9">
        <v>9.0399999999999991</v>
      </c>
      <c r="I355" s="7" t="s">
        <v>50</v>
      </c>
    </row>
    <row r="356" spans="1:9" x14ac:dyDescent="0.2">
      <c r="A356" s="9">
        <v>0</v>
      </c>
      <c r="B356" s="9">
        <v>47</v>
      </c>
      <c r="C356" s="9">
        <v>26</v>
      </c>
      <c r="D356" s="9">
        <v>21</v>
      </c>
      <c r="E356" s="9">
        <v>100</v>
      </c>
      <c r="F356" s="9">
        <v>12.8</v>
      </c>
      <c r="G356" s="9">
        <v>4.58</v>
      </c>
      <c r="H356" s="9">
        <v>8.2200000000000006</v>
      </c>
      <c r="I356" s="7" t="s">
        <v>50</v>
      </c>
    </row>
    <row r="357" spans="1:9" x14ac:dyDescent="0.2">
      <c r="A357" s="9">
        <v>0</v>
      </c>
      <c r="B357" s="9">
        <v>35</v>
      </c>
      <c r="C357" s="9">
        <v>10</v>
      </c>
      <c r="D357" s="9">
        <v>16</v>
      </c>
      <c r="E357" s="9">
        <v>98</v>
      </c>
      <c r="F357" s="9">
        <v>13.3</v>
      </c>
      <c r="G357" s="9">
        <v>0.97</v>
      </c>
      <c r="H357" s="9">
        <v>8.16</v>
      </c>
      <c r="I357" s="7" t="s">
        <v>50</v>
      </c>
    </row>
    <row r="358" spans="1:9" x14ac:dyDescent="0.2">
      <c r="A358" s="9">
        <v>1</v>
      </c>
      <c r="B358" s="9">
        <v>47</v>
      </c>
      <c r="C358" s="9">
        <v>9</v>
      </c>
      <c r="D358" s="9">
        <v>1</v>
      </c>
      <c r="E358" s="9">
        <v>52</v>
      </c>
      <c r="F358" s="9">
        <v>20.100000000000001</v>
      </c>
      <c r="G358" s="9">
        <v>2.54</v>
      </c>
      <c r="H358" s="9">
        <v>7.91</v>
      </c>
      <c r="I358" s="7" t="s">
        <v>50</v>
      </c>
    </row>
    <row r="359" spans="1:9" x14ac:dyDescent="0.2">
      <c r="A359" s="9">
        <v>0</v>
      </c>
      <c r="B359" s="9">
        <v>55</v>
      </c>
      <c r="C359" s="9">
        <v>19</v>
      </c>
      <c r="D359" s="9">
        <v>2</v>
      </c>
      <c r="E359" s="9">
        <v>78</v>
      </c>
      <c r="F359" s="9">
        <v>15.6</v>
      </c>
      <c r="G359" s="9">
        <v>4.4000000000000004</v>
      </c>
      <c r="H359" s="9">
        <v>7.76</v>
      </c>
      <c r="I359" s="7" t="s">
        <v>50</v>
      </c>
    </row>
    <row r="360" spans="1:9" x14ac:dyDescent="0.2">
      <c r="A360" s="9">
        <v>1</v>
      </c>
      <c r="B360" s="9">
        <v>41</v>
      </c>
      <c r="C360" s="9">
        <v>7</v>
      </c>
      <c r="D360" s="9">
        <v>6</v>
      </c>
      <c r="E360" s="9">
        <v>56</v>
      </c>
      <c r="F360" s="9">
        <v>14.5</v>
      </c>
      <c r="G360" s="9">
        <v>0.37</v>
      </c>
      <c r="H360" s="9">
        <v>7.75</v>
      </c>
      <c r="I360" s="7" t="s">
        <v>50</v>
      </c>
    </row>
    <row r="361" spans="1:9" x14ac:dyDescent="0.2">
      <c r="A361" s="9">
        <v>0</v>
      </c>
      <c r="B361" s="9">
        <v>45</v>
      </c>
      <c r="C361" s="9">
        <v>15</v>
      </c>
      <c r="D361" s="9">
        <v>14</v>
      </c>
      <c r="E361" s="9">
        <v>51</v>
      </c>
      <c r="F361" s="9">
        <v>18.100000000000001</v>
      </c>
      <c r="G361" s="9">
        <v>1.55</v>
      </c>
      <c r="H361" s="9">
        <v>7.68</v>
      </c>
      <c r="I361" s="7" t="s">
        <v>50</v>
      </c>
    </row>
    <row r="362" spans="1:9" x14ac:dyDescent="0.2">
      <c r="A362" s="9">
        <v>0</v>
      </c>
      <c r="B362" s="9">
        <v>46</v>
      </c>
      <c r="C362" s="9">
        <v>9</v>
      </c>
      <c r="D362" s="9">
        <v>10</v>
      </c>
      <c r="E362" s="9">
        <v>60</v>
      </c>
      <c r="F362" s="9">
        <v>15.3</v>
      </c>
      <c r="G362" s="9">
        <v>1.61</v>
      </c>
      <c r="H362" s="9">
        <v>7.57</v>
      </c>
      <c r="I362" s="7" t="s">
        <v>50</v>
      </c>
    </row>
    <row r="363" spans="1:9" x14ac:dyDescent="0.2">
      <c r="A363" s="9">
        <v>1</v>
      </c>
      <c r="B363" s="9">
        <v>34</v>
      </c>
      <c r="C363" s="9">
        <v>6</v>
      </c>
      <c r="D363" s="9">
        <v>3</v>
      </c>
      <c r="E363" s="9">
        <v>27</v>
      </c>
      <c r="F363" s="9">
        <v>0</v>
      </c>
      <c r="G363" s="9">
        <v>1.98</v>
      </c>
      <c r="H363" s="9">
        <v>7.55</v>
      </c>
      <c r="I363" s="7" t="s">
        <v>50</v>
      </c>
    </row>
    <row r="364" spans="1:9" x14ac:dyDescent="0.2">
      <c r="A364" s="9">
        <v>1</v>
      </c>
      <c r="B364" s="9">
        <v>28</v>
      </c>
      <c r="C364" s="9">
        <v>0</v>
      </c>
      <c r="D364" s="9">
        <v>2</v>
      </c>
      <c r="E364" s="9">
        <v>28</v>
      </c>
      <c r="F364" s="9">
        <v>0</v>
      </c>
      <c r="G364" s="9">
        <v>2.2799999999999998</v>
      </c>
      <c r="H364" s="9">
        <v>7.04</v>
      </c>
      <c r="I364" s="7" t="s">
        <v>50</v>
      </c>
    </row>
    <row r="365" spans="1:9" x14ac:dyDescent="0.2">
      <c r="A365" s="9">
        <v>1</v>
      </c>
      <c r="B365" s="9">
        <v>53</v>
      </c>
      <c r="C365" s="9">
        <v>5</v>
      </c>
      <c r="D365" s="9">
        <v>29</v>
      </c>
      <c r="E365" s="9">
        <v>78</v>
      </c>
      <c r="F365" s="9">
        <v>17.3</v>
      </c>
      <c r="G365" s="13">
        <v>5.4954845947359976</v>
      </c>
      <c r="H365" s="9">
        <v>6.56</v>
      </c>
      <c r="I365" s="7" t="s">
        <v>50</v>
      </c>
    </row>
    <row r="366" spans="1:9" x14ac:dyDescent="0.2">
      <c r="A366" s="9">
        <v>1</v>
      </c>
      <c r="B366" s="9">
        <v>45</v>
      </c>
      <c r="C366" s="9">
        <v>5</v>
      </c>
      <c r="D366" s="9">
        <v>17</v>
      </c>
      <c r="E366" s="9">
        <v>94</v>
      </c>
      <c r="F366" s="9">
        <v>10.5</v>
      </c>
      <c r="G366" s="9">
        <v>3.61</v>
      </c>
      <c r="H366" s="9">
        <v>6.26</v>
      </c>
      <c r="I366" s="7" t="s">
        <v>50</v>
      </c>
    </row>
    <row r="367" spans="1:9" x14ac:dyDescent="0.2">
      <c r="A367" s="9">
        <v>0</v>
      </c>
      <c r="B367" s="9">
        <v>50</v>
      </c>
      <c r="C367" s="9">
        <v>16</v>
      </c>
      <c r="D367" s="9">
        <v>14</v>
      </c>
      <c r="E367" s="9">
        <v>71</v>
      </c>
      <c r="F367" s="9">
        <v>11.1</v>
      </c>
      <c r="G367" s="9">
        <v>1.66</v>
      </c>
      <c r="H367" s="9">
        <v>6.22</v>
      </c>
      <c r="I367" s="7" t="s">
        <v>50</v>
      </c>
    </row>
    <row r="368" spans="1:9" x14ac:dyDescent="0.2">
      <c r="A368" s="9">
        <v>1</v>
      </c>
      <c r="B368" s="9">
        <v>33</v>
      </c>
      <c r="C368" s="9">
        <v>2</v>
      </c>
      <c r="D368" s="9">
        <v>14</v>
      </c>
      <c r="E368" s="9">
        <v>35</v>
      </c>
      <c r="F368" s="9">
        <v>22.9</v>
      </c>
      <c r="G368" s="9">
        <v>2.12</v>
      </c>
      <c r="H368" s="9">
        <v>5.89</v>
      </c>
      <c r="I368" s="7" t="s">
        <v>50</v>
      </c>
    </row>
    <row r="369" spans="1:9" x14ac:dyDescent="0.2">
      <c r="A369" s="9">
        <v>1</v>
      </c>
      <c r="B369" s="9">
        <v>33</v>
      </c>
      <c r="C369" s="9">
        <v>10</v>
      </c>
      <c r="D369" s="9">
        <v>13</v>
      </c>
      <c r="E369" s="9">
        <v>57</v>
      </c>
      <c r="F369" s="9">
        <v>20.9</v>
      </c>
      <c r="G369" s="13">
        <v>5.4954845947359976</v>
      </c>
      <c r="H369" s="9">
        <v>5.8</v>
      </c>
      <c r="I369" s="7" t="s">
        <v>50</v>
      </c>
    </row>
    <row r="370" spans="1:9" x14ac:dyDescent="0.2">
      <c r="A370" s="9">
        <v>0</v>
      </c>
      <c r="B370" s="9">
        <v>39</v>
      </c>
      <c r="C370" s="9">
        <v>9</v>
      </c>
      <c r="D370" s="9">
        <v>16</v>
      </c>
      <c r="E370" s="9">
        <v>56</v>
      </c>
      <c r="F370" s="9">
        <v>18.7</v>
      </c>
      <c r="G370" s="9">
        <v>4.76</v>
      </c>
      <c r="H370" s="9">
        <v>5.71</v>
      </c>
      <c r="I370" s="7" t="s">
        <v>50</v>
      </c>
    </row>
    <row r="371" spans="1:9" x14ac:dyDescent="0.2">
      <c r="A371" s="9">
        <v>0</v>
      </c>
      <c r="B371" s="9">
        <v>26</v>
      </c>
      <c r="C371" s="9">
        <v>6</v>
      </c>
      <c r="D371" s="9">
        <v>7</v>
      </c>
      <c r="E371" s="9">
        <v>45</v>
      </c>
      <c r="F371" s="9">
        <v>26</v>
      </c>
      <c r="G371" s="13">
        <v>5.4954845947359976</v>
      </c>
      <c r="H371" s="9">
        <v>5.65</v>
      </c>
      <c r="I371" s="7" t="s">
        <v>50</v>
      </c>
    </row>
    <row r="372" spans="1:9" x14ac:dyDescent="0.2">
      <c r="A372" s="9">
        <v>0</v>
      </c>
      <c r="B372" s="9">
        <v>28</v>
      </c>
      <c r="C372" s="9">
        <v>0</v>
      </c>
      <c r="D372" s="9">
        <v>7</v>
      </c>
      <c r="E372" s="9">
        <v>29</v>
      </c>
      <c r="F372" s="9">
        <v>24.2</v>
      </c>
      <c r="G372" s="9">
        <v>1.42</v>
      </c>
      <c r="H372" s="9">
        <v>5.59</v>
      </c>
      <c r="I372" s="7" t="s">
        <v>50</v>
      </c>
    </row>
    <row r="373" spans="1:9" x14ac:dyDescent="0.2">
      <c r="A373" s="9">
        <v>1</v>
      </c>
      <c r="B373" s="9">
        <v>31</v>
      </c>
      <c r="C373" s="9">
        <v>9</v>
      </c>
      <c r="D373" s="9">
        <v>7</v>
      </c>
      <c r="E373" s="9">
        <v>59</v>
      </c>
      <c r="F373" s="9">
        <v>14.6</v>
      </c>
      <c r="G373" s="9">
        <v>3.11</v>
      </c>
      <c r="H373" s="9">
        <v>5.5</v>
      </c>
      <c r="I373" s="7" t="s">
        <v>50</v>
      </c>
    </row>
    <row r="374" spans="1:9" x14ac:dyDescent="0.2">
      <c r="A374" s="9">
        <v>1</v>
      </c>
      <c r="B374" s="9">
        <v>27</v>
      </c>
      <c r="C374" s="9">
        <v>9</v>
      </c>
      <c r="D374" s="9">
        <v>6</v>
      </c>
      <c r="E374" s="9">
        <v>45</v>
      </c>
      <c r="F374" s="9">
        <v>17.8</v>
      </c>
      <c r="G374" s="9">
        <v>2.85</v>
      </c>
      <c r="H374" s="9">
        <v>5.16</v>
      </c>
      <c r="I374" s="7" t="s">
        <v>50</v>
      </c>
    </row>
    <row r="375" spans="1:9" x14ac:dyDescent="0.2">
      <c r="A375" s="9">
        <v>0</v>
      </c>
      <c r="B375" s="9">
        <v>26</v>
      </c>
      <c r="C375" s="9">
        <v>2</v>
      </c>
      <c r="D375" s="9">
        <v>1</v>
      </c>
      <c r="E375" s="9">
        <v>37</v>
      </c>
      <c r="F375" s="9">
        <v>14.2</v>
      </c>
      <c r="G375" s="9">
        <v>0.2</v>
      </c>
      <c r="H375" s="9">
        <v>5.05</v>
      </c>
      <c r="I375" s="7" t="s">
        <v>50</v>
      </c>
    </row>
    <row r="376" spans="1:9" x14ac:dyDescent="0.2">
      <c r="A376" s="9">
        <v>1</v>
      </c>
      <c r="B376" s="9">
        <v>41</v>
      </c>
      <c r="C376" s="9">
        <v>17</v>
      </c>
      <c r="D376" s="9">
        <v>12</v>
      </c>
      <c r="E376" s="9">
        <v>0</v>
      </c>
      <c r="F376" s="9">
        <v>9.3000000000000007</v>
      </c>
      <c r="G376" s="9">
        <v>0.97</v>
      </c>
      <c r="H376" s="9">
        <v>5.01</v>
      </c>
      <c r="I376" s="7" t="s">
        <v>50</v>
      </c>
    </row>
    <row r="377" spans="1:9" x14ac:dyDescent="0.2">
      <c r="A377" s="9">
        <v>0</v>
      </c>
      <c r="B377" s="9">
        <v>51</v>
      </c>
      <c r="C377" s="9">
        <v>22</v>
      </c>
      <c r="D377" s="9">
        <v>23</v>
      </c>
      <c r="E377" s="13">
        <v>117.54291069294821</v>
      </c>
      <c r="F377" s="9">
        <v>7.6</v>
      </c>
      <c r="G377" s="9">
        <v>4.1399999999999997</v>
      </c>
      <c r="H377" s="9">
        <v>4.9800000000000004</v>
      </c>
      <c r="I377" s="7" t="s">
        <v>50</v>
      </c>
    </row>
    <row r="378" spans="1:9" x14ac:dyDescent="0.2">
      <c r="A378" s="9">
        <v>0</v>
      </c>
      <c r="B378" s="9">
        <v>31</v>
      </c>
      <c r="C378" s="9">
        <v>11</v>
      </c>
      <c r="D378" s="9">
        <v>12</v>
      </c>
      <c r="E378" s="9">
        <v>45</v>
      </c>
      <c r="F378" s="9">
        <v>17</v>
      </c>
      <c r="G378" s="9">
        <v>2.74</v>
      </c>
      <c r="H378" s="9">
        <v>4.91</v>
      </c>
      <c r="I378" s="7" t="s">
        <v>50</v>
      </c>
    </row>
    <row r="379" spans="1:9" x14ac:dyDescent="0.2">
      <c r="A379" s="9">
        <v>1</v>
      </c>
      <c r="B379" s="9">
        <v>27</v>
      </c>
      <c r="C379" s="9">
        <v>3</v>
      </c>
      <c r="D379" s="9">
        <v>4</v>
      </c>
      <c r="E379" s="9">
        <v>45</v>
      </c>
      <c r="F379" s="9">
        <v>11</v>
      </c>
      <c r="G379" s="9">
        <v>0.28999999999999998</v>
      </c>
      <c r="H379" s="9">
        <v>4.66</v>
      </c>
      <c r="I379" s="7" t="s">
        <v>50</v>
      </c>
    </row>
    <row r="380" spans="1:9" x14ac:dyDescent="0.2">
      <c r="A380" s="9">
        <v>0</v>
      </c>
      <c r="B380" s="9">
        <v>32</v>
      </c>
      <c r="C380" s="9">
        <v>12</v>
      </c>
      <c r="D380" s="9">
        <v>1</v>
      </c>
      <c r="E380" s="9">
        <v>54</v>
      </c>
      <c r="F380" s="9">
        <v>14.4</v>
      </c>
      <c r="G380" s="9">
        <v>3.2</v>
      </c>
      <c r="H380" s="9">
        <v>4.58</v>
      </c>
      <c r="I380" s="7" t="s">
        <v>50</v>
      </c>
    </row>
    <row r="381" spans="1:9" x14ac:dyDescent="0.2">
      <c r="A381" s="9">
        <v>0</v>
      </c>
      <c r="B381" s="9">
        <v>40</v>
      </c>
      <c r="C381" s="9">
        <v>17</v>
      </c>
      <c r="D381" s="9">
        <v>11</v>
      </c>
      <c r="E381" s="9">
        <v>116</v>
      </c>
      <c r="F381" s="9">
        <v>6</v>
      </c>
      <c r="G381" s="9">
        <v>2.56</v>
      </c>
      <c r="H381" s="9">
        <v>4.4000000000000004</v>
      </c>
      <c r="I381" s="7" t="s">
        <v>50</v>
      </c>
    </row>
    <row r="382" spans="1:9" x14ac:dyDescent="0.2">
      <c r="A382" s="9">
        <v>0</v>
      </c>
      <c r="B382" s="9">
        <v>39</v>
      </c>
      <c r="C382" s="9">
        <v>19</v>
      </c>
      <c r="D382" s="9">
        <v>5</v>
      </c>
      <c r="E382" s="9">
        <v>48</v>
      </c>
      <c r="F382" s="9">
        <v>13.1</v>
      </c>
      <c r="G382" s="9">
        <v>1.93</v>
      </c>
      <c r="H382" s="9">
        <v>4.3600000000000003</v>
      </c>
      <c r="I382" s="7" t="s">
        <v>50</v>
      </c>
    </row>
    <row r="383" spans="1:9" x14ac:dyDescent="0.2">
      <c r="A383" s="9">
        <v>0</v>
      </c>
      <c r="B383" s="9">
        <v>34</v>
      </c>
      <c r="C383" s="9">
        <v>3</v>
      </c>
      <c r="D383" s="9">
        <v>11</v>
      </c>
      <c r="E383" s="9">
        <v>27</v>
      </c>
      <c r="F383" s="9">
        <v>21.3</v>
      </c>
      <c r="G383" s="9">
        <v>1.4</v>
      </c>
      <c r="H383" s="9">
        <v>4.3499999999999996</v>
      </c>
      <c r="I383" s="7" t="s">
        <v>50</v>
      </c>
    </row>
    <row r="384" spans="1:9" x14ac:dyDescent="0.2">
      <c r="A384" s="9">
        <v>0</v>
      </c>
      <c r="B384" s="9">
        <v>29</v>
      </c>
      <c r="C384" s="9">
        <v>10</v>
      </c>
      <c r="D384" s="9">
        <v>8</v>
      </c>
      <c r="E384" s="9">
        <v>44</v>
      </c>
      <c r="F384" s="9">
        <v>18.100000000000001</v>
      </c>
      <c r="G384" s="9">
        <v>3.7</v>
      </c>
      <c r="H384" s="9">
        <v>4.26</v>
      </c>
      <c r="I384" s="7" t="s">
        <v>50</v>
      </c>
    </row>
    <row r="385" spans="1:9" x14ac:dyDescent="0.2">
      <c r="A385" s="9">
        <v>0</v>
      </c>
      <c r="B385" s="9">
        <v>38</v>
      </c>
      <c r="C385" s="9">
        <v>5</v>
      </c>
      <c r="D385" s="9">
        <v>5</v>
      </c>
      <c r="E385" s="9">
        <v>54</v>
      </c>
      <c r="F385" s="9">
        <v>10.6</v>
      </c>
      <c r="G385" s="9">
        <v>1.5</v>
      </c>
      <c r="H385" s="9">
        <v>4.22</v>
      </c>
      <c r="I385" s="7" t="s">
        <v>50</v>
      </c>
    </row>
    <row r="386" spans="1:9" x14ac:dyDescent="0.2">
      <c r="A386" s="9">
        <v>0</v>
      </c>
      <c r="B386" s="9">
        <v>36</v>
      </c>
      <c r="C386" s="9">
        <v>14</v>
      </c>
      <c r="D386" s="9">
        <v>11</v>
      </c>
      <c r="E386" s="9">
        <v>81</v>
      </c>
      <c r="F386" s="9">
        <v>7.2</v>
      </c>
      <c r="G386" s="9">
        <v>1.78</v>
      </c>
      <c r="H386" s="9">
        <v>4.05</v>
      </c>
      <c r="I386" s="7" t="s">
        <v>50</v>
      </c>
    </row>
    <row r="387" spans="1:9" x14ac:dyDescent="0.2">
      <c r="A387" s="9">
        <v>1</v>
      </c>
      <c r="B387" s="9">
        <v>27</v>
      </c>
      <c r="C387" s="9">
        <v>0</v>
      </c>
      <c r="D387" s="9">
        <v>6</v>
      </c>
      <c r="E387" s="9">
        <v>70</v>
      </c>
      <c r="F387" s="9">
        <v>8</v>
      </c>
      <c r="G387" s="9">
        <v>1.62</v>
      </c>
      <c r="H387" s="9">
        <v>3.98</v>
      </c>
      <c r="I387" s="7" t="s">
        <v>50</v>
      </c>
    </row>
    <row r="388" spans="1:9" x14ac:dyDescent="0.2">
      <c r="A388" s="9">
        <v>1</v>
      </c>
      <c r="B388" s="9">
        <v>52</v>
      </c>
      <c r="C388" s="9">
        <v>9</v>
      </c>
      <c r="D388" s="9">
        <v>11</v>
      </c>
      <c r="E388" s="9">
        <v>24</v>
      </c>
      <c r="F388" s="9">
        <v>19.2</v>
      </c>
      <c r="G388" s="9">
        <v>0.8</v>
      </c>
      <c r="H388" s="9">
        <v>3.81</v>
      </c>
      <c r="I388" s="7" t="s">
        <v>50</v>
      </c>
    </row>
    <row r="389" spans="1:9" x14ac:dyDescent="0.2">
      <c r="A389" s="9">
        <v>1</v>
      </c>
      <c r="B389" s="9">
        <v>28</v>
      </c>
      <c r="C389" s="9">
        <v>6</v>
      </c>
      <c r="D389" s="9">
        <v>8</v>
      </c>
      <c r="E389" s="9">
        <v>47</v>
      </c>
      <c r="F389" s="9">
        <v>19.8</v>
      </c>
      <c r="G389" s="13">
        <v>5.4954845947359976</v>
      </c>
      <c r="H389" s="9">
        <v>3.73</v>
      </c>
      <c r="I389" s="7" t="s">
        <v>50</v>
      </c>
    </row>
    <row r="390" spans="1:9" x14ac:dyDescent="0.2">
      <c r="A390" s="9">
        <v>1</v>
      </c>
      <c r="B390" s="9">
        <v>46</v>
      </c>
      <c r="C390" s="9">
        <v>16</v>
      </c>
      <c r="D390" s="9">
        <v>18</v>
      </c>
      <c r="E390" s="9">
        <v>52</v>
      </c>
      <c r="F390" s="9">
        <v>12.9</v>
      </c>
      <c r="G390" s="9">
        <v>3.03</v>
      </c>
      <c r="H390" s="9">
        <v>3.68</v>
      </c>
      <c r="I390" s="7" t="s">
        <v>50</v>
      </c>
    </row>
    <row r="391" spans="1:9" x14ac:dyDescent="0.2">
      <c r="A391" s="9">
        <v>1</v>
      </c>
      <c r="B391" s="9">
        <v>40</v>
      </c>
      <c r="C391" s="9">
        <v>14</v>
      </c>
      <c r="D391" s="9">
        <v>21</v>
      </c>
      <c r="E391" s="9">
        <v>43</v>
      </c>
      <c r="F391" s="9">
        <v>15</v>
      </c>
      <c r="G391" s="9">
        <v>2.79</v>
      </c>
      <c r="H391" s="9">
        <v>3.66</v>
      </c>
      <c r="I391" s="7" t="s">
        <v>50</v>
      </c>
    </row>
    <row r="392" spans="1:9" x14ac:dyDescent="0.2">
      <c r="A392" s="9">
        <v>0</v>
      </c>
      <c r="B392" s="9">
        <v>37</v>
      </c>
      <c r="C392" s="9">
        <v>7</v>
      </c>
      <c r="D392" s="9">
        <v>3</v>
      </c>
      <c r="E392" s="9">
        <v>32</v>
      </c>
      <c r="F392" s="9">
        <v>19.600000000000001</v>
      </c>
      <c r="G392" s="9">
        <v>2.7</v>
      </c>
      <c r="H392" s="9">
        <v>3.58</v>
      </c>
      <c r="I392" s="7" t="s">
        <v>50</v>
      </c>
    </row>
    <row r="393" spans="1:9" x14ac:dyDescent="0.2">
      <c r="A393" s="9">
        <v>1</v>
      </c>
      <c r="B393" s="9">
        <v>53</v>
      </c>
      <c r="C393" s="9">
        <v>9</v>
      </c>
      <c r="D393" s="9">
        <v>18</v>
      </c>
      <c r="E393" s="9">
        <v>50</v>
      </c>
      <c r="F393" s="9">
        <v>11.2</v>
      </c>
      <c r="G393" s="9">
        <v>2.02</v>
      </c>
      <c r="H393" s="9">
        <v>3.58</v>
      </c>
      <c r="I393" s="7" t="s">
        <v>50</v>
      </c>
    </row>
    <row r="394" spans="1:9" x14ac:dyDescent="0.2">
      <c r="A394" s="9">
        <v>0</v>
      </c>
      <c r="B394" s="9">
        <v>25</v>
      </c>
      <c r="C394" s="9">
        <v>0</v>
      </c>
      <c r="D394" s="9">
        <v>2</v>
      </c>
      <c r="E394" s="9">
        <v>32</v>
      </c>
      <c r="F394" s="9">
        <v>17.600000000000001</v>
      </c>
      <c r="G394" s="9">
        <v>2.14</v>
      </c>
      <c r="H394" s="9">
        <v>3.49</v>
      </c>
      <c r="I394" s="7" t="s">
        <v>50</v>
      </c>
    </row>
    <row r="395" spans="1:9" x14ac:dyDescent="0.2">
      <c r="A395" s="9">
        <v>0</v>
      </c>
      <c r="B395" s="9">
        <v>34</v>
      </c>
      <c r="C395" s="9">
        <v>9</v>
      </c>
      <c r="D395" s="9">
        <v>13</v>
      </c>
      <c r="E395" s="9">
        <v>45</v>
      </c>
      <c r="F395" s="9">
        <v>10.1</v>
      </c>
      <c r="G395" s="9">
        <v>1.1200000000000001</v>
      </c>
      <c r="H395" s="9">
        <v>3.43</v>
      </c>
      <c r="I395" s="7" t="s">
        <v>50</v>
      </c>
    </row>
    <row r="396" spans="1:9" x14ac:dyDescent="0.2">
      <c r="A396" s="9">
        <v>0</v>
      </c>
      <c r="B396" s="9">
        <v>40</v>
      </c>
      <c r="C396" s="9">
        <v>9</v>
      </c>
      <c r="D396" s="9">
        <v>4</v>
      </c>
      <c r="E396" s="9">
        <v>64</v>
      </c>
      <c r="F396" s="9">
        <v>6.6</v>
      </c>
      <c r="G396" s="9">
        <v>0.79</v>
      </c>
      <c r="H396" s="9">
        <v>3.43</v>
      </c>
      <c r="I396" s="7" t="s">
        <v>50</v>
      </c>
    </row>
    <row r="397" spans="1:9" x14ac:dyDescent="0.2">
      <c r="A397" s="9">
        <v>0</v>
      </c>
      <c r="B397" s="9">
        <v>46</v>
      </c>
      <c r="C397" s="9">
        <v>15</v>
      </c>
      <c r="D397" s="9">
        <v>0</v>
      </c>
      <c r="E397" s="13">
        <v>117.54291069294821</v>
      </c>
      <c r="F397" s="9">
        <v>3.1</v>
      </c>
      <c r="G397" s="9">
        <v>0.48</v>
      </c>
      <c r="H397" s="9">
        <v>3.43</v>
      </c>
      <c r="I397" s="7" t="s">
        <v>50</v>
      </c>
    </row>
    <row r="398" spans="1:9" x14ac:dyDescent="0.2">
      <c r="A398" s="9">
        <v>1</v>
      </c>
      <c r="B398" s="9">
        <v>24</v>
      </c>
      <c r="C398" s="9">
        <v>3</v>
      </c>
      <c r="D398" s="9">
        <v>3</v>
      </c>
      <c r="E398" s="9">
        <v>21</v>
      </c>
      <c r="F398" s="9">
        <v>28.9</v>
      </c>
      <c r="G398" s="9">
        <v>2.68</v>
      </c>
      <c r="H398" s="9">
        <v>3.39</v>
      </c>
      <c r="I398" s="7" t="s">
        <v>50</v>
      </c>
    </row>
    <row r="399" spans="1:9" x14ac:dyDescent="0.2">
      <c r="A399" s="9">
        <v>0</v>
      </c>
      <c r="B399" s="9">
        <v>28</v>
      </c>
      <c r="C399" s="9">
        <v>0</v>
      </c>
      <c r="D399" s="9">
        <v>5</v>
      </c>
      <c r="E399" s="9">
        <v>38</v>
      </c>
      <c r="F399" s="9">
        <v>10.4</v>
      </c>
      <c r="G399" s="9">
        <v>0.64</v>
      </c>
      <c r="H399" s="9">
        <v>3.32</v>
      </c>
      <c r="I399" s="7" t="s">
        <v>50</v>
      </c>
    </row>
    <row r="400" spans="1:9" x14ac:dyDescent="0.2">
      <c r="A400" s="9">
        <v>1</v>
      </c>
      <c r="B400" s="9">
        <v>34</v>
      </c>
      <c r="C400" s="9">
        <v>3</v>
      </c>
      <c r="D400" s="9">
        <v>4</v>
      </c>
      <c r="E400" s="9">
        <v>19</v>
      </c>
      <c r="F400" s="9">
        <v>24.4</v>
      </c>
      <c r="G400" s="9">
        <v>1.36</v>
      </c>
      <c r="H400" s="9">
        <v>3.28</v>
      </c>
      <c r="I400" s="7" t="s">
        <v>50</v>
      </c>
    </row>
    <row r="401" spans="1:9" x14ac:dyDescent="0.2">
      <c r="A401" s="9">
        <v>0</v>
      </c>
      <c r="B401" s="9">
        <v>41</v>
      </c>
      <c r="C401" s="9">
        <v>16</v>
      </c>
      <c r="D401" s="9">
        <v>17</v>
      </c>
      <c r="E401" s="9">
        <v>68</v>
      </c>
      <c r="F401" s="9">
        <v>5.4</v>
      </c>
      <c r="G401" s="9">
        <v>0.45</v>
      </c>
      <c r="H401" s="9">
        <v>3.22</v>
      </c>
      <c r="I401" s="7" t="s">
        <v>50</v>
      </c>
    </row>
    <row r="402" spans="1:9" x14ac:dyDescent="0.2">
      <c r="A402" s="9">
        <v>1</v>
      </c>
      <c r="B402" s="9">
        <v>29</v>
      </c>
      <c r="C402" s="9">
        <v>1</v>
      </c>
      <c r="D402" s="9">
        <v>2</v>
      </c>
      <c r="E402" s="9">
        <v>20</v>
      </c>
      <c r="F402" s="9">
        <v>18.600000000000001</v>
      </c>
      <c r="G402" s="9">
        <v>0.56999999999999995</v>
      </c>
      <c r="H402" s="9">
        <v>3.15</v>
      </c>
      <c r="I402" s="7" t="s">
        <v>50</v>
      </c>
    </row>
    <row r="403" spans="1:9" x14ac:dyDescent="0.2">
      <c r="A403" s="9">
        <v>0</v>
      </c>
      <c r="B403" s="9">
        <v>28</v>
      </c>
      <c r="C403" s="9">
        <v>5</v>
      </c>
      <c r="D403" s="9">
        <v>9</v>
      </c>
      <c r="E403" s="9">
        <v>44</v>
      </c>
      <c r="F403" s="9">
        <v>8.6999999999999993</v>
      </c>
      <c r="G403" s="9">
        <v>0.77</v>
      </c>
      <c r="H403" s="9">
        <v>3.05</v>
      </c>
      <c r="I403" s="7" t="s">
        <v>50</v>
      </c>
    </row>
    <row r="404" spans="1:9" x14ac:dyDescent="0.2">
      <c r="A404" s="9">
        <v>0</v>
      </c>
      <c r="B404" s="9">
        <v>36</v>
      </c>
      <c r="C404" s="9">
        <v>12</v>
      </c>
      <c r="D404" s="9">
        <v>13</v>
      </c>
      <c r="E404" s="9">
        <v>60</v>
      </c>
      <c r="F404" s="9">
        <v>7.9</v>
      </c>
      <c r="G404" s="9">
        <v>1.72</v>
      </c>
      <c r="H404" s="9">
        <v>3.02</v>
      </c>
      <c r="I404" s="7" t="s">
        <v>50</v>
      </c>
    </row>
    <row r="405" spans="1:9" x14ac:dyDescent="0.2">
      <c r="A405" s="9">
        <v>0</v>
      </c>
      <c r="B405" s="9">
        <v>37</v>
      </c>
      <c r="C405" s="9">
        <v>6</v>
      </c>
      <c r="D405" s="9">
        <v>9</v>
      </c>
      <c r="E405" s="9">
        <v>29</v>
      </c>
      <c r="F405" s="9">
        <v>16.3</v>
      </c>
      <c r="G405" s="9">
        <v>1.72</v>
      </c>
      <c r="H405" s="9">
        <v>3.01</v>
      </c>
      <c r="I405" s="7" t="s">
        <v>50</v>
      </c>
    </row>
    <row r="406" spans="1:9" x14ac:dyDescent="0.2">
      <c r="A406" s="9">
        <v>0</v>
      </c>
      <c r="B406" s="9">
        <v>21</v>
      </c>
      <c r="C406" s="9">
        <v>1</v>
      </c>
      <c r="D406" s="9">
        <v>1</v>
      </c>
      <c r="E406" s="9">
        <v>18</v>
      </c>
      <c r="F406" s="9">
        <v>17.3</v>
      </c>
      <c r="G406" s="9">
        <v>0.16</v>
      </c>
      <c r="H406" s="9">
        <v>2.96</v>
      </c>
      <c r="I406" s="7" t="s">
        <v>50</v>
      </c>
    </row>
    <row r="407" spans="1:9" x14ac:dyDescent="0.2">
      <c r="A407" s="9">
        <v>0</v>
      </c>
      <c r="B407" s="9">
        <v>41</v>
      </c>
      <c r="C407" s="9">
        <v>14</v>
      </c>
      <c r="D407" s="9">
        <v>8</v>
      </c>
      <c r="E407" s="9">
        <v>52</v>
      </c>
      <c r="F407" s="9">
        <v>7.3</v>
      </c>
      <c r="G407" s="9">
        <v>0.93</v>
      </c>
      <c r="H407" s="9">
        <v>2.87</v>
      </c>
      <c r="I407" s="7" t="s">
        <v>50</v>
      </c>
    </row>
    <row r="408" spans="1:9" x14ac:dyDescent="0.2">
      <c r="A408" s="9">
        <v>0</v>
      </c>
      <c r="B408" s="9">
        <v>31</v>
      </c>
      <c r="C408" s="9">
        <v>4</v>
      </c>
      <c r="D408" s="9">
        <v>10</v>
      </c>
      <c r="E408" s="9">
        <v>28</v>
      </c>
      <c r="F408" s="9">
        <v>11.3</v>
      </c>
      <c r="G408" s="9">
        <v>0.28999999999999998</v>
      </c>
      <c r="H408" s="9">
        <v>2.87</v>
      </c>
      <c r="I408" s="7" t="s">
        <v>50</v>
      </c>
    </row>
    <row r="409" spans="1:9" x14ac:dyDescent="0.2">
      <c r="A409" s="9">
        <v>0</v>
      </c>
      <c r="B409" s="9">
        <v>50</v>
      </c>
      <c r="C409" s="9">
        <v>8</v>
      </c>
      <c r="D409" s="9">
        <v>27</v>
      </c>
      <c r="E409" s="9">
        <v>47</v>
      </c>
      <c r="F409" s="9">
        <v>6.9</v>
      </c>
      <c r="G409" s="9">
        <v>0.4</v>
      </c>
      <c r="H409" s="9">
        <v>2.84</v>
      </c>
      <c r="I409" s="7" t="s">
        <v>50</v>
      </c>
    </row>
    <row r="410" spans="1:9" x14ac:dyDescent="0.2">
      <c r="A410" s="9">
        <v>0</v>
      </c>
      <c r="B410" s="9">
        <v>40</v>
      </c>
      <c r="C410" s="9">
        <v>22</v>
      </c>
      <c r="D410" s="9">
        <v>4</v>
      </c>
      <c r="E410" s="9">
        <v>95</v>
      </c>
      <c r="F410" s="9">
        <v>3.6</v>
      </c>
      <c r="G410" s="9">
        <v>0.63</v>
      </c>
      <c r="H410" s="9">
        <v>2.79</v>
      </c>
      <c r="I410" s="7" t="s">
        <v>50</v>
      </c>
    </row>
    <row r="411" spans="1:9" x14ac:dyDescent="0.2">
      <c r="A411" s="9">
        <v>1</v>
      </c>
      <c r="B411" s="9">
        <v>23</v>
      </c>
      <c r="C411" s="9">
        <v>0</v>
      </c>
      <c r="D411" s="9">
        <v>1</v>
      </c>
      <c r="E411" s="9">
        <v>17</v>
      </c>
      <c r="F411" s="9">
        <v>27.7</v>
      </c>
      <c r="G411" s="9">
        <v>2.04</v>
      </c>
      <c r="H411" s="9">
        <v>2.67</v>
      </c>
      <c r="I411" s="7" t="s">
        <v>50</v>
      </c>
    </row>
    <row r="412" spans="1:9" x14ac:dyDescent="0.2">
      <c r="A412" s="9">
        <v>0</v>
      </c>
      <c r="B412" s="9">
        <v>44</v>
      </c>
      <c r="C412" s="9">
        <v>12</v>
      </c>
      <c r="D412" s="9">
        <v>3</v>
      </c>
      <c r="E412" s="9">
        <v>31</v>
      </c>
      <c r="F412" s="9">
        <v>9.6999999999999993</v>
      </c>
      <c r="G412" s="9">
        <v>0.36</v>
      </c>
      <c r="H412" s="9">
        <v>2.65</v>
      </c>
      <c r="I412" s="7" t="s">
        <v>50</v>
      </c>
    </row>
    <row r="413" spans="1:9" x14ac:dyDescent="0.2">
      <c r="A413" s="9">
        <v>1</v>
      </c>
      <c r="B413" s="9">
        <v>46</v>
      </c>
      <c r="C413" s="9">
        <v>3</v>
      </c>
      <c r="D413" s="9">
        <v>13</v>
      </c>
      <c r="E413" s="9">
        <v>43</v>
      </c>
      <c r="F413" s="9">
        <v>13.2</v>
      </c>
      <c r="G413" s="9">
        <v>3.04</v>
      </c>
      <c r="H413" s="9">
        <v>2.63</v>
      </c>
      <c r="I413" s="7" t="s">
        <v>50</v>
      </c>
    </row>
    <row r="414" spans="1:9" x14ac:dyDescent="0.2">
      <c r="A414" s="9">
        <v>1</v>
      </c>
      <c r="B414" s="9">
        <v>37</v>
      </c>
      <c r="C414" s="9">
        <v>1</v>
      </c>
      <c r="D414" s="9">
        <v>14</v>
      </c>
      <c r="E414" s="9">
        <v>33</v>
      </c>
      <c r="F414" s="9">
        <v>16.100000000000001</v>
      </c>
      <c r="G414" s="9">
        <v>2.69</v>
      </c>
      <c r="H414" s="9">
        <v>2.62</v>
      </c>
      <c r="I414" s="7" t="s">
        <v>50</v>
      </c>
    </row>
    <row r="415" spans="1:9" x14ac:dyDescent="0.2">
      <c r="A415" s="9">
        <v>1</v>
      </c>
      <c r="B415" s="9">
        <v>25</v>
      </c>
      <c r="C415" s="9">
        <v>3</v>
      </c>
      <c r="D415" s="9">
        <v>2</v>
      </c>
      <c r="E415" s="9">
        <v>18</v>
      </c>
      <c r="F415" s="9">
        <v>16.3</v>
      </c>
      <c r="G415" s="9">
        <v>0.35</v>
      </c>
      <c r="H415" s="9">
        <v>2.58</v>
      </c>
      <c r="I415" s="7" t="s">
        <v>50</v>
      </c>
    </row>
    <row r="416" spans="1:9" x14ac:dyDescent="0.2">
      <c r="A416" s="9">
        <v>0</v>
      </c>
      <c r="B416" s="9">
        <v>27</v>
      </c>
      <c r="C416" s="9">
        <v>1</v>
      </c>
      <c r="D416" s="9">
        <v>0</v>
      </c>
      <c r="E416" s="9">
        <v>23</v>
      </c>
      <c r="F416" s="9">
        <v>12.4</v>
      </c>
      <c r="G416" s="9">
        <v>0.28999999999999998</v>
      </c>
      <c r="H416" s="9">
        <v>2.57</v>
      </c>
      <c r="I416" s="7" t="s">
        <v>50</v>
      </c>
    </row>
    <row r="417" spans="1:9" x14ac:dyDescent="0.2">
      <c r="A417" s="9">
        <v>0</v>
      </c>
      <c r="B417" s="9">
        <v>34</v>
      </c>
      <c r="C417" s="9">
        <v>10</v>
      </c>
      <c r="D417" s="9">
        <v>2</v>
      </c>
      <c r="E417" s="9">
        <v>33</v>
      </c>
      <c r="F417" s="9">
        <v>9.5</v>
      </c>
      <c r="G417" s="9">
        <v>0.56999999999999995</v>
      </c>
      <c r="H417" s="9">
        <v>2.56</v>
      </c>
      <c r="I417" s="7" t="s">
        <v>50</v>
      </c>
    </row>
    <row r="418" spans="1:9" x14ac:dyDescent="0.2">
      <c r="A418" s="9">
        <v>1</v>
      </c>
      <c r="B418" s="9">
        <v>41</v>
      </c>
      <c r="C418" s="9">
        <v>6</v>
      </c>
      <c r="D418" s="9">
        <v>0</v>
      </c>
      <c r="E418" s="9">
        <v>36</v>
      </c>
      <c r="F418" s="9">
        <v>19.5</v>
      </c>
      <c r="G418" s="9">
        <v>4.51</v>
      </c>
      <c r="H418" s="9">
        <v>2.5099999999999998</v>
      </c>
      <c r="I418" s="7" t="s">
        <v>50</v>
      </c>
    </row>
    <row r="419" spans="1:9" x14ac:dyDescent="0.2">
      <c r="A419" s="9">
        <v>0</v>
      </c>
      <c r="B419" s="9">
        <v>41</v>
      </c>
      <c r="C419" s="9">
        <v>19</v>
      </c>
      <c r="D419" s="9">
        <v>2</v>
      </c>
      <c r="E419" s="9">
        <v>68</v>
      </c>
      <c r="F419" s="9">
        <v>5.8</v>
      </c>
      <c r="G419" s="9">
        <v>1.51</v>
      </c>
      <c r="H419" s="9">
        <v>2.44</v>
      </c>
      <c r="I419" s="7" t="s">
        <v>50</v>
      </c>
    </row>
    <row r="420" spans="1:9" x14ac:dyDescent="0.2">
      <c r="A420" s="9">
        <v>0</v>
      </c>
      <c r="B420" s="9">
        <v>36</v>
      </c>
      <c r="C420" s="9">
        <v>4</v>
      </c>
      <c r="D420" s="9">
        <v>10</v>
      </c>
      <c r="E420" s="9">
        <v>23</v>
      </c>
      <c r="F420" s="9">
        <v>16.3</v>
      </c>
      <c r="G420" s="9">
        <v>1.33</v>
      </c>
      <c r="H420" s="9">
        <v>2.42</v>
      </c>
      <c r="I420" s="7" t="s">
        <v>50</v>
      </c>
    </row>
    <row r="421" spans="1:9" x14ac:dyDescent="0.2">
      <c r="A421" s="9">
        <v>1</v>
      </c>
      <c r="B421" s="9">
        <v>31</v>
      </c>
      <c r="C421" s="9">
        <v>0</v>
      </c>
      <c r="D421" s="9">
        <v>4</v>
      </c>
      <c r="E421" s="9">
        <v>27</v>
      </c>
      <c r="F421" s="9">
        <v>12.8</v>
      </c>
      <c r="G421" s="9">
        <v>1.0900000000000001</v>
      </c>
      <c r="H421" s="9">
        <v>2.37</v>
      </c>
      <c r="I421" s="7" t="s">
        <v>50</v>
      </c>
    </row>
    <row r="422" spans="1:9" x14ac:dyDescent="0.2">
      <c r="A422" s="9">
        <v>1</v>
      </c>
      <c r="B422" s="9">
        <v>44</v>
      </c>
      <c r="C422" s="9">
        <v>5</v>
      </c>
      <c r="D422" s="9">
        <v>3</v>
      </c>
      <c r="E422" s="9">
        <v>48</v>
      </c>
      <c r="F422" s="9">
        <v>9</v>
      </c>
      <c r="G422" s="9">
        <v>1.97</v>
      </c>
      <c r="H422" s="9">
        <v>2.35</v>
      </c>
      <c r="I422" s="7" t="s">
        <v>50</v>
      </c>
    </row>
    <row r="423" spans="1:9" x14ac:dyDescent="0.2">
      <c r="A423" s="9">
        <v>0</v>
      </c>
      <c r="B423" s="9">
        <v>29</v>
      </c>
      <c r="C423" s="9">
        <v>8</v>
      </c>
      <c r="D423" s="9">
        <v>6</v>
      </c>
      <c r="E423" s="9">
        <v>27</v>
      </c>
      <c r="F423" s="9">
        <v>9.8000000000000007</v>
      </c>
      <c r="G423" s="9">
        <v>0.4</v>
      </c>
      <c r="H423" s="9">
        <v>2.2400000000000002</v>
      </c>
      <c r="I423" s="7" t="s">
        <v>50</v>
      </c>
    </row>
    <row r="424" spans="1:9" x14ac:dyDescent="0.2">
      <c r="A424" s="9">
        <v>0</v>
      </c>
      <c r="B424" s="9">
        <v>28</v>
      </c>
      <c r="C424" s="9">
        <v>4</v>
      </c>
      <c r="D424" s="9">
        <v>7</v>
      </c>
      <c r="E424" s="9">
        <v>26</v>
      </c>
      <c r="F424" s="9">
        <v>13.5</v>
      </c>
      <c r="G424" s="9">
        <v>1.3</v>
      </c>
      <c r="H424" s="9">
        <v>2.21</v>
      </c>
      <c r="I424" s="7" t="s">
        <v>50</v>
      </c>
    </row>
    <row r="425" spans="1:9" x14ac:dyDescent="0.2">
      <c r="A425" s="9">
        <v>0</v>
      </c>
      <c r="B425" s="9">
        <v>28</v>
      </c>
      <c r="C425" s="9">
        <v>3</v>
      </c>
      <c r="D425" s="9">
        <v>6</v>
      </c>
      <c r="E425" s="9">
        <v>26</v>
      </c>
      <c r="F425" s="9">
        <v>10</v>
      </c>
      <c r="G425" s="9">
        <v>0.43</v>
      </c>
      <c r="H425" s="9">
        <v>2.17</v>
      </c>
      <c r="I425" s="7" t="s">
        <v>50</v>
      </c>
    </row>
    <row r="426" spans="1:9" x14ac:dyDescent="0.2">
      <c r="A426" s="9">
        <v>0</v>
      </c>
      <c r="B426" s="9">
        <v>36</v>
      </c>
      <c r="C426" s="9">
        <v>6</v>
      </c>
      <c r="D426" s="9">
        <v>9</v>
      </c>
      <c r="E426" s="9">
        <v>26</v>
      </c>
      <c r="F426" s="9">
        <v>8.3000000000000007</v>
      </c>
      <c r="G426" s="9">
        <v>0.97</v>
      </c>
      <c r="H426" s="9">
        <v>2.13</v>
      </c>
      <c r="I426" s="7" t="s">
        <v>50</v>
      </c>
    </row>
    <row r="427" spans="1:9" x14ac:dyDescent="0.2">
      <c r="A427" s="9">
        <v>0</v>
      </c>
      <c r="B427" s="9">
        <v>39</v>
      </c>
      <c r="C427" s="9">
        <v>0</v>
      </c>
      <c r="D427" s="9">
        <v>8</v>
      </c>
      <c r="E427" s="9">
        <v>39</v>
      </c>
      <c r="F427" s="9">
        <v>7.9</v>
      </c>
      <c r="G427" s="9">
        <v>1.07</v>
      </c>
      <c r="H427" s="9">
        <v>2.0099999999999998</v>
      </c>
      <c r="I427" s="7" t="s">
        <v>50</v>
      </c>
    </row>
    <row r="428" spans="1:9" x14ac:dyDescent="0.2">
      <c r="A428" s="9">
        <v>0</v>
      </c>
      <c r="B428" s="9">
        <v>30</v>
      </c>
      <c r="C428" s="9">
        <v>8</v>
      </c>
      <c r="D428" s="9">
        <v>6</v>
      </c>
      <c r="E428" s="9">
        <v>23</v>
      </c>
      <c r="F428" s="9">
        <v>12</v>
      </c>
      <c r="G428" s="9">
        <v>0.76</v>
      </c>
      <c r="H428" s="9">
        <v>2</v>
      </c>
      <c r="I428" s="7" t="s">
        <v>50</v>
      </c>
    </row>
    <row r="429" spans="1:9" x14ac:dyDescent="0.2">
      <c r="A429" s="9">
        <v>0</v>
      </c>
      <c r="B429" s="9">
        <v>37</v>
      </c>
      <c r="C429" s="9">
        <v>18</v>
      </c>
      <c r="D429" s="9">
        <v>8</v>
      </c>
      <c r="E429" s="9">
        <v>54</v>
      </c>
      <c r="F429" s="9">
        <v>12.1</v>
      </c>
      <c r="G429" s="9">
        <v>4.59</v>
      </c>
      <c r="H429" s="9">
        <v>1.94</v>
      </c>
      <c r="I429" s="7" t="s">
        <v>50</v>
      </c>
    </row>
    <row r="430" spans="1:9" x14ac:dyDescent="0.2">
      <c r="A430" s="9">
        <v>0</v>
      </c>
      <c r="B430" s="9">
        <v>34</v>
      </c>
      <c r="C430" s="9">
        <v>9</v>
      </c>
      <c r="D430" s="9">
        <v>9</v>
      </c>
      <c r="E430" s="9">
        <v>65</v>
      </c>
      <c r="F430" s="9">
        <v>6.2</v>
      </c>
      <c r="G430" s="9">
        <v>2.11</v>
      </c>
      <c r="H430" s="9">
        <v>1.92</v>
      </c>
      <c r="I430" s="7" t="s">
        <v>50</v>
      </c>
    </row>
    <row r="431" spans="1:9" x14ac:dyDescent="0.2">
      <c r="A431" s="9">
        <v>0</v>
      </c>
      <c r="B431" s="9">
        <v>34</v>
      </c>
      <c r="C431" s="9">
        <v>12</v>
      </c>
      <c r="D431" s="9">
        <v>8</v>
      </c>
      <c r="E431" s="9">
        <v>47</v>
      </c>
      <c r="F431" s="9">
        <v>6.7</v>
      </c>
      <c r="G431" s="9">
        <v>1.3</v>
      </c>
      <c r="H431" s="9">
        <v>1.85</v>
      </c>
      <c r="I431" s="7" t="s">
        <v>50</v>
      </c>
    </row>
    <row r="432" spans="1:9" x14ac:dyDescent="0.2">
      <c r="A432" s="9">
        <v>1</v>
      </c>
      <c r="B432" s="9">
        <v>25</v>
      </c>
      <c r="C432" s="9">
        <v>3</v>
      </c>
      <c r="D432" s="9">
        <v>2</v>
      </c>
      <c r="E432" s="9">
        <v>16</v>
      </c>
      <c r="F432" s="9">
        <v>17.8</v>
      </c>
      <c r="G432" s="9">
        <v>1.01</v>
      </c>
      <c r="H432" s="9">
        <v>1.84</v>
      </c>
      <c r="I432" s="7" t="s">
        <v>50</v>
      </c>
    </row>
    <row r="433" spans="1:9" x14ac:dyDescent="0.2">
      <c r="A433" s="9">
        <v>1</v>
      </c>
      <c r="B433" s="9">
        <v>37</v>
      </c>
      <c r="C433" s="9">
        <v>1</v>
      </c>
      <c r="D433" s="9">
        <v>3</v>
      </c>
      <c r="E433" s="9">
        <v>24</v>
      </c>
      <c r="F433" s="9">
        <v>15.1</v>
      </c>
      <c r="G433" s="9">
        <v>1.8</v>
      </c>
      <c r="H433" s="9">
        <v>1.82</v>
      </c>
      <c r="I433" s="7" t="s">
        <v>50</v>
      </c>
    </row>
    <row r="434" spans="1:9" x14ac:dyDescent="0.2">
      <c r="A434" s="9">
        <v>0</v>
      </c>
      <c r="B434" s="9">
        <v>39</v>
      </c>
      <c r="C434" s="9">
        <v>12</v>
      </c>
      <c r="D434" s="9">
        <v>10</v>
      </c>
      <c r="E434" s="9">
        <v>46</v>
      </c>
      <c r="F434" s="9">
        <v>5</v>
      </c>
      <c r="G434" s="9">
        <v>0.56000000000000005</v>
      </c>
      <c r="H434" s="9">
        <v>1.74</v>
      </c>
      <c r="I434" s="7" t="s">
        <v>50</v>
      </c>
    </row>
    <row r="435" spans="1:9" x14ac:dyDescent="0.2">
      <c r="A435" s="9">
        <v>1</v>
      </c>
      <c r="B435" s="9">
        <v>31</v>
      </c>
      <c r="C435" s="9">
        <v>2</v>
      </c>
      <c r="D435" s="9">
        <v>4</v>
      </c>
      <c r="E435" s="9">
        <v>22</v>
      </c>
      <c r="F435" s="9">
        <v>12.7</v>
      </c>
      <c r="G435" s="9">
        <v>1.0900000000000001</v>
      </c>
      <c r="H435" s="9">
        <v>1.7</v>
      </c>
      <c r="I435" s="7" t="s">
        <v>50</v>
      </c>
    </row>
    <row r="436" spans="1:9" x14ac:dyDescent="0.2">
      <c r="A436" s="9">
        <v>0</v>
      </c>
      <c r="B436" s="9">
        <v>33</v>
      </c>
      <c r="C436" s="9">
        <v>4</v>
      </c>
      <c r="D436" s="9">
        <v>9</v>
      </c>
      <c r="E436" s="9">
        <v>55</v>
      </c>
      <c r="F436" s="9">
        <v>7</v>
      </c>
      <c r="G436" s="9">
        <v>2.16</v>
      </c>
      <c r="H436" s="9">
        <v>1.69</v>
      </c>
      <c r="I436" s="7" t="s">
        <v>50</v>
      </c>
    </row>
    <row r="437" spans="1:9" x14ac:dyDescent="0.2">
      <c r="A437" s="9">
        <v>0</v>
      </c>
      <c r="B437" s="9">
        <v>39</v>
      </c>
      <c r="C437" s="9">
        <v>19</v>
      </c>
      <c r="D437" s="9">
        <v>8</v>
      </c>
      <c r="E437" s="9">
        <v>46</v>
      </c>
      <c r="F437" s="9">
        <v>9.1</v>
      </c>
      <c r="G437" s="9">
        <v>2.52</v>
      </c>
      <c r="H437" s="9">
        <v>1.67</v>
      </c>
      <c r="I437" s="7" t="s">
        <v>50</v>
      </c>
    </row>
    <row r="438" spans="1:9" x14ac:dyDescent="0.2">
      <c r="A438" s="9">
        <v>0</v>
      </c>
      <c r="B438" s="9">
        <v>30</v>
      </c>
      <c r="C438" s="9">
        <v>10</v>
      </c>
      <c r="D438" s="9">
        <v>11</v>
      </c>
      <c r="E438" s="9">
        <v>39</v>
      </c>
      <c r="F438" s="9">
        <v>9.5</v>
      </c>
      <c r="G438" s="9">
        <v>2.06</v>
      </c>
      <c r="H438" s="9">
        <v>1.65</v>
      </c>
      <c r="I438" s="7" t="s">
        <v>50</v>
      </c>
    </row>
    <row r="439" spans="1:9" x14ac:dyDescent="0.2">
      <c r="A439" s="9">
        <v>1</v>
      </c>
      <c r="B439" s="9">
        <v>24</v>
      </c>
      <c r="C439" s="9">
        <v>2</v>
      </c>
      <c r="D439" s="9">
        <v>3</v>
      </c>
      <c r="E439" s="9">
        <v>26</v>
      </c>
      <c r="F439" s="9">
        <v>9.6999999999999993</v>
      </c>
      <c r="G439" s="9">
        <v>0.89</v>
      </c>
      <c r="H439" s="9">
        <v>1.63</v>
      </c>
      <c r="I439" s="7" t="s">
        <v>50</v>
      </c>
    </row>
    <row r="440" spans="1:9" x14ac:dyDescent="0.2">
      <c r="A440" s="9">
        <v>0</v>
      </c>
      <c r="B440" s="9">
        <v>28</v>
      </c>
      <c r="C440" s="9">
        <v>12</v>
      </c>
      <c r="D440" s="9">
        <v>7</v>
      </c>
      <c r="E440" s="9">
        <v>45</v>
      </c>
      <c r="F440" s="9">
        <v>7.7</v>
      </c>
      <c r="G440" s="9">
        <v>1.85</v>
      </c>
      <c r="H440" s="9">
        <v>1.61</v>
      </c>
      <c r="I440" s="7" t="s">
        <v>50</v>
      </c>
    </row>
    <row r="441" spans="1:9" x14ac:dyDescent="0.2">
      <c r="A441" s="9">
        <v>0</v>
      </c>
      <c r="B441" s="9">
        <v>34</v>
      </c>
      <c r="C441" s="9">
        <v>7</v>
      </c>
      <c r="D441" s="9">
        <v>15</v>
      </c>
      <c r="E441" s="9">
        <v>40</v>
      </c>
      <c r="F441" s="9">
        <v>6.4</v>
      </c>
      <c r="G441" s="9">
        <v>0.95</v>
      </c>
      <c r="H441" s="9">
        <v>1.61</v>
      </c>
      <c r="I441" s="7" t="s">
        <v>50</v>
      </c>
    </row>
    <row r="442" spans="1:9" x14ac:dyDescent="0.2">
      <c r="A442" s="9">
        <v>1</v>
      </c>
      <c r="B442" s="9">
        <v>31</v>
      </c>
      <c r="C442" s="9">
        <v>10</v>
      </c>
      <c r="D442" s="9">
        <v>12</v>
      </c>
      <c r="E442" s="9">
        <v>49</v>
      </c>
      <c r="F442" s="9">
        <v>9.8000000000000007</v>
      </c>
      <c r="G442" s="9">
        <v>3.24</v>
      </c>
      <c r="H442" s="9">
        <v>1.57</v>
      </c>
      <c r="I442" s="7" t="s">
        <v>50</v>
      </c>
    </row>
    <row r="443" spans="1:9" x14ac:dyDescent="0.2">
      <c r="A443" s="9">
        <v>0</v>
      </c>
      <c r="B443" s="9">
        <v>28</v>
      </c>
      <c r="C443" s="9">
        <v>2</v>
      </c>
      <c r="D443" s="9">
        <v>9</v>
      </c>
      <c r="E443" s="9">
        <v>16</v>
      </c>
      <c r="F443" s="9">
        <v>15.2</v>
      </c>
      <c r="G443" s="9">
        <v>0.87</v>
      </c>
      <c r="H443" s="9">
        <v>1.56</v>
      </c>
      <c r="I443" s="7" t="s">
        <v>50</v>
      </c>
    </row>
    <row r="444" spans="1:9" x14ac:dyDescent="0.2">
      <c r="A444" s="9">
        <v>0</v>
      </c>
      <c r="B444" s="9">
        <v>28</v>
      </c>
      <c r="C444" s="9">
        <v>8</v>
      </c>
      <c r="D444" s="9">
        <v>6</v>
      </c>
      <c r="E444" s="9">
        <v>30</v>
      </c>
      <c r="F444" s="9">
        <v>7.2</v>
      </c>
      <c r="G444" s="9">
        <v>0.61</v>
      </c>
      <c r="H444" s="9">
        <v>1.55</v>
      </c>
      <c r="I444" s="7" t="s">
        <v>50</v>
      </c>
    </row>
    <row r="445" spans="1:9" x14ac:dyDescent="0.2">
      <c r="A445" s="9">
        <v>0</v>
      </c>
      <c r="B445" s="9">
        <v>29</v>
      </c>
      <c r="C445" s="9">
        <v>11</v>
      </c>
      <c r="D445" s="9">
        <v>5</v>
      </c>
      <c r="E445" s="9">
        <v>36</v>
      </c>
      <c r="F445" s="9">
        <v>6.1</v>
      </c>
      <c r="G445" s="9">
        <v>0.71</v>
      </c>
      <c r="H445" s="9">
        <v>1.49</v>
      </c>
      <c r="I445" s="7" t="s">
        <v>50</v>
      </c>
    </row>
    <row r="446" spans="1:9" x14ac:dyDescent="0.2">
      <c r="A446" s="9">
        <v>1</v>
      </c>
      <c r="B446" s="9">
        <v>31</v>
      </c>
      <c r="C446" s="9">
        <v>2</v>
      </c>
      <c r="D446" s="9">
        <v>1</v>
      </c>
      <c r="E446" s="9">
        <v>26</v>
      </c>
      <c r="F446" s="9">
        <v>6.8</v>
      </c>
      <c r="G446" s="9">
        <v>0.28000000000000003</v>
      </c>
      <c r="H446" s="9">
        <v>1.49</v>
      </c>
      <c r="I446" s="7" t="s">
        <v>50</v>
      </c>
    </row>
    <row r="447" spans="1:9" x14ac:dyDescent="0.2">
      <c r="A447" s="9">
        <v>0</v>
      </c>
      <c r="B447" s="9">
        <v>39</v>
      </c>
      <c r="C447" s="9">
        <v>13</v>
      </c>
      <c r="D447" s="9">
        <v>1</v>
      </c>
      <c r="E447" s="9">
        <v>38</v>
      </c>
      <c r="F447" s="9">
        <v>8.9</v>
      </c>
      <c r="G447" s="9">
        <v>1.9</v>
      </c>
      <c r="H447" s="9">
        <v>1.48</v>
      </c>
      <c r="I447" s="7" t="s">
        <v>50</v>
      </c>
    </row>
    <row r="448" spans="1:9" x14ac:dyDescent="0.2">
      <c r="A448" s="9">
        <v>0</v>
      </c>
      <c r="B448" s="9">
        <v>40</v>
      </c>
      <c r="C448" s="9">
        <v>15</v>
      </c>
      <c r="D448" s="9">
        <v>16</v>
      </c>
      <c r="E448" s="9">
        <v>73</v>
      </c>
      <c r="F448" s="9">
        <v>3.4</v>
      </c>
      <c r="G448" s="9">
        <v>1.03</v>
      </c>
      <c r="H448" s="9">
        <v>1.45</v>
      </c>
      <c r="I448" s="7" t="s">
        <v>50</v>
      </c>
    </row>
    <row r="449" spans="1:9" x14ac:dyDescent="0.2">
      <c r="A449" s="9">
        <v>0</v>
      </c>
      <c r="B449" s="9">
        <v>38</v>
      </c>
      <c r="C449" s="9">
        <v>5</v>
      </c>
      <c r="D449" s="9">
        <v>13</v>
      </c>
      <c r="E449" s="9">
        <v>21</v>
      </c>
      <c r="F449" s="9">
        <v>9</v>
      </c>
      <c r="G449" s="9">
        <v>0.45</v>
      </c>
      <c r="H449" s="9">
        <v>1.44</v>
      </c>
      <c r="I449" s="7" t="s">
        <v>50</v>
      </c>
    </row>
    <row r="450" spans="1:9" x14ac:dyDescent="0.2">
      <c r="A450" s="9">
        <v>0</v>
      </c>
      <c r="B450" s="9">
        <v>34</v>
      </c>
      <c r="C450" s="9">
        <v>16</v>
      </c>
      <c r="D450" s="9">
        <v>9</v>
      </c>
      <c r="E450" s="9">
        <v>79</v>
      </c>
      <c r="F450" s="9">
        <v>4</v>
      </c>
      <c r="G450" s="9">
        <v>1.73</v>
      </c>
      <c r="H450" s="9">
        <v>1.43</v>
      </c>
      <c r="I450" s="7" t="s">
        <v>50</v>
      </c>
    </row>
    <row r="451" spans="1:9" x14ac:dyDescent="0.2">
      <c r="A451" s="9">
        <v>1</v>
      </c>
      <c r="B451" s="9">
        <v>29</v>
      </c>
      <c r="C451" s="9">
        <v>2</v>
      </c>
      <c r="D451" s="9">
        <v>0</v>
      </c>
      <c r="E451" s="9">
        <v>14</v>
      </c>
      <c r="F451" s="9">
        <v>14.4</v>
      </c>
      <c r="G451" s="9">
        <v>0.59</v>
      </c>
      <c r="H451" s="9">
        <v>1.43</v>
      </c>
      <c r="I451" s="7" t="s">
        <v>50</v>
      </c>
    </row>
    <row r="452" spans="1:9" x14ac:dyDescent="0.2">
      <c r="A452" s="9">
        <v>0</v>
      </c>
      <c r="B452" s="9">
        <v>27</v>
      </c>
      <c r="C452" s="9">
        <v>10</v>
      </c>
      <c r="D452" s="9">
        <v>6</v>
      </c>
      <c r="E452" s="9">
        <v>34</v>
      </c>
      <c r="F452" s="9">
        <v>6.5</v>
      </c>
      <c r="G452" s="9">
        <v>0.85</v>
      </c>
      <c r="H452" s="9">
        <v>1.36</v>
      </c>
      <c r="I452" s="7" t="s">
        <v>50</v>
      </c>
    </row>
    <row r="453" spans="1:9" x14ac:dyDescent="0.2">
      <c r="A453" s="9">
        <v>1</v>
      </c>
      <c r="B453" s="9">
        <v>35</v>
      </c>
      <c r="C453" s="9">
        <v>0</v>
      </c>
      <c r="D453" s="9">
        <v>16</v>
      </c>
      <c r="E453" s="9">
        <v>22</v>
      </c>
      <c r="F453" s="9">
        <v>15</v>
      </c>
      <c r="G453" s="9">
        <v>1.97</v>
      </c>
      <c r="H453" s="9">
        <v>1.33</v>
      </c>
      <c r="I453" s="7" t="s">
        <v>50</v>
      </c>
    </row>
    <row r="454" spans="1:9" x14ac:dyDescent="0.2">
      <c r="A454" s="9">
        <v>1</v>
      </c>
      <c r="B454" s="9">
        <v>24</v>
      </c>
      <c r="C454" s="9">
        <v>0</v>
      </c>
      <c r="D454" s="9">
        <v>3</v>
      </c>
      <c r="E454" s="9">
        <v>29</v>
      </c>
      <c r="F454" s="9">
        <v>6.6</v>
      </c>
      <c r="G454" s="9">
        <v>0.59</v>
      </c>
      <c r="H454" s="9">
        <v>1.32</v>
      </c>
      <c r="I454" s="7" t="s">
        <v>50</v>
      </c>
    </row>
    <row r="455" spans="1:9" x14ac:dyDescent="0.2">
      <c r="A455" s="9">
        <v>1</v>
      </c>
      <c r="B455" s="9">
        <v>25</v>
      </c>
      <c r="C455" s="9">
        <v>0</v>
      </c>
      <c r="D455" s="9">
        <v>6</v>
      </c>
      <c r="E455" s="9">
        <v>24</v>
      </c>
      <c r="F455" s="9">
        <v>12.1</v>
      </c>
      <c r="G455" s="9">
        <v>1.6</v>
      </c>
      <c r="H455" s="9">
        <v>1.31</v>
      </c>
      <c r="I455" s="7" t="s">
        <v>50</v>
      </c>
    </row>
    <row r="456" spans="1:9" x14ac:dyDescent="0.2">
      <c r="A456" s="9">
        <v>0</v>
      </c>
      <c r="B456" s="9">
        <v>35</v>
      </c>
      <c r="C456" s="9">
        <v>9</v>
      </c>
      <c r="D456" s="9">
        <v>1</v>
      </c>
      <c r="E456" s="9">
        <v>34</v>
      </c>
      <c r="F456" s="9">
        <v>5</v>
      </c>
      <c r="G456" s="9">
        <v>0.4</v>
      </c>
      <c r="H456" s="9">
        <v>1.3</v>
      </c>
      <c r="I456" s="7" t="s">
        <v>50</v>
      </c>
    </row>
    <row r="457" spans="1:9" x14ac:dyDescent="0.2">
      <c r="A457" s="9">
        <v>1</v>
      </c>
      <c r="B457" s="9">
        <v>28</v>
      </c>
      <c r="C457" s="9">
        <v>2</v>
      </c>
      <c r="D457" s="9">
        <v>3</v>
      </c>
      <c r="E457" s="9">
        <v>23</v>
      </c>
      <c r="F457" s="9">
        <v>6.4</v>
      </c>
      <c r="G457" s="9">
        <v>0.19</v>
      </c>
      <c r="H457" s="9">
        <v>1.29</v>
      </c>
      <c r="I457" s="7" t="s">
        <v>50</v>
      </c>
    </row>
    <row r="458" spans="1:9" x14ac:dyDescent="0.2">
      <c r="A458" s="9">
        <v>0</v>
      </c>
      <c r="B458" s="9">
        <v>33</v>
      </c>
      <c r="C458" s="9">
        <v>13</v>
      </c>
      <c r="D458" s="9">
        <v>13</v>
      </c>
      <c r="E458" s="9">
        <v>42</v>
      </c>
      <c r="F458" s="9">
        <v>3.6</v>
      </c>
      <c r="G458" s="9">
        <v>0.23</v>
      </c>
      <c r="H458" s="9">
        <v>1.28</v>
      </c>
      <c r="I458" s="7" t="s">
        <v>50</v>
      </c>
    </row>
    <row r="459" spans="1:9" x14ac:dyDescent="0.2">
      <c r="A459" s="9">
        <v>0</v>
      </c>
      <c r="B459" s="9">
        <v>43</v>
      </c>
      <c r="C459" s="9">
        <v>4</v>
      </c>
      <c r="D459" s="9">
        <v>2</v>
      </c>
      <c r="E459" s="9">
        <v>29</v>
      </c>
      <c r="F459" s="9">
        <v>4.5999999999999996</v>
      </c>
      <c r="G459" s="9">
        <v>0.05</v>
      </c>
      <c r="H459" s="9">
        <v>1.28</v>
      </c>
      <c r="I459" s="7" t="s">
        <v>50</v>
      </c>
    </row>
    <row r="460" spans="1:9" x14ac:dyDescent="0.2">
      <c r="A460" s="9">
        <v>0</v>
      </c>
      <c r="B460" s="9">
        <v>39</v>
      </c>
      <c r="C460" s="9">
        <v>16</v>
      </c>
      <c r="D460" s="9">
        <v>12</v>
      </c>
      <c r="E460" s="9">
        <v>53</v>
      </c>
      <c r="F460" s="9">
        <v>3.7</v>
      </c>
      <c r="G460" s="9">
        <v>0.69</v>
      </c>
      <c r="H460" s="9">
        <v>1.27</v>
      </c>
      <c r="I460" s="7" t="s">
        <v>50</v>
      </c>
    </row>
    <row r="461" spans="1:9" x14ac:dyDescent="0.2">
      <c r="A461" s="9">
        <v>0</v>
      </c>
      <c r="B461" s="9">
        <v>48</v>
      </c>
      <c r="C461" s="9">
        <v>0</v>
      </c>
      <c r="D461" s="9">
        <v>27</v>
      </c>
      <c r="E461" s="9">
        <v>19</v>
      </c>
      <c r="F461" s="9">
        <v>10.8</v>
      </c>
      <c r="G461" s="9">
        <v>0.85</v>
      </c>
      <c r="H461" s="9">
        <v>1.2</v>
      </c>
      <c r="I461" s="7" t="s">
        <v>50</v>
      </c>
    </row>
    <row r="462" spans="1:9" x14ac:dyDescent="0.2">
      <c r="A462" s="9">
        <v>0</v>
      </c>
      <c r="B462" s="9">
        <v>41</v>
      </c>
      <c r="C462" s="9">
        <v>7</v>
      </c>
      <c r="D462" s="9">
        <v>11</v>
      </c>
      <c r="E462" s="9">
        <v>43</v>
      </c>
      <c r="F462" s="9">
        <v>4.4000000000000004</v>
      </c>
      <c r="G462" s="9">
        <v>0.69</v>
      </c>
      <c r="H462" s="9">
        <v>1.2</v>
      </c>
      <c r="I462" s="7" t="s">
        <v>50</v>
      </c>
    </row>
    <row r="463" spans="1:9" x14ac:dyDescent="0.2">
      <c r="A463" s="9">
        <v>0</v>
      </c>
      <c r="B463" s="9">
        <v>30</v>
      </c>
      <c r="C463" s="9">
        <v>1</v>
      </c>
      <c r="D463" s="9">
        <v>10</v>
      </c>
      <c r="E463" s="9">
        <v>22</v>
      </c>
      <c r="F463" s="9">
        <v>10.5</v>
      </c>
      <c r="G463" s="9">
        <v>1.1399999999999999</v>
      </c>
      <c r="H463" s="9">
        <v>1.17</v>
      </c>
      <c r="I463" s="7" t="s">
        <v>50</v>
      </c>
    </row>
    <row r="464" spans="1:9" x14ac:dyDescent="0.2">
      <c r="A464" s="9">
        <v>1</v>
      </c>
      <c r="B464" s="9">
        <v>47</v>
      </c>
      <c r="C464" s="9">
        <v>4</v>
      </c>
      <c r="D464" s="9">
        <v>9</v>
      </c>
      <c r="E464" s="9">
        <v>33</v>
      </c>
      <c r="F464" s="9">
        <v>7.1</v>
      </c>
      <c r="G464" s="9">
        <v>1.19</v>
      </c>
      <c r="H464" s="9">
        <v>1.1499999999999999</v>
      </c>
      <c r="I464" s="7" t="s">
        <v>50</v>
      </c>
    </row>
    <row r="465" spans="1:9" x14ac:dyDescent="0.2">
      <c r="A465" s="9">
        <v>0</v>
      </c>
      <c r="B465" s="9">
        <v>36</v>
      </c>
      <c r="C465" s="9">
        <v>14</v>
      </c>
      <c r="D465" s="9">
        <v>17</v>
      </c>
      <c r="E465" s="9">
        <v>53</v>
      </c>
      <c r="F465" s="9">
        <v>5.7</v>
      </c>
      <c r="G465" s="9">
        <v>1.89</v>
      </c>
      <c r="H465" s="9">
        <v>1.1299999999999999</v>
      </c>
      <c r="I465" s="7" t="s">
        <v>50</v>
      </c>
    </row>
    <row r="466" spans="1:9" x14ac:dyDescent="0.2">
      <c r="A466" s="9">
        <v>0</v>
      </c>
      <c r="B466" s="9">
        <v>23</v>
      </c>
      <c r="C466" s="9">
        <v>0</v>
      </c>
      <c r="D466" s="9">
        <v>2</v>
      </c>
      <c r="E466" s="9">
        <v>23</v>
      </c>
      <c r="F466" s="9">
        <v>6.7</v>
      </c>
      <c r="G466" s="9">
        <v>0.47</v>
      </c>
      <c r="H466" s="9">
        <v>1.07</v>
      </c>
      <c r="I466" s="7" t="s">
        <v>50</v>
      </c>
    </row>
    <row r="467" spans="1:9" x14ac:dyDescent="0.2">
      <c r="A467" s="9">
        <v>0</v>
      </c>
      <c r="B467" s="9">
        <v>33</v>
      </c>
      <c r="C467" s="9">
        <v>6</v>
      </c>
      <c r="D467" s="9">
        <v>14</v>
      </c>
      <c r="E467" s="9">
        <v>21</v>
      </c>
      <c r="F467" s="9">
        <v>7.5</v>
      </c>
      <c r="G467" s="9">
        <v>0.56999999999999995</v>
      </c>
      <c r="H467" s="9">
        <v>1.01</v>
      </c>
      <c r="I467" s="7" t="s">
        <v>50</v>
      </c>
    </row>
    <row r="468" spans="1:9" x14ac:dyDescent="0.2">
      <c r="A468" s="9">
        <v>1</v>
      </c>
      <c r="B468" s="9">
        <v>31</v>
      </c>
      <c r="C468" s="9">
        <v>11</v>
      </c>
      <c r="D468" s="9">
        <v>6</v>
      </c>
      <c r="E468" s="9">
        <v>28</v>
      </c>
      <c r="F468" s="9">
        <v>4.8</v>
      </c>
      <c r="G468" s="9">
        <v>0.35</v>
      </c>
      <c r="H468" s="9">
        <v>1</v>
      </c>
      <c r="I468" s="7" t="s">
        <v>50</v>
      </c>
    </row>
    <row r="469" spans="1:9" x14ac:dyDescent="0.2">
      <c r="A469" s="9">
        <v>1</v>
      </c>
      <c r="B469" s="9">
        <v>29</v>
      </c>
      <c r="C469" s="9">
        <v>5</v>
      </c>
      <c r="D469" s="9">
        <v>4</v>
      </c>
      <c r="E469" s="9">
        <v>36</v>
      </c>
      <c r="F469" s="9">
        <v>12.4</v>
      </c>
      <c r="G469" s="9">
        <v>3.49</v>
      </c>
      <c r="H469" s="9">
        <v>0.97</v>
      </c>
      <c r="I469" s="7" t="s">
        <v>50</v>
      </c>
    </row>
    <row r="470" spans="1:9" x14ac:dyDescent="0.2">
      <c r="A470" s="9">
        <v>1</v>
      </c>
      <c r="B470" s="9">
        <v>29</v>
      </c>
      <c r="C470" s="9">
        <v>3</v>
      </c>
      <c r="D470" s="9">
        <v>3</v>
      </c>
      <c r="E470" s="9">
        <v>50</v>
      </c>
      <c r="F470" s="9">
        <v>2.4</v>
      </c>
      <c r="G470" s="9">
        <v>0.26</v>
      </c>
      <c r="H470" s="9">
        <v>0.94</v>
      </c>
      <c r="I470" s="7" t="s">
        <v>50</v>
      </c>
    </row>
    <row r="471" spans="1:9" x14ac:dyDescent="0.2">
      <c r="A471" s="9">
        <v>0</v>
      </c>
      <c r="B471" s="9">
        <v>25</v>
      </c>
      <c r="C471" s="9">
        <v>4</v>
      </c>
      <c r="D471" s="9">
        <v>0</v>
      </c>
      <c r="E471" s="9">
        <v>23</v>
      </c>
      <c r="F471" s="9">
        <v>5.2</v>
      </c>
      <c r="G471" s="9">
        <v>0.25</v>
      </c>
      <c r="H471" s="9">
        <v>0.94</v>
      </c>
      <c r="I471" s="7" t="s">
        <v>50</v>
      </c>
    </row>
    <row r="472" spans="1:9" x14ac:dyDescent="0.2">
      <c r="A472" s="9">
        <v>0</v>
      </c>
      <c r="B472" s="9">
        <v>31</v>
      </c>
      <c r="C472" s="9">
        <v>7</v>
      </c>
      <c r="D472" s="9">
        <v>10</v>
      </c>
      <c r="E472" s="9">
        <v>23</v>
      </c>
      <c r="F472" s="9">
        <v>4.9000000000000004</v>
      </c>
      <c r="G472" s="9">
        <v>0.23</v>
      </c>
      <c r="H472" s="9">
        <v>0.9</v>
      </c>
      <c r="I472" s="7" t="s">
        <v>50</v>
      </c>
    </row>
    <row r="473" spans="1:9" x14ac:dyDescent="0.2">
      <c r="A473" s="9">
        <v>0</v>
      </c>
      <c r="B473" s="9">
        <v>31</v>
      </c>
      <c r="C473" s="9">
        <v>1</v>
      </c>
      <c r="D473" s="9">
        <v>1</v>
      </c>
      <c r="E473" s="9">
        <v>24</v>
      </c>
      <c r="F473" s="9">
        <v>4.5</v>
      </c>
      <c r="G473" s="9">
        <v>0.22</v>
      </c>
      <c r="H473" s="9">
        <v>0.86</v>
      </c>
      <c r="I473" s="7" t="s">
        <v>50</v>
      </c>
    </row>
    <row r="474" spans="1:9" x14ac:dyDescent="0.2">
      <c r="A474" s="9">
        <v>0</v>
      </c>
      <c r="B474" s="9">
        <v>33</v>
      </c>
      <c r="C474" s="9">
        <v>2</v>
      </c>
      <c r="D474" s="9">
        <v>14</v>
      </c>
      <c r="E474" s="9">
        <v>44</v>
      </c>
      <c r="F474" s="9">
        <v>3.1</v>
      </c>
      <c r="G474" s="9">
        <v>0.53</v>
      </c>
      <c r="H474" s="9">
        <v>0.84</v>
      </c>
      <c r="I474" s="7" t="s">
        <v>50</v>
      </c>
    </row>
    <row r="475" spans="1:9" x14ac:dyDescent="0.2">
      <c r="A475" s="9">
        <v>1</v>
      </c>
      <c r="B475" s="9">
        <v>25</v>
      </c>
      <c r="C475" s="9">
        <v>4</v>
      </c>
      <c r="D475" s="9">
        <v>5</v>
      </c>
      <c r="E475" s="9">
        <v>27</v>
      </c>
      <c r="F475" s="9">
        <v>5</v>
      </c>
      <c r="G475" s="9">
        <v>0.55000000000000004</v>
      </c>
      <c r="H475" s="9">
        <v>0.8</v>
      </c>
      <c r="I475" s="7" t="s">
        <v>50</v>
      </c>
    </row>
    <row r="476" spans="1:9" x14ac:dyDescent="0.2">
      <c r="A476" s="9">
        <v>0</v>
      </c>
      <c r="B476" s="9">
        <v>29</v>
      </c>
      <c r="C476" s="9">
        <v>6</v>
      </c>
      <c r="D476" s="9">
        <v>7</v>
      </c>
      <c r="E476" s="9">
        <v>57</v>
      </c>
      <c r="F476" s="9">
        <v>2.2000000000000002</v>
      </c>
      <c r="G476" s="9">
        <v>0.45</v>
      </c>
      <c r="H476" s="9">
        <v>0.8</v>
      </c>
      <c r="I476" s="7" t="s">
        <v>50</v>
      </c>
    </row>
    <row r="477" spans="1:9" x14ac:dyDescent="0.2">
      <c r="A477" s="9">
        <v>0</v>
      </c>
      <c r="B477" s="9">
        <v>33</v>
      </c>
      <c r="C477" s="9">
        <v>8</v>
      </c>
      <c r="D477" s="9">
        <v>7</v>
      </c>
      <c r="E477" s="9">
        <v>27</v>
      </c>
      <c r="F477" s="9">
        <v>5.8</v>
      </c>
      <c r="G477" s="9">
        <v>0.78</v>
      </c>
      <c r="H477" s="9">
        <v>0.79</v>
      </c>
      <c r="I477" s="7" t="s">
        <v>50</v>
      </c>
    </row>
    <row r="478" spans="1:9" x14ac:dyDescent="0.2">
      <c r="A478" s="9">
        <v>0</v>
      </c>
      <c r="B478" s="9">
        <v>24</v>
      </c>
      <c r="C478" s="9">
        <v>7</v>
      </c>
      <c r="D478" s="9">
        <v>0</v>
      </c>
      <c r="E478" s="9">
        <v>18</v>
      </c>
      <c r="F478" s="9">
        <v>6.5</v>
      </c>
      <c r="G478" s="9">
        <v>0.53</v>
      </c>
      <c r="H478" s="9">
        <v>0.64</v>
      </c>
      <c r="I478" s="7" t="s">
        <v>50</v>
      </c>
    </row>
    <row r="479" spans="1:9" x14ac:dyDescent="0.2">
      <c r="A479" s="9">
        <v>0</v>
      </c>
      <c r="B479" s="9">
        <v>30</v>
      </c>
      <c r="C479" s="9">
        <v>4</v>
      </c>
      <c r="D479" s="9">
        <v>8</v>
      </c>
      <c r="E479" s="9">
        <v>15</v>
      </c>
      <c r="F479" s="9">
        <v>6.5</v>
      </c>
      <c r="G479" s="9">
        <v>0.35</v>
      </c>
      <c r="H479" s="9">
        <v>0.62</v>
      </c>
      <c r="I479" s="7" t="s">
        <v>50</v>
      </c>
    </row>
    <row r="480" spans="1:9" x14ac:dyDescent="0.2">
      <c r="A480" s="9">
        <v>1</v>
      </c>
      <c r="B480" s="9">
        <v>21</v>
      </c>
      <c r="C480" s="9">
        <v>2</v>
      </c>
      <c r="D480" s="9">
        <v>0</v>
      </c>
      <c r="E480" s="9">
        <v>20</v>
      </c>
      <c r="F480" s="9">
        <v>4.5</v>
      </c>
      <c r="G480" s="9">
        <v>0.28999999999999998</v>
      </c>
      <c r="H480" s="9">
        <v>0.61</v>
      </c>
      <c r="I480" s="7" t="s">
        <v>50</v>
      </c>
    </row>
    <row r="481" spans="1:9" x14ac:dyDescent="0.2">
      <c r="A481" s="9">
        <v>0</v>
      </c>
      <c r="B481" s="9">
        <v>31</v>
      </c>
      <c r="C481" s="9">
        <v>9</v>
      </c>
      <c r="D481" s="9">
        <v>2</v>
      </c>
      <c r="E481" s="9">
        <v>28</v>
      </c>
      <c r="F481" s="9">
        <v>2.6</v>
      </c>
      <c r="G481" s="9">
        <v>0.12</v>
      </c>
      <c r="H481" s="9">
        <v>0.61</v>
      </c>
      <c r="I481" s="7" t="s">
        <v>50</v>
      </c>
    </row>
    <row r="482" spans="1:9" x14ac:dyDescent="0.2">
      <c r="A482" s="9">
        <v>0</v>
      </c>
      <c r="B482" s="9">
        <v>39</v>
      </c>
      <c r="C482" s="9">
        <v>16</v>
      </c>
      <c r="D482" s="9">
        <v>13</v>
      </c>
      <c r="E482" s="9">
        <v>69</v>
      </c>
      <c r="F482" s="9">
        <v>2.4</v>
      </c>
      <c r="G482" s="9">
        <v>1.06</v>
      </c>
      <c r="H482" s="9">
        <v>0.59</v>
      </c>
      <c r="I482" s="7" t="s">
        <v>50</v>
      </c>
    </row>
    <row r="483" spans="1:9" x14ac:dyDescent="0.2">
      <c r="A483" s="9">
        <v>0</v>
      </c>
      <c r="B483" s="9">
        <v>21</v>
      </c>
      <c r="C483" s="9">
        <v>0</v>
      </c>
      <c r="D483" s="9">
        <v>1</v>
      </c>
      <c r="E483" s="9">
        <v>26</v>
      </c>
      <c r="F483" s="9">
        <v>7.7</v>
      </c>
      <c r="G483" s="9">
        <v>1.53</v>
      </c>
      <c r="H483" s="9">
        <v>0.47</v>
      </c>
      <c r="I483" s="7" t="s">
        <v>50</v>
      </c>
    </row>
    <row r="484" spans="1:9" x14ac:dyDescent="0.2">
      <c r="A484" s="9">
        <v>0</v>
      </c>
      <c r="B484" s="9">
        <v>28</v>
      </c>
      <c r="C484" s="9">
        <v>11</v>
      </c>
      <c r="D484" s="9">
        <v>6</v>
      </c>
      <c r="E484" s="9">
        <v>24</v>
      </c>
      <c r="F484" s="9">
        <v>2.4</v>
      </c>
      <c r="G484" s="9">
        <v>0.11</v>
      </c>
      <c r="H484" s="9">
        <v>0.47</v>
      </c>
      <c r="I484" s="7" t="s">
        <v>50</v>
      </c>
    </row>
    <row r="485" spans="1:9" x14ac:dyDescent="0.2">
      <c r="A485" s="9">
        <v>0</v>
      </c>
      <c r="B485" s="9">
        <v>26</v>
      </c>
      <c r="C485" s="9">
        <v>1</v>
      </c>
      <c r="D485" s="9">
        <v>0</v>
      </c>
      <c r="E485" s="9">
        <v>21</v>
      </c>
      <c r="F485" s="9">
        <v>4.9000000000000004</v>
      </c>
      <c r="G485" s="9">
        <v>0.61</v>
      </c>
      <c r="H485" s="9">
        <v>0.42</v>
      </c>
      <c r="I485" s="7" t="s">
        <v>50</v>
      </c>
    </row>
    <row r="486" spans="1:9" x14ac:dyDescent="0.2">
      <c r="A486" s="9">
        <v>0</v>
      </c>
      <c r="B486" s="9">
        <v>29</v>
      </c>
      <c r="C486" s="9">
        <v>9</v>
      </c>
      <c r="D486" s="9">
        <v>3</v>
      </c>
      <c r="E486" s="9">
        <v>36</v>
      </c>
      <c r="F486" s="9">
        <v>1.4</v>
      </c>
      <c r="G486" s="9">
        <v>0.13</v>
      </c>
      <c r="H486" s="9">
        <v>0.38</v>
      </c>
      <c r="I486" s="7" t="s">
        <v>50</v>
      </c>
    </row>
    <row r="487" spans="1:9" x14ac:dyDescent="0.2">
      <c r="A487" s="9">
        <v>0</v>
      </c>
      <c r="B487" s="9">
        <v>38</v>
      </c>
      <c r="C487" s="9">
        <v>10</v>
      </c>
      <c r="D487" s="9">
        <v>8</v>
      </c>
      <c r="E487" s="9">
        <v>34</v>
      </c>
      <c r="F487" s="9">
        <v>1.2</v>
      </c>
      <c r="G487" s="9">
        <v>0.04</v>
      </c>
      <c r="H487" s="9">
        <v>0.37</v>
      </c>
      <c r="I487" s="7" t="s">
        <v>50</v>
      </c>
    </row>
    <row r="488" spans="1:9" x14ac:dyDescent="0.2">
      <c r="A488" s="9">
        <v>0</v>
      </c>
      <c r="B488" s="9">
        <v>20</v>
      </c>
      <c r="C488" s="9">
        <v>0</v>
      </c>
      <c r="D488" s="9">
        <v>1</v>
      </c>
      <c r="E488" s="9">
        <v>17</v>
      </c>
      <c r="F488" s="9">
        <v>2.2999999999999998</v>
      </c>
      <c r="G488" s="9">
        <v>0.04</v>
      </c>
      <c r="H488" s="9">
        <v>0.35</v>
      </c>
      <c r="I488" s="7" t="s">
        <v>50</v>
      </c>
    </row>
    <row r="489" spans="1:9" x14ac:dyDescent="0.2">
      <c r="A489" s="9">
        <v>0</v>
      </c>
      <c r="B489" s="9">
        <v>26</v>
      </c>
      <c r="C489" s="9">
        <v>10</v>
      </c>
      <c r="D489" s="9">
        <v>6</v>
      </c>
      <c r="E489" s="9">
        <v>24</v>
      </c>
      <c r="F489" s="9">
        <v>2.7</v>
      </c>
      <c r="G489" s="9">
        <v>0.31</v>
      </c>
      <c r="H489" s="9">
        <v>0.34</v>
      </c>
      <c r="I489" s="7" t="s">
        <v>50</v>
      </c>
    </row>
    <row r="490" spans="1:9" x14ac:dyDescent="0.2">
      <c r="A490" s="9">
        <v>0</v>
      </c>
      <c r="B490" s="9">
        <v>40</v>
      </c>
      <c r="C490" s="9">
        <v>2</v>
      </c>
      <c r="D490" s="9">
        <v>4</v>
      </c>
      <c r="E490" s="9">
        <v>32</v>
      </c>
      <c r="F490" s="9">
        <v>3.7</v>
      </c>
      <c r="G490" s="9">
        <v>0.85</v>
      </c>
      <c r="H490" s="9">
        <v>0.33</v>
      </c>
      <c r="I490" s="7" t="s">
        <v>50</v>
      </c>
    </row>
    <row r="491" spans="1:9" x14ac:dyDescent="0.2">
      <c r="A491" s="9">
        <v>1</v>
      </c>
      <c r="B491" s="9">
        <v>30</v>
      </c>
      <c r="C491" s="9">
        <v>0</v>
      </c>
      <c r="D491" s="9">
        <v>11</v>
      </c>
      <c r="E491" s="9">
        <v>17</v>
      </c>
      <c r="F491" s="9">
        <v>3.7</v>
      </c>
      <c r="G491" s="9">
        <v>0.45</v>
      </c>
      <c r="H491" s="9">
        <v>0.18</v>
      </c>
      <c r="I491" s="7" t="s">
        <v>50</v>
      </c>
    </row>
    <row r="492" spans="1:9" x14ac:dyDescent="0.2">
      <c r="A492" s="9">
        <v>0</v>
      </c>
      <c r="B492" s="9">
        <v>30</v>
      </c>
      <c r="C492" s="9">
        <v>11</v>
      </c>
      <c r="D492" s="9">
        <v>9</v>
      </c>
      <c r="E492" s="9">
        <v>27</v>
      </c>
      <c r="F492" s="9">
        <v>0.9</v>
      </c>
      <c r="G492" s="9">
        <v>7.0000000000000007E-2</v>
      </c>
      <c r="H492" s="9">
        <v>0.17</v>
      </c>
      <c r="I492" s="7" t="s">
        <v>50</v>
      </c>
    </row>
    <row r="493" spans="1:9" x14ac:dyDescent="0.2">
      <c r="A493" s="9">
        <v>0</v>
      </c>
      <c r="B493" s="9">
        <v>25</v>
      </c>
      <c r="C493" s="9">
        <v>9</v>
      </c>
      <c r="D493" s="9">
        <v>4</v>
      </c>
      <c r="E493" s="9">
        <v>18</v>
      </c>
      <c r="F493" s="9">
        <v>1.2</v>
      </c>
      <c r="G493" s="9">
        <v>7.0000000000000007E-2</v>
      </c>
      <c r="H493" s="9">
        <v>0.15</v>
      </c>
      <c r="I493" s="7" t="s">
        <v>50</v>
      </c>
    </row>
    <row r="494" spans="1:9" x14ac:dyDescent="0.2">
      <c r="A494" s="9">
        <v>0</v>
      </c>
      <c r="B494" s="9">
        <v>27</v>
      </c>
      <c r="C494" s="9">
        <v>0</v>
      </c>
      <c r="D494" s="9">
        <v>1</v>
      </c>
      <c r="E494" s="9">
        <v>16</v>
      </c>
      <c r="F494" s="9">
        <v>1.7</v>
      </c>
      <c r="G494" s="9">
        <v>0.18</v>
      </c>
      <c r="H494" s="9">
        <v>0.09</v>
      </c>
      <c r="I494" s="7" t="s">
        <v>50</v>
      </c>
    </row>
    <row r="495" spans="1:9" x14ac:dyDescent="0.2">
      <c r="A495" s="9">
        <v>0</v>
      </c>
      <c r="B495" s="9">
        <v>27</v>
      </c>
      <c r="C495" s="9">
        <v>0</v>
      </c>
      <c r="D495" s="9">
        <v>5</v>
      </c>
      <c r="E495" s="9">
        <v>16</v>
      </c>
      <c r="F495" s="9">
        <v>1.1000000000000001</v>
      </c>
      <c r="G495" s="9">
        <v>0.13</v>
      </c>
      <c r="H495" s="9">
        <v>0.05</v>
      </c>
      <c r="I495" s="7" t="s">
        <v>50</v>
      </c>
    </row>
    <row r="496" spans="1:9" x14ac:dyDescent="0.2">
      <c r="A496" s="9">
        <v>1</v>
      </c>
      <c r="B496" s="9">
        <v>40</v>
      </c>
      <c r="C496" s="9">
        <v>13</v>
      </c>
      <c r="D496" s="9">
        <v>11</v>
      </c>
      <c r="E496" s="9">
        <v>102</v>
      </c>
      <c r="F496" s="9">
        <v>18.899999999999999</v>
      </c>
      <c r="G496" s="13">
        <v>5.4954845947359976</v>
      </c>
      <c r="H496" s="9">
        <v>0</v>
      </c>
      <c r="I496" s="7" t="s">
        <v>50</v>
      </c>
    </row>
    <row r="497" spans="1:9" x14ac:dyDescent="0.2">
      <c r="A497" s="9">
        <v>0</v>
      </c>
      <c r="B497" s="9">
        <v>39</v>
      </c>
      <c r="C497" s="9">
        <v>20</v>
      </c>
      <c r="D497" s="9">
        <v>9</v>
      </c>
      <c r="E497" s="9">
        <v>67</v>
      </c>
      <c r="F497" s="9">
        <v>30.6</v>
      </c>
      <c r="G497" s="9">
        <v>3.83</v>
      </c>
      <c r="H497" s="9">
        <v>0</v>
      </c>
      <c r="I497" s="7" t="s">
        <v>50</v>
      </c>
    </row>
    <row r="498" spans="1:9" x14ac:dyDescent="0.2">
      <c r="A498" s="9">
        <v>1</v>
      </c>
      <c r="B498" s="9">
        <v>41</v>
      </c>
      <c r="C498" s="9">
        <v>13</v>
      </c>
      <c r="D498" s="9">
        <v>13</v>
      </c>
      <c r="E498" s="9">
        <v>91</v>
      </c>
      <c r="F498" s="9">
        <v>25.2</v>
      </c>
      <c r="G498" s="9">
        <v>2.3199999999999998</v>
      </c>
      <c r="H498" s="9">
        <v>0</v>
      </c>
      <c r="I498" s="7" t="s">
        <v>50</v>
      </c>
    </row>
    <row r="499" spans="1:9" x14ac:dyDescent="0.2">
      <c r="A499" s="9">
        <v>1</v>
      </c>
      <c r="B499" s="9">
        <v>54</v>
      </c>
      <c r="C499" s="9">
        <v>25</v>
      </c>
      <c r="D499" s="9">
        <v>12</v>
      </c>
      <c r="E499" s="13">
        <v>117.54291069294821</v>
      </c>
      <c r="F499" s="9">
        <v>26.5</v>
      </c>
      <c r="G499" s="9">
        <v>0</v>
      </c>
      <c r="H499" s="9">
        <v>0</v>
      </c>
      <c r="I499" s="7" t="s">
        <v>50</v>
      </c>
    </row>
    <row r="500" spans="1:9" x14ac:dyDescent="0.2">
      <c r="A500" s="9">
        <v>1</v>
      </c>
      <c r="B500" s="9">
        <v>43</v>
      </c>
      <c r="C500" s="9">
        <v>18</v>
      </c>
      <c r="D500" s="9">
        <v>14</v>
      </c>
      <c r="E500" s="9">
        <v>0</v>
      </c>
      <c r="F500" s="9">
        <v>6.5</v>
      </c>
      <c r="G500" s="9">
        <v>0</v>
      </c>
      <c r="H500" s="13">
        <v>10.154483815851645</v>
      </c>
      <c r="I500" s="7" t="s">
        <v>50</v>
      </c>
    </row>
    <row r="501" spans="1:9" x14ac:dyDescent="0.2">
      <c r="A501" s="9">
        <v>0</v>
      </c>
      <c r="B501" s="9">
        <v>48</v>
      </c>
      <c r="C501" s="9">
        <v>17</v>
      </c>
      <c r="D501" s="9">
        <v>26</v>
      </c>
      <c r="E501" s="9">
        <v>113</v>
      </c>
      <c r="F501" s="9">
        <v>12</v>
      </c>
      <c r="G501" s="9">
        <v>3.38</v>
      </c>
      <c r="H501" s="13">
        <v>10.154483815851645</v>
      </c>
      <c r="I501" s="7" t="s">
        <v>50</v>
      </c>
    </row>
  </sheetData>
  <mergeCells count="11">
    <mergeCell ref="K64:O65"/>
    <mergeCell ref="K67:L68"/>
    <mergeCell ref="M67:N67"/>
    <mergeCell ref="K69:K70"/>
    <mergeCell ref="K71:L71"/>
    <mergeCell ref="M71:N74"/>
    <mergeCell ref="K77:L78"/>
    <mergeCell ref="M77:N77"/>
    <mergeCell ref="K79:K80"/>
    <mergeCell ref="K81:L81"/>
    <mergeCell ref="M81:N8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D8431-0231-3B4B-81B5-24C8162CFBCF}">
  <dimension ref="A1:R501"/>
  <sheetViews>
    <sheetView showGridLines="0" zoomScale="150" workbookViewId="0">
      <selection sqref="A1:XFD1048576"/>
    </sheetView>
  </sheetViews>
  <sheetFormatPr baseColWidth="10" defaultRowHeight="16" x14ac:dyDescent="0.2"/>
  <cols>
    <col min="1" max="7" width="10.83203125" style="6"/>
    <col min="8" max="8" width="13.1640625" style="6" bestFit="1" customWidth="1"/>
    <col min="9" max="9" width="10.83203125" style="85"/>
    <col min="10" max="10" width="15.83203125" style="5" customWidth="1"/>
    <col min="11" max="16384" width="10.83203125" style="5"/>
  </cols>
  <sheetData>
    <row r="1" spans="1:18" x14ac:dyDescent="0.2">
      <c r="A1" s="9" t="s">
        <v>71</v>
      </c>
      <c r="B1" s="9" t="s">
        <v>3</v>
      </c>
      <c r="C1" s="9" t="s">
        <v>4</v>
      </c>
      <c r="D1" s="9" t="s">
        <v>5</v>
      </c>
      <c r="E1" s="9" t="s">
        <v>6</v>
      </c>
      <c r="F1" s="9" t="s">
        <v>7</v>
      </c>
      <c r="G1" s="9" t="s">
        <v>8</v>
      </c>
      <c r="H1" s="9" t="s">
        <v>47</v>
      </c>
    </row>
    <row r="2" spans="1:18" x14ac:dyDescent="0.2">
      <c r="A2" s="9">
        <v>0</v>
      </c>
      <c r="B2" s="9">
        <v>6</v>
      </c>
      <c r="C2" s="9">
        <v>10</v>
      </c>
      <c r="D2" s="9">
        <v>65</v>
      </c>
      <c r="E2" s="9">
        <v>18.399999999999999</v>
      </c>
      <c r="F2" s="9">
        <v>1.99</v>
      </c>
      <c r="G2" s="9">
        <v>9.9700000000000006</v>
      </c>
      <c r="H2" s="7" t="s">
        <v>49</v>
      </c>
    </row>
    <row r="3" spans="1:18" x14ac:dyDescent="0.2">
      <c r="A3" s="9">
        <v>0</v>
      </c>
      <c r="B3" s="9">
        <v>25</v>
      </c>
      <c r="C3" s="9">
        <v>21</v>
      </c>
      <c r="D3" s="9">
        <v>64</v>
      </c>
      <c r="E3" s="9">
        <v>16.7</v>
      </c>
      <c r="F3" s="9">
        <v>0.95</v>
      </c>
      <c r="G3" s="9">
        <v>9.74</v>
      </c>
      <c r="H3" s="7" t="s">
        <v>49</v>
      </c>
    </row>
    <row r="4" spans="1:18" x14ac:dyDescent="0.2">
      <c r="A4" s="9">
        <v>1</v>
      </c>
      <c r="B4" s="9">
        <v>11</v>
      </c>
      <c r="C4" s="9">
        <v>6</v>
      </c>
      <c r="D4" s="9">
        <v>75</v>
      </c>
      <c r="E4" s="9">
        <v>23.3</v>
      </c>
      <c r="F4" s="13">
        <v>5.4954845947359976</v>
      </c>
      <c r="G4" s="9">
        <v>9.7200000000000006</v>
      </c>
      <c r="H4" s="7" t="s">
        <v>49</v>
      </c>
    </row>
    <row r="5" spans="1:18" x14ac:dyDescent="0.2">
      <c r="A5" s="9">
        <v>0</v>
      </c>
      <c r="B5" s="9">
        <v>9</v>
      </c>
      <c r="C5" s="9">
        <v>16</v>
      </c>
      <c r="D5" s="9">
        <v>0</v>
      </c>
      <c r="E5" s="9">
        <v>5.9</v>
      </c>
      <c r="F5" s="9">
        <v>0.89</v>
      </c>
      <c r="G5" s="9">
        <v>9.56</v>
      </c>
      <c r="H5" s="7" t="s">
        <v>49</v>
      </c>
      <c r="J5" s="7"/>
      <c r="K5" s="20" t="s">
        <v>73</v>
      </c>
      <c r="L5" s="9" t="s">
        <v>3</v>
      </c>
      <c r="M5" s="9" t="s">
        <v>4</v>
      </c>
      <c r="N5" s="9" t="s">
        <v>5</v>
      </c>
      <c r="O5" s="9" t="s">
        <v>6</v>
      </c>
      <c r="P5" s="9" t="s">
        <v>7</v>
      </c>
      <c r="Q5" s="9" t="s">
        <v>8</v>
      </c>
    </row>
    <row r="6" spans="1:18" x14ac:dyDescent="0.2">
      <c r="A6" s="9">
        <v>0</v>
      </c>
      <c r="B6" s="9">
        <v>22</v>
      </c>
      <c r="C6" s="9">
        <v>24</v>
      </c>
      <c r="D6" s="9">
        <v>91</v>
      </c>
      <c r="E6" s="9">
        <v>11.7</v>
      </c>
      <c r="F6" s="9">
        <v>1.26</v>
      </c>
      <c r="G6" s="9">
        <v>9.39</v>
      </c>
      <c r="H6" s="7" t="s">
        <v>49</v>
      </c>
      <c r="J6" s="7" t="s">
        <v>20</v>
      </c>
      <c r="K6" s="27">
        <f t="array" ref="K6:Q12">LOGIT(A2:A351,B2:G351,1,1)</f>
        <v>-2.2509831629763459</v>
      </c>
      <c r="L6" s="27">
        <v>-0.1782953644991023</v>
      </c>
      <c r="M6" s="27">
        <v>-7.8032841665927846E-2</v>
      </c>
      <c r="N6" s="27">
        <v>2.7390359128668128E-2</v>
      </c>
      <c r="O6" s="27">
        <v>0.18992685792358871</v>
      </c>
      <c r="P6" s="27">
        <v>0.15198349649086773</v>
      </c>
      <c r="Q6" s="27">
        <v>-0.18376212651453577</v>
      </c>
    </row>
    <row r="7" spans="1:18" x14ac:dyDescent="0.2">
      <c r="A7" s="9">
        <v>1</v>
      </c>
      <c r="B7" s="9">
        <v>13</v>
      </c>
      <c r="C7" s="9">
        <v>20</v>
      </c>
      <c r="D7" s="9">
        <v>50</v>
      </c>
      <c r="E7" s="9">
        <v>30.8</v>
      </c>
      <c r="F7" s="13">
        <v>5.4954845947359976</v>
      </c>
      <c r="G7" s="9">
        <v>9.2899999999999991</v>
      </c>
      <c r="H7" s="7" t="s">
        <v>49</v>
      </c>
      <c r="J7" s="7" t="s">
        <v>21</v>
      </c>
      <c r="K7" s="27">
        <v>0.54462656776594587</v>
      </c>
      <c r="L7" s="27">
        <v>3.9833321533939092E-2</v>
      </c>
      <c r="M7" s="27">
        <v>2.7588441874761577E-2</v>
      </c>
      <c r="N7" s="27">
        <v>1.3551415751121726E-2</v>
      </c>
      <c r="O7" s="27">
        <v>4.8821349205120122E-2</v>
      </c>
      <c r="P7" s="27">
        <v>0.16045734155171792</v>
      </c>
      <c r="Q7" s="27">
        <v>0.13345308684558127</v>
      </c>
    </row>
    <row r="8" spans="1:18" x14ac:dyDescent="0.2">
      <c r="A8" s="9">
        <v>1</v>
      </c>
      <c r="B8" s="9">
        <v>12</v>
      </c>
      <c r="C8" s="9">
        <v>5</v>
      </c>
      <c r="D8" s="9">
        <v>68</v>
      </c>
      <c r="E8" s="9">
        <v>25.1</v>
      </c>
      <c r="F8" s="13">
        <v>5.4954845947359976</v>
      </c>
      <c r="G8" s="9">
        <v>9.25</v>
      </c>
      <c r="H8" s="7" t="s">
        <v>49</v>
      </c>
      <c r="J8" s="7" t="s">
        <v>22</v>
      </c>
      <c r="K8" s="27">
        <v>-4.1330763062291691</v>
      </c>
      <c r="L8" s="27">
        <v>-4.4760355810948305</v>
      </c>
      <c r="M8" s="27">
        <v>-2.8284613542207233</v>
      </c>
      <c r="N8" s="27">
        <v>2.0212175341458973</v>
      </c>
      <c r="O8" s="27">
        <v>3.8902418924479498</v>
      </c>
      <c r="P8" s="27">
        <v>0.94718942131969108</v>
      </c>
      <c r="Q8" s="27">
        <v>-1.3769792131310319</v>
      </c>
    </row>
    <row r="9" spans="1:18" x14ac:dyDescent="0.2">
      <c r="A9" s="9">
        <v>0</v>
      </c>
      <c r="B9" s="9">
        <v>21</v>
      </c>
      <c r="C9" s="9">
        <v>2</v>
      </c>
      <c r="D9" s="9">
        <v>76</v>
      </c>
      <c r="E9" s="9">
        <v>20.5</v>
      </c>
      <c r="F9" s="13">
        <v>5.4954845947359976</v>
      </c>
      <c r="G9" s="9">
        <v>8.6300000000000008</v>
      </c>
      <c r="H9" s="7" t="s">
        <v>49</v>
      </c>
      <c r="J9" s="7" t="s">
        <v>23</v>
      </c>
      <c r="K9" s="12">
        <v>3.5793982409826341E-5</v>
      </c>
      <c r="L9" s="12">
        <v>7.6041817378413867E-6</v>
      </c>
      <c r="M9" s="12">
        <v>4.6772347837475969E-3</v>
      </c>
      <c r="N9" s="12">
        <v>4.3257251389792417E-2</v>
      </c>
      <c r="O9" s="12">
        <v>1.0014434526794957E-4</v>
      </c>
      <c r="P9" s="21">
        <v>0.34354226492326045</v>
      </c>
      <c r="Q9" s="21">
        <v>0.16851867466039261</v>
      </c>
    </row>
    <row r="10" spans="1:18" x14ac:dyDescent="0.2">
      <c r="A10" s="9">
        <v>0</v>
      </c>
      <c r="B10" s="9">
        <v>12</v>
      </c>
      <c r="C10" s="9">
        <v>11</v>
      </c>
      <c r="D10" s="9">
        <v>51</v>
      </c>
      <c r="E10" s="9">
        <v>21.4</v>
      </c>
      <c r="F10" s="9">
        <v>2.41</v>
      </c>
      <c r="G10" s="9">
        <v>8.5</v>
      </c>
      <c r="H10" s="7" t="s">
        <v>49</v>
      </c>
      <c r="J10" s="7" t="s">
        <v>24</v>
      </c>
      <c r="K10" s="28">
        <v>0.2309824480239252</v>
      </c>
      <c r="L10" s="27">
        <v>7</v>
      </c>
      <c r="M10" s="27" t="str">
        <v>#N/A</v>
      </c>
      <c r="N10" s="27" t="str">
        <v>#N/A</v>
      </c>
      <c r="O10" s="27" t="str">
        <v>#N/A</v>
      </c>
      <c r="P10" s="27" t="str">
        <v>#N/A</v>
      </c>
      <c r="Q10" s="27" t="str">
        <v>#N/A</v>
      </c>
    </row>
    <row r="11" spans="1:18" x14ac:dyDescent="0.2">
      <c r="A11" s="9">
        <v>0</v>
      </c>
      <c r="B11" s="9">
        <v>13</v>
      </c>
      <c r="C11" s="9">
        <v>25</v>
      </c>
      <c r="D11" s="9">
        <v>51</v>
      </c>
      <c r="E11" s="9">
        <v>23.8</v>
      </c>
      <c r="F11" s="9">
        <v>3.74</v>
      </c>
      <c r="G11" s="9">
        <v>8.4</v>
      </c>
      <c r="H11" s="7" t="s">
        <v>49</v>
      </c>
      <c r="J11" s="7" t="s">
        <v>25</v>
      </c>
      <c r="K11" s="27">
        <v>86.34864125771702</v>
      </c>
      <c r="L11" s="27">
        <v>1.7344550737640338E-16</v>
      </c>
      <c r="M11" s="27" t="str">
        <v>#N/A</v>
      </c>
      <c r="N11" s="27" t="str">
        <v>#N/A</v>
      </c>
      <c r="O11" s="27" t="str">
        <v>#N/A</v>
      </c>
      <c r="P11" s="27" t="str">
        <v>#N/A</v>
      </c>
      <c r="Q11" s="27" t="str">
        <v>#N/A</v>
      </c>
    </row>
    <row r="12" spans="1:18" x14ac:dyDescent="0.2">
      <c r="A12" s="9">
        <v>1</v>
      </c>
      <c r="B12" s="9">
        <v>13</v>
      </c>
      <c r="C12" s="9">
        <v>3</v>
      </c>
      <c r="D12" s="9">
        <v>52</v>
      </c>
      <c r="E12" s="9">
        <v>21.3</v>
      </c>
      <c r="F12" s="9">
        <v>2.71</v>
      </c>
      <c r="G12" s="9">
        <v>8.36</v>
      </c>
      <c r="H12" s="7" t="s">
        <v>49</v>
      </c>
      <c r="J12" s="7" t="s">
        <v>26</v>
      </c>
      <c r="K12" s="27">
        <v>-143.74170263705864</v>
      </c>
      <c r="L12" s="27">
        <v>-186.91602326591715</v>
      </c>
      <c r="M12" s="27" t="str">
        <v>#N/A</v>
      </c>
      <c r="N12" s="27" t="str">
        <v>#N/A</v>
      </c>
      <c r="O12" s="27" t="str">
        <v>#N/A</v>
      </c>
      <c r="P12" s="27" t="str">
        <v>#N/A</v>
      </c>
      <c r="Q12" s="27" t="str">
        <v>#N/A</v>
      </c>
    </row>
    <row r="13" spans="1:18" x14ac:dyDescent="0.2">
      <c r="A13" s="9">
        <v>1</v>
      </c>
      <c r="B13" s="9">
        <v>9</v>
      </c>
      <c r="C13" s="9">
        <v>5</v>
      </c>
      <c r="D13" s="9">
        <v>60</v>
      </c>
      <c r="E13" s="9">
        <v>20.399999999999999</v>
      </c>
      <c r="F13" s="9">
        <v>4.04</v>
      </c>
      <c r="G13" s="9">
        <v>8.1999999999999993</v>
      </c>
      <c r="H13" s="7" t="s">
        <v>49</v>
      </c>
    </row>
    <row r="14" spans="1:18" x14ac:dyDescent="0.2">
      <c r="A14" s="9">
        <v>1</v>
      </c>
      <c r="B14" s="9">
        <v>11</v>
      </c>
      <c r="C14" s="9">
        <v>4</v>
      </c>
      <c r="D14" s="9">
        <v>57</v>
      </c>
      <c r="E14" s="9">
        <v>23.8</v>
      </c>
      <c r="F14" s="9">
        <v>5.44</v>
      </c>
      <c r="G14" s="9">
        <v>8.1300000000000008</v>
      </c>
      <c r="H14" s="7" t="s">
        <v>49</v>
      </c>
    </row>
    <row r="15" spans="1:18" x14ac:dyDescent="0.2">
      <c r="A15" s="9">
        <v>1</v>
      </c>
      <c r="B15" s="9">
        <v>7</v>
      </c>
      <c r="C15" s="9">
        <v>2</v>
      </c>
      <c r="D15" s="9">
        <v>68</v>
      </c>
      <c r="E15" s="9">
        <v>13</v>
      </c>
      <c r="F15" s="9">
        <v>0.97</v>
      </c>
      <c r="G15" s="9">
        <v>7.82</v>
      </c>
      <c r="H15" s="7" t="s">
        <v>49</v>
      </c>
      <c r="K15" s="85"/>
      <c r="L15" s="85"/>
      <c r="M15" s="85"/>
      <c r="N15" s="85"/>
      <c r="O15" s="85"/>
      <c r="P15" s="85"/>
      <c r="Q15" s="85"/>
      <c r="R15" s="85"/>
    </row>
    <row r="16" spans="1:18" x14ac:dyDescent="0.2">
      <c r="A16" s="9">
        <v>0</v>
      </c>
      <c r="B16" s="9">
        <v>22</v>
      </c>
      <c r="C16" s="9">
        <v>17</v>
      </c>
      <c r="D16" s="9">
        <v>75</v>
      </c>
      <c r="E16" s="9">
        <v>23.6</v>
      </c>
      <c r="F16" s="9">
        <v>0</v>
      </c>
      <c r="G16" s="9">
        <v>7.82</v>
      </c>
      <c r="H16" s="7" t="s">
        <v>49</v>
      </c>
      <c r="K16" s="86"/>
      <c r="L16" s="86"/>
      <c r="M16" s="86"/>
      <c r="N16" s="86"/>
      <c r="O16" s="86"/>
      <c r="P16" s="86"/>
      <c r="Q16" s="86"/>
      <c r="R16" s="86"/>
    </row>
    <row r="17" spans="1:18" x14ac:dyDescent="0.2">
      <c r="A17" s="9">
        <v>0</v>
      </c>
      <c r="B17" s="9">
        <v>16</v>
      </c>
      <c r="C17" s="9">
        <v>9</v>
      </c>
      <c r="D17" s="9">
        <v>89</v>
      </c>
      <c r="E17" s="9">
        <v>14.3</v>
      </c>
      <c r="F17" s="9">
        <v>5</v>
      </c>
      <c r="G17" s="9">
        <v>7.73</v>
      </c>
      <c r="H17" s="7" t="s">
        <v>49</v>
      </c>
    </row>
    <row r="18" spans="1:18" x14ac:dyDescent="0.2">
      <c r="A18" s="9">
        <v>0</v>
      </c>
      <c r="B18" s="9">
        <v>12</v>
      </c>
      <c r="C18" s="9">
        <v>8</v>
      </c>
      <c r="D18" s="9">
        <v>58</v>
      </c>
      <c r="E18" s="9">
        <v>18.399999999999999</v>
      </c>
      <c r="F18" s="9">
        <v>3.08</v>
      </c>
      <c r="G18" s="9">
        <v>7.59</v>
      </c>
      <c r="H18" s="7" t="s">
        <v>49</v>
      </c>
    </row>
    <row r="19" spans="1:18" x14ac:dyDescent="0.2">
      <c r="A19" s="9">
        <v>0</v>
      </c>
      <c r="B19" s="9">
        <v>21</v>
      </c>
      <c r="C19" s="9">
        <v>20</v>
      </c>
      <c r="D19" s="13">
        <v>117.54291069294821</v>
      </c>
      <c r="E19" s="9">
        <v>14.4</v>
      </c>
      <c r="F19" s="9">
        <v>0</v>
      </c>
      <c r="G19" s="9">
        <v>7.39</v>
      </c>
      <c r="H19" s="7" t="s">
        <v>49</v>
      </c>
      <c r="K19" s="87"/>
      <c r="L19" s="87"/>
      <c r="M19" s="87"/>
      <c r="N19" s="87"/>
      <c r="O19" s="87"/>
      <c r="P19" s="87"/>
      <c r="Q19" s="87"/>
      <c r="R19" s="87"/>
    </row>
    <row r="20" spans="1:18" x14ac:dyDescent="0.2">
      <c r="A20" s="9">
        <v>0</v>
      </c>
      <c r="B20" s="9">
        <v>16</v>
      </c>
      <c r="C20" s="9">
        <v>10</v>
      </c>
      <c r="D20" s="9">
        <v>38</v>
      </c>
      <c r="E20" s="9">
        <v>21</v>
      </c>
      <c r="F20" s="9">
        <v>0.69</v>
      </c>
      <c r="G20" s="9">
        <v>7.29</v>
      </c>
      <c r="H20" s="7" t="s">
        <v>49</v>
      </c>
      <c r="K20" s="88"/>
    </row>
    <row r="21" spans="1:18" x14ac:dyDescent="0.2">
      <c r="A21" s="9">
        <v>0</v>
      </c>
      <c r="B21" s="9">
        <v>10</v>
      </c>
      <c r="C21" s="9">
        <v>20</v>
      </c>
      <c r="D21" s="9">
        <v>80</v>
      </c>
      <c r="E21" s="9">
        <v>12.2</v>
      </c>
      <c r="F21" s="9">
        <v>0.97</v>
      </c>
      <c r="G21" s="9">
        <v>7.28</v>
      </c>
      <c r="H21" s="7" t="s">
        <v>49</v>
      </c>
    </row>
    <row r="22" spans="1:18" x14ac:dyDescent="0.2">
      <c r="A22" s="9">
        <v>0</v>
      </c>
      <c r="B22" s="9">
        <v>18</v>
      </c>
      <c r="C22" s="9">
        <v>14</v>
      </c>
      <c r="D22" s="9">
        <v>0</v>
      </c>
      <c r="E22" s="9">
        <v>6.6</v>
      </c>
      <c r="F22" s="9">
        <v>3.33</v>
      </c>
      <c r="G22" s="9">
        <v>7.04</v>
      </c>
      <c r="H22" s="7" t="s">
        <v>49</v>
      </c>
    </row>
    <row r="23" spans="1:18" x14ac:dyDescent="0.2">
      <c r="A23" s="9">
        <v>1</v>
      </c>
      <c r="B23" s="9">
        <v>19</v>
      </c>
      <c r="C23" s="9">
        <v>15</v>
      </c>
      <c r="D23" s="9">
        <v>60</v>
      </c>
      <c r="E23" s="9">
        <v>27.1</v>
      </c>
      <c r="F23" s="9">
        <v>0</v>
      </c>
      <c r="G23" s="9">
        <v>6.67</v>
      </c>
      <c r="H23" s="7" t="s">
        <v>49</v>
      </c>
    </row>
    <row r="24" spans="1:18" x14ac:dyDescent="0.2">
      <c r="A24" s="9">
        <v>0</v>
      </c>
      <c r="B24" s="9">
        <v>10</v>
      </c>
      <c r="C24" s="9">
        <v>15</v>
      </c>
      <c r="D24" s="9">
        <v>45</v>
      </c>
      <c r="E24" s="9">
        <v>18.8</v>
      </c>
      <c r="F24" s="9">
        <v>2.0099999999999998</v>
      </c>
      <c r="G24" s="9">
        <v>6.45</v>
      </c>
      <c r="H24" s="7" t="s">
        <v>49</v>
      </c>
    </row>
    <row r="25" spans="1:18" x14ac:dyDescent="0.2">
      <c r="A25" s="9">
        <v>0</v>
      </c>
      <c r="B25" s="9">
        <v>16</v>
      </c>
      <c r="C25" s="9">
        <v>4</v>
      </c>
      <c r="D25" s="9">
        <v>52</v>
      </c>
      <c r="E25" s="9">
        <v>20</v>
      </c>
      <c r="F25" s="9">
        <v>4.16</v>
      </c>
      <c r="G25" s="9">
        <v>6.24</v>
      </c>
      <c r="H25" s="7" t="s">
        <v>49</v>
      </c>
      <c r="K25" s="85"/>
      <c r="L25" s="85"/>
      <c r="M25" s="85"/>
      <c r="N25" s="85"/>
      <c r="O25" s="85"/>
      <c r="P25" s="85"/>
      <c r="Q25" s="85"/>
    </row>
    <row r="26" spans="1:18" x14ac:dyDescent="0.2">
      <c r="A26" s="9">
        <v>0</v>
      </c>
      <c r="B26" s="9">
        <v>15</v>
      </c>
      <c r="C26" s="9">
        <v>11</v>
      </c>
      <c r="D26" s="9">
        <v>40</v>
      </c>
      <c r="E26" s="9">
        <v>18.5</v>
      </c>
      <c r="F26" s="9">
        <v>1.21</v>
      </c>
      <c r="G26" s="9">
        <v>6.19</v>
      </c>
      <c r="H26" s="7" t="s">
        <v>49</v>
      </c>
      <c r="K26" s="86"/>
      <c r="L26" s="86"/>
      <c r="M26" s="86"/>
      <c r="N26" s="86"/>
      <c r="O26" s="86"/>
      <c r="P26" s="86"/>
      <c r="Q26" s="86"/>
    </row>
    <row r="27" spans="1:18" x14ac:dyDescent="0.2">
      <c r="A27" s="9">
        <v>0</v>
      </c>
      <c r="B27" s="9">
        <v>11</v>
      </c>
      <c r="C27" s="9">
        <v>12</v>
      </c>
      <c r="D27" s="9">
        <v>44</v>
      </c>
      <c r="E27" s="9">
        <v>14.7</v>
      </c>
      <c r="F27" s="9">
        <v>0.45</v>
      </c>
      <c r="G27" s="9">
        <v>6.02</v>
      </c>
      <c r="H27" s="7" t="s">
        <v>49</v>
      </c>
    </row>
    <row r="28" spans="1:18" x14ac:dyDescent="0.2">
      <c r="A28" s="9">
        <v>1</v>
      </c>
      <c r="B28" s="9">
        <v>6</v>
      </c>
      <c r="C28" s="9">
        <v>19</v>
      </c>
      <c r="D28" s="9">
        <v>42</v>
      </c>
      <c r="E28" s="9">
        <v>19.899999999999999</v>
      </c>
      <c r="F28" s="9">
        <v>2.54</v>
      </c>
      <c r="G28" s="9">
        <v>5.82</v>
      </c>
      <c r="H28" s="7" t="s">
        <v>49</v>
      </c>
    </row>
    <row r="29" spans="1:18" x14ac:dyDescent="0.2">
      <c r="A29" s="9">
        <v>0</v>
      </c>
      <c r="B29" s="9">
        <v>17</v>
      </c>
      <c r="C29" s="9">
        <v>20</v>
      </c>
      <c r="D29" s="9">
        <v>60</v>
      </c>
      <c r="E29" s="9">
        <v>13.7</v>
      </c>
      <c r="F29" s="9">
        <v>2.4500000000000002</v>
      </c>
      <c r="G29" s="9">
        <v>5.77</v>
      </c>
      <c r="H29" s="7" t="s">
        <v>49</v>
      </c>
      <c r="K29" s="87"/>
      <c r="L29" s="87"/>
      <c r="M29" s="87"/>
      <c r="N29" s="87"/>
      <c r="O29" s="87"/>
      <c r="P29" s="87"/>
      <c r="Q29" s="87"/>
    </row>
    <row r="30" spans="1:18" x14ac:dyDescent="0.2">
      <c r="A30" s="9">
        <v>0</v>
      </c>
      <c r="B30" s="9">
        <v>5</v>
      </c>
      <c r="C30" s="9">
        <v>17</v>
      </c>
      <c r="D30" s="9">
        <v>29</v>
      </c>
      <c r="E30" s="9">
        <v>24.6</v>
      </c>
      <c r="F30" s="9">
        <v>1.41</v>
      </c>
      <c r="G30" s="9">
        <v>5.73</v>
      </c>
      <c r="H30" s="7" t="s">
        <v>49</v>
      </c>
      <c r="K30" s="88"/>
    </row>
    <row r="31" spans="1:18" x14ac:dyDescent="0.2">
      <c r="A31" s="9">
        <v>0</v>
      </c>
      <c r="B31" s="9">
        <v>18</v>
      </c>
      <c r="C31" s="9">
        <v>19</v>
      </c>
      <c r="D31" s="9">
        <v>35</v>
      </c>
      <c r="E31" s="9">
        <v>17.399999999999999</v>
      </c>
      <c r="F31" s="9">
        <v>0.55000000000000004</v>
      </c>
      <c r="G31" s="9">
        <v>5.54</v>
      </c>
      <c r="H31" s="7" t="s">
        <v>49</v>
      </c>
    </row>
    <row r="32" spans="1:18" x14ac:dyDescent="0.2">
      <c r="A32" s="9">
        <v>0</v>
      </c>
      <c r="B32" s="9">
        <v>22</v>
      </c>
      <c r="C32" s="9">
        <v>15</v>
      </c>
      <c r="D32" s="9">
        <v>100</v>
      </c>
      <c r="E32" s="9">
        <v>9.1</v>
      </c>
      <c r="F32" s="9">
        <v>3.7</v>
      </c>
      <c r="G32" s="9">
        <v>5.4</v>
      </c>
      <c r="H32" s="7" t="s">
        <v>49</v>
      </c>
    </row>
    <row r="33" spans="1:16" x14ac:dyDescent="0.2">
      <c r="A33" s="9">
        <v>0</v>
      </c>
      <c r="B33" s="9">
        <v>18</v>
      </c>
      <c r="C33" s="9">
        <v>4</v>
      </c>
      <c r="D33" s="9">
        <v>74</v>
      </c>
      <c r="E33" s="9">
        <v>13.4</v>
      </c>
      <c r="F33" s="9">
        <v>4.5199999999999996</v>
      </c>
      <c r="G33" s="9">
        <v>5.39</v>
      </c>
      <c r="H33" s="7" t="s">
        <v>49</v>
      </c>
    </row>
    <row r="34" spans="1:16" x14ac:dyDescent="0.2">
      <c r="A34" s="9">
        <v>0</v>
      </c>
      <c r="B34" s="9">
        <v>12</v>
      </c>
      <c r="C34" s="9">
        <v>4</v>
      </c>
      <c r="D34" s="9">
        <v>31</v>
      </c>
      <c r="E34" s="9">
        <v>23.7</v>
      </c>
      <c r="F34" s="9">
        <v>2.06</v>
      </c>
      <c r="G34" s="9">
        <v>5.29</v>
      </c>
      <c r="H34" s="7" t="s">
        <v>49</v>
      </c>
    </row>
    <row r="35" spans="1:16" x14ac:dyDescent="0.2">
      <c r="A35" s="9">
        <v>1</v>
      </c>
      <c r="B35" s="9">
        <v>15</v>
      </c>
      <c r="C35" s="9">
        <v>2</v>
      </c>
      <c r="D35" s="9">
        <v>39</v>
      </c>
      <c r="E35" s="9">
        <v>24.7</v>
      </c>
      <c r="F35" s="9">
        <v>4.37</v>
      </c>
      <c r="G35" s="9">
        <v>5.26</v>
      </c>
      <c r="H35" s="7" t="s">
        <v>49</v>
      </c>
      <c r="K35" s="85"/>
      <c r="L35" s="85"/>
      <c r="M35" s="85"/>
      <c r="N35" s="85"/>
      <c r="O35" s="85"/>
      <c r="P35" s="85"/>
    </row>
    <row r="36" spans="1:16" x14ac:dyDescent="0.2">
      <c r="A36" s="9">
        <v>1</v>
      </c>
      <c r="B36" s="9">
        <v>9</v>
      </c>
      <c r="C36" s="9">
        <v>0</v>
      </c>
      <c r="D36" s="9">
        <v>70</v>
      </c>
      <c r="E36" s="9">
        <v>9.4</v>
      </c>
      <c r="F36" s="9">
        <v>1.33</v>
      </c>
      <c r="G36" s="9">
        <v>5.25</v>
      </c>
      <c r="H36" s="7" t="s">
        <v>49</v>
      </c>
      <c r="K36" s="86"/>
      <c r="L36" s="86"/>
      <c r="M36" s="86"/>
      <c r="N36" s="86"/>
      <c r="O36" s="86"/>
      <c r="P36" s="86"/>
    </row>
    <row r="37" spans="1:16" x14ac:dyDescent="0.2">
      <c r="A37" s="9">
        <v>0</v>
      </c>
      <c r="B37" s="9">
        <v>19</v>
      </c>
      <c r="C37" s="9">
        <v>1</v>
      </c>
      <c r="D37" s="9">
        <v>96</v>
      </c>
      <c r="E37" s="9">
        <v>7.8</v>
      </c>
      <c r="F37" s="9">
        <v>2.25</v>
      </c>
      <c r="G37" s="9">
        <v>5.23</v>
      </c>
      <c r="H37" s="7" t="s">
        <v>49</v>
      </c>
    </row>
    <row r="38" spans="1:16" x14ac:dyDescent="0.2">
      <c r="A38" s="9">
        <v>0</v>
      </c>
      <c r="B38" s="9">
        <v>15</v>
      </c>
      <c r="C38" s="9">
        <v>1</v>
      </c>
      <c r="D38" s="9">
        <v>30</v>
      </c>
      <c r="E38" s="9">
        <v>24.5</v>
      </c>
      <c r="F38" s="9">
        <v>2.21</v>
      </c>
      <c r="G38" s="9">
        <v>5.14</v>
      </c>
      <c r="H38" s="7" t="s">
        <v>49</v>
      </c>
    </row>
    <row r="39" spans="1:16" x14ac:dyDescent="0.2">
      <c r="A39" s="9">
        <v>1</v>
      </c>
      <c r="B39" s="9">
        <v>8</v>
      </c>
      <c r="C39" s="9">
        <v>10</v>
      </c>
      <c r="D39" s="9">
        <v>88</v>
      </c>
      <c r="E39" s="9">
        <v>6.1</v>
      </c>
      <c r="F39" s="9">
        <v>0.28000000000000003</v>
      </c>
      <c r="G39" s="9">
        <v>5.08</v>
      </c>
      <c r="H39" s="7" t="s">
        <v>49</v>
      </c>
      <c r="K39" s="87"/>
      <c r="L39" s="87"/>
      <c r="M39" s="87"/>
      <c r="N39" s="87"/>
      <c r="O39" s="87"/>
      <c r="P39" s="87"/>
    </row>
    <row r="40" spans="1:16" x14ac:dyDescent="0.2">
      <c r="A40" s="9">
        <v>1</v>
      </c>
      <c r="B40" s="9">
        <v>0</v>
      </c>
      <c r="C40" s="9">
        <v>4</v>
      </c>
      <c r="D40" s="9">
        <v>32</v>
      </c>
      <c r="E40" s="9">
        <v>18.399999999999999</v>
      </c>
      <c r="F40" s="9">
        <v>0.82</v>
      </c>
      <c r="G40" s="9">
        <v>5.07</v>
      </c>
      <c r="H40" s="7" t="s">
        <v>49</v>
      </c>
      <c r="K40" s="88"/>
    </row>
    <row r="41" spans="1:16" x14ac:dyDescent="0.2">
      <c r="A41" s="9">
        <v>0</v>
      </c>
      <c r="B41" s="9">
        <v>8</v>
      </c>
      <c r="C41" s="9">
        <v>3</v>
      </c>
      <c r="D41" s="9">
        <v>41</v>
      </c>
      <c r="E41" s="9">
        <v>12.6</v>
      </c>
      <c r="F41" s="9">
        <v>0.13</v>
      </c>
      <c r="G41" s="9">
        <v>5.03</v>
      </c>
      <c r="H41" s="7" t="s">
        <v>49</v>
      </c>
    </row>
    <row r="42" spans="1:16" x14ac:dyDescent="0.2">
      <c r="A42" s="9">
        <v>0</v>
      </c>
      <c r="B42" s="9">
        <v>21</v>
      </c>
      <c r="C42" s="9">
        <v>16</v>
      </c>
      <c r="D42" s="9">
        <v>58</v>
      </c>
      <c r="E42" s="9">
        <v>16.5</v>
      </c>
      <c r="F42" s="9">
        <v>4.58</v>
      </c>
      <c r="G42" s="9">
        <v>4.99</v>
      </c>
      <c r="H42" s="7" t="s">
        <v>49</v>
      </c>
    </row>
    <row r="43" spans="1:16" x14ac:dyDescent="0.2">
      <c r="A43" s="9">
        <v>0</v>
      </c>
      <c r="B43" s="9">
        <v>5</v>
      </c>
      <c r="C43" s="9">
        <v>9</v>
      </c>
      <c r="D43" s="9">
        <v>34</v>
      </c>
      <c r="E43" s="9">
        <v>23.8</v>
      </c>
      <c r="F43" s="9">
        <v>3.1</v>
      </c>
      <c r="G43" s="9">
        <v>4.99</v>
      </c>
      <c r="H43" s="7" t="s">
        <v>49</v>
      </c>
    </row>
    <row r="44" spans="1:16" x14ac:dyDescent="0.2">
      <c r="A44" s="9">
        <v>0</v>
      </c>
      <c r="B44" s="9">
        <v>12</v>
      </c>
      <c r="C44" s="9">
        <v>16</v>
      </c>
      <c r="D44" s="9">
        <v>76</v>
      </c>
      <c r="E44" s="9">
        <v>7.7</v>
      </c>
      <c r="F44" s="9">
        <v>0.99</v>
      </c>
      <c r="G44" s="9">
        <v>4.8600000000000003</v>
      </c>
      <c r="H44" s="7" t="s">
        <v>49</v>
      </c>
    </row>
    <row r="45" spans="1:16" x14ac:dyDescent="0.2">
      <c r="A45" s="9">
        <v>0</v>
      </c>
      <c r="B45" s="9">
        <v>11</v>
      </c>
      <c r="C45" s="9">
        <v>8</v>
      </c>
      <c r="D45" s="9">
        <v>56</v>
      </c>
      <c r="E45" s="9">
        <v>16.899999999999999</v>
      </c>
      <c r="F45" s="9">
        <v>4.6399999999999997</v>
      </c>
      <c r="G45" s="9">
        <v>4.83</v>
      </c>
      <c r="H45" s="7" t="s">
        <v>49</v>
      </c>
      <c r="K45" s="85"/>
      <c r="L45" s="85"/>
      <c r="M45" s="85"/>
      <c r="N45" s="85"/>
      <c r="O45" s="85"/>
    </row>
    <row r="46" spans="1:16" x14ac:dyDescent="0.2">
      <c r="A46" s="9">
        <v>0</v>
      </c>
      <c r="B46" s="9">
        <v>13</v>
      </c>
      <c r="C46" s="9">
        <v>3</v>
      </c>
      <c r="D46" s="9">
        <v>39</v>
      </c>
      <c r="E46" s="9">
        <v>19.2</v>
      </c>
      <c r="F46" s="9">
        <v>2.8</v>
      </c>
      <c r="G46" s="9">
        <v>4.6900000000000004</v>
      </c>
      <c r="H46" s="7" t="s">
        <v>49</v>
      </c>
      <c r="K46" s="86"/>
      <c r="L46" s="86"/>
      <c r="M46" s="86"/>
      <c r="N46" s="86"/>
      <c r="O46" s="86"/>
    </row>
    <row r="47" spans="1:16" x14ac:dyDescent="0.2">
      <c r="A47" s="9">
        <v>0</v>
      </c>
      <c r="B47" s="9">
        <v>25</v>
      </c>
      <c r="C47" s="9">
        <v>16</v>
      </c>
      <c r="D47" s="9">
        <v>0</v>
      </c>
      <c r="E47" s="9">
        <v>2.6</v>
      </c>
      <c r="F47" s="9">
        <v>1.64</v>
      </c>
      <c r="G47" s="9">
        <v>4.66</v>
      </c>
      <c r="H47" s="7" t="s">
        <v>49</v>
      </c>
    </row>
    <row r="48" spans="1:16" x14ac:dyDescent="0.2">
      <c r="A48" s="9">
        <v>0</v>
      </c>
      <c r="B48" s="9">
        <v>16</v>
      </c>
      <c r="C48" s="9">
        <v>22</v>
      </c>
      <c r="D48" s="13">
        <v>117.54291069294821</v>
      </c>
      <c r="E48" s="9">
        <v>4.4000000000000004</v>
      </c>
      <c r="F48" s="9">
        <v>1.28</v>
      </c>
      <c r="G48" s="9">
        <v>4.66</v>
      </c>
      <c r="H48" s="7" t="s">
        <v>49</v>
      </c>
    </row>
    <row r="49" spans="1:15" x14ac:dyDescent="0.2">
      <c r="A49" s="9">
        <v>1</v>
      </c>
      <c r="B49" s="9">
        <v>18</v>
      </c>
      <c r="C49" s="9">
        <v>6</v>
      </c>
      <c r="D49" s="9">
        <v>71</v>
      </c>
      <c r="E49" s="9">
        <v>15.7</v>
      </c>
      <c r="F49" s="13">
        <v>5.4954845947359976</v>
      </c>
      <c r="G49" s="9">
        <v>4.58</v>
      </c>
      <c r="H49" s="7" t="s">
        <v>49</v>
      </c>
      <c r="K49" s="87"/>
      <c r="L49" s="87"/>
      <c r="M49" s="87"/>
      <c r="N49" s="87"/>
      <c r="O49" s="87"/>
    </row>
    <row r="50" spans="1:15" x14ac:dyDescent="0.2">
      <c r="A50" s="9">
        <v>0</v>
      </c>
      <c r="B50" s="9">
        <v>6</v>
      </c>
      <c r="C50" s="9">
        <v>24</v>
      </c>
      <c r="D50" s="9">
        <v>54</v>
      </c>
      <c r="E50" s="9">
        <v>9.6</v>
      </c>
      <c r="F50" s="9">
        <v>0.62</v>
      </c>
      <c r="G50" s="9">
        <v>4.5599999999999996</v>
      </c>
      <c r="H50" s="7" t="s">
        <v>49</v>
      </c>
      <c r="K50" s="88"/>
    </row>
    <row r="51" spans="1:15" x14ac:dyDescent="0.2">
      <c r="A51" s="9">
        <v>1</v>
      </c>
      <c r="B51" s="9">
        <v>12</v>
      </c>
      <c r="C51" s="9">
        <v>14</v>
      </c>
      <c r="D51" s="9">
        <v>63</v>
      </c>
      <c r="E51" s="9">
        <v>16</v>
      </c>
      <c r="F51" s="13">
        <v>5.4954845947359976</v>
      </c>
      <c r="G51" s="9">
        <v>4.3600000000000003</v>
      </c>
      <c r="H51" s="7" t="s">
        <v>49</v>
      </c>
    </row>
    <row r="52" spans="1:15" x14ac:dyDescent="0.2">
      <c r="A52" s="9">
        <v>0</v>
      </c>
      <c r="B52" s="9">
        <v>23</v>
      </c>
      <c r="C52" s="9">
        <v>19</v>
      </c>
      <c r="D52" s="9">
        <v>72</v>
      </c>
      <c r="E52" s="9">
        <v>7.6</v>
      </c>
      <c r="F52" s="9">
        <v>1.18</v>
      </c>
      <c r="G52" s="9">
        <v>4.29</v>
      </c>
      <c r="H52" s="7" t="s">
        <v>49</v>
      </c>
    </row>
    <row r="53" spans="1:15" x14ac:dyDescent="0.2">
      <c r="A53" s="9">
        <v>0</v>
      </c>
      <c r="B53" s="9">
        <v>11</v>
      </c>
      <c r="C53" s="9">
        <v>20</v>
      </c>
      <c r="D53" s="9">
        <v>59</v>
      </c>
      <c r="E53" s="9">
        <v>15</v>
      </c>
      <c r="F53" s="9">
        <v>4.67</v>
      </c>
      <c r="G53" s="9">
        <v>4.18</v>
      </c>
      <c r="H53" s="7" t="s">
        <v>49</v>
      </c>
    </row>
    <row r="54" spans="1:15" x14ac:dyDescent="0.2">
      <c r="A54" s="9">
        <v>1</v>
      </c>
      <c r="B54" s="9">
        <v>5</v>
      </c>
      <c r="C54" s="9">
        <v>12</v>
      </c>
      <c r="D54" s="9">
        <v>35</v>
      </c>
      <c r="E54" s="9">
        <v>16.399999999999999</v>
      </c>
      <c r="F54" s="9">
        <v>1.58</v>
      </c>
      <c r="G54" s="9">
        <v>4.16</v>
      </c>
      <c r="H54" s="7" t="s">
        <v>49</v>
      </c>
    </row>
    <row r="55" spans="1:15" x14ac:dyDescent="0.2">
      <c r="A55" s="9">
        <v>0</v>
      </c>
      <c r="B55" s="9">
        <v>12</v>
      </c>
      <c r="C55" s="9">
        <v>9</v>
      </c>
      <c r="D55" s="9">
        <v>98</v>
      </c>
      <c r="E55" s="9">
        <v>7.2</v>
      </c>
      <c r="F55" s="9">
        <v>2.94</v>
      </c>
      <c r="G55" s="9">
        <v>4.12</v>
      </c>
      <c r="H55" s="7" t="s">
        <v>49</v>
      </c>
      <c r="K55" s="85"/>
      <c r="L55" s="85"/>
      <c r="M55" s="85"/>
      <c r="N55" s="85"/>
    </row>
    <row r="56" spans="1:15" x14ac:dyDescent="0.2">
      <c r="A56" s="9">
        <v>0</v>
      </c>
      <c r="B56" s="9">
        <v>6</v>
      </c>
      <c r="C56" s="9">
        <v>13</v>
      </c>
      <c r="D56" s="9">
        <v>62</v>
      </c>
      <c r="E56" s="9">
        <v>8.5</v>
      </c>
      <c r="F56" s="9">
        <v>1.19</v>
      </c>
      <c r="G56" s="9">
        <v>4.08</v>
      </c>
      <c r="H56" s="7" t="s">
        <v>49</v>
      </c>
      <c r="K56" s="86"/>
      <c r="L56" s="86"/>
      <c r="M56" s="86"/>
      <c r="N56" s="86"/>
    </row>
    <row r="57" spans="1:15" x14ac:dyDescent="0.2">
      <c r="A57" s="9">
        <v>1</v>
      </c>
      <c r="B57" s="9">
        <v>6</v>
      </c>
      <c r="C57" s="9">
        <v>6</v>
      </c>
      <c r="D57" s="9">
        <v>32</v>
      </c>
      <c r="E57" s="9">
        <v>23.1</v>
      </c>
      <c r="F57" s="9">
        <v>3.34</v>
      </c>
      <c r="G57" s="9">
        <v>4.05</v>
      </c>
      <c r="H57" s="7" t="s">
        <v>49</v>
      </c>
    </row>
    <row r="58" spans="1:15" x14ac:dyDescent="0.2">
      <c r="A58" s="9">
        <v>0</v>
      </c>
      <c r="B58" s="9">
        <v>0</v>
      </c>
      <c r="C58" s="9">
        <v>23</v>
      </c>
      <c r="D58" s="9">
        <v>30</v>
      </c>
      <c r="E58" s="9">
        <v>22.3</v>
      </c>
      <c r="F58" s="9">
        <v>2.66</v>
      </c>
      <c r="G58" s="9">
        <v>4.03</v>
      </c>
      <c r="H58" s="7" t="s">
        <v>49</v>
      </c>
    </row>
    <row r="59" spans="1:15" x14ac:dyDescent="0.2">
      <c r="A59" s="9">
        <v>0</v>
      </c>
      <c r="B59" s="9">
        <v>2</v>
      </c>
      <c r="C59" s="9">
        <v>14</v>
      </c>
      <c r="D59" s="9">
        <v>39</v>
      </c>
      <c r="E59" s="9">
        <v>13.2</v>
      </c>
      <c r="F59" s="9">
        <v>1.1399999999999999</v>
      </c>
      <c r="G59" s="9">
        <v>4.01</v>
      </c>
      <c r="H59" s="7" t="s">
        <v>49</v>
      </c>
      <c r="K59" s="87"/>
      <c r="L59" s="87"/>
      <c r="M59" s="87"/>
      <c r="N59" s="87"/>
    </row>
    <row r="60" spans="1:15" x14ac:dyDescent="0.2">
      <c r="A60" s="9">
        <v>0</v>
      </c>
      <c r="B60" s="9">
        <v>10</v>
      </c>
      <c r="C60" s="9">
        <v>6</v>
      </c>
      <c r="D60" s="9">
        <v>31</v>
      </c>
      <c r="E60" s="9">
        <v>17.3</v>
      </c>
      <c r="F60" s="9">
        <v>1.36</v>
      </c>
      <c r="G60" s="9">
        <v>4</v>
      </c>
      <c r="H60" s="7" t="s">
        <v>49</v>
      </c>
      <c r="K60" s="88"/>
    </row>
    <row r="61" spans="1:15" x14ac:dyDescent="0.2">
      <c r="A61" s="9">
        <v>0</v>
      </c>
      <c r="B61" s="9">
        <v>5</v>
      </c>
      <c r="C61" s="9">
        <v>5</v>
      </c>
      <c r="D61" s="9">
        <v>32</v>
      </c>
      <c r="E61" s="9">
        <v>13</v>
      </c>
      <c r="F61" s="9">
        <v>0.17</v>
      </c>
      <c r="G61" s="9">
        <v>3.99</v>
      </c>
      <c r="H61" s="7" t="s">
        <v>49</v>
      </c>
    </row>
    <row r="62" spans="1:15" x14ac:dyDescent="0.2">
      <c r="A62" s="9">
        <v>0</v>
      </c>
      <c r="B62" s="9">
        <v>7</v>
      </c>
      <c r="C62" s="9">
        <v>16</v>
      </c>
      <c r="D62" s="9">
        <v>43</v>
      </c>
      <c r="E62" s="9">
        <v>15.4</v>
      </c>
      <c r="F62" s="9">
        <v>2.65</v>
      </c>
      <c r="G62" s="9">
        <v>3.97</v>
      </c>
      <c r="H62" s="7" t="s">
        <v>49</v>
      </c>
    </row>
    <row r="63" spans="1:15" x14ac:dyDescent="0.2">
      <c r="A63" s="9">
        <v>0</v>
      </c>
      <c r="B63" s="9">
        <v>0</v>
      </c>
      <c r="C63" s="9">
        <v>9</v>
      </c>
      <c r="D63" s="9">
        <v>64</v>
      </c>
      <c r="E63" s="9">
        <v>6.6</v>
      </c>
      <c r="F63" s="9">
        <v>0.28000000000000003</v>
      </c>
      <c r="G63" s="9">
        <v>3.95</v>
      </c>
      <c r="H63" s="7" t="s">
        <v>49</v>
      </c>
    </row>
    <row r="64" spans="1:15" x14ac:dyDescent="0.2">
      <c r="A64" s="9">
        <v>0</v>
      </c>
      <c r="B64" s="9">
        <v>9</v>
      </c>
      <c r="C64" s="9">
        <v>26</v>
      </c>
      <c r="D64" s="9">
        <v>69</v>
      </c>
      <c r="E64" s="9">
        <v>6.7</v>
      </c>
      <c r="F64" s="9">
        <v>0.71</v>
      </c>
      <c r="G64" s="9">
        <v>3.92</v>
      </c>
      <c r="H64" s="7" t="s">
        <v>49</v>
      </c>
      <c r="J64" s="101"/>
      <c r="K64" s="101"/>
      <c r="L64" s="101"/>
      <c r="M64" s="101"/>
      <c r="N64" s="101"/>
    </row>
    <row r="65" spans="1:14" x14ac:dyDescent="0.2">
      <c r="A65" s="9">
        <v>0</v>
      </c>
      <c r="B65" s="9">
        <v>16</v>
      </c>
      <c r="C65" s="9">
        <v>3</v>
      </c>
      <c r="D65" s="9">
        <v>75</v>
      </c>
      <c r="E65" s="9">
        <v>10.4</v>
      </c>
      <c r="F65" s="9">
        <v>3.95</v>
      </c>
      <c r="G65" s="9">
        <v>3.85</v>
      </c>
      <c r="H65" s="7" t="s">
        <v>49</v>
      </c>
      <c r="J65" s="101"/>
      <c r="K65" s="101"/>
      <c r="L65" s="101"/>
      <c r="M65" s="101"/>
      <c r="N65" s="101"/>
    </row>
    <row r="66" spans="1:14" x14ac:dyDescent="0.2">
      <c r="A66" s="9">
        <v>1</v>
      </c>
      <c r="B66" s="9">
        <v>1</v>
      </c>
      <c r="C66" s="9">
        <v>7</v>
      </c>
      <c r="D66" s="9">
        <v>29</v>
      </c>
      <c r="E66" s="9">
        <v>21.2</v>
      </c>
      <c r="F66" s="9">
        <v>2.33</v>
      </c>
      <c r="G66" s="9">
        <v>3.82</v>
      </c>
      <c r="H66" s="7" t="s">
        <v>49</v>
      </c>
    </row>
    <row r="67" spans="1:14" x14ac:dyDescent="0.2">
      <c r="A67" s="9">
        <v>1</v>
      </c>
      <c r="B67" s="9">
        <v>13</v>
      </c>
      <c r="C67" s="9">
        <v>6</v>
      </c>
      <c r="D67" s="9">
        <v>41</v>
      </c>
      <c r="E67" s="9">
        <v>16.399999999999999</v>
      </c>
      <c r="F67" s="9">
        <v>2.92</v>
      </c>
      <c r="G67" s="9">
        <v>3.81</v>
      </c>
      <c r="H67" s="7" t="s">
        <v>49</v>
      </c>
      <c r="J67" s="101"/>
      <c r="K67" s="101"/>
      <c r="L67" s="102"/>
      <c r="M67" s="102"/>
    </row>
    <row r="68" spans="1:14" x14ac:dyDescent="0.2">
      <c r="A68" s="9">
        <v>1</v>
      </c>
      <c r="B68" s="9">
        <v>2</v>
      </c>
      <c r="C68" s="9">
        <v>16</v>
      </c>
      <c r="D68" s="9">
        <v>22</v>
      </c>
      <c r="E68" s="9">
        <v>22.7</v>
      </c>
      <c r="F68" s="9">
        <v>1.21</v>
      </c>
      <c r="G68" s="9">
        <v>3.79</v>
      </c>
      <c r="H68" s="7" t="s">
        <v>49</v>
      </c>
      <c r="J68" s="101"/>
      <c r="K68" s="101"/>
      <c r="L68" s="85"/>
      <c r="M68" s="85"/>
    </row>
    <row r="69" spans="1:14" x14ac:dyDescent="0.2">
      <c r="A69" s="9">
        <v>0</v>
      </c>
      <c r="B69" s="9">
        <v>16</v>
      </c>
      <c r="C69" s="9">
        <v>25</v>
      </c>
      <c r="D69" s="9">
        <v>64</v>
      </c>
      <c r="E69" s="9">
        <v>8.6</v>
      </c>
      <c r="F69" s="9">
        <v>1.87</v>
      </c>
      <c r="G69" s="9">
        <v>3.64</v>
      </c>
      <c r="H69" s="7" t="s">
        <v>49</v>
      </c>
      <c r="J69" s="101"/>
      <c r="K69" s="85"/>
      <c r="L69" s="85"/>
      <c r="M69" s="85"/>
    </row>
    <row r="70" spans="1:14" x14ac:dyDescent="0.2">
      <c r="A70" s="9">
        <v>0</v>
      </c>
      <c r="B70" s="9">
        <v>14</v>
      </c>
      <c r="C70" s="9">
        <v>8</v>
      </c>
      <c r="D70" s="9">
        <v>28</v>
      </c>
      <c r="E70" s="9">
        <v>17</v>
      </c>
      <c r="F70" s="9">
        <v>1.1399999999999999</v>
      </c>
      <c r="G70" s="9">
        <v>3.62</v>
      </c>
      <c r="H70" s="7" t="s">
        <v>49</v>
      </c>
      <c r="J70" s="101"/>
      <c r="K70" s="85"/>
      <c r="L70" s="85"/>
      <c r="M70" s="85"/>
    </row>
    <row r="71" spans="1:14" x14ac:dyDescent="0.2">
      <c r="A71" s="9">
        <v>1</v>
      </c>
      <c r="B71" s="9">
        <v>4</v>
      </c>
      <c r="C71" s="9">
        <v>2</v>
      </c>
      <c r="D71" s="9">
        <v>28</v>
      </c>
      <c r="E71" s="9">
        <v>14.2</v>
      </c>
      <c r="F71" s="9">
        <v>0.44</v>
      </c>
      <c r="G71" s="9">
        <v>3.54</v>
      </c>
      <c r="H71" s="7" t="s">
        <v>49</v>
      </c>
      <c r="J71" s="102"/>
      <c r="K71" s="102"/>
      <c r="L71" s="102"/>
      <c r="M71" s="102"/>
    </row>
    <row r="72" spans="1:14" x14ac:dyDescent="0.2">
      <c r="A72" s="9">
        <v>0</v>
      </c>
      <c r="B72" s="9">
        <v>3</v>
      </c>
      <c r="C72" s="9">
        <v>8</v>
      </c>
      <c r="D72" s="9">
        <v>21</v>
      </c>
      <c r="E72" s="9">
        <v>23.1</v>
      </c>
      <c r="F72" s="9">
        <v>1.4</v>
      </c>
      <c r="G72" s="9">
        <v>3.45</v>
      </c>
      <c r="H72" s="7" t="s">
        <v>49</v>
      </c>
      <c r="K72" s="89"/>
      <c r="L72" s="102"/>
      <c r="M72" s="102"/>
    </row>
    <row r="73" spans="1:14" x14ac:dyDescent="0.2">
      <c r="A73" s="9">
        <v>0</v>
      </c>
      <c r="B73" s="9">
        <v>3</v>
      </c>
      <c r="C73" s="9">
        <v>23</v>
      </c>
      <c r="D73" s="9">
        <v>45</v>
      </c>
      <c r="E73" s="9">
        <v>9.8000000000000007</v>
      </c>
      <c r="F73" s="9">
        <v>0.97</v>
      </c>
      <c r="G73" s="9">
        <v>3.44</v>
      </c>
      <c r="H73" s="7" t="s">
        <v>49</v>
      </c>
      <c r="K73" s="89"/>
      <c r="L73" s="102"/>
      <c r="M73" s="102"/>
    </row>
    <row r="74" spans="1:14" x14ac:dyDescent="0.2">
      <c r="A74" s="9">
        <v>1</v>
      </c>
      <c r="B74" s="9">
        <v>9</v>
      </c>
      <c r="C74" s="9">
        <v>6</v>
      </c>
      <c r="D74" s="9">
        <v>49</v>
      </c>
      <c r="E74" s="9">
        <v>8.6</v>
      </c>
      <c r="F74" s="9">
        <v>0.82</v>
      </c>
      <c r="G74" s="9">
        <v>3.4</v>
      </c>
      <c r="H74" s="7" t="s">
        <v>49</v>
      </c>
      <c r="K74" s="89"/>
      <c r="L74" s="102"/>
      <c r="M74" s="102"/>
    </row>
    <row r="75" spans="1:14" x14ac:dyDescent="0.2">
      <c r="A75" s="9">
        <v>0</v>
      </c>
      <c r="B75" s="9">
        <v>19</v>
      </c>
      <c r="C75" s="9">
        <v>25</v>
      </c>
      <c r="D75" s="9">
        <v>0</v>
      </c>
      <c r="E75" s="9">
        <v>2.8</v>
      </c>
      <c r="F75" s="9">
        <v>1.07</v>
      </c>
      <c r="G75" s="9">
        <v>3.38</v>
      </c>
      <c r="H75" s="7" t="s">
        <v>49</v>
      </c>
    </row>
    <row r="76" spans="1:14" x14ac:dyDescent="0.2">
      <c r="A76" s="9">
        <v>0</v>
      </c>
      <c r="B76" s="9">
        <v>6</v>
      </c>
      <c r="C76" s="9">
        <v>0</v>
      </c>
      <c r="D76" s="9">
        <v>41</v>
      </c>
      <c r="E76" s="9">
        <v>8.9</v>
      </c>
      <c r="F76" s="9">
        <v>0.27</v>
      </c>
      <c r="G76" s="9">
        <v>3.38</v>
      </c>
      <c r="H76" s="7" t="s">
        <v>49</v>
      </c>
    </row>
    <row r="77" spans="1:14" x14ac:dyDescent="0.2">
      <c r="A77" s="9">
        <v>1</v>
      </c>
      <c r="B77" s="9">
        <v>2</v>
      </c>
      <c r="C77" s="9">
        <v>12</v>
      </c>
      <c r="D77" s="9">
        <v>46</v>
      </c>
      <c r="E77" s="9">
        <v>16</v>
      </c>
      <c r="F77" s="9">
        <v>4</v>
      </c>
      <c r="G77" s="9">
        <v>3.36</v>
      </c>
      <c r="H77" s="7" t="s">
        <v>49</v>
      </c>
      <c r="J77" s="101"/>
      <c r="K77" s="101"/>
      <c r="L77" s="102"/>
      <c r="M77" s="102"/>
    </row>
    <row r="78" spans="1:14" x14ac:dyDescent="0.2">
      <c r="A78" s="9">
        <v>0</v>
      </c>
      <c r="B78" s="9">
        <v>4</v>
      </c>
      <c r="C78" s="9">
        <v>4</v>
      </c>
      <c r="D78" s="9">
        <v>21</v>
      </c>
      <c r="E78" s="9">
        <v>18.3</v>
      </c>
      <c r="F78" s="9">
        <v>0.49</v>
      </c>
      <c r="G78" s="9">
        <v>3.35</v>
      </c>
      <c r="H78" s="7" t="s">
        <v>49</v>
      </c>
      <c r="J78" s="101"/>
      <c r="K78" s="101"/>
      <c r="L78" s="85"/>
      <c r="M78" s="85"/>
    </row>
    <row r="79" spans="1:14" x14ac:dyDescent="0.2">
      <c r="A79" s="9">
        <v>0</v>
      </c>
      <c r="B79" s="9">
        <v>8</v>
      </c>
      <c r="C79" s="9">
        <v>4</v>
      </c>
      <c r="D79" s="9">
        <v>56</v>
      </c>
      <c r="E79" s="9">
        <v>6.4</v>
      </c>
      <c r="F79" s="9">
        <v>0.33</v>
      </c>
      <c r="G79" s="9">
        <v>3.25</v>
      </c>
      <c r="H79" s="7" t="s">
        <v>49</v>
      </c>
      <c r="J79" s="101"/>
      <c r="K79" s="85"/>
      <c r="L79" s="85"/>
      <c r="M79" s="85"/>
    </row>
    <row r="80" spans="1:14" x14ac:dyDescent="0.2">
      <c r="A80" s="9">
        <v>1</v>
      </c>
      <c r="B80" s="9">
        <v>2</v>
      </c>
      <c r="C80" s="9">
        <v>15</v>
      </c>
      <c r="D80" s="9">
        <v>22</v>
      </c>
      <c r="E80" s="9">
        <v>23.1</v>
      </c>
      <c r="F80" s="9">
        <v>1.92</v>
      </c>
      <c r="G80" s="9">
        <v>3.17</v>
      </c>
      <c r="H80" s="7" t="s">
        <v>49</v>
      </c>
      <c r="J80" s="101"/>
      <c r="K80" s="85"/>
      <c r="L80" s="85"/>
      <c r="M80" s="85"/>
    </row>
    <row r="81" spans="1:13" x14ac:dyDescent="0.2">
      <c r="A81" s="9">
        <v>0</v>
      </c>
      <c r="B81" s="9">
        <v>18</v>
      </c>
      <c r="C81" s="9">
        <v>10</v>
      </c>
      <c r="D81" s="9">
        <v>34</v>
      </c>
      <c r="E81" s="9">
        <v>15.4</v>
      </c>
      <c r="F81" s="9">
        <v>2.1</v>
      </c>
      <c r="G81" s="9">
        <v>3.14</v>
      </c>
      <c r="H81" s="7" t="s">
        <v>49</v>
      </c>
      <c r="J81" s="102"/>
      <c r="K81" s="102"/>
      <c r="L81" s="102"/>
      <c r="M81" s="102"/>
    </row>
    <row r="82" spans="1:13" x14ac:dyDescent="0.2">
      <c r="A82" s="9">
        <v>0</v>
      </c>
      <c r="B82" s="9">
        <v>16</v>
      </c>
      <c r="C82" s="9">
        <v>10</v>
      </c>
      <c r="D82" s="9">
        <v>83</v>
      </c>
      <c r="E82" s="9">
        <v>4.0999999999999996</v>
      </c>
      <c r="F82" s="9">
        <v>0.26</v>
      </c>
      <c r="G82" s="9">
        <v>3.14</v>
      </c>
      <c r="H82" s="7" t="s">
        <v>49</v>
      </c>
      <c r="K82" s="89"/>
      <c r="L82" s="102"/>
      <c r="M82" s="102"/>
    </row>
    <row r="83" spans="1:13" x14ac:dyDescent="0.2">
      <c r="A83" s="9">
        <v>1</v>
      </c>
      <c r="B83" s="9">
        <v>2</v>
      </c>
      <c r="C83" s="9">
        <v>0</v>
      </c>
      <c r="D83" s="9">
        <v>28</v>
      </c>
      <c r="E83" s="9">
        <v>17.3</v>
      </c>
      <c r="F83" s="9">
        <v>1.79</v>
      </c>
      <c r="G83" s="9">
        <v>3.06</v>
      </c>
      <c r="H83" s="7" t="s">
        <v>49</v>
      </c>
      <c r="K83" s="89"/>
      <c r="L83" s="102"/>
      <c r="M83" s="102"/>
    </row>
    <row r="84" spans="1:13" x14ac:dyDescent="0.2">
      <c r="A84" s="9">
        <v>0</v>
      </c>
      <c r="B84" s="9">
        <v>3</v>
      </c>
      <c r="C84" s="9">
        <v>4</v>
      </c>
      <c r="D84" s="9">
        <v>35</v>
      </c>
      <c r="E84" s="9">
        <v>13.3</v>
      </c>
      <c r="F84" s="9">
        <v>0.97</v>
      </c>
      <c r="G84" s="9">
        <v>3.05</v>
      </c>
      <c r="H84" s="7" t="s">
        <v>49</v>
      </c>
      <c r="K84" s="89"/>
      <c r="L84" s="102"/>
      <c r="M84" s="102"/>
    </row>
    <row r="85" spans="1:13" x14ac:dyDescent="0.2">
      <c r="A85" s="9">
        <v>0</v>
      </c>
      <c r="B85" s="9">
        <v>13</v>
      </c>
      <c r="C85" s="9">
        <v>11</v>
      </c>
      <c r="D85" s="9">
        <v>51</v>
      </c>
      <c r="E85" s="9">
        <v>9.6</v>
      </c>
      <c r="F85" s="9">
        <v>1.88</v>
      </c>
      <c r="G85" s="9">
        <v>3.02</v>
      </c>
      <c r="H85" s="7" t="s">
        <v>49</v>
      </c>
    </row>
    <row r="86" spans="1:13" x14ac:dyDescent="0.2">
      <c r="A86" s="9">
        <v>0</v>
      </c>
      <c r="B86" s="9">
        <v>22</v>
      </c>
      <c r="C86" s="9">
        <v>19</v>
      </c>
      <c r="D86" s="9">
        <v>81</v>
      </c>
      <c r="E86" s="9">
        <v>5.5</v>
      </c>
      <c r="F86" s="9">
        <v>1.51</v>
      </c>
      <c r="G86" s="9">
        <v>2.95</v>
      </c>
      <c r="H86" s="7" t="s">
        <v>49</v>
      </c>
    </row>
    <row r="87" spans="1:13" x14ac:dyDescent="0.2">
      <c r="A87" s="9">
        <v>1</v>
      </c>
      <c r="B87" s="9">
        <v>7</v>
      </c>
      <c r="C87" s="9">
        <v>5</v>
      </c>
      <c r="D87" s="9">
        <v>20</v>
      </c>
      <c r="E87" s="9">
        <v>19.8</v>
      </c>
      <c r="F87" s="9">
        <v>1.01</v>
      </c>
      <c r="G87" s="9">
        <v>2.95</v>
      </c>
      <c r="H87" s="7" t="s">
        <v>49</v>
      </c>
    </row>
    <row r="88" spans="1:13" x14ac:dyDescent="0.2">
      <c r="A88" s="9">
        <v>0</v>
      </c>
      <c r="B88" s="9">
        <v>17</v>
      </c>
      <c r="C88" s="9">
        <v>3</v>
      </c>
      <c r="D88" s="9">
        <v>59</v>
      </c>
      <c r="E88" s="9">
        <v>8</v>
      </c>
      <c r="F88" s="9">
        <v>1.81</v>
      </c>
      <c r="G88" s="9">
        <v>2.91</v>
      </c>
      <c r="H88" s="7" t="s">
        <v>49</v>
      </c>
    </row>
    <row r="89" spans="1:13" x14ac:dyDescent="0.2">
      <c r="A89" s="9">
        <v>0</v>
      </c>
      <c r="B89" s="9">
        <v>6</v>
      </c>
      <c r="C89" s="9">
        <v>9</v>
      </c>
      <c r="D89" s="9">
        <v>61</v>
      </c>
      <c r="E89" s="9">
        <v>5.7</v>
      </c>
      <c r="F89" s="9">
        <v>0.56000000000000005</v>
      </c>
      <c r="G89" s="9">
        <v>2.91</v>
      </c>
      <c r="H89" s="7" t="s">
        <v>49</v>
      </c>
    </row>
    <row r="90" spans="1:13" x14ac:dyDescent="0.2">
      <c r="A90" s="9">
        <v>0</v>
      </c>
      <c r="B90" s="9">
        <v>18</v>
      </c>
      <c r="C90" s="9">
        <v>2</v>
      </c>
      <c r="D90" s="9">
        <v>42</v>
      </c>
      <c r="E90" s="9">
        <v>7.4</v>
      </c>
      <c r="F90" s="9">
        <v>0.21</v>
      </c>
      <c r="G90" s="9">
        <v>2.9</v>
      </c>
      <c r="H90" s="7" t="s">
        <v>49</v>
      </c>
    </row>
    <row r="91" spans="1:13" x14ac:dyDescent="0.2">
      <c r="A91" s="9">
        <v>0</v>
      </c>
      <c r="B91" s="9">
        <v>7</v>
      </c>
      <c r="C91" s="9">
        <v>1</v>
      </c>
      <c r="D91" s="9">
        <v>63</v>
      </c>
      <c r="E91" s="9">
        <v>5.5</v>
      </c>
      <c r="F91" s="9">
        <v>0.56999999999999995</v>
      </c>
      <c r="G91" s="9">
        <v>2.89</v>
      </c>
      <c r="H91" s="7" t="s">
        <v>49</v>
      </c>
    </row>
    <row r="92" spans="1:13" x14ac:dyDescent="0.2">
      <c r="A92" s="9">
        <v>1</v>
      </c>
      <c r="B92" s="9">
        <v>0</v>
      </c>
      <c r="C92" s="9">
        <v>2</v>
      </c>
      <c r="D92" s="9">
        <v>18</v>
      </c>
      <c r="E92" s="9">
        <v>18.899999999999999</v>
      </c>
      <c r="F92" s="9">
        <v>0.51</v>
      </c>
      <c r="G92" s="9">
        <v>2.89</v>
      </c>
      <c r="H92" s="7" t="s">
        <v>49</v>
      </c>
    </row>
    <row r="93" spans="1:13" x14ac:dyDescent="0.2">
      <c r="A93" s="9">
        <v>0</v>
      </c>
      <c r="B93" s="9">
        <v>8</v>
      </c>
      <c r="C93" s="9">
        <v>4</v>
      </c>
      <c r="D93" s="9">
        <v>27</v>
      </c>
      <c r="E93" s="9">
        <v>14.4</v>
      </c>
      <c r="F93" s="9">
        <v>1.02</v>
      </c>
      <c r="G93" s="9">
        <v>2.87</v>
      </c>
      <c r="H93" s="7" t="s">
        <v>49</v>
      </c>
    </row>
    <row r="94" spans="1:13" x14ac:dyDescent="0.2">
      <c r="A94" s="9">
        <v>0</v>
      </c>
      <c r="B94" s="9">
        <v>1</v>
      </c>
      <c r="C94" s="9">
        <v>3</v>
      </c>
      <c r="D94" s="9">
        <v>26</v>
      </c>
      <c r="E94" s="9">
        <v>12.4</v>
      </c>
      <c r="F94" s="9">
        <v>0.38</v>
      </c>
      <c r="G94" s="9">
        <v>2.85</v>
      </c>
      <c r="H94" s="7" t="s">
        <v>49</v>
      </c>
    </row>
    <row r="95" spans="1:13" x14ac:dyDescent="0.2">
      <c r="A95" s="9">
        <v>1</v>
      </c>
      <c r="B95" s="9">
        <v>1</v>
      </c>
      <c r="C95" s="9">
        <v>8</v>
      </c>
      <c r="D95" s="9">
        <v>24</v>
      </c>
      <c r="E95" s="9">
        <v>17.100000000000001</v>
      </c>
      <c r="F95" s="9">
        <v>1.34</v>
      </c>
      <c r="G95" s="9">
        <v>2.77</v>
      </c>
      <c r="H95" s="7" t="s">
        <v>49</v>
      </c>
    </row>
    <row r="96" spans="1:13" x14ac:dyDescent="0.2">
      <c r="A96" s="9">
        <v>0</v>
      </c>
      <c r="B96" s="9">
        <v>3</v>
      </c>
      <c r="C96" s="9">
        <v>5</v>
      </c>
      <c r="D96" s="9">
        <v>33</v>
      </c>
      <c r="E96" s="9">
        <v>13.2</v>
      </c>
      <c r="F96" s="9">
        <v>1.63</v>
      </c>
      <c r="G96" s="9">
        <v>2.72</v>
      </c>
      <c r="H96" s="7" t="s">
        <v>49</v>
      </c>
    </row>
    <row r="97" spans="1:8" x14ac:dyDescent="0.2">
      <c r="A97" s="9">
        <v>0</v>
      </c>
      <c r="B97" s="9">
        <v>4</v>
      </c>
      <c r="C97" s="9">
        <v>1</v>
      </c>
      <c r="D97" s="9">
        <v>16</v>
      </c>
      <c r="E97" s="9">
        <v>23.8</v>
      </c>
      <c r="F97" s="9">
        <v>1.0900000000000001</v>
      </c>
      <c r="G97" s="9">
        <v>2.72</v>
      </c>
      <c r="H97" s="7" t="s">
        <v>49</v>
      </c>
    </row>
    <row r="98" spans="1:8" x14ac:dyDescent="0.2">
      <c r="A98" s="9">
        <v>0</v>
      </c>
      <c r="B98" s="9">
        <v>13</v>
      </c>
      <c r="C98" s="9">
        <v>2</v>
      </c>
      <c r="D98" s="9">
        <v>40</v>
      </c>
      <c r="E98" s="9">
        <v>7.2</v>
      </c>
      <c r="F98" s="9">
        <v>0.18</v>
      </c>
      <c r="G98" s="9">
        <v>2.7</v>
      </c>
      <c r="H98" s="7" t="s">
        <v>49</v>
      </c>
    </row>
    <row r="99" spans="1:8" x14ac:dyDescent="0.2">
      <c r="A99" s="9">
        <v>0</v>
      </c>
      <c r="B99" s="9">
        <v>6</v>
      </c>
      <c r="C99" s="9">
        <v>7</v>
      </c>
      <c r="D99" s="9">
        <v>21</v>
      </c>
      <c r="E99" s="9">
        <v>18.100000000000001</v>
      </c>
      <c r="F99" s="9">
        <v>1.1100000000000001</v>
      </c>
      <c r="G99" s="9">
        <v>2.69</v>
      </c>
      <c r="H99" s="7" t="s">
        <v>49</v>
      </c>
    </row>
    <row r="100" spans="1:8" x14ac:dyDescent="0.2">
      <c r="A100" s="9">
        <v>0</v>
      </c>
      <c r="B100" s="9">
        <v>14</v>
      </c>
      <c r="C100" s="9">
        <v>7</v>
      </c>
      <c r="D100" s="9">
        <v>73</v>
      </c>
      <c r="E100" s="9">
        <v>8.8000000000000007</v>
      </c>
      <c r="F100" s="9">
        <v>3.75</v>
      </c>
      <c r="G100" s="9">
        <v>2.67</v>
      </c>
      <c r="H100" s="7" t="s">
        <v>49</v>
      </c>
    </row>
    <row r="101" spans="1:8" x14ac:dyDescent="0.2">
      <c r="A101" s="9">
        <v>1</v>
      </c>
      <c r="B101" s="9">
        <v>9</v>
      </c>
      <c r="C101" s="9">
        <v>4</v>
      </c>
      <c r="D101" s="9">
        <v>29</v>
      </c>
      <c r="E101" s="9">
        <v>13.8</v>
      </c>
      <c r="F101" s="9">
        <v>1.35</v>
      </c>
      <c r="G101" s="9">
        <v>2.65</v>
      </c>
      <c r="H101" s="7" t="s">
        <v>49</v>
      </c>
    </row>
    <row r="102" spans="1:8" x14ac:dyDescent="0.2">
      <c r="A102" s="9">
        <v>1</v>
      </c>
      <c r="B102" s="9">
        <v>3</v>
      </c>
      <c r="C102" s="9">
        <v>11</v>
      </c>
      <c r="D102" s="9">
        <v>40</v>
      </c>
      <c r="E102" s="9">
        <v>8</v>
      </c>
      <c r="F102" s="9">
        <v>0.56000000000000005</v>
      </c>
      <c r="G102" s="9">
        <v>2.64</v>
      </c>
      <c r="H102" s="7" t="s">
        <v>49</v>
      </c>
    </row>
    <row r="103" spans="1:8" x14ac:dyDescent="0.2">
      <c r="A103" s="9">
        <v>1</v>
      </c>
      <c r="B103" s="9">
        <v>1</v>
      </c>
      <c r="C103" s="9">
        <v>2</v>
      </c>
      <c r="D103" s="9">
        <v>16</v>
      </c>
      <c r="E103" s="9">
        <v>18</v>
      </c>
      <c r="F103" s="9">
        <v>0.24</v>
      </c>
      <c r="G103" s="9">
        <v>2.64</v>
      </c>
      <c r="H103" s="7" t="s">
        <v>49</v>
      </c>
    </row>
    <row r="104" spans="1:8" x14ac:dyDescent="0.2">
      <c r="A104" s="9">
        <v>1</v>
      </c>
      <c r="B104" s="9">
        <v>9</v>
      </c>
      <c r="C104" s="9">
        <v>2</v>
      </c>
      <c r="D104" s="9">
        <v>28</v>
      </c>
      <c r="E104" s="9">
        <v>14.8</v>
      </c>
      <c r="F104" s="9">
        <v>1.56</v>
      </c>
      <c r="G104" s="9">
        <v>2.59</v>
      </c>
      <c r="H104" s="7" t="s">
        <v>49</v>
      </c>
    </row>
    <row r="105" spans="1:8" x14ac:dyDescent="0.2">
      <c r="A105" s="9">
        <v>1</v>
      </c>
      <c r="B105" s="9">
        <v>2</v>
      </c>
      <c r="C105" s="9">
        <v>11</v>
      </c>
      <c r="D105" s="9">
        <v>25</v>
      </c>
      <c r="E105" s="9">
        <v>12.6</v>
      </c>
      <c r="F105" s="9">
        <v>0.56999999999999995</v>
      </c>
      <c r="G105" s="9">
        <v>2.58</v>
      </c>
      <c r="H105" s="7" t="s">
        <v>49</v>
      </c>
    </row>
    <row r="106" spans="1:8" x14ac:dyDescent="0.2">
      <c r="A106" s="9">
        <v>0</v>
      </c>
      <c r="B106" s="9">
        <v>0</v>
      </c>
      <c r="C106" s="9">
        <v>17</v>
      </c>
      <c r="D106" s="9">
        <v>30</v>
      </c>
      <c r="E106" s="9">
        <v>9.6999999999999993</v>
      </c>
      <c r="F106" s="9">
        <v>0.33</v>
      </c>
      <c r="G106" s="9">
        <v>2.58</v>
      </c>
      <c r="H106" s="7" t="s">
        <v>49</v>
      </c>
    </row>
    <row r="107" spans="1:8" x14ac:dyDescent="0.2">
      <c r="A107" s="9">
        <v>0</v>
      </c>
      <c r="B107" s="9">
        <v>4</v>
      </c>
      <c r="C107" s="9">
        <v>2</v>
      </c>
      <c r="D107" s="9">
        <v>26</v>
      </c>
      <c r="E107" s="9">
        <v>10.4</v>
      </c>
      <c r="F107" s="9">
        <v>0.12</v>
      </c>
      <c r="G107" s="9">
        <v>2.58</v>
      </c>
      <c r="H107" s="7" t="s">
        <v>49</v>
      </c>
    </row>
    <row r="108" spans="1:8" x14ac:dyDescent="0.2">
      <c r="A108" s="9">
        <v>0</v>
      </c>
      <c r="B108" s="9">
        <v>6</v>
      </c>
      <c r="C108" s="9">
        <v>9</v>
      </c>
      <c r="D108" s="9">
        <v>31</v>
      </c>
      <c r="E108" s="9">
        <v>11.6</v>
      </c>
      <c r="F108" s="9">
        <v>1.02</v>
      </c>
      <c r="G108" s="9">
        <v>2.57</v>
      </c>
      <c r="H108" s="7" t="s">
        <v>49</v>
      </c>
    </row>
    <row r="109" spans="1:8" x14ac:dyDescent="0.2">
      <c r="A109" s="9">
        <v>0</v>
      </c>
      <c r="B109" s="9">
        <v>13</v>
      </c>
      <c r="C109" s="9">
        <v>8</v>
      </c>
      <c r="D109" s="9">
        <v>56</v>
      </c>
      <c r="E109" s="9">
        <v>6.1</v>
      </c>
      <c r="F109" s="9">
        <v>0.86</v>
      </c>
      <c r="G109" s="9">
        <v>2.5499999999999998</v>
      </c>
      <c r="H109" s="7" t="s">
        <v>49</v>
      </c>
    </row>
    <row r="110" spans="1:8" x14ac:dyDescent="0.2">
      <c r="A110" s="9">
        <v>1</v>
      </c>
      <c r="B110" s="9">
        <v>0</v>
      </c>
      <c r="C110" s="9">
        <v>8</v>
      </c>
      <c r="D110" s="9">
        <v>19</v>
      </c>
      <c r="E110" s="9">
        <v>16.600000000000001</v>
      </c>
      <c r="F110" s="9">
        <v>0.62</v>
      </c>
      <c r="G110" s="9">
        <v>2.5299999999999998</v>
      </c>
      <c r="H110" s="7" t="s">
        <v>49</v>
      </c>
    </row>
    <row r="111" spans="1:8" x14ac:dyDescent="0.2">
      <c r="A111" s="9">
        <v>0</v>
      </c>
      <c r="B111" s="9">
        <v>5</v>
      </c>
      <c r="C111" s="9">
        <v>1</v>
      </c>
      <c r="D111" s="9">
        <v>75</v>
      </c>
      <c r="E111" s="9">
        <v>6.3</v>
      </c>
      <c r="F111" s="9">
        <v>2.21</v>
      </c>
      <c r="G111" s="9">
        <v>2.52</v>
      </c>
      <c r="H111" s="7" t="s">
        <v>49</v>
      </c>
    </row>
    <row r="112" spans="1:8" x14ac:dyDescent="0.2">
      <c r="A112" s="9">
        <v>1</v>
      </c>
      <c r="B112" s="9">
        <v>13</v>
      </c>
      <c r="C112" s="9">
        <v>23</v>
      </c>
      <c r="D112" s="9">
        <v>76</v>
      </c>
      <c r="E112" s="9">
        <v>6.1</v>
      </c>
      <c r="F112" s="9">
        <v>2.15</v>
      </c>
      <c r="G112" s="9">
        <v>2.48</v>
      </c>
      <c r="H112" s="7" t="s">
        <v>49</v>
      </c>
    </row>
    <row r="113" spans="1:8" x14ac:dyDescent="0.2">
      <c r="A113" s="9">
        <v>0</v>
      </c>
      <c r="B113" s="9">
        <v>24</v>
      </c>
      <c r="C113" s="9">
        <v>14</v>
      </c>
      <c r="D113" s="9">
        <v>64</v>
      </c>
      <c r="E113" s="9">
        <v>10</v>
      </c>
      <c r="F113" s="9">
        <v>3.93</v>
      </c>
      <c r="G113" s="9">
        <v>2.4700000000000002</v>
      </c>
      <c r="H113" s="7" t="s">
        <v>49</v>
      </c>
    </row>
    <row r="114" spans="1:8" x14ac:dyDescent="0.2">
      <c r="A114" s="9">
        <v>0</v>
      </c>
      <c r="B114" s="9">
        <v>11</v>
      </c>
      <c r="C114" s="9">
        <v>17</v>
      </c>
      <c r="D114" s="9">
        <v>39</v>
      </c>
      <c r="E114" s="9">
        <v>12.9</v>
      </c>
      <c r="F114" s="9">
        <v>2.56</v>
      </c>
      <c r="G114" s="9">
        <v>2.4700000000000002</v>
      </c>
      <c r="H114" s="7" t="s">
        <v>49</v>
      </c>
    </row>
    <row r="115" spans="1:8" x14ac:dyDescent="0.2">
      <c r="A115" s="9">
        <v>0</v>
      </c>
      <c r="B115" s="9">
        <v>10</v>
      </c>
      <c r="C115" s="9">
        <v>13</v>
      </c>
      <c r="D115" s="9">
        <v>32</v>
      </c>
      <c r="E115" s="9">
        <v>11.3</v>
      </c>
      <c r="F115" s="9">
        <v>1.17</v>
      </c>
      <c r="G115" s="9">
        <v>2.4500000000000002</v>
      </c>
      <c r="H115" s="7" t="s">
        <v>49</v>
      </c>
    </row>
    <row r="116" spans="1:8" x14ac:dyDescent="0.2">
      <c r="A116" s="9">
        <v>0</v>
      </c>
      <c r="B116" s="9">
        <v>4</v>
      </c>
      <c r="C116" s="9">
        <v>3</v>
      </c>
      <c r="D116" s="9">
        <v>28</v>
      </c>
      <c r="E116" s="9">
        <v>9.5</v>
      </c>
      <c r="F116" s="9">
        <v>0.23</v>
      </c>
      <c r="G116" s="9">
        <v>2.4300000000000002</v>
      </c>
      <c r="H116" s="7" t="s">
        <v>49</v>
      </c>
    </row>
    <row r="117" spans="1:8" x14ac:dyDescent="0.2">
      <c r="A117" s="9">
        <v>0</v>
      </c>
      <c r="B117" s="9">
        <v>20</v>
      </c>
      <c r="C117" s="9">
        <v>12</v>
      </c>
      <c r="D117" s="9">
        <v>39</v>
      </c>
      <c r="E117" s="9">
        <v>8.1999999999999993</v>
      </c>
      <c r="F117" s="9">
        <v>0.77</v>
      </c>
      <c r="G117" s="9">
        <v>2.42</v>
      </c>
      <c r="H117" s="7" t="s">
        <v>49</v>
      </c>
    </row>
    <row r="118" spans="1:8" x14ac:dyDescent="0.2">
      <c r="A118" s="9">
        <v>0</v>
      </c>
      <c r="B118" s="9">
        <v>4</v>
      </c>
      <c r="C118" s="9">
        <v>15</v>
      </c>
      <c r="D118" s="9">
        <v>17</v>
      </c>
      <c r="E118" s="9">
        <v>17.3</v>
      </c>
      <c r="F118" s="9">
        <v>0.52</v>
      </c>
      <c r="G118" s="9">
        <v>2.42</v>
      </c>
      <c r="H118" s="7" t="s">
        <v>49</v>
      </c>
    </row>
    <row r="119" spans="1:8" x14ac:dyDescent="0.2">
      <c r="A119" s="9">
        <v>1</v>
      </c>
      <c r="B119" s="9">
        <v>1</v>
      </c>
      <c r="C119" s="9">
        <v>8</v>
      </c>
      <c r="D119" s="9">
        <v>24</v>
      </c>
      <c r="E119" s="9">
        <v>12.5</v>
      </c>
      <c r="F119" s="9">
        <v>0.59</v>
      </c>
      <c r="G119" s="9">
        <v>2.41</v>
      </c>
      <c r="H119" s="7" t="s">
        <v>49</v>
      </c>
    </row>
    <row r="120" spans="1:8" x14ac:dyDescent="0.2">
      <c r="A120" s="9">
        <v>0</v>
      </c>
      <c r="B120" s="9">
        <v>9</v>
      </c>
      <c r="C120" s="9">
        <v>0</v>
      </c>
      <c r="D120" s="9">
        <v>25</v>
      </c>
      <c r="E120" s="9">
        <v>13.9</v>
      </c>
      <c r="F120" s="9">
        <v>1.07</v>
      </c>
      <c r="G120" s="9">
        <v>2.4</v>
      </c>
      <c r="H120" s="7" t="s">
        <v>49</v>
      </c>
    </row>
    <row r="121" spans="1:8" x14ac:dyDescent="0.2">
      <c r="A121" s="9">
        <v>0</v>
      </c>
      <c r="B121" s="9">
        <v>21</v>
      </c>
      <c r="C121" s="9">
        <v>11</v>
      </c>
      <c r="D121" s="13">
        <v>117.54291069294821</v>
      </c>
      <c r="E121" s="9">
        <v>3.1</v>
      </c>
      <c r="F121" s="9">
        <v>1.37</v>
      </c>
      <c r="G121" s="9">
        <v>2.39</v>
      </c>
      <c r="H121" s="7" t="s">
        <v>49</v>
      </c>
    </row>
    <row r="122" spans="1:8" x14ac:dyDescent="0.2">
      <c r="A122" s="9">
        <v>0</v>
      </c>
      <c r="B122" s="9">
        <v>1</v>
      </c>
      <c r="C122" s="9">
        <v>3</v>
      </c>
      <c r="D122" s="9">
        <v>17</v>
      </c>
      <c r="E122" s="9">
        <v>18.600000000000001</v>
      </c>
      <c r="F122" s="9">
        <v>0.81</v>
      </c>
      <c r="G122" s="9">
        <v>2.36</v>
      </c>
      <c r="H122" s="7" t="s">
        <v>49</v>
      </c>
    </row>
    <row r="123" spans="1:8" x14ac:dyDescent="0.2">
      <c r="A123" s="9">
        <v>0</v>
      </c>
      <c r="B123" s="9">
        <v>5</v>
      </c>
      <c r="C123" s="9">
        <v>3</v>
      </c>
      <c r="D123" s="9">
        <v>25</v>
      </c>
      <c r="E123" s="9">
        <v>14.1</v>
      </c>
      <c r="F123" s="9">
        <v>1.18</v>
      </c>
      <c r="G123" s="9">
        <v>2.35</v>
      </c>
      <c r="H123" s="7" t="s">
        <v>49</v>
      </c>
    </row>
    <row r="124" spans="1:8" x14ac:dyDescent="0.2">
      <c r="A124" s="9">
        <v>0</v>
      </c>
      <c r="B124" s="9">
        <v>7</v>
      </c>
      <c r="C124" s="9">
        <v>3</v>
      </c>
      <c r="D124" s="9">
        <v>22</v>
      </c>
      <c r="E124" s="9">
        <v>14.4</v>
      </c>
      <c r="F124" s="9">
        <v>0.85</v>
      </c>
      <c r="G124" s="9">
        <v>2.3199999999999998</v>
      </c>
      <c r="H124" s="7" t="s">
        <v>49</v>
      </c>
    </row>
    <row r="125" spans="1:8" x14ac:dyDescent="0.2">
      <c r="A125" s="9">
        <v>1</v>
      </c>
      <c r="B125" s="9">
        <v>10</v>
      </c>
      <c r="C125" s="9">
        <v>0</v>
      </c>
      <c r="D125" s="9">
        <v>28</v>
      </c>
      <c r="E125" s="9">
        <v>11.2</v>
      </c>
      <c r="F125" s="9">
        <v>0.82</v>
      </c>
      <c r="G125" s="9">
        <v>2.3199999999999998</v>
      </c>
      <c r="H125" s="7" t="s">
        <v>49</v>
      </c>
    </row>
    <row r="126" spans="1:8" x14ac:dyDescent="0.2">
      <c r="A126" s="9">
        <v>0</v>
      </c>
      <c r="B126" s="9">
        <v>1</v>
      </c>
      <c r="C126" s="9">
        <v>8</v>
      </c>
      <c r="D126" s="9">
        <v>31</v>
      </c>
      <c r="E126" s="9">
        <v>8</v>
      </c>
      <c r="F126" s="9">
        <v>0.16</v>
      </c>
      <c r="G126" s="9">
        <v>2.3199999999999998</v>
      </c>
      <c r="H126" s="7" t="s">
        <v>49</v>
      </c>
    </row>
    <row r="127" spans="1:8" x14ac:dyDescent="0.2">
      <c r="A127" s="9">
        <v>0</v>
      </c>
      <c r="B127" s="9">
        <v>8</v>
      </c>
      <c r="C127" s="9">
        <v>19</v>
      </c>
      <c r="D127" s="9">
        <v>57</v>
      </c>
      <c r="E127" s="9">
        <v>5.6</v>
      </c>
      <c r="F127" s="9">
        <v>0.88</v>
      </c>
      <c r="G127" s="9">
        <v>2.31</v>
      </c>
      <c r="H127" s="7" t="s">
        <v>49</v>
      </c>
    </row>
    <row r="128" spans="1:8" x14ac:dyDescent="0.2">
      <c r="A128" s="9">
        <v>0</v>
      </c>
      <c r="B128" s="9">
        <v>10</v>
      </c>
      <c r="C128" s="9">
        <v>11</v>
      </c>
      <c r="D128" s="9">
        <v>42</v>
      </c>
      <c r="E128" s="9">
        <v>9.1</v>
      </c>
      <c r="F128" s="9">
        <v>1.54</v>
      </c>
      <c r="G128" s="9">
        <v>2.2799999999999998</v>
      </c>
      <c r="H128" s="7" t="s">
        <v>49</v>
      </c>
    </row>
    <row r="129" spans="1:8" x14ac:dyDescent="0.2">
      <c r="A129" s="9">
        <v>0</v>
      </c>
      <c r="B129" s="9">
        <v>18</v>
      </c>
      <c r="C129" s="9">
        <v>9</v>
      </c>
      <c r="D129" s="9">
        <v>67</v>
      </c>
      <c r="E129" s="9">
        <v>11.2</v>
      </c>
      <c r="F129" s="9">
        <v>5.25</v>
      </c>
      <c r="G129" s="9">
        <v>2.2599999999999998</v>
      </c>
      <c r="H129" s="7" t="s">
        <v>49</v>
      </c>
    </row>
    <row r="130" spans="1:8" x14ac:dyDescent="0.2">
      <c r="A130" s="9">
        <v>0</v>
      </c>
      <c r="B130" s="9">
        <v>14</v>
      </c>
      <c r="C130" s="9">
        <v>25</v>
      </c>
      <c r="D130" s="9">
        <v>35</v>
      </c>
      <c r="E130" s="9">
        <v>10.199999999999999</v>
      </c>
      <c r="F130" s="9">
        <v>1.35</v>
      </c>
      <c r="G130" s="9">
        <v>2.2200000000000002</v>
      </c>
      <c r="H130" s="7" t="s">
        <v>49</v>
      </c>
    </row>
    <row r="131" spans="1:8" x14ac:dyDescent="0.2">
      <c r="A131" s="9">
        <v>0</v>
      </c>
      <c r="B131" s="9">
        <v>4</v>
      </c>
      <c r="C131" s="9">
        <v>3</v>
      </c>
      <c r="D131" s="9">
        <v>14</v>
      </c>
      <c r="E131" s="9">
        <v>17.5</v>
      </c>
      <c r="F131" s="9">
        <v>0.23</v>
      </c>
      <c r="G131" s="9">
        <v>2.2200000000000002</v>
      </c>
      <c r="H131" s="7" t="s">
        <v>49</v>
      </c>
    </row>
    <row r="132" spans="1:8" x14ac:dyDescent="0.2">
      <c r="A132" s="9">
        <v>0</v>
      </c>
      <c r="B132" s="9">
        <v>12</v>
      </c>
      <c r="C132" s="9">
        <v>19</v>
      </c>
      <c r="D132" s="9">
        <v>37</v>
      </c>
      <c r="E132" s="9">
        <v>9.5</v>
      </c>
      <c r="F132" s="9">
        <v>1.34</v>
      </c>
      <c r="G132" s="9">
        <v>2.17</v>
      </c>
      <c r="H132" s="7" t="s">
        <v>49</v>
      </c>
    </row>
    <row r="133" spans="1:8" x14ac:dyDescent="0.2">
      <c r="A133" s="9">
        <v>0</v>
      </c>
      <c r="B133" s="9">
        <v>15</v>
      </c>
      <c r="C133" s="9">
        <v>14</v>
      </c>
      <c r="D133" s="9">
        <v>55</v>
      </c>
      <c r="E133" s="9">
        <v>5.5</v>
      </c>
      <c r="F133" s="9">
        <v>0.86</v>
      </c>
      <c r="G133" s="9">
        <v>2.17</v>
      </c>
      <c r="H133" s="7" t="s">
        <v>49</v>
      </c>
    </row>
    <row r="134" spans="1:8" x14ac:dyDescent="0.2">
      <c r="A134" s="9">
        <v>0</v>
      </c>
      <c r="B134" s="9">
        <v>5</v>
      </c>
      <c r="C134" s="9">
        <v>5</v>
      </c>
      <c r="D134" s="9">
        <v>25</v>
      </c>
      <c r="E134" s="9">
        <v>10.199999999999999</v>
      </c>
      <c r="F134" s="9">
        <v>0.39</v>
      </c>
      <c r="G134" s="9">
        <v>2.16</v>
      </c>
      <c r="H134" s="7" t="s">
        <v>49</v>
      </c>
    </row>
    <row r="135" spans="1:8" x14ac:dyDescent="0.2">
      <c r="A135" s="9">
        <v>0</v>
      </c>
      <c r="B135" s="9">
        <v>0</v>
      </c>
      <c r="C135" s="9">
        <v>13</v>
      </c>
      <c r="D135" s="9">
        <v>25</v>
      </c>
      <c r="E135" s="9">
        <v>19.7</v>
      </c>
      <c r="F135" s="9">
        <v>2.78</v>
      </c>
      <c r="G135" s="9">
        <v>2.15</v>
      </c>
      <c r="H135" s="7" t="s">
        <v>49</v>
      </c>
    </row>
    <row r="136" spans="1:8" x14ac:dyDescent="0.2">
      <c r="A136" s="9">
        <v>0</v>
      </c>
      <c r="B136" s="9">
        <v>1</v>
      </c>
      <c r="C136" s="9">
        <v>6</v>
      </c>
      <c r="D136" s="9">
        <v>29</v>
      </c>
      <c r="E136" s="9">
        <v>11.1</v>
      </c>
      <c r="F136" s="9">
        <v>1.07</v>
      </c>
      <c r="G136" s="9">
        <v>2.15</v>
      </c>
      <c r="H136" s="7" t="s">
        <v>49</v>
      </c>
    </row>
    <row r="137" spans="1:8" x14ac:dyDescent="0.2">
      <c r="A137" s="9">
        <v>1</v>
      </c>
      <c r="B137" s="9">
        <v>0</v>
      </c>
      <c r="C137" s="9">
        <v>2</v>
      </c>
      <c r="D137" s="9">
        <v>21</v>
      </c>
      <c r="E137" s="9">
        <v>12.5</v>
      </c>
      <c r="F137" s="9">
        <v>0.49</v>
      </c>
      <c r="G137" s="9">
        <v>2.14</v>
      </c>
      <c r="H137" s="7" t="s">
        <v>49</v>
      </c>
    </row>
    <row r="138" spans="1:8" x14ac:dyDescent="0.2">
      <c r="A138" s="9">
        <v>0</v>
      </c>
      <c r="B138" s="9">
        <v>10</v>
      </c>
      <c r="C138" s="9">
        <v>4</v>
      </c>
      <c r="D138" s="9">
        <v>22</v>
      </c>
      <c r="E138" s="9">
        <v>16.100000000000001</v>
      </c>
      <c r="F138" s="9">
        <v>1.41</v>
      </c>
      <c r="G138" s="9">
        <v>2.13</v>
      </c>
      <c r="H138" s="7" t="s">
        <v>49</v>
      </c>
    </row>
    <row r="139" spans="1:8" x14ac:dyDescent="0.2">
      <c r="A139" s="9">
        <v>0</v>
      </c>
      <c r="B139" s="9">
        <v>11</v>
      </c>
      <c r="C139" s="9">
        <v>8</v>
      </c>
      <c r="D139" s="9">
        <v>25</v>
      </c>
      <c r="E139" s="9">
        <v>9.1</v>
      </c>
      <c r="F139" s="9">
        <v>0.14000000000000001</v>
      </c>
      <c r="G139" s="9">
        <v>2.13</v>
      </c>
      <c r="H139" s="7" t="s">
        <v>49</v>
      </c>
    </row>
    <row r="140" spans="1:8" x14ac:dyDescent="0.2">
      <c r="A140" s="9">
        <v>1</v>
      </c>
      <c r="B140" s="9">
        <v>4</v>
      </c>
      <c r="C140" s="9">
        <v>2</v>
      </c>
      <c r="D140" s="9">
        <v>24</v>
      </c>
      <c r="E140" s="9">
        <v>15.6</v>
      </c>
      <c r="F140" s="9">
        <v>1.64</v>
      </c>
      <c r="G140" s="9">
        <v>2.11</v>
      </c>
      <c r="H140" s="7" t="s">
        <v>49</v>
      </c>
    </row>
    <row r="141" spans="1:8" x14ac:dyDescent="0.2">
      <c r="A141" s="9">
        <v>0</v>
      </c>
      <c r="B141" s="9">
        <v>3</v>
      </c>
      <c r="C141" s="9">
        <v>2</v>
      </c>
      <c r="D141" s="9">
        <v>28</v>
      </c>
      <c r="E141" s="9">
        <v>9.5</v>
      </c>
      <c r="F141" s="9">
        <v>0.55000000000000004</v>
      </c>
      <c r="G141" s="9">
        <v>2.11</v>
      </c>
      <c r="H141" s="7" t="s">
        <v>49</v>
      </c>
    </row>
    <row r="142" spans="1:8" x14ac:dyDescent="0.2">
      <c r="A142" s="9">
        <v>0</v>
      </c>
      <c r="B142" s="9">
        <v>11</v>
      </c>
      <c r="C142" s="9">
        <v>1</v>
      </c>
      <c r="D142" s="9">
        <v>33</v>
      </c>
      <c r="E142" s="9">
        <v>8.4</v>
      </c>
      <c r="F142" s="9">
        <v>0.68</v>
      </c>
      <c r="G142" s="9">
        <v>2.09</v>
      </c>
      <c r="H142" s="7" t="s">
        <v>49</v>
      </c>
    </row>
    <row r="143" spans="1:8" x14ac:dyDescent="0.2">
      <c r="A143" s="9">
        <v>1</v>
      </c>
      <c r="B143" s="9">
        <v>0</v>
      </c>
      <c r="C143" s="9">
        <v>2</v>
      </c>
      <c r="D143" s="9">
        <v>15</v>
      </c>
      <c r="E143" s="9">
        <v>16.100000000000001</v>
      </c>
      <c r="F143" s="9">
        <v>0.32</v>
      </c>
      <c r="G143" s="9">
        <v>2.09</v>
      </c>
      <c r="H143" s="7" t="s">
        <v>49</v>
      </c>
    </row>
    <row r="144" spans="1:8" x14ac:dyDescent="0.2">
      <c r="A144" s="9">
        <v>0</v>
      </c>
      <c r="B144" s="9">
        <v>15</v>
      </c>
      <c r="C144" s="9">
        <v>2</v>
      </c>
      <c r="D144" s="9">
        <v>60</v>
      </c>
      <c r="E144" s="9">
        <v>4.8</v>
      </c>
      <c r="F144" s="9">
        <v>0.8</v>
      </c>
      <c r="G144" s="9">
        <v>2.08</v>
      </c>
      <c r="H144" s="7" t="s">
        <v>49</v>
      </c>
    </row>
    <row r="145" spans="1:8" x14ac:dyDescent="0.2">
      <c r="A145" s="9">
        <v>0</v>
      </c>
      <c r="B145" s="9">
        <v>8</v>
      </c>
      <c r="C145" s="9">
        <v>6</v>
      </c>
      <c r="D145" s="9">
        <v>78</v>
      </c>
      <c r="E145" s="9">
        <v>5.4</v>
      </c>
      <c r="F145" s="9">
        <v>2.16</v>
      </c>
      <c r="G145" s="9">
        <v>2.06</v>
      </c>
      <c r="H145" s="7" t="s">
        <v>49</v>
      </c>
    </row>
    <row r="146" spans="1:8" x14ac:dyDescent="0.2">
      <c r="A146" s="9">
        <v>0</v>
      </c>
      <c r="B146" s="9">
        <v>1</v>
      </c>
      <c r="C146" s="9">
        <v>7</v>
      </c>
      <c r="D146" s="9">
        <v>25</v>
      </c>
      <c r="E146" s="9">
        <v>10.4</v>
      </c>
      <c r="F146" s="9">
        <v>0.56999999999999995</v>
      </c>
      <c r="G146" s="9">
        <v>2.0299999999999998</v>
      </c>
      <c r="H146" s="7" t="s">
        <v>49</v>
      </c>
    </row>
    <row r="147" spans="1:8" x14ac:dyDescent="0.2">
      <c r="A147" s="9">
        <v>0</v>
      </c>
      <c r="B147" s="9">
        <v>7</v>
      </c>
      <c r="C147" s="9">
        <v>2</v>
      </c>
      <c r="D147" s="9">
        <v>34</v>
      </c>
      <c r="E147" s="9">
        <v>7</v>
      </c>
      <c r="F147" s="9">
        <v>0.36</v>
      </c>
      <c r="G147" s="9">
        <v>2.02</v>
      </c>
      <c r="H147" s="7" t="s">
        <v>49</v>
      </c>
    </row>
    <row r="148" spans="1:8" x14ac:dyDescent="0.2">
      <c r="A148" s="9">
        <v>0</v>
      </c>
      <c r="B148" s="9">
        <v>5</v>
      </c>
      <c r="C148" s="9">
        <v>5</v>
      </c>
      <c r="D148" s="9">
        <v>22</v>
      </c>
      <c r="E148" s="9">
        <v>10.9</v>
      </c>
      <c r="F148" s="9">
        <v>0.4</v>
      </c>
      <c r="G148" s="9">
        <v>2</v>
      </c>
      <c r="H148" s="7" t="s">
        <v>49</v>
      </c>
    </row>
    <row r="149" spans="1:8" x14ac:dyDescent="0.2">
      <c r="A149" s="9">
        <v>0</v>
      </c>
      <c r="B149" s="9">
        <v>1</v>
      </c>
      <c r="C149" s="9">
        <v>12</v>
      </c>
      <c r="D149" s="9">
        <v>20</v>
      </c>
      <c r="E149" s="9">
        <v>14</v>
      </c>
      <c r="F149" s="9">
        <v>0.81</v>
      </c>
      <c r="G149" s="9">
        <v>1.99</v>
      </c>
      <c r="H149" s="7" t="s">
        <v>49</v>
      </c>
    </row>
    <row r="150" spans="1:8" x14ac:dyDescent="0.2">
      <c r="A150" s="9">
        <v>0</v>
      </c>
      <c r="B150" s="9">
        <v>11</v>
      </c>
      <c r="C150" s="9">
        <v>4</v>
      </c>
      <c r="D150" s="9">
        <v>75</v>
      </c>
      <c r="E150" s="9">
        <v>3.5</v>
      </c>
      <c r="F150" s="9">
        <v>0.63</v>
      </c>
      <c r="G150" s="9">
        <v>1.99</v>
      </c>
      <c r="H150" s="7" t="s">
        <v>49</v>
      </c>
    </row>
    <row r="151" spans="1:8" x14ac:dyDescent="0.2">
      <c r="A151" s="9">
        <v>1</v>
      </c>
      <c r="B151" s="9">
        <v>2</v>
      </c>
      <c r="C151" s="9">
        <v>0</v>
      </c>
      <c r="D151" s="9">
        <v>15</v>
      </c>
      <c r="E151" s="9">
        <v>26.3</v>
      </c>
      <c r="F151" s="9">
        <v>1.96</v>
      </c>
      <c r="G151" s="9">
        <v>1.98</v>
      </c>
      <c r="H151" s="7" t="s">
        <v>49</v>
      </c>
    </row>
    <row r="152" spans="1:8" x14ac:dyDescent="0.2">
      <c r="A152" s="9">
        <v>0</v>
      </c>
      <c r="B152" s="9">
        <v>4</v>
      </c>
      <c r="C152" s="9">
        <v>0</v>
      </c>
      <c r="D152" s="9">
        <v>23</v>
      </c>
      <c r="E152" s="9">
        <v>12.4</v>
      </c>
      <c r="F152" s="9">
        <v>0.87</v>
      </c>
      <c r="G152" s="9">
        <v>1.98</v>
      </c>
      <c r="H152" s="7" t="s">
        <v>49</v>
      </c>
    </row>
    <row r="153" spans="1:8" x14ac:dyDescent="0.2">
      <c r="A153" s="9">
        <v>0</v>
      </c>
      <c r="B153" s="9">
        <v>6</v>
      </c>
      <c r="C153" s="9">
        <v>7</v>
      </c>
      <c r="D153" s="9">
        <v>38</v>
      </c>
      <c r="E153" s="9">
        <v>7.2</v>
      </c>
      <c r="F153" s="9">
        <v>0.77</v>
      </c>
      <c r="G153" s="9">
        <v>1.96</v>
      </c>
      <c r="H153" s="7" t="s">
        <v>49</v>
      </c>
    </row>
    <row r="154" spans="1:8" x14ac:dyDescent="0.2">
      <c r="A154" s="9">
        <v>0</v>
      </c>
      <c r="B154" s="9">
        <v>5</v>
      </c>
      <c r="C154" s="9">
        <v>2</v>
      </c>
      <c r="D154" s="9">
        <v>37</v>
      </c>
      <c r="E154" s="9">
        <v>8.3000000000000007</v>
      </c>
      <c r="F154" s="9">
        <v>1.1200000000000001</v>
      </c>
      <c r="G154" s="9">
        <v>1.95</v>
      </c>
      <c r="H154" s="7" t="s">
        <v>49</v>
      </c>
    </row>
    <row r="155" spans="1:8" x14ac:dyDescent="0.2">
      <c r="A155" s="9">
        <v>0</v>
      </c>
      <c r="B155" s="9">
        <v>22</v>
      </c>
      <c r="C155" s="9">
        <v>9</v>
      </c>
      <c r="D155" s="9">
        <v>113</v>
      </c>
      <c r="E155" s="9">
        <v>2.6</v>
      </c>
      <c r="F155" s="9">
        <v>0.99</v>
      </c>
      <c r="G155" s="9">
        <v>1.95</v>
      </c>
      <c r="H155" s="7" t="s">
        <v>49</v>
      </c>
    </row>
    <row r="156" spans="1:8" x14ac:dyDescent="0.2">
      <c r="A156" s="9">
        <v>0</v>
      </c>
      <c r="B156" s="9">
        <v>4</v>
      </c>
      <c r="C156" s="9">
        <v>15</v>
      </c>
      <c r="D156" s="9">
        <v>33</v>
      </c>
      <c r="E156" s="9">
        <v>7</v>
      </c>
      <c r="F156" s="9">
        <v>0.4</v>
      </c>
      <c r="G156" s="9">
        <v>1.91</v>
      </c>
      <c r="H156" s="7" t="s">
        <v>49</v>
      </c>
    </row>
    <row r="157" spans="1:8" x14ac:dyDescent="0.2">
      <c r="A157" s="9">
        <v>0</v>
      </c>
      <c r="B157" s="9">
        <v>2</v>
      </c>
      <c r="C157" s="9">
        <v>22</v>
      </c>
      <c r="D157" s="9">
        <v>30</v>
      </c>
      <c r="E157" s="9">
        <v>6.7</v>
      </c>
      <c r="F157" s="9">
        <v>0.11</v>
      </c>
      <c r="G157" s="9">
        <v>1.9</v>
      </c>
      <c r="H157" s="7" t="s">
        <v>49</v>
      </c>
    </row>
    <row r="158" spans="1:8" x14ac:dyDescent="0.2">
      <c r="A158" s="9">
        <v>0</v>
      </c>
      <c r="B158" s="9">
        <v>10</v>
      </c>
      <c r="C158" s="9">
        <v>14</v>
      </c>
      <c r="D158" s="9">
        <v>52</v>
      </c>
      <c r="E158" s="9">
        <v>5.4</v>
      </c>
      <c r="F158" s="9">
        <v>0.93</v>
      </c>
      <c r="G158" s="9">
        <v>1.88</v>
      </c>
      <c r="H158" s="7" t="s">
        <v>49</v>
      </c>
    </row>
    <row r="159" spans="1:8" x14ac:dyDescent="0.2">
      <c r="A159" s="9">
        <v>0</v>
      </c>
      <c r="B159" s="9">
        <v>6</v>
      </c>
      <c r="C159" s="9">
        <v>9</v>
      </c>
      <c r="D159" s="9">
        <v>22</v>
      </c>
      <c r="E159" s="9">
        <v>11.5</v>
      </c>
      <c r="F159" s="9">
        <v>0.65</v>
      </c>
      <c r="G159" s="9">
        <v>1.88</v>
      </c>
      <c r="H159" s="7" t="s">
        <v>49</v>
      </c>
    </row>
    <row r="160" spans="1:8" x14ac:dyDescent="0.2">
      <c r="A160" s="9">
        <v>0</v>
      </c>
      <c r="B160" s="9">
        <v>5</v>
      </c>
      <c r="C160" s="9">
        <v>1</v>
      </c>
      <c r="D160" s="9">
        <v>25</v>
      </c>
      <c r="E160" s="9">
        <v>9</v>
      </c>
      <c r="F160" s="9">
        <v>0.37</v>
      </c>
      <c r="G160" s="9">
        <v>1.88</v>
      </c>
      <c r="H160" s="7" t="s">
        <v>49</v>
      </c>
    </row>
    <row r="161" spans="1:8" x14ac:dyDescent="0.2">
      <c r="A161" s="9">
        <v>0</v>
      </c>
      <c r="B161" s="9">
        <v>1</v>
      </c>
      <c r="C161" s="9">
        <v>26</v>
      </c>
      <c r="D161" s="9">
        <v>26</v>
      </c>
      <c r="E161" s="9">
        <v>14.3</v>
      </c>
      <c r="F161" s="9">
        <v>1.85</v>
      </c>
      <c r="G161" s="9">
        <v>1.87</v>
      </c>
      <c r="H161" s="7" t="s">
        <v>49</v>
      </c>
    </row>
    <row r="162" spans="1:8" x14ac:dyDescent="0.2">
      <c r="A162" s="9">
        <v>1</v>
      </c>
      <c r="B162" s="9">
        <v>2</v>
      </c>
      <c r="C162" s="9">
        <v>2</v>
      </c>
      <c r="D162" s="9">
        <v>22</v>
      </c>
      <c r="E162" s="9">
        <v>16.399999999999999</v>
      </c>
      <c r="F162" s="9">
        <v>1.74</v>
      </c>
      <c r="G162" s="9">
        <v>1.87</v>
      </c>
      <c r="H162" s="7" t="s">
        <v>49</v>
      </c>
    </row>
    <row r="163" spans="1:8" x14ac:dyDescent="0.2">
      <c r="A163" s="9">
        <v>1</v>
      </c>
      <c r="B163" s="9">
        <v>4</v>
      </c>
      <c r="C163" s="9">
        <v>3</v>
      </c>
      <c r="D163" s="9">
        <v>22</v>
      </c>
      <c r="E163" s="9">
        <v>13.2</v>
      </c>
      <c r="F163" s="9">
        <v>1.0900000000000001</v>
      </c>
      <c r="G163" s="9">
        <v>1.82</v>
      </c>
      <c r="H163" s="7" t="s">
        <v>49</v>
      </c>
    </row>
    <row r="164" spans="1:8" x14ac:dyDescent="0.2">
      <c r="A164" s="9">
        <v>0</v>
      </c>
      <c r="B164" s="9">
        <v>17</v>
      </c>
      <c r="C164" s="9">
        <v>21</v>
      </c>
      <c r="D164" s="9">
        <v>43</v>
      </c>
      <c r="E164" s="9">
        <v>5.6</v>
      </c>
      <c r="F164" s="9">
        <v>0.59</v>
      </c>
      <c r="G164" s="9">
        <v>1.82</v>
      </c>
      <c r="H164" s="7" t="s">
        <v>49</v>
      </c>
    </row>
    <row r="165" spans="1:8" x14ac:dyDescent="0.2">
      <c r="A165" s="9">
        <v>0</v>
      </c>
      <c r="B165" s="9">
        <v>6</v>
      </c>
      <c r="C165" s="9">
        <v>19</v>
      </c>
      <c r="D165" s="9">
        <v>31</v>
      </c>
      <c r="E165" s="9">
        <v>12.2</v>
      </c>
      <c r="F165" s="9">
        <v>1.99</v>
      </c>
      <c r="G165" s="9">
        <v>1.8</v>
      </c>
      <c r="H165" s="7" t="s">
        <v>49</v>
      </c>
    </row>
    <row r="166" spans="1:8" x14ac:dyDescent="0.2">
      <c r="A166" s="9">
        <v>0</v>
      </c>
      <c r="B166" s="9">
        <v>8</v>
      </c>
      <c r="C166" s="9">
        <v>4</v>
      </c>
      <c r="D166" s="9">
        <v>44</v>
      </c>
      <c r="E166" s="9">
        <v>8</v>
      </c>
      <c r="F166" s="9">
        <v>1.72</v>
      </c>
      <c r="G166" s="9">
        <v>1.8</v>
      </c>
      <c r="H166" s="7" t="s">
        <v>49</v>
      </c>
    </row>
    <row r="167" spans="1:8" x14ac:dyDescent="0.2">
      <c r="A167" s="9">
        <v>1</v>
      </c>
      <c r="B167" s="9">
        <v>0</v>
      </c>
      <c r="C167" s="9">
        <v>8</v>
      </c>
      <c r="D167" s="9">
        <v>22</v>
      </c>
      <c r="E167" s="9">
        <v>12.9</v>
      </c>
      <c r="F167" s="9">
        <v>1.04</v>
      </c>
      <c r="G167" s="9">
        <v>1.8</v>
      </c>
      <c r="H167" s="7" t="s">
        <v>49</v>
      </c>
    </row>
    <row r="168" spans="1:8" x14ac:dyDescent="0.2">
      <c r="A168" s="9">
        <v>0</v>
      </c>
      <c r="B168" s="9">
        <v>6</v>
      </c>
      <c r="C168" s="9">
        <v>4</v>
      </c>
      <c r="D168" s="9">
        <v>26</v>
      </c>
      <c r="E168" s="9">
        <v>10.4</v>
      </c>
      <c r="F168" s="9">
        <v>0.93</v>
      </c>
      <c r="G168" s="9">
        <v>1.77</v>
      </c>
      <c r="H168" s="7" t="s">
        <v>49</v>
      </c>
    </row>
    <row r="169" spans="1:8" x14ac:dyDescent="0.2">
      <c r="A169" s="9">
        <v>0</v>
      </c>
      <c r="B169" s="9">
        <v>8</v>
      </c>
      <c r="C169" s="9">
        <v>7</v>
      </c>
      <c r="D169" s="9">
        <v>18</v>
      </c>
      <c r="E169" s="9">
        <v>11.9</v>
      </c>
      <c r="F169" s="9">
        <v>0.4</v>
      </c>
      <c r="G169" s="9">
        <v>1.74</v>
      </c>
      <c r="H169" s="7" t="s">
        <v>49</v>
      </c>
    </row>
    <row r="170" spans="1:8" x14ac:dyDescent="0.2">
      <c r="A170" s="9">
        <v>0</v>
      </c>
      <c r="B170" s="9">
        <v>0</v>
      </c>
      <c r="C170" s="9">
        <v>11</v>
      </c>
      <c r="D170" s="9">
        <v>17</v>
      </c>
      <c r="E170" s="9">
        <v>12</v>
      </c>
      <c r="F170" s="9">
        <v>0.3</v>
      </c>
      <c r="G170" s="9">
        <v>1.74</v>
      </c>
      <c r="H170" s="7" t="s">
        <v>49</v>
      </c>
    </row>
    <row r="171" spans="1:8" x14ac:dyDescent="0.2">
      <c r="A171" s="9">
        <v>1</v>
      </c>
      <c r="B171" s="9">
        <v>1</v>
      </c>
      <c r="C171" s="9">
        <v>15</v>
      </c>
      <c r="D171" s="9">
        <v>21</v>
      </c>
      <c r="E171" s="9">
        <v>14.8</v>
      </c>
      <c r="F171" s="9">
        <v>1.38</v>
      </c>
      <c r="G171" s="9">
        <v>1.73</v>
      </c>
      <c r="H171" s="7" t="s">
        <v>49</v>
      </c>
    </row>
    <row r="172" spans="1:8" x14ac:dyDescent="0.2">
      <c r="A172" s="9">
        <v>0</v>
      </c>
      <c r="B172" s="9">
        <v>7</v>
      </c>
      <c r="C172" s="9">
        <v>4</v>
      </c>
      <c r="D172" s="9">
        <v>26</v>
      </c>
      <c r="E172" s="9">
        <v>9.1</v>
      </c>
      <c r="F172" s="9">
        <v>0.64</v>
      </c>
      <c r="G172" s="9">
        <v>1.72</v>
      </c>
      <c r="H172" s="7" t="s">
        <v>49</v>
      </c>
    </row>
    <row r="173" spans="1:8" x14ac:dyDescent="0.2">
      <c r="A173" s="9">
        <v>0</v>
      </c>
      <c r="B173" s="9">
        <v>7</v>
      </c>
      <c r="C173" s="9">
        <v>2</v>
      </c>
      <c r="D173" s="9">
        <v>31</v>
      </c>
      <c r="E173" s="9">
        <v>6.6</v>
      </c>
      <c r="F173" s="9">
        <v>0.34</v>
      </c>
      <c r="G173" s="9">
        <v>1.71</v>
      </c>
      <c r="H173" s="7" t="s">
        <v>49</v>
      </c>
    </row>
    <row r="174" spans="1:8" x14ac:dyDescent="0.2">
      <c r="A174" s="9">
        <v>1</v>
      </c>
      <c r="B174" s="9">
        <v>2</v>
      </c>
      <c r="C174" s="9">
        <v>6</v>
      </c>
      <c r="D174" s="9">
        <v>24</v>
      </c>
      <c r="E174" s="9">
        <v>13.6</v>
      </c>
      <c r="F174" s="9">
        <v>1.58</v>
      </c>
      <c r="G174" s="9">
        <v>1.69</v>
      </c>
      <c r="H174" s="7" t="s">
        <v>49</v>
      </c>
    </row>
    <row r="175" spans="1:8" x14ac:dyDescent="0.2">
      <c r="A175" s="9">
        <v>1</v>
      </c>
      <c r="B175" s="9">
        <v>1</v>
      </c>
      <c r="C175" s="9">
        <v>0</v>
      </c>
      <c r="D175" s="9">
        <v>20</v>
      </c>
      <c r="E175" s="9">
        <v>10.3</v>
      </c>
      <c r="F175" s="9">
        <v>0.38</v>
      </c>
      <c r="G175" s="9">
        <v>1.68</v>
      </c>
      <c r="H175" s="7" t="s">
        <v>49</v>
      </c>
    </row>
    <row r="176" spans="1:8" x14ac:dyDescent="0.2">
      <c r="A176" s="9">
        <v>0</v>
      </c>
      <c r="B176" s="9">
        <v>11</v>
      </c>
      <c r="C176" s="9">
        <v>2</v>
      </c>
      <c r="D176" s="9">
        <v>53</v>
      </c>
      <c r="E176" s="9">
        <v>3.3</v>
      </c>
      <c r="F176" s="9">
        <v>0.09</v>
      </c>
      <c r="G176" s="9">
        <v>1.66</v>
      </c>
      <c r="H176" s="7" t="s">
        <v>49</v>
      </c>
    </row>
    <row r="177" spans="1:8" x14ac:dyDescent="0.2">
      <c r="A177" s="9">
        <v>1</v>
      </c>
      <c r="B177" s="9">
        <v>13</v>
      </c>
      <c r="C177" s="9">
        <v>1</v>
      </c>
      <c r="D177" s="9">
        <v>42</v>
      </c>
      <c r="E177" s="9">
        <v>7.4</v>
      </c>
      <c r="F177" s="9">
        <v>1.46</v>
      </c>
      <c r="G177" s="9">
        <v>1.65</v>
      </c>
      <c r="H177" s="7" t="s">
        <v>49</v>
      </c>
    </row>
    <row r="178" spans="1:8" x14ac:dyDescent="0.2">
      <c r="A178" s="9">
        <v>0</v>
      </c>
      <c r="B178" s="9">
        <v>17</v>
      </c>
      <c r="C178" s="9">
        <v>6</v>
      </c>
      <c r="D178" s="9">
        <v>54</v>
      </c>
      <c r="E178" s="9">
        <v>4.4000000000000004</v>
      </c>
      <c r="F178" s="9">
        <v>0.73</v>
      </c>
      <c r="G178" s="9">
        <v>1.65</v>
      </c>
      <c r="H178" s="7" t="s">
        <v>49</v>
      </c>
    </row>
    <row r="179" spans="1:8" x14ac:dyDescent="0.2">
      <c r="A179" s="9">
        <v>0</v>
      </c>
      <c r="B179" s="9">
        <v>5</v>
      </c>
      <c r="C179" s="9">
        <v>3</v>
      </c>
      <c r="D179" s="9">
        <v>33</v>
      </c>
      <c r="E179" s="9">
        <v>7.3</v>
      </c>
      <c r="F179" s="9">
        <v>0.78</v>
      </c>
      <c r="G179" s="9">
        <v>1.63</v>
      </c>
      <c r="H179" s="7" t="s">
        <v>49</v>
      </c>
    </row>
    <row r="180" spans="1:8" x14ac:dyDescent="0.2">
      <c r="A180" s="9">
        <v>0</v>
      </c>
      <c r="B180" s="9">
        <v>9</v>
      </c>
      <c r="C180" s="9">
        <v>16</v>
      </c>
      <c r="D180" s="9">
        <v>30</v>
      </c>
      <c r="E180" s="9">
        <v>7.6</v>
      </c>
      <c r="F180" s="9">
        <v>0.65</v>
      </c>
      <c r="G180" s="9">
        <v>1.63</v>
      </c>
      <c r="H180" s="7" t="s">
        <v>49</v>
      </c>
    </row>
    <row r="181" spans="1:8" x14ac:dyDescent="0.2">
      <c r="A181" s="9">
        <v>1</v>
      </c>
      <c r="B181" s="9">
        <v>0</v>
      </c>
      <c r="C181" s="9">
        <v>2</v>
      </c>
      <c r="D181" s="9">
        <v>21</v>
      </c>
      <c r="E181" s="9">
        <v>11.4</v>
      </c>
      <c r="F181" s="9">
        <v>0.78</v>
      </c>
      <c r="G181" s="9">
        <v>1.62</v>
      </c>
      <c r="H181" s="7" t="s">
        <v>49</v>
      </c>
    </row>
    <row r="182" spans="1:8" x14ac:dyDescent="0.2">
      <c r="A182" s="9">
        <v>0</v>
      </c>
      <c r="B182" s="9">
        <v>7</v>
      </c>
      <c r="C182" s="9">
        <v>9</v>
      </c>
      <c r="D182" s="9">
        <v>22</v>
      </c>
      <c r="E182" s="9">
        <v>9.6999999999999993</v>
      </c>
      <c r="F182" s="9">
        <v>0.55000000000000004</v>
      </c>
      <c r="G182" s="9">
        <v>1.58</v>
      </c>
      <c r="H182" s="7" t="s">
        <v>49</v>
      </c>
    </row>
    <row r="183" spans="1:8" x14ac:dyDescent="0.2">
      <c r="A183" s="9">
        <v>0</v>
      </c>
      <c r="B183" s="9">
        <v>1</v>
      </c>
      <c r="C183" s="9">
        <v>2</v>
      </c>
      <c r="D183" s="9">
        <v>42</v>
      </c>
      <c r="E183" s="9">
        <v>5.7</v>
      </c>
      <c r="F183" s="9">
        <v>0.84</v>
      </c>
      <c r="G183" s="9">
        <v>1.56</v>
      </c>
      <c r="H183" s="7" t="s">
        <v>49</v>
      </c>
    </row>
    <row r="184" spans="1:8" x14ac:dyDescent="0.2">
      <c r="A184" s="9">
        <v>1</v>
      </c>
      <c r="B184" s="9">
        <v>4</v>
      </c>
      <c r="C184" s="9">
        <v>6</v>
      </c>
      <c r="D184" s="9">
        <v>31</v>
      </c>
      <c r="E184" s="9">
        <v>9.3000000000000007</v>
      </c>
      <c r="F184" s="9">
        <v>1.33</v>
      </c>
      <c r="G184" s="9">
        <v>1.55</v>
      </c>
      <c r="H184" s="7" t="s">
        <v>49</v>
      </c>
    </row>
    <row r="185" spans="1:8" x14ac:dyDescent="0.2">
      <c r="A185" s="9">
        <v>1</v>
      </c>
      <c r="B185" s="9">
        <v>0</v>
      </c>
      <c r="C185" s="9">
        <v>2</v>
      </c>
      <c r="D185" s="9">
        <v>16</v>
      </c>
      <c r="E185" s="9">
        <v>16</v>
      </c>
      <c r="F185" s="9">
        <v>1.01</v>
      </c>
      <c r="G185" s="9">
        <v>1.55</v>
      </c>
      <c r="H185" s="7" t="s">
        <v>49</v>
      </c>
    </row>
    <row r="186" spans="1:8" x14ac:dyDescent="0.2">
      <c r="A186" s="9">
        <v>0</v>
      </c>
      <c r="B186" s="9">
        <v>6</v>
      </c>
      <c r="C186" s="9">
        <v>0</v>
      </c>
      <c r="D186" s="9">
        <v>22</v>
      </c>
      <c r="E186" s="9">
        <v>10.3</v>
      </c>
      <c r="F186" s="9">
        <v>0.72</v>
      </c>
      <c r="G186" s="9">
        <v>1.55</v>
      </c>
      <c r="H186" s="7" t="s">
        <v>49</v>
      </c>
    </row>
    <row r="187" spans="1:8" x14ac:dyDescent="0.2">
      <c r="A187" s="9">
        <v>0</v>
      </c>
      <c r="B187" s="9">
        <v>23</v>
      </c>
      <c r="C187" s="9">
        <v>5</v>
      </c>
      <c r="D187" s="9">
        <v>50</v>
      </c>
      <c r="E187" s="9">
        <v>4.2</v>
      </c>
      <c r="F187" s="9">
        <v>0.56000000000000005</v>
      </c>
      <c r="G187" s="9">
        <v>1.54</v>
      </c>
      <c r="H187" s="7" t="s">
        <v>49</v>
      </c>
    </row>
    <row r="188" spans="1:8" x14ac:dyDescent="0.2">
      <c r="A188" s="9">
        <v>0</v>
      </c>
      <c r="B188" s="9">
        <v>13</v>
      </c>
      <c r="C188" s="9">
        <v>5</v>
      </c>
      <c r="D188" s="9">
        <v>24</v>
      </c>
      <c r="E188" s="9">
        <v>8.9</v>
      </c>
      <c r="F188" s="9">
        <v>0.6</v>
      </c>
      <c r="G188" s="9">
        <v>1.53</v>
      </c>
      <c r="H188" s="7" t="s">
        <v>49</v>
      </c>
    </row>
    <row r="189" spans="1:8" x14ac:dyDescent="0.2">
      <c r="A189" s="9">
        <v>0</v>
      </c>
      <c r="B189" s="9">
        <v>9</v>
      </c>
      <c r="C189" s="9">
        <v>6</v>
      </c>
      <c r="D189" s="9">
        <v>35</v>
      </c>
      <c r="E189" s="9">
        <v>5</v>
      </c>
      <c r="F189" s="9">
        <v>0.23</v>
      </c>
      <c r="G189" s="9">
        <v>1.52</v>
      </c>
      <c r="H189" s="7" t="s">
        <v>49</v>
      </c>
    </row>
    <row r="190" spans="1:8" x14ac:dyDescent="0.2">
      <c r="A190" s="9">
        <v>0</v>
      </c>
      <c r="B190" s="9">
        <v>12</v>
      </c>
      <c r="C190" s="9">
        <v>11</v>
      </c>
      <c r="D190" s="9">
        <v>32</v>
      </c>
      <c r="E190" s="9">
        <v>11.3</v>
      </c>
      <c r="F190" s="9">
        <v>2.1</v>
      </c>
      <c r="G190" s="9">
        <v>1.51</v>
      </c>
      <c r="H190" s="7" t="s">
        <v>49</v>
      </c>
    </row>
    <row r="191" spans="1:8" x14ac:dyDescent="0.2">
      <c r="A191" s="9">
        <v>0</v>
      </c>
      <c r="B191" s="9">
        <v>16</v>
      </c>
      <c r="C191" s="9">
        <v>21</v>
      </c>
      <c r="D191" s="9">
        <v>80</v>
      </c>
      <c r="E191" s="9">
        <v>3</v>
      </c>
      <c r="F191" s="9">
        <v>0.91</v>
      </c>
      <c r="G191" s="9">
        <v>1.49</v>
      </c>
      <c r="H191" s="7" t="s">
        <v>49</v>
      </c>
    </row>
    <row r="192" spans="1:8" x14ac:dyDescent="0.2">
      <c r="A192" s="9">
        <v>0</v>
      </c>
      <c r="B192" s="9">
        <v>11</v>
      </c>
      <c r="C192" s="9">
        <v>5</v>
      </c>
      <c r="D192" s="9">
        <v>39</v>
      </c>
      <c r="E192" s="9">
        <v>10.1</v>
      </c>
      <c r="F192" s="9">
        <v>2.46</v>
      </c>
      <c r="G192" s="9">
        <v>1.48</v>
      </c>
      <c r="H192" s="7" t="s">
        <v>49</v>
      </c>
    </row>
    <row r="193" spans="1:8" x14ac:dyDescent="0.2">
      <c r="A193" s="9">
        <v>0</v>
      </c>
      <c r="B193" s="9">
        <v>4</v>
      </c>
      <c r="C193" s="9">
        <v>19</v>
      </c>
      <c r="D193" s="9">
        <v>25</v>
      </c>
      <c r="E193" s="9">
        <v>10.1</v>
      </c>
      <c r="F193" s="9">
        <v>1.06</v>
      </c>
      <c r="G193" s="9">
        <v>1.46</v>
      </c>
      <c r="H193" s="7" t="s">
        <v>49</v>
      </c>
    </row>
    <row r="194" spans="1:8" x14ac:dyDescent="0.2">
      <c r="A194" s="9">
        <v>0</v>
      </c>
      <c r="B194" s="9">
        <v>22</v>
      </c>
      <c r="C194" s="9">
        <v>4</v>
      </c>
      <c r="D194" s="9">
        <v>99</v>
      </c>
      <c r="E194" s="9">
        <v>2.2999999999999998</v>
      </c>
      <c r="F194" s="9">
        <v>0.83</v>
      </c>
      <c r="G194" s="9">
        <v>1.45</v>
      </c>
      <c r="H194" s="7" t="s">
        <v>49</v>
      </c>
    </row>
    <row r="195" spans="1:8" x14ac:dyDescent="0.2">
      <c r="A195" s="9">
        <v>0</v>
      </c>
      <c r="B195" s="9">
        <v>2</v>
      </c>
      <c r="C195" s="9">
        <v>5</v>
      </c>
      <c r="D195" s="9">
        <v>39</v>
      </c>
      <c r="E195" s="9">
        <v>4.9000000000000004</v>
      </c>
      <c r="F195" s="9">
        <v>0.46</v>
      </c>
      <c r="G195" s="9">
        <v>1.45</v>
      </c>
      <c r="H195" s="7" t="s">
        <v>49</v>
      </c>
    </row>
    <row r="196" spans="1:8" x14ac:dyDescent="0.2">
      <c r="A196" s="9">
        <v>1</v>
      </c>
      <c r="B196" s="9">
        <v>5</v>
      </c>
      <c r="C196" s="9">
        <v>3</v>
      </c>
      <c r="D196" s="9">
        <v>37</v>
      </c>
      <c r="E196" s="9">
        <v>5.4</v>
      </c>
      <c r="F196" s="9">
        <v>0.57999999999999996</v>
      </c>
      <c r="G196" s="9">
        <v>1.42</v>
      </c>
      <c r="H196" s="7" t="s">
        <v>49</v>
      </c>
    </row>
    <row r="197" spans="1:8" x14ac:dyDescent="0.2">
      <c r="A197" s="9">
        <v>0</v>
      </c>
      <c r="B197" s="9">
        <v>21</v>
      </c>
      <c r="C197" s="9">
        <v>26</v>
      </c>
      <c r="D197" s="13">
        <v>117.54291069294821</v>
      </c>
      <c r="E197" s="9">
        <v>3</v>
      </c>
      <c r="F197" s="9">
        <v>2.56</v>
      </c>
      <c r="G197" s="9">
        <v>1.4</v>
      </c>
      <c r="H197" s="7" t="s">
        <v>49</v>
      </c>
    </row>
    <row r="198" spans="1:8" x14ac:dyDescent="0.2">
      <c r="A198" s="9">
        <v>0</v>
      </c>
      <c r="B198" s="9">
        <v>13</v>
      </c>
      <c r="C198" s="9">
        <v>0</v>
      </c>
      <c r="D198" s="9">
        <v>82</v>
      </c>
      <c r="E198" s="9">
        <v>3.3</v>
      </c>
      <c r="F198" s="9">
        <v>1.32</v>
      </c>
      <c r="G198" s="9">
        <v>1.39</v>
      </c>
      <c r="H198" s="7" t="s">
        <v>49</v>
      </c>
    </row>
    <row r="199" spans="1:8" x14ac:dyDescent="0.2">
      <c r="A199" s="9">
        <v>0</v>
      </c>
      <c r="B199" s="9">
        <v>0</v>
      </c>
      <c r="C199" s="9">
        <v>10</v>
      </c>
      <c r="D199" s="9">
        <v>20</v>
      </c>
      <c r="E199" s="9">
        <v>17.100000000000001</v>
      </c>
      <c r="F199" s="9">
        <v>2.0499999999999998</v>
      </c>
      <c r="G199" s="9">
        <v>1.37</v>
      </c>
      <c r="H199" s="7" t="s">
        <v>49</v>
      </c>
    </row>
    <row r="200" spans="1:8" x14ac:dyDescent="0.2">
      <c r="A200" s="9">
        <v>0</v>
      </c>
      <c r="B200" s="9">
        <v>18</v>
      </c>
      <c r="C200" s="9">
        <v>19</v>
      </c>
      <c r="D200" s="9">
        <v>44</v>
      </c>
      <c r="E200" s="9">
        <v>4.5</v>
      </c>
      <c r="F200" s="9">
        <v>0.61</v>
      </c>
      <c r="G200" s="9">
        <v>1.37</v>
      </c>
      <c r="H200" s="7" t="s">
        <v>49</v>
      </c>
    </row>
    <row r="201" spans="1:8" x14ac:dyDescent="0.2">
      <c r="A201" s="9">
        <v>0</v>
      </c>
      <c r="B201" s="9">
        <v>0</v>
      </c>
      <c r="C201" s="9">
        <v>4</v>
      </c>
      <c r="D201" s="9">
        <v>21</v>
      </c>
      <c r="E201" s="9">
        <v>8.6999999999999993</v>
      </c>
      <c r="F201" s="9">
        <v>0.45</v>
      </c>
      <c r="G201" s="9">
        <v>1.37</v>
      </c>
      <c r="H201" s="7" t="s">
        <v>49</v>
      </c>
    </row>
    <row r="202" spans="1:8" x14ac:dyDescent="0.2">
      <c r="A202" s="9">
        <v>0</v>
      </c>
      <c r="B202" s="9">
        <v>3</v>
      </c>
      <c r="C202" s="9">
        <v>10</v>
      </c>
      <c r="D202" s="9">
        <v>23</v>
      </c>
      <c r="E202" s="9">
        <v>6.2</v>
      </c>
      <c r="F202" s="9">
        <v>0.05</v>
      </c>
      <c r="G202" s="9">
        <v>1.37</v>
      </c>
      <c r="H202" s="7" t="s">
        <v>49</v>
      </c>
    </row>
    <row r="203" spans="1:8" x14ac:dyDescent="0.2">
      <c r="A203" s="9">
        <v>0</v>
      </c>
      <c r="B203" s="9">
        <v>4</v>
      </c>
      <c r="C203" s="9">
        <v>16</v>
      </c>
      <c r="D203" s="9">
        <v>29</v>
      </c>
      <c r="E203" s="9">
        <v>11</v>
      </c>
      <c r="F203" s="9">
        <v>1.84</v>
      </c>
      <c r="G203" s="9">
        <v>1.35</v>
      </c>
      <c r="H203" s="7" t="s">
        <v>49</v>
      </c>
    </row>
    <row r="204" spans="1:8" x14ac:dyDescent="0.2">
      <c r="A204" s="9">
        <v>0</v>
      </c>
      <c r="B204" s="9">
        <v>5</v>
      </c>
      <c r="C204" s="9">
        <v>10</v>
      </c>
      <c r="D204" s="9">
        <v>18</v>
      </c>
      <c r="E204" s="9">
        <v>12.9</v>
      </c>
      <c r="F204" s="9">
        <v>0.98</v>
      </c>
      <c r="G204" s="9">
        <v>1.34</v>
      </c>
      <c r="H204" s="7" t="s">
        <v>49</v>
      </c>
    </row>
    <row r="205" spans="1:8" x14ac:dyDescent="0.2">
      <c r="A205" s="9">
        <v>1</v>
      </c>
      <c r="B205" s="9">
        <v>1</v>
      </c>
      <c r="C205" s="9">
        <v>6</v>
      </c>
      <c r="D205" s="9">
        <v>15</v>
      </c>
      <c r="E205" s="9">
        <v>11.4</v>
      </c>
      <c r="F205" s="9">
        <v>0.37</v>
      </c>
      <c r="G205" s="9">
        <v>1.34</v>
      </c>
      <c r="H205" s="7" t="s">
        <v>49</v>
      </c>
    </row>
    <row r="206" spans="1:8" x14ac:dyDescent="0.2">
      <c r="A206" s="9">
        <v>0</v>
      </c>
      <c r="B206" s="9">
        <v>0</v>
      </c>
      <c r="C206" s="9">
        <v>7</v>
      </c>
      <c r="D206" s="9">
        <v>28</v>
      </c>
      <c r="E206" s="9">
        <v>9.3000000000000007</v>
      </c>
      <c r="F206" s="9">
        <v>1.27</v>
      </c>
      <c r="G206" s="9">
        <v>1.33</v>
      </c>
      <c r="H206" s="7" t="s">
        <v>49</v>
      </c>
    </row>
    <row r="207" spans="1:8" x14ac:dyDescent="0.2">
      <c r="A207" s="9">
        <v>1</v>
      </c>
      <c r="B207" s="9">
        <v>3</v>
      </c>
      <c r="C207" s="9">
        <v>0</v>
      </c>
      <c r="D207" s="9">
        <v>19</v>
      </c>
      <c r="E207" s="9">
        <v>8.4</v>
      </c>
      <c r="F207" s="9">
        <v>0.28000000000000003</v>
      </c>
      <c r="G207" s="9">
        <v>1.32</v>
      </c>
      <c r="H207" s="7" t="s">
        <v>49</v>
      </c>
    </row>
    <row r="208" spans="1:8" x14ac:dyDescent="0.2">
      <c r="A208" s="9">
        <v>0</v>
      </c>
      <c r="B208" s="9">
        <v>0</v>
      </c>
      <c r="C208" s="9">
        <v>1</v>
      </c>
      <c r="D208" s="9">
        <v>21</v>
      </c>
      <c r="E208" s="9">
        <v>7.2</v>
      </c>
      <c r="F208" s="9">
        <v>0.19</v>
      </c>
      <c r="G208" s="9">
        <v>1.32</v>
      </c>
      <c r="H208" s="7" t="s">
        <v>49</v>
      </c>
    </row>
    <row r="209" spans="1:8" x14ac:dyDescent="0.2">
      <c r="A209" s="9">
        <v>0</v>
      </c>
      <c r="B209" s="9">
        <v>10</v>
      </c>
      <c r="C209" s="9">
        <v>4</v>
      </c>
      <c r="D209" s="9">
        <v>31</v>
      </c>
      <c r="E209" s="9">
        <v>4.8</v>
      </c>
      <c r="F209" s="9">
        <v>0.18</v>
      </c>
      <c r="G209" s="9">
        <v>1.3</v>
      </c>
      <c r="H209" s="7" t="s">
        <v>49</v>
      </c>
    </row>
    <row r="210" spans="1:8" x14ac:dyDescent="0.2">
      <c r="A210" s="9">
        <v>0</v>
      </c>
      <c r="B210" s="9">
        <v>4</v>
      </c>
      <c r="C210" s="9">
        <v>9</v>
      </c>
      <c r="D210" s="9">
        <v>38</v>
      </c>
      <c r="E210" s="9">
        <v>6.5</v>
      </c>
      <c r="F210" s="9">
        <v>1.18</v>
      </c>
      <c r="G210" s="9">
        <v>1.29</v>
      </c>
      <c r="H210" s="7" t="s">
        <v>49</v>
      </c>
    </row>
    <row r="211" spans="1:8" x14ac:dyDescent="0.2">
      <c r="A211" s="9">
        <v>0</v>
      </c>
      <c r="B211" s="9">
        <v>1</v>
      </c>
      <c r="C211" s="9">
        <v>1</v>
      </c>
      <c r="D211" s="9">
        <v>21</v>
      </c>
      <c r="E211" s="9">
        <v>7.9</v>
      </c>
      <c r="F211" s="9">
        <v>0.97</v>
      </c>
      <c r="G211" s="9">
        <v>1.29</v>
      </c>
      <c r="H211" s="7" t="s">
        <v>49</v>
      </c>
    </row>
    <row r="212" spans="1:8" x14ac:dyDescent="0.2">
      <c r="A212" s="9">
        <v>1</v>
      </c>
      <c r="B212" s="9">
        <v>4</v>
      </c>
      <c r="C212" s="9">
        <v>3</v>
      </c>
      <c r="D212" s="9">
        <v>37</v>
      </c>
      <c r="E212" s="9">
        <v>6.6</v>
      </c>
      <c r="F212" s="9">
        <v>1.1599999999999999</v>
      </c>
      <c r="G212" s="9">
        <v>1.28</v>
      </c>
      <c r="H212" s="7" t="s">
        <v>49</v>
      </c>
    </row>
    <row r="213" spans="1:8" x14ac:dyDescent="0.2">
      <c r="A213" s="9">
        <v>0</v>
      </c>
      <c r="B213" s="9">
        <v>9</v>
      </c>
      <c r="C213" s="9">
        <v>8</v>
      </c>
      <c r="D213" s="9">
        <v>32</v>
      </c>
      <c r="E213" s="9">
        <v>5.5</v>
      </c>
      <c r="F213" s="9">
        <v>0.5</v>
      </c>
      <c r="G213" s="9">
        <v>1.26</v>
      </c>
      <c r="H213" s="7" t="s">
        <v>49</v>
      </c>
    </row>
    <row r="214" spans="1:8" x14ac:dyDescent="0.2">
      <c r="A214" s="9">
        <v>0</v>
      </c>
      <c r="B214" s="9">
        <v>6</v>
      </c>
      <c r="C214" s="9">
        <v>1</v>
      </c>
      <c r="D214" s="9">
        <v>34</v>
      </c>
      <c r="E214" s="9">
        <v>4.4000000000000004</v>
      </c>
      <c r="F214" s="9">
        <v>0.24</v>
      </c>
      <c r="G214" s="9">
        <v>1.26</v>
      </c>
      <c r="H214" s="7" t="s">
        <v>49</v>
      </c>
    </row>
    <row r="215" spans="1:8" x14ac:dyDescent="0.2">
      <c r="A215" s="9">
        <v>1</v>
      </c>
      <c r="B215" s="9">
        <v>2</v>
      </c>
      <c r="C215" s="9">
        <v>11</v>
      </c>
      <c r="D215" s="9">
        <v>15</v>
      </c>
      <c r="E215" s="9">
        <v>9.1</v>
      </c>
      <c r="F215" s="9">
        <v>0.12</v>
      </c>
      <c r="G215" s="9">
        <v>1.25</v>
      </c>
      <c r="H215" s="7" t="s">
        <v>49</v>
      </c>
    </row>
    <row r="216" spans="1:8" x14ac:dyDescent="0.2">
      <c r="A216" s="9">
        <v>0</v>
      </c>
      <c r="B216" s="9">
        <v>1</v>
      </c>
      <c r="C216" s="9">
        <v>5</v>
      </c>
      <c r="D216" s="9">
        <v>26</v>
      </c>
      <c r="E216" s="9">
        <v>10.6</v>
      </c>
      <c r="F216" s="9">
        <v>1.52</v>
      </c>
      <c r="G216" s="9">
        <v>1.24</v>
      </c>
      <c r="H216" s="7" t="s">
        <v>49</v>
      </c>
    </row>
    <row r="217" spans="1:8" x14ac:dyDescent="0.2">
      <c r="A217" s="9">
        <v>0</v>
      </c>
      <c r="B217" s="9">
        <v>12</v>
      </c>
      <c r="C217" s="9">
        <v>11</v>
      </c>
      <c r="D217" s="9">
        <v>38</v>
      </c>
      <c r="E217" s="9">
        <v>3.6</v>
      </c>
      <c r="F217" s="9">
        <v>0.13</v>
      </c>
      <c r="G217" s="9">
        <v>1.24</v>
      </c>
      <c r="H217" s="7" t="s">
        <v>49</v>
      </c>
    </row>
    <row r="218" spans="1:8" x14ac:dyDescent="0.2">
      <c r="A218" s="9">
        <v>0</v>
      </c>
      <c r="B218" s="9">
        <v>3</v>
      </c>
      <c r="C218" s="9">
        <v>4</v>
      </c>
      <c r="D218" s="9">
        <v>34</v>
      </c>
      <c r="E218" s="9">
        <v>4.4000000000000004</v>
      </c>
      <c r="F218" s="9">
        <v>0.26</v>
      </c>
      <c r="G218" s="9">
        <v>1.23</v>
      </c>
      <c r="H218" s="7" t="s">
        <v>49</v>
      </c>
    </row>
    <row r="219" spans="1:8" x14ac:dyDescent="0.2">
      <c r="A219" s="9">
        <v>0</v>
      </c>
      <c r="B219" s="9">
        <v>13</v>
      </c>
      <c r="C219" s="9">
        <v>9</v>
      </c>
      <c r="D219" s="9">
        <v>27</v>
      </c>
      <c r="E219" s="9">
        <v>8</v>
      </c>
      <c r="F219" s="9">
        <v>0.97</v>
      </c>
      <c r="G219" s="9">
        <v>1.19</v>
      </c>
      <c r="H219" s="7" t="s">
        <v>49</v>
      </c>
    </row>
    <row r="220" spans="1:8" x14ac:dyDescent="0.2">
      <c r="A220" s="9">
        <v>0</v>
      </c>
      <c r="B220" s="9">
        <v>9</v>
      </c>
      <c r="C220" s="9">
        <v>20</v>
      </c>
      <c r="D220" s="9">
        <v>33</v>
      </c>
      <c r="E220" s="9">
        <v>5.2</v>
      </c>
      <c r="F220" s="9">
        <v>0.55000000000000004</v>
      </c>
      <c r="G220" s="9">
        <v>1.17</v>
      </c>
      <c r="H220" s="7" t="s">
        <v>49</v>
      </c>
    </row>
    <row r="221" spans="1:8" x14ac:dyDescent="0.2">
      <c r="A221" s="9">
        <v>0</v>
      </c>
      <c r="B221" s="9">
        <v>5</v>
      </c>
      <c r="C221" s="9">
        <v>7</v>
      </c>
      <c r="D221" s="9">
        <v>28</v>
      </c>
      <c r="E221" s="9">
        <v>7.8</v>
      </c>
      <c r="F221" s="9">
        <v>1.02</v>
      </c>
      <c r="G221" s="9">
        <v>1.1599999999999999</v>
      </c>
      <c r="H221" s="7" t="s">
        <v>49</v>
      </c>
    </row>
    <row r="222" spans="1:8" x14ac:dyDescent="0.2">
      <c r="A222" s="9">
        <v>0</v>
      </c>
      <c r="B222" s="9">
        <v>8</v>
      </c>
      <c r="C222" s="9">
        <v>7</v>
      </c>
      <c r="D222" s="9">
        <v>61</v>
      </c>
      <c r="E222" s="9">
        <v>2.8</v>
      </c>
      <c r="F222" s="9">
        <v>0.55000000000000004</v>
      </c>
      <c r="G222" s="9">
        <v>1.1599999999999999</v>
      </c>
      <c r="H222" s="7" t="s">
        <v>49</v>
      </c>
    </row>
    <row r="223" spans="1:8" x14ac:dyDescent="0.2">
      <c r="A223" s="9">
        <v>0</v>
      </c>
      <c r="B223" s="9">
        <v>4</v>
      </c>
      <c r="C223" s="9">
        <v>6</v>
      </c>
      <c r="D223" s="9">
        <v>33</v>
      </c>
      <c r="E223" s="9">
        <v>5.2</v>
      </c>
      <c r="F223" s="9">
        <v>0.55000000000000004</v>
      </c>
      <c r="G223" s="9">
        <v>1.1599999999999999</v>
      </c>
      <c r="H223" s="7" t="s">
        <v>49</v>
      </c>
    </row>
    <row r="224" spans="1:8" x14ac:dyDescent="0.2">
      <c r="A224" s="9">
        <v>0</v>
      </c>
      <c r="B224" s="9">
        <v>15</v>
      </c>
      <c r="C224" s="9">
        <v>19</v>
      </c>
      <c r="D224" s="9">
        <v>32</v>
      </c>
      <c r="E224" s="9">
        <v>4.9000000000000004</v>
      </c>
      <c r="F224" s="9">
        <v>0.42</v>
      </c>
      <c r="G224" s="9">
        <v>1.1499999999999999</v>
      </c>
      <c r="H224" s="7" t="s">
        <v>49</v>
      </c>
    </row>
    <row r="225" spans="1:8" x14ac:dyDescent="0.2">
      <c r="A225" s="9">
        <v>0</v>
      </c>
      <c r="B225" s="9">
        <v>9</v>
      </c>
      <c r="C225" s="9">
        <v>1</v>
      </c>
      <c r="D225" s="9">
        <v>30</v>
      </c>
      <c r="E225" s="9">
        <v>5.8</v>
      </c>
      <c r="F225" s="9">
        <v>0.97</v>
      </c>
      <c r="G225" s="9">
        <v>1.1399999999999999</v>
      </c>
      <c r="H225" s="7" t="s">
        <v>49</v>
      </c>
    </row>
    <row r="226" spans="1:8" x14ac:dyDescent="0.2">
      <c r="A226" s="9">
        <v>0</v>
      </c>
      <c r="B226" s="9">
        <v>8</v>
      </c>
      <c r="C226" s="9">
        <v>10</v>
      </c>
      <c r="D226" s="9">
        <v>24</v>
      </c>
      <c r="E226" s="9">
        <v>6.7</v>
      </c>
      <c r="F226" s="9">
        <v>0.47</v>
      </c>
      <c r="G226" s="9">
        <v>1.1399999999999999</v>
      </c>
      <c r="H226" s="7" t="s">
        <v>49</v>
      </c>
    </row>
    <row r="227" spans="1:8" x14ac:dyDescent="0.2">
      <c r="A227" s="9">
        <v>0</v>
      </c>
      <c r="B227" s="9">
        <v>13</v>
      </c>
      <c r="C227" s="9">
        <v>15</v>
      </c>
      <c r="D227" s="9">
        <v>35</v>
      </c>
      <c r="E227" s="9">
        <v>4.5</v>
      </c>
      <c r="F227" s="9">
        <v>0.43</v>
      </c>
      <c r="G227" s="9">
        <v>1.1399999999999999</v>
      </c>
      <c r="H227" s="7" t="s">
        <v>49</v>
      </c>
    </row>
    <row r="228" spans="1:8" x14ac:dyDescent="0.2">
      <c r="A228" s="9">
        <v>0</v>
      </c>
      <c r="B228" s="9">
        <v>1</v>
      </c>
      <c r="C228" s="9">
        <v>8</v>
      </c>
      <c r="D228" s="9">
        <v>17</v>
      </c>
      <c r="E228" s="9">
        <v>11</v>
      </c>
      <c r="F228" s="9">
        <v>0.75</v>
      </c>
      <c r="G228" s="9">
        <v>1.1200000000000001</v>
      </c>
      <c r="H228" s="7" t="s">
        <v>49</v>
      </c>
    </row>
    <row r="229" spans="1:8" x14ac:dyDescent="0.2">
      <c r="A229" s="9">
        <v>0</v>
      </c>
      <c r="B229" s="9">
        <v>13</v>
      </c>
      <c r="C229" s="9">
        <v>12</v>
      </c>
      <c r="D229" s="9">
        <v>27</v>
      </c>
      <c r="E229" s="9">
        <v>5</v>
      </c>
      <c r="F229" s="9">
        <v>0.24</v>
      </c>
      <c r="G229" s="9">
        <v>1.1100000000000001</v>
      </c>
      <c r="H229" s="7" t="s">
        <v>49</v>
      </c>
    </row>
    <row r="230" spans="1:8" x14ac:dyDescent="0.2">
      <c r="A230" s="9">
        <v>0</v>
      </c>
      <c r="B230" s="9">
        <v>6</v>
      </c>
      <c r="C230" s="9">
        <v>2</v>
      </c>
      <c r="D230" s="9">
        <v>26</v>
      </c>
      <c r="E230" s="9">
        <v>4.5</v>
      </c>
      <c r="F230" s="9">
        <v>7.0000000000000007E-2</v>
      </c>
      <c r="G230" s="9">
        <v>1.1000000000000001</v>
      </c>
      <c r="H230" s="7" t="s">
        <v>49</v>
      </c>
    </row>
    <row r="231" spans="1:8" x14ac:dyDescent="0.2">
      <c r="A231" s="9">
        <v>0</v>
      </c>
      <c r="B231" s="9">
        <v>2</v>
      </c>
      <c r="C231" s="9">
        <v>1</v>
      </c>
      <c r="D231" s="9">
        <v>36</v>
      </c>
      <c r="E231" s="9">
        <v>3.8</v>
      </c>
      <c r="F231" s="9">
        <v>0.28000000000000003</v>
      </c>
      <c r="G231" s="9">
        <v>1.0900000000000001</v>
      </c>
      <c r="H231" s="7" t="s">
        <v>49</v>
      </c>
    </row>
    <row r="232" spans="1:8" x14ac:dyDescent="0.2">
      <c r="A232" s="9">
        <v>0</v>
      </c>
      <c r="B232" s="9">
        <v>20</v>
      </c>
      <c r="C232" s="9">
        <v>17</v>
      </c>
      <c r="D232" s="9">
        <v>101</v>
      </c>
      <c r="E232" s="9">
        <v>1.4</v>
      </c>
      <c r="F232" s="9">
        <v>0.34</v>
      </c>
      <c r="G232" s="9">
        <v>1.07</v>
      </c>
      <c r="H232" s="7" t="s">
        <v>49</v>
      </c>
    </row>
    <row r="233" spans="1:8" x14ac:dyDescent="0.2">
      <c r="A233" s="9">
        <v>0</v>
      </c>
      <c r="B233" s="9">
        <v>1</v>
      </c>
      <c r="C233" s="9">
        <v>10</v>
      </c>
      <c r="D233" s="9">
        <v>30</v>
      </c>
      <c r="E233" s="9">
        <v>4.5</v>
      </c>
      <c r="F233" s="9">
        <v>0.28000000000000003</v>
      </c>
      <c r="G233" s="9">
        <v>1.07</v>
      </c>
      <c r="H233" s="7" t="s">
        <v>49</v>
      </c>
    </row>
    <row r="234" spans="1:8" x14ac:dyDescent="0.2">
      <c r="A234" s="9">
        <v>0</v>
      </c>
      <c r="B234" s="9">
        <v>3</v>
      </c>
      <c r="C234" s="9">
        <v>1</v>
      </c>
      <c r="D234" s="9">
        <v>17</v>
      </c>
      <c r="E234" s="9">
        <v>9</v>
      </c>
      <c r="F234" s="9">
        <v>0.47</v>
      </c>
      <c r="G234" s="9">
        <v>1.06</v>
      </c>
      <c r="H234" s="7" t="s">
        <v>49</v>
      </c>
    </row>
    <row r="235" spans="1:8" x14ac:dyDescent="0.2">
      <c r="A235" s="9">
        <v>0</v>
      </c>
      <c r="B235" s="9">
        <v>12</v>
      </c>
      <c r="C235" s="9">
        <v>2</v>
      </c>
      <c r="D235" s="9">
        <v>40</v>
      </c>
      <c r="E235" s="9">
        <v>6.7</v>
      </c>
      <c r="F235" s="9">
        <v>1.63</v>
      </c>
      <c r="G235" s="9">
        <v>1.05</v>
      </c>
      <c r="H235" s="7" t="s">
        <v>49</v>
      </c>
    </row>
    <row r="236" spans="1:8" x14ac:dyDescent="0.2">
      <c r="A236" s="9">
        <v>1</v>
      </c>
      <c r="B236" s="9">
        <v>8</v>
      </c>
      <c r="C236" s="9">
        <v>3</v>
      </c>
      <c r="D236" s="9">
        <v>31</v>
      </c>
      <c r="E236" s="9">
        <v>8.1999999999999993</v>
      </c>
      <c r="F236" s="9">
        <v>1.49</v>
      </c>
      <c r="G236" s="9">
        <v>1.05</v>
      </c>
      <c r="H236" s="7" t="s">
        <v>49</v>
      </c>
    </row>
    <row r="237" spans="1:8" x14ac:dyDescent="0.2">
      <c r="A237" s="9">
        <v>0</v>
      </c>
      <c r="B237" s="9">
        <v>1</v>
      </c>
      <c r="C237" s="9">
        <v>4</v>
      </c>
      <c r="D237" s="9">
        <v>16</v>
      </c>
      <c r="E237" s="9">
        <v>9.3000000000000007</v>
      </c>
      <c r="F237" s="9">
        <v>0.43</v>
      </c>
      <c r="G237" s="9">
        <v>1.05</v>
      </c>
      <c r="H237" s="7" t="s">
        <v>49</v>
      </c>
    </row>
    <row r="238" spans="1:8" x14ac:dyDescent="0.2">
      <c r="A238" s="9">
        <v>0</v>
      </c>
      <c r="B238" s="9">
        <v>16</v>
      </c>
      <c r="C238" s="9">
        <v>15</v>
      </c>
      <c r="D238" s="9">
        <v>36</v>
      </c>
      <c r="E238" s="9">
        <v>3.4</v>
      </c>
      <c r="F238" s="9">
        <v>0.18</v>
      </c>
      <c r="G238" s="9">
        <v>1.05</v>
      </c>
      <c r="H238" s="7" t="s">
        <v>49</v>
      </c>
    </row>
    <row r="239" spans="1:8" x14ac:dyDescent="0.2">
      <c r="A239" s="9">
        <v>0</v>
      </c>
      <c r="B239" s="9">
        <v>5</v>
      </c>
      <c r="C239" s="9">
        <v>3</v>
      </c>
      <c r="D239" s="9">
        <v>41</v>
      </c>
      <c r="E239" s="9">
        <v>3.4</v>
      </c>
      <c r="F239" s="9">
        <v>0.36</v>
      </c>
      <c r="G239" s="9">
        <v>1.04</v>
      </c>
      <c r="H239" s="7" t="s">
        <v>49</v>
      </c>
    </row>
    <row r="240" spans="1:8" x14ac:dyDescent="0.2">
      <c r="A240" s="9">
        <v>0</v>
      </c>
      <c r="B240" s="9">
        <v>5</v>
      </c>
      <c r="C240" s="9">
        <v>2</v>
      </c>
      <c r="D240" s="9">
        <v>17</v>
      </c>
      <c r="E240" s="9">
        <v>7.9</v>
      </c>
      <c r="F240" s="9">
        <v>0.3</v>
      </c>
      <c r="G240" s="9">
        <v>1.04</v>
      </c>
      <c r="H240" s="7" t="s">
        <v>49</v>
      </c>
    </row>
    <row r="241" spans="1:8" x14ac:dyDescent="0.2">
      <c r="A241" s="9">
        <v>0</v>
      </c>
      <c r="B241" s="9">
        <v>7</v>
      </c>
      <c r="C241" s="9">
        <v>6</v>
      </c>
      <c r="D241" s="9">
        <v>26</v>
      </c>
      <c r="E241" s="9">
        <v>6</v>
      </c>
      <c r="F241" s="9">
        <v>0.54</v>
      </c>
      <c r="G241" s="9">
        <v>1.02</v>
      </c>
      <c r="H241" s="7" t="s">
        <v>49</v>
      </c>
    </row>
    <row r="242" spans="1:8" x14ac:dyDescent="0.2">
      <c r="A242" s="9">
        <v>0</v>
      </c>
      <c r="B242" s="9">
        <v>18</v>
      </c>
      <c r="C242" s="9">
        <v>6</v>
      </c>
      <c r="D242" s="9">
        <v>100</v>
      </c>
      <c r="E242" s="9">
        <v>2.5</v>
      </c>
      <c r="F242" s="9">
        <v>1.49</v>
      </c>
      <c r="G242" s="9">
        <v>1.01</v>
      </c>
      <c r="H242" s="7" t="s">
        <v>49</v>
      </c>
    </row>
    <row r="243" spans="1:8" x14ac:dyDescent="0.2">
      <c r="A243" s="9">
        <v>0</v>
      </c>
      <c r="B243" s="9">
        <v>0</v>
      </c>
      <c r="C243" s="9">
        <v>2</v>
      </c>
      <c r="D243" s="9">
        <v>24</v>
      </c>
      <c r="E243" s="9">
        <v>7.7</v>
      </c>
      <c r="F243" s="9">
        <v>0.83</v>
      </c>
      <c r="G243" s="9">
        <v>1.01</v>
      </c>
      <c r="H243" s="7" t="s">
        <v>49</v>
      </c>
    </row>
    <row r="244" spans="1:8" x14ac:dyDescent="0.2">
      <c r="A244" s="9">
        <v>0</v>
      </c>
      <c r="B244" s="9">
        <v>13</v>
      </c>
      <c r="C244" s="9">
        <v>0</v>
      </c>
      <c r="D244" s="9">
        <v>59</v>
      </c>
      <c r="E244" s="9">
        <v>2.4</v>
      </c>
      <c r="F244" s="9">
        <v>0.41</v>
      </c>
      <c r="G244" s="9">
        <v>1.01</v>
      </c>
      <c r="H244" s="7" t="s">
        <v>49</v>
      </c>
    </row>
    <row r="245" spans="1:8" x14ac:dyDescent="0.2">
      <c r="A245" s="9">
        <v>0</v>
      </c>
      <c r="B245" s="9">
        <v>16</v>
      </c>
      <c r="C245" s="9">
        <v>25</v>
      </c>
      <c r="D245" s="9">
        <v>82</v>
      </c>
      <c r="E245" s="9">
        <v>4.4000000000000004</v>
      </c>
      <c r="F245" s="9">
        <v>2.6</v>
      </c>
      <c r="G245" s="9">
        <v>1</v>
      </c>
      <c r="H245" s="7" t="s">
        <v>49</v>
      </c>
    </row>
    <row r="246" spans="1:8" x14ac:dyDescent="0.2">
      <c r="A246" s="9">
        <v>1</v>
      </c>
      <c r="B246" s="9">
        <v>2</v>
      </c>
      <c r="C246" s="9">
        <v>1</v>
      </c>
      <c r="D246" s="9">
        <v>25</v>
      </c>
      <c r="E246" s="9">
        <v>4.5</v>
      </c>
      <c r="F246" s="9">
        <v>0.12</v>
      </c>
      <c r="G246" s="9">
        <v>1</v>
      </c>
      <c r="H246" s="7" t="s">
        <v>49</v>
      </c>
    </row>
    <row r="247" spans="1:8" x14ac:dyDescent="0.2">
      <c r="A247" s="9">
        <v>0</v>
      </c>
      <c r="B247" s="9">
        <v>11</v>
      </c>
      <c r="C247" s="9">
        <v>7</v>
      </c>
      <c r="D247" s="9">
        <v>32</v>
      </c>
      <c r="E247" s="9">
        <v>6</v>
      </c>
      <c r="F247" s="9">
        <v>0.93</v>
      </c>
      <c r="G247" s="9">
        <v>0.99</v>
      </c>
      <c r="H247" s="7" t="s">
        <v>49</v>
      </c>
    </row>
    <row r="248" spans="1:8" x14ac:dyDescent="0.2">
      <c r="A248" s="9">
        <v>1</v>
      </c>
      <c r="B248" s="9">
        <v>2</v>
      </c>
      <c r="C248" s="9">
        <v>8</v>
      </c>
      <c r="D248" s="9">
        <v>23</v>
      </c>
      <c r="E248" s="9">
        <v>5.7</v>
      </c>
      <c r="F248" s="9">
        <v>0.32</v>
      </c>
      <c r="G248" s="9">
        <v>0.99</v>
      </c>
      <c r="H248" s="7" t="s">
        <v>49</v>
      </c>
    </row>
    <row r="249" spans="1:8" x14ac:dyDescent="0.2">
      <c r="A249" s="9">
        <v>0</v>
      </c>
      <c r="B249" s="9">
        <v>1</v>
      </c>
      <c r="C249" s="9">
        <v>9</v>
      </c>
      <c r="D249" s="9">
        <v>17</v>
      </c>
      <c r="E249" s="9">
        <v>6.7</v>
      </c>
      <c r="F249" s="9">
        <v>0.16</v>
      </c>
      <c r="G249" s="9">
        <v>0.98</v>
      </c>
      <c r="H249" s="7" t="s">
        <v>49</v>
      </c>
    </row>
    <row r="250" spans="1:8" x14ac:dyDescent="0.2">
      <c r="A250" s="9">
        <v>0</v>
      </c>
      <c r="B250" s="9">
        <v>6</v>
      </c>
      <c r="C250" s="9">
        <v>2</v>
      </c>
      <c r="D250" s="9">
        <v>21</v>
      </c>
      <c r="E250" s="9">
        <v>5.2</v>
      </c>
      <c r="F250" s="9">
        <v>0.11</v>
      </c>
      <c r="G250" s="9">
        <v>0.98</v>
      </c>
      <c r="H250" s="7" t="s">
        <v>49</v>
      </c>
    </row>
    <row r="251" spans="1:8" x14ac:dyDescent="0.2">
      <c r="A251" s="9">
        <v>1</v>
      </c>
      <c r="B251" s="9">
        <v>0</v>
      </c>
      <c r="C251" s="9">
        <v>8</v>
      </c>
      <c r="D251" s="9">
        <v>23</v>
      </c>
      <c r="E251" s="9">
        <v>8.1</v>
      </c>
      <c r="F251" s="9">
        <v>0.9</v>
      </c>
      <c r="G251" s="9">
        <v>0.97</v>
      </c>
      <c r="H251" s="7" t="s">
        <v>49</v>
      </c>
    </row>
    <row r="252" spans="1:8" x14ac:dyDescent="0.2">
      <c r="A252" s="9">
        <v>1</v>
      </c>
      <c r="B252" s="9">
        <v>4</v>
      </c>
      <c r="C252" s="9">
        <v>1</v>
      </c>
      <c r="D252" s="9">
        <v>40</v>
      </c>
      <c r="E252" s="9">
        <v>3.1</v>
      </c>
      <c r="F252" s="9">
        <v>0.28000000000000003</v>
      </c>
      <c r="G252" s="9">
        <v>0.96</v>
      </c>
      <c r="H252" s="7" t="s">
        <v>49</v>
      </c>
    </row>
    <row r="253" spans="1:8" x14ac:dyDescent="0.2">
      <c r="A253" s="9">
        <v>0</v>
      </c>
      <c r="B253" s="9">
        <v>7</v>
      </c>
      <c r="C253" s="9">
        <v>23</v>
      </c>
      <c r="D253" s="9">
        <v>41</v>
      </c>
      <c r="E253" s="9">
        <v>4.5999999999999996</v>
      </c>
      <c r="F253" s="9">
        <v>0.97</v>
      </c>
      <c r="G253" s="9">
        <v>0.94</v>
      </c>
      <c r="H253" s="7" t="s">
        <v>49</v>
      </c>
    </row>
    <row r="254" spans="1:8" x14ac:dyDescent="0.2">
      <c r="A254" s="9">
        <v>0</v>
      </c>
      <c r="B254" s="9">
        <v>7</v>
      </c>
      <c r="C254" s="9">
        <v>10</v>
      </c>
      <c r="D254" s="9">
        <v>32</v>
      </c>
      <c r="E254" s="9">
        <v>4.3</v>
      </c>
      <c r="F254" s="9">
        <v>0.43</v>
      </c>
      <c r="G254" s="9">
        <v>0.94</v>
      </c>
      <c r="H254" s="7" t="s">
        <v>49</v>
      </c>
    </row>
    <row r="255" spans="1:8" x14ac:dyDescent="0.2">
      <c r="A255" s="9">
        <v>0</v>
      </c>
      <c r="B255" s="9">
        <v>0</v>
      </c>
      <c r="C255" s="9">
        <v>1</v>
      </c>
      <c r="D255" s="9">
        <v>16</v>
      </c>
      <c r="E255" s="9">
        <v>6.8</v>
      </c>
      <c r="F255" s="9">
        <v>0.15</v>
      </c>
      <c r="G255" s="9">
        <v>0.94</v>
      </c>
      <c r="H255" s="7" t="s">
        <v>49</v>
      </c>
    </row>
    <row r="256" spans="1:8" x14ac:dyDescent="0.2">
      <c r="A256" s="9">
        <v>0</v>
      </c>
      <c r="B256" s="9">
        <v>8</v>
      </c>
      <c r="C256" s="9">
        <v>1</v>
      </c>
      <c r="D256" s="9">
        <v>35</v>
      </c>
      <c r="E256" s="9">
        <v>2.9</v>
      </c>
      <c r="F256" s="9">
        <v>0.08</v>
      </c>
      <c r="G256" s="9">
        <v>0.94</v>
      </c>
      <c r="H256" s="7" t="s">
        <v>49</v>
      </c>
    </row>
    <row r="257" spans="1:8" x14ac:dyDescent="0.2">
      <c r="A257" s="9">
        <v>0</v>
      </c>
      <c r="B257" s="9">
        <v>7</v>
      </c>
      <c r="C257" s="9">
        <v>12</v>
      </c>
      <c r="D257" s="9">
        <v>25</v>
      </c>
      <c r="E257" s="9">
        <v>10.199999999999999</v>
      </c>
      <c r="F257" s="9">
        <v>1.63</v>
      </c>
      <c r="G257" s="9">
        <v>0.92</v>
      </c>
      <c r="H257" s="7" t="s">
        <v>49</v>
      </c>
    </row>
    <row r="258" spans="1:8" x14ac:dyDescent="0.2">
      <c r="A258" s="9">
        <v>0</v>
      </c>
      <c r="B258" s="9">
        <v>3</v>
      </c>
      <c r="C258" s="9">
        <v>7</v>
      </c>
      <c r="D258" s="9">
        <v>24</v>
      </c>
      <c r="E258" s="9">
        <v>7</v>
      </c>
      <c r="F258" s="9">
        <v>0.76</v>
      </c>
      <c r="G258" s="9">
        <v>0.92</v>
      </c>
      <c r="H258" s="7" t="s">
        <v>49</v>
      </c>
    </row>
    <row r="259" spans="1:8" x14ac:dyDescent="0.2">
      <c r="A259" s="9">
        <v>0</v>
      </c>
      <c r="B259" s="9">
        <v>7</v>
      </c>
      <c r="C259" s="9">
        <v>3</v>
      </c>
      <c r="D259" s="9">
        <v>22</v>
      </c>
      <c r="E259" s="9">
        <v>5.0999999999999996</v>
      </c>
      <c r="F259" s="9">
        <v>0.21</v>
      </c>
      <c r="G259" s="9">
        <v>0.91</v>
      </c>
      <c r="H259" s="7" t="s">
        <v>49</v>
      </c>
    </row>
    <row r="260" spans="1:8" x14ac:dyDescent="0.2">
      <c r="A260" s="9">
        <v>0</v>
      </c>
      <c r="B260" s="9">
        <v>0</v>
      </c>
      <c r="C260" s="9">
        <v>3</v>
      </c>
      <c r="D260" s="9">
        <v>20</v>
      </c>
      <c r="E260" s="9">
        <v>5.6</v>
      </c>
      <c r="F260" s="9">
        <v>0.21</v>
      </c>
      <c r="G260" s="9">
        <v>0.91</v>
      </c>
      <c r="H260" s="7" t="s">
        <v>49</v>
      </c>
    </row>
    <row r="261" spans="1:8" x14ac:dyDescent="0.2">
      <c r="A261" s="9">
        <v>0</v>
      </c>
      <c r="B261" s="9">
        <v>4</v>
      </c>
      <c r="C261" s="9">
        <v>0</v>
      </c>
      <c r="D261" s="9">
        <v>26</v>
      </c>
      <c r="E261" s="9">
        <v>8.9</v>
      </c>
      <c r="F261" s="9">
        <v>1.42</v>
      </c>
      <c r="G261" s="9">
        <v>0.89</v>
      </c>
      <c r="H261" s="7" t="s">
        <v>49</v>
      </c>
    </row>
    <row r="262" spans="1:8" x14ac:dyDescent="0.2">
      <c r="A262" s="9">
        <v>0</v>
      </c>
      <c r="B262" s="9">
        <v>11</v>
      </c>
      <c r="C262" s="9">
        <v>5</v>
      </c>
      <c r="D262" s="9">
        <v>36</v>
      </c>
      <c r="E262" s="9">
        <v>4.8</v>
      </c>
      <c r="F262" s="9">
        <v>0.83</v>
      </c>
      <c r="G262" s="9">
        <v>0.89</v>
      </c>
      <c r="H262" s="7" t="s">
        <v>49</v>
      </c>
    </row>
    <row r="263" spans="1:8" x14ac:dyDescent="0.2">
      <c r="A263" s="9">
        <v>0</v>
      </c>
      <c r="B263" s="9">
        <v>5</v>
      </c>
      <c r="C263" s="9">
        <v>12</v>
      </c>
      <c r="D263" s="9">
        <v>20</v>
      </c>
      <c r="E263" s="9">
        <v>8.1</v>
      </c>
      <c r="F263" s="9">
        <v>0.73</v>
      </c>
      <c r="G263" s="9">
        <v>0.89</v>
      </c>
      <c r="H263" s="7" t="s">
        <v>49</v>
      </c>
    </row>
    <row r="264" spans="1:8" x14ac:dyDescent="0.2">
      <c r="A264" s="9">
        <v>0</v>
      </c>
      <c r="B264" s="9">
        <v>4</v>
      </c>
      <c r="C264" s="9">
        <v>0</v>
      </c>
      <c r="D264" s="9">
        <v>33</v>
      </c>
      <c r="E264" s="9">
        <v>4.2</v>
      </c>
      <c r="F264" s="9">
        <v>0.5</v>
      </c>
      <c r="G264" s="9">
        <v>0.89</v>
      </c>
      <c r="H264" s="7" t="s">
        <v>49</v>
      </c>
    </row>
    <row r="265" spans="1:8" x14ac:dyDescent="0.2">
      <c r="A265" s="9">
        <v>0</v>
      </c>
      <c r="B265" s="9">
        <v>4</v>
      </c>
      <c r="C265" s="9">
        <v>10</v>
      </c>
      <c r="D265" s="9">
        <v>25</v>
      </c>
      <c r="E265" s="9">
        <v>5.8</v>
      </c>
      <c r="F265" s="9">
        <v>0.56999999999999995</v>
      </c>
      <c r="G265" s="9">
        <v>0.88</v>
      </c>
      <c r="H265" s="7" t="s">
        <v>49</v>
      </c>
    </row>
    <row r="266" spans="1:8" x14ac:dyDescent="0.2">
      <c r="A266" s="9">
        <v>1</v>
      </c>
      <c r="B266" s="9">
        <v>1</v>
      </c>
      <c r="C266" s="9">
        <v>0</v>
      </c>
      <c r="D266" s="9">
        <v>20</v>
      </c>
      <c r="E266" s="9">
        <v>6.7</v>
      </c>
      <c r="F266" s="9">
        <v>0.47</v>
      </c>
      <c r="G266" s="9">
        <v>0.87</v>
      </c>
      <c r="H266" s="7" t="s">
        <v>49</v>
      </c>
    </row>
    <row r="267" spans="1:8" x14ac:dyDescent="0.2">
      <c r="A267" s="9">
        <v>0</v>
      </c>
      <c r="B267" s="9">
        <v>9</v>
      </c>
      <c r="C267" s="9">
        <v>5</v>
      </c>
      <c r="D267" s="9">
        <v>26</v>
      </c>
      <c r="E267" s="9">
        <v>4.5</v>
      </c>
      <c r="F267" s="9">
        <v>0.31</v>
      </c>
      <c r="G267" s="9">
        <v>0.86</v>
      </c>
      <c r="H267" s="7" t="s">
        <v>49</v>
      </c>
    </row>
    <row r="268" spans="1:8" x14ac:dyDescent="0.2">
      <c r="A268" s="9">
        <v>0</v>
      </c>
      <c r="B268" s="9">
        <v>2</v>
      </c>
      <c r="C268" s="9">
        <v>7</v>
      </c>
      <c r="D268" s="9">
        <v>26</v>
      </c>
      <c r="E268" s="9">
        <v>6</v>
      </c>
      <c r="F268" s="9">
        <v>0.72</v>
      </c>
      <c r="G268" s="9">
        <v>0.84</v>
      </c>
      <c r="H268" s="7" t="s">
        <v>49</v>
      </c>
    </row>
    <row r="269" spans="1:8" x14ac:dyDescent="0.2">
      <c r="A269" s="9">
        <v>0</v>
      </c>
      <c r="B269" s="9">
        <v>9</v>
      </c>
      <c r="C269" s="9">
        <v>10</v>
      </c>
      <c r="D269" s="9">
        <v>28</v>
      </c>
      <c r="E269" s="9">
        <v>4.3</v>
      </c>
      <c r="F269" s="9">
        <v>0.38</v>
      </c>
      <c r="G269" s="9">
        <v>0.83</v>
      </c>
      <c r="H269" s="7" t="s">
        <v>49</v>
      </c>
    </row>
    <row r="270" spans="1:8" x14ac:dyDescent="0.2">
      <c r="A270" s="9">
        <v>0</v>
      </c>
      <c r="B270" s="9">
        <v>15</v>
      </c>
      <c r="C270" s="9">
        <v>14</v>
      </c>
      <c r="D270" s="13">
        <v>117.54291069294821</v>
      </c>
      <c r="E270" s="9">
        <v>2.9</v>
      </c>
      <c r="F270" s="9">
        <v>2.66</v>
      </c>
      <c r="G270" s="9">
        <v>0.82</v>
      </c>
      <c r="H270" s="7" t="s">
        <v>49</v>
      </c>
    </row>
    <row r="271" spans="1:8" x14ac:dyDescent="0.2">
      <c r="A271" s="9">
        <v>0</v>
      </c>
      <c r="B271" s="9">
        <v>8</v>
      </c>
      <c r="C271" s="9">
        <v>4</v>
      </c>
      <c r="D271" s="9">
        <v>24</v>
      </c>
      <c r="E271" s="9">
        <v>5</v>
      </c>
      <c r="F271" s="9">
        <v>0.38</v>
      </c>
      <c r="G271" s="9">
        <v>0.82</v>
      </c>
      <c r="H271" s="7" t="s">
        <v>49</v>
      </c>
    </row>
    <row r="272" spans="1:8" x14ac:dyDescent="0.2">
      <c r="A272" s="9">
        <v>1</v>
      </c>
      <c r="B272" s="9">
        <v>1</v>
      </c>
      <c r="C272" s="9">
        <v>0</v>
      </c>
      <c r="D272" s="9">
        <v>18</v>
      </c>
      <c r="E272" s="9">
        <v>5.9</v>
      </c>
      <c r="F272" s="9">
        <v>0.24</v>
      </c>
      <c r="G272" s="9">
        <v>0.82</v>
      </c>
      <c r="H272" s="7" t="s">
        <v>49</v>
      </c>
    </row>
    <row r="273" spans="1:8" x14ac:dyDescent="0.2">
      <c r="A273" s="9">
        <v>0</v>
      </c>
      <c r="B273" s="9">
        <v>5</v>
      </c>
      <c r="C273" s="9">
        <v>1</v>
      </c>
      <c r="D273" s="9">
        <v>33</v>
      </c>
      <c r="E273" s="9">
        <v>2.8</v>
      </c>
      <c r="F273" s="9">
        <v>0.1</v>
      </c>
      <c r="G273" s="9">
        <v>0.82</v>
      </c>
      <c r="H273" s="7" t="s">
        <v>49</v>
      </c>
    </row>
    <row r="274" spans="1:8" x14ac:dyDescent="0.2">
      <c r="A274" s="9">
        <v>0</v>
      </c>
      <c r="B274" s="9">
        <v>8</v>
      </c>
      <c r="C274" s="9">
        <v>11</v>
      </c>
      <c r="D274" s="9">
        <v>45</v>
      </c>
      <c r="E274" s="9">
        <v>3.3</v>
      </c>
      <c r="F274" s="9">
        <v>0.68</v>
      </c>
      <c r="G274" s="9">
        <v>0.81</v>
      </c>
      <c r="H274" s="7" t="s">
        <v>49</v>
      </c>
    </row>
    <row r="275" spans="1:8" x14ac:dyDescent="0.2">
      <c r="A275" s="9">
        <v>0</v>
      </c>
      <c r="B275" s="9">
        <v>7</v>
      </c>
      <c r="C275" s="9">
        <v>2</v>
      </c>
      <c r="D275" s="9">
        <v>21</v>
      </c>
      <c r="E275" s="9">
        <v>6.3</v>
      </c>
      <c r="F275" s="9">
        <v>0.52</v>
      </c>
      <c r="G275" s="9">
        <v>0.8</v>
      </c>
      <c r="H275" s="7" t="s">
        <v>49</v>
      </c>
    </row>
    <row r="276" spans="1:8" x14ac:dyDescent="0.2">
      <c r="A276" s="9">
        <v>0</v>
      </c>
      <c r="B276" s="9">
        <v>7</v>
      </c>
      <c r="C276" s="9">
        <v>0</v>
      </c>
      <c r="D276" s="9">
        <v>22</v>
      </c>
      <c r="E276" s="9">
        <v>6.4</v>
      </c>
      <c r="F276" s="9">
        <v>0.63</v>
      </c>
      <c r="G276" s="9">
        <v>0.78</v>
      </c>
      <c r="H276" s="7" t="s">
        <v>49</v>
      </c>
    </row>
    <row r="277" spans="1:8" x14ac:dyDescent="0.2">
      <c r="A277" s="9">
        <v>0</v>
      </c>
      <c r="B277" s="9">
        <v>4</v>
      </c>
      <c r="C277" s="9">
        <v>3</v>
      </c>
      <c r="D277" s="9">
        <v>20</v>
      </c>
      <c r="E277" s="9">
        <v>5.4</v>
      </c>
      <c r="F277" s="9">
        <v>0.32</v>
      </c>
      <c r="G277" s="9">
        <v>0.76</v>
      </c>
      <c r="H277" s="7" t="s">
        <v>49</v>
      </c>
    </row>
    <row r="278" spans="1:8" x14ac:dyDescent="0.2">
      <c r="A278" s="9">
        <v>0</v>
      </c>
      <c r="B278" s="9">
        <v>14</v>
      </c>
      <c r="C278" s="9">
        <v>2</v>
      </c>
      <c r="D278" s="9">
        <v>37</v>
      </c>
      <c r="E278" s="9">
        <v>2.6</v>
      </c>
      <c r="F278" s="9">
        <v>0.2</v>
      </c>
      <c r="G278" s="9">
        <v>0.76</v>
      </c>
      <c r="H278" s="7" t="s">
        <v>49</v>
      </c>
    </row>
    <row r="279" spans="1:8" x14ac:dyDescent="0.2">
      <c r="A279" s="9">
        <v>0</v>
      </c>
      <c r="B279" s="9">
        <v>19</v>
      </c>
      <c r="C279" s="9">
        <v>16</v>
      </c>
      <c r="D279" s="9">
        <v>45</v>
      </c>
      <c r="E279" s="9">
        <v>3.7</v>
      </c>
      <c r="F279" s="9">
        <v>0.92</v>
      </c>
      <c r="G279" s="9">
        <v>0.75</v>
      </c>
      <c r="H279" s="7" t="s">
        <v>49</v>
      </c>
    </row>
    <row r="280" spans="1:8" x14ac:dyDescent="0.2">
      <c r="A280" s="9">
        <v>1</v>
      </c>
      <c r="B280" s="9">
        <v>7</v>
      </c>
      <c r="C280" s="9">
        <v>8</v>
      </c>
      <c r="D280" s="9">
        <v>30</v>
      </c>
      <c r="E280" s="9">
        <v>4</v>
      </c>
      <c r="F280" s="9">
        <v>0.45</v>
      </c>
      <c r="G280" s="9">
        <v>0.75</v>
      </c>
      <c r="H280" s="7" t="s">
        <v>49</v>
      </c>
    </row>
    <row r="281" spans="1:8" x14ac:dyDescent="0.2">
      <c r="A281" s="9">
        <v>1</v>
      </c>
      <c r="B281" s="9">
        <v>0</v>
      </c>
      <c r="C281" s="9">
        <v>6</v>
      </c>
      <c r="D281" s="9">
        <v>18</v>
      </c>
      <c r="E281" s="9">
        <v>5.8</v>
      </c>
      <c r="F281" s="9">
        <v>0.3</v>
      </c>
      <c r="G281" s="9">
        <v>0.75</v>
      </c>
      <c r="H281" s="7" t="s">
        <v>49</v>
      </c>
    </row>
    <row r="282" spans="1:8" x14ac:dyDescent="0.2">
      <c r="A282" s="9">
        <v>1</v>
      </c>
      <c r="B282" s="9">
        <v>0</v>
      </c>
      <c r="C282" s="9">
        <v>0</v>
      </c>
      <c r="D282" s="9">
        <v>14</v>
      </c>
      <c r="E282" s="9">
        <v>7.5</v>
      </c>
      <c r="F282" s="9">
        <v>0.3</v>
      </c>
      <c r="G282" s="9">
        <v>0.75</v>
      </c>
      <c r="H282" s="7" t="s">
        <v>49</v>
      </c>
    </row>
    <row r="283" spans="1:8" x14ac:dyDescent="0.2">
      <c r="A283" s="9">
        <v>1</v>
      </c>
      <c r="B283" s="9">
        <v>2</v>
      </c>
      <c r="C283" s="9">
        <v>5</v>
      </c>
      <c r="D283" s="9">
        <v>16</v>
      </c>
      <c r="E283" s="9">
        <v>6.4</v>
      </c>
      <c r="F283" s="9">
        <v>0.27</v>
      </c>
      <c r="G283" s="9">
        <v>0.75</v>
      </c>
      <c r="H283" s="7" t="s">
        <v>49</v>
      </c>
    </row>
    <row r="284" spans="1:8" x14ac:dyDescent="0.2">
      <c r="A284" s="9">
        <v>1</v>
      </c>
      <c r="B284" s="9">
        <v>0</v>
      </c>
      <c r="C284" s="9">
        <v>18</v>
      </c>
      <c r="D284" s="9">
        <v>18</v>
      </c>
      <c r="E284" s="9">
        <v>12.9</v>
      </c>
      <c r="F284" s="9">
        <v>1.58</v>
      </c>
      <c r="G284" s="9">
        <v>0.74</v>
      </c>
      <c r="H284" s="7" t="s">
        <v>49</v>
      </c>
    </row>
    <row r="285" spans="1:8" x14ac:dyDescent="0.2">
      <c r="A285" s="9">
        <v>0</v>
      </c>
      <c r="B285" s="9">
        <v>8</v>
      </c>
      <c r="C285" s="9">
        <v>6</v>
      </c>
      <c r="D285" s="9">
        <v>26</v>
      </c>
      <c r="E285" s="9">
        <v>4.0999999999999996</v>
      </c>
      <c r="F285" s="9">
        <v>0.33</v>
      </c>
      <c r="G285" s="9">
        <v>0.74</v>
      </c>
      <c r="H285" s="7" t="s">
        <v>49</v>
      </c>
    </row>
    <row r="286" spans="1:8" x14ac:dyDescent="0.2">
      <c r="A286" s="9">
        <v>0</v>
      </c>
      <c r="B286" s="9">
        <v>2</v>
      </c>
      <c r="C286" s="9">
        <v>8</v>
      </c>
      <c r="D286" s="9">
        <v>25</v>
      </c>
      <c r="E286" s="9">
        <v>10</v>
      </c>
      <c r="F286" s="9">
        <v>1.77</v>
      </c>
      <c r="G286" s="9">
        <v>0.73</v>
      </c>
      <c r="H286" s="7" t="s">
        <v>49</v>
      </c>
    </row>
    <row r="287" spans="1:8" x14ac:dyDescent="0.2">
      <c r="A287" s="9">
        <v>1</v>
      </c>
      <c r="B287" s="9">
        <v>2</v>
      </c>
      <c r="C287" s="9">
        <v>2</v>
      </c>
      <c r="D287" s="9">
        <v>16</v>
      </c>
      <c r="E287" s="9">
        <v>9.6</v>
      </c>
      <c r="F287" s="9">
        <v>0.8</v>
      </c>
      <c r="G287" s="9">
        <v>0.73</v>
      </c>
      <c r="H287" s="7" t="s">
        <v>49</v>
      </c>
    </row>
    <row r="288" spans="1:8" x14ac:dyDescent="0.2">
      <c r="A288" s="9">
        <v>0</v>
      </c>
      <c r="B288" s="9">
        <v>5</v>
      </c>
      <c r="C288" s="9">
        <v>9</v>
      </c>
      <c r="D288" s="9">
        <v>23</v>
      </c>
      <c r="E288" s="9">
        <v>4.5</v>
      </c>
      <c r="F288" s="9">
        <v>0.33</v>
      </c>
      <c r="G288" s="9">
        <v>0.71</v>
      </c>
      <c r="H288" s="7" t="s">
        <v>49</v>
      </c>
    </row>
    <row r="289" spans="1:8" x14ac:dyDescent="0.2">
      <c r="A289" s="9">
        <v>0</v>
      </c>
      <c r="B289" s="9">
        <v>12</v>
      </c>
      <c r="C289" s="9">
        <v>12</v>
      </c>
      <c r="D289" s="9">
        <v>28</v>
      </c>
      <c r="E289" s="9">
        <v>2.9</v>
      </c>
      <c r="F289" s="9">
        <v>0.12</v>
      </c>
      <c r="G289" s="9">
        <v>0.7</v>
      </c>
      <c r="H289" s="7" t="s">
        <v>49</v>
      </c>
    </row>
    <row r="290" spans="1:8" x14ac:dyDescent="0.2">
      <c r="A290" s="9">
        <v>0</v>
      </c>
      <c r="B290" s="9">
        <v>13</v>
      </c>
      <c r="C290" s="9">
        <v>2</v>
      </c>
      <c r="D290" s="9">
        <v>28</v>
      </c>
      <c r="E290" s="9">
        <v>5.9</v>
      </c>
      <c r="F290" s="9">
        <v>0.96</v>
      </c>
      <c r="G290" s="9">
        <v>0.69</v>
      </c>
      <c r="H290" s="7" t="s">
        <v>49</v>
      </c>
    </row>
    <row r="291" spans="1:8" x14ac:dyDescent="0.2">
      <c r="A291" s="9">
        <v>0</v>
      </c>
      <c r="B291" s="9">
        <v>8</v>
      </c>
      <c r="C291" s="9">
        <v>2</v>
      </c>
      <c r="D291" s="9">
        <v>45</v>
      </c>
      <c r="E291" s="9">
        <v>3.7</v>
      </c>
      <c r="F291" s="9">
        <v>0.98</v>
      </c>
      <c r="G291" s="9">
        <v>0.68</v>
      </c>
      <c r="H291" s="7" t="s">
        <v>49</v>
      </c>
    </row>
    <row r="292" spans="1:8" x14ac:dyDescent="0.2">
      <c r="A292" s="9">
        <v>0</v>
      </c>
      <c r="B292" s="9">
        <v>13</v>
      </c>
      <c r="C292" s="9">
        <v>10</v>
      </c>
      <c r="D292" s="9">
        <v>44</v>
      </c>
      <c r="E292" s="9">
        <v>1.7</v>
      </c>
      <c r="F292" s="9">
        <v>7.0000000000000007E-2</v>
      </c>
      <c r="G292" s="9">
        <v>0.68</v>
      </c>
      <c r="H292" s="7" t="s">
        <v>49</v>
      </c>
    </row>
    <row r="293" spans="1:8" x14ac:dyDescent="0.2">
      <c r="A293" s="9">
        <v>1</v>
      </c>
      <c r="B293" s="9">
        <v>1</v>
      </c>
      <c r="C293" s="9">
        <v>0</v>
      </c>
      <c r="D293" s="9">
        <v>20</v>
      </c>
      <c r="E293" s="9">
        <v>4.8</v>
      </c>
      <c r="F293" s="9">
        <v>0.31</v>
      </c>
      <c r="G293" s="9">
        <v>0.65</v>
      </c>
      <c r="H293" s="7" t="s">
        <v>49</v>
      </c>
    </row>
    <row r="294" spans="1:8" x14ac:dyDescent="0.2">
      <c r="A294" s="9">
        <v>0</v>
      </c>
      <c r="B294" s="9">
        <v>3</v>
      </c>
      <c r="C294" s="9">
        <v>3</v>
      </c>
      <c r="D294" s="9">
        <v>25</v>
      </c>
      <c r="E294" s="9">
        <v>3.7</v>
      </c>
      <c r="F294" s="9">
        <v>0.28000000000000003</v>
      </c>
      <c r="G294" s="9">
        <v>0.65</v>
      </c>
      <c r="H294" s="7" t="s">
        <v>49</v>
      </c>
    </row>
    <row r="295" spans="1:8" x14ac:dyDescent="0.2">
      <c r="A295" s="9">
        <v>0</v>
      </c>
      <c r="B295" s="9">
        <v>9</v>
      </c>
      <c r="C295" s="9">
        <v>10</v>
      </c>
      <c r="D295" s="9">
        <v>28</v>
      </c>
      <c r="E295" s="9">
        <v>2.4</v>
      </c>
      <c r="F295" s="9">
        <v>0.05</v>
      </c>
      <c r="G295" s="9">
        <v>0.62</v>
      </c>
      <c r="H295" s="7" t="s">
        <v>49</v>
      </c>
    </row>
    <row r="296" spans="1:8" x14ac:dyDescent="0.2">
      <c r="A296" s="9">
        <v>0</v>
      </c>
      <c r="B296" s="9">
        <v>3</v>
      </c>
      <c r="C296" s="9">
        <v>18</v>
      </c>
      <c r="D296" s="9">
        <v>25</v>
      </c>
      <c r="E296" s="9">
        <v>3.7</v>
      </c>
      <c r="F296" s="9">
        <v>0.31</v>
      </c>
      <c r="G296" s="9">
        <v>0.61</v>
      </c>
      <c r="H296" s="7" t="s">
        <v>49</v>
      </c>
    </row>
    <row r="297" spans="1:8" x14ac:dyDescent="0.2">
      <c r="A297" s="9">
        <v>0</v>
      </c>
      <c r="B297" s="9">
        <v>14</v>
      </c>
      <c r="C297" s="9">
        <v>0</v>
      </c>
      <c r="D297" s="9">
        <v>36</v>
      </c>
      <c r="E297" s="9">
        <v>2.4</v>
      </c>
      <c r="F297" s="9">
        <v>0.27</v>
      </c>
      <c r="G297" s="9">
        <v>0.59</v>
      </c>
      <c r="H297" s="7" t="s">
        <v>49</v>
      </c>
    </row>
    <row r="298" spans="1:8" x14ac:dyDescent="0.2">
      <c r="A298" s="9">
        <v>0</v>
      </c>
      <c r="B298" s="9">
        <v>13</v>
      </c>
      <c r="C298" s="9">
        <v>3</v>
      </c>
      <c r="D298" s="9">
        <v>105</v>
      </c>
      <c r="E298" s="9">
        <v>1.9</v>
      </c>
      <c r="F298" s="9">
        <v>1.42</v>
      </c>
      <c r="G298" s="9">
        <v>0.57999999999999996</v>
      </c>
      <c r="H298" s="7" t="s">
        <v>49</v>
      </c>
    </row>
    <row r="299" spans="1:8" x14ac:dyDescent="0.2">
      <c r="A299" s="9">
        <v>0</v>
      </c>
      <c r="B299" s="9">
        <v>6</v>
      </c>
      <c r="C299" s="9">
        <v>0</v>
      </c>
      <c r="D299" s="9">
        <v>35</v>
      </c>
      <c r="E299" s="9">
        <v>1.9</v>
      </c>
      <c r="F299" s="9">
        <v>0.09</v>
      </c>
      <c r="G299" s="9">
        <v>0.57999999999999996</v>
      </c>
      <c r="H299" s="7" t="s">
        <v>49</v>
      </c>
    </row>
    <row r="300" spans="1:8" x14ac:dyDescent="0.2">
      <c r="A300" s="9">
        <v>1</v>
      </c>
      <c r="B300" s="9">
        <v>2</v>
      </c>
      <c r="C300" s="9">
        <v>4</v>
      </c>
      <c r="D300" s="9">
        <v>41</v>
      </c>
      <c r="E300" s="9">
        <v>2.5</v>
      </c>
      <c r="F300" s="9">
        <v>0.46</v>
      </c>
      <c r="G300" s="9">
        <v>0.56999999999999995</v>
      </c>
      <c r="H300" s="7" t="s">
        <v>49</v>
      </c>
    </row>
    <row r="301" spans="1:8" x14ac:dyDescent="0.2">
      <c r="A301" s="9">
        <v>0</v>
      </c>
      <c r="B301" s="9">
        <v>15</v>
      </c>
      <c r="C301" s="9">
        <v>10</v>
      </c>
      <c r="D301" s="9">
        <v>39</v>
      </c>
      <c r="E301" s="9">
        <v>3.2</v>
      </c>
      <c r="F301" s="9">
        <v>0.69</v>
      </c>
      <c r="G301" s="9">
        <v>0.56000000000000005</v>
      </c>
      <c r="H301" s="7" t="s">
        <v>49</v>
      </c>
    </row>
    <row r="302" spans="1:8" x14ac:dyDescent="0.2">
      <c r="A302" s="9">
        <v>0</v>
      </c>
      <c r="B302" s="9">
        <v>18</v>
      </c>
      <c r="C302" s="9">
        <v>9</v>
      </c>
      <c r="D302" s="9">
        <v>44</v>
      </c>
      <c r="E302" s="9">
        <v>2.1</v>
      </c>
      <c r="F302" s="9">
        <v>0.37</v>
      </c>
      <c r="G302" s="9">
        <v>0.56000000000000005</v>
      </c>
      <c r="H302" s="7" t="s">
        <v>49</v>
      </c>
    </row>
    <row r="303" spans="1:8" x14ac:dyDescent="0.2">
      <c r="A303" s="9">
        <v>0</v>
      </c>
      <c r="B303" s="9">
        <v>8</v>
      </c>
      <c r="C303" s="9">
        <v>0</v>
      </c>
      <c r="D303" s="9">
        <v>21</v>
      </c>
      <c r="E303" s="9">
        <v>4</v>
      </c>
      <c r="F303" s="9">
        <v>0.28000000000000003</v>
      </c>
      <c r="G303" s="9">
        <v>0.56000000000000005</v>
      </c>
      <c r="H303" s="7" t="s">
        <v>49</v>
      </c>
    </row>
    <row r="304" spans="1:8" x14ac:dyDescent="0.2">
      <c r="A304" s="9">
        <v>0</v>
      </c>
      <c r="B304" s="9">
        <v>15</v>
      </c>
      <c r="C304" s="9">
        <v>16</v>
      </c>
      <c r="D304" s="9">
        <v>39</v>
      </c>
      <c r="E304" s="9">
        <v>1.8</v>
      </c>
      <c r="F304" s="9">
        <v>0.14000000000000001</v>
      </c>
      <c r="G304" s="9">
        <v>0.56000000000000005</v>
      </c>
      <c r="H304" s="7" t="s">
        <v>49</v>
      </c>
    </row>
    <row r="305" spans="1:8" x14ac:dyDescent="0.2">
      <c r="A305" s="9">
        <v>0</v>
      </c>
      <c r="B305" s="9">
        <v>13</v>
      </c>
      <c r="C305" s="9">
        <v>7</v>
      </c>
      <c r="D305" s="9">
        <v>27</v>
      </c>
      <c r="E305" s="9">
        <v>2.2999999999999998</v>
      </c>
      <c r="F305" s="9">
        <v>7.0000000000000007E-2</v>
      </c>
      <c r="G305" s="9">
        <v>0.55000000000000004</v>
      </c>
      <c r="H305" s="7" t="s">
        <v>49</v>
      </c>
    </row>
    <row r="306" spans="1:8" x14ac:dyDescent="0.2">
      <c r="A306" s="9">
        <v>0</v>
      </c>
      <c r="B306" s="9">
        <v>5</v>
      </c>
      <c r="C306" s="9">
        <v>6</v>
      </c>
      <c r="D306" s="9">
        <v>75</v>
      </c>
      <c r="E306" s="9">
        <v>1.9</v>
      </c>
      <c r="F306" s="9">
        <v>0.88</v>
      </c>
      <c r="G306" s="9">
        <v>0.54</v>
      </c>
      <c r="H306" s="7" t="s">
        <v>49</v>
      </c>
    </row>
    <row r="307" spans="1:8" x14ac:dyDescent="0.2">
      <c r="A307" s="9">
        <v>0</v>
      </c>
      <c r="B307" s="9">
        <v>4</v>
      </c>
      <c r="C307" s="9">
        <v>9</v>
      </c>
      <c r="D307" s="9">
        <v>19</v>
      </c>
      <c r="E307" s="9">
        <v>6.3</v>
      </c>
      <c r="F307" s="9">
        <v>0.68</v>
      </c>
      <c r="G307" s="9">
        <v>0.52</v>
      </c>
      <c r="H307" s="7" t="s">
        <v>49</v>
      </c>
    </row>
    <row r="308" spans="1:8" x14ac:dyDescent="0.2">
      <c r="A308" s="9">
        <v>0</v>
      </c>
      <c r="B308" s="9">
        <v>20</v>
      </c>
      <c r="C308" s="9">
        <v>2</v>
      </c>
      <c r="D308" s="9">
        <v>56</v>
      </c>
      <c r="E308" s="9">
        <v>1.9</v>
      </c>
      <c r="F308" s="9">
        <v>0.54</v>
      </c>
      <c r="G308" s="9">
        <v>0.52</v>
      </c>
      <c r="H308" s="7" t="s">
        <v>49</v>
      </c>
    </row>
    <row r="309" spans="1:8" x14ac:dyDescent="0.2">
      <c r="A309" s="9">
        <v>0</v>
      </c>
      <c r="B309" s="9">
        <v>1</v>
      </c>
      <c r="C309" s="9">
        <v>0</v>
      </c>
      <c r="D309" s="9">
        <v>18</v>
      </c>
      <c r="E309" s="9">
        <v>4.4000000000000004</v>
      </c>
      <c r="F309" s="9">
        <v>0.27</v>
      </c>
      <c r="G309" s="9">
        <v>0.52</v>
      </c>
      <c r="H309" s="7" t="s">
        <v>49</v>
      </c>
    </row>
    <row r="310" spans="1:8" x14ac:dyDescent="0.2">
      <c r="A310" s="9">
        <v>0</v>
      </c>
      <c r="B310" s="9">
        <v>3</v>
      </c>
      <c r="C310" s="9">
        <v>7</v>
      </c>
      <c r="D310" s="9">
        <v>19</v>
      </c>
      <c r="E310" s="9">
        <v>4.0999999999999996</v>
      </c>
      <c r="F310" s="9">
        <v>0.26</v>
      </c>
      <c r="G310" s="9">
        <v>0.52</v>
      </c>
      <c r="H310" s="7" t="s">
        <v>49</v>
      </c>
    </row>
    <row r="311" spans="1:8" x14ac:dyDescent="0.2">
      <c r="A311" s="9">
        <v>0</v>
      </c>
      <c r="B311" s="9">
        <v>22</v>
      </c>
      <c r="C311" s="9">
        <v>3</v>
      </c>
      <c r="D311" s="9">
        <v>52</v>
      </c>
      <c r="E311" s="9">
        <v>3.2</v>
      </c>
      <c r="F311" s="9">
        <v>1.1499999999999999</v>
      </c>
      <c r="G311" s="9">
        <v>0.51</v>
      </c>
      <c r="H311" s="7" t="s">
        <v>49</v>
      </c>
    </row>
    <row r="312" spans="1:8" x14ac:dyDescent="0.2">
      <c r="A312" s="9">
        <v>0</v>
      </c>
      <c r="B312" s="9">
        <v>10</v>
      </c>
      <c r="C312" s="9">
        <v>2</v>
      </c>
      <c r="D312" s="9">
        <v>19</v>
      </c>
      <c r="E312" s="9">
        <v>4.4000000000000004</v>
      </c>
      <c r="F312" s="9">
        <v>0.34</v>
      </c>
      <c r="G312" s="9">
        <v>0.5</v>
      </c>
      <c r="H312" s="7" t="s">
        <v>49</v>
      </c>
    </row>
    <row r="313" spans="1:8" x14ac:dyDescent="0.2">
      <c r="A313" s="9">
        <v>0</v>
      </c>
      <c r="B313" s="9">
        <v>8</v>
      </c>
      <c r="C313" s="9">
        <v>0</v>
      </c>
      <c r="D313" s="9">
        <v>32</v>
      </c>
      <c r="E313" s="9">
        <v>1.6</v>
      </c>
      <c r="F313" s="9">
        <v>0.02</v>
      </c>
      <c r="G313" s="9">
        <v>0.49</v>
      </c>
      <c r="H313" s="7" t="s">
        <v>49</v>
      </c>
    </row>
    <row r="314" spans="1:8" x14ac:dyDescent="0.2">
      <c r="A314" s="9">
        <v>0</v>
      </c>
      <c r="B314" s="9">
        <v>5</v>
      </c>
      <c r="C314" s="9">
        <v>9</v>
      </c>
      <c r="D314" s="9">
        <v>22</v>
      </c>
      <c r="E314" s="9">
        <v>2.8</v>
      </c>
      <c r="F314" s="9">
        <v>0.14000000000000001</v>
      </c>
      <c r="G314" s="9">
        <v>0.48</v>
      </c>
      <c r="H314" s="7" t="s">
        <v>49</v>
      </c>
    </row>
    <row r="315" spans="1:8" x14ac:dyDescent="0.2">
      <c r="A315" s="9">
        <v>0</v>
      </c>
      <c r="B315" s="9">
        <v>10</v>
      </c>
      <c r="C315" s="9">
        <v>1</v>
      </c>
      <c r="D315" s="9">
        <v>25</v>
      </c>
      <c r="E315" s="9">
        <v>7.1</v>
      </c>
      <c r="F315" s="9">
        <v>1.31</v>
      </c>
      <c r="G315" s="9">
        <v>0.47</v>
      </c>
      <c r="H315" s="7" t="s">
        <v>49</v>
      </c>
    </row>
    <row r="316" spans="1:8" x14ac:dyDescent="0.2">
      <c r="A316" s="9">
        <v>0</v>
      </c>
      <c r="B316" s="9">
        <v>8</v>
      </c>
      <c r="C316" s="9">
        <v>17</v>
      </c>
      <c r="D316" s="9">
        <v>28</v>
      </c>
      <c r="E316" s="9">
        <v>3.6</v>
      </c>
      <c r="F316" s="9">
        <v>0.53</v>
      </c>
      <c r="G316" s="9">
        <v>0.47</v>
      </c>
      <c r="H316" s="7" t="s">
        <v>49</v>
      </c>
    </row>
    <row r="317" spans="1:8" x14ac:dyDescent="0.2">
      <c r="A317" s="9">
        <v>0</v>
      </c>
      <c r="B317" s="9">
        <v>1</v>
      </c>
      <c r="C317" s="9">
        <v>7</v>
      </c>
      <c r="D317" s="9">
        <v>27</v>
      </c>
      <c r="E317" s="9">
        <v>2.9</v>
      </c>
      <c r="F317" s="9">
        <v>0.31</v>
      </c>
      <c r="G317" s="9">
        <v>0.47</v>
      </c>
      <c r="H317" s="7" t="s">
        <v>49</v>
      </c>
    </row>
    <row r="318" spans="1:8" x14ac:dyDescent="0.2">
      <c r="A318" s="9">
        <v>0</v>
      </c>
      <c r="B318" s="9">
        <v>3</v>
      </c>
      <c r="C318" s="9">
        <v>13</v>
      </c>
      <c r="D318" s="9">
        <v>47</v>
      </c>
      <c r="E318" s="9">
        <v>1.9</v>
      </c>
      <c r="F318" s="9">
        <v>0.43</v>
      </c>
      <c r="G318" s="9">
        <v>0.46</v>
      </c>
      <c r="H318" s="7" t="s">
        <v>49</v>
      </c>
    </row>
    <row r="319" spans="1:8" x14ac:dyDescent="0.2">
      <c r="A319" s="9">
        <v>0</v>
      </c>
      <c r="B319" s="9">
        <v>3</v>
      </c>
      <c r="C319" s="9">
        <v>0</v>
      </c>
      <c r="D319" s="9">
        <v>19</v>
      </c>
      <c r="E319" s="9">
        <v>4.3</v>
      </c>
      <c r="F319" s="9">
        <v>0.36</v>
      </c>
      <c r="G319" s="9">
        <v>0.46</v>
      </c>
      <c r="H319" s="7" t="s">
        <v>49</v>
      </c>
    </row>
    <row r="320" spans="1:8" x14ac:dyDescent="0.2">
      <c r="A320" s="9">
        <v>0</v>
      </c>
      <c r="B320" s="9">
        <v>4</v>
      </c>
      <c r="C320" s="9">
        <v>13</v>
      </c>
      <c r="D320" s="9">
        <v>56</v>
      </c>
      <c r="E320" s="9">
        <v>1.6</v>
      </c>
      <c r="F320" s="9">
        <v>0.44</v>
      </c>
      <c r="G320" s="9">
        <v>0.45</v>
      </c>
      <c r="H320" s="7" t="s">
        <v>49</v>
      </c>
    </row>
    <row r="321" spans="1:8" x14ac:dyDescent="0.2">
      <c r="A321" s="9">
        <v>0</v>
      </c>
      <c r="B321" s="9">
        <v>4</v>
      </c>
      <c r="C321" s="9">
        <v>2</v>
      </c>
      <c r="D321" s="9">
        <v>21</v>
      </c>
      <c r="E321" s="9">
        <v>2.6</v>
      </c>
      <c r="F321" s="9">
        <v>0.1</v>
      </c>
      <c r="G321" s="9">
        <v>0.45</v>
      </c>
      <c r="H321" s="7" t="s">
        <v>49</v>
      </c>
    </row>
    <row r="322" spans="1:8" x14ac:dyDescent="0.2">
      <c r="A322" s="9">
        <v>0</v>
      </c>
      <c r="B322" s="9">
        <v>14</v>
      </c>
      <c r="C322" s="9">
        <v>3</v>
      </c>
      <c r="D322" s="9">
        <v>44</v>
      </c>
      <c r="E322" s="9">
        <v>1.7</v>
      </c>
      <c r="F322" s="9">
        <v>0.35</v>
      </c>
      <c r="G322" s="9">
        <v>0.39</v>
      </c>
      <c r="H322" s="7" t="s">
        <v>49</v>
      </c>
    </row>
    <row r="323" spans="1:8" x14ac:dyDescent="0.2">
      <c r="A323" s="9">
        <v>1</v>
      </c>
      <c r="B323" s="9">
        <v>4</v>
      </c>
      <c r="C323" s="9">
        <v>3</v>
      </c>
      <c r="D323" s="9">
        <v>27</v>
      </c>
      <c r="E323" s="9">
        <v>10.5</v>
      </c>
      <c r="F323" s="9">
        <v>2.4700000000000002</v>
      </c>
      <c r="G323" s="9">
        <v>0.36</v>
      </c>
      <c r="H323" s="7" t="s">
        <v>49</v>
      </c>
    </row>
    <row r="324" spans="1:8" x14ac:dyDescent="0.2">
      <c r="A324" s="9">
        <v>0</v>
      </c>
      <c r="B324" s="9">
        <v>16</v>
      </c>
      <c r="C324" s="9">
        <v>22</v>
      </c>
      <c r="D324" s="9">
        <v>49</v>
      </c>
      <c r="E324" s="9">
        <v>1.6</v>
      </c>
      <c r="F324" s="9">
        <v>0.43</v>
      </c>
      <c r="G324" s="9">
        <v>0.35</v>
      </c>
      <c r="H324" s="7" t="s">
        <v>49</v>
      </c>
    </row>
    <row r="325" spans="1:8" x14ac:dyDescent="0.2">
      <c r="A325" s="9">
        <v>0</v>
      </c>
      <c r="B325" s="9">
        <v>0</v>
      </c>
      <c r="C325" s="9">
        <v>21</v>
      </c>
      <c r="D325" s="9">
        <v>26</v>
      </c>
      <c r="E325" s="9">
        <v>1.7</v>
      </c>
      <c r="F325" s="9">
        <v>0.1</v>
      </c>
      <c r="G325" s="9">
        <v>0.34</v>
      </c>
      <c r="H325" s="7" t="s">
        <v>49</v>
      </c>
    </row>
    <row r="326" spans="1:8" x14ac:dyDescent="0.2">
      <c r="A326" s="9">
        <v>0</v>
      </c>
      <c r="B326" s="9">
        <v>3</v>
      </c>
      <c r="C326" s="9">
        <v>15</v>
      </c>
      <c r="D326" s="9">
        <v>20</v>
      </c>
      <c r="E326" s="9">
        <v>2.1</v>
      </c>
      <c r="F326" s="9">
        <v>0.11</v>
      </c>
      <c r="G326" s="9">
        <v>0.32</v>
      </c>
      <c r="H326" s="7" t="s">
        <v>49</v>
      </c>
    </row>
    <row r="327" spans="1:8" x14ac:dyDescent="0.2">
      <c r="A327" s="9">
        <v>0</v>
      </c>
      <c r="B327" s="9">
        <v>1</v>
      </c>
      <c r="C327" s="9">
        <v>4</v>
      </c>
      <c r="D327" s="9">
        <v>17</v>
      </c>
      <c r="E327" s="9">
        <v>2.5</v>
      </c>
      <c r="F327" s="9">
        <v>0.13</v>
      </c>
      <c r="G327" s="9">
        <v>0.28999999999999998</v>
      </c>
      <c r="H327" s="7" t="s">
        <v>49</v>
      </c>
    </row>
    <row r="328" spans="1:8" x14ac:dyDescent="0.2">
      <c r="A328" s="9">
        <v>1</v>
      </c>
      <c r="B328" s="9">
        <v>1</v>
      </c>
      <c r="C328" s="9">
        <v>6</v>
      </c>
      <c r="D328" s="9">
        <v>21</v>
      </c>
      <c r="E328" s="9">
        <v>2.5</v>
      </c>
      <c r="F328" s="9">
        <v>0.28000000000000003</v>
      </c>
      <c r="G328" s="9">
        <v>0.25</v>
      </c>
      <c r="H328" s="7" t="s">
        <v>49</v>
      </c>
    </row>
    <row r="329" spans="1:8" x14ac:dyDescent="0.2">
      <c r="A329" s="9">
        <v>0</v>
      </c>
      <c r="B329" s="9">
        <v>3</v>
      </c>
      <c r="C329" s="9">
        <v>8</v>
      </c>
      <c r="D329" s="9">
        <v>15</v>
      </c>
      <c r="E329" s="9">
        <v>2.6</v>
      </c>
      <c r="F329" s="9">
        <v>0.15</v>
      </c>
      <c r="G329" s="9">
        <v>0.24</v>
      </c>
      <c r="H329" s="7" t="s">
        <v>49</v>
      </c>
    </row>
    <row r="330" spans="1:8" x14ac:dyDescent="0.2">
      <c r="A330" s="9">
        <v>0</v>
      </c>
      <c r="B330" s="9">
        <v>8</v>
      </c>
      <c r="C330" s="9">
        <v>21</v>
      </c>
      <c r="D330" s="9">
        <v>43</v>
      </c>
      <c r="E330" s="9">
        <v>0.7</v>
      </c>
      <c r="F330" s="9">
        <v>0.09</v>
      </c>
      <c r="G330" s="9">
        <v>0.22</v>
      </c>
      <c r="H330" s="7" t="s">
        <v>49</v>
      </c>
    </row>
    <row r="331" spans="1:8" x14ac:dyDescent="0.2">
      <c r="A331" s="9">
        <v>0</v>
      </c>
      <c r="B331" s="9">
        <v>16</v>
      </c>
      <c r="C331" s="9">
        <v>7</v>
      </c>
      <c r="D331" s="9">
        <v>89</v>
      </c>
      <c r="E331" s="9">
        <v>0.4</v>
      </c>
      <c r="F331" s="9">
        <v>0.16</v>
      </c>
      <c r="G331" s="9">
        <v>0.2</v>
      </c>
      <c r="H331" s="7" t="s">
        <v>49</v>
      </c>
    </row>
    <row r="332" spans="1:8" x14ac:dyDescent="0.2">
      <c r="A332" s="9">
        <v>0</v>
      </c>
      <c r="B332" s="9">
        <v>8</v>
      </c>
      <c r="C332" s="9">
        <v>16</v>
      </c>
      <c r="D332" s="9">
        <v>38</v>
      </c>
      <c r="E332" s="9">
        <v>0.6</v>
      </c>
      <c r="F332" s="9">
        <v>0.03</v>
      </c>
      <c r="G332" s="9">
        <v>0.2</v>
      </c>
      <c r="H332" s="7" t="s">
        <v>49</v>
      </c>
    </row>
    <row r="333" spans="1:8" x14ac:dyDescent="0.2">
      <c r="A333" s="9">
        <v>0</v>
      </c>
      <c r="B333" s="9">
        <v>14</v>
      </c>
      <c r="C333" s="9">
        <v>3</v>
      </c>
      <c r="D333" s="9">
        <v>82</v>
      </c>
      <c r="E333" s="9">
        <v>0.8</v>
      </c>
      <c r="F333" s="9">
        <v>0.47</v>
      </c>
      <c r="G333" s="9">
        <v>0.19</v>
      </c>
      <c r="H333" s="7" t="s">
        <v>49</v>
      </c>
    </row>
    <row r="334" spans="1:8" x14ac:dyDescent="0.2">
      <c r="A334" s="9">
        <v>0</v>
      </c>
      <c r="B334" s="9">
        <v>15</v>
      </c>
      <c r="C334" s="9">
        <v>31</v>
      </c>
      <c r="D334" s="9">
        <v>60</v>
      </c>
      <c r="E334" s="9">
        <v>1.1000000000000001</v>
      </c>
      <c r="F334" s="9">
        <v>0.47</v>
      </c>
      <c r="G334" s="9">
        <v>0.19</v>
      </c>
      <c r="H334" s="7" t="s">
        <v>49</v>
      </c>
    </row>
    <row r="335" spans="1:8" x14ac:dyDescent="0.2">
      <c r="A335" s="9">
        <v>0</v>
      </c>
      <c r="B335" s="9">
        <v>1</v>
      </c>
      <c r="C335" s="9">
        <v>1</v>
      </c>
      <c r="D335" s="9">
        <v>18</v>
      </c>
      <c r="E335" s="9">
        <v>1.1000000000000001</v>
      </c>
      <c r="F335" s="9">
        <v>0.03</v>
      </c>
      <c r="G335" s="9">
        <v>0.17</v>
      </c>
      <c r="H335" s="7" t="s">
        <v>49</v>
      </c>
    </row>
    <row r="336" spans="1:8" x14ac:dyDescent="0.2">
      <c r="A336" s="9">
        <v>0</v>
      </c>
      <c r="B336" s="9">
        <v>6</v>
      </c>
      <c r="C336" s="9">
        <v>6</v>
      </c>
      <c r="D336" s="9">
        <v>30</v>
      </c>
      <c r="E336" s="9">
        <v>1</v>
      </c>
      <c r="F336" s="9">
        <v>0.14000000000000001</v>
      </c>
      <c r="G336" s="9">
        <v>0.16</v>
      </c>
      <c r="H336" s="7" t="s">
        <v>49</v>
      </c>
    </row>
    <row r="337" spans="1:8" x14ac:dyDescent="0.2">
      <c r="A337" s="9">
        <v>0</v>
      </c>
      <c r="B337" s="9">
        <v>4</v>
      </c>
      <c r="C337" s="9">
        <v>1</v>
      </c>
      <c r="D337" s="9">
        <v>16</v>
      </c>
      <c r="E337" s="9">
        <v>1.2</v>
      </c>
      <c r="F337" s="9">
        <v>0.08</v>
      </c>
      <c r="G337" s="9">
        <v>0.11</v>
      </c>
      <c r="H337" s="7" t="s">
        <v>49</v>
      </c>
    </row>
    <row r="338" spans="1:8" x14ac:dyDescent="0.2">
      <c r="A338" s="9">
        <v>0</v>
      </c>
      <c r="B338" s="9">
        <v>2</v>
      </c>
      <c r="C338" s="9">
        <v>1</v>
      </c>
      <c r="D338" s="9">
        <v>21</v>
      </c>
      <c r="E338" s="9">
        <v>0.6</v>
      </c>
      <c r="F338" s="9">
        <v>0.03</v>
      </c>
      <c r="G338" s="9">
        <v>0.1</v>
      </c>
      <c r="H338" s="7" t="s">
        <v>49</v>
      </c>
    </row>
    <row r="339" spans="1:8" x14ac:dyDescent="0.2">
      <c r="A339" s="9">
        <v>1</v>
      </c>
      <c r="B339" s="9">
        <v>5</v>
      </c>
      <c r="C339" s="9">
        <v>3</v>
      </c>
      <c r="D339" s="9">
        <v>0</v>
      </c>
      <c r="E339" s="9">
        <v>16</v>
      </c>
      <c r="F339" s="13">
        <v>5.4954845947359976</v>
      </c>
      <c r="G339" s="9">
        <v>0</v>
      </c>
      <c r="H339" s="7" t="s">
        <v>49</v>
      </c>
    </row>
    <row r="340" spans="1:8" x14ac:dyDescent="0.2">
      <c r="A340" s="9">
        <v>1</v>
      </c>
      <c r="B340" s="9">
        <v>0</v>
      </c>
      <c r="C340" s="9">
        <v>8</v>
      </c>
      <c r="D340" s="9">
        <v>65</v>
      </c>
      <c r="E340" s="9">
        <v>29.7</v>
      </c>
      <c r="F340" s="9">
        <v>3.9</v>
      </c>
      <c r="G340" s="9">
        <v>0</v>
      </c>
      <c r="H340" s="7" t="s">
        <v>49</v>
      </c>
    </row>
    <row r="341" spans="1:8" x14ac:dyDescent="0.2">
      <c r="A341" s="9">
        <v>0</v>
      </c>
      <c r="B341" s="9">
        <v>21</v>
      </c>
      <c r="C341" s="9">
        <v>22</v>
      </c>
      <c r="D341" s="13">
        <v>117.54291069294821</v>
      </c>
      <c r="E341" s="9">
        <v>12.2</v>
      </c>
      <c r="F341" s="9">
        <v>3.24</v>
      </c>
      <c r="G341" s="9">
        <v>0</v>
      </c>
      <c r="H341" s="7" t="s">
        <v>49</v>
      </c>
    </row>
    <row r="342" spans="1:8" x14ac:dyDescent="0.2">
      <c r="A342" s="9">
        <v>0</v>
      </c>
      <c r="B342" s="9">
        <v>27</v>
      </c>
      <c r="C342" s="9">
        <v>21</v>
      </c>
      <c r="D342" s="9">
        <v>0</v>
      </c>
      <c r="E342" s="9">
        <v>11.5</v>
      </c>
      <c r="F342" s="9">
        <v>0.82</v>
      </c>
      <c r="G342" s="9">
        <v>0</v>
      </c>
      <c r="H342" s="7" t="s">
        <v>49</v>
      </c>
    </row>
    <row r="343" spans="1:8" x14ac:dyDescent="0.2">
      <c r="A343" s="9">
        <v>1</v>
      </c>
      <c r="B343" s="9">
        <v>14</v>
      </c>
      <c r="C343" s="9">
        <v>8</v>
      </c>
      <c r="D343" s="9">
        <v>72</v>
      </c>
      <c r="E343" s="9">
        <v>0</v>
      </c>
      <c r="F343" s="9">
        <v>0</v>
      </c>
      <c r="G343" s="9">
        <v>0</v>
      </c>
      <c r="H343" s="7" t="s">
        <v>49</v>
      </c>
    </row>
    <row r="344" spans="1:8" x14ac:dyDescent="0.2">
      <c r="A344" s="9">
        <v>1</v>
      </c>
      <c r="B344" s="9">
        <v>16</v>
      </c>
      <c r="C344" s="9">
        <v>26</v>
      </c>
      <c r="D344" s="9">
        <v>0</v>
      </c>
      <c r="E344" s="9">
        <v>17.600000000000001</v>
      </c>
      <c r="F344" s="9">
        <v>0</v>
      </c>
      <c r="G344" s="9">
        <v>0</v>
      </c>
      <c r="H344" s="7" t="s">
        <v>49</v>
      </c>
    </row>
    <row r="345" spans="1:8" x14ac:dyDescent="0.2">
      <c r="A345" s="9">
        <v>0</v>
      </c>
      <c r="B345" s="9">
        <v>12</v>
      </c>
      <c r="C345" s="9">
        <v>6</v>
      </c>
      <c r="D345" s="9">
        <v>89</v>
      </c>
      <c r="E345" s="9">
        <v>17.399999999999999</v>
      </c>
      <c r="F345" s="9">
        <v>2.77</v>
      </c>
      <c r="G345" s="13">
        <v>10.154483815851645</v>
      </c>
      <c r="H345" s="7" t="s">
        <v>49</v>
      </c>
    </row>
    <row r="346" spans="1:8" x14ac:dyDescent="0.2">
      <c r="A346" s="9">
        <v>0</v>
      </c>
      <c r="B346" s="9">
        <v>22</v>
      </c>
      <c r="C346" s="9">
        <v>17</v>
      </c>
      <c r="D346" s="13">
        <v>117.54291069294821</v>
      </c>
      <c r="E346" s="9">
        <v>11.1</v>
      </c>
      <c r="F346" s="9">
        <v>3.32</v>
      </c>
      <c r="G346" s="13">
        <v>10.154483815851645</v>
      </c>
      <c r="H346" s="7" t="s">
        <v>49</v>
      </c>
    </row>
    <row r="347" spans="1:8" x14ac:dyDescent="0.2">
      <c r="A347" s="9">
        <v>0</v>
      </c>
      <c r="B347" s="9">
        <v>16</v>
      </c>
      <c r="C347" s="9">
        <v>6</v>
      </c>
      <c r="D347" s="9">
        <v>116</v>
      </c>
      <c r="E347" s="9">
        <v>12.1</v>
      </c>
      <c r="F347" s="9">
        <v>1.61</v>
      </c>
      <c r="G347" s="13">
        <v>10.154483815851645</v>
      </c>
      <c r="H347" s="7" t="s">
        <v>49</v>
      </c>
    </row>
    <row r="348" spans="1:8" x14ac:dyDescent="0.2">
      <c r="A348" s="9">
        <v>1</v>
      </c>
      <c r="B348" s="9">
        <v>27</v>
      </c>
      <c r="C348" s="9">
        <v>18</v>
      </c>
      <c r="D348" s="13">
        <v>117.54291069294821</v>
      </c>
      <c r="E348" s="9">
        <v>25.3</v>
      </c>
      <c r="F348" s="9">
        <v>0</v>
      </c>
      <c r="G348" s="13">
        <v>10.154483815851645</v>
      </c>
      <c r="H348" s="7" t="s">
        <v>49</v>
      </c>
    </row>
    <row r="349" spans="1:8" x14ac:dyDescent="0.2">
      <c r="A349" s="9">
        <v>0</v>
      </c>
      <c r="B349" s="9">
        <v>19</v>
      </c>
      <c r="C349" s="9">
        <v>7</v>
      </c>
      <c r="D349" s="9">
        <v>50</v>
      </c>
      <c r="E349" s="9">
        <v>30.1</v>
      </c>
      <c r="F349" s="9">
        <v>3.18</v>
      </c>
      <c r="G349" s="13">
        <v>10.154483815851645</v>
      </c>
      <c r="H349" s="7" t="s">
        <v>49</v>
      </c>
    </row>
    <row r="350" spans="1:8" x14ac:dyDescent="0.2">
      <c r="A350" s="9">
        <v>0</v>
      </c>
      <c r="B350" s="9">
        <v>23</v>
      </c>
      <c r="C350" s="9">
        <v>1</v>
      </c>
      <c r="D350" s="9">
        <v>75</v>
      </c>
      <c r="E350" s="9">
        <v>18.899999999999999</v>
      </c>
      <c r="F350" s="9">
        <v>3.13</v>
      </c>
      <c r="G350" s="13">
        <v>10.154483815851645</v>
      </c>
      <c r="H350" s="7" t="s">
        <v>49</v>
      </c>
    </row>
    <row r="351" spans="1:8" x14ac:dyDescent="0.2">
      <c r="A351" s="9">
        <v>1</v>
      </c>
      <c r="B351" s="9">
        <v>5</v>
      </c>
      <c r="C351" s="9">
        <v>6</v>
      </c>
      <c r="D351" s="9">
        <v>70</v>
      </c>
      <c r="E351" s="9">
        <v>19.899999999999999</v>
      </c>
      <c r="F351" s="9">
        <v>3.18</v>
      </c>
      <c r="G351" s="13">
        <v>10.154483815851645</v>
      </c>
      <c r="H351" s="7" t="s">
        <v>49</v>
      </c>
    </row>
    <row r="352" spans="1:8" x14ac:dyDescent="0.2">
      <c r="A352" s="9">
        <v>0</v>
      </c>
      <c r="B352" s="9">
        <v>12</v>
      </c>
      <c r="C352" s="9">
        <v>5</v>
      </c>
      <c r="D352" s="9">
        <v>86</v>
      </c>
      <c r="E352" s="9">
        <v>13</v>
      </c>
      <c r="F352" s="9">
        <v>1.48</v>
      </c>
      <c r="G352" s="9">
        <v>9.6999999999999993</v>
      </c>
      <c r="H352" s="7" t="s">
        <v>50</v>
      </c>
    </row>
    <row r="353" spans="1:8" x14ac:dyDescent="0.2">
      <c r="A353" s="9">
        <v>0</v>
      </c>
      <c r="B353" s="9">
        <v>16</v>
      </c>
      <c r="C353" s="9">
        <v>20</v>
      </c>
      <c r="D353" s="9">
        <v>57</v>
      </c>
      <c r="E353" s="9">
        <v>19.399999999999999</v>
      </c>
      <c r="F353" s="9">
        <v>1.56</v>
      </c>
      <c r="G353" s="9">
        <v>9.5</v>
      </c>
      <c r="H353" s="7" t="s">
        <v>50</v>
      </c>
    </row>
    <row r="354" spans="1:8" x14ac:dyDescent="0.2">
      <c r="A354" s="9">
        <v>0</v>
      </c>
      <c r="B354" s="9">
        <v>22</v>
      </c>
      <c r="C354" s="9">
        <v>1</v>
      </c>
      <c r="D354" s="9">
        <v>100</v>
      </c>
      <c r="E354" s="9">
        <v>14.6</v>
      </c>
      <c r="F354" s="9">
        <v>5.4</v>
      </c>
      <c r="G354" s="9">
        <v>9.1999999999999993</v>
      </c>
      <c r="H354" s="7" t="s">
        <v>50</v>
      </c>
    </row>
    <row r="355" spans="1:8" x14ac:dyDescent="0.2">
      <c r="A355" s="9">
        <v>0</v>
      </c>
      <c r="B355" s="9">
        <v>9</v>
      </c>
      <c r="C355" s="9">
        <v>10</v>
      </c>
      <c r="D355" s="9">
        <v>51</v>
      </c>
      <c r="E355" s="9">
        <v>23</v>
      </c>
      <c r="F355" s="9">
        <v>2.69</v>
      </c>
      <c r="G355" s="9">
        <v>9.0399999999999991</v>
      </c>
      <c r="H355" s="7" t="s">
        <v>50</v>
      </c>
    </row>
    <row r="356" spans="1:8" x14ac:dyDescent="0.2">
      <c r="A356" s="9">
        <v>0</v>
      </c>
      <c r="B356" s="9">
        <v>26</v>
      </c>
      <c r="C356" s="9">
        <v>21</v>
      </c>
      <c r="D356" s="9">
        <v>100</v>
      </c>
      <c r="E356" s="9">
        <v>12.8</v>
      </c>
      <c r="F356" s="9">
        <v>4.58</v>
      </c>
      <c r="G356" s="9">
        <v>8.2200000000000006</v>
      </c>
      <c r="H356" s="7" t="s">
        <v>50</v>
      </c>
    </row>
    <row r="357" spans="1:8" x14ac:dyDescent="0.2">
      <c r="A357" s="9">
        <v>0</v>
      </c>
      <c r="B357" s="9">
        <v>10</v>
      </c>
      <c r="C357" s="9">
        <v>16</v>
      </c>
      <c r="D357" s="9">
        <v>98</v>
      </c>
      <c r="E357" s="9">
        <v>13.3</v>
      </c>
      <c r="F357" s="9">
        <v>0.97</v>
      </c>
      <c r="G357" s="9">
        <v>8.16</v>
      </c>
      <c r="H357" s="7" t="s">
        <v>50</v>
      </c>
    </row>
    <row r="358" spans="1:8" x14ac:dyDescent="0.2">
      <c r="A358" s="9">
        <v>1</v>
      </c>
      <c r="B358" s="9">
        <v>9</v>
      </c>
      <c r="C358" s="9">
        <v>1</v>
      </c>
      <c r="D358" s="9">
        <v>52</v>
      </c>
      <c r="E358" s="9">
        <v>20.100000000000001</v>
      </c>
      <c r="F358" s="9">
        <v>2.54</v>
      </c>
      <c r="G358" s="9">
        <v>7.91</v>
      </c>
      <c r="H358" s="7" t="s">
        <v>50</v>
      </c>
    </row>
    <row r="359" spans="1:8" x14ac:dyDescent="0.2">
      <c r="A359" s="9">
        <v>0</v>
      </c>
      <c r="B359" s="9">
        <v>19</v>
      </c>
      <c r="C359" s="9">
        <v>2</v>
      </c>
      <c r="D359" s="9">
        <v>78</v>
      </c>
      <c r="E359" s="9">
        <v>15.6</v>
      </c>
      <c r="F359" s="9">
        <v>4.4000000000000004</v>
      </c>
      <c r="G359" s="9">
        <v>7.76</v>
      </c>
      <c r="H359" s="7" t="s">
        <v>50</v>
      </c>
    </row>
    <row r="360" spans="1:8" x14ac:dyDescent="0.2">
      <c r="A360" s="9">
        <v>1</v>
      </c>
      <c r="B360" s="9">
        <v>7</v>
      </c>
      <c r="C360" s="9">
        <v>6</v>
      </c>
      <c r="D360" s="9">
        <v>56</v>
      </c>
      <c r="E360" s="9">
        <v>14.5</v>
      </c>
      <c r="F360" s="9">
        <v>0.37</v>
      </c>
      <c r="G360" s="9">
        <v>7.75</v>
      </c>
      <c r="H360" s="7" t="s">
        <v>50</v>
      </c>
    </row>
    <row r="361" spans="1:8" x14ac:dyDescent="0.2">
      <c r="A361" s="9">
        <v>0</v>
      </c>
      <c r="B361" s="9">
        <v>15</v>
      </c>
      <c r="C361" s="9">
        <v>14</v>
      </c>
      <c r="D361" s="9">
        <v>51</v>
      </c>
      <c r="E361" s="9">
        <v>18.100000000000001</v>
      </c>
      <c r="F361" s="9">
        <v>1.55</v>
      </c>
      <c r="G361" s="9">
        <v>7.68</v>
      </c>
      <c r="H361" s="7" t="s">
        <v>50</v>
      </c>
    </row>
    <row r="362" spans="1:8" x14ac:dyDescent="0.2">
      <c r="A362" s="9">
        <v>0</v>
      </c>
      <c r="B362" s="9">
        <v>9</v>
      </c>
      <c r="C362" s="9">
        <v>10</v>
      </c>
      <c r="D362" s="9">
        <v>60</v>
      </c>
      <c r="E362" s="9">
        <v>15.3</v>
      </c>
      <c r="F362" s="9">
        <v>1.61</v>
      </c>
      <c r="G362" s="9">
        <v>7.57</v>
      </c>
      <c r="H362" s="7" t="s">
        <v>50</v>
      </c>
    </row>
    <row r="363" spans="1:8" x14ac:dyDescent="0.2">
      <c r="A363" s="9">
        <v>1</v>
      </c>
      <c r="B363" s="9">
        <v>6</v>
      </c>
      <c r="C363" s="9">
        <v>3</v>
      </c>
      <c r="D363" s="9">
        <v>27</v>
      </c>
      <c r="E363" s="9">
        <v>0</v>
      </c>
      <c r="F363" s="9">
        <v>1.98</v>
      </c>
      <c r="G363" s="9">
        <v>7.55</v>
      </c>
      <c r="H363" s="7" t="s">
        <v>50</v>
      </c>
    </row>
    <row r="364" spans="1:8" x14ac:dyDescent="0.2">
      <c r="A364" s="9">
        <v>1</v>
      </c>
      <c r="B364" s="9">
        <v>0</v>
      </c>
      <c r="C364" s="9">
        <v>2</v>
      </c>
      <c r="D364" s="9">
        <v>28</v>
      </c>
      <c r="E364" s="9">
        <v>0</v>
      </c>
      <c r="F364" s="9">
        <v>2.2799999999999998</v>
      </c>
      <c r="G364" s="9">
        <v>7.04</v>
      </c>
      <c r="H364" s="7" t="s">
        <v>50</v>
      </c>
    </row>
    <row r="365" spans="1:8" x14ac:dyDescent="0.2">
      <c r="A365" s="9">
        <v>1</v>
      </c>
      <c r="B365" s="9">
        <v>5</v>
      </c>
      <c r="C365" s="9">
        <v>29</v>
      </c>
      <c r="D365" s="9">
        <v>78</v>
      </c>
      <c r="E365" s="9">
        <v>17.3</v>
      </c>
      <c r="F365" s="13">
        <v>5.4954845947359976</v>
      </c>
      <c r="G365" s="9">
        <v>6.56</v>
      </c>
      <c r="H365" s="7" t="s">
        <v>50</v>
      </c>
    </row>
    <row r="366" spans="1:8" x14ac:dyDescent="0.2">
      <c r="A366" s="9">
        <v>1</v>
      </c>
      <c r="B366" s="9">
        <v>5</v>
      </c>
      <c r="C366" s="9">
        <v>17</v>
      </c>
      <c r="D366" s="9">
        <v>94</v>
      </c>
      <c r="E366" s="9">
        <v>10.5</v>
      </c>
      <c r="F366" s="9">
        <v>3.61</v>
      </c>
      <c r="G366" s="9">
        <v>6.26</v>
      </c>
      <c r="H366" s="7" t="s">
        <v>50</v>
      </c>
    </row>
    <row r="367" spans="1:8" x14ac:dyDescent="0.2">
      <c r="A367" s="9">
        <v>0</v>
      </c>
      <c r="B367" s="9">
        <v>16</v>
      </c>
      <c r="C367" s="9">
        <v>14</v>
      </c>
      <c r="D367" s="9">
        <v>71</v>
      </c>
      <c r="E367" s="9">
        <v>11.1</v>
      </c>
      <c r="F367" s="9">
        <v>1.66</v>
      </c>
      <c r="G367" s="9">
        <v>6.22</v>
      </c>
      <c r="H367" s="7" t="s">
        <v>50</v>
      </c>
    </row>
    <row r="368" spans="1:8" x14ac:dyDescent="0.2">
      <c r="A368" s="9">
        <v>1</v>
      </c>
      <c r="B368" s="9">
        <v>2</v>
      </c>
      <c r="C368" s="9">
        <v>14</v>
      </c>
      <c r="D368" s="9">
        <v>35</v>
      </c>
      <c r="E368" s="9">
        <v>22.9</v>
      </c>
      <c r="F368" s="9">
        <v>2.12</v>
      </c>
      <c r="G368" s="9">
        <v>5.89</v>
      </c>
      <c r="H368" s="7" t="s">
        <v>50</v>
      </c>
    </row>
    <row r="369" spans="1:8" x14ac:dyDescent="0.2">
      <c r="A369" s="9">
        <v>1</v>
      </c>
      <c r="B369" s="9">
        <v>10</v>
      </c>
      <c r="C369" s="9">
        <v>13</v>
      </c>
      <c r="D369" s="9">
        <v>57</v>
      </c>
      <c r="E369" s="9">
        <v>20.9</v>
      </c>
      <c r="F369" s="13">
        <v>5.4954845947359976</v>
      </c>
      <c r="G369" s="9">
        <v>5.8</v>
      </c>
      <c r="H369" s="7" t="s">
        <v>50</v>
      </c>
    </row>
    <row r="370" spans="1:8" x14ac:dyDescent="0.2">
      <c r="A370" s="9">
        <v>0</v>
      </c>
      <c r="B370" s="9">
        <v>9</v>
      </c>
      <c r="C370" s="9">
        <v>16</v>
      </c>
      <c r="D370" s="9">
        <v>56</v>
      </c>
      <c r="E370" s="9">
        <v>18.7</v>
      </c>
      <c r="F370" s="9">
        <v>4.76</v>
      </c>
      <c r="G370" s="9">
        <v>5.71</v>
      </c>
      <c r="H370" s="7" t="s">
        <v>50</v>
      </c>
    </row>
    <row r="371" spans="1:8" x14ac:dyDescent="0.2">
      <c r="A371" s="9">
        <v>0</v>
      </c>
      <c r="B371" s="9">
        <v>6</v>
      </c>
      <c r="C371" s="9">
        <v>7</v>
      </c>
      <c r="D371" s="9">
        <v>45</v>
      </c>
      <c r="E371" s="9">
        <v>26</v>
      </c>
      <c r="F371" s="13">
        <v>5.4954845947359976</v>
      </c>
      <c r="G371" s="9">
        <v>5.65</v>
      </c>
      <c r="H371" s="7" t="s">
        <v>50</v>
      </c>
    </row>
    <row r="372" spans="1:8" x14ac:dyDescent="0.2">
      <c r="A372" s="9">
        <v>0</v>
      </c>
      <c r="B372" s="9">
        <v>0</v>
      </c>
      <c r="C372" s="9">
        <v>7</v>
      </c>
      <c r="D372" s="9">
        <v>29</v>
      </c>
      <c r="E372" s="9">
        <v>24.2</v>
      </c>
      <c r="F372" s="9">
        <v>1.42</v>
      </c>
      <c r="G372" s="9">
        <v>5.59</v>
      </c>
      <c r="H372" s="7" t="s">
        <v>50</v>
      </c>
    </row>
    <row r="373" spans="1:8" x14ac:dyDescent="0.2">
      <c r="A373" s="9">
        <v>1</v>
      </c>
      <c r="B373" s="9">
        <v>9</v>
      </c>
      <c r="C373" s="9">
        <v>7</v>
      </c>
      <c r="D373" s="9">
        <v>59</v>
      </c>
      <c r="E373" s="9">
        <v>14.6</v>
      </c>
      <c r="F373" s="9">
        <v>3.11</v>
      </c>
      <c r="G373" s="9">
        <v>5.5</v>
      </c>
      <c r="H373" s="7" t="s">
        <v>50</v>
      </c>
    </row>
    <row r="374" spans="1:8" x14ac:dyDescent="0.2">
      <c r="A374" s="9">
        <v>1</v>
      </c>
      <c r="B374" s="9">
        <v>9</v>
      </c>
      <c r="C374" s="9">
        <v>6</v>
      </c>
      <c r="D374" s="9">
        <v>45</v>
      </c>
      <c r="E374" s="9">
        <v>17.8</v>
      </c>
      <c r="F374" s="9">
        <v>2.85</v>
      </c>
      <c r="G374" s="9">
        <v>5.16</v>
      </c>
      <c r="H374" s="7" t="s">
        <v>50</v>
      </c>
    </row>
    <row r="375" spans="1:8" x14ac:dyDescent="0.2">
      <c r="A375" s="9">
        <v>0</v>
      </c>
      <c r="B375" s="9">
        <v>2</v>
      </c>
      <c r="C375" s="9">
        <v>1</v>
      </c>
      <c r="D375" s="9">
        <v>37</v>
      </c>
      <c r="E375" s="9">
        <v>14.2</v>
      </c>
      <c r="F375" s="9">
        <v>0.2</v>
      </c>
      <c r="G375" s="9">
        <v>5.05</v>
      </c>
      <c r="H375" s="7" t="s">
        <v>50</v>
      </c>
    </row>
    <row r="376" spans="1:8" x14ac:dyDescent="0.2">
      <c r="A376" s="9">
        <v>1</v>
      </c>
      <c r="B376" s="9">
        <v>17</v>
      </c>
      <c r="C376" s="9">
        <v>12</v>
      </c>
      <c r="D376" s="9">
        <v>0</v>
      </c>
      <c r="E376" s="9">
        <v>9.3000000000000007</v>
      </c>
      <c r="F376" s="9">
        <v>0.97</v>
      </c>
      <c r="G376" s="9">
        <v>5.01</v>
      </c>
      <c r="H376" s="7" t="s">
        <v>50</v>
      </c>
    </row>
    <row r="377" spans="1:8" x14ac:dyDescent="0.2">
      <c r="A377" s="9">
        <v>0</v>
      </c>
      <c r="B377" s="9">
        <v>22</v>
      </c>
      <c r="C377" s="9">
        <v>23</v>
      </c>
      <c r="D377" s="13">
        <v>117.54291069294821</v>
      </c>
      <c r="E377" s="9">
        <v>7.6</v>
      </c>
      <c r="F377" s="9">
        <v>4.1399999999999997</v>
      </c>
      <c r="G377" s="9">
        <v>4.9800000000000004</v>
      </c>
      <c r="H377" s="7" t="s">
        <v>50</v>
      </c>
    </row>
    <row r="378" spans="1:8" x14ac:dyDescent="0.2">
      <c r="A378" s="9">
        <v>0</v>
      </c>
      <c r="B378" s="9">
        <v>11</v>
      </c>
      <c r="C378" s="9">
        <v>12</v>
      </c>
      <c r="D378" s="9">
        <v>45</v>
      </c>
      <c r="E378" s="9">
        <v>17</v>
      </c>
      <c r="F378" s="9">
        <v>2.74</v>
      </c>
      <c r="G378" s="9">
        <v>4.91</v>
      </c>
      <c r="H378" s="7" t="s">
        <v>50</v>
      </c>
    </row>
    <row r="379" spans="1:8" x14ac:dyDescent="0.2">
      <c r="A379" s="9">
        <v>1</v>
      </c>
      <c r="B379" s="9">
        <v>3</v>
      </c>
      <c r="C379" s="9">
        <v>4</v>
      </c>
      <c r="D379" s="9">
        <v>45</v>
      </c>
      <c r="E379" s="9">
        <v>11</v>
      </c>
      <c r="F379" s="9">
        <v>0.28999999999999998</v>
      </c>
      <c r="G379" s="9">
        <v>4.66</v>
      </c>
      <c r="H379" s="7" t="s">
        <v>50</v>
      </c>
    </row>
    <row r="380" spans="1:8" x14ac:dyDescent="0.2">
      <c r="A380" s="9">
        <v>0</v>
      </c>
      <c r="B380" s="9">
        <v>12</v>
      </c>
      <c r="C380" s="9">
        <v>1</v>
      </c>
      <c r="D380" s="9">
        <v>54</v>
      </c>
      <c r="E380" s="9">
        <v>14.4</v>
      </c>
      <c r="F380" s="9">
        <v>3.2</v>
      </c>
      <c r="G380" s="9">
        <v>4.58</v>
      </c>
      <c r="H380" s="7" t="s">
        <v>50</v>
      </c>
    </row>
    <row r="381" spans="1:8" x14ac:dyDescent="0.2">
      <c r="A381" s="9">
        <v>0</v>
      </c>
      <c r="B381" s="9">
        <v>17</v>
      </c>
      <c r="C381" s="9">
        <v>11</v>
      </c>
      <c r="D381" s="9">
        <v>116</v>
      </c>
      <c r="E381" s="9">
        <v>6</v>
      </c>
      <c r="F381" s="9">
        <v>2.56</v>
      </c>
      <c r="G381" s="9">
        <v>4.4000000000000004</v>
      </c>
      <c r="H381" s="7" t="s">
        <v>50</v>
      </c>
    </row>
    <row r="382" spans="1:8" x14ac:dyDescent="0.2">
      <c r="A382" s="9">
        <v>0</v>
      </c>
      <c r="B382" s="9">
        <v>19</v>
      </c>
      <c r="C382" s="9">
        <v>5</v>
      </c>
      <c r="D382" s="9">
        <v>48</v>
      </c>
      <c r="E382" s="9">
        <v>13.1</v>
      </c>
      <c r="F382" s="9">
        <v>1.93</v>
      </c>
      <c r="G382" s="9">
        <v>4.3600000000000003</v>
      </c>
      <c r="H382" s="7" t="s">
        <v>50</v>
      </c>
    </row>
    <row r="383" spans="1:8" x14ac:dyDescent="0.2">
      <c r="A383" s="9">
        <v>0</v>
      </c>
      <c r="B383" s="9">
        <v>3</v>
      </c>
      <c r="C383" s="9">
        <v>11</v>
      </c>
      <c r="D383" s="9">
        <v>27</v>
      </c>
      <c r="E383" s="9">
        <v>21.3</v>
      </c>
      <c r="F383" s="9">
        <v>1.4</v>
      </c>
      <c r="G383" s="9">
        <v>4.3499999999999996</v>
      </c>
      <c r="H383" s="7" t="s">
        <v>50</v>
      </c>
    </row>
    <row r="384" spans="1:8" x14ac:dyDescent="0.2">
      <c r="A384" s="9">
        <v>0</v>
      </c>
      <c r="B384" s="9">
        <v>10</v>
      </c>
      <c r="C384" s="9">
        <v>8</v>
      </c>
      <c r="D384" s="9">
        <v>44</v>
      </c>
      <c r="E384" s="9">
        <v>18.100000000000001</v>
      </c>
      <c r="F384" s="9">
        <v>3.7</v>
      </c>
      <c r="G384" s="9">
        <v>4.26</v>
      </c>
      <c r="H384" s="7" t="s">
        <v>50</v>
      </c>
    </row>
    <row r="385" spans="1:8" x14ac:dyDescent="0.2">
      <c r="A385" s="9">
        <v>0</v>
      </c>
      <c r="B385" s="9">
        <v>5</v>
      </c>
      <c r="C385" s="9">
        <v>5</v>
      </c>
      <c r="D385" s="9">
        <v>54</v>
      </c>
      <c r="E385" s="9">
        <v>10.6</v>
      </c>
      <c r="F385" s="9">
        <v>1.5</v>
      </c>
      <c r="G385" s="9">
        <v>4.22</v>
      </c>
      <c r="H385" s="7" t="s">
        <v>50</v>
      </c>
    </row>
    <row r="386" spans="1:8" x14ac:dyDescent="0.2">
      <c r="A386" s="9">
        <v>0</v>
      </c>
      <c r="B386" s="9">
        <v>14</v>
      </c>
      <c r="C386" s="9">
        <v>11</v>
      </c>
      <c r="D386" s="9">
        <v>81</v>
      </c>
      <c r="E386" s="9">
        <v>7.2</v>
      </c>
      <c r="F386" s="9">
        <v>1.78</v>
      </c>
      <c r="G386" s="9">
        <v>4.05</v>
      </c>
      <c r="H386" s="7" t="s">
        <v>50</v>
      </c>
    </row>
    <row r="387" spans="1:8" x14ac:dyDescent="0.2">
      <c r="A387" s="9">
        <v>1</v>
      </c>
      <c r="B387" s="9">
        <v>0</v>
      </c>
      <c r="C387" s="9">
        <v>6</v>
      </c>
      <c r="D387" s="9">
        <v>70</v>
      </c>
      <c r="E387" s="9">
        <v>8</v>
      </c>
      <c r="F387" s="9">
        <v>1.62</v>
      </c>
      <c r="G387" s="9">
        <v>3.98</v>
      </c>
      <c r="H387" s="7" t="s">
        <v>50</v>
      </c>
    </row>
    <row r="388" spans="1:8" x14ac:dyDescent="0.2">
      <c r="A388" s="9">
        <v>1</v>
      </c>
      <c r="B388" s="9">
        <v>9</v>
      </c>
      <c r="C388" s="9">
        <v>11</v>
      </c>
      <c r="D388" s="9">
        <v>24</v>
      </c>
      <c r="E388" s="9">
        <v>19.2</v>
      </c>
      <c r="F388" s="9">
        <v>0.8</v>
      </c>
      <c r="G388" s="9">
        <v>3.81</v>
      </c>
      <c r="H388" s="7" t="s">
        <v>50</v>
      </c>
    </row>
    <row r="389" spans="1:8" x14ac:dyDescent="0.2">
      <c r="A389" s="9">
        <v>1</v>
      </c>
      <c r="B389" s="9">
        <v>6</v>
      </c>
      <c r="C389" s="9">
        <v>8</v>
      </c>
      <c r="D389" s="9">
        <v>47</v>
      </c>
      <c r="E389" s="9">
        <v>19.8</v>
      </c>
      <c r="F389" s="13">
        <v>5.4954845947359976</v>
      </c>
      <c r="G389" s="9">
        <v>3.73</v>
      </c>
      <c r="H389" s="7" t="s">
        <v>50</v>
      </c>
    </row>
    <row r="390" spans="1:8" x14ac:dyDescent="0.2">
      <c r="A390" s="9">
        <v>1</v>
      </c>
      <c r="B390" s="9">
        <v>16</v>
      </c>
      <c r="C390" s="9">
        <v>18</v>
      </c>
      <c r="D390" s="9">
        <v>52</v>
      </c>
      <c r="E390" s="9">
        <v>12.9</v>
      </c>
      <c r="F390" s="9">
        <v>3.03</v>
      </c>
      <c r="G390" s="9">
        <v>3.68</v>
      </c>
      <c r="H390" s="7" t="s">
        <v>50</v>
      </c>
    </row>
    <row r="391" spans="1:8" x14ac:dyDescent="0.2">
      <c r="A391" s="9">
        <v>1</v>
      </c>
      <c r="B391" s="9">
        <v>14</v>
      </c>
      <c r="C391" s="9">
        <v>21</v>
      </c>
      <c r="D391" s="9">
        <v>43</v>
      </c>
      <c r="E391" s="9">
        <v>15</v>
      </c>
      <c r="F391" s="9">
        <v>2.79</v>
      </c>
      <c r="G391" s="9">
        <v>3.66</v>
      </c>
      <c r="H391" s="7" t="s">
        <v>50</v>
      </c>
    </row>
    <row r="392" spans="1:8" x14ac:dyDescent="0.2">
      <c r="A392" s="9">
        <v>0</v>
      </c>
      <c r="B392" s="9">
        <v>7</v>
      </c>
      <c r="C392" s="9">
        <v>3</v>
      </c>
      <c r="D392" s="9">
        <v>32</v>
      </c>
      <c r="E392" s="9">
        <v>19.600000000000001</v>
      </c>
      <c r="F392" s="9">
        <v>2.7</v>
      </c>
      <c r="G392" s="9">
        <v>3.58</v>
      </c>
      <c r="H392" s="7" t="s">
        <v>50</v>
      </c>
    </row>
    <row r="393" spans="1:8" x14ac:dyDescent="0.2">
      <c r="A393" s="9">
        <v>1</v>
      </c>
      <c r="B393" s="9">
        <v>9</v>
      </c>
      <c r="C393" s="9">
        <v>18</v>
      </c>
      <c r="D393" s="9">
        <v>50</v>
      </c>
      <c r="E393" s="9">
        <v>11.2</v>
      </c>
      <c r="F393" s="9">
        <v>2.02</v>
      </c>
      <c r="G393" s="9">
        <v>3.58</v>
      </c>
      <c r="H393" s="7" t="s">
        <v>50</v>
      </c>
    </row>
    <row r="394" spans="1:8" x14ac:dyDescent="0.2">
      <c r="A394" s="9">
        <v>0</v>
      </c>
      <c r="B394" s="9">
        <v>0</v>
      </c>
      <c r="C394" s="9">
        <v>2</v>
      </c>
      <c r="D394" s="9">
        <v>32</v>
      </c>
      <c r="E394" s="9">
        <v>17.600000000000001</v>
      </c>
      <c r="F394" s="9">
        <v>2.14</v>
      </c>
      <c r="G394" s="9">
        <v>3.49</v>
      </c>
      <c r="H394" s="7" t="s">
        <v>50</v>
      </c>
    </row>
    <row r="395" spans="1:8" x14ac:dyDescent="0.2">
      <c r="A395" s="9">
        <v>0</v>
      </c>
      <c r="B395" s="9">
        <v>9</v>
      </c>
      <c r="C395" s="9">
        <v>13</v>
      </c>
      <c r="D395" s="9">
        <v>45</v>
      </c>
      <c r="E395" s="9">
        <v>10.1</v>
      </c>
      <c r="F395" s="9">
        <v>1.1200000000000001</v>
      </c>
      <c r="G395" s="9">
        <v>3.43</v>
      </c>
      <c r="H395" s="7" t="s">
        <v>50</v>
      </c>
    </row>
    <row r="396" spans="1:8" x14ac:dyDescent="0.2">
      <c r="A396" s="9">
        <v>0</v>
      </c>
      <c r="B396" s="9">
        <v>9</v>
      </c>
      <c r="C396" s="9">
        <v>4</v>
      </c>
      <c r="D396" s="9">
        <v>64</v>
      </c>
      <c r="E396" s="9">
        <v>6.6</v>
      </c>
      <c r="F396" s="9">
        <v>0.79</v>
      </c>
      <c r="G396" s="9">
        <v>3.43</v>
      </c>
      <c r="H396" s="7" t="s">
        <v>50</v>
      </c>
    </row>
    <row r="397" spans="1:8" x14ac:dyDescent="0.2">
      <c r="A397" s="9">
        <v>0</v>
      </c>
      <c r="B397" s="9">
        <v>15</v>
      </c>
      <c r="C397" s="9">
        <v>0</v>
      </c>
      <c r="D397" s="13">
        <v>117.54291069294821</v>
      </c>
      <c r="E397" s="9">
        <v>3.1</v>
      </c>
      <c r="F397" s="9">
        <v>0.48</v>
      </c>
      <c r="G397" s="9">
        <v>3.43</v>
      </c>
      <c r="H397" s="7" t="s">
        <v>50</v>
      </c>
    </row>
    <row r="398" spans="1:8" x14ac:dyDescent="0.2">
      <c r="A398" s="9">
        <v>1</v>
      </c>
      <c r="B398" s="9">
        <v>3</v>
      </c>
      <c r="C398" s="9">
        <v>3</v>
      </c>
      <c r="D398" s="9">
        <v>21</v>
      </c>
      <c r="E398" s="9">
        <v>28.9</v>
      </c>
      <c r="F398" s="9">
        <v>2.68</v>
      </c>
      <c r="G398" s="9">
        <v>3.39</v>
      </c>
      <c r="H398" s="7" t="s">
        <v>50</v>
      </c>
    </row>
    <row r="399" spans="1:8" x14ac:dyDescent="0.2">
      <c r="A399" s="9">
        <v>0</v>
      </c>
      <c r="B399" s="9">
        <v>0</v>
      </c>
      <c r="C399" s="9">
        <v>5</v>
      </c>
      <c r="D399" s="9">
        <v>38</v>
      </c>
      <c r="E399" s="9">
        <v>10.4</v>
      </c>
      <c r="F399" s="9">
        <v>0.64</v>
      </c>
      <c r="G399" s="9">
        <v>3.32</v>
      </c>
      <c r="H399" s="7" t="s">
        <v>50</v>
      </c>
    </row>
    <row r="400" spans="1:8" x14ac:dyDescent="0.2">
      <c r="A400" s="9">
        <v>1</v>
      </c>
      <c r="B400" s="9">
        <v>3</v>
      </c>
      <c r="C400" s="9">
        <v>4</v>
      </c>
      <c r="D400" s="9">
        <v>19</v>
      </c>
      <c r="E400" s="9">
        <v>24.4</v>
      </c>
      <c r="F400" s="9">
        <v>1.36</v>
      </c>
      <c r="G400" s="9">
        <v>3.28</v>
      </c>
      <c r="H400" s="7" t="s">
        <v>50</v>
      </c>
    </row>
    <row r="401" spans="1:8" x14ac:dyDescent="0.2">
      <c r="A401" s="9">
        <v>0</v>
      </c>
      <c r="B401" s="9">
        <v>16</v>
      </c>
      <c r="C401" s="9">
        <v>17</v>
      </c>
      <c r="D401" s="9">
        <v>68</v>
      </c>
      <c r="E401" s="9">
        <v>5.4</v>
      </c>
      <c r="F401" s="9">
        <v>0.45</v>
      </c>
      <c r="G401" s="9">
        <v>3.22</v>
      </c>
      <c r="H401" s="7" t="s">
        <v>50</v>
      </c>
    </row>
    <row r="402" spans="1:8" x14ac:dyDescent="0.2">
      <c r="A402" s="9">
        <v>1</v>
      </c>
      <c r="B402" s="9">
        <v>1</v>
      </c>
      <c r="C402" s="9">
        <v>2</v>
      </c>
      <c r="D402" s="9">
        <v>20</v>
      </c>
      <c r="E402" s="9">
        <v>18.600000000000001</v>
      </c>
      <c r="F402" s="9">
        <v>0.56999999999999995</v>
      </c>
      <c r="G402" s="9">
        <v>3.15</v>
      </c>
      <c r="H402" s="7" t="s">
        <v>50</v>
      </c>
    </row>
    <row r="403" spans="1:8" x14ac:dyDescent="0.2">
      <c r="A403" s="9">
        <v>0</v>
      </c>
      <c r="B403" s="9">
        <v>5</v>
      </c>
      <c r="C403" s="9">
        <v>9</v>
      </c>
      <c r="D403" s="9">
        <v>44</v>
      </c>
      <c r="E403" s="9">
        <v>8.6999999999999993</v>
      </c>
      <c r="F403" s="9">
        <v>0.77</v>
      </c>
      <c r="G403" s="9">
        <v>3.05</v>
      </c>
      <c r="H403" s="7" t="s">
        <v>50</v>
      </c>
    </row>
    <row r="404" spans="1:8" x14ac:dyDescent="0.2">
      <c r="A404" s="9">
        <v>0</v>
      </c>
      <c r="B404" s="9">
        <v>12</v>
      </c>
      <c r="C404" s="9">
        <v>13</v>
      </c>
      <c r="D404" s="9">
        <v>60</v>
      </c>
      <c r="E404" s="9">
        <v>7.9</v>
      </c>
      <c r="F404" s="9">
        <v>1.72</v>
      </c>
      <c r="G404" s="9">
        <v>3.02</v>
      </c>
      <c r="H404" s="7" t="s">
        <v>50</v>
      </c>
    </row>
    <row r="405" spans="1:8" x14ac:dyDescent="0.2">
      <c r="A405" s="9">
        <v>0</v>
      </c>
      <c r="B405" s="9">
        <v>6</v>
      </c>
      <c r="C405" s="9">
        <v>9</v>
      </c>
      <c r="D405" s="9">
        <v>29</v>
      </c>
      <c r="E405" s="9">
        <v>16.3</v>
      </c>
      <c r="F405" s="9">
        <v>1.72</v>
      </c>
      <c r="G405" s="9">
        <v>3.01</v>
      </c>
      <c r="H405" s="7" t="s">
        <v>50</v>
      </c>
    </row>
    <row r="406" spans="1:8" x14ac:dyDescent="0.2">
      <c r="A406" s="9">
        <v>0</v>
      </c>
      <c r="B406" s="9">
        <v>1</v>
      </c>
      <c r="C406" s="9">
        <v>1</v>
      </c>
      <c r="D406" s="9">
        <v>18</v>
      </c>
      <c r="E406" s="9">
        <v>17.3</v>
      </c>
      <c r="F406" s="9">
        <v>0.16</v>
      </c>
      <c r="G406" s="9">
        <v>2.96</v>
      </c>
      <c r="H406" s="7" t="s">
        <v>50</v>
      </c>
    </row>
    <row r="407" spans="1:8" x14ac:dyDescent="0.2">
      <c r="A407" s="9">
        <v>0</v>
      </c>
      <c r="B407" s="9">
        <v>14</v>
      </c>
      <c r="C407" s="9">
        <v>8</v>
      </c>
      <c r="D407" s="9">
        <v>52</v>
      </c>
      <c r="E407" s="9">
        <v>7.3</v>
      </c>
      <c r="F407" s="9">
        <v>0.93</v>
      </c>
      <c r="G407" s="9">
        <v>2.87</v>
      </c>
      <c r="H407" s="7" t="s">
        <v>50</v>
      </c>
    </row>
    <row r="408" spans="1:8" x14ac:dyDescent="0.2">
      <c r="A408" s="9">
        <v>0</v>
      </c>
      <c r="B408" s="9">
        <v>4</v>
      </c>
      <c r="C408" s="9">
        <v>10</v>
      </c>
      <c r="D408" s="9">
        <v>28</v>
      </c>
      <c r="E408" s="9">
        <v>11.3</v>
      </c>
      <c r="F408" s="9">
        <v>0.28999999999999998</v>
      </c>
      <c r="G408" s="9">
        <v>2.87</v>
      </c>
      <c r="H408" s="7" t="s">
        <v>50</v>
      </c>
    </row>
    <row r="409" spans="1:8" x14ac:dyDescent="0.2">
      <c r="A409" s="9">
        <v>0</v>
      </c>
      <c r="B409" s="9">
        <v>8</v>
      </c>
      <c r="C409" s="9">
        <v>27</v>
      </c>
      <c r="D409" s="9">
        <v>47</v>
      </c>
      <c r="E409" s="9">
        <v>6.9</v>
      </c>
      <c r="F409" s="9">
        <v>0.4</v>
      </c>
      <c r="G409" s="9">
        <v>2.84</v>
      </c>
      <c r="H409" s="7" t="s">
        <v>50</v>
      </c>
    </row>
    <row r="410" spans="1:8" x14ac:dyDescent="0.2">
      <c r="A410" s="9">
        <v>0</v>
      </c>
      <c r="B410" s="9">
        <v>22</v>
      </c>
      <c r="C410" s="9">
        <v>4</v>
      </c>
      <c r="D410" s="9">
        <v>95</v>
      </c>
      <c r="E410" s="9">
        <v>3.6</v>
      </c>
      <c r="F410" s="9">
        <v>0.63</v>
      </c>
      <c r="G410" s="9">
        <v>2.79</v>
      </c>
      <c r="H410" s="7" t="s">
        <v>50</v>
      </c>
    </row>
    <row r="411" spans="1:8" x14ac:dyDescent="0.2">
      <c r="A411" s="9">
        <v>1</v>
      </c>
      <c r="B411" s="9">
        <v>0</v>
      </c>
      <c r="C411" s="9">
        <v>1</v>
      </c>
      <c r="D411" s="9">
        <v>17</v>
      </c>
      <c r="E411" s="9">
        <v>27.7</v>
      </c>
      <c r="F411" s="9">
        <v>2.04</v>
      </c>
      <c r="G411" s="9">
        <v>2.67</v>
      </c>
      <c r="H411" s="7" t="s">
        <v>50</v>
      </c>
    </row>
    <row r="412" spans="1:8" x14ac:dyDescent="0.2">
      <c r="A412" s="9">
        <v>0</v>
      </c>
      <c r="B412" s="9">
        <v>12</v>
      </c>
      <c r="C412" s="9">
        <v>3</v>
      </c>
      <c r="D412" s="9">
        <v>31</v>
      </c>
      <c r="E412" s="9">
        <v>9.6999999999999993</v>
      </c>
      <c r="F412" s="9">
        <v>0.36</v>
      </c>
      <c r="G412" s="9">
        <v>2.65</v>
      </c>
      <c r="H412" s="7" t="s">
        <v>50</v>
      </c>
    </row>
    <row r="413" spans="1:8" x14ac:dyDescent="0.2">
      <c r="A413" s="9">
        <v>1</v>
      </c>
      <c r="B413" s="9">
        <v>3</v>
      </c>
      <c r="C413" s="9">
        <v>13</v>
      </c>
      <c r="D413" s="9">
        <v>43</v>
      </c>
      <c r="E413" s="9">
        <v>13.2</v>
      </c>
      <c r="F413" s="9">
        <v>3.04</v>
      </c>
      <c r="G413" s="9">
        <v>2.63</v>
      </c>
      <c r="H413" s="7" t="s">
        <v>50</v>
      </c>
    </row>
    <row r="414" spans="1:8" x14ac:dyDescent="0.2">
      <c r="A414" s="9">
        <v>1</v>
      </c>
      <c r="B414" s="9">
        <v>1</v>
      </c>
      <c r="C414" s="9">
        <v>14</v>
      </c>
      <c r="D414" s="9">
        <v>33</v>
      </c>
      <c r="E414" s="9">
        <v>16.100000000000001</v>
      </c>
      <c r="F414" s="9">
        <v>2.69</v>
      </c>
      <c r="G414" s="9">
        <v>2.62</v>
      </c>
      <c r="H414" s="7" t="s">
        <v>50</v>
      </c>
    </row>
    <row r="415" spans="1:8" x14ac:dyDescent="0.2">
      <c r="A415" s="9">
        <v>1</v>
      </c>
      <c r="B415" s="9">
        <v>3</v>
      </c>
      <c r="C415" s="9">
        <v>2</v>
      </c>
      <c r="D415" s="9">
        <v>18</v>
      </c>
      <c r="E415" s="9">
        <v>16.3</v>
      </c>
      <c r="F415" s="9">
        <v>0.35</v>
      </c>
      <c r="G415" s="9">
        <v>2.58</v>
      </c>
      <c r="H415" s="7" t="s">
        <v>50</v>
      </c>
    </row>
    <row r="416" spans="1:8" x14ac:dyDescent="0.2">
      <c r="A416" s="9">
        <v>0</v>
      </c>
      <c r="B416" s="9">
        <v>1</v>
      </c>
      <c r="C416" s="9">
        <v>0</v>
      </c>
      <c r="D416" s="9">
        <v>23</v>
      </c>
      <c r="E416" s="9">
        <v>12.4</v>
      </c>
      <c r="F416" s="9">
        <v>0.28999999999999998</v>
      </c>
      <c r="G416" s="9">
        <v>2.57</v>
      </c>
      <c r="H416" s="7" t="s">
        <v>50</v>
      </c>
    </row>
    <row r="417" spans="1:8" x14ac:dyDescent="0.2">
      <c r="A417" s="9">
        <v>0</v>
      </c>
      <c r="B417" s="9">
        <v>10</v>
      </c>
      <c r="C417" s="9">
        <v>2</v>
      </c>
      <c r="D417" s="9">
        <v>33</v>
      </c>
      <c r="E417" s="9">
        <v>9.5</v>
      </c>
      <c r="F417" s="9">
        <v>0.56999999999999995</v>
      </c>
      <c r="G417" s="9">
        <v>2.56</v>
      </c>
      <c r="H417" s="7" t="s">
        <v>50</v>
      </c>
    </row>
    <row r="418" spans="1:8" x14ac:dyDescent="0.2">
      <c r="A418" s="9">
        <v>1</v>
      </c>
      <c r="B418" s="9">
        <v>6</v>
      </c>
      <c r="C418" s="9">
        <v>0</v>
      </c>
      <c r="D418" s="9">
        <v>36</v>
      </c>
      <c r="E418" s="9">
        <v>19.5</v>
      </c>
      <c r="F418" s="9">
        <v>4.51</v>
      </c>
      <c r="G418" s="9">
        <v>2.5099999999999998</v>
      </c>
      <c r="H418" s="7" t="s">
        <v>50</v>
      </c>
    </row>
    <row r="419" spans="1:8" x14ac:dyDescent="0.2">
      <c r="A419" s="9">
        <v>0</v>
      </c>
      <c r="B419" s="9">
        <v>19</v>
      </c>
      <c r="C419" s="9">
        <v>2</v>
      </c>
      <c r="D419" s="9">
        <v>68</v>
      </c>
      <c r="E419" s="9">
        <v>5.8</v>
      </c>
      <c r="F419" s="9">
        <v>1.51</v>
      </c>
      <c r="G419" s="9">
        <v>2.44</v>
      </c>
      <c r="H419" s="7" t="s">
        <v>50</v>
      </c>
    </row>
    <row r="420" spans="1:8" x14ac:dyDescent="0.2">
      <c r="A420" s="9">
        <v>0</v>
      </c>
      <c r="B420" s="9">
        <v>4</v>
      </c>
      <c r="C420" s="9">
        <v>10</v>
      </c>
      <c r="D420" s="9">
        <v>23</v>
      </c>
      <c r="E420" s="9">
        <v>16.3</v>
      </c>
      <c r="F420" s="9">
        <v>1.33</v>
      </c>
      <c r="G420" s="9">
        <v>2.42</v>
      </c>
      <c r="H420" s="7" t="s">
        <v>50</v>
      </c>
    </row>
    <row r="421" spans="1:8" x14ac:dyDescent="0.2">
      <c r="A421" s="9">
        <v>1</v>
      </c>
      <c r="B421" s="9">
        <v>0</v>
      </c>
      <c r="C421" s="9">
        <v>4</v>
      </c>
      <c r="D421" s="9">
        <v>27</v>
      </c>
      <c r="E421" s="9">
        <v>12.8</v>
      </c>
      <c r="F421" s="9">
        <v>1.0900000000000001</v>
      </c>
      <c r="G421" s="9">
        <v>2.37</v>
      </c>
      <c r="H421" s="7" t="s">
        <v>50</v>
      </c>
    </row>
    <row r="422" spans="1:8" x14ac:dyDescent="0.2">
      <c r="A422" s="9">
        <v>1</v>
      </c>
      <c r="B422" s="9">
        <v>5</v>
      </c>
      <c r="C422" s="9">
        <v>3</v>
      </c>
      <c r="D422" s="9">
        <v>48</v>
      </c>
      <c r="E422" s="9">
        <v>9</v>
      </c>
      <c r="F422" s="9">
        <v>1.97</v>
      </c>
      <c r="G422" s="9">
        <v>2.35</v>
      </c>
      <c r="H422" s="7" t="s">
        <v>50</v>
      </c>
    </row>
    <row r="423" spans="1:8" x14ac:dyDescent="0.2">
      <c r="A423" s="9">
        <v>0</v>
      </c>
      <c r="B423" s="9">
        <v>8</v>
      </c>
      <c r="C423" s="9">
        <v>6</v>
      </c>
      <c r="D423" s="9">
        <v>27</v>
      </c>
      <c r="E423" s="9">
        <v>9.8000000000000007</v>
      </c>
      <c r="F423" s="9">
        <v>0.4</v>
      </c>
      <c r="G423" s="9">
        <v>2.2400000000000002</v>
      </c>
      <c r="H423" s="7" t="s">
        <v>50</v>
      </c>
    </row>
    <row r="424" spans="1:8" x14ac:dyDescent="0.2">
      <c r="A424" s="9">
        <v>0</v>
      </c>
      <c r="B424" s="9">
        <v>4</v>
      </c>
      <c r="C424" s="9">
        <v>7</v>
      </c>
      <c r="D424" s="9">
        <v>26</v>
      </c>
      <c r="E424" s="9">
        <v>13.5</v>
      </c>
      <c r="F424" s="9">
        <v>1.3</v>
      </c>
      <c r="G424" s="9">
        <v>2.21</v>
      </c>
      <c r="H424" s="7" t="s">
        <v>50</v>
      </c>
    </row>
    <row r="425" spans="1:8" x14ac:dyDescent="0.2">
      <c r="A425" s="9">
        <v>0</v>
      </c>
      <c r="B425" s="9">
        <v>3</v>
      </c>
      <c r="C425" s="9">
        <v>6</v>
      </c>
      <c r="D425" s="9">
        <v>26</v>
      </c>
      <c r="E425" s="9">
        <v>10</v>
      </c>
      <c r="F425" s="9">
        <v>0.43</v>
      </c>
      <c r="G425" s="9">
        <v>2.17</v>
      </c>
      <c r="H425" s="7" t="s">
        <v>50</v>
      </c>
    </row>
    <row r="426" spans="1:8" x14ac:dyDescent="0.2">
      <c r="A426" s="9">
        <v>0</v>
      </c>
      <c r="B426" s="9">
        <v>6</v>
      </c>
      <c r="C426" s="9">
        <v>9</v>
      </c>
      <c r="D426" s="9">
        <v>26</v>
      </c>
      <c r="E426" s="9">
        <v>8.3000000000000007</v>
      </c>
      <c r="F426" s="9">
        <v>0.97</v>
      </c>
      <c r="G426" s="9">
        <v>2.13</v>
      </c>
      <c r="H426" s="7" t="s">
        <v>50</v>
      </c>
    </row>
    <row r="427" spans="1:8" x14ac:dyDescent="0.2">
      <c r="A427" s="9">
        <v>0</v>
      </c>
      <c r="B427" s="9">
        <v>0</v>
      </c>
      <c r="C427" s="9">
        <v>8</v>
      </c>
      <c r="D427" s="9">
        <v>39</v>
      </c>
      <c r="E427" s="9">
        <v>7.9</v>
      </c>
      <c r="F427" s="9">
        <v>1.07</v>
      </c>
      <c r="G427" s="9">
        <v>2.0099999999999998</v>
      </c>
      <c r="H427" s="7" t="s">
        <v>50</v>
      </c>
    </row>
    <row r="428" spans="1:8" x14ac:dyDescent="0.2">
      <c r="A428" s="9">
        <v>0</v>
      </c>
      <c r="B428" s="9">
        <v>8</v>
      </c>
      <c r="C428" s="9">
        <v>6</v>
      </c>
      <c r="D428" s="9">
        <v>23</v>
      </c>
      <c r="E428" s="9">
        <v>12</v>
      </c>
      <c r="F428" s="9">
        <v>0.76</v>
      </c>
      <c r="G428" s="9">
        <v>2</v>
      </c>
      <c r="H428" s="7" t="s">
        <v>50</v>
      </c>
    </row>
    <row r="429" spans="1:8" x14ac:dyDescent="0.2">
      <c r="A429" s="9">
        <v>0</v>
      </c>
      <c r="B429" s="9">
        <v>18</v>
      </c>
      <c r="C429" s="9">
        <v>8</v>
      </c>
      <c r="D429" s="9">
        <v>54</v>
      </c>
      <c r="E429" s="9">
        <v>12.1</v>
      </c>
      <c r="F429" s="9">
        <v>4.59</v>
      </c>
      <c r="G429" s="9">
        <v>1.94</v>
      </c>
      <c r="H429" s="7" t="s">
        <v>50</v>
      </c>
    </row>
    <row r="430" spans="1:8" x14ac:dyDescent="0.2">
      <c r="A430" s="9">
        <v>0</v>
      </c>
      <c r="B430" s="9">
        <v>9</v>
      </c>
      <c r="C430" s="9">
        <v>9</v>
      </c>
      <c r="D430" s="9">
        <v>65</v>
      </c>
      <c r="E430" s="9">
        <v>6.2</v>
      </c>
      <c r="F430" s="9">
        <v>2.11</v>
      </c>
      <c r="G430" s="9">
        <v>1.92</v>
      </c>
      <c r="H430" s="7" t="s">
        <v>50</v>
      </c>
    </row>
    <row r="431" spans="1:8" x14ac:dyDescent="0.2">
      <c r="A431" s="9">
        <v>0</v>
      </c>
      <c r="B431" s="9">
        <v>12</v>
      </c>
      <c r="C431" s="9">
        <v>8</v>
      </c>
      <c r="D431" s="9">
        <v>47</v>
      </c>
      <c r="E431" s="9">
        <v>6.7</v>
      </c>
      <c r="F431" s="9">
        <v>1.3</v>
      </c>
      <c r="G431" s="9">
        <v>1.85</v>
      </c>
      <c r="H431" s="7" t="s">
        <v>50</v>
      </c>
    </row>
    <row r="432" spans="1:8" x14ac:dyDescent="0.2">
      <c r="A432" s="9">
        <v>1</v>
      </c>
      <c r="B432" s="9">
        <v>3</v>
      </c>
      <c r="C432" s="9">
        <v>2</v>
      </c>
      <c r="D432" s="9">
        <v>16</v>
      </c>
      <c r="E432" s="9">
        <v>17.8</v>
      </c>
      <c r="F432" s="9">
        <v>1.01</v>
      </c>
      <c r="G432" s="9">
        <v>1.84</v>
      </c>
      <c r="H432" s="7" t="s">
        <v>50</v>
      </c>
    </row>
    <row r="433" spans="1:8" x14ac:dyDescent="0.2">
      <c r="A433" s="9">
        <v>1</v>
      </c>
      <c r="B433" s="9">
        <v>1</v>
      </c>
      <c r="C433" s="9">
        <v>3</v>
      </c>
      <c r="D433" s="9">
        <v>24</v>
      </c>
      <c r="E433" s="9">
        <v>15.1</v>
      </c>
      <c r="F433" s="9">
        <v>1.8</v>
      </c>
      <c r="G433" s="9">
        <v>1.82</v>
      </c>
      <c r="H433" s="7" t="s">
        <v>50</v>
      </c>
    </row>
    <row r="434" spans="1:8" x14ac:dyDescent="0.2">
      <c r="A434" s="9">
        <v>0</v>
      </c>
      <c r="B434" s="9">
        <v>12</v>
      </c>
      <c r="C434" s="9">
        <v>10</v>
      </c>
      <c r="D434" s="9">
        <v>46</v>
      </c>
      <c r="E434" s="9">
        <v>5</v>
      </c>
      <c r="F434" s="9">
        <v>0.56000000000000005</v>
      </c>
      <c r="G434" s="9">
        <v>1.74</v>
      </c>
      <c r="H434" s="7" t="s">
        <v>50</v>
      </c>
    </row>
    <row r="435" spans="1:8" x14ac:dyDescent="0.2">
      <c r="A435" s="9">
        <v>1</v>
      </c>
      <c r="B435" s="9">
        <v>2</v>
      </c>
      <c r="C435" s="9">
        <v>4</v>
      </c>
      <c r="D435" s="9">
        <v>22</v>
      </c>
      <c r="E435" s="9">
        <v>12.7</v>
      </c>
      <c r="F435" s="9">
        <v>1.0900000000000001</v>
      </c>
      <c r="G435" s="9">
        <v>1.7</v>
      </c>
      <c r="H435" s="7" t="s">
        <v>50</v>
      </c>
    </row>
    <row r="436" spans="1:8" x14ac:dyDescent="0.2">
      <c r="A436" s="9">
        <v>0</v>
      </c>
      <c r="B436" s="9">
        <v>4</v>
      </c>
      <c r="C436" s="9">
        <v>9</v>
      </c>
      <c r="D436" s="9">
        <v>55</v>
      </c>
      <c r="E436" s="9">
        <v>7</v>
      </c>
      <c r="F436" s="9">
        <v>2.16</v>
      </c>
      <c r="G436" s="9">
        <v>1.69</v>
      </c>
      <c r="H436" s="7" t="s">
        <v>50</v>
      </c>
    </row>
    <row r="437" spans="1:8" x14ac:dyDescent="0.2">
      <c r="A437" s="9">
        <v>0</v>
      </c>
      <c r="B437" s="9">
        <v>19</v>
      </c>
      <c r="C437" s="9">
        <v>8</v>
      </c>
      <c r="D437" s="9">
        <v>46</v>
      </c>
      <c r="E437" s="9">
        <v>9.1</v>
      </c>
      <c r="F437" s="9">
        <v>2.52</v>
      </c>
      <c r="G437" s="9">
        <v>1.67</v>
      </c>
      <c r="H437" s="7" t="s">
        <v>50</v>
      </c>
    </row>
    <row r="438" spans="1:8" x14ac:dyDescent="0.2">
      <c r="A438" s="9">
        <v>0</v>
      </c>
      <c r="B438" s="9">
        <v>10</v>
      </c>
      <c r="C438" s="9">
        <v>11</v>
      </c>
      <c r="D438" s="9">
        <v>39</v>
      </c>
      <c r="E438" s="9">
        <v>9.5</v>
      </c>
      <c r="F438" s="9">
        <v>2.06</v>
      </c>
      <c r="G438" s="9">
        <v>1.65</v>
      </c>
      <c r="H438" s="7" t="s">
        <v>50</v>
      </c>
    </row>
    <row r="439" spans="1:8" x14ac:dyDescent="0.2">
      <c r="A439" s="9">
        <v>1</v>
      </c>
      <c r="B439" s="9">
        <v>2</v>
      </c>
      <c r="C439" s="9">
        <v>3</v>
      </c>
      <c r="D439" s="9">
        <v>26</v>
      </c>
      <c r="E439" s="9">
        <v>9.6999999999999993</v>
      </c>
      <c r="F439" s="9">
        <v>0.89</v>
      </c>
      <c r="G439" s="9">
        <v>1.63</v>
      </c>
      <c r="H439" s="7" t="s">
        <v>50</v>
      </c>
    </row>
    <row r="440" spans="1:8" x14ac:dyDescent="0.2">
      <c r="A440" s="9">
        <v>0</v>
      </c>
      <c r="B440" s="9">
        <v>12</v>
      </c>
      <c r="C440" s="9">
        <v>7</v>
      </c>
      <c r="D440" s="9">
        <v>45</v>
      </c>
      <c r="E440" s="9">
        <v>7.7</v>
      </c>
      <c r="F440" s="9">
        <v>1.85</v>
      </c>
      <c r="G440" s="9">
        <v>1.61</v>
      </c>
      <c r="H440" s="7" t="s">
        <v>50</v>
      </c>
    </row>
    <row r="441" spans="1:8" x14ac:dyDescent="0.2">
      <c r="A441" s="9">
        <v>0</v>
      </c>
      <c r="B441" s="9">
        <v>7</v>
      </c>
      <c r="C441" s="9">
        <v>15</v>
      </c>
      <c r="D441" s="9">
        <v>40</v>
      </c>
      <c r="E441" s="9">
        <v>6.4</v>
      </c>
      <c r="F441" s="9">
        <v>0.95</v>
      </c>
      <c r="G441" s="9">
        <v>1.61</v>
      </c>
      <c r="H441" s="7" t="s">
        <v>50</v>
      </c>
    </row>
    <row r="442" spans="1:8" x14ac:dyDescent="0.2">
      <c r="A442" s="9">
        <v>1</v>
      </c>
      <c r="B442" s="9">
        <v>10</v>
      </c>
      <c r="C442" s="9">
        <v>12</v>
      </c>
      <c r="D442" s="9">
        <v>49</v>
      </c>
      <c r="E442" s="9">
        <v>9.8000000000000007</v>
      </c>
      <c r="F442" s="9">
        <v>3.24</v>
      </c>
      <c r="G442" s="9">
        <v>1.57</v>
      </c>
      <c r="H442" s="7" t="s">
        <v>50</v>
      </c>
    </row>
    <row r="443" spans="1:8" x14ac:dyDescent="0.2">
      <c r="A443" s="9">
        <v>0</v>
      </c>
      <c r="B443" s="9">
        <v>2</v>
      </c>
      <c r="C443" s="9">
        <v>9</v>
      </c>
      <c r="D443" s="9">
        <v>16</v>
      </c>
      <c r="E443" s="9">
        <v>15.2</v>
      </c>
      <c r="F443" s="9">
        <v>0.87</v>
      </c>
      <c r="G443" s="9">
        <v>1.56</v>
      </c>
      <c r="H443" s="7" t="s">
        <v>50</v>
      </c>
    </row>
    <row r="444" spans="1:8" x14ac:dyDescent="0.2">
      <c r="A444" s="9">
        <v>0</v>
      </c>
      <c r="B444" s="9">
        <v>8</v>
      </c>
      <c r="C444" s="9">
        <v>6</v>
      </c>
      <c r="D444" s="9">
        <v>30</v>
      </c>
      <c r="E444" s="9">
        <v>7.2</v>
      </c>
      <c r="F444" s="9">
        <v>0.61</v>
      </c>
      <c r="G444" s="9">
        <v>1.55</v>
      </c>
      <c r="H444" s="7" t="s">
        <v>50</v>
      </c>
    </row>
    <row r="445" spans="1:8" x14ac:dyDescent="0.2">
      <c r="A445" s="9">
        <v>0</v>
      </c>
      <c r="B445" s="9">
        <v>11</v>
      </c>
      <c r="C445" s="9">
        <v>5</v>
      </c>
      <c r="D445" s="9">
        <v>36</v>
      </c>
      <c r="E445" s="9">
        <v>6.1</v>
      </c>
      <c r="F445" s="9">
        <v>0.71</v>
      </c>
      <c r="G445" s="9">
        <v>1.49</v>
      </c>
      <c r="H445" s="7" t="s">
        <v>50</v>
      </c>
    </row>
    <row r="446" spans="1:8" x14ac:dyDescent="0.2">
      <c r="A446" s="9">
        <v>1</v>
      </c>
      <c r="B446" s="9">
        <v>2</v>
      </c>
      <c r="C446" s="9">
        <v>1</v>
      </c>
      <c r="D446" s="9">
        <v>26</v>
      </c>
      <c r="E446" s="9">
        <v>6.8</v>
      </c>
      <c r="F446" s="9">
        <v>0.28000000000000003</v>
      </c>
      <c r="G446" s="9">
        <v>1.49</v>
      </c>
      <c r="H446" s="7" t="s">
        <v>50</v>
      </c>
    </row>
    <row r="447" spans="1:8" x14ac:dyDescent="0.2">
      <c r="A447" s="9">
        <v>0</v>
      </c>
      <c r="B447" s="9">
        <v>13</v>
      </c>
      <c r="C447" s="9">
        <v>1</v>
      </c>
      <c r="D447" s="9">
        <v>38</v>
      </c>
      <c r="E447" s="9">
        <v>8.9</v>
      </c>
      <c r="F447" s="9">
        <v>1.9</v>
      </c>
      <c r="G447" s="9">
        <v>1.48</v>
      </c>
      <c r="H447" s="7" t="s">
        <v>50</v>
      </c>
    </row>
    <row r="448" spans="1:8" x14ac:dyDescent="0.2">
      <c r="A448" s="9">
        <v>0</v>
      </c>
      <c r="B448" s="9">
        <v>15</v>
      </c>
      <c r="C448" s="9">
        <v>16</v>
      </c>
      <c r="D448" s="9">
        <v>73</v>
      </c>
      <c r="E448" s="9">
        <v>3.4</v>
      </c>
      <c r="F448" s="9">
        <v>1.03</v>
      </c>
      <c r="G448" s="9">
        <v>1.45</v>
      </c>
      <c r="H448" s="7" t="s">
        <v>50</v>
      </c>
    </row>
    <row r="449" spans="1:8" x14ac:dyDescent="0.2">
      <c r="A449" s="9">
        <v>0</v>
      </c>
      <c r="B449" s="9">
        <v>5</v>
      </c>
      <c r="C449" s="9">
        <v>13</v>
      </c>
      <c r="D449" s="9">
        <v>21</v>
      </c>
      <c r="E449" s="9">
        <v>9</v>
      </c>
      <c r="F449" s="9">
        <v>0.45</v>
      </c>
      <c r="G449" s="9">
        <v>1.44</v>
      </c>
      <c r="H449" s="7" t="s">
        <v>50</v>
      </c>
    </row>
    <row r="450" spans="1:8" x14ac:dyDescent="0.2">
      <c r="A450" s="9">
        <v>0</v>
      </c>
      <c r="B450" s="9">
        <v>16</v>
      </c>
      <c r="C450" s="9">
        <v>9</v>
      </c>
      <c r="D450" s="9">
        <v>79</v>
      </c>
      <c r="E450" s="9">
        <v>4</v>
      </c>
      <c r="F450" s="9">
        <v>1.73</v>
      </c>
      <c r="G450" s="9">
        <v>1.43</v>
      </c>
      <c r="H450" s="7" t="s">
        <v>50</v>
      </c>
    </row>
    <row r="451" spans="1:8" x14ac:dyDescent="0.2">
      <c r="A451" s="9">
        <v>1</v>
      </c>
      <c r="B451" s="9">
        <v>2</v>
      </c>
      <c r="C451" s="9">
        <v>0</v>
      </c>
      <c r="D451" s="9">
        <v>14</v>
      </c>
      <c r="E451" s="9">
        <v>14.4</v>
      </c>
      <c r="F451" s="9">
        <v>0.59</v>
      </c>
      <c r="G451" s="9">
        <v>1.43</v>
      </c>
      <c r="H451" s="7" t="s">
        <v>50</v>
      </c>
    </row>
    <row r="452" spans="1:8" x14ac:dyDescent="0.2">
      <c r="A452" s="9">
        <v>0</v>
      </c>
      <c r="B452" s="9">
        <v>10</v>
      </c>
      <c r="C452" s="9">
        <v>6</v>
      </c>
      <c r="D452" s="9">
        <v>34</v>
      </c>
      <c r="E452" s="9">
        <v>6.5</v>
      </c>
      <c r="F452" s="9">
        <v>0.85</v>
      </c>
      <c r="G452" s="9">
        <v>1.36</v>
      </c>
      <c r="H452" s="7" t="s">
        <v>50</v>
      </c>
    </row>
    <row r="453" spans="1:8" x14ac:dyDescent="0.2">
      <c r="A453" s="9">
        <v>1</v>
      </c>
      <c r="B453" s="9">
        <v>0</v>
      </c>
      <c r="C453" s="9">
        <v>16</v>
      </c>
      <c r="D453" s="9">
        <v>22</v>
      </c>
      <c r="E453" s="9">
        <v>15</v>
      </c>
      <c r="F453" s="9">
        <v>1.97</v>
      </c>
      <c r="G453" s="9">
        <v>1.33</v>
      </c>
      <c r="H453" s="7" t="s">
        <v>50</v>
      </c>
    </row>
    <row r="454" spans="1:8" x14ac:dyDescent="0.2">
      <c r="A454" s="9">
        <v>1</v>
      </c>
      <c r="B454" s="9">
        <v>0</v>
      </c>
      <c r="C454" s="9">
        <v>3</v>
      </c>
      <c r="D454" s="9">
        <v>29</v>
      </c>
      <c r="E454" s="9">
        <v>6.6</v>
      </c>
      <c r="F454" s="9">
        <v>0.59</v>
      </c>
      <c r="G454" s="9">
        <v>1.32</v>
      </c>
      <c r="H454" s="7" t="s">
        <v>50</v>
      </c>
    </row>
    <row r="455" spans="1:8" x14ac:dyDescent="0.2">
      <c r="A455" s="9">
        <v>1</v>
      </c>
      <c r="B455" s="9">
        <v>0</v>
      </c>
      <c r="C455" s="9">
        <v>6</v>
      </c>
      <c r="D455" s="9">
        <v>24</v>
      </c>
      <c r="E455" s="9">
        <v>12.1</v>
      </c>
      <c r="F455" s="9">
        <v>1.6</v>
      </c>
      <c r="G455" s="9">
        <v>1.31</v>
      </c>
      <c r="H455" s="7" t="s">
        <v>50</v>
      </c>
    </row>
    <row r="456" spans="1:8" x14ac:dyDescent="0.2">
      <c r="A456" s="9">
        <v>0</v>
      </c>
      <c r="B456" s="9">
        <v>9</v>
      </c>
      <c r="C456" s="9">
        <v>1</v>
      </c>
      <c r="D456" s="9">
        <v>34</v>
      </c>
      <c r="E456" s="9">
        <v>5</v>
      </c>
      <c r="F456" s="9">
        <v>0.4</v>
      </c>
      <c r="G456" s="9">
        <v>1.3</v>
      </c>
      <c r="H456" s="7" t="s">
        <v>50</v>
      </c>
    </row>
    <row r="457" spans="1:8" x14ac:dyDescent="0.2">
      <c r="A457" s="9">
        <v>1</v>
      </c>
      <c r="B457" s="9">
        <v>2</v>
      </c>
      <c r="C457" s="9">
        <v>3</v>
      </c>
      <c r="D457" s="9">
        <v>23</v>
      </c>
      <c r="E457" s="9">
        <v>6.4</v>
      </c>
      <c r="F457" s="9">
        <v>0.19</v>
      </c>
      <c r="G457" s="9">
        <v>1.29</v>
      </c>
      <c r="H457" s="7" t="s">
        <v>50</v>
      </c>
    </row>
    <row r="458" spans="1:8" x14ac:dyDescent="0.2">
      <c r="A458" s="9">
        <v>0</v>
      </c>
      <c r="B458" s="9">
        <v>13</v>
      </c>
      <c r="C458" s="9">
        <v>13</v>
      </c>
      <c r="D458" s="9">
        <v>42</v>
      </c>
      <c r="E458" s="9">
        <v>3.6</v>
      </c>
      <c r="F458" s="9">
        <v>0.23</v>
      </c>
      <c r="G458" s="9">
        <v>1.28</v>
      </c>
      <c r="H458" s="7" t="s">
        <v>50</v>
      </c>
    </row>
    <row r="459" spans="1:8" x14ac:dyDescent="0.2">
      <c r="A459" s="9">
        <v>0</v>
      </c>
      <c r="B459" s="9">
        <v>4</v>
      </c>
      <c r="C459" s="9">
        <v>2</v>
      </c>
      <c r="D459" s="9">
        <v>29</v>
      </c>
      <c r="E459" s="9">
        <v>4.5999999999999996</v>
      </c>
      <c r="F459" s="9">
        <v>0.05</v>
      </c>
      <c r="G459" s="9">
        <v>1.28</v>
      </c>
      <c r="H459" s="7" t="s">
        <v>50</v>
      </c>
    </row>
    <row r="460" spans="1:8" x14ac:dyDescent="0.2">
      <c r="A460" s="9">
        <v>0</v>
      </c>
      <c r="B460" s="9">
        <v>16</v>
      </c>
      <c r="C460" s="9">
        <v>12</v>
      </c>
      <c r="D460" s="9">
        <v>53</v>
      </c>
      <c r="E460" s="9">
        <v>3.7</v>
      </c>
      <c r="F460" s="9">
        <v>0.69</v>
      </c>
      <c r="G460" s="9">
        <v>1.27</v>
      </c>
      <c r="H460" s="7" t="s">
        <v>50</v>
      </c>
    </row>
    <row r="461" spans="1:8" x14ac:dyDescent="0.2">
      <c r="A461" s="9">
        <v>0</v>
      </c>
      <c r="B461" s="9">
        <v>0</v>
      </c>
      <c r="C461" s="9">
        <v>27</v>
      </c>
      <c r="D461" s="9">
        <v>19</v>
      </c>
      <c r="E461" s="9">
        <v>10.8</v>
      </c>
      <c r="F461" s="9">
        <v>0.85</v>
      </c>
      <c r="G461" s="9">
        <v>1.2</v>
      </c>
      <c r="H461" s="7" t="s">
        <v>50</v>
      </c>
    </row>
    <row r="462" spans="1:8" x14ac:dyDescent="0.2">
      <c r="A462" s="9">
        <v>0</v>
      </c>
      <c r="B462" s="9">
        <v>7</v>
      </c>
      <c r="C462" s="9">
        <v>11</v>
      </c>
      <c r="D462" s="9">
        <v>43</v>
      </c>
      <c r="E462" s="9">
        <v>4.4000000000000004</v>
      </c>
      <c r="F462" s="9">
        <v>0.69</v>
      </c>
      <c r="G462" s="9">
        <v>1.2</v>
      </c>
      <c r="H462" s="7" t="s">
        <v>50</v>
      </c>
    </row>
    <row r="463" spans="1:8" x14ac:dyDescent="0.2">
      <c r="A463" s="9">
        <v>0</v>
      </c>
      <c r="B463" s="9">
        <v>1</v>
      </c>
      <c r="C463" s="9">
        <v>10</v>
      </c>
      <c r="D463" s="9">
        <v>22</v>
      </c>
      <c r="E463" s="9">
        <v>10.5</v>
      </c>
      <c r="F463" s="9">
        <v>1.1399999999999999</v>
      </c>
      <c r="G463" s="9">
        <v>1.17</v>
      </c>
      <c r="H463" s="7" t="s">
        <v>50</v>
      </c>
    </row>
    <row r="464" spans="1:8" x14ac:dyDescent="0.2">
      <c r="A464" s="9">
        <v>1</v>
      </c>
      <c r="B464" s="9">
        <v>4</v>
      </c>
      <c r="C464" s="9">
        <v>9</v>
      </c>
      <c r="D464" s="9">
        <v>33</v>
      </c>
      <c r="E464" s="9">
        <v>7.1</v>
      </c>
      <c r="F464" s="9">
        <v>1.19</v>
      </c>
      <c r="G464" s="9">
        <v>1.1499999999999999</v>
      </c>
      <c r="H464" s="7" t="s">
        <v>50</v>
      </c>
    </row>
    <row r="465" spans="1:8" x14ac:dyDescent="0.2">
      <c r="A465" s="9">
        <v>0</v>
      </c>
      <c r="B465" s="9">
        <v>14</v>
      </c>
      <c r="C465" s="9">
        <v>17</v>
      </c>
      <c r="D465" s="9">
        <v>53</v>
      </c>
      <c r="E465" s="9">
        <v>5.7</v>
      </c>
      <c r="F465" s="9">
        <v>1.89</v>
      </c>
      <c r="G465" s="9">
        <v>1.1299999999999999</v>
      </c>
      <c r="H465" s="7" t="s">
        <v>50</v>
      </c>
    </row>
    <row r="466" spans="1:8" x14ac:dyDescent="0.2">
      <c r="A466" s="9">
        <v>0</v>
      </c>
      <c r="B466" s="9">
        <v>0</v>
      </c>
      <c r="C466" s="9">
        <v>2</v>
      </c>
      <c r="D466" s="9">
        <v>23</v>
      </c>
      <c r="E466" s="9">
        <v>6.7</v>
      </c>
      <c r="F466" s="9">
        <v>0.47</v>
      </c>
      <c r="G466" s="9">
        <v>1.07</v>
      </c>
      <c r="H466" s="7" t="s">
        <v>50</v>
      </c>
    </row>
    <row r="467" spans="1:8" x14ac:dyDescent="0.2">
      <c r="A467" s="9">
        <v>0</v>
      </c>
      <c r="B467" s="9">
        <v>6</v>
      </c>
      <c r="C467" s="9">
        <v>14</v>
      </c>
      <c r="D467" s="9">
        <v>21</v>
      </c>
      <c r="E467" s="9">
        <v>7.5</v>
      </c>
      <c r="F467" s="9">
        <v>0.56999999999999995</v>
      </c>
      <c r="G467" s="9">
        <v>1.01</v>
      </c>
      <c r="H467" s="7" t="s">
        <v>50</v>
      </c>
    </row>
    <row r="468" spans="1:8" x14ac:dyDescent="0.2">
      <c r="A468" s="9">
        <v>1</v>
      </c>
      <c r="B468" s="9">
        <v>11</v>
      </c>
      <c r="C468" s="9">
        <v>6</v>
      </c>
      <c r="D468" s="9">
        <v>28</v>
      </c>
      <c r="E468" s="9">
        <v>4.8</v>
      </c>
      <c r="F468" s="9">
        <v>0.35</v>
      </c>
      <c r="G468" s="9">
        <v>1</v>
      </c>
      <c r="H468" s="7" t="s">
        <v>50</v>
      </c>
    </row>
    <row r="469" spans="1:8" x14ac:dyDescent="0.2">
      <c r="A469" s="9">
        <v>1</v>
      </c>
      <c r="B469" s="9">
        <v>5</v>
      </c>
      <c r="C469" s="9">
        <v>4</v>
      </c>
      <c r="D469" s="9">
        <v>36</v>
      </c>
      <c r="E469" s="9">
        <v>12.4</v>
      </c>
      <c r="F469" s="9">
        <v>3.49</v>
      </c>
      <c r="G469" s="9">
        <v>0.97</v>
      </c>
      <c r="H469" s="7" t="s">
        <v>50</v>
      </c>
    </row>
    <row r="470" spans="1:8" x14ac:dyDescent="0.2">
      <c r="A470" s="9">
        <v>1</v>
      </c>
      <c r="B470" s="9">
        <v>3</v>
      </c>
      <c r="C470" s="9">
        <v>3</v>
      </c>
      <c r="D470" s="9">
        <v>50</v>
      </c>
      <c r="E470" s="9">
        <v>2.4</v>
      </c>
      <c r="F470" s="9">
        <v>0.26</v>
      </c>
      <c r="G470" s="9">
        <v>0.94</v>
      </c>
      <c r="H470" s="7" t="s">
        <v>50</v>
      </c>
    </row>
    <row r="471" spans="1:8" x14ac:dyDescent="0.2">
      <c r="A471" s="9">
        <v>0</v>
      </c>
      <c r="B471" s="9">
        <v>4</v>
      </c>
      <c r="C471" s="9">
        <v>0</v>
      </c>
      <c r="D471" s="9">
        <v>23</v>
      </c>
      <c r="E471" s="9">
        <v>5.2</v>
      </c>
      <c r="F471" s="9">
        <v>0.25</v>
      </c>
      <c r="G471" s="9">
        <v>0.94</v>
      </c>
      <c r="H471" s="7" t="s">
        <v>50</v>
      </c>
    </row>
    <row r="472" spans="1:8" x14ac:dyDescent="0.2">
      <c r="A472" s="9">
        <v>0</v>
      </c>
      <c r="B472" s="9">
        <v>7</v>
      </c>
      <c r="C472" s="9">
        <v>10</v>
      </c>
      <c r="D472" s="9">
        <v>23</v>
      </c>
      <c r="E472" s="9">
        <v>4.9000000000000004</v>
      </c>
      <c r="F472" s="9">
        <v>0.23</v>
      </c>
      <c r="G472" s="9">
        <v>0.9</v>
      </c>
      <c r="H472" s="7" t="s">
        <v>50</v>
      </c>
    </row>
    <row r="473" spans="1:8" x14ac:dyDescent="0.2">
      <c r="A473" s="9">
        <v>0</v>
      </c>
      <c r="B473" s="9">
        <v>1</v>
      </c>
      <c r="C473" s="9">
        <v>1</v>
      </c>
      <c r="D473" s="9">
        <v>24</v>
      </c>
      <c r="E473" s="9">
        <v>4.5</v>
      </c>
      <c r="F473" s="9">
        <v>0.22</v>
      </c>
      <c r="G473" s="9">
        <v>0.86</v>
      </c>
      <c r="H473" s="7" t="s">
        <v>50</v>
      </c>
    </row>
    <row r="474" spans="1:8" x14ac:dyDescent="0.2">
      <c r="A474" s="9">
        <v>0</v>
      </c>
      <c r="B474" s="9">
        <v>2</v>
      </c>
      <c r="C474" s="9">
        <v>14</v>
      </c>
      <c r="D474" s="9">
        <v>44</v>
      </c>
      <c r="E474" s="9">
        <v>3.1</v>
      </c>
      <c r="F474" s="9">
        <v>0.53</v>
      </c>
      <c r="G474" s="9">
        <v>0.84</v>
      </c>
      <c r="H474" s="7" t="s">
        <v>50</v>
      </c>
    </row>
    <row r="475" spans="1:8" x14ac:dyDescent="0.2">
      <c r="A475" s="9">
        <v>1</v>
      </c>
      <c r="B475" s="9">
        <v>4</v>
      </c>
      <c r="C475" s="9">
        <v>5</v>
      </c>
      <c r="D475" s="9">
        <v>27</v>
      </c>
      <c r="E475" s="9">
        <v>5</v>
      </c>
      <c r="F475" s="9">
        <v>0.55000000000000004</v>
      </c>
      <c r="G475" s="9">
        <v>0.8</v>
      </c>
      <c r="H475" s="7" t="s">
        <v>50</v>
      </c>
    </row>
    <row r="476" spans="1:8" x14ac:dyDescent="0.2">
      <c r="A476" s="9">
        <v>0</v>
      </c>
      <c r="B476" s="9">
        <v>6</v>
      </c>
      <c r="C476" s="9">
        <v>7</v>
      </c>
      <c r="D476" s="9">
        <v>57</v>
      </c>
      <c r="E476" s="9">
        <v>2.2000000000000002</v>
      </c>
      <c r="F476" s="9">
        <v>0.45</v>
      </c>
      <c r="G476" s="9">
        <v>0.8</v>
      </c>
      <c r="H476" s="7" t="s">
        <v>50</v>
      </c>
    </row>
    <row r="477" spans="1:8" x14ac:dyDescent="0.2">
      <c r="A477" s="9">
        <v>0</v>
      </c>
      <c r="B477" s="9">
        <v>8</v>
      </c>
      <c r="C477" s="9">
        <v>7</v>
      </c>
      <c r="D477" s="9">
        <v>27</v>
      </c>
      <c r="E477" s="9">
        <v>5.8</v>
      </c>
      <c r="F477" s="9">
        <v>0.78</v>
      </c>
      <c r="G477" s="9">
        <v>0.79</v>
      </c>
      <c r="H477" s="7" t="s">
        <v>50</v>
      </c>
    </row>
    <row r="478" spans="1:8" x14ac:dyDescent="0.2">
      <c r="A478" s="9">
        <v>0</v>
      </c>
      <c r="B478" s="9">
        <v>7</v>
      </c>
      <c r="C478" s="9">
        <v>0</v>
      </c>
      <c r="D478" s="9">
        <v>18</v>
      </c>
      <c r="E478" s="9">
        <v>6.5</v>
      </c>
      <c r="F478" s="9">
        <v>0.53</v>
      </c>
      <c r="G478" s="9">
        <v>0.64</v>
      </c>
      <c r="H478" s="7" t="s">
        <v>50</v>
      </c>
    </row>
    <row r="479" spans="1:8" x14ac:dyDescent="0.2">
      <c r="A479" s="9">
        <v>0</v>
      </c>
      <c r="B479" s="9">
        <v>4</v>
      </c>
      <c r="C479" s="9">
        <v>8</v>
      </c>
      <c r="D479" s="9">
        <v>15</v>
      </c>
      <c r="E479" s="9">
        <v>6.5</v>
      </c>
      <c r="F479" s="9">
        <v>0.35</v>
      </c>
      <c r="G479" s="9">
        <v>0.62</v>
      </c>
      <c r="H479" s="7" t="s">
        <v>50</v>
      </c>
    </row>
    <row r="480" spans="1:8" x14ac:dyDescent="0.2">
      <c r="A480" s="9">
        <v>1</v>
      </c>
      <c r="B480" s="9">
        <v>2</v>
      </c>
      <c r="C480" s="9">
        <v>0</v>
      </c>
      <c r="D480" s="9">
        <v>20</v>
      </c>
      <c r="E480" s="9">
        <v>4.5</v>
      </c>
      <c r="F480" s="9">
        <v>0.28999999999999998</v>
      </c>
      <c r="G480" s="9">
        <v>0.61</v>
      </c>
      <c r="H480" s="7" t="s">
        <v>50</v>
      </c>
    </row>
    <row r="481" spans="1:8" x14ac:dyDescent="0.2">
      <c r="A481" s="9">
        <v>0</v>
      </c>
      <c r="B481" s="9">
        <v>9</v>
      </c>
      <c r="C481" s="9">
        <v>2</v>
      </c>
      <c r="D481" s="9">
        <v>28</v>
      </c>
      <c r="E481" s="9">
        <v>2.6</v>
      </c>
      <c r="F481" s="9">
        <v>0.12</v>
      </c>
      <c r="G481" s="9">
        <v>0.61</v>
      </c>
      <c r="H481" s="7" t="s">
        <v>50</v>
      </c>
    </row>
    <row r="482" spans="1:8" x14ac:dyDescent="0.2">
      <c r="A482" s="9">
        <v>0</v>
      </c>
      <c r="B482" s="9">
        <v>16</v>
      </c>
      <c r="C482" s="9">
        <v>13</v>
      </c>
      <c r="D482" s="9">
        <v>69</v>
      </c>
      <c r="E482" s="9">
        <v>2.4</v>
      </c>
      <c r="F482" s="9">
        <v>1.06</v>
      </c>
      <c r="G482" s="9">
        <v>0.59</v>
      </c>
      <c r="H482" s="7" t="s">
        <v>50</v>
      </c>
    </row>
    <row r="483" spans="1:8" x14ac:dyDescent="0.2">
      <c r="A483" s="9">
        <v>0</v>
      </c>
      <c r="B483" s="9">
        <v>0</v>
      </c>
      <c r="C483" s="9">
        <v>1</v>
      </c>
      <c r="D483" s="9">
        <v>26</v>
      </c>
      <c r="E483" s="9">
        <v>7.7</v>
      </c>
      <c r="F483" s="9">
        <v>1.53</v>
      </c>
      <c r="G483" s="9">
        <v>0.47</v>
      </c>
      <c r="H483" s="7" t="s">
        <v>50</v>
      </c>
    </row>
    <row r="484" spans="1:8" x14ac:dyDescent="0.2">
      <c r="A484" s="9">
        <v>0</v>
      </c>
      <c r="B484" s="9">
        <v>11</v>
      </c>
      <c r="C484" s="9">
        <v>6</v>
      </c>
      <c r="D484" s="9">
        <v>24</v>
      </c>
      <c r="E484" s="9">
        <v>2.4</v>
      </c>
      <c r="F484" s="9">
        <v>0.11</v>
      </c>
      <c r="G484" s="9">
        <v>0.47</v>
      </c>
      <c r="H484" s="7" t="s">
        <v>50</v>
      </c>
    </row>
    <row r="485" spans="1:8" x14ac:dyDescent="0.2">
      <c r="A485" s="9">
        <v>0</v>
      </c>
      <c r="B485" s="9">
        <v>1</v>
      </c>
      <c r="C485" s="9">
        <v>0</v>
      </c>
      <c r="D485" s="9">
        <v>21</v>
      </c>
      <c r="E485" s="9">
        <v>4.9000000000000004</v>
      </c>
      <c r="F485" s="9">
        <v>0.61</v>
      </c>
      <c r="G485" s="9">
        <v>0.42</v>
      </c>
      <c r="H485" s="7" t="s">
        <v>50</v>
      </c>
    </row>
    <row r="486" spans="1:8" x14ac:dyDescent="0.2">
      <c r="A486" s="9">
        <v>0</v>
      </c>
      <c r="B486" s="9">
        <v>9</v>
      </c>
      <c r="C486" s="9">
        <v>3</v>
      </c>
      <c r="D486" s="9">
        <v>36</v>
      </c>
      <c r="E486" s="9">
        <v>1.4</v>
      </c>
      <c r="F486" s="9">
        <v>0.13</v>
      </c>
      <c r="G486" s="9">
        <v>0.38</v>
      </c>
      <c r="H486" s="7" t="s">
        <v>50</v>
      </c>
    </row>
    <row r="487" spans="1:8" x14ac:dyDescent="0.2">
      <c r="A487" s="9">
        <v>0</v>
      </c>
      <c r="B487" s="9">
        <v>10</v>
      </c>
      <c r="C487" s="9">
        <v>8</v>
      </c>
      <c r="D487" s="9">
        <v>34</v>
      </c>
      <c r="E487" s="9">
        <v>1.2</v>
      </c>
      <c r="F487" s="9">
        <v>0.04</v>
      </c>
      <c r="G487" s="9">
        <v>0.37</v>
      </c>
      <c r="H487" s="7" t="s">
        <v>50</v>
      </c>
    </row>
    <row r="488" spans="1:8" x14ac:dyDescent="0.2">
      <c r="A488" s="9">
        <v>0</v>
      </c>
      <c r="B488" s="9">
        <v>0</v>
      </c>
      <c r="C488" s="9">
        <v>1</v>
      </c>
      <c r="D488" s="9">
        <v>17</v>
      </c>
      <c r="E488" s="9">
        <v>2.2999999999999998</v>
      </c>
      <c r="F488" s="9">
        <v>0.04</v>
      </c>
      <c r="G488" s="9">
        <v>0.35</v>
      </c>
      <c r="H488" s="7" t="s">
        <v>50</v>
      </c>
    </row>
    <row r="489" spans="1:8" x14ac:dyDescent="0.2">
      <c r="A489" s="9">
        <v>0</v>
      </c>
      <c r="B489" s="9">
        <v>10</v>
      </c>
      <c r="C489" s="9">
        <v>6</v>
      </c>
      <c r="D489" s="9">
        <v>24</v>
      </c>
      <c r="E489" s="9">
        <v>2.7</v>
      </c>
      <c r="F489" s="9">
        <v>0.31</v>
      </c>
      <c r="G489" s="9">
        <v>0.34</v>
      </c>
      <c r="H489" s="7" t="s">
        <v>50</v>
      </c>
    </row>
    <row r="490" spans="1:8" x14ac:dyDescent="0.2">
      <c r="A490" s="9">
        <v>0</v>
      </c>
      <c r="B490" s="9">
        <v>2</v>
      </c>
      <c r="C490" s="9">
        <v>4</v>
      </c>
      <c r="D490" s="9">
        <v>32</v>
      </c>
      <c r="E490" s="9">
        <v>3.7</v>
      </c>
      <c r="F490" s="9">
        <v>0.85</v>
      </c>
      <c r="G490" s="9">
        <v>0.33</v>
      </c>
      <c r="H490" s="7" t="s">
        <v>50</v>
      </c>
    </row>
    <row r="491" spans="1:8" x14ac:dyDescent="0.2">
      <c r="A491" s="9">
        <v>1</v>
      </c>
      <c r="B491" s="9">
        <v>0</v>
      </c>
      <c r="C491" s="9">
        <v>11</v>
      </c>
      <c r="D491" s="9">
        <v>17</v>
      </c>
      <c r="E491" s="9">
        <v>3.7</v>
      </c>
      <c r="F491" s="9">
        <v>0.45</v>
      </c>
      <c r="G491" s="9">
        <v>0.18</v>
      </c>
      <c r="H491" s="7" t="s">
        <v>50</v>
      </c>
    </row>
    <row r="492" spans="1:8" x14ac:dyDescent="0.2">
      <c r="A492" s="9">
        <v>0</v>
      </c>
      <c r="B492" s="9">
        <v>11</v>
      </c>
      <c r="C492" s="9">
        <v>9</v>
      </c>
      <c r="D492" s="9">
        <v>27</v>
      </c>
      <c r="E492" s="9">
        <v>0.9</v>
      </c>
      <c r="F492" s="9">
        <v>7.0000000000000007E-2</v>
      </c>
      <c r="G492" s="9">
        <v>0.17</v>
      </c>
      <c r="H492" s="7" t="s">
        <v>50</v>
      </c>
    </row>
    <row r="493" spans="1:8" x14ac:dyDescent="0.2">
      <c r="A493" s="9">
        <v>0</v>
      </c>
      <c r="B493" s="9">
        <v>9</v>
      </c>
      <c r="C493" s="9">
        <v>4</v>
      </c>
      <c r="D493" s="9">
        <v>18</v>
      </c>
      <c r="E493" s="9">
        <v>1.2</v>
      </c>
      <c r="F493" s="9">
        <v>7.0000000000000007E-2</v>
      </c>
      <c r="G493" s="9">
        <v>0.15</v>
      </c>
      <c r="H493" s="7" t="s">
        <v>50</v>
      </c>
    </row>
    <row r="494" spans="1:8" x14ac:dyDescent="0.2">
      <c r="A494" s="9">
        <v>0</v>
      </c>
      <c r="B494" s="9">
        <v>0</v>
      </c>
      <c r="C494" s="9">
        <v>1</v>
      </c>
      <c r="D494" s="9">
        <v>16</v>
      </c>
      <c r="E494" s="9">
        <v>1.7</v>
      </c>
      <c r="F494" s="9">
        <v>0.18</v>
      </c>
      <c r="G494" s="9">
        <v>0.09</v>
      </c>
      <c r="H494" s="7" t="s">
        <v>50</v>
      </c>
    </row>
    <row r="495" spans="1:8" x14ac:dyDescent="0.2">
      <c r="A495" s="9">
        <v>0</v>
      </c>
      <c r="B495" s="9">
        <v>0</v>
      </c>
      <c r="C495" s="9">
        <v>5</v>
      </c>
      <c r="D495" s="9">
        <v>16</v>
      </c>
      <c r="E495" s="9">
        <v>1.1000000000000001</v>
      </c>
      <c r="F495" s="9">
        <v>0.13</v>
      </c>
      <c r="G495" s="9">
        <v>0.05</v>
      </c>
      <c r="H495" s="7" t="s">
        <v>50</v>
      </c>
    </row>
    <row r="496" spans="1:8" x14ac:dyDescent="0.2">
      <c r="A496" s="9">
        <v>1</v>
      </c>
      <c r="B496" s="9">
        <v>13</v>
      </c>
      <c r="C496" s="9">
        <v>11</v>
      </c>
      <c r="D496" s="9">
        <v>102</v>
      </c>
      <c r="E496" s="9">
        <v>18.899999999999999</v>
      </c>
      <c r="F496" s="13">
        <v>5.4954845947359976</v>
      </c>
      <c r="G496" s="9">
        <v>0</v>
      </c>
      <c r="H496" s="7" t="s">
        <v>50</v>
      </c>
    </row>
    <row r="497" spans="1:8" x14ac:dyDescent="0.2">
      <c r="A497" s="9">
        <v>0</v>
      </c>
      <c r="B497" s="9">
        <v>20</v>
      </c>
      <c r="C497" s="9">
        <v>9</v>
      </c>
      <c r="D497" s="9">
        <v>67</v>
      </c>
      <c r="E497" s="9">
        <v>30.6</v>
      </c>
      <c r="F497" s="9">
        <v>3.83</v>
      </c>
      <c r="G497" s="9">
        <v>0</v>
      </c>
      <c r="H497" s="7" t="s">
        <v>50</v>
      </c>
    </row>
    <row r="498" spans="1:8" x14ac:dyDescent="0.2">
      <c r="A498" s="9">
        <v>1</v>
      </c>
      <c r="B498" s="9">
        <v>13</v>
      </c>
      <c r="C498" s="9">
        <v>13</v>
      </c>
      <c r="D498" s="9">
        <v>91</v>
      </c>
      <c r="E498" s="9">
        <v>25.2</v>
      </c>
      <c r="F498" s="9">
        <v>2.3199999999999998</v>
      </c>
      <c r="G498" s="9">
        <v>0</v>
      </c>
      <c r="H498" s="7" t="s">
        <v>50</v>
      </c>
    </row>
    <row r="499" spans="1:8" x14ac:dyDescent="0.2">
      <c r="A499" s="9">
        <v>1</v>
      </c>
      <c r="B499" s="9">
        <v>25</v>
      </c>
      <c r="C499" s="9">
        <v>12</v>
      </c>
      <c r="D499" s="13">
        <v>117.54291069294821</v>
      </c>
      <c r="E499" s="9">
        <v>26.5</v>
      </c>
      <c r="F499" s="9">
        <v>0</v>
      </c>
      <c r="G499" s="9">
        <v>0</v>
      </c>
      <c r="H499" s="7" t="s">
        <v>50</v>
      </c>
    </row>
    <row r="500" spans="1:8" x14ac:dyDescent="0.2">
      <c r="A500" s="9">
        <v>1</v>
      </c>
      <c r="B500" s="9">
        <v>18</v>
      </c>
      <c r="C500" s="9">
        <v>14</v>
      </c>
      <c r="D500" s="9">
        <v>0</v>
      </c>
      <c r="E500" s="9">
        <v>6.5</v>
      </c>
      <c r="F500" s="9">
        <v>0</v>
      </c>
      <c r="G500" s="13">
        <v>10.154483815851645</v>
      </c>
      <c r="H500" s="7" t="s">
        <v>50</v>
      </c>
    </row>
    <row r="501" spans="1:8" x14ac:dyDescent="0.2">
      <c r="A501" s="9">
        <v>0</v>
      </c>
      <c r="B501" s="9">
        <v>17</v>
      </c>
      <c r="C501" s="9">
        <v>26</v>
      </c>
      <c r="D501" s="9">
        <v>113</v>
      </c>
      <c r="E501" s="9">
        <v>12</v>
      </c>
      <c r="F501" s="9">
        <v>3.38</v>
      </c>
      <c r="G501" s="13">
        <v>10.154483815851645</v>
      </c>
      <c r="H501" s="7" t="s">
        <v>50</v>
      </c>
    </row>
  </sheetData>
  <mergeCells count="11">
    <mergeCell ref="J64:N65"/>
    <mergeCell ref="J67:K68"/>
    <mergeCell ref="L67:M67"/>
    <mergeCell ref="J69:J70"/>
    <mergeCell ref="J71:K71"/>
    <mergeCell ref="L71:M74"/>
    <mergeCell ref="J77:K78"/>
    <mergeCell ref="L77:M77"/>
    <mergeCell ref="J79:J80"/>
    <mergeCell ref="J81:K81"/>
    <mergeCell ref="L81:M8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05C8B-794B-BC4A-BA14-A1236527BBB8}">
  <dimension ref="A1:Q501"/>
  <sheetViews>
    <sheetView showGridLines="0" zoomScale="139" workbookViewId="0">
      <selection activeCell="H27" sqref="H27"/>
    </sheetView>
  </sheetViews>
  <sheetFormatPr baseColWidth="10" defaultRowHeight="16" x14ac:dyDescent="0.2"/>
  <cols>
    <col min="1" max="6" width="10.83203125" style="6"/>
    <col min="7" max="7" width="13.1640625" style="14" bestFit="1" customWidth="1"/>
    <col min="8" max="8" width="10.83203125" style="1"/>
    <col min="9" max="9" width="15.83203125" customWidth="1"/>
  </cols>
  <sheetData>
    <row r="1" spans="1:17" x14ac:dyDescent="0.2">
      <c r="A1" s="9" t="s">
        <v>71</v>
      </c>
      <c r="B1" s="9" t="s">
        <v>3</v>
      </c>
      <c r="C1" s="9" t="s">
        <v>4</v>
      </c>
      <c r="D1" s="9" t="s">
        <v>5</v>
      </c>
      <c r="E1" s="9" t="s">
        <v>6</v>
      </c>
      <c r="F1" s="9" t="s">
        <v>8</v>
      </c>
      <c r="G1" s="9" t="s">
        <v>47</v>
      </c>
      <c r="H1" s="19"/>
    </row>
    <row r="2" spans="1:17" x14ac:dyDescent="0.2">
      <c r="A2" s="9">
        <v>0</v>
      </c>
      <c r="B2" s="9">
        <v>6</v>
      </c>
      <c r="C2" s="9">
        <v>10</v>
      </c>
      <c r="D2" s="9">
        <v>65</v>
      </c>
      <c r="E2" s="9">
        <v>18.399999999999999</v>
      </c>
      <c r="F2" s="9">
        <v>9.9700000000000006</v>
      </c>
      <c r="G2" s="7" t="s">
        <v>49</v>
      </c>
    </row>
    <row r="3" spans="1:17" x14ac:dyDescent="0.2">
      <c r="A3" s="9">
        <v>0</v>
      </c>
      <c r="B3" s="9">
        <v>25</v>
      </c>
      <c r="C3" s="9">
        <v>21</v>
      </c>
      <c r="D3" s="9">
        <v>64</v>
      </c>
      <c r="E3" s="9">
        <v>16.7</v>
      </c>
      <c r="F3" s="9">
        <v>9.74</v>
      </c>
      <c r="G3" s="7" t="s">
        <v>49</v>
      </c>
    </row>
    <row r="4" spans="1:17" x14ac:dyDescent="0.2">
      <c r="A4" s="9">
        <v>1</v>
      </c>
      <c r="B4" s="9">
        <v>11</v>
      </c>
      <c r="C4" s="9">
        <v>6</v>
      </c>
      <c r="D4" s="9">
        <v>75</v>
      </c>
      <c r="E4" s="9">
        <v>23.3</v>
      </c>
      <c r="F4" s="9">
        <v>9.7200000000000006</v>
      </c>
      <c r="G4" s="7" t="s">
        <v>49</v>
      </c>
    </row>
    <row r="5" spans="1:17" x14ac:dyDescent="0.2">
      <c r="A5" s="9">
        <v>0</v>
      </c>
      <c r="B5" s="9">
        <v>9</v>
      </c>
      <c r="C5" s="9">
        <v>16</v>
      </c>
      <c r="D5" s="9">
        <v>0</v>
      </c>
      <c r="E5" s="9">
        <v>5.9</v>
      </c>
      <c r="F5" s="9">
        <v>9.56</v>
      </c>
      <c r="G5" s="7" t="s">
        <v>49</v>
      </c>
      <c r="I5" s="7"/>
      <c r="J5" s="20" t="s">
        <v>73</v>
      </c>
      <c r="K5" s="9" t="s">
        <v>3</v>
      </c>
      <c r="L5" s="9" t="s">
        <v>4</v>
      </c>
      <c r="M5" s="9" t="s">
        <v>5</v>
      </c>
      <c r="N5" s="9" t="s">
        <v>6</v>
      </c>
      <c r="O5" s="9" t="s">
        <v>8</v>
      </c>
    </row>
    <row r="6" spans="1:17" x14ac:dyDescent="0.2">
      <c r="A6" s="9">
        <v>0</v>
      </c>
      <c r="B6" s="9">
        <v>22</v>
      </c>
      <c r="C6" s="9">
        <v>24</v>
      </c>
      <c r="D6" s="9">
        <v>91</v>
      </c>
      <c r="E6" s="9">
        <v>11.7</v>
      </c>
      <c r="F6" s="9">
        <v>9.39</v>
      </c>
      <c r="G6" s="7" t="s">
        <v>49</v>
      </c>
      <c r="I6" s="7" t="s">
        <v>20</v>
      </c>
      <c r="J6" s="27" cm="1">
        <f t="array" ref="J6:O12">LOGIT(A2:A351,B2:F351,1,1)</f>
        <v>-2.4248887796971079</v>
      </c>
      <c r="K6" s="27">
        <v>-0.17420118451195307</v>
      </c>
      <c r="L6" s="27">
        <v>-7.9077994312969246E-2</v>
      </c>
      <c r="M6" s="27">
        <v>3.1658227275179834E-2</v>
      </c>
      <c r="N6" s="27">
        <v>0.21159648618375115</v>
      </c>
      <c r="O6" s="27">
        <v>-0.20219363915613153</v>
      </c>
    </row>
    <row r="7" spans="1:17" x14ac:dyDescent="0.2">
      <c r="A7" s="9">
        <v>1</v>
      </c>
      <c r="B7" s="9">
        <v>13</v>
      </c>
      <c r="C7" s="9">
        <v>20</v>
      </c>
      <c r="D7" s="9">
        <v>50</v>
      </c>
      <c r="E7" s="9">
        <v>30.8</v>
      </c>
      <c r="F7" s="9">
        <v>9.2899999999999991</v>
      </c>
      <c r="G7" s="7" t="s">
        <v>49</v>
      </c>
      <c r="I7" s="7" t="s">
        <v>21</v>
      </c>
      <c r="J7" s="27">
        <v>0.50142377185860276</v>
      </c>
      <c r="K7" s="27">
        <v>3.9156707338440559E-2</v>
      </c>
      <c r="L7" s="27">
        <v>2.760955637559117E-2</v>
      </c>
      <c r="M7" s="27">
        <v>1.2504974206627511E-2</v>
      </c>
      <c r="N7" s="27">
        <v>4.2876183452180687E-2</v>
      </c>
      <c r="O7" s="27">
        <v>0.13018810907104308</v>
      </c>
    </row>
    <row r="8" spans="1:17" x14ac:dyDescent="0.2">
      <c r="A8" s="9">
        <v>1</v>
      </c>
      <c r="B8" s="9">
        <v>12</v>
      </c>
      <c r="C8" s="9">
        <v>5</v>
      </c>
      <c r="D8" s="9">
        <v>68</v>
      </c>
      <c r="E8" s="9">
        <v>25.1</v>
      </c>
      <c r="F8" s="9">
        <v>9.25</v>
      </c>
      <c r="G8" s="7" t="s">
        <v>49</v>
      </c>
      <c r="I8" s="7" t="s">
        <v>22</v>
      </c>
      <c r="J8" s="27">
        <v>-4.8360068185616578</v>
      </c>
      <c r="K8" s="27">
        <v>-4.4488210667534318</v>
      </c>
      <c r="L8" s="27">
        <v>-2.8641530214110893</v>
      </c>
      <c r="M8" s="27">
        <v>2.5316507457009623</v>
      </c>
      <c r="N8" s="27">
        <v>4.9350587936480466</v>
      </c>
      <c r="O8" s="27">
        <v>-1.5530883780314786</v>
      </c>
    </row>
    <row r="9" spans="1:17" x14ac:dyDescent="0.2">
      <c r="A9" s="9">
        <v>0</v>
      </c>
      <c r="B9" s="9">
        <v>21</v>
      </c>
      <c r="C9" s="9">
        <v>2</v>
      </c>
      <c r="D9" s="9">
        <v>76</v>
      </c>
      <c r="E9" s="9">
        <v>20.5</v>
      </c>
      <c r="F9" s="9">
        <v>8.6300000000000008</v>
      </c>
      <c r="G9" s="7" t="s">
        <v>49</v>
      </c>
      <c r="I9" s="7" t="s">
        <v>23</v>
      </c>
      <c r="J9" s="12">
        <v>1.3247337926625136E-6</v>
      </c>
      <c r="K9" s="12">
        <v>8.6342907819059178E-6</v>
      </c>
      <c r="L9" s="12">
        <v>4.1812596676005231E-3</v>
      </c>
      <c r="M9" s="12">
        <v>1.1352700666574789E-2</v>
      </c>
      <c r="N9" s="12">
        <v>8.0126618851039666E-7</v>
      </c>
      <c r="O9" s="21">
        <v>0.12040202224367702</v>
      </c>
    </row>
    <row r="10" spans="1:17" x14ac:dyDescent="0.2">
      <c r="A10" s="9">
        <v>0</v>
      </c>
      <c r="B10" s="9">
        <v>12</v>
      </c>
      <c r="C10" s="9">
        <v>11</v>
      </c>
      <c r="D10" s="9">
        <v>51</v>
      </c>
      <c r="E10" s="9">
        <v>21.4</v>
      </c>
      <c r="F10" s="9">
        <v>8.5</v>
      </c>
      <c r="G10" s="7" t="s">
        <v>49</v>
      </c>
      <c r="I10" s="7" t="s">
        <v>24</v>
      </c>
      <c r="J10" s="28">
        <v>0.2285111122556851</v>
      </c>
      <c r="K10" s="27">
        <v>7</v>
      </c>
      <c r="L10" s="27" t="str">
        <v>#N/A</v>
      </c>
      <c r="M10" s="27" t="str">
        <v>#N/A</v>
      </c>
      <c r="N10" s="27" t="str">
        <v>#N/A</v>
      </c>
      <c r="O10" s="27" t="str">
        <v>#N/A</v>
      </c>
    </row>
    <row r="11" spans="1:17" x14ac:dyDescent="0.2">
      <c r="A11" s="9">
        <v>0</v>
      </c>
      <c r="B11" s="9">
        <v>13</v>
      </c>
      <c r="C11" s="9">
        <v>25</v>
      </c>
      <c r="D11" s="9">
        <v>51</v>
      </c>
      <c r="E11" s="9">
        <v>23.8</v>
      </c>
      <c r="F11" s="9">
        <v>8.4</v>
      </c>
      <c r="G11" s="7" t="s">
        <v>49</v>
      </c>
      <c r="I11" s="7" t="s">
        <v>25</v>
      </c>
      <c r="J11" s="27">
        <v>85.424776749808473</v>
      </c>
      <c r="K11" s="27">
        <v>6.1319784924278985E-17</v>
      </c>
      <c r="L11" s="27" t="str">
        <v>#N/A</v>
      </c>
      <c r="M11" s="27" t="str">
        <v>#N/A</v>
      </c>
      <c r="N11" s="27" t="str">
        <v>#N/A</v>
      </c>
      <c r="O11" s="27" t="str">
        <v>#N/A</v>
      </c>
    </row>
    <row r="12" spans="1:17" x14ac:dyDescent="0.2">
      <c r="A12" s="9">
        <v>1</v>
      </c>
      <c r="B12" s="9">
        <v>13</v>
      </c>
      <c r="C12" s="9">
        <v>3</v>
      </c>
      <c r="D12" s="9">
        <v>52</v>
      </c>
      <c r="E12" s="9">
        <v>21.3</v>
      </c>
      <c r="F12" s="9">
        <v>8.36</v>
      </c>
      <c r="G12" s="7" t="s">
        <v>49</v>
      </c>
      <c r="I12" s="7" t="s">
        <v>26</v>
      </c>
      <c r="J12" s="27">
        <v>-144.20363489101291</v>
      </c>
      <c r="K12" s="27">
        <v>-186.91602326591715</v>
      </c>
      <c r="L12" s="27" t="str">
        <v>#N/A</v>
      </c>
      <c r="M12" s="27" t="str">
        <v>#N/A</v>
      </c>
      <c r="N12" s="27" t="str">
        <v>#N/A</v>
      </c>
      <c r="O12" s="27" t="str">
        <v>#N/A</v>
      </c>
    </row>
    <row r="13" spans="1:17" x14ac:dyDescent="0.2">
      <c r="A13" s="9">
        <v>1</v>
      </c>
      <c r="B13" s="9">
        <v>9</v>
      </c>
      <c r="C13" s="9">
        <v>5</v>
      </c>
      <c r="D13" s="9">
        <v>60</v>
      </c>
      <c r="E13" s="9">
        <v>20.399999999999999</v>
      </c>
      <c r="F13" s="9">
        <v>8.1999999999999993</v>
      </c>
      <c r="G13" s="7" t="s">
        <v>49</v>
      </c>
    </row>
    <row r="14" spans="1:17" x14ac:dyDescent="0.2">
      <c r="A14" s="9">
        <v>1</v>
      </c>
      <c r="B14" s="9">
        <v>11</v>
      </c>
      <c r="C14" s="9">
        <v>4</v>
      </c>
      <c r="D14" s="9">
        <v>57</v>
      </c>
      <c r="E14" s="9">
        <v>23.8</v>
      </c>
      <c r="F14" s="9">
        <v>8.1300000000000008</v>
      </c>
      <c r="G14" s="7" t="s">
        <v>49</v>
      </c>
    </row>
    <row r="15" spans="1:17" x14ac:dyDescent="0.2">
      <c r="A15" s="9">
        <v>1</v>
      </c>
      <c r="B15" s="9">
        <v>7</v>
      </c>
      <c r="C15" s="9">
        <v>2</v>
      </c>
      <c r="D15" s="9">
        <v>68</v>
      </c>
      <c r="E15" s="9">
        <v>13</v>
      </c>
      <c r="F15" s="9">
        <v>7.82</v>
      </c>
      <c r="G15" s="7" t="s">
        <v>49</v>
      </c>
      <c r="I15" s="2"/>
      <c r="J15" s="1"/>
      <c r="K15" s="1"/>
      <c r="L15" s="1"/>
      <c r="M15" s="1"/>
      <c r="N15" s="1"/>
      <c r="O15" s="1"/>
      <c r="Q15" s="1"/>
    </row>
    <row r="16" spans="1:17" x14ac:dyDescent="0.2">
      <c r="A16" s="9">
        <v>0</v>
      </c>
      <c r="B16" s="9">
        <v>22</v>
      </c>
      <c r="C16" s="9">
        <v>17</v>
      </c>
      <c r="D16" s="9">
        <v>75</v>
      </c>
      <c r="E16" s="9">
        <v>23.6</v>
      </c>
      <c r="F16" s="9">
        <v>7.82</v>
      </c>
      <c r="G16" s="7" t="s">
        <v>49</v>
      </c>
      <c r="I16" s="2"/>
      <c r="J16" s="23"/>
      <c r="K16" s="23"/>
      <c r="L16" s="23"/>
      <c r="M16" s="23"/>
      <c r="N16" s="23"/>
      <c r="O16" s="23"/>
      <c r="Q16" s="23"/>
    </row>
    <row r="17" spans="1:17" x14ac:dyDescent="0.2">
      <c r="A17" s="9">
        <v>0</v>
      </c>
      <c r="B17" s="9">
        <v>16</v>
      </c>
      <c r="C17" s="9">
        <v>9</v>
      </c>
      <c r="D17" s="9">
        <v>89</v>
      </c>
      <c r="E17" s="9">
        <v>14.3</v>
      </c>
      <c r="F17" s="9">
        <v>7.73</v>
      </c>
      <c r="G17" s="7" t="s">
        <v>49</v>
      </c>
      <c r="I17" s="2"/>
    </row>
    <row r="18" spans="1:17" x14ac:dyDescent="0.2">
      <c r="A18" s="9">
        <v>0</v>
      </c>
      <c r="B18" s="9">
        <v>12</v>
      </c>
      <c r="C18" s="9">
        <v>8</v>
      </c>
      <c r="D18" s="9">
        <v>58</v>
      </c>
      <c r="E18" s="9">
        <v>18.399999999999999</v>
      </c>
      <c r="F18" s="9">
        <v>7.59</v>
      </c>
      <c r="G18" s="7" t="s">
        <v>49</v>
      </c>
      <c r="I18" s="2"/>
    </row>
    <row r="19" spans="1:17" x14ac:dyDescent="0.2">
      <c r="A19" s="9">
        <v>0</v>
      </c>
      <c r="B19" s="9">
        <v>21</v>
      </c>
      <c r="C19" s="9">
        <v>20</v>
      </c>
      <c r="D19" s="13">
        <v>117.54291069294821</v>
      </c>
      <c r="E19" s="9">
        <v>14.4</v>
      </c>
      <c r="F19" s="9">
        <v>7.39</v>
      </c>
      <c r="G19" s="7" t="s">
        <v>49</v>
      </c>
      <c r="I19" s="2"/>
      <c r="J19" s="22"/>
      <c r="K19" s="22"/>
      <c r="L19" s="22"/>
      <c r="M19" s="22"/>
      <c r="N19" s="22"/>
      <c r="O19" s="22"/>
      <c r="P19" s="22"/>
      <c r="Q19" s="22"/>
    </row>
    <row r="20" spans="1:17" x14ac:dyDescent="0.2">
      <c r="A20" s="9">
        <v>0</v>
      </c>
      <c r="B20" s="9">
        <v>16</v>
      </c>
      <c r="C20" s="9">
        <v>10</v>
      </c>
      <c r="D20" s="9">
        <v>38</v>
      </c>
      <c r="E20" s="9">
        <v>21</v>
      </c>
      <c r="F20" s="9">
        <v>7.29</v>
      </c>
      <c r="G20" s="7" t="s">
        <v>49</v>
      </c>
      <c r="I20" s="2"/>
      <c r="J20" s="24"/>
    </row>
    <row r="21" spans="1:17" x14ac:dyDescent="0.2">
      <c r="A21" s="9">
        <v>0</v>
      </c>
      <c r="B21" s="9">
        <v>10</v>
      </c>
      <c r="C21" s="9">
        <v>20</v>
      </c>
      <c r="D21" s="9">
        <v>80</v>
      </c>
      <c r="E21" s="9">
        <v>12.2</v>
      </c>
      <c r="F21" s="9">
        <v>7.28</v>
      </c>
      <c r="G21" s="7" t="s">
        <v>49</v>
      </c>
      <c r="I21" s="2"/>
    </row>
    <row r="22" spans="1:17" x14ac:dyDescent="0.2">
      <c r="A22" s="9">
        <v>0</v>
      </c>
      <c r="B22" s="9">
        <v>18</v>
      </c>
      <c r="C22" s="9">
        <v>14</v>
      </c>
      <c r="D22" s="9">
        <v>0</v>
      </c>
      <c r="E22" s="9">
        <v>6.6</v>
      </c>
      <c r="F22" s="9">
        <v>7.04</v>
      </c>
      <c r="G22" s="7" t="s">
        <v>49</v>
      </c>
      <c r="I22" s="2"/>
    </row>
    <row r="23" spans="1:17" x14ac:dyDescent="0.2">
      <c r="A23" s="9">
        <v>1</v>
      </c>
      <c r="B23" s="9">
        <v>19</v>
      </c>
      <c r="C23" s="9">
        <v>15</v>
      </c>
      <c r="D23" s="9">
        <v>60</v>
      </c>
      <c r="E23" s="9">
        <v>27.1</v>
      </c>
      <c r="F23" s="9">
        <v>6.67</v>
      </c>
      <c r="G23" s="7" t="s">
        <v>49</v>
      </c>
    </row>
    <row r="24" spans="1:17" x14ac:dyDescent="0.2">
      <c r="A24" s="9">
        <v>0</v>
      </c>
      <c r="B24" s="9">
        <v>10</v>
      </c>
      <c r="C24" s="9">
        <v>15</v>
      </c>
      <c r="D24" s="9">
        <v>45</v>
      </c>
      <c r="E24" s="9">
        <v>18.8</v>
      </c>
      <c r="F24" s="9">
        <v>6.45</v>
      </c>
      <c r="G24" s="7" t="s">
        <v>49</v>
      </c>
    </row>
    <row r="25" spans="1:17" x14ac:dyDescent="0.2">
      <c r="A25" s="9">
        <v>0</v>
      </c>
      <c r="B25" s="9">
        <v>16</v>
      </c>
      <c r="C25" s="9">
        <v>4</v>
      </c>
      <c r="D25" s="9">
        <v>52</v>
      </c>
      <c r="E25" s="9">
        <v>20</v>
      </c>
      <c r="F25" s="9">
        <v>6.24</v>
      </c>
      <c r="G25" s="7" t="s">
        <v>49</v>
      </c>
      <c r="I25" s="2"/>
      <c r="J25" s="1"/>
      <c r="K25" s="1"/>
      <c r="L25" s="1"/>
      <c r="M25" s="1"/>
      <c r="N25" s="1"/>
      <c r="O25" s="1"/>
      <c r="P25" s="1"/>
    </row>
    <row r="26" spans="1:17" x14ac:dyDescent="0.2">
      <c r="A26" s="9">
        <v>0</v>
      </c>
      <c r="B26" s="9">
        <v>15</v>
      </c>
      <c r="C26" s="9">
        <v>11</v>
      </c>
      <c r="D26" s="9">
        <v>40</v>
      </c>
      <c r="E26" s="9">
        <v>18.5</v>
      </c>
      <c r="F26" s="9">
        <v>6.19</v>
      </c>
      <c r="G26" s="7" t="s">
        <v>49</v>
      </c>
      <c r="I26" s="2"/>
      <c r="J26" s="23"/>
      <c r="K26" s="23"/>
      <c r="L26" s="23"/>
      <c r="M26" s="23"/>
      <c r="N26" s="23"/>
      <c r="O26" s="23"/>
      <c r="P26" s="23"/>
    </row>
    <row r="27" spans="1:17" x14ac:dyDescent="0.2">
      <c r="A27" s="9">
        <v>0</v>
      </c>
      <c r="B27" s="9">
        <v>11</v>
      </c>
      <c r="C27" s="9">
        <v>12</v>
      </c>
      <c r="D27" s="9">
        <v>44</v>
      </c>
      <c r="E27" s="9">
        <v>14.7</v>
      </c>
      <c r="F27" s="9">
        <v>6.02</v>
      </c>
      <c r="G27" s="7" t="s">
        <v>49</v>
      </c>
      <c r="I27" s="2"/>
    </row>
    <row r="28" spans="1:17" x14ac:dyDescent="0.2">
      <c r="A28" s="9">
        <v>1</v>
      </c>
      <c r="B28" s="9">
        <v>6</v>
      </c>
      <c r="C28" s="9">
        <v>19</v>
      </c>
      <c r="D28" s="9">
        <v>42</v>
      </c>
      <c r="E28" s="9">
        <v>19.899999999999999</v>
      </c>
      <c r="F28" s="9">
        <v>5.82</v>
      </c>
      <c r="G28" s="7" t="s">
        <v>49</v>
      </c>
      <c r="I28" s="2"/>
    </row>
    <row r="29" spans="1:17" x14ac:dyDescent="0.2">
      <c r="A29" s="9">
        <v>0</v>
      </c>
      <c r="B29" s="9">
        <v>17</v>
      </c>
      <c r="C29" s="9">
        <v>20</v>
      </c>
      <c r="D29" s="9">
        <v>60</v>
      </c>
      <c r="E29" s="9">
        <v>13.7</v>
      </c>
      <c r="F29" s="9">
        <v>5.77</v>
      </c>
      <c r="G29" s="7" t="s">
        <v>49</v>
      </c>
      <c r="I29" s="2"/>
      <c r="J29" s="22"/>
      <c r="K29" s="22"/>
      <c r="L29" s="22"/>
      <c r="M29" s="22"/>
      <c r="N29" s="22"/>
      <c r="O29" s="22"/>
      <c r="P29" s="22"/>
    </row>
    <row r="30" spans="1:17" x14ac:dyDescent="0.2">
      <c r="A30" s="9">
        <v>0</v>
      </c>
      <c r="B30" s="9">
        <v>5</v>
      </c>
      <c r="C30" s="9">
        <v>17</v>
      </c>
      <c r="D30" s="9">
        <v>29</v>
      </c>
      <c r="E30" s="9">
        <v>24.6</v>
      </c>
      <c r="F30" s="9">
        <v>5.73</v>
      </c>
      <c r="G30" s="7" t="s">
        <v>49</v>
      </c>
      <c r="I30" s="2"/>
      <c r="J30" s="24"/>
    </row>
    <row r="31" spans="1:17" x14ac:dyDescent="0.2">
      <c r="A31" s="9">
        <v>0</v>
      </c>
      <c r="B31" s="9">
        <v>18</v>
      </c>
      <c r="C31" s="9">
        <v>19</v>
      </c>
      <c r="D31" s="9">
        <v>35</v>
      </c>
      <c r="E31" s="9">
        <v>17.399999999999999</v>
      </c>
      <c r="F31" s="9">
        <v>5.54</v>
      </c>
      <c r="G31" s="7" t="s">
        <v>49</v>
      </c>
      <c r="I31" s="2"/>
    </row>
    <row r="32" spans="1:17" x14ac:dyDescent="0.2">
      <c r="A32" s="9">
        <v>0</v>
      </c>
      <c r="B32" s="9">
        <v>22</v>
      </c>
      <c r="C32" s="9">
        <v>15</v>
      </c>
      <c r="D32" s="9">
        <v>100</v>
      </c>
      <c r="E32" s="9">
        <v>9.1</v>
      </c>
      <c r="F32" s="9">
        <v>5.4</v>
      </c>
      <c r="G32" s="7" t="s">
        <v>49</v>
      </c>
      <c r="I32" s="2"/>
    </row>
    <row r="33" spans="1:15" x14ac:dyDescent="0.2">
      <c r="A33" s="9">
        <v>0</v>
      </c>
      <c r="B33" s="9">
        <v>18</v>
      </c>
      <c r="C33" s="9">
        <v>4</v>
      </c>
      <c r="D33" s="9">
        <v>74</v>
      </c>
      <c r="E33" s="9">
        <v>13.4</v>
      </c>
      <c r="F33" s="9">
        <v>5.39</v>
      </c>
      <c r="G33" s="7" t="s">
        <v>49</v>
      </c>
    </row>
    <row r="34" spans="1:15" x14ac:dyDescent="0.2">
      <c r="A34" s="9">
        <v>0</v>
      </c>
      <c r="B34" s="9">
        <v>12</v>
      </c>
      <c r="C34" s="9">
        <v>4</v>
      </c>
      <c r="D34" s="9">
        <v>31</v>
      </c>
      <c r="E34" s="9">
        <v>23.7</v>
      </c>
      <c r="F34" s="9">
        <v>5.29</v>
      </c>
      <c r="G34" s="7" t="s">
        <v>49</v>
      </c>
    </row>
    <row r="35" spans="1:15" x14ac:dyDescent="0.2">
      <c r="A35" s="9">
        <v>1</v>
      </c>
      <c r="B35" s="9">
        <v>15</v>
      </c>
      <c r="C35" s="9">
        <v>2</v>
      </c>
      <c r="D35" s="9">
        <v>39</v>
      </c>
      <c r="E35" s="9">
        <v>24.7</v>
      </c>
      <c r="F35" s="9">
        <v>5.26</v>
      </c>
      <c r="G35" s="7" t="s">
        <v>49</v>
      </c>
      <c r="I35" s="2"/>
      <c r="J35" s="1"/>
      <c r="K35" s="1"/>
      <c r="L35" s="1"/>
      <c r="M35" s="1"/>
      <c r="N35" s="1"/>
      <c r="O35" s="1"/>
    </row>
    <row r="36" spans="1:15" x14ac:dyDescent="0.2">
      <c r="A36" s="9">
        <v>1</v>
      </c>
      <c r="B36" s="9">
        <v>9</v>
      </c>
      <c r="C36" s="9">
        <v>0</v>
      </c>
      <c r="D36" s="9">
        <v>70</v>
      </c>
      <c r="E36" s="9">
        <v>9.4</v>
      </c>
      <c r="F36" s="9">
        <v>5.25</v>
      </c>
      <c r="G36" s="7" t="s">
        <v>49</v>
      </c>
      <c r="I36" s="2"/>
      <c r="J36" s="23"/>
      <c r="K36" s="23"/>
      <c r="L36" s="23"/>
      <c r="M36" s="23"/>
      <c r="N36" s="23"/>
      <c r="O36" s="23"/>
    </row>
    <row r="37" spans="1:15" x14ac:dyDescent="0.2">
      <c r="A37" s="9">
        <v>0</v>
      </c>
      <c r="B37" s="9">
        <v>19</v>
      </c>
      <c r="C37" s="9">
        <v>1</v>
      </c>
      <c r="D37" s="9">
        <v>96</v>
      </c>
      <c r="E37" s="9">
        <v>7.8</v>
      </c>
      <c r="F37" s="9">
        <v>5.23</v>
      </c>
      <c r="G37" s="7" t="s">
        <v>49</v>
      </c>
      <c r="I37" s="2"/>
    </row>
    <row r="38" spans="1:15" x14ac:dyDescent="0.2">
      <c r="A38" s="9">
        <v>0</v>
      </c>
      <c r="B38" s="9">
        <v>15</v>
      </c>
      <c r="C38" s="9">
        <v>1</v>
      </c>
      <c r="D38" s="9">
        <v>30</v>
      </c>
      <c r="E38" s="9">
        <v>24.5</v>
      </c>
      <c r="F38" s="9">
        <v>5.14</v>
      </c>
      <c r="G38" s="7" t="s">
        <v>49</v>
      </c>
      <c r="I38" s="2"/>
    </row>
    <row r="39" spans="1:15" x14ac:dyDescent="0.2">
      <c r="A39" s="9">
        <v>1</v>
      </c>
      <c r="B39" s="9">
        <v>8</v>
      </c>
      <c r="C39" s="9">
        <v>10</v>
      </c>
      <c r="D39" s="9">
        <v>88</v>
      </c>
      <c r="E39" s="9">
        <v>6.1</v>
      </c>
      <c r="F39" s="9">
        <v>5.08</v>
      </c>
      <c r="G39" s="7" t="s">
        <v>49</v>
      </c>
      <c r="I39" s="2"/>
      <c r="J39" s="22"/>
      <c r="K39" s="22"/>
      <c r="L39" s="22"/>
      <c r="M39" s="22"/>
      <c r="N39" s="22"/>
      <c r="O39" s="22"/>
    </row>
    <row r="40" spans="1:15" x14ac:dyDescent="0.2">
      <c r="A40" s="9">
        <v>1</v>
      </c>
      <c r="B40" s="9">
        <v>0</v>
      </c>
      <c r="C40" s="9">
        <v>4</v>
      </c>
      <c r="D40" s="9">
        <v>32</v>
      </c>
      <c r="E40" s="9">
        <v>18.399999999999999</v>
      </c>
      <c r="F40" s="9">
        <v>5.07</v>
      </c>
      <c r="G40" s="7" t="s">
        <v>49</v>
      </c>
      <c r="I40" s="2"/>
      <c r="J40" s="24"/>
    </row>
    <row r="41" spans="1:15" x14ac:dyDescent="0.2">
      <c r="A41" s="9">
        <v>0</v>
      </c>
      <c r="B41" s="9">
        <v>8</v>
      </c>
      <c r="C41" s="9">
        <v>3</v>
      </c>
      <c r="D41" s="9">
        <v>41</v>
      </c>
      <c r="E41" s="9">
        <v>12.6</v>
      </c>
      <c r="F41" s="9">
        <v>5.03</v>
      </c>
      <c r="G41" s="7" t="s">
        <v>49</v>
      </c>
      <c r="I41" s="2"/>
    </row>
    <row r="42" spans="1:15" x14ac:dyDescent="0.2">
      <c r="A42" s="9">
        <v>0</v>
      </c>
      <c r="B42" s="9">
        <v>21</v>
      </c>
      <c r="C42" s="9">
        <v>16</v>
      </c>
      <c r="D42" s="9">
        <v>58</v>
      </c>
      <c r="E42" s="9">
        <v>16.5</v>
      </c>
      <c r="F42" s="9">
        <v>4.99</v>
      </c>
      <c r="G42" s="7" t="s">
        <v>49</v>
      </c>
      <c r="I42" s="2"/>
    </row>
    <row r="43" spans="1:15" x14ac:dyDescent="0.2">
      <c r="A43" s="9">
        <v>0</v>
      </c>
      <c r="B43" s="9">
        <v>5</v>
      </c>
      <c r="C43" s="9">
        <v>9</v>
      </c>
      <c r="D43" s="9">
        <v>34</v>
      </c>
      <c r="E43" s="9">
        <v>23.8</v>
      </c>
      <c r="F43" s="9">
        <v>4.99</v>
      </c>
      <c r="G43" s="7" t="s">
        <v>49</v>
      </c>
    </row>
    <row r="44" spans="1:15" x14ac:dyDescent="0.2">
      <c r="A44" s="9">
        <v>0</v>
      </c>
      <c r="B44" s="9">
        <v>12</v>
      </c>
      <c r="C44" s="9">
        <v>16</v>
      </c>
      <c r="D44" s="9">
        <v>76</v>
      </c>
      <c r="E44" s="9">
        <v>7.7</v>
      </c>
      <c r="F44" s="9">
        <v>4.8600000000000003</v>
      </c>
      <c r="G44" s="7" t="s">
        <v>49</v>
      </c>
    </row>
    <row r="45" spans="1:15" x14ac:dyDescent="0.2">
      <c r="A45" s="9">
        <v>0</v>
      </c>
      <c r="B45" s="9">
        <v>11</v>
      </c>
      <c r="C45" s="9">
        <v>8</v>
      </c>
      <c r="D45" s="9">
        <v>56</v>
      </c>
      <c r="E45" s="9">
        <v>16.899999999999999</v>
      </c>
      <c r="F45" s="9">
        <v>4.83</v>
      </c>
      <c r="G45" s="7" t="s">
        <v>49</v>
      </c>
      <c r="I45" s="2"/>
      <c r="J45" s="1"/>
      <c r="K45" s="1"/>
      <c r="L45" s="1"/>
      <c r="M45" s="1"/>
      <c r="N45" s="1"/>
    </row>
    <row r="46" spans="1:15" x14ac:dyDescent="0.2">
      <c r="A46" s="9">
        <v>0</v>
      </c>
      <c r="B46" s="9">
        <v>13</v>
      </c>
      <c r="C46" s="9">
        <v>3</v>
      </c>
      <c r="D46" s="9">
        <v>39</v>
      </c>
      <c r="E46" s="9">
        <v>19.2</v>
      </c>
      <c r="F46" s="9">
        <v>4.6900000000000004</v>
      </c>
      <c r="G46" s="7" t="s">
        <v>49</v>
      </c>
      <c r="I46" s="2"/>
      <c r="J46" s="23"/>
      <c r="K46" s="23"/>
      <c r="L46" s="23"/>
      <c r="M46" s="23"/>
      <c r="N46" s="23"/>
    </row>
    <row r="47" spans="1:15" x14ac:dyDescent="0.2">
      <c r="A47" s="9">
        <v>0</v>
      </c>
      <c r="B47" s="9">
        <v>25</v>
      </c>
      <c r="C47" s="9">
        <v>16</v>
      </c>
      <c r="D47" s="9">
        <v>0</v>
      </c>
      <c r="E47" s="9">
        <v>2.6</v>
      </c>
      <c r="F47" s="9">
        <v>4.66</v>
      </c>
      <c r="G47" s="7" t="s">
        <v>49</v>
      </c>
      <c r="I47" s="2"/>
    </row>
    <row r="48" spans="1:15" x14ac:dyDescent="0.2">
      <c r="A48" s="9">
        <v>0</v>
      </c>
      <c r="B48" s="9">
        <v>16</v>
      </c>
      <c r="C48" s="9">
        <v>22</v>
      </c>
      <c r="D48" s="13">
        <v>117.54291069294821</v>
      </c>
      <c r="E48" s="9">
        <v>4.4000000000000004</v>
      </c>
      <c r="F48" s="9">
        <v>4.66</v>
      </c>
      <c r="G48" s="7" t="s">
        <v>49</v>
      </c>
      <c r="I48" s="2"/>
    </row>
    <row r="49" spans="1:14" x14ac:dyDescent="0.2">
      <c r="A49" s="9">
        <v>1</v>
      </c>
      <c r="B49" s="9">
        <v>18</v>
      </c>
      <c r="C49" s="9">
        <v>6</v>
      </c>
      <c r="D49" s="9">
        <v>71</v>
      </c>
      <c r="E49" s="9">
        <v>15.7</v>
      </c>
      <c r="F49" s="9">
        <v>4.58</v>
      </c>
      <c r="G49" s="7" t="s">
        <v>49</v>
      </c>
      <c r="I49" s="2"/>
      <c r="J49" s="22"/>
      <c r="K49" s="22"/>
      <c r="L49" s="22"/>
      <c r="M49" s="22"/>
      <c r="N49" s="22"/>
    </row>
    <row r="50" spans="1:14" x14ac:dyDescent="0.2">
      <c r="A50" s="9">
        <v>0</v>
      </c>
      <c r="B50" s="9">
        <v>6</v>
      </c>
      <c r="C50" s="9">
        <v>24</v>
      </c>
      <c r="D50" s="9">
        <v>54</v>
      </c>
      <c r="E50" s="9">
        <v>9.6</v>
      </c>
      <c r="F50" s="9">
        <v>4.5599999999999996</v>
      </c>
      <c r="G50" s="7" t="s">
        <v>49</v>
      </c>
      <c r="I50" s="2"/>
      <c r="J50" s="24"/>
    </row>
    <row r="51" spans="1:14" x14ac:dyDescent="0.2">
      <c r="A51" s="9">
        <v>1</v>
      </c>
      <c r="B51" s="9">
        <v>12</v>
      </c>
      <c r="C51" s="9">
        <v>14</v>
      </c>
      <c r="D51" s="9">
        <v>63</v>
      </c>
      <c r="E51" s="9">
        <v>16</v>
      </c>
      <c r="F51" s="9">
        <v>4.3600000000000003</v>
      </c>
      <c r="G51" s="7" t="s">
        <v>49</v>
      </c>
      <c r="I51" s="2"/>
    </row>
    <row r="52" spans="1:14" x14ac:dyDescent="0.2">
      <c r="A52" s="9">
        <v>0</v>
      </c>
      <c r="B52" s="9">
        <v>23</v>
      </c>
      <c r="C52" s="9">
        <v>19</v>
      </c>
      <c r="D52" s="9">
        <v>72</v>
      </c>
      <c r="E52" s="9">
        <v>7.6</v>
      </c>
      <c r="F52" s="9">
        <v>4.29</v>
      </c>
      <c r="G52" s="7" t="s">
        <v>49</v>
      </c>
      <c r="I52" s="2"/>
    </row>
    <row r="53" spans="1:14" x14ac:dyDescent="0.2">
      <c r="A53" s="9">
        <v>0</v>
      </c>
      <c r="B53" s="9">
        <v>11</v>
      </c>
      <c r="C53" s="9">
        <v>20</v>
      </c>
      <c r="D53" s="9">
        <v>59</v>
      </c>
      <c r="E53" s="9">
        <v>15</v>
      </c>
      <c r="F53" s="9">
        <v>4.18</v>
      </c>
      <c r="G53" s="7" t="s">
        <v>49</v>
      </c>
    </row>
    <row r="54" spans="1:14" x14ac:dyDescent="0.2">
      <c r="A54" s="9">
        <v>1</v>
      </c>
      <c r="B54" s="9">
        <v>5</v>
      </c>
      <c r="C54" s="9">
        <v>12</v>
      </c>
      <c r="D54" s="9">
        <v>35</v>
      </c>
      <c r="E54" s="9">
        <v>16.399999999999999</v>
      </c>
      <c r="F54" s="9">
        <v>4.16</v>
      </c>
      <c r="G54" s="7" t="s">
        <v>49</v>
      </c>
    </row>
    <row r="55" spans="1:14" x14ac:dyDescent="0.2">
      <c r="A55" s="9">
        <v>0</v>
      </c>
      <c r="B55" s="9">
        <v>12</v>
      </c>
      <c r="C55" s="9">
        <v>9</v>
      </c>
      <c r="D55" s="9">
        <v>98</v>
      </c>
      <c r="E55" s="9">
        <v>7.2</v>
      </c>
      <c r="F55" s="9">
        <v>4.12</v>
      </c>
      <c r="G55" s="7" t="s">
        <v>49</v>
      </c>
      <c r="I55" s="2"/>
      <c r="J55" s="1"/>
      <c r="K55" s="1"/>
      <c r="L55" s="1"/>
      <c r="M55" s="1"/>
    </row>
    <row r="56" spans="1:14" x14ac:dyDescent="0.2">
      <c r="A56" s="9">
        <v>0</v>
      </c>
      <c r="B56" s="9">
        <v>6</v>
      </c>
      <c r="C56" s="9">
        <v>13</v>
      </c>
      <c r="D56" s="9">
        <v>62</v>
      </c>
      <c r="E56" s="9">
        <v>8.5</v>
      </c>
      <c r="F56" s="9">
        <v>4.08</v>
      </c>
      <c r="G56" s="7" t="s">
        <v>49</v>
      </c>
      <c r="I56" s="2"/>
      <c r="J56" s="23"/>
      <c r="K56" s="23"/>
      <c r="L56" s="23"/>
      <c r="M56" s="23"/>
    </row>
    <row r="57" spans="1:14" x14ac:dyDescent="0.2">
      <c r="A57" s="9">
        <v>1</v>
      </c>
      <c r="B57" s="9">
        <v>6</v>
      </c>
      <c r="C57" s="9">
        <v>6</v>
      </c>
      <c r="D57" s="9">
        <v>32</v>
      </c>
      <c r="E57" s="9">
        <v>23.1</v>
      </c>
      <c r="F57" s="9">
        <v>4.05</v>
      </c>
      <c r="G57" s="7" t="s">
        <v>49</v>
      </c>
      <c r="I57" s="2"/>
    </row>
    <row r="58" spans="1:14" x14ac:dyDescent="0.2">
      <c r="A58" s="9">
        <v>0</v>
      </c>
      <c r="B58" s="9">
        <v>0</v>
      </c>
      <c r="C58" s="9">
        <v>23</v>
      </c>
      <c r="D58" s="9">
        <v>30</v>
      </c>
      <c r="E58" s="9">
        <v>22.3</v>
      </c>
      <c r="F58" s="9">
        <v>4.03</v>
      </c>
      <c r="G58" s="7" t="s">
        <v>49</v>
      </c>
      <c r="I58" s="2"/>
    </row>
    <row r="59" spans="1:14" x14ac:dyDescent="0.2">
      <c r="A59" s="9">
        <v>0</v>
      </c>
      <c r="B59" s="9">
        <v>2</v>
      </c>
      <c r="C59" s="9">
        <v>14</v>
      </c>
      <c r="D59" s="9">
        <v>39</v>
      </c>
      <c r="E59" s="9">
        <v>13.2</v>
      </c>
      <c r="F59" s="9">
        <v>4.01</v>
      </c>
      <c r="G59" s="7" t="s">
        <v>49</v>
      </c>
      <c r="I59" s="2"/>
      <c r="J59" s="22"/>
      <c r="K59" s="22"/>
      <c r="L59" s="22"/>
      <c r="M59" s="22"/>
    </row>
    <row r="60" spans="1:14" x14ac:dyDescent="0.2">
      <c r="A60" s="9">
        <v>0</v>
      </c>
      <c r="B60" s="9">
        <v>10</v>
      </c>
      <c r="C60" s="9">
        <v>6</v>
      </c>
      <c r="D60" s="9">
        <v>31</v>
      </c>
      <c r="E60" s="9">
        <v>17.3</v>
      </c>
      <c r="F60" s="9">
        <v>4</v>
      </c>
      <c r="G60" s="7" t="s">
        <v>49</v>
      </c>
      <c r="I60" s="2"/>
      <c r="J60" s="24"/>
    </row>
    <row r="61" spans="1:14" x14ac:dyDescent="0.2">
      <c r="A61" s="9">
        <v>0</v>
      </c>
      <c r="B61" s="9">
        <v>5</v>
      </c>
      <c r="C61" s="9">
        <v>5</v>
      </c>
      <c r="D61" s="9">
        <v>32</v>
      </c>
      <c r="E61" s="9">
        <v>13</v>
      </c>
      <c r="F61" s="9">
        <v>3.99</v>
      </c>
      <c r="G61" s="7" t="s">
        <v>49</v>
      </c>
      <c r="I61" s="2"/>
    </row>
    <row r="62" spans="1:14" x14ac:dyDescent="0.2">
      <c r="A62" s="9">
        <v>0</v>
      </c>
      <c r="B62" s="9">
        <v>7</v>
      </c>
      <c r="C62" s="9">
        <v>16</v>
      </c>
      <c r="D62" s="9">
        <v>43</v>
      </c>
      <c r="E62" s="9">
        <v>15.4</v>
      </c>
      <c r="F62" s="9">
        <v>3.97</v>
      </c>
      <c r="G62" s="7" t="s">
        <v>49</v>
      </c>
      <c r="I62" s="2"/>
    </row>
    <row r="63" spans="1:14" x14ac:dyDescent="0.2">
      <c r="A63" s="9">
        <v>0</v>
      </c>
      <c r="B63" s="9">
        <v>0</v>
      </c>
      <c r="C63" s="9">
        <v>9</v>
      </c>
      <c r="D63" s="9">
        <v>64</v>
      </c>
      <c r="E63" s="9">
        <v>6.6</v>
      </c>
      <c r="F63" s="9">
        <v>3.95</v>
      </c>
      <c r="G63" s="7" t="s">
        <v>49</v>
      </c>
    </row>
    <row r="64" spans="1:14" x14ac:dyDescent="0.2">
      <c r="A64" s="9">
        <v>0</v>
      </c>
      <c r="B64" s="9">
        <v>9</v>
      </c>
      <c r="C64" s="9">
        <v>26</v>
      </c>
      <c r="D64" s="9">
        <v>69</v>
      </c>
      <c r="E64" s="9">
        <v>6.7</v>
      </c>
      <c r="F64" s="9">
        <v>3.92</v>
      </c>
      <c r="G64" s="7" t="s">
        <v>49</v>
      </c>
      <c r="I64" s="97"/>
      <c r="J64" s="100"/>
      <c r="K64" s="100"/>
      <c r="L64" s="100"/>
      <c r="M64" s="100"/>
    </row>
    <row r="65" spans="1:13" x14ac:dyDescent="0.2">
      <c r="A65" s="9">
        <v>0</v>
      </c>
      <c r="B65" s="9">
        <v>16</v>
      </c>
      <c r="C65" s="9">
        <v>3</v>
      </c>
      <c r="D65" s="9">
        <v>75</v>
      </c>
      <c r="E65" s="9">
        <v>10.4</v>
      </c>
      <c r="F65" s="9">
        <v>3.85</v>
      </c>
      <c r="G65" s="7" t="s">
        <v>49</v>
      </c>
      <c r="I65" s="100"/>
      <c r="J65" s="100"/>
      <c r="K65" s="100"/>
      <c r="L65" s="100"/>
      <c r="M65" s="100"/>
    </row>
    <row r="66" spans="1:13" x14ac:dyDescent="0.2">
      <c r="A66" s="9">
        <v>1</v>
      </c>
      <c r="B66" s="9">
        <v>1</v>
      </c>
      <c r="C66" s="9">
        <v>7</v>
      </c>
      <c r="D66" s="9">
        <v>29</v>
      </c>
      <c r="E66" s="9">
        <v>21.2</v>
      </c>
      <c r="F66" s="9">
        <v>3.82</v>
      </c>
      <c r="G66" s="7" t="s">
        <v>49</v>
      </c>
    </row>
    <row r="67" spans="1:13" x14ac:dyDescent="0.2">
      <c r="A67" s="9">
        <v>1</v>
      </c>
      <c r="B67" s="9">
        <v>13</v>
      </c>
      <c r="C67" s="9">
        <v>6</v>
      </c>
      <c r="D67" s="9">
        <v>41</v>
      </c>
      <c r="E67" s="9">
        <v>16.399999999999999</v>
      </c>
      <c r="F67" s="9">
        <v>3.81</v>
      </c>
      <c r="G67" s="7" t="s">
        <v>49</v>
      </c>
      <c r="I67" s="97"/>
      <c r="J67" s="97"/>
      <c r="K67" s="98"/>
      <c r="L67" s="98"/>
    </row>
    <row r="68" spans="1:13" x14ac:dyDescent="0.2">
      <c r="A68" s="9">
        <v>1</v>
      </c>
      <c r="B68" s="9">
        <v>2</v>
      </c>
      <c r="C68" s="9">
        <v>16</v>
      </c>
      <c r="D68" s="9">
        <v>22</v>
      </c>
      <c r="E68" s="9">
        <v>22.7</v>
      </c>
      <c r="F68" s="9">
        <v>3.79</v>
      </c>
      <c r="G68" s="7" t="s">
        <v>49</v>
      </c>
      <c r="I68" s="97"/>
      <c r="J68" s="97"/>
      <c r="K68" s="1"/>
      <c r="L68" s="1"/>
    </row>
    <row r="69" spans="1:13" x14ac:dyDescent="0.2">
      <c r="A69" s="9">
        <v>0</v>
      </c>
      <c r="B69" s="9">
        <v>16</v>
      </c>
      <c r="C69" s="9">
        <v>25</v>
      </c>
      <c r="D69" s="9">
        <v>64</v>
      </c>
      <c r="E69" s="9">
        <v>8.6</v>
      </c>
      <c r="F69" s="9">
        <v>3.64</v>
      </c>
      <c r="G69" s="7" t="s">
        <v>49</v>
      </c>
      <c r="I69" s="97"/>
      <c r="J69" s="1"/>
      <c r="K69" s="1"/>
      <c r="L69" s="1"/>
    </row>
    <row r="70" spans="1:13" x14ac:dyDescent="0.2">
      <c r="A70" s="9">
        <v>0</v>
      </c>
      <c r="B70" s="9">
        <v>14</v>
      </c>
      <c r="C70" s="9">
        <v>8</v>
      </c>
      <c r="D70" s="9">
        <v>28</v>
      </c>
      <c r="E70" s="9">
        <v>17</v>
      </c>
      <c r="F70" s="9">
        <v>3.62</v>
      </c>
      <c r="G70" s="7" t="s">
        <v>49</v>
      </c>
      <c r="I70" s="97"/>
      <c r="J70" s="1"/>
      <c r="K70" s="1"/>
      <c r="L70" s="1"/>
    </row>
    <row r="71" spans="1:13" x14ac:dyDescent="0.2">
      <c r="A71" s="9">
        <v>1</v>
      </c>
      <c r="B71" s="9">
        <v>4</v>
      </c>
      <c r="C71" s="9">
        <v>2</v>
      </c>
      <c r="D71" s="9">
        <v>28</v>
      </c>
      <c r="E71" s="9">
        <v>14.2</v>
      </c>
      <c r="F71" s="9">
        <v>3.54</v>
      </c>
      <c r="G71" s="7" t="s">
        <v>49</v>
      </c>
      <c r="I71" s="99"/>
      <c r="J71" s="99"/>
      <c r="K71" s="99"/>
      <c r="L71" s="99"/>
    </row>
    <row r="72" spans="1:13" x14ac:dyDescent="0.2">
      <c r="A72" s="9">
        <v>0</v>
      </c>
      <c r="B72" s="9">
        <v>3</v>
      </c>
      <c r="C72" s="9">
        <v>8</v>
      </c>
      <c r="D72" s="9">
        <v>21</v>
      </c>
      <c r="E72" s="9">
        <v>23.1</v>
      </c>
      <c r="F72" s="9">
        <v>3.45</v>
      </c>
      <c r="G72" s="7" t="s">
        <v>49</v>
      </c>
      <c r="I72" s="2"/>
      <c r="J72" s="26"/>
      <c r="K72" s="99"/>
      <c r="L72" s="99"/>
    </row>
    <row r="73" spans="1:13" x14ac:dyDescent="0.2">
      <c r="A73" s="9">
        <v>0</v>
      </c>
      <c r="B73" s="9">
        <v>3</v>
      </c>
      <c r="C73" s="9">
        <v>23</v>
      </c>
      <c r="D73" s="9">
        <v>45</v>
      </c>
      <c r="E73" s="9">
        <v>9.8000000000000007</v>
      </c>
      <c r="F73" s="9">
        <v>3.44</v>
      </c>
      <c r="G73" s="7" t="s">
        <v>49</v>
      </c>
      <c r="I73" s="2"/>
      <c r="J73" s="26"/>
      <c r="K73" s="99"/>
      <c r="L73" s="99"/>
    </row>
    <row r="74" spans="1:13" x14ac:dyDescent="0.2">
      <c r="A74" s="9">
        <v>1</v>
      </c>
      <c r="B74" s="9">
        <v>9</v>
      </c>
      <c r="C74" s="9">
        <v>6</v>
      </c>
      <c r="D74" s="9">
        <v>49</v>
      </c>
      <c r="E74" s="9">
        <v>8.6</v>
      </c>
      <c r="F74" s="9">
        <v>3.4</v>
      </c>
      <c r="G74" s="7" t="s">
        <v>49</v>
      </c>
      <c r="I74" s="2"/>
      <c r="J74" s="26"/>
      <c r="K74" s="99"/>
      <c r="L74" s="99"/>
    </row>
    <row r="75" spans="1:13" x14ac:dyDescent="0.2">
      <c r="A75" s="9">
        <v>0</v>
      </c>
      <c r="B75" s="9">
        <v>19</v>
      </c>
      <c r="C75" s="9">
        <v>25</v>
      </c>
      <c r="D75" s="9">
        <v>0</v>
      </c>
      <c r="E75" s="9">
        <v>2.8</v>
      </c>
      <c r="F75" s="9">
        <v>3.38</v>
      </c>
      <c r="G75" s="7" t="s">
        <v>49</v>
      </c>
    </row>
    <row r="76" spans="1:13" x14ac:dyDescent="0.2">
      <c r="A76" s="9">
        <v>0</v>
      </c>
      <c r="B76" s="9">
        <v>6</v>
      </c>
      <c r="C76" s="9">
        <v>0</v>
      </c>
      <c r="D76" s="9">
        <v>41</v>
      </c>
      <c r="E76" s="9">
        <v>8.9</v>
      </c>
      <c r="F76" s="9">
        <v>3.38</v>
      </c>
      <c r="G76" s="7" t="s">
        <v>49</v>
      </c>
    </row>
    <row r="77" spans="1:13" x14ac:dyDescent="0.2">
      <c r="A77" s="9">
        <v>1</v>
      </c>
      <c r="B77" s="9">
        <v>2</v>
      </c>
      <c r="C77" s="9">
        <v>12</v>
      </c>
      <c r="D77" s="9">
        <v>46</v>
      </c>
      <c r="E77" s="9">
        <v>16</v>
      </c>
      <c r="F77" s="9">
        <v>3.36</v>
      </c>
      <c r="G77" s="7" t="s">
        <v>49</v>
      </c>
      <c r="I77" s="97"/>
      <c r="J77" s="97"/>
      <c r="K77" s="98"/>
      <c r="L77" s="98"/>
    </row>
    <row r="78" spans="1:13" x14ac:dyDescent="0.2">
      <c r="A78" s="9">
        <v>0</v>
      </c>
      <c r="B78" s="9">
        <v>4</v>
      </c>
      <c r="C78" s="9">
        <v>4</v>
      </c>
      <c r="D78" s="9">
        <v>21</v>
      </c>
      <c r="E78" s="9">
        <v>18.3</v>
      </c>
      <c r="F78" s="9">
        <v>3.35</v>
      </c>
      <c r="G78" s="7" t="s">
        <v>49</v>
      </c>
      <c r="I78" s="97"/>
      <c r="J78" s="97"/>
      <c r="K78" s="1"/>
      <c r="L78" s="1"/>
    </row>
    <row r="79" spans="1:13" x14ac:dyDescent="0.2">
      <c r="A79" s="9">
        <v>0</v>
      </c>
      <c r="B79" s="9">
        <v>8</v>
      </c>
      <c r="C79" s="9">
        <v>4</v>
      </c>
      <c r="D79" s="9">
        <v>56</v>
      </c>
      <c r="E79" s="9">
        <v>6.4</v>
      </c>
      <c r="F79" s="9">
        <v>3.25</v>
      </c>
      <c r="G79" s="7" t="s">
        <v>49</v>
      </c>
      <c r="I79" s="97"/>
      <c r="J79" s="1"/>
      <c r="K79" s="1"/>
      <c r="L79" s="1"/>
    </row>
    <row r="80" spans="1:13" x14ac:dyDescent="0.2">
      <c r="A80" s="9">
        <v>1</v>
      </c>
      <c r="B80" s="9">
        <v>2</v>
      </c>
      <c r="C80" s="9">
        <v>15</v>
      </c>
      <c r="D80" s="9">
        <v>22</v>
      </c>
      <c r="E80" s="9">
        <v>23.1</v>
      </c>
      <c r="F80" s="9">
        <v>3.17</v>
      </c>
      <c r="G80" s="7" t="s">
        <v>49</v>
      </c>
      <c r="I80" s="97"/>
      <c r="J80" s="1"/>
      <c r="K80" s="1"/>
      <c r="L80" s="1"/>
    </row>
    <row r="81" spans="1:12" x14ac:dyDescent="0.2">
      <c r="A81" s="9">
        <v>0</v>
      </c>
      <c r="B81" s="9">
        <v>18</v>
      </c>
      <c r="C81" s="9">
        <v>10</v>
      </c>
      <c r="D81" s="9">
        <v>34</v>
      </c>
      <c r="E81" s="9">
        <v>15.4</v>
      </c>
      <c r="F81" s="9">
        <v>3.14</v>
      </c>
      <c r="G81" s="7" t="s">
        <v>49</v>
      </c>
      <c r="I81" s="99"/>
      <c r="J81" s="99"/>
      <c r="K81" s="99"/>
      <c r="L81" s="99"/>
    </row>
    <row r="82" spans="1:12" x14ac:dyDescent="0.2">
      <c r="A82" s="9">
        <v>0</v>
      </c>
      <c r="B82" s="9">
        <v>16</v>
      </c>
      <c r="C82" s="9">
        <v>10</v>
      </c>
      <c r="D82" s="9">
        <v>83</v>
      </c>
      <c r="E82" s="9">
        <v>4.0999999999999996</v>
      </c>
      <c r="F82" s="9">
        <v>3.14</v>
      </c>
      <c r="G82" s="7" t="s">
        <v>49</v>
      </c>
      <c r="I82" s="2"/>
      <c r="J82" s="26"/>
      <c r="K82" s="99"/>
      <c r="L82" s="99"/>
    </row>
    <row r="83" spans="1:12" x14ac:dyDescent="0.2">
      <c r="A83" s="9">
        <v>1</v>
      </c>
      <c r="B83" s="9">
        <v>2</v>
      </c>
      <c r="C83" s="9">
        <v>0</v>
      </c>
      <c r="D83" s="9">
        <v>28</v>
      </c>
      <c r="E83" s="9">
        <v>17.3</v>
      </c>
      <c r="F83" s="9">
        <v>3.06</v>
      </c>
      <c r="G83" s="7" t="s">
        <v>49</v>
      </c>
      <c r="I83" s="2"/>
      <c r="J83" s="26"/>
      <c r="K83" s="99"/>
      <c r="L83" s="99"/>
    </row>
    <row r="84" spans="1:12" x14ac:dyDescent="0.2">
      <c r="A84" s="9">
        <v>0</v>
      </c>
      <c r="B84" s="9">
        <v>3</v>
      </c>
      <c r="C84" s="9">
        <v>4</v>
      </c>
      <c r="D84" s="9">
        <v>35</v>
      </c>
      <c r="E84" s="9">
        <v>13.3</v>
      </c>
      <c r="F84" s="9">
        <v>3.05</v>
      </c>
      <c r="G84" s="7" t="s">
        <v>49</v>
      </c>
      <c r="I84" s="2"/>
      <c r="J84" s="26"/>
      <c r="K84" s="99"/>
      <c r="L84" s="99"/>
    </row>
    <row r="85" spans="1:12" x14ac:dyDescent="0.2">
      <c r="A85" s="9">
        <v>0</v>
      </c>
      <c r="B85" s="9">
        <v>13</v>
      </c>
      <c r="C85" s="9">
        <v>11</v>
      </c>
      <c r="D85" s="9">
        <v>51</v>
      </c>
      <c r="E85" s="9">
        <v>9.6</v>
      </c>
      <c r="F85" s="9">
        <v>3.02</v>
      </c>
      <c r="G85" s="7" t="s">
        <v>49</v>
      </c>
    </row>
    <row r="86" spans="1:12" x14ac:dyDescent="0.2">
      <c r="A86" s="9">
        <v>0</v>
      </c>
      <c r="B86" s="9">
        <v>22</v>
      </c>
      <c r="C86" s="9">
        <v>19</v>
      </c>
      <c r="D86" s="9">
        <v>81</v>
      </c>
      <c r="E86" s="9">
        <v>5.5</v>
      </c>
      <c r="F86" s="9">
        <v>2.95</v>
      </c>
      <c r="G86" s="7" t="s">
        <v>49</v>
      </c>
    </row>
    <row r="87" spans="1:12" x14ac:dyDescent="0.2">
      <c r="A87" s="9">
        <v>1</v>
      </c>
      <c r="B87" s="9">
        <v>7</v>
      </c>
      <c r="C87" s="9">
        <v>5</v>
      </c>
      <c r="D87" s="9">
        <v>20</v>
      </c>
      <c r="E87" s="9">
        <v>19.8</v>
      </c>
      <c r="F87" s="9">
        <v>2.95</v>
      </c>
      <c r="G87" s="7" t="s">
        <v>49</v>
      </c>
    </row>
    <row r="88" spans="1:12" x14ac:dyDescent="0.2">
      <c r="A88" s="9">
        <v>0</v>
      </c>
      <c r="B88" s="9">
        <v>17</v>
      </c>
      <c r="C88" s="9">
        <v>3</v>
      </c>
      <c r="D88" s="9">
        <v>59</v>
      </c>
      <c r="E88" s="9">
        <v>8</v>
      </c>
      <c r="F88" s="9">
        <v>2.91</v>
      </c>
      <c r="G88" s="7" t="s">
        <v>49</v>
      </c>
    </row>
    <row r="89" spans="1:12" x14ac:dyDescent="0.2">
      <c r="A89" s="9">
        <v>0</v>
      </c>
      <c r="B89" s="9">
        <v>6</v>
      </c>
      <c r="C89" s="9">
        <v>9</v>
      </c>
      <c r="D89" s="9">
        <v>61</v>
      </c>
      <c r="E89" s="9">
        <v>5.7</v>
      </c>
      <c r="F89" s="9">
        <v>2.91</v>
      </c>
      <c r="G89" s="7" t="s">
        <v>49</v>
      </c>
    </row>
    <row r="90" spans="1:12" x14ac:dyDescent="0.2">
      <c r="A90" s="9">
        <v>0</v>
      </c>
      <c r="B90" s="9">
        <v>18</v>
      </c>
      <c r="C90" s="9">
        <v>2</v>
      </c>
      <c r="D90" s="9">
        <v>42</v>
      </c>
      <c r="E90" s="9">
        <v>7.4</v>
      </c>
      <c r="F90" s="9">
        <v>2.9</v>
      </c>
      <c r="G90" s="7" t="s">
        <v>49</v>
      </c>
    </row>
    <row r="91" spans="1:12" x14ac:dyDescent="0.2">
      <c r="A91" s="9">
        <v>0</v>
      </c>
      <c r="B91" s="9">
        <v>7</v>
      </c>
      <c r="C91" s="9">
        <v>1</v>
      </c>
      <c r="D91" s="9">
        <v>63</v>
      </c>
      <c r="E91" s="9">
        <v>5.5</v>
      </c>
      <c r="F91" s="9">
        <v>2.89</v>
      </c>
      <c r="G91" s="7" t="s">
        <v>49</v>
      </c>
    </row>
    <row r="92" spans="1:12" x14ac:dyDescent="0.2">
      <c r="A92" s="9">
        <v>1</v>
      </c>
      <c r="B92" s="9">
        <v>0</v>
      </c>
      <c r="C92" s="9">
        <v>2</v>
      </c>
      <c r="D92" s="9">
        <v>18</v>
      </c>
      <c r="E92" s="9">
        <v>18.899999999999999</v>
      </c>
      <c r="F92" s="9">
        <v>2.89</v>
      </c>
      <c r="G92" s="7" t="s">
        <v>49</v>
      </c>
    </row>
    <row r="93" spans="1:12" x14ac:dyDescent="0.2">
      <c r="A93" s="9">
        <v>0</v>
      </c>
      <c r="B93" s="9">
        <v>8</v>
      </c>
      <c r="C93" s="9">
        <v>4</v>
      </c>
      <c r="D93" s="9">
        <v>27</v>
      </c>
      <c r="E93" s="9">
        <v>14.4</v>
      </c>
      <c r="F93" s="9">
        <v>2.87</v>
      </c>
      <c r="G93" s="7" t="s">
        <v>49</v>
      </c>
    </row>
    <row r="94" spans="1:12" x14ac:dyDescent="0.2">
      <c r="A94" s="9">
        <v>0</v>
      </c>
      <c r="B94" s="9">
        <v>1</v>
      </c>
      <c r="C94" s="9">
        <v>3</v>
      </c>
      <c r="D94" s="9">
        <v>26</v>
      </c>
      <c r="E94" s="9">
        <v>12.4</v>
      </c>
      <c r="F94" s="9">
        <v>2.85</v>
      </c>
      <c r="G94" s="7" t="s">
        <v>49</v>
      </c>
    </row>
    <row r="95" spans="1:12" x14ac:dyDescent="0.2">
      <c r="A95" s="9">
        <v>1</v>
      </c>
      <c r="B95" s="9">
        <v>1</v>
      </c>
      <c r="C95" s="9">
        <v>8</v>
      </c>
      <c r="D95" s="9">
        <v>24</v>
      </c>
      <c r="E95" s="9">
        <v>17.100000000000001</v>
      </c>
      <c r="F95" s="9">
        <v>2.77</v>
      </c>
      <c r="G95" s="7" t="s">
        <v>49</v>
      </c>
    </row>
    <row r="96" spans="1:12" x14ac:dyDescent="0.2">
      <c r="A96" s="9">
        <v>0</v>
      </c>
      <c r="B96" s="9">
        <v>3</v>
      </c>
      <c r="C96" s="9">
        <v>5</v>
      </c>
      <c r="D96" s="9">
        <v>33</v>
      </c>
      <c r="E96" s="9">
        <v>13.2</v>
      </c>
      <c r="F96" s="9">
        <v>2.72</v>
      </c>
      <c r="G96" s="7" t="s">
        <v>49</v>
      </c>
    </row>
    <row r="97" spans="1:7" x14ac:dyDescent="0.2">
      <c r="A97" s="9">
        <v>0</v>
      </c>
      <c r="B97" s="9">
        <v>4</v>
      </c>
      <c r="C97" s="9">
        <v>1</v>
      </c>
      <c r="D97" s="9">
        <v>16</v>
      </c>
      <c r="E97" s="9">
        <v>23.8</v>
      </c>
      <c r="F97" s="9">
        <v>2.72</v>
      </c>
      <c r="G97" s="7" t="s">
        <v>49</v>
      </c>
    </row>
    <row r="98" spans="1:7" x14ac:dyDescent="0.2">
      <c r="A98" s="9">
        <v>0</v>
      </c>
      <c r="B98" s="9">
        <v>13</v>
      </c>
      <c r="C98" s="9">
        <v>2</v>
      </c>
      <c r="D98" s="9">
        <v>40</v>
      </c>
      <c r="E98" s="9">
        <v>7.2</v>
      </c>
      <c r="F98" s="9">
        <v>2.7</v>
      </c>
      <c r="G98" s="7" t="s">
        <v>49</v>
      </c>
    </row>
    <row r="99" spans="1:7" x14ac:dyDescent="0.2">
      <c r="A99" s="9">
        <v>0</v>
      </c>
      <c r="B99" s="9">
        <v>6</v>
      </c>
      <c r="C99" s="9">
        <v>7</v>
      </c>
      <c r="D99" s="9">
        <v>21</v>
      </c>
      <c r="E99" s="9">
        <v>18.100000000000001</v>
      </c>
      <c r="F99" s="9">
        <v>2.69</v>
      </c>
      <c r="G99" s="7" t="s">
        <v>49</v>
      </c>
    </row>
    <row r="100" spans="1:7" x14ac:dyDescent="0.2">
      <c r="A100" s="9">
        <v>0</v>
      </c>
      <c r="B100" s="9">
        <v>14</v>
      </c>
      <c r="C100" s="9">
        <v>7</v>
      </c>
      <c r="D100" s="9">
        <v>73</v>
      </c>
      <c r="E100" s="9">
        <v>8.8000000000000007</v>
      </c>
      <c r="F100" s="9">
        <v>2.67</v>
      </c>
      <c r="G100" s="7" t="s">
        <v>49</v>
      </c>
    </row>
    <row r="101" spans="1:7" x14ac:dyDescent="0.2">
      <c r="A101" s="9">
        <v>1</v>
      </c>
      <c r="B101" s="9">
        <v>9</v>
      </c>
      <c r="C101" s="9">
        <v>4</v>
      </c>
      <c r="D101" s="9">
        <v>29</v>
      </c>
      <c r="E101" s="9">
        <v>13.8</v>
      </c>
      <c r="F101" s="9">
        <v>2.65</v>
      </c>
      <c r="G101" s="7" t="s">
        <v>49</v>
      </c>
    </row>
    <row r="102" spans="1:7" x14ac:dyDescent="0.2">
      <c r="A102" s="9">
        <v>1</v>
      </c>
      <c r="B102" s="9">
        <v>3</v>
      </c>
      <c r="C102" s="9">
        <v>11</v>
      </c>
      <c r="D102" s="9">
        <v>40</v>
      </c>
      <c r="E102" s="9">
        <v>8</v>
      </c>
      <c r="F102" s="9">
        <v>2.64</v>
      </c>
      <c r="G102" s="7" t="s">
        <v>49</v>
      </c>
    </row>
    <row r="103" spans="1:7" x14ac:dyDescent="0.2">
      <c r="A103" s="9">
        <v>1</v>
      </c>
      <c r="B103" s="9">
        <v>1</v>
      </c>
      <c r="C103" s="9">
        <v>2</v>
      </c>
      <c r="D103" s="9">
        <v>16</v>
      </c>
      <c r="E103" s="9">
        <v>18</v>
      </c>
      <c r="F103" s="9">
        <v>2.64</v>
      </c>
      <c r="G103" s="7" t="s">
        <v>49</v>
      </c>
    </row>
    <row r="104" spans="1:7" x14ac:dyDescent="0.2">
      <c r="A104" s="9">
        <v>1</v>
      </c>
      <c r="B104" s="9">
        <v>9</v>
      </c>
      <c r="C104" s="9">
        <v>2</v>
      </c>
      <c r="D104" s="9">
        <v>28</v>
      </c>
      <c r="E104" s="9">
        <v>14.8</v>
      </c>
      <c r="F104" s="9">
        <v>2.59</v>
      </c>
      <c r="G104" s="7" t="s">
        <v>49</v>
      </c>
    </row>
    <row r="105" spans="1:7" x14ac:dyDescent="0.2">
      <c r="A105" s="9">
        <v>1</v>
      </c>
      <c r="B105" s="9">
        <v>2</v>
      </c>
      <c r="C105" s="9">
        <v>11</v>
      </c>
      <c r="D105" s="9">
        <v>25</v>
      </c>
      <c r="E105" s="9">
        <v>12.6</v>
      </c>
      <c r="F105" s="9">
        <v>2.58</v>
      </c>
      <c r="G105" s="7" t="s">
        <v>49</v>
      </c>
    </row>
    <row r="106" spans="1:7" x14ac:dyDescent="0.2">
      <c r="A106" s="9">
        <v>0</v>
      </c>
      <c r="B106" s="9">
        <v>0</v>
      </c>
      <c r="C106" s="9">
        <v>17</v>
      </c>
      <c r="D106" s="9">
        <v>30</v>
      </c>
      <c r="E106" s="9">
        <v>9.6999999999999993</v>
      </c>
      <c r="F106" s="9">
        <v>2.58</v>
      </c>
      <c r="G106" s="7" t="s">
        <v>49</v>
      </c>
    </row>
    <row r="107" spans="1:7" x14ac:dyDescent="0.2">
      <c r="A107" s="9">
        <v>0</v>
      </c>
      <c r="B107" s="9">
        <v>4</v>
      </c>
      <c r="C107" s="9">
        <v>2</v>
      </c>
      <c r="D107" s="9">
        <v>26</v>
      </c>
      <c r="E107" s="9">
        <v>10.4</v>
      </c>
      <c r="F107" s="9">
        <v>2.58</v>
      </c>
      <c r="G107" s="7" t="s">
        <v>49</v>
      </c>
    </row>
    <row r="108" spans="1:7" x14ac:dyDescent="0.2">
      <c r="A108" s="9">
        <v>0</v>
      </c>
      <c r="B108" s="9">
        <v>6</v>
      </c>
      <c r="C108" s="9">
        <v>9</v>
      </c>
      <c r="D108" s="9">
        <v>31</v>
      </c>
      <c r="E108" s="9">
        <v>11.6</v>
      </c>
      <c r="F108" s="9">
        <v>2.57</v>
      </c>
      <c r="G108" s="7" t="s">
        <v>49</v>
      </c>
    </row>
    <row r="109" spans="1:7" x14ac:dyDescent="0.2">
      <c r="A109" s="9">
        <v>0</v>
      </c>
      <c r="B109" s="9">
        <v>13</v>
      </c>
      <c r="C109" s="9">
        <v>8</v>
      </c>
      <c r="D109" s="9">
        <v>56</v>
      </c>
      <c r="E109" s="9">
        <v>6.1</v>
      </c>
      <c r="F109" s="9">
        <v>2.5499999999999998</v>
      </c>
      <c r="G109" s="7" t="s">
        <v>49</v>
      </c>
    </row>
    <row r="110" spans="1:7" x14ac:dyDescent="0.2">
      <c r="A110" s="9">
        <v>1</v>
      </c>
      <c r="B110" s="9">
        <v>0</v>
      </c>
      <c r="C110" s="9">
        <v>8</v>
      </c>
      <c r="D110" s="9">
        <v>19</v>
      </c>
      <c r="E110" s="9">
        <v>16.600000000000001</v>
      </c>
      <c r="F110" s="9">
        <v>2.5299999999999998</v>
      </c>
      <c r="G110" s="7" t="s">
        <v>49</v>
      </c>
    </row>
    <row r="111" spans="1:7" x14ac:dyDescent="0.2">
      <c r="A111" s="9">
        <v>0</v>
      </c>
      <c r="B111" s="9">
        <v>5</v>
      </c>
      <c r="C111" s="9">
        <v>1</v>
      </c>
      <c r="D111" s="9">
        <v>75</v>
      </c>
      <c r="E111" s="9">
        <v>6.3</v>
      </c>
      <c r="F111" s="9">
        <v>2.52</v>
      </c>
      <c r="G111" s="7" t="s">
        <v>49</v>
      </c>
    </row>
    <row r="112" spans="1:7" x14ac:dyDescent="0.2">
      <c r="A112" s="9">
        <v>1</v>
      </c>
      <c r="B112" s="9">
        <v>13</v>
      </c>
      <c r="C112" s="9">
        <v>23</v>
      </c>
      <c r="D112" s="9">
        <v>76</v>
      </c>
      <c r="E112" s="9">
        <v>6.1</v>
      </c>
      <c r="F112" s="9">
        <v>2.48</v>
      </c>
      <c r="G112" s="7" t="s">
        <v>49</v>
      </c>
    </row>
    <row r="113" spans="1:7" x14ac:dyDescent="0.2">
      <c r="A113" s="9">
        <v>0</v>
      </c>
      <c r="B113" s="9">
        <v>24</v>
      </c>
      <c r="C113" s="9">
        <v>14</v>
      </c>
      <c r="D113" s="9">
        <v>64</v>
      </c>
      <c r="E113" s="9">
        <v>10</v>
      </c>
      <c r="F113" s="9">
        <v>2.4700000000000002</v>
      </c>
      <c r="G113" s="7" t="s">
        <v>49</v>
      </c>
    </row>
    <row r="114" spans="1:7" x14ac:dyDescent="0.2">
      <c r="A114" s="9">
        <v>0</v>
      </c>
      <c r="B114" s="9">
        <v>11</v>
      </c>
      <c r="C114" s="9">
        <v>17</v>
      </c>
      <c r="D114" s="9">
        <v>39</v>
      </c>
      <c r="E114" s="9">
        <v>12.9</v>
      </c>
      <c r="F114" s="9">
        <v>2.4700000000000002</v>
      </c>
      <c r="G114" s="7" t="s">
        <v>49</v>
      </c>
    </row>
    <row r="115" spans="1:7" x14ac:dyDescent="0.2">
      <c r="A115" s="9">
        <v>0</v>
      </c>
      <c r="B115" s="9">
        <v>10</v>
      </c>
      <c r="C115" s="9">
        <v>13</v>
      </c>
      <c r="D115" s="9">
        <v>32</v>
      </c>
      <c r="E115" s="9">
        <v>11.3</v>
      </c>
      <c r="F115" s="9">
        <v>2.4500000000000002</v>
      </c>
      <c r="G115" s="7" t="s">
        <v>49</v>
      </c>
    </row>
    <row r="116" spans="1:7" x14ac:dyDescent="0.2">
      <c r="A116" s="9">
        <v>0</v>
      </c>
      <c r="B116" s="9">
        <v>4</v>
      </c>
      <c r="C116" s="9">
        <v>3</v>
      </c>
      <c r="D116" s="9">
        <v>28</v>
      </c>
      <c r="E116" s="9">
        <v>9.5</v>
      </c>
      <c r="F116" s="9">
        <v>2.4300000000000002</v>
      </c>
      <c r="G116" s="7" t="s">
        <v>49</v>
      </c>
    </row>
    <row r="117" spans="1:7" x14ac:dyDescent="0.2">
      <c r="A117" s="9">
        <v>0</v>
      </c>
      <c r="B117" s="9">
        <v>20</v>
      </c>
      <c r="C117" s="9">
        <v>12</v>
      </c>
      <c r="D117" s="9">
        <v>39</v>
      </c>
      <c r="E117" s="9">
        <v>8.1999999999999993</v>
      </c>
      <c r="F117" s="9">
        <v>2.42</v>
      </c>
      <c r="G117" s="7" t="s">
        <v>49</v>
      </c>
    </row>
    <row r="118" spans="1:7" x14ac:dyDescent="0.2">
      <c r="A118" s="9">
        <v>0</v>
      </c>
      <c r="B118" s="9">
        <v>4</v>
      </c>
      <c r="C118" s="9">
        <v>15</v>
      </c>
      <c r="D118" s="9">
        <v>17</v>
      </c>
      <c r="E118" s="9">
        <v>17.3</v>
      </c>
      <c r="F118" s="9">
        <v>2.42</v>
      </c>
      <c r="G118" s="7" t="s">
        <v>49</v>
      </c>
    </row>
    <row r="119" spans="1:7" x14ac:dyDescent="0.2">
      <c r="A119" s="9">
        <v>1</v>
      </c>
      <c r="B119" s="9">
        <v>1</v>
      </c>
      <c r="C119" s="9">
        <v>8</v>
      </c>
      <c r="D119" s="9">
        <v>24</v>
      </c>
      <c r="E119" s="9">
        <v>12.5</v>
      </c>
      <c r="F119" s="9">
        <v>2.41</v>
      </c>
      <c r="G119" s="7" t="s">
        <v>49</v>
      </c>
    </row>
    <row r="120" spans="1:7" x14ac:dyDescent="0.2">
      <c r="A120" s="9">
        <v>0</v>
      </c>
      <c r="B120" s="9">
        <v>9</v>
      </c>
      <c r="C120" s="9">
        <v>0</v>
      </c>
      <c r="D120" s="9">
        <v>25</v>
      </c>
      <c r="E120" s="9">
        <v>13.9</v>
      </c>
      <c r="F120" s="9">
        <v>2.4</v>
      </c>
      <c r="G120" s="7" t="s">
        <v>49</v>
      </c>
    </row>
    <row r="121" spans="1:7" x14ac:dyDescent="0.2">
      <c r="A121" s="9">
        <v>0</v>
      </c>
      <c r="B121" s="9">
        <v>21</v>
      </c>
      <c r="C121" s="9">
        <v>11</v>
      </c>
      <c r="D121" s="13">
        <v>117.54291069294821</v>
      </c>
      <c r="E121" s="9">
        <v>3.1</v>
      </c>
      <c r="F121" s="9">
        <v>2.39</v>
      </c>
      <c r="G121" s="7" t="s">
        <v>49</v>
      </c>
    </row>
    <row r="122" spans="1:7" x14ac:dyDescent="0.2">
      <c r="A122" s="9">
        <v>0</v>
      </c>
      <c r="B122" s="9">
        <v>1</v>
      </c>
      <c r="C122" s="9">
        <v>3</v>
      </c>
      <c r="D122" s="9">
        <v>17</v>
      </c>
      <c r="E122" s="9">
        <v>18.600000000000001</v>
      </c>
      <c r="F122" s="9">
        <v>2.36</v>
      </c>
      <c r="G122" s="7" t="s">
        <v>49</v>
      </c>
    </row>
    <row r="123" spans="1:7" x14ac:dyDescent="0.2">
      <c r="A123" s="9">
        <v>0</v>
      </c>
      <c r="B123" s="9">
        <v>5</v>
      </c>
      <c r="C123" s="9">
        <v>3</v>
      </c>
      <c r="D123" s="9">
        <v>25</v>
      </c>
      <c r="E123" s="9">
        <v>14.1</v>
      </c>
      <c r="F123" s="9">
        <v>2.35</v>
      </c>
      <c r="G123" s="7" t="s">
        <v>49</v>
      </c>
    </row>
    <row r="124" spans="1:7" x14ac:dyDescent="0.2">
      <c r="A124" s="9">
        <v>0</v>
      </c>
      <c r="B124" s="9">
        <v>7</v>
      </c>
      <c r="C124" s="9">
        <v>3</v>
      </c>
      <c r="D124" s="9">
        <v>22</v>
      </c>
      <c r="E124" s="9">
        <v>14.4</v>
      </c>
      <c r="F124" s="9">
        <v>2.3199999999999998</v>
      </c>
      <c r="G124" s="7" t="s">
        <v>49</v>
      </c>
    </row>
    <row r="125" spans="1:7" x14ac:dyDescent="0.2">
      <c r="A125" s="9">
        <v>1</v>
      </c>
      <c r="B125" s="9">
        <v>10</v>
      </c>
      <c r="C125" s="9">
        <v>0</v>
      </c>
      <c r="D125" s="9">
        <v>28</v>
      </c>
      <c r="E125" s="9">
        <v>11.2</v>
      </c>
      <c r="F125" s="9">
        <v>2.3199999999999998</v>
      </c>
      <c r="G125" s="7" t="s">
        <v>49</v>
      </c>
    </row>
    <row r="126" spans="1:7" x14ac:dyDescent="0.2">
      <c r="A126" s="9">
        <v>0</v>
      </c>
      <c r="B126" s="9">
        <v>1</v>
      </c>
      <c r="C126" s="9">
        <v>8</v>
      </c>
      <c r="D126" s="9">
        <v>31</v>
      </c>
      <c r="E126" s="9">
        <v>8</v>
      </c>
      <c r="F126" s="9">
        <v>2.3199999999999998</v>
      </c>
      <c r="G126" s="7" t="s">
        <v>49</v>
      </c>
    </row>
    <row r="127" spans="1:7" x14ac:dyDescent="0.2">
      <c r="A127" s="9">
        <v>0</v>
      </c>
      <c r="B127" s="9">
        <v>8</v>
      </c>
      <c r="C127" s="9">
        <v>19</v>
      </c>
      <c r="D127" s="9">
        <v>57</v>
      </c>
      <c r="E127" s="9">
        <v>5.6</v>
      </c>
      <c r="F127" s="9">
        <v>2.31</v>
      </c>
      <c r="G127" s="7" t="s">
        <v>49</v>
      </c>
    </row>
    <row r="128" spans="1:7" x14ac:dyDescent="0.2">
      <c r="A128" s="9">
        <v>0</v>
      </c>
      <c r="B128" s="9">
        <v>10</v>
      </c>
      <c r="C128" s="9">
        <v>11</v>
      </c>
      <c r="D128" s="9">
        <v>42</v>
      </c>
      <c r="E128" s="9">
        <v>9.1</v>
      </c>
      <c r="F128" s="9">
        <v>2.2799999999999998</v>
      </c>
      <c r="G128" s="7" t="s">
        <v>49</v>
      </c>
    </row>
    <row r="129" spans="1:7" x14ac:dyDescent="0.2">
      <c r="A129" s="9">
        <v>0</v>
      </c>
      <c r="B129" s="9">
        <v>18</v>
      </c>
      <c r="C129" s="9">
        <v>9</v>
      </c>
      <c r="D129" s="9">
        <v>67</v>
      </c>
      <c r="E129" s="9">
        <v>11.2</v>
      </c>
      <c r="F129" s="9">
        <v>2.2599999999999998</v>
      </c>
      <c r="G129" s="7" t="s">
        <v>49</v>
      </c>
    </row>
    <row r="130" spans="1:7" x14ac:dyDescent="0.2">
      <c r="A130" s="9">
        <v>0</v>
      </c>
      <c r="B130" s="9">
        <v>14</v>
      </c>
      <c r="C130" s="9">
        <v>25</v>
      </c>
      <c r="D130" s="9">
        <v>35</v>
      </c>
      <c r="E130" s="9">
        <v>10.199999999999999</v>
      </c>
      <c r="F130" s="9">
        <v>2.2200000000000002</v>
      </c>
      <c r="G130" s="7" t="s">
        <v>49</v>
      </c>
    </row>
    <row r="131" spans="1:7" x14ac:dyDescent="0.2">
      <c r="A131" s="9">
        <v>0</v>
      </c>
      <c r="B131" s="9">
        <v>4</v>
      </c>
      <c r="C131" s="9">
        <v>3</v>
      </c>
      <c r="D131" s="9">
        <v>14</v>
      </c>
      <c r="E131" s="9">
        <v>17.5</v>
      </c>
      <c r="F131" s="9">
        <v>2.2200000000000002</v>
      </c>
      <c r="G131" s="7" t="s">
        <v>49</v>
      </c>
    </row>
    <row r="132" spans="1:7" x14ac:dyDescent="0.2">
      <c r="A132" s="9">
        <v>0</v>
      </c>
      <c r="B132" s="9">
        <v>12</v>
      </c>
      <c r="C132" s="9">
        <v>19</v>
      </c>
      <c r="D132" s="9">
        <v>37</v>
      </c>
      <c r="E132" s="9">
        <v>9.5</v>
      </c>
      <c r="F132" s="9">
        <v>2.17</v>
      </c>
      <c r="G132" s="7" t="s">
        <v>49</v>
      </c>
    </row>
    <row r="133" spans="1:7" x14ac:dyDescent="0.2">
      <c r="A133" s="9">
        <v>0</v>
      </c>
      <c r="B133" s="9">
        <v>15</v>
      </c>
      <c r="C133" s="9">
        <v>14</v>
      </c>
      <c r="D133" s="9">
        <v>55</v>
      </c>
      <c r="E133" s="9">
        <v>5.5</v>
      </c>
      <c r="F133" s="9">
        <v>2.17</v>
      </c>
      <c r="G133" s="7" t="s">
        <v>49</v>
      </c>
    </row>
    <row r="134" spans="1:7" x14ac:dyDescent="0.2">
      <c r="A134" s="9">
        <v>0</v>
      </c>
      <c r="B134" s="9">
        <v>5</v>
      </c>
      <c r="C134" s="9">
        <v>5</v>
      </c>
      <c r="D134" s="9">
        <v>25</v>
      </c>
      <c r="E134" s="9">
        <v>10.199999999999999</v>
      </c>
      <c r="F134" s="9">
        <v>2.16</v>
      </c>
      <c r="G134" s="7" t="s">
        <v>49</v>
      </c>
    </row>
    <row r="135" spans="1:7" x14ac:dyDescent="0.2">
      <c r="A135" s="9">
        <v>0</v>
      </c>
      <c r="B135" s="9">
        <v>0</v>
      </c>
      <c r="C135" s="9">
        <v>13</v>
      </c>
      <c r="D135" s="9">
        <v>25</v>
      </c>
      <c r="E135" s="9">
        <v>19.7</v>
      </c>
      <c r="F135" s="9">
        <v>2.15</v>
      </c>
      <c r="G135" s="7" t="s">
        <v>49</v>
      </c>
    </row>
    <row r="136" spans="1:7" x14ac:dyDescent="0.2">
      <c r="A136" s="9">
        <v>0</v>
      </c>
      <c r="B136" s="9">
        <v>1</v>
      </c>
      <c r="C136" s="9">
        <v>6</v>
      </c>
      <c r="D136" s="9">
        <v>29</v>
      </c>
      <c r="E136" s="9">
        <v>11.1</v>
      </c>
      <c r="F136" s="9">
        <v>2.15</v>
      </c>
      <c r="G136" s="7" t="s">
        <v>49</v>
      </c>
    </row>
    <row r="137" spans="1:7" x14ac:dyDescent="0.2">
      <c r="A137" s="9">
        <v>1</v>
      </c>
      <c r="B137" s="9">
        <v>0</v>
      </c>
      <c r="C137" s="9">
        <v>2</v>
      </c>
      <c r="D137" s="9">
        <v>21</v>
      </c>
      <c r="E137" s="9">
        <v>12.5</v>
      </c>
      <c r="F137" s="9">
        <v>2.14</v>
      </c>
      <c r="G137" s="7" t="s">
        <v>49</v>
      </c>
    </row>
    <row r="138" spans="1:7" x14ac:dyDescent="0.2">
      <c r="A138" s="9">
        <v>0</v>
      </c>
      <c r="B138" s="9">
        <v>10</v>
      </c>
      <c r="C138" s="9">
        <v>4</v>
      </c>
      <c r="D138" s="9">
        <v>22</v>
      </c>
      <c r="E138" s="9">
        <v>16.100000000000001</v>
      </c>
      <c r="F138" s="9">
        <v>2.13</v>
      </c>
      <c r="G138" s="7" t="s">
        <v>49</v>
      </c>
    </row>
    <row r="139" spans="1:7" x14ac:dyDescent="0.2">
      <c r="A139" s="9">
        <v>0</v>
      </c>
      <c r="B139" s="9">
        <v>11</v>
      </c>
      <c r="C139" s="9">
        <v>8</v>
      </c>
      <c r="D139" s="9">
        <v>25</v>
      </c>
      <c r="E139" s="9">
        <v>9.1</v>
      </c>
      <c r="F139" s="9">
        <v>2.13</v>
      </c>
      <c r="G139" s="7" t="s">
        <v>49</v>
      </c>
    </row>
    <row r="140" spans="1:7" x14ac:dyDescent="0.2">
      <c r="A140" s="9">
        <v>1</v>
      </c>
      <c r="B140" s="9">
        <v>4</v>
      </c>
      <c r="C140" s="9">
        <v>2</v>
      </c>
      <c r="D140" s="9">
        <v>24</v>
      </c>
      <c r="E140" s="9">
        <v>15.6</v>
      </c>
      <c r="F140" s="9">
        <v>2.11</v>
      </c>
      <c r="G140" s="7" t="s">
        <v>49</v>
      </c>
    </row>
    <row r="141" spans="1:7" x14ac:dyDescent="0.2">
      <c r="A141" s="9">
        <v>0</v>
      </c>
      <c r="B141" s="9">
        <v>3</v>
      </c>
      <c r="C141" s="9">
        <v>2</v>
      </c>
      <c r="D141" s="9">
        <v>28</v>
      </c>
      <c r="E141" s="9">
        <v>9.5</v>
      </c>
      <c r="F141" s="9">
        <v>2.11</v>
      </c>
      <c r="G141" s="7" t="s">
        <v>49</v>
      </c>
    </row>
    <row r="142" spans="1:7" x14ac:dyDescent="0.2">
      <c r="A142" s="9">
        <v>0</v>
      </c>
      <c r="B142" s="9">
        <v>11</v>
      </c>
      <c r="C142" s="9">
        <v>1</v>
      </c>
      <c r="D142" s="9">
        <v>33</v>
      </c>
      <c r="E142" s="9">
        <v>8.4</v>
      </c>
      <c r="F142" s="9">
        <v>2.09</v>
      </c>
      <c r="G142" s="7" t="s">
        <v>49</v>
      </c>
    </row>
    <row r="143" spans="1:7" x14ac:dyDescent="0.2">
      <c r="A143" s="9">
        <v>1</v>
      </c>
      <c r="B143" s="9">
        <v>0</v>
      </c>
      <c r="C143" s="9">
        <v>2</v>
      </c>
      <c r="D143" s="9">
        <v>15</v>
      </c>
      <c r="E143" s="9">
        <v>16.100000000000001</v>
      </c>
      <c r="F143" s="9">
        <v>2.09</v>
      </c>
      <c r="G143" s="7" t="s">
        <v>49</v>
      </c>
    </row>
    <row r="144" spans="1:7" x14ac:dyDescent="0.2">
      <c r="A144" s="9">
        <v>0</v>
      </c>
      <c r="B144" s="9">
        <v>15</v>
      </c>
      <c r="C144" s="9">
        <v>2</v>
      </c>
      <c r="D144" s="9">
        <v>60</v>
      </c>
      <c r="E144" s="9">
        <v>4.8</v>
      </c>
      <c r="F144" s="9">
        <v>2.08</v>
      </c>
      <c r="G144" s="7" t="s">
        <v>49</v>
      </c>
    </row>
    <row r="145" spans="1:7" x14ac:dyDescent="0.2">
      <c r="A145" s="9">
        <v>0</v>
      </c>
      <c r="B145" s="9">
        <v>8</v>
      </c>
      <c r="C145" s="9">
        <v>6</v>
      </c>
      <c r="D145" s="9">
        <v>78</v>
      </c>
      <c r="E145" s="9">
        <v>5.4</v>
      </c>
      <c r="F145" s="9">
        <v>2.06</v>
      </c>
      <c r="G145" s="7" t="s">
        <v>49</v>
      </c>
    </row>
    <row r="146" spans="1:7" x14ac:dyDescent="0.2">
      <c r="A146" s="9">
        <v>0</v>
      </c>
      <c r="B146" s="9">
        <v>1</v>
      </c>
      <c r="C146" s="9">
        <v>7</v>
      </c>
      <c r="D146" s="9">
        <v>25</v>
      </c>
      <c r="E146" s="9">
        <v>10.4</v>
      </c>
      <c r="F146" s="9">
        <v>2.0299999999999998</v>
      </c>
      <c r="G146" s="7" t="s">
        <v>49</v>
      </c>
    </row>
    <row r="147" spans="1:7" x14ac:dyDescent="0.2">
      <c r="A147" s="9">
        <v>0</v>
      </c>
      <c r="B147" s="9">
        <v>7</v>
      </c>
      <c r="C147" s="9">
        <v>2</v>
      </c>
      <c r="D147" s="9">
        <v>34</v>
      </c>
      <c r="E147" s="9">
        <v>7</v>
      </c>
      <c r="F147" s="9">
        <v>2.02</v>
      </c>
      <c r="G147" s="7" t="s">
        <v>49</v>
      </c>
    </row>
    <row r="148" spans="1:7" x14ac:dyDescent="0.2">
      <c r="A148" s="9">
        <v>0</v>
      </c>
      <c r="B148" s="9">
        <v>5</v>
      </c>
      <c r="C148" s="9">
        <v>5</v>
      </c>
      <c r="D148" s="9">
        <v>22</v>
      </c>
      <c r="E148" s="9">
        <v>10.9</v>
      </c>
      <c r="F148" s="9">
        <v>2</v>
      </c>
      <c r="G148" s="7" t="s">
        <v>49</v>
      </c>
    </row>
    <row r="149" spans="1:7" x14ac:dyDescent="0.2">
      <c r="A149" s="9">
        <v>0</v>
      </c>
      <c r="B149" s="9">
        <v>1</v>
      </c>
      <c r="C149" s="9">
        <v>12</v>
      </c>
      <c r="D149" s="9">
        <v>20</v>
      </c>
      <c r="E149" s="9">
        <v>14</v>
      </c>
      <c r="F149" s="9">
        <v>1.99</v>
      </c>
      <c r="G149" s="7" t="s">
        <v>49</v>
      </c>
    </row>
    <row r="150" spans="1:7" x14ac:dyDescent="0.2">
      <c r="A150" s="9">
        <v>0</v>
      </c>
      <c r="B150" s="9">
        <v>11</v>
      </c>
      <c r="C150" s="9">
        <v>4</v>
      </c>
      <c r="D150" s="9">
        <v>75</v>
      </c>
      <c r="E150" s="9">
        <v>3.5</v>
      </c>
      <c r="F150" s="9">
        <v>1.99</v>
      </c>
      <c r="G150" s="7" t="s">
        <v>49</v>
      </c>
    </row>
    <row r="151" spans="1:7" x14ac:dyDescent="0.2">
      <c r="A151" s="9">
        <v>1</v>
      </c>
      <c r="B151" s="9">
        <v>2</v>
      </c>
      <c r="C151" s="9">
        <v>0</v>
      </c>
      <c r="D151" s="9">
        <v>15</v>
      </c>
      <c r="E151" s="9">
        <v>26.3</v>
      </c>
      <c r="F151" s="9">
        <v>1.98</v>
      </c>
      <c r="G151" s="7" t="s">
        <v>49</v>
      </c>
    </row>
    <row r="152" spans="1:7" x14ac:dyDescent="0.2">
      <c r="A152" s="9">
        <v>0</v>
      </c>
      <c r="B152" s="9">
        <v>4</v>
      </c>
      <c r="C152" s="9">
        <v>0</v>
      </c>
      <c r="D152" s="9">
        <v>23</v>
      </c>
      <c r="E152" s="9">
        <v>12.4</v>
      </c>
      <c r="F152" s="9">
        <v>1.98</v>
      </c>
      <c r="G152" s="7" t="s">
        <v>49</v>
      </c>
    </row>
    <row r="153" spans="1:7" x14ac:dyDescent="0.2">
      <c r="A153" s="9">
        <v>0</v>
      </c>
      <c r="B153" s="9">
        <v>6</v>
      </c>
      <c r="C153" s="9">
        <v>7</v>
      </c>
      <c r="D153" s="9">
        <v>38</v>
      </c>
      <c r="E153" s="9">
        <v>7.2</v>
      </c>
      <c r="F153" s="9">
        <v>1.96</v>
      </c>
      <c r="G153" s="7" t="s">
        <v>49</v>
      </c>
    </row>
    <row r="154" spans="1:7" x14ac:dyDescent="0.2">
      <c r="A154" s="9">
        <v>0</v>
      </c>
      <c r="B154" s="9">
        <v>5</v>
      </c>
      <c r="C154" s="9">
        <v>2</v>
      </c>
      <c r="D154" s="9">
        <v>37</v>
      </c>
      <c r="E154" s="9">
        <v>8.3000000000000007</v>
      </c>
      <c r="F154" s="9">
        <v>1.95</v>
      </c>
      <c r="G154" s="7" t="s">
        <v>49</v>
      </c>
    </row>
    <row r="155" spans="1:7" x14ac:dyDescent="0.2">
      <c r="A155" s="9">
        <v>0</v>
      </c>
      <c r="B155" s="9">
        <v>22</v>
      </c>
      <c r="C155" s="9">
        <v>9</v>
      </c>
      <c r="D155" s="9">
        <v>113</v>
      </c>
      <c r="E155" s="9">
        <v>2.6</v>
      </c>
      <c r="F155" s="9">
        <v>1.95</v>
      </c>
      <c r="G155" s="7" t="s">
        <v>49</v>
      </c>
    </row>
    <row r="156" spans="1:7" x14ac:dyDescent="0.2">
      <c r="A156" s="9">
        <v>0</v>
      </c>
      <c r="B156" s="9">
        <v>4</v>
      </c>
      <c r="C156" s="9">
        <v>15</v>
      </c>
      <c r="D156" s="9">
        <v>33</v>
      </c>
      <c r="E156" s="9">
        <v>7</v>
      </c>
      <c r="F156" s="9">
        <v>1.91</v>
      </c>
      <c r="G156" s="7" t="s">
        <v>49</v>
      </c>
    </row>
    <row r="157" spans="1:7" x14ac:dyDescent="0.2">
      <c r="A157" s="9">
        <v>0</v>
      </c>
      <c r="B157" s="9">
        <v>2</v>
      </c>
      <c r="C157" s="9">
        <v>22</v>
      </c>
      <c r="D157" s="9">
        <v>30</v>
      </c>
      <c r="E157" s="9">
        <v>6.7</v>
      </c>
      <c r="F157" s="9">
        <v>1.9</v>
      </c>
      <c r="G157" s="7" t="s">
        <v>49</v>
      </c>
    </row>
    <row r="158" spans="1:7" x14ac:dyDescent="0.2">
      <c r="A158" s="9">
        <v>0</v>
      </c>
      <c r="B158" s="9">
        <v>10</v>
      </c>
      <c r="C158" s="9">
        <v>14</v>
      </c>
      <c r="D158" s="9">
        <v>52</v>
      </c>
      <c r="E158" s="9">
        <v>5.4</v>
      </c>
      <c r="F158" s="9">
        <v>1.88</v>
      </c>
      <c r="G158" s="7" t="s">
        <v>49</v>
      </c>
    </row>
    <row r="159" spans="1:7" x14ac:dyDescent="0.2">
      <c r="A159" s="9">
        <v>0</v>
      </c>
      <c r="B159" s="9">
        <v>6</v>
      </c>
      <c r="C159" s="9">
        <v>9</v>
      </c>
      <c r="D159" s="9">
        <v>22</v>
      </c>
      <c r="E159" s="9">
        <v>11.5</v>
      </c>
      <c r="F159" s="9">
        <v>1.88</v>
      </c>
      <c r="G159" s="7" t="s">
        <v>49</v>
      </c>
    </row>
    <row r="160" spans="1:7" x14ac:dyDescent="0.2">
      <c r="A160" s="9">
        <v>0</v>
      </c>
      <c r="B160" s="9">
        <v>5</v>
      </c>
      <c r="C160" s="9">
        <v>1</v>
      </c>
      <c r="D160" s="9">
        <v>25</v>
      </c>
      <c r="E160" s="9">
        <v>9</v>
      </c>
      <c r="F160" s="9">
        <v>1.88</v>
      </c>
      <c r="G160" s="7" t="s">
        <v>49</v>
      </c>
    </row>
    <row r="161" spans="1:7" x14ac:dyDescent="0.2">
      <c r="A161" s="9">
        <v>0</v>
      </c>
      <c r="B161" s="9">
        <v>1</v>
      </c>
      <c r="C161" s="9">
        <v>26</v>
      </c>
      <c r="D161" s="9">
        <v>26</v>
      </c>
      <c r="E161" s="9">
        <v>14.3</v>
      </c>
      <c r="F161" s="9">
        <v>1.87</v>
      </c>
      <c r="G161" s="7" t="s">
        <v>49</v>
      </c>
    </row>
    <row r="162" spans="1:7" x14ac:dyDescent="0.2">
      <c r="A162" s="9">
        <v>1</v>
      </c>
      <c r="B162" s="9">
        <v>2</v>
      </c>
      <c r="C162" s="9">
        <v>2</v>
      </c>
      <c r="D162" s="9">
        <v>22</v>
      </c>
      <c r="E162" s="9">
        <v>16.399999999999999</v>
      </c>
      <c r="F162" s="9">
        <v>1.87</v>
      </c>
      <c r="G162" s="7" t="s">
        <v>49</v>
      </c>
    </row>
    <row r="163" spans="1:7" x14ac:dyDescent="0.2">
      <c r="A163" s="9">
        <v>1</v>
      </c>
      <c r="B163" s="9">
        <v>4</v>
      </c>
      <c r="C163" s="9">
        <v>3</v>
      </c>
      <c r="D163" s="9">
        <v>22</v>
      </c>
      <c r="E163" s="9">
        <v>13.2</v>
      </c>
      <c r="F163" s="9">
        <v>1.82</v>
      </c>
      <c r="G163" s="7" t="s">
        <v>49</v>
      </c>
    </row>
    <row r="164" spans="1:7" x14ac:dyDescent="0.2">
      <c r="A164" s="9">
        <v>0</v>
      </c>
      <c r="B164" s="9">
        <v>17</v>
      </c>
      <c r="C164" s="9">
        <v>21</v>
      </c>
      <c r="D164" s="9">
        <v>43</v>
      </c>
      <c r="E164" s="9">
        <v>5.6</v>
      </c>
      <c r="F164" s="9">
        <v>1.82</v>
      </c>
      <c r="G164" s="7" t="s">
        <v>49</v>
      </c>
    </row>
    <row r="165" spans="1:7" x14ac:dyDescent="0.2">
      <c r="A165" s="9">
        <v>0</v>
      </c>
      <c r="B165" s="9">
        <v>6</v>
      </c>
      <c r="C165" s="9">
        <v>19</v>
      </c>
      <c r="D165" s="9">
        <v>31</v>
      </c>
      <c r="E165" s="9">
        <v>12.2</v>
      </c>
      <c r="F165" s="9">
        <v>1.8</v>
      </c>
      <c r="G165" s="7" t="s">
        <v>49</v>
      </c>
    </row>
    <row r="166" spans="1:7" x14ac:dyDescent="0.2">
      <c r="A166" s="9">
        <v>0</v>
      </c>
      <c r="B166" s="9">
        <v>8</v>
      </c>
      <c r="C166" s="9">
        <v>4</v>
      </c>
      <c r="D166" s="9">
        <v>44</v>
      </c>
      <c r="E166" s="9">
        <v>8</v>
      </c>
      <c r="F166" s="9">
        <v>1.8</v>
      </c>
      <c r="G166" s="7" t="s">
        <v>49</v>
      </c>
    </row>
    <row r="167" spans="1:7" x14ac:dyDescent="0.2">
      <c r="A167" s="9">
        <v>1</v>
      </c>
      <c r="B167" s="9">
        <v>0</v>
      </c>
      <c r="C167" s="9">
        <v>8</v>
      </c>
      <c r="D167" s="9">
        <v>22</v>
      </c>
      <c r="E167" s="9">
        <v>12.9</v>
      </c>
      <c r="F167" s="9">
        <v>1.8</v>
      </c>
      <c r="G167" s="7" t="s">
        <v>49</v>
      </c>
    </row>
    <row r="168" spans="1:7" x14ac:dyDescent="0.2">
      <c r="A168" s="9">
        <v>0</v>
      </c>
      <c r="B168" s="9">
        <v>6</v>
      </c>
      <c r="C168" s="9">
        <v>4</v>
      </c>
      <c r="D168" s="9">
        <v>26</v>
      </c>
      <c r="E168" s="9">
        <v>10.4</v>
      </c>
      <c r="F168" s="9">
        <v>1.77</v>
      </c>
      <c r="G168" s="7" t="s">
        <v>49</v>
      </c>
    </row>
    <row r="169" spans="1:7" x14ac:dyDescent="0.2">
      <c r="A169" s="9">
        <v>0</v>
      </c>
      <c r="B169" s="9">
        <v>8</v>
      </c>
      <c r="C169" s="9">
        <v>7</v>
      </c>
      <c r="D169" s="9">
        <v>18</v>
      </c>
      <c r="E169" s="9">
        <v>11.9</v>
      </c>
      <c r="F169" s="9">
        <v>1.74</v>
      </c>
      <c r="G169" s="7" t="s">
        <v>49</v>
      </c>
    </row>
    <row r="170" spans="1:7" x14ac:dyDescent="0.2">
      <c r="A170" s="9">
        <v>0</v>
      </c>
      <c r="B170" s="9">
        <v>0</v>
      </c>
      <c r="C170" s="9">
        <v>11</v>
      </c>
      <c r="D170" s="9">
        <v>17</v>
      </c>
      <c r="E170" s="9">
        <v>12</v>
      </c>
      <c r="F170" s="9">
        <v>1.74</v>
      </c>
      <c r="G170" s="7" t="s">
        <v>49</v>
      </c>
    </row>
    <row r="171" spans="1:7" x14ac:dyDescent="0.2">
      <c r="A171" s="9">
        <v>1</v>
      </c>
      <c r="B171" s="9">
        <v>1</v>
      </c>
      <c r="C171" s="9">
        <v>15</v>
      </c>
      <c r="D171" s="9">
        <v>21</v>
      </c>
      <c r="E171" s="9">
        <v>14.8</v>
      </c>
      <c r="F171" s="9">
        <v>1.73</v>
      </c>
      <c r="G171" s="7" t="s">
        <v>49</v>
      </c>
    </row>
    <row r="172" spans="1:7" x14ac:dyDescent="0.2">
      <c r="A172" s="9">
        <v>0</v>
      </c>
      <c r="B172" s="9">
        <v>7</v>
      </c>
      <c r="C172" s="9">
        <v>4</v>
      </c>
      <c r="D172" s="9">
        <v>26</v>
      </c>
      <c r="E172" s="9">
        <v>9.1</v>
      </c>
      <c r="F172" s="9">
        <v>1.72</v>
      </c>
      <c r="G172" s="7" t="s">
        <v>49</v>
      </c>
    </row>
    <row r="173" spans="1:7" x14ac:dyDescent="0.2">
      <c r="A173" s="9">
        <v>0</v>
      </c>
      <c r="B173" s="9">
        <v>7</v>
      </c>
      <c r="C173" s="9">
        <v>2</v>
      </c>
      <c r="D173" s="9">
        <v>31</v>
      </c>
      <c r="E173" s="9">
        <v>6.6</v>
      </c>
      <c r="F173" s="9">
        <v>1.71</v>
      </c>
      <c r="G173" s="7" t="s">
        <v>49</v>
      </c>
    </row>
    <row r="174" spans="1:7" x14ac:dyDescent="0.2">
      <c r="A174" s="9">
        <v>1</v>
      </c>
      <c r="B174" s="9">
        <v>2</v>
      </c>
      <c r="C174" s="9">
        <v>6</v>
      </c>
      <c r="D174" s="9">
        <v>24</v>
      </c>
      <c r="E174" s="9">
        <v>13.6</v>
      </c>
      <c r="F174" s="9">
        <v>1.69</v>
      </c>
      <c r="G174" s="7" t="s">
        <v>49</v>
      </c>
    </row>
    <row r="175" spans="1:7" x14ac:dyDescent="0.2">
      <c r="A175" s="9">
        <v>1</v>
      </c>
      <c r="B175" s="9">
        <v>1</v>
      </c>
      <c r="C175" s="9">
        <v>0</v>
      </c>
      <c r="D175" s="9">
        <v>20</v>
      </c>
      <c r="E175" s="9">
        <v>10.3</v>
      </c>
      <c r="F175" s="9">
        <v>1.68</v>
      </c>
      <c r="G175" s="7" t="s">
        <v>49</v>
      </c>
    </row>
    <row r="176" spans="1:7" x14ac:dyDescent="0.2">
      <c r="A176" s="9">
        <v>0</v>
      </c>
      <c r="B176" s="9">
        <v>11</v>
      </c>
      <c r="C176" s="9">
        <v>2</v>
      </c>
      <c r="D176" s="9">
        <v>53</v>
      </c>
      <c r="E176" s="9">
        <v>3.3</v>
      </c>
      <c r="F176" s="9">
        <v>1.66</v>
      </c>
      <c r="G176" s="7" t="s">
        <v>49</v>
      </c>
    </row>
    <row r="177" spans="1:7" x14ac:dyDescent="0.2">
      <c r="A177" s="9">
        <v>1</v>
      </c>
      <c r="B177" s="9">
        <v>13</v>
      </c>
      <c r="C177" s="9">
        <v>1</v>
      </c>
      <c r="D177" s="9">
        <v>42</v>
      </c>
      <c r="E177" s="9">
        <v>7.4</v>
      </c>
      <c r="F177" s="9">
        <v>1.65</v>
      </c>
      <c r="G177" s="7" t="s">
        <v>49</v>
      </c>
    </row>
    <row r="178" spans="1:7" x14ac:dyDescent="0.2">
      <c r="A178" s="9">
        <v>0</v>
      </c>
      <c r="B178" s="9">
        <v>17</v>
      </c>
      <c r="C178" s="9">
        <v>6</v>
      </c>
      <c r="D178" s="9">
        <v>54</v>
      </c>
      <c r="E178" s="9">
        <v>4.4000000000000004</v>
      </c>
      <c r="F178" s="9">
        <v>1.65</v>
      </c>
      <c r="G178" s="7" t="s">
        <v>49</v>
      </c>
    </row>
    <row r="179" spans="1:7" x14ac:dyDescent="0.2">
      <c r="A179" s="9">
        <v>0</v>
      </c>
      <c r="B179" s="9">
        <v>5</v>
      </c>
      <c r="C179" s="9">
        <v>3</v>
      </c>
      <c r="D179" s="9">
        <v>33</v>
      </c>
      <c r="E179" s="9">
        <v>7.3</v>
      </c>
      <c r="F179" s="9">
        <v>1.63</v>
      </c>
      <c r="G179" s="7" t="s">
        <v>49</v>
      </c>
    </row>
    <row r="180" spans="1:7" x14ac:dyDescent="0.2">
      <c r="A180" s="9">
        <v>0</v>
      </c>
      <c r="B180" s="9">
        <v>9</v>
      </c>
      <c r="C180" s="9">
        <v>16</v>
      </c>
      <c r="D180" s="9">
        <v>30</v>
      </c>
      <c r="E180" s="9">
        <v>7.6</v>
      </c>
      <c r="F180" s="9">
        <v>1.63</v>
      </c>
      <c r="G180" s="7" t="s">
        <v>49</v>
      </c>
    </row>
    <row r="181" spans="1:7" x14ac:dyDescent="0.2">
      <c r="A181" s="9">
        <v>1</v>
      </c>
      <c r="B181" s="9">
        <v>0</v>
      </c>
      <c r="C181" s="9">
        <v>2</v>
      </c>
      <c r="D181" s="9">
        <v>21</v>
      </c>
      <c r="E181" s="9">
        <v>11.4</v>
      </c>
      <c r="F181" s="9">
        <v>1.62</v>
      </c>
      <c r="G181" s="7" t="s">
        <v>49</v>
      </c>
    </row>
    <row r="182" spans="1:7" x14ac:dyDescent="0.2">
      <c r="A182" s="9">
        <v>0</v>
      </c>
      <c r="B182" s="9">
        <v>7</v>
      </c>
      <c r="C182" s="9">
        <v>9</v>
      </c>
      <c r="D182" s="9">
        <v>22</v>
      </c>
      <c r="E182" s="9">
        <v>9.6999999999999993</v>
      </c>
      <c r="F182" s="9">
        <v>1.58</v>
      </c>
      <c r="G182" s="7" t="s">
        <v>49</v>
      </c>
    </row>
    <row r="183" spans="1:7" x14ac:dyDescent="0.2">
      <c r="A183" s="9">
        <v>0</v>
      </c>
      <c r="B183" s="9">
        <v>1</v>
      </c>
      <c r="C183" s="9">
        <v>2</v>
      </c>
      <c r="D183" s="9">
        <v>42</v>
      </c>
      <c r="E183" s="9">
        <v>5.7</v>
      </c>
      <c r="F183" s="9">
        <v>1.56</v>
      </c>
      <c r="G183" s="7" t="s">
        <v>49</v>
      </c>
    </row>
    <row r="184" spans="1:7" x14ac:dyDescent="0.2">
      <c r="A184" s="9">
        <v>1</v>
      </c>
      <c r="B184" s="9">
        <v>4</v>
      </c>
      <c r="C184" s="9">
        <v>6</v>
      </c>
      <c r="D184" s="9">
        <v>31</v>
      </c>
      <c r="E184" s="9">
        <v>9.3000000000000007</v>
      </c>
      <c r="F184" s="9">
        <v>1.55</v>
      </c>
      <c r="G184" s="7" t="s">
        <v>49</v>
      </c>
    </row>
    <row r="185" spans="1:7" x14ac:dyDescent="0.2">
      <c r="A185" s="9">
        <v>1</v>
      </c>
      <c r="B185" s="9">
        <v>0</v>
      </c>
      <c r="C185" s="9">
        <v>2</v>
      </c>
      <c r="D185" s="9">
        <v>16</v>
      </c>
      <c r="E185" s="9">
        <v>16</v>
      </c>
      <c r="F185" s="9">
        <v>1.55</v>
      </c>
      <c r="G185" s="7" t="s">
        <v>49</v>
      </c>
    </row>
    <row r="186" spans="1:7" x14ac:dyDescent="0.2">
      <c r="A186" s="9">
        <v>0</v>
      </c>
      <c r="B186" s="9">
        <v>6</v>
      </c>
      <c r="C186" s="9">
        <v>0</v>
      </c>
      <c r="D186" s="9">
        <v>22</v>
      </c>
      <c r="E186" s="9">
        <v>10.3</v>
      </c>
      <c r="F186" s="9">
        <v>1.55</v>
      </c>
      <c r="G186" s="7" t="s">
        <v>49</v>
      </c>
    </row>
    <row r="187" spans="1:7" x14ac:dyDescent="0.2">
      <c r="A187" s="9">
        <v>0</v>
      </c>
      <c r="B187" s="9">
        <v>23</v>
      </c>
      <c r="C187" s="9">
        <v>5</v>
      </c>
      <c r="D187" s="9">
        <v>50</v>
      </c>
      <c r="E187" s="9">
        <v>4.2</v>
      </c>
      <c r="F187" s="9">
        <v>1.54</v>
      </c>
      <c r="G187" s="7" t="s">
        <v>49</v>
      </c>
    </row>
    <row r="188" spans="1:7" x14ac:dyDescent="0.2">
      <c r="A188" s="9">
        <v>0</v>
      </c>
      <c r="B188" s="9">
        <v>13</v>
      </c>
      <c r="C188" s="9">
        <v>5</v>
      </c>
      <c r="D188" s="9">
        <v>24</v>
      </c>
      <c r="E188" s="9">
        <v>8.9</v>
      </c>
      <c r="F188" s="9">
        <v>1.53</v>
      </c>
      <c r="G188" s="7" t="s">
        <v>49</v>
      </c>
    </row>
    <row r="189" spans="1:7" x14ac:dyDescent="0.2">
      <c r="A189" s="9">
        <v>0</v>
      </c>
      <c r="B189" s="9">
        <v>9</v>
      </c>
      <c r="C189" s="9">
        <v>6</v>
      </c>
      <c r="D189" s="9">
        <v>35</v>
      </c>
      <c r="E189" s="9">
        <v>5</v>
      </c>
      <c r="F189" s="9">
        <v>1.52</v>
      </c>
      <c r="G189" s="7" t="s">
        <v>49</v>
      </c>
    </row>
    <row r="190" spans="1:7" x14ac:dyDescent="0.2">
      <c r="A190" s="9">
        <v>0</v>
      </c>
      <c r="B190" s="9">
        <v>12</v>
      </c>
      <c r="C190" s="9">
        <v>11</v>
      </c>
      <c r="D190" s="9">
        <v>32</v>
      </c>
      <c r="E190" s="9">
        <v>11.3</v>
      </c>
      <c r="F190" s="9">
        <v>1.51</v>
      </c>
      <c r="G190" s="7" t="s">
        <v>49</v>
      </c>
    </row>
    <row r="191" spans="1:7" x14ac:dyDescent="0.2">
      <c r="A191" s="9">
        <v>0</v>
      </c>
      <c r="B191" s="9">
        <v>16</v>
      </c>
      <c r="C191" s="9">
        <v>21</v>
      </c>
      <c r="D191" s="9">
        <v>80</v>
      </c>
      <c r="E191" s="9">
        <v>3</v>
      </c>
      <c r="F191" s="9">
        <v>1.49</v>
      </c>
      <c r="G191" s="7" t="s">
        <v>49</v>
      </c>
    </row>
    <row r="192" spans="1:7" x14ac:dyDescent="0.2">
      <c r="A192" s="9">
        <v>0</v>
      </c>
      <c r="B192" s="9">
        <v>11</v>
      </c>
      <c r="C192" s="9">
        <v>5</v>
      </c>
      <c r="D192" s="9">
        <v>39</v>
      </c>
      <c r="E192" s="9">
        <v>10.1</v>
      </c>
      <c r="F192" s="9">
        <v>1.48</v>
      </c>
      <c r="G192" s="7" t="s">
        <v>49</v>
      </c>
    </row>
    <row r="193" spans="1:7" x14ac:dyDescent="0.2">
      <c r="A193" s="9">
        <v>0</v>
      </c>
      <c r="B193" s="9">
        <v>4</v>
      </c>
      <c r="C193" s="9">
        <v>19</v>
      </c>
      <c r="D193" s="9">
        <v>25</v>
      </c>
      <c r="E193" s="9">
        <v>10.1</v>
      </c>
      <c r="F193" s="9">
        <v>1.46</v>
      </c>
      <c r="G193" s="7" t="s">
        <v>49</v>
      </c>
    </row>
    <row r="194" spans="1:7" x14ac:dyDescent="0.2">
      <c r="A194" s="9">
        <v>0</v>
      </c>
      <c r="B194" s="9">
        <v>22</v>
      </c>
      <c r="C194" s="9">
        <v>4</v>
      </c>
      <c r="D194" s="9">
        <v>99</v>
      </c>
      <c r="E194" s="9">
        <v>2.2999999999999998</v>
      </c>
      <c r="F194" s="9">
        <v>1.45</v>
      </c>
      <c r="G194" s="7" t="s">
        <v>49</v>
      </c>
    </row>
    <row r="195" spans="1:7" x14ac:dyDescent="0.2">
      <c r="A195" s="9">
        <v>0</v>
      </c>
      <c r="B195" s="9">
        <v>2</v>
      </c>
      <c r="C195" s="9">
        <v>5</v>
      </c>
      <c r="D195" s="9">
        <v>39</v>
      </c>
      <c r="E195" s="9">
        <v>4.9000000000000004</v>
      </c>
      <c r="F195" s="9">
        <v>1.45</v>
      </c>
      <c r="G195" s="7" t="s">
        <v>49</v>
      </c>
    </row>
    <row r="196" spans="1:7" x14ac:dyDescent="0.2">
      <c r="A196" s="9">
        <v>1</v>
      </c>
      <c r="B196" s="9">
        <v>5</v>
      </c>
      <c r="C196" s="9">
        <v>3</v>
      </c>
      <c r="D196" s="9">
        <v>37</v>
      </c>
      <c r="E196" s="9">
        <v>5.4</v>
      </c>
      <c r="F196" s="9">
        <v>1.42</v>
      </c>
      <c r="G196" s="7" t="s">
        <v>49</v>
      </c>
    </row>
    <row r="197" spans="1:7" x14ac:dyDescent="0.2">
      <c r="A197" s="9">
        <v>0</v>
      </c>
      <c r="B197" s="9">
        <v>21</v>
      </c>
      <c r="C197" s="9">
        <v>26</v>
      </c>
      <c r="D197" s="13">
        <v>117.54291069294821</v>
      </c>
      <c r="E197" s="9">
        <v>3</v>
      </c>
      <c r="F197" s="9">
        <v>1.4</v>
      </c>
      <c r="G197" s="7" t="s">
        <v>49</v>
      </c>
    </row>
    <row r="198" spans="1:7" x14ac:dyDescent="0.2">
      <c r="A198" s="9">
        <v>0</v>
      </c>
      <c r="B198" s="9">
        <v>13</v>
      </c>
      <c r="C198" s="9">
        <v>0</v>
      </c>
      <c r="D198" s="9">
        <v>82</v>
      </c>
      <c r="E198" s="9">
        <v>3.3</v>
      </c>
      <c r="F198" s="9">
        <v>1.39</v>
      </c>
      <c r="G198" s="7" t="s">
        <v>49</v>
      </c>
    </row>
    <row r="199" spans="1:7" x14ac:dyDescent="0.2">
      <c r="A199" s="9">
        <v>0</v>
      </c>
      <c r="B199" s="9">
        <v>0</v>
      </c>
      <c r="C199" s="9">
        <v>10</v>
      </c>
      <c r="D199" s="9">
        <v>20</v>
      </c>
      <c r="E199" s="9">
        <v>17.100000000000001</v>
      </c>
      <c r="F199" s="9">
        <v>1.37</v>
      </c>
      <c r="G199" s="7" t="s">
        <v>49</v>
      </c>
    </row>
    <row r="200" spans="1:7" x14ac:dyDescent="0.2">
      <c r="A200" s="9">
        <v>0</v>
      </c>
      <c r="B200" s="9">
        <v>18</v>
      </c>
      <c r="C200" s="9">
        <v>19</v>
      </c>
      <c r="D200" s="9">
        <v>44</v>
      </c>
      <c r="E200" s="9">
        <v>4.5</v>
      </c>
      <c r="F200" s="9">
        <v>1.37</v>
      </c>
      <c r="G200" s="7" t="s">
        <v>49</v>
      </c>
    </row>
    <row r="201" spans="1:7" x14ac:dyDescent="0.2">
      <c r="A201" s="9">
        <v>0</v>
      </c>
      <c r="B201" s="9">
        <v>0</v>
      </c>
      <c r="C201" s="9">
        <v>4</v>
      </c>
      <c r="D201" s="9">
        <v>21</v>
      </c>
      <c r="E201" s="9">
        <v>8.6999999999999993</v>
      </c>
      <c r="F201" s="9">
        <v>1.37</v>
      </c>
      <c r="G201" s="7" t="s">
        <v>49</v>
      </c>
    </row>
    <row r="202" spans="1:7" x14ac:dyDescent="0.2">
      <c r="A202" s="9">
        <v>0</v>
      </c>
      <c r="B202" s="9">
        <v>3</v>
      </c>
      <c r="C202" s="9">
        <v>10</v>
      </c>
      <c r="D202" s="9">
        <v>23</v>
      </c>
      <c r="E202" s="9">
        <v>6.2</v>
      </c>
      <c r="F202" s="9">
        <v>1.37</v>
      </c>
      <c r="G202" s="7" t="s">
        <v>49</v>
      </c>
    </row>
    <row r="203" spans="1:7" x14ac:dyDescent="0.2">
      <c r="A203" s="9">
        <v>0</v>
      </c>
      <c r="B203" s="9">
        <v>4</v>
      </c>
      <c r="C203" s="9">
        <v>16</v>
      </c>
      <c r="D203" s="9">
        <v>29</v>
      </c>
      <c r="E203" s="9">
        <v>11</v>
      </c>
      <c r="F203" s="9">
        <v>1.35</v>
      </c>
      <c r="G203" s="7" t="s">
        <v>49</v>
      </c>
    </row>
    <row r="204" spans="1:7" x14ac:dyDescent="0.2">
      <c r="A204" s="9">
        <v>0</v>
      </c>
      <c r="B204" s="9">
        <v>5</v>
      </c>
      <c r="C204" s="9">
        <v>10</v>
      </c>
      <c r="D204" s="9">
        <v>18</v>
      </c>
      <c r="E204" s="9">
        <v>12.9</v>
      </c>
      <c r="F204" s="9">
        <v>1.34</v>
      </c>
      <c r="G204" s="7" t="s">
        <v>49</v>
      </c>
    </row>
    <row r="205" spans="1:7" x14ac:dyDescent="0.2">
      <c r="A205" s="9">
        <v>1</v>
      </c>
      <c r="B205" s="9">
        <v>1</v>
      </c>
      <c r="C205" s="9">
        <v>6</v>
      </c>
      <c r="D205" s="9">
        <v>15</v>
      </c>
      <c r="E205" s="9">
        <v>11.4</v>
      </c>
      <c r="F205" s="9">
        <v>1.34</v>
      </c>
      <c r="G205" s="7" t="s">
        <v>49</v>
      </c>
    </row>
    <row r="206" spans="1:7" x14ac:dyDescent="0.2">
      <c r="A206" s="9">
        <v>0</v>
      </c>
      <c r="B206" s="9">
        <v>0</v>
      </c>
      <c r="C206" s="9">
        <v>7</v>
      </c>
      <c r="D206" s="9">
        <v>28</v>
      </c>
      <c r="E206" s="9">
        <v>9.3000000000000007</v>
      </c>
      <c r="F206" s="9">
        <v>1.33</v>
      </c>
      <c r="G206" s="7" t="s">
        <v>49</v>
      </c>
    </row>
    <row r="207" spans="1:7" x14ac:dyDescent="0.2">
      <c r="A207" s="9">
        <v>1</v>
      </c>
      <c r="B207" s="9">
        <v>3</v>
      </c>
      <c r="C207" s="9">
        <v>0</v>
      </c>
      <c r="D207" s="9">
        <v>19</v>
      </c>
      <c r="E207" s="9">
        <v>8.4</v>
      </c>
      <c r="F207" s="9">
        <v>1.32</v>
      </c>
      <c r="G207" s="7" t="s">
        <v>49</v>
      </c>
    </row>
    <row r="208" spans="1:7" x14ac:dyDescent="0.2">
      <c r="A208" s="9">
        <v>0</v>
      </c>
      <c r="B208" s="9">
        <v>0</v>
      </c>
      <c r="C208" s="9">
        <v>1</v>
      </c>
      <c r="D208" s="9">
        <v>21</v>
      </c>
      <c r="E208" s="9">
        <v>7.2</v>
      </c>
      <c r="F208" s="9">
        <v>1.32</v>
      </c>
      <c r="G208" s="7" t="s">
        <v>49</v>
      </c>
    </row>
    <row r="209" spans="1:7" x14ac:dyDescent="0.2">
      <c r="A209" s="9">
        <v>0</v>
      </c>
      <c r="B209" s="9">
        <v>10</v>
      </c>
      <c r="C209" s="9">
        <v>4</v>
      </c>
      <c r="D209" s="9">
        <v>31</v>
      </c>
      <c r="E209" s="9">
        <v>4.8</v>
      </c>
      <c r="F209" s="9">
        <v>1.3</v>
      </c>
      <c r="G209" s="7" t="s">
        <v>49</v>
      </c>
    </row>
    <row r="210" spans="1:7" x14ac:dyDescent="0.2">
      <c r="A210" s="9">
        <v>0</v>
      </c>
      <c r="B210" s="9">
        <v>4</v>
      </c>
      <c r="C210" s="9">
        <v>9</v>
      </c>
      <c r="D210" s="9">
        <v>38</v>
      </c>
      <c r="E210" s="9">
        <v>6.5</v>
      </c>
      <c r="F210" s="9">
        <v>1.29</v>
      </c>
      <c r="G210" s="7" t="s">
        <v>49</v>
      </c>
    </row>
    <row r="211" spans="1:7" x14ac:dyDescent="0.2">
      <c r="A211" s="9">
        <v>0</v>
      </c>
      <c r="B211" s="9">
        <v>1</v>
      </c>
      <c r="C211" s="9">
        <v>1</v>
      </c>
      <c r="D211" s="9">
        <v>21</v>
      </c>
      <c r="E211" s="9">
        <v>7.9</v>
      </c>
      <c r="F211" s="9">
        <v>1.29</v>
      </c>
      <c r="G211" s="7" t="s">
        <v>49</v>
      </c>
    </row>
    <row r="212" spans="1:7" x14ac:dyDescent="0.2">
      <c r="A212" s="9">
        <v>1</v>
      </c>
      <c r="B212" s="9">
        <v>4</v>
      </c>
      <c r="C212" s="9">
        <v>3</v>
      </c>
      <c r="D212" s="9">
        <v>37</v>
      </c>
      <c r="E212" s="9">
        <v>6.6</v>
      </c>
      <c r="F212" s="9">
        <v>1.28</v>
      </c>
      <c r="G212" s="7" t="s">
        <v>49</v>
      </c>
    </row>
    <row r="213" spans="1:7" x14ac:dyDescent="0.2">
      <c r="A213" s="9">
        <v>0</v>
      </c>
      <c r="B213" s="9">
        <v>9</v>
      </c>
      <c r="C213" s="9">
        <v>8</v>
      </c>
      <c r="D213" s="9">
        <v>32</v>
      </c>
      <c r="E213" s="9">
        <v>5.5</v>
      </c>
      <c r="F213" s="9">
        <v>1.26</v>
      </c>
      <c r="G213" s="7" t="s">
        <v>49</v>
      </c>
    </row>
    <row r="214" spans="1:7" x14ac:dyDescent="0.2">
      <c r="A214" s="9">
        <v>0</v>
      </c>
      <c r="B214" s="9">
        <v>6</v>
      </c>
      <c r="C214" s="9">
        <v>1</v>
      </c>
      <c r="D214" s="9">
        <v>34</v>
      </c>
      <c r="E214" s="9">
        <v>4.4000000000000004</v>
      </c>
      <c r="F214" s="9">
        <v>1.26</v>
      </c>
      <c r="G214" s="7" t="s">
        <v>49</v>
      </c>
    </row>
    <row r="215" spans="1:7" x14ac:dyDescent="0.2">
      <c r="A215" s="9">
        <v>1</v>
      </c>
      <c r="B215" s="9">
        <v>2</v>
      </c>
      <c r="C215" s="9">
        <v>11</v>
      </c>
      <c r="D215" s="9">
        <v>15</v>
      </c>
      <c r="E215" s="9">
        <v>9.1</v>
      </c>
      <c r="F215" s="9">
        <v>1.25</v>
      </c>
      <c r="G215" s="7" t="s">
        <v>49</v>
      </c>
    </row>
    <row r="216" spans="1:7" x14ac:dyDescent="0.2">
      <c r="A216" s="9">
        <v>0</v>
      </c>
      <c r="B216" s="9">
        <v>1</v>
      </c>
      <c r="C216" s="9">
        <v>5</v>
      </c>
      <c r="D216" s="9">
        <v>26</v>
      </c>
      <c r="E216" s="9">
        <v>10.6</v>
      </c>
      <c r="F216" s="9">
        <v>1.24</v>
      </c>
      <c r="G216" s="7" t="s">
        <v>49</v>
      </c>
    </row>
    <row r="217" spans="1:7" x14ac:dyDescent="0.2">
      <c r="A217" s="9">
        <v>0</v>
      </c>
      <c r="B217" s="9">
        <v>12</v>
      </c>
      <c r="C217" s="9">
        <v>11</v>
      </c>
      <c r="D217" s="9">
        <v>38</v>
      </c>
      <c r="E217" s="9">
        <v>3.6</v>
      </c>
      <c r="F217" s="9">
        <v>1.24</v>
      </c>
      <c r="G217" s="7" t="s">
        <v>49</v>
      </c>
    </row>
    <row r="218" spans="1:7" x14ac:dyDescent="0.2">
      <c r="A218" s="9">
        <v>0</v>
      </c>
      <c r="B218" s="9">
        <v>3</v>
      </c>
      <c r="C218" s="9">
        <v>4</v>
      </c>
      <c r="D218" s="9">
        <v>34</v>
      </c>
      <c r="E218" s="9">
        <v>4.4000000000000004</v>
      </c>
      <c r="F218" s="9">
        <v>1.23</v>
      </c>
      <c r="G218" s="7" t="s">
        <v>49</v>
      </c>
    </row>
    <row r="219" spans="1:7" x14ac:dyDescent="0.2">
      <c r="A219" s="9">
        <v>0</v>
      </c>
      <c r="B219" s="9">
        <v>13</v>
      </c>
      <c r="C219" s="9">
        <v>9</v>
      </c>
      <c r="D219" s="9">
        <v>27</v>
      </c>
      <c r="E219" s="9">
        <v>8</v>
      </c>
      <c r="F219" s="9">
        <v>1.19</v>
      </c>
      <c r="G219" s="7" t="s">
        <v>49</v>
      </c>
    </row>
    <row r="220" spans="1:7" x14ac:dyDescent="0.2">
      <c r="A220" s="9">
        <v>0</v>
      </c>
      <c r="B220" s="9">
        <v>9</v>
      </c>
      <c r="C220" s="9">
        <v>20</v>
      </c>
      <c r="D220" s="9">
        <v>33</v>
      </c>
      <c r="E220" s="9">
        <v>5.2</v>
      </c>
      <c r="F220" s="9">
        <v>1.17</v>
      </c>
      <c r="G220" s="7" t="s">
        <v>49</v>
      </c>
    </row>
    <row r="221" spans="1:7" x14ac:dyDescent="0.2">
      <c r="A221" s="9">
        <v>0</v>
      </c>
      <c r="B221" s="9">
        <v>5</v>
      </c>
      <c r="C221" s="9">
        <v>7</v>
      </c>
      <c r="D221" s="9">
        <v>28</v>
      </c>
      <c r="E221" s="9">
        <v>7.8</v>
      </c>
      <c r="F221" s="9">
        <v>1.1599999999999999</v>
      </c>
      <c r="G221" s="7" t="s">
        <v>49</v>
      </c>
    </row>
    <row r="222" spans="1:7" x14ac:dyDescent="0.2">
      <c r="A222" s="9">
        <v>0</v>
      </c>
      <c r="B222" s="9">
        <v>8</v>
      </c>
      <c r="C222" s="9">
        <v>7</v>
      </c>
      <c r="D222" s="9">
        <v>61</v>
      </c>
      <c r="E222" s="9">
        <v>2.8</v>
      </c>
      <c r="F222" s="9">
        <v>1.1599999999999999</v>
      </c>
      <c r="G222" s="7" t="s">
        <v>49</v>
      </c>
    </row>
    <row r="223" spans="1:7" x14ac:dyDescent="0.2">
      <c r="A223" s="9">
        <v>0</v>
      </c>
      <c r="B223" s="9">
        <v>4</v>
      </c>
      <c r="C223" s="9">
        <v>6</v>
      </c>
      <c r="D223" s="9">
        <v>33</v>
      </c>
      <c r="E223" s="9">
        <v>5.2</v>
      </c>
      <c r="F223" s="9">
        <v>1.1599999999999999</v>
      </c>
      <c r="G223" s="7" t="s">
        <v>49</v>
      </c>
    </row>
    <row r="224" spans="1:7" x14ac:dyDescent="0.2">
      <c r="A224" s="9">
        <v>0</v>
      </c>
      <c r="B224" s="9">
        <v>15</v>
      </c>
      <c r="C224" s="9">
        <v>19</v>
      </c>
      <c r="D224" s="9">
        <v>32</v>
      </c>
      <c r="E224" s="9">
        <v>4.9000000000000004</v>
      </c>
      <c r="F224" s="9">
        <v>1.1499999999999999</v>
      </c>
      <c r="G224" s="7" t="s">
        <v>49</v>
      </c>
    </row>
    <row r="225" spans="1:7" x14ac:dyDescent="0.2">
      <c r="A225" s="9">
        <v>0</v>
      </c>
      <c r="B225" s="9">
        <v>9</v>
      </c>
      <c r="C225" s="9">
        <v>1</v>
      </c>
      <c r="D225" s="9">
        <v>30</v>
      </c>
      <c r="E225" s="9">
        <v>5.8</v>
      </c>
      <c r="F225" s="9">
        <v>1.1399999999999999</v>
      </c>
      <c r="G225" s="7" t="s">
        <v>49</v>
      </c>
    </row>
    <row r="226" spans="1:7" x14ac:dyDescent="0.2">
      <c r="A226" s="9">
        <v>0</v>
      </c>
      <c r="B226" s="9">
        <v>8</v>
      </c>
      <c r="C226" s="9">
        <v>10</v>
      </c>
      <c r="D226" s="9">
        <v>24</v>
      </c>
      <c r="E226" s="9">
        <v>6.7</v>
      </c>
      <c r="F226" s="9">
        <v>1.1399999999999999</v>
      </c>
      <c r="G226" s="7" t="s">
        <v>49</v>
      </c>
    </row>
    <row r="227" spans="1:7" x14ac:dyDescent="0.2">
      <c r="A227" s="9">
        <v>0</v>
      </c>
      <c r="B227" s="9">
        <v>13</v>
      </c>
      <c r="C227" s="9">
        <v>15</v>
      </c>
      <c r="D227" s="9">
        <v>35</v>
      </c>
      <c r="E227" s="9">
        <v>4.5</v>
      </c>
      <c r="F227" s="9">
        <v>1.1399999999999999</v>
      </c>
      <c r="G227" s="7" t="s">
        <v>49</v>
      </c>
    </row>
    <row r="228" spans="1:7" x14ac:dyDescent="0.2">
      <c r="A228" s="9">
        <v>0</v>
      </c>
      <c r="B228" s="9">
        <v>1</v>
      </c>
      <c r="C228" s="9">
        <v>8</v>
      </c>
      <c r="D228" s="9">
        <v>17</v>
      </c>
      <c r="E228" s="9">
        <v>11</v>
      </c>
      <c r="F228" s="9">
        <v>1.1200000000000001</v>
      </c>
      <c r="G228" s="7" t="s">
        <v>49</v>
      </c>
    </row>
    <row r="229" spans="1:7" x14ac:dyDescent="0.2">
      <c r="A229" s="9">
        <v>0</v>
      </c>
      <c r="B229" s="9">
        <v>13</v>
      </c>
      <c r="C229" s="9">
        <v>12</v>
      </c>
      <c r="D229" s="9">
        <v>27</v>
      </c>
      <c r="E229" s="9">
        <v>5</v>
      </c>
      <c r="F229" s="9">
        <v>1.1100000000000001</v>
      </c>
      <c r="G229" s="7" t="s">
        <v>49</v>
      </c>
    </row>
    <row r="230" spans="1:7" x14ac:dyDescent="0.2">
      <c r="A230" s="9">
        <v>0</v>
      </c>
      <c r="B230" s="9">
        <v>6</v>
      </c>
      <c r="C230" s="9">
        <v>2</v>
      </c>
      <c r="D230" s="9">
        <v>26</v>
      </c>
      <c r="E230" s="9">
        <v>4.5</v>
      </c>
      <c r="F230" s="9">
        <v>1.1000000000000001</v>
      </c>
      <c r="G230" s="7" t="s">
        <v>49</v>
      </c>
    </row>
    <row r="231" spans="1:7" x14ac:dyDescent="0.2">
      <c r="A231" s="9">
        <v>0</v>
      </c>
      <c r="B231" s="9">
        <v>2</v>
      </c>
      <c r="C231" s="9">
        <v>1</v>
      </c>
      <c r="D231" s="9">
        <v>36</v>
      </c>
      <c r="E231" s="9">
        <v>3.8</v>
      </c>
      <c r="F231" s="9">
        <v>1.0900000000000001</v>
      </c>
      <c r="G231" s="7" t="s">
        <v>49</v>
      </c>
    </row>
    <row r="232" spans="1:7" x14ac:dyDescent="0.2">
      <c r="A232" s="9">
        <v>0</v>
      </c>
      <c r="B232" s="9">
        <v>20</v>
      </c>
      <c r="C232" s="9">
        <v>17</v>
      </c>
      <c r="D232" s="9">
        <v>101</v>
      </c>
      <c r="E232" s="9">
        <v>1.4</v>
      </c>
      <c r="F232" s="9">
        <v>1.07</v>
      </c>
      <c r="G232" s="7" t="s">
        <v>49</v>
      </c>
    </row>
    <row r="233" spans="1:7" x14ac:dyDescent="0.2">
      <c r="A233" s="9">
        <v>0</v>
      </c>
      <c r="B233" s="9">
        <v>1</v>
      </c>
      <c r="C233" s="9">
        <v>10</v>
      </c>
      <c r="D233" s="9">
        <v>30</v>
      </c>
      <c r="E233" s="9">
        <v>4.5</v>
      </c>
      <c r="F233" s="9">
        <v>1.07</v>
      </c>
      <c r="G233" s="7" t="s">
        <v>49</v>
      </c>
    </row>
    <row r="234" spans="1:7" x14ac:dyDescent="0.2">
      <c r="A234" s="9">
        <v>0</v>
      </c>
      <c r="B234" s="9">
        <v>3</v>
      </c>
      <c r="C234" s="9">
        <v>1</v>
      </c>
      <c r="D234" s="9">
        <v>17</v>
      </c>
      <c r="E234" s="9">
        <v>9</v>
      </c>
      <c r="F234" s="9">
        <v>1.06</v>
      </c>
      <c r="G234" s="7" t="s">
        <v>49</v>
      </c>
    </row>
    <row r="235" spans="1:7" x14ac:dyDescent="0.2">
      <c r="A235" s="9">
        <v>0</v>
      </c>
      <c r="B235" s="9">
        <v>12</v>
      </c>
      <c r="C235" s="9">
        <v>2</v>
      </c>
      <c r="D235" s="9">
        <v>40</v>
      </c>
      <c r="E235" s="9">
        <v>6.7</v>
      </c>
      <c r="F235" s="9">
        <v>1.05</v>
      </c>
      <c r="G235" s="7" t="s">
        <v>49</v>
      </c>
    </row>
    <row r="236" spans="1:7" x14ac:dyDescent="0.2">
      <c r="A236" s="9">
        <v>1</v>
      </c>
      <c r="B236" s="9">
        <v>8</v>
      </c>
      <c r="C236" s="9">
        <v>3</v>
      </c>
      <c r="D236" s="9">
        <v>31</v>
      </c>
      <c r="E236" s="9">
        <v>8.1999999999999993</v>
      </c>
      <c r="F236" s="9">
        <v>1.05</v>
      </c>
      <c r="G236" s="7" t="s">
        <v>49</v>
      </c>
    </row>
    <row r="237" spans="1:7" x14ac:dyDescent="0.2">
      <c r="A237" s="9">
        <v>0</v>
      </c>
      <c r="B237" s="9">
        <v>1</v>
      </c>
      <c r="C237" s="9">
        <v>4</v>
      </c>
      <c r="D237" s="9">
        <v>16</v>
      </c>
      <c r="E237" s="9">
        <v>9.3000000000000007</v>
      </c>
      <c r="F237" s="9">
        <v>1.05</v>
      </c>
      <c r="G237" s="7" t="s">
        <v>49</v>
      </c>
    </row>
    <row r="238" spans="1:7" x14ac:dyDescent="0.2">
      <c r="A238" s="9">
        <v>0</v>
      </c>
      <c r="B238" s="9">
        <v>16</v>
      </c>
      <c r="C238" s="9">
        <v>15</v>
      </c>
      <c r="D238" s="9">
        <v>36</v>
      </c>
      <c r="E238" s="9">
        <v>3.4</v>
      </c>
      <c r="F238" s="9">
        <v>1.05</v>
      </c>
      <c r="G238" s="7" t="s">
        <v>49</v>
      </c>
    </row>
    <row r="239" spans="1:7" x14ac:dyDescent="0.2">
      <c r="A239" s="9">
        <v>0</v>
      </c>
      <c r="B239" s="9">
        <v>5</v>
      </c>
      <c r="C239" s="9">
        <v>3</v>
      </c>
      <c r="D239" s="9">
        <v>41</v>
      </c>
      <c r="E239" s="9">
        <v>3.4</v>
      </c>
      <c r="F239" s="9">
        <v>1.04</v>
      </c>
      <c r="G239" s="7" t="s">
        <v>49</v>
      </c>
    </row>
    <row r="240" spans="1:7" x14ac:dyDescent="0.2">
      <c r="A240" s="9">
        <v>0</v>
      </c>
      <c r="B240" s="9">
        <v>5</v>
      </c>
      <c r="C240" s="9">
        <v>2</v>
      </c>
      <c r="D240" s="9">
        <v>17</v>
      </c>
      <c r="E240" s="9">
        <v>7.9</v>
      </c>
      <c r="F240" s="9">
        <v>1.04</v>
      </c>
      <c r="G240" s="7" t="s">
        <v>49</v>
      </c>
    </row>
    <row r="241" spans="1:7" x14ac:dyDescent="0.2">
      <c r="A241" s="9">
        <v>0</v>
      </c>
      <c r="B241" s="9">
        <v>7</v>
      </c>
      <c r="C241" s="9">
        <v>6</v>
      </c>
      <c r="D241" s="9">
        <v>26</v>
      </c>
      <c r="E241" s="9">
        <v>6</v>
      </c>
      <c r="F241" s="9">
        <v>1.02</v>
      </c>
      <c r="G241" s="7" t="s">
        <v>49</v>
      </c>
    </row>
    <row r="242" spans="1:7" x14ac:dyDescent="0.2">
      <c r="A242" s="9">
        <v>0</v>
      </c>
      <c r="B242" s="9">
        <v>18</v>
      </c>
      <c r="C242" s="9">
        <v>6</v>
      </c>
      <c r="D242" s="9">
        <v>100</v>
      </c>
      <c r="E242" s="9">
        <v>2.5</v>
      </c>
      <c r="F242" s="9">
        <v>1.01</v>
      </c>
      <c r="G242" s="7" t="s">
        <v>49</v>
      </c>
    </row>
    <row r="243" spans="1:7" x14ac:dyDescent="0.2">
      <c r="A243" s="9">
        <v>0</v>
      </c>
      <c r="B243" s="9">
        <v>0</v>
      </c>
      <c r="C243" s="9">
        <v>2</v>
      </c>
      <c r="D243" s="9">
        <v>24</v>
      </c>
      <c r="E243" s="9">
        <v>7.7</v>
      </c>
      <c r="F243" s="9">
        <v>1.01</v>
      </c>
      <c r="G243" s="7" t="s">
        <v>49</v>
      </c>
    </row>
    <row r="244" spans="1:7" x14ac:dyDescent="0.2">
      <c r="A244" s="9">
        <v>0</v>
      </c>
      <c r="B244" s="9">
        <v>13</v>
      </c>
      <c r="C244" s="9">
        <v>0</v>
      </c>
      <c r="D244" s="9">
        <v>59</v>
      </c>
      <c r="E244" s="9">
        <v>2.4</v>
      </c>
      <c r="F244" s="9">
        <v>1.01</v>
      </c>
      <c r="G244" s="7" t="s">
        <v>49</v>
      </c>
    </row>
    <row r="245" spans="1:7" x14ac:dyDescent="0.2">
      <c r="A245" s="9">
        <v>0</v>
      </c>
      <c r="B245" s="9">
        <v>16</v>
      </c>
      <c r="C245" s="9">
        <v>25</v>
      </c>
      <c r="D245" s="9">
        <v>82</v>
      </c>
      <c r="E245" s="9">
        <v>4.4000000000000004</v>
      </c>
      <c r="F245" s="9">
        <v>1</v>
      </c>
      <c r="G245" s="7" t="s">
        <v>49</v>
      </c>
    </row>
    <row r="246" spans="1:7" x14ac:dyDescent="0.2">
      <c r="A246" s="9">
        <v>1</v>
      </c>
      <c r="B246" s="9">
        <v>2</v>
      </c>
      <c r="C246" s="9">
        <v>1</v>
      </c>
      <c r="D246" s="9">
        <v>25</v>
      </c>
      <c r="E246" s="9">
        <v>4.5</v>
      </c>
      <c r="F246" s="9">
        <v>1</v>
      </c>
      <c r="G246" s="7" t="s">
        <v>49</v>
      </c>
    </row>
    <row r="247" spans="1:7" x14ac:dyDescent="0.2">
      <c r="A247" s="9">
        <v>0</v>
      </c>
      <c r="B247" s="9">
        <v>11</v>
      </c>
      <c r="C247" s="9">
        <v>7</v>
      </c>
      <c r="D247" s="9">
        <v>32</v>
      </c>
      <c r="E247" s="9">
        <v>6</v>
      </c>
      <c r="F247" s="9">
        <v>0.99</v>
      </c>
      <c r="G247" s="7" t="s">
        <v>49</v>
      </c>
    </row>
    <row r="248" spans="1:7" x14ac:dyDescent="0.2">
      <c r="A248" s="9">
        <v>1</v>
      </c>
      <c r="B248" s="9">
        <v>2</v>
      </c>
      <c r="C248" s="9">
        <v>8</v>
      </c>
      <c r="D248" s="9">
        <v>23</v>
      </c>
      <c r="E248" s="9">
        <v>5.7</v>
      </c>
      <c r="F248" s="9">
        <v>0.99</v>
      </c>
      <c r="G248" s="7" t="s">
        <v>49</v>
      </c>
    </row>
    <row r="249" spans="1:7" x14ac:dyDescent="0.2">
      <c r="A249" s="9">
        <v>0</v>
      </c>
      <c r="B249" s="9">
        <v>1</v>
      </c>
      <c r="C249" s="9">
        <v>9</v>
      </c>
      <c r="D249" s="9">
        <v>17</v>
      </c>
      <c r="E249" s="9">
        <v>6.7</v>
      </c>
      <c r="F249" s="9">
        <v>0.98</v>
      </c>
      <c r="G249" s="7" t="s">
        <v>49</v>
      </c>
    </row>
    <row r="250" spans="1:7" x14ac:dyDescent="0.2">
      <c r="A250" s="9">
        <v>0</v>
      </c>
      <c r="B250" s="9">
        <v>6</v>
      </c>
      <c r="C250" s="9">
        <v>2</v>
      </c>
      <c r="D250" s="9">
        <v>21</v>
      </c>
      <c r="E250" s="9">
        <v>5.2</v>
      </c>
      <c r="F250" s="9">
        <v>0.98</v>
      </c>
      <c r="G250" s="7" t="s">
        <v>49</v>
      </c>
    </row>
    <row r="251" spans="1:7" x14ac:dyDescent="0.2">
      <c r="A251" s="9">
        <v>1</v>
      </c>
      <c r="B251" s="9">
        <v>0</v>
      </c>
      <c r="C251" s="9">
        <v>8</v>
      </c>
      <c r="D251" s="9">
        <v>23</v>
      </c>
      <c r="E251" s="9">
        <v>8.1</v>
      </c>
      <c r="F251" s="9">
        <v>0.97</v>
      </c>
      <c r="G251" s="7" t="s">
        <v>49</v>
      </c>
    </row>
    <row r="252" spans="1:7" x14ac:dyDescent="0.2">
      <c r="A252" s="9">
        <v>1</v>
      </c>
      <c r="B252" s="9">
        <v>4</v>
      </c>
      <c r="C252" s="9">
        <v>1</v>
      </c>
      <c r="D252" s="9">
        <v>40</v>
      </c>
      <c r="E252" s="9">
        <v>3.1</v>
      </c>
      <c r="F252" s="9">
        <v>0.96</v>
      </c>
      <c r="G252" s="7" t="s">
        <v>49</v>
      </c>
    </row>
    <row r="253" spans="1:7" x14ac:dyDescent="0.2">
      <c r="A253" s="9">
        <v>0</v>
      </c>
      <c r="B253" s="9">
        <v>7</v>
      </c>
      <c r="C253" s="9">
        <v>23</v>
      </c>
      <c r="D253" s="9">
        <v>41</v>
      </c>
      <c r="E253" s="9">
        <v>4.5999999999999996</v>
      </c>
      <c r="F253" s="9">
        <v>0.94</v>
      </c>
      <c r="G253" s="7" t="s">
        <v>49</v>
      </c>
    </row>
    <row r="254" spans="1:7" x14ac:dyDescent="0.2">
      <c r="A254" s="9">
        <v>0</v>
      </c>
      <c r="B254" s="9">
        <v>7</v>
      </c>
      <c r="C254" s="9">
        <v>10</v>
      </c>
      <c r="D254" s="9">
        <v>32</v>
      </c>
      <c r="E254" s="9">
        <v>4.3</v>
      </c>
      <c r="F254" s="9">
        <v>0.94</v>
      </c>
      <c r="G254" s="7" t="s">
        <v>49</v>
      </c>
    </row>
    <row r="255" spans="1:7" x14ac:dyDescent="0.2">
      <c r="A255" s="9">
        <v>0</v>
      </c>
      <c r="B255" s="9">
        <v>0</v>
      </c>
      <c r="C255" s="9">
        <v>1</v>
      </c>
      <c r="D255" s="9">
        <v>16</v>
      </c>
      <c r="E255" s="9">
        <v>6.8</v>
      </c>
      <c r="F255" s="9">
        <v>0.94</v>
      </c>
      <c r="G255" s="7" t="s">
        <v>49</v>
      </c>
    </row>
    <row r="256" spans="1:7" x14ac:dyDescent="0.2">
      <c r="A256" s="9">
        <v>0</v>
      </c>
      <c r="B256" s="9">
        <v>8</v>
      </c>
      <c r="C256" s="9">
        <v>1</v>
      </c>
      <c r="D256" s="9">
        <v>35</v>
      </c>
      <c r="E256" s="9">
        <v>2.9</v>
      </c>
      <c r="F256" s="9">
        <v>0.94</v>
      </c>
      <c r="G256" s="7" t="s">
        <v>49</v>
      </c>
    </row>
    <row r="257" spans="1:7" x14ac:dyDescent="0.2">
      <c r="A257" s="9">
        <v>0</v>
      </c>
      <c r="B257" s="9">
        <v>7</v>
      </c>
      <c r="C257" s="9">
        <v>12</v>
      </c>
      <c r="D257" s="9">
        <v>25</v>
      </c>
      <c r="E257" s="9">
        <v>10.199999999999999</v>
      </c>
      <c r="F257" s="9">
        <v>0.92</v>
      </c>
      <c r="G257" s="7" t="s">
        <v>49</v>
      </c>
    </row>
    <row r="258" spans="1:7" x14ac:dyDescent="0.2">
      <c r="A258" s="9">
        <v>0</v>
      </c>
      <c r="B258" s="9">
        <v>3</v>
      </c>
      <c r="C258" s="9">
        <v>7</v>
      </c>
      <c r="D258" s="9">
        <v>24</v>
      </c>
      <c r="E258" s="9">
        <v>7</v>
      </c>
      <c r="F258" s="9">
        <v>0.92</v>
      </c>
      <c r="G258" s="7" t="s">
        <v>49</v>
      </c>
    </row>
    <row r="259" spans="1:7" x14ac:dyDescent="0.2">
      <c r="A259" s="9">
        <v>0</v>
      </c>
      <c r="B259" s="9">
        <v>7</v>
      </c>
      <c r="C259" s="9">
        <v>3</v>
      </c>
      <c r="D259" s="9">
        <v>22</v>
      </c>
      <c r="E259" s="9">
        <v>5.0999999999999996</v>
      </c>
      <c r="F259" s="9">
        <v>0.91</v>
      </c>
      <c r="G259" s="7" t="s">
        <v>49</v>
      </c>
    </row>
    <row r="260" spans="1:7" x14ac:dyDescent="0.2">
      <c r="A260" s="9">
        <v>0</v>
      </c>
      <c r="B260" s="9">
        <v>0</v>
      </c>
      <c r="C260" s="9">
        <v>3</v>
      </c>
      <c r="D260" s="9">
        <v>20</v>
      </c>
      <c r="E260" s="9">
        <v>5.6</v>
      </c>
      <c r="F260" s="9">
        <v>0.91</v>
      </c>
      <c r="G260" s="7" t="s">
        <v>49</v>
      </c>
    </row>
    <row r="261" spans="1:7" x14ac:dyDescent="0.2">
      <c r="A261" s="9">
        <v>0</v>
      </c>
      <c r="B261" s="9">
        <v>4</v>
      </c>
      <c r="C261" s="9">
        <v>0</v>
      </c>
      <c r="D261" s="9">
        <v>26</v>
      </c>
      <c r="E261" s="9">
        <v>8.9</v>
      </c>
      <c r="F261" s="9">
        <v>0.89</v>
      </c>
      <c r="G261" s="7" t="s">
        <v>49</v>
      </c>
    </row>
    <row r="262" spans="1:7" x14ac:dyDescent="0.2">
      <c r="A262" s="9">
        <v>0</v>
      </c>
      <c r="B262" s="9">
        <v>11</v>
      </c>
      <c r="C262" s="9">
        <v>5</v>
      </c>
      <c r="D262" s="9">
        <v>36</v>
      </c>
      <c r="E262" s="9">
        <v>4.8</v>
      </c>
      <c r="F262" s="9">
        <v>0.89</v>
      </c>
      <c r="G262" s="7" t="s">
        <v>49</v>
      </c>
    </row>
    <row r="263" spans="1:7" x14ac:dyDescent="0.2">
      <c r="A263" s="9">
        <v>0</v>
      </c>
      <c r="B263" s="9">
        <v>5</v>
      </c>
      <c r="C263" s="9">
        <v>12</v>
      </c>
      <c r="D263" s="9">
        <v>20</v>
      </c>
      <c r="E263" s="9">
        <v>8.1</v>
      </c>
      <c r="F263" s="9">
        <v>0.89</v>
      </c>
      <c r="G263" s="7" t="s">
        <v>49</v>
      </c>
    </row>
    <row r="264" spans="1:7" x14ac:dyDescent="0.2">
      <c r="A264" s="9">
        <v>0</v>
      </c>
      <c r="B264" s="9">
        <v>4</v>
      </c>
      <c r="C264" s="9">
        <v>0</v>
      </c>
      <c r="D264" s="9">
        <v>33</v>
      </c>
      <c r="E264" s="9">
        <v>4.2</v>
      </c>
      <c r="F264" s="9">
        <v>0.89</v>
      </c>
      <c r="G264" s="7" t="s">
        <v>49</v>
      </c>
    </row>
    <row r="265" spans="1:7" x14ac:dyDescent="0.2">
      <c r="A265" s="9">
        <v>0</v>
      </c>
      <c r="B265" s="9">
        <v>4</v>
      </c>
      <c r="C265" s="9">
        <v>10</v>
      </c>
      <c r="D265" s="9">
        <v>25</v>
      </c>
      <c r="E265" s="9">
        <v>5.8</v>
      </c>
      <c r="F265" s="9">
        <v>0.88</v>
      </c>
      <c r="G265" s="7" t="s">
        <v>49</v>
      </c>
    </row>
    <row r="266" spans="1:7" x14ac:dyDescent="0.2">
      <c r="A266" s="9">
        <v>1</v>
      </c>
      <c r="B266" s="9">
        <v>1</v>
      </c>
      <c r="C266" s="9">
        <v>0</v>
      </c>
      <c r="D266" s="9">
        <v>20</v>
      </c>
      <c r="E266" s="9">
        <v>6.7</v>
      </c>
      <c r="F266" s="9">
        <v>0.87</v>
      </c>
      <c r="G266" s="7" t="s">
        <v>49</v>
      </c>
    </row>
    <row r="267" spans="1:7" x14ac:dyDescent="0.2">
      <c r="A267" s="9">
        <v>0</v>
      </c>
      <c r="B267" s="9">
        <v>9</v>
      </c>
      <c r="C267" s="9">
        <v>5</v>
      </c>
      <c r="D267" s="9">
        <v>26</v>
      </c>
      <c r="E267" s="9">
        <v>4.5</v>
      </c>
      <c r="F267" s="9">
        <v>0.86</v>
      </c>
      <c r="G267" s="7" t="s">
        <v>49</v>
      </c>
    </row>
    <row r="268" spans="1:7" x14ac:dyDescent="0.2">
      <c r="A268" s="9">
        <v>0</v>
      </c>
      <c r="B268" s="9">
        <v>2</v>
      </c>
      <c r="C268" s="9">
        <v>7</v>
      </c>
      <c r="D268" s="9">
        <v>26</v>
      </c>
      <c r="E268" s="9">
        <v>6</v>
      </c>
      <c r="F268" s="9">
        <v>0.84</v>
      </c>
      <c r="G268" s="7" t="s">
        <v>49</v>
      </c>
    </row>
    <row r="269" spans="1:7" x14ac:dyDescent="0.2">
      <c r="A269" s="9">
        <v>0</v>
      </c>
      <c r="B269" s="9">
        <v>9</v>
      </c>
      <c r="C269" s="9">
        <v>10</v>
      </c>
      <c r="D269" s="9">
        <v>28</v>
      </c>
      <c r="E269" s="9">
        <v>4.3</v>
      </c>
      <c r="F269" s="9">
        <v>0.83</v>
      </c>
      <c r="G269" s="7" t="s">
        <v>49</v>
      </c>
    </row>
    <row r="270" spans="1:7" x14ac:dyDescent="0.2">
      <c r="A270" s="9">
        <v>0</v>
      </c>
      <c r="B270" s="9">
        <v>15</v>
      </c>
      <c r="C270" s="9">
        <v>14</v>
      </c>
      <c r="D270" s="13">
        <v>117.54291069294821</v>
      </c>
      <c r="E270" s="9">
        <v>2.9</v>
      </c>
      <c r="F270" s="9">
        <v>0.82</v>
      </c>
      <c r="G270" s="7" t="s">
        <v>49</v>
      </c>
    </row>
    <row r="271" spans="1:7" x14ac:dyDescent="0.2">
      <c r="A271" s="9">
        <v>0</v>
      </c>
      <c r="B271" s="9">
        <v>8</v>
      </c>
      <c r="C271" s="9">
        <v>4</v>
      </c>
      <c r="D271" s="9">
        <v>24</v>
      </c>
      <c r="E271" s="9">
        <v>5</v>
      </c>
      <c r="F271" s="9">
        <v>0.82</v>
      </c>
      <c r="G271" s="7" t="s">
        <v>49</v>
      </c>
    </row>
    <row r="272" spans="1:7" x14ac:dyDescent="0.2">
      <c r="A272" s="9">
        <v>1</v>
      </c>
      <c r="B272" s="9">
        <v>1</v>
      </c>
      <c r="C272" s="9">
        <v>0</v>
      </c>
      <c r="D272" s="9">
        <v>18</v>
      </c>
      <c r="E272" s="9">
        <v>5.9</v>
      </c>
      <c r="F272" s="9">
        <v>0.82</v>
      </c>
      <c r="G272" s="7" t="s">
        <v>49</v>
      </c>
    </row>
    <row r="273" spans="1:7" x14ac:dyDescent="0.2">
      <c r="A273" s="9">
        <v>0</v>
      </c>
      <c r="B273" s="9">
        <v>5</v>
      </c>
      <c r="C273" s="9">
        <v>1</v>
      </c>
      <c r="D273" s="9">
        <v>33</v>
      </c>
      <c r="E273" s="9">
        <v>2.8</v>
      </c>
      <c r="F273" s="9">
        <v>0.82</v>
      </c>
      <c r="G273" s="7" t="s">
        <v>49</v>
      </c>
    </row>
    <row r="274" spans="1:7" x14ac:dyDescent="0.2">
      <c r="A274" s="9">
        <v>0</v>
      </c>
      <c r="B274" s="9">
        <v>8</v>
      </c>
      <c r="C274" s="9">
        <v>11</v>
      </c>
      <c r="D274" s="9">
        <v>45</v>
      </c>
      <c r="E274" s="9">
        <v>3.3</v>
      </c>
      <c r="F274" s="9">
        <v>0.81</v>
      </c>
      <c r="G274" s="7" t="s">
        <v>49</v>
      </c>
    </row>
    <row r="275" spans="1:7" x14ac:dyDescent="0.2">
      <c r="A275" s="9">
        <v>0</v>
      </c>
      <c r="B275" s="9">
        <v>7</v>
      </c>
      <c r="C275" s="9">
        <v>2</v>
      </c>
      <c r="D275" s="9">
        <v>21</v>
      </c>
      <c r="E275" s="9">
        <v>6.3</v>
      </c>
      <c r="F275" s="9">
        <v>0.8</v>
      </c>
      <c r="G275" s="7" t="s">
        <v>49</v>
      </c>
    </row>
    <row r="276" spans="1:7" x14ac:dyDescent="0.2">
      <c r="A276" s="9">
        <v>0</v>
      </c>
      <c r="B276" s="9">
        <v>7</v>
      </c>
      <c r="C276" s="9">
        <v>0</v>
      </c>
      <c r="D276" s="9">
        <v>22</v>
      </c>
      <c r="E276" s="9">
        <v>6.4</v>
      </c>
      <c r="F276" s="9">
        <v>0.78</v>
      </c>
      <c r="G276" s="7" t="s">
        <v>49</v>
      </c>
    </row>
    <row r="277" spans="1:7" x14ac:dyDescent="0.2">
      <c r="A277" s="9">
        <v>0</v>
      </c>
      <c r="B277" s="9">
        <v>4</v>
      </c>
      <c r="C277" s="9">
        <v>3</v>
      </c>
      <c r="D277" s="9">
        <v>20</v>
      </c>
      <c r="E277" s="9">
        <v>5.4</v>
      </c>
      <c r="F277" s="9">
        <v>0.76</v>
      </c>
      <c r="G277" s="7" t="s">
        <v>49</v>
      </c>
    </row>
    <row r="278" spans="1:7" x14ac:dyDescent="0.2">
      <c r="A278" s="9">
        <v>0</v>
      </c>
      <c r="B278" s="9">
        <v>14</v>
      </c>
      <c r="C278" s="9">
        <v>2</v>
      </c>
      <c r="D278" s="9">
        <v>37</v>
      </c>
      <c r="E278" s="9">
        <v>2.6</v>
      </c>
      <c r="F278" s="9">
        <v>0.76</v>
      </c>
      <c r="G278" s="7" t="s">
        <v>49</v>
      </c>
    </row>
    <row r="279" spans="1:7" x14ac:dyDescent="0.2">
      <c r="A279" s="9">
        <v>0</v>
      </c>
      <c r="B279" s="9">
        <v>19</v>
      </c>
      <c r="C279" s="9">
        <v>16</v>
      </c>
      <c r="D279" s="9">
        <v>45</v>
      </c>
      <c r="E279" s="9">
        <v>3.7</v>
      </c>
      <c r="F279" s="9">
        <v>0.75</v>
      </c>
      <c r="G279" s="7" t="s">
        <v>49</v>
      </c>
    </row>
    <row r="280" spans="1:7" x14ac:dyDescent="0.2">
      <c r="A280" s="9">
        <v>1</v>
      </c>
      <c r="B280" s="9">
        <v>7</v>
      </c>
      <c r="C280" s="9">
        <v>8</v>
      </c>
      <c r="D280" s="9">
        <v>30</v>
      </c>
      <c r="E280" s="9">
        <v>4</v>
      </c>
      <c r="F280" s="9">
        <v>0.75</v>
      </c>
      <c r="G280" s="7" t="s">
        <v>49</v>
      </c>
    </row>
    <row r="281" spans="1:7" x14ac:dyDescent="0.2">
      <c r="A281" s="9">
        <v>1</v>
      </c>
      <c r="B281" s="9">
        <v>0</v>
      </c>
      <c r="C281" s="9">
        <v>6</v>
      </c>
      <c r="D281" s="9">
        <v>18</v>
      </c>
      <c r="E281" s="9">
        <v>5.8</v>
      </c>
      <c r="F281" s="9">
        <v>0.75</v>
      </c>
      <c r="G281" s="7" t="s">
        <v>49</v>
      </c>
    </row>
    <row r="282" spans="1:7" x14ac:dyDescent="0.2">
      <c r="A282" s="9">
        <v>1</v>
      </c>
      <c r="B282" s="9">
        <v>0</v>
      </c>
      <c r="C282" s="9">
        <v>0</v>
      </c>
      <c r="D282" s="9">
        <v>14</v>
      </c>
      <c r="E282" s="9">
        <v>7.5</v>
      </c>
      <c r="F282" s="9">
        <v>0.75</v>
      </c>
      <c r="G282" s="7" t="s">
        <v>49</v>
      </c>
    </row>
    <row r="283" spans="1:7" x14ac:dyDescent="0.2">
      <c r="A283" s="9">
        <v>1</v>
      </c>
      <c r="B283" s="9">
        <v>2</v>
      </c>
      <c r="C283" s="9">
        <v>5</v>
      </c>
      <c r="D283" s="9">
        <v>16</v>
      </c>
      <c r="E283" s="9">
        <v>6.4</v>
      </c>
      <c r="F283" s="9">
        <v>0.75</v>
      </c>
      <c r="G283" s="7" t="s">
        <v>49</v>
      </c>
    </row>
    <row r="284" spans="1:7" x14ac:dyDescent="0.2">
      <c r="A284" s="9">
        <v>1</v>
      </c>
      <c r="B284" s="9">
        <v>0</v>
      </c>
      <c r="C284" s="9">
        <v>18</v>
      </c>
      <c r="D284" s="9">
        <v>18</v>
      </c>
      <c r="E284" s="9">
        <v>12.9</v>
      </c>
      <c r="F284" s="9">
        <v>0.74</v>
      </c>
      <c r="G284" s="7" t="s">
        <v>49</v>
      </c>
    </row>
    <row r="285" spans="1:7" x14ac:dyDescent="0.2">
      <c r="A285" s="9">
        <v>0</v>
      </c>
      <c r="B285" s="9">
        <v>8</v>
      </c>
      <c r="C285" s="9">
        <v>6</v>
      </c>
      <c r="D285" s="9">
        <v>26</v>
      </c>
      <c r="E285" s="9">
        <v>4.0999999999999996</v>
      </c>
      <c r="F285" s="9">
        <v>0.74</v>
      </c>
      <c r="G285" s="7" t="s">
        <v>49</v>
      </c>
    </row>
    <row r="286" spans="1:7" x14ac:dyDescent="0.2">
      <c r="A286" s="9">
        <v>0</v>
      </c>
      <c r="B286" s="9">
        <v>2</v>
      </c>
      <c r="C286" s="9">
        <v>8</v>
      </c>
      <c r="D286" s="9">
        <v>25</v>
      </c>
      <c r="E286" s="9">
        <v>10</v>
      </c>
      <c r="F286" s="9">
        <v>0.73</v>
      </c>
      <c r="G286" s="7" t="s">
        <v>49</v>
      </c>
    </row>
    <row r="287" spans="1:7" x14ac:dyDescent="0.2">
      <c r="A287" s="9">
        <v>1</v>
      </c>
      <c r="B287" s="9">
        <v>2</v>
      </c>
      <c r="C287" s="9">
        <v>2</v>
      </c>
      <c r="D287" s="9">
        <v>16</v>
      </c>
      <c r="E287" s="9">
        <v>9.6</v>
      </c>
      <c r="F287" s="9">
        <v>0.73</v>
      </c>
      <c r="G287" s="7" t="s">
        <v>49</v>
      </c>
    </row>
    <row r="288" spans="1:7" x14ac:dyDescent="0.2">
      <c r="A288" s="9">
        <v>0</v>
      </c>
      <c r="B288" s="9">
        <v>5</v>
      </c>
      <c r="C288" s="9">
        <v>9</v>
      </c>
      <c r="D288" s="9">
        <v>23</v>
      </c>
      <c r="E288" s="9">
        <v>4.5</v>
      </c>
      <c r="F288" s="9">
        <v>0.71</v>
      </c>
      <c r="G288" s="7" t="s">
        <v>49</v>
      </c>
    </row>
    <row r="289" spans="1:7" x14ac:dyDescent="0.2">
      <c r="A289" s="9">
        <v>0</v>
      </c>
      <c r="B289" s="9">
        <v>12</v>
      </c>
      <c r="C289" s="9">
        <v>12</v>
      </c>
      <c r="D289" s="9">
        <v>28</v>
      </c>
      <c r="E289" s="9">
        <v>2.9</v>
      </c>
      <c r="F289" s="9">
        <v>0.7</v>
      </c>
      <c r="G289" s="7" t="s">
        <v>49</v>
      </c>
    </row>
    <row r="290" spans="1:7" x14ac:dyDescent="0.2">
      <c r="A290" s="9">
        <v>0</v>
      </c>
      <c r="B290" s="9">
        <v>13</v>
      </c>
      <c r="C290" s="9">
        <v>2</v>
      </c>
      <c r="D290" s="9">
        <v>28</v>
      </c>
      <c r="E290" s="9">
        <v>5.9</v>
      </c>
      <c r="F290" s="9">
        <v>0.69</v>
      </c>
      <c r="G290" s="7" t="s">
        <v>49</v>
      </c>
    </row>
    <row r="291" spans="1:7" x14ac:dyDescent="0.2">
      <c r="A291" s="9">
        <v>0</v>
      </c>
      <c r="B291" s="9">
        <v>8</v>
      </c>
      <c r="C291" s="9">
        <v>2</v>
      </c>
      <c r="D291" s="9">
        <v>45</v>
      </c>
      <c r="E291" s="9">
        <v>3.7</v>
      </c>
      <c r="F291" s="9">
        <v>0.68</v>
      </c>
      <c r="G291" s="7" t="s">
        <v>49</v>
      </c>
    </row>
    <row r="292" spans="1:7" x14ac:dyDescent="0.2">
      <c r="A292" s="9">
        <v>0</v>
      </c>
      <c r="B292" s="9">
        <v>13</v>
      </c>
      <c r="C292" s="9">
        <v>10</v>
      </c>
      <c r="D292" s="9">
        <v>44</v>
      </c>
      <c r="E292" s="9">
        <v>1.7</v>
      </c>
      <c r="F292" s="9">
        <v>0.68</v>
      </c>
      <c r="G292" s="7" t="s">
        <v>49</v>
      </c>
    </row>
    <row r="293" spans="1:7" x14ac:dyDescent="0.2">
      <c r="A293" s="9">
        <v>1</v>
      </c>
      <c r="B293" s="9">
        <v>1</v>
      </c>
      <c r="C293" s="9">
        <v>0</v>
      </c>
      <c r="D293" s="9">
        <v>20</v>
      </c>
      <c r="E293" s="9">
        <v>4.8</v>
      </c>
      <c r="F293" s="9">
        <v>0.65</v>
      </c>
      <c r="G293" s="7" t="s">
        <v>49</v>
      </c>
    </row>
    <row r="294" spans="1:7" x14ac:dyDescent="0.2">
      <c r="A294" s="9">
        <v>0</v>
      </c>
      <c r="B294" s="9">
        <v>3</v>
      </c>
      <c r="C294" s="9">
        <v>3</v>
      </c>
      <c r="D294" s="9">
        <v>25</v>
      </c>
      <c r="E294" s="9">
        <v>3.7</v>
      </c>
      <c r="F294" s="9">
        <v>0.65</v>
      </c>
      <c r="G294" s="7" t="s">
        <v>49</v>
      </c>
    </row>
    <row r="295" spans="1:7" x14ac:dyDescent="0.2">
      <c r="A295" s="9">
        <v>0</v>
      </c>
      <c r="B295" s="9">
        <v>9</v>
      </c>
      <c r="C295" s="9">
        <v>10</v>
      </c>
      <c r="D295" s="9">
        <v>28</v>
      </c>
      <c r="E295" s="9">
        <v>2.4</v>
      </c>
      <c r="F295" s="9">
        <v>0.62</v>
      </c>
      <c r="G295" s="7" t="s">
        <v>49</v>
      </c>
    </row>
    <row r="296" spans="1:7" x14ac:dyDescent="0.2">
      <c r="A296" s="9">
        <v>0</v>
      </c>
      <c r="B296" s="9">
        <v>3</v>
      </c>
      <c r="C296" s="9">
        <v>18</v>
      </c>
      <c r="D296" s="9">
        <v>25</v>
      </c>
      <c r="E296" s="9">
        <v>3.7</v>
      </c>
      <c r="F296" s="9">
        <v>0.61</v>
      </c>
      <c r="G296" s="7" t="s">
        <v>49</v>
      </c>
    </row>
    <row r="297" spans="1:7" x14ac:dyDescent="0.2">
      <c r="A297" s="9">
        <v>0</v>
      </c>
      <c r="B297" s="9">
        <v>14</v>
      </c>
      <c r="C297" s="9">
        <v>0</v>
      </c>
      <c r="D297" s="9">
        <v>36</v>
      </c>
      <c r="E297" s="9">
        <v>2.4</v>
      </c>
      <c r="F297" s="9">
        <v>0.59</v>
      </c>
      <c r="G297" s="7" t="s">
        <v>49</v>
      </c>
    </row>
    <row r="298" spans="1:7" x14ac:dyDescent="0.2">
      <c r="A298" s="9">
        <v>0</v>
      </c>
      <c r="B298" s="9">
        <v>13</v>
      </c>
      <c r="C298" s="9">
        <v>3</v>
      </c>
      <c r="D298" s="9">
        <v>105</v>
      </c>
      <c r="E298" s="9">
        <v>1.9</v>
      </c>
      <c r="F298" s="9">
        <v>0.57999999999999996</v>
      </c>
      <c r="G298" s="7" t="s">
        <v>49</v>
      </c>
    </row>
    <row r="299" spans="1:7" x14ac:dyDescent="0.2">
      <c r="A299" s="9">
        <v>0</v>
      </c>
      <c r="B299" s="9">
        <v>6</v>
      </c>
      <c r="C299" s="9">
        <v>0</v>
      </c>
      <c r="D299" s="9">
        <v>35</v>
      </c>
      <c r="E299" s="9">
        <v>1.9</v>
      </c>
      <c r="F299" s="9">
        <v>0.57999999999999996</v>
      </c>
      <c r="G299" s="7" t="s">
        <v>49</v>
      </c>
    </row>
    <row r="300" spans="1:7" x14ac:dyDescent="0.2">
      <c r="A300" s="9">
        <v>1</v>
      </c>
      <c r="B300" s="9">
        <v>2</v>
      </c>
      <c r="C300" s="9">
        <v>4</v>
      </c>
      <c r="D300" s="9">
        <v>41</v>
      </c>
      <c r="E300" s="9">
        <v>2.5</v>
      </c>
      <c r="F300" s="9">
        <v>0.56999999999999995</v>
      </c>
      <c r="G300" s="7" t="s">
        <v>49</v>
      </c>
    </row>
    <row r="301" spans="1:7" x14ac:dyDescent="0.2">
      <c r="A301" s="9">
        <v>0</v>
      </c>
      <c r="B301" s="9">
        <v>15</v>
      </c>
      <c r="C301" s="9">
        <v>10</v>
      </c>
      <c r="D301" s="9">
        <v>39</v>
      </c>
      <c r="E301" s="9">
        <v>3.2</v>
      </c>
      <c r="F301" s="9">
        <v>0.56000000000000005</v>
      </c>
      <c r="G301" s="7" t="s">
        <v>49</v>
      </c>
    </row>
    <row r="302" spans="1:7" x14ac:dyDescent="0.2">
      <c r="A302" s="9">
        <v>0</v>
      </c>
      <c r="B302" s="9">
        <v>18</v>
      </c>
      <c r="C302" s="9">
        <v>9</v>
      </c>
      <c r="D302" s="9">
        <v>44</v>
      </c>
      <c r="E302" s="9">
        <v>2.1</v>
      </c>
      <c r="F302" s="9">
        <v>0.56000000000000005</v>
      </c>
      <c r="G302" s="7" t="s">
        <v>49</v>
      </c>
    </row>
    <row r="303" spans="1:7" x14ac:dyDescent="0.2">
      <c r="A303" s="9">
        <v>0</v>
      </c>
      <c r="B303" s="9">
        <v>8</v>
      </c>
      <c r="C303" s="9">
        <v>0</v>
      </c>
      <c r="D303" s="9">
        <v>21</v>
      </c>
      <c r="E303" s="9">
        <v>4</v>
      </c>
      <c r="F303" s="9">
        <v>0.56000000000000005</v>
      </c>
      <c r="G303" s="7" t="s">
        <v>49</v>
      </c>
    </row>
    <row r="304" spans="1:7" x14ac:dyDescent="0.2">
      <c r="A304" s="9">
        <v>0</v>
      </c>
      <c r="B304" s="9">
        <v>15</v>
      </c>
      <c r="C304" s="9">
        <v>16</v>
      </c>
      <c r="D304" s="9">
        <v>39</v>
      </c>
      <c r="E304" s="9">
        <v>1.8</v>
      </c>
      <c r="F304" s="9">
        <v>0.56000000000000005</v>
      </c>
      <c r="G304" s="7" t="s">
        <v>49</v>
      </c>
    </row>
    <row r="305" spans="1:7" x14ac:dyDescent="0.2">
      <c r="A305" s="9">
        <v>0</v>
      </c>
      <c r="B305" s="9">
        <v>13</v>
      </c>
      <c r="C305" s="9">
        <v>7</v>
      </c>
      <c r="D305" s="9">
        <v>27</v>
      </c>
      <c r="E305" s="9">
        <v>2.2999999999999998</v>
      </c>
      <c r="F305" s="9">
        <v>0.55000000000000004</v>
      </c>
      <c r="G305" s="7" t="s">
        <v>49</v>
      </c>
    </row>
    <row r="306" spans="1:7" x14ac:dyDescent="0.2">
      <c r="A306" s="9">
        <v>0</v>
      </c>
      <c r="B306" s="9">
        <v>5</v>
      </c>
      <c r="C306" s="9">
        <v>6</v>
      </c>
      <c r="D306" s="9">
        <v>75</v>
      </c>
      <c r="E306" s="9">
        <v>1.9</v>
      </c>
      <c r="F306" s="9">
        <v>0.54</v>
      </c>
      <c r="G306" s="7" t="s">
        <v>49</v>
      </c>
    </row>
    <row r="307" spans="1:7" x14ac:dyDescent="0.2">
      <c r="A307" s="9">
        <v>0</v>
      </c>
      <c r="B307" s="9">
        <v>4</v>
      </c>
      <c r="C307" s="9">
        <v>9</v>
      </c>
      <c r="D307" s="9">
        <v>19</v>
      </c>
      <c r="E307" s="9">
        <v>6.3</v>
      </c>
      <c r="F307" s="9">
        <v>0.52</v>
      </c>
      <c r="G307" s="7" t="s">
        <v>49</v>
      </c>
    </row>
    <row r="308" spans="1:7" x14ac:dyDescent="0.2">
      <c r="A308" s="9">
        <v>0</v>
      </c>
      <c r="B308" s="9">
        <v>20</v>
      </c>
      <c r="C308" s="9">
        <v>2</v>
      </c>
      <c r="D308" s="9">
        <v>56</v>
      </c>
      <c r="E308" s="9">
        <v>1.9</v>
      </c>
      <c r="F308" s="9">
        <v>0.52</v>
      </c>
      <c r="G308" s="7" t="s">
        <v>49</v>
      </c>
    </row>
    <row r="309" spans="1:7" x14ac:dyDescent="0.2">
      <c r="A309" s="9">
        <v>0</v>
      </c>
      <c r="B309" s="9">
        <v>1</v>
      </c>
      <c r="C309" s="9">
        <v>0</v>
      </c>
      <c r="D309" s="9">
        <v>18</v>
      </c>
      <c r="E309" s="9">
        <v>4.4000000000000004</v>
      </c>
      <c r="F309" s="9">
        <v>0.52</v>
      </c>
      <c r="G309" s="7" t="s">
        <v>49</v>
      </c>
    </row>
    <row r="310" spans="1:7" x14ac:dyDescent="0.2">
      <c r="A310" s="9">
        <v>0</v>
      </c>
      <c r="B310" s="9">
        <v>3</v>
      </c>
      <c r="C310" s="9">
        <v>7</v>
      </c>
      <c r="D310" s="9">
        <v>19</v>
      </c>
      <c r="E310" s="9">
        <v>4.0999999999999996</v>
      </c>
      <c r="F310" s="9">
        <v>0.52</v>
      </c>
      <c r="G310" s="7" t="s">
        <v>49</v>
      </c>
    </row>
    <row r="311" spans="1:7" x14ac:dyDescent="0.2">
      <c r="A311" s="9">
        <v>0</v>
      </c>
      <c r="B311" s="9">
        <v>22</v>
      </c>
      <c r="C311" s="9">
        <v>3</v>
      </c>
      <c r="D311" s="9">
        <v>52</v>
      </c>
      <c r="E311" s="9">
        <v>3.2</v>
      </c>
      <c r="F311" s="9">
        <v>0.51</v>
      </c>
      <c r="G311" s="7" t="s">
        <v>49</v>
      </c>
    </row>
    <row r="312" spans="1:7" x14ac:dyDescent="0.2">
      <c r="A312" s="9">
        <v>0</v>
      </c>
      <c r="B312" s="9">
        <v>10</v>
      </c>
      <c r="C312" s="9">
        <v>2</v>
      </c>
      <c r="D312" s="9">
        <v>19</v>
      </c>
      <c r="E312" s="9">
        <v>4.4000000000000004</v>
      </c>
      <c r="F312" s="9">
        <v>0.5</v>
      </c>
      <c r="G312" s="7" t="s">
        <v>49</v>
      </c>
    </row>
    <row r="313" spans="1:7" x14ac:dyDescent="0.2">
      <c r="A313" s="9">
        <v>0</v>
      </c>
      <c r="B313" s="9">
        <v>8</v>
      </c>
      <c r="C313" s="9">
        <v>0</v>
      </c>
      <c r="D313" s="9">
        <v>32</v>
      </c>
      <c r="E313" s="9">
        <v>1.6</v>
      </c>
      <c r="F313" s="9">
        <v>0.49</v>
      </c>
      <c r="G313" s="7" t="s">
        <v>49</v>
      </c>
    </row>
    <row r="314" spans="1:7" x14ac:dyDescent="0.2">
      <c r="A314" s="9">
        <v>0</v>
      </c>
      <c r="B314" s="9">
        <v>5</v>
      </c>
      <c r="C314" s="9">
        <v>9</v>
      </c>
      <c r="D314" s="9">
        <v>22</v>
      </c>
      <c r="E314" s="9">
        <v>2.8</v>
      </c>
      <c r="F314" s="9">
        <v>0.48</v>
      </c>
      <c r="G314" s="7" t="s">
        <v>49</v>
      </c>
    </row>
    <row r="315" spans="1:7" x14ac:dyDescent="0.2">
      <c r="A315" s="9">
        <v>0</v>
      </c>
      <c r="B315" s="9">
        <v>10</v>
      </c>
      <c r="C315" s="9">
        <v>1</v>
      </c>
      <c r="D315" s="9">
        <v>25</v>
      </c>
      <c r="E315" s="9">
        <v>7.1</v>
      </c>
      <c r="F315" s="9">
        <v>0.47</v>
      </c>
      <c r="G315" s="7" t="s">
        <v>49</v>
      </c>
    </row>
    <row r="316" spans="1:7" x14ac:dyDescent="0.2">
      <c r="A316" s="9">
        <v>0</v>
      </c>
      <c r="B316" s="9">
        <v>8</v>
      </c>
      <c r="C316" s="9">
        <v>17</v>
      </c>
      <c r="D316" s="9">
        <v>28</v>
      </c>
      <c r="E316" s="9">
        <v>3.6</v>
      </c>
      <c r="F316" s="9">
        <v>0.47</v>
      </c>
      <c r="G316" s="7" t="s">
        <v>49</v>
      </c>
    </row>
    <row r="317" spans="1:7" x14ac:dyDescent="0.2">
      <c r="A317" s="9">
        <v>0</v>
      </c>
      <c r="B317" s="9">
        <v>1</v>
      </c>
      <c r="C317" s="9">
        <v>7</v>
      </c>
      <c r="D317" s="9">
        <v>27</v>
      </c>
      <c r="E317" s="9">
        <v>2.9</v>
      </c>
      <c r="F317" s="9">
        <v>0.47</v>
      </c>
      <c r="G317" s="7" t="s">
        <v>49</v>
      </c>
    </row>
    <row r="318" spans="1:7" x14ac:dyDescent="0.2">
      <c r="A318" s="9">
        <v>0</v>
      </c>
      <c r="B318" s="9">
        <v>3</v>
      </c>
      <c r="C318" s="9">
        <v>13</v>
      </c>
      <c r="D318" s="9">
        <v>47</v>
      </c>
      <c r="E318" s="9">
        <v>1.9</v>
      </c>
      <c r="F318" s="9">
        <v>0.46</v>
      </c>
      <c r="G318" s="7" t="s">
        <v>49</v>
      </c>
    </row>
    <row r="319" spans="1:7" x14ac:dyDescent="0.2">
      <c r="A319" s="9">
        <v>0</v>
      </c>
      <c r="B319" s="9">
        <v>3</v>
      </c>
      <c r="C319" s="9">
        <v>0</v>
      </c>
      <c r="D319" s="9">
        <v>19</v>
      </c>
      <c r="E319" s="9">
        <v>4.3</v>
      </c>
      <c r="F319" s="9">
        <v>0.46</v>
      </c>
      <c r="G319" s="7" t="s">
        <v>49</v>
      </c>
    </row>
    <row r="320" spans="1:7" x14ac:dyDescent="0.2">
      <c r="A320" s="9">
        <v>0</v>
      </c>
      <c r="B320" s="9">
        <v>4</v>
      </c>
      <c r="C320" s="9">
        <v>13</v>
      </c>
      <c r="D320" s="9">
        <v>56</v>
      </c>
      <c r="E320" s="9">
        <v>1.6</v>
      </c>
      <c r="F320" s="9">
        <v>0.45</v>
      </c>
      <c r="G320" s="7" t="s">
        <v>49</v>
      </c>
    </row>
    <row r="321" spans="1:7" x14ac:dyDescent="0.2">
      <c r="A321" s="9">
        <v>0</v>
      </c>
      <c r="B321" s="9">
        <v>4</v>
      </c>
      <c r="C321" s="9">
        <v>2</v>
      </c>
      <c r="D321" s="9">
        <v>21</v>
      </c>
      <c r="E321" s="9">
        <v>2.6</v>
      </c>
      <c r="F321" s="9">
        <v>0.45</v>
      </c>
      <c r="G321" s="7" t="s">
        <v>49</v>
      </c>
    </row>
    <row r="322" spans="1:7" x14ac:dyDescent="0.2">
      <c r="A322" s="9">
        <v>0</v>
      </c>
      <c r="B322" s="9">
        <v>14</v>
      </c>
      <c r="C322" s="9">
        <v>3</v>
      </c>
      <c r="D322" s="9">
        <v>44</v>
      </c>
      <c r="E322" s="9">
        <v>1.7</v>
      </c>
      <c r="F322" s="9">
        <v>0.39</v>
      </c>
      <c r="G322" s="7" t="s">
        <v>49</v>
      </c>
    </row>
    <row r="323" spans="1:7" x14ac:dyDescent="0.2">
      <c r="A323" s="9">
        <v>1</v>
      </c>
      <c r="B323" s="9">
        <v>4</v>
      </c>
      <c r="C323" s="9">
        <v>3</v>
      </c>
      <c r="D323" s="9">
        <v>27</v>
      </c>
      <c r="E323" s="9">
        <v>10.5</v>
      </c>
      <c r="F323" s="9">
        <v>0.36</v>
      </c>
      <c r="G323" s="7" t="s">
        <v>49</v>
      </c>
    </row>
    <row r="324" spans="1:7" x14ac:dyDescent="0.2">
      <c r="A324" s="9">
        <v>0</v>
      </c>
      <c r="B324" s="9">
        <v>16</v>
      </c>
      <c r="C324" s="9">
        <v>22</v>
      </c>
      <c r="D324" s="9">
        <v>49</v>
      </c>
      <c r="E324" s="9">
        <v>1.6</v>
      </c>
      <c r="F324" s="9">
        <v>0.35</v>
      </c>
      <c r="G324" s="7" t="s">
        <v>49</v>
      </c>
    </row>
    <row r="325" spans="1:7" x14ac:dyDescent="0.2">
      <c r="A325" s="9">
        <v>0</v>
      </c>
      <c r="B325" s="9">
        <v>0</v>
      </c>
      <c r="C325" s="9">
        <v>21</v>
      </c>
      <c r="D325" s="9">
        <v>26</v>
      </c>
      <c r="E325" s="9">
        <v>1.7</v>
      </c>
      <c r="F325" s="9">
        <v>0.34</v>
      </c>
      <c r="G325" s="7" t="s">
        <v>49</v>
      </c>
    </row>
    <row r="326" spans="1:7" x14ac:dyDescent="0.2">
      <c r="A326" s="9">
        <v>0</v>
      </c>
      <c r="B326" s="9">
        <v>3</v>
      </c>
      <c r="C326" s="9">
        <v>15</v>
      </c>
      <c r="D326" s="9">
        <v>20</v>
      </c>
      <c r="E326" s="9">
        <v>2.1</v>
      </c>
      <c r="F326" s="9">
        <v>0.32</v>
      </c>
      <c r="G326" s="7" t="s">
        <v>49</v>
      </c>
    </row>
    <row r="327" spans="1:7" x14ac:dyDescent="0.2">
      <c r="A327" s="9">
        <v>0</v>
      </c>
      <c r="B327" s="9">
        <v>1</v>
      </c>
      <c r="C327" s="9">
        <v>4</v>
      </c>
      <c r="D327" s="9">
        <v>17</v>
      </c>
      <c r="E327" s="9">
        <v>2.5</v>
      </c>
      <c r="F327" s="9">
        <v>0.28999999999999998</v>
      </c>
      <c r="G327" s="7" t="s">
        <v>49</v>
      </c>
    </row>
    <row r="328" spans="1:7" x14ac:dyDescent="0.2">
      <c r="A328" s="9">
        <v>1</v>
      </c>
      <c r="B328" s="9">
        <v>1</v>
      </c>
      <c r="C328" s="9">
        <v>6</v>
      </c>
      <c r="D328" s="9">
        <v>21</v>
      </c>
      <c r="E328" s="9">
        <v>2.5</v>
      </c>
      <c r="F328" s="9">
        <v>0.25</v>
      </c>
      <c r="G328" s="7" t="s">
        <v>49</v>
      </c>
    </row>
    <row r="329" spans="1:7" x14ac:dyDescent="0.2">
      <c r="A329" s="9">
        <v>0</v>
      </c>
      <c r="B329" s="9">
        <v>3</v>
      </c>
      <c r="C329" s="9">
        <v>8</v>
      </c>
      <c r="D329" s="9">
        <v>15</v>
      </c>
      <c r="E329" s="9">
        <v>2.6</v>
      </c>
      <c r="F329" s="9">
        <v>0.24</v>
      </c>
      <c r="G329" s="7" t="s">
        <v>49</v>
      </c>
    </row>
    <row r="330" spans="1:7" x14ac:dyDescent="0.2">
      <c r="A330" s="9">
        <v>0</v>
      </c>
      <c r="B330" s="9">
        <v>8</v>
      </c>
      <c r="C330" s="9">
        <v>21</v>
      </c>
      <c r="D330" s="9">
        <v>43</v>
      </c>
      <c r="E330" s="9">
        <v>0.7</v>
      </c>
      <c r="F330" s="9">
        <v>0.22</v>
      </c>
      <c r="G330" s="7" t="s">
        <v>49</v>
      </c>
    </row>
    <row r="331" spans="1:7" x14ac:dyDescent="0.2">
      <c r="A331" s="9">
        <v>0</v>
      </c>
      <c r="B331" s="9">
        <v>16</v>
      </c>
      <c r="C331" s="9">
        <v>7</v>
      </c>
      <c r="D331" s="9">
        <v>89</v>
      </c>
      <c r="E331" s="9">
        <v>0.4</v>
      </c>
      <c r="F331" s="9">
        <v>0.2</v>
      </c>
      <c r="G331" s="7" t="s">
        <v>49</v>
      </c>
    </row>
    <row r="332" spans="1:7" x14ac:dyDescent="0.2">
      <c r="A332" s="9">
        <v>0</v>
      </c>
      <c r="B332" s="9">
        <v>8</v>
      </c>
      <c r="C332" s="9">
        <v>16</v>
      </c>
      <c r="D332" s="9">
        <v>38</v>
      </c>
      <c r="E332" s="9">
        <v>0.6</v>
      </c>
      <c r="F332" s="9">
        <v>0.2</v>
      </c>
      <c r="G332" s="7" t="s">
        <v>49</v>
      </c>
    </row>
    <row r="333" spans="1:7" x14ac:dyDescent="0.2">
      <c r="A333" s="9">
        <v>0</v>
      </c>
      <c r="B333" s="9">
        <v>14</v>
      </c>
      <c r="C333" s="9">
        <v>3</v>
      </c>
      <c r="D333" s="9">
        <v>82</v>
      </c>
      <c r="E333" s="9">
        <v>0.8</v>
      </c>
      <c r="F333" s="9">
        <v>0.19</v>
      </c>
      <c r="G333" s="7" t="s">
        <v>49</v>
      </c>
    </row>
    <row r="334" spans="1:7" x14ac:dyDescent="0.2">
      <c r="A334" s="9">
        <v>0</v>
      </c>
      <c r="B334" s="9">
        <v>15</v>
      </c>
      <c r="C334" s="9">
        <v>31</v>
      </c>
      <c r="D334" s="9">
        <v>60</v>
      </c>
      <c r="E334" s="9">
        <v>1.1000000000000001</v>
      </c>
      <c r="F334" s="9">
        <v>0.19</v>
      </c>
      <c r="G334" s="7" t="s">
        <v>49</v>
      </c>
    </row>
    <row r="335" spans="1:7" x14ac:dyDescent="0.2">
      <c r="A335" s="9">
        <v>0</v>
      </c>
      <c r="B335" s="9">
        <v>1</v>
      </c>
      <c r="C335" s="9">
        <v>1</v>
      </c>
      <c r="D335" s="9">
        <v>18</v>
      </c>
      <c r="E335" s="9">
        <v>1.1000000000000001</v>
      </c>
      <c r="F335" s="9">
        <v>0.17</v>
      </c>
      <c r="G335" s="7" t="s">
        <v>49</v>
      </c>
    </row>
    <row r="336" spans="1:7" x14ac:dyDescent="0.2">
      <c r="A336" s="9">
        <v>0</v>
      </c>
      <c r="B336" s="9">
        <v>6</v>
      </c>
      <c r="C336" s="9">
        <v>6</v>
      </c>
      <c r="D336" s="9">
        <v>30</v>
      </c>
      <c r="E336" s="9">
        <v>1</v>
      </c>
      <c r="F336" s="9">
        <v>0.16</v>
      </c>
      <c r="G336" s="7" t="s">
        <v>49</v>
      </c>
    </row>
    <row r="337" spans="1:7" x14ac:dyDescent="0.2">
      <c r="A337" s="9">
        <v>0</v>
      </c>
      <c r="B337" s="9">
        <v>4</v>
      </c>
      <c r="C337" s="9">
        <v>1</v>
      </c>
      <c r="D337" s="9">
        <v>16</v>
      </c>
      <c r="E337" s="9">
        <v>1.2</v>
      </c>
      <c r="F337" s="9">
        <v>0.11</v>
      </c>
      <c r="G337" s="7" t="s">
        <v>49</v>
      </c>
    </row>
    <row r="338" spans="1:7" x14ac:dyDescent="0.2">
      <c r="A338" s="9">
        <v>0</v>
      </c>
      <c r="B338" s="9">
        <v>2</v>
      </c>
      <c r="C338" s="9">
        <v>1</v>
      </c>
      <c r="D338" s="9">
        <v>21</v>
      </c>
      <c r="E338" s="9">
        <v>0.6</v>
      </c>
      <c r="F338" s="9">
        <v>0.1</v>
      </c>
      <c r="G338" s="7" t="s">
        <v>49</v>
      </c>
    </row>
    <row r="339" spans="1:7" x14ac:dyDescent="0.2">
      <c r="A339" s="9">
        <v>1</v>
      </c>
      <c r="B339" s="9">
        <v>5</v>
      </c>
      <c r="C339" s="9">
        <v>3</v>
      </c>
      <c r="D339" s="9">
        <v>0</v>
      </c>
      <c r="E339" s="9">
        <v>16</v>
      </c>
      <c r="F339" s="9">
        <v>0</v>
      </c>
      <c r="G339" s="7" t="s">
        <v>49</v>
      </c>
    </row>
    <row r="340" spans="1:7" x14ac:dyDescent="0.2">
      <c r="A340" s="9">
        <v>1</v>
      </c>
      <c r="B340" s="9">
        <v>0</v>
      </c>
      <c r="C340" s="9">
        <v>8</v>
      </c>
      <c r="D340" s="9">
        <v>65</v>
      </c>
      <c r="E340" s="9">
        <v>29.7</v>
      </c>
      <c r="F340" s="9">
        <v>0</v>
      </c>
      <c r="G340" s="7" t="s">
        <v>49</v>
      </c>
    </row>
    <row r="341" spans="1:7" x14ac:dyDescent="0.2">
      <c r="A341" s="9">
        <v>0</v>
      </c>
      <c r="B341" s="9">
        <v>21</v>
      </c>
      <c r="C341" s="9">
        <v>22</v>
      </c>
      <c r="D341" s="13">
        <v>117.54291069294821</v>
      </c>
      <c r="E341" s="9">
        <v>12.2</v>
      </c>
      <c r="F341" s="9">
        <v>0</v>
      </c>
      <c r="G341" s="7" t="s">
        <v>49</v>
      </c>
    </row>
    <row r="342" spans="1:7" x14ac:dyDescent="0.2">
      <c r="A342" s="9">
        <v>0</v>
      </c>
      <c r="B342" s="9">
        <v>27</v>
      </c>
      <c r="C342" s="9">
        <v>21</v>
      </c>
      <c r="D342" s="9">
        <v>0</v>
      </c>
      <c r="E342" s="9">
        <v>11.5</v>
      </c>
      <c r="F342" s="9">
        <v>0</v>
      </c>
      <c r="G342" s="7" t="s">
        <v>49</v>
      </c>
    </row>
    <row r="343" spans="1:7" x14ac:dyDescent="0.2">
      <c r="A343" s="9">
        <v>1</v>
      </c>
      <c r="B343" s="9">
        <v>14</v>
      </c>
      <c r="C343" s="9">
        <v>8</v>
      </c>
      <c r="D343" s="9">
        <v>72</v>
      </c>
      <c r="E343" s="9">
        <v>0</v>
      </c>
      <c r="F343" s="9">
        <v>0</v>
      </c>
      <c r="G343" s="7" t="s">
        <v>49</v>
      </c>
    </row>
    <row r="344" spans="1:7" x14ac:dyDescent="0.2">
      <c r="A344" s="9">
        <v>1</v>
      </c>
      <c r="B344" s="9">
        <v>16</v>
      </c>
      <c r="C344" s="9">
        <v>26</v>
      </c>
      <c r="D344" s="9">
        <v>0</v>
      </c>
      <c r="E344" s="9">
        <v>17.600000000000001</v>
      </c>
      <c r="F344" s="9">
        <v>0</v>
      </c>
      <c r="G344" s="7" t="s">
        <v>49</v>
      </c>
    </row>
    <row r="345" spans="1:7" x14ac:dyDescent="0.2">
      <c r="A345" s="9">
        <v>0</v>
      </c>
      <c r="B345" s="9">
        <v>12</v>
      </c>
      <c r="C345" s="9">
        <v>6</v>
      </c>
      <c r="D345" s="9">
        <v>89</v>
      </c>
      <c r="E345" s="9">
        <v>17.399999999999999</v>
      </c>
      <c r="F345" s="13">
        <v>10.154483815851645</v>
      </c>
      <c r="G345" s="7" t="s">
        <v>49</v>
      </c>
    </row>
    <row r="346" spans="1:7" x14ac:dyDescent="0.2">
      <c r="A346" s="9">
        <v>0</v>
      </c>
      <c r="B346" s="9">
        <v>22</v>
      </c>
      <c r="C346" s="9">
        <v>17</v>
      </c>
      <c r="D346" s="13">
        <v>117.54291069294821</v>
      </c>
      <c r="E346" s="9">
        <v>11.1</v>
      </c>
      <c r="F346" s="13">
        <v>10.154483815851645</v>
      </c>
      <c r="G346" s="7" t="s">
        <v>49</v>
      </c>
    </row>
    <row r="347" spans="1:7" x14ac:dyDescent="0.2">
      <c r="A347" s="9">
        <v>0</v>
      </c>
      <c r="B347" s="9">
        <v>16</v>
      </c>
      <c r="C347" s="9">
        <v>6</v>
      </c>
      <c r="D347" s="9">
        <v>116</v>
      </c>
      <c r="E347" s="9">
        <v>12.1</v>
      </c>
      <c r="F347" s="13">
        <v>10.154483815851645</v>
      </c>
      <c r="G347" s="7" t="s">
        <v>49</v>
      </c>
    </row>
    <row r="348" spans="1:7" x14ac:dyDescent="0.2">
      <c r="A348" s="9">
        <v>1</v>
      </c>
      <c r="B348" s="9">
        <v>27</v>
      </c>
      <c r="C348" s="9">
        <v>18</v>
      </c>
      <c r="D348" s="13">
        <v>117.54291069294821</v>
      </c>
      <c r="E348" s="9">
        <v>25.3</v>
      </c>
      <c r="F348" s="13">
        <v>10.154483815851645</v>
      </c>
      <c r="G348" s="7" t="s">
        <v>49</v>
      </c>
    </row>
    <row r="349" spans="1:7" x14ac:dyDescent="0.2">
      <c r="A349" s="9">
        <v>0</v>
      </c>
      <c r="B349" s="9">
        <v>19</v>
      </c>
      <c r="C349" s="9">
        <v>7</v>
      </c>
      <c r="D349" s="9">
        <v>50</v>
      </c>
      <c r="E349" s="9">
        <v>30.1</v>
      </c>
      <c r="F349" s="13">
        <v>10.154483815851645</v>
      </c>
      <c r="G349" s="7" t="s">
        <v>49</v>
      </c>
    </row>
    <row r="350" spans="1:7" x14ac:dyDescent="0.2">
      <c r="A350" s="9">
        <v>0</v>
      </c>
      <c r="B350" s="9">
        <v>23</v>
      </c>
      <c r="C350" s="9">
        <v>1</v>
      </c>
      <c r="D350" s="9">
        <v>75</v>
      </c>
      <c r="E350" s="9">
        <v>18.899999999999999</v>
      </c>
      <c r="F350" s="13">
        <v>10.154483815851645</v>
      </c>
      <c r="G350" s="7" t="s">
        <v>49</v>
      </c>
    </row>
    <row r="351" spans="1:7" x14ac:dyDescent="0.2">
      <c r="A351" s="9">
        <v>1</v>
      </c>
      <c r="B351" s="9">
        <v>5</v>
      </c>
      <c r="C351" s="9">
        <v>6</v>
      </c>
      <c r="D351" s="9">
        <v>70</v>
      </c>
      <c r="E351" s="9">
        <v>19.899999999999999</v>
      </c>
      <c r="F351" s="13">
        <v>10.154483815851645</v>
      </c>
      <c r="G351" s="7" t="s">
        <v>49</v>
      </c>
    </row>
    <row r="352" spans="1:7" x14ac:dyDescent="0.2">
      <c r="A352" s="9">
        <v>0</v>
      </c>
      <c r="B352" s="9">
        <v>12</v>
      </c>
      <c r="C352" s="9">
        <v>5</v>
      </c>
      <c r="D352" s="9">
        <v>86</v>
      </c>
      <c r="E352" s="9">
        <v>13</v>
      </c>
      <c r="F352" s="9">
        <v>9.6999999999999993</v>
      </c>
      <c r="G352" s="7" t="s">
        <v>50</v>
      </c>
    </row>
    <row r="353" spans="1:7" x14ac:dyDescent="0.2">
      <c r="A353" s="9">
        <v>0</v>
      </c>
      <c r="B353" s="9">
        <v>16</v>
      </c>
      <c r="C353" s="9">
        <v>20</v>
      </c>
      <c r="D353" s="9">
        <v>57</v>
      </c>
      <c r="E353" s="9">
        <v>19.399999999999999</v>
      </c>
      <c r="F353" s="9">
        <v>9.5</v>
      </c>
      <c r="G353" s="7" t="s">
        <v>50</v>
      </c>
    </row>
    <row r="354" spans="1:7" x14ac:dyDescent="0.2">
      <c r="A354" s="9">
        <v>0</v>
      </c>
      <c r="B354" s="9">
        <v>22</v>
      </c>
      <c r="C354" s="9">
        <v>1</v>
      </c>
      <c r="D354" s="9">
        <v>100</v>
      </c>
      <c r="E354" s="9">
        <v>14.6</v>
      </c>
      <c r="F354" s="9">
        <v>9.1999999999999993</v>
      </c>
      <c r="G354" s="7" t="s">
        <v>50</v>
      </c>
    </row>
    <row r="355" spans="1:7" x14ac:dyDescent="0.2">
      <c r="A355" s="9">
        <v>0</v>
      </c>
      <c r="B355" s="9">
        <v>9</v>
      </c>
      <c r="C355" s="9">
        <v>10</v>
      </c>
      <c r="D355" s="9">
        <v>51</v>
      </c>
      <c r="E355" s="9">
        <v>23</v>
      </c>
      <c r="F355" s="9">
        <v>9.0399999999999991</v>
      </c>
      <c r="G355" s="7" t="s">
        <v>50</v>
      </c>
    </row>
    <row r="356" spans="1:7" x14ac:dyDescent="0.2">
      <c r="A356" s="9">
        <v>0</v>
      </c>
      <c r="B356" s="9">
        <v>26</v>
      </c>
      <c r="C356" s="9">
        <v>21</v>
      </c>
      <c r="D356" s="9">
        <v>100</v>
      </c>
      <c r="E356" s="9">
        <v>12.8</v>
      </c>
      <c r="F356" s="9">
        <v>8.2200000000000006</v>
      </c>
      <c r="G356" s="7" t="s">
        <v>50</v>
      </c>
    </row>
    <row r="357" spans="1:7" x14ac:dyDescent="0.2">
      <c r="A357" s="9">
        <v>0</v>
      </c>
      <c r="B357" s="9">
        <v>10</v>
      </c>
      <c r="C357" s="9">
        <v>16</v>
      </c>
      <c r="D357" s="9">
        <v>98</v>
      </c>
      <c r="E357" s="9">
        <v>13.3</v>
      </c>
      <c r="F357" s="9">
        <v>8.16</v>
      </c>
      <c r="G357" s="7" t="s">
        <v>50</v>
      </c>
    </row>
    <row r="358" spans="1:7" x14ac:dyDescent="0.2">
      <c r="A358" s="9">
        <v>1</v>
      </c>
      <c r="B358" s="9">
        <v>9</v>
      </c>
      <c r="C358" s="9">
        <v>1</v>
      </c>
      <c r="D358" s="9">
        <v>52</v>
      </c>
      <c r="E358" s="9">
        <v>20.100000000000001</v>
      </c>
      <c r="F358" s="9">
        <v>7.91</v>
      </c>
      <c r="G358" s="7" t="s">
        <v>50</v>
      </c>
    </row>
    <row r="359" spans="1:7" x14ac:dyDescent="0.2">
      <c r="A359" s="9">
        <v>0</v>
      </c>
      <c r="B359" s="9">
        <v>19</v>
      </c>
      <c r="C359" s="9">
        <v>2</v>
      </c>
      <c r="D359" s="9">
        <v>78</v>
      </c>
      <c r="E359" s="9">
        <v>15.6</v>
      </c>
      <c r="F359" s="9">
        <v>7.76</v>
      </c>
      <c r="G359" s="7" t="s">
        <v>50</v>
      </c>
    </row>
    <row r="360" spans="1:7" x14ac:dyDescent="0.2">
      <c r="A360" s="9">
        <v>1</v>
      </c>
      <c r="B360" s="9">
        <v>7</v>
      </c>
      <c r="C360" s="9">
        <v>6</v>
      </c>
      <c r="D360" s="9">
        <v>56</v>
      </c>
      <c r="E360" s="9">
        <v>14.5</v>
      </c>
      <c r="F360" s="9">
        <v>7.75</v>
      </c>
      <c r="G360" s="7" t="s">
        <v>50</v>
      </c>
    </row>
    <row r="361" spans="1:7" x14ac:dyDescent="0.2">
      <c r="A361" s="9">
        <v>0</v>
      </c>
      <c r="B361" s="9">
        <v>15</v>
      </c>
      <c r="C361" s="9">
        <v>14</v>
      </c>
      <c r="D361" s="9">
        <v>51</v>
      </c>
      <c r="E361" s="9">
        <v>18.100000000000001</v>
      </c>
      <c r="F361" s="9">
        <v>7.68</v>
      </c>
      <c r="G361" s="7" t="s">
        <v>50</v>
      </c>
    </row>
    <row r="362" spans="1:7" x14ac:dyDescent="0.2">
      <c r="A362" s="9">
        <v>0</v>
      </c>
      <c r="B362" s="9">
        <v>9</v>
      </c>
      <c r="C362" s="9">
        <v>10</v>
      </c>
      <c r="D362" s="9">
        <v>60</v>
      </c>
      <c r="E362" s="9">
        <v>15.3</v>
      </c>
      <c r="F362" s="9">
        <v>7.57</v>
      </c>
      <c r="G362" s="7" t="s">
        <v>50</v>
      </c>
    </row>
    <row r="363" spans="1:7" x14ac:dyDescent="0.2">
      <c r="A363" s="9">
        <v>1</v>
      </c>
      <c r="B363" s="9">
        <v>6</v>
      </c>
      <c r="C363" s="9">
        <v>3</v>
      </c>
      <c r="D363" s="9">
        <v>27</v>
      </c>
      <c r="E363" s="9">
        <v>0</v>
      </c>
      <c r="F363" s="9">
        <v>7.55</v>
      </c>
      <c r="G363" s="7" t="s">
        <v>50</v>
      </c>
    </row>
    <row r="364" spans="1:7" x14ac:dyDescent="0.2">
      <c r="A364" s="9">
        <v>1</v>
      </c>
      <c r="B364" s="9">
        <v>0</v>
      </c>
      <c r="C364" s="9">
        <v>2</v>
      </c>
      <c r="D364" s="9">
        <v>28</v>
      </c>
      <c r="E364" s="9">
        <v>0</v>
      </c>
      <c r="F364" s="9">
        <v>7.04</v>
      </c>
      <c r="G364" s="7" t="s">
        <v>50</v>
      </c>
    </row>
    <row r="365" spans="1:7" x14ac:dyDescent="0.2">
      <c r="A365" s="9">
        <v>1</v>
      </c>
      <c r="B365" s="9">
        <v>5</v>
      </c>
      <c r="C365" s="9">
        <v>29</v>
      </c>
      <c r="D365" s="9">
        <v>78</v>
      </c>
      <c r="E365" s="9">
        <v>17.3</v>
      </c>
      <c r="F365" s="9">
        <v>6.56</v>
      </c>
      <c r="G365" s="7" t="s">
        <v>50</v>
      </c>
    </row>
    <row r="366" spans="1:7" x14ac:dyDescent="0.2">
      <c r="A366" s="9">
        <v>1</v>
      </c>
      <c r="B366" s="9">
        <v>5</v>
      </c>
      <c r="C366" s="9">
        <v>17</v>
      </c>
      <c r="D366" s="9">
        <v>94</v>
      </c>
      <c r="E366" s="9">
        <v>10.5</v>
      </c>
      <c r="F366" s="9">
        <v>6.26</v>
      </c>
      <c r="G366" s="7" t="s">
        <v>50</v>
      </c>
    </row>
    <row r="367" spans="1:7" x14ac:dyDescent="0.2">
      <c r="A367" s="9">
        <v>0</v>
      </c>
      <c r="B367" s="9">
        <v>16</v>
      </c>
      <c r="C367" s="9">
        <v>14</v>
      </c>
      <c r="D367" s="9">
        <v>71</v>
      </c>
      <c r="E367" s="9">
        <v>11.1</v>
      </c>
      <c r="F367" s="9">
        <v>6.22</v>
      </c>
      <c r="G367" s="7" t="s">
        <v>50</v>
      </c>
    </row>
    <row r="368" spans="1:7" x14ac:dyDescent="0.2">
      <c r="A368" s="9">
        <v>1</v>
      </c>
      <c r="B368" s="9">
        <v>2</v>
      </c>
      <c r="C368" s="9">
        <v>14</v>
      </c>
      <c r="D368" s="9">
        <v>35</v>
      </c>
      <c r="E368" s="9">
        <v>22.9</v>
      </c>
      <c r="F368" s="9">
        <v>5.89</v>
      </c>
      <c r="G368" s="7" t="s">
        <v>50</v>
      </c>
    </row>
    <row r="369" spans="1:7" x14ac:dyDescent="0.2">
      <c r="A369" s="9">
        <v>1</v>
      </c>
      <c r="B369" s="9">
        <v>10</v>
      </c>
      <c r="C369" s="9">
        <v>13</v>
      </c>
      <c r="D369" s="9">
        <v>57</v>
      </c>
      <c r="E369" s="9">
        <v>20.9</v>
      </c>
      <c r="F369" s="9">
        <v>5.8</v>
      </c>
      <c r="G369" s="7" t="s">
        <v>50</v>
      </c>
    </row>
    <row r="370" spans="1:7" x14ac:dyDescent="0.2">
      <c r="A370" s="9">
        <v>0</v>
      </c>
      <c r="B370" s="9">
        <v>9</v>
      </c>
      <c r="C370" s="9">
        <v>16</v>
      </c>
      <c r="D370" s="9">
        <v>56</v>
      </c>
      <c r="E370" s="9">
        <v>18.7</v>
      </c>
      <c r="F370" s="9">
        <v>5.71</v>
      </c>
      <c r="G370" s="7" t="s">
        <v>50</v>
      </c>
    </row>
    <row r="371" spans="1:7" x14ac:dyDescent="0.2">
      <c r="A371" s="9">
        <v>0</v>
      </c>
      <c r="B371" s="9">
        <v>6</v>
      </c>
      <c r="C371" s="9">
        <v>7</v>
      </c>
      <c r="D371" s="9">
        <v>45</v>
      </c>
      <c r="E371" s="9">
        <v>26</v>
      </c>
      <c r="F371" s="9">
        <v>5.65</v>
      </c>
      <c r="G371" s="7" t="s">
        <v>50</v>
      </c>
    </row>
    <row r="372" spans="1:7" x14ac:dyDescent="0.2">
      <c r="A372" s="9">
        <v>0</v>
      </c>
      <c r="B372" s="9">
        <v>0</v>
      </c>
      <c r="C372" s="9">
        <v>7</v>
      </c>
      <c r="D372" s="9">
        <v>29</v>
      </c>
      <c r="E372" s="9">
        <v>24.2</v>
      </c>
      <c r="F372" s="9">
        <v>5.59</v>
      </c>
      <c r="G372" s="7" t="s">
        <v>50</v>
      </c>
    </row>
    <row r="373" spans="1:7" x14ac:dyDescent="0.2">
      <c r="A373" s="9">
        <v>1</v>
      </c>
      <c r="B373" s="9">
        <v>9</v>
      </c>
      <c r="C373" s="9">
        <v>7</v>
      </c>
      <c r="D373" s="9">
        <v>59</v>
      </c>
      <c r="E373" s="9">
        <v>14.6</v>
      </c>
      <c r="F373" s="9">
        <v>5.5</v>
      </c>
      <c r="G373" s="7" t="s">
        <v>50</v>
      </c>
    </row>
    <row r="374" spans="1:7" x14ac:dyDescent="0.2">
      <c r="A374" s="9">
        <v>1</v>
      </c>
      <c r="B374" s="9">
        <v>9</v>
      </c>
      <c r="C374" s="9">
        <v>6</v>
      </c>
      <c r="D374" s="9">
        <v>45</v>
      </c>
      <c r="E374" s="9">
        <v>17.8</v>
      </c>
      <c r="F374" s="9">
        <v>5.16</v>
      </c>
      <c r="G374" s="7" t="s">
        <v>50</v>
      </c>
    </row>
    <row r="375" spans="1:7" x14ac:dyDescent="0.2">
      <c r="A375" s="9">
        <v>0</v>
      </c>
      <c r="B375" s="9">
        <v>2</v>
      </c>
      <c r="C375" s="9">
        <v>1</v>
      </c>
      <c r="D375" s="9">
        <v>37</v>
      </c>
      <c r="E375" s="9">
        <v>14.2</v>
      </c>
      <c r="F375" s="9">
        <v>5.05</v>
      </c>
      <c r="G375" s="7" t="s">
        <v>50</v>
      </c>
    </row>
    <row r="376" spans="1:7" x14ac:dyDescent="0.2">
      <c r="A376" s="9">
        <v>1</v>
      </c>
      <c r="B376" s="9">
        <v>17</v>
      </c>
      <c r="C376" s="9">
        <v>12</v>
      </c>
      <c r="D376" s="9">
        <v>0</v>
      </c>
      <c r="E376" s="9">
        <v>9.3000000000000007</v>
      </c>
      <c r="F376" s="9">
        <v>5.01</v>
      </c>
      <c r="G376" s="7" t="s">
        <v>50</v>
      </c>
    </row>
    <row r="377" spans="1:7" x14ac:dyDescent="0.2">
      <c r="A377" s="9">
        <v>0</v>
      </c>
      <c r="B377" s="9">
        <v>22</v>
      </c>
      <c r="C377" s="9">
        <v>23</v>
      </c>
      <c r="D377" s="13">
        <v>117.54291069294821</v>
      </c>
      <c r="E377" s="9">
        <v>7.6</v>
      </c>
      <c r="F377" s="9">
        <v>4.9800000000000004</v>
      </c>
      <c r="G377" s="7" t="s">
        <v>50</v>
      </c>
    </row>
    <row r="378" spans="1:7" x14ac:dyDescent="0.2">
      <c r="A378" s="9">
        <v>0</v>
      </c>
      <c r="B378" s="9">
        <v>11</v>
      </c>
      <c r="C378" s="9">
        <v>12</v>
      </c>
      <c r="D378" s="9">
        <v>45</v>
      </c>
      <c r="E378" s="9">
        <v>17</v>
      </c>
      <c r="F378" s="9">
        <v>4.91</v>
      </c>
      <c r="G378" s="7" t="s">
        <v>50</v>
      </c>
    </row>
    <row r="379" spans="1:7" x14ac:dyDescent="0.2">
      <c r="A379" s="9">
        <v>1</v>
      </c>
      <c r="B379" s="9">
        <v>3</v>
      </c>
      <c r="C379" s="9">
        <v>4</v>
      </c>
      <c r="D379" s="9">
        <v>45</v>
      </c>
      <c r="E379" s="9">
        <v>11</v>
      </c>
      <c r="F379" s="9">
        <v>4.66</v>
      </c>
      <c r="G379" s="7" t="s">
        <v>50</v>
      </c>
    </row>
    <row r="380" spans="1:7" x14ac:dyDescent="0.2">
      <c r="A380" s="9">
        <v>0</v>
      </c>
      <c r="B380" s="9">
        <v>12</v>
      </c>
      <c r="C380" s="9">
        <v>1</v>
      </c>
      <c r="D380" s="9">
        <v>54</v>
      </c>
      <c r="E380" s="9">
        <v>14.4</v>
      </c>
      <c r="F380" s="9">
        <v>4.58</v>
      </c>
      <c r="G380" s="7" t="s">
        <v>50</v>
      </c>
    </row>
    <row r="381" spans="1:7" x14ac:dyDescent="0.2">
      <c r="A381" s="9">
        <v>0</v>
      </c>
      <c r="B381" s="9">
        <v>17</v>
      </c>
      <c r="C381" s="9">
        <v>11</v>
      </c>
      <c r="D381" s="9">
        <v>116</v>
      </c>
      <c r="E381" s="9">
        <v>6</v>
      </c>
      <c r="F381" s="9">
        <v>4.4000000000000004</v>
      </c>
      <c r="G381" s="7" t="s">
        <v>50</v>
      </c>
    </row>
    <row r="382" spans="1:7" x14ac:dyDescent="0.2">
      <c r="A382" s="9">
        <v>0</v>
      </c>
      <c r="B382" s="9">
        <v>19</v>
      </c>
      <c r="C382" s="9">
        <v>5</v>
      </c>
      <c r="D382" s="9">
        <v>48</v>
      </c>
      <c r="E382" s="9">
        <v>13.1</v>
      </c>
      <c r="F382" s="9">
        <v>4.3600000000000003</v>
      </c>
      <c r="G382" s="7" t="s">
        <v>50</v>
      </c>
    </row>
    <row r="383" spans="1:7" x14ac:dyDescent="0.2">
      <c r="A383" s="9">
        <v>0</v>
      </c>
      <c r="B383" s="9">
        <v>3</v>
      </c>
      <c r="C383" s="9">
        <v>11</v>
      </c>
      <c r="D383" s="9">
        <v>27</v>
      </c>
      <c r="E383" s="9">
        <v>21.3</v>
      </c>
      <c r="F383" s="9">
        <v>4.3499999999999996</v>
      </c>
      <c r="G383" s="7" t="s">
        <v>50</v>
      </c>
    </row>
    <row r="384" spans="1:7" x14ac:dyDescent="0.2">
      <c r="A384" s="9">
        <v>0</v>
      </c>
      <c r="B384" s="9">
        <v>10</v>
      </c>
      <c r="C384" s="9">
        <v>8</v>
      </c>
      <c r="D384" s="9">
        <v>44</v>
      </c>
      <c r="E384" s="9">
        <v>18.100000000000001</v>
      </c>
      <c r="F384" s="9">
        <v>4.26</v>
      </c>
      <c r="G384" s="7" t="s">
        <v>50</v>
      </c>
    </row>
    <row r="385" spans="1:7" x14ac:dyDescent="0.2">
      <c r="A385" s="9">
        <v>0</v>
      </c>
      <c r="B385" s="9">
        <v>5</v>
      </c>
      <c r="C385" s="9">
        <v>5</v>
      </c>
      <c r="D385" s="9">
        <v>54</v>
      </c>
      <c r="E385" s="9">
        <v>10.6</v>
      </c>
      <c r="F385" s="9">
        <v>4.22</v>
      </c>
      <c r="G385" s="7" t="s">
        <v>50</v>
      </c>
    </row>
    <row r="386" spans="1:7" x14ac:dyDescent="0.2">
      <c r="A386" s="9">
        <v>0</v>
      </c>
      <c r="B386" s="9">
        <v>14</v>
      </c>
      <c r="C386" s="9">
        <v>11</v>
      </c>
      <c r="D386" s="9">
        <v>81</v>
      </c>
      <c r="E386" s="9">
        <v>7.2</v>
      </c>
      <c r="F386" s="9">
        <v>4.05</v>
      </c>
      <c r="G386" s="7" t="s">
        <v>50</v>
      </c>
    </row>
    <row r="387" spans="1:7" x14ac:dyDescent="0.2">
      <c r="A387" s="9">
        <v>1</v>
      </c>
      <c r="B387" s="9">
        <v>0</v>
      </c>
      <c r="C387" s="9">
        <v>6</v>
      </c>
      <c r="D387" s="9">
        <v>70</v>
      </c>
      <c r="E387" s="9">
        <v>8</v>
      </c>
      <c r="F387" s="9">
        <v>3.98</v>
      </c>
      <c r="G387" s="7" t="s">
        <v>50</v>
      </c>
    </row>
    <row r="388" spans="1:7" x14ac:dyDescent="0.2">
      <c r="A388" s="9">
        <v>1</v>
      </c>
      <c r="B388" s="9">
        <v>9</v>
      </c>
      <c r="C388" s="9">
        <v>11</v>
      </c>
      <c r="D388" s="9">
        <v>24</v>
      </c>
      <c r="E388" s="9">
        <v>19.2</v>
      </c>
      <c r="F388" s="9">
        <v>3.81</v>
      </c>
      <c r="G388" s="7" t="s">
        <v>50</v>
      </c>
    </row>
    <row r="389" spans="1:7" x14ac:dyDescent="0.2">
      <c r="A389" s="9">
        <v>1</v>
      </c>
      <c r="B389" s="9">
        <v>6</v>
      </c>
      <c r="C389" s="9">
        <v>8</v>
      </c>
      <c r="D389" s="9">
        <v>47</v>
      </c>
      <c r="E389" s="9">
        <v>19.8</v>
      </c>
      <c r="F389" s="9">
        <v>3.73</v>
      </c>
      <c r="G389" s="7" t="s">
        <v>50</v>
      </c>
    </row>
    <row r="390" spans="1:7" x14ac:dyDescent="0.2">
      <c r="A390" s="9">
        <v>1</v>
      </c>
      <c r="B390" s="9">
        <v>16</v>
      </c>
      <c r="C390" s="9">
        <v>18</v>
      </c>
      <c r="D390" s="9">
        <v>52</v>
      </c>
      <c r="E390" s="9">
        <v>12.9</v>
      </c>
      <c r="F390" s="9">
        <v>3.68</v>
      </c>
      <c r="G390" s="7" t="s">
        <v>50</v>
      </c>
    </row>
    <row r="391" spans="1:7" x14ac:dyDescent="0.2">
      <c r="A391" s="9">
        <v>1</v>
      </c>
      <c r="B391" s="9">
        <v>14</v>
      </c>
      <c r="C391" s="9">
        <v>21</v>
      </c>
      <c r="D391" s="9">
        <v>43</v>
      </c>
      <c r="E391" s="9">
        <v>15</v>
      </c>
      <c r="F391" s="9">
        <v>3.66</v>
      </c>
      <c r="G391" s="7" t="s">
        <v>50</v>
      </c>
    </row>
    <row r="392" spans="1:7" x14ac:dyDescent="0.2">
      <c r="A392" s="9">
        <v>0</v>
      </c>
      <c r="B392" s="9">
        <v>7</v>
      </c>
      <c r="C392" s="9">
        <v>3</v>
      </c>
      <c r="D392" s="9">
        <v>32</v>
      </c>
      <c r="E392" s="9">
        <v>19.600000000000001</v>
      </c>
      <c r="F392" s="9">
        <v>3.58</v>
      </c>
      <c r="G392" s="7" t="s">
        <v>50</v>
      </c>
    </row>
    <row r="393" spans="1:7" x14ac:dyDescent="0.2">
      <c r="A393" s="9">
        <v>1</v>
      </c>
      <c r="B393" s="9">
        <v>9</v>
      </c>
      <c r="C393" s="9">
        <v>18</v>
      </c>
      <c r="D393" s="9">
        <v>50</v>
      </c>
      <c r="E393" s="9">
        <v>11.2</v>
      </c>
      <c r="F393" s="9">
        <v>3.58</v>
      </c>
      <c r="G393" s="7" t="s">
        <v>50</v>
      </c>
    </row>
    <row r="394" spans="1:7" x14ac:dyDescent="0.2">
      <c r="A394" s="9">
        <v>0</v>
      </c>
      <c r="B394" s="9">
        <v>0</v>
      </c>
      <c r="C394" s="9">
        <v>2</v>
      </c>
      <c r="D394" s="9">
        <v>32</v>
      </c>
      <c r="E394" s="9">
        <v>17.600000000000001</v>
      </c>
      <c r="F394" s="9">
        <v>3.49</v>
      </c>
      <c r="G394" s="7" t="s">
        <v>50</v>
      </c>
    </row>
    <row r="395" spans="1:7" x14ac:dyDescent="0.2">
      <c r="A395" s="9">
        <v>0</v>
      </c>
      <c r="B395" s="9">
        <v>9</v>
      </c>
      <c r="C395" s="9">
        <v>13</v>
      </c>
      <c r="D395" s="9">
        <v>45</v>
      </c>
      <c r="E395" s="9">
        <v>10.1</v>
      </c>
      <c r="F395" s="9">
        <v>3.43</v>
      </c>
      <c r="G395" s="7" t="s">
        <v>50</v>
      </c>
    </row>
    <row r="396" spans="1:7" x14ac:dyDescent="0.2">
      <c r="A396" s="9">
        <v>0</v>
      </c>
      <c r="B396" s="9">
        <v>9</v>
      </c>
      <c r="C396" s="9">
        <v>4</v>
      </c>
      <c r="D396" s="9">
        <v>64</v>
      </c>
      <c r="E396" s="9">
        <v>6.6</v>
      </c>
      <c r="F396" s="9">
        <v>3.43</v>
      </c>
      <c r="G396" s="7" t="s">
        <v>50</v>
      </c>
    </row>
    <row r="397" spans="1:7" x14ac:dyDescent="0.2">
      <c r="A397" s="9">
        <v>0</v>
      </c>
      <c r="B397" s="9">
        <v>15</v>
      </c>
      <c r="C397" s="9">
        <v>0</v>
      </c>
      <c r="D397" s="13">
        <v>117.54291069294821</v>
      </c>
      <c r="E397" s="9">
        <v>3.1</v>
      </c>
      <c r="F397" s="9">
        <v>3.43</v>
      </c>
      <c r="G397" s="7" t="s">
        <v>50</v>
      </c>
    </row>
    <row r="398" spans="1:7" x14ac:dyDescent="0.2">
      <c r="A398" s="9">
        <v>1</v>
      </c>
      <c r="B398" s="9">
        <v>3</v>
      </c>
      <c r="C398" s="9">
        <v>3</v>
      </c>
      <c r="D398" s="9">
        <v>21</v>
      </c>
      <c r="E398" s="9">
        <v>28.9</v>
      </c>
      <c r="F398" s="9">
        <v>3.39</v>
      </c>
      <c r="G398" s="7" t="s">
        <v>50</v>
      </c>
    </row>
    <row r="399" spans="1:7" x14ac:dyDescent="0.2">
      <c r="A399" s="9">
        <v>0</v>
      </c>
      <c r="B399" s="9">
        <v>0</v>
      </c>
      <c r="C399" s="9">
        <v>5</v>
      </c>
      <c r="D399" s="9">
        <v>38</v>
      </c>
      <c r="E399" s="9">
        <v>10.4</v>
      </c>
      <c r="F399" s="9">
        <v>3.32</v>
      </c>
      <c r="G399" s="7" t="s">
        <v>50</v>
      </c>
    </row>
    <row r="400" spans="1:7" x14ac:dyDescent="0.2">
      <c r="A400" s="9">
        <v>1</v>
      </c>
      <c r="B400" s="9">
        <v>3</v>
      </c>
      <c r="C400" s="9">
        <v>4</v>
      </c>
      <c r="D400" s="9">
        <v>19</v>
      </c>
      <c r="E400" s="9">
        <v>24.4</v>
      </c>
      <c r="F400" s="9">
        <v>3.28</v>
      </c>
      <c r="G400" s="7" t="s">
        <v>50</v>
      </c>
    </row>
    <row r="401" spans="1:7" x14ac:dyDescent="0.2">
      <c r="A401" s="9">
        <v>0</v>
      </c>
      <c r="B401" s="9">
        <v>16</v>
      </c>
      <c r="C401" s="9">
        <v>17</v>
      </c>
      <c r="D401" s="9">
        <v>68</v>
      </c>
      <c r="E401" s="9">
        <v>5.4</v>
      </c>
      <c r="F401" s="9">
        <v>3.22</v>
      </c>
      <c r="G401" s="7" t="s">
        <v>50</v>
      </c>
    </row>
    <row r="402" spans="1:7" x14ac:dyDescent="0.2">
      <c r="A402" s="9">
        <v>1</v>
      </c>
      <c r="B402" s="9">
        <v>1</v>
      </c>
      <c r="C402" s="9">
        <v>2</v>
      </c>
      <c r="D402" s="9">
        <v>20</v>
      </c>
      <c r="E402" s="9">
        <v>18.600000000000001</v>
      </c>
      <c r="F402" s="9">
        <v>3.15</v>
      </c>
      <c r="G402" s="7" t="s">
        <v>50</v>
      </c>
    </row>
    <row r="403" spans="1:7" x14ac:dyDescent="0.2">
      <c r="A403" s="9">
        <v>0</v>
      </c>
      <c r="B403" s="9">
        <v>5</v>
      </c>
      <c r="C403" s="9">
        <v>9</v>
      </c>
      <c r="D403" s="9">
        <v>44</v>
      </c>
      <c r="E403" s="9">
        <v>8.6999999999999993</v>
      </c>
      <c r="F403" s="9">
        <v>3.05</v>
      </c>
      <c r="G403" s="7" t="s">
        <v>50</v>
      </c>
    </row>
    <row r="404" spans="1:7" x14ac:dyDescent="0.2">
      <c r="A404" s="9">
        <v>0</v>
      </c>
      <c r="B404" s="9">
        <v>12</v>
      </c>
      <c r="C404" s="9">
        <v>13</v>
      </c>
      <c r="D404" s="9">
        <v>60</v>
      </c>
      <c r="E404" s="9">
        <v>7.9</v>
      </c>
      <c r="F404" s="9">
        <v>3.02</v>
      </c>
      <c r="G404" s="7" t="s">
        <v>50</v>
      </c>
    </row>
    <row r="405" spans="1:7" x14ac:dyDescent="0.2">
      <c r="A405" s="9">
        <v>0</v>
      </c>
      <c r="B405" s="9">
        <v>6</v>
      </c>
      <c r="C405" s="9">
        <v>9</v>
      </c>
      <c r="D405" s="9">
        <v>29</v>
      </c>
      <c r="E405" s="9">
        <v>16.3</v>
      </c>
      <c r="F405" s="9">
        <v>3.01</v>
      </c>
      <c r="G405" s="7" t="s">
        <v>50</v>
      </c>
    </row>
    <row r="406" spans="1:7" x14ac:dyDescent="0.2">
      <c r="A406" s="9">
        <v>0</v>
      </c>
      <c r="B406" s="9">
        <v>1</v>
      </c>
      <c r="C406" s="9">
        <v>1</v>
      </c>
      <c r="D406" s="9">
        <v>18</v>
      </c>
      <c r="E406" s="9">
        <v>17.3</v>
      </c>
      <c r="F406" s="9">
        <v>2.96</v>
      </c>
      <c r="G406" s="7" t="s">
        <v>50</v>
      </c>
    </row>
    <row r="407" spans="1:7" x14ac:dyDescent="0.2">
      <c r="A407" s="9">
        <v>0</v>
      </c>
      <c r="B407" s="9">
        <v>14</v>
      </c>
      <c r="C407" s="9">
        <v>8</v>
      </c>
      <c r="D407" s="9">
        <v>52</v>
      </c>
      <c r="E407" s="9">
        <v>7.3</v>
      </c>
      <c r="F407" s="9">
        <v>2.87</v>
      </c>
      <c r="G407" s="7" t="s">
        <v>50</v>
      </c>
    </row>
    <row r="408" spans="1:7" x14ac:dyDescent="0.2">
      <c r="A408" s="9">
        <v>0</v>
      </c>
      <c r="B408" s="9">
        <v>4</v>
      </c>
      <c r="C408" s="9">
        <v>10</v>
      </c>
      <c r="D408" s="9">
        <v>28</v>
      </c>
      <c r="E408" s="9">
        <v>11.3</v>
      </c>
      <c r="F408" s="9">
        <v>2.87</v>
      </c>
      <c r="G408" s="7" t="s">
        <v>50</v>
      </c>
    </row>
    <row r="409" spans="1:7" x14ac:dyDescent="0.2">
      <c r="A409" s="9">
        <v>0</v>
      </c>
      <c r="B409" s="9">
        <v>8</v>
      </c>
      <c r="C409" s="9">
        <v>27</v>
      </c>
      <c r="D409" s="9">
        <v>47</v>
      </c>
      <c r="E409" s="9">
        <v>6.9</v>
      </c>
      <c r="F409" s="9">
        <v>2.84</v>
      </c>
      <c r="G409" s="7" t="s">
        <v>50</v>
      </c>
    </row>
    <row r="410" spans="1:7" x14ac:dyDescent="0.2">
      <c r="A410" s="9">
        <v>0</v>
      </c>
      <c r="B410" s="9">
        <v>22</v>
      </c>
      <c r="C410" s="9">
        <v>4</v>
      </c>
      <c r="D410" s="9">
        <v>95</v>
      </c>
      <c r="E410" s="9">
        <v>3.6</v>
      </c>
      <c r="F410" s="9">
        <v>2.79</v>
      </c>
      <c r="G410" s="7" t="s">
        <v>50</v>
      </c>
    </row>
    <row r="411" spans="1:7" x14ac:dyDescent="0.2">
      <c r="A411" s="9">
        <v>1</v>
      </c>
      <c r="B411" s="9">
        <v>0</v>
      </c>
      <c r="C411" s="9">
        <v>1</v>
      </c>
      <c r="D411" s="9">
        <v>17</v>
      </c>
      <c r="E411" s="9">
        <v>27.7</v>
      </c>
      <c r="F411" s="9">
        <v>2.67</v>
      </c>
      <c r="G411" s="7" t="s">
        <v>50</v>
      </c>
    </row>
    <row r="412" spans="1:7" x14ac:dyDescent="0.2">
      <c r="A412" s="9">
        <v>0</v>
      </c>
      <c r="B412" s="9">
        <v>12</v>
      </c>
      <c r="C412" s="9">
        <v>3</v>
      </c>
      <c r="D412" s="9">
        <v>31</v>
      </c>
      <c r="E412" s="9">
        <v>9.6999999999999993</v>
      </c>
      <c r="F412" s="9">
        <v>2.65</v>
      </c>
      <c r="G412" s="7" t="s">
        <v>50</v>
      </c>
    </row>
    <row r="413" spans="1:7" x14ac:dyDescent="0.2">
      <c r="A413" s="9">
        <v>1</v>
      </c>
      <c r="B413" s="9">
        <v>3</v>
      </c>
      <c r="C413" s="9">
        <v>13</v>
      </c>
      <c r="D413" s="9">
        <v>43</v>
      </c>
      <c r="E413" s="9">
        <v>13.2</v>
      </c>
      <c r="F413" s="9">
        <v>2.63</v>
      </c>
      <c r="G413" s="7" t="s">
        <v>50</v>
      </c>
    </row>
    <row r="414" spans="1:7" x14ac:dyDescent="0.2">
      <c r="A414" s="9">
        <v>1</v>
      </c>
      <c r="B414" s="9">
        <v>1</v>
      </c>
      <c r="C414" s="9">
        <v>14</v>
      </c>
      <c r="D414" s="9">
        <v>33</v>
      </c>
      <c r="E414" s="9">
        <v>16.100000000000001</v>
      </c>
      <c r="F414" s="9">
        <v>2.62</v>
      </c>
      <c r="G414" s="7" t="s">
        <v>50</v>
      </c>
    </row>
    <row r="415" spans="1:7" x14ac:dyDescent="0.2">
      <c r="A415" s="9">
        <v>1</v>
      </c>
      <c r="B415" s="9">
        <v>3</v>
      </c>
      <c r="C415" s="9">
        <v>2</v>
      </c>
      <c r="D415" s="9">
        <v>18</v>
      </c>
      <c r="E415" s="9">
        <v>16.3</v>
      </c>
      <c r="F415" s="9">
        <v>2.58</v>
      </c>
      <c r="G415" s="7" t="s">
        <v>50</v>
      </c>
    </row>
    <row r="416" spans="1:7" x14ac:dyDescent="0.2">
      <c r="A416" s="9">
        <v>0</v>
      </c>
      <c r="B416" s="9">
        <v>1</v>
      </c>
      <c r="C416" s="9">
        <v>0</v>
      </c>
      <c r="D416" s="9">
        <v>23</v>
      </c>
      <c r="E416" s="9">
        <v>12.4</v>
      </c>
      <c r="F416" s="9">
        <v>2.57</v>
      </c>
      <c r="G416" s="7" t="s">
        <v>50</v>
      </c>
    </row>
    <row r="417" spans="1:7" x14ac:dyDescent="0.2">
      <c r="A417" s="9">
        <v>0</v>
      </c>
      <c r="B417" s="9">
        <v>10</v>
      </c>
      <c r="C417" s="9">
        <v>2</v>
      </c>
      <c r="D417" s="9">
        <v>33</v>
      </c>
      <c r="E417" s="9">
        <v>9.5</v>
      </c>
      <c r="F417" s="9">
        <v>2.56</v>
      </c>
      <c r="G417" s="7" t="s">
        <v>50</v>
      </c>
    </row>
    <row r="418" spans="1:7" x14ac:dyDescent="0.2">
      <c r="A418" s="9">
        <v>1</v>
      </c>
      <c r="B418" s="9">
        <v>6</v>
      </c>
      <c r="C418" s="9">
        <v>0</v>
      </c>
      <c r="D418" s="9">
        <v>36</v>
      </c>
      <c r="E418" s="9">
        <v>19.5</v>
      </c>
      <c r="F418" s="9">
        <v>2.5099999999999998</v>
      </c>
      <c r="G418" s="7" t="s">
        <v>50</v>
      </c>
    </row>
    <row r="419" spans="1:7" x14ac:dyDescent="0.2">
      <c r="A419" s="9">
        <v>0</v>
      </c>
      <c r="B419" s="9">
        <v>19</v>
      </c>
      <c r="C419" s="9">
        <v>2</v>
      </c>
      <c r="D419" s="9">
        <v>68</v>
      </c>
      <c r="E419" s="9">
        <v>5.8</v>
      </c>
      <c r="F419" s="9">
        <v>2.44</v>
      </c>
      <c r="G419" s="7" t="s">
        <v>50</v>
      </c>
    </row>
    <row r="420" spans="1:7" x14ac:dyDescent="0.2">
      <c r="A420" s="9">
        <v>0</v>
      </c>
      <c r="B420" s="9">
        <v>4</v>
      </c>
      <c r="C420" s="9">
        <v>10</v>
      </c>
      <c r="D420" s="9">
        <v>23</v>
      </c>
      <c r="E420" s="9">
        <v>16.3</v>
      </c>
      <c r="F420" s="9">
        <v>2.42</v>
      </c>
      <c r="G420" s="7" t="s">
        <v>50</v>
      </c>
    </row>
    <row r="421" spans="1:7" x14ac:dyDescent="0.2">
      <c r="A421" s="9">
        <v>1</v>
      </c>
      <c r="B421" s="9">
        <v>0</v>
      </c>
      <c r="C421" s="9">
        <v>4</v>
      </c>
      <c r="D421" s="9">
        <v>27</v>
      </c>
      <c r="E421" s="9">
        <v>12.8</v>
      </c>
      <c r="F421" s="9">
        <v>2.37</v>
      </c>
      <c r="G421" s="7" t="s">
        <v>50</v>
      </c>
    </row>
    <row r="422" spans="1:7" x14ac:dyDescent="0.2">
      <c r="A422" s="9">
        <v>1</v>
      </c>
      <c r="B422" s="9">
        <v>5</v>
      </c>
      <c r="C422" s="9">
        <v>3</v>
      </c>
      <c r="D422" s="9">
        <v>48</v>
      </c>
      <c r="E422" s="9">
        <v>9</v>
      </c>
      <c r="F422" s="9">
        <v>2.35</v>
      </c>
      <c r="G422" s="7" t="s">
        <v>50</v>
      </c>
    </row>
    <row r="423" spans="1:7" x14ac:dyDescent="0.2">
      <c r="A423" s="9">
        <v>0</v>
      </c>
      <c r="B423" s="9">
        <v>8</v>
      </c>
      <c r="C423" s="9">
        <v>6</v>
      </c>
      <c r="D423" s="9">
        <v>27</v>
      </c>
      <c r="E423" s="9">
        <v>9.8000000000000007</v>
      </c>
      <c r="F423" s="9">
        <v>2.2400000000000002</v>
      </c>
      <c r="G423" s="7" t="s">
        <v>50</v>
      </c>
    </row>
    <row r="424" spans="1:7" x14ac:dyDescent="0.2">
      <c r="A424" s="9">
        <v>0</v>
      </c>
      <c r="B424" s="9">
        <v>4</v>
      </c>
      <c r="C424" s="9">
        <v>7</v>
      </c>
      <c r="D424" s="9">
        <v>26</v>
      </c>
      <c r="E424" s="9">
        <v>13.5</v>
      </c>
      <c r="F424" s="9">
        <v>2.21</v>
      </c>
      <c r="G424" s="7" t="s">
        <v>50</v>
      </c>
    </row>
    <row r="425" spans="1:7" x14ac:dyDescent="0.2">
      <c r="A425" s="9">
        <v>0</v>
      </c>
      <c r="B425" s="9">
        <v>3</v>
      </c>
      <c r="C425" s="9">
        <v>6</v>
      </c>
      <c r="D425" s="9">
        <v>26</v>
      </c>
      <c r="E425" s="9">
        <v>10</v>
      </c>
      <c r="F425" s="9">
        <v>2.17</v>
      </c>
      <c r="G425" s="7" t="s">
        <v>50</v>
      </c>
    </row>
    <row r="426" spans="1:7" x14ac:dyDescent="0.2">
      <c r="A426" s="9">
        <v>0</v>
      </c>
      <c r="B426" s="9">
        <v>6</v>
      </c>
      <c r="C426" s="9">
        <v>9</v>
      </c>
      <c r="D426" s="9">
        <v>26</v>
      </c>
      <c r="E426" s="9">
        <v>8.3000000000000007</v>
      </c>
      <c r="F426" s="9">
        <v>2.13</v>
      </c>
      <c r="G426" s="7" t="s">
        <v>50</v>
      </c>
    </row>
    <row r="427" spans="1:7" x14ac:dyDescent="0.2">
      <c r="A427" s="9">
        <v>0</v>
      </c>
      <c r="B427" s="9">
        <v>0</v>
      </c>
      <c r="C427" s="9">
        <v>8</v>
      </c>
      <c r="D427" s="9">
        <v>39</v>
      </c>
      <c r="E427" s="9">
        <v>7.9</v>
      </c>
      <c r="F427" s="9">
        <v>2.0099999999999998</v>
      </c>
      <c r="G427" s="7" t="s">
        <v>50</v>
      </c>
    </row>
    <row r="428" spans="1:7" x14ac:dyDescent="0.2">
      <c r="A428" s="9">
        <v>0</v>
      </c>
      <c r="B428" s="9">
        <v>8</v>
      </c>
      <c r="C428" s="9">
        <v>6</v>
      </c>
      <c r="D428" s="9">
        <v>23</v>
      </c>
      <c r="E428" s="9">
        <v>12</v>
      </c>
      <c r="F428" s="9">
        <v>2</v>
      </c>
      <c r="G428" s="7" t="s">
        <v>50</v>
      </c>
    </row>
    <row r="429" spans="1:7" x14ac:dyDescent="0.2">
      <c r="A429" s="9">
        <v>0</v>
      </c>
      <c r="B429" s="9">
        <v>18</v>
      </c>
      <c r="C429" s="9">
        <v>8</v>
      </c>
      <c r="D429" s="9">
        <v>54</v>
      </c>
      <c r="E429" s="9">
        <v>12.1</v>
      </c>
      <c r="F429" s="9">
        <v>1.94</v>
      </c>
      <c r="G429" s="7" t="s">
        <v>50</v>
      </c>
    </row>
    <row r="430" spans="1:7" x14ac:dyDescent="0.2">
      <c r="A430" s="9">
        <v>0</v>
      </c>
      <c r="B430" s="9">
        <v>9</v>
      </c>
      <c r="C430" s="9">
        <v>9</v>
      </c>
      <c r="D430" s="9">
        <v>65</v>
      </c>
      <c r="E430" s="9">
        <v>6.2</v>
      </c>
      <c r="F430" s="9">
        <v>1.92</v>
      </c>
      <c r="G430" s="7" t="s">
        <v>50</v>
      </c>
    </row>
    <row r="431" spans="1:7" x14ac:dyDescent="0.2">
      <c r="A431" s="9">
        <v>0</v>
      </c>
      <c r="B431" s="9">
        <v>12</v>
      </c>
      <c r="C431" s="9">
        <v>8</v>
      </c>
      <c r="D431" s="9">
        <v>47</v>
      </c>
      <c r="E431" s="9">
        <v>6.7</v>
      </c>
      <c r="F431" s="9">
        <v>1.85</v>
      </c>
      <c r="G431" s="7" t="s">
        <v>50</v>
      </c>
    </row>
    <row r="432" spans="1:7" x14ac:dyDescent="0.2">
      <c r="A432" s="9">
        <v>1</v>
      </c>
      <c r="B432" s="9">
        <v>3</v>
      </c>
      <c r="C432" s="9">
        <v>2</v>
      </c>
      <c r="D432" s="9">
        <v>16</v>
      </c>
      <c r="E432" s="9">
        <v>17.8</v>
      </c>
      <c r="F432" s="9">
        <v>1.84</v>
      </c>
      <c r="G432" s="7" t="s">
        <v>50</v>
      </c>
    </row>
    <row r="433" spans="1:7" x14ac:dyDescent="0.2">
      <c r="A433" s="9">
        <v>1</v>
      </c>
      <c r="B433" s="9">
        <v>1</v>
      </c>
      <c r="C433" s="9">
        <v>3</v>
      </c>
      <c r="D433" s="9">
        <v>24</v>
      </c>
      <c r="E433" s="9">
        <v>15.1</v>
      </c>
      <c r="F433" s="9">
        <v>1.82</v>
      </c>
      <c r="G433" s="7" t="s">
        <v>50</v>
      </c>
    </row>
    <row r="434" spans="1:7" x14ac:dyDescent="0.2">
      <c r="A434" s="9">
        <v>0</v>
      </c>
      <c r="B434" s="9">
        <v>12</v>
      </c>
      <c r="C434" s="9">
        <v>10</v>
      </c>
      <c r="D434" s="9">
        <v>46</v>
      </c>
      <c r="E434" s="9">
        <v>5</v>
      </c>
      <c r="F434" s="9">
        <v>1.74</v>
      </c>
      <c r="G434" s="7" t="s">
        <v>50</v>
      </c>
    </row>
    <row r="435" spans="1:7" x14ac:dyDescent="0.2">
      <c r="A435" s="9">
        <v>1</v>
      </c>
      <c r="B435" s="9">
        <v>2</v>
      </c>
      <c r="C435" s="9">
        <v>4</v>
      </c>
      <c r="D435" s="9">
        <v>22</v>
      </c>
      <c r="E435" s="9">
        <v>12.7</v>
      </c>
      <c r="F435" s="9">
        <v>1.7</v>
      </c>
      <c r="G435" s="7" t="s">
        <v>50</v>
      </c>
    </row>
    <row r="436" spans="1:7" x14ac:dyDescent="0.2">
      <c r="A436" s="9">
        <v>0</v>
      </c>
      <c r="B436" s="9">
        <v>4</v>
      </c>
      <c r="C436" s="9">
        <v>9</v>
      </c>
      <c r="D436" s="9">
        <v>55</v>
      </c>
      <c r="E436" s="9">
        <v>7</v>
      </c>
      <c r="F436" s="9">
        <v>1.69</v>
      </c>
      <c r="G436" s="7" t="s">
        <v>50</v>
      </c>
    </row>
    <row r="437" spans="1:7" x14ac:dyDescent="0.2">
      <c r="A437" s="9">
        <v>0</v>
      </c>
      <c r="B437" s="9">
        <v>19</v>
      </c>
      <c r="C437" s="9">
        <v>8</v>
      </c>
      <c r="D437" s="9">
        <v>46</v>
      </c>
      <c r="E437" s="9">
        <v>9.1</v>
      </c>
      <c r="F437" s="9">
        <v>1.67</v>
      </c>
      <c r="G437" s="7" t="s">
        <v>50</v>
      </c>
    </row>
    <row r="438" spans="1:7" x14ac:dyDescent="0.2">
      <c r="A438" s="9">
        <v>0</v>
      </c>
      <c r="B438" s="9">
        <v>10</v>
      </c>
      <c r="C438" s="9">
        <v>11</v>
      </c>
      <c r="D438" s="9">
        <v>39</v>
      </c>
      <c r="E438" s="9">
        <v>9.5</v>
      </c>
      <c r="F438" s="9">
        <v>1.65</v>
      </c>
      <c r="G438" s="7" t="s">
        <v>50</v>
      </c>
    </row>
    <row r="439" spans="1:7" x14ac:dyDescent="0.2">
      <c r="A439" s="9">
        <v>1</v>
      </c>
      <c r="B439" s="9">
        <v>2</v>
      </c>
      <c r="C439" s="9">
        <v>3</v>
      </c>
      <c r="D439" s="9">
        <v>26</v>
      </c>
      <c r="E439" s="9">
        <v>9.6999999999999993</v>
      </c>
      <c r="F439" s="9">
        <v>1.63</v>
      </c>
      <c r="G439" s="7" t="s">
        <v>50</v>
      </c>
    </row>
    <row r="440" spans="1:7" x14ac:dyDescent="0.2">
      <c r="A440" s="9">
        <v>0</v>
      </c>
      <c r="B440" s="9">
        <v>12</v>
      </c>
      <c r="C440" s="9">
        <v>7</v>
      </c>
      <c r="D440" s="9">
        <v>45</v>
      </c>
      <c r="E440" s="9">
        <v>7.7</v>
      </c>
      <c r="F440" s="9">
        <v>1.61</v>
      </c>
      <c r="G440" s="7" t="s">
        <v>50</v>
      </c>
    </row>
    <row r="441" spans="1:7" x14ac:dyDescent="0.2">
      <c r="A441" s="9">
        <v>0</v>
      </c>
      <c r="B441" s="9">
        <v>7</v>
      </c>
      <c r="C441" s="9">
        <v>15</v>
      </c>
      <c r="D441" s="9">
        <v>40</v>
      </c>
      <c r="E441" s="9">
        <v>6.4</v>
      </c>
      <c r="F441" s="9">
        <v>1.61</v>
      </c>
      <c r="G441" s="7" t="s">
        <v>50</v>
      </c>
    </row>
    <row r="442" spans="1:7" x14ac:dyDescent="0.2">
      <c r="A442" s="9">
        <v>1</v>
      </c>
      <c r="B442" s="9">
        <v>10</v>
      </c>
      <c r="C442" s="9">
        <v>12</v>
      </c>
      <c r="D442" s="9">
        <v>49</v>
      </c>
      <c r="E442" s="9">
        <v>9.8000000000000007</v>
      </c>
      <c r="F442" s="9">
        <v>1.57</v>
      </c>
      <c r="G442" s="7" t="s">
        <v>50</v>
      </c>
    </row>
    <row r="443" spans="1:7" x14ac:dyDescent="0.2">
      <c r="A443" s="9">
        <v>0</v>
      </c>
      <c r="B443" s="9">
        <v>2</v>
      </c>
      <c r="C443" s="9">
        <v>9</v>
      </c>
      <c r="D443" s="9">
        <v>16</v>
      </c>
      <c r="E443" s="9">
        <v>15.2</v>
      </c>
      <c r="F443" s="9">
        <v>1.56</v>
      </c>
      <c r="G443" s="7" t="s">
        <v>50</v>
      </c>
    </row>
    <row r="444" spans="1:7" x14ac:dyDescent="0.2">
      <c r="A444" s="9">
        <v>0</v>
      </c>
      <c r="B444" s="9">
        <v>8</v>
      </c>
      <c r="C444" s="9">
        <v>6</v>
      </c>
      <c r="D444" s="9">
        <v>30</v>
      </c>
      <c r="E444" s="9">
        <v>7.2</v>
      </c>
      <c r="F444" s="9">
        <v>1.55</v>
      </c>
      <c r="G444" s="7" t="s">
        <v>50</v>
      </c>
    </row>
    <row r="445" spans="1:7" x14ac:dyDescent="0.2">
      <c r="A445" s="9">
        <v>0</v>
      </c>
      <c r="B445" s="9">
        <v>11</v>
      </c>
      <c r="C445" s="9">
        <v>5</v>
      </c>
      <c r="D445" s="9">
        <v>36</v>
      </c>
      <c r="E445" s="9">
        <v>6.1</v>
      </c>
      <c r="F445" s="9">
        <v>1.49</v>
      </c>
      <c r="G445" s="7" t="s">
        <v>50</v>
      </c>
    </row>
    <row r="446" spans="1:7" x14ac:dyDescent="0.2">
      <c r="A446" s="9">
        <v>1</v>
      </c>
      <c r="B446" s="9">
        <v>2</v>
      </c>
      <c r="C446" s="9">
        <v>1</v>
      </c>
      <c r="D446" s="9">
        <v>26</v>
      </c>
      <c r="E446" s="9">
        <v>6.8</v>
      </c>
      <c r="F446" s="9">
        <v>1.49</v>
      </c>
      <c r="G446" s="7" t="s">
        <v>50</v>
      </c>
    </row>
    <row r="447" spans="1:7" x14ac:dyDescent="0.2">
      <c r="A447" s="9">
        <v>0</v>
      </c>
      <c r="B447" s="9">
        <v>13</v>
      </c>
      <c r="C447" s="9">
        <v>1</v>
      </c>
      <c r="D447" s="9">
        <v>38</v>
      </c>
      <c r="E447" s="9">
        <v>8.9</v>
      </c>
      <c r="F447" s="9">
        <v>1.48</v>
      </c>
      <c r="G447" s="7" t="s">
        <v>50</v>
      </c>
    </row>
    <row r="448" spans="1:7" x14ac:dyDescent="0.2">
      <c r="A448" s="9">
        <v>0</v>
      </c>
      <c r="B448" s="9">
        <v>15</v>
      </c>
      <c r="C448" s="9">
        <v>16</v>
      </c>
      <c r="D448" s="9">
        <v>73</v>
      </c>
      <c r="E448" s="9">
        <v>3.4</v>
      </c>
      <c r="F448" s="9">
        <v>1.45</v>
      </c>
      <c r="G448" s="7" t="s">
        <v>50</v>
      </c>
    </row>
    <row r="449" spans="1:7" x14ac:dyDescent="0.2">
      <c r="A449" s="9">
        <v>0</v>
      </c>
      <c r="B449" s="9">
        <v>5</v>
      </c>
      <c r="C449" s="9">
        <v>13</v>
      </c>
      <c r="D449" s="9">
        <v>21</v>
      </c>
      <c r="E449" s="9">
        <v>9</v>
      </c>
      <c r="F449" s="9">
        <v>1.44</v>
      </c>
      <c r="G449" s="7" t="s">
        <v>50</v>
      </c>
    </row>
    <row r="450" spans="1:7" x14ac:dyDescent="0.2">
      <c r="A450" s="9">
        <v>0</v>
      </c>
      <c r="B450" s="9">
        <v>16</v>
      </c>
      <c r="C450" s="9">
        <v>9</v>
      </c>
      <c r="D450" s="9">
        <v>79</v>
      </c>
      <c r="E450" s="9">
        <v>4</v>
      </c>
      <c r="F450" s="9">
        <v>1.43</v>
      </c>
      <c r="G450" s="7" t="s">
        <v>50</v>
      </c>
    </row>
    <row r="451" spans="1:7" x14ac:dyDescent="0.2">
      <c r="A451" s="9">
        <v>1</v>
      </c>
      <c r="B451" s="9">
        <v>2</v>
      </c>
      <c r="C451" s="9">
        <v>0</v>
      </c>
      <c r="D451" s="9">
        <v>14</v>
      </c>
      <c r="E451" s="9">
        <v>14.4</v>
      </c>
      <c r="F451" s="9">
        <v>1.43</v>
      </c>
      <c r="G451" s="7" t="s">
        <v>50</v>
      </c>
    </row>
    <row r="452" spans="1:7" x14ac:dyDescent="0.2">
      <c r="A452" s="9">
        <v>0</v>
      </c>
      <c r="B452" s="9">
        <v>10</v>
      </c>
      <c r="C452" s="9">
        <v>6</v>
      </c>
      <c r="D452" s="9">
        <v>34</v>
      </c>
      <c r="E452" s="9">
        <v>6.5</v>
      </c>
      <c r="F452" s="9">
        <v>1.36</v>
      </c>
      <c r="G452" s="7" t="s">
        <v>50</v>
      </c>
    </row>
    <row r="453" spans="1:7" x14ac:dyDescent="0.2">
      <c r="A453" s="9">
        <v>1</v>
      </c>
      <c r="B453" s="9">
        <v>0</v>
      </c>
      <c r="C453" s="9">
        <v>16</v>
      </c>
      <c r="D453" s="9">
        <v>22</v>
      </c>
      <c r="E453" s="9">
        <v>15</v>
      </c>
      <c r="F453" s="9">
        <v>1.33</v>
      </c>
      <c r="G453" s="7" t="s">
        <v>50</v>
      </c>
    </row>
    <row r="454" spans="1:7" x14ac:dyDescent="0.2">
      <c r="A454" s="9">
        <v>1</v>
      </c>
      <c r="B454" s="9">
        <v>0</v>
      </c>
      <c r="C454" s="9">
        <v>3</v>
      </c>
      <c r="D454" s="9">
        <v>29</v>
      </c>
      <c r="E454" s="9">
        <v>6.6</v>
      </c>
      <c r="F454" s="9">
        <v>1.32</v>
      </c>
      <c r="G454" s="7" t="s">
        <v>50</v>
      </c>
    </row>
    <row r="455" spans="1:7" x14ac:dyDescent="0.2">
      <c r="A455" s="9">
        <v>1</v>
      </c>
      <c r="B455" s="9">
        <v>0</v>
      </c>
      <c r="C455" s="9">
        <v>6</v>
      </c>
      <c r="D455" s="9">
        <v>24</v>
      </c>
      <c r="E455" s="9">
        <v>12.1</v>
      </c>
      <c r="F455" s="9">
        <v>1.31</v>
      </c>
      <c r="G455" s="7" t="s">
        <v>50</v>
      </c>
    </row>
    <row r="456" spans="1:7" x14ac:dyDescent="0.2">
      <c r="A456" s="9">
        <v>0</v>
      </c>
      <c r="B456" s="9">
        <v>9</v>
      </c>
      <c r="C456" s="9">
        <v>1</v>
      </c>
      <c r="D456" s="9">
        <v>34</v>
      </c>
      <c r="E456" s="9">
        <v>5</v>
      </c>
      <c r="F456" s="9">
        <v>1.3</v>
      </c>
      <c r="G456" s="7" t="s">
        <v>50</v>
      </c>
    </row>
    <row r="457" spans="1:7" x14ac:dyDescent="0.2">
      <c r="A457" s="9">
        <v>1</v>
      </c>
      <c r="B457" s="9">
        <v>2</v>
      </c>
      <c r="C457" s="9">
        <v>3</v>
      </c>
      <c r="D457" s="9">
        <v>23</v>
      </c>
      <c r="E457" s="9">
        <v>6.4</v>
      </c>
      <c r="F457" s="9">
        <v>1.29</v>
      </c>
      <c r="G457" s="7" t="s">
        <v>50</v>
      </c>
    </row>
    <row r="458" spans="1:7" x14ac:dyDescent="0.2">
      <c r="A458" s="9">
        <v>0</v>
      </c>
      <c r="B458" s="9">
        <v>13</v>
      </c>
      <c r="C458" s="9">
        <v>13</v>
      </c>
      <c r="D458" s="9">
        <v>42</v>
      </c>
      <c r="E458" s="9">
        <v>3.6</v>
      </c>
      <c r="F458" s="9">
        <v>1.28</v>
      </c>
      <c r="G458" s="7" t="s">
        <v>50</v>
      </c>
    </row>
    <row r="459" spans="1:7" x14ac:dyDescent="0.2">
      <c r="A459" s="9">
        <v>0</v>
      </c>
      <c r="B459" s="9">
        <v>4</v>
      </c>
      <c r="C459" s="9">
        <v>2</v>
      </c>
      <c r="D459" s="9">
        <v>29</v>
      </c>
      <c r="E459" s="9">
        <v>4.5999999999999996</v>
      </c>
      <c r="F459" s="9">
        <v>1.28</v>
      </c>
      <c r="G459" s="7" t="s">
        <v>50</v>
      </c>
    </row>
    <row r="460" spans="1:7" x14ac:dyDescent="0.2">
      <c r="A460" s="9">
        <v>0</v>
      </c>
      <c r="B460" s="9">
        <v>16</v>
      </c>
      <c r="C460" s="9">
        <v>12</v>
      </c>
      <c r="D460" s="9">
        <v>53</v>
      </c>
      <c r="E460" s="9">
        <v>3.7</v>
      </c>
      <c r="F460" s="9">
        <v>1.27</v>
      </c>
      <c r="G460" s="7" t="s">
        <v>50</v>
      </c>
    </row>
    <row r="461" spans="1:7" x14ac:dyDescent="0.2">
      <c r="A461" s="9">
        <v>0</v>
      </c>
      <c r="B461" s="9">
        <v>0</v>
      </c>
      <c r="C461" s="9">
        <v>27</v>
      </c>
      <c r="D461" s="9">
        <v>19</v>
      </c>
      <c r="E461" s="9">
        <v>10.8</v>
      </c>
      <c r="F461" s="9">
        <v>1.2</v>
      </c>
      <c r="G461" s="7" t="s">
        <v>50</v>
      </c>
    </row>
    <row r="462" spans="1:7" x14ac:dyDescent="0.2">
      <c r="A462" s="9">
        <v>0</v>
      </c>
      <c r="B462" s="9">
        <v>7</v>
      </c>
      <c r="C462" s="9">
        <v>11</v>
      </c>
      <c r="D462" s="9">
        <v>43</v>
      </c>
      <c r="E462" s="9">
        <v>4.4000000000000004</v>
      </c>
      <c r="F462" s="9">
        <v>1.2</v>
      </c>
      <c r="G462" s="7" t="s">
        <v>50</v>
      </c>
    </row>
    <row r="463" spans="1:7" x14ac:dyDescent="0.2">
      <c r="A463" s="9">
        <v>0</v>
      </c>
      <c r="B463" s="9">
        <v>1</v>
      </c>
      <c r="C463" s="9">
        <v>10</v>
      </c>
      <c r="D463" s="9">
        <v>22</v>
      </c>
      <c r="E463" s="9">
        <v>10.5</v>
      </c>
      <c r="F463" s="9">
        <v>1.17</v>
      </c>
      <c r="G463" s="7" t="s">
        <v>50</v>
      </c>
    </row>
    <row r="464" spans="1:7" x14ac:dyDescent="0.2">
      <c r="A464" s="9">
        <v>1</v>
      </c>
      <c r="B464" s="9">
        <v>4</v>
      </c>
      <c r="C464" s="9">
        <v>9</v>
      </c>
      <c r="D464" s="9">
        <v>33</v>
      </c>
      <c r="E464" s="9">
        <v>7.1</v>
      </c>
      <c r="F464" s="9">
        <v>1.1499999999999999</v>
      </c>
      <c r="G464" s="7" t="s">
        <v>50</v>
      </c>
    </row>
    <row r="465" spans="1:7" x14ac:dyDescent="0.2">
      <c r="A465" s="9">
        <v>0</v>
      </c>
      <c r="B465" s="9">
        <v>14</v>
      </c>
      <c r="C465" s="9">
        <v>17</v>
      </c>
      <c r="D465" s="9">
        <v>53</v>
      </c>
      <c r="E465" s="9">
        <v>5.7</v>
      </c>
      <c r="F465" s="9">
        <v>1.1299999999999999</v>
      </c>
      <c r="G465" s="7" t="s">
        <v>50</v>
      </c>
    </row>
    <row r="466" spans="1:7" x14ac:dyDescent="0.2">
      <c r="A466" s="9">
        <v>0</v>
      </c>
      <c r="B466" s="9">
        <v>0</v>
      </c>
      <c r="C466" s="9">
        <v>2</v>
      </c>
      <c r="D466" s="9">
        <v>23</v>
      </c>
      <c r="E466" s="9">
        <v>6.7</v>
      </c>
      <c r="F466" s="9">
        <v>1.07</v>
      </c>
      <c r="G466" s="7" t="s">
        <v>50</v>
      </c>
    </row>
    <row r="467" spans="1:7" x14ac:dyDescent="0.2">
      <c r="A467" s="9">
        <v>0</v>
      </c>
      <c r="B467" s="9">
        <v>6</v>
      </c>
      <c r="C467" s="9">
        <v>14</v>
      </c>
      <c r="D467" s="9">
        <v>21</v>
      </c>
      <c r="E467" s="9">
        <v>7.5</v>
      </c>
      <c r="F467" s="9">
        <v>1.01</v>
      </c>
      <c r="G467" s="7" t="s">
        <v>50</v>
      </c>
    </row>
    <row r="468" spans="1:7" x14ac:dyDescent="0.2">
      <c r="A468" s="9">
        <v>1</v>
      </c>
      <c r="B468" s="9">
        <v>11</v>
      </c>
      <c r="C468" s="9">
        <v>6</v>
      </c>
      <c r="D468" s="9">
        <v>28</v>
      </c>
      <c r="E468" s="9">
        <v>4.8</v>
      </c>
      <c r="F468" s="9">
        <v>1</v>
      </c>
      <c r="G468" s="7" t="s">
        <v>50</v>
      </c>
    </row>
    <row r="469" spans="1:7" x14ac:dyDescent="0.2">
      <c r="A469" s="9">
        <v>1</v>
      </c>
      <c r="B469" s="9">
        <v>5</v>
      </c>
      <c r="C469" s="9">
        <v>4</v>
      </c>
      <c r="D469" s="9">
        <v>36</v>
      </c>
      <c r="E469" s="9">
        <v>12.4</v>
      </c>
      <c r="F469" s="9">
        <v>0.97</v>
      </c>
      <c r="G469" s="7" t="s">
        <v>50</v>
      </c>
    </row>
    <row r="470" spans="1:7" x14ac:dyDescent="0.2">
      <c r="A470" s="9">
        <v>1</v>
      </c>
      <c r="B470" s="9">
        <v>3</v>
      </c>
      <c r="C470" s="9">
        <v>3</v>
      </c>
      <c r="D470" s="9">
        <v>50</v>
      </c>
      <c r="E470" s="9">
        <v>2.4</v>
      </c>
      <c r="F470" s="9">
        <v>0.94</v>
      </c>
      <c r="G470" s="7" t="s">
        <v>50</v>
      </c>
    </row>
    <row r="471" spans="1:7" x14ac:dyDescent="0.2">
      <c r="A471" s="9">
        <v>0</v>
      </c>
      <c r="B471" s="9">
        <v>4</v>
      </c>
      <c r="C471" s="9">
        <v>0</v>
      </c>
      <c r="D471" s="9">
        <v>23</v>
      </c>
      <c r="E471" s="9">
        <v>5.2</v>
      </c>
      <c r="F471" s="9">
        <v>0.94</v>
      </c>
      <c r="G471" s="7" t="s">
        <v>50</v>
      </c>
    </row>
    <row r="472" spans="1:7" x14ac:dyDescent="0.2">
      <c r="A472" s="9">
        <v>0</v>
      </c>
      <c r="B472" s="9">
        <v>7</v>
      </c>
      <c r="C472" s="9">
        <v>10</v>
      </c>
      <c r="D472" s="9">
        <v>23</v>
      </c>
      <c r="E472" s="9">
        <v>4.9000000000000004</v>
      </c>
      <c r="F472" s="9">
        <v>0.9</v>
      </c>
      <c r="G472" s="7" t="s">
        <v>50</v>
      </c>
    </row>
    <row r="473" spans="1:7" x14ac:dyDescent="0.2">
      <c r="A473" s="9">
        <v>0</v>
      </c>
      <c r="B473" s="9">
        <v>1</v>
      </c>
      <c r="C473" s="9">
        <v>1</v>
      </c>
      <c r="D473" s="9">
        <v>24</v>
      </c>
      <c r="E473" s="9">
        <v>4.5</v>
      </c>
      <c r="F473" s="9">
        <v>0.86</v>
      </c>
      <c r="G473" s="7" t="s">
        <v>50</v>
      </c>
    </row>
    <row r="474" spans="1:7" x14ac:dyDescent="0.2">
      <c r="A474" s="9">
        <v>0</v>
      </c>
      <c r="B474" s="9">
        <v>2</v>
      </c>
      <c r="C474" s="9">
        <v>14</v>
      </c>
      <c r="D474" s="9">
        <v>44</v>
      </c>
      <c r="E474" s="9">
        <v>3.1</v>
      </c>
      <c r="F474" s="9">
        <v>0.84</v>
      </c>
      <c r="G474" s="7" t="s">
        <v>50</v>
      </c>
    </row>
    <row r="475" spans="1:7" x14ac:dyDescent="0.2">
      <c r="A475" s="9">
        <v>1</v>
      </c>
      <c r="B475" s="9">
        <v>4</v>
      </c>
      <c r="C475" s="9">
        <v>5</v>
      </c>
      <c r="D475" s="9">
        <v>27</v>
      </c>
      <c r="E475" s="9">
        <v>5</v>
      </c>
      <c r="F475" s="9">
        <v>0.8</v>
      </c>
      <c r="G475" s="7" t="s">
        <v>50</v>
      </c>
    </row>
    <row r="476" spans="1:7" x14ac:dyDescent="0.2">
      <c r="A476" s="9">
        <v>0</v>
      </c>
      <c r="B476" s="9">
        <v>6</v>
      </c>
      <c r="C476" s="9">
        <v>7</v>
      </c>
      <c r="D476" s="9">
        <v>57</v>
      </c>
      <c r="E476" s="9">
        <v>2.2000000000000002</v>
      </c>
      <c r="F476" s="9">
        <v>0.8</v>
      </c>
      <c r="G476" s="7" t="s">
        <v>50</v>
      </c>
    </row>
    <row r="477" spans="1:7" x14ac:dyDescent="0.2">
      <c r="A477" s="9">
        <v>0</v>
      </c>
      <c r="B477" s="9">
        <v>8</v>
      </c>
      <c r="C477" s="9">
        <v>7</v>
      </c>
      <c r="D477" s="9">
        <v>27</v>
      </c>
      <c r="E477" s="9">
        <v>5.8</v>
      </c>
      <c r="F477" s="9">
        <v>0.79</v>
      </c>
      <c r="G477" s="7" t="s">
        <v>50</v>
      </c>
    </row>
    <row r="478" spans="1:7" x14ac:dyDescent="0.2">
      <c r="A478" s="9">
        <v>0</v>
      </c>
      <c r="B478" s="9">
        <v>7</v>
      </c>
      <c r="C478" s="9">
        <v>0</v>
      </c>
      <c r="D478" s="9">
        <v>18</v>
      </c>
      <c r="E478" s="9">
        <v>6.5</v>
      </c>
      <c r="F478" s="9">
        <v>0.64</v>
      </c>
      <c r="G478" s="7" t="s">
        <v>50</v>
      </c>
    </row>
    <row r="479" spans="1:7" x14ac:dyDescent="0.2">
      <c r="A479" s="9">
        <v>0</v>
      </c>
      <c r="B479" s="9">
        <v>4</v>
      </c>
      <c r="C479" s="9">
        <v>8</v>
      </c>
      <c r="D479" s="9">
        <v>15</v>
      </c>
      <c r="E479" s="9">
        <v>6.5</v>
      </c>
      <c r="F479" s="9">
        <v>0.62</v>
      </c>
      <c r="G479" s="7" t="s">
        <v>50</v>
      </c>
    </row>
    <row r="480" spans="1:7" x14ac:dyDescent="0.2">
      <c r="A480" s="9">
        <v>1</v>
      </c>
      <c r="B480" s="9">
        <v>2</v>
      </c>
      <c r="C480" s="9">
        <v>0</v>
      </c>
      <c r="D480" s="9">
        <v>20</v>
      </c>
      <c r="E480" s="9">
        <v>4.5</v>
      </c>
      <c r="F480" s="9">
        <v>0.61</v>
      </c>
      <c r="G480" s="7" t="s">
        <v>50</v>
      </c>
    </row>
    <row r="481" spans="1:7" x14ac:dyDescent="0.2">
      <c r="A481" s="9">
        <v>0</v>
      </c>
      <c r="B481" s="9">
        <v>9</v>
      </c>
      <c r="C481" s="9">
        <v>2</v>
      </c>
      <c r="D481" s="9">
        <v>28</v>
      </c>
      <c r="E481" s="9">
        <v>2.6</v>
      </c>
      <c r="F481" s="9">
        <v>0.61</v>
      </c>
      <c r="G481" s="7" t="s">
        <v>50</v>
      </c>
    </row>
    <row r="482" spans="1:7" x14ac:dyDescent="0.2">
      <c r="A482" s="9">
        <v>0</v>
      </c>
      <c r="B482" s="9">
        <v>16</v>
      </c>
      <c r="C482" s="9">
        <v>13</v>
      </c>
      <c r="D482" s="9">
        <v>69</v>
      </c>
      <c r="E482" s="9">
        <v>2.4</v>
      </c>
      <c r="F482" s="9">
        <v>0.59</v>
      </c>
      <c r="G482" s="7" t="s">
        <v>50</v>
      </c>
    </row>
    <row r="483" spans="1:7" x14ac:dyDescent="0.2">
      <c r="A483" s="9">
        <v>0</v>
      </c>
      <c r="B483" s="9">
        <v>0</v>
      </c>
      <c r="C483" s="9">
        <v>1</v>
      </c>
      <c r="D483" s="9">
        <v>26</v>
      </c>
      <c r="E483" s="9">
        <v>7.7</v>
      </c>
      <c r="F483" s="9">
        <v>0.47</v>
      </c>
      <c r="G483" s="7" t="s">
        <v>50</v>
      </c>
    </row>
    <row r="484" spans="1:7" x14ac:dyDescent="0.2">
      <c r="A484" s="9">
        <v>0</v>
      </c>
      <c r="B484" s="9">
        <v>11</v>
      </c>
      <c r="C484" s="9">
        <v>6</v>
      </c>
      <c r="D484" s="9">
        <v>24</v>
      </c>
      <c r="E484" s="9">
        <v>2.4</v>
      </c>
      <c r="F484" s="9">
        <v>0.47</v>
      </c>
      <c r="G484" s="7" t="s">
        <v>50</v>
      </c>
    </row>
    <row r="485" spans="1:7" x14ac:dyDescent="0.2">
      <c r="A485" s="9">
        <v>0</v>
      </c>
      <c r="B485" s="9">
        <v>1</v>
      </c>
      <c r="C485" s="9">
        <v>0</v>
      </c>
      <c r="D485" s="9">
        <v>21</v>
      </c>
      <c r="E485" s="9">
        <v>4.9000000000000004</v>
      </c>
      <c r="F485" s="9">
        <v>0.42</v>
      </c>
      <c r="G485" s="7" t="s">
        <v>50</v>
      </c>
    </row>
    <row r="486" spans="1:7" x14ac:dyDescent="0.2">
      <c r="A486" s="9">
        <v>0</v>
      </c>
      <c r="B486" s="9">
        <v>9</v>
      </c>
      <c r="C486" s="9">
        <v>3</v>
      </c>
      <c r="D486" s="9">
        <v>36</v>
      </c>
      <c r="E486" s="9">
        <v>1.4</v>
      </c>
      <c r="F486" s="9">
        <v>0.38</v>
      </c>
      <c r="G486" s="7" t="s">
        <v>50</v>
      </c>
    </row>
    <row r="487" spans="1:7" x14ac:dyDescent="0.2">
      <c r="A487" s="9">
        <v>0</v>
      </c>
      <c r="B487" s="9">
        <v>10</v>
      </c>
      <c r="C487" s="9">
        <v>8</v>
      </c>
      <c r="D487" s="9">
        <v>34</v>
      </c>
      <c r="E487" s="9">
        <v>1.2</v>
      </c>
      <c r="F487" s="9">
        <v>0.37</v>
      </c>
      <c r="G487" s="7" t="s">
        <v>50</v>
      </c>
    </row>
    <row r="488" spans="1:7" x14ac:dyDescent="0.2">
      <c r="A488" s="9">
        <v>0</v>
      </c>
      <c r="B488" s="9">
        <v>0</v>
      </c>
      <c r="C488" s="9">
        <v>1</v>
      </c>
      <c r="D488" s="9">
        <v>17</v>
      </c>
      <c r="E488" s="9">
        <v>2.2999999999999998</v>
      </c>
      <c r="F488" s="9">
        <v>0.35</v>
      </c>
      <c r="G488" s="7" t="s">
        <v>50</v>
      </c>
    </row>
    <row r="489" spans="1:7" x14ac:dyDescent="0.2">
      <c r="A489" s="9">
        <v>0</v>
      </c>
      <c r="B489" s="9">
        <v>10</v>
      </c>
      <c r="C489" s="9">
        <v>6</v>
      </c>
      <c r="D489" s="9">
        <v>24</v>
      </c>
      <c r="E489" s="9">
        <v>2.7</v>
      </c>
      <c r="F489" s="9">
        <v>0.34</v>
      </c>
      <c r="G489" s="7" t="s">
        <v>50</v>
      </c>
    </row>
    <row r="490" spans="1:7" x14ac:dyDescent="0.2">
      <c r="A490" s="9">
        <v>0</v>
      </c>
      <c r="B490" s="9">
        <v>2</v>
      </c>
      <c r="C490" s="9">
        <v>4</v>
      </c>
      <c r="D490" s="9">
        <v>32</v>
      </c>
      <c r="E490" s="9">
        <v>3.7</v>
      </c>
      <c r="F490" s="9">
        <v>0.33</v>
      </c>
      <c r="G490" s="7" t="s">
        <v>50</v>
      </c>
    </row>
    <row r="491" spans="1:7" x14ac:dyDescent="0.2">
      <c r="A491" s="9">
        <v>1</v>
      </c>
      <c r="B491" s="9">
        <v>0</v>
      </c>
      <c r="C491" s="9">
        <v>11</v>
      </c>
      <c r="D491" s="9">
        <v>17</v>
      </c>
      <c r="E491" s="9">
        <v>3.7</v>
      </c>
      <c r="F491" s="9">
        <v>0.18</v>
      </c>
      <c r="G491" s="7" t="s">
        <v>50</v>
      </c>
    </row>
    <row r="492" spans="1:7" x14ac:dyDescent="0.2">
      <c r="A492" s="9">
        <v>0</v>
      </c>
      <c r="B492" s="9">
        <v>11</v>
      </c>
      <c r="C492" s="9">
        <v>9</v>
      </c>
      <c r="D492" s="9">
        <v>27</v>
      </c>
      <c r="E492" s="9">
        <v>0.9</v>
      </c>
      <c r="F492" s="9">
        <v>0.17</v>
      </c>
      <c r="G492" s="7" t="s">
        <v>50</v>
      </c>
    </row>
    <row r="493" spans="1:7" x14ac:dyDescent="0.2">
      <c r="A493" s="9">
        <v>0</v>
      </c>
      <c r="B493" s="9">
        <v>9</v>
      </c>
      <c r="C493" s="9">
        <v>4</v>
      </c>
      <c r="D493" s="9">
        <v>18</v>
      </c>
      <c r="E493" s="9">
        <v>1.2</v>
      </c>
      <c r="F493" s="9">
        <v>0.15</v>
      </c>
      <c r="G493" s="7" t="s">
        <v>50</v>
      </c>
    </row>
    <row r="494" spans="1:7" x14ac:dyDescent="0.2">
      <c r="A494" s="9">
        <v>0</v>
      </c>
      <c r="B494" s="9">
        <v>0</v>
      </c>
      <c r="C494" s="9">
        <v>1</v>
      </c>
      <c r="D494" s="9">
        <v>16</v>
      </c>
      <c r="E494" s="9">
        <v>1.7</v>
      </c>
      <c r="F494" s="9">
        <v>0.09</v>
      </c>
      <c r="G494" s="7" t="s">
        <v>50</v>
      </c>
    </row>
    <row r="495" spans="1:7" x14ac:dyDescent="0.2">
      <c r="A495" s="9">
        <v>0</v>
      </c>
      <c r="B495" s="9">
        <v>0</v>
      </c>
      <c r="C495" s="9">
        <v>5</v>
      </c>
      <c r="D495" s="9">
        <v>16</v>
      </c>
      <c r="E495" s="9">
        <v>1.1000000000000001</v>
      </c>
      <c r="F495" s="9">
        <v>0.05</v>
      </c>
      <c r="G495" s="7" t="s">
        <v>50</v>
      </c>
    </row>
    <row r="496" spans="1:7" x14ac:dyDescent="0.2">
      <c r="A496" s="9">
        <v>1</v>
      </c>
      <c r="B496" s="9">
        <v>13</v>
      </c>
      <c r="C496" s="9">
        <v>11</v>
      </c>
      <c r="D496" s="9">
        <v>102</v>
      </c>
      <c r="E496" s="9">
        <v>18.899999999999999</v>
      </c>
      <c r="F496" s="9">
        <v>0</v>
      </c>
      <c r="G496" s="7" t="s">
        <v>50</v>
      </c>
    </row>
    <row r="497" spans="1:7" x14ac:dyDescent="0.2">
      <c r="A497" s="9">
        <v>0</v>
      </c>
      <c r="B497" s="9">
        <v>20</v>
      </c>
      <c r="C497" s="9">
        <v>9</v>
      </c>
      <c r="D497" s="9">
        <v>67</v>
      </c>
      <c r="E497" s="9">
        <v>30.6</v>
      </c>
      <c r="F497" s="9">
        <v>0</v>
      </c>
      <c r="G497" s="7" t="s">
        <v>50</v>
      </c>
    </row>
    <row r="498" spans="1:7" x14ac:dyDescent="0.2">
      <c r="A498" s="9">
        <v>1</v>
      </c>
      <c r="B498" s="9">
        <v>13</v>
      </c>
      <c r="C498" s="9">
        <v>13</v>
      </c>
      <c r="D498" s="9">
        <v>91</v>
      </c>
      <c r="E498" s="9">
        <v>25.2</v>
      </c>
      <c r="F498" s="9">
        <v>0</v>
      </c>
      <c r="G498" s="7" t="s">
        <v>50</v>
      </c>
    </row>
    <row r="499" spans="1:7" x14ac:dyDescent="0.2">
      <c r="A499" s="9">
        <v>1</v>
      </c>
      <c r="B499" s="9">
        <v>25</v>
      </c>
      <c r="C499" s="9">
        <v>12</v>
      </c>
      <c r="D499" s="13">
        <v>117.54291069294821</v>
      </c>
      <c r="E499" s="9">
        <v>26.5</v>
      </c>
      <c r="F499" s="9">
        <v>0</v>
      </c>
      <c r="G499" s="7" t="s">
        <v>50</v>
      </c>
    </row>
    <row r="500" spans="1:7" x14ac:dyDescent="0.2">
      <c r="A500" s="9">
        <v>1</v>
      </c>
      <c r="B500" s="9">
        <v>18</v>
      </c>
      <c r="C500" s="9">
        <v>14</v>
      </c>
      <c r="D500" s="9">
        <v>0</v>
      </c>
      <c r="E500" s="9">
        <v>6.5</v>
      </c>
      <c r="F500" s="13">
        <v>10.154483815851645</v>
      </c>
      <c r="G500" s="7" t="s">
        <v>50</v>
      </c>
    </row>
    <row r="501" spans="1:7" x14ac:dyDescent="0.2">
      <c r="A501" s="9">
        <v>0</v>
      </c>
      <c r="B501" s="9">
        <v>17</v>
      </c>
      <c r="C501" s="9">
        <v>26</v>
      </c>
      <c r="D501" s="9">
        <v>113</v>
      </c>
      <c r="E501" s="9">
        <v>12</v>
      </c>
      <c r="F501" s="13">
        <v>10.154483815851645</v>
      </c>
      <c r="G501" s="7" t="s">
        <v>50</v>
      </c>
    </row>
  </sheetData>
  <mergeCells count="11">
    <mergeCell ref="I64:M65"/>
    <mergeCell ref="I67:J68"/>
    <mergeCell ref="K67:L67"/>
    <mergeCell ref="I69:I70"/>
    <mergeCell ref="I71:J71"/>
    <mergeCell ref="K71:L74"/>
    <mergeCell ref="I77:J78"/>
    <mergeCell ref="K77:L77"/>
    <mergeCell ref="I79:I80"/>
    <mergeCell ref="I81:J81"/>
    <mergeCell ref="K81:L8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3C8F7-20FC-7941-A3DF-E3016BA81E1D}">
  <dimension ref="A1:AH501"/>
  <sheetViews>
    <sheetView showGridLines="0" zoomScaleNormal="100" workbookViewId="0">
      <selection activeCell="N36" sqref="N36"/>
    </sheetView>
  </sheetViews>
  <sheetFormatPr baseColWidth="10" defaultRowHeight="16" x14ac:dyDescent="0.2"/>
  <cols>
    <col min="1" max="5" width="10.83203125" style="6"/>
    <col min="6" max="6" width="13.1640625" style="14" bestFit="1" customWidth="1"/>
    <col min="7" max="7" width="10.83203125" style="1"/>
    <col min="12" max="12" width="24.83203125" bestFit="1" customWidth="1"/>
    <col min="13" max="24" width="13.6640625" customWidth="1"/>
  </cols>
  <sheetData>
    <row r="1" spans="1:34" x14ac:dyDescent="0.2">
      <c r="A1" s="9" t="s">
        <v>71</v>
      </c>
      <c r="B1" s="9" t="s">
        <v>3</v>
      </c>
      <c r="C1" s="9" t="s">
        <v>4</v>
      </c>
      <c r="D1" s="9" t="s">
        <v>5</v>
      </c>
      <c r="E1" s="9" t="s">
        <v>6</v>
      </c>
      <c r="F1" s="9" t="s">
        <v>47</v>
      </c>
      <c r="G1" s="9" t="s">
        <v>91</v>
      </c>
      <c r="H1" s="9" t="s">
        <v>92</v>
      </c>
      <c r="I1" s="47" t="s">
        <v>93</v>
      </c>
      <c r="J1" s="47" t="s">
        <v>94</v>
      </c>
      <c r="K1" s="43"/>
      <c r="L1" s="44"/>
      <c r="M1" s="44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34" x14ac:dyDescent="0.2">
      <c r="A2" s="9">
        <v>0</v>
      </c>
      <c r="B2" s="9">
        <v>6</v>
      </c>
      <c r="C2" s="9">
        <v>10</v>
      </c>
      <c r="D2" s="9">
        <v>65</v>
      </c>
      <c r="E2" s="9">
        <v>18.399999999999999</v>
      </c>
      <c r="F2" s="7" t="s">
        <v>49</v>
      </c>
      <c r="G2" s="27">
        <f t="shared" ref="G2:G65" si="0">SUMPRODUCT($Q$3:$T$3,B2:E2)+$P$3</f>
        <v>0.42146683537411933</v>
      </c>
      <c r="H2" s="27">
        <f>EXP(G2)/(1+EXP(G2))</f>
        <v>0.60383419735227528</v>
      </c>
      <c r="I2" s="48">
        <f>ROUND($M$4+(($M$5/LN(2))*LN(H2)),0)</f>
        <v>485</v>
      </c>
      <c r="J2" s="47">
        <f t="shared" ref="J2:J5" si="1">IF(H2&gt;=$M$3,1,0)</f>
        <v>1</v>
      </c>
      <c r="K2" s="43"/>
      <c r="L2" s="44"/>
      <c r="M2" s="44"/>
      <c r="O2" s="55" t="s">
        <v>120</v>
      </c>
      <c r="P2" s="55" t="s">
        <v>73</v>
      </c>
      <c r="Q2" s="55" t="s">
        <v>3</v>
      </c>
      <c r="R2" s="55" t="s">
        <v>4</v>
      </c>
      <c r="S2" s="55" t="s">
        <v>5</v>
      </c>
      <c r="T2" s="55" t="s">
        <v>6</v>
      </c>
    </row>
    <row r="3" spans="1:34" x14ac:dyDescent="0.2">
      <c r="A3" s="9">
        <v>0</v>
      </c>
      <c r="B3" s="9">
        <v>25</v>
      </c>
      <c r="C3" s="9">
        <v>21</v>
      </c>
      <c r="D3" s="9">
        <v>64</v>
      </c>
      <c r="E3" s="9">
        <v>16.7</v>
      </c>
      <c r="F3" s="7" t="s">
        <v>49</v>
      </c>
      <c r="G3" s="27">
        <f t="shared" si="0"/>
        <v>-4.0071517177190081</v>
      </c>
      <c r="H3" s="27">
        <f t="shared" ref="H3:H66" si="2">EXP(G3)/(1+EXP(G3))</f>
        <v>1.7860325761012326E-2</v>
      </c>
      <c r="I3" s="48">
        <f t="shared" ref="I3:I5" si="3">ROUND($M$4+(($M$5/LN(2))*LN(H3)),0)</f>
        <v>384</v>
      </c>
      <c r="J3" s="47">
        <f t="shared" si="1"/>
        <v>0</v>
      </c>
      <c r="K3" s="43"/>
      <c r="L3" s="74" t="s">
        <v>95</v>
      </c>
      <c r="M3" s="47">
        <v>0.2</v>
      </c>
      <c r="O3" s="52" t="s">
        <v>20</v>
      </c>
      <c r="P3" s="53">
        <f t="array" ref="P3:T9">LOGIT(A2:A351,B2:E351,1,1)</f>
        <v>-1.9471426214574881</v>
      </c>
      <c r="Q3" s="54">
        <v>-0.17463298099997904</v>
      </c>
      <c r="R3" s="54">
        <v>-7.4610786580370778E-2</v>
      </c>
      <c r="S3" s="54">
        <v>1.8920823444364718E-2</v>
      </c>
      <c r="T3" s="54">
        <v>0.15938378721475452</v>
      </c>
      <c r="W3" s="108" t="s">
        <v>129</v>
      </c>
      <c r="X3" s="108"/>
      <c r="Y3" s="108"/>
    </row>
    <row r="4" spans="1:34" x14ac:dyDescent="0.2">
      <c r="A4" s="9">
        <v>1</v>
      </c>
      <c r="B4" s="9">
        <v>11</v>
      </c>
      <c r="C4" s="9">
        <v>6</v>
      </c>
      <c r="D4" s="9">
        <v>75</v>
      </c>
      <c r="E4" s="9">
        <v>23.3</v>
      </c>
      <c r="F4" s="7" t="s">
        <v>49</v>
      </c>
      <c r="G4" s="27">
        <f t="shared" si="0"/>
        <v>0.81693386849165206</v>
      </c>
      <c r="H4" s="27">
        <f t="shared" si="2"/>
        <v>0.69358509815214298</v>
      </c>
      <c r="I4" s="48">
        <f t="shared" si="3"/>
        <v>489</v>
      </c>
      <c r="J4" s="47">
        <f t="shared" si="1"/>
        <v>1</v>
      </c>
      <c r="K4" s="43"/>
      <c r="L4" s="74" t="s">
        <v>96</v>
      </c>
      <c r="M4" s="47">
        <v>500</v>
      </c>
      <c r="O4" s="52" t="s">
        <v>21</v>
      </c>
      <c r="P4" s="49">
        <v>0.39602733699041465</v>
      </c>
      <c r="Q4" s="27">
        <v>3.8731083759775034E-2</v>
      </c>
      <c r="R4" s="27">
        <v>2.7024245692957746E-2</v>
      </c>
      <c r="S4" s="27">
        <v>9.8691510508136186E-3</v>
      </c>
      <c r="T4" s="27">
        <v>2.4517849360333993E-2</v>
      </c>
      <c r="W4" s="108"/>
      <c r="X4" s="108"/>
      <c r="Y4" s="108"/>
    </row>
    <row r="5" spans="1:34" x14ac:dyDescent="0.2">
      <c r="A5" s="9">
        <v>0</v>
      </c>
      <c r="B5" s="9">
        <v>9</v>
      </c>
      <c r="C5" s="9">
        <v>16</v>
      </c>
      <c r="D5" s="9">
        <v>0</v>
      </c>
      <c r="E5" s="9">
        <v>5.9</v>
      </c>
      <c r="F5" s="7" t="s">
        <v>49</v>
      </c>
      <c r="G5" s="27">
        <f t="shared" si="0"/>
        <v>-3.7722476911761804</v>
      </c>
      <c r="H5" s="27">
        <f t="shared" si="2"/>
        <v>2.2483187331770443E-2</v>
      </c>
      <c r="I5" s="48">
        <f t="shared" si="3"/>
        <v>390</v>
      </c>
      <c r="J5" s="47">
        <f t="shared" si="1"/>
        <v>0</v>
      </c>
      <c r="K5" s="43"/>
      <c r="L5" s="74" t="s">
        <v>97</v>
      </c>
      <c r="M5" s="47">
        <v>20</v>
      </c>
      <c r="O5" s="52" t="s">
        <v>22</v>
      </c>
      <c r="P5" s="49">
        <v>-4.9166874091437185</v>
      </c>
      <c r="Q5" s="27">
        <v>-4.5088586232990391</v>
      </c>
      <c r="R5" s="27">
        <v>-2.7608832242009114</v>
      </c>
      <c r="S5" s="27">
        <v>1.9171682900531626</v>
      </c>
      <c r="T5" s="27">
        <v>6.5007246301387394</v>
      </c>
      <c r="W5" s="108"/>
      <c r="X5" s="108"/>
      <c r="Y5" s="108"/>
    </row>
    <row r="6" spans="1:34" x14ac:dyDescent="0.2">
      <c r="A6" s="9">
        <v>0</v>
      </c>
      <c r="B6" s="9">
        <v>22</v>
      </c>
      <c r="C6" s="9">
        <v>24</v>
      </c>
      <c r="D6" s="9">
        <v>91</v>
      </c>
      <c r="E6" s="9">
        <v>11.7</v>
      </c>
      <c r="F6" s="7" t="s">
        <v>49</v>
      </c>
      <c r="G6" s="27">
        <f t="shared" si="0"/>
        <v>-3.993141837536109</v>
      </c>
      <c r="H6" s="27">
        <f t="shared" si="2"/>
        <v>1.810774495623458E-2</v>
      </c>
      <c r="I6" s="48">
        <f t="shared" ref="I6:I69" si="4">ROUND($M$4+(($M$5/LN(2))*LN(H6)),0)</f>
        <v>384</v>
      </c>
      <c r="J6" s="47">
        <f t="shared" ref="J6:J69" si="5">IF(H6&gt;=$M$3,1,0)</f>
        <v>0</v>
      </c>
      <c r="O6" s="52" t="s">
        <v>23</v>
      </c>
      <c r="P6" s="50">
        <v>8.8020931676702219E-7</v>
      </c>
      <c r="Q6" s="12">
        <v>6.5177321728615567E-6</v>
      </c>
      <c r="R6" s="12">
        <v>5.7645283805014547E-3</v>
      </c>
      <c r="S6" s="12">
        <v>5.5216555156665903E-2</v>
      </c>
      <c r="T6" s="12">
        <v>7.9934059371566946E-11</v>
      </c>
      <c r="W6" s="108"/>
      <c r="X6" s="108"/>
      <c r="Y6" s="108"/>
    </row>
    <row r="7" spans="1:34" x14ac:dyDescent="0.2">
      <c r="A7" s="9">
        <v>1</v>
      </c>
      <c r="B7" s="9">
        <v>13</v>
      </c>
      <c r="C7" s="9">
        <v>20</v>
      </c>
      <c r="D7" s="9">
        <v>50</v>
      </c>
      <c r="E7" s="9">
        <v>30.8</v>
      </c>
      <c r="F7" s="7" t="s">
        <v>49</v>
      </c>
      <c r="G7" s="27">
        <f t="shared" si="0"/>
        <v>0.14547471236804377</v>
      </c>
      <c r="H7" s="27">
        <f t="shared" si="2"/>
        <v>0.5363046746713126</v>
      </c>
      <c r="I7" s="48">
        <f t="shared" si="4"/>
        <v>482</v>
      </c>
      <c r="J7" s="47">
        <f t="shared" si="5"/>
        <v>1</v>
      </c>
      <c r="O7" s="52" t="s">
        <v>24</v>
      </c>
      <c r="P7" s="51">
        <v>0.22224353067529956</v>
      </c>
      <c r="Q7" s="27">
        <v>7</v>
      </c>
      <c r="R7" s="27" t="str">
        <v>#N/A</v>
      </c>
      <c r="S7" s="27" t="str">
        <v>#N/A</v>
      </c>
      <c r="T7" s="27" t="str">
        <v>#N/A</v>
      </c>
      <c r="W7" s="108"/>
      <c r="X7" s="108"/>
      <c r="Y7" s="108"/>
    </row>
    <row r="8" spans="1:34" x14ac:dyDescent="0.2">
      <c r="A8" s="9">
        <v>1</v>
      </c>
      <c r="B8" s="9">
        <v>12</v>
      </c>
      <c r="C8" s="9">
        <v>5</v>
      </c>
      <c r="D8" s="9">
        <v>68</v>
      </c>
      <c r="E8" s="9">
        <v>25.1</v>
      </c>
      <c r="F8" s="7" t="s">
        <v>49</v>
      </c>
      <c r="G8" s="27">
        <f t="shared" si="0"/>
        <v>0.87135672694804933</v>
      </c>
      <c r="H8" s="27">
        <f t="shared" si="2"/>
        <v>0.70502792621313226</v>
      </c>
      <c r="I8" s="48">
        <f t="shared" si="4"/>
        <v>490</v>
      </c>
      <c r="J8" s="47">
        <f t="shared" si="5"/>
        <v>1</v>
      </c>
      <c r="O8" s="52" t="s">
        <v>25</v>
      </c>
      <c r="P8" s="49">
        <v>83.081753900807712</v>
      </c>
      <c r="Q8" s="27">
        <v>3.8710858720580127E-17</v>
      </c>
      <c r="R8" s="27" t="str">
        <v>#N/A</v>
      </c>
      <c r="S8" s="27" t="str">
        <v>#N/A</v>
      </c>
      <c r="T8" s="27" t="str">
        <v>#N/A</v>
      </c>
    </row>
    <row r="9" spans="1:34" x14ac:dyDescent="0.2">
      <c r="A9" s="9">
        <v>0</v>
      </c>
      <c r="B9" s="9">
        <v>21</v>
      </c>
      <c r="C9" s="9">
        <v>2</v>
      </c>
      <c r="D9" s="9">
        <v>76</v>
      </c>
      <c r="E9" s="9">
        <v>20.5</v>
      </c>
      <c r="F9" s="7" t="s">
        <v>49</v>
      </c>
      <c r="G9" s="27">
        <f t="shared" si="0"/>
        <v>-1.058306575943603</v>
      </c>
      <c r="H9" s="27">
        <f t="shared" si="2"/>
        <v>0.25763320321077493</v>
      </c>
      <c r="I9" s="48">
        <f t="shared" si="4"/>
        <v>461</v>
      </c>
      <c r="J9" s="47">
        <f t="shared" si="5"/>
        <v>1</v>
      </c>
      <c r="L9" s="84" t="s">
        <v>133</v>
      </c>
      <c r="O9" s="52" t="s">
        <v>26</v>
      </c>
      <c r="P9" s="49">
        <v>-145.37514631551329</v>
      </c>
      <c r="Q9" s="27">
        <v>-186.91602326591715</v>
      </c>
      <c r="R9" s="27" t="str">
        <v>#N/A</v>
      </c>
      <c r="S9" s="27" t="str">
        <v>#N/A</v>
      </c>
      <c r="T9" s="27" t="str">
        <v>#N/A</v>
      </c>
    </row>
    <row r="10" spans="1:34" x14ac:dyDescent="0.2">
      <c r="A10" s="9">
        <v>0</v>
      </c>
      <c r="B10" s="9">
        <v>12</v>
      </c>
      <c r="C10" s="9">
        <v>11</v>
      </c>
      <c r="D10" s="9">
        <v>51</v>
      </c>
      <c r="E10" s="9">
        <v>21.4</v>
      </c>
      <c r="F10" s="7" t="s">
        <v>49</v>
      </c>
      <c r="G10" s="27">
        <f t="shared" si="0"/>
        <v>-0.48768200378296811</v>
      </c>
      <c r="H10" s="27">
        <f t="shared" si="2"/>
        <v>0.38043978015344476</v>
      </c>
      <c r="I10" s="48">
        <f t="shared" si="4"/>
        <v>472</v>
      </c>
      <c r="J10" s="47">
        <f t="shared" si="5"/>
        <v>1</v>
      </c>
    </row>
    <row r="11" spans="1:34" x14ac:dyDescent="0.2">
      <c r="A11" s="9">
        <v>0</v>
      </c>
      <c r="B11" s="9">
        <v>13</v>
      </c>
      <c r="C11" s="9">
        <v>25</v>
      </c>
      <c r="D11" s="9">
        <v>51</v>
      </c>
      <c r="E11" s="9">
        <v>23.8</v>
      </c>
      <c r="F11" s="7" t="s">
        <v>49</v>
      </c>
      <c r="G11" s="27">
        <f t="shared" si="0"/>
        <v>-1.3243449075927263</v>
      </c>
      <c r="H11" s="27">
        <f t="shared" si="2"/>
        <v>0.21009632234921038</v>
      </c>
      <c r="I11" s="48">
        <f t="shared" si="4"/>
        <v>455</v>
      </c>
      <c r="J11" s="47">
        <f t="shared" si="5"/>
        <v>1</v>
      </c>
      <c r="L11" s="91" t="s">
        <v>49</v>
      </c>
      <c r="M11" s="93"/>
      <c r="N11" s="92"/>
      <c r="O11" s="47" t="s">
        <v>98</v>
      </c>
      <c r="P11" s="47" t="s">
        <v>99</v>
      </c>
      <c r="Q11" s="105" t="s">
        <v>100</v>
      </c>
      <c r="R11" s="103" t="s">
        <v>101</v>
      </c>
      <c r="S11" s="107"/>
      <c r="T11" s="107"/>
      <c r="U11" s="107"/>
      <c r="V11" s="107"/>
      <c r="W11" s="104"/>
      <c r="X11" s="44"/>
    </row>
    <row r="12" spans="1:34" x14ac:dyDescent="0.2">
      <c r="A12" s="9">
        <v>1</v>
      </c>
      <c r="B12" s="9">
        <v>13</v>
      </c>
      <c r="C12" s="9">
        <v>3</v>
      </c>
      <c r="D12" s="9">
        <v>52</v>
      </c>
      <c r="E12" s="9">
        <v>21.3</v>
      </c>
      <c r="F12" s="7" t="s">
        <v>49</v>
      </c>
      <c r="G12" s="27">
        <f t="shared" si="0"/>
        <v>-6.2446247417091261E-2</v>
      </c>
      <c r="H12" s="27">
        <f t="shared" si="2"/>
        <v>0.48439350931932995</v>
      </c>
      <c r="I12" s="48">
        <f t="shared" si="4"/>
        <v>479</v>
      </c>
      <c r="J12" s="47">
        <f t="shared" si="5"/>
        <v>1</v>
      </c>
      <c r="L12" s="59" t="s">
        <v>102</v>
      </c>
      <c r="M12" s="55" t="s">
        <v>103</v>
      </c>
      <c r="N12" s="55" t="s">
        <v>104</v>
      </c>
      <c r="O12" s="55">
        <v>0</v>
      </c>
      <c r="P12" s="55">
        <v>1</v>
      </c>
      <c r="Q12" s="106"/>
      <c r="R12" s="55" t="s">
        <v>105</v>
      </c>
      <c r="S12" s="55" t="s">
        <v>106</v>
      </c>
      <c r="T12" s="55" t="s">
        <v>107</v>
      </c>
      <c r="U12" s="55" t="s">
        <v>108</v>
      </c>
      <c r="V12" s="55" t="s">
        <v>109</v>
      </c>
      <c r="W12" s="55" t="s">
        <v>110</v>
      </c>
      <c r="X12" s="44"/>
    </row>
    <row r="13" spans="1:34" x14ac:dyDescent="0.2">
      <c r="A13" s="9">
        <v>1</v>
      </c>
      <c r="B13" s="9">
        <v>9</v>
      </c>
      <c r="C13" s="9">
        <v>5</v>
      </c>
      <c r="D13" s="9">
        <v>60</v>
      </c>
      <c r="E13" s="9">
        <v>20.399999999999999</v>
      </c>
      <c r="F13" s="7" t="s">
        <v>49</v>
      </c>
      <c r="G13" s="27">
        <f t="shared" si="0"/>
        <v>0.494785282483722</v>
      </c>
      <c r="H13" s="27">
        <f t="shared" si="2"/>
        <v>0.62123307292900187</v>
      </c>
      <c r="I13" s="48">
        <f t="shared" si="4"/>
        <v>486</v>
      </c>
      <c r="J13" s="47">
        <f t="shared" si="5"/>
        <v>1</v>
      </c>
      <c r="L13" s="48">
        <f>MIN(I2:I501)</f>
        <v>295</v>
      </c>
      <c r="M13" s="48">
        <f>L13+14</f>
        <v>309</v>
      </c>
      <c r="N13" s="48" t="str">
        <f>_xlfn.CONCAT(L13,"-",M13)</f>
        <v>295-309</v>
      </c>
      <c r="O13" s="47">
        <f t="shared" ref="O13:O25" si="6">COUNTIFS($I$2:$I$501,"&gt;="&amp;L13,$I$2:$I$501,"&lt;="&amp;M13,$A$2:$A$501,"="&amp;$O$12,$F$2:$F$501,"="&amp;$L$11)</f>
        <v>2</v>
      </c>
      <c r="P13" s="47">
        <f t="shared" ref="P13:P25" si="7">COUNTIFS($I$2:$I$501,"&gt;="&amp;L13,$I$2:$I$501,"&lt;="&amp;M13,$A$2:$A$501,"="&amp;$P$12,$F$2:$F$501,"="&amp;$L$11)</f>
        <v>0</v>
      </c>
      <c r="Q13" s="47">
        <f>O13+P13</f>
        <v>2</v>
      </c>
      <c r="R13" s="60">
        <f t="shared" ref="R13:R25" si="8">O13/$O$26</f>
        <v>7.3800738007380072E-3</v>
      </c>
      <c r="S13" s="60">
        <f t="shared" ref="S13:S25" si="9">P13/$P$26</f>
        <v>0</v>
      </c>
      <c r="T13" s="60">
        <f t="shared" ref="T13:T25" si="10">Q13/$Q$26</f>
        <v>5.7142857142857143E-3</v>
      </c>
      <c r="U13" s="60">
        <f>R13</f>
        <v>7.3800738007380072E-3</v>
      </c>
      <c r="V13" s="60">
        <f>S13</f>
        <v>0</v>
      </c>
      <c r="W13" s="60">
        <f>ABS(V13-U13)</f>
        <v>7.3800738007380072E-3</v>
      </c>
      <c r="X13" s="45"/>
    </row>
    <row r="14" spans="1:34" x14ac:dyDescent="0.2">
      <c r="A14" s="9">
        <v>1</v>
      </c>
      <c r="B14" s="9">
        <v>11</v>
      </c>
      <c r="C14" s="9">
        <v>4</v>
      </c>
      <c r="D14" s="9">
        <v>57</v>
      </c>
      <c r="E14" s="9">
        <v>23.8</v>
      </c>
      <c r="F14" s="7" t="s">
        <v>49</v>
      </c>
      <c r="G14" s="27">
        <f t="shared" si="0"/>
        <v>0.70527251326120588</v>
      </c>
      <c r="H14" s="27">
        <f t="shared" si="2"/>
        <v>0.66935571782529446</v>
      </c>
      <c r="I14" s="48">
        <f t="shared" si="4"/>
        <v>488</v>
      </c>
      <c r="J14" s="47">
        <f t="shared" si="5"/>
        <v>1</v>
      </c>
      <c r="L14" s="48">
        <f>M13+1</f>
        <v>310</v>
      </c>
      <c r="M14" s="48">
        <f>L14+14</f>
        <v>324</v>
      </c>
      <c r="N14" s="48" t="str">
        <f t="shared" ref="N14:N25" si="11">_xlfn.CONCAT(L14,"-",M14)</f>
        <v>310-324</v>
      </c>
      <c r="O14" s="47">
        <f t="shared" si="6"/>
        <v>1</v>
      </c>
      <c r="P14" s="47">
        <f t="shared" si="7"/>
        <v>0</v>
      </c>
      <c r="Q14" s="47">
        <f t="shared" ref="Q14:Q25" si="12">O14+P14</f>
        <v>1</v>
      </c>
      <c r="R14" s="60">
        <f t="shared" si="8"/>
        <v>3.6900369003690036E-3</v>
      </c>
      <c r="S14" s="60">
        <f t="shared" si="9"/>
        <v>0</v>
      </c>
      <c r="T14" s="60">
        <f t="shared" si="10"/>
        <v>2.8571428571428571E-3</v>
      </c>
      <c r="U14" s="60">
        <f>U13+R14</f>
        <v>1.107011070110701E-2</v>
      </c>
      <c r="V14" s="60">
        <f>V13+S14</f>
        <v>0</v>
      </c>
      <c r="W14" s="60">
        <f t="shared" ref="W14:W25" si="13">ABS(V14-U14)</f>
        <v>1.107011070110701E-2</v>
      </c>
      <c r="X14" s="45"/>
    </row>
    <row r="15" spans="1:34" x14ac:dyDescent="0.2">
      <c r="A15" s="9">
        <v>1</v>
      </c>
      <c r="B15" s="9">
        <v>7</v>
      </c>
      <c r="C15" s="9">
        <v>2</v>
      </c>
      <c r="D15" s="9">
        <v>68</v>
      </c>
      <c r="E15" s="9">
        <v>13</v>
      </c>
      <c r="F15" s="7" t="s">
        <v>49</v>
      </c>
      <c r="G15" s="27">
        <f t="shared" si="0"/>
        <v>3.9810166390526813E-2</v>
      </c>
      <c r="H15" s="27">
        <f t="shared" si="2"/>
        <v>0.5099512273659953</v>
      </c>
      <c r="I15" s="48">
        <f t="shared" si="4"/>
        <v>481</v>
      </c>
      <c r="J15" s="47">
        <f t="shared" si="5"/>
        <v>1</v>
      </c>
      <c r="L15" s="48">
        <f t="shared" ref="L15:L25" si="14">M14+1</f>
        <v>325</v>
      </c>
      <c r="M15" s="48">
        <f t="shared" ref="M15:M24" si="15">L15+14</f>
        <v>339</v>
      </c>
      <c r="N15" s="48" t="str">
        <f t="shared" si="11"/>
        <v>325-339</v>
      </c>
      <c r="O15" s="47">
        <f t="shared" si="6"/>
        <v>1</v>
      </c>
      <c r="P15" s="47">
        <f t="shared" si="7"/>
        <v>0</v>
      </c>
      <c r="Q15" s="47">
        <f t="shared" si="12"/>
        <v>1</v>
      </c>
      <c r="R15" s="60">
        <f t="shared" si="8"/>
        <v>3.6900369003690036E-3</v>
      </c>
      <c r="S15" s="60">
        <f t="shared" si="9"/>
        <v>0</v>
      </c>
      <c r="T15" s="60">
        <f t="shared" si="10"/>
        <v>2.8571428571428571E-3</v>
      </c>
      <c r="U15" s="60">
        <f t="shared" ref="U15:V25" si="16">U14+R15</f>
        <v>1.4760147601476014E-2</v>
      </c>
      <c r="V15" s="60">
        <f>V14+S15</f>
        <v>0</v>
      </c>
      <c r="W15" s="60">
        <f t="shared" si="13"/>
        <v>1.4760147601476014E-2</v>
      </c>
      <c r="X15" s="45"/>
      <c r="AA15" s="1"/>
      <c r="AB15" s="1"/>
      <c r="AC15" s="1"/>
      <c r="AD15" s="1"/>
      <c r="AE15" s="1"/>
      <c r="AF15" s="1"/>
      <c r="AH15" s="1"/>
    </row>
    <row r="16" spans="1:34" x14ac:dyDescent="0.2">
      <c r="A16" s="9">
        <v>0</v>
      </c>
      <c r="B16" s="9">
        <v>22</v>
      </c>
      <c r="C16" s="9">
        <v>17</v>
      </c>
      <c r="D16" s="9">
        <v>75</v>
      </c>
      <c r="E16" s="9">
        <v>23.6</v>
      </c>
      <c r="F16" s="7" t="s">
        <v>49</v>
      </c>
      <c r="G16" s="27">
        <f t="shared" si="0"/>
        <v>-1.8769324387277693</v>
      </c>
      <c r="H16" s="27">
        <f t="shared" si="2"/>
        <v>0.13274161745005603</v>
      </c>
      <c r="I16" s="48">
        <f t="shared" si="4"/>
        <v>442</v>
      </c>
      <c r="J16" s="47">
        <f t="shared" si="5"/>
        <v>0</v>
      </c>
      <c r="L16" s="48">
        <f t="shared" si="14"/>
        <v>340</v>
      </c>
      <c r="M16" s="48">
        <f t="shared" si="15"/>
        <v>354</v>
      </c>
      <c r="N16" s="48" t="str">
        <f t="shared" si="11"/>
        <v>340-354</v>
      </c>
      <c r="O16" s="47">
        <f t="shared" si="6"/>
        <v>2</v>
      </c>
      <c r="P16" s="47">
        <f t="shared" si="7"/>
        <v>0</v>
      </c>
      <c r="Q16" s="47">
        <f t="shared" si="12"/>
        <v>2</v>
      </c>
      <c r="R16" s="60">
        <f t="shared" si="8"/>
        <v>7.3800738007380072E-3</v>
      </c>
      <c r="S16" s="60">
        <f t="shared" si="9"/>
        <v>0</v>
      </c>
      <c r="T16" s="60">
        <f t="shared" si="10"/>
        <v>5.7142857142857143E-3</v>
      </c>
      <c r="U16" s="60">
        <f t="shared" si="16"/>
        <v>2.2140221402214021E-2</v>
      </c>
      <c r="V16" s="60">
        <f>V15+S16</f>
        <v>0</v>
      </c>
      <c r="W16" s="60">
        <f t="shared" si="13"/>
        <v>2.2140221402214021E-2</v>
      </c>
      <c r="X16" s="45"/>
      <c r="AA16" s="23"/>
      <c r="AB16" s="23"/>
      <c r="AC16" s="23"/>
      <c r="AD16" s="23"/>
      <c r="AE16" s="23"/>
      <c r="AF16" s="23"/>
      <c r="AH16" s="23"/>
    </row>
    <row r="17" spans="1:34" x14ac:dyDescent="0.2">
      <c r="A17" s="9">
        <v>0</v>
      </c>
      <c r="B17" s="9">
        <v>16</v>
      </c>
      <c r="C17" s="9">
        <v>9</v>
      </c>
      <c r="D17" s="9">
        <v>89</v>
      </c>
      <c r="E17" s="9">
        <v>14.3</v>
      </c>
      <c r="F17" s="7" t="s">
        <v>49</v>
      </c>
      <c r="G17" s="27">
        <f t="shared" si="0"/>
        <v>-1.44962595296104</v>
      </c>
      <c r="H17" s="27">
        <f t="shared" si="2"/>
        <v>0.19005913889291529</v>
      </c>
      <c r="I17" s="48">
        <f t="shared" si="4"/>
        <v>452</v>
      </c>
      <c r="J17" s="47">
        <f t="shared" si="5"/>
        <v>0</v>
      </c>
      <c r="L17" s="48">
        <f t="shared" si="14"/>
        <v>355</v>
      </c>
      <c r="M17" s="48">
        <f t="shared" si="15"/>
        <v>369</v>
      </c>
      <c r="N17" s="48" t="str">
        <f t="shared" si="11"/>
        <v>355-369</v>
      </c>
      <c r="O17" s="47">
        <f t="shared" si="6"/>
        <v>13</v>
      </c>
      <c r="P17" s="47">
        <f t="shared" si="7"/>
        <v>0</v>
      </c>
      <c r="Q17" s="47">
        <f t="shared" si="12"/>
        <v>13</v>
      </c>
      <c r="R17" s="60">
        <f t="shared" si="8"/>
        <v>4.797047970479705E-2</v>
      </c>
      <c r="S17" s="60">
        <f t="shared" si="9"/>
        <v>0</v>
      </c>
      <c r="T17" s="60">
        <f t="shared" si="10"/>
        <v>3.7142857142857144E-2</v>
      </c>
      <c r="U17" s="60">
        <f t="shared" si="16"/>
        <v>7.0110701107011064E-2</v>
      </c>
      <c r="V17" s="60">
        <f t="shared" si="16"/>
        <v>0</v>
      </c>
      <c r="W17" s="60">
        <f t="shared" si="13"/>
        <v>7.0110701107011064E-2</v>
      </c>
      <c r="X17" s="45"/>
    </row>
    <row r="18" spans="1:34" x14ac:dyDescent="0.2">
      <c r="A18" s="9">
        <v>0</v>
      </c>
      <c r="B18" s="9">
        <v>12</v>
      </c>
      <c r="C18" s="9">
        <v>8</v>
      </c>
      <c r="D18" s="9">
        <v>58</v>
      </c>
      <c r="E18" s="9">
        <v>18.399999999999999</v>
      </c>
      <c r="F18" s="7" t="s">
        <v>49</v>
      </c>
      <c r="G18" s="27">
        <f t="shared" si="0"/>
        <v>-0.60955524157556606</v>
      </c>
      <c r="H18" s="27">
        <f t="shared" si="2"/>
        <v>0.35216066000300905</v>
      </c>
      <c r="I18" s="48">
        <f t="shared" si="4"/>
        <v>470</v>
      </c>
      <c r="J18" s="47">
        <f t="shared" si="5"/>
        <v>1</v>
      </c>
      <c r="L18" s="48">
        <f t="shared" si="14"/>
        <v>370</v>
      </c>
      <c r="M18" s="48">
        <f t="shared" si="15"/>
        <v>384</v>
      </c>
      <c r="N18" s="48" t="str">
        <f t="shared" si="11"/>
        <v>370-384</v>
      </c>
      <c r="O18" s="47">
        <f t="shared" si="6"/>
        <v>10</v>
      </c>
      <c r="P18" s="47">
        <f t="shared" si="7"/>
        <v>0</v>
      </c>
      <c r="Q18" s="47">
        <f t="shared" si="12"/>
        <v>10</v>
      </c>
      <c r="R18" s="60">
        <f t="shared" si="8"/>
        <v>3.6900369003690037E-2</v>
      </c>
      <c r="S18" s="60">
        <f t="shared" si="9"/>
        <v>0</v>
      </c>
      <c r="T18" s="60">
        <f t="shared" si="10"/>
        <v>2.8571428571428571E-2</v>
      </c>
      <c r="U18" s="60">
        <f t="shared" si="16"/>
        <v>0.1070110701107011</v>
      </c>
      <c r="V18" s="60">
        <f t="shared" si="16"/>
        <v>0</v>
      </c>
      <c r="W18" s="60">
        <f t="shared" si="13"/>
        <v>0.1070110701107011</v>
      </c>
      <c r="X18" s="45"/>
    </row>
    <row r="19" spans="1:34" x14ac:dyDescent="0.2">
      <c r="A19" s="9">
        <v>0</v>
      </c>
      <c r="B19" s="9">
        <v>21</v>
      </c>
      <c r="C19" s="9">
        <v>20</v>
      </c>
      <c r="D19" s="13">
        <v>117.54291069294821</v>
      </c>
      <c r="E19" s="9">
        <v>14.4</v>
      </c>
      <c r="F19" s="7" t="s">
        <v>49</v>
      </c>
      <c r="G19" s="27">
        <f t="shared" si="0"/>
        <v>-2.5875157578139953</v>
      </c>
      <c r="H19" s="27">
        <f t="shared" si="2"/>
        <v>6.9946219581442273E-2</v>
      </c>
      <c r="I19" s="48">
        <f t="shared" si="4"/>
        <v>423</v>
      </c>
      <c r="J19" s="47">
        <f t="shared" si="5"/>
        <v>0</v>
      </c>
      <c r="L19" s="48">
        <f t="shared" si="14"/>
        <v>385</v>
      </c>
      <c r="M19" s="48">
        <f t="shared" si="15"/>
        <v>399</v>
      </c>
      <c r="N19" s="48" t="str">
        <f t="shared" si="11"/>
        <v>385-399</v>
      </c>
      <c r="O19" s="47">
        <f t="shared" si="6"/>
        <v>20</v>
      </c>
      <c r="P19" s="47">
        <f t="shared" si="7"/>
        <v>3</v>
      </c>
      <c r="Q19" s="47">
        <f t="shared" si="12"/>
        <v>23</v>
      </c>
      <c r="R19" s="60">
        <f t="shared" si="8"/>
        <v>7.3800738007380073E-2</v>
      </c>
      <c r="S19" s="60">
        <f t="shared" si="9"/>
        <v>3.7499999999999999E-2</v>
      </c>
      <c r="T19" s="60">
        <f t="shared" si="10"/>
        <v>6.5714285714285711E-2</v>
      </c>
      <c r="U19" s="60">
        <f t="shared" si="16"/>
        <v>0.18081180811808117</v>
      </c>
      <c r="V19" s="60">
        <f t="shared" si="16"/>
        <v>3.7499999999999999E-2</v>
      </c>
      <c r="W19" s="60">
        <f t="shared" si="13"/>
        <v>0.14331180811808117</v>
      </c>
      <c r="X19" s="45"/>
      <c r="AA19" s="22"/>
      <c r="AB19" s="22"/>
      <c r="AC19" s="22"/>
      <c r="AD19" s="22"/>
      <c r="AE19" s="22"/>
      <c r="AF19" s="22"/>
      <c r="AG19" s="22"/>
      <c r="AH19" s="22"/>
    </row>
    <row r="20" spans="1:34" x14ac:dyDescent="0.2">
      <c r="A20" s="9">
        <v>0</v>
      </c>
      <c r="B20" s="9">
        <v>16</v>
      </c>
      <c r="C20" s="9">
        <v>10</v>
      </c>
      <c r="D20" s="9">
        <v>38</v>
      </c>
      <c r="E20" s="9">
        <v>21</v>
      </c>
      <c r="F20" s="7" t="s">
        <v>49</v>
      </c>
      <c r="G20" s="27">
        <f t="shared" si="0"/>
        <v>-1.4213273608651562</v>
      </c>
      <c r="H20" s="27">
        <f t="shared" si="2"/>
        <v>0.19445357961756951</v>
      </c>
      <c r="I20" s="48">
        <f t="shared" si="4"/>
        <v>453</v>
      </c>
      <c r="J20" s="47">
        <f t="shared" si="5"/>
        <v>0</v>
      </c>
      <c r="L20" s="48">
        <f t="shared" si="14"/>
        <v>400</v>
      </c>
      <c r="M20" s="48">
        <f t="shared" si="15"/>
        <v>414</v>
      </c>
      <c r="N20" s="48" t="str">
        <f t="shared" si="11"/>
        <v>400-414</v>
      </c>
      <c r="O20" s="47">
        <f t="shared" si="6"/>
        <v>19</v>
      </c>
      <c r="P20" s="47">
        <f t="shared" si="7"/>
        <v>0</v>
      </c>
      <c r="Q20" s="47">
        <f t="shared" si="12"/>
        <v>19</v>
      </c>
      <c r="R20" s="60">
        <f t="shared" si="8"/>
        <v>7.0110701107011064E-2</v>
      </c>
      <c r="S20" s="60">
        <f t="shared" si="9"/>
        <v>0</v>
      </c>
      <c r="T20" s="60">
        <f t="shared" si="10"/>
        <v>5.4285714285714284E-2</v>
      </c>
      <c r="U20" s="60">
        <f t="shared" si="16"/>
        <v>0.25092250922509224</v>
      </c>
      <c r="V20" s="60">
        <f t="shared" si="16"/>
        <v>3.7499999999999999E-2</v>
      </c>
      <c r="W20" s="60">
        <f t="shared" si="13"/>
        <v>0.21342250922509223</v>
      </c>
      <c r="X20" s="45"/>
      <c r="AA20" s="24"/>
    </row>
    <row r="21" spans="1:34" x14ac:dyDescent="0.2">
      <c r="A21" s="9">
        <v>0</v>
      </c>
      <c r="B21" s="9">
        <v>10</v>
      </c>
      <c r="C21" s="9">
        <v>20</v>
      </c>
      <c r="D21" s="9">
        <v>80</v>
      </c>
      <c r="E21" s="9">
        <v>12.2</v>
      </c>
      <c r="F21" s="7" t="s">
        <v>49</v>
      </c>
      <c r="G21" s="27">
        <f t="shared" si="0"/>
        <v>-1.7275400834955117</v>
      </c>
      <c r="H21" s="27">
        <f t="shared" si="2"/>
        <v>0.15090250055248233</v>
      </c>
      <c r="I21" s="48">
        <f t="shared" si="4"/>
        <v>445</v>
      </c>
      <c r="J21" s="47">
        <f t="shared" si="5"/>
        <v>0</v>
      </c>
      <c r="L21" s="48">
        <f t="shared" si="14"/>
        <v>415</v>
      </c>
      <c r="M21" s="48">
        <f t="shared" si="15"/>
        <v>429</v>
      </c>
      <c r="N21" s="48" t="str">
        <f t="shared" si="11"/>
        <v>415-429</v>
      </c>
      <c r="O21" s="47">
        <f t="shared" si="6"/>
        <v>37</v>
      </c>
      <c r="P21" s="47">
        <f t="shared" si="7"/>
        <v>1</v>
      </c>
      <c r="Q21" s="47">
        <f t="shared" si="12"/>
        <v>38</v>
      </c>
      <c r="R21" s="60">
        <f t="shared" si="8"/>
        <v>0.13653136531365315</v>
      </c>
      <c r="S21" s="60">
        <f t="shared" si="9"/>
        <v>1.2500000000000001E-2</v>
      </c>
      <c r="T21" s="60">
        <f t="shared" si="10"/>
        <v>0.10857142857142857</v>
      </c>
      <c r="U21" s="60">
        <f t="shared" si="16"/>
        <v>0.38745387453874536</v>
      </c>
      <c r="V21" s="60">
        <f t="shared" si="16"/>
        <v>0.05</v>
      </c>
      <c r="W21" s="60">
        <f t="shared" si="13"/>
        <v>0.33745387453874537</v>
      </c>
      <c r="X21" s="45"/>
    </row>
    <row r="22" spans="1:34" x14ac:dyDescent="0.2">
      <c r="A22" s="9">
        <v>0</v>
      </c>
      <c r="B22" s="9">
        <v>18</v>
      </c>
      <c r="C22" s="9">
        <v>14</v>
      </c>
      <c r="D22" s="9">
        <v>0</v>
      </c>
      <c r="E22" s="9">
        <v>6.6</v>
      </c>
      <c r="F22" s="7" t="s">
        <v>49</v>
      </c>
      <c r="G22" s="27">
        <f t="shared" si="0"/>
        <v>-5.0831542959649223</v>
      </c>
      <c r="H22" s="27">
        <f t="shared" si="2"/>
        <v>6.1621134141957032E-3</v>
      </c>
      <c r="I22" s="48">
        <f t="shared" si="4"/>
        <v>353</v>
      </c>
      <c r="J22" s="47">
        <f t="shared" si="5"/>
        <v>0</v>
      </c>
      <c r="L22" s="48">
        <f t="shared" si="14"/>
        <v>430</v>
      </c>
      <c r="M22" s="48">
        <f t="shared" si="15"/>
        <v>444</v>
      </c>
      <c r="N22" s="48" t="str">
        <f t="shared" si="11"/>
        <v>430-444</v>
      </c>
      <c r="O22" s="47">
        <f t="shared" si="6"/>
        <v>46</v>
      </c>
      <c r="P22" s="47">
        <f t="shared" si="7"/>
        <v>2</v>
      </c>
      <c r="Q22" s="47">
        <f t="shared" si="12"/>
        <v>48</v>
      </c>
      <c r="R22" s="60">
        <f t="shared" si="8"/>
        <v>0.16974169741697417</v>
      </c>
      <c r="S22" s="60">
        <f t="shared" si="9"/>
        <v>2.5000000000000001E-2</v>
      </c>
      <c r="T22" s="60">
        <f t="shared" si="10"/>
        <v>0.13714285714285715</v>
      </c>
      <c r="U22" s="60">
        <f t="shared" si="16"/>
        <v>0.55719557195571956</v>
      </c>
      <c r="V22" s="60">
        <f t="shared" si="16"/>
        <v>7.5000000000000011E-2</v>
      </c>
      <c r="W22" s="60">
        <f t="shared" si="13"/>
        <v>0.48219557195571955</v>
      </c>
      <c r="X22" s="45"/>
    </row>
    <row r="23" spans="1:34" x14ac:dyDescent="0.2">
      <c r="A23" s="9">
        <v>1</v>
      </c>
      <c r="B23" s="9">
        <v>19</v>
      </c>
      <c r="C23" s="9">
        <v>15</v>
      </c>
      <c r="D23" s="9">
        <v>60</v>
      </c>
      <c r="E23" s="9">
        <v>27.1</v>
      </c>
      <c r="F23" s="7" t="s">
        <v>49</v>
      </c>
      <c r="G23" s="27">
        <f t="shared" si="0"/>
        <v>-0.92978101898092147</v>
      </c>
      <c r="H23" s="27">
        <f t="shared" si="2"/>
        <v>0.28296914312013666</v>
      </c>
      <c r="I23" s="48">
        <f t="shared" si="4"/>
        <v>464</v>
      </c>
      <c r="J23" s="47">
        <f t="shared" si="5"/>
        <v>1</v>
      </c>
      <c r="L23" s="48">
        <f t="shared" si="14"/>
        <v>445</v>
      </c>
      <c r="M23" s="48">
        <f t="shared" si="15"/>
        <v>459</v>
      </c>
      <c r="N23" s="48" t="str">
        <f t="shared" si="11"/>
        <v>445-459</v>
      </c>
      <c r="O23" s="47">
        <f t="shared" si="6"/>
        <v>48</v>
      </c>
      <c r="P23" s="47">
        <f t="shared" si="7"/>
        <v>17</v>
      </c>
      <c r="Q23" s="47">
        <f t="shared" si="12"/>
        <v>65</v>
      </c>
      <c r="R23" s="60">
        <f t="shared" si="8"/>
        <v>0.17712177121771217</v>
      </c>
      <c r="S23" s="60">
        <f t="shared" si="9"/>
        <v>0.21249999999999999</v>
      </c>
      <c r="T23" s="60">
        <f t="shared" si="10"/>
        <v>0.18571428571428572</v>
      </c>
      <c r="U23" s="60">
        <f t="shared" si="16"/>
        <v>0.73431734317343178</v>
      </c>
      <c r="V23" s="60">
        <f t="shared" si="16"/>
        <v>0.28749999999999998</v>
      </c>
      <c r="W23" s="60">
        <f t="shared" si="13"/>
        <v>0.4468173431734318</v>
      </c>
      <c r="X23" s="45"/>
    </row>
    <row r="24" spans="1:34" x14ac:dyDescent="0.2">
      <c r="A24" s="9">
        <v>0</v>
      </c>
      <c r="B24" s="9">
        <v>10</v>
      </c>
      <c r="C24" s="9">
        <v>15</v>
      </c>
      <c r="D24" s="9">
        <v>45</v>
      </c>
      <c r="E24" s="9">
        <v>18.8</v>
      </c>
      <c r="F24" s="7" t="s">
        <v>49</v>
      </c>
      <c r="G24" s="27">
        <f t="shared" si="0"/>
        <v>-0.96478197552904277</v>
      </c>
      <c r="H24" s="27">
        <f t="shared" si="2"/>
        <v>0.27592178598206346</v>
      </c>
      <c r="I24" s="48">
        <f t="shared" si="4"/>
        <v>463</v>
      </c>
      <c r="J24" s="47">
        <f t="shared" si="5"/>
        <v>1</v>
      </c>
      <c r="L24" s="48">
        <f t="shared" si="14"/>
        <v>460</v>
      </c>
      <c r="M24" s="48">
        <f t="shared" si="15"/>
        <v>474</v>
      </c>
      <c r="N24" s="48" t="str">
        <f t="shared" si="11"/>
        <v>460-474</v>
      </c>
      <c r="O24" s="47">
        <f t="shared" si="6"/>
        <v>49</v>
      </c>
      <c r="P24" s="47">
        <f t="shared" si="7"/>
        <v>21</v>
      </c>
      <c r="Q24" s="47">
        <f t="shared" si="12"/>
        <v>70</v>
      </c>
      <c r="R24" s="60">
        <f t="shared" si="8"/>
        <v>0.18081180811808117</v>
      </c>
      <c r="S24" s="60">
        <f t="shared" si="9"/>
        <v>0.26250000000000001</v>
      </c>
      <c r="T24" s="60">
        <f t="shared" si="10"/>
        <v>0.2</v>
      </c>
      <c r="U24" s="60">
        <f t="shared" si="16"/>
        <v>0.91512915129151295</v>
      </c>
      <c r="V24" s="60">
        <f t="shared" si="16"/>
        <v>0.55000000000000004</v>
      </c>
      <c r="W24" s="60">
        <f t="shared" si="13"/>
        <v>0.36512915129151291</v>
      </c>
      <c r="X24" s="45"/>
    </row>
    <row r="25" spans="1:34" x14ac:dyDescent="0.2">
      <c r="A25" s="9">
        <v>0</v>
      </c>
      <c r="B25" s="9">
        <v>16</v>
      </c>
      <c r="C25" s="9">
        <v>4</v>
      </c>
      <c r="D25" s="9">
        <v>52</v>
      </c>
      <c r="E25" s="9">
        <v>20</v>
      </c>
      <c r="F25" s="7" t="s">
        <v>49</v>
      </c>
      <c r="G25" s="27">
        <f t="shared" si="0"/>
        <v>-0.86815490037658005</v>
      </c>
      <c r="H25" s="27">
        <f t="shared" si="2"/>
        <v>0.29563837383814634</v>
      </c>
      <c r="I25" s="48">
        <f t="shared" si="4"/>
        <v>465</v>
      </c>
      <c r="J25" s="47">
        <f t="shared" si="5"/>
        <v>1</v>
      </c>
      <c r="L25" s="48">
        <f t="shared" si="14"/>
        <v>475</v>
      </c>
      <c r="M25" s="48">
        <f>MAX(I2:I501)</f>
        <v>499</v>
      </c>
      <c r="N25" s="48" t="str">
        <f t="shared" si="11"/>
        <v>475-499</v>
      </c>
      <c r="O25" s="47">
        <f t="shared" si="6"/>
        <v>23</v>
      </c>
      <c r="P25" s="47">
        <f t="shared" si="7"/>
        <v>35</v>
      </c>
      <c r="Q25" s="47">
        <f t="shared" si="12"/>
        <v>58</v>
      </c>
      <c r="R25" s="60">
        <f t="shared" si="8"/>
        <v>8.4870848708487087E-2</v>
      </c>
      <c r="S25" s="60">
        <f t="shared" si="9"/>
        <v>0.4375</v>
      </c>
      <c r="T25" s="60">
        <f t="shared" si="10"/>
        <v>0.1657142857142857</v>
      </c>
      <c r="U25" s="62">
        <f t="shared" si="16"/>
        <v>1</v>
      </c>
      <c r="V25" s="62">
        <f>V24+S25</f>
        <v>0.98750000000000004</v>
      </c>
      <c r="W25" s="60">
        <f t="shared" si="13"/>
        <v>1.2499999999999956E-2</v>
      </c>
      <c r="X25" s="45"/>
      <c r="AA25" s="1"/>
      <c r="AB25" s="1"/>
      <c r="AC25" s="1"/>
      <c r="AD25" s="1"/>
      <c r="AE25" s="1"/>
      <c r="AF25" s="1"/>
      <c r="AG25" s="1"/>
    </row>
    <row r="26" spans="1:34" x14ac:dyDescent="0.2">
      <c r="A26" s="9">
        <v>0</v>
      </c>
      <c r="B26" s="9">
        <v>15</v>
      </c>
      <c r="C26" s="9">
        <v>11</v>
      </c>
      <c r="D26" s="9">
        <v>40</v>
      </c>
      <c r="E26" s="9">
        <v>18.5</v>
      </c>
      <c r="F26" s="7" t="s">
        <v>49</v>
      </c>
      <c r="G26" s="27">
        <f t="shared" si="0"/>
        <v>-1.6819229875937047</v>
      </c>
      <c r="H26" s="27">
        <f t="shared" si="2"/>
        <v>0.15684100150682442</v>
      </c>
      <c r="I26" s="48">
        <f t="shared" si="4"/>
        <v>447</v>
      </c>
      <c r="J26" s="47">
        <f t="shared" si="5"/>
        <v>0</v>
      </c>
      <c r="L26" s="46"/>
      <c r="M26" s="46"/>
      <c r="N26" s="48" t="s">
        <v>100</v>
      </c>
      <c r="O26" s="47">
        <f>SUM(O12:O25)</f>
        <v>271</v>
      </c>
      <c r="P26" s="47">
        <f>SUM(P12:P25)</f>
        <v>80</v>
      </c>
      <c r="Q26" s="47">
        <f>SUM(Q11:Q25)</f>
        <v>350</v>
      </c>
      <c r="R26" s="44"/>
      <c r="S26" s="44"/>
      <c r="T26" s="44"/>
      <c r="U26" s="44"/>
      <c r="V26" s="44"/>
      <c r="W26" s="44"/>
      <c r="X26" s="44"/>
      <c r="AA26" s="23"/>
      <c r="AB26" s="23"/>
      <c r="AC26" s="23"/>
      <c r="AD26" s="23"/>
      <c r="AE26" s="23"/>
      <c r="AF26" s="23"/>
      <c r="AG26" s="23"/>
    </row>
    <row r="27" spans="1:34" x14ac:dyDescent="0.2">
      <c r="A27" s="9">
        <v>0</v>
      </c>
      <c r="B27" s="9">
        <v>11</v>
      </c>
      <c r="C27" s="9">
        <v>12</v>
      </c>
      <c r="D27" s="9">
        <v>44</v>
      </c>
      <c r="E27" s="9">
        <v>14.7</v>
      </c>
      <c r="F27" s="7" t="s">
        <v>49</v>
      </c>
      <c r="G27" s="27">
        <f t="shared" si="0"/>
        <v>-1.5879769478127683</v>
      </c>
      <c r="H27" s="27">
        <f t="shared" si="2"/>
        <v>0.16966871660553873</v>
      </c>
      <c r="I27" s="48">
        <f t="shared" si="4"/>
        <v>449</v>
      </c>
      <c r="J27" s="47">
        <f t="shared" si="5"/>
        <v>0</v>
      </c>
      <c r="L27" s="46"/>
      <c r="M27" s="46"/>
      <c r="N27" s="46"/>
      <c r="O27" s="44"/>
      <c r="P27" s="44"/>
      <c r="Q27" s="44"/>
      <c r="R27" s="44"/>
      <c r="S27" s="44"/>
      <c r="T27" s="44"/>
      <c r="U27" s="44"/>
      <c r="V27" s="55" t="s">
        <v>111</v>
      </c>
      <c r="W27" s="75">
        <f>MAX(W13:W25)</f>
        <v>0.48219557195571955</v>
      </c>
      <c r="X27" s="44"/>
    </row>
    <row r="28" spans="1:34" x14ac:dyDescent="0.2">
      <c r="A28" s="9">
        <v>1</v>
      </c>
      <c r="B28" s="9">
        <v>6</v>
      </c>
      <c r="C28" s="9">
        <v>19</v>
      </c>
      <c r="D28" s="9">
        <v>42</v>
      </c>
      <c r="E28" s="9">
        <v>19.899999999999999</v>
      </c>
      <c r="F28" s="7" t="s">
        <v>49</v>
      </c>
      <c r="G28" s="27">
        <f t="shared" si="0"/>
        <v>-0.44613350224747395</v>
      </c>
      <c r="H28" s="27">
        <f t="shared" si="2"/>
        <v>0.39028045281860113</v>
      </c>
      <c r="I28" s="48">
        <f t="shared" si="4"/>
        <v>473</v>
      </c>
      <c r="J28" s="47">
        <f t="shared" si="5"/>
        <v>1</v>
      </c>
      <c r="L28" s="46"/>
      <c r="M28" s="46"/>
      <c r="N28" s="46"/>
      <c r="O28" s="44"/>
      <c r="P28" s="44"/>
      <c r="Q28" s="44"/>
      <c r="R28" s="44"/>
      <c r="S28" s="44"/>
      <c r="T28" s="44"/>
      <c r="U28" s="44"/>
      <c r="V28" s="44"/>
      <c r="W28" s="44"/>
      <c r="X28" s="44"/>
    </row>
    <row r="29" spans="1:34" x14ac:dyDescent="0.2">
      <c r="A29" s="9">
        <v>0</v>
      </c>
      <c r="B29" s="9">
        <v>17</v>
      </c>
      <c r="C29" s="9">
        <v>20</v>
      </c>
      <c r="D29" s="9">
        <v>60</v>
      </c>
      <c r="E29" s="9">
        <v>13.7</v>
      </c>
      <c r="F29" s="7" t="s">
        <v>49</v>
      </c>
      <c r="G29" s="27">
        <f t="shared" si="0"/>
        <v>-3.0893117385605273</v>
      </c>
      <c r="H29" s="27">
        <f t="shared" si="2"/>
        <v>4.3550294562932371E-2</v>
      </c>
      <c r="I29" s="48">
        <f t="shared" si="4"/>
        <v>410</v>
      </c>
      <c r="J29" s="47">
        <f t="shared" si="5"/>
        <v>0</v>
      </c>
      <c r="L29" s="57" t="s">
        <v>50</v>
      </c>
      <c r="M29" s="57"/>
      <c r="N29" s="57"/>
      <c r="O29" s="47" t="s">
        <v>98</v>
      </c>
      <c r="P29" s="47" t="s">
        <v>99</v>
      </c>
      <c r="Q29" s="58" t="s">
        <v>100</v>
      </c>
      <c r="R29" s="103" t="s">
        <v>101</v>
      </c>
      <c r="S29" s="107"/>
      <c r="T29" s="107"/>
      <c r="U29" s="107"/>
      <c r="V29" s="107"/>
      <c r="W29" s="107"/>
      <c r="X29" s="104"/>
      <c r="AA29" s="22"/>
      <c r="AB29" s="22"/>
      <c r="AC29" s="22"/>
      <c r="AD29" s="22"/>
      <c r="AE29" s="22"/>
      <c r="AF29" s="22"/>
      <c r="AG29" s="22"/>
    </row>
    <row r="30" spans="1:34" x14ac:dyDescent="0.2">
      <c r="A30" s="9">
        <v>0</v>
      </c>
      <c r="B30" s="9">
        <v>5</v>
      </c>
      <c r="C30" s="9">
        <v>17</v>
      </c>
      <c r="D30" s="9">
        <v>29</v>
      </c>
      <c r="E30" s="9">
        <v>24.6</v>
      </c>
      <c r="F30" s="7" t="s">
        <v>49</v>
      </c>
      <c r="G30" s="27">
        <f t="shared" si="0"/>
        <v>0.38085414704585174</v>
      </c>
      <c r="H30" s="27">
        <f t="shared" si="2"/>
        <v>0.59407909628627398</v>
      </c>
      <c r="I30" s="48">
        <f t="shared" si="4"/>
        <v>485</v>
      </c>
      <c r="J30" s="47">
        <f t="shared" si="5"/>
        <v>1</v>
      </c>
      <c r="L30" s="59" t="s">
        <v>102</v>
      </c>
      <c r="M30" s="55" t="s">
        <v>103</v>
      </c>
      <c r="N30" s="55" t="s">
        <v>104</v>
      </c>
      <c r="O30" s="55">
        <v>0</v>
      </c>
      <c r="P30" s="55">
        <v>1</v>
      </c>
      <c r="Q30" s="58"/>
      <c r="R30" s="55" t="s">
        <v>105</v>
      </c>
      <c r="S30" s="55" t="s">
        <v>106</v>
      </c>
      <c r="T30" s="55" t="s">
        <v>107</v>
      </c>
      <c r="U30" s="55" t="s">
        <v>108</v>
      </c>
      <c r="V30" s="55" t="s">
        <v>109</v>
      </c>
      <c r="W30" s="55" t="s">
        <v>110</v>
      </c>
      <c r="X30" s="55" t="s">
        <v>112</v>
      </c>
      <c r="AA30" s="24"/>
    </row>
    <row r="31" spans="1:34" x14ac:dyDescent="0.2">
      <c r="A31" s="9">
        <v>0</v>
      </c>
      <c r="B31" s="9">
        <v>18</v>
      </c>
      <c r="C31" s="9">
        <v>19</v>
      </c>
      <c r="D31" s="9">
        <v>35</v>
      </c>
      <c r="E31" s="9">
        <v>17.399999999999999</v>
      </c>
      <c r="F31" s="7" t="s">
        <v>49</v>
      </c>
      <c r="G31" s="27">
        <f t="shared" si="0"/>
        <v>-3.0726345063946621</v>
      </c>
      <c r="H31" s="27">
        <f t="shared" si="2"/>
        <v>4.4250274675440369E-2</v>
      </c>
      <c r="I31" s="48">
        <f t="shared" si="4"/>
        <v>410</v>
      </c>
      <c r="J31" s="47">
        <f t="shared" si="5"/>
        <v>0</v>
      </c>
      <c r="L31" s="48">
        <f>MIN(I20:I519)</f>
        <v>295</v>
      </c>
      <c r="M31" s="48">
        <f>L31+14</f>
        <v>309</v>
      </c>
      <c r="N31" s="48" t="str">
        <f>_xlfn.CONCAT(L31,"-",M31)</f>
        <v>295-309</v>
      </c>
      <c r="O31" s="47">
        <f t="shared" ref="O31:O43" si="17">COUNTIFS($I$2:$I$501,"&gt;="&amp;L31,$I$2:$I$501,"&lt;="&amp;M31,$A$2:$A$501,"="&amp;$O$30,$F$2:$F$501,"="&amp;$L$29)</f>
        <v>0</v>
      </c>
      <c r="P31" s="47">
        <f t="shared" ref="P31:P43" si="18">COUNTIFS($I$2:$I$501,"&gt;="&amp;L31,$I$2:$I$501,"&lt;="&amp;M31,$A$2:$A$501,"="&amp;$P$30,$F$2:$F$501,"="&amp;$L$29)</f>
        <v>0</v>
      </c>
      <c r="Q31" s="47">
        <f>O31+P31</f>
        <v>0</v>
      </c>
      <c r="R31" s="60">
        <f t="shared" ref="R31:R43" si="19">O31/$O$44</f>
        <v>0</v>
      </c>
      <c r="S31" s="60">
        <f t="shared" ref="S31:S43" si="20">P31/$P$44</f>
        <v>0</v>
      </c>
      <c r="T31" s="60">
        <f t="shared" ref="T31:T43" si="21">Q31/$Q$44</f>
        <v>0</v>
      </c>
      <c r="U31" s="60">
        <f>R31</f>
        <v>0</v>
      </c>
      <c r="V31" s="60">
        <f>S31</f>
        <v>0</v>
      </c>
      <c r="W31" s="60">
        <f>ABS(V31-U31)</f>
        <v>0</v>
      </c>
      <c r="X31" s="61">
        <f>IFERROR((T31-T13)*LN(T31/T13),0)</f>
        <v>0</v>
      </c>
    </row>
    <row r="32" spans="1:34" x14ac:dyDescent="0.2">
      <c r="A32" s="9">
        <v>0</v>
      </c>
      <c r="B32" s="9">
        <v>22</v>
      </c>
      <c r="C32" s="9">
        <v>15</v>
      </c>
      <c r="D32" s="9">
        <v>100</v>
      </c>
      <c r="E32" s="9">
        <v>9.1</v>
      </c>
      <c r="F32" s="7" t="s">
        <v>49</v>
      </c>
      <c r="G32" s="27">
        <f t="shared" si="0"/>
        <v>-3.5657551940718508</v>
      </c>
      <c r="H32" s="27">
        <f t="shared" si="2"/>
        <v>2.749809796145555E-2</v>
      </c>
      <c r="I32" s="48">
        <f t="shared" si="4"/>
        <v>396</v>
      </c>
      <c r="J32" s="47">
        <f t="shared" si="5"/>
        <v>0</v>
      </c>
      <c r="L32" s="48">
        <f>M31+1</f>
        <v>310</v>
      </c>
      <c r="M32" s="48">
        <f>L32+14</f>
        <v>324</v>
      </c>
      <c r="N32" s="48" t="str">
        <f t="shared" ref="N32:N43" si="22">_xlfn.CONCAT(L32,"-",M32)</f>
        <v>310-324</v>
      </c>
      <c r="O32" s="47">
        <f t="shared" si="17"/>
        <v>0</v>
      </c>
      <c r="P32" s="47">
        <f t="shared" si="18"/>
        <v>0</v>
      </c>
      <c r="Q32" s="47">
        <f t="shared" ref="Q32:Q43" si="23">O32+P32</f>
        <v>0</v>
      </c>
      <c r="R32" s="60">
        <f t="shared" si="19"/>
        <v>0</v>
      </c>
      <c r="S32" s="60">
        <f t="shared" si="20"/>
        <v>0</v>
      </c>
      <c r="T32" s="60">
        <f t="shared" si="21"/>
        <v>0</v>
      </c>
      <c r="U32" s="60">
        <f>U31+R32</f>
        <v>0</v>
      </c>
      <c r="V32" s="60">
        <f>V31+S32</f>
        <v>0</v>
      </c>
      <c r="W32" s="60">
        <f t="shared" ref="W32:W43" si="24">ABS(V32-U32)</f>
        <v>0</v>
      </c>
      <c r="X32" s="61">
        <f t="shared" ref="X32:X43" si="25">IFERROR((T32-T14)*LN(T32/T14),0)</f>
        <v>0</v>
      </c>
    </row>
    <row r="33" spans="1:32" x14ac:dyDescent="0.2">
      <c r="A33" s="9">
        <v>0</v>
      </c>
      <c r="B33" s="9">
        <v>18</v>
      </c>
      <c r="C33" s="9">
        <v>4</v>
      </c>
      <c r="D33" s="9">
        <v>74</v>
      </c>
      <c r="E33" s="9">
        <v>13.4</v>
      </c>
      <c r="F33" s="7" t="s">
        <v>49</v>
      </c>
      <c r="G33" s="27">
        <f t="shared" si="0"/>
        <v>-1.853095742217894</v>
      </c>
      <c r="H33" s="27">
        <f t="shared" si="2"/>
        <v>0.13550983097142924</v>
      </c>
      <c r="I33" s="48">
        <f t="shared" si="4"/>
        <v>442</v>
      </c>
      <c r="J33" s="47">
        <f t="shared" si="5"/>
        <v>0</v>
      </c>
      <c r="L33" s="48">
        <f t="shared" ref="L33:L43" si="26">M32+1</f>
        <v>325</v>
      </c>
      <c r="M33" s="48">
        <f t="shared" ref="M33:M42" si="27">L33+14</f>
        <v>339</v>
      </c>
      <c r="N33" s="48" t="str">
        <f t="shared" si="22"/>
        <v>325-339</v>
      </c>
      <c r="O33" s="47">
        <f t="shared" si="17"/>
        <v>0</v>
      </c>
      <c r="P33" s="47">
        <f t="shared" si="18"/>
        <v>0</v>
      </c>
      <c r="Q33" s="47">
        <f t="shared" si="23"/>
        <v>0</v>
      </c>
      <c r="R33" s="60">
        <f t="shared" si="19"/>
        <v>0</v>
      </c>
      <c r="S33" s="60">
        <f t="shared" si="20"/>
        <v>0</v>
      </c>
      <c r="T33" s="60">
        <f t="shared" si="21"/>
        <v>0</v>
      </c>
      <c r="U33" s="60">
        <f t="shared" ref="U33:V43" si="28">U32+R33</f>
        <v>0</v>
      </c>
      <c r="V33" s="60">
        <f>V32+S33</f>
        <v>0</v>
      </c>
      <c r="W33" s="60">
        <f t="shared" si="24"/>
        <v>0</v>
      </c>
      <c r="X33" s="61">
        <f t="shared" si="25"/>
        <v>0</v>
      </c>
    </row>
    <row r="34" spans="1:32" x14ac:dyDescent="0.2">
      <c r="A34" s="9">
        <v>0</v>
      </c>
      <c r="B34" s="9">
        <v>12</v>
      </c>
      <c r="C34" s="9">
        <v>4</v>
      </c>
      <c r="D34" s="9">
        <v>31</v>
      </c>
      <c r="E34" s="9">
        <v>23.7</v>
      </c>
      <c r="F34" s="7" t="s">
        <v>49</v>
      </c>
      <c r="G34" s="27">
        <f t="shared" si="0"/>
        <v>2.2759743986268344E-2</v>
      </c>
      <c r="H34" s="27">
        <f t="shared" si="2"/>
        <v>0.50568969039089962</v>
      </c>
      <c r="I34" s="48">
        <f t="shared" si="4"/>
        <v>480</v>
      </c>
      <c r="J34" s="47">
        <f t="shared" si="5"/>
        <v>1</v>
      </c>
      <c r="L34" s="48">
        <f t="shared" si="26"/>
        <v>340</v>
      </c>
      <c r="M34" s="48">
        <f t="shared" si="27"/>
        <v>354</v>
      </c>
      <c r="N34" s="48" t="str">
        <f t="shared" si="22"/>
        <v>340-354</v>
      </c>
      <c r="O34" s="47">
        <f t="shared" si="17"/>
        <v>0</v>
      </c>
      <c r="P34" s="47">
        <f t="shared" si="18"/>
        <v>1</v>
      </c>
      <c r="Q34" s="47">
        <f t="shared" si="23"/>
        <v>1</v>
      </c>
      <c r="R34" s="60">
        <f t="shared" si="19"/>
        <v>0</v>
      </c>
      <c r="S34" s="60">
        <f t="shared" si="20"/>
        <v>1.9607843137254902E-2</v>
      </c>
      <c r="T34" s="60">
        <f t="shared" si="21"/>
        <v>6.6666666666666671E-3</v>
      </c>
      <c r="U34" s="60">
        <f t="shared" si="28"/>
        <v>0</v>
      </c>
      <c r="V34" s="60">
        <f>V33+S34</f>
        <v>1.9607843137254902E-2</v>
      </c>
      <c r="W34" s="60">
        <f t="shared" si="24"/>
        <v>1.9607843137254902E-2</v>
      </c>
      <c r="X34" s="61">
        <f t="shared" si="25"/>
        <v>1.4681017126405566E-4</v>
      </c>
    </row>
    <row r="35" spans="1:32" x14ac:dyDescent="0.2">
      <c r="A35" s="9">
        <v>1</v>
      </c>
      <c r="B35" s="9">
        <v>15</v>
      </c>
      <c r="C35" s="9">
        <v>2</v>
      </c>
      <c r="D35" s="9">
        <v>39</v>
      </c>
      <c r="E35" s="9">
        <v>24.7</v>
      </c>
      <c r="F35" s="7" t="s">
        <v>49</v>
      </c>
      <c r="G35" s="27">
        <f t="shared" si="0"/>
        <v>-4.1167251083254364E-2</v>
      </c>
      <c r="H35" s="27">
        <f t="shared" si="2"/>
        <v>0.4897096404806599</v>
      </c>
      <c r="I35" s="48">
        <f t="shared" si="4"/>
        <v>479</v>
      </c>
      <c r="J35" s="47">
        <f t="shared" si="5"/>
        <v>1</v>
      </c>
      <c r="L35" s="48">
        <f t="shared" si="26"/>
        <v>355</v>
      </c>
      <c r="M35" s="48">
        <f t="shared" si="27"/>
        <v>369</v>
      </c>
      <c r="N35" s="48" t="str">
        <f t="shared" si="22"/>
        <v>355-369</v>
      </c>
      <c r="O35" s="47">
        <f t="shared" si="17"/>
        <v>0</v>
      </c>
      <c r="P35" s="47">
        <f t="shared" si="18"/>
        <v>0</v>
      </c>
      <c r="Q35" s="47">
        <f t="shared" si="23"/>
        <v>0</v>
      </c>
      <c r="R35" s="60">
        <f t="shared" si="19"/>
        <v>0</v>
      </c>
      <c r="S35" s="60">
        <f t="shared" si="20"/>
        <v>0</v>
      </c>
      <c r="T35" s="60">
        <f t="shared" si="21"/>
        <v>0</v>
      </c>
      <c r="U35" s="60">
        <f t="shared" si="28"/>
        <v>0</v>
      </c>
      <c r="V35" s="60">
        <f t="shared" si="28"/>
        <v>1.9607843137254902E-2</v>
      </c>
      <c r="W35" s="60">
        <f t="shared" si="24"/>
        <v>1.9607843137254902E-2</v>
      </c>
      <c r="X35" s="61">
        <f t="shared" si="25"/>
        <v>0</v>
      </c>
      <c r="AA35" s="1"/>
      <c r="AB35" s="1"/>
      <c r="AC35" s="1"/>
      <c r="AD35" s="1"/>
      <c r="AE35" s="1"/>
      <c r="AF35" s="1"/>
    </row>
    <row r="36" spans="1:32" x14ac:dyDescent="0.2">
      <c r="A36" s="9">
        <v>1</v>
      </c>
      <c r="B36" s="9">
        <v>9</v>
      </c>
      <c r="C36" s="9">
        <v>0</v>
      </c>
      <c r="D36" s="9">
        <v>70</v>
      </c>
      <c r="E36" s="9">
        <v>9.4</v>
      </c>
      <c r="F36" s="7" t="s">
        <v>49</v>
      </c>
      <c r="G36" s="27">
        <f t="shared" si="0"/>
        <v>-0.69617420953307652</v>
      </c>
      <c r="H36" s="27">
        <f t="shared" si="2"/>
        <v>0.3326609999370152</v>
      </c>
      <c r="I36" s="48">
        <f t="shared" si="4"/>
        <v>468</v>
      </c>
      <c r="J36" s="47">
        <f t="shared" si="5"/>
        <v>1</v>
      </c>
      <c r="L36" s="48">
        <f t="shared" si="26"/>
        <v>370</v>
      </c>
      <c r="M36" s="48">
        <f t="shared" si="27"/>
        <v>384</v>
      </c>
      <c r="N36" s="48" t="str">
        <f t="shared" si="22"/>
        <v>370-384</v>
      </c>
      <c r="O36" s="47">
        <f t="shared" si="17"/>
        <v>4</v>
      </c>
      <c r="P36" s="47">
        <f t="shared" si="18"/>
        <v>1</v>
      </c>
      <c r="Q36" s="47">
        <f t="shared" si="23"/>
        <v>5</v>
      </c>
      <c r="R36" s="60">
        <f t="shared" si="19"/>
        <v>0.04</v>
      </c>
      <c r="S36" s="60">
        <f t="shared" si="20"/>
        <v>1.9607843137254902E-2</v>
      </c>
      <c r="T36" s="60">
        <f t="shared" si="21"/>
        <v>3.3333333333333333E-2</v>
      </c>
      <c r="U36" s="60">
        <f t="shared" si="28"/>
        <v>0.04</v>
      </c>
      <c r="V36" s="60">
        <f t="shared" si="28"/>
        <v>3.9215686274509803E-2</v>
      </c>
      <c r="W36" s="60">
        <f t="shared" si="24"/>
        <v>7.8431372549019746E-4</v>
      </c>
      <c r="X36" s="61">
        <f t="shared" si="25"/>
        <v>7.3405085632027801E-4</v>
      </c>
      <c r="AA36" s="23"/>
      <c r="AB36" s="23"/>
      <c r="AC36" s="23"/>
      <c r="AD36" s="23"/>
      <c r="AE36" s="23"/>
      <c r="AF36" s="23"/>
    </row>
    <row r="37" spans="1:32" x14ac:dyDescent="0.2">
      <c r="A37" s="9">
        <v>0</v>
      </c>
      <c r="B37" s="9">
        <v>19</v>
      </c>
      <c r="C37" s="9">
        <v>1</v>
      </c>
      <c r="D37" s="9">
        <v>96</v>
      </c>
      <c r="E37" s="9">
        <v>7.8</v>
      </c>
      <c r="F37" s="7" t="s">
        <v>49</v>
      </c>
      <c r="G37" s="27">
        <f t="shared" si="0"/>
        <v>-2.2801874561033628</v>
      </c>
      <c r="H37" s="27">
        <f t="shared" si="2"/>
        <v>9.2777173813085381E-2</v>
      </c>
      <c r="I37" s="48">
        <f t="shared" si="4"/>
        <v>431</v>
      </c>
      <c r="J37" s="47">
        <f t="shared" si="5"/>
        <v>0</v>
      </c>
      <c r="L37" s="48">
        <f t="shared" si="26"/>
        <v>385</v>
      </c>
      <c r="M37" s="48">
        <f t="shared" si="27"/>
        <v>399</v>
      </c>
      <c r="N37" s="48" t="str">
        <f t="shared" si="22"/>
        <v>385-399</v>
      </c>
      <c r="O37" s="47">
        <f t="shared" si="17"/>
        <v>9</v>
      </c>
      <c r="P37" s="47">
        <f t="shared" si="18"/>
        <v>0</v>
      </c>
      <c r="Q37" s="47">
        <f t="shared" si="23"/>
        <v>9</v>
      </c>
      <c r="R37" s="60">
        <f t="shared" si="19"/>
        <v>0.09</v>
      </c>
      <c r="S37" s="60">
        <f t="shared" si="20"/>
        <v>0</v>
      </c>
      <c r="T37" s="60">
        <f t="shared" si="21"/>
        <v>0.06</v>
      </c>
      <c r="U37" s="60">
        <f t="shared" si="28"/>
        <v>0.13</v>
      </c>
      <c r="V37" s="60">
        <f t="shared" si="28"/>
        <v>3.9215686274509803E-2</v>
      </c>
      <c r="W37" s="60">
        <f t="shared" si="24"/>
        <v>9.0784313725490201E-2</v>
      </c>
      <c r="X37" s="61">
        <f t="shared" si="25"/>
        <v>5.1983873260415215E-4</v>
      </c>
    </row>
    <row r="38" spans="1:32" x14ac:dyDescent="0.2">
      <c r="A38" s="9">
        <v>0</v>
      </c>
      <c r="B38" s="9">
        <v>15</v>
      </c>
      <c r="C38" s="9">
        <v>1</v>
      </c>
      <c r="D38" s="9">
        <v>30</v>
      </c>
      <c r="E38" s="9">
        <v>24.5</v>
      </c>
      <c r="F38" s="7" t="s">
        <v>49</v>
      </c>
      <c r="G38" s="27">
        <f t="shared" si="0"/>
        <v>-0.16872063294511763</v>
      </c>
      <c r="H38" s="27">
        <f t="shared" si="2"/>
        <v>0.4579196183997517</v>
      </c>
      <c r="I38" s="48">
        <f t="shared" si="4"/>
        <v>477</v>
      </c>
      <c r="J38" s="47">
        <f t="shared" si="5"/>
        <v>1</v>
      </c>
      <c r="L38" s="48">
        <f t="shared" si="26"/>
        <v>400</v>
      </c>
      <c r="M38" s="48">
        <f t="shared" si="27"/>
        <v>414</v>
      </c>
      <c r="N38" s="48" t="str">
        <f t="shared" si="22"/>
        <v>400-414</v>
      </c>
      <c r="O38" s="47">
        <f t="shared" si="17"/>
        <v>6</v>
      </c>
      <c r="P38" s="47">
        <f t="shared" si="18"/>
        <v>2</v>
      </c>
      <c r="Q38" s="47">
        <f t="shared" si="23"/>
        <v>8</v>
      </c>
      <c r="R38" s="60">
        <f t="shared" si="19"/>
        <v>0.06</v>
      </c>
      <c r="S38" s="60">
        <f t="shared" si="20"/>
        <v>3.9215686274509803E-2</v>
      </c>
      <c r="T38" s="60">
        <f t="shared" si="21"/>
        <v>5.3333333333333337E-2</v>
      </c>
      <c r="U38" s="60">
        <f t="shared" si="28"/>
        <v>0.19</v>
      </c>
      <c r="V38" s="60">
        <f t="shared" si="28"/>
        <v>7.8431372549019607E-2</v>
      </c>
      <c r="W38" s="60">
        <f t="shared" si="24"/>
        <v>0.1115686274509804</v>
      </c>
      <c r="X38" s="61">
        <f t="shared" si="25"/>
        <v>1.6856740094667401E-5</v>
      </c>
    </row>
    <row r="39" spans="1:32" x14ac:dyDescent="0.2">
      <c r="A39" s="9">
        <v>1</v>
      </c>
      <c r="B39" s="9">
        <v>8</v>
      </c>
      <c r="C39" s="9">
        <v>10</v>
      </c>
      <c r="D39" s="9">
        <v>88</v>
      </c>
      <c r="E39" s="9">
        <v>6.1</v>
      </c>
      <c r="F39" s="7" t="s">
        <v>49</v>
      </c>
      <c r="G39" s="27">
        <f t="shared" si="0"/>
        <v>-1.4530407701469303</v>
      </c>
      <c r="H39" s="27">
        <f t="shared" si="2"/>
        <v>0.18953402961328336</v>
      </c>
      <c r="I39" s="48">
        <f t="shared" si="4"/>
        <v>452</v>
      </c>
      <c r="J39" s="47">
        <f t="shared" si="5"/>
        <v>0</v>
      </c>
      <c r="L39" s="48">
        <f t="shared" si="26"/>
        <v>415</v>
      </c>
      <c r="M39" s="48">
        <f t="shared" si="27"/>
        <v>429</v>
      </c>
      <c r="N39" s="48" t="str">
        <f t="shared" si="22"/>
        <v>415-429</v>
      </c>
      <c r="O39" s="47">
        <f t="shared" si="17"/>
        <v>19</v>
      </c>
      <c r="P39" s="47">
        <f t="shared" si="18"/>
        <v>2</v>
      </c>
      <c r="Q39" s="47">
        <f t="shared" si="23"/>
        <v>21</v>
      </c>
      <c r="R39" s="60">
        <f t="shared" si="19"/>
        <v>0.19</v>
      </c>
      <c r="S39" s="60">
        <f t="shared" si="20"/>
        <v>3.9215686274509803E-2</v>
      </c>
      <c r="T39" s="60">
        <f t="shared" si="21"/>
        <v>0.14000000000000001</v>
      </c>
      <c r="U39" s="60">
        <f t="shared" si="28"/>
        <v>0.38</v>
      </c>
      <c r="V39" s="60">
        <f t="shared" si="28"/>
        <v>0.11764705882352941</v>
      </c>
      <c r="W39" s="60">
        <f t="shared" si="24"/>
        <v>0.26235294117647057</v>
      </c>
      <c r="X39" s="61">
        <f t="shared" si="25"/>
        <v>7.9902157777904364E-3</v>
      </c>
      <c r="AA39" s="22"/>
      <c r="AB39" s="22"/>
      <c r="AC39" s="22"/>
      <c r="AD39" s="22"/>
      <c r="AE39" s="22"/>
      <c r="AF39" s="22"/>
    </row>
    <row r="40" spans="1:32" x14ac:dyDescent="0.2">
      <c r="A40" s="9">
        <v>1</v>
      </c>
      <c r="B40" s="9">
        <v>0</v>
      </c>
      <c r="C40" s="9">
        <v>4</v>
      </c>
      <c r="D40" s="9">
        <v>32</v>
      </c>
      <c r="E40" s="9">
        <v>18.399999999999999</v>
      </c>
      <c r="F40" s="7" t="s">
        <v>49</v>
      </c>
      <c r="G40" s="27">
        <f t="shared" si="0"/>
        <v>1.2925422671921827</v>
      </c>
      <c r="H40" s="27">
        <f t="shared" si="2"/>
        <v>0.78457718342547578</v>
      </c>
      <c r="I40" s="48">
        <f t="shared" si="4"/>
        <v>493</v>
      </c>
      <c r="J40" s="47">
        <f t="shared" si="5"/>
        <v>1</v>
      </c>
      <c r="L40" s="48">
        <f t="shared" si="26"/>
        <v>430</v>
      </c>
      <c r="M40" s="48">
        <f t="shared" si="27"/>
        <v>444</v>
      </c>
      <c r="N40" s="48" t="str">
        <f t="shared" si="22"/>
        <v>430-444</v>
      </c>
      <c r="O40" s="47">
        <f t="shared" si="17"/>
        <v>17</v>
      </c>
      <c r="P40" s="47">
        <f t="shared" si="18"/>
        <v>3</v>
      </c>
      <c r="Q40" s="47">
        <f t="shared" si="23"/>
        <v>20</v>
      </c>
      <c r="R40" s="60">
        <f t="shared" si="19"/>
        <v>0.17</v>
      </c>
      <c r="S40" s="60">
        <f t="shared" si="20"/>
        <v>5.8823529411764705E-2</v>
      </c>
      <c r="T40" s="60">
        <f t="shared" si="21"/>
        <v>0.13333333333333333</v>
      </c>
      <c r="U40" s="60">
        <f t="shared" si="28"/>
        <v>0.55000000000000004</v>
      </c>
      <c r="V40" s="60">
        <f t="shared" si="28"/>
        <v>0.1764705882352941</v>
      </c>
      <c r="W40" s="60">
        <f t="shared" si="24"/>
        <v>0.37352941176470594</v>
      </c>
      <c r="X40" s="61">
        <f t="shared" si="25"/>
        <v>1.0731762653979581E-4</v>
      </c>
      <c r="AA40" s="24"/>
    </row>
    <row r="41" spans="1:32" x14ac:dyDescent="0.2">
      <c r="A41" s="9">
        <v>0</v>
      </c>
      <c r="B41" s="9">
        <v>8</v>
      </c>
      <c r="C41" s="9">
        <v>3</v>
      </c>
      <c r="D41" s="9">
        <v>41</v>
      </c>
      <c r="E41" s="9">
        <v>12.6</v>
      </c>
      <c r="F41" s="7" t="s">
        <v>49</v>
      </c>
      <c r="G41" s="27">
        <f t="shared" si="0"/>
        <v>-0.78404934907357227</v>
      </c>
      <c r="H41" s="27">
        <f t="shared" si="2"/>
        <v>0.31344781551254824</v>
      </c>
      <c r="I41" s="48">
        <f t="shared" si="4"/>
        <v>467</v>
      </c>
      <c r="J41" s="47">
        <f t="shared" si="5"/>
        <v>1</v>
      </c>
      <c r="L41" s="48">
        <f t="shared" si="26"/>
        <v>445</v>
      </c>
      <c r="M41" s="48">
        <f t="shared" si="27"/>
        <v>459</v>
      </c>
      <c r="N41" s="48" t="str">
        <f t="shared" si="22"/>
        <v>445-459</v>
      </c>
      <c r="O41" s="47">
        <f t="shared" si="17"/>
        <v>15</v>
      </c>
      <c r="P41" s="47">
        <f t="shared" si="18"/>
        <v>5</v>
      </c>
      <c r="Q41" s="47">
        <f t="shared" si="23"/>
        <v>20</v>
      </c>
      <c r="R41" s="60">
        <f t="shared" si="19"/>
        <v>0.15</v>
      </c>
      <c r="S41" s="60">
        <f t="shared" si="20"/>
        <v>9.8039215686274508E-2</v>
      </c>
      <c r="T41" s="60">
        <f t="shared" si="21"/>
        <v>0.13333333333333333</v>
      </c>
      <c r="U41" s="60">
        <f t="shared" si="28"/>
        <v>0.70000000000000007</v>
      </c>
      <c r="V41" s="60">
        <f t="shared" si="28"/>
        <v>0.2745098039215686</v>
      </c>
      <c r="W41" s="60">
        <f t="shared" si="24"/>
        <v>0.42549019607843147</v>
      </c>
      <c r="X41" s="61">
        <f t="shared" si="25"/>
        <v>1.735680235951842E-2</v>
      </c>
    </row>
    <row r="42" spans="1:32" x14ac:dyDescent="0.2">
      <c r="A42" s="9">
        <v>0</v>
      </c>
      <c r="B42" s="9">
        <v>21</v>
      </c>
      <c r="C42" s="9">
        <v>16</v>
      </c>
      <c r="D42" s="9">
        <v>58</v>
      </c>
      <c r="E42" s="9">
        <v>16.5</v>
      </c>
      <c r="F42" s="7" t="s">
        <v>49</v>
      </c>
      <c r="G42" s="27">
        <f t="shared" si="0"/>
        <v>-3.0809675589263765</v>
      </c>
      <c r="H42" s="27">
        <f t="shared" si="2"/>
        <v>4.3899187039733785E-2</v>
      </c>
      <c r="I42" s="48">
        <f t="shared" si="4"/>
        <v>410</v>
      </c>
      <c r="J42" s="47">
        <f t="shared" si="5"/>
        <v>0</v>
      </c>
      <c r="L42" s="48">
        <f t="shared" si="26"/>
        <v>460</v>
      </c>
      <c r="M42" s="48">
        <f t="shared" si="27"/>
        <v>474</v>
      </c>
      <c r="N42" s="48" t="str">
        <f t="shared" si="22"/>
        <v>460-474</v>
      </c>
      <c r="O42" s="47">
        <f t="shared" si="17"/>
        <v>17</v>
      </c>
      <c r="P42" s="47">
        <f t="shared" si="18"/>
        <v>12</v>
      </c>
      <c r="Q42" s="47">
        <f t="shared" si="23"/>
        <v>29</v>
      </c>
      <c r="R42" s="60">
        <f t="shared" si="19"/>
        <v>0.17</v>
      </c>
      <c r="S42" s="60">
        <f t="shared" si="20"/>
        <v>0.23529411764705882</v>
      </c>
      <c r="T42" s="60">
        <f t="shared" si="21"/>
        <v>0.19333333333333333</v>
      </c>
      <c r="U42" s="60">
        <f t="shared" si="28"/>
        <v>0.87000000000000011</v>
      </c>
      <c r="V42" s="60">
        <f t="shared" si="28"/>
        <v>0.50980392156862742</v>
      </c>
      <c r="W42" s="60">
        <f t="shared" si="24"/>
        <v>0.36019607843137269</v>
      </c>
      <c r="X42" s="61">
        <f t="shared" si="25"/>
        <v>2.2601034450454356E-4</v>
      </c>
    </row>
    <row r="43" spans="1:32" x14ac:dyDescent="0.2">
      <c r="A43" s="9">
        <v>0</v>
      </c>
      <c r="B43" s="9">
        <v>5</v>
      </c>
      <c r="C43" s="9">
        <v>9</v>
      </c>
      <c r="D43" s="9">
        <v>34</v>
      </c>
      <c r="E43" s="9">
        <v>23.8</v>
      </c>
      <c r="F43" s="7" t="s">
        <v>49</v>
      </c>
      <c r="G43" s="27">
        <f t="shared" si="0"/>
        <v>0.94483752713883762</v>
      </c>
      <c r="H43" s="27">
        <f t="shared" si="2"/>
        <v>0.72007577886091634</v>
      </c>
      <c r="I43" s="48">
        <f t="shared" si="4"/>
        <v>491</v>
      </c>
      <c r="J43" s="47">
        <f t="shared" si="5"/>
        <v>1</v>
      </c>
      <c r="L43" s="48">
        <f t="shared" si="26"/>
        <v>475</v>
      </c>
      <c r="M43" s="48">
        <f>MAX(I20:I519)</f>
        <v>499</v>
      </c>
      <c r="N43" s="48" t="str">
        <f t="shared" si="22"/>
        <v>475-499</v>
      </c>
      <c r="O43" s="47">
        <f t="shared" si="17"/>
        <v>13</v>
      </c>
      <c r="P43" s="47">
        <f t="shared" si="18"/>
        <v>24</v>
      </c>
      <c r="Q43" s="47">
        <f t="shared" si="23"/>
        <v>37</v>
      </c>
      <c r="R43" s="60">
        <f t="shared" si="19"/>
        <v>0.13</v>
      </c>
      <c r="S43" s="60">
        <f t="shared" si="20"/>
        <v>0.47058823529411764</v>
      </c>
      <c r="T43" s="60">
        <f t="shared" si="21"/>
        <v>0.24666666666666667</v>
      </c>
      <c r="U43" s="62">
        <f t="shared" si="28"/>
        <v>1</v>
      </c>
      <c r="V43" s="62">
        <f>V42+S43</f>
        <v>0.98039215686274506</v>
      </c>
      <c r="W43" s="60">
        <f t="shared" si="24"/>
        <v>1.9607843137254943E-2</v>
      </c>
      <c r="X43" s="61">
        <f t="shared" si="25"/>
        <v>3.2200652201167385E-2</v>
      </c>
    </row>
    <row r="44" spans="1:32" x14ac:dyDescent="0.2">
      <c r="A44" s="9">
        <v>0</v>
      </c>
      <c r="B44" s="9">
        <v>12</v>
      </c>
      <c r="C44" s="9">
        <v>16</v>
      </c>
      <c r="D44" s="9">
        <v>76</v>
      </c>
      <c r="E44" s="9">
        <v>7.7</v>
      </c>
      <c r="F44" s="7" t="s">
        <v>49</v>
      </c>
      <c r="G44" s="27">
        <f t="shared" si="0"/>
        <v>-2.5712732354178405</v>
      </c>
      <c r="H44" s="27">
        <f t="shared" si="2"/>
        <v>7.1010265644080223E-2</v>
      </c>
      <c r="I44" s="48">
        <f t="shared" si="4"/>
        <v>424</v>
      </c>
      <c r="J44" s="47">
        <f t="shared" si="5"/>
        <v>0</v>
      </c>
      <c r="L44" s="46"/>
      <c r="M44" s="46"/>
      <c r="N44" s="47" t="s">
        <v>100</v>
      </c>
      <c r="O44" s="47">
        <f>SUM(O30:O43)</f>
        <v>100</v>
      </c>
      <c r="P44" s="47">
        <f>SUM(P30:P43)</f>
        <v>51</v>
      </c>
      <c r="Q44" s="47">
        <f>SUM(Q29:Q43)</f>
        <v>150</v>
      </c>
      <c r="R44" s="44"/>
      <c r="S44" s="44"/>
      <c r="T44" s="44"/>
      <c r="U44" s="44"/>
      <c r="V44" s="44"/>
      <c r="W44" s="44"/>
      <c r="X44" s="44"/>
    </row>
    <row r="45" spans="1:32" x14ac:dyDescent="0.2">
      <c r="A45" s="9">
        <v>0</v>
      </c>
      <c r="B45" s="9">
        <v>11</v>
      </c>
      <c r="C45" s="9">
        <v>8</v>
      </c>
      <c r="D45" s="9">
        <v>56</v>
      </c>
      <c r="E45" s="9">
        <v>16.899999999999999</v>
      </c>
      <c r="F45" s="7" t="s">
        <v>49</v>
      </c>
      <c r="G45" s="27">
        <f t="shared" si="0"/>
        <v>-0.71183958828644833</v>
      </c>
      <c r="H45" s="27">
        <f t="shared" si="2"/>
        <v>0.32919248592010847</v>
      </c>
      <c r="I45" s="48">
        <f t="shared" si="4"/>
        <v>468</v>
      </c>
      <c r="J45" s="47">
        <f t="shared" si="5"/>
        <v>1</v>
      </c>
      <c r="L45" s="46"/>
      <c r="M45" s="46"/>
      <c r="N45" s="46"/>
      <c r="O45" s="44"/>
      <c r="P45" s="44"/>
      <c r="Q45" s="44"/>
      <c r="R45" s="44"/>
      <c r="S45" s="44"/>
      <c r="T45" s="44"/>
      <c r="U45" s="44"/>
      <c r="V45" s="55" t="s">
        <v>111</v>
      </c>
      <c r="W45" s="75">
        <f>MAX(W31:W43)</f>
        <v>0.42549019607843147</v>
      </c>
      <c r="X45" s="44"/>
      <c r="AA45" s="1"/>
      <c r="AB45" s="1"/>
      <c r="AC45" s="1"/>
      <c r="AD45" s="1"/>
      <c r="AE45" s="1"/>
    </row>
    <row r="46" spans="1:32" x14ac:dyDescent="0.2">
      <c r="A46" s="9">
        <v>0</v>
      </c>
      <c r="B46" s="9">
        <v>13</v>
      </c>
      <c r="C46" s="9">
        <v>3</v>
      </c>
      <c r="D46" s="9">
        <v>39</v>
      </c>
      <c r="E46" s="9">
        <v>19.2</v>
      </c>
      <c r="F46" s="7" t="s">
        <v>49</v>
      </c>
      <c r="G46" s="27">
        <f t="shared" si="0"/>
        <v>-0.64312290534481686</v>
      </c>
      <c r="H46" s="27">
        <f t="shared" si="2"/>
        <v>0.34454094394715379</v>
      </c>
      <c r="I46" s="48">
        <f t="shared" si="4"/>
        <v>469</v>
      </c>
      <c r="J46" s="47">
        <f t="shared" si="5"/>
        <v>1</v>
      </c>
      <c r="L46" s="109" t="s">
        <v>113</v>
      </c>
      <c r="M46" s="110"/>
      <c r="N46" s="110"/>
      <c r="O46" s="110"/>
      <c r="P46" s="110"/>
      <c r="Q46" s="110"/>
      <c r="R46" s="111"/>
      <c r="S46" s="44"/>
      <c r="T46" s="44"/>
      <c r="U46" s="44"/>
      <c r="V46" s="55" t="s">
        <v>112</v>
      </c>
      <c r="W46" s="61">
        <f>SUM(X31:X43)</f>
        <v>5.9298554809803741E-2</v>
      </c>
      <c r="X46" s="44"/>
      <c r="Y46" s="56" t="s">
        <v>121</v>
      </c>
      <c r="Z46" s="44"/>
      <c r="AA46" s="44"/>
      <c r="AB46" s="44"/>
      <c r="AC46" s="44"/>
      <c r="AD46" s="44"/>
      <c r="AE46" s="23"/>
    </row>
    <row r="47" spans="1:32" x14ac:dyDescent="0.2">
      <c r="A47" s="9">
        <v>0</v>
      </c>
      <c r="B47" s="9">
        <v>25</v>
      </c>
      <c r="C47" s="9">
        <v>16</v>
      </c>
      <c r="D47" s="9">
        <v>0</v>
      </c>
      <c r="E47" s="9">
        <v>2.6</v>
      </c>
      <c r="F47" s="7" t="s">
        <v>49</v>
      </c>
      <c r="G47" s="27">
        <f t="shared" si="0"/>
        <v>-7.0923418849845348</v>
      </c>
      <c r="H47" s="27">
        <f t="shared" si="2"/>
        <v>8.3075719704936435E-4</v>
      </c>
      <c r="I47" s="48">
        <f t="shared" si="4"/>
        <v>295</v>
      </c>
      <c r="J47" s="47">
        <f t="shared" si="5"/>
        <v>0</v>
      </c>
      <c r="L47" s="68"/>
      <c r="M47" s="44"/>
      <c r="N47" s="44"/>
      <c r="O47" s="44"/>
      <c r="P47" s="44"/>
      <c r="Q47" s="44"/>
      <c r="R47" s="69"/>
      <c r="S47" s="44"/>
      <c r="T47" s="44"/>
      <c r="U47" s="44"/>
      <c r="V47" s="44"/>
      <c r="W47" s="44"/>
      <c r="X47" s="44"/>
      <c r="Y47" s="44" t="s">
        <v>122</v>
      </c>
      <c r="Z47" s="44" t="s">
        <v>123</v>
      </c>
      <c r="AA47" s="44" t="s">
        <v>124</v>
      </c>
      <c r="AB47" s="44"/>
      <c r="AC47" s="44"/>
      <c r="AD47" s="44"/>
    </row>
    <row r="48" spans="1:32" x14ac:dyDescent="0.2">
      <c r="A48" s="9">
        <v>0</v>
      </c>
      <c r="B48" s="9">
        <v>16</v>
      </c>
      <c r="C48" s="9">
        <v>22</v>
      </c>
      <c r="D48" s="13">
        <v>117.54291069294821</v>
      </c>
      <c r="E48" s="9">
        <v>4.4000000000000004</v>
      </c>
      <c r="F48" s="7" t="s">
        <v>49</v>
      </c>
      <c r="G48" s="27">
        <f t="shared" si="0"/>
        <v>-3.4574102981223871</v>
      </c>
      <c r="H48" s="27">
        <f t="shared" si="2"/>
        <v>3.0548635192505183E-2</v>
      </c>
      <c r="I48" s="48">
        <f t="shared" si="4"/>
        <v>399</v>
      </c>
      <c r="J48" s="47">
        <f t="shared" si="5"/>
        <v>0</v>
      </c>
      <c r="L48" s="112" t="s">
        <v>49</v>
      </c>
      <c r="M48" s="113"/>
      <c r="N48" s="103" t="s">
        <v>114</v>
      </c>
      <c r="O48" s="104"/>
      <c r="P48" s="44"/>
      <c r="Q48" s="44" t="s">
        <v>115</v>
      </c>
      <c r="R48" s="70">
        <f>(N50+O51)/SUM(N50:O51)</f>
        <v>0.72285714285714286</v>
      </c>
      <c r="S48" s="44"/>
      <c r="T48" s="44"/>
      <c r="U48" s="44"/>
      <c r="V48" s="44"/>
      <c r="W48" s="44"/>
      <c r="X48" s="44"/>
      <c r="Y48" s="44" t="s">
        <v>125</v>
      </c>
      <c r="Z48" s="44" t="s">
        <v>126</v>
      </c>
      <c r="AA48" s="44"/>
      <c r="AB48" s="44"/>
      <c r="AC48" s="44"/>
      <c r="AD48" s="44"/>
    </row>
    <row r="49" spans="1:31" x14ac:dyDescent="0.2">
      <c r="A49" s="9">
        <v>1</v>
      </c>
      <c r="B49" s="9">
        <v>18</v>
      </c>
      <c r="C49" s="9">
        <v>6</v>
      </c>
      <c r="D49" s="9">
        <v>71</v>
      </c>
      <c r="E49" s="9">
        <v>15.7</v>
      </c>
      <c r="F49" s="7" t="s">
        <v>49</v>
      </c>
      <c r="G49" s="27">
        <f t="shared" si="0"/>
        <v>-1.6924970751177941</v>
      </c>
      <c r="H49" s="27">
        <f t="shared" si="2"/>
        <v>0.15544773265126005</v>
      </c>
      <c r="I49" s="48">
        <f t="shared" si="4"/>
        <v>446</v>
      </c>
      <c r="J49" s="47">
        <f t="shared" si="5"/>
        <v>0</v>
      </c>
      <c r="L49" s="114"/>
      <c r="M49" s="115"/>
      <c r="N49" s="47">
        <v>0</v>
      </c>
      <c r="O49" s="47">
        <v>1</v>
      </c>
      <c r="P49" s="44"/>
      <c r="Q49" s="44" t="s">
        <v>116</v>
      </c>
      <c r="R49" s="70">
        <f>O51/(SUM(N51:O51))</f>
        <v>0.810126582278481</v>
      </c>
      <c r="S49" s="44"/>
      <c r="T49" s="44"/>
      <c r="U49" s="44"/>
      <c r="V49" s="44"/>
      <c r="W49" s="44"/>
      <c r="X49" s="44"/>
      <c r="Y49" s="44" t="s">
        <v>125</v>
      </c>
      <c r="Z49" s="44" t="s">
        <v>127</v>
      </c>
      <c r="AA49" s="44"/>
      <c r="AB49" s="44"/>
      <c r="AC49" s="44"/>
      <c r="AD49" s="44"/>
      <c r="AE49" s="22"/>
    </row>
    <row r="50" spans="1:31" x14ac:dyDescent="0.2">
      <c r="A50" s="9">
        <v>0</v>
      </c>
      <c r="B50" s="9">
        <v>6</v>
      </c>
      <c r="C50" s="9">
        <v>24</v>
      </c>
      <c r="D50" s="9">
        <v>54</v>
      </c>
      <c r="E50" s="9">
        <v>9.6</v>
      </c>
      <c r="F50" s="7" t="s">
        <v>49</v>
      </c>
      <c r="G50" s="27">
        <f t="shared" si="0"/>
        <v>-2.2337905621289225</v>
      </c>
      <c r="H50" s="27">
        <f t="shared" si="2"/>
        <v>9.6756858189557302E-2</v>
      </c>
      <c r="I50" s="48">
        <f t="shared" si="4"/>
        <v>433</v>
      </c>
      <c r="J50" s="47">
        <f t="shared" si="5"/>
        <v>0</v>
      </c>
      <c r="L50" s="105" t="s">
        <v>117</v>
      </c>
      <c r="M50" s="47">
        <v>0</v>
      </c>
      <c r="N50" s="47">
        <f>COUNTIFS($J$2:$J$501,"="&amp;N49,$A$2:$A$501,"="&amp;$M$50,$F$2:$F$501,"="&amp;$L$48)</f>
        <v>189</v>
      </c>
      <c r="O50" s="47">
        <f>COUNTIFS($J$2:$J$501,"="&amp;O49,$A$2:$A$501,"="&amp;$M$50,$F$2:$F$501,"="&amp;$L$48)</f>
        <v>82</v>
      </c>
      <c r="P50" s="44"/>
      <c r="Q50" s="44" t="s">
        <v>118</v>
      </c>
      <c r="R50" s="70">
        <f>O51/(O51+O50)</f>
        <v>0.43835616438356162</v>
      </c>
      <c r="S50" s="44"/>
      <c r="T50" s="44"/>
      <c r="U50" s="44"/>
      <c r="V50" s="44"/>
      <c r="W50" s="44"/>
      <c r="X50" s="44"/>
      <c r="AA50" s="24"/>
    </row>
    <row r="51" spans="1:31" x14ac:dyDescent="0.2">
      <c r="A51" s="9">
        <v>1</v>
      </c>
      <c r="B51" s="9">
        <v>12</v>
      </c>
      <c r="C51" s="9">
        <v>14</v>
      </c>
      <c r="D51" s="9">
        <v>63</v>
      </c>
      <c r="E51" s="9">
        <v>16</v>
      </c>
      <c r="F51" s="7" t="s">
        <v>49</v>
      </c>
      <c r="G51" s="27">
        <f t="shared" si="0"/>
        <v>-1.3451369331513778</v>
      </c>
      <c r="H51" s="27">
        <f t="shared" si="2"/>
        <v>0.20666656099323308</v>
      </c>
      <c r="I51" s="48">
        <f t="shared" si="4"/>
        <v>455</v>
      </c>
      <c r="J51" s="47">
        <f t="shared" si="5"/>
        <v>1</v>
      </c>
      <c r="L51" s="106"/>
      <c r="M51" s="47">
        <v>1</v>
      </c>
      <c r="N51" s="47">
        <f>COUNTIFS($J$2:$J$501,"="&amp;N49,$A$2:$A$501,"="&amp;$M$51,$F$2:$F$501,"="&amp;$L$48)</f>
        <v>15</v>
      </c>
      <c r="O51" s="47">
        <f>COUNTIFS($J$2:$J$501,"="&amp;O49,$A$2:$A$501,"="&amp;$M$51,$F$2:$F$501,"="&amp;$L$48)</f>
        <v>64</v>
      </c>
      <c r="P51" s="44"/>
      <c r="Q51" s="44" t="s">
        <v>119</v>
      </c>
      <c r="R51" s="70">
        <f>(2*R49*R50)/(R49+R50)</f>
        <v>0.568888888888889</v>
      </c>
      <c r="S51" s="44"/>
      <c r="T51" s="44"/>
      <c r="U51" s="44"/>
      <c r="V51" s="44"/>
      <c r="W51" s="44"/>
      <c r="X51" s="44"/>
    </row>
    <row r="52" spans="1:31" x14ac:dyDescent="0.2">
      <c r="A52" s="9">
        <v>0</v>
      </c>
      <c r="B52" s="9">
        <v>23</v>
      </c>
      <c r="C52" s="9">
        <v>19</v>
      </c>
      <c r="D52" s="9">
        <v>72</v>
      </c>
      <c r="E52" s="9">
        <v>7.6</v>
      </c>
      <c r="F52" s="7" t="s">
        <v>49</v>
      </c>
      <c r="G52" s="27">
        <f t="shared" si="0"/>
        <v>-4.8076900586576574</v>
      </c>
      <c r="H52" s="27">
        <f t="shared" si="2"/>
        <v>8.1005477662491297E-3</v>
      </c>
      <c r="I52" s="48">
        <f t="shared" si="4"/>
        <v>361</v>
      </c>
      <c r="J52" s="47">
        <f t="shared" si="5"/>
        <v>0</v>
      </c>
      <c r="L52" s="68"/>
      <c r="M52" s="44"/>
      <c r="N52" s="44"/>
      <c r="O52" s="44"/>
      <c r="P52" s="44"/>
      <c r="Q52" s="44"/>
      <c r="R52" s="69"/>
      <c r="S52" s="44"/>
      <c r="T52" s="44"/>
      <c r="U52" s="44"/>
      <c r="V52" s="44"/>
      <c r="W52" s="44"/>
      <c r="X52" s="44"/>
    </row>
    <row r="53" spans="1:31" x14ac:dyDescent="0.2">
      <c r="A53" s="9">
        <v>0</v>
      </c>
      <c r="B53" s="9">
        <v>11</v>
      </c>
      <c r="C53" s="9">
        <v>20</v>
      </c>
      <c r="D53" s="9">
        <v>59</v>
      </c>
      <c r="E53" s="9">
        <v>15</v>
      </c>
      <c r="F53" s="7" t="s">
        <v>49</v>
      </c>
      <c r="G53" s="27">
        <f t="shared" si="0"/>
        <v>-1.853235752625837</v>
      </c>
      <c r="H53" s="27">
        <f t="shared" si="2"/>
        <v>0.13549343002084235</v>
      </c>
      <c r="I53" s="48">
        <f t="shared" si="4"/>
        <v>442</v>
      </c>
      <c r="J53" s="47">
        <f t="shared" si="5"/>
        <v>0</v>
      </c>
      <c r="L53" s="112" t="s">
        <v>50</v>
      </c>
      <c r="M53" s="113"/>
      <c r="N53" s="103" t="s">
        <v>114</v>
      </c>
      <c r="O53" s="104"/>
      <c r="P53" s="44"/>
      <c r="Q53" s="44" t="s">
        <v>115</v>
      </c>
      <c r="R53" s="70">
        <f>(N55+O56)/SUM(N55:O56)</f>
        <v>0.68666666666666665</v>
      </c>
      <c r="S53" s="44"/>
      <c r="T53" s="44"/>
      <c r="U53" s="44"/>
      <c r="V53" s="44"/>
      <c r="W53" s="44"/>
      <c r="X53" s="44"/>
    </row>
    <row r="54" spans="1:31" x14ac:dyDescent="0.2">
      <c r="A54" s="9">
        <v>1</v>
      </c>
      <c r="B54" s="9">
        <v>5</v>
      </c>
      <c r="C54" s="9">
        <v>12</v>
      </c>
      <c r="D54" s="9">
        <v>35</v>
      </c>
      <c r="E54" s="9">
        <v>16.399999999999999</v>
      </c>
      <c r="F54" s="7" t="s">
        <v>49</v>
      </c>
      <c r="G54" s="27">
        <f t="shared" si="0"/>
        <v>-0.43951403454709359</v>
      </c>
      <c r="H54" s="27">
        <f t="shared" si="2"/>
        <v>0.39185677118306173</v>
      </c>
      <c r="I54" s="48">
        <f t="shared" si="4"/>
        <v>473</v>
      </c>
      <c r="J54" s="47">
        <f t="shared" si="5"/>
        <v>1</v>
      </c>
      <c r="L54" s="114"/>
      <c r="M54" s="115"/>
      <c r="N54" s="47">
        <v>0</v>
      </c>
      <c r="O54" s="47">
        <v>1</v>
      </c>
      <c r="P54" s="44"/>
      <c r="Q54" s="44" t="s">
        <v>116</v>
      </c>
      <c r="R54" s="70">
        <f>O56/(SUM(N56:O56))</f>
        <v>0.76</v>
      </c>
      <c r="S54" s="44"/>
      <c r="T54" s="44"/>
      <c r="U54" s="44"/>
      <c r="V54" s="44"/>
      <c r="W54" s="44"/>
      <c r="X54" s="44"/>
    </row>
    <row r="55" spans="1:31" x14ac:dyDescent="0.2">
      <c r="A55" s="9">
        <v>0</v>
      </c>
      <c r="B55" s="9">
        <v>12</v>
      </c>
      <c r="C55" s="9">
        <v>9</v>
      </c>
      <c r="D55" s="9">
        <v>98</v>
      </c>
      <c r="E55" s="9">
        <v>7.2</v>
      </c>
      <c r="F55" s="7" t="s">
        <v>49</v>
      </c>
      <c r="G55" s="27">
        <f t="shared" si="0"/>
        <v>-1.7124315071865988</v>
      </c>
      <c r="H55" s="27">
        <f t="shared" si="2"/>
        <v>0.15284860401764438</v>
      </c>
      <c r="I55" s="48">
        <f t="shared" si="4"/>
        <v>446</v>
      </c>
      <c r="J55" s="47">
        <f t="shared" si="5"/>
        <v>0</v>
      </c>
      <c r="L55" s="105" t="s">
        <v>117</v>
      </c>
      <c r="M55" s="47">
        <v>0</v>
      </c>
      <c r="N55" s="47">
        <f>COUNTIFS($J$2:$J$501,"="&amp;N54,$A$2:$A$501,"="&amp;$M$55,$F$2:$F$501,"="&amp;$L$53)</f>
        <v>65</v>
      </c>
      <c r="O55" s="47">
        <f>COUNTIFS($J$2:$J$501,"="&amp;O54,$A$2:$A$501,"="&amp;$M$55,$F$2:$F$501,"="&amp;$L$53)</f>
        <v>35</v>
      </c>
      <c r="P55" s="44"/>
      <c r="Q55" s="44" t="s">
        <v>118</v>
      </c>
      <c r="R55" s="70">
        <f>O56/(O56+O55)</f>
        <v>0.52054794520547942</v>
      </c>
      <c r="S55" s="44"/>
      <c r="T55" s="44"/>
      <c r="U55" s="44"/>
      <c r="V55" s="44"/>
      <c r="W55" s="44"/>
      <c r="X55" s="44"/>
      <c r="AA55" s="1"/>
      <c r="AB55" s="1"/>
      <c r="AC55" s="1"/>
      <c r="AD55" s="1"/>
    </row>
    <row r="56" spans="1:31" x14ac:dyDescent="0.2">
      <c r="A56" s="9">
        <v>0</v>
      </c>
      <c r="B56" s="9">
        <v>6</v>
      </c>
      <c r="C56" s="9">
        <v>13</v>
      </c>
      <c r="D56" s="9">
        <v>62</v>
      </c>
      <c r="E56" s="9">
        <v>8.5</v>
      </c>
      <c r="F56" s="7" t="s">
        <v>49</v>
      </c>
      <c r="G56" s="27">
        <f t="shared" si="0"/>
        <v>-1.4370274881261567</v>
      </c>
      <c r="H56" s="27">
        <f t="shared" si="2"/>
        <v>0.19200608115130485</v>
      </c>
      <c r="I56" s="48">
        <f t="shared" si="4"/>
        <v>452</v>
      </c>
      <c r="J56" s="47">
        <f t="shared" si="5"/>
        <v>0</v>
      </c>
      <c r="L56" s="106"/>
      <c r="M56" s="47">
        <v>1</v>
      </c>
      <c r="N56" s="47">
        <f>COUNTIFS($J$2:$J$501,"="&amp;N54,$A$2:$A$501,"="&amp;$M$56,$F$2:$F$501,"="&amp;$L$53)</f>
        <v>12</v>
      </c>
      <c r="O56" s="47">
        <f>COUNTIFS($J$2:$J$501,"="&amp;O54,$A$2:$A$501,"="&amp;$M$56,$F$2:$F$501,"="&amp;$L$53)</f>
        <v>38</v>
      </c>
      <c r="P56" s="44"/>
      <c r="Q56" s="44" t="s">
        <v>119</v>
      </c>
      <c r="R56" s="70">
        <f>2*((R54*R55)/(R54+R55))</f>
        <v>0.61788617886178854</v>
      </c>
      <c r="S56" s="44"/>
      <c r="T56" s="44"/>
      <c r="U56" s="44"/>
      <c r="V56" s="44"/>
      <c r="W56" s="44"/>
      <c r="X56" s="44"/>
      <c r="AA56" s="23"/>
      <c r="AB56" s="23"/>
      <c r="AC56" s="23"/>
      <c r="AD56" s="23"/>
    </row>
    <row r="57" spans="1:31" x14ac:dyDescent="0.2">
      <c r="A57" s="9">
        <v>1</v>
      </c>
      <c r="B57" s="9">
        <v>6</v>
      </c>
      <c r="C57" s="9">
        <v>6</v>
      </c>
      <c r="D57" s="9">
        <v>32</v>
      </c>
      <c r="E57" s="9">
        <v>23.1</v>
      </c>
      <c r="F57" s="7" t="s">
        <v>49</v>
      </c>
      <c r="G57" s="27">
        <f t="shared" si="0"/>
        <v>0.84462660794091349</v>
      </c>
      <c r="H57" s="27">
        <f t="shared" si="2"/>
        <v>0.69943873746524021</v>
      </c>
      <c r="I57" s="48">
        <f t="shared" si="4"/>
        <v>490</v>
      </c>
      <c r="J57" s="47">
        <f t="shared" si="5"/>
        <v>1</v>
      </c>
      <c r="L57" s="68"/>
      <c r="M57" s="44"/>
      <c r="N57" s="44"/>
      <c r="O57" s="44"/>
      <c r="P57" s="44"/>
      <c r="Q57" s="44"/>
      <c r="R57" s="69"/>
      <c r="S57" s="44"/>
      <c r="T57" s="44"/>
      <c r="U57" s="44"/>
      <c r="V57" s="44"/>
      <c r="W57" s="44"/>
      <c r="X57" s="44"/>
    </row>
    <row r="58" spans="1:31" x14ac:dyDescent="0.2">
      <c r="A58" s="9">
        <v>0</v>
      </c>
      <c r="B58" s="9">
        <v>0</v>
      </c>
      <c r="C58" s="9">
        <v>23</v>
      </c>
      <c r="D58" s="9">
        <v>30</v>
      </c>
      <c r="E58" s="9">
        <v>22.3</v>
      </c>
      <c r="F58" s="7" t="s">
        <v>49</v>
      </c>
      <c r="G58" s="27">
        <f t="shared" si="0"/>
        <v>0.4586924454139516</v>
      </c>
      <c r="H58" s="27">
        <f t="shared" si="2"/>
        <v>0.61270394204697343</v>
      </c>
      <c r="I58" s="48">
        <f t="shared" si="4"/>
        <v>486</v>
      </c>
      <c r="J58" s="47">
        <f t="shared" si="5"/>
        <v>1</v>
      </c>
      <c r="L58" s="71"/>
      <c r="M58" s="72"/>
      <c r="N58" s="72"/>
      <c r="O58" s="72"/>
      <c r="P58" s="72"/>
      <c r="Q58" s="72"/>
      <c r="R58" s="73"/>
      <c r="S58" s="44"/>
      <c r="T58" s="44"/>
      <c r="U58" s="44"/>
      <c r="V58" s="44"/>
      <c r="W58" s="44"/>
      <c r="X58" s="44"/>
    </row>
    <row r="59" spans="1:31" x14ac:dyDescent="0.2">
      <c r="A59" s="9">
        <v>0</v>
      </c>
      <c r="B59" s="9">
        <v>2</v>
      </c>
      <c r="C59" s="9">
        <v>14</v>
      </c>
      <c r="D59" s="9">
        <v>39</v>
      </c>
      <c r="E59" s="9">
        <v>13.2</v>
      </c>
      <c r="F59" s="7" t="s">
        <v>49</v>
      </c>
      <c r="G59" s="27">
        <f t="shared" si="0"/>
        <v>-0.49918149001765366</v>
      </c>
      <c r="H59" s="27">
        <f t="shared" si="2"/>
        <v>0.37773304095399707</v>
      </c>
      <c r="I59" s="48">
        <f t="shared" si="4"/>
        <v>472</v>
      </c>
      <c r="J59" s="47">
        <f t="shared" si="5"/>
        <v>1</v>
      </c>
      <c r="AA59" s="22"/>
      <c r="AB59" s="22"/>
      <c r="AC59" s="22"/>
      <c r="AD59" s="22"/>
    </row>
    <row r="60" spans="1:31" x14ac:dyDescent="0.2">
      <c r="A60" s="9">
        <v>0</v>
      </c>
      <c r="B60" s="9">
        <v>10</v>
      </c>
      <c r="C60" s="9">
        <v>6</v>
      </c>
      <c r="D60" s="9">
        <v>31</v>
      </c>
      <c r="E60" s="9">
        <v>17.3</v>
      </c>
      <c r="F60" s="7" t="s">
        <v>49</v>
      </c>
      <c r="G60" s="27">
        <f t="shared" si="0"/>
        <v>-0.79725210534894364</v>
      </c>
      <c r="H60" s="27">
        <f t="shared" si="2"/>
        <v>0.31061362682311305</v>
      </c>
      <c r="I60" s="48">
        <f t="shared" si="4"/>
        <v>466</v>
      </c>
      <c r="J60" s="47">
        <f t="shared" si="5"/>
        <v>1</v>
      </c>
      <c r="L60" s="84" t="s">
        <v>132</v>
      </c>
      <c r="AA60" s="24"/>
    </row>
    <row r="61" spans="1:31" x14ac:dyDescent="0.2">
      <c r="A61" s="9">
        <v>0</v>
      </c>
      <c r="B61" s="9">
        <v>5</v>
      </c>
      <c r="C61" s="9">
        <v>5</v>
      </c>
      <c r="D61" s="9">
        <v>32</v>
      </c>
      <c r="E61" s="9">
        <v>13</v>
      </c>
      <c r="F61" s="7" t="s">
        <v>49</v>
      </c>
      <c r="G61" s="27">
        <f t="shared" si="0"/>
        <v>-0.51590587534775745</v>
      </c>
      <c r="H61" s="27">
        <f t="shared" si="2"/>
        <v>0.37381007423503204</v>
      </c>
      <c r="I61" s="48">
        <f t="shared" si="4"/>
        <v>472</v>
      </c>
      <c r="J61" s="47">
        <f t="shared" si="5"/>
        <v>1</v>
      </c>
    </row>
    <row r="62" spans="1:31" x14ac:dyDescent="0.2">
      <c r="A62" s="9">
        <v>0</v>
      </c>
      <c r="B62" s="9">
        <v>7</v>
      </c>
      <c r="C62" s="9">
        <v>16</v>
      </c>
      <c r="D62" s="9">
        <v>43</v>
      </c>
      <c r="E62" s="9">
        <v>15.4</v>
      </c>
      <c r="F62" s="7" t="s">
        <v>49</v>
      </c>
      <c r="G62" s="27">
        <f t="shared" si="0"/>
        <v>-1.0952403425283714</v>
      </c>
      <c r="H62" s="27">
        <f t="shared" si="2"/>
        <v>0.25063277272053086</v>
      </c>
      <c r="I62" s="48">
        <f t="shared" si="4"/>
        <v>460</v>
      </c>
      <c r="J62" s="47">
        <f t="shared" si="5"/>
        <v>1</v>
      </c>
      <c r="L62" s="90"/>
      <c r="M62" s="90"/>
      <c r="N62" s="90"/>
      <c r="O62" s="103" t="s">
        <v>49</v>
      </c>
      <c r="P62" s="104"/>
      <c r="Q62" s="103" t="s">
        <v>50</v>
      </c>
      <c r="R62" s="104"/>
    </row>
    <row r="63" spans="1:31" x14ac:dyDescent="0.2">
      <c r="A63" s="9">
        <v>0</v>
      </c>
      <c r="B63" s="9">
        <v>0</v>
      </c>
      <c r="C63" s="9">
        <v>9</v>
      </c>
      <c r="D63" s="9">
        <v>64</v>
      </c>
      <c r="E63" s="9">
        <v>6.6</v>
      </c>
      <c r="F63" s="7" t="s">
        <v>49</v>
      </c>
      <c r="G63" s="27">
        <f t="shared" si="0"/>
        <v>-0.35577400462410336</v>
      </c>
      <c r="H63" s="27">
        <f t="shared" si="2"/>
        <v>0.4119829438115768</v>
      </c>
      <c r="I63" s="48">
        <f t="shared" si="4"/>
        <v>474</v>
      </c>
      <c r="J63" s="47">
        <f t="shared" si="5"/>
        <v>1</v>
      </c>
      <c r="L63" s="59" t="s">
        <v>102</v>
      </c>
      <c r="M63" s="55" t="s">
        <v>103</v>
      </c>
      <c r="N63" s="55" t="s">
        <v>104</v>
      </c>
      <c r="O63" s="55" t="s">
        <v>134</v>
      </c>
      <c r="P63" s="55" t="s">
        <v>135</v>
      </c>
      <c r="Q63" s="55" t="s">
        <v>134</v>
      </c>
      <c r="R63" s="55" t="s">
        <v>135</v>
      </c>
    </row>
    <row r="64" spans="1:31" x14ac:dyDescent="0.2">
      <c r="A64" s="9">
        <v>0</v>
      </c>
      <c r="B64" s="9">
        <v>9</v>
      </c>
      <c r="C64" s="9">
        <v>26</v>
      </c>
      <c r="D64" s="9">
        <v>69</v>
      </c>
      <c r="E64" s="9">
        <v>6.7</v>
      </c>
      <c r="F64" s="7" t="s">
        <v>49</v>
      </c>
      <c r="G64" s="27">
        <f t="shared" si="0"/>
        <v>-3.0853117095469185</v>
      </c>
      <c r="H64" s="27">
        <f t="shared" si="2"/>
        <v>4.3717214979828549E-2</v>
      </c>
      <c r="I64" s="48">
        <f t="shared" si="4"/>
        <v>410</v>
      </c>
      <c r="J64" s="47">
        <f t="shared" si="5"/>
        <v>0</v>
      </c>
      <c r="L64" s="48">
        <f>MIN(I53:I552)</f>
        <v>307</v>
      </c>
      <c r="M64" s="48">
        <f>L64+14</f>
        <v>321</v>
      </c>
      <c r="N64" s="48" t="str">
        <f>_xlfn.CONCAT(L64,"-",M64)</f>
        <v>307-321</v>
      </c>
      <c r="O64" s="47">
        <f>COUNTIFS($I$2:$I$501,"&gt;="&amp;L64,$I$2:$I$501,"&lt;="&amp;M64,$F$2:$F$501,"="&amp;$O$62)</f>
        <v>2</v>
      </c>
      <c r="P64" s="62">
        <f>IFERROR(AVERAGEIFS($A$2:$A$501,$I$2:$I$501,"&gt;="&amp;L64,$I$2:$I$501,"&lt;="&amp;M64,$F$2:$F$501,"="&amp;$O$62),0%)</f>
        <v>0</v>
      </c>
      <c r="Q64" s="47">
        <f>COUNTIFS($I$2:$I$501,"&gt;="&amp;L64,$I$2:$I$501,"&lt;="&amp;M64,$F$2:$F$501,"="&amp;$Q$62)</f>
        <v>0</v>
      </c>
      <c r="R64" s="62">
        <f>IFERROR(AVERAGEIFS($A$2:$A$501,$I$2:$I$501,"&gt;="&amp;L64,$I$2:$I$501,"&lt;="&amp;M64,$F$2:$F$501,"="&amp;$Q$62),0%)</f>
        <v>0</v>
      </c>
      <c r="AA64" s="41"/>
      <c r="AB64" s="41"/>
      <c r="AC64" s="41"/>
      <c r="AD64" s="41"/>
    </row>
    <row r="65" spans="1:30" x14ac:dyDescent="0.2">
      <c r="A65" s="9">
        <v>0</v>
      </c>
      <c r="B65" s="9">
        <v>16</v>
      </c>
      <c r="C65" s="9">
        <v>3</v>
      </c>
      <c r="D65" s="9">
        <v>75</v>
      </c>
      <c r="E65" s="9">
        <v>10.4</v>
      </c>
      <c r="F65" s="7" t="s">
        <v>49</v>
      </c>
      <c r="G65" s="27">
        <f t="shared" si="0"/>
        <v>-1.8884495318374639</v>
      </c>
      <c r="H65" s="27">
        <f t="shared" si="2"/>
        <v>0.13142135392122517</v>
      </c>
      <c r="I65" s="48">
        <f t="shared" si="4"/>
        <v>441</v>
      </c>
      <c r="J65" s="47">
        <f t="shared" si="5"/>
        <v>0</v>
      </c>
      <c r="L65" s="48">
        <f>M64+1</f>
        <v>322</v>
      </c>
      <c r="M65" s="48">
        <f>L65+14</f>
        <v>336</v>
      </c>
      <c r="N65" s="48" t="str">
        <f t="shared" ref="N65:N76" si="29">_xlfn.CONCAT(L65,"-",M65)</f>
        <v>322-336</v>
      </c>
      <c r="O65" s="47">
        <f t="shared" ref="O65:O76" si="30">COUNTIFS($I$2:$I$501,"&gt;="&amp;L65,$I$2:$I$501,"&lt;="&amp;M65,$F$2:$F$501,"="&amp;$O$62)</f>
        <v>0</v>
      </c>
      <c r="P65" s="62">
        <f t="shared" ref="P65:P76" si="31">IFERROR(AVERAGEIFS($A$2:$A$501,$I$2:$I$501,"&gt;="&amp;L65,$I$2:$I$501,"&lt;="&amp;M65,$F$2:$F$501,"="&amp;$O$62),0%)</f>
        <v>0</v>
      </c>
      <c r="Q65" s="47">
        <f t="shared" ref="Q65:Q76" si="32">COUNTIFS($I$2:$I$501,"&gt;="&amp;L65,$I$2:$I$501,"&lt;="&amp;M65,$F$2:$F$501,"="&amp;$Q$62)</f>
        <v>0</v>
      </c>
      <c r="R65" s="62">
        <f t="shared" ref="R65:R76" si="33">IFERROR(AVERAGEIFS($A$2:$A$501,$I$2:$I$501,"&gt;="&amp;L65,$I$2:$I$501,"&lt;="&amp;M65,$F$2:$F$501,"="&amp;$Q$62),0%)</f>
        <v>0</v>
      </c>
      <c r="AA65" s="41"/>
      <c r="AB65" s="41"/>
      <c r="AC65" s="41"/>
      <c r="AD65" s="41"/>
    </row>
    <row r="66" spans="1:30" x14ac:dyDescent="0.2">
      <c r="A66" s="9">
        <v>1</v>
      </c>
      <c r="B66" s="9">
        <v>1</v>
      </c>
      <c r="C66" s="9">
        <v>7</v>
      </c>
      <c r="D66" s="9">
        <v>29</v>
      </c>
      <c r="E66" s="9">
        <v>21.2</v>
      </c>
      <c r="F66" s="7" t="s">
        <v>49</v>
      </c>
      <c r="G66" s="27">
        <f t="shared" ref="G66:G129" si="34">SUMPRODUCT($Q$3:$T$3,B66:E66)+$P$3</f>
        <v>1.2835890603193101</v>
      </c>
      <c r="H66" s="27">
        <f t="shared" si="2"/>
        <v>0.78306009454061432</v>
      </c>
      <c r="I66" s="48">
        <f t="shared" si="4"/>
        <v>493</v>
      </c>
      <c r="J66" s="47">
        <f t="shared" si="5"/>
        <v>1</v>
      </c>
      <c r="L66" s="48">
        <f t="shared" ref="L66:L76" si="35">M65+1</f>
        <v>337</v>
      </c>
      <c r="M66" s="48">
        <f t="shared" ref="M66:M75" si="36">L66+14</f>
        <v>351</v>
      </c>
      <c r="N66" s="48" t="str">
        <f t="shared" si="29"/>
        <v>337-351</v>
      </c>
      <c r="O66" s="47">
        <f t="shared" si="30"/>
        <v>2</v>
      </c>
      <c r="P66" s="62">
        <f t="shared" si="31"/>
        <v>0</v>
      </c>
      <c r="Q66" s="47">
        <f t="shared" si="32"/>
        <v>0</v>
      </c>
      <c r="R66" s="62">
        <f t="shared" si="33"/>
        <v>0</v>
      </c>
    </row>
    <row r="67" spans="1:30" x14ac:dyDescent="0.2">
      <c r="A67" s="9">
        <v>1</v>
      </c>
      <c r="B67" s="9">
        <v>13</v>
      </c>
      <c r="C67" s="9">
        <v>6</v>
      </c>
      <c r="D67" s="9">
        <v>41</v>
      </c>
      <c r="E67" s="9">
        <v>16.399999999999999</v>
      </c>
      <c r="F67" s="7" t="s">
        <v>49</v>
      </c>
      <c r="G67" s="27">
        <f t="shared" si="34"/>
        <v>-1.2753882223985125</v>
      </c>
      <c r="H67" s="27">
        <f t="shared" ref="H67:H130" si="37">EXP(G67)/(1+EXP(G67))</f>
        <v>0.2183362726655734</v>
      </c>
      <c r="I67" s="48">
        <f t="shared" si="4"/>
        <v>456</v>
      </c>
      <c r="J67" s="47">
        <f t="shared" si="5"/>
        <v>1</v>
      </c>
      <c r="L67" s="48">
        <f t="shared" si="35"/>
        <v>352</v>
      </c>
      <c r="M67" s="48">
        <f t="shared" si="36"/>
        <v>366</v>
      </c>
      <c r="N67" s="48" t="str">
        <f t="shared" si="29"/>
        <v>352-366</v>
      </c>
      <c r="O67" s="47">
        <f t="shared" si="30"/>
        <v>10</v>
      </c>
      <c r="P67" s="62">
        <f t="shared" si="31"/>
        <v>0</v>
      </c>
      <c r="Q67" s="47">
        <f t="shared" si="32"/>
        <v>1</v>
      </c>
      <c r="R67" s="62">
        <f t="shared" si="33"/>
        <v>1</v>
      </c>
      <c r="AA67" s="25"/>
      <c r="AB67" s="2"/>
      <c r="AC67" s="2"/>
    </row>
    <row r="68" spans="1:30" x14ac:dyDescent="0.2">
      <c r="A68" s="9">
        <v>1</v>
      </c>
      <c r="B68" s="9">
        <v>2</v>
      </c>
      <c r="C68" s="9">
        <v>16</v>
      </c>
      <c r="D68" s="9">
        <v>22</v>
      </c>
      <c r="E68" s="9">
        <v>22.7</v>
      </c>
      <c r="F68" s="7" t="s">
        <v>49</v>
      </c>
      <c r="G68" s="27">
        <f t="shared" si="34"/>
        <v>0.54408891680757288</v>
      </c>
      <c r="H68" s="27">
        <f t="shared" si="37"/>
        <v>0.63276309028930722</v>
      </c>
      <c r="I68" s="48">
        <f t="shared" si="4"/>
        <v>487</v>
      </c>
      <c r="J68" s="47">
        <f t="shared" si="5"/>
        <v>1</v>
      </c>
      <c r="L68" s="48">
        <f t="shared" si="35"/>
        <v>367</v>
      </c>
      <c r="M68" s="48">
        <f t="shared" si="36"/>
        <v>381</v>
      </c>
      <c r="N68" s="48" t="str">
        <f t="shared" si="29"/>
        <v>367-381</v>
      </c>
      <c r="O68" s="47">
        <f t="shared" si="30"/>
        <v>9</v>
      </c>
      <c r="P68" s="62">
        <f t="shared" si="31"/>
        <v>0</v>
      </c>
      <c r="Q68" s="47">
        <f t="shared" si="32"/>
        <v>2</v>
      </c>
      <c r="R68" s="62">
        <f t="shared" si="33"/>
        <v>0.5</v>
      </c>
      <c r="AA68" s="25"/>
      <c r="AB68" s="1"/>
      <c r="AC68" s="1"/>
    </row>
    <row r="69" spans="1:30" x14ac:dyDescent="0.2">
      <c r="A69" s="9">
        <v>0</v>
      </c>
      <c r="B69" s="9">
        <v>16</v>
      </c>
      <c r="C69" s="9">
        <v>25</v>
      </c>
      <c r="D69" s="9">
        <v>64</v>
      </c>
      <c r="E69" s="9">
        <v>8.6</v>
      </c>
      <c r="F69" s="7" t="s">
        <v>49</v>
      </c>
      <c r="G69" s="27">
        <f t="shared" si="34"/>
        <v>-4.0249067114801917</v>
      </c>
      <c r="H69" s="27">
        <f t="shared" si="37"/>
        <v>1.7551530990663373E-2</v>
      </c>
      <c r="I69" s="48">
        <f t="shared" si="4"/>
        <v>383</v>
      </c>
      <c r="J69" s="47">
        <f t="shared" si="5"/>
        <v>0</v>
      </c>
      <c r="L69" s="48">
        <f t="shared" si="35"/>
        <v>382</v>
      </c>
      <c r="M69" s="48">
        <f t="shared" si="36"/>
        <v>396</v>
      </c>
      <c r="N69" s="48" t="str">
        <f t="shared" si="29"/>
        <v>382-396</v>
      </c>
      <c r="O69" s="47">
        <f t="shared" si="30"/>
        <v>22</v>
      </c>
      <c r="P69" s="62">
        <f t="shared" si="31"/>
        <v>9.0909090909090912E-2</v>
      </c>
      <c r="Q69" s="47">
        <f t="shared" si="32"/>
        <v>9</v>
      </c>
      <c r="R69" s="62">
        <f t="shared" si="33"/>
        <v>0</v>
      </c>
      <c r="AA69" s="1"/>
      <c r="AB69" s="1"/>
      <c r="AC69" s="1"/>
    </row>
    <row r="70" spans="1:30" x14ac:dyDescent="0.2">
      <c r="A70" s="9">
        <v>0</v>
      </c>
      <c r="B70" s="9">
        <v>14</v>
      </c>
      <c r="C70" s="9">
        <v>8</v>
      </c>
      <c r="D70" s="9">
        <v>28</v>
      </c>
      <c r="E70" s="9">
        <v>17</v>
      </c>
      <c r="F70" s="7" t="s">
        <v>49</v>
      </c>
      <c r="G70" s="27">
        <f t="shared" si="34"/>
        <v>-1.7495832090071226</v>
      </c>
      <c r="H70" s="27">
        <f t="shared" si="37"/>
        <v>0.14809977526851947</v>
      </c>
      <c r="I70" s="48">
        <f t="shared" ref="I70:I133" si="38">ROUND($M$4+(($M$5/LN(2))*LN(H70)),0)</f>
        <v>445</v>
      </c>
      <c r="J70" s="47">
        <f t="shared" ref="J70:J133" si="39">IF(H70&gt;=$M$3,1,0)</f>
        <v>0</v>
      </c>
      <c r="L70" s="48">
        <f t="shared" si="35"/>
        <v>397</v>
      </c>
      <c r="M70" s="48">
        <f t="shared" si="36"/>
        <v>411</v>
      </c>
      <c r="N70" s="48" t="str">
        <f t="shared" si="29"/>
        <v>397-411</v>
      </c>
      <c r="O70" s="47">
        <f t="shared" si="30"/>
        <v>22</v>
      </c>
      <c r="P70" s="62">
        <f t="shared" si="31"/>
        <v>4.5454545454545456E-2</v>
      </c>
      <c r="Q70" s="47">
        <f t="shared" si="32"/>
        <v>11</v>
      </c>
      <c r="R70" s="62">
        <f t="shared" si="33"/>
        <v>0.18181818181818182</v>
      </c>
      <c r="AA70" s="1"/>
      <c r="AB70" s="1"/>
      <c r="AC70" s="1"/>
    </row>
    <row r="71" spans="1:30" x14ac:dyDescent="0.2">
      <c r="A71" s="9">
        <v>1</v>
      </c>
      <c r="B71" s="9">
        <v>4</v>
      </c>
      <c r="C71" s="9">
        <v>2</v>
      </c>
      <c r="D71" s="9">
        <v>28</v>
      </c>
      <c r="E71" s="9">
        <v>14.2</v>
      </c>
      <c r="F71" s="7" t="s">
        <v>49</v>
      </c>
      <c r="G71" s="27">
        <f t="shared" si="34"/>
        <v>-1.863283726419418E-3</v>
      </c>
      <c r="H71" s="27">
        <f t="shared" si="37"/>
        <v>0.4995341792031659</v>
      </c>
      <c r="I71" s="48">
        <f t="shared" si="38"/>
        <v>480</v>
      </c>
      <c r="J71" s="47">
        <f t="shared" si="39"/>
        <v>1</v>
      </c>
      <c r="L71" s="48">
        <f t="shared" si="35"/>
        <v>412</v>
      </c>
      <c r="M71" s="48">
        <f t="shared" si="36"/>
        <v>426</v>
      </c>
      <c r="N71" s="48" t="str">
        <f t="shared" si="29"/>
        <v>412-426</v>
      </c>
      <c r="O71" s="47">
        <f t="shared" si="30"/>
        <v>36</v>
      </c>
      <c r="P71" s="62">
        <f t="shared" si="31"/>
        <v>2.7777777777777776E-2</v>
      </c>
      <c r="Q71" s="47">
        <f t="shared" si="32"/>
        <v>18</v>
      </c>
      <c r="R71" s="62">
        <f t="shared" si="33"/>
        <v>0.1111111111111111</v>
      </c>
      <c r="AA71" s="1"/>
    </row>
    <row r="72" spans="1:30" x14ac:dyDescent="0.2">
      <c r="A72" s="9">
        <v>0</v>
      </c>
      <c r="B72" s="9">
        <v>3</v>
      </c>
      <c r="C72" s="9">
        <v>8</v>
      </c>
      <c r="D72" s="9">
        <v>21</v>
      </c>
      <c r="E72" s="9">
        <v>23.1</v>
      </c>
      <c r="F72" s="7" t="s">
        <v>49</v>
      </c>
      <c r="G72" s="27">
        <f t="shared" si="34"/>
        <v>1.0111749198920976</v>
      </c>
      <c r="H72" s="27">
        <f t="shared" si="37"/>
        <v>0.7332500199929588</v>
      </c>
      <c r="I72" s="48">
        <f t="shared" si="38"/>
        <v>491</v>
      </c>
      <c r="J72" s="47">
        <f t="shared" si="39"/>
        <v>1</v>
      </c>
      <c r="L72" s="48">
        <f t="shared" si="35"/>
        <v>427</v>
      </c>
      <c r="M72" s="48">
        <f t="shared" si="36"/>
        <v>441</v>
      </c>
      <c r="N72" s="48" t="str">
        <f t="shared" si="29"/>
        <v>427-441</v>
      </c>
      <c r="O72" s="47">
        <f t="shared" si="30"/>
        <v>43</v>
      </c>
      <c r="P72" s="62">
        <f t="shared" si="31"/>
        <v>2.3255813953488372E-2</v>
      </c>
      <c r="Q72" s="47">
        <f t="shared" si="32"/>
        <v>17</v>
      </c>
      <c r="R72" s="62">
        <f t="shared" si="33"/>
        <v>0.11764705882352941</v>
      </c>
      <c r="AA72" s="26"/>
    </row>
    <row r="73" spans="1:30" x14ac:dyDescent="0.2">
      <c r="A73" s="9">
        <v>0</v>
      </c>
      <c r="B73" s="9">
        <v>3</v>
      </c>
      <c r="C73" s="9">
        <v>23</v>
      </c>
      <c r="D73" s="9">
        <v>45</v>
      </c>
      <c r="E73" s="9">
        <v>9.8000000000000007</v>
      </c>
      <c r="F73" s="7" t="s">
        <v>49</v>
      </c>
      <c r="G73" s="27">
        <f t="shared" si="34"/>
        <v>-1.7736914861049462</v>
      </c>
      <c r="H73" s="27">
        <f t="shared" si="37"/>
        <v>0.1450838570329554</v>
      </c>
      <c r="I73" s="48">
        <f t="shared" si="38"/>
        <v>444</v>
      </c>
      <c r="J73" s="47">
        <f t="shared" si="39"/>
        <v>0</v>
      </c>
      <c r="L73" s="48">
        <f t="shared" si="35"/>
        <v>442</v>
      </c>
      <c r="M73" s="48">
        <f t="shared" si="36"/>
        <v>456</v>
      </c>
      <c r="N73" s="48" t="str">
        <f t="shared" si="29"/>
        <v>442-456</v>
      </c>
      <c r="O73" s="47">
        <f t="shared" si="30"/>
        <v>67</v>
      </c>
      <c r="P73" s="62">
        <f t="shared" si="31"/>
        <v>0.23880597014925373</v>
      </c>
      <c r="Q73" s="47">
        <f t="shared" si="32"/>
        <v>23</v>
      </c>
      <c r="R73" s="62">
        <f t="shared" si="33"/>
        <v>0.21739130434782608</v>
      </c>
      <c r="AA73" s="26"/>
    </row>
    <row r="74" spans="1:30" x14ac:dyDescent="0.2">
      <c r="A74" s="9">
        <v>1</v>
      </c>
      <c r="B74" s="9">
        <v>9</v>
      </c>
      <c r="C74" s="9">
        <v>6</v>
      </c>
      <c r="D74" s="9">
        <v>49</v>
      </c>
      <c r="E74" s="9">
        <v>8.6</v>
      </c>
      <c r="F74" s="7" t="s">
        <v>49</v>
      </c>
      <c r="G74" s="27">
        <f t="shared" si="34"/>
        <v>-1.6686832511187639</v>
      </c>
      <c r="H74" s="27">
        <f t="shared" si="37"/>
        <v>0.15859981462177453</v>
      </c>
      <c r="I74" s="48">
        <f t="shared" si="38"/>
        <v>447</v>
      </c>
      <c r="J74" s="47">
        <f t="shared" si="39"/>
        <v>0</v>
      </c>
      <c r="L74" s="48">
        <f t="shared" si="35"/>
        <v>457</v>
      </c>
      <c r="M74" s="48">
        <f t="shared" si="36"/>
        <v>471</v>
      </c>
      <c r="N74" s="48" t="str">
        <f t="shared" si="29"/>
        <v>457-471</v>
      </c>
      <c r="O74" s="47">
        <f t="shared" si="30"/>
        <v>61</v>
      </c>
      <c r="P74" s="62">
        <f t="shared" si="31"/>
        <v>0.27868852459016391</v>
      </c>
      <c r="Q74" s="47">
        <f t="shared" si="32"/>
        <v>27</v>
      </c>
      <c r="R74" s="62">
        <f t="shared" si="33"/>
        <v>0.40740740740740738</v>
      </c>
      <c r="AA74" s="26"/>
    </row>
    <row r="75" spans="1:30" x14ac:dyDescent="0.2">
      <c r="A75" s="9">
        <v>0</v>
      </c>
      <c r="B75" s="9">
        <v>19</v>
      </c>
      <c r="C75" s="9">
        <v>25</v>
      </c>
      <c r="D75" s="9">
        <v>0</v>
      </c>
      <c r="E75" s="9">
        <v>2.8</v>
      </c>
      <c r="F75" s="7" t="s">
        <v>49</v>
      </c>
      <c r="G75" s="27">
        <f t="shared" si="34"/>
        <v>-6.6841643207650474</v>
      </c>
      <c r="H75" s="27">
        <f t="shared" si="37"/>
        <v>1.2489974382886074E-3</v>
      </c>
      <c r="I75" s="48">
        <f t="shared" si="38"/>
        <v>307</v>
      </c>
      <c r="J75" s="47">
        <f t="shared" si="39"/>
        <v>0</v>
      </c>
      <c r="L75" s="48">
        <f t="shared" si="35"/>
        <v>472</v>
      </c>
      <c r="M75" s="48">
        <f t="shared" si="36"/>
        <v>486</v>
      </c>
      <c r="N75" s="48" t="str">
        <f t="shared" si="29"/>
        <v>472-486</v>
      </c>
      <c r="O75" s="47">
        <f t="shared" si="30"/>
        <v>53</v>
      </c>
      <c r="P75" s="62">
        <f t="shared" si="31"/>
        <v>0.45283018867924529</v>
      </c>
      <c r="Q75" s="47">
        <f t="shared" si="32"/>
        <v>27</v>
      </c>
      <c r="R75" s="62">
        <f t="shared" si="33"/>
        <v>0.62962962962962965</v>
      </c>
    </row>
    <row r="76" spans="1:30" x14ac:dyDescent="0.2">
      <c r="A76" s="9">
        <v>0</v>
      </c>
      <c r="B76" s="9">
        <v>6</v>
      </c>
      <c r="C76" s="9">
        <v>0</v>
      </c>
      <c r="D76" s="9">
        <v>41</v>
      </c>
      <c r="E76" s="9">
        <v>8.9</v>
      </c>
      <c r="F76" s="7" t="s">
        <v>49</v>
      </c>
      <c r="G76" s="27">
        <f t="shared" si="34"/>
        <v>-0.80067104002709355</v>
      </c>
      <c r="H76" s="27">
        <f t="shared" si="37"/>
        <v>0.30988199520569076</v>
      </c>
      <c r="I76" s="48">
        <f t="shared" si="38"/>
        <v>466</v>
      </c>
      <c r="J76" s="47">
        <f t="shared" si="39"/>
        <v>1</v>
      </c>
      <c r="L76" s="48">
        <f t="shared" si="35"/>
        <v>487</v>
      </c>
      <c r="M76" s="48">
        <f>MAX(I53:I552)</f>
        <v>499</v>
      </c>
      <c r="N76" s="48" t="str">
        <f t="shared" si="29"/>
        <v>487-499</v>
      </c>
      <c r="O76" s="47">
        <f t="shared" si="30"/>
        <v>22</v>
      </c>
      <c r="P76" s="62">
        <f t="shared" si="31"/>
        <v>0.77272727272727271</v>
      </c>
      <c r="Q76" s="47">
        <f t="shared" si="32"/>
        <v>15</v>
      </c>
      <c r="R76" s="62">
        <f t="shared" si="33"/>
        <v>0.6</v>
      </c>
    </row>
    <row r="77" spans="1:30" x14ac:dyDescent="0.2">
      <c r="A77" s="9">
        <v>1</v>
      </c>
      <c r="B77" s="9">
        <v>2</v>
      </c>
      <c r="C77" s="9">
        <v>12</v>
      </c>
      <c r="D77" s="9">
        <v>46</v>
      </c>
      <c r="E77" s="9">
        <v>16</v>
      </c>
      <c r="F77" s="7" t="s">
        <v>49</v>
      </c>
      <c r="G77" s="27">
        <f t="shared" si="34"/>
        <v>0.22876045145495416</v>
      </c>
      <c r="H77" s="27">
        <f t="shared" si="37"/>
        <v>0.5569420081914771</v>
      </c>
      <c r="I77" s="48">
        <f t="shared" si="38"/>
        <v>483</v>
      </c>
      <c r="J77" s="47">
        <f t="shared" si="39"/>
        <v>1</v>
      </c>
      <c r="N77" s="47" t="s">
        <v>100</v>
      </c>
      <c r="O77" s="47">
        <f>+SUM(O64:O76)</f>
        <v>349</v>
      </c>
      <c r="Q77" s="47">
        <f>+SUM(Q64:Q76)</f>
        <v>150</v>
      </c>
      <c r="AA77" s="25"/>
      <c r="AB77" s="2"/>
      <c r="AC77" s="2"/>
    </row>
    <row r="78" spans="1:30" x14ac:dyDescent="0.2">
      <c r="A78" s="9">
        <v>0</v>
      </c>
      <c r="B78" s="9">
        <v>4</v>
      </c>
      <c r="C78" s="9">
        <v>4</v>
      </c>
      <c r="D78" s="9">
        <v>21</v>
      </c>
      <c r="E78" s="9">
        <v>18.3</v>
      </c>
      <c r="F78" s="7" t="s">
        <v>49</v>
      </c>
      <c r="G78" s="27">
        <f t="shared" si="34"/>
        <v>0.36994290658277951</v>
      </c>
      <c r="H78" s="27">
        <f t="shared" si="37"/>
        <v>0.59144518257830192</v>
      </c>
      <c r="I78" s="48">
        <f t="shared" si="38"/>
        <v>485</v>
      </c>
      <c r="J78" s="47">
        <f t="shared" si="39"/>
        <v>1</v>
      </c>
      <c r="AA78" s="25"/>
      <c r="AB78" s="1"/>
      <c r="AC78" s="1"/>
    </row>
    <row r="79" spans="1:30" x14ac:dyDescent="0.2">
      <c r="A79" s="9">
        <v>0</v>
      </c>
      <c r="B79" s="9">
        <v>8</v>
      </c>
      <c r="C79" s="9">
        <v>4</v>
      </c>
      <c r="D79" s="9">
        <v>56</v>
      </c>
      <c r="E79" s="9">
        <v>6.4</v>
      </c>
      <c r="F79" s="7" t="s">
        <v>49</v>
      </c>
      <c r="G79" s="27">
        <f t="shared" si="34"/>
        <v>-1.5630272647199503</v>
      </c>
      <c r="H79" s="27">
        <f t="shared" si="37"/>
        <v>0.17321268331154704</v>
      </c>
      <c r="I79" s="48">
        <f t="shared" si="38"/>
        <v>449</v>
      </c>
      <c r="J79" s="47">
        <f t="shared" si="39"/>
        <v>0</v>
      </c>
      <c r="AA79" s="1"/>
      <c r="AB79" s="1"/>
      <c r="AC79" s="1"/>
    </row>
    <row r="80" spans="1:30" x14ac:dyDescent="0.2">
      <c r="A80" s="9">
        <v>1</v>
      </c>
      <c r="B80" s="9">
        <v>2</v>
      </c>
      <c r="C80" s="9">
        <v>15</v>
      </c>
      <c r="D80" s="9">
        <v>22</v>
      </c>
      <c r="E80" s="9">
        <v>23.1</v>
      </c>
      <c r="F80" s="7" t="s">
        <v>49</v>
      </c>
      <c r="G80" s="27">
        <f t="shared" si="34"/>
        <v>0.68245321827384542</v>
      </c>
      <c r="H80" s="27">
        <f t="shared" si="37"/>
        <v>0.66428601018242339</v>
      </c>
      <c r="I80" s="48">
        <f t="shared" si="38"/>
        <v>488</v>
      </c>
      <c r="J80" s="47">
        <f t="shared" si="39"/>
        <v>1</v>
      </c>
      <c r="AA80" s="1"/>
      <c r="AB80" s="1"/>
      <c r="AC80" s="1"/>
    </row>
    <row r="81" spans="1:27" x14ac:dyDescent="0.2">
      <c r="A81" s="9">
        <v>0</v>
      </c>
      <c r="B81" s="9">
        <v>18</v>
      </c>
      <c r="C81" s="9">
        <v>10</v>
      </c>
      <c r="D81" s="9">
        <v>34</v>
      </c>
      <c r="E81" s="9">
        <v>15.4</v>
      </c>
      <c r="F81" s="7" t="s">
        <v>49</v>
      </c>
      <c r="G81" s="27">
        <f t="shared" si="34"/>
        <v>-2.7388258250451982</v>
      </c>
      <c r="H81" s="27">
        <f t="shared" si="37"/>
        <v>6.0720836463364833E-2</v>
      </c>
      <c r="I81" s="48">
        <f t="shared" si="38"/>
        <v>419</v>
      </c>
      <c r="J81" s="47">
        <f t="shared" si="39"/>
        <v>0</v>
      </c>
      <c r="L81" s="90"/>
      <c r="M81" s="90"/>
      <c r="N81" s="90"/>
      <c r="O81" s="103" t="s">
        <v>49</v>
      </c>
      <c r="P81" s="104"/>
      <c r="Q81" s="103" t="s">
        <v>50</v>
      </c>
      <c r="R81" s="104"/>
      <c r="AA81" s="1"/>
    </row>
    <row r="82" spans="1:27" x14ac:dyDescent="0.2">
      <c r="A82" s="9">
        <v>0</v>
      </c>
      <c r="B82" s="9">
        <v>16</v>
      </c>
      <c r="C82" s="9">
        <v>10</v>
      </c>
      <c r="D82" s="9">
        <v>83</v>
      </c>
      <c r="E82" s="9">
        <v>4.0999999999999996</v>
      </c>
      <c r="F82" s="7" t="s">
        <v>49</v>
      </c>
      <c r="G82" s="27">
        <f t="shared" si="34"/>
        <v>-3.2634763097980954</v>
      </c>
      <c r="H82" s="27">
        <f t="shared" si="37"/>
        <v>3.6845643044199627E-2</v>
      </c>
      <c r="I82" s="48">
        <f t="shared" si="38"/>
        <v>405</v>
      </c>
      <c r="J82" s="47">
        <f t="shared" si="39"/>
        <v>0</v>
      </c>
      <c r="L82" s="59" t="s">
        <v>102</v>
      </c>
      <c r="M82" s="55" t="s">
        <v>103</v>
      </c>
      <c r="N82" s="55" t="s">
        <v>104</v>
      </c>
      <c r="O82" s="55" t="s">
        <v>134</v>
      </c>
      <c r="P82" s="55" t="s">
        <v>135</v>
      </c>
      <c r="Q82" s="55" t="s">
        <v>134</v>
      </c>
      <c r="R82" s="55" t="s">
        <v>135</v>
      </c>
      <c r="AA82" s="26"/>
    </row>
    <row r="83" spans="1:27" x14ac:dyDescent="0.2">
      <c r="A83" s="9">
        <v>1</v>
      </c>
      <c r="B83" s="9">
        <v>2</v>
      </c>
      <c r="C83" s="9">
        <v>0</v>
      </c>
      <c r="D83" s="9">
        <v>28</v>
      </c>
      <c r="E83" s="9">
        <v>17.3</v>
      </c>
      <c r="F83" s="7" t="s">
        <v>49</v>
      </c>
      <c r="G83" s="27">
        <f t="shared" si="34"/>
        <v>0.9907139918000194</v>
      </c>
      <c r="H83" s="27">
        <f t="shared" si="37"/>
        <v>0.7292289260289494</v>
      </c>
      <c r="I83" s="48">
        <f t="shared" si="38"/>
        <v>491</v>
      </c>
      <c r="J83" s="47">
        <f t="shared" si="39"/>
        <v>1</v>
      </c>
      <c r="L83" s="48">
        <f>MIN(I72:I571)</f>
        <v>307</v>
      </c>
      <c r="M83" s="48">
        <v>396</v>
      </c>
      <c r="N83" s="48" t="str">
        <f t="shared" ref="N83:N88" si="40">_xlfn.CONCAT(L83,"-",M83)</f>
        <v>307-396</v>
      </c>
      <c r="O83" s="47">
        <f t="shared" ref="O83:O88" si="41">COUNTIFS($I$2:$I$501,"&gt;="&amp;L83,$I$2:$I$501,"&lt;="&amp;M83,$F$2:$F$501,"="&amp;$O$62)</f>
        <v>45</v>
      </c>
      <c r="P83" s="62">
        <f t="shared" ref="P83:P88" si="42">IFERROR(AVERAGEIFS($A$2:$A$501,$I$2:$I$501,"&gt;="&amp;L83,$I$2:$I$501,"&lt;="&amp;M83,$F$2:$F$501,"="&amp;$O$62),0%)</f>
        <v>4.4444444444444446E-2</v>
      </c>
      <c r="Q83" s="47">
        <f t="shared" ref="Q83:Q88" si="43">COUNTIFS($I$2:$I$501,"&gt;="&amp;L83,$I$2:$I$501,"&lt;="&amp;M83,$F$2:$F$501,"="&amp;$Q$62)</f>
        <v>12</v>
      </c>
      <c r="R83" s="62">
        <f t="shared" ref="R83:R88" si="44">IFERROR(AVERAGEIFS($A$2:$A$501,$I$2:$I$501,"&gt;="&amp;L83,$I$2:$I$501,"&lt;="&amp;M83,$F$2:$F$501,"="&amp;$Q$62),0%)</f>
        <v>0.16666666666666666</v>
      </c>
      <c r="AA83" s="26"/>
    </row>
    <row r="84" spans="1:27" x14ac:dyDescent="0.2">
      <c r="A84" s="9">
        <v>0</v>
      </c>
      <c r="B84" s="9">
        <v>3</v>
      </c>
      <c r="C84" s="9">
        <v>4</v>
      </c>
      <c r="D84" s="9">
        <v>35</v>
      </c>
      <c r="E84" s="9">
        <v>13.3</v>
      </c>
      <c r="F84" s="7" t="s">
        <v>49</v>
      </c>
      <c r="G84" s="27">
        <f t="shared" si="34"/>
        <v>1.2548479730092099E-2</v>
      </c>
      <c r="H84" s="27">
        <f t="shared" si="37"/>
        <v>0.50313707876779368</v>
      </c>
      <c r="I84" s="48">
        <f t="shared" si="38"/>
        <v>480</v>
      </c>
      <c r="J84" s="47">
        <f t="shared" si="39"/>
        <v>1</v>
      </c>
      <c r="L84" s="48">
        <v>397</v>
      </c>
      <c r="M84" s="48">
        <v>441</v>
      </c>
      <c r="N84" s="48" t="str">
        <f t="shared" si="40"/>
        <v>397-441</v>
      </c>
      <c r="O84" s="47">
        <f t="shared" si="41"/>
        <v>101</v>
      </c>
      <c r="P84" s="62">
        <f t="shared" si="42"/>
        <v>2.9702970297029702E-2</v>
      </c>
      <c r="Q84" s="47">
        <f t="shared" si="43"/>
        <v>46</v>
      </c>
      <c r="R84" s="62">
        <f t="shared" si="44"/>
        <v>0.13043478260869565</v>
      </c>
      <c r="AA84" s="26"/>
    </row>
    <row r="85" spans="1:27" x14ac:dyDescent="0.2">
      <c r="A85" s="9">
        <v>0</v>
      </c>
      <c r="B85" s="9">
        <v>13</v>
      </c>
      <c r="C85" s="9">
        <v>11</v>
      </c>
      <c r="D85" s="9">
        <v>51</v>
      </c>
      <c r="E85" s="9">
        <v>9.6</v>
      </c>
      <c r="F85" s="7" t="s">
        <v>49</v>
      </c>
      <c r="G85" s="27">
        <f t="shared" si="34"/>
        <v>-2.5430436739170501</v>
      </c>
      <c r="H85" s="27">
        <f t="shared" si="37"/>
        <v>7.2895209792022506E-2</v>
      </c>
      <c r="I85" s="48">
        <f t="shared" si="38"/>
        <v>424</v>
      </c>
      <c r="J85" s="47">
        <f t="shared" si="39"/>
        <v>0</v>
      </c>
      <c r="L85" s="48">
        <v>442</v>
      </c>
      <c r="M85" s="48">
        <v>456</v>
      </c>
      <c r="N85" s="48" t="str">
        <f t="shared" si="40"/>
        <v>442-456</v>
      </c>
      <c r="O85" s="47">
        <f t="shared" si="41"/>
        <v>67</v>
      </c>
      <c r="P85" s="62">
        <f t="shared" si="42"/>
        <v>0.23880597014925373</v>
      </c>
      <c r="Q85" s="47">
        <f t="shared" si="43"/>
        <v>23</v>
      </c>
      <c r="R85" s="62">
        <f t="shared" si="44"/>
        <v>0.21739130434782608</v>
      </c>
    </row>
    <row r="86" spans="1:27" x14ac:dyDescent="0.2">
      <c r="A86" s="9">
        <v>0</v>
      </c>
      <c r="B86" s="9">
        <v>22</v>
      </c>
      <c r="C86" s="9">
        <v>19</v>
      </c>
      <c r="D86" s="9">
        <v>81</v>
      </c>
      <c r="E86" s="9">
        <v>5.5</v>
      </c>
      <c r="F86" s="7" t="s">
        <v>49</v>
      </c>
      <c r="G86" s="27">
        <f t="shared" si="34"/>
        <v>-4.7974756198093793</v>
      </c>
      <c r="H86" s="27">
        <f t="shared" si="37"/>
        <v>8.1830337879981487E-3</v>
      </c>
      <c r="I86" s="48">
        <f t="shared" si="38"/>
        <v>361</v>
      </c>
      <c r="J86" s="47">
        <f t="shared" si="39"/>
        <v>0</v>
      </c>
      <c r="L86" s="48">
        <f t="shared" ref="L86:L88" si="45">M85+1</f>
        <v>457</v>
      </c>
      <c r="M86" s="48">
        <f t="shared" ref="M86:M87" si="46">L86+14</f>
        <v>471</v>
      </c>
      <c r="N86" s="48" t="str">
        <f t="shared" si="40"/>
        <v>457-471</v>
      </c>
      <c r="O86" s="47">
        <f t="shared" si="41"/>
        <v>61</v>
      </c>
      <c r="P86" s="62">
        <f t="shared" si="42"/>
        <v>0.27868852459016391</v>
      </c>
      <c r="Q86" s="47">
        <f t="shared" si="43"/>
        <v>27</v>
      </c>
      <c r="R86" s="62">
        <f t="shared" si="44"/>
        <v>0.40740740740740738</v>
      </c>
    </row>
    <row r="87" spans="1:27" x14ac:dyDescent="0.2">
      <c r="A87" s="9">
        <v>1</v>
      </c>
      <c r="B87" s="9">
        <v>7</v>
      </c>
      <c r="C87" s="9">
        <v>5</v>
      </c>
      <c r="D87" s="9">
        <v>20</v>
      </c>
      <c r="E87" s="9">
        <v>19.8</v>
      </c>
      <c r="F87" s="7" t="s">
        <v>49</v>
      </c>
      <c r="G87" s="27">
        <f t="shared" si="34"/>
        <v>-8.4119656197614301E-3</v>
      </c>
      <c r="H87" s="27">
        <f t="shared" si="37"/>
        <v>0.49789702099581545</v>
      </c>
      <c r="I87" s="48">
        <f t="shared" si="38"/>
        <v>480</v>
      </c>
      <c r="J87" s="47">
        <f t="shared" si="39"/>
        <v>1</v>
      </c>
      <c r="L87" s="48">
        <f t="shared" si="45"/>
        <v>472</v>
      </c>
      <c r="M87" s="48">
        <f t="shared" si="46"/>
        <v>486</v>
      </c>
      <c r="N87" s="48" t="str">
        <f t="shared" si="40"/>
        <v>472-486</v>
      </c>
      <c r="O87" s="47">
        <f t="shared" si="41"/>
        <v>53</v>
      </c>
      <c r="P87" s="62">
        <f t="shared" si="42"/>
        <v>0.45283018867924529</v>
      </c>
      <c r="Q87" s="47">
        <f t="shared" si="43"/>
        <v>27</v>
      </c>
      <c r="R87" s="62">
        <f t="shared" si="44"/>
        <v>0.62962962962962965</v>
      </c>
    </row>
    <row r="88" spans="1:27" x14ac:dyDescent="0.2">
      <c r="A88" s="9">
        <v>0</v>
      </c>
      <c r="B88" s="9">
        <v>17</v>
      </c>
      <c r="C88" s="9">
        <v>3</v>
      </c>
      <c r="D88" s="9">
        <v>59</v>
      </c>
      <c r="E88" s="9">
        <v>8</v>
      </c>
      <c r="F88" s="7" t="s">
        <v>49</v>
      </c>
      <c r="G88" s="27">
        <f t="shared" si="34"/>
        <v>-2.748336777262689</v>
      </c>
      <c r="H88" s="27">
        <f t="shared" si="37"/>
        <v>6.0180651504868211E-2</v>
      </c>
      <c r="I88" s="48">
        <f t="shared" si="38"/>
        <v>419</v>
      </c>
      <c r="J88" s="47">
        <f t="shared" si="39"/>
        <v>0</v>
      </c>
      <c r="L88" s="48">
        <f t="shared" si="45"/>
        <v>487</v>
      </c>
      <c r="M88" s="48">
        <f>MAX(I66:I565)</f>
        <v>499</v>
      </c>
      <c r="N88" s="48" t="str">
        <f t="shared" si="40"/>
        <v>487-499</v>
      </c>
      <c r="O88" s="47">
        <f t="shared" si="41"/>
        <v>22</v>
      </c>
      <c r="P88" s="62">
        <f t="shared" si="42"/>
        <v>0.77272727272727271</v>
      </c>
      <c r="Q88" s="47">
        <f t="shared" si="43"/>
        <v>15</v>
      </c>
      <c r="R88" s="62">
        <f t="shared" si="44"/>
        <v>0.6</v>
      </c>
    </row>
    <row r="89" spans="1:27" x14ac:dyDescent="0.2">
      <c r="A89" s="9">
        <v>0</v>
      </c>
      <c r="B89" s="9">
        <v>6</v>
      </c>
      <c r="C89" s="9">
        <v>9</v>
      </c>
      <c r="D89" s="9">
        <v>61</v>
      </c>
      <c r="E89" s="9">
        <v>5.7</v>
      </c>
      <c r="F89" s="7" t="s">
        <v>49</v>
      </c>
      <c r="G89" s="27">
        <f t="shared" si="34"/>
        <v>-1.6037797694503508</v>
      </c>
      <c r="H89" s="27">
        <f t="shared" si="37"/>
        <v>0.16745400271164193</v>
      </c>
      <c r="I89" s="48">
        <f t="shared" si="38"/>
        <v>448</v>
      </c>
      <c r="J89" s="47">
        <f t="shared" si="39"/>
        <v>0</v>
      </c>
    </row>
    <row r="90" spans="1:27" x14ac:dyDescent="0.2">
      <c r="A90" s="9">
        <v>0</v>
      </c>
      <c r="B90" s="9">
        <v>18</v>
      </c>
      <c r="C90" s="9">
        <v>2</v>
      </c>
      <c r="D90" s="9">
        <v>42</v>
      </c>
      <c r="E90" s="9">
        <v>7.4</v>
      </c>
      <c r="F90" s="7" t="s">
        <v>49</v>
      </c>
      <c r="G90" s="27">
        <f t="shared" si="34"/>
        <v>-3.2656432425653499</v>
      </c>
      <c r="H90" s="27">
        <f t="shared" si="37"/>
        <v>3.6768819975503117E-2</v>
      </c>
      <c r="I90" s="48">
        <f t="shared" si="38"/>
        <v>405</v>
      </c>
      <c r="J90" s="47">
        <f t="shared" si="39"/>
        <v>0</v>
      </c>
    </row>
    <row r="91" spans="1:27" x14ac:dyDescent="0.2">
      <c r="A91" s="9">
        <v>0</v>
      </c>
      <c r="B91" s="9">
        <v>7</v>
      </c>
      <c r="C91" s="9">
        <v>1</v>
      </c>
      <c r="D91" s="9">
        <v>63</v>
      </c>
      <c r="E91" s="9">
        <v>5.5</v>
      </c>
      <c r="F91" s="7" t="s">
        <v>49</v>
      </c>
      <c r="G91" s="27">
        <f t="shared" si="34"/>
        <v>-1.175561568361585</v>
      </c>
      <c r="H91" s="27">
        <f t="shared" si="37"/>
        <v>0.23585117630788241</v>
      </c>
      <c r="I91" s="48">
        <f t="shared" si="38"/>
        <v>458</v>
      </c>
      <c r="J91" s="47">
        <f t="shared" si="39"/>
        <v>1</v>
      </c>
    </row>
    <row r="92" spans="1:27" x14ac:dyDescent="0.2">
      <c r="A92" s="9">
        <v>1</v>
      </c>
      <c r="B92" s="9">
        <v>0</v>
      </c>
      <c r="C92" s="9">
        <v>2</v>
      </c>
      <c r="D92" s="9">
        <v>18</v>
      </c>
      <c r="E92" s="9">
        <v>18.899999999999999</v>
      </c>
      <c r="F92" s="7" t="s">
        <v>49</v>
      </c>
      <c r="G92" s="27">
        <f t="shared" si="34"/>
        <v>1.2565642057391955</v>
      </c>
      <c r="H92" s="27">
        <f t="shared" si="37"/>
        <v>0.77843408795815572</v>
      </c>
      <c r="I92" s="48">
        <f t="shared" si="38"/>
        <v>493</v>
      </c>
      <c r="J92" s="47">
        <f t="shared" si="39"/>
        <v>1</v>
      </c>
    </row>
    <row r="93" spans="1:27" x14ac:dyDescent="0.2">
      <c r="A93" s="9">
        <v>0</v>
      </c>
      <c r="B93" s="9">
        <v>8</v>
      </c>
      <c r="C93" s="9">
        <v>4</v>
      </c>
      <c r="D93" s="9">
        <v>27</v>
      </c>
      <c r="E93" s="9">
        <v>14.4</v>
      </c>
      <c r="F93" s="7" t="s">
        <v>49</v>
      </c>
      <c r="G93" s="27">
        <f t="shared" si="34"/>
        <v>-0.83666084688849085</v>
      </c>
      <c r="H93" s="27">
        <f t="shared" si="37"/>
        <v>0.30223851394880213</v>
      </c>
      <c r="I93" s="48">
        <f t="shared" si="38"/>
        <v>465</v>
      </c>
      <c r="J93" s="47">
        <f t="shared" si="39"/>
        <v>1</v>
      </c>
    </row>
    <row r="94" spans="1:27" x14ac:dyDescent="0.2">
      <c r="A94" s="9">
        <v>0</v>
      </c>
      <c r="B94" s="9">
        <v>1</v>
      </c>
      <c r="C94" s="9">
        <v>3</v>
      </c>
      <c r="D94" s="9">
        <v>26</v>
      </c>
      <c r="E94" s="9">
        <v>12.4</v>
      </c>
      <c r="F94" s="7" t="s">
        <v>49</v>
      </c>
      <c r="G94" s="27">
        <f t="shared" si="34"/>
        <v>0.12269240881785937</v>
      </c>
      <c r="H94" s="27">
        <f t="shared" si="37"/>
        <v>0.5306346820963197</v>
      </c>
      <c r="I94" s="48">
        <f t="shared" si="38"/>
        <v>482</v>
      </c>
      <c r="J94" s="47">
        <f t="shared" si="39"/>
        <v>1</v>
      </c>
    </row>
    <row r="95" spans="1:27" x14ac:dyDescent="0.2">
      <c r="A95" s="9">
        <v>1</v>
      </c>
      <c r="B95" s="9">
        <v>1</v>
      </c>
      <c r="C95" s="9">
        <v>8</v>
      </c>
      <c r="D95" s="9">
        <v>24</v>
      </c>
      <c r="E95" s="9">
        <v>17.100000000000001</v>
      </c>
      <c r="F95" s="7" t="s">
        <v>49</v>
      </c>
      <c r="G95" s="27">
        <f t="shared" si="34"/>
        <v>0.46090062893662243</v>
      </c>
      <c r="H95" s="27">
        <f t="shared" si="37"/>
        <v>0.6132278085982048</v>
      </c>
      <c r="I95" s="48">
        <f t="shared" si="38"/>
        <v>486</v>
      </c>
      <c r="J95" s="47">
        <f t="shared" si="39"/>
        <v>1</v>
      </c>
    </row>
    <row r="96" spans="1:27" x14ac:dyDescent="0.2">
      <c r="A96" s="9">
        <v>0</v>
      </c>
      <c r="B96" s="9">
        <v>3</v>
      </c>
      <c r="C96" s="9">
        <v>5</v>
      </c>
      <c r="D96" s="9">
        <v>33</v>
      </c>
      <c r="E96" s="9">
        <v>13.2</v>
      </c>
      <c r="F96" s="7" t="s">
        <v>49</v>
      </c>
      <c r="G96" s="27">
        <f t="shared" si="34"/>
        <v>-0.11584233246048381</v>
      </c>
      <c r="H96" s="27">
        <f t="shared" si="37"/>
        <v>0.47107175973167614</v>
      </c>
      <c r="I96" s="48">
        <f t="shared" si="38"/>
        <v>478</v>
      </c>
      <c r="J96" s="47">
        <f t="shared" si="39"/>
        <v>1</v>
      </c>
    </row>
    <row r="97" spans="1:10" x14ac:dyDescent="0.2">
      <c r="A97" s="9">
        <v>0</v>
      </c>
      <c r="B97" s="9">
        <v>4</v>
      </c>
      <c r="C97" s="9">
        <v>1</v>
      </c>
      <c r="D97" s="9">
        <v>16</v>
      </c>
      <c r="E97" s="9">
        <v>23.8</v>
      </c>
      <c r="F97" s="7" t="s">
        <v>49</v>
      </c>
      <c r="G97" s="27">
        <f t="shared" si="34"/>
        <v>1.375781978783218</v>
      </c>
      <c r="H97" s="27">
        <f t="shared" si="37"/>
        <v>0.79831271314327046</v>
      </c>
      <c r="I97" s="48">
        <f t="shared" si="38"/>
        <v>494</v>
      </c>
      <c r="J97" s="47">
        <f t="shared" si="39"/>
        <v>1</v>
      </c>
    </row>
    <row r="98" spans="1:10" x14ac:dyDescent="0.2">
      <c r="A98" s="9">
        <v>0</v>
      </c>
      <c r="B98" s="9">
        <v>13</v>
      </c>
      <c r="C98" s="9">
        <v>2</v>
      </c>
      <c r="D98" s="9">
        <v>40</v>
      </c>
      <c r="E98" s="9">
        <v>7.2</v>
      </c>
      <c r="F98" s="7" t="s">
        <v>49</v>
      </c>
      <c r="G98" s="27">
        <f t="shared" si="34"/>
        <v>-2.4621967418971353</v>
      </c>
      <c r="H98" s="27">
        <f t="shared" si="37"/>
        <v>7.8551187739118553E-2</v>
      </c>
      <c r="I98" s="48">
        <f t="shared" si="38"/>
        <v>427</v>
      </c>
      <c r="J98" s="47">
        <f t="shared" si="39"/>
        <v>0</v>
      </c>
    </row>
    <row r="99" spans="1:10" x14ac:dyDescent="0.2">
      <c r="A99" s="9">
        <v>0</v>
      </c>
      <c r="B99" s="9">
        <v>6</v>
      </c>
      <c r="C99" s="9">
        <v>7</v>
      </c>
      <c r="D99" s="9">
        <v>21</v>
      </c>
      <c r="E99" s="9">
        <v>18.100000000000001</v>
      </c>
      <c r="F99" s="7" t="s">
        <v>49</v>
      </c>
      <c r="G99" s="27">
        <f t="shared" si="34"/>
        <v>-0.23503217260124143</v>
      </c>
      <c r="H99" s="27">
        <f t="shared" si="37"/>
        <v>0.44151095445805461</v>
      </c>
      <c r="I99" s="48">
        <f t="shared" si="38"/>
        <v>476</v>
      </c>
      <c r="J99" s="47">
        <f t="shared" si="39"/>
        <v>1</v>
      </c>
    </row>
    <row r="100" spans="1:10" x14ac:dyDescent="0.2">
      <c r="A100" s="9">
        <v>0</v>
      </c>
      <c r="B100" s="9">
        <v>14</v>
      </c>
      <c r="C100" s="9">
        <v>7</v>
      </c>
      <c r="D100" s="9">
        <v>73</v>
      </c>
      <c r="E100" s="9">
        <v>8.8000000000000007</v>
      </c>
      <c r="F100" s="7" t="s">
        <v>49</v>
      </c>
      <c r="G100" s="27">
        <f t="shared" si="34"/>
        <v>-2.1304824225913261</v>
      </c>
      <c r="H100" s="27">
        <f t="shared" si="37"/>
        <v>0.10616920237367621</v>
      </c>
      <c r="I100" s="48">
        <f t="shared" si="38"/>
        <v>435</v>
      </c>
      <c r="J100" s="47">
        <f t="shared" si="39"/>
        <v>0</v>
      </c>
    </row>
    <row r="101" spans="1:10" x14ac:dyDescent="0.2">
      <c r="A101" s="9">
        <v>1</v>
      </c>
      <c r="B101" s="9">
        <v>9</v>
      </c>
      <c r="C101" s="9">
        <v>4</v>
      </c>
      <c r="D101" s="9">
        <v>29</v>
      </c>
      <c r="E101" s="9">
        <v>13.8</v>
      </c>
      <c r="F101" s="7" t="s">
        <v>49</v>
      </c>
      <c r="G101" s="27">
        <f t="shared" si="34"/>
        <v>-1.069082453328593</v>
      </c>
      <c r="H101" s="27">
        <f t="shared" si="37"/>
        <v>0.25557761533575424</v>
      </c>
      <c r="I101" s="48">
        <f t="shared" si="38"/>
        <v>461</v>
      </c>
      <c r="J101" s="47">
        <f t="shared" si="39"/>
        <v>1</v>
      </c>
    </row>
    <row r="102" spans="1:10" x14ac:dyDescent="0.2">
      <c r="A102" s="9">
        <v>1</v>
      </c>
      <c r="B102" s="9">
        <v>3</v>
      </c>
      <c r="C102" s="9">
        <v>11</v>
      </c>
      <c r="D102" s="9">
        <v>40</v>
      </c>
      <c r="E102" s="9">
        <v>8</v>
      </c>
      <c r="F102" s="7" t="s">
        <v>49</v>
      </c>
      <c r="G102" s="27">
        <f t="shared" si="34"/>
        <v>-1.2598569813488791</v>
      </c>
      <c r="H102" s="27">
        <f t="shared" si="37"/>
        <v>0.22099851306700879</v>
      </c>
      <c r="I102" s="48">
        <f t="shared" si="38"/>
        <v>456</v>
      </c>
      <c r="J102" s="47">
        <f t="shared" si="39"/>
        <v>1</v>
      </c>
    </row>
    <row r="103" spans="1:10" x14ac:dyDescent="0.2">
      <c r="A103" s="9">
        <v>1</v>
      </c>
      <c r="B103" s="9">
        <v>1</v>
      </c>
      <c r="C103" s="9">
        <v>2</v>
      </c>
      <c r="D103" s="9">
        <v>16</v>
      </c>
      <c r="E103" s="9">
        <v>18</v>
      </c>
      <c r="F103" s="7" t="s">
        <v>49</v>
      </c>
      <c r="G103" s="27">
        <f t="shared" si="34"/>
        <v>0.90064416935720804</v>
      </c>
      <c r="H103" s="27">
        <f t="shared" si="37"/>
        <v>0.71108186163541776</v>
      </c>
      <c r="I103" s="48">
        <f t="shared" si="38"/>
        <v>490</v>
      </c>
      <c r="J103" s="47">
        <f t="shared" si="39"/>
        <v>1</v>
      </c>
    </row>
    <row r="104" spans="1:10" x14ac:dyDescent="0.2">
      <c r="A104" s="9">
        <v>1</v>
      </c>
      <c r="B104" s="9">
        <v>9</v>
      </c>
      <c r="C104" s="9">
        <v>2</v>
      </c>
      <c r="D104" s="9">
        <v>28</v>
      </c>
      <c r="E104" s="9">
        <v>14.8</v>
      </c>
      <c r="F104" s="7" t="s">
        <v>49</v>
      </c>
      <c r="G104" s="27">
        <f t="shared" si="34"/>
        <v>-0.77939791639746181</v>
      </c>
      <c r="H104" s="27">
        <f t="shared" si="37"/>
        <v>0.3144496633674978</v>
      </c>
      <c r="I104" s="48">
        <f t="shared" si="38"/>
        <v>467</v>
      </c>
      <c r="J104" s="47">
        <f t="shared" si="39"/>
        <v>1</v>
      </c>
    </row>
    <row r="105" spans="1:10" x14ac:dyDescent="0.2">
      <c r="A105" s="9">
        <v>1</v>
      </c>
      <c r="B105" s="9">
        <v>2</v>
      </c>
      <c r="C105" s="9">
        <v>11</v>
      </c>
      <c r="D105" s="9">
        <v>25</v>
      </c>
      <c r="E105" s="9">
        <v>12.6</v>
      </c>
      <c r="F105" s="7" t="s">
        <v>49</v>
      </c>
      <c r="G105" s="27">
        <f t="shared" si="34"/>
        <v>-0.63587093082650004</v>
      </c>
      <c r="H105" s="27">
        <f t="shared" si="37"/>
        <v>0.34618051659545651</v>
      </c>
      <c r="I105" s="48">
        <f t="shared" si="38"/>
        <v>469</v>
      </c>
      <c r="J105" s="47">
        <f t="shared" si="39"/>
        <v>1</v>
      </c>
    </row>
    <row r="106" spans="1:10" x14ac:dyDescent="0.2">
      <c r="A106" s="9">
        <v>0</v>
      </c>
      <c r="B106" s="9">
        <v>0</v>
      </c>
      <c r="C106" s="9">
        <v>17</v>
      </c>
      <c r="D106" s="9">
        <v>30</v>
      </c>
      <c r="E106" s="9">
        <v>9.6999999999999993</v>
      </c>
      <c r="F106" s="7" t="s">
        <v>49</v>
      </c>
      <c r="G106" s="27">
        <f t="shared" si="34"/>
        <v>-1.1018785540097311</v>
      </c>
      <c r="H106" s="27">
        <f t="shared" si="37"/>
        <v>0.24938807546944319</v>
      </c>
      <c r="I106" s="48">
        <f t="shared" si="38"/>
        <v>460</v>
      </c>
      <c r="J106" s="47">
        <f t="shared" si="39"/>
        <v>1</v>
      </c>
    </row>
    <row r="107" spans="1:10" x14ac:dyDescent="0.2">
      <c r="A107" s="9">
        <v>0</v>
      </c>
      <c r="B107" s="9">
        <v>4</v>
      </c>
      <c r="C107" s="9">
        <v>2</v>
      </c>
      <c r="D107" s="9">
        <v>26</v>
      </c>
      <c r="E107" s="9">
        <v>10.4</v>
      </c>
      <c r="F107" s="7" t="s">
        <v>49</v>
      </c>
      <c r="G107" s="27">
        <f t="shared" si="34"/>
        <v>-0.64536332203121605</v>
      </c>
      <c r="H107" s="27">
        <f t="shared" si="37"/>
        <v>0.34403516145848945</v>
      </c>
      <c r="I107" s="48">
        <f t="shared" si="38"/>
        <v>469</v>
      </c>
      <c r="J107" s="47">
        <f t="shared" si="39"/>
        <v>1</v>
      </c>
    </row>
    <row r="108" spans="1:10" x14ac:dyDescent="0.2">
      <c r="A108" s="9">
        <v>0</v>
      </c>
      <c r="B108" s="9">
        <v>6</v>
      </c>
      <c r="C108" s="9">
        <v>9</v>
      </c>
      <c r="D108" s="9">
        <v>31</v>
      </c>
      <c r="E108" s="9">
        <v>11.6</v>
      </c>
      <c r="F108" s="7" t="s">
        <v>49</v>
      </c>
      <c r="G108" s="27">
        <f t="shared" si="34"/>
        <v>-1.2310401282142409</v>
      </c>
      <c r="H108" s="27">
        <f t="shared" si="37"/>
        <v>0.22599943081586368</v>
      </c>
      <c r="I108" s="48">
        <f t="shared" si="38"/>
        <v>457</v>
      </c>
      <c r="J108" s="47">
        <f t="shared" si="39"/>
        <v>1</v>
      </c>
    </row>
    <row r="109" spans="1:10" x14ac:dyDescent="0.2">
      <c r="A109" s="9">
        <v>0</v>
      </c>
      <c r="B109" s="9">
        <v>13</v>
      </c>
      <c r="C109" s="9">
        <v>8</v>
      </c>
      <c r="D109" s="9">
        <v>56</v>
      </c>
      <c r="E109" s="9">
        <v>6.1</v>
      </c>
      <c r="F109" s="7" t="s">
        <v>49</v>
      </c>
      <c r="G109" s="27">
        <f t="shared" si="34"/>
        <v>-2.7824504522057549</v>
      </c>
      <c r="H109" s="27">
        <f t="shared" si="37"/>
        <v>5.8279920800170255E-2</v>
      </c>
      <c r="I109" s="48">
        <f t="shared" si="38"/>
        <v>418</v>
      </c>
      <c r="J109" s="47">
        <f t="shared" si="39"/>
        <v>0</v>
      </c>
    </row>
    <row r="110" spans="1:10" x14ac:dyDescent="0.2">
      <c r="A110" s="9">
        <v>1</v>
      </c>
      <c r="B110" s="9">
        <v>0</v>
      </c>
      <c r="C110" s="9">
        <v>8</v>
      </c>
      <c r="D110" s="9">
        <v>19</v>
      </c>
      <c r="E110" s="9">
        <v>16.600000000000001</v>
      </c>
      <c r="F110" s="7" t="s">
        <v>49</v>
      </c>
      <c r="G110" s="27">
        <f t="shared" si="34"/>
        <v>0.4612375991074007</v>
      </c>
      <c r="H110" s="27">
        <f t="shared" si="37"/>
        <v>0.61330772795244759</v>
      </c>
      <c r="I110" s="48">
        <f t="shared" si="38"/>
        <v>486</v>
      </c>
      <c r="J110" s="47">
        <f t="shared" si="39"/>
        <v>1</v>
      </c>
    </row>
    <row r="111" spans="1:10" x14ac:dyDescent="0.2">
      <c r="A111" s="9">
        <v>0</v>
      </c>
      <c r="B111" s="9">
        <v>5</v>
      </c>
      <c r="C111" s="9">
        <v>1</v>
      </c>
      <c r="D111" s="9">
        <v>75</v>
      </c>
      <c r="E111" s="9">
        <v>6.3</v>
      </c>
      <c r="F111" s="7" t="s">
        <v>49</v>
      </c>
      <c r="G111" s="27">
        <f t="shared" si="34"/>
        <v>-0.47173869525744672</v>
      </c>
      <c r="H111" s="27">
        <f t="shared" si="37"/>
        <v>0.38420480040566846</v>
      </c>
      <c r="I111" s="48">
        <f t="shared" si="38"/>
        <v>472</v>
      </c>
      <c r="J111" s="47">
        <f t="shared" si="39"/>
        <v>1</v>
      </c>
    </row>
    <row r="112" spans="1:10" x14ac:dyDescent="0.2">
      <c r="A112" s="9">
        <v>1</v>
      </c>
      <c r="B112" s="9">
        <v>13</v>
      </c>
      <c r="C112" s="9">
        <v>23</v>
      </c>
      <c r="D112" s="9">
        <v>76</v>
      </c>
      <c r="E112" s="9">
        <v>6.1</v>
      </c>
      <c r="F112" s="7" t="s">
        <v>49</v>
      </c>
      <c r="G112" s="27">
        <f t="shared" si="34"/>
        <v>-3.5231957820240223</v>
      </c>
      <c r="H112" s="27">
        <f t="shared" si="37"/>
        <v>2.8659397496829771E-2</v>
      </c>
      <c r="I112" s="48">
        <f t="shared" si="38"/>
        <v>398</v>
      </c>
      <c r="J112" s="47">
        <f t="shared" si="39"/>
        <v>0</v>
      </c>
    </row>
    <row r="113" spans="1:10" x14ac:dyDescent="0.2">
      <c r="A113" s="9">
        <v>0</v>
      </c>
      <c r="B113" s="9">
        <v>24</v>
      </c>
      <c r="C113" s="9">
        <v>14</v>
      </c>
      <c r="D113" s="9">
        <v>64</v>
      </c>
      <c r="E113" s="9">
        <v>10</v>
      </c>
      <c r="F113" s="7" t="s">
        <v>49</v>
      </c>
      <c r="G113" s="27">
        <f t="shared" si="34"/>
        <v>-4.3781146049952895</v>
      </c>
      <c r="H113" s="27">
        <f t="shared" si="37"/>
        <v>1.2393470531749547E-2</v>
      </c>
      <c r="I113" s="48">
        <f t="shared" si="38"/>
        <v>373</v>
      </c>
      <c r="J113" s="47">
        <f t="shared" si="39"/>
        <v>0</v>
      </c>
    </row>
    <row r="114" spans="1:10" x14ac:dyDescent="0.2">
      <c r="A114" s="9">
        <v>0</v>
      </c>
      <c r="B114" s="9">
        <v>11</v>
      </c>
      <c r="C114" s="9">
        <v>17</v>
      </c>
      <c r="D114" s="9">
        <v>39</v>
      </c>
      <c r="E114" s="9">
        <v>12.9</v>
      </c>
      <c r="F114" s="7" t="s">
        <v>49</v>
      </c>
      <c r="G114" s="27">
        <f t="shared" si="34"/>
        <v>-2.3425258149230035</v>
      </c>
      <c r="H114" s="27">
        <f t="shared" si="37"/>
        <v>8.7661696916008752E-2</v>
      </c>
      <c r="I114" s="48">
        <f t="shared" si="38"/>
        <v>430</v>
      </c>
      <c r="J114" s="47">
        <f t="shared" si="39"/>
        <v>0</v>
      </c>
    </row>
    <row r="115" spans="1:10" x14ac:dyDescent="0.2">
      <c r="A115" s="9">
        <v>0</v>
      </c>
      <c r="B115" s="9">
        <v>10</v>
      </c>
      <c r="C115" s="9">
        <v>13</v>
      </c>
      <c r="D115" s="9">
        <v>32</v>
      </c>
      <c r="E115" s="9">
        <v>11.3</v>
      </c>
      <c r="F115" s="7" t="s">
        <v>49</v>
      </c>
      <c r="G115" s="27">
        <f t="shared" si="34"/>
        <v>-2.2569095112557016</v>
      </c>
      <c r="H115" s="27">
        <f t="shared" si="37"/>
        <v>9.4755128752299009E-2</v>
      </c>
      <c r="I115" s="48">
        <f t="shared" si="38"/>
        <v>432</v>
      </c>
      <c r="J115" s="47">
        <f t="shared" si="39"/>
        <v>0</v>
      </c>
    </row>
    <row r="116" spans="1:10" x14ac:dyDescent="0.2">
      <c r="A116" s="9">
        <v>0</v>
      </c>
      <c r="B116" s="9">
        <v>4</v>
      </c>
      <c r="C116" s="9">
        <v>3</v>
      </c>
      <c r="D116" s="9">
        <v>28</v>
      </c>
      <c r="E116" s="9">
        <v>9.5</v>
      </c>
      <c r="F116" s="7" t="s">
        <v>49</v>
      </c>
      <c r="G116" s="27">
        <f t="shared" si="34"/>
        <v>-0.82557787021613649</v>
      </c>
      <c r="H116" s="27">
        <f t="shared" si="37"/>
        <v>0.30458091734291587</v>
      </c>
      <c r="I116" s="48">
        <f t="shared" si="38"/>
        <v>466</v>
      </c>
      <c r="J116" s="47">
        <f t="shared" si="39"/>
        <v>1</v>
      </c>
    </row>
    <row r="117" spans="1:10" x14ac:dyDescent="0.2">
      <c r="A117" s="9">
        <v>0</v>
      </c>
      <c r="B117" s="9">
        <v>20</v>
      </c>
      <c r="C117" s="9">
        <v>12</v>
      </c>
      <c r="D117" s="9">
        <v>39</v>
      </c>
      <c r="E117" s="9">
        <v>8.1999999999999993</v>
      </c>
      <c r="F117" s="7" t="s">
        <v>49</v>
      </c>
      <c r="G117" s="27">
        <f t="shared" si="34"/>
        <v>-4.2902725109303077</v>
      </c>
      <c r="H117" s="27">
        <f t="shared" si="37"/>
        <v>1.3516005687899669E-2</v>
      </c>
      <c r="I117" s="48">
        <f t="shared" si="38"/>
        <v>376</v>
      </c>
      <c r="J117" s="47">
        <f t="shared" si="39"/>
        <v>0</v>
      </c>
    </row>
    <row r="118" spans="1:10" x14ac:dyDescent="0.2">
      <c r="A118" s="9">
        <v>0</v>
      </c>
      <c r="B118" s="9">
        <v>4</v>
      </c>
      <c r="C118" s="9">
        <v>15</v>
      </c>
      <c r="D118" s="9">
        <v>17</v>
      </c>
      <c r="E118" s="9">
        <v>17.3</v>
      </c>
      <c r="F118" s="7" t="s">
        <v>49</v>
      </c>
      <c r="G118" s="27">
        <f t="shared" si="34"/>
        <v>-0.68584282679351238</v>
      </c>
      <c r="H118" s="27">
        <f t="shared" si="37"/>
        <v>0.33495849429196178</v>
      </c>
      <c r="I118" s="48">
        <f t="shared" si="38"/>
        <v>468</v>
      </c>
      <c r="J118" s="47">
        <f t="shared" si="39"/>
        <v>1</v>
      </c>
    </row>
    <row r="119" spans="1:10" x14ac:dyDescent="0.2">
      <c r="A119" s="9">
        <v>1</v>
      </c>
      <c r="B119" s="9">
        <v>1</v>
      </c>
      <c r="C119" s="9">
        <v>8</v>
      </c>
      <c r="D119" s="9">
        <v>24</v>
      </c>
      <c r="E119" s="9">
        <v>12.5</v>
      </c>
      <c r="F119" s="7" t="s">
        <v>49</v>
      </c>
      <c r="G119" s="27">
        <f t="shared" si="34"/>
        <v>-0.27226479225124844</v>
      </c>
      <c r="H119" s="27">
        <f t="shared" si="37"/>
        <v>0.43235117654896216</v>
      </c>
      <c r="I119" s="48">
        <f t="shared" si="38"/>
        <v>476</v>
      </c>
      <c r="J119" s="47">
        <f t="shared" si="39"/>
        <v>1</v>
      </c>
    </row>
    <row r="120" spans="1:10" x14ac:dyDescent="0.2">
      <c r="A120" s="9">
        <v>0</v>
      </c>
      <c r="B120" s="9">
        <v>9</v>
      </c>
      <c r="C120" s="9">
        <v>0</v>
      </c>
      <c r="D120" s="9">
        <v>25</v>
      </c>
      <c r="E120" s="9">
        <v>13.9</v>
      </c>
      <c r="F120" s="7" t="s">
        <v>49</v>
      </c>
      <c r="G120" s="27">
        <f t="shared" si="34"/>
        <v>-0.83038422206309348</v>
      </c>
      <c r="H120" s="27">
        <f t="shared" si="37"/>
        <v>0.30356383457107344</v>
      </c>
      <c r="I120" s="48">
        <f t="shared" si="38"/>
        <v>466</v>
      </c>
      <c r="J120" s="47">
        <f t="shared" si="39"/>
        <v>1</v>
      </c>
    </row>
    <row r="121" spans="1:10" x14ac:dyDescent="0.2">
      <c r="A121" s="9">
        <v>0</v>
      </c>
      <c r="B121" s="9">
        <v>21</v>
      </c>
      <c r="C121" s="9">
        <v>11</v>
      </c>
      <c r="D121" s="13">
        <v>117.54291069294821</v>
      </c>
      <c r="E121" s="9">
        <v>3.1</v>
      </c>
      <c r="F121" s="7" t="s">
        <v>49</v>
      </c>
      <c r="G121" s="27">
        <f t="shared" si="34"/>
        <v>-3.7170554741173838</v>
      </c>
      <c r="H121" s="27">
        <f t="shared" si="37"/>
        <v>2.3728694417274421E-2</v>
      </c>
      <c r="I121" s="48">
        <f t="shared" si="38"/>
        <v>392</v>
      </c>
      <c r="J121" s="47">
        <f t="shared" si="39"/>
        <v>0</v>
      </c>
    </row>
    <row r="122" spans="1:10" x14ac:dyDescent="0.2">
      <c r="A122" s="9">
        <v>0</v>
      </c>
      <c r="B122" s="9">
        <v>1</v>
      </c>
      <c r="C122" s="9">
        <v>3</v>
      </c>
      <c r="D122" s="9">
        <v>17</v>
      </c>
      <c r="E122" s="9">
        <v>18.600000000000001</v>
      </c>
      <c r="F122" s="7" t="s">
        <v>49</v>
      </c>
      <c r="G122" s="27">
        <f t="shared" si="34"/>
        <v>0.940584478550055</v>
      </c>
      <c r="H122" s="27">
        <f t="shared" si="37"/>
        <v>0.71921770423957054</v>
      </c>
      <c r="I122" s="48">
        <f t="shared" si="38"/>
        <v>490</v>
      </c>
      <c r="J122" s="47">
        <f t="shared" si="39"/>
        <v>1</v>
      </c>
    </row>
    <row r="123" spans="1:10" x14ac:dyDescent="0.2">
      <c r="A123" s="9">
        <v>0</v>
      </c>
      <c r="B123" s="9">
        <v>5</v>
      </c>
      <c r="C123" s="9">
        <v>3</v>
      </c>
      <c r="D123" s="9">
        <v>25</v>
      </c>
      <c r="E123" s="9">
        <v>14.1</v>
      </c>
      <c r="F123" s="7" t="s">
        <v>49</v>
      </c>
      <c r="G123" s="27">
        <f t="shared" si="34"/>
        <v>-0.32380790036133922</v>
      </c>
      <c r="H123" s="27">
        <f t="shared" si="37"/>
        <v>0.41974801470419631</v>
      </c>
      <c r="I123" s="48">
        <f t="shared" si="38"/>
        <v>475</v>
      </c>
      <c r="J123" s="47">
        <f t="shared" si="39"/>
        <v>1</v>
      </c>
    </row>
    <row r="124" spans="1:10" x14ac:dyDescent="0.2">
      <c r="A124" s="9">
        <v>0</v>
      </c>
      <c r="B124" s="9">
        <v>7</v>
      </c>
      <c r="C124" s="9">
        <v>3</v>
      </c>
      <c r="D124" s="9">
        <v>22</v>
      </c>
      <c r="E124" s="9">
        <v>14.4</v>
      </c>
      <c r="F124" s="7" t="s">
        <v>49</v>
      </c>
      <c r="G124" s="27">
        <f t="shared" si="34"/>
        <v>-0.68202119652996451</v>
      </c>
      <c r="H124" s="27">
        <f t="shared" si="37"/>
        <v>0.33581034186994529</v>
      </c>
      <c r="I124" s="48">
        <f t="shared" si="38"/>
        <v>469</v>
      </c>
      <c r="J124" s="47">
        <f t="shared" si="39"/>
        <v>1</v>
      </c>
    </row>
    <row r="125" spans="1:10" x14ac:dyDescent="0.2">
      <c r="A125" s="9">
        <v>1</v>
      </c>
      <c r="B125" s="9">
        <v>10</v>
      </c>
      <c r="C125" s="9">
        <v>0</v>
      </c>
      <c r="D125" s="9">
        <v>28</v>
      </c>
      <c r="E125" s="9">
        <v>11.2</v>
      </c>
      <c r="F125" s="7" t="s">
        <v>49</v>
      </c>
      <c r="G125" s="27">
        <f t="shared" si="34"/>
        <v>-1.3785909582098159</v>
      </c>
      <c r="H125" s="27">
        <f t="shared" si="37"/>
        <v>0.20123539337622784</v>
      </c>
      <c r="I125" s="48">
        <f t="shared" si="38"/>
        <v>454</v>
      </c>
      <c r="J125" s="47">
        <f t="shared" si="39"/>
        <v>1</v>
      </c>
    </row>
    <row r="126" spans="1:10" x14ac:dyDescent="0.2">
      <c r="A126" s="9">
        <v>0</v>
      </c>
      <c r="B126" s="9">
        <v>1</v>
      </c>
      <c r="C126" s="9">
        <v>8</v>
      </c>
      <c r="D126" s="9">
        <v>31</v>
      </c>
      <c r="E126" s="9">
        <v>8</v>
      </c>
      <c r="F126" s="7" t="s">
        <v>49</v>
      </c>
      <c r="G126" s="27">
        <f t="shared" si="34"/>
        <v>-0.85704607060709082</v>
      </c>
      <c r="H126" s="27">
        <f t="shared" si="37"/>
        <v>0.29795687539486537</v>
      </c>
      <c r="I126" s="48">
        <f t="shared" si="38"/>
        <v>465</v>
      </c>
      <c r="J126" s="47">
        <f t="shared" si="39"/>
        <v>1</v>
      </c>
    </row>
    <row r="127" spans="1:10" x14ac:dyDescent="0.2">
      <c r="A127" s="9">
        <v>0</v>
      </c>
      <c r="B127" s="9">
        <v>8</v>
      </c>
      <c r="C127" s="9">
        <v>19</v>
      </c>
      <c r="D127" s="9">
        <v>57</v>
      </c>
      <c r="E127" s="9">
        <v>5.6</v>
      </c>
      <c r="F127" s="7" t="s">
        <v>49</v>
      </c>
      <c r="G127" s="27">
        <f t="shared" si="34"/>
        <v>-2.7907752697529511</v>
      </c>
      <c r="H127" s="27">
        <f t="shared" si="37"/>
        <v>5.7824703317448607E-2</v>
      </c>
      <c r="I127" s="48">
        <f t="shared" si="38"/>
        <v>418</v>
      </c>
      <c r="J127" s="47">
        <f t="shared" si="39"/>
        <v>0</v>
      </c>
    </row>
    <row r="128" spans="1:10" x14ac:dyDescent="0.2">
      <c r="A128" s="9">
        <v>0</v>
      </c>
      <c r="B128" s="9">
        <v>10</v>
      </c>
      <c r="C128" s="9">
        <v>11</v>
      </c>
      <c r="D128" s="9">
        <v>42</v>
      </c>
      <c r="E128" s="9">
        <v>9.1</v>
      </c>
      <c r="F128" s="7" t="s">
        <v>49</v>
      </c>
      <c r="G128" s="27">
        <f t="shared" si="34"/>
        <v>-2.2691240355237725</v>
      </c>
      <c r="H128" s="27">
        <f t="shared" si="37"/>
        <v>9.3712581895948804E-2</v>
      </c>
      <c r="I128" s="48">
        <f t="shared" si="38"/>
        <v>432</v>
      </c>
      <c r="J128" s="47">
        <f t="shared" si="39"/>
        <v>0</v>
      </c>
    </row>
    <row r="129" spans="1:10" x14ac:dyDescent="0.2">
      <c r="A129" s="9">
        <v>0</v>
      </c>
      <c r="B129" s="9">
        <v>18</v>
      </c>
      <c r="C129" s="9">
        <v>9</v>
      </c>
      <c r="D129" s="9">
        <v>67</v>
      </c>
      <c r="E129" s="9">
        <v>11.2</v>
      </c>
      <c r="F129" s="7" t="s">
        <v>49</v>
      </c>
      <c r="G129" s="27">
        <f t="shared" si="34"/>
        <v>-2.7092397711027609</v>
      </c>
      <c r="H129" s="27">
        <f t="shared" si="37"/>
        <v>6.243033489728371E-2</v>
      </c>
      <c r="I129" s="48">
        <f t="shared" si="38"/>
        <v>420</v>
      </c>
      <c r="J129" s="47">
        <f t="shared" si="39"/>
        <v>0</v>
      </c>
    </row>
    <row r="130" spans="1:10" x14ac:dyDescent="0.2">
      <c r="A130" s="9">
        <v>0</v>
      </c>
      <c r="B130" s="9">
        <v>14</v>
      </c>
      <c r="C130" s="9">
        <v>25</v>
      </c>
      <c r="D130" s="9">
        <v>35</v>
      </c>
      <c r="E130" s="9">
        <v>10.199999999999999</v>
      </c>
      <c r="F130" s="7" t="s">
        <v>49</v>
      </c>
      <c r="G130" s="27">
        <f t="shared" ref="G130:G193" si="47">SUMPRODUCT($Q$3:$T$3,B130:E130)+$P$3</f>
        <v>-3.9693305698232031</v>
      </c>
      <c r="H130" s="27">
        <f t="shared" si="37"/>
        <v>1.853599959134972E-2</v>
      </c>
      <c r="I130" s="48">
        <f t="shared" si="38"/>
        <v>385</v>
      </c>
      <c r="J130" s="47">
        <f t="shared" si="39"/>
        <v>0</v>
      </c>
    </row>
    <row r="131" spans="1:10" x14ac:dyDescent="0.2">
      <c r="A131" s="9">
        <v>0</v>
      </c>
      <c r="B131" s="9">
        <v>4</v>
      </c>
      <c r="C131" s="9">
        <v>3</v>
      </c>
      <c r="D131" s="9">
        <v>14</v>
      </c>
      <c r="E131" s="9">
        <v>17.5</v>
      </c>
      <c r="F131" s="7" t="s">
        <v>49</v>
      </c>
      <c r="G131" s="27">
        <f t="shared" si="47"/>
        <v>0.18460089928079348</v>
      </c>
      <c r="H131" s="27">
        <f t="shared" ref="H131:H194" si="48">EXP(G131)/(1+EXP(G131))</f>
        <v>0.54601961290165846</v>
      </c>
      <c r="I131" s="48">
        <f t="shared" si="38"/>
        <v>483</v>
      </c>
      <c r="J131" s="47">
        <f t="shared" si="39"/>
        <v>1</v>
      </c>
    </row>
    <row r="132" spans="1:10" x14ac:dyDescent="0.2">
      <c r="A132" s="9">
        <v>0</v>
      </c>
      <c r="B132" s="9">
        <v>12</v>
      </c>
      <c r="C132" s="9">
        <v>19</v>
      </c>
      <c r="D132" s="9">
        <v>37</v>
      </c>
      <c r="E132" s="9">
        <v>9.5</v>
      </c>
      <c r="F132" s="7" t="s">
        <v>49</v>
      </c>
      <c r="G132" s="27">
        <f t="shared" si="47"/>
        <v>-3.2461268925026188</v>
      </c>
      <c r="H132" s="27">
        <f t="shared" si="48"/>
        <v>3.7466311675861952E-2</v>
      </c>
      <c r="I132" s="48">
        <f t="shared" si="38"/>
        <v>405</v>
      </c>
      <c r="J132" s="47">
        <f t="shared" si="39"/>
        <v>0</v>
      </c>
    </row>
    <row r="133" spans="1:10" x14ac:dyDescent="0.2">
      <c r="A133" s="9">
        <v>0</v>
      </c>
      <c r="B133" s="9">
        <v>15</v>
      </c>
      <c r="C133" s="9">
        <v>14</v>
      </c>
      <c r="D133" s="9">
        <v>55</v>
      </c>
      <c r="E133" s="9">
        <v>5.5</v>
      </c>
      <c r="F133" s="7" t="s">
        <v>49</v>
      </c>
      <c r="G133" s="27">
        <f t="shared" si="47"/>
        <v>-3.6939322294611552</v>
      </c>
      <c r="H133" s="27">
        <f t="shared" si="48"/>
        <v>2.4270299793316064E-2</v>
      </c>
      <c r="I133" s="48">
        <f t="shared" si="38"/>
        <v>393</v>
      </c>
      <c r="J133" s="47">
        <f t="shared" si="39"/>
        <v>0</v>
      </c>
    </row>
    <row r="134" spans="1:10" x14ac:dyDescent="0.2">
      <c r="A134" s="9">
        <v>0</v>
      </c>
      <c r="B134" s="9">
        <v>5</v>
      </c>
      <c r="C134" s="9">
        <v>5</v>
      </c>
      <c r="D134" s="9">
        <v>25</v>
      </c>
      <c r="E134" s="9">
        <v>10.199999999999999</v>
      </c>
      <c r="F134" s="7" t="s">
        <v>49</v>
      </c>
      <c r="G134" s="27">
        <f t="shared" si="47"/>
        <v>-1.0946262436596232</v>
      </c>
      <c r="H134" s="27">
        <f t="shared" si="48"/>
        <v>0.25074812796647211</v>
      </c>
      <c r="I134" s="48">
        <f t="shared" ref="I134:I197" si="49">ROUND($M$4+(($M$5/LN(2))*LN(H134)),0)</f>
        <v>460</v>
      </c>
      <c r="J134" s="47">
        <f t="shared" ref="J134:J197" si="50">IF(H134&gt;=$M$3,1,0)</f>
        <v>1</v>
      </c>
    </row>
    <row r="135" spans="1:10" x14ac:dyDescent="0.2">
      <c r="A135" s="9">
        <v>0</v>
      </c>
      <c r="B135" s="9">
        <v>0</v>
      </c>
      <c r="C135" s="9">
        <v>13</v>
      </c>
      <c r="D135" s="9">
        <v>25</v>
      </c>
      <c r="E135" s="9">
        <v>19.7</v>
      </c>
      <c r="F135" s="7" t="s">
        <v>49</v>
      </c>
      <c r="G135" s="27">
        <f t="shared" si="47"/>
        <v>0.69579834723747336</v>
      </c>
      <c r="H135" s="27">
        <f t="shared" si="48"/>
        <v>0.6672555542657731</v>
      </c>
      <c r="I135" s="48">
        <f t="shared" si="49"/>
        <v>488</v>
      </c>
      <c r="J135" s="47">
        <f t="shared" si="50"/>
        <v>1</v>
      </c>
    </row>
    <row r="136" spans="1:10" x14ac:dyDescent="0.2">
      <c r="A136" s="9">
        <v>0</v>
      </c>
      <c r="B136" s="9">
        <v>1</v>
      </c>
      <c r="C136" s="9">
        <v>6</v>
      </c>
      <c r="D136" s="9">
        <v>29</v>
      </c>
      <c r="E136" s="9">
        <v>11.1</v>
      </c>
      <c r="F136" s="7" t="s">
        <v>49</v>
      </c>
      <c r="G136" s="27">
        <f t="shared" si="47"/>
        <v>-0.25157640396933978</v>
      </c>
      <c r="H136" s="27">
        <f t="shared" si="48"/>
        <v>0.43743553047638373</v>
      </c>
      <c r="I136" s="48">
        <f t="shared" si="49"/>
        <v>476</v>
      </c>
      <c r="J136" s="47">
        <f t="shared" si="50"/>
        <v>1</v>
      </c>
    </row>
    <row r="137" spans="1:10" x14ac:dyDescent="0.2">
      <c r="A137" s="9">
        <v>1</v>
      </c>
      <c r="B137" s="9">
        <v>0</v>
      </c>
      <c r="C137" s="9">
        <v>2</v>
      </c>
      <c r="D137" s="9">
        <v>21</v>
      </c>
      <c r="E137" s="9">
        <v>12.5</v>
      </c>
      <c r="F137" s="7" t="s">
        <v>49</v>
      </c>
      <c r="G137" s="27">
        <f t="shared" si="47"/>
        <v>0.29327043789786078</v>
      </c>
      <c r="H137" s="27">
        <f t="shared" si="48"/>
        <v>0.57279660108623687</v>
      </c>
      <c r="I137" s="48">
        <f t="shared" si="49"/>
        <v>484</v>
      </c>
      <c r="J137" s="47">
        <f t="shared" si="50"/>
        <v>1</v>
      </c>
    </row>
    <row r="138" spans="1:10" x14ac:dyDescent="0.2">
      <c r="A138" s="9">
        <v>0</v>
      </c>
      <c r="B138" s="9">
        <v>10</v>
      </c>
      <c r="C138" s="9">
        <v>4</v>
      </c>
      <c r="D138" s="9">
        <v>22</v>
      </c>
      <c r="E138" s="9">
        <v>16.100000000000001</v>
      </c>
      <c r="F138" s="7" t="s">
        <v>49</v>
      </c>
      <c r="G138" s="27">
        <f t="shared" si="47"/>
        <v>-1.0095784878451894</v>
      </c>
      <c r="H138" s="27">
        <f t="shared" si="48"/>
        <v>0.26706234947036378</v>
      </c>
      <c r="I138" s="48">
        <f t="shared" si="49"/>
        <v>462</v>
      </c>
      <c r="J138" s="47">
        <f t="shared" si="50"/>
        <v>1</v>
      </c>
    </row>
    <row r="139" spans="1:10" x14ac:dyDescent="0.2">
      <c r="A139" s="9">
        <v>0</v>
      </c>
      <c r="B139" s="9">
        <v>11</v>
      </c>
      <c r="C139" s="9">
        <v>8</v>
      </c>
      <c r="D139" s="9">
        <v>25</v>
      </c>
      <c r="E139" s="9">
        <v>9.1</v>
      </c>
      <c r="F139" s="7" t="s">
        <v>49</v>
      </c>
      <c r="G139" s="27">
        <f t="shared" si="47"/>
        <v>-2.5415786553368398</v>
      </c>
      <c r="H139" s="27">
        <f t="shared" si="48"/>
        <v>7.2994279914623122E-2</v>
      </c>
      <c r="I139" s="48">
        <f t="shared" si="49"/>
        <v>424</v>
      </c>
      <c r="J139" s="47">
        <f t="shared" si="50"/>
        <v>0</v>
      </c>
    </row>
    <row r="140" spans="1:10" x14ac:dyDescent="0.2">
      <c r="A140" s="9">
        <v>1</v>
      </c>
      <c r="B140" s="9">
        <v>4</v>
      </c>
      <c r="C140" s="9">
        <v>2</v>
      </c>
      <c r="D140" s="9">
        <v>24</v>
      </c>
      <c r="E140" s="9">
        <v>15.6</v>
      </c>
      <c r="F140" s="7" t="s">
        <v>49</v>
      </c>
      <c r="G140" s="27">
        <f t="shared" si="47"/>
        <v>0.14559072459677758</v>
      </c>
      <c r="H140" s="27">
        <f t="shared" si="48"/>
        <v>0.53633352469942497</v>
      </c>
      <c r="I140" s="48">
        <f t="shared" si="49"/>
        <v>482</v>
      </c>
      <c r="J140" s="47">
        <f t="shared" si="50"/>
        <v>1</v>
      </c>
    </row>
    <row r="141" spans="1:10" x14ac:dyDescent="0.2">
      <c r="A141" s="9">
        <v>0</v>
      </c>
      <c r="B141" s="9">
        <v>3</v>
      </c>
      <c r="C141" s="9">
        <v>2</v>
      </c>
      <c r="D141" s="9">
        <v>28</v>
      </c>
      <c r="E141" s="9">
        <v>9.5</v>
      </c>
      <c r="F141" s="7" t="s">
        <v>49</v>
      </c>
      <c r="G141" s="27">
        <f t="shared" si="47"/>
        <v>-0.57633410263578666</v>
      </c>
      <c r="H141" s="27">
        <f t="shared" si="48"/>
        <v>0.35977655209891679</v>
      </c>
      <c r="I141" s="48">
        <f t="shared" si="49"/>
        <v>471</v>
      </c>
      <c r="J141" s="47">
        <f t="shared" si="50"/>
        <v>1</v>
      </c>
    </row>
    <row r="142" spans="1:10" x14ac:dyDescent="0.2">
      <c r="A142" s="9">
        <v>0</v>
      </c>
      <c r="B142" s="9">
        <v>11</v>
      </c>
      <c r="C142" s="9">
        <v>1</v>
      </c>
      <c r="D142" s="9">
        <v>33</v>
      </c>
      <c r="E142" s="9">
        <v>8.4</v>
      </c>
      <c r="F142" s="7" t="s">
        <v>49</v>
      </c>
      <c r="G142" s="27">
        <f t="shared" si="47"/>
        <v>-1.9795052127696544</v>
      </c>
      <c r="H142" s="27">
        <f t="shared" si="48"/>
        <v>0.12137159237956661</v>
      </c>
      <c r="I142" s="48">
        <f t="shared" si="49"/>
        <v>439</v>
      </c>
      <c r="J142" s="47">
        <f t="shared" si="50"/>
        <v>0</v>
      </c>
    </row>
    <row r="143" spans="1:10" x14ac:dyDescent="0.2">
      <c r="A143" s="9">
        <v>1</v>
      </c>
      <c r="B143" s="9">
        <v>0</v>
      </c>
      <c r="C143" s="9">
        <v>2</v>
      </c>
      <c r="D143" s="9">
        <v>15</v>
      </c>
      <c r="E143" s="9">
        <v>16.100000000000001</v>
      </c>
      <c r="F143" s="7" t="s">
        <v>49</v>
      </c>
      <c r="G143" s="27">
        <f t="shared" si="47"/>
        <v>0.75352713120478931</v>
      </c>
      <c r="H143" s="27">
        <f t="shared" si="48"/>
        <v>0.67994675720847175</v>
      </c>
      <c r="I143" s="48">
        <f t="shared" si="49"/>
        <v>489</v>
      </c>
      <c r="J143" s="47">
        <f t="shared" si="50"/>
        <v>1</v>
      </c>
    </row>
    <row r="144" spans="1:10" x14ac:dyDescent="0.2">
      <c r="A144" s="9">
        <v>0</v>
      </c>
      <c r="B144" s="9">
        <v>15</v>
      </c>
      <c r="C144" s="9">
        <v>2</v>
      </c>
      <c r="D144" s="9">
        <v>60</v>
      </c>
      <c r="E144" s="9">
        <v>4.8</v>
      </c>
      <c r="F144" s="7" t="s">
        <v>49</v>
      </c>
      <c r="G144" s="27">
        <f t="shared" si="47"/>
        <v>-2.8155673243252104</v>
      </c>
      <c r="H144" s="27">
        <f t="shared" si="48"/>
        <v>5.6488721262839325E-2</v>
      </c>
      <c r="I144" s="48">
        <f t="shared" si="49"/>
        <v>417</v>
      </c>
      <c r="J144" s="47">
        <f t="shared" si="50"/>
        <v>0</v>
      </c>
    </row>
    <row r="145" spans="1:10" x14ac:dyDescent="0.2">
      <c r="A145" s="9">
        <v>0</v>
      </c>
      <c r="B145" s="9">
        <v>8</v>
      </c>
      <c r="C145" s="9">
        <v>6</v>
      </c>
      <c r="D145" s="9">
        <v>78</v>
      </c>
      <c r="E145" s="9">
        <v>5.4</v>
      </c>
      <c r="F145" s="7" t="s">
        <v>49</v>
      </c>
      <c r="G145" s="27">
        <f t="shared" si="47"/>
        <v>-1.4553745093194226</v>
      </c>
      <c r="H145" s="27">
        <f t="shared" si="48"/>
        <v>0.1891758015979069</v>
      </c>
      <c r="I145" s="48">
        <f t="shared" si="49"/>
        <v>452</v>
      </c>
      <c r="J145" s="47">
        <f t="shared" si="50"/>
        <v>0</v>
      </c>
    </row>
    <row r="146" spans="1:10" x14ac:dyDescent="0.2">
      <c r="A146" s="9">
        <v>0</v>
      </c>
      <c r="B146" s="9">
        <v>1</v>
      </c>
      <c r="C146" s="9">
        <v>7</v>
      </c>
      <c r="D146" s="9">
        <v>25</v>
      </c>
      <c r="E146" s="9">
        <v>10.4</v>
      </c>
      <c r="F146" s="7" t="s">
        <v>49</v>
      </c>
      <c r="G146" s="27">
        <f t="shared" si="47"/>
        <v>-0.51343913537749741</v>
      </c>
      <c r="H146" s="27">
        <f t="shared" si="48"/>
        <v>0.37438765860976664</v>
      </c>
      <c r="I146" s="48">
        <f t="shared" si="49"/>
        <v>472</v>
      </c>
      <c r="J146" s="47">
        <f t="shared" si="50"/>
        <v>1</v>
      </c>
    </row>
    <row r="147" spans="1:10" x14ac:dyDescent="0.2">
      <c r="A147" s="9">
        <v>0</v>
      </c>
      <c r="B147" s="9">
        <v>7</v>
      </c>
      <c r="C147" s="9">
        <v>2</v>
      </c>
      <c r="D147" s="9">
        <v>34</v>
      </c>
      <c r="E147" s="9">
        <v>7</v>
      </c>
      <c r="F147" s="7" t="s">
        <v>49</v>
      </c>
      <c r="G147" s="27">
        <f t="shared" si="47"/>
        <v>-1.5598005540064008</v>
      </c>
      <c r="H147" s="27">
        <f t="shared" si="48"/>
        <v>0.17367526808333972</v>
      </c>
      <c r="I147" s="48">
        <f t="shared" si="49"/>
        <v>449</v>
      </c>
      <c r="J147" s="47">
        <f t="shared" si="50"/>
        <v>0</v>
      </c>
    </row>
    <row r="148" spans="1:10" x14ac:dyDescent="0.2">
      <c r="A148" s="9">
        <v>0</v>
      </c>
      <c r="B148" s="9">
        <v>5</v>
      </c>
      <c r="C148" s="9">
        <v>5</v>
      </c>
      <c r="D148" s="9">
        <v>22</v>
      </c>
      <c r="E148" s="9">
        <v>10.9</v>
      </c>
      <c r="F148" s="7" t="s">
        <v>49</v>
      </c>
      <c r="G148" s="27">
        <f t="shared" si="47"/>
        <v>-1.0398200629423893</v>
      </c>
      <c r="H148" s="27">
        <f t="shared" si="48"/>
        <v>0.26118471438452284</v>
      </c>
      <c r="I148" s="48">
        <f t="shared" si="49"/>
        <v>461</v>
      </c>
      <c r="J148" s="47">
        <f t="shared" si="50"/>
        <v>1</v>
      </c>
    </row>
    <row r="149" spans="1:10" x14ac:dyDescent="0.2">
      <c r="A149" s="9">
        <v>0</v>
      </c>
      <c r="B149" s="9">
        <v>1</v>
      </c>
      <c r="C149" s="9">
        <v>12</v>
      </c>
      <c r="D149" s="9">
        <v>20</v>
      </c>
      <c r="E149" s="9">
        <v>14</v>
      </c>
      <c r="F149" s="7" t="s">
        <v>49</v>
      </c>
      <c r="G149" s="27">
        <f t="shared" si="47"/>
        <v>-0.40731555152805887</v>
      </c>
      <c r="H149" s="27">
        <f t="shared" si="48"/>
        <v>0.39955597587007835</v>
      </c>
      <c r="I149" s="48">
        <f t="shared" si="49"/>
        <v>474</v>
      </c>
      <c r="J149" s="47">
        <f t="shared" si="50"/>
        <v>1</v>
      </c>
    </row>
    <row r="150" spans="1:10" x14ac:dyDescent="0.2">
      <c r="A150" s="9">
        <v>0</v>
      </c>
      <c r="B150" s="9">
        <v>11</v>
      </c>
      <c r="C150" s="9">
        <v>4</v>
      </c>
      <c r="D150" s="9">
        <v>75</v>
      </c>
      <c r="E150" s="9">
        <v>3.5</v>
      </c>
      <c r="F150" s="7" t="s">
        <v>49</v>
      </c>
      <c r="G150" s="27">
        <f t="shared" si="47"/>
        <v>-2.189643545199746</v>
      </c>
      <c r="H150" s="27">
        <f t="shared" si="48"/>
        <v>0.10068436489152569</v>
      </c>
      <c r="I150" s="48">
        <f t="shared" si="49"/>
        <v>434</v>
      </c>
      <c r="J150" s="47">
        <f t="shared" si="50"/>
        <v>0</v>
      </c>
    </row>
    <row r="151" spans="1:10" x14ac:dyDescent="0.2">
      <c r="A151" s="9">
        <v>1</v>
      </c>
      <c r="B151" s="9">
        <v>2</v>
      </c>
      <c r="C151" s="9">
        <v>0</v>
      </c>
      <c r="D151" s="9">
        <v>15</v>
      </c>
      <c r="E151" s="9">
        <v>26.3</v>
      </c>
      <c r="F151" s="7" t="s">
        <v>49</v>
      </c>
      <c r="G151" s="27">
        <f t="shared" si="47"/>
        <v>2.1791973719560684</v>
      </c>
      <c r="H151" s="27">
        <f t="shared" si="48"/>
        <v>0.89836581183382358</v>
      </c>
      <c r="I151" s="48">
        <f t="shared" si="49"/>
        <v>497</v>
      </c>
      <c r="J151" s="47">
        <f t="shared" si="50"/>
        <v>1</v>
      </c>
    </row>
    <row r="152" spans="1:10" x14ac:dyDescent="0.2">
      <c r="A152" s="9">
        <v>0</v>
      </c>
      <c r="B152" s="9">
        <v>4</v>
      </c>
      <c r="C152" s="9">
        <v>0</v>
      </c>
      <c r="D152" s="9">
        <v>23</v>
      </c>
      <c r="E152" s="9">
        <v>12.4</v>
      </c>
      <c r="F152" s="7" t="s">
        <v>49</v>
      </c>
      <c r="G152" s="27">
        <f t="shared" si="47"/>
        <v>-0.23413664477405938</v>
      </c>
      <c r="H152" s="27">
        <f t="shared" si="48"/>
        <v>0.44173178439440625</v>
      </c>
      <c r="I152" s="48">
        <f t="shared" si="49"/>
        <v>476</v>
      </c>
      <c r="J152" s="47">
        <f t="shared" si="50"/>
        <v>1</v>
      </c>
    </row>
    <row r="153" spans="1:10" x14ac:dyDescent="0.2">
      <c r="A153" s="9">
        <v>0</v>
      </c>
      <c r="B153" s="9">
        <v>6</v>
      </c>
      <c r="C153" s="9">
        <v>7</v>
      </c>
      <c r="D153" s="9">
        <v>38</v>
      </c>
      <c r="E153" s="9">
        <v>7.2</v>
      </c>
      <c r="F153" s="7" t="s">
        <v>49</v>
      </c>
      <c r="G153" s="27">
        <f t="shared" si="47"/>
        <v>-1.6506614546878657</v>
      </c>
      <c r="H153" s="27">
        <f t="shared" si="48"/>
        <v>0.16101957212464768</v>
      </c>
      <c r="I153" s="48">
        <f t="shared" si="49"/>
        <v>447</v>
      </c>
      <c r="J153" s="47">
        <f t="shared" si="50"/>
        <v>0</v>
      </c>
    </row>
    <row r="154" spans="1:10" x14ac:dyDescent="0.2">
      <c r="A154" s="9">
        <v>0</v>
      </c>
      <c r="B154" s="9">
        <v>5</v>
      </c>
      <c r="C154" s="9">
        <v>2</v>
      </c>
      <c r="D154" s="9">
        <v>37</v>
      </c>
      <c r="E154" s="9">
        <v>8.3000000000000007</v>
      </c>
      <c r="F154" s="7" t="s">
        <v>49</v>
      </c>
      <c r="G154" s="27">
        <f t="shared" si="47"/>
        <v>-0.94657319829416742</v>
      </c>
      <c r="H154" s="27">
        <f t="shared" si="48"/>
        <v>0.27957450138955614</v>
      </c>
      <c r="I154" s="48">
        <f t="shared" si="49"/>
        <v>463</v>
      </c>
      <c r="J154" s="47">
        <f t="shared" si="50"/>
        <v>1</v>
      </c>
    </row>
    <row r="155" spans="1:10" x14ac:dyDescent="0.2">
      <c r="A155" s="9">
        <v>0</v>
      </c>
      <c r="B155" s="9">
        <v>22</v>
      </c>
      <c r="C155" s="9">
        <v>9</v>
      </c>
      <c r="D155" s="9">
        <v>113</v>
      </c>
      <c r="E155" s="9">
        <v>2.6</v>
      </c>
      <c r="F155" s="7" t="s">
        <v>49</v>
      </c>
      <c r="G155" s="27">
        <f t="shared" si="47"/>
        <v>-3.9081143867087889</v>
      </c>
      <c r="H155" s="27">
        <f t="shared" si="48"/>
        <v>1.9683121234642251E-2</v>
      </c>
      <c r="I155" s="48">
        <f t="shared" si="49"/>
        <v>387</v>
      </c>
      <c r="J155" s="47">
        <f t="shared" si="50"/>
        <v>0</v>
      </c>
    </row>
    <row r="156" spans="1:10" x14ac:dyDescent="0.2">
      <c r="A156" s="9">
        <v>0</v>
      </c>
      <c r="B156" s="9">
        <v>4</v>
      </c>
      <c r="C156" s="9">
        <v>15</v>
      </c>
      <c r="D156" s="9">
        <v>33</v>
      </c>
      <c r="E156" s="9">
        <v>7</v>
      </c>
      <c r="F156" s="7" t="s">
        <v>49</v>
      </c>
      <c r="G156" s="27">
        <f t="shared" si="47"/>
        <v>-2.0247626599956488</v>
      </c>
      <c r="H156" s="27">
        <f t="shared" si="48"/>
        <v>0.11662741900044903</v>
      </c>
      <c r="I156" s="48">
        <f t="shared" si="49"/>
        <v>438</v>
      </c>
      <c r="J156" s="47">
        <f t="shared" si="50"/>
        <v>0</v>
      </c>
    </row>
    <row r="157" spans="1:10" x14ac:dyDescent="0.2">
      <c r="A157" s="9">
        <v>0</v>
      </c>
      <c r="B157" s="9">
        <v>2</v>
      </c>
      <c r="C157" s="9">
        <v>22</v>
      </c>
      <c r="D157" s="9">
        <v>30</v>
      </c>
      <c r="E157" s="9">
        <v>6.7</v>
      </c>
      <c r="F157" s="7" t="s">
        <v>49</v>
      </c>
      <c r="G157" s="27">
        <f t="shared" si="47"/>
        <v>-2.3023498105558065</v>
      </c>
      <c r="H157" s="27">
        <f t="shared" si="48"/>
        <v>9.0928537610389812E-2</v>
      </c>
      <c r="I157" s="48">
        <f t="shared" si="49"/>
        <v>431</v>
      </c>
      <c r="J157" s="47">
        <f t="shared" si="50"/>
        <v>0</v>
      </c>
    </row>
    <row r="158" spans="1:10" x14ac:dyDescent="0.2">
      <c r="A158" s="9">
        <v>0</v>
      </c>
      <c r="B158" s="9">
        <v>10</v>
      </c>
      <c r="C158" s="9">
        <v>14</v>
      </c>
      <c r="D158" s="9">
        <v>52</v>
      </c>
      <c r="E158" s="9">
        <v>5.4</v>
      </c>
      <c r="F158" s="7" t="s">
        <v>49</v>
      </c>
      <c r="G158" s="27">
        <f t="shared" si="47"/>
        <v>-2.8934681735158292</v>
      </c>
      <c r="H158" s="27">
        <f t="shared" si="48"/>
        <v>5.2477400729613564E-2</v>
      </c>
      <c r="I158" s="48">
        <f t="shared" si="49"/>
        <v>415</v>
      </c>
      <c r="J158" s="47">
        <f t="shared" si="50"/>
        <v>0</v>
      </c>
    </row>
    <row r="159" spans="1:10" x14ac:dyDescent="0.2">
      <c r="A159" s="9">
        <v>0</v>
      </c>
      <c r="B159" s="9">
        <v>6</v>
      </c>
      <c r="C159" s="9">
        <v>9</v>
      </c>
      <c r="D159" s="9">
        <v>22</v>
      </c>
      <c r="E159" s="9">
        <v>11.5</v>
      </c>
      <c r="F159" s="7" t="s">
        <v>49</v>
      </c>
      <c r="G159" s="27">
        <f t="shared" si="47"/>
        <v>-1.4172659179349985</v>
      </c>
      <c r="H159" s="27">
        <f t="shared" si="48"/>
        <v>0.19509055925344923</v>
      </c>
      <c r="I159" s="48">
        <f t="shared" si="49"/>
        <v>453</v>
      </c>
      <c r="J159" s="47">
        <f t="shared" si="50"/>
        <v>0</v>
      </c>
    </row>
    <row r="160" spans="1:10" x14ac:dyDescent="0.2">
      <c r="A160" s="9">
        <v>0</v>
      </c>
      <c r="B160" s="9">
        <v>5</v>
      </c>
      <c r="C160" s="9">
        <v>1</v>
      </c>
      <c r="D160" s="9">
        <v>25</v>
      </c>
      <c r="E160" s="9">
        <v>9</v>
      </c>
      <c r="F160" s="7" t="s">
        <v>49</v>
      </c>
      <c r="G160" s="27">
        <f t="shared" si="47"/>
        <v>-0.98744364199584544</v>
      </c>
      <c r="H160" s="27">
        <f t="shared" si="48"/>
        <v>0.27141730182100765</v>
      </c>
      <c r="I160" s="48">
        <f t="shared" si="49"/>
        <v>462</v>
      </c>
      <c r="J160" s="47">
        <f t="shared" si="50"/>
        <v>1</v>
      </c>
    </row>
    <row r="161" spans="1:10" x14ac:dyDescent="0.2">
      <c r="A161" s="9">
        <v>0</v>
      </c>
      <c r="B161" s="9">
        <v>1</v>
      </c>
      <c r="C161" s="9">
        <v>26</v>
      </c>
      <c r="D161" s="9">
        <v>26</v>
      </c>
      <c r="E161" s="9">
        <v>14.3</v>
      </c>
      <c r="F161" s="7" t="s">
        <v>49</v>
      </c>
      <c r="G161" s="27">
        <f t="shared" si="47"/>
        <v>-1.2905264868226352</v>
      </c>
      <c r="H161" s="27">
        <f t="shared" si="48"/>
        <v>0.2157637107969444</v>
      </c>
      <c r="I161" s="48">
        <f t="shared" si="49"/>
        <v>456</v>
      </c>
      <c r="J161" s="47">
        <f t="shared" si="50"/>
        <v>1</v>
      </c>
    </row>
    <row r="162" spans="1:10" x14ac:dyDescent="0.2">
      <c r="A162" s="9">
        <v>1</v>
      </c>
      <c r="B162" s="9">
        <v>2</v>
      </c>
      <c r="C162" s="9">
        <v>2</v>
      </c>
      <c r="D162" s="9">
        <v>22</v>
      </c>
      <c r="E162" s="9">
        <v>16.399999999999999</v>
      </c>
      <c r="F162" s="7" t="s">
        <v>49</v>
      </c>
      <c r="G162" s="27">
        <f t="shared" si="47"/>
        <v>0.58452206947981011</v>
      </c>
      <c r="H162" s="27">
        <f t="shared" si="48"/>
        <v>0.64210726934483497</v>
      </c>
      <c r="I162" s="48">
        <f t="shared" si="49"/>
        <v>487</v>
      </c>
      <c r="J162" s="47">
        <f t="shared" si="50"/>
        <v>1</v>
      </c>
    </row>
    <row r="163" spans="1:10" x14ac:dyDescent="0.2">
      <c r="A163" s="9">
        <v>1</v>
      </c>
      <c r="B163" s="9">
        <v>4</v>
      </c>
      <c r="C163" s="9">
        <v>3</v>
      </c>
      <c r="D163" s="9">
        <v>22</v>
      </c>
      <c r="E163" s="9">
        <v>13.2</v>
      </c>
      <c r="F163" s="7" t="s">
        <v>49</v>
      </c>
      <c r="G163" s="27">
        <f t="shared" si="47"/>
        <v>-0.3493827981877331</v>
      </c>
      <c r="H163" s="27">
        <f t="shared" si="48"/>
        <v>0.41353209891145187</v>
      </c>
      <c r="I163" s="48">
        <f t="shared" si="49"/>
        <v>475</v>
      </c>
      <c r="J163" s="47">
        <f t="shared" si="50"/>
        <v>1</v>
      </c>
    </row>
    <row r="164" spans="1:10" x14ac:dyDescent="0.2">
      <c r="A164" s="9">
        <v>0</v>
      </c>
      <c r="B164" s="9">
        <v>17</v>
      </c>
      <c r="C164" s="9">
        <v>21</v>
      </c>
      <c r="D164" s="9">
        <v>43</v>
      </c>
      <c r="E164" s="9">
        <v>5.6</v>
      </c>
      <c r="F164" s="7" t="s">
        <v>49</v>
      </c>
      <c r="G164" s="27">
        <f t="shared" si="47"/>
        <v>-4.7765852001346101</v>
      </c>
      <c r="H164" s="27">
        <f t="shared" si="48"/>
        <v>8.3543357040192293E-3</v>
      </c>
      <c r="I164" s="48">
        <f t="shared" si="49"/>
        <v>362</v>
      </c>
      <c r="J164" s="47">
        <f t="shared" si="50"/>
        <v>0</v>
      </c>
    </row>
    <row r="165" spans="1:10" x14ac:dyDescent="0.2">
      <c r="A165" s="9">
        <v>0</v>
      </c>
      <c r="B165" s="9">
        <v>6</v>
      </c>
      <c r="C165" s="9">
        <v>19</v>
      </c>
      <c r="D165" s="9">
        <v>31</v>
      </c>
      <c r="E165" s="9">
        <v>12.2</v>
      </c>
      <c r="F165" s="7" t="s">
        <v>49</v>
      </c>
      <c r="G165" s="27">
        <f t="shared" si="47"/>
        <v>-1.8815177216890959</v>
      </c>
      <c r="H165" s="27">
        <f t="shared" si="48"/>
        <v>0.13221464214540632</v>
      </c>
      <c r="I165" s="48">
        <f t="shared" si="49"/>
        <v>442</v>
      </c>
      <c r="J165" s="47">
        <f t="shared" si="50"/>
        <v>0</v>
      </c>
    </row>
    <row r="166" spans="1:10" x14ac:dyDescent="0.2">
      <c r="A166" s="9">
        <v>0</v>
      </c>
      <c r="B166" s="9">
        <v>8</v>
      </c>
      <c r="C166" s="9">
        <v>4</v>
      </c>
      <c r="D166" s="9">
        <v>44</v>
      </c>
      <c r="E166" s="9">
        <v>8</v>
      </c>
      <c r="F166" s="7" t="s">
        <v>49</v>
      </c>
      <c r="G166" s="27">
        <f t="shared" si="47"/>
        <v>-1.5350630865087198</v>
      </c>
      <c r="H166" s="27">
        <f t="shared" si="48"/>
        <v>0.17725410316450177</v>
      </c>
      <c r="I166" s="48">
        <f t="shared" si="49"/>
        <v>450</v>
      </c>
      <c r="J166" s="47">
        <f t="shared" si="50"/>
        <v>0</v>
      </c>
    </row>
    <row r="167" spans="1:10" x14ac:dyDescent="0.2">
      <c r="A167" s="9">
        <v>1</v>
      </c>
      <c r="B167" s="9">
        <v>0</v>
      </c>
      <c r="C167" s="9">
        <v>8</v>
      </c>
      <c r="D167" s="9">
        <v>22</v>
      </c>
      <c r="E167" s="9">
        <v>12.9</v>
      </c>
      <c r="F167" s="7" t="s">
        <v>49</v>
      </c>
      <c r="G167" s="27">
        <f t="shared" si="47"/>
        <v>-7.1719943254097362E-2</v>
      </c>
      <c r="H167" s="27">
        <f t="shared" si="48"/>
        <v>0.48207769584934407</v>
      </c>
      <c r="I167" s="48">
        <f t="shared" si="49"/>
        <v>479</v>
      </c>
      <c r="J167" s="47">
        <f t="shared" si="50"/>
        <v>1</v>
      </c>
    </row>
    <row r="168" spans="1:10" x14ac:dyDescent="0.2">
      <c r="A168" s="9">
        <v>0</v>
      </c>
      <c r="B168" s="9">
        <v>6</v>
      </c>
      <c r="C168" s="9">
        <v>4</v>
      </c>
      <c r="D168" s="9">
        <v>26</v>
      </c>
      <c r="E168" s="9">
        <v>10.4</v>
      </c>
      <c r="F168" s="7" t="s">
        <v>49</v>
      </c>
      <c r="G168" s="27">
        <f t="shared" si="47"/>
        <v>-1.1438508571919157</v>
      </c>
      <c r="H168" s="27">
        <f t="shared" si="48"/>
        <v>0.24161404072641193</v>
      </c>
      <c r="I168" s="48">
        <f t="shared" si="49"/>
        <v>459</v>
      </c>
      <c r="J168" s="47">
        <f t="shared" si="50"/>
        <v>1</v>
      </c>
    </row>
    <row r="169" spans="1:10" x14ac:dyDescent="0.2">
      <c r="A169" s="9">
        <v>0</v>
      </c>
      <c r="B169" s="9">
        <v>8</v>
      </c>
      <c r="C169" s="9">
        <v>7</v>
      </c>
      <c r="D169" s="9">
        <v>18</v>
      </c>
      <c r="E169" s="9">
        <v>11.9</v>
      </c>
      <c r="F169" s="7" t="s">
        <v>49</v>
      </c>
      <c r="G169" s="27">
        <f t="shared" si="47"/>
        <v>-1.6292400856657721</v>
      </c>
      <c r="H169" s="27">
        <f t="shared" si="48"/>
        <v>0.16393448846356745</v>
      </c>
      <c r="I169" s="48">
        <f t="shared" si="49"/>
        <v>448</v>
      </c>
      <c r="J169" s="47">
        <f t="shared" si="50"/>
        <v>0</v>
      </c>
    </row>
    <row r="170" spans="1:10" x14ac:dyDescent="0.2">
      <c r="A170" s="9">
        <v>0</v>
      </c>
      <c r="B170" s="9">
        <v>0</v>
      </c>
      <c r="C170" s="9">
        <v>11</v>
      </c>
      <c r="D170" s="9">
        <v>17</v>
      </c>
      <c r="E170" s="9">
        <v>12</v>
      </c>
      <c r="F170" s="7" t="s">
        <v>49</v>
      </c>
      <c r="G170" s="27">
        <f t="shared" si="47"/>
        <v>-0.53360182871031236</v>
      </c>
      <c r="H170" s="27">
        <f t="shared" si="48"/>
        <v>0.36967721118247782</v>
      </c>
      <c r="I170" s="48">
        <f t="shared" si="49"/>
        <v>471</v>
      </c>
      <c r="J170" s="47">
        <f t="shared" si="50"/>
        <v>1</v>
      </c>
    </row>
    <row r="171" spans="1:10" x14ac:dyDescent="0.2">
      <c r="A171" s="9">
        <v>1</v>
      </c>
      <c r="B171" s="9">
        <v>1</v>
      </c>
      <c r="C171" s="9">
        <v>15</v>
      </c>
      <c r="D171" s="9">
        <v>21</v>
      </c>
      <c r="E171" s="9">
        <v>14.8</v>
      </c>
      <c r="F171" s="7" t="s">
        <v>49</v>
      </c>
      <c r="G171" s="27">
        <f t="shared" si="47"/>
        <v>-0.48472005805300267</v>
      </c>
      <c r="H171" s="27">
        <f t="shared" si="48"/>
        <v>0.38113817343178957</v>
      </c>
      <c r="I171" s="48">
        <f t="shared" si="49"/>
        <v>472</v>
      </c>
      <c r="J171" s="47">
        <f t="shared" si="50"/>
        <v>1</v>
      </c>
    </row>
    <row r="172" spans="1:10" x14ac:dyDescent="0.2">
      <c r="A172" s="9">
        <v>0</v>
      </c>
      <c r="B172" s="9">
        <v>7</v>
      </c>
      <c r="C172" s="9">
        <v>4</v>
      </c>
      <c r="D172" s="9">
        <v>26</v>
      </c>
      <c r="E172" s="9">
        <v>9.1</v>
      </c>
      <c r="F172" s="7" t="s">
        <v>49</v>
      </c>
      <c r="G172" s="27">
        <f t="shared" si="47"/>
        <v>-1.525682761571076</v>
      </c>
      <c r="H172" s="27">
        <f t="shared" si="48"/>
        <v>0.17862622765195837</v>
      </c>
      <c r="I172" s="48">
        <f t="shared" si="49"/>
        <v>450</v>
      </c>
      <c r="J172" s="47">
        <f t="shared" si="50"/>
        <v>0</v>
      </c>
    </row>
    <row r="173" spans="1:10" x14ac:dyDescent="0.2">
      <c r="A173" s="9">
        <v>0</v>
      </c>
      <c r="B173" s="9">
        <v>7</v>
      </c>
      <c r="C173" s="9">
        <v>2</v>
      </c>
      <c r="D173" s="9">
        <v>31</v>
      </c>
      <c r="E173" s="9">
        <v>6.6</v>
      </c>
      <c r="F173" s="7" t="s">
        <v>49</v>
      </c>
      <c r="G173" s="27">
        <f t="shared" si="47"/>
        <v>-1.6803165392253971</v>
      </c>
      <c r="H173" s="27">
        <f t="shared" si="48"/>
        <v>0.15705355842406538</v>
      </c>
      <c r="I173" s="48">
        <f t="shared" si="49"/>
        <v>447</v>
      </c>
      <c r="J173" s="47">
        <f t="shared" si="50"/>
        <v>0</v>
      </c>
    </row>
    <row r="174" spans="1:10" x14ac:dyDescent="0.2">
      <c r="A174" s="9">
        <v>1</v>
      </c>
      <c r="B174" s="9">
        <v>2</v>
      </c>
      <c r="C174" s="9">
        <v>6</v>
      </c>
      <c r="D174" s="9">
        <v>24</v>
      </c>
      <c r="E174" s="9">
        <v>13.6</v>
      </c>
      <c r="F174" s="7" t="s">
        <v>49</v>
      </c>
      <c r="G174" s="27">
        <f t="shared" si="47"/>
        <v>-0.12235403415425594</v>
      </c>
      <c r="H174" s="27">
        <f t="shared" si="48"/>
        <v>0.46944959488326993</v>
      </c>
      <c r="I174" s="48">
        <f t="shared" si="49"/>
        <v>478</v>
      </c>
      <c r="J174" s="47">
        <f t="shared" si="50"/>
        <v>1</v>
      </c>
    </row>
    <row r="175" spans="1:10" x14ac:dyDescent="0.2">
      <c r="A175" s="9">
        <v>1</v>
      </c>
      <c r="B175" s="9">
        <v>1</v>
      </c>
      <c r="C175" s="9">
        <v>0</v>
      </c>
      <c r="D175" s="9">
        <v>20</v>
      </c>
      <c r="E175" s="9">
        <v>10.3</v>
      </c>
      <c r="F175" s="7" t="s">
        <v>49</v>
      </c>
      <c r="G175" s="27">
        <f t="shared" si="47"/>
        <v>-0.10170612525820122</v>
      </c>
      <c r="H175" s="27">
        <f t="shared" si="48"/>
        <v>0.47459536399490332</v>
      </c>
      <c r="I175" s="48">
        <f t="shared" si="49"/>
        <v>478</v>
      </c>
      <c r="J175" s="47">
        <f t="shared" si="50"/>
        <v>1</v>
      </c>
    </row>
    <row r="176" spans="1:10" x14ac:dyDescent="0.2">
      <c r="A176" s="9">
        <v>0</v>
      </c>
      <c r="B176" s="9">
        <v>11</v>
      </c>
      <c r="C176" s="9">
        <v>2</v>
      </c>
      <c r="D176" s="9">
        <v>53</v>
      </c>
      <c r="E176" s="9">
        <v>3.3</v>
      </c>
      <c r="F176" s="7" t="s">
        <v>49</v>
      </c>
      <c r="G176" s="27">
        <f t="shared" si="47"/>
        <v>-2.4885568452579792</v>
      </c>
      <c r="H176" s="27">
        <f t="shared" si="48"/>
        <v>7.66642913792559E-2</v>
      </c>
      <c r="I176" s="48">
        <f t="shared" si="49"/>
        <v>426</v>
      </c>
      <c r="J176" s="47">
        <f t="shared" si="50"/>
        <v>0</v>
      </c>
    </row>
    <row r="177" spans="1:10" x14ac:dyDescent="0.2">
      <c r="A177" s="9">
        <v>1</v>
      </c>
      <c r="B177" s="9">
        <v>13</v>
      </c>
      <c r="C177" s="9">
        <v>1</v>
      </c>
      <c r="D177" s="9">
        <v>42</v>
      </c>
      <c r="E177" s="9">
        <v>7.4</v>
      </c>
      <c r="F177" s="7" t="s">
        <v>49</v>
      </c>
      <c r="G177" s="27">
        <f t="shared" si="47"/>
        <v>-2.3178675509850848</v>
      </c>
      <c r="H177" s="27">
        <f t="shared" si="48"/>
        <v>8.9653949318522955E-2</v>
      </c>
      <c r="I177" s="48">
        <f t="shared" si="49"/>
        <v>430</v>
      </c>
      <c r="J177" s="47">
        <f t="shared" si="50"/>
        <v>0</v>
      </c>
    </row>
    <row r="178" spans="1:10" x14ac:dyDescent="0.2">
      <c r="A178" s="9">
        <v>0</v>
      </c>
      <c r="B178" s="9">
        <v>17</v>
      </c>
      <c r="C178" s="9">
        <v>6</v>
      </c>
      <c r="D178" s="9">
        <v>54</v>
      </c>
      <c r="E178" s="9">
        <v>4.4000000000000004</v>
      </c>
      <c r="F178" s="7" t="s">
        <v>49</v>
      </c>
      <c r="G178" s="27">
        <f t="shared" si="47"/>
        <v>-3.6405548881987415</v>
      </c>
      <c r="H178" s="27">
        <f t="shared" si="48"/>
        <v>2.5566960580884011E-2</v>
      </c>
      <c r="I178" s="48">
        <f t="shared" si="49"/>
        <v>394</v>
      </c>
      <c r="J178" s="47">
        <f t="shared" si="50"/>
        <v>0</v>
      </c>
    </row>
    <row r="179" spans="1:10" x14ac:dyDescent="0.2">
      <c r="A179" s="9">
        <v>0</v>
      </c>
      <c r="B179" s="9">
        <v>5</v>
      </c>
      <c r="C179" s="9">
        <v>3</v>
      </c>
      <c r="D179" s="9">
        <v>33</v>
      </c>
      <c r="E179" s="9">
        <v>7.3</v>
      </c>
      <c r="F179" s="7" t="s">
        <v>49</v>
      </c>
      <c r="G179" s="27">
        <f t="shared" si="47"/>
        <v>-1.2562510658667518</v>
      </c>
      <c r="H179" s="27">
        <f t="shared" si="48"/>
        <v>0.22161992538074746</v>
      </c>
      <c r="I179" s="48">
        <f t="shared" si="49"/>
        <v>457</v>
      </c>
      <c r="J179" s="47">
        <f t="shared" si="50"/>
        <v>1</v>
      </c>
    </row>
    <row r="180" spans="1:10" x14ac:dyDescent="0.2">
      <c r="A180" s="9">
        <v>0</v>
      </c>
      <c r="B180" s="9">
        <v>9</v>
      </c>
      <c r="C180" s="9">
        <v>16</v>
      </c>
      <c r="D180" s="9">
        <v>30</v>
      </c>
      <c r="E180" s="9">
        <v>7.6</v>
      </c>
      <c r="F180" s="7" t="s">
        <v>49</v>
      </c>
      <c r="G180" s="27">
        <f t="shared" si="47"/>
        <v>-2.9336705495801563</v>
      </c>
      <c r="H180" s="27">
        <f t="shared" si="48"/>
        <v>5.0513986109029116E-2</v>
      </c>
      <c r="I180" s="48">
        <f t="shared" si="49"/>
        <v>414</v>
      </c>
      <c r="J180" s="47">
        <f t="shared" si="50"/>
        <v>0</v>
      </c>
    </row>
    <row r="181" spans="1:10" x14ac:dyDescent="0.2">
      <c r="A181" s="9">
        <v>1</v>
      </c>
      <c r="B181" s="9">
        <v>0</v>
      </c>
      <c r="C181" s="9">
        <v>2</v>
      </c>
      <c r="D181" s="9">
        <v>21</v>
      </c>
      <c r="E181" s="9">
        <v>11.4</v>
      </c>
      <c r="F181" s="7" t="s">
        <v>49</v>
      </c>
      <c r="G181" s="27">
        <f t="shared" si="47"/>
        <v>0.11794827196163116</v>
      </c>
      <c r="H181" s="27">
        <f t="shared" si="48"/>
        <v>0.52945293064405829</v>
      </c>
      <c r="I181" s="48">
        <f t="shared" si="49"/>
        <v>482</v>
      </c>
      <c r="J181" s="47">
        <f t="shared" si="50"/>
        <v>1</v>
      </c>
    </row>
    <row r="182" spans="1:10" x14ac:dyDescent="0.2">
      <c r="A182" s="9">
        <v>0</v>
      </c>
      <c r="B182" s="9">
        <v>7</v>
      </c>
      <c r="C182" s="9">
        <v>9</v>
      </c>
      <c r="D182" s="9">
        <v>22</v>
      </c>
      <c r="E182" s="9">
        <v>9.6999999999999993</v>
      </c>
      <c r="F182" s="7" t="s">
        <v>49</v>
      </c>
      <c r="G182" s="27">
        <f t="shared" si="47"/>
        <v>-1.8787897159215361</v>
      </c>
      <c r="H182" s="27">
        <f t="shared" si="48"/>
        <v>0.1325279511247173</v>
      </c>
      <c r="I182" s="48">
        <f t="shared" si="49"/>
        <v>442</v>
      </c>
      <c r="J182" s="47">
        <f t="shared" si="50"/>
        <v>0</v>
      </c>
    </row>
    <row r="183" spans="1:10" x14ac:dyDescent="0.2">
      <c r="A183" s="9">
        <v>0</v>
      </c>
      <c r="B183" s="9">
        <v>1</v>
      </c>
      <c r="C183" s="9">
        <v>2</v>
      </c>
      <c r="D183" s="9">
        <v>42</v>
      </c>
      <c r="E183" s="9">
        <v>5.7</v>
      </c>
      <c r="F183" s="7" t="s">
        <v>49</v>
      </c>
      <c r="G183" s="27">
        <f t="shared" si="47"/>
        <v>-0.56783500383078955</v>
      </c>
      <c r="H183" s="27">
        <f t="shared" si="48"/>
        <v>0.36173653634758124</v>
      </c>
      <c r="I183" s="48">
        <f t="shared" si="49"/>
        <v>471</v>
      </c>
      <c r="J183" s="47">
        <f t="shared" si="50"/>
        <v>1</v>
      </c>
    </row>
    <row r="184" spans="1:10" x14ac:dyDescent="0.2">
      <c r="A184" s="9">
        <v>1</v>
      </c>
      <c r="B184" s="9">
        <v>4</v>
      </c>
      <c r="C184" s="9">
        <v>6</v>
      </c>
      <c r="D184" s="9">
        <v>31</v>
      </c>
      <c r="E184" s="9">
        <v>9.3000000000000007</v>
      </c>
      <c r="F184" s="7" t="s">
        <v>49</v>
      </c>
      <c r="G184" s="27">
        <f t="shared" si="47"/>
        <v>-1.0245245170671056</v>
      </c>
      <c r="H184" s="27">
        <f t="shared" si="48"/>
        <v>0.26414701692800424</v>
      </c>
      <c r="I184" s="48">
        <f t="shared" si="49"/>
        <v>462</v>
      </c>
      <c r="J184" s="47">
        <f t="shared" si="50"/>
        <v>1</v>
      </c>
    </row>
    <row r="185" spans="1:10" x14ac:dyDescent="0.2">
      <c r="A185" s="9">
        <v>1</v>
      </c>
      <c r="B185" s="9">
        <v>0</v>
      </c>
      <c r="C185" s="9">
        <v>2</v>
      </c>
      <c r="D185" s="9">
        <v>16</v>
      </c>
      <c r="E185" s="9">
        <v>16</v>
      </c>
      <c r="F185" s="7" t="s">
        <v>49</v>
      </c>
      <c r="G185" s="27">
        <f t="shared" si="47"/>
        <v>0.75650957592767831</v>
      </c>
      <c r="H185" s="27">
        <f t="shared" si="48"/>
        <v>0.6805954457176403</v>
      </c>
      <c r="I185" s="48">
        <f t="shared" si="49"/>
        <v>489</v>
      </c>
      <c r="J185" s="47">
        <f t="shared" si="50"/>
        <v>1</v>
      </c>
    </row>
    <row r="186" spans="1:10" x14ac:dyDescent="0.2">
      <c r="A186" s="9">
        <v>0</v>
      </c>
      <c r="B186" s="9">
        <v>6</v>
      </c>
      <c r="C186" s="9">
        <v>0</v>
      </c>
      <c r="D186" s="9">
        <v>22</v>
      </c>
      <c r="E186" s="9">
        <v>10.3</v>
      </c>
      <c r="F186" s="7" t="s">
        <v>49</v>
      </c>
      <c r="G186" s="27">
        <f t="shared" si="47"/>
        <v>-0.93702938336936681</v>
      </c>
      <c r="H186" s="27">
        <f t="shared" si="48"/>
        <v>0.28150078366246728</v>
      </c>
      <c r="I186" s="48">
        <f t="shared" si="49"/>
        <v>463</v>
      </c>
      <c r="J186" s="47">
        <f t="shared" si="50"/>
        <v>1</v>
      </c>
    </row>
    <row r="187" spans="1:10" x14ac:dyDescent="0.2">
      <c r="A187" s="9">
        <v>0</v>
      </c>
      <c r="B187" s="9">
        <v>23</v>
      </c>
      <c r="C187" s="9">
        <v>5</v>
      </c>
      <c r="D187" s="9">
        <v>50</v>
      </c>
      <c r="E187" s="9">
        <v>4.2</v>
      </c>
      <c r="F187" s="7" t="s">
        <v>49</v>
      </c>
      <c r="G187" s="27">
        <f t="shared" si="47"/>
        <v>-4.7213020388386546</v>
      </c>
      <c r="H187" s="27">
        <f t="shared" si="48"/>
        <v>8.8250040795318958E-3</v>
      </c>
      <c r="I187" s="48">
        <f t="shared" si="49"/>
        <v>364</v>
      </c>
      <c r="J187" s="47">
        <f t="shared" si="50"/>
        <v>0</v>
      </c>
    </row>
    <row r="188" spans="1:10" x14ac:dyDescent="0.2">
      <c r="A188" s="9">
        <v>0</v>
      </c>
      <c r="B188" s="9">
        <v>13</v>
      </c>
      <c r="C188" s="9">
        <v>5</v>
      </c>
      <c r="D188" s="9">
        <v>24</v>
      </c>
      <c r="E188" s="9">
        <v>8.9</v>
      </c>
      <c r="F188" s="7" t="s">
        <v>49</v>
      </c>
      <c r="G188" s="27">
        <f t="shared" si="47"/>
        <v>-2.7178098384830012</v>
      </c>
      <c r="H188" s="27">
        <f t="shared" si="48"/>
        <v>6.1930582091126569E-2</v>
      </c>
      <c r="I188" s="48">
        <f t="shared" si="49"/>
        <v>420</v>
      </c>
      <c r="J188" s="47">
        <f t="shared" si="50"/>
        <v>0</v>
      </c>
    </row>
    <row r="189" spans="1:10" x14ac:dyDescent="0.2">
      <c r="A189" s="9">
        <v>0</v>
      </c>
      <c r="B189" s="9">
        <v>9</v>
      </c>
      <c r="C189" s="9">
        <v>6</v>
      </c>
      <c r="D189" s="9">
        <v>35</v>
      </c>
      <c r="E189" s="9">
        <v>5</v>
      </c>
      <c r="F189" s="7" t="s">
        <v>49</v>
      </c>
      <c r="G189" s="27">
        <f t="shared" si="47"/>
        <v>-2.5073564133129862</v>
      </c>
      <c r="H189" s="27">
        <f t="shared" si="48"/>
        <v>7.5344074518764528E-2</v>
      </c>
      <c r="I189" s="48">
        <f t="shared" si="49"/>
        <v>425</v>
      </c>
      <c r="J189" s="47">
        <f t="shared" si="50"/>
        <v>0</v>
      </c>
    </row>
    <row r="190" spans="1:10" x14ac:dyDescent="0.2">
      <c r="A190" s="9">
        <v>0</v>
      </c>
      <c r="B190" s="9">
        <v>12</v>
      </c>
      <c r="C190" s="9">
        <v>11</v>
      </c>
      <c r="D190" s="9">
        <v>32</v>
      </c>
      <c r="E190" s="9">
        <v>11.3</v>
      </c>
      <c r="F190" s="7" t="s">
        <v>49</v>
      </c>
      <c r="G190" s="27">
        <f t="shared" si="47"/>
        <v>-2.4569539000949181</v>
      </c>
      <c r="H190" s="27">
        <f t="shared" si="48"/>
        <v>7.8931508822495292E-2</v>
      </c>
      <c r="I190" s="48">
        <f t="shared" si="49"/>
        <v>427</v>
      </c>
      <c r="J190" s="47">
        <f t="shared" si="50"/>
        <v>0</v>
      </c>
    </row>
    <row r="191" spans="1:10" x14ac:dyDescent="0.2">
      <c r="A191" s="9">
        <v>0</v>
      </c>
      <c r="B191" s="9">
        <v>16</v>
      </c>
      <c r="C191" s="9">
        <v>21</v>
      </c>
      <c r="D191" s="9">
        <v>80</v>
      </c>
      <c r="E191" s="9">
        <v>3</v>
      </c>
      <c r="F191" s="7" t="s">
        <v>49</v>
      </c>
      <c r="G191" s="27">
        <f t="shared" si="47"/>
        <v>-4.3162795984514979</v>
      </c>
      <c r="H191" s="27">
        <f t="shared" si="48"/>
        <v>1.3173596256837906E-2</v>
      </c>
      <c r="I191" s="48">
        <f t="shared" si="49"/>
        <v>375</v>
      </c>
      <c r="J191" s="47">
        <f t="shared" si="50"/>
        <v>0</v>
      </c>
    </row>
    <row r="192" spans="1:10" x14ac:dyDescent="0.2">
      <c r="A192" s="9">
        <v>0</v>
      </c>
      <c r="B192" s="9">
        <v>11</v>
      </c>
      <c r="C192" s="9">
        <v>5</v>
      </c>
      <c r="D192" s="9">
        <v>39</v>
      </c>
      <c r="E192" s="9">
        <v>10.1</v>
      </c>
      <c r="F192" s="7" t="s">
        <v>49</v>
      </c>
      <c r="G192" s="27">
        <f t="shared" si="47"/>
        <v>-1.893470980159867</v>
      </c>
      <c r="H192" s="27">
        <f t="shared" si="48"/>
        <v>0.13084921680442074</v>
      </c>
      <c r="I192" s="48">
        <f t="shared" si="49"/>
        <v>441</v>
      </c>
      <c r="J192" s="47">
        <f t="shared" si="50"/>
        <v>0</v>
      </c>
    </row>
    <row r="193" spans="1:10" x14ac:dyDescent="0.2">
      <c r="A193" s="9">
        <v>0</v>
      </c>
      <c r="B193" s="9">
        <v>4</v>
      </c>
      <c r="C193" s="9">
        <v>19</v>
      </c>
      <c r="D193" s="9">
        <v>25</v>
      </c>
      <c r="E193" s="9">
        <v>10.1</v>
      </c>
      <c r="F193" s="7" t="s">
        <v>49</v>
      </c>
      <c r="G193" s="27">
        <f t="shared" si="47"/>
        <v>-1.9804826535063103</v>
      </c>
      <c r="H193" s="27">
        <f t="shared" si="48"/>
        <v>0.12126739615234647</v>
      </c>
      <c r="I193" s="48">
        <f t="shared" si="49"/>
        <v>439</v>
      </c>
      <c r="J193" s="47">
        <f t="shared" si="50"/>
        <v>0</v>
      </c>
    </row>
    <row r="194" spans="1:10" x14ac:dyDescent="0.2">
      <c r="A194" s="9">
        <v>0</v>
      </c>
      <c r="B194" s="9">
        <v>22</v>
      </c>
      <c r="C194" s="9">
        <v>4</v>
      </c>
      <c r="D194" s="9">
        <v>99</v>
      </c>
      <c r="E194" s="9">
        <v>2.2999999999999998</v>
      </c>
      <c r="F194" s="7" t="s">
        <v>49</v>
      </c>
      <c r="G194" s="27">
        <f t="shared" ref="G194:G257" si="51">SUMPRODUCT($Q$3:$T$3,B194:E194)+$P$3</f>
        <v>-3.8477671181924675</v>
      </c>
      <c r="H194" s="27">
        <f t="shared" si="48"/>
        <v>2.0881948974371949E-2</v>
      </c>
      <c r="I194" s="48">
        <f t="shared" si="49"/>
        <v>388</v>
      </c>
      <c r="J194" s="47">
        <f t="shared" si="50"/>
        <v>0</v>
      </c>
    </row>
    <row r="195" spans="1:10" x14ac:dyDescent="0.2">
      <c r="A195" s="9">
        <v>0</v>
      </c>
      <c r="B195" s="9">
        <v>2</v>
      </c>
      <c r="C195" s="9">
        <v>5</v>
      </c>
      <c r="D195" s="9">
        <v>39</v>
      </c>
      <c r="E195" s="9">
        <v>4.9000000000000004</v>
      </c>
      <c r="F195" s="7" t="s">
        <v>49</v>
      </c>
      <c r="G195" s="27">
        <f t="shared" si="51"/>
        <v>-1.1505698446767787</v>
      </c>
      <c r="H195" s="27">
        <f t="shared" ref="H195:H258" si="52">EXP(G195)/(1+EXP(G195))</f>
        <v>0.24038501398608322</v>
      </c>
      <c r="I195" s="48">
        <f t="shared" si="49"/>
        <v>459</v>
      </c>
      <c r="J195" s="47">
        <f t="shared" si="50"/>
        <v>1</v>
      </c>
    </row>
    <row r="196" spans="1:10" x14ac:dyDescent="0.2">
      <c r="A196" s="9">
        <v>1</v>
      </c>
      <c r="B196" s="9">
        <v>5</v>
      </c>
      <c r="C196" s="9">
        <v>3</v>
      </c>
      <c r="D196" s="9">
        <v>37</v>
      </c>
      <c r="E196" s="9">
        <v>5.4</v>
      </c>
      <c r="F196" s="7" t="s">
        <v>49</v>
      </c>
      <c r="G196" s="27">
        <f t="shared" si="51"/>
        <v>-1.4833969677973267</v>
      </c>
      <c r="H196" s="27">
        <f t="shared" si="52"/>
        <v>0.18491487557175643</v>
      </c>
      <c r="I196" s="48">
        <f t="shared" si="49"/>
        <v>451</v>
      </c>
      <c r="J196" s="47">
        <f t="shared" si="50"/>
        <v>0</v>
      </c>
    </row>
    <row r="197" spans="1:10" x14ac:dyDescent="0.2">
      <c r="A197" s="9">
        <v>0</v>
      </c>
      <c r="B197" s="9">
        <v>21</v>
      </c>
      <c r="C197" s="9">
        <v>26</v>
      </c>
      <c r="D197" s="13">
        <v>117.54291069294821</v>
      </c>
      <c r="E197" s="9">
        <v>3</v>
      </c>
      <c r="F197" s="7" t="s">
        <v>49</v>
      </c>
      <c r="G197" s="27">
        <f t="shared" si="51"/>
        <v>-4.8521556515444217</v>
      </c>
      <c r="H197" s="27">
        <f t="shared" si="52"/>
        <v>7.7509735817917402E-3</v>
      </c>
      <c r="I197" s="48">
        <f t="shared" si="49"/>
        <v>360</v>
      </c>
      <c r="J197" s="47">
        <f t="shared" si="50"/>
        <v>0</v>
      </c>
    </row>
    <row r="198" spans="1:10" x14ac:dyDescent="0.2">
      <c r="A198" s="9">
        <v>0</v>
      </c>
      <c r="B198" s="9">
        <v>13</v>
      </c>
      <c r="C198" s="9">
        <v>0</v>
      </c>
      <c r="D198" s="9">
        <v>82</v>
      </c>
      <c r="E198" s="9">
        <v>3.3</v>
      </c>
      <c r="F198" s="7" t="s">
        <v>49</v>
      </c>
      <c r="G198" s="27">
        <f t="shared" si="51"/>
        <v>-2.1398973542106186</v>
      </c>
      <c r="H198" s="27">
        <f t="shared" si="52"/>
        <v>0.10527905788968991</v>
      </c>
      <c r="I198" s="48">
        <f t="shared" ref="I198:I261" si="53">ROUND($M$4+(($M$5/LN(2))*LN(H198)),0)</f>
        <v>435</v>
      </c>
      <c r="J198" s="47">
        <f t="shared" ref="J198:J261" si="54">IF(H198&gt;=$M$3,1,0)</f>
        <v>0</v>
      </c>
    </row>
    <row r="199" spans="1:10" x14ac:dyDescent="0.2">
      <c r="A199" s="9">
        <v>0</v>
      </c>
      <c r="B199" s="9">
        <v>0</v>
      </c>
      <c r="C199" s="9">
        <v>10</v>
      </c>
      <c r="D199" s="9">
        <v>20</v>
      </c>
      <c r="E199" s="9">
        <v>17.100000000000001</v>
      </c>
      <c r="F199" s="7" t="s">
        <v>49</v>
      </c>
      <c r="G199" s="27">
        <f t="shared" si="51"/>
        <v>0.41062874299840102</v>
      </c>
      <c r="H199" s="27">
        <f t="shared" si="52"/>
        <v>0.60123863003818423</v>
      </c>
      <c r="I199" s="48">
        <f t="shared" si="53"/>
        <v>485</v>
      </c>
      <c r="J199" s="47">
        <f t="shared" si="54"/>
        <v>1</v>
      </c>
    </row>
    <row r="200" spans="1:10" x14ac:dyDescent="0.2">
      <c r="A200" s="9">
        <v>0</v>
      </c>
      <c r="B200" s="9">
        <v>18</v>
      </c>
      <c r="C200" s="9">
        <v>19</v>
      </c>
      <c r="D200" s="9">
        <v>44</v>
      </c>
      <c r="E200" s="9">
        <v>4.5</v>
      </c>
      <c r="F200" s="7" t="s">
        <v>49</v>
      </c>
      <c r="G200" s="27">
        <f t="shared" si="51"/>
        <v>-4.958397950465713</v>
      </c>
      <c r="H200" s="27">
        <f t="shared" si="52"/>
        <v>6.9751770521108373E-3</v>
      </c>
      <c r="I200" s="48">
        <f t="shared" si="53"/>
        <v>357</v>
      </c>
      <c r="J200" s="47">
        <f t="shared" si="54"/>
        <v>0</v>
      </c>
    </row>
    <row r="201" spans="1:10" x14ac:dyDescent="0.2">
      <c r="A201" s="9">
        <v>0</v>
      </c>
      <c r="B201" s="9">
        <v>0</v>
      </c>
      <c r="C201" s="9">
        <v>4</v>
      </c>
      <c r="D201" s="9">
        <v>21</v>
      </c>
      <c r="E201" s="9">
        <v>8.6999999999999993</v>
      </c>
      <c r="F201" s="7" t="s">
        <v>49</v>
      </c>
      <c r="G201" s="27">
        <f t="shared" si="51"/>
        <v>-0.46160952667894795</v>
      </c>
      <c r="H201" s="27">
        <f t="shared" si="52"/>
        <v>0.38660406891741084</v>
      </c>
      <c r="I201" s="48">
        <f t="shared" si="53"/>
        <v>473</v>
      </c>
      <c r="J201" s="47">
        <f t="shared" si="54"/>
        <v>1</v>
      </c>
    </row>
    <row r="202" spans="1:10" x14ac:dyDescent="0.2">
      <c r="A202" s="9">
        <v>0</v>
      </c>
      <c r="B202" s="9">
        <v>3</v>
      </c>
      <c r="C202" s="9">
        <v>10</v>
      </c>
      <c r="D202" s="9">
        <v>23</v>
      </c>
      <c r="E202" s="9">
        <v>6.2</v>
      </c>
      <c r="F202" s="7" t="s">
        <v>49</v>
      </c>
      <c r="G202" s="27">
        <f t="shared" si="51"/>
        <v>-1.7937910103092665</v>
      </c>
      <c r="H202" s="27">
        <f t="shared" si="52"/>
        <v>0.14260856316733353</v>
      </c>
      <c r="I202" s="48">
        <f t="shared" si="53"/>
        <v>444</v>
      </c>
      <c r="J202" s="47">
        <f t="shared" si="54"/>
        <v>0</v>
      </c>
    </row>
    <row r="203" spans="1:10" x14ac:dyDescent="0.2">
      <c r="A203" s="9">
        <v>0</v>
      </c>
      <c r="B203" s="9">
        <v>4</v>
      </c>
      <c r="C203" s="9">
        <v>16</v>
      </c>
      <c r="D203" s="9">
        <v>29</v>
      </c>
      <c r="E203" s="9">
        <v>11</v>
      </c>
      <c r="F203" s="7" t="s">
        <v>49</v>
      </c>
      <c r="G203" s="27">
        <f t="shared" si="51"/>
        <v>-1.53752159149446</v>
      </c>
      <c r="H203" s="27">
        <f t="shared" si="52"/>
        <v>0.17689585132168356</v>
      </c>
      <c r="I203" s="48">
        <f t="shared" si="53"/>
        <v>450</v>
      </c>
      <c r="J203" s="47">
        <f t="shared" si="54"/>
        <v>0</v>
      </c>
    </row>
    <row r="204" spans="1:10" x14ac:dyDescent="0.2">
      <c r="A204" s="9">
        <v>0</v>
      </c>
      <c r="B204" s="9">
        <v>5</v>
      </c>
      <c r="C204" s="9">
        <v>10</v>
      </c>
      <c r="D204" s="9">
        <v>18</v>
      </c>
      <c r="E204" s="9">
        <v>12.9</v>
      </c>
      <c r="F204" s="7" t="s">
        <v>49</v>
      </c>
      <c r="G204" s="27">
        <f t="shared" si="51"/>
        <v>-1.169789715192193</v>
      </c>
      <c r="H204" s="27">
        <f t="shared" si="52"/>
        <v>0.23689299634391411</v>
      </c>
      <c r="I204" s="48">
        <f t="shared" si="53"/>
        <v>458</v>
      </c>
      <c r="J204" s="47">
        <f t="shared" si="54"/>
        <v>1</v>
      </c>
    </row>
    <row r="205" spans="1:10" x14ac:dyDescent="0.2">
      <c r="A205" s="9">
        <v>1</v>
      </c>
      <c r="B205" s="9">
        <v>1</v>
      </c>
      <c r="C205" s="9">
        <v>6</v>
      </c>
      <c r="D205" s="9">
        <v>15</v>
      </c>
      <c r="E205" s="9">
        <v>11.4</v>
      </c>
      <c r="F205" s="7" t="s">
        <v>49</v>
      </c>
      <c r="G205" s="27">
        <f t="shared" si="51"/>
        <v>-0.46865279602601939</v>
      </c>
      <c r="H205" s="27">
        <f t="shared" si="52"/>
        <v>0.38493515824738106</v>
      </c>
      <c r="I205" s="48">
        <f t="shared" si="53"/>
        <v>472</v>
      </c>
      <c r="J205" s="47">
        <f t="shared" si="54"/>
        <v>1</v>
      </c>
    </row>
    <row r="206" spans="1:10" x14ac:dyDescent="0.2">
      <c r="A206" s="9">
        <v>0</v>
      </c>
      <c r="B206" s="9">
        <v>0</v>
      </c>
      <c r="C206" s="9">
        <v>7</v>
      </c>
      <c r="D206" s="9">
        <v>28</v>
      </c>
      <c r="E206" s="9">
        <v>9.3000000000000007</v>
      </c>
      <c r="F206" s="7" t="s">
        <v>49</v>
      </c>
      <c r="G206" s="27">
        <f t="shared" si="51"/>
        <v>-0.45736584998065433</v>
      </c>
      <c r="H206" s="27">
        <f t="shared" si="52"/>
        <v>0.38761090318642499</v>
      </c>
      <c r="I206" s="48">
        <f t="shared" si="53"/>
        <v>473</v>
      </c>
      <c r="J206" s="47">
        <f t="shared" si="54"/>
        <v>1</v>
      </c>
    </row>
    <row r="207" spans="1:10" x14ac:dyDescent="0.2">
      <c r="A207" s="9">
        <v>1</v>
      </c>
      <c r="B207" s="9">
        <v>3</v>
      </c>
      <c r="C207" s="9">
        <v>0</v>
      </c>
      <c r="D207" s="9">
        <v>19</v>
      </c>
      <c r="E207" s="9">
        <v>8.4</v>
      </c>
      <c r="F207" s="7" t="s">
        <v>49</v>
      </c>
      <c r="G207" s="27">
        <f t="shared" si="51"/>
        <v>-0.77272210641055761</v>
      </c>
      <c r="H207" s="27">
        <f t="shared" si="52"/>
        <v>0.31589055436534375</v>
      </c>
      <c r="I207" s="48">
        <f t="shared" si="53"/>
        <v>467</v>
      </c>
      <c r="J207" s="47">
        <f t="shared" si="54"/>
        <v>1</v>
      </c>
    </row>
    <row r="208" spans="1:10" x14ac:dyDescent="0.2">
      <c r="A208" s="9">
        <v>0</v>
      </c>
      <c r="B208" s="9">
        <v>0</v>
      </c>
      <c r="C208" s="9">
        <v>1</v>
      </c>
      <c r="D208" s="9">
        <v>21</v>
      </c>
      <c r="E208" s="9">
        <v>7.2</v>
      </c>
      <c r="F208" s="7" t="s">
        <v>49</v>
      </c>
      <c r="G208" s="27">
        <f t="shared" si="51"/>
        <v>-0.47685284775996717</v>
      </c>
      <c r="H208" s="27">
        <f t="shared" si="52"/>
        <v>0.38299555428261856</v>
      </c>
      <c r="I208" s="48">
        <f t="shared" si="53"/>
        <v>472</v>
      </c>
      <c r="J208" s="47">
        <f t="shared" si="54"/>
        <v>1</v>
      </c>
    </row>
    <row r="209" spans="1:10" x14ac:dyDescent="0.2">
      <c r="A209" s="9">
        <v>0</v>
      </c>
      <c r="B209" s="9">
        <v>10</v>
      </c>
      <c r="C209" s="9">
        <v>4</v>
      </c>
      <c r="D209" s="9">
        <v>31</v>
      </c>
      <c r="E209" s="9">
        <v>4.8</v>
      </c>
      <c r="F209" s="7" t="s">
        <v>49</v>
      </c>
      <c r="G209" s="27">
        <f t="shared" si="51"/>
        <v>-2.6403278723726338</v>
      </c>
      <c r="H209" s="27">
        <f t="shared" si="52"/>
        <v>6.658765418528903E-2</v>
      </c>
      <c r="I209" s="48">
        <f t="shared" si="53"/>
        <v>422</v>
      </c>
      <c r="J209" s="47">
        <f t="shared" si="54"/>
        <v>0</v>
      </c>
    </row>
    <row r="210" spans="1:10" x14ac:dyDescent="0.2">
      <c r="A210" s="9">
        <v>0</v>
      </c>
      <c r="B210" s="9">
        <v>4</v>
      </c>
      <c r="C210" s="9">
        <v>9</v>
      </c>
      <c r="D210" s="9">
        <v>38</v>
      </c>
      <c r="E210" s="9">
        <v>6.5</v>
      </c>
      <c r="F210" s="7" t="s">
        <v>49</v>
      </c>
      <c r="G210" s="27">
        <f t="shared" si="51"/>
        <v>-1.5621857168989775</v>
      </c>
      <c r="H210" s="27">
        <f t="shared" si="52"/>
        <v>0.17333323456211458</v>
      </c>
      <c r="I210" s="48">
        <f t="shared" si="53"/>
        <v>449</v>
      </c>
      <c r="J210" s="47">
        <f t="shared" si="54"/>
        <v>0</v>
      </c>
    </row>
    <row r="211" spans="1:10" x14ac:dyDescent="0.2">
      <c r="A211" s="9">
        <v>0</v>
      </c>
      <c r="B211" s="9">
        <v>1</v>
      </c>
      <c r="C211" s="9">
        <v>1</v>
      </c>
      <c r="D211" s="9">
        <v>21</v>
      </c>
      <c r="E211" s="9">
        <v>7.9</v>
      </c>
      <c r="F211" s="7" t="s">
        <v>49</v>
      </c>
      <c r="G211" s="27">
        <f t="shared" si="51"/>
        <v>-0.53991717770961789</v>
      </c>
      <c r="H211" s="27">
        <f t="shared" si="52"/>
        <v>0.36820684904981865</v>
      </c>
      <c r="I211" s="48">
        <f t="shared" si="53"/>
        <v>471</v>
      </c>
      <c r="J211" s="47">
        <f t="shared" si="54"/>
        <v>1</v>
      </c>
    </row>
    <row r="212" spans="1:10" x14ac:dyDescent="0.2">
      <c r="A212" s="9">
        <v>1</v>
      </c>
      <c r="B212" s="9">
        <v>4</v>
      </c>
      <c r="C212" s="9">
        <v>3</v>
      </c>
      <c r="D212" s="9">
        <v>37</v>
      </c>
      <c r="E212" s="9">
        <v>6.6</v>
      </c>
      <c r="F212" s="7" t="s">
        <v>49</v>
      </c>
      <c r="G212" s="27">
        <f t="shared" si="51"/>
        <v>-1.1175034421396421</v>
      </c>
      <c r="H212" s="27">
        <f t="shared" si="52"/>
        <v>0.24647466298635848</v>
      </c>
      <c r="I212" s="48">
        <f t="shared" si="53"/>
        <v>460</v>
      </c>
      <c r="J212" s="47">
        <f t="shared" si="54"/>
        <v>1</v>
      </c>
    </row>
    <row r="213" spans="1:10" x14ac:dyDescent="0.2">
      <c r="A213" s="9">
        <v>0</v>
      </c>
      <c r="B213" s="9">
        <v>9</v>
      </c>
      <c r="C213" s="9">
        <v>8</v>
      </c>
      <c r="D213" s="9">
        <v>32</v>
      </c>
      <c r="E213" s="9">
        <v>5.5</v>
      </c>
      <c r="F213" s="7" t="s">
        <v>49</v>
      </c>
      <c r="G213" s="27">
        <f t="shared" si="51"/>
        <v>-2.6336485631994448</v>
      </c>
      <c r="H213" s="27">
        <f t="shared" si="52"/>
        <v>6.7004001956191619E-2</v>
      </c>
      <c r="I213" s="48">
        <f t="shared" si="53"/>
        <v>422</v>
      </c>
      <c r="J213" s="47">
        <f t="shared" si="54"/>
        <v>0</v>
      </c>
    </row>
    <row r="214" spans="1:10" x14ac:dyDescent="0.2">
      <c r="A214" s="9">
        <v>0</v>
      </c>
      <c r="B214" s="9">
        <v>6</v>
      </c>
      <c r="C214" s="9">
        <v>1</v>
      </c>
      <c r="D214" s="9">
        <v>34</v>
      </c>
      <c r="E214" s="9">
        <v>4.4000000000000004</v>
      </c>
      <c r="F214" s="7" t="s">
        <v>49</v>
      </c>
      <c r="G214" s="27">
        <f t="shared" si="51"/>
        <v>-1.7249546331844126</v>
      </c>
      <c r="H214" s="27">
        <f t="shared" si="52"/>
        <v>0.15123407580709367</v>
      </c>
      <c r="I214" s="48">
        <f t="shared" si="53"/>
        <v>445</v>
      </c>
      <c r="J214" s="47">
        <f t="shared" si="54"/>
        <v>0</v>
      </c>
    </row>
    <row r="215" spans="1:10" x14ac:dyDescent="0.2">
      <c r="A215" s="9">
        <v>1</v>
      </c>
      <c r="B215" s="9">
        <v>2</v>
      </c>
      <c r="C215" s="9">
        <v>11</v>
      </c>
      <c r="D215" s="9">
        <v>15</v>
      </c>
      <c r="E215" s="9">
        <v>9.1</v>
      </c>
      <c r="F215" s="7" t="s">
        <v>49</v>
      </c>
      <c r="G215" s="27">
        <f t="shared" si="51"/>
        <v>-1.382922420521788</v>
      </c>
      <c r="H215" s="27">
        <f t="shared" si="52"/>
        <v>0.20054005629531815</v>
      </c>
      <c r="I215" s="48">
        <f t="shared" si="53"/>
        <v>454</v>
      </c>
      <c r="J215" s="47">
        <f t="shared" si="54"/>
        <v>1</v>
      </c>
    </row>
    <row r="216" spans="1:10" x14ac:dyDescent="0.2">
      <c r="A216" s="9">
        <v>0</v>
      </c>
      <c r="B216" s="9">
        <v>1</v>
      </c>
      <c r="C216" s="9">
        <v>5</v>
      </c>
      <c r="D216" s="9">
        <v>26</v>
      </c>
      <c r="E216" s="9">
        <v>10.6</v>
      </c>
      <c r="F216" s="7" t="s">
        <v>49</v>
      </c>
      <c r="G216" s="27">
        <f t="shared" si="51"/>
        <v>-0.31341998132944049</v>
      </c>
      <c r="H216" s="27">
        <f t="shared" si="52"/>
        <v>0.42228018047694005</v>
      </c>
      <c r="I216" s="48">
        <f t="shared" si="53"/>
        <v>475</v>
      </c>
      <c r="J216" s="47">
        <f t="shared" si="54"/>
        <v>1</v>
      </c>
    </row>
    <row r="217" spans="1:10" x14ac:dyDescent="0.2">
      <c r="A217" s="9">
        <v>0</v>
      </c>
      <c r="B217" s="9">
        <v>12</v>
      </c>
      <c r="C217" s="9">
        <v>11</v>
      </c>
      <c r="D217" s="9">
        <v>38</v>
      </c>
      <c r="E217" s="9">
        <v>3.6</v>
      </c>
      <c r="F217" s="7" t="s">
        <v>49</v>
      </c>
      <c r="G217" s="27">
        <f t="shared" si="51"/>
        <v>-3.5706841209823397</v>
      </c>
      <c r="H217" s="27">
        <f t="shared" si="52"/>
        <v>2.7366595358033315E-2</v>
      </c>
      <c r="I217" s="48">
        <f t="shared" si="53"/>
        <v>396</v>
      </c>
      <c r="J217" s="47">
        <f t="shared" si="54"/>
        <v>0</v>
      </c>
    </row>
    <row r="218" spans="1:10" x14ac:dyDescent="0.2">
      <c r="A218" s="9">
        <v>0</v>
      </c>
      <c r="B218" s="9">
        <v>3</v>
      </c>
      <c r="C218" s="9">
        <v>4</v>
      </c>
      <c r="D218" s="9">
        <v>34</v>
      </c>
      <c r="E218" s="9">
        <v>4.4000000000000004</v>
      </c>
      <c r="F218" s="7" t="s">
        <v>49</v>
      </c>
      <c r="G218" s="27">
        <f t="shared" si="51"/>
        <v>-1.4248880499255878</v>
      </c>
      <c r="H218" s="27">
        <f t="shared" si="52"/>
        <v>0.19389643508888552</v>
      </c>
      <c r="I218" s="48">
        <f t="shared" si="53"/>
        <v>453</v>
      </c>
      <c r="J218" s="47">
        <f t="shared" si="54"/>
        <v>0</v>
      </c>
    </row>
    <row r="219" spans="1:10" x14ac:dyDescent="0.2">
      <c r="A219" s="9">
        <v>0</v>
      </c>
      <c r="B219" s="9">
        <v>13</v>
      </c>
      <c r="C219" s="9">
        <v>9</v>
      </c>
      <c r="D219" s="9">
        <v>27</v>
      </c>
      <c r="E219" s="9">
        <v>8</v>
      </c>
      <c r="F219" s="7" t="s">
        <v>49</v>
      </c>
      <c r="G219" s="27">
        <f t="shared" si="51"/>
        <v>-3.1029359229646696</v>
      </c>
      <c r="H219" s="27">
        <f t="shared" si="52"/>
        <v>4.2986313315628473E-2</v>
      </c>
      <c r="I219" s="48">
        <f t="shared" si="53"/>
        <v>409</v>
      </c>
      <c r="J219" s="47">
        <f t="shared" si="54"/>
        <v>0</v>
      </c>
    </row>
    <row r="220" spans="1:10" x14ac:dyDescent="0.2">
      <c r="A220" s="9">
        <v>0</v>
      </c>
      <c r="B220" s="9">
        <v>9</v>
      </c>
      <c r="C220" s="9">
        <v>20</v>
      </c>
      <c r="D220" s="9">
        <v>33</v>
      </c>
      <c r="E220" s="9">
        <v>5.2</v>
      </c>
      <c r="F220" s="7" t="s">
        <v>49</v>
      </c>
      <c r="G220" s="27">
        <f t="shared" si="51"/>
        <v>-3.5578723148839555</v>
      </c>
      <c r="H220" s="27">
        <f t="shared" si="52"/>
        <v>2.770968855340606E-2</v>
      </c>
      <c r="I220" s="48">
        <f t="shared" si="53"/>
        <v>397</v>
      </c>
      <c r="J220" s="47">
        <f t="shared" si="54"/>
        <v>0</v>
      </c>
    </row>
    <row r="221" spans="1:10" x14ac:dyDescent="0.2">
      <c r="A221" s="9">
        <v>0</v>
      </c>
      <c r="B221" s="9">
        <v>5</v>
      </c>
      <c r="C221" s="9">
        <v>7</v>
      </c>
      <c r="D221" s="9">
        <v>28</v>
      </c>
      <c r="E221" s="9">
        <v>7.8</v>
      </c>
      <c r="F221" s="7" t="s">
        <v>49</v>
      </c>
      <c r="G221" s="27">
        <f t="shared" si="51"/>
        <v>-1.5696064358026813</v>
      </c>
      <c r="H221" s="27">
        <f t="shared" si="52"/>
        <v>0.17227250465984553</v>
      </c>
      <c r="I221" s="48">
        <f t="shared" si="53"/>
        <v>449</v>
      </c>
      <c r="J221" s="47">
        <f t="shared" si="54"/>
        <v>0</v>
      </c>
    </row>
    <row r="222" spans="1:10" x14ac:dyDescent="0.2">
      <c r="A222" s="9">
        <v>0</v>
      </c>
      <c r="B222" s="9">
        <v>8</v>
      </c>
      <c r="C222" s="9">
        <v>7</v>
      </c>
      <c r="D222" s="9">
        <v>61</v>
      </c>
      <c r="E222" s="9">
        <v>2.8</v>
      </c>
      <c r="F222" s="7" t="s">
        <v>49</v>
      </c>
      <c r="G222" s="27">
        <f t="shared" si="51"/>
        <v>-2.2660371412123554</v>
      </c>
      <c r="H222" s="27">
        <f t="shared" si="52"/>
        <v>9.3975082488837555E-2</v>
      </c>
      <c r="I222" s="48">
        <f t="shared" si="53"/>
        <v>432</v>
      </c>
      <c r="J222" s="47">
        <f t="shared" si="54"/>
        <v>0</v>
      </c>
    </row>
    <row r="223" spans="1:10" x14ac:dyDescent="0.2">
      <c r="A223" s="9">
        <v>0</v>
      </c>
      <c r="B223" s="9">
        <v>4</v>
      </c>
      <c r="C223" s="9">
        <v>6</v>
      </c>
      <c r="D223" s="9">
        <v>33</v>
      </c>
      <c r="E223" s="9">
        <v>5.2</v>
      </c>
      <c r="F223" s="7" t="s">
        <v>49</v>
      </c>
      <c r="G223" s="27">
        <f t="shared" si="51"/>
        <v>-1.6401563977588696</v>
      </c>
      <c r="H223" s="27">
        <f t="shared" si="52"/>
        <v>0.16244378263508683</v>
      </c>
      <c r="I223" s="48">
        <f t="shared" si="53"/>
        <v>448</v>
      </c>
      <c r="J223" s="47">
        <f t="shared" si="54"/>
        <v>0</v>
      </c>
    </row>
    <row r="224" spans="1:10" x14ac:dyDescent="0.2">
      <c r="A224" s="9">
        <v>0</v>
      </c>
      <c r="B224" s="9">
        <v>15</v>
      </c>
      <c r="C224" s="9">
        <v>19</v>
      </c>
      <c r="D224" s="9">
        <v>32</v>
      </c>
      <c r="E224" s="9">
        <v>4.9000000000000004</v>
      </c>
      <c r="F224" s="7" t="s">
        <v>49</v>
      </c>
      <c r="G224" s="27">
        <f t="shared" si="51"/>
        <v>-4.5977953739122501</v>
      </c>
      <c r="H224" s="27">
        <f t="shared" si="52"/>
        <v>9.9735470104265825E-3</v>
      </c>
      <c r="I224" s="48">
        <f t="shared" si="53"/>
        <v>367</v>
      </c>
      <c r="J224" s="47">
        <f t="shared" si="54"/>
        <v>0</v>
      </c>
    </row>
    <row r="225" spans="1:10" x14ac:dyDescent="0.2">
      <c r="A225" s="9">
        <v>0</v>
      </c>
      <c r="B225" s="9">
        <v>9</v>
      </c>
      <c r="C225" s="9">
        <v>1</v>
      </c>
      <c r="D225" s="9">
        <v>30</v>
      </c>
      <c r="E225" s="9">
        <v>5.8</v>
      </c>
      <c r="F225" s="7" t="s">
        <v>49</v>
      </c>
      <c r="G225" s="27">
        <f t="shared" si="51"/>
        <v>-2.1013995678611521</v>
      </c>
      <c r="H225" s="27">
        <f t="shared" si="52"/>
        <v>0.10896086501371112</v>
      </c>
      <c r="I225" s="48">
        <f t="shared" si="53"/>
        <v>436</v>
      </c>
      <c r="J225" s="47">
        <f t="shared" si="54"/>
        <v>0</v>
      </c>
    </row>
    <row r="226" spans="1:10" x14ac:dyDescent="0.2">
      <c r="A226" s="9">
        <v>0</v>
      </c>
      <c r="B226" s="9">
        <v>8</v>
      </c>
      <c r="C226" s="9">
        <v>10</v>
      </c>
      <c r="D226" s="9">
        <v>24</v>
      </c>
      <c r="E226" s="9">
        <v>6.7</v>
      </c>
      <c r="F226" s="7" t="s">
        <v>49</v>
      </c>
      <c r="G226" s="27">
        <f t="shared" si="51"/>
        <v>-2.5683431982574194</v>
      </c>
      <c r="H226" s="27">
        <f t="shared" si="52"/>
        <v>7.1203796894158372E-2</v>
      </c>
      <c r="I226" s="48">
        <f t="shared" si="53"/>
        <v>424</v>
      </c>
      <c r="J226" s="47">
        <f t="shared" si="54"/>
        <v>0</v>
      </c>
    </row>
    <row r="227" spans="1:10" x14ac:dyDescent="0.2">
      <c r="A227" s="9">
        <v>0</v>
      </c>
      <c r="B227" s="9">
        <v>13</v>
      </c>
      <c r="C227" s="9">
        <v>15</v>
      </c>
      <c r="D227" s="9">
        <v>35</v>
      </c>
      <c r="E227" s="9">
        <v>4.5</v>
      </c>
      <c r="F227" s="7" t="s">
        <v>49</v>
      </c>
      <c r="G227" s="27">
        <f t="shared" si="51"/>
        <v>-3.957077310143617</v>
      </c>
      <c r="H227" s="27">
        <f t="shared" si="52"/>
        <v>1.876023607087058E-2</v>
      </c>
      <c r="I227" s="48">
        <f t="shared" si="53"/>
        <v>385</v>
      </c>
      <c r="J227" s="47">
        <f t="shared" si="54"/>
        <v>0</v>
      </c>
    </row>
    <row r="228" spans="1:10" x14ac:dyDescent="0.2">
      <c r="A228" s="9">
        <v>0</v>
      </c>
      <c r="B228" s="9">
        <v>1</v>
      </c>
      <c r="C228" s="9">
        <v>8</v>
      </c>
      <c r="D228" s="9">
        <v>17</v>
      </c>
      <c r="E228" s="9">
        <v>11</v>
      </c>
      <c r="F228" s="7" t="s">
        <v>49</v>
      </c>
      <c r="G228" s="27">
        <f t="shared" si="51"/>
        <v>-0.64378623718393335</v>
      </c>
      <c r="H228" s="27">
        <f t="shared" si="52"/>
        <v>0.34439115752321808</v>
      </c>
      <c r="I228" s="48">
        <f t="shared" si="53"/>
        <v>469</v>
      </c>
      <c r="J228" s="47">
        <f t="shared" si="54"/>
        <v>1</v>
      </c>
    </row>
    <row r="229" spans="1:10" x14ac:dyDescent="0.2">
      <c r="A229" s="9">
        <v>0</v>
      </c>
      <c r="B229" s="9">
        <v>13</v>
      </c>
      <c r="C229" s="9">
        <v>12</v>
      </c>
      <c r="D229" s="9">
        <v>27</v>
      </c>
      <c r="E229" s="9">
        <v>5</v>
      </c>
      <c r="F229" s="7" t="s">
        <v>49</v>
      </c>
      <c r="G229" s="27">
        <f t="shared" si="51"/>
        <v>-3.8049196443500453</v>
      </c>
      <c r="H229" s="27">
        <f t="shared" si="52"/>
        <v>2.1776225638499062E-2</v>
      </c>
      <c r="I229" s="48">
        <f t="shared" si="53"/>
        <v>390</v>
      </c>
      <c r="J229" s="47">
        <f t="shared" si="54"/>
        <v>0</v>
      </c>
    </row>
    <row r="230" spans="1:10" x14ac:dyDescent="0.2">
      <c r="A230" s="9">
        <v>0</v>
      </c>
      <c r="B230" s="9">
        <v>6</v>
      </c>
      <c r="C230" s="9">
        <v>2</v>
      </c>
      <c r="D230" s="9">
        <v>26</v>
      </c>
      <c r="E230" s="9">
        <v>4.5</v>
      </c>
      <c r="F230" s="7" t="s">
        <v>49</v>
      </c>
      <c r="G230" s="27">
        <f t="shared" si="51"/>
        <v>-1.9349936285982259</v>
      </c>
      <c r="H230" s="27">
        <f t="shared" si="52"/>
        <v>0.12619889041088095</v>
      </c>
      <c r="I230" s="48">
        <f t="shared" si="53"/>
        <v>440</v>
      </c>
      <c r="J230" s="47">
        <f t="shared" si="54"/>
        <v>0</v>
      </c>
    </row>
    <row r="231" spans="1:10" x14ac:dyDescent="0.2">
      <c r="A231" s="9">
        <v>0</v>
      </c>
      <c r="B231" s="9">
        <v>2</v>
      </c>
      <c r="C231" s="9">
        <v>1</v>
      </c>
      <c r="D231" s="9">
        <v>36</v>
      </c>
      <c r="E231" s="9">
        <v>3.8</v>
      </c>
      <c r="F231" s="7" t="s">
        <v>49</v>
      </c>
      <c r="G231" s="27">
        <f t="shared" si="51"/>
        <v>-1.0842113346246198</v>
      </c>
      <c r="H231" s="27">
        <f t="shared" si="52"/>
        <v>0.2527098882944393</v>
      </c>
      <c r="I231" s="48">
        <f t="shared" si="53"/>
        <v>460</v>
      </c>
      <c r="J231" s="47">
        <f t="shared" si="54"/>
        <v>1</v>
      </c>
    </row>
    <row r="232" spans="1:10" x14ac:dyDescent="0.2">
      <c r="A232" s="9">
        <v>0</v>
      </c>
      <c r="B232" s="9">
        <v>20</v>
      </c>
      <c r="C232" s="9">
        <v>17</v>
      </c>
      <c r="D232" s="9">
        <v>101</v>
      </c>
      <c r="E232" s="9">
        <v>1.4</v>
      </c>
      <c r="F232" s="7" t="s">
        <v>49</v>
      </c>
      <c r="G232" s="27">
        <f t="shared" si="51"/>
        <v>-4.5740451433418787</v>
      </c>
      <c r="H232" s="27">
        <f t="shared" si="52"/>
        <v>1.0210808733668825E-2</v>
      </c>
      <c r="I232" s="48">
        <f t="shared" si="53"/>
        <v>368</v>
      </c>
      <c r="J232" s="47">
        <f t="shared" si="54"/>
        <v>0</v>
      </c>
    </row>
    <row r="233" spans="1:10" x14ac:dyDescent="0.2">
      <c r="A233" s="9">
        <v>0</v>
      </c>
      <c r="B233" s="9">
        <v>1</v>
      </c>
      <c r="C233" s="9">
        <v>10</v>
      </c>
      <c r="D233" s="9">
        <v>30</v>
      </c>
      <c r="E233" s="9">
        <v>4.5</v>
      </c>
      <c r="F233" s="7" t="s">
        <v>49</v>
      </c>
      <c r="G233" s="27">
        <f t="shared" si="51"/>
        <v>-1.5830317224638382</v>
      </c>
      <c r="H233" s="27">
        <f t="shared" si="52"/>
        <v>0.17036654462430281</v>
      </c>
      <c r="I233" s="48">
        <f t="shared" si="53"/>
        <v>449</v>
      </c>
      <c r="J233" s="47">
        <f t="shared" si="54"/>
        <v>0</v>
      </c>
    </row>
    <row r="234" spans="1:10" x14ac:dyDescent="0.2">
      <c r="A234" s="9">
        <v>0</v>
      </c>
      <c r="B234" s="9">
        <v>3</v>
      </c>
      <c r="C234" s="9">
        <v>1</v>
      </c>
      <c r="D234" s="9">
        <v>17</v>
      </c>
      <c r="E234" s="9">
        <v>9</v>
      </c>
      <c r="F234" s="7" t="s">
        <v>49</v>
      </c>
      <c r="G234" s="27">
        <f t="shared" si="51"/>
        <v>-0.78954426755080509</v>
      </c>
      <c r="H234" s="27">
        <f t="shared" si="52"/>
        <v>0.31226653238668212</v>
      </c>
      <c r="I234" s="48">
        <f t="shared" si="53"/>
        <v>466</v>
      </c>
      <c r="J234" s="47">
        <f t="shared" si="54"/>
        <v>1</v>
      </c>
    </row>
    <row r="235" spans="1:10" x14ac:dyDescent="0.2">
      <c r="A235" s="9">
        <v>0</v>
      </c>
      <c r="B235" s="9">
        <v>12</v>
      </c>
      <c r="C235" s="9">
        <v>2</v>
      </c>
      <c r="D235" s="9">
        <v>40</v>
      </c>
      <c r="E235" s="9">
        <v>6.7</v>
      </c>
      <c r="F235" s="7" t="s">
        <v>49</v>
      </c>
      <c r="G235" s="27">
        <f t="shared" si="51"/>
        <v>-2.3672556545045338</v>
      </c>
      <c r="H235" s="27">
        <f t="shared" si="52"/>
        <v>8.5703938626597392E-2</v>
      </c>
      <c r="I235" s="48">
        <f t="shared" si="53"/>
        <v>429</v>
      </c>
      <c r="J235" s="47">
        <f t="shared" si="54"/>
        <v>0</v>
      </c>
    </row>
    <row r="236" spans="1:10" x14ac:dyDescent="0.2">
      <c r="A236" s="9">
        <v>1</v>
      </c>
      <c r="B236" s="9">
        <v>8</v>
      </c>
      <c r="C236" s="9">
        <v>3</v>
      </c>
      <c r="D236" s="9">
        <v>31</v>
      </c>
      <c r="E236" s="9">
        <v>8.1999999999999993</v>
      </c>
      <c r="F236" s="7" t="s">
        <v>49</v>
      </c>
      <c r="G236" s="27">
        <f t="shared" si="51"/>
        <v>-1.6745462472621395</v>
      </c>
      <c r="H236" s="27">
        <f t="shared" si="52"/>
        <v>0.15781898690933796</v>
      </c>
      <c r="I236" s="48">
        <f t="shared" si="53"/>
        <v>447</v>
      </c>
      <c r="J236" s="47">
        <f t="shared" si="54"/>
        <v>0</v>
      </c>
    </row>
    <row r="237" spans="1:10" x14ac:dyDescent="0.2">
      <c r="A237" s="9">
        <v>0</v>
      </c>
      <c r="B237" s="9">
        <v>1</v>
      </c>
      <c r="C237" s="9">
        <v>4</v>
      </c>
      <c r="D237" s="9">
        <v>16</v>
      </c>
      <c r="E237" s="9">
        <v>9.3000000000000007</v>
      </c>
      <c r="F237" s="7" t="s">
        <v>49</v>
      </c>
      <c r="G237" s="27">
        <f t="shared" si="51"/>
        <v>-0.63521635257189768</v>
      </c>
      <c r="H237" s="27">
        <f t="shared" si="52"/>
        <v>0.34632868846753417</v>
      </c>
      <c r="I237" s="48">
        <f t="shared" si="53"/>
        <v>469</v>
      </c>
      <c r="J237" s="47">
        <f t="shared" si="54"/>
        <v>1</v>
      </c>
    </row>
    <row r="238" spans="1:10" x14ac:dyDescent="0.2">
      <c r="A238" s="9">
        <v>0</v>
      </c>
      <c r="B238" s="9">
        <v>16</v>
      </c>
      <c r="C238" s="9">
        <v>15</v>
      </c>
      <c r="D238" s="9">
        <v>36</v>
      </c>
      <c r="E238" s="9">
        <v>3.4</v>
      </c>
      <c r="F238" s="7" t="s">
        <v>49</v>
      </c>
      <c r="G238" s="27">
        <f t="shared" si="51"/>
        <v>-4.6373775956354191</v>
      </c>
      <c r="H238" s="27">
        <f t="shared" si="52"/>
        <v>9.5901948472377711E-3</v>
      </c>
      <c r="I238" s="48">
        <f t="shared" si="53"/>
        <v>366</v>
      </c>
      <c r="J238" s="47">
        <f t="shared" si="54"/>
        <v>0</v>
      </c>
    </row>
    <row r="239" spans="1:10" x14ac:dyDescent="0.2">
      <c r="A239" s="9">
        <v>0</v>
      </c>
      <c r="B239" s="9">
        <v>5</v>
      </c>
      <c r="C239" s="9">
        <v>3</v>
      </c>
      <c r="D239" s="9">
        <v>41</v>
      </c>
      <c r="E239" s="9">
        <v>3.4</v>
      </c>
      <c r="F239" s="7" t="s">
        <v>49</v>
      </c>
      <c r="G239" s="27">
        <f t="shared" si="51"/>
        <v>-1.7264812484493768</v>
      </c>
      <c r="H239" s="27">
        <f t="shared" si="52"/>
        <v>0.15103822023217567</v>
      </c>
      <c r="I239" s="48">
        <f t="shared" si="53"/>
        <v>445</v>
      </c>
      <c r="J239" s="47">
        <f t="shared" si="54"/>
        <v>0</v>
      </c>
    </row>
    <row r="240" spans="1:10" x14ac:dyDescent="0.2">
      <c r="A240" s="9">
        <v>0</v>
      </c>
      <c r="B240" s="9">
        <v>5</v>
      </c>
      <c r="C240" s="9">
        <v>2</v>
      </c>
      <c r="D240" s="9">
        <v>17</v>
      </c>
      <c r="E240" s="9">
        <v>7.9</v>
      </c>
      <c r="F240" s="7" t="s">
        <v>49</v>
      </c>
      <c r="G240" s="27">
        <f t="shared" si="51"/>
        <v>-1.3887431820673637</v>
      </c>
      <c r="H240" s="27">
        <f t="shared" si="52"/>
        <v>0.19960847647536173</v>
      </c>
      <c r="I240" s="48">
        <f t="shared" si="53"/>
        <v>454</v>
      </c>
      <c r="J240" s="47">
        <f t="shared" si="54"/>
        <v>0</v>
      </c>
    </row>
    <row r="241" spans="1:10" x14ac:dyDescent="0.2">
      <c r="A241" s="9">
        <v>0</v>
      </c>
      <c r="B241" s="9">
        <v>7</v>
      </c>
      <c r="C241" s="9">
        <v>6</v>
      </c>
      <c r="D241" s="9">
        <v>26</v>
      </c>
      <c r="E241" s="9">
        <v>6</v>
      </c>
      <c r="F241" s="7" t="s">
        <v>49</v>
      </c>
      <c r="G241" s="27">
        <f t="shared" si="51"/>
        <v>-2.1689940750975563</v>
      </c>
      <c r="H241" s="27">
        <f t="shared" si="52"/>
        <v>0.10256959088487247</v>
      </c>
      <c r="I241" s="48">
        <f t="shared" si="53"/>
        <v>434</v>
      </c>
      <c r="J241" s="47">
        <f t="shared" si="54"/>
        <v>0</v>
      </c>
    </row>
    <row r="242" spans="1:10" x14ac:dyDescent="0.2">
      <c r="A242" s="9">
        <v>0</v>
      </c>
      <c r="B242" s="9">
        <v>18</v>
      </c>
      <c r="C242" s="9">
        <v>6</v>
      </c>
      <c r="D242" s="9">
        <v>100</v>
      </c>
      <c r="E242" s="9">
        <v>2.5</v>
      </c>
      <c r="F242" s="7" t="s">
        <v>49</v>
      </c>
      <c r="G242" s="27">
        <f t="shared" si="51"/>
        <v>-3.247659186465977</v>
      </c>
      <c r="H242" s="27">
        <f t="shared" si="52"/>
        <v>3.7411092338069524E-2</v>
      </c>
      <c r="I242" s="48">
        <f t="shared" si="53"/>
        <v>405</v>
      </c>
      <c r="J242" s="47">
        <f t="shared" si="54"/>
        <v>0</v>
      </c>
    </row>
    <row r="243" spans="1:10" x14ac:dyDescent="0.2">
      <c r="A243" s="9">
        <v>0</v>
      </c>
      <c r="B243" s="9">
        <v>0</v>
      </c>
      <c r="C243" s="9">
        <v>2</v>
      </c>
      <c r="D243" s="9">
        <v>24</v>
      </c>
      <c r="E243" s="9">
        <v>7.7</v>
      </c>
      <c r="F243" s="7" t="s">
        <v>49</v>
      </c>
      <c r="G243" s="27">
        <f t="shared" si="51"/>
        <v>-0.41500927039986646</v>
      </c>
      <c r="H243" s="27">
        <f t="shared" si="52"/>
        <v>0.39771160250471455</v>
      </c>
      <c r="I243" s="48">
        <f t="shared" si="53"/>
        <v>473</v>
      </c>
      <c r="J243" s="47">
        <f t="shared" si="54"/>
        <v>1</v>
      </c>
    </row>
    <row r="244" spans="1:10" x14ac:dyDescent="0.2">
      <c r="A244" s="9">
        <v>0</v>
      </c>
      <c r="B244" s="9">
        <v>13</v>
      </c>
      <c r="C244" s="9">
        <v>0</v>
      </c>
      <c r="D244" s="9">
        <v>59</v>
      </c>
      <c r="E244" s="9">
        <v>2.4</v>
      </c>
      <c r="F244" s="7" t="s">
        <v>49</v>
      </c>
      <c r="G244" s="27">
        <f t="shared" si="51"/>
        <v>-2.7185217019242862</v>
      </c>
      <c r="H244" s="27">
        <f t="shared" si="52"/>
        <v>6.1889239147105396E-2</v>
      </c>
      <c r="I244" s="48">
        <f t="shared" si="53"/>
        <v>420</v>
      </c>
      <c r="J244" s="47">
        <f t="shared" si="54"/>
        <v>0</v>
      </c>
    </row>
    <row r="245" spans="1:10" x14ac:dyDescent="0.2">
      <c r="A245" s="9">
        <v>0</v>
      </c>
      <c r="B245" s="9">
        <v>16</v>
      </c>
      <c r="C245" s="9">
        <v>25</v>
      </c>
      <c r="D245" s="9">
        <v>82</v>
      </c>
      <c r="E245" s="9">
        <v>4.4000000000000004</v>
      </c>
      <c r="F245" s="7" t="s">
        <v>49</v>
      </c>
      <c r="G245" s="27">
        <f t="shared" si="51"/>
        <v>-4.3537437957835952</v>
      </c>
      <c r="H245" s="27">
        <f t="shared" si="52"/>
        <v>1.269533839274656E-2</v>
      </c>
      <c r="I245" s="48">
        <f t="shared" si="53"/>
        <v>374</v>
      </c>
      <c r="J245" s="47">
        <f t="shared" si="54"/>
        <v>0</v>
      </c>
    </row>
    <row r="246" spans="1:10" x14ac:dyDescent="0.2">
      <c r="A246" s="9">
        <v>1</v>
      </c>
      <c r="B246" s="9">
        <v>2</v>
      </c>
      <c r="C246" s="9">
        <v>1</v>
      </c>
      <c r="D246" s="9">
        <v>25</v>
      </c>
      <c r="E246" s="9">
        <v>4.5</v>
      </c>
      <c r="F246" s="7" t="s">
        <v>49</v>
      </c>
      <c r="G246" s="27">
        <f t="shared" si="51"/>
        <v>-1.1807717414623036</v>
      </c>
      <c r="H246" s="27">
        <f t="shared" si="52"/>
        <v>0.23491346344123984</v>
      </c>
      <c r="I246" s="48">
        <f t="shared" si="53"/>
        <v>458</v>
      </c>
      <c r="J246" s="47">
        <f t="shared" si="54"/>
        <v>1</v>
      </c>
    </row>
    <row r="247" spans="1:10" x14ac:dyDescent="0.2">
      <c r="A247" s="9">
        <v>0</v>
      </c>
      <c r="B247" s="9">
        <v>11</v>
      </c>
      <c r="C247" s="9">
        <v>7</v>
      </c>
      <c r="D247" s="9">
        <v>32</v>
      </c>
      <c r="E247" s="9">
        <v>6</v>
      </c>
      <c r="F247" s="7" t="s">
        <v>49</v>
      </c>
      <c r="G247" s="27">
        <f t="shared" si="51"/>
        <v>-2.8286118450116549</v>
      </c>
      <c r="H247" s="27">
        <f t="shared" si="52"/>
        <v>5.579748658266552E-2</v>
      </c>
      <c r="I247" s="48">
        <f t="shared" si="53"/>
        <v>417</v>
      </c>
      <c r="J247" s="47">
        <f t="shared" si="54"/>
        <v>0</v>
      </c>
    </row>
    <row r="248" spans="1:10" x14ac:dyDescent="0.2">
      <c r="A248" s="9">
        <v>1</v>
      </c>
      <c r="B248" s="9">
        <v>2</v>
      </c>
      <c r="C248" s="9">
        <v>8</v>
      </c>
      <c r="D248" s="9">
        <v>23</v>
      </c>
      <c r="E248" s="9">
        <v>5.7</v>
      </c>
      <c r="F248" s="7" t="s">
        <v>49</v>
      </c>
      <c r="G248" s="27">
        <f t="shared" si="51"/>
        <v>-1.5496283497559231</v>
      </c>
      <c r="H248" s="27">
        <f t="shared" si="52"/>
        <v>0.17513995248728548</v>
      </c>
      <c r="I248" s="48">
        <f t="shared" si="53"/>
        <v>450</v>
      </c>
      <c r="J248" s="47">
        <f t="shared" si="54"/>
        <v>0</v>
      </c>
    </row>
    <row r="249" spans="1:10" x14ac:dyDescent="0.2">
      <c r="A249" s="9">
        <v>0</v>
      </c>
      <c r="B249" s="9">
        <v>1</v>
      </c>
      <c r="C249" s="9">
        <v>9</v>
      </c>
      <c r="D249" s="9">
        <v>17</v>
      </c>
      <c r="E249" s="9">
        <v>6.7</v>
      </c>
      <c r="F249" s="7" t="s">
        <v>49</v>
      </c>
      <c r="G249" s="27">
        <f t="shared" si="51"/>
        <v>-1.4037473087877486</v>
      </c>
      <c r="H249" s="27">
        <f t="shared" si="52"/>
        <v>0.19722214342094113</v>
      </c>
      <c r="I249" s="48">
        <f t="shared" si="53"/>
        <v>453</v>
      </c>
      <c r="J249" s="47">
        <f t="shared" si="54"/>
        <v>0</v>
      </c>
    </row>
    <row r="250" spans="1:10" x14ac:dyDescent="0.2">
      <c r="A250" s="9">
        <v>0</v>
      </c>
      <c r="B250" s="9">
        <v>6</v>
      </c>
      <c r="C250" s="9">
        <v>2</v>
      </c>
      <c r="D250" s="9">
        <v>21</v>
      </c>
      <c r="E250" s="9">
        <v>5.2</v>
      </c>
      <c r="F250" s="7" t="s">
        <v>49</v>
      </c>
      <c r="G250" s="27">
        <f t="shared" si="51"/>
        <v>-1.9180290947697212</v>
      </c>
      <c r="H250" s="27">
        <f t="shared" si="52"/>
        <v>0.12808150909252186</v>
      </c>
      <c r="I250" s="48">
        <f t="shared" si="53"/>
        <v>441</v>
      </c>
      <c r="J250" s="47">
        <f t="shared" si="54"/>
        <v>0</v>
      </c>
    </row>
    <row r="251" spans="1:10" x14ac:dyDescent="0.2">
      <c r="A251" s="9">
        <v>1</v>
      </c>
      <c r="B251" s="9">
        <v>0</v>
      </c>
      <c r="C251" s="9">
        <v>8</v>
      </c>
      <c r="D251" s="9">
        <v>23</v>
      </c>
      <c r="E251" s="9">
        <v>8.1</v>
      </c>
      <c r="F251" s="7" t="s">
        <v>49</v>
      </c>
      <c r="G251" s="27">
        <f t="shared" si="51"/>
        <v>-0.81784129844055431</v>
      </c>
      <c r="H251" s="27">
        <f t="shared" si="52"/>
        <v>0.30622208435508341</v>
      </c>
      <c r="I251" s="48">
        <f t="shared" si="53"/>
        <v>466</v>
      </c>
      <c r="J251" s="47">
        <f t="shared" si="54"/>
        <v>1</v>
      </c>
    </row>
    <row r="252" spans="1:10" x14ac:dyDescent="0.2">
      <c r="A252" s="9">
        <v>1</v>
      </c>
      <c r="B252" s="9">
        <v>4</v>
      </c>
      <c r="C252" s="9">
        <v>1</v>
      </c>
      <c r="D252" s="9">
        <v>40</v>
      </c>
      <c r="E252" s="9">
        <v>3.1</v>
      </c>
      <c r="F252" s="7" t="s">
        <v>49</v>
      </c>
      <c r="G252" s="27">
        <f t="shared" si="51"/>
        <v>-1.4693626538974471</v>
      </c>
      <c r="H252" s="27">
        <f t="shared" si="52"/>
        <v>0.1870395067648056</v>
      </c>
      <c r="I252" s="48">
        <f t="shared" si="53"/>
        <v>452</v>
      </c>
      <c r="J252" s="47">
        <f t="shared" si="54"/>
        <v>0</v>
      </c>
    </row>
    <row r="253" spans="1:10" x14ac:dyDescent="0.2">
      <c r="A253" s="9">
        <v>0</v>
      </c>
      <c r="B253" s="9">
        <v>7</v>
      </c>
      <c r="C253" s="9">
        <v>23</v>
      </c>
      <c r="D253" s="9">
        <v>41</v>
      </c>
      <c r="E253" s="9">
        <v>4.5999999999999996</v>
      </c>
      <c r="F253" s="7" t="s">
        <v>49</v>
      </c>
      <c r="G253" s="27">
        <f t="shared" si="51"/>
        <v>-3.3767023973990447</v>
      </c>
      <c r="H253" s="27">
        <f t="shared" si="52"/>
        <v>3.3031559757936806E-2</v>
      </c>
      <c r="I253" s="48">
        <f t="shared" si="53"/>
        <v>402</v>
      </c>
      <c r="J253" s="47">
        <f t="shared" si="54"/>
        <v>0</v>
      </c>
    </row>
    <row r="254" spans="1:10" x14ac:dyDescent="0.2">
      <c r="A254" s="9">
        <v>0</v>
      </c>
      <c r="B254" s="9">
        <v>7</v>
      </c>
      <c r="C254" s="9">
        <v>10</v>
      </c>
      <c r="D254" s="9">
        <v>32</v>
      </c>
      <c r="E254" s="9">
        <v>4.3</v>
      </c>
      <c r="F254" s="7" t="s">
        <v>49</v>
      </c>
      <c r="G254" s="27">
        <f t="shared" si="51"/>
        <v>-2.6248647190179337</v>
      </c>
      <c r="H254" s="27">
        <f t="shared" si="52"/>
        <v>6.7555212193846956E-2</v>
      </c>
      <c r="I254" s="48">
        <f t="shared" si="53"/>
        <v>422</v>
      </c>
      <c r="J254" s="47">
        <f t="shared" si="54"/>
        <v>0</v>
      </c>
    </row>
    <row r="255" spans="1:10" x14ac:dyDescent="0.2">
      <c r="A255" s="9">
        <v>0</v>
      </c>
      <c r="B255" s="9">
        <v>0</v>
      </c>
      <c r="C255" s="9">
        <v>1</v>
      </c>
      <c r="D255" s="9">
        <v>16</v>
      </c>
      <c r="E255" s="9">
        <v>6.8</v>
      </c>
      <c r="F255" s="7" t="s">
        <v>49</v>
      </c>
      <c r="G255" s="27">
        <f t="shared" si="51"/>
        <v>-0.63521047986769252</v>
      </c>
      <c r="H255" s="27">
        <f t="shared" si="52"/>
        <v>0.34633001796162732</v>
      </c>
      <c r="I255" s="48">
        <f t="shared" si="53"/>
        <v>469</v>
      </c>
      <c r="J255" s="47">
        <f t="shared" si="54"/>
        <v>1</v>
      </c>
    </row>
    <row r="256" spans="1:10" x14ac:dyDescent="0.2">
      <c r="A256" s="9">
        <v>0</v>
      </c>
      <c r="B256" s="9">
        <v>8</v>
      </c>
      <c r="C256" s="9">
        <v>1</v>
      </c>
      <c r="D256" s="9">
        <v>35</v>
      </c>
      <c r="E256" s="9">
        <v>2.9</v>
      </c>
      <c r="F256" s="7" t="s">
        <v>49</v>
      </c>
      <c r="G256" s="27">
        <f t="shared" si="51"/>
        <v>-2.294375452562138</v>
      </c>
      <c r="H256" s="27">
        <f t="shared" si="52"/>
        <v>9.1589856108505271E-2</v>
      </c>
      <c r="I256" s="48">
        <f t="shared" si="53"/>
        <v>431</v>
      </c>
      <c r="J256" s="47">
        <f t="shared" si="54"/>
        <v>0</v>
      </c>
    </row>
    <row r="257" spans="1:10" x14ac:dyDescent="0.2">
      <c r="A257" s="9">
        <v>0</v>
      </c>
      <c r="B257" s="9">
        <v>7</v>
      </c>
      <c r="C257" s="9">
        <v>12</v>
      </c>
      <c r="D257" s="9">
        <v>25</v>
      </c>
      <c r="E257" s="9">
        <v>10.199999999999999</v>
      </c>
      <c r="F257" s="7" t="s">
        <v>49</v>
      </c>
      <c r="G257" s="27">
        <f t="shared" si="51"/>
        <v>-1.9661677117221765</v>
      </c>
      <c r="H257" s="27">
        <f t="shared" si="52"/>
        <v>0.12280110834871699</v>
      </c>
      <c r="I257" s="48">
        <f t="shared" si="53"/>
        <v>439</v>
      </c>
      <c r="J257" s="47">
        <f t="shared" si="54"/>
        <v>0</v>
      </c>
    </row>
    <row r="258" spans="1:10" x14ac:dyDescent="0.2">
      <c r="A258" s="9">
        <v>0</v>
      </c>
      <c r="B258" s="9">
        <v>3</v>
      </c>
      <c r="C258" s="9">
        <v>7</v>
      </c>
      <c r="D258" s="9">
        <v>24</v>
      </c>
      <c r="E258" s="9">
        <v>7</v>
      </c>
      <c r="F258" s="7" t="s">
        <v>49</v>
      </c>
      <c r="G258" s="27">
        <f t="shared" ref="G258:G321" si="55">SUMPRODUCT($Q$3:$T$3,B258:E258)+$P$3</f>
        <v>-1.4235307973519857</v>
      </c>
      <c r="H258" s="27">
        <f t="shared" si="52"/>
        <v>0.19410866263018001</v>
      </c>
      <c r="I258" s="48">
        <f t="shared" si="53"/>
        <v>453</v>
      </c>
      <c r="J258" s="47">
        <f t="shared" si="54"/>
        <v>0</v>
      </c>
    </row>
    <row r="259" spans="1:10" x14ac:dyDescent="0.2">
      <c r="A259" s="9">
        <v>0</v>
      </c>
      <c r="B259" s="9">
        <v>7</v>
      </c>
      <c r="C259" s="9">
        <v>3</v>
      </c>
      <c r="D259" s="9">
        <v>22</v>
      </c>
      <c r="E259" s="9">
        <v>5.0999999999999996</v>
      </c>
      <c r="F259" s="7" t="s">
        <v>49</v>
      </c>
      <c r="G259" s="27">
        <f t="shared" si="55"/>
        <v>-2.164290417627182</v>
      </c>
      <c r="H259" s="27">
        <f t="shared" ref="H259:H322" si="56">EXP(G259)/(1+EXP(G259))</f>
        <v>0.10300336827370601</v>
      </c>
      <c r="I259" s="48">
        <f t="shared" si="53"/>
        <v>434</v>
      </c>
      <c r="J259" s="47">
        <f t="shared" si="54"/>
        <v>0</v>
      </c>
    </row>
    <row r="260" spans="1:10" x14ac:dyDescent="0.2">
      <c r="A260" s="9">
        <v>0</v>
      </c>
      <c r="B260" s="9">
        <v>0</v>
      </c>
      <c r="C260" s="9">
        <v>3</v>
      </c>
      <c r="D260" s="9">
        <v>20</v>
      </c>
      <c r="E260" s="9">
        <v>5.6</v>
      </c>
      <c r="F260" s="7" t="s">
        <v>49</v>
      </c>
      <c r="G260" s="27">
        <f t="shared" si="55"/>
        <v>-0.90000930390868072</v>
      </c>
      <c r="H260" s="27">
        <f t="shared" si="56"/>
        <v>0.28904858542265516</v>
      </c>
      <c r="I260" s="48">
        <f t="shared" si="53"/>
        <v>464</v>
      </c>
      <c r="J260" s="47">
        <f t="shared" si="54"/>
        <v>1</v>
      </c>
    </row>
    <row r="261" spans="1:10" x14ac:dyDescent="0.2">
      <c r="A261" s="9">
        <v>0</v>
      </c>
      <c r="B261" s="9">
        <v>4</v>
      </c>
      <c r="C261" s="9">
        <v>0</v>
      </c>
      <c r="D261" s="9">
        <v>26</v>
      </c>
      <c r="E261" s="9">
        <v>8.9</v>
      </c>
      <c r="F261" s="7" t="s">
        <v>49</v>
      </c>
      <c r="G261" s="27">
        <f t="shared" si="55"/>
        <v>-0.73521742969260639</v>
      </c>
      <c r="H261" s="27">
        <f t="shared" si="56"/>
        <v>0.32405084424035363</v>
      </c>
      <c r="I261" s="48">
        <f t="shared" si="53"/>
        <v>467</v>
      </c>
      <c r="J261" s="47">
        <f t="shared" si="54"/>
        <v>1</v>
      </c>
    </row>
    <row r="262" spans="1:10" x14ac:dyDescent="0.2">
      <c r="A262" s="9">
        <v>0</v>
      </c>
      <c r="B262" s="9">
        <v>11</v>
      </c>
      <c r="C262" s="9">
        <v>5</v>
      </c>
      <c r="D262" s="9">
        <v>36</v>
      </c>
      <c r="E262" s="9">
        <v>4.8</v>
      </c>
      <c r="F262" s="7" t="s">
        <v>49</v>
      </c>
      <c r="G262" s="27">
        <f t="shared" si="55"/>
        <v>-2.7949675227311603</v>
      </c>
      <c r="H262" s="27">
        <f t="shared" si="56"/>
        <v>5.7596728087593772E-2</v>
      </c>
      <c r="I262" s="48">
        <f t="shared" ref="I262:I325" si="57">ROUND($M$4+(($M$5/LN(2))*LN(H262)),0)</f>
        <v>418</v>
      </c>
      <c r="J262" s="47">
        <f t="shared" ref="J262:J325" si="58">IF(H262&gt;=$M$3,1,0)</f>
        <v>0</v>
      </c>
    </row>
    <row r="263" spans="1:10" x14ac:dyDescent="0.2">
      <c r="A263" s="9">
        <v>0</v>
      </c>
      <c r="B263" s="9">
        <v>5</v>
      </c>
      <c r="C263" s="9">
        <v>12</v>
      </c>
      <c r="D263" s="9">
        <v>20</v>
      </c>
      <c r="E263" s="9">
        <v>8.1</v>
      </c>
      <c r="F263" s="7" t="s">
        <v>49</v>
      </c>
      <c r="G263" s="27">
        <f t="shared" si="55"/>
        <v>-2.046211820095027</v>
      </c>
      <c r="H263" s="27">
        <f t="shared" si="56"/>
        <v>0.11443571577182479</v>
      </c>
      <c r="I263" s="48">
        <f t="shared" si="57"/>
        <v>437</v>
      </c>
      <c r="J263" s="47">
        <f t="shared" si="58"/>
        <v>0</v>
      </c>
    </row>
    <row r="264" spans="1:10" x14ac:dyDescent="0.2">
      <c r="A264" s="9">
        <v>0</v>
      </c>
      <c r="B264" s="9">
        <v>4</v>
      </c>
      <c r="C264" s="9">
        <v>0</v>
      </c>
      <c r="D264" s="9">
        <v>33</v>
      </c>
      <c r="E264" s="9">
        <v>4.2</v>
      </c>
      <c r="F264" s="7" t="s">
        <v>49</v>
      </c>
      <c r="G264" s="27">
        <f t="shared" si="55"/>
        <v>-1.3518754654913994</v>
      </c>
      <c r="H264" s="27">
        <f t="shared" si="56"/>
        <v>0.20556392528030437</v>
      </c>
      <c r="I264" s="48">
        <f t="shared" si="57"/>
        <v>454</v>
      </c>
      <c r="J264" s="47">
        <f t="shared" si="58"/>
        <v>1</v>
      </c>
    </row>
    <row r="265" spans="1:10" x14ac:dyDescent="0.2">
      <c r="A265" s="9">
        <v>0</v>
      </c>
      <c r="B265" s="9">
        <v>4</v>
      </c>
      <c r="C265" s="9">
        <v>10</v>
      </c>
      <c r="D265" s="9">
        <v>25</v>
      </c>
      <c r="E265" s="9">
        <v>5.8</v>
      </c>
      <c r="F265" s="7" t="s">
        <v>49</v>
      </c>
      <c r="G265" s="27">
        <f t="shared" si="55"/>
        <v>-1.994335859306418</v>
      </c>
      <c r="H265" s="27">
        <f t="shared" si="56"/>
        <v>0.11979890433561896</v>
      </c>
      <c r="I265" s="48">
        <f t="shared" si="57"/>
        <v>439</v>
      </c>
      <c r="J265" s="47">
        <f t="shared" si="58"/>
        <v>0</v>
      </c>
    </row>
    <row r="266" spans="1:10" x14ac:dyDescent="0.2">
      <c r="A266" s="9">
        <v>1</v>
      </c>
      <c r="B266" s="9">
        <v>1</v>
      </c>
      <c r="C266" s="9">
        <v>0</v>
      </c>
      <c r="D266" s="9">
        <v>20</v>
      </c>
      <c r="E266" s="9">
        <v>6.7</v>
      </c>
      <c r="F266" s="7" t="s">
        <v>49</v>
      </c>
      <c r="G266" s="27">
        <f t="shared" si="55"/>
        <v>-0.67548775923131754</v>
      </c>
      <c r="H266" s="27">
        <f t="shared" si="56"/>
        <v>0.33726913088598037</v>
      </c>
      <c r="I266" s="48">
        <f t="shared" si="57"/>
        <v>469</v>
      </c>
      <c r="J266" s="47">
        <f t="shared" si="58"/>
        <v>1</v>
      </c>
    </row>
    <row r="267" spans="1:10" x14ac:dyDescent="0.2">
      <c r="A267" s="9">
        <v>0</v>
      </c>
      <c r="B267" s="9">
        <v>9</v>
      </c>
      <c r="C267" s="9">
        <v>5</v>
      </c>
      <c r="D267" s="9">
        <v>26</v>
      </c>
      <c r="E267" s="9">
        <v>4.5</v>
      </c>
      <c r="F267" s="7" t="s">
        <v>49</v>
      </c>
      <c r="G267" s="27">
        <f t="shared" si="55"/>
        <v>-2.6827249313392754</v>
      </c>
      <c r="H267" s="27">
        <f t="shared" si="56"/>
        <v>6.4000446991842153E-2</v>
      </c>
      <c r="I267" s="48">
        <f t="shared" si="57"/>
        <v>421</v>
      </c>
      <c r="J267" s="47">
        <f t="shared" si="58"/>
        <v>0</v>
      </c>
    </row>
    <row r="268" spans="1:10" x14ac:dyDescent="0.2">
      <c r="A268" s="9">
        <v>0</v>
      </c>
      <c r="B268" s="9">
        <v>2</v>
      </c>
      <c r="C268" s="9">
        <v>7</v>
      </c>
      <c r="D268" s="9">
        <v>26</v>
      </c>
      <c r="E268" s="9">
        <v>6</v>
      </c>
      <c r="F268" s="7" t="s">
        <v>49</v>
      </c>
      <c r="G268" s="27">
        <f t="shared" si="55"/>
        <v>-1.3704399566780319</v>
      </c>
      <c r="H268" s="27">
        <f t="shared" si="56"/>
        <v>0.20254877411081995</v>
      </c>
      <c r="I268" s="48">
        <f t="shared" si="57"/>
        <v>454</v>
      </c>
      <c r="J268" s="47">
        <f t="shared" si="58"/>
        <v>1</v>
      </c>
    </row>
    <row r="269" spans="1:10" x14ac:dyDescent="0.2">
      <c r="A269" s="9">
        <v>0</v>
      </c>
      <c r="B269" s="9">
        <v>9</v>
      </c>
      <c r="C269" s="9">
        <v>10</v>
      </c>
      <c r="D269" s="9">
        <v>28</v>
      </c>
      <c r="E269" s="9">
        <v>4.3</v>
      </c>
      <c r="F269" s="7" t="s">
        <v>49</v>
      </c>
      <c r="G269" s="27">
        <f t="shared" si="55"/>
        <v>-3.0498139747953505</v>
      </c>
      <c r="H269" s="27">
        <f t="shared" si="56"/>
        <v>4.5225505401694358E-2</v>
      </c>
      <c r="I269" s="48">
        <f t="shared" si="57"/>
        <v>411</v>
      </c>
      <c r="J269" s="47">
        <f t="shared" si="58"/>
        <v>0</v>
      </c>
    </row>
    <row r="270" spans="1:10" x14ac:dyDescent="0.2">
      <c r="A270" s="9">
        <v>0</v>
      </c>
      <c r="B270" s="9">
        <v>15</v>
      </c>
      <c r="C270" s="9">
        <v>14</v>
      </c>
      <c r="D270" s="13">
        <v>117.54291069294821</v>
      </c>
      <c r="E270" s="9">
        <v>2.9</v>
      </c>
      <c r="F270" s="7" t="s">
        <v>49</v>
      </c>
      <c r="G270" s="27">
        <f t="shared" si="55"/>
        <v>-2.9249667053015735</v>
      </c>
      <c r="H270" s="27">
        <f t="shared" si="56"/>
        <v>5.0933079658013157E-2</v>
      </c>
      <c r="I270" s="48">
        <f t="shared" si="57"/>
        <v>414</v>
      </c>
      <c r="J270" s="47">
        <f t="shared" si="58"/>
        <v>0</v>
      </c>
    </row>
    <row r="271" spans="1:10" x14ac:dyDescent="0.2">
      <c r="A271" s="9">
        <v>0</v>
      </c>
      <c r="B271" s="9">
        <v>8</v>
      </c>
      <c r="C271" s="9">
        <v>4</v>
      </c>
      <c r="D271" s="9">
        <v>24</v>
      </c>
      <c r="E271" s="9">
        <v>5</v>
      </c>
      <c r="F271" s="7" t="s">
        <v>49</v>
      </c>
      <c r="G271" s="27">
        <f t="shared" si="55"/>
        <v>-2.3916309170402776</v>
      </c>
      <c r="H271" s="27">
        <f t="shared" si="56"/>
        <v>8.3813111231773596E-2</v>
      </c>
      <c r="I271" s="48">
        <f t="shared" si="57"/>
        <v>428</v>
      </c>
      <c r="J271" s="47">
        <f t="shared" si="58"/>
        <v>0</v>
      </c>
    </row>
    <row r="272" spans="1:10" x14ac:dyDescent="0.2">
      <c r="A272" s="9">
        <v>1</v>
      </c>
      <c r="B272" s="9">
        <v>1</v>
      </c>
      <c r="C272" s="9">
        <v>0</v>
      </c>
      <c r="D272" s="9">
        <v>18</v>
      </c>
      <c r="E272" s="9">
        <v>5.9</v>
      </c>
      <c r="F272" s="7" t="s">
        <v>49</v>
      </c>
      <c r="G272" s="27">
        <f t="shared" si="55"/>
        <v>-0.84083643589185053</v>
      </c>
      <c r="H272" s="27">
        <f t="shared" si="56"/>
        <v>0.30135865018016722</v>
      </c>
      <c r="I272" s="48">
        <f t="shared" si="57"/>
        <v>465</v>
      </c>
      <c r="J272" s="47">
        <f t="shared" si="58"/>
        <v>1</v>
      </c>
    </row>
    <row r="273" spans="1:10" x14ac:dyDescent="0.2">
      <c r="A273" s="9">
        <v>0</v>
      </c>
      <c r="B273" s="9">
        <v>5</v>
      </c>
      <c r="C273" s="9">
        <v>1</v>
      </c>
      <c r="D273" s="9">
        <v>33</v>
      </c>
      <c r="E273" s="9">
        <v>2.8</v>
      </c>
      <c r="F273" s="7" t="s">
        <v>49</v>
      </c>
      <c r="G273" s="27">
        <f t="shared" si="55"/>
        <v>-1.8242565351724056</v>
      </c>
      <c r="H273" s="27">
        <f t="shared" si="56"/>
        <v>0.13892390595182141</v>
      </c>
      <c r="I273" s="48">
        <f t="shared" si="57"/>
        <v>443</v>
      </c>
      <c r="J273" s="47">
        <f t="shared" si="58"/>
        <v>0</v>
      </c>
    </row>
    <row r="274" spans="1:10" x14ac:dyDescent="0.2">
      <c r="A274" s="9">
        <v>0</v>
      </c>
      <c r="B274" s="9">
        <v>8</v>
      </c>
      <c r="C274" s="9">
        <v>11</v>
      </c>
      <c r="D274" s="9">
        <v>45</v>
      </c>
      <c r="E274" s="9">
        <v>3.3</v>
      </c>
      <c r="F274" s="7" t="s">
        <v>49</v>
      </c>
      <c r="G274" s="27">
        <f t="shared" si="55"/>
        <v>-2.7875215690362967</v>
      </c>
      <c r="H274" s="27">
        <f t="shared" si="56"/>
        <v>5.8002223451666231E-2</v>
      </c>
      <c r="I274" s="48">
        <f t="shared" si="57"/>
        <v>418</v>
      </c>
      <c r="J274" s="47">
        <f t="shared" si="58"/>
        <v>0</v>
      </c>
    </row>
    <row r="275" spans="1:10" x14ac:dyDescent="0.2">
      <c r="A275" s="9">
        <v>0</v>
      </c>
      <c r="B275" s="9">
        <v>7</v>
      </c>
      <c r="C275" s="9">
        <v>2</v>
      </c>
      <c r="D275" s="9">
        <v>21</v>
      </c>
      <c r="E275" s="9">
        <v>6.3</v>
      </c>
      <c r="F275" s="7" t="s">
        <v>49</v>
      </c>
      <c r="G275" s="27">
        <f t="shared" si="55"/>
        <v>-1.9173399098334705</v>
      </c>
      <c r="H275" s="27">
        <f t="shared" si="56"/>
        <v>0.12815849467781357</v>
      </c>
      <c r="I275" s="48">
        <f t="shared" si="57"/>
        <v>441</v>
      </c>
      <c r="J275" s="47">
        <f t="shared" si="58"/>
        <v>0</v>
      </c>
    </row>
    <row r="276" spans="1:10" x14ac:dyDescent="0.2">
      <c r="A276" s="9">
        <v>0</v>
      </c>
      <c r="B276" s="9">
        <v>7</v>
      </c>
      <c r="C276" s="9">
        <v>0</v>
      </c>
      <c r="D276" s="9">
        <v>22</v>
      </c>
      <c r="E276" s="9">
        <v>6.4</v>
      </c>
      <c r="F276" s="7" t="s">
        <v>49</v>
      </c>
      <c r="G276" s="27">
        <f t="shared" si="55"/>
        <v>-1.7332591345068886</v>
      </c>
      <c r="H276" s="27">
        <f t="shared" si="56"/>
        <v>0.15017117528295854</v>
      </c>
      <c r="I276" s="48">
        <f t="shared" si="57"/>
        <v>445</v>
      </c>
      <c r="J276" s="47">
        <f t="shared" si="58"/>
        <v>0</v>
      </c>
    </row>
    <row r="277" spans="1:10" x14ac:dyDescent="0.2">
      <c r="A277" s="9">
        <v>0</v>
      </c>
      <c r="B277" s="9">
        <v>4</v>
      </c>
      <c r="C277" s="9">
        <v>3</v>
      </c>
      <c r="D277" s="9">
        <v>20</v>
      </c>
      <c r="E277" s="9">
        <v>5.4</v>
      </c>
      <c r="F277" s="7" t="s">
        <v>49</v>
      </c>
      <c r="G277" s="27">
        <f t="shared" si="55"/>
        <v>-1.6304179853515475</v>
      </c>
      <c r="H277" s="27">
        <f t="shared" si="56"/>
        <v>0.1637731094664388</v>
      </c>
      <c r="I277" s="48">
        <f t="shared" si="57"/>
        <v>448</v>
      </c>
      <c r="J277" s="47">
        <f t="shared" si="58"/>
        <v>0</v>
      </c>
    </row>
    <row r="278" spans="1:10" x14ac:dyDescent="0.2">
      <c r="A278" s="9">
        <v>0</v>
      </c>
      <c r="B278" s="9">
        <v>14</v>
      </c>
      <c r="C278" s="9">
        <v>2</v>
      </c>
      <c r="D278" s="9">
        <v>37</v>
      </c>
      <c r="E278" s="9">
        <v>2.6</v>
      </c>
      <c r="F278" s="7" t="s">
        <v>49</v>
      </c>
      <c r="G278" s="27">
        <f t="shared" si="55"/>
        <v>-3.4267576144180798</v>
      </c>
      <c r="H278" s="27">
        <f t="shared" si="56"/>
        <v>3.1469607808918117E-2</v>
      </c>
      <c r="I278" s="48">
        <f t="shared" si="57"/>
        <v>400</v>
      </c>
      <c r="J278" s="47">
        <f t="shared" si="58"/>
        <v>0</v>
      </c>
    </row>
    <row r="279" spans="1:10" x14ac:dyDescent="0.2">
      <c r="A279" s="9">
        <v>0</v>
      </c>
      <c r="B279" s="9">
        <v>19</v>
      </c>
      <c r="C279" s="9">
        <v>16</v>
      </c>
      <c r="D279" s="9">
        <v>45</v>
      </c>
      <c r="E279" s="9">
        <v>3.7</v>
      </c>
      <c r="F279" s="7" t="s">
        <v>49</v>
      </c>
      <c r="G279" s="27">
        <f t="shared" si="55"/>
        <v>-5.0177847780520182</v>
      </c>
      <c r="H279" s="27">
        <f t="shared" si="56"/>
        <v>6.5756480638289819E-3</v>
      </c>
      <c r="I279" s="48">
        <f t="shared" si="57"/>
        <v>355</v>
      </c>
      <c r="J279" s="47">
        <f t="shared" si="58"/>
        <v>0</v>
      </c>
    </row>
    <row r="280" spans="1:10" x14ac:dyDescent="0.2">
      <c r="A280" s="9">
        <v>1</v>
      </c>
      <c r="B280" s="9">
        <v>7</v>
      </c>
      <c r="C280" s="9">
        <v>8</v>
      </c>
      <c r="D280" s="9">
        <v>30</v>
      </c>
      <c r="E280" s="9">
        <v>4</v>
      </c>
      <c r="F280" s="7" t="s">
        <v>49</v>
      </c>
      <c r="G280" s="27">
        <f t="shared" si="55"/>
        <v>-2.5612999289103482</v>
      </c>
      <c r="H280" s="27">
        <f t="shared" si="56"/>
        <v>7.167100426887775E-2</v>
      </c>
      <c r="I280" s="48">
        <f t="shared" si="57"/>
        <v>424</v>
      </c>
      <c r="J280" s="47">
        <f t="shared" si="58"/>
        <v>0</v>
      </c>
    </row>
    <row r="281" spans="1:10" x14ac:dyDescent="0.2">
      <c r="A281" s="9">
        <v>1</v>
      </c>
      <c r="B281" s="9">
        <v>0</v>
      </c>
      <c r="C281" s="9">
        <v>6</v>
      </c>
      <c r="D281" s="9">
        <v>18</v>
      </c>
      <c r="E281" s="9">
        <v>5.8</v>
      </c>
      <c r="F281" s="7" t="s">
        <v>49</v>
      </c>
      <c r="G281" s="27">
        <f t="shared" si="55"/>
        <v>-1.1298065530955717</v>
      </c>
      <c r="H281" s="27">
        <f t="shared" si="56"/>
        <v>0.24419680261298071</v>
      </c>
      <c r="I281" s="48">
        <f t="shared" si="57"/>
        <v>459</v>
      </c>
      <c r="J281" s="47">
        <f t="shared" si="58"/>
        <v>1</v>
      </c>
    </row>
    <row r="282" spans="1:10" x14ac:dyDescent="0.2">
      <c r="A282" s="9">
        <v>1</v>
      </c>
      <c r="B282" s="9">
        <v>0</v>
      </c>
      <c r="C282" s="9">
        <v>0</v>
      </c>
      <c r="D282" s="9">
        <v>14</v>
      </c>
      <c r="E282" s="9">
        <v>7.5</v>
      </c>
      <c r="F282" s="7" t="s">
        <v>49</v>
      </c>
      <c r="G282" s="27">
        <f t="shared" si="55"/>
        <v>-0.48687268912572312</v>
      </c>
      <c r="H282" s="27">
        <f t="shared" si="56"/>
        <v>0.38063055840073146</v>
      </c>
      <c r="I282" s="48">
        <f t="shared" si="57"/>
        <v>472</v>
      </c>
      <c r="J282" s="47">
        <f t="shared" si="58"/>
        <v>1</v>
      </c>
    </row>
    <row r="283" spans="1:10" x14ac:dyDescent="0.2">
      <c r="A283" s="9">
        <v>1</v>
      </c>
      <c r="B283" s="9">
        <v>2</v>
      </c>
      <c r="C283" s="9">
        <v>5</v>
      </c>
      <c r="D283" s="9">
        <v>16</v>
      </c>
      <c r="E283" s="9">
        <v>6.4</v>
      </c>
      <c r="F283" s="7" t="s">
        <v>49</v>
      </c>
      <c r="G283" s="27">
        <f t="shared" si="55"/>
        <v>-1.3466731030750356</v>
      </c>
      <c r="H283" s="27">
        <f t="shared" si="56"/>
        <v>0.20641481098578654</v>
      </c>
      <c r="I283" s="48">
        <f t="shared" si="57"/>
        <v>454</v>
      </c>
      <c r="J283" s="47">
        <f t="shared" si="58"/>
        <v>1</v>
      </c>
    </row>
    <row r="284" spans="1:10" x14ac:dyDescent="0.2">
      <c r="A284" s="9">
        <v>1</v>
      </c>
      <c r="B284" s="9">
        <v>0</v>
      </c>
      <c r="C284" s="9">
        <v>18</v>
      </c>
      <c r="D284" s="9">
        <v>18</v>
      </c>
      <c r="E284" s="9">
        <v>12.9</v>
      </c>
      <c r="F284" s="7" t="s">
        <v>49</v>
      </c>
      <c r="G284" s="27">
        <f t="shared" si="55"/>
        <v>-0.89351110283526403</v>
      </c>
      <c r="H284" s="27">
        <f t="shared" si="56"/>
        <v>0.29038579084062627</v>
      </c>
      <c r="I284" s="48">
        <f t="shared" si="57"/>
        <v>464</v>
      </c>
      <c r="J284" s="47">
        <f t="shared" si="58"/>
        <v>1</v>
      </c>
    </row>
    <row r="285" spans="1:10" x14ac:dyDescent="0.2">
      <c r="A285" s="9">
        <v>0</v>
      </c>
      <c r="B285" s="9">
        <v>8</v>
      </c>
      <c r="C285" s="9">
        <v>6</v>
      </c>
      <c r="D285" s="9">
        <v>26</v>
      </c>
      <c r="E285" s="9">
        <v>4.0999999999999996</v>
      </c>
      <c r="F285" s="7" t="s">
        <v>49</v>
      </c>
      <c r="G285" s="27">
        <f t="shared" si="55"/>
        <v>-2.646456251805569</v>
      </c>
      <c r="H285" s="27">
        <f t="shared" si="56"/>
        <v>6.6207762717122767E-2</v>
      </c>
      <c r="I285" s="48">
        <f t="shared" si="57"/>
        <v>422</v>
      </c>
      <c r="J285" s="47">
        <f t="shared" si="58"/>
        <v>0</v>
      </c>
    </row>
    <row r="286" spans="1:10" x14ac:dyDescent="0.2">
      <c r="A286" s="9">
        <v>0</v>
      </c>
      <c r="B286" s="9">
        <v>2</v>
      </c>
      <c r="C286" s="9">
        <v>8</v>
      </c>
      <c r="D286" s="9">
        <v>25</v>
      </c>
      <c r="E286" s="9">
        <v>10</v>
      </c>
      <c r="F286" s="7" t="s">
        <v>49</v>
      </c>
      <c r="G286" s="27">
        <f t="shared" si="55"/>
        <v>-0.8264364178437491</v>
      </c>
      <c r="H286" s="27">
        <f t="shared" si="56"/>
        <v>0.30439909769953194</v>
      </c>
      <c r="I286" s="48">
        <f t="shared" si="57"/>
        <v>466</v>
      </c>
      <c r="J286" s="47">
        <f t="shared" si="58"/>
        <v>1</v>
      </c>
    </row>
    <row r="287" spans="1:10" x14ac:dyDescent="0.2">
      <c r="A287" s="9">
        <v>1</v>
      </c>
      <c r="B287" s="9">
        <v>2</v>
      </c>
      <c r="C287" s="9">
        <v>2</v>
      </c>
      <c r="D287" s="9">
        <v>16</v>
      </c>
      <c r="E287" s="9">
        <v>9.6</v>
      </c>
      <c r="F287" s="7" t="s">
        <v>49</v>
      </c>
      <c r="G287" s="27">
        <f t="shared" si="55"/>
        <v>-0.6128126242467089</v>
      </c>
      <c r="H287" s="27">
        <f t="shared" si="56"/>
        <v>0.35141786758613508</v>
      </c>
      <c r="I287" s="48">
        <f t="shared" si="57"/>
        <v>470</v>
      </c>
      <c r="J287" s="47">
        <f t="shared" si="58"/>
        <v>1</v>
      </c>
    </row>
    <row r="288" spans="1:10" x14ac:dyDescent="0.2">
      <c r="A288" s="9">
        <v>0</v>
      </c>
      <c r="B288" s="9">
        <v>5</v>
      </c>
      <c r="C288" s="9">
        <v>9</v>
      </c>
      <c r="D288" s="9">
        <v>23</v>
      </c>
      <c r="E288" s="9">
        <v>4.5</v>
      </c>
      <c r="F288" s="7" t="s">
        <v>49</v>
      </c>
      <c r="G288" s="27">
        <f t="shared" si="55"/>
        <v>-2.3393986239939366</v>
      </c>
      <c r="H288" s="27">
        <f t="shared" si="56"/>
        <v>8.7912123363073247E-2</v>
      </c>
      <c r="I288" s="48">
        <f t="shared" si="57"/>
        <v>430</v>
      </c>
      <c r="J288" s="47">
        <f t="shared" si="58"/>
        <v>0</v>
      </c>
    </row>
    <row r="289" spans="1:10" x14ac:dyDescent="0.2">
      <c r="A289" s="9">
        <v>0</v>
      </c>
      <c r="B289" s="9">
        <v>12</v>
      </c>
      <c r="C289" s="9">
        <v>12</v>
      </c>
      <c r="D289" s="9">
        <v>28</v>
      </c>
      <c r="E289" s="9">
        <v>2.9</v>
      </c>
      <c r="F289" s="7" t="s">
        <v>49</v>
      </c>
      <c r="G289" s="27">
        <f t="shared" si="55"/>
        <v>-3.946071793056686</v>
      </c>
      <c r="H289" s="27">
        <f t="shared" si="56"/>
        <v>1.8963905453642953E-2</v>
      </c>
      <c r="I289" s="48">
        <f t="shared" si="57"/>
        <v>386</v>
      </c>
      <c r="J289" s="47">
        <f t="shared" si="58"/>
        <v>0</v>
      </c>
    </row>
    <row r="290" spans="1:10" x14ac:dyDescent="0.2">
      <c r="A290" s="9">
        <v>0</v>
      </c>
      <c r="B290" s="9">
        <v>13</v>
      </c>
      <c r="C290" s="9">
        <v>2</v>
      </c>
      <c r="D290" s="9">
        <v>28</v>
      </c>
      <c r="E290" s="9">
        <v>5.9</v>
      </c>
      <c r="F290" s="7" t="s">
        <v>49</v>
      </c>
      <c r="G290" s="27">
        <f t="shared" si="55"/>
        <v>-2.8964455466086929</v>
      </c>
      <c r="H290" s="27">
        <f t="shared" si="56"/>
        <v>5.2329552358289219E-2</v>
      </c>
      <c r="I290" s="48">
        <f t="shared" si="57"/>
        <v>415</v>
      </c>
      <c r="J290" s="47">
        <f t="shared" si="58"/>
        <v>0</v>
      </c>
    </row>
    <row r="291" spans="1:10" x14ac:dyDescent="0.2">
      <c r="A291" s="9">
        <v>0</v>
      </c>
      <c r="B291" s="9">
        <v>8</v>
      </c>
      <c r="C291" s="9">
        <v>2</v>
      </c>
      <c r="D291" s="9">
        <v>45</v>
      </c>
      <c r="E291" s="9">
        <v>3.7</v>
      </c>
      <c r="F291" s="7" t="s">
        <v>49</v>
      </c>
      <c r="G291" s="27">
        <f t="shared" si="55"/>
        <v>-2.0522709749270578</v>
      </c>
      <c r="H291" s="27">
        <f t="shared" si="56"/>
        <v>0.11382311294705354</v>
      </c>
      <c r="I291" s="48">
        <f t="shared" si="57"/>
        <v>437</v>
      </c>
      <c r="J291" s="47">
        <f t="shared" si="58"/>
        <v>0</v>
      </c>
    </row>
    <row r="292" spans="1:10" x14ac:dyDescent="0.2">
      <c r="A292" s="9">
        <v>0</v>
      </c>
      <c r="B292" s="9">
        <v>13</v>
      </c>
      <c r="C292" s="9">
        <v>10</v>
      </c>
      <c r="D292" s="9">
        <v>44</v>
      </c>
      <c r="E292" s="9">
        <v>1.7</v>
      </c>
      <c r="F292" s="7" t="s">
        <v>49</v>
      </c>
      <c r="G292" s="27">
        <f t="shared" si="55"/>
        <v>-3.8600105704437926</v>
      </c>
      <c r="H292" s="27">
        <f t="shared" si="56"/>
        <v>2.0633083625066218E-2</v>
      </c>
      <c r="I292" s="48">
        <f t="shared" si="57"/>
        <v>388</v>
      </c>
      <c r="J292" s="47">
        <f t="shared" si="58"/>
        <v>0</v>
      </c>
    </row>
    <row r="293" spans="1:10" x14ac:dyDescent="0.2">
      <c r="A293" s="9">
        <v>1</v>
      </c>
      <c r="B293" s="9">
        <v>1</v>
      </c>
      <c r="C293" s="9">
        <v>0</v>
      </c>
      <c r="D293" s="9">
        <v>20</v>
      </c>
      <c r="E293" s="9">
        <v>4.8</v>
      </c>
      <c r="F293" s="7" t="s">
        <v>49</v>
      </c>
      <c r="G293" s="27">
        <f t="shared" si="55"/>
        <v>-0.97831695493935111</v>
      </c>
      <c r="H293" s="27">
        <f t="shared" si="56"/>
        <v>0.27322586420488992</v>
      </c>
      <c r="I293" s="48">
        <f t="shared" si="57"/>
        <v>463</v>
      </c>
      <c r="J293" s="47">
        <f t="shared" si="58"/>
        <v>1</v>
      </c>
    </row>
    <row r="294" spans="1:10" x14ac:dyDescent="0.2">
      <c r="A294" s="9">
        <v>0</v>
      </c>
      <c r="B294" s="9">
        <v>3</v>
      </c>
      <c r="C294" s="9">
        <v>3</v>
      </c>
      <c r="D294" s="9">
        <v>25</v>
      </c>
      <c r="E294" s="9">
        <v>3.7</v>
      </c>
      <c r="F294" s="7" t="s">
        <v>49</v>
      </c>
      <c r="G294" s="27">
        <f t="shared" si="55"/>
        <v>-1.6321333253948278</v>
      </c>
      <c r="H294" s="27">
        <f t="shared" si="56"/>
        <v>0.16353832657915884</v>
      </c>
      <c r="I294" s="48">
        <f t="shared" si="57"/>
        <v>448</v>
      </c>
      <c r="J294" s="47">
        <f t="shared" si="58"/>
        <v>0</v>
      </c>
    </row>
    <row r="295" spans="1:10" x14ac:dyDescent="0.2">
      <c r="A295" s="9">
        <v>0</v>
      </c>
      <c r="B295" s="9">
        <v>9</v>
      </c>
      <c r="C295" s="9">
        <v>10</v>
      </c>
      <c r="D295" s="9">
        <v>28</v>
      </c>
      <c r="E295" s="9">
        <v>2.4</v>
      </c>
      <c r="F295" s="7" t="s">
        <v>49</v>
      </c>
      <c r="G295" s="27">
        <f t="shared" si="55"/>
        <v>-3.3526431705033839</v>
      </c>
      <c r="H295" s="27">
        <f t="shared" si="56"/>
        <v>3.3808716705606243E-2</v>
      </c>
      <c r="I295" s="48">
        <f t="shared" si="57"/>
        <v>402</v>
      </c>
      <c r="J295" s="47">
        <f t="shared" si="58"/>
        <v>0</v>
      </c>
    </row>
    <row r="296" spans="1:10" x14ac:dyDescent="0.2">
      <c r="A296" s="9">
        <v>0</v>
      </c>
      <c r="B296" s="9">
        <v>3</v>
      </c>
      <c r="C296" s="9">
        <v>18</v>
      </c>
      <c r="D296" s="9">
        <v>25</v>
      </c>
      <c r="E296" s="9">
        <v>3.7</v>
      </c>
      <c r="F296" s="7" t="s">
        <v>49</v>
      </c>
      <c r="G296" s="27">
        <f t="shared" si="55"/>
        <v>-2.7512951241003898</v>
      </c>
      <c r="H296" s="27">
        <f t="shared" si="56"/>
        <v>6.0013548088043205E-2</v>
      </c>
      <c r="I296" s="48">
        <f t="shared" si="57"/>
        <v>419</v>
      </c>
      <c r="J296" s="47">
        <f t="shared" si="58"/>
        <v>0</v>
      </c>
    </row>
    <row r="297" spans="1:10" x14ac:dyDescent="0.2">
      <c r="A297" s="9">
        <v>0</v>
      </c>
      <c r="B297" s="9">
        <v>14</v>
      </c>
      <c r="C297" s="9">
        <v>0</v>
      </c>
      <c r="D297" s="9">
        <v>36</v>
      </c>
      <c r="E297" s="9">
        <v>2.4</v>
      </c>
      <c r="F297" s="7" t="s">
        <v>49</v>
      </c>
      <c r="G297" s="27">
        <f t="shared" si="55"/>
        <v>-3.3283336221446542</v>
      </c>
      <c r="H297" s="27">
        <f t="shared" si="56"/>
        <v>3.4611867285787419E-2</v>
      </c>
      <c r="I297" s="48">
        <f t="shared" si="57"/>
        <v>403</v>
      </c>
      <c r="J297" s="47">
        <f t="shared" si="58"/>
        <v>0</v>
      </c>
    </row>
    <row r="298" spans="1:10" x14ac:dyDescent="0.2">
      <c r="A298" s="9">
        <v>0</v>
      </c>
      <c r="B298" s="9">
        <v>13</v>
      </c>
      <c r="C298" s="9">
        <v>3</v>
      </c>
      <c r="D298" s="9">
        <v>105</v>
      </c>
      <c r="E298" s="9">
        <v>1.9</v>
      </c>
      <c r="F298" s="7" t="s">
        <v>49</v>
      </c>
      <c r="G298" s="27">
        <f t="shared" si="55"/>
        <v>-2.1516880768319986</v>
      </c>
      <c r="H298" s="27">
        <f t="shared" si="56"/>
        <v>0.10417358404927744</v>
      </c>
      <c r="I298" s="48">
        <f t="shared" si="57"/>
        <v>435</v>
      </c>
      <c r="J298" s="47">
        <f t="shared" si="58"/>
        <v>0</v>
      </c>
    </row>
    <row r="299" spans="1:10" x14ac:dyDescent="0.2">
      <c r="A299" s="9">
        <v>0</v>
      </c>
      <c r="B299" s="9">
        <v>6</v>
      </c>
      <c r="C299" s="9">
        <v>0</v>
      </c>
      <c r="D299" s="9">
        <v>35</v>
      </c>
      <c r="E299" s="9">
        <v>1.9</v>
      </c>
      <c r="F299" s="7" t="s">
        <v>49</v>
      </c>
      <c r="G299" s="27">
        <f t="shared" si="55"/>
        <v>-2.0298824911965636</v>
      </c>
      <c r="H299" s="27">
        <f t="shared" si="56"/>
        <v>0.11610098045970946</v>
      </c>
      <c r="I299" s="48">
        <f t="shared" si="57"/>
        <v>438</v>
      </c>
      <c r="J299" s="47">
        <f t="shared" si="58"/>
        <v>0</v>
      </c>
    </row>
    <row r="300" spans="1:10" x14ac:dyDescent="0.2">
      <c r="A300" s="9">
        <v>1</v>
      </c>
      <c r="B300" s="9">
        <v>2</v>
      </c>
      <c r="C300" s="9">
        <v>4</v>
      </c>
      <c r="D300" s="9">
        <v>41</v>
      </c>
      <c r="E300" s="9">
        <v>2.5</v>
      </c>
      <c r="F300" s="7" t="s">
        <v>49</v>
      </c>
      <c r="G300" s="27">
        <f t="shared" si="55"/>
        <v>-1.4206385005230895</v>
      </c>
      <c r="H300" s="27">
        <f t="shared" si="56"/>
        <v>0.19456150636764277</v>
      </c>
      <c r="I300" s="48">
        <f t="shared" si="57"/>
        <v>453</v>
      </c>
      <c r="J300" s="47">
        <f t="shared" si="58"/>
        <v>0</v>
      </c>
    </row>
    <row r="301" spans="1:10" x14ac:dyDescent="0.2">
      <c r="A301" s="9">
        <v>0</v>
      </c>
      <c r="B301" s="9">
        <v>15</v>
      </c>
      <c r="C301" s="9">
        <v>10</v>
      </c>
      <c r="D301" s="9">
        <v>39</v>
      </c>
      <c r="E301" s="9">
        <v>3.2</v>
      </c>
      <c r="F301" s="7" t="s">
        <v>49</v>
      </c>
      <c r="G301" s="27">
        <f t="shared" si="55"/>
        <v>-4.0648049688434433</v>
      </c>
      <c r="H301" s="27">
        <f t="shared" si="56"/>
        <v>1.6876627051684131E-2</v>
      </c>
      <c r="I301" s="48">
        <f t="shared" si="57"/>
        <v>382</v>
      </c>
      <c r="J301" s="47">
        <f t="shared" si="58"/>
        <v>0</v>
      </c>
    </row>
    <row r="302" spans="1:10" x14ac:dyDescent="0.2">
      <c r="A302" s="9">
        <v>0</v>
      </c>
      <c r="B302" s="9">
        <v>18</v>
      </c>
      <c r="C302" s="9">
        <v>9</v>
      </c>
      <c r="D302" s="9">
        <v>44</v>
      </c>
      <c r="E302" s="9">
        <v>2.1</v>
      </c>
      <c r="F302" s="7" t="s">
        <v>49</v>
      </c>
      <c r="G302" s="27">
        <f t="shared" si="55"/>
        <v>-4.5948111739774156</v>
      </c>
      <c r="H302" s="27">
        <f t="shared" si="56"/>
        <v>1.000305635620966E-2</v>
      </c>
      <c r="I302" s="48">
        <f t="shared" si="57"/>
        <v>367</v>
      </c>
      <c r="J302" s="47">
        <f t="shared" si="58"/>
        <v>0</v>
      </c>
    </row>
    <row r="303" spans="1:10" x14ac:dyDescent="0.2">
      <c r="A303" s="9">
        <v>0</v>
      </c>
      <c r="B303" s="9">
        <v>8</v>
      </c>
      <c r="C303" s="9">
        <v>0</v>
      </c>
      <c r="D303" s="9">
        <v>21</v>
      </c>
      <c r="E303" s="9">
        <v>4</v>
      </c>
      <c r="F303" s="7" t="s">
        <v>49</v>
      </c>
      <c r="G303" s="27">
        <f t="shared" si="55"/>
        <v>-2.309334028266643</v>
      </c>
      <c r="H303" s="27">
        <f t="shared" si="56"/>
        <v>9.0352865473089683E-2</v>
      </c>
      <c r="I303" s="48">
        <f t="shared" si="57"/>
        <v>431</v>
      </c>
      <c r="J303" s="47">
        <f t="shared" si="58"/>
        <v>0</v>
      </c>
    </row>
    <row r="304" spans="1:10" x14ac:dyDescent="0.2">
      <c r="A304" s="9">
        <v>0</v>
      </c>
      <c r="B304" s="9">
        <v>15</v>
      </c>
      <c r="C304" s="9">
        <v>16</v>
      </c>
      <c r="D304" s="9">
        <v>39</v>
      </c>
      <c r="E304" s="9">
        <v>1.8</v>
      </c>
      <c r="F304" s="7" t="s">
        <v>49</v>
      </c>
      <c r="G304" s="27">
        <f t="shared" si="55"/>
        <v>-4.7356069904263247</v>
      </c>
      <c r="H304" s="27">
        <f t="shared" si="56"/>
        <v>8.7007520457620703E-3</v>
      </c>
      <c r="I304" s="48">
        <f t="shared" si="57"/>
        <v>363</v>
      </c>
      <c r="J304" s="47">
        <f t="shared" si="58"/>
        <v>0</v>
      </c>
    </row>
    <row r="305" spans="1:10" x14ac:dyDescent="0.2">
      <c r="A305" s="9">
        <v>0</v>
      </c>
      <c r="B305" s="9">
        <v>13</v>
      </c>
      <c r="C305" s="9">
        <v>7</v>
      </c>
      <c r="D305" s="9">
        <v>27</v>
      </c>
      <c r="E305" s="9">
        <v>2.2999999999999998</v>
      </c>
      <c r="F305" s="7" t="s">
        <v>49</v>
      </c>
      <c r="G305" s="27">
        <f t="shared" si="55"/>
        <v>-3.8622019369280283</v>
      </c>
      <c r="H305" s="27">
        <f t="shared" si="56"/>
        <v>2.0588848380192763E-2</v>
      </c>
      <c r="I305" s="48">
        <f t="shared" si="57"/>
        <v>388</v>
      </c>
      <c r="J305" s="47">
        <f t="shared" si="58"/>
        <v>0</v>
      </c>
    </row>
    <row r="306" spans="1:10" x14ac:dyDescent="0.2">
      <c r="A306" s="9">
        <v>0</v>
      </c>
      <c r="B306" s="9">
        <v>5</v>
      </c>
      <c r="C306" s="9">
        <v>6</v>
      </c>
      <c r="D306" s="9">
        <v>75</v>
      </c>
      <c r="E306" s="9">
        <v>1.9</v>
      </c>
      <c r="F306" s="7" t="s">
        <v>49</v>
      </c>
      <c r="G306" s="27">
        <f t="shared" si="55"/>
        <v>-1.5460812919042204</v>
      </c>
      <c r="H306" s="27">
        <f t="shared" si="56"/>
        <v>0.1756529721812353</v>
      </c>
      <c r="I306" s="48">
        <f t="shared" si="57"/>
        <v>450</v>
      </c>
      <c r="J306" s="47">
        <f t="shared" si="58"/>
        <v>0</v>
      </c>
    </row>
    <row r="307" spans="1:10" x14ac:dyDescent="0.2">
      <c r="A307" s="9">
        <v>0</v>
      </c>
      <c r="B307" s="9">
        <v>4</v>
      </c>
      <c r="C307" s="9">
        <v>9</v>
      </c>
      <c r="D307" s="9">
        <v>19</v>
      </c>
      <c r="E307" s="9">
        <v>6.3</v>
      </c>
      <c r="F307" s="7" t="s">
        <v>49</v>
      </c>
      <c r="G307" s="27">
        <f t="shared" si="55"/>
        <v>-1.9535581197848582</v>
      </c>
      <c r="H307" s="27">
        <f t="shared" si="56"/>
        <v>0.12416589945829649</v>
      </c>
      <c r="I307" s="48">
        <f t="shared" si="57"/>
        <v>440</v>
      </c>
      <c r="J307" s="47">
        <f t="shared" si="58"/>
        <v>0</v>
      </c>
    </row>
    <row r="308" spans="1:10" x14ac:dyDescent="0.2">
      <c r="A308" s="9">
        <v>0</v>
      </c>
      <c r="B308" s="9">
        <v>20</v>
      </c>
      <c r="C308" s="9">
        <v>2</v>
      </c>
      <c r="D308" s="9">
        <v>56</v>
      </c>
      <c r="E308" s="9">
        <v>1.9</v>
      </c>
      <c r="F308" s="7" t="s">
        <v>49</v>
      </c>
      <c r="G308" s="27">
        <f t="shared" si="55"/>
        <v>-4.226628506025353</v>
      </c>
      <c r="H308" s="27">
        <f t="shared" si="56"/>
        <v>1.4391400090973477E-2</v>
      </c>
      <c r="I308" s="48">
        <f t="shared" si="57"/>
        <v>378</v>
      </c>
      <c r="J308" s="47">
        <f t="shared" si="58"/>
        <v>0</v>
      </c>
    </row>
    <row r="309" spans="1:10" x14ac:dyDescent="0.2">
      <c r="A309" s="9">
        <v>0</v>
      </c>
      <c r="B309" s="9">
        <v>1</v>
      </c>
      <c r="C309" s="9">
        <v>0</v>
      </c>
      <c r="D309" s="9">
        <v>18</v>
      </c>
      <c r="E309" s="9">
        <v>4.4000000000000004</v>
      </c>
      <c r="F309" s="7" t="s">
        <v>49</v>
      </c>
      <c r="G309" s="27">
        <f t="shared" si="55"/>
        <v>-1.0799121167139822</v>
      </c>
      <c r="H309" s="27">
        <f t="shared" si="56"/>
        <v>0.25352264811859548</v>
      </c>
      <c r="I309" s="48">
        <f t="shared" si="57"/>
        <v>460</v>
      </c>
      <c r="J309" s="47">
        <f t="shared" si="58"/>
        <v>1</v>
      </c>
    </row>
    <row r="310" spans="1:10" x14ac:dyDescent="0.2">
      <c r="A310" s="9">
        <v>0</v>
      </c>
      <c r="B310" s="9">
        <v>3</v>
      </c>
      <c r="C310" s="9">
        <v>7</v>
      </c>
      <c r="D310" s="9">
        <v>19</v>
      </c>
      <c r="E310" s="9">
        <v>4.0999999999999996</v>
      </c>
      <c r="F310" s="7" t="s">
        <v>49</v>
      </c>
      <c r="G310" s="27">
        <f t="shared" si="55"/>
        <v>-1.9803478974965976</v>
      </c>
      <c r="H310" s="27">
        <f t="shared" si="56"/>
        <v>0.12128175670323357</v>
      </c>
      <c r="I310" s="48">
        <f t="shared" si="57"/>
        <v>439</v>
      </c>
      <c r="J310" s="47">
        <f t="shared" si="58"/>
        <v>0</v>
      </c>
    </row>
    <row r="311" spans="1:10" x14ac:dyDescent="0.2">
      <c r="A311" s="9">
        <v>0</v>
      </c>
      <c r="B311" s="9">
        <v>22</v>
      </c>
      <c r="C311" s="9">
        <v>3</v>
      </c>
      <c r="D311" s="9">
        <v>52</v>
      </c>
      <c r="E311" s="9">
        <v>3.2</v>
      </c>
      <c r="F311" s="7" t="s">
        <v>49</v>
      </c>
      <c r="G311" s="27">
        <f t="shared" si="55"/>
        <v>-4.5189896250039592</v>
      </c>
      <c r="H311" s="27">
        <f t="shared" si="56"/>
        <v>1.0782501621379621E-2</v>
      </c>
      <c r="I311" s="48">
        <f t="shared" si="57"/>
        <v>369</v>
      </c>
      <c r="J311" s="47">
        <f t="shared" si="58"/>
        <v>0</v>
      </c>
    </row>
    <row r="312" spans="1:10" x14ac:dyDescent="0.2">
      <c r="A312" s="9">
        <v>0</v>
      </c>
      <c r="B312" s="9">
        <v>10</v>
      </c>
      <c r="C312" s="9">
        <v>2</v>
      </c>
      <c r="D312" s="9">
        <v>19</v>
      </c>
      <c r="E312" s="9">
        <v>4.4000000000000004</v>
      </c>
      <c r="F312" s="7" t="s">
        <v>49</v>
      </c>
      <c r="G312" s="27">
        <f t="shared" si="55"/>
        <v>-2.7819096954301705</v>
      </c>
      <c r="H312" s="27">
        <f t="shared" si="56"/>
        <v>5.8309606445329627E-2</v>
      </c>
      <c r="I312" s="48">
        <f t="shared" si="57"/>
        <v>418</v>
      </c>
      <c r="J312" s="47">
        <f t="shared" si="58"/>
        <v>0</v>
      </c>
    </row>
    <row r="313" spans="1:10" x14ac:dyDescent="0.2">
      <c r="A313" s="9">
        <v>0</v>
      </c>
      <c r="B313" s="9">
        <v>8</v>
      </c>
      <c r="C313" s="9">
        <v>0</v>
      </c>
      <c r="D313" s="9">
        <v>32</v>
      </c>
      <c r="E313" s="9">
        <v>1.6</v>
      </c>
      <c r="F313" s="7" t="s">
        <v>49</v>
      </c>
      <c r="G313" s="27">
        <f t="shared" si="55"/>
        <v>-2.483726059694042</v>
      </c>
      <c r="H313" s="27">
        <f t="shared" si="56"/>
        <v>7.7006947687551661E-2</v>
      </c>
      <c r="I313" s="48">
        <f t="shared" si="57"/>
        <v>426</v>
      </c>
      <c r="J313" s="47">
        <f t="shared" si="58"/>
        <v>0</v>
      </c>
    </row>
    <row r="314" spans="1:10" x14ac:dyDescent="0.2">
      <c r="A314" s="9">
        <v>0</v>
      </c>
      <c r="B314" s="9">
        <v>5</v>
      </c>
      <c r="C314" s="9">
        <v>9</v>
      </c>
      <c r="D314" s="9">
        <v>22</v>
      </c>
      <c r="E314" s="9">
        <v>2.8</v>
      </c>
      <c r="F314" s="7" t="s">
        <v>49</v>
      </c>
      <c r="G314" s="27">
        <f t="shared" si="55"/>
        <v>-2.6292718857033837</v>
      </c>
      <c r="H314" s="27">
        <f t="shared" si="56"/>
        <v>6.7278126663026808E-2</v>
      </c>
      <c r="I314" s="48">
        <f t="shared" si="57"/>
        <v>422</v>
      </c>
      <c r="J314" s="47">
        <f t="shared" si="58"/>
        <v>0</v>
      </c>
    </row>
    <row r="315" spans="1:10" x14ac:dyDescent="0.2">
      <c r="A315" s="9">
        <v>0</v>
      </c>
      <c r="B315" s="9">
        <v>10</v>
      </c>
      <c r="C315" s="9">
        <v>1</v>
      </c>
      <c r="D315" s="9">
        <v>25</v>
      </c>
      <c r="E315" s="9">
        <v>7.1</v>
      </c>
      <c r="F315" s="7" t="s">
        <v>49</v>
      </c>
      <c r="G315" s="27">
        <f t="shared" si="55"/>
        <v>-2.1634377427037741</v>
      </c>
      <c r="H315" s="27">
        <f t="shared" si="56"/>
        <v>0.10308217671554441</v>
      </c>
      <c r="I315" s="48">
        <f t="shared" si="57"/>
        <v>434</v>
      </c>
      <c r="J315" s="47">
        <f t="shared" si="58"/>
        <v>0</v>
      </c>
    </row>
    <row r="316" spans="1:10" x14ac:dyDescent="0.2">
      <c r="A316" s="9">
        <v>0</v>
      </c>
      <c r="B316" s="9">
        <v>8</v>
      </c>
      <c r="C316" s="9">
        <v>17</v>
      </c>
      <c r="D316" s="9">
        <v>28</v>
      </c>
      <c r="E316" s="9">
        <v>3.6</v>
      </c>
      <c r="F316" s="7" t="s">
        <v>49</v>
      </c>
      <c r="G316" s="27">
        <f t="shared" si="55"/>
        <v>-3.509025150908295</v>
      </c>
      <c r="H316" s="27">
        <f t="shared" si="56"/>
        <v>2.9056525894141177E-2</v>
      </c>
      <c r="I316" s="48">
        <f t="shared" si="57"/>
        <v>398</v>
      </c>
      <c r="J316" s="47">
        <f t="shared" si="58"/>
        <v>0</v>
      </c>
    </row>
    <row r="317" spans="1:10" x14ac:dyDescent="0.2">
      <c r="A317" s="9">
        <v>0</v>
      </c>
      <c r="B317" s="9">
        <v>1</v>
      </c>
      <c r="C317" s="9">
        <v>7</v>
      </c>
      <c r="D317" s="9">
        <v>27</v>
      </c>
      <c r="E317" s="9">
        <v>2.9</v>
      </c>
      <c r="F317" s="7" t="s">
        <v>49</v>
      </c>
      <c r="G317" s="27">
        <f t="shared" si="55"/>
        <v>-1.6709758925994271</v>
      </c>
      <c r="H317" s="27">
        <f t="shared" si="56"/>
        <v>0.15829411039635008</v>
      </c>
      <c r="I317" s="48">
        <f t="shared" si="57"/>
        <v>447</v>
      </c>
      <c r="J317" s="47">
        <f t="shared" si="58"/>
        <v>0</v>
      </c>
    </row>
    <row r="318" spans="1:10" x14ac:dyDescent="0.2">
      <c r="A318" s="9">
        <v>0</v>
      </c>
      <c r="B318" s="9">
        <v>3</v>
      </c>
      <c r="C318" s="9">
        <v>13</v>
      </c>
      <c r="D318" s="9">
        <v>47</v>
      </c>
      <c r="E318" s="9">
        <v>1.9</v>
      </c>
      <c r="F318" s="7" t="s">
        <v>49</v>
      </c>
      <c r="G318" s="27">
        <f t="shared" si="55"/>
        <v>-2.2488738924090699</v>
      </c>
      <c r="H318" s="27">
        <f t="shared" si="56"/>
        <v>9.5446644897840285E-2</v>
      </c>
      <c r="I318" s="48">
        <f t="shared" si="57"/>
        <v>432</v>
      </c>
      <c r="J318" s="47">
        <f t="shared" si="58"/>
        <v>0</v>
      </c>
    </row>
    <row r="319" spans="1:10" x14ac:dyDescent="0.2">
      <c r="A319" s="9">
        <v>0</v>
      </c>
      <c r="B319" s="9">
        <v>3</v>
      </c>
      <c r="C319" s="9">
        <v>0</v>
      </c>
      <c r="D319" s="9">
        <v>19</v>
      </c>
      <c r="E319" s="9">
        <v>4.3</v>
      </c>
      <c r="F319" s="7" t="s">
        <v>49</v>
      </c>
      <c r="G319" s="27">
        <f t="shared" si="55"/>
        <v>-1.4261956339910511</v>
      </c>
      <c r="H319" s="27">
        <f t="shared" si="56"/>
        <v>0.19369214070422336</v>
      </c>
      <c r="I319" s="48">
        <f t="shared" si="57"/>
        <v>453</v>
      </c>
      <c r="J319" s="47">
        <f t="shared" si="58"/>
        <v>0</v>
      </c>
    </row>
    <row r="320" spans="1:10" x14ac:dyDescent="0.2">
      <c r="A320" s="9">
        <v>0</v>
      </c>
      <c r="B320" s="9">
        <v>4</v>
      </c>
      <c r="C320" s="9">
        <v>13</v>
      </c>
      <c r="D320" s="9">
        <v>56</v>
      </c>
      <c r="E320" s="9">
        <v>1.6</v>
      </c>
      <c r="F320" s="7" t="s">
        <v>49</v>
      </c>
      <c r="G320" s="27">
        <f t="shared" si="55"/>
        <v>-2.3010345985741925</v>
      </c>
      <c r="H320" s="27">
        <f t="shared" si="56"/>
        <v>9.1037312248021918E-2</v>
      </c>
      <c r="I320" s="48">
        <f t="shared" si="57"/>
        <v>431</v>
      </c>
      <c r="J320" s="47">
        <f t="shared" si="58"/>
        <v>0</v>
      </c>
    </row>
    <row r="321" spans="1:10" x14ac:dyDescent="0.2">
      <c r="A321" s="9">
        <v>0</v>
      </c>
      <c r="B321" s="9">
        <v>4</v>
      </c>
      <c r="C321" s="9">
        <v>2</v>
      </c>
      <c r="D321" s="9">
        <v>21</v>
      </c>
      <c r="E321" s="9">
        <v>2.6</v>
      </c>
      <c r="F321" s="7" t="s">
        <v>49</v>
      </c>
      <c r="G321" s="27">
        <f t="shared" si="55"/>
        <v>-1.9831609795281249</v>
      </c>
      <c r="H321" s="27">
        <f t="shared" si="56"/>
        <v>0.12098227879130935</v>
      </c>
      <c r="I321" s="48">
        <f t="shared" si="57"/>
        <v>439</v>
      </c>
      <c r="J321" s="47">
        <f t="shared" si="58"/>
        <v>0</v>
      </c>
    </row>
    <row r="322" spans="1:10" x14ac:dyDescent="0.2">
      <c r="A322" s="9">
        <v>0</v>
      </c>
      <c r="B322" s="9">
        <v>14</v>
      </c>
      <c r="C322" s="9">
        <v>3</v>
      </c>
      <c r="D322" s="9">
        <v>44</v>
      </c>
      <c r="E322" s="9">
        <v>1.7</v>
      </c>
      <c r="F322" s="7" t="s">
        <v>49</v>
      </c>
      <c r="G322" s="27">
        <f t="shared" ref="G322:G385" si="59">SUMPRODUCT($Q$3:$T$3,B322:E322)+$P$3</f>
        <v>-3.5123680453811765</v>
      </c>
      <c r="H322" s="27">
        <f t="shared" si="56"/>
        <v>2.8962363667578456E-2</v>
      </c>
      <c r="I322" s="48">
        <f t="shared" si="57"/>
        <v>398</v>
      </c>
      <c r="J322" s="47">
        <f t="shared" si="58"/>
        <v>0</v>
      </c>
    </row>
    <row r="323" spans="1:10" x14ac:dyDescent="0.2">
      <c r="A323" s="9">
        <v>1</v>
      </c>
      <c r="B323" s="9">
        <v>4</v>
      </c>
      <c r="C323" s="9">
        <v>3</v>
      </c>
      <c r="D323" s="9">
        <v>27</v>
      </c>
      <c r="E323" s="9">
        <v>10.5</v>
      </c>
      <c r="F323" s="7" t="s">
        <v>49</v>
      </c>
      <c r="G323" s="27">
        <f t="shared" si="59"/>
        <v>-0.68511490644574669</v>
      </c>
      <c r="H323" s="27">
        <f t="shared" ref="H323:H386" si="60">EXP(G323)/(1+EXP(G323))</f>
        <v>0.33512066625164433</v>
      </c>
      <c r="I323" s="48">
        <f t="shared" si="57"/>
        <v>468</v>
      </c>
      <c r="J323" s="47">
        <f t="shared" si="58"/>
        <v>1</v>
      </c>
    </row>
    <row r="324" spans="1:10" x14ac:dyDescent="0.2">
      <c r="A324" s="9">
        <v>0</v>
      </c>
      <c r="B324" s="9">
        <v>16</v>
      </c>
      <c r="C324" s="9">
        <v>22</v>
      </c>
      <c r="D324" s="9">
        <v>49</v>
      </c>
      <c r="E324" s="9">
        <v>1.6</v>
      </c>
      <c r="F324" s="7" t="s">
        <v>49</v>
      </c>
      <c r="G324" s="27">
        <f t="shared" si="59"/>
        <v>-5.2005732139078322</v>
      </c>
      <c r="H324" s="27">
        <f t="shared" si="60"/>
        <v>5.4831722164385985E-3</v>
      </c>
      <c r="I324" s="48">
        <f t="shared" si="57"/>
        <v>350</v>
      </c>
      <c r="J324" s="47">
        <f t="shared" si="58"/>
        <v>0</v>
      </c>
    </row>
    <row r="325" spans="1:10" x14ac:dyDescent="0.2">
      <c r="A325" s="9">
        <v>0</v>
      </c>
      <c r="B325" s="9">
        <v>0</v>
      </c>
      <c r="C325" s="9">
        <v>21</v>
      </c>
      <c r="D325" s="9">
        <v>26</v>
      </c>
      <c r="E325" s="9">
        <v>1.7</v>
      </c>
      <c r="F325" s="7" t="s">
        <v>49</v>
      </c>
      <c r="G325" s="27">
        <f t="shared" si="59"/>
        <v>-2.7510752918267087</v>
      </c>
      <c r="H325" s="27">
        <f t="shared" si="60"/>
        <v>6.0025950448694958E-2</v>
      </c>
      <c r="I325" s="48">
        <f t="shared" si="57"/>
        <v>419</v>
      </c>
      <c r="J325" s="47">
        <f t="shared" si="58"/>
        <v>0</v>
      </c>
    </row>
    <row r="326" spans="1:10" x14ac:dyDescent="0.2">
      <c r="A326" s="9">
        <v>0</v>
      </c>
      <c r="B326" s="9">
        <v>3</v>
      </c>
      <c r="C326" s="9">
        <v>15</v>
      </c>
      <c r="D326" s="9">
        <v>20</v>
      </c>
      <c r="E326" s="9">
        <v>2.1</v>
      </c>
      <c r="F326" s="7" t="s">
        <v>49</v>
      </c>
      <c r="G326" s="27">
        <f t="shared" si="59"/>
        <v>-2.8770809411247082</v>
      </c>
      <c r="H326" s="27">
        <f t="shared" si="60"/>
        <v>5.3298232991911207E-2</v>
      </c>
      <c r="I326" s="48">
        <f t="shared" ref="I326:I389" si="61">ROUND($M$4+(($M$5/LN(2))*LN(H326)),0)</f>
        <v>415</v>
      </c>
      <c r="J326" s="47">
        <f t="shared" ref="J326:J389" si="62">IF(H326&gt;=$M$3,1,0)</f>
        <v>0</v>
      </c>
    </row>
    <row r="327" spans="1:10" x14ac:dyDescent="0.2">
      <c r="A327" s="9">
        <v>0</v>
      </c>
      <c r="B327" s="9">
        <v>1</v>
      </c>
      <c r="C327" s="9">
        <v>4</v>
      </c>
      <c r="D327" s="9">
        <v>17</v>
      </c>
      <c r="E327" s="9">
        <v>2.5</v>
      </c>
      <c r="F327" s="7" t="s">
        <v>49</v>
      </c>
      <c r="G327" s="27">
        <f t="shared" si="59"/>
        <v>-1.7001052821878637</v>
      </c>
      <c r="H327" s="27">
        <f t="shared" si="60"/>
        <v>0.15445151512496419</v>
      </c>
      <c r="I327" s="48">
        <f t="shared" si="61"/>
        <v>446</v>
      </c>
      <c r="J327" s="47">
        <f t="shared" si="62"/>
        <v>0</v>
      </c>
    </row>
    <row r="328" spans="1:10" x14ac:dyDescent="0.2">
      <c r="A328" s="9">
        <v>1</v>
      </c>
      <c r="B328" s="9">
        <v>1</v>
      </c>
      <c r="C328" s="9">
        <v>6</v>
      </c>
      <c r="D328" s="9">
        <v>21</v>
      </c>
      <c r="E328" s="9">
        <v>2.5</v>
      </c>
      <c r="F328" s="7" t="s">
        <v>49</v>
      </c>
      <c r="G328" s="27">
        <f t="shared" si="59"/>
        <v>-1.7736435615711463</v>
      </c>
      <c r="H328" s="27">
        <f t="shared" si="60"/>
        <v>0.14508980143115904</v>
      </c>
      <c r="I328" s="48">
        <f t="shared" si="61"/>
        <v>444</v>
      </c>
      <c r="J328" s="47">
        <f t="shared" si="62"/>
        <v>0</v>
      </c>
    </row>
    <row r="329" spans="1:10" x14ac:dyDescent="0.2">
      <c r="A329" s="9">
        <v>0</v>
      </c>
      <c r="B329" s="9">
        <v>3</v>
      </c>
      <c r="C329" s="9">
        <v>8</v>
      </c>
      <c r="D329" s="9">
        <v>15</v>
      </c>
      <c r="E329" s="9">
        <v>2.6</v>
      </c>
      <c r="F329" s="7" t="s">
        <v>49</v>
      </c>
      <c r="G329" s="27">
        <f t="shared" si="59"/>
        <v>-2.3697176586765591</v>
      </c>
      <c r="H329" s="27">
        <f t="shared" si="60"/>
        <v>8.5511215673747309E-2</v>
      </c>
      <c r="I329" s="48">
        <f t="shared" si="61"/>
        <v>429</v>
      </c>
      <c r="J329" s="47">
        <f t="shared" si="62"/>
        <v>0</v>
      </c>
    </row>
    <row r="330" spans="1:10" x14ac:dyDescent="0.2">
      <c r="A330" s="9">
        <v>0</v>
      </c>
      <c r="B330" s="9">
        <v>8</v>
      </c>
      <c r="C330" s="9">
        <v>21</v>
      </c>
      <c r="D330" s="9">
        <v>43</v>
      </c>
      <c r="E330" s="9">
        <v>0.7</v>
      </c>
      <c r="F330" s="7" t="s">
        <v>49</v>
      </c>
      <c r="G330" s="27">
        <f t="shared" si="59"/>
        <v>-3.9858689284870956</v>
      </c>
      <c r="H330" s="27">
        <f t="shared" si="60"/>
        <v>1.8237510445838483E-2</v>
      </c>
      <c r="I330" s="48">
        <f t="shared" si="61"/>
        <v>384</v>
      </c>
      <c r="J330" s="47">
        <f t="shared" si="62"/>
        <v>0</v>
      </c>
    </row>
    <row r="331" spans="1:10" x14ac:dyDescent="0.2">
      <c r="A331" s="9">
        <v>0</v>
      </c>
      <c r="B331" s="9">
        <v>16</v>
      </c>
      <c r="C331" s="9">
        <v>7</v>
      </c>
      <c r="D331" s="9">
        <v>89</v>
      </c>
      <c r="E331" s="9">
        <v>0.4</v>
      </c>
      <c r="F331" s="7" t="s">
        <v>49</v>
      </c>
      <c r="G331" s="27">
        <f t="shared" si="59"/>
        <v>-3.5158390220853866</v>
      </c>
      <c r="H331" s="27">
        <f t="shared" si="60"/>
        <v>2.8864906933264801E-2</v>
      </c>
      <c r="I331" s="48">
        <f t="shared" si="61"/>
        <v>398</v>
      </c>
      <c r="J331" s="47">
        <f t="shared" si="62"/>
        <v>0</v>
      </c>
    </row>
    <row r="332" spans="1:10" x14ac:dyDescent="0.2">
      <c r="A332" s="9">
        <v>0</v>
      </c>
      <c r="B332" s="9">
        <v>8</v>
      </c>
      <c r="C332" s="9">
        <v>16</v>
      </c>
      <c r="D332" s="9">
        <v>38</v>
      </c>
      <c r="E332" s="9">
        <v>0.6</v>
      </c>
      <c r="F332" s="7" t="s">
        <v>49</v>
      </c>
      <c r="G332" s="27">
        <f t="shared" si="59"/>
        <v>-3.723357491528541</v>
      </c>
      <c r="H332" s="27">
        <f t="shared" si="60"/>
        <v>2.3583141483230183E-2</v>
      </c>
      <c r="I332" s="48">
        <f t="shared" si="61"/>
        <v>392</v>
      </c>
      <c r="J332" s="47">
        <f t="shared" si="62"/>
        <v>0</v>
      </c>
    </row>
    <row r="333" spans="1:10" x14ac:dyDescent="0.2">
      <c r="A333" s="9">
        <v>0</v>
      </c>
      <c r="B333" s="9">
        <v>14</v>
      </c>
      <c r="C333" s="9">
        <v>3</v>
      </c>
      <c r="D333" s="9">
        <v>82</v>
      </c>
      <c r="E333" s="9">
        <v>0.8</v>
      </c>
      <c r="F333" s="7" t="s">
        <v>49</v>
      </c>
      <c r="G333" s="27">
        <f t="shared" si="59"/>
        <v>-2.9368221629885967</v>
      </c>
      <c r="H333" s="27">
        <f t="shared" si="60"/>
        <v>5.0363041361962235E-2</v>
      </c>
      <c r="I333" s="48">
        <f t="shared" si="61"/>
        <v>414</v>
      </c>
      <c r="J333" s="47">
        <f t="shared" si="62"/>
        <v>0</v>
      </c>
    </row>
    <row r="334" spans="1:10" x14ac:dyDescent="0.2">
      <c r="A334" s="9">
        <v>0</v>
      </c>
      <c r="B334" s="9">
        <v>15</v>
      </c>
      <c r="C334" s="9">
        <v>31</v>
      </c>
      <c r="D334" s="9">
        <v>60</v>
      </c>
      <c r="E334" s="9">
        <v>1.1000000000000001</v>
      </c>
      <c r="F334" s="7" t="s">
        <v>49</v>
      </c>
      <c r="G334" s="27">
        <f t="shared" si="59"/>
        <v>-5.5690001478505549</v>
      </c>
      <c r="H334" s="27">
        <f t="shared" si="60"/>
        <v>3.799798712156651E-3</v>
      </c>
      <c r="I334" s="48">
        <f t="shared" si="61"/>
        <v>339</v>
      </c>
      <c r="J334" s="47">
        <f t="shared" si="62"/>
        <v>0</v>
      </c>
    </row>
    <row r="335" spans="1:10" x14ac:dyDescent="0.2">
      <c r="A335" s="9">
        <v>0</v>
      </c>
      <c r="B335" s="9">
        <v>1</v>
      </c>
      <c r="C335" s="9">
        <v>1</v>
      </c>
      <c r="D335" s="9">
        <v>18</v>
      </c>
      <c r="E335" s="9">
        <v>1.1000000000000001</v>
      </c>
      <c r="F335" s="7" t="s">
        <v>49</v>
      </c>
      <c r="G335" s="27">
        <f t="shared" si="59"/>
        <v>-1.6804894011030429</v>
      </c>
      <c r="H335" s="27">
        <f t="shared" si="60"/>
        <v>0.15703067498770229</v>
      </c>
      <c r="I335" s="48">
        <f t="shared" si="61"/>
        <v>447</v>
      </c>
      <c r="J335" s="47">
        <f t="shared" si="62"/>
        <v>0</v>
      </c>
    </row>
    <row r="336" spans="1:10" x14ac:dyDescent="0.2">
      <c r="A336" s="9">
        <v>0</v>
      </c>
      <c r="B336" s="9">
        <v>6</v>
      </c>
      <c r="C336" s="9">
        <v>6</v>
      </c>
      <c r="D336" s="9">
        <v>30</v>
      </c>
      <c r="E336" s="9">
        <v>1</v>
      </c>
      <c r="F336" s="7" t="s">
        <v>49</v>
      </c>
      <c r="G336" s="27">
        <f t="shared" si="59"/>
        <v>-2.7155967363938909</v>
      </c>
      <c r="H336" s="27">
        <f t="shared" si="60"/>
        <v>6.2059277383196255E-2</v>
      </c>
      <c r="I336" s="48">
        <f t="shared" si="61"/>
        <v>420</v>
      </c>
      <c r="J336" s="47">
        <f t="shared" si="62"/>
        <v>0</v>
      </c>
    </row>
    <row r="337" spans="1:10" x14ac:dyDescent="0.2">
      <c r="A337" s="9">
        <v>0</v>
      </c>
      <c r="B337" s="9">
        <v>4</v>
      </c>
      <c r="C337" s="9">
        <v>1</v>
      </c>
      <c r="D337" s="9">
        <v>16</v>
      </c>
      <c r="E337" s="9">
        <v>1.2</v>
      </c>
      <c r="F337" s="7" t="s">
        <v>49</v>
      </c>
      <c r="G337" s="27">
        <f t="shared" si="59"/>
        <v>-2.2262916122702343</v>
      </c>
      <c r="H337" s="27">
        <f t="shared" si="60"/>
        <v>9.7414213372780098E-2</v>
      </c>
      <c r="I337" s="48">
        <f t="shared" si="61"/>
        <v>433</v>
      </c>
      <c r="J337" s="47">
        <f t="shared" si="62"/>
        <v>0</v>
      </c>
    </row>
    <row r="338" spans="1:10" x14ac:dyDescent="0.2">
      <c r="A338" s="9">
        <v>0</v>
      </c>
      <c r="B338" s="9">
        <v>2</v>
      </c>
      <c r="C338" s="9">
        <v>1</v>
      </c>
      <c r="D338" s="9">
        <v>21</v>
      </c>
      <c r="E338" s="9">
        <v>0.6</v>
      </c>
      <c r="F338" s="7" t="s">
        <v>49</v>
      </c>
      <c r="G338" s="27">
        <f t="shared" si="59"/>
        <v>-1.8780518053773052</v>
      </c>
      <c r="H338" s="27">
        <f t="shared" si="60"/>
        <v>0.13261280749488016</v>
      </c>
      <c r="I338" s="48">
        <f t="shared" si="61"/>
        <v>442</v>
      </c>
      <c r="J338" s="47">
        <f t="shared" si="62"/>
        <v>0</v>
      </c>
    </row>
    <row r="339" spans="1:10" x14ac:dyDescent="0.2">
      <c r="A339" s="9">
        <v>1</v>
      </c>
      <c r="B339" s="9">
        <v>5</v>
      </c>
      <c r="C339" s="9">
        <v>3</v>
      </c>
      <c r="D339" s="9">
        <v>0</v>
      </c>
      <c r="E339" s="9">
        <v>16</v>
      </c>
      <c r="F339" s="7" t="s">
        <v>49</v>
      </c>
      <c r="G339" s="27">
        <f t="shared" si="59"/>
        <v>-0.49399929076242333</v>
      </c>
      <c r="H339" s="27">
        <f t="shared" si="60"/>
        <v>0.37895189053634465</v>
      </c>
      <c r="I339" s="48">
        <f t="shared" si="61"/>
        <v>472</v>
      </c>
      <c r="J339" s="47">
        <f t="shared" si="62"/>
        <v>1</v>
      </c>
    </row>
    <row r="340" spans="1:10" x14ac:dyDescent="0.2">
      <c r="A340" s="9">
        <v>1</v>
      </c>
      <c r="B340" s="9">
        <v>0</v>
      </c>
      <c r="C340" s="9">
        <v>8</v>
      </c>
      <c r="D340" s="9">
        <v>65</v>
      </c>
      <c r="E340" s="9">
        <v>29.7</v>
      </c>
      <c r="F340" s="7" t="s">
        <v>49</v>
      </c>
      <c r="G340" s="27">
        <f t="shared" si="59"/>
        <v>3.4195230900614608</v>
      </c>
      <c r="H340" s="27">
        <f t="shared" si="60"/>
        <v>0.96830914016871883</v>
      </c>
      <c r="I340" s="48">
        <f t="shared" si="61"/>
        <v>499</v>
      </c>
      <c r="J340" s="47">
        <f t="shared" si="62"/>
        <v>1</v>
      </c>
    </row>
    <row r="341" spans="1:10" x14ac:dyDescent="0.2">
      <c r="A341" s="9">
        <v>0</v>
      </c>
      <c r="B341" s="9">
        <v>21</v>
      </c>
      <c r="C341" s="9">
        <v>22</v>
      </c>
      <c r="D341" s="13">
        <v>117.54291069294821</v>
      </c>
      <c r="E341" s="9">
        <v>12.2</v>
      </c>
      <c r="F341" s="7" t="s">
        <v>49</v>
      </c>
      <c r="G341" s="27">
        <f t="shared" si="59"/>
        <v>-3.0873816628471964</v>
      </c>
      <c r="H341" s="27">
        <f t="shared" si="60"/>
        <v>4.3630760156634592E-2</v>
      </c>
      <c r="I341" s="48">
        <f t="shared" si="61"/>
        <v>410</v>
      </c>
      <c r="J341" s="47">
        <f t="shared" si="62"/>
        <v>0</v>
      </c>
    </row>
    <row r="342" spans="1:10" x14ac:dyDescent="0.2">
      <c r="A342" s="9">
        <v>0</v>
      </c>
      <c r="B342" s="9">
        <v>27</v>
      </c>
      <c r="C342" s="9">
        <v>21</v>
      </c>
      <c r="D342" s="9">
        <v>0</v>
      </c>
      <c r="E342" s="9">
        <v>11.5</v>
      </c>
      <c r="F342" s="7" t="s">
        <v>49</v>
      </c>
      <c r="G342" s="27">
        <f t="shared" si="59"/>
        <v>-6.3961460736750304</v>
      </c>
      <c r="H342" s="27">
        <f t="shared" si="60"/>
        <v>1.665195646078893E-3</v>
      </c>
      <c r="I342" s="48">
        <f t="shared" si="61"/>
        <v>315</v>
      </c>
      <c r="J342" s="47">
        <f t="shared" si="62"/>
        <v>0</v>
      </c>
    </row>
    <row r="343" spans="1:10" x14ac:dyDescent="0.2">
      <c r="A343" s="9">
        <v>1</v>
      </c>
      <c r="B343" s="9">
        <v>14</v>
      </c>
      <c r="C343" s="9">
        <v>8</v>
      </c>
      <c r="D343" s="9">
        <v>72</v>
      </c>
      <c r="E343" s="9">
        <v>0</v>
      </c>
      <c r="F343" s="7" t="s">
        <v>49</v>
      </c>
      <c r="G343" s="27">
        <f t="shared" si="59"/>
        <v>-3.6265913601059014</v>
      </c>
      <c r="H343" s="27">
        <f t="shared" si="60"/>
        <v>2.5917152266681242E-2</v>
      </c>
      <c r="I343" s="48">
        <f t="shared" si="61"/>
        <v>395</v>
      </c>
      <c r="J343" s="47">
        <f t="shared" si="62"/>
        <v>0</v>
      </c>
    </row>
    <row r="344" spans="1:10" x14ac:dyDescent="0.2">
      <c r="A344" s="9">
        <v>1</v>
      </c>
      <c r="B344" s="9">
        <v>16</v>
      </c>
      <c r="C344" s="9">
        <v>26</v>
      </c>
      <c r="D344" s="9">
        <v>0</v>
      </c>
      <c r="E344" s="9">
        <v>17.600000000000001</v>
      </c>
      <c r="F344" s="7" t="s">
        <v>49</v>
      </c>
      <c r="G344" s="27">
        <f t="shared" si="59"/>
        <v>-3.8759961135671128</v>
      </c>
      <c r="H344" s="27">
        <f t="shared" si="60"/>
        <v>2.031252128503146E-2</v>
      </c>
      <c r="I344" s="48">
        <f t="shared" si="61"/>
        <v>388</v>
      </c>
      <c r="J344" s="47">
        <f t="shared" si="62"/>
        <v>0</v>
      </c>
    </row>
    <row r="345" spans="1:10" x14ac:dyDescent="0.2">
      <c r="A345" s="9">
        <v>0</v>
      </c>
      <c r="B345" s="9">
        <v>12</v>
      </c>
      <c r="C345" s="9">
        <v>6</v>
      </c>
      <c r="D345" s="9">
        <v>89</v>
      </c>
      <c r="E345" s="9">
        <v>17.399999999999999</v>
      </c>
      <c r="F345" s="7" t="s">
        <v>49</v>
      </c>
      <c r="G345" s="27">
        <f t="shared" si="59"/>
        <v>-3.3171928854272892E-2</v>
      </c>
      <c r="H345" s="27">
        <f t="shared" si="60"/>
        <v>0.49170777815324296</v>
      </c>
      <c r="I345" s="48">
        <f t="shared" si="61"/>
        <v>480</v>
      </c>
      <c r="J345" s="47">
        <f t="shared" si="62"/>
        <v>1</v>
      </c>
    </row>
    <row r="346" spans="1:10" x14ac:dyDescent="0.2">
      <c r="A346" s="9">
        <v>0</v>
      </c>
      <c r="B346" s="9">
        <v>22</v>
      </c>
      <c r="C346" s="9">
        <v>17</v>
      </c>
      <c r="D346" s="13">
        <v>117.54291069294821</v>
      </c>
      <c r="E346" s="9">
        <v>11.1</v>
      </c>
      <c r="F346" s="7" t="s">
        <v>49</v>
      </c>
      <c r="G346" s="27">
        <f t="shared" si="59"/>
        <v>-3.0642828768815522</v>
      </c>
      <c r="H346" s="27">
        <f t="shared" si="60"/>
        <v>4.4604830829327674E-2</v>
      </c>
      <c r="I346" s="48">
        <f t="shared" si="61"/>
        <v>410</v>
      </c>
      <c r="J346" s="47">
        <f t="shared" si="62"/>
        <v>0</v>
      </c>
    </row>
    <row r="347" spans="1:10" x14ac:dyDescent="0.2">
      <c r="A347" s="9">
        <v>0</v>
      </c>
      <c r="B347" s="9">
        <v>16</v>
      </c>
      <c r="C347" s="9">
        <v>6</v>
      </c>
      <c r="D347" s="9">
        <v>116</v>
      </c>
      <c r="E347" s="9">
        <v>12.1</v>
      </c>
      <c r="F347" s="7" t="s">
        <v>49</v>
      </c>
      <c r="G347" s="27">
        <f t="shared" si="59"/>
        <v>-1.0655756920945401</v>
      </c>
      <c r="H347" s="27">
        <f t="shared" si="60"/>
        <v>0.25624537532858738</v>
      </c>
      <c r="I347" s="48">
        <f t="shared" si="61"/>
        <v>461</v>
      </c>
      <c r="J347" s="47">
        <f t="shared" si="62"/>
        <v>1</v>
      </c>
    </row>
    <row r="348" spans="1:10" x14ac:dyDescent="0.2">
      <c r="A348" s="9">
        <v>1</v>
      </c>
      <c r="B348" s="9">
        <v>27</v>
      </c>
      <c r="C348" s="9">
        <v>18</v>
      </c>
      <c r="D348" s="13">
        <v>117.54291069294821</v>
      </c>
      <c r="E348" s="9">
        <v>25.3</v>
      </c>
      <c r="F348" s="7" t="s">
        <v>49</v>
      </c>
      <c r="G348" s="27">
        <f t="shared" si="59"/>
        <v>-1.7488087900123039</v>
      </c>
      <c r="H348" s="27">
        <f t="shared" si="60"/>
        <v>0.14819750742386484</v>
      </c>
      <c r="I348" s="48">
        <f t="shared" si="61"/>
        <v>445</v>
      </c>
      <c r="J348" s="47">
        <f t="shared" si="62"/>
        <v>0</v>
      </c>
    </row>
    <row r="349" spans="1:10" x14ac:dyDescent="0.2">
      <c r="A349" s="9">
        <v>0</v>
      </c>
      <c r="B349" s="9">
        <v>19</v>
      </c>
      <c r="C349" s="9">
        <v>7</v>
      </c>
      <c r="D349" s="9">
        <v>50</v>
      </c>
      <c r="E349" s="9">
        <v>30.1</v>
      </c>
      <c r="F349" s="7" t="s">
        <v>49</v>
      </c>
      <c r="G349" s="27">
        <f t="shared" si="59"/>
        <v>-4.3951599137338704E-2</v>
      </c>
      <c r="H349" s="27">
        <f t="shared" si="60"/>
        <v>0.48901386869064434</v>
      </c>
      <c r="I349" s="48">
        <f t="shared" si="61"/>
        <v>479</v>
      </c>
      <c r="J349" s="47">
        <f t="shared" si="62"/>
        <v>1</v>
      </c>
    </row>
    <row r="350" spans="1:10" x14ac:dyDescent="0.2">
      <c r="A350" s="9">
        <v>0</v>
      </c>
      <c r="B350" s="9">
        <v>23</v>
      </c>
      <c r="C350" s="9">
        <v>1</v>
      </c>
      <c r="D350" s="9">
        <v>75</v>
      </c>
      <c r="E350" s="9">
        <v>18.899999999999999</v>
      </c>
      <c r="F350" s="7" t="s">
        <v>49</v>
      </c>
      <c r="G350" s="27">
        <f t="shared" si="59"/>
        <v>-1.6068966343511626</v>
      </c>
      <c r="H350" s="27">
        <f t="shared" si="60"/>
        <v>0.16701992100502036</v>
      </c>
      <c r="I350" s="48">
        <f t="shared" si="61"/>
        <v>448</v>
      </c>
      <c r="J350" s="47">
        <f t="shared" si="62"/>
        <v>0</v>
      </c>
    </row>
    <row r="351" spans="1:10" x14ac:dyDescent="0.2">
      <c r="A351" s="9">
        <v>1</v>
      </c>
      <c r="B351" s="9">
        <v>5</v>
      </c>
      <c r="C351" s="9">
        <v>6</v>
      </c>
      <c r="D351" s="9">
        <v>70</v>
      </c>
      <c r="E351" s="9">
        <v>19.899999999999999</v>
      </c>
      <c r="F351" s="7" t="s">
        <v>49</v>
      </c>
      <c r="G351" s="27">
        <f t="shared" si="59"/>
        <v>1.2282227607395373</v>
      </c>
      <c r="H351" s="27">
        <f t="shared" si="60"/>
        <v>0.77350736446654456</v>
      </c>
      <c r="I351" s="48">
        <f t="shared" si="61"/>
        <v>493</v>
      </c>
      <c r="J351" s="47">
        <f t="shared" si="62"/>
        <v>1</v>
      </c>
    </row>
    <row r="352" spans="1:10" x14ac:dyDescent="0.2">
      <c r="A352" s="9">
        <v>0</v>
      </c>
      <c r="B352" s="9">
        <v>12</v>
      </c>
      <c r="C352" s="9">
        <v>5</v>
      </c>
      <c r="D352" s="9">
        <v>86</v>
      </c>
      <c r="E352" s="9">
        <v>13</v>
      </c>
      <c r="F352" s="7" t="s">
        <v>50</v>
      </c>
      <c r="G352" s="27">
        <f t="shared" si="59"/>
        <v>-0.71661227635191582</v>
      </c>
      <c r="H352" s="27">
        <f t="shared" si="60"/>
        <v>0.32813941853640227</v>
      </c>
      <c r="I352" s="48">
        <f t="shared" si="61"/>
        <v>468</v>
      </c>
      <c r="J352" s="47">
        <f t="shared" si="62"/>
        <v>1</v>
      </c>
    </row>
    <row r="353" spans="1:10" x14ac:dyDescent="0.2">
      <c r="A353" s="9">
        <v>0</v>
      </c>
      <c r="B353" s="9">
        <v>16</v>
      </c>
      <c r="C353" s="9">
        <v>20</v>
      </c>
      <c r="D353" s="9">
        <v>57</v>
      </c>
      <c r="E353" s="9">
        <v>19.399999999999999</v>
      </c>
      <c r="F353" s="7" t="s">
        <v>50</v>
      </c>
      <c r="G353" s="27">
        <f t="shared" si="59"/>
        <v>-2.0629536407695417</v>
      </c>
      <c r="H353" s="27">
        <f t="shared" si="60"/>
        <v>0.11275001724388208</v>
      </c>
      <c r="I353" s="48">
        <f t="shared" si="61"/>
        <v>437</v>
      </c>
      <c r="J353" s="47">
        <f t="shared" si="62"/>
        <v>0</v>
      </c>
    </row>
    <row r="354" spans="1:10" x14ac:dyDescent="0.2">
      <c r="A354" s="9">
        <v>0</v>
      </c>
      <c r="B354" s="9">
        <v>22</v>
      </c>
      <c r="C354" s="9">
        <v>1</v>
      </c>
      <c r="D354" s="9">
        <v>100</v>
      </c>
      <c r="E354" s="9">
        <v>14.6</v>
      </c>
      <c r="F354" s="7" t="s">
        <v>50</v>
      </c>
      <c r="G354" s="27">
        <f t="shared" si="59"/>
        <v>-1.6445933522655101</v>
      </c>
      <c r="H354" s="27">
        <f t="shared" si="60"/>
        <v>0.1618410130095449</v>
      </c>
      <c r="I354" s="48">
        <f t="shared" si="61"/>
        <v>447</v>
      </c>
      <c r="J354" s="47">
        <f t="shared" si="62"/>
        <v>0</v>
      </c>
    </row>
    <row r="355" spans="1:10" x14ac:dyDescent="0.2">
      <c r="A355" s="9">
        <v>0</v>
      </c>
      <c r="B355" s="9">
        <v>9</v>
      </c>
      <c r="C355" s="9">
        <v>10</v>
      </c>
      <c r="D355" s="9">
        <v>51</v>
      </c>
      <c r="E355" s="9">
        <v>23</v>
      </c>
      <c r="F355" s="7" t="s">
        <v>50</v>
      </c>
      <c r="G355" s="27">
        <f t="shared" si="59"/>
        <v>0.36584178534094747</v>
      </c>
      <c r="H355" s="27">
        <f t="shared" si="60"/>
        <v>0.59045382635508503</v>
      </c>
      <c r="I355" s="48">
        <f t="shared" si="61"/>
        <v>485</v>
      </c>
      <c r="J355" s="47">
        <f t="shared" si="62"/>
        <v>1</v>
      </c>
    </row>
    <row r="356" spans="1:10" x14ac:dyDescent="0.2">
      <c r="A356" s="9">
        <v>0</v>
      </c>
      <c r="B356" s="9">
        <v>26</v>
      </c>
      <c r="C356" s="9">
        <v>21</v>
      </c>
      <c r="D356" s="9">
        <v>100</v>
      </c>
      <c r="E356" s="9">
        <v>12.8</v>
      </c>
      <c r="F356" s="7" t="s">
        <v>50</v>
      </c>
      <c r="G356" s="27">
        <f t="shared" si="59"/>
        <v>-4.1222318248593997</v>
      </c>
      <c r="H356" s="27">
        <f t="shared" si="60"/>
        <v>1.5949781121335091E-2</v>
      </c>
      <c r="I356" s="48">
        <f t="shared" si="61"/>
        <v>381</v>
      </c>
      <c r="J356" s="47">
        <f t="shared" si="62"/>
        <v>0</v>
      </c>
    </row>
    <row r="357" spans="1:10" x14ac:dyDescent="0.2">
      <c r="A357" s="9">
        <v>0</v>
      </c>
      <c r="B357" s="9">
        <v>10</v>
      </c>
      <c r="C357" s="9">
        <v>16</v>
      </c>
      <c r="D357" s="9">
        <v>98</v>
      </c>
      <c r="E357" s="9">
        <v>13.3</v>
      </c>
      <c r="F357" s="7" t="s">
        <v>50</v>
      </c>
      <c r="G357" s="27">
        <f t="shared" si="59"/>
        <v>-0.91319994923923331</v>
      </c>
      <c r="H357" s="27">
        <f t="shared" si="60"/>
        <v>0.2863454752215992</v>
      </c>
      <c r="I357" s="48">
        <f t="shared" si="61"/>
        <v>464</v>
      </c>
      <c r="J357" s="47">
        <f t="shared" si="62"/>
        <v>1</v>
      </c>
    </row>
    <row r="358" spans="1:10" x14ac:dyDescent="0.2">
      <c r="A358" s="9">
        <v>1</v>
      </c>
      <c r="B358" s="9">
        <v>9</v>
      </c>
      <c r="C358" s="9">
        <v>1</v>
      </c>
      <c r="D358" s="9">
        <v>52</v>
      </c>
      <c r="E358" s="9">
        <v>20.100000000000001</v>
      </c>
      <c r="F358" s="7" t="s">
        <v>50</v>
      </c>
      <c r="G358" s="27">
        <f t="shared" si="59"/>
        <v>0.59404670508586177</v>
      </c>
      <c r="H358" s="27">
        <f t="shared" si="60"/>
        <v>0.6442931081201041</v>
      </c>
      <c r="I358" s="48">
        <f t="shared" si="61"/>
        <v>487</v>
      </c>
      <c r="J358" s="47">
        <f t="shared" si="62"/>
        <v>1</v>
      </c>
    </row>
    <row r="359" spans="1:10" x14ac:dyDescent="0.2">
      <c r="A359" s="9">
        <v>0</v>
      </c>
      <c r="B359" s="9">
        <v>19</v>
      </c>
      <c r="C359" s="9">
        <v>2</v>
      </c>
      <c r="D359" s="9">
        <v>78</v>
      </c>
      <c r="E359" s="9">
        <v>15.6</v>
      </c>
      <c r="F359" s="7" t="s">
        <v>50</v>
      </c>
      <c r="G359" s="27">
        <f t="shared" si="59"/>
        <v>-1.4521795244072131</v>
      </c>
      <c r="H359" s="27">
        <f t="shared" si="60"/>
        <v>0.1896663617060855</v>
      </c>
      <c r="I359" s="48">
        <f t="shared" si="61"/>
        <v>452</v>
      </c>
      <c r="J359" s="47">
        <f t="shared" si="62"/>
        <v>0</v>
      </c>
    </row>
    <row r="360" spans="1:10" x14ac:dyDescent="0.2">
      <c r="A360" s="9">
        <v>1</v>
      </c>
      <c r="B360" s="9">
        <v>7</v>
      </c>
      <c r="C360" s="9">
        <v>6</v>
      </c>
      <c r="D360" s="9">
        <v>56</v>
      </c>
      <c r="E360" s="9">
        <v>14.5</v>
      </c>
      <c r="F360" s="7" t="s">
        <v>50</v>
      </c>
      <c r="G360" s="27">
        <f t="shared" si="59"/>
        <v>-0.24660718044120111</v>
      </c>
      <c r="H360" s="27">
        <f t="shared" si="60"/>
        <v>0.43865876304493212</v>
      </c>
      <c r="I360" s="48">
        <f t="shared" si="61"/>
        <v>476</v>
      </c>
      <c r="J360" s="47">
        <f t="shared" si="62"/>
        <v>1</v>
      </c>
    </row>
    <row r="361" spans="1:10" x14ac:dyDescent="0.2">
      <c r="A361" s="9">
        <v>0</v>
      </c>
      <c r="B361" s="9">
        <v>15</v>
      </c>
      <c r="C361" s="9">
        <v>14</v>
      </c>
      <c r="D361" s="9">
        <v>51</v>
      </c>
      <c r="E361" s="9">
        <v>18.100000000000001</v>
      </c>
      <c r="F361" s="7" t="s">
        <v>50</v>
      </c>
      <c r="G361" s="27">
        <f t="shared" si="59"/>
        <v>-1.7613798043327069</v>
      </c>
      <c r="H361" s="27">
        <f t="shared" si="60"/>
        <v>0.14661761326317566</v>
      </c>
      <c r="I361" s="48">
        <f t="shared" si="61"/>
        <v>445</v>
      </c>
      <c r="J361" s="47">
        <f t="shared" si="62"/>
        <v>0</v>
      </c>
    </row>
    <row r="362" spans="1:10" x14ac:dyDescent="0.2">
      <c r="A362" s="9">
        <v>0</v>
      </c>
      <c r="B362" s="9">
        <v>9</v>
      </c>
      <c r="C362" s="9">
        <v>10</v>
      </c>
      <c r="D362" s="9">
        <v>60</v>
      </c>
      <c r="E362" s="9">
        <v>15.3</v>
      </c>
      <c r="F362" s="7" t="s">
        <v>50</v>
      </c>
      <c r="G362" s="27">
        <f t="shared" si="59"/>
        <v>-0.69112596521337966</v>
      </c>
      <c r="H362" s="27">
        <f t="shared" si="60"/>
        <v>0.33378264350504155</v>
      </c>
      <c r="I362" s="48">
        <f t="shared" si="61"/>
        <v>468</v>
      </c>
      <c r="J362" s="47">
        <f t="shared" si="62"/>
        <v>1</v>
      </c>
    </row>
    <row r="363" spans="1:10" x14ac:dyDescent="0.2">
      <c r="A363" s="9">
        <v>1</v>
      </c>
      <c r="B363" s="9">
        <v>6</v>
      </c>
      <c r="C363" s="9">
        <v>3</v>
      </c>
      <c r="D363" s="9">
        <v>27</v>
      </c>
      <c r="E363" s="9">
        <v>0</v>
      </c>
      <c r="F363" s="7" t="s">
        <v>50</v>
      </c>
      <c r="G363" s="27">
        <f t="shared" si="59"/>
        <v>-2.7079106342006272</v>
      </c>
      <c r="H363" s="27">
        <f t="shared" si="60"/>
        <v>6.2508178247494398E-2</v>
      </c>
      <c r="I363" s="48">
        <f t="shared" si="61"/>
        <v>420</v>
      </c>
      <c r="J363" s="47">
        <f t="shared" si="62"/>
        <v>0</v>
      </c>
    </row>
    <row r="364" spans="1:10" x14ac:dyDescent="0.2">
      <c r="A364" s="9">
        <v>1</v>
      </c>
      <c r="B364" s="9">
        <v>0</v>
      </c>
      <c r="C364" s="9">
        <v>2</v>
      </c>
      <c r="D364" s="9">
        <v>28</v>
      </c>
      <c r="E364" s="9">
        <v>0</v>
      </c>
      <c r="F364" s="7" t="s">
        <v>50</v>
      </c>
      <c r="G364" s="27">
        <f t="shared" si="59"/>
        <v>-1.5665811381760175</v>
      </c>
      <c r="H364" s="27">
        <f t="shared" si="60"/>
        <v>0.17270432384124343</v>
      </c>
      <c r="I364" s="48">
        <f t="shared" si="61"/>
        <v>449</v>
      </c>
      <c r="J364" s="47">
        <f t="shared" si="62"/>
        <v>0</v>
      </c>
    </row>
    <row r="365" spans="1:10" x14ac:dyDescent="0.2">
      <c r="A365" s="9">
        <v>1</v>
      </c>
      <c r="B365" s="9">
        <v>5</v>
      </c>
      <c r="C365" s="9">
        <v>29</v>
      </c>
      <c r="D365" s="9">
        <v>78</v>
      </c>
      <c r="E365" s="9">
        <v>17.3</v>
      </c>
      <c r="F365" s="7" t="s">
        <v>50</v>
      </c>
      <c r="G365" s="27">
        <f t="shared" si="59"/>
        <v>-0.75085658981243442</v>
      </c>
      <c r="H365" s="27">
        <f t="shared" si="60"/>
        <v>0.32063468284680247</v>
      </c>
      <c r="I365" s="48">
        <f t="shared" si="61"/>
        <v>467</v>
      </c>
      <c r="J365" s="47">
        <f t="shared" si="62"/>
        <v>1</v>
      </c>
    </row>
    <row r="366" spans="1:10" x14ac:dyDescent="0.2">
      <c r="A366" s="9">
        <v>1</v>
      </c>
      <c r="B366" s="9">
        <v>5</v>
      </c>
      <c r="C366" s="9">
        <v>17</v>
      </c>
      <c r="D366" s="9">
        <v>94</v>
      </c>
      <c r="E366" s="9">
        <v>10.5</v>
      </c>
      <c r="F366" s="7" t="s">
        <v>50</v>
      </c>
      <c r="G366" s="27">
        <f t="shared" si="59"/>
        <v>-0.63660372879848026</v>
      </c>
      <c r="H366" s="27">
        <f t="shared" si="60"/>
        <v>0.34601467412108178</v>
      </c>
      <c r="I366" s="48">
        <f t="shared" si="61"/>
        <v>469</v>
      </c>
      <c r="J366" s="47">
        <f t="shared" si="62"/>
        <v>1</v>
      </c>
    </row>
    <row r="367" spans="1:10" x14ac:dyDescent="0.2">
      <c r="A367" s="9">
        <v>0</v>
      </c>
      <c r="B367" s="9">
        <v>16</v>
      </c>
      <c r="C367" s="9">
        <v>14</v>
      </c>
      <c r="D367" s="9">
        <v>71</v>
      </c>
      <c r="E367" s="9">
        <v>11.1</v>
      </c>
      <c r="F367" s="7" t="s">
        <v>50</v>
      </c>
      <c r="G367" s="27">
        <f t="shared" si="59"/>
        <v>-2.6732828269486735</v>
      </c>
      <c r="H367" s="27">
        <f t="shared" si="60"/>
        <v>6.4568404414557662E-2</v>
      </c>
      <c r="I367" s="48">
        <f t="shared" si="61"/>
        <v>421</v>
      </c>
      <c r="J367" s="47">
        <f t="shared" si="62"/>
        <v>0</v>
      </c>
    </row>
    <row r="368" spans="1:10" x14ac:dyDescent="0.2">
      <c r="A368" s="9">
        <v>1</v>
      </c>
      <c r="B368" s="9">
        <v>2</v>
      </c>
      <c r="C368" s="9">
        <v>14</v>
      </c>
      <c r="D368" s="9">
        <v>35</v>
      </c>
      <c r="E368" s="9">
        <v>22.9</v>
      </c>
      <c r="F368" s="7" t="s">
        <v>50</v>
      </c>
      <c r="G368" s="27">
        <f t="shared" si="59"/>
        <v>0.97115795218800605</v>
      </c>
      <c r="H368" s="27">
        <f t="shared" si="60"/>
        <v>0.72535024204739873</v>
      </c>
      <c r="I368" s="48">
        <f t="shared" si="61"/>
        <v>491</v>
      </c>
      <c r="J368" s="47">
        <f t="shared" si="62"/>
        <v>1</v>
      </c>
    </row>
    <row r="369" spans="1:10" x14ac:dyDescent="0.2">
      <c r="A369" s="9">
        <v>1</v>
      </c>
      <c r="B369" s="9">
        <v>10</v>
      </c>
      <c r="C369" s="9">
        <v>13</v>
      </c>
      <c r="D369" s="9">
        <v>57</v>
      </c>
      <c r="E369" s="9">
        <v>20.9</v>
      </c>
      <c r="F369" s="7" t="s">
        <v>50</v>
      </c>
      <c r="G369" s="27">
        <f t="shared" si="59"/>
        <v>-0.25380456788494055</v>
      </c>
      <c r="H369" s="27">
        <f t="shared" si="60"/>
        <v>0.43688728788209757</v>
      </c>
      <c r="I369" s="48">
        <f t="shared" si="61"/>
        <v>476</v>
      </c>
      <c r="J369" s="47">
        <f t="shared" si="62"/>
        <v>1</v>
      </c>
    </row>
    <row r="370" spans="1:10" x14ac:dyDescent="0.2">
      <c r="A370" s="9">
        <v>0</v>
      </c>
      <c r="B370" s="9">
        <v>9</v>
      </c>
      <c r="C370" s="9">
        <v>16</v>
      </c>
      <c r="D370" s="9">
        <v>56</v>
      </c>
      <c r="E370" s="9">
        <v>18.7</v>
      </c>
      <c r="F370" s="7" t="s">
        <v>50</v>
      </c>
      <c r="G370" s="27">
        <f t="shared" si="59"/>
        <v>-0.67256910194289832</v>
      </c>
      <c r="H370" s="27">
        <f t="shared" si="60"/>
        <v>0.33792181479703021</v>
      </c>
      <c r="I370" s="48">
        <f t="shared" si="61"/>
        <v>469</v>
      </c>
      <c r="J370" s="47">
        <f t="shared" si="62"/>
        <v>1</v>
      </c>
    </row>
    <row r="371" spans="1:10" x14ac:dyDescent="0.2">
      <c r="A371" s="9">
        <v>0</v>
      </c>
      <c r="B371" s="9">
        <v>6</v>
      </c>
      <c r="C371" s="9">
        <v>7</v>
      </c>
      <c r="D371" s="9">
        <v>45</v>
      </c>
      <c r="E371" s="9">
        <v>26</v>
      </c>
      <c r="F371" s="7" t="s">
        <v>50</v>
      </c>
      <c r="G371" s="27">
        <f t="shared" si="59"/>
        <v>1.4781995090600724</v>
      </c>
      <c r="H371" s="27">
        <f t="shared" si="60"/>
        <v>0.81430047314464649</v>
      </c>
      <c r="I371" s="48">
        <f t="shared" si="61"/>
        <v>494</v>
      </c>
      <c r="J371" s="47">
        <f t="shared" si="62"/>
        <v>1</v>
      </c>
    </row>
    <row r="372" spans="1:10" x14ac:dyDescent="0.2">
      <c r="A372" s="9">
        <v>0</v>
      </c>
      <c r="B372" s="9">
        <v>0</v>
      </c>
      <c r="C372" s="9">
        <v>7</v>
      </c>
      <c r="D372" s="9">
        <v>29</v>
      </c>
      <c r="E372" s="9">
        <v>24.2</v>
      </c>
      <c r="F372" s="7" t="s">
        <v>50</v>
      </c>
      <c r="G372" s="27">
        <f t="shared" si="59"/>
        <v>1.9363734029635524</v>
      </c>
      <c r="H372" s="27">
        <f t="shared" si="60"/>
        <v>0.87395318261832367</v>
      </c>
      <c r="I372" s="48">
        <f t="shared" si="61"/>
        <v>496</v>
      </c>
      <c r="J372" s="47">
        <f t="shared" si="62"/>
        <v>1</v>
      </c>
    </row>
    <row r="373" spans="1:10" x14ac:dyDescent="0.2">
      <c r="A373" s="9">
        <v>1</v>
      </c>
      <c r="B373" s="9">
        <v>9</v>
      </c>
      <c r="C373" s="9">
        <v>7</v>
      </c>
      <c r="D373" s="9">
        <v>59</v>
      </c>
      <c r="E373" s="9">
        <v>14.6</v>
      </c>
      <c r="F373" s="7" t="s">
        <v>50</v>
      </c>
      <c r="G373" s="27">
        <f t="shared" si="59"/>
        <v>-0.59778307996696034</v>
      </c>
      <c r="H373" s="27">
        <f t="shared" si="60"/>
        <v>0.35485105376311543</v>
      </c>
      <c r="I373" s="48">
        <f t="shared" si="61"/>
        <v>470</v>
      </c>
      <c r="J373" s="47">
        <f t="shared" si="62"/>
        <v>1</v>
      </c>
    </row>
    <row r="374" spans="1:10" x14ac:dyDescent="0.2">
      <c r="A374" s="9">
        <v>1</v>
      </c>
      <c r="B374" s="9">
        <v>9</v>
      </c>
      <c r="C374" s="9">
        <v>6</v>
      </c>
      <c r="D374" s="9">
        <v>45</v>
      </c>
      <c r="E374" s="9">
        <v>17.8</v>
      </c>
      <c r="F374" s="7" t="s">
        <v>50</v>
      </c>
      <c r="G374" s="27">
        <f t="shared" si="59"/>
        <v>-0.27803570252048115</v>
      </c>
      <c r="H374" s="27">
        <f t="shared" si="60"/>
        <v>0.43093541539932162</v>
      </c>
      <c r="I374" s="48">
        <f t="shared" si="61"/>
        <v>476</v>
      </c>
      <c r="J374" s="47">
        <f t="shared" si="62"/>
        <v>1</v>
      </c>
    </row>
    <row r="375" spans="1:10" x14ac:dyDescent="0.2">
      <c r="A375" s="9">
        <v>0</v>
      </c>
      <c r="B375" s="9">
        <v>2</v>
      </c>
      <c r="C375" s="9">
        <v>1</v>
      </c>
      <c r="D375" s="9">
        <v>37</v>
      </c>
      <c r="E375" s="9">
        <v>14.2</v>
      </c>
      <c r="F375" s="7" t="s">
        <v>50</v>
      </c>
      <c r="G375" s="27">
        <f t="shared" si="59"/>
        <v>0.59230087585319202</v>
      </c>
      <c r="H375" s="27">
        <f t="shared" si="60"/>
        <v>0.64389289913586467</v>
      </c>
      <c r="I375" s="48">
        <f t="shared" si="61"/>
        <v>487</v>
      </c>
      <c r="J375" s="47">
        <f t="shared" si="62"/>
        <v>1</v>
      </c>
    </row>
    <row r="376" spans="1:10" x14ac:dyDescent="0.2">
      <c r="A376" s="9">
        <v>1</v>
      </c>
      <c r="B376" s="9">
        <v>17</v>
      </c>
      <c r="C376" s="9">
        <v>12</v>
      </c>
      <c r="D376" s="9">
        <v>0</v>
      </c>
      <c r="E376" s="9">
        <v>9.3000000000000007</v>
      </c>
      <c r="F376" s="7" t="s">
        <v>50</v>
      </c>
      <c r="G376" s="27">
        <f t="shared" si="59"/>
        <v>-4.3289635163243636</v>
      </c>
      <c r="H376" s="27">
        <f t="shared" si="60"/>
        <v>1.3009718775657932E-2</v>
      </c>
      <c r="I376" s="48">
        <f t="shared" si="61"/>
        <v>375</v>
      </c>
      <c r="J376" s="47">
        <f t="shared" si="62"/>
        <v>0</v>
      </c>
    </row>
    <row r="377" spans="1:10" x14ac:dyDescent="0.2">
      <c r="A377" s="9">
        <v>0</v>
      </c>
      <c r="B377" s="9">
        <v>22</v>
      </c>
      <c r="C377" s="9">
        <v>23</v>
      </c>
      <c r="D377" s="13">
        <v>117.54291069294821</v>
      </c>
      <c r="E377" s="9">
        <v>7.6</v>
      </c>
      <c r="F377" s="7" t="s">
        <v>50</v>
      </c>
      <c r="G377" s="27">
        <f t="shared" si="59"/>
        <v>-4.0697908516154175</v>
      </c>
      <c r="H377" s="27">
        <f t="shared" si="60"/>
        <v>1.6794101208366774E-2</v>
      </c>
      <c r="I377" s="48">
        <f t="shared" si="61"/>
        <v>382</v>
      </c>
      <c r="J377" s="47">
        <f t="shared" si="62"/>
        <v>0</v>
      </c>
    </row>
    <row r="378" spans="1:10" x14ac:dyDescent="0.2">
      <c r="A378" s="9">
        <v>0</v>
      </c>
      <c r="B378" s="9">
        <v>11</v>
      </c>
      <c r="C378" s="9">
        <v>12</v>
      </c>
      <c r="D378" s="9">
        <v>45</v>
      </c>
      <c r="E378" s="9">
        <v>17</v>
      </c>
      <c r="F378" s="7" t="s">
        <v>50</v>
      </c>
      <c r="G378" s="27">
        <f t="shared" si="59"/>
        <v>-1.2024734137744681</v>
      </c>
      <c r="H378" s="27">
        <f t="shared" si="60"/>
        <v>0.23103550221157204</v>
      </c>
      <c r="I378" s="48">
        <f t="shared" si="61"/>
        <v>458</v>
      </c>
      <c r="J378" s="47">
        <f t="shared" si="62"/>
        <v>1</v>
      </c>
    </row>
    <row r="379" spans="1:10" x14ac:dyDescent="0.2">
      <c r="A379" s="9">
        <v>1</v>
      </c>
      <c r="B379" s="9">
        <v>3</v>
      </c>
      <c r="C379" s="9">
        <v>4</v>
      </c>
      <c r="D379" s="9">
        <v>45</v>
      </c>
      <c r="E379" s="9">
        <v>11</v>
      </c>
      <c r="F379" s="7" t="s">
        <v>50</v>
      </c>
      <c r="G379" s="27">
        <f t="shared" si="59"/>
        <v>-0.16482599642019613</v>
      </c>
      <c r="H379" s="27">
        <f t="shared" si="60"/>
        <v>0.45888653831435727</v>
      </c>
      <c r="I379" s="48">
        <f t="shared" si="61"/>
        <v>478</v>
      </c>
      <c r="J379" s="47">
        <f t="shared" si="62"/>
        <v>1</v>
      </c>
    </row>
    <row r="380" spans="1:10" x14ac:dyDescent="0.2">
      <c r="A380" s="9">
        <v>0</v>
      </c>
      <c r="B380" s="9">
        <v>12</v>
      </c>
      <c r="C380" s="9">
        <v>1</v>
      </c>
      <c r="D380" s="9">
        <v>54</v>
      </c>
      <c r="E380" s="9">
        <v>14.4</v>
      </c>
      <c r="F380" s="7" t="s">
        <v>50</v>
      </c>
      <c r="G380" s="27">
        <f t="shared" si="59"/>
        <v>-0.80049817814944735</v>
      </c>
      <c r="H380" s="27">
        <f t="shared" si="60"/>
        <v>0.30991896382232093</v>
      </c>
      <c r="I380" s="48">
        <f t="shared" si="61"/>
        <v>466</v>
      </c>
      <c r="J380" s="47">
        <f t="shared" si="62"/>
        <v>1</v>
      </c>
    </row>
    <row r="381" spans="1:10" x14ac:dyDescent="0.2">
      <c r="A381" s="9">
        <v>0</v>
      </c>
      <c r="B381" s="9">
        <v>17</v>
      </c>
      <c r="C381" s="9">
        <v>11</v>
      </c>
      <c r="D381" s="9">
        <v>116</v>
      </c>
      <c r="E381" s="9">
        <v>6</v>
      </c>
      <c r="F381" s="7" t="s">
        <v>50</v>
      </c>
      <c r="G381" s="27">
        <f t="shared" si="59"/>
        <v>-2.5855037080063754</v>
      </c>
      <c r="H381" s="27">
        <f t="shared" si="60"/>
        <v>7.0077224271264379E-2</v>
      </c>
      <c r="I381" s="48">
        <f t="shared" si="61"/>
        <v>423</v>
      </c>
      <c r="J381" s="47">
        <f t="shared" si="62"/>
        <v>0</v>
      </c>
    </row>
    <row r="382" spans="1:10" x14ac:dyDescent="0.2">
      <c r="A382" s="9">
        <v>0</v>
      </c>
      <c r="B382" s="9">
        <v>19</v>
      </c>
      <c r="C382" s="9">
        <v>5</v>
      </c>
      <c r="D382" s="9">
        <v>48</v>
      </c>
      <c r="E382" s="9">
        <v>13.1</v>
      </c>
      <c r="F382" s="7" t="s">
        <v>50</v>
      </c>
      <c r="G382" s="27">
        <f t="shared" si="59"/>
        <v>-2.6420960555161535</v>
      </c>
      <c r="H382" s="27">
        <f t="shared" si="60"/>
        <v>6.6477839178180578E-2</v>
      </c>
      <c r="I382" s="48">
        <f t="shared" si="61"/>
        <v>422</v>
      </c>
      <c r="J382" s="47">
        <f t="shared" si="62"/>
        <v>0</v>
      </c>
    </row>
    <row r="383" spans="1:10" x14ac:dyDescent="0.2">
      <c r="A383" s="9">
        <v>0</v>
      </c>
      <c r="B383" s="9">
        <v>3</v>
      </c>
      <c r="C383" s="9">
        <v>11</v>
      </c>
      <c r="D383" s="9">
        <v>27</v>
      </c>
      <c r="E383" s="9">
        <v>21.3</v>
      </c>
      <c r="F383" s="7" t="s">
        <v>50</v>
      </c>
      <c r="G383" s="27">
        <f t="shared" si="59"/>
        <v>0.61397668383061488</v>
      </c>
      <c r="H383" s="27">
        <f t="shared" si="60"/>
        <v>0.64884740286302245</v>
      </c>
      <c r="I383" s="48">
        <f t="shared" si="61"/>
        <v>488</v>
      </c>
      <c r="J383" s="47">
        <f t="shared" si="62"/>
        <v>1</v>
      </c>
    </row>
    <row r="384" spans="1:10" x14ac:dyDescent="0.2">
      <c r="A384" s="9">
        <v>0</v>
      </c>
      <c r="B384" s="9">
        <v>10</v>
      </c>
      <c r="C384" s="9">
        <v>8</v>
      </c>
      <c r="D384" s="9">
        <v>44</v>
      </c>
      <c r="E384" s="9">
        <v>18.100000000000001</v>
      </c>
      <c r="F384" s="7" t="s">
        <v>50</v>
      </c>
      <c r="G384" s="27">
        <f t="shared" si="59"/>
        <v>-0.57299594396113984</v>
      </c>
      <c r="H384" s="27">
        <f t="shared" si="60"/>
        <v>0.36054581420572007</v>
      </c>
      <c r="I384" s="48">
        <f t="shared" si="61"/>
        <v>471</v>
      </c>
      <c r="J384" s="47">
        <f t="shared" si="62"/>
        <v>1</v>
      </c>
    </row>
    <row r="385" spans="1:10" x14ac:dyDescent="0.2">
      <c r="A385" s="9">
        <v>0</v>
      </c>
      <c r="B385" s="9">
        <v>5</v>
      </c>
      <c r="C385" s="9">
        <v>5</v>
      </c>
      <c r="D385" s="9">
        <v>54</v>
      </c>
      <c r="E385" s="9">
        <v>10.6</v>
      </c>
      <c r="F385" s="7" t="s">
        <v>50</v>
      </c>
      <c r="G385" s="27">
        <f t="shared" si="59"/>
        <v>-0.48216884888714451</v>
      </c>
      <c r="H385" s="27">
        <f t="shared" si="60"/>
        <v>0.38174011410560399</v>
      </c>
      <c r="I385" s="48">
        <f t="shared" si="61"/>
        <v>472</v>
      </c>
      <c r="J385" s="47">
        <f t="shared" si="62"/>
        <v>1</v>
      </c>
    </row>
    <row r="386" spans="1:10" x14ac:dyDescent="0.2">
      <c r="A386" s="9">
        <v>0</v>
      </c>
      <c r="B386" s="9">
        <v>14</v>
      </c>
      <c r="C386" s="9">
        <v>11</v>
      </c>
      <c r="D386" s="9">
        <v>81</v>
      </c>
      <c r="E386" s="9">
        <v>7.2</v>
      </c>
      <c r="F386" s="7" t="s">
        <v>50</v>
      </c>
      <c r="G386" s="27">
        <f t="shared" ref="G386:G449" si="63">SUMPRODUCT($Q$3:$T$3,B386:E386)+$P$3</f>
        <v>-2.5325730409014984</v>
      </c>
      <c r="H386" s="27">
        <f t="shared" si="60"/>
        <v>7.3606003072631779E-2</v>
      </c>
      <c r="I386" s="48">
        <f t="shared" si="61"/>
        <v>425</v>
      </c>
      <c r="J386" s="47">
        <f t="shared" si="62"/>
        <v>0</v>
      </c>
    </row>
    <row r="387" spans="1:10" x14ac:dyDescent="0.2">
      <c r="A387" s="9">
        <v>1</v>
      </c>
      <c r="B387" s="9">
        <v>0</v>
      </c>
      <c r="C387" s="9">
        <v>6</v>
      </c>
      <c r="D387" s="9">
        <v>70</v>
      </c>
      <c r="E387" s="9">
        <v>8</v>
      </c>
      <c r="F387" s="7" t="s">
        <v>50</v>
      </c>
      <c r="G387" s="27">
        <f t="shared" si="63"/>
        <v>0.20472059788385355</v>
      </c>
      <c r="H387" s="27">
        <f t="shared" ref="H387:H450" si="64">EXP(G387)/(1+EXP(G387))</f>
        <v>0.5510021465498417</v>
      </c>
      <c r="I387" s="48">
        <f t="shared" si="61"/>
        <v>483</v>
      </c>
      <c r="J387" s="47">
        <f t="shared" si="62"/>
        <v>1</v>
      </c>
    </row>
    <row r="388" spans="1:10" x14ac:dyDescent="0.2">
      <c r="A388" s="9">
        <v>1</v>
      </c>
      <c r="B388" s="9">
        <v>9</v>
      </c>
      <c r="C388" s="9">
        <v>11</v>
      </c>
      <c r="D388" s="9">
        <v>24</v>
      </c>
      <c r="E388" s="9">
        <v>19.2</v>
      </c>
      <c r="F388" s="7" t="s">
        <v>50</v>
      </c>
      <c r="G388" s="27">
        <f t="shared" si="63"/>
        <v>-0.82528962565333774</v>
      </c>
      <c r="H388" s="27">
        <f t="shared" si="64"/>
        <v>0.30464197426097589</v>
      </c>
      <c r="I388" s="48">
        <f t="shared" si="61"/>
        <v>466</v>
      </c>
      <c r="J388" s="47">
        <f t="shared" si="62"/>
        <v>1</v>
      </c>
    </row>
    <row r="389" spans="1:10" x14ac:dyDescent="0.2">
      <c r="A389" s="9">
        <v>1</v>
      </c>
      <c r="B389" s="9">
        <v>6</v>
      </c>
      <c r="C389" s="9">
        <v>8</v>
      </c>
      <c r="D389" s="9">
        <v>47</v>
      </c>
      <c r="E389" s="9">
        <v>19.8</v>
      </c>
      <c r="F389" s="7" t="s">
        <v>50</v>
      </c>
      <c r="G389" s="27">
        <f t="shared" si="63"/>
        <v>0.45325088863695262</v>
      </c>
      <c r="H389" s="27">
        <f t="shared" si="64"/>
        <v>0.61141188326658324</v>
      </c>
      <c r="I389" s="48">
        <f t="shared" si="61"/>
        <v>486</v>
      </c>
      <c r="J389" s="47">
        <f t="shared" si="62"/>
        <v>1</v>
      </c>
    </row>
    <row r="390" spans="1:10" x14ac:dyDescent="0.2">
      <c r="A390" s="9">
        <v>1</v>
      </c>
      <c r="B390" s="9">
        <v>16</v>
      </c>
      <c r="C390" s="9">
        <v>18</v>
      </c>
      <c r="D390" s="9">
        <v>52</v>
      </c>
      <c r="E390" s="9">
        <v>12.9</v>
      </c>
      <c r="F390" s="7" t="s">
        <v>50</v>
      </c>
      <c r="G390" s="27">
        <f t="shared" si="63"/>
        <v>-3.0443308017265278</v>
      </c>
      <c r="H390" s="27">
        <f t="shared" si="64"/>
        <v>4.546286096385059E-2</v>
      </c>
      <c r="I390" s="48">
        <f t="shared" ref="I390:I453" si="65">ROUND($M$4+(($M$5/LN(2))*LN(H390)),0)</f>
        <v>411</v>
      </c>
      <c r="J390" s="47">
        <f t="shared" ref="J390:J453" si="66">IF(H390&gt;=$M$3,1,0)</f>
        <v>0</v>
      </c>
    </row>
    <row r="391" spans="1:10" x14ac:dyDescent="0.2">
      <c r="A391" s="9">
        <v>1</v>
      </c>
      <c r="B391" s="9">
        <v>14</v>
      </c>
      <c r="C391" s="9">
        <v>21</v>
      </c>
      <c r="D391" s="9">
        <v>43</v>
      </c>
      <c r="E391" s="9">
        <v>15</v>
      </c>
      <c r="F391" s="7" t="s">
        <v>50</v>
      </c>
      <c r="G391" s="27">
        <f t="shared" si="63"/>
        <v>-2.7544786573159805</v>
      </c>
      <c r="H391" s="27">
        <f t="shared" si="64"/>
        <v>5.983421021226068E-2</v>
      </c>
      <c r="I391" s="48">
        <f t="shared" si="65"/>
        <v>419</v>
      </c>
      <c r="J391" s="47">
        <f t="shared" si="66"/>
        <v>0</v>
      </c>
    </row>
    <row r="392" spans="1:10" x14ac:dyDescent="0.2">
      <c r="A392" s="9">
        <v>0</v>
      </c>
      <c r="B392" s="9">
        <v>7</v>
      </c>
      <c r="C392" s="9">
        <v>3</v>
      </c>
      <c r="D392" s="9">
        <v>32</v>
      </c>
      <c r="E392" s="9">
        <v>19.600000000000001</v>
      </c>
      <c r="F392" s="7" t="s">
        <v>50</v>
      </c>
      <c r="G392" s="27">
        <f t="shared" si="63"/>
        <v>0.33598273143040602</v>
      </c>
      <c r="H392" s="27">
        <f t="shared" si="64"/>
        <v>0.58321435152609258</v>
      </c>
      <c r="I392" s="48">
        <f t="shared" si="65"/>
        <v>484</v>
      </c>
      <c r="J392" s="47">
        <f t="shared" si="66"/>
        <v>1</v>
      </c>
    </row>
    <row r="393" spans="1:10" x14ac:dyDescent="0.2">
      <c r="A393" s="9">
        <v>1</v>
      </c>
      <c r="B393" s="9">
        <v>9</v>
      </c>
      <c r="C393" s="9">
        <v>18</v>
      </c>
      <c r="D393" s="9">
        <v>50</v>
      </c>
      <c r="E393" s="9">
        <v>11.2</v>
      </c>
      <c r="F393" s="7" t="s">
        <v>50</v>
      </c>
      <c r="G393" s="27">
        <f t="shared" si="63"/>
        <v>-2.1306940198804871</v>
      </c>
      <c r="H393" s="27">
        <f t="shared" si="64"/>
        <v>0.10614912403492009</v>
      </c>
      <c r="I393" s="48">
        <f t="shared" si="65"/>
        <v>435</v>
      </c>
      <c r="J393" s="47">
        <f t="shared" si="66"/>
        <v>0</v>
      </c>
    </row>
    <row r="394" spans="1:10" x14ac:dyDescent="0.2">
      <c r="A394" s="9">
        <v>0</v>
      </c>
      <c r="B394" s="9">
        <v>0</v>
      </c>
      <c r="C394" s="9">
        <v>2</v>
      </c>
      <c r="D394" s="9">
        <v>32</v>
      </c>
      <c r="E394" s="9">
        <v>17.600000000000001</v>
      </c>
      <c r="F394" s="7" t="s">
        <v>50</v>
      </c>
      <c r="G394" s="27">
        <f t="shared" si="63"/>
        <v>1.3142568105811212</v>
      </c>
      <c r="H394" s="27">
        <f t="shared" si="64"/>
        <v>0.78822460251515813</v>
      </c>
      <c r="I394" s="48">
        <f t="shared" si="65"/>
        <v>493</v>
      </c>
      <c r="J394" s="47">
        <f t="shared" si="66"/>
        <v>1</v>
      </c>
    </row>
    <row r="395" spans="1:10" x14ac:dyDescent="0.2">
      <c r="A395" s="9">
        <v>0</v>
      </c>
      <c r="B395" s="9">
        <v>9</v>
      </c>
      <c r="C395" s="9">
        <v>13</v>
      </c>
      <c r="D395" s="9">
        <v>45</v>
      </c>
      <c r="E395" s="9">
        <v>10.1</v>
      </c>
      <c r="F395" s="7" t="s">
        <v>50</v>
      </c>
      <c r="G395" s="27">
        <f t="shared" si="63"/>
        <v>-2.0275663701366864</v>
      </c>
      <c r="H395" s="27">
        <f t="shared" si="64"/>
        <v>0.11633887579603826</v>
      </c>
      <c r="I395" s="48">
        <f t="shared" si="65"/>
        <v>438</v>
      </c>
      <c r="J395" s="47">
        <f t="shared" si="66"/>
        <v>0</v>
      </c>
    </row>
    <row r="396" spans="1:10" x14ac:dyDescent="0.2">
      <c r="A396" s="9">
        <v>0</v>
      </c>
      <c r="B396" s="9">
        <v>9</v>
      </c>
      <c r="C396" s="9">
        <v>4</v>
      </c>
      <c r="D396" s="9">
        <v>64</v>
      </c>
      <c r="E396" s="9">
        <v>6.6</v>
      </c>
      <c r="F396" s="7" t="s">
        <v>50</v>
      </c>
      <c r="G396" s="27">
        <f t="shared" si="63"/>
        <v>-1.5544169007220607</v>
      </c>
      <c r="H396" s="27">
        <f t="shared" si="64"/>
        <v>0.17444924571452625</v>
      </c>
      <c r="I396" s="48">
        <f t="shared" si="65"/>
        <v>450</v>
      </c>
      <c r="J396" s="47">
        <f t="shared" si="66"/>
        <v>0</v>
      </c>
    </row>
    <row r="397" spans="1:10" x14ac:dyDescent="0.2">
      <c r="A397" s="9">
        <v>0</v>
      </c>
      <c r="B397" s="9">
        <v>15</v>
      </c>
      <c r="C397" s="9">
        <v>0</v>
      </c>
      <c r="D397" s="13">
        <v>117.54291069294821</v>
      </c>
      <c r="E397" s="9">
        <v>3.1</v>
      </c>
      <c r="F397" s="7" t="s">
        <v>50</v>
      </c>
      <c r="G397" s="27">
        <f t="shared" si="63"/>
        <v>-1.8485389357334316</v>
      </c>
      <c r="H397" s="27">
        <f t="shared" si="64"/>
        <v>0.13604453396994326</v>
      </c>
      <c r="I397" s="48">
        <f t="shared" si="65"/>
        <v>442</v>
      </c>
      <c r="J397" s="47">
        <f t="shared" si="66"/>
        <v>0</v>
      </c>
    </row>
    <row r="398" spans="1:10" x14ac:dyDescent="0.2">
      <c r="A398" s="9">
        <v>1</v>
      </c>
      <c r="B398" s="9">
        <v>3</v>
      </c>
      <c r="C398" s="9">
        <v>3</v>
      </c>
      <c r="D398" s="9">
        <v>21</v>
      </c>
      <c r="E398" s="9">
        <v>28.9</v>
      </c>
      <c r="F398" s="7" t="s">
        <v>50</v>
      </c>
      <c r="G398" s="27">
        <f t="shared" si="63"/>
        <v>2.308654818639527</v>
      </c>
      <c r="H398" s="27">
        <f t="shared" si="64"/>
        <v>0.90959129527956939</v>
      </c>
      <c r="I398" s="48">
        <f t="shared" si="65"/>
        <v>497</v>
      </c>
      <c r="J398" s="47">
        <f t="shared" si="66"/>
        <v>1</v>
      </c>
    </row>
    <row r="399" spans="1:10" x14ac:dyDescent="0.2">
      <c r="A399" s="9">
        <v>0</v>
      </c>
      <c r="B399" s="9">
        <v>0</v>
      </c>
      <c r="C399" s="9">
        <v>5</v>
      </c>
      <c r="D399" s="9">
        <v>38</v>
      </c>
      <c r="E399" s="9">
        <v>10.4</v>
      </c>
      <c r="F399" s="7" t="s">
        <v>50</v>
      </c>
      <c r="G399" s="27">
        <f t="shared" si="63"/>
        <v>5.6386123559964307E-2</v>
      </c>
      <c r="H399" s="27">
        <f t="shared" si="64"/>
        <v>0.51409279720716805</v>
      </c>
      <c r="I399" s="48">
        <f t="shared" si="65"/>
        <v>481</v>
      </c>
      <c r="J399" s="47">
        <f t="shared" si="66"/>
        <v>1</v>
      </c>
    </row>
    <row r="400" spans="1:10" x14ac:dyDescent="0.2">
      <c r="A400" s="9">
        <v>1</v>
      </c>
      <c r="B400" s="9">
        <v>3</v>
      </c>
      <c r="C400" s="9">
        <v>4</v>
      </c>
      <c r="D400" s="9">
        <v>19</v>
      </c>
      <c r="E400" s="9">
        <v>24.4</v>
      </c>
      <c r="F400" s="7" t="s">
        <v>50</v>
      </c>
      <c r="G400" s="27">
        <f t="shared" si="63"/>
        <v>1.4789753427040311</v>
      </c>
      <c r="H400" s="27">
        <f t="shared" si="64"/>
        <v>0.81441776238778041</v>
      </c>
      <c r="I400" s="48">
        <f t="shared" si="65"/>
        <v>494</v>
      </c>
      <c r="J400" s="47">
        <f t="shared" si="66"/>
        <v>1</v>
      </c>
    </row>
    <row r="401" spans="1:10" x14ac:dyDescent="0.2">
      <c r="A401" s="9">
        <v>0</v>
      </c>
      <c r="B401" s="9">
        <v>16</v>
      </c>
      <c r="C401" s="9">
        <v>17</v>
      </c>
      <c r="D401" s="9">
        <v>68</v>
      </c>
      <c r="E401" s="9">
        <v>5.4</v>
      </c>
      <c r="F401" s="7" t="s">
        <v>50</v>
      </c>
      <c r="G401" s="27">
        <f t="shared" si="63"/>
        <v>-3.8623652441469805</v>
      </c>
      <c r="H401" s="27">
        <f t="shared" si="64"/>
        <v>2.0585555556469917E-2</v>
      </c>
      <c r="I401" s="48">
        <f t="shared" si="65"/>
        <v>388</v>
      </c>
      <c r="J401" s="47">
        <f t="shared" si="66"/>
        <v>0</v>
      </c>
    </row>
    <row r="402" spans="1:10" x14ac:dyDescent="0.2">
      <c r="A402" s="9">
        <v>1</v>
      </c>
      <c r="B402" s="9">
        <v>1</v>
      </c>
      <c r="C402" s="9">
        <v>2</v>
      </c>
      <c r="D402" s="9">
        <v>20</v>
      </c>
      <c r="E402" s="9">
        <v>18.600000000000001</v>
      </c>
      <c r="F402" s="7" t="s">
        <v>50</v>
      </c>
      <c r="G402" s="27">
        <f t="shared" si="63"/>
        <v>1.0719577354635197</v>
      </c>
      <c r="H402" s="27">
        <f t="shared" si="64"/>
        <v>0.74496904466383651</v>
      </c>
      <c r="I402" s="48">
        <f t="shared" si="65"/>
        <v>492</v>
      </c>
      <c r="J402" s="47">
        <f t="shared" si="66"/>
        <v>1</v>
      </c>
    </row>
    <row r="403" spans="1:10" x14ac:dyDescent="0.2">
      <c r="A403" s="9">
        <v>0</v>
      </c>
      <c r="B403" s="9">
        <v>5</v>
      </c>
      <c r="C403" s="9">
        <v>9</v>
      </c>
      <c r="D403" s="9">
        <v>44</v>
      </c>
      <c r="E403" s="9">
        <v>8.6999999999999993</v>
      </c>
      <c r="F403" s="7" t="s">
        <v>50</v>
      </c>
      <c r="G403" s="27">
        <f t="shared" si="63"/>
        <v>-1.2726494253603087</v>
      </c>
      <c r="H403" s="27">
        <f t="shared" si="64"/>
        <v>0.21880405151538967</v>
      </c>
      <c r="I403" s="48">
        <f t="shared" si="65"/>
        <v>456</v>
      </c>
      <c r="J403" s="47">
        <f t="shared" si="66"/>
        <v>1</v>
      </c>
    </row>
    <row r="404" spans="1:10" x14ac:dyDescent="0.2">
      <c r="A404" s="9">
        <v>0</v>
      </c>
      <c r="B404" s="9">
        <v>12</v>
      </c>
      <c r="C404" s="9">
        <v>13</v>
      </c>
      <c r="D404" s="9">
        <v>60</v>
      </c>
      <c r="E404" s="9">
        <v>7.9</v>
      </c>
      <c r="F404" s="7" t="s">
        <v>50</v>
      </c>
      <c r="G404" s="27">
        <f t="shared" si="63"/>
        <v>-2.6182972933436126</v>
      </c>
      <c r="H404" s="27">
        <f t="shared" si="64"/>
        <v>6.7970080980867917E-2</v>
      </c>
      <c r="I404" s="48">
        <f t="shared" si="65"/>
        <v>422</v>
      </c>
      <c r="J404" s="47">
        <f t="shared" si="66"/>
        <v>0</v>
      </c>
    </row>
    <row r="405" spans="1:10" x14ac:dyDescent="0.2">
      <c r="A405" s="9">
        <v>0</v>
      </c>
      <c r="B405" s="9">
        <v>6</v>
      </c>
      <c r="C405" s="9">
        <v>9</v>
      </c>
      <c r="D405" s="9">
        <v>29</v>
      </c>
      <c r="E405" s="9">
        <v>16.3</v>
      </c>
      <c r="F405" s="7" t="s">
        <v>50</v>
      </c>
      <c r="G405" s="27">
        <f t="shared" si="63"/>
        <v>-0.51977797519362379</v>
      </c>
      <c r="H405" s="27">
        <f t="shared" si="64"/>
        <v>0.37290415197770854</v>
      </c>
      <c r="I405" s="48">
        <f t="shared" si="65"/>
        <v>472</v>
      </c>
      <c r="J405" s="47">
        <f t="shared" si="66"/>
        <v>1</v>
      </c>
    </row>
    <row r="406" spans="1:10" x14ac:dyDescent="0.2">
      <c r="A406" s="9">
        <v>0</v>
      </c>
      <c r="B406" s="9">
        <v>1</v>
      </c>
      <c r="C406" s="9">
        <v>1</v>
      </c>
      <c r="D406" s="9">
        <v>18</v>
      </c>
      <c r="E406" s="9">
        <v>17.3</v>
      </c>
      <c r="F406" s="7" t="s">
        <v>50</v>
      </c>
      <c r="G406" s="27">
        <f t="shared" si="63"/>
        <v>0.90152795177598044</v>
      </c>
      <c r="H406" s="27">
        <f t="shared" si="64"/>
        <v>0.71126339594919752</v>
      </c>
      <c r="I406" s="48">
        <f t="shared" si="65"/>
        <v>490</v>
      </c>
      <c r="J406" s="47">
        <f t="shared" si="66"/>
        <v>1</v>
      </c>
    </row>
    <row r="407" spans="1:10" x14ac:dyDescent="0.2">
      <c r="A407" s="9">
        <v>0</v>
      </c>
      <c r="B407" s="9">
        <v>14</v>
      </c>
      <c r="C407" s="9">
        <v>8</v>
      </c>
      <c r="D407" s="9">
        <v>52</v>
      </c>
      <c r="E407" s="9">
        <v>7.3</v>
      </c>
      <c r="F407" s="7" t="s">
        <v>50</v>
      </c>
      <c r="G407" s="27">
        <f t="shared" si="63"/>
        <v>-2.8415061823254879</v>
      </c>
      <c r="H407" s="27">
        <f t="shared" si="64"/>
        <v>5.5122037801616848E-2</v>
      </c>
      <c r="I407" s="48">
        <f t="shared" si="65"/>
        <v>416</v>
      </c>
      <c r="J407" s="47">
        <f t="shared" si="66"/>
        <v>0</v>
      </c>
    </row>
    <row r="408" spans="1:10" x14ac:dyDescent="0.2">
      <c r="A408" s="9">
        <v>0</v>
      </c>
      <c r="B408" s="9">
        <v>4</v>
      </c>
      <c r="C408" s="9">
        <v>10</v>
      </c>
      <c r="D408" s="9">
        <v>28</v>
      </c>
      <c r="E408" s="9">
        <v>11.3</v>
      </c>
      <c r="F408" s="7" t="s">
        <v>50</v>
      </c>
      <c r="G408" s="27">
        <f t="shared" si="63"/>
        <v>-1.0609625592921736</v>
      </c>
      <c r="H408" s="27">
        <f t="shared" si="64"/>
        <v>0.25712555134076903</v>
      </c>
      <c r="I408" s="48">
        <f t="shared" si="65"/>
        <v>461</v>
      </c>
      <c r="J408" s="47">
        <f t="shared" si="66"/>
        <v>1</v>
      </c>
    </row>
    <row r="409" spans="1:10" x14ac:dyDescent="0.2">
      <c r="A409" s="9">
        <v>0</v>
      </c>
      <c r="B409" s="9">
        <v>8</v>
      </c>
      <c r="C409" s="9">
        <v>27</v>
      </c>
      <c r="D409" s="9">
        <v>47</v>
      </c>
      <c r="E409" s="9">
        <v>6.9</v>
      </c>
      <c r="F409" s="7" t="s">
        <v>50</v>
      </c>
      <c r="G409" s="27">
        <f t="shared" si="63"/>
        <v>-3.3696708734603833</v>
      </c>
      <c r="H409" s="27">
        <f t="shared" si="64"/>
        <v>3.3256888918108199E-2</v>
      </c>
      <c r="I409" s="48">
        <f t="shared" si="65"/>
        <v>402</v>
      </c>
      <c r="J409" s="47">
        <f t="shared" si="66"/>
        <v>0</v>
      </c>
    </row>
    <row r="410" spans="1:10" x14ac:dyDescent="0.2">
      <c r="A410" s="9">
        <v>0</v>
      </c>
      <c r="B410" s="9">
        <v>22</v>
      </c>
      <c r="C410" s="9">
        <v>4</v>
      </c>
      <c r="D410" s="9">
        <v>95</v>
      </c>
      <c r="E410" s="9">
        <v>3.6</v>
      </c>
      <c r="F410" s="7" t="s">
        <v>50</v>
      </c>
      <c r="G410" s="27">
        <f t="shared" si="63"/>
        <v>-3.7162514885907454</v>
      </c>
      <c r="H410" s="27">
        <f t="shared" si="64"/>
        <v>2.3747326392810107E-2</v>
      </c>
      <c r="I410" s="48">
        <f t="shared" si="65"/>
        <v>392</v>
      </c>
      <c r="J410" s="47">
        <f t="shared" si="66"/>
        <v>0</v>
      </c>
    </row>
    <row r="411" spans="1:10" x14ac:dyDescent="0.2">
      <c r="A411" s="9">
        <v>1</v>
      </c>
      <c r="B411" s="9">
        <v>0</v>
      </c>
      <c r="C411" s="9">
        <v>1</v>
      </c>
      <c r="D411" s="9">
        <v>17</v>
      </c>
      <c r="E411" s="9">
        <v>27.7</v>
      </c>
      <c r="F411" s="7" t="s">
        <v>50</v>
      </c>
      <c r="G411" s="27">
        <f t="shared" si="63"/>
        <v>2.7148314963650413</v>
      </c>
      <c r="H411" s="27">
        <f t="shared" si="64"/>
        <v>0.93789616465323955</v>
      </c>
      <c r="I411" s="48">
        <f t="shared" si="65"/>
        <v>498</v>
      </c>
      <c r="J411" s="47">
        <f t="shared" si="66"/>
        <v>1</v>
      </c>
    </row>
    <row r="412" spans="1:10" x14ac:dyDescent="0.2">
      <c r="A412" s="9">
        <v>0</v>
      </c>
      <c r="B412" s="9">
        <v>12</v>
      </c>
      <c r="C412" s="9">
        <v>3</v>
      </c>
      <c r="D412" s="9">
        <v>31</v>
      </c>
      <c r="E412" s="9">
        <v>9.6999999999999993</v>
      </c>
      <c r="F412" s="7" t="s">
        <v>50</v>
      </c>
      <c r="G412" s="27">
        <f t="shared" si="63"/>
        <v>-2.134002490439924</v>
      </c>
      <c r="H412" s="27">
        <f t="shared" si="64"/>
        <v>0.10583562022212377</v>
      </c>
      <c r="I412" s="48">
        <f t="shared" si="65"/>
        <v>435</v>
      </c>
      <c r="J412" s="47">
        <f t="shared" si="66"/>
        <v>0</v>
      </c>
    </row>
    <row r="413" spans="1:10" x14ac:dyDescent="0.2">
      <c r="A413" s="9">
        <v>1</v>
      </c>
      <c r="B413" s="9">
        <v>3</v>
      </c>
      <c r="C413" s="9">
        <v>13</v>
      </c>
      <c r="D413" s="9">
        <v>43</v>
      </c>
      <c r="E413" s="9">
        <v>13.2</v>
      </c>
      <c r="F413" s="7" t="s">
        <v>50</v>
      </c>
      <c r="G413" s="27">
        <f t="shared" si="63"/>
        <v>-0.52352039065980271</v>
      </c>
      <c r="H413" s="27">
        <f t="shared" si="64"/>
        <v>0.37202941775949411</v>
      </c>
      <c r="I413" s="48">
        <f t="shared" si="65"/>
        <v>471</v>
      </c>
      <c r="J413" s="47">
        <f t="shared" si="66"/>
        <v>1</v>
      </c>
    </row>
    <row r="414" spans="1:10" x14ac:dyDescent="0.2">
      <c r="A414" s="9">
        <v>1</v>
      </c>
      <c r="B414" s="9">
        <v>1</v>
      </c>
      <c r="C414" s="9">
        <v>14</v>
      </c>
      <c r="D414" s="9">
        <v>33</v>
      </c>
      <c r="E414" s="9">
        <v>16.100000000000001</v>
      </c>
      <c r="F414" s="7" t="s">
        <v>50</v>
      </c>
      <c r="G414" s="27">
        <f t="shared" si="63"/>
        <v>2.4139533238925814E-2</v>
      </c>
      <c r="H414" s="27">
        <f t="shared" si="64"/>
        <v>0.5060345902743496</v>
      </c>
      <c r="I414" s="48">
        <f t="shared" si="65"/>
        <v>480</v>
      </c>
      <c r="J414" s="47">
        <f t="shared" si="66"/>
        <v>1</v>
      </c>
    </row>
    <row r="415" spans="1:10" x14ac:dyDescent="0.2">
      <c r="A415" s="9">
        <v>1</v>
      </c>
      <c r="B415" s="9">
        <v>3</v>
      </c>
      <c r="C415" s="9">
        <v>2</v>
      </c>
      <c r="D415" s="9">
        <v>18</v>
      </c>
      <c r="E415" s="9">
        <v>16.3</v>
      </c>
      <c r="F415" s="7" t="s">
        <v>50</v>
      </c>
      <c r="G415" s="27">
        <f t="shared" si="63"/>
        <v>0.31826741598089692</v>
      </c>
      <c r="H415" s="27">
        <f t="shared" si="64"/>
        <v>0.57890195021264668</v>
      </c>
      <c r="I415" s="48">
        <f t="shared" si="65"/>
        <v>484</v>
      </c>
      <c r="J415" s="47">
        <f t="shared" si="66"/>
        <v>1</v>
      </c>
    </row>
    <row r="416" spans="1:10" x14ac:dyDescent="0.2">
      <c r="A416" s="9">
        <v>0</v>
      </c>
      <c r="B416" s="9">
        <v>1</v>
      </c>
      <c r="C416" s="9">
        <v>0</v>
      </c>
      <c r="D416" s="9">
        <v>23</v>
      </c>
      <c r="E416" s="9">
        <v>12.4</v>
      </c>
      <c r="F416" s="7" t="s">
        <v>50</v>
      </c>
      <c r="G416" s="27">
        <f t="shared" si="63"/>
        <v>0.28976229822587785</v>
      </c>
      <c r="H416" s="27">
        <f t="shared" si="64"/>
        <v>0.57193793860598174</v>
      </c>
      <c r="I416" s="48">
        <f t="shared" si="65"/>
        <v>484</v>
      </c>
      <c r="J416" s="47">
        <f t="shared" si="66"/>
        <v>1</v>
      </c>
    </row>
    <row r="417" spans="1:10" x14ac:dyDescent="0.2">
      <c r="A417" s="9">
        <v>0</v>
      </c>
      <c r="B417" s="9">
        <v>10</v>
      </c>
      <c r="C417" s="9">
        <v>2</v>
      </c>
      <c r="D417" s="9">
        <v>33</v>
      </c>
      <c r="E417" s="9">
        <v>9.5</v>
      </c>
      <c r="F417" s="7" t="s">
        <v>50</v>
      </c>
      <c r="G417" s="27">
        <f t="shared" si="63"/>
        <v>-1.7041608524138165</v>
      </c>
      <c r="H417" s="27">
        <f t="shared" si="64"/>
        <v>0.15392261480753819</v>
      </c>
      <c r="I417" s="48">
        <f t="shared" si="65"/>
        <v>446</v>
      </c>
      <c r="J417" s="47">
        <f t="shared" si="66"/>
        <v>0</v>
      </c>
    </row>
    <row r="418" spans="1:10" x14ac:dyDescent="0.2">
      <c r="A418" s="9">
        <v>1</v>
      </c>
      <c r="B418" s="9">
        <v>6</v>
      </c>
      <c r="C418" s="9">
        <v>0</v>
      </c>
      <c r="D418" s="9">
        <v>36</v>
      </c>
      <c r="E418" s="9">
        <v>19.5</v>
      </c>
      <c r="F418" s="7" t="s">
        <v>50</v>
      </c>
      <c r="G418" s="27">
        <f t="shared" si="63"/>
        <v>0.79419298722748044</v>
      </c>
      <c r="H418" s="27">
        <f t="shared" si="64"/>
        <v>0.68873093642333938</v>
      </c>
      <c r="I418" s="48">
        <f t="shared" si="65"/>
        <v>489</v>
      </c>
      <c r="J418" s="47">
        <f t="shared" si="66"/>
        <v>1</v>
      </c>
    </row>
    <row r="419" spans="1:10" x14ac:dyDescent="0.2">
      <c r="A419" s="9">
        <v>0</v>
      </c>
      <c r="B419" s="9">
        <v>19</v>
      </c>
      <c r="C419" s="9">
        <v>2</v>
      </c>
      <c r="D419" s="9">
        <v>68</v>
      </c>
      <c r="E419" s="9">
        <v>5.8</v>
      </c>
      <c r="F419" s="7" t="s">
        <v>50</v>
      </c>
      <c r="G419" s="27">
        <f t="shared" si="63"/>
        <v>-3.2033488735554543</v>
      </c>
      <c r="H419" s="27">
        <f t="shared" si="64"/>
        <v>3.9039893068430434E-2</v>
      </c>
      <c r="I419" s="48">
        <f t="shared" si="65"/>
        <v>406</v>
      </c>
      <c r="J419" s="47">
        <f t="shared" si="66"/>
        <v>0</v>
      </c>
    </row>
    <row r="420" spans="1:10" x14ac:dyDescent="0.2">
      <c r="A420" s="9">
        <v>0</v>
      </c>
      <c r="B420" s="9">
        <v>4</v>
      </c>
      <c r="C420" s="9">
        <v>10</v>
      </c>
      <c r="D420" s="9">
        <v>23</v>
      </c>
      <c r="E420" s="9">
        <v>16.3</v>
      </c>
      <c r="F420" s="7" t="s">
        <v>50</v>
      </c>
      <c r="G420" s="27">
        <f t="shared" si="63"/>
        <v>-0.35864774044022463</v>
      </c>
      <c r="H420" s="27">
        <f t="shared" si="64"/>
        <v>0.41128694921747821</v>
      </c>
      <c r="I420" s="48">
        <f t="shared" si="65"/>
        <v>474</v>
      </c>
      <c r="J420" s="47">
        <f t="shared" si="66"/>
        <v>1</v>
      </c>
    </row>
    <row r="421" spans="1:10" x14ac:dyDescent="0.2">
      <c r="A421" s="9">
        <v>1</v>
      </c>
      <c r="B421" s="9">
        <v>0</v>
      </c>
      <c r="C421" s="9">
        <v>4</v>
      </c>
      <c r="D421" s="9">
        <v>27</v>
      </c>
      <c r="E421" s="9">
        <v>12.8</v>
      </c>
      <c r="F421" s="7" t="s">
        <v>50</v>
      </c>
      <c r="G421" s="27">
        <f t="shared" si="63"/>
        <v>0.30538894156773422</v>
      </c>
      <c r="H421" s="27">
        <f t="shared" si="64"/>
        <v>0.57575935691031355</v>
      </c>
      <c r="I421" s="48">
        <f t="shared" si="65"/>
        <v>484</v>
      </c>
      <c r="J421" s="47">
        <f t="shared" si="66"/>
        <v>1</v>
      </c>
    </row>
    <row r="422" spans="1:10" x14ac:dyDescent="0.2">
      <c r="A422" s="9">
        <v>1</v>
      </c>
      <c r="B422" s="9">
        <v>5</v>
      </c>
      <c r="C422" s="9">
        <v>3</v>
      </c>
      <c r="D422" s="9">
        <v>48</v>
      </c>
      <c r="E422" s="9">
        <v>9</v>
      </c>
      <c r="F422" s="7" t="s">
        <v>50</v>
      </c>
      <c r="G422" s="27">
        <f t="shared" si="63"/>
        <v>-0.70148627593619839</v>
      </c>
      <c r="H422" s="27">
        <f t="shared" si="64"/>
        <v>0.33148278373643186</v>
      </c>
      <c r="I422" s="48">
        <f t="shared" si="65"/>
        <v>468</v>
      </c>
      <c r="J422" s="47">
        <f t="shared" si="66"/>
        <v>1</v>
      </c>
    </row>
    <row r="423" spans="1:10" x14ac:dyDescent="0.2">
      <c r="A423" s="9">
        <v>0</v>
      </c>
      <c r="B423" s="9">
        <v>8</v>
      </c>
      <c r="C423" s="9">
        <v>6</v>
      </c>
      <c r="D423" s="9">
        <v>27</v>
      </c>
      <c r="E423" s="9">
        <v>9.8000000000000007</v>
      </c>
      <c r="F423" s="7" t="s">
        <v>50</v>
      </c>
      <c r="G423" s="27">
        <f t="shared" si="63"/>
        <v>-1.7190478412371031</v>
      </c>
      <c r="H423" s="27">
        <f t="shared" si="64"/>
        <v>0.15199384837410584</v>
      </c>
      <c r="I423" s="48">
        <f t="shared" si="65"/>
        <v>446</v>
      </c>
      <c r="J423" s="47">
        <f t="shared" si="66"/>
        <v>0</v>
      </c>
    </row>
    <row r="424" spans="1:10" x14ac:dyDescent="0.2">
      <c r="A424" s="9">
        <v>0</v>
      </c>
      <c r="B424" s="9">
        <v>4</v>
      </c>
      <c r="C424" s="9">
        <v>7</v>
      </c>
      <c r="D424" s="9">
        <v>26</v>
      </c>
      <c r="E424" s="9">
        <v>13.5</v>
      </c>
      <c r="F424" s="7" t="s">
        <v>50</v>
      </c>
      <c r="G424" s="27">
        <f t="shared" si="63"/>
        <v>-0.52432751456733118</v>
      </c>
      <c r="H424" s="27">
        <f t="shared" si="64"/>
        <v>0.37184087410755873</v>
      </c>
      <c r="I424" s="48">
        <f t="shared" si="65"/>
        <v>471</v>
      </c>
      <c r="J424" s="47">
        <f t="shared" si="66"/>
        <v>1</v>
      </c>
    </row>
    <row r="425" spans="1:10" x14ac:dyDescent="0.2">
      <c r="A425" s="9">
        <v>0</v>
      </c>
      <c r="B425" s="9">
        <v>3</v>
      </c>
      <c r="C425" s="9">
        <v>6</v>
      </c>
      <c r="D425" s="9">
        <v>26</v>
      </c>
      <c r="E425" s="9">
        <v>10</v>
      </c>
      <c r="F425" s="7" t="s">
        <v>50</v>
      </c>
      <c r="G425" s="27">
        <f t="shared" si="63"/>
        <v>-0.83292700223862193</v>
      </c>
      <c r="H425" s="27">
        <f t="shared" si="64"/>
        <v>0.30302652688216064</v>
      </c>
      <c r="I425" s="48">
        <f t="shared" si="65"/>
        <v>466</v>
      </c>
      <c r="J425" s="47">
        <f t="shared" si="66"/>
        <v>1</v>
      </c>
    </row>
    <row r="426" spans="1:10" x14ac:dyDescent="0.2">
      <c r="A426" s="9">
        <v>0</v>
      </c>
      <c r="B426" s="9">
        <v>6</v>
      </c>
      <c r="C426" s="9">
        <v>9</v>
      </c>
      <c r="D426" s="9">
        <v>26</v>
      </c>
      <c r="E426" s="9">
        <v>8.3000000000000007</v>
      </c>
      <c r="F426" s="7" t="s">
        <v>50</v>
      </c>
      <c r="G426" s="27">
        <f t="shared" si="63"/>
        <v>-1.8516107432447539</v>
      </c>
      <c r="H426" s="27">
        <f t="shared" si="64"/>
        <v>0.13568388820194827</v>
      </c>
      <c r="I426" s="48">
        <f t="shared" si="65"/>
        <v>442</v>
      </c>
      <c r="J426" s="47">
        <f t="shared" si="66"/>
        <v>0</v>
      </c>
    </row>
    <row r="427" spans="1:10" x14ac:dyDescent="0.2">
      <c r="A427" s="9">
        <v>0</v>
      </c>
      <c r="B427" s="9">
        <v>0</v>
      </c>
      <c r="C427" s="9">
        <v>8</v>
      </c>
      <c r="D427" s="9">
        <v>39</v>
      </c>
      <c r="E427" s="9">
        <v>7.9</v>
      </c>
      <c r="F427" s="7" t="s">
        <v>50</v>
      </c>
      <c r="G427" s="27">
        <f t="shared" si="63"/>
        <v>-0.54698488077366947</v>
      </c>
      <c r="H427" s="27">
        <f t="shared" si="64"/>
        <v>0.36656422219358964</v>
      </c>
      <c r="I427" s="48">
        <f t="shared" si="65"/>
        <v>471</v>
      </c>
      <c r="J427" s="47">
        <f t="shared" si="66"/>
        <v>1</v>
      </c>
    </row>
    <row r="428" spans="1:10" x14ac:dyDescent="0.2">
      <c r="A428" s="9">
        <v>0</v>
      </c>
      <c r="B428" s="9">
        <v>8</v>
      </c>
      <c r="C428" s="9">
        <v>6</v>
      </c>
      <c r="D428" s="9">
        <v>23</v>
      </c>
      <c r="E428" s="9">
        <v>12</v>
      </c>
      <c r="F428" s="7" t="s">
        <v>50</v>
      </c>
      <c r="G428" s="27">
        <f t="shared" si="63"/>
        <v>-1.4440868031421021</v>
      </c>
      <c r="H428" s="27">
        <f t="shared" si="64"/>
        <v>0.19091328134519583</v>
      </c>
      <c r="I428" s="48">
        <f t="shared" si="65"/>
        <v>452</v>
      </c>
      <c r="J428" s="47">
        <f t="shared" si="66"/>
        <v>0</v>
      </c>
    </row>
    <row r="429" spans="1:10" x14ac:dyDescent="0.2">
      <c r="A429" s="9">
        <v>0</v>
      </c>
      <c r="B429" s="9">
        <v>18</v>
      </c>
      <c r="C429" s="9">
        <v>8</v>
      </c>
      <c r="D429" s="9">
        <v>54</v>
      </c>
      <c r="E429" s="9">
        <v>12.1</v>
      </c>
      <c r="F429" s="7" t="s">
        <v>50</v>
      </c>
      <c r="G429" s="27">
        <f t="shared" si="63"/>
        <v>-2.7371542808058527</v>
      </c>
      <c r="H429" s="27">
        <f t="shared" si="64"/>
        <v>6.0816241041694627E-2</v>
      </c>
      <c r="I429" s="48">
        <f t="shared" si="65"/>
        <v>419</v>
      </c>
      <c r="J429" s="47">
        <f t="shared" si="66"/>
        <v>0</v>
      </c>
    </row>
    <row r="430" spans="1:10" x14ac:dyDescent="0.2">
      <c r="A430" s="9">
        <v>0</v>
      </c>
      <c r="B430" s="9">
        <v>9</v>
      </c>
      <c r="C430" s="9">
        <v>9</v>
      </c>
      <c r="D430" s="9">
        <v>65</v>
      </c>
      <c r="E430" s="9">
        <v>6.2</v>
      </c>
      <c r="F430" s="7" t="s">
        <v>50</v>
      </c>
      <c r="G430" s="27">
        <f t="shared" si="63"/>
        <v>-1.9723035250654513</v>
      </c>
      <c r="H430" s="27">
        <f t="shared" si="64"/>
        <v>0.12214168068600785</v>
      </c>
      <c r="I430" s="48">
        <f t="shared" si="65"/>
        <v>439</v>
      </c>
      <c r="J430" s="47">
        <f t="shared" si="66"/>
        <v>0</v>
      </c>
    </row>
    <row r="431" spans="1:10" x14ac:dyDescent="0.2">
      <c r="A431" s="9">
        <v>0</v>
      </c>
      <c r="B431" s="9">
        <v>12</v>
      </c>
      <c r="C431" s="9">
        <v>8</v>
      </c>
      <c r="D431" s="9">
        <v>47</v>
      </c>
      <c r="E431" s="9">
        <v>6.7</v>
      </c>
      <c r="F431" s="7" t="s">
        <v>50</v>
      </c>
      <c r="G431" s="27">
        <f t="shared" si="63"/>
        <v>-2.6824746098762056</v>
      </c>
      <c r="H431" s="27">
        <f t="shared" si="64"/>
        <v>6.4015443983029344E-2</v>
      </c>
      <c r="I431" s="48">
        <f t="shared" si="65"/>
        <v>421</v>
      </c>
      <c r="J431" s="47">
        <f t="shared" si="66"/>
        <v>0</v>
      </c>
    </row>
    <row r="432" spans="1:10" x14ac:dyDescent="0.2">
      <c r="A432" s="9">
        <v>1</v>
      </c>
      <c r="B432" s="9">
        <v>3</v>
      </c>
      <c r="C432" s="9">
        <v>2</v>
      </c>
      <c r="D432" s="9">
        <v>16</v>
      </c>
      <c r="E432" s="9">
        <v>17.8</v>
      </c>
      <c r="F432" s="7" t="s">
        <v>50</v>
      </c>
      <c r="G432" s="27">
        <f t="shared" si="63"/>
        <v>0.51950144991429914</v>
      </c>
      <c r="H432" s="27">
        <f t="shared" si="64"/>
        <v>0.62703118124103296</v>
      </c>
      <c r="I432" s="48">
        <f t="shared" si="65"/>
        <v>487</v>
      </c>
      <c r="J432" s="47">
        <f t="shared" si="66"/>
        <v>1</v>
      </c>
    </row>
    <row r="433" spans="1:10" x14ac:dyDescent="0.2">
      <c r="A433" s="9">
        <v>1</v>
      </c>
      <c r="B433" s="9">
        <v>1</v>
      </c>
      <c r="C433" s="9">
        <v>3</v>
      </c>
      <c r="D433" s="9">
        <v>24</v>
      </c>
      <c r="E433" s="9">
        <v>15.1</v>
      </c>
      <c r="F433" s="7" t="s">
        <v>50</v>
      </c>
      <c r="G433" s="27">
        <f t="shared" si="63"/>
        <v>0.51518698740896696</v>
      </c>
      <c r="H433" s="27">
        <f t="shared" si="64"/>
        <v>0.62602163601862937</v>
      </c>
      <c r="I433" s="48">
        <f t="shared" si="65"/>
        <v>486</v>
      </c>
      <c r="J433" s="47">
        <f t="shared" si="66"/>
        <v>1</v>
      </c>
    </row>
    <row r="434" spans="1:10" x14ac:dyDescent="0.2">
      <c r="A434" s="9">
        <v>0</v>
      </c>
      <c r="B434" s="9">
        <v>12</v>
      </c>
      <c r="C434" s="9">
        <v>10</v>
      </c>
      <c r="D434" s="9">
        <v>46</v>
      </c>
      <c r="E434" s="9">
        <v>5</v>
      </c>
      <c r="F434" s="7" t="s">
        <v>50</v>
      </c>
      <c r="G434" s="27">
        <f t="shared" si="63"/>
        <v>-3.1215694447463944</v>
      </c>
      <c r="H434" s="27">
        <f t="shared" si="64"/>
        <v>4.2226252857659144E-2</v>
      </c>
      <c r="I434" s="48">
        <f t="shared" si="65"/>
        <v>409</v>
      </c>
      <c r="J434" s="47">
        <f t="shared" si="66"/>
        <v>0</v>
      </c>
    </row>
    <row r="435" spans="1:10" x14ac:dyDescent="0.2">
      <c r="A435" s="9">
        <v>1</v>
      </c>
      <c r="B435" s="9">
        <v>2</v>
      </c>
      <c r="C435" s="9">
        <v>4</v>
      </c>
      <c r="D435" s="9">
        <v>22</v>
      </c>
      <c r="E435" s="9">
        <v>12.7</v>
      </c>
      <c r="F435" s="7" t="s">
        <v>50</v>
      </c>
      <c r="G435" s="27">
        <f t="shared" si="63"/>
        <v>-0.15441951637552354</v>
      </c>
      <c r="H435" s="27">
        <f t="shared" si="64"/>
        <v>0.46147165077981356</v>
      </c>
      <c r="I435" s="48">
        <f t="shared" si="65"/>
        <v>478</v>
      </c>
      <c r="J435" s="47">
        <f t="shared" si="66"/>
        <v>1</v>
      </c>
    </row>
    <row r="436" spans="1:10" x14ac:dyDescent="0.2">
      <c r="A436" s="9">
        <v>0</v>
      </c>
      <c r="B436" s="9">
        <v>4</v>
      </c>
      <c r="C436" s="9">
        <v>9</v>
      </c>
      <c r="D436" s="9">
        <v>55</v>
      </c>
      <c r="E436" s="9">
        <v>7</v>
      </c>
      <c r="F436" s="7" t="s">
        <v>50</v>
      </c>
      <c r="G436" s="27">
        <f t="shared" si="63"/>
        <v>-1.1608398247374001</v>
      </c>
      <c r="H436" s="27">
        <f t="shared" si="64"/>
        <v>0.23851471811842551</v>
      </c>
      <c r="I436" s="48">
        <f t="shared" si="65"/>
        <v>459</v>
      </c>
      <c r="J436" s="47">
        <f t="shared" si="66"/>
        <v>1</v>
      </c>
    </row>
    <row r="437" spans="1:10" x14ac:dyDescent="0.2">
      <c r="A437" s="9">
        <v>0</v>
      </c>
      <c r="B437" s="9">
        <v>19</v>
      </c>
      <c r="C437" s="9">
        <v>8</v>
      </c>
      <c r="D437" s="9">
        <v>46</v>
      </c>
      <c r="E437" s="9">
        <v>9.1</v>
      </c>
      <c r="F437" s="7" t="s">
        <v>50</v>
      </c>
      <c r="G437" s="27">
        <f t="shared" si="63"/>
        <v>-3.5413052110050134</v>
      </c>
      <c r="H437" s="27">
        <f t="shared" si="64"/>
        <v>2.8159546793810566E-2</v>
      </c>
      <c r="I437" s="48">
        <f t="shared" si="65"/>
        <v>397</v>
      </c>
      <c r="J437" s="47">
        <f t="shared" si="66"/>
        <v>0</v>
      </c>
    </row>
    <row r="438" spans="1:10" x14ac:dyDescent="0.2">
      <c r="A438" s="9">
        <v>0</v>
      </c>
      <c r="B438" s="9">
        <v>10</v>
      </c>
      <c r="C438" s="9">
        <v>11</v>
      </c>
      <c r="D438" s="9">
        <v>39</v>
      </c>
      <c r="E438" s="9">
        <v>9.5</v>
      </c>
      <c r="F438" s="7" t="s">
        <v>50</v>
      </c>
      <c r="G438" s="27">
        <f t="shared" si="63"/>
        <v>-2.2621329909709651</v>
      </c>
      <c r="H438" s="27">
        <f t="shared" si="64"/>
        <v>9.4308023894740092E-2</v>
      </c>
      <c r="I438" s="48">
        <f t="shared" si="65"/>
        <v>432</v>
      </c>
      <c r="J438" s="47">
        <f t="shared" si="66"/>
        <v>0</v>
      </c>
    </row>
    <row r="439" spans="1:10" x14ac:dyDescent="0.2">
      <c r="A439" s="9">
        <v>1</v>
      </c>
      <c r="B439" s="9">
        <v>2</v>
      </c>
      <c r="C439" s="9">
        <v>3</v>
      </c>
      <c r="D439" s="9">
        <v>26</v>
      </c>
      <c r="E439" s="9">
        <v>9.6999999999999993</v>
      </c>
      <c r="F439" s="7" t="s">
        <v>50</v>
      </c>
      <c r="G439" s="27">
        <f t="shared" si="63"/>
        <v>-0.48227679766195708</v>
      </c>
      <c r="H439" s="27">
        <f t="shared" si="64"/>
        <v>0.38171463694402863</v>
      </c>
      <c r="I439" s="48">
        <f t="shared" si="65"/>
        <v>472</v>
      </c>
      <c r="J439" s="47">
        <f t="shared" si="66"/>
        <v>1</v>
      </c>
    </row>
    <row r="440" spans="1:10" x14ac:dyDescent="0.2">
      <c r="A440" s="9">
        <v>0</v>
      </c>
      <c r="B440" s="9">
        <v>12</v>
      </c>
      <c r="C440" s="9">
        <v>7</v>
      </c>
      <c r="D440" s="9">
        <v>45</v>
      </c>
      <c r="E440" s="9">
        <v>7.7</v>
      </c>
      <c r="F440" s="7" t="s">
        <v>50</v>
      </c>
      <c r="G440" s="27">
        <f t="shared" si="63"/>
        <v>-2.4863216829698098</v>
      </c>
      <c r="H440" s="27">
        <f t="shared" si="64"/>
        <v>7.6822661326539129E-2</v>
      </c>
      <c r="I440" s="48">
        <f t="shared" si="65"/>
        <v>426</v>
      </c>
      <c r="J440" s="47">
        <f t="shared" si="66"/>
        <v>0</v>
      </c>
    </row>
    <row r="441" spans="1:10" x14ac:dyDescent="0.2">
      <c r="A441" s="9">
        <v>0</v>
      </c>
      <c r="B441" s="9">
        <v>7</v>
      </c>
      <c r="C441" s="9">
        <v>15</v>
      </c>
      <c r="D441" s="9">
        <v>40</v>
      </c>
      <c r="E441" s="9">
        <v>6.4</v>
      </c>
      <c r="F441" s="7" t="s">
        <v>50</v>
      </c>
      <c r="G441" s="27">
        <f t="shared" si="63"/>
        <v>-2.5118461112138855</v>
      </c>
      <c r="H441" s="27">
        <f t="shared" si="64"/>
        <v>7.5031884924218695E-2</v>
      </c>
      <c r="I441" s="48">
        <f t="shared" si="65"/>
        <v>425</v>
      </c>
      <c r="J441" s="47">
        <f t="shared" si="66"/>
        <v>0</v>
      </c>
    </row>
    <row r="442" spans="1:10" x14ac:dyDescent="0.2">
      <c r="A442" s="9">
        <v>1</v>
      </c>
      <c r="B442" s="9">
        <v>10</v>
      </c>
      <c r="C442" s="9">
        <v>12</v>
      </c>
      <c r="D442" s="9">
        <v>49</v>
      </c>
      <c r="E442" s="9">
        <v>9.8000000000000007</v>
      </c>
      <c r="F442" s="7" t="s">
        <v>50</v>
      </c>
      <c r="G442" s="27">
        <f t="shared" si="63"/>
        <v>-2.0997204069432622</v>
      </c>
      <c r="H442" s="27">
        <f t="shared" si="64"/>
        <v>0.10912399913043</v>
      </c>
      <c r="I442" s="48">
        <f t="shared" si="65"/>
        <v>436</v>
      </c>
      <c r="J442" s="47">
        <f t="shared" si="66"/>
        <v>0</v>
      </c>
    </row>
    <row r="443" spans="1:10" x14ac:dyDescent="0.2">
      <c r="A443" s="9">
        <v>0</v>
      </c>
      <c r="B443" s="9">
        <v>2</v>
      </c>
      <c r="C443" s="9">
        <v>9</v>
      </c>
      <c r="D443" s="9">
        <v>16</v>
      </c>
      <c r="E443" s="9">
        <v>15.2</v>
      </c>
      <c r="F443" s="7" t="s">
        <v>50</v>
      </c>
      <c r="G443" s="27">
        <f t="shared" si="63"/>
        <v>-0.24253892190667914</v>
      </c>
      <c r="H443" s="27">
        <f t="shared" si="64"/>
        <v>0.43966076852002611</v>
      </c>
      <c r="I443" s="48">
        <f t="shared" si="65"/>
        <v>476</v>
      </c>
      <c r="J443" s="47">
        <f t="shared" si="66"/>
        <v>1</v>
      </c>
    </row>
    <row r="444" spans="1:10" x14ac:dyDescent="0.2">
      <c r="A444" s="9">
        <v>0</v>
      </c>
      <c r="B444" s="9">
        <v>8</v>
      </c>
      <c r="C444" s="9">
        <v>6</v>
      </c>
      <c r="D444" s="9">
        <v>30</v>
      </c>
      <c r="E444" s="9">
        <v>7.2</v>
      </c>
      <c r="F444" s="7" t="s">
        <v>50</v>
      </c>
      <c r="G444" s="27">
        <f t="shared" si="63"/>
        <v>-2.0766832176623709</v>
      </c>
      <c r="H444" s="27">
        <f t="shared" si="64"/>
        <v>0.11138383054275837</v>
      </c>
      <c r="I444" s="48">
        <f t="shared" si="65"/>
        <v>437</v>
      </c>
      <c r="J444" s="47">
        <f t="shared" si="66"/>
        <v>0</v>
      </c>
    </row>
    <row r="445" spans="1:10" x14ac:dyDescent="0.2">
      <c r="A445" s="9">
        <v>0</v>
      </c>
      <c r="B445" s="9">
        <v>11</v>
      </c>
      <c r="C445" s="9">
        <v>5</v>
      </c>
      <c r="D445" s="9">
        <v>36</v>
      </c>
      <c r="E445" s="9">
        <v>6.1</v>
      </c>
      <c r="F445" s="7" t="s">
        <v>50</v>
      </c>
      <c r="G445" s="27">
        <f t="shared" si="63"/>
        <v>-2.5877685993519792</v>
      </c>
      <c r="H445" s="27">
        <f t="shared" si="64"/>
        <v>6.9929773080670693E-2</v>
      </c>
      <c r="I445" s="48">
        <f t="shared" si="65"/>
        <v>423</v>
      </c>
      <c r="J445" s="47">
        <f t="shared" si="66"/>
        <v>0</v>
      </c>
    </row>
    <row r="446" spans="1:10" x14ac:dyDescent="0.2">
      <c r="A446" s="9">
        <v>1</v>
      </c>
      <c r="B446" s="9">
        <v>2</v>
      </c>
      <c r="C446" s="9">
        <v>1</v>
      </c>
      <c r="D446" s="9">
        <v>26</v>
      </c>
      <c r="E446" s="9">
        <v>6.8</v>
      </c>
      <c r="F446" s="7" t="s">
        <v>50</v>
      </c>
      <c r="G446" s="27">
        <f t="shared" si="63"/>
        <v>-0.79526820742400339</v>
      </c>
      <c r="H446" s="27">
        <f t="shared" si="64"/>
        <v>0.31103860397838129</v>
      </c>
      <c r="I446" s="48">
        <f t="shared" si="65"/>
        <v>466</v>
      </c>
      <c r="J446" s="47">
        <f t="shared" si="66"/>
        <v>1</v>
      </c>
    </row>
    <row r="447" spans="1:10" x14ac:dyDescent="0.2">
      <c r="A447" s="9">
        <v>0</v>
      </c>
      <c r="B447" s="9">
        <v>13</v>
      </c>
      <c r="C447" s="9">
        <v>1</v>
      </c>
      <c r="D447" s="9">
        <v>38</v>
      </c>
      <c r="E447" s="9">
        <v>8.9</v>
      </c>
      <c r="F447" s="7" t="s">
        <v>50</v>
      </c>
      <c r="G447" s="27">
        <f t="shared" si="63"/>
        <v>-2.1544751639404121</v>
      </c>
      <c r="H447" s="27">
        <f t="shared" si="64"/>
        <v>0.10391377583270973</v>
      </c>
      <c r="I447" s="48">
        <f t="shared" si="65"/>
        <v>435</v>
      </c>
      <c r="J447" s="47">
        <f t="shared" si="66"/>
        <v>0</v>
      </c>
    </row>
    <row r="448" spans="1:10" x14ac:dyDescent="0.2">
      <c r="A448" s="9">
        <v>0</v>
      </c>
      <c r="B448" s="9">
        <v>15</v>
      </c>
      <c r="C448" s="9">
        <v>16</v>
      </c>
      <c r="D448" s="9">
        <v>73</v>
      </c>
      <c r="E448" s="9">
        <v>3.4</v>
      </c>
      <c r="F448" s="7" t="s">
        <v>50</v>
      </c>
      <c r="G448" s="27">
        <f t="shared" si="63"/>
        <v>-3.8372849337743165</v>
      </c>
      <c r="H448" s="27">
        <f t="shared" si="64"/>
        <v>2.1097346394779445E-2</v>
      </c>
      <c r="I448" s="48">
        <f t="shared" si="65"/>
        <v>389</v>
      </c>
      <c r="J448" s="47">
        <f t="shared" si="66"/>
        <v>0</v>
      </c>
    </row>
    <row r="449" spans="1:10" x14ac:dyDescent="0.2">
      <c r="A449" s="9">
        <v>0</v>
      </c>
      <c r="B449" s="9">
        <v>5</v>
      </c>
      <c r="C449" s="9">
        <v>13</v>
      </c>
      <c r="D449" s="9">
        <v>21</v>
      </c>
      <c r="E449" s="9">
        <v>9</v>
      </c>
      <c r="F449" s="7" t="s">
        <v>50</v>
      </c>
      <c r="G449" s="27">
        <f t="shared" si="63"/>
        <v>-1.9584563747377535</v>
      </c>
      <c r="H449" s="27">
        <f t="shared" si="64"/>
        <v>0.12363420034308506</v>
      </c>
      <c r="I449" s="48">
        <f t="shared" si="65"/>
        <v>440</v>
      </c>
      <c r="J449" s="47">
        <f t="shared" si="66"/>
        <v>0</v>
      </c>
    </row>
    <row r="450" spans="1:10" x14ac:dyDescent="0.2">
      <c r="A450" s="9">
        <v>0</v>
      </c>
      <c r="B450" s="9">
        <v>16</v>
      </c>
      <c r="C450" s="9">
        <v>9</v>
      </c>
      <c r="D450" s="9">
        <v>79</v>
      </c>
      <c r="E450" s="9">
        <v>4</v>
      </c>
      <c r="F450" s="7" t="s">
        <v>50</v>
      </c>
      <c r="G450" s="27">
        <f t="shared" ref="G450:G501" si="67">SUMPRODUCT($Q$3:$T$3,B450:E450)+$P$3</f>
        <v>-3.2804871957166588</v>
      </c>
      <c r="H450" s="27">
        <f t="shared" si="64"/>
        <v>3.6246693383905737E-2</v>
      </c>
      <c r="I450" s="48">
        <f t="shared" si="65"/>
        <v>404</v>
      </c>
      <c r="J450" s="47">
        <f t="shared" si="66"/>
        <v>0</v>
      </c>
    </row>
    <row r="451" spans="1:10" x14ac:dyDescent="0.2">
      <c r="A451" s="9">
        <v>1</v>
      </c>
      <c r="B451" s="9">
        <v>2</v>
      </c>
      <c r="C451" s="9">
        <v>0</v>
      </c>
      <c r="D451" s="9">
        <v>14</v>
      </c>
      <c r="E451" s="9">
        <v>14.4</v>
      </c>
      <c r="F451" s="7" t="s">
        <v>50</v>
      </c>
      <c r="G451" s="27">
        <f t="shared" si="67"/>
        <v>0.26360948065612533</v>
      </c>
      <c r="H451" s="27">
        <f t="shared" ref="H451:H501" si="68">EXP(G451)/(1+EXP(G451))</f>
        <v>0.56552337417503939</v>
      </c>
      <c r="I451" s="48">
        <f t="shared" si="65"/>
        <v>484</v>
      </c>
      <c r="J451" s="47">
        <f t="shared" si="66"/>
        <v>1</v>
      </c>
    </row>
    <row r="452" spans="1:10" x14ac:dyDescent="0.2">
      <c r="A452" s="9">
        <v>0</v>
      </c>
      <c r="B452" s="9">
        <v>10</v>
      </c>
      <c r="C452" s="9">
        <v>6</v>
      </c>
      <c r="D452" s="9">
        <v>34</v>
      </c>
      <c r="E452" s="9">
        <v>6.5</v>
      </c>
      <c r="F452" s="7" t="s">
        <v>50</v>
      </c>
      <c r="G452" s="27">
        <f t="shared" si="67"/>
        <v>-2.4618345369351982</v>
      </c>
      <c r="H452" s="27">
        <f t="shared" si="68"/>
        <v>7.8577408462085843E-2</v>
      </c>
      <c r="I452" s="48">
        <f t="shared" si="65"/>
        <v>427</v>
      </c>
      <c r="J452" s="47">
        <f t="shared" si="66"/>
        <v>0</v>
      </c>
    </row>
    <row r="453" spans="1:10" x14ac:dyDescent="0.2">
      <c r="A453" s="9">
        <v>1</v>
      </c>
      <c r="B453" s="9">
        <v>0</v>
      </c>
      <c r="C453" s="9">
        <v>16</v>
      </c>
      <c r="D453" s="9">
        <v>22</v>
      </c>
      <c r="E453" s="9">
        <v>15</v>
      </c>
      <c r="F453" s="7" t="s">
        <v>50</v>
      </c>
      <c r="G453" s="27">
        <f t="shared" si="67"/>
        <v>-0.33390028274607886</v>
      </c>
      <c r="H453" s="27">
        <f t="shared" si="68"/>
        <v>0.41729192801192311</v>
      </c>
      <c r="I453" s="48">
        <f t="shared" si="65"/>
        <v>475</v>
      </c>
      <c r="J453" s="47">
        <f t="shared" si="66"/>
        <v>1</v>
      </c>
    </row>
    <row r="454" spans="1:10" x14ac:dyDescent="0.2">
      <c r="A454" s="9">
        <v>1</v>
      </c>
      <c r="B454" s="9">
        <v>0</v>
      </c>
      <c r="C454" s="9">
        <v>3</v>
      </c>
      <c r="D454" s="9">
        <v>29</v>
      </c>
      <c r="E454" s="9">
        <v>6.6</v>
      </c>
      <c r="F454" s="7" t="s">
        <v>50</v>
      </c>
      <c r="G454" s="27">
        <f t="shared" si="67"/>
        <v>-0.57033810569464372</v>
      </c>
      <c r="H454" s="27">
        <f t="shared" si="68"/>
        <v>0.36115881238744163</v>
      </c>
      <c r="I454" s="48">
        <f t="shared" ref="I454:I501" si="69">ROUND($M$4+(($M$5/LN(2))*LN(H454)),0)</f>
        <v>471</v>
      </c>
      <c r="J454" s="47">
        <f t="shared" ref="J454:J501" si="70">IF(H454&gt;=$M$3,1,0)</f>
        <v>1</v>
      </c>
    </row>
    <row r="455" spans="1:10" x14ac:dyDescent="0.2">
      <c r="A455" s="9">
        <v>1</v>
      </c>
      <c r="B455" s="9">
        <v>0</v>
      </c>
      <c r="C455" s="9">
        <v>6</v>
      </c>
      <c r="D455" s="9">
        <v>24</v>
      </c>
      <c r="E455" s="9">
        <v>12.1</v>
      </c>
      <c r="F455" s="7" t="s">
        <v>50</v>
      </c>
      <c r="G455" s="27">
        <f t="shared" si="67"/>
        <v>-1.2163752976429798E-2</v>
      </c>
      <c r="H455" s="27">
        <f t="shared" si="68"/>
        <v>0.49695909924931736</v>
      </c>
      <c r="I455" s="48">
        <f t="shared" si="69"/>
        <v>480</v>
      </c>
      <c r="J455" s="47">
        <f t="shared" si="70"/>
        <v>1</v>
      </c>
    </row>
    <row r="456" spans="1:10" x14ac:dyDescent="0.2">
      <c r="A456" s="9">
        <v>0</v>
      </c>
      <c r="B456" s="9">
        <v>9</v>
      </c>
      <c r="C456" s="9">
        <v>1</v>
      </c>
      <c r="D456" s="9">
        <v>34</v>
      </c>
      <c r="E456" s="9">
        <v>5</v>
      </c>
      <c r="F456" s="7" t="s">
        <v>50</v>
      </c>
      <c r="G456" s="27">
        <f t="shared" si="67"/>
        <v>-2.1532233038554969</v>
      </c>
      <c r="H456" s="27">
        <f t="shared" si="68"/>
        <v>0.10403040147756311</v>
      </c>
      <c r="I456" s="48">
        <f t="shared" si="69"/>
        <v>435</v>
      </c>
      <c r="J456" s="47">
        <f t="shared" si="70"/>
        <v>0</v>
      </c>
    </row>
    <row r="457" spans="1:10" x14ac:dyDescent="0.2">
      <c r="A457" s="9">
        <v>1</v>
      </c>
      <c r="B457" s="9">
        <v>2</v>
      </c>
      <c r="C457" s="9">
        <v>3</v>
      </c>
      <c r="D457" s="9">
        <v>23</v>
      </c>
      <c r="E457" s="9">
        <v>6.4</v>
      </c>
      <c r="F457" s="7" t="s">
        <v>50</v>
      </c>
      <c r="G457" s="27">
        <f t="shared" si="67"/>
        <v>-1.0650057658037411</v>
      </c>
      <c r="H457" s="27">
        <f t="shared" si="68"/>
        <v>0.25635400906879297</v>
      </c>
      <c r="I457" s="48">
        <f t="shared" si="69"/>
        <v>461</v>
      </c>
      <c r="J457" s="47">
        <f t="shared" si="70"/>
        <v>1</v>
      </c>
    </row>
    <row r="458" spans="1:10" x14ac:dyDescent="0.2">
      <c r="A458" s="9">
        <v>0</v>
      </c>
      <c r="B458" s="9">
        <v>13</v>
      </c>
      <c r="C458" s="9">
        <v>13</v>
      </c>
      <c r="D458" s="9">
        <v>42</v>
      </c>
      <c r="E458" s="9">
        <v>3.6</v>
      </c>
      <c r="F458" s="7" t="s">
        <v>50</v>
      </c>
      <c r="G458" s="27">
        <f t="shared" si="67"/>
        <v>-3.8188553813656005</v>
      </c>
      <c r="H458" s="27">
        <f t="shared" si="68"/>
        <v>2.1481336300210496E-2</v>
      </c>
      <c r="I458" s="48">
        <f t="shared" si="69"/>
        <v>389</v>
      </c>
      <c r="J458" s="47">
        <f t="shared" si="70"/>
        <v>0</v>
      </c>
    </row>
    <row r="459" spans="1:10" x14ac:dyDescent="0.2">
      <c r="A459" s="9">
        <v>0</v>
      </c>
      <c r="B459" s="9">
        <v>4</v>
      </c>
      <c r="C459" s="9">
        <v>2</v>
      </c>
      <c r="D459" s="9">
        <v>29</v>
      </c>
      <c r="E459" s="9">
        <v>4.5999999999999996</v>
      </c>
      <c r="F459" s="7" t="s">
        <v>50</v>
      </c>
      <c r="G459" s="27">
        <f t="shared" si="67"/>
        <v>-1.5130268175436981</v>
      </c>
      <c r="H459" s="27">
        <f t="shared" si="68"/>
        <v>0.18049065208467438</v>
      </c>
      <c r="I459" s="48">
        <f t="shared" si="69"/>
        <v>451</v>
      </c>
      <c r="J459" s="47">
        <f t="shared" si="70"/>
        <v>0</v>
      </c>
    </row>
    <row r="460" spans="1:10" x14ac:dyDescent="0.2">
      <c r="A460" s="9">
        <v>0</v>
      </c>
      <c r="B460" s="9">
        <v>16</v>
      </c>
      <c r="C460" s="9">
        <v>12</v>
      </c>
      <c r="D460" s="9">
        <v>53</v>
      </c>
      <c r="E460" s="9">
        <v>3.7</v>
      </c>
      <c r="F460" s="7" t="s">
        <v>50</v>
      </c>
      <c r="G460" s="27">
        <f t="shared" si="67"/>
        <v>-4.0440761011756798</v>
      </c>
      <c r="H460" s="27">
        <f t="shared" si="68"/>
        <v>1.7224023005729169E-2</v>
      </c>
      <c r="I460" s="48">
        <f t="shared" si="69"/>
        <v>383</v>
      </c>
      <c r="J460" s="47">
        <f t="shared" si="70"/>
        <v>0</v>
      </c>
    </row>
    <row r="461" spans="1:10" x14ac:dyDescent="0.2">
      <c r="A461" s="9">
        <v>0</v>
      </c>
      <c r="B461" s="9">
        <v>0</v>
      </c>
      <c r="C461" s="9">
        <v>27</v>
      </c>
      <c r="D461" s="9">
        <v>19</v>
      </c>
      <c r="E461" s="9">
        <v>10.8</v>
      </c>
      <c r="F461" s="7" t="s">
        <v>50</v>
      </c>
      <c r="G461" s="27">
        <f t="shared" si="67"/>
        <v>-1.8807933117652202</v>
      </c>
      <c r="H461" s="27">
        <f t="shared" si="68"/>
        <v>0.13229777868951495</v>
      </c>
      <c r="I461" s="48">
        <f t="shared" si="69"/>
        <v>442</v>
      </c>
      <c r="J461" s="47">
        <f t="shared" si="70"/>
        <v>0</v>
      </c>
    </row>
    <row r="462" spans="1:10" x14ac:dyDescent="0.2">
      <c r="A462" s="9">
        <v>0</v>
      </c>
      <c r="B462" s="9">
        <v>7</v>
      </c>
      <c r="C462" s="9">
        <v>11</v>
      </c>
      <c r="D462" s="9">
        <v>43</v>
      </c>
      <c r="E462" s="9">
        <v>4.4000000000000004</v>
      </c>
      <c r="F462" s="7" t="s">
        <v>50</v>
      </c>
      <c r="G462" s="27">
        <f t="shared" si="67"/>
        <v>-2.4754080689888172</v>
      </c>
      <c r="H462" s="27">
        <f t="shared" si="68"/>
        <v>7.7600248575620118E-2</v>
      </c>
      <c r="I462" s="48">
        <f t="shared" si="69"/>
        <v>426</v>
      </c>
      <c r="J462" s="47">
        <f t="shared" si="70"/>
        <v>0</v>
      </c>
    </row>
    <row r="463" spans="1:10" x14ac:dyDescent="0.2">
      <c r="A463" s="9">
        <v>0</v>
      </c>
      <c r="B463" s="9">
        <v>1</v>
      </c>
      <c r="C463" s="9">
        <v>10</v>
      </c>
      <c r="D463" s="9">
        <v>22</v>
      </c>
      <c r="E463" s="9">
        <v>10.5</v>
      </c>
      <c r="F463" s="7" t="s">
        <v>50</v>
      </c>
      <c r="G463" s="27">
        <f t="shared" si="67"/>
        <v>-0.77809558673022883</v>
      </c>
      <c r="H463" s="27">
        <f t="shared" si="68"/>
        <v>0.31473047578869856</v>
      </c>
      <c r="I463" s="48">
        <f t="shared" si="69"/>
        <v>467</v>
      </c>
      <c r="J463" s="47">
        <f t="shared" si="70"/>
        <v>1</v>
      </c>
    </row>
    <row r="464" spans="1:10" x14ac:dyDescent="0.2">
      <c r="A464" s="9">
        <v>1</v>
      </c>
      <c r="B464" s="9">
        <v>4</v>
      </c>
      <c r="C464" s="9">
        <v>9</v>
      </c>
      <c r="D464" s="9">
        <v>33</v>
      </c>
      <c r="E464" s="9">
        <v>7.1</v>
      </c>
      <c r="F464" s="7" t="s">
        <v>50</v>
      </c>
      <c r="G464" s="27">
        <f t="shared" si="67"/>
        <v>-1.5611595617919485</v>
      </c>
      <c r="H464" s="27">
        <f t="shared" si="68"/>
        <v>0.17348032041286457</v>
      </c>
      <c r="I464" s="48">
        <f t="shared" si="69"/>
        <v>449</v>
      </c>
      <c r="J464" s="47">
        <f t="shared" si="70"/>
        <v>0</v>
      </c>
    </row>
    <row r="465" spans="1:10" x14ac:dyDescent="0.2">
      <c r="A465" s="9">
        <v>0</v>
      </c>
      <c r="B465" s="9">
        <v>14</v>
      </c>
      <c r="C465" s="9">
        <v>17</v>
      </c>
      <c r="D465" s="9">
        <v>53</v>
      </c>
      <c r="E465" s="9">
        <v>5.7</v>
      </c>
      <c r="F465" s="7" t="s">
        <v>50</v>
      </c>
      <c r="G465" s="27">
        <f t="shared" si="67"/>
        <v>-3.749096497648067</v>
      </c>
      <c r="H465" s="27">
        <f t="shared" si="68"/>
        <v>2.2997661749326419E-2</v>
      </c>
      <c r="I465" s="48">
        <f t="shared" si="69"/>
        <v>391</v>
      </c>
      <c r="J465" s="47">
        <f t="shared" si="70"/>
        <v>0</v>
      </c>
    </row>
    <row r="466" spans="1:10" x14ac:dyDescent="0.2">
      <c r="A466" s="9">
        <v>0</v>
      </c>
      <c r="B466" s="9">
        <v>0</v>
      </c>
      <c r="C466" s="9">
        <v>2</v>
      </c>
      <c r="D466" s="9">
        <v>23</v>
      </c>
      <c r="E466" s="9">
        <v>6.7</v>
      </c>
      <c r="F466" s="7" t="s">
        <v>50</v>
      </c>
      <c r="G466" s="27">
        <f t="shared" si="67"/>
        <v>-0.59331388105898597</v>
      </c>
      <c r="H466" s="27">
        <f t="shared" si="68"/>
        <v>0.35587485787664536</v>
      </c>
      <c r="I466" s="48">
        <f t="shared" si="69"/>
        <v>470</v>
      </c>
      <c r="J466" s="47">
        <f t="shared" si="70"/>
        <v>1</v>
      </c>
    </row>
    <row r="467" spans="1:10" x14ac:dyDescent="0.2">
      <c r="A467" s="9">
        <v>0</v>
      </c>
      <c r="B467" s="9">
        <v>6</v>
      </c>
      <c r="C467" s="9">
        <v>14</v>
      </c>
      <c r="D467" s="9">
        <v>21</v>
      </c>
      <c r="E467" s="9">
        <v>7.5</v>
      </c>
      <c r="F467" s="7" t="s">
        <v>50</v>
      </c>
      <c r="G467" s="27">
        <f t="shared" si="67"/>
        <v>-2.4467758231402352</v>
      </c>
      <c r="H467" s="27">
        <f t="shared" si="68"/>
        <v>7.967464693810386E-2</v>
      </c>
      <c r="I467" s="48">
        <f t="shared" si="69"/>
        <v>427</v>
      </c>
      <c r="J467" s="47">
        <f t="shared" si="70"/>
        <v>0</v>
      </c>
    </row>
    <row r="468" spans="1:10" x14ac:dyDescent="0.2">
      <c r="A468" s="9">
        <v>1</v>
      </c>
      <c r="B468" s="9">
        <v>11</v>
      </c>
      <c r="C468" s="9">
        <v>6</v>
      </c>
      <c r="D468" s="9">
        <v>28</v>
      </c>
      <c r="E468" s="9">
        <v>4.8</v>
      </c>
      <c r="F468" s="7" t="s">
        <v>50</v>
      </c>
      <c r="G468" s="27">
        <f t="shared" si="67"/>
        <v>-3.0209448968664483</v>
      </c>
      <c r="H468" s="27">
        <f t="shared" si="68"/>
        <v>4.6488571754948783E-2</v>
      </c>
      <c r="I468" s="48">
        <f t="shared" si="69"/>
        <v>411</v>
      </c>
      <c r="J468" s="47">
        <f t="shared" si="70"/>
        <v>0</v>
      </c>
    </row>
    <row r="469" spans="1:10" x14ac:dyDescent="0.2">
      <c r="A469" s="9">
        <v>1</v>
      </c>
      <c r="B469" s="9">
        <v>5</v>
      </c>
      <c r="C469" s="9">
        <v>4</v>
      </c>
      <c r="D469" s="9">
        <v>36</v>
      </c>
      <c r="E469" s="9">
        <v>12.4</v>
      </c>
      <c r="F469" s="7" t="s">
        <v>50</v>
      </c>
      <c r="G469" s="27">
        <f t="shared" si="67"/>
        <v>-0.46124206731878026</v>
      </c>
      <c r="H469" s="27">
        <f t="shared" si="68"/>
        <v>0.38669121236100673</v>
      </c>
      <c r="I469" s="48">
        <f t="shared" si="69"/>
        <v>473</v>
      </c>
      <c r="J469" s="47">
        <f t="shared" si="70"/>
        <v>1</v>
      </c>
    </row>
    <row r="470" spans="1:10" x14ac:dyDescent="0.2">
      <c r="A470" s="9">
        <v>1</v>
      </c>
      <c r="B470" s="9">
        <v>3</v>
      </c>
      <c r="C470" s="9">
        <v>3</v>
      </c>
      <c r="D470" s="9">
        <v>50</v>
      </c>
      <c r="E470" s="9">
        <v>2.4</v>
      </c>
      <c r="F470" s="7" t="s">
        <v>50</v>
      </c>
      <c r="G470" s="27">
        <f t="shared" si="67"/>
        <v>-1.3663116626648908</v>
      </c>
      <c r="H470" s="27">
        <f t="shared" si="68"/>
        <v>0.20321640646955597</v>
      </c>
      <c r="I470" s="48">
        <f t="shared" si="69"/>
        <v>454</v>
      </c>
      <c r="J470" s="47">
        <f t="shared" si="70"/>
        <v>1</v>
      </c>
    </row>
    <row r="471" spans="1:10" x14ac:dyDescent="0.2">
      <c r="A471" s="9">
        <v>0</v>
      </c>
      <c r="B471" s="9">
        <v>4</v>
      </c>
      <c r="C471" s="9">
        <v>0</v>
      </c>
      <c r="D471" s="9">
        <v>23</v>
      </c>
      <c r="E471" s="9">
        <v>5.2</v>
      </c>
      <c r="F471" s="7" t="s">
        <v>50</v>
      </c>
      <c r="G471" s="27">
        <f t="shared" si="67"/>
        <v>-1.381699912720292</v>
      </c>
      <c r="H471" s="27">
        <f t="shared" si="68"/>
        <v>0.20073612507563626</v>
      </c>
      <c r="I471" s="48">
        <f t="shared" si="69"/>
        <v>454</v>
      </c>
      <c r="J471" s="47">
        <f t="shared" si="70"/>
        <v>1</v>
      </c>
    </row>
    <row r="472" spans="1:10" x14ac:dyDescent="0.2">
      <c r="A472" s="9">
        <v>0</v>
      </c>
      <c r="B472" s="9">
        <v>7</v>
      </c>
      <c r="C472" s="9">
        <v>10</v>
      </c>
      <c r="D472" s="9">
        <v>23</v>
      </c>
      <c r="E472" s="9">
        <v>4.9000000000000004</v>
      </c>
      <c r="F472" s="7" t="s">
        <v>50</v>
      </c>
      <c r="G472" s="27">
        <f t="shared" si="67"/>
        <v>-2.6995218576883633</v>
      </c>
      <c r="H472" s="27">
        <f t="shared" si="68"/>
        <v>6.3001576037383655E-2</v>
      </c>
      <c r="I472" s="48">
        <f t="shared" si="69"/>
        <v>420</v>
      </c>
      <c r="J472" s="47">
        <f t="shared" si="70"/>
        <v>0</v>
      </c>
    </row>
    <row r="473" spans="1:10" x14ac:dyDescent="0.2">
      <c r="A473" s="9">
        <v>0</v>
      </c>
      <c r="B473" s="9">
        <v>1</v>
      </c>
      <c r="C473" s="9">
        <v>1</v>
      </c>
      <c r="D473" s="9">
        <v>24</v>
      </c>
      <c r="E473" s="9">
        <v>4.5</v>
      </c>
      <c r="F473" s="7" t="s">
        <v>50</v>
      </c>
      <c r="G473" s="27">
        <f t="shared" si="67"/>
        <v>-1.0250595839066894</v>
      </c>
      <c r="H473" s="27">
        <f t="shared" si="68"/>
        <v>0.26404302730868828</v>
      </c>
      <c r="I473" s="48">
        <f t="shared" si="69"/>
        <v>462</v>
      </c>
      <c r="J473" s="47">
        <f t="shared" si="70"/>
        <v>1</v>
      </c>
    </row>
    <row r="474" spans="1:10" x14ac:dyDescent="0.2">
      <c r="A474" s="9">
        <v>0</v>
      </c>
      <c r="B474" s="9">
        <v>2</v>
      </c>
      <c r="C474" s="9">
        <v>14</v>
      </c>
      <c r="D474" s="9">
        <v>44</v>
      </c>
      <c r="E474" s="9">
        <v>3.1</v>
      </c>
      <c r="F474" s="7" t="s">
        <v>50</v>
      </c>
      <c r="G474" s="27">
        <f t="shared" si="67"/>
        <v>-2.0143536236648503</v>
      </c>
      <c r="H474" s="27">
        <f t="shared" si="68"/>
        <v>0.11770410162242997</v>
      </c>
      <c r="I474" s="48">
        <f t="shared" si="69"/>
        <v>438</v>
      </c>
      <c r="J474" s="47">
        <f t="shared" si="70"/>
        <v>0</v>
      </c>
    </row>
    <row r="475" spans="1:10" x14ac:dyDescent="0.2">
      <c r="A475" s="9">
        <v>1</v>
      </c>
      <c r="B475" s="9">
        <v>4</v>
      </c>
      <c r="C475" s="9">
        <v>5</v>
      </c>
      <c r="D475" s="9">
        <v>27</v>
      </c>
      <c r="E475" s="9">
        <v>5</v>
      </c>
      <c r="F475" s="7" t="s">
        <v>50</v>
      </c>
      <c r="G475" s="27">
        <f t="shared" si="67"/>
        <v>-1.7109473092876382</v>
      </c>
      <c r="H475" s="27">
        <f t="shared" si="68"/>
        <v>0.15304088576685518</v>
      </c>
      <c r="I475" s="48">
        <f t="shared" si="69"/>
        <v>446</v>
      </c>
      <c r="J475" s="47">
        <f t="shared" si="70"/>
        <v>0</v>
      </c>
    </row>
    <row r="476" spans="1:10" x14ac:dyDescent="0.2">
      <c r="A476" s="9">
        <v>0</v>
      </c>
      <c r="B476" s="9">
        <v>6</v>
      </c>
      <c r="C476" s="9">
        <v>7</v>
      </c>
      <c r="D476" s="9">
        <v>57</v>
      </c>
      <c r="E476" s="9">
        <v>2.2000000000000002</v>
      </c>
      <c r="F476" s="7" t="s">
        <v>50</v>
      </c>
      <c r="G476" s="27">
        <f t="shared" si="67"/>
        <v>-2.0880847453187088</v>
      </c>
      <c r="H476" s="27">
        <f t="shared" si="68"/>
        <v>0.11026032636219565</v>
      </c>
      <c r="I476" s="48">
        <f t="shared" si="69"/>
        <v>436</v>
      </c>
      <c r="J476" s="47">
        <f t="shared" si="70"/>
        <v>0</v>
      </c>
    </row>
    <row r="477" spans="1:10" x14ac:dyDescent="0.2">
      <c r="A477" s="9">
        <v>0</v>
      </c>
      <c r="B477" s="9">
        <v>8</v>
      </c>
      <c r="C477" s="9">
        <v>7</v>
      </c>
      <c r="D477" s="9">
        <v>27</v>
      </c>
      <c r="E477" s="9">
        <v>5.8</v>
      </c>
      <c r="F477" s="7" t="s">
        <v>50</v>
      </c>
      <c r="G477" s="27">
        <f t="shared" si="67"/>
        <v>-2.4311937766764924</v>
      </c>
      <c r="H477" s="27">
        <f t="shared" si="68"/>
        <v>8.0824734651530367E-2</v>
      </c>
      <c r="I477" s="48">
        <f t="shared" si="69"/>
        <v>427</v>
      </c>
      <c r="J477" s="47">
        <f t="shared" si="70"/>
        <v>0</v>
      </c>
    </row>
    <row r="478" spans="1:10" x14ac:dyDescent="0.2">
      <c r="A478" s="9">
        <v>0</v>
      </c>
      <c r="B478" s="9">
        <v>7</v>
      </c>
      <c r="C478" s="9">
        <v>0</v>
      </c>
      <c r="D478" s="9">
        <v>18</v>
      </c>
      <c r="E478" s="9">
        <v>6.5</v>
      </c>
      <c r="F478" s="7" t="s">
        <v>50</v>
      </c>
      <c r="G478" s="27">
        <f t="shared" si="67"/>
        <v>-1.7930040495628721</v>
      </c>
      <c r="H478" s="27">
        <f t="shared" si="68"/>
        <v>0.14270481299434157</v>
      </c>
      <c r="I478" s="48">
        <f t="shared" si="69"/>
        <v>444</v>
      </c>
      <c r="J478" s="47">
        <f t="shared" si="70"/>
        <v>0</v>
      </c>
    </row>
    <row r="479" spans="1:10" x14ac:dyDescent="0.2">
      <c r="A479" s="9">
        <v>0</v>
      </c>
      <c r="B479" s="9">
        <v>4</v>
      </c>
      <c r="C479" s="9">
        <v>8</v>
      </c>
      <c r="D479" s="9">
        <v>15</v>
      </c>
      <c r="E479" s="9">
        <v>6.5</v>
      </c>
      <c r="F479" s="7" t="s">
        <v>50</v>
      </c>
      <c r="G479" s="27">
        <f t="shared" si="67"/>
        <v>-1.9227538695389954</v>
      </c>
      <c r="H479" s="27">
        <f t="shared" si="68"/>
        <v>0.12755478868918735</v>
      </c>
      <c r="I479" s="48">
        <f t="shared" si="69"/>
        <v>441</v>
      </c>
      <c r="J479" s="47">
        <f t="shared" si="70"/>
        <v>0</v>
      </c>
    </row>
    <row r="480" spans="1:10" x14ac:dyDescent="0.2">
      <c r="A480" s="9">
        <v>1</v>
      </c>
      <c r="B480" s="9">
        <v>2</v>
      </c>
      <c r="C480" s="9">
        <v>0</v>
      </c>
      <c r="D480" s="9">
        <v>20</v>
      </c>
      <c r="E480" s="9">
        <v>4.5</v>
      </c>
      <c r="F480" s="7" t="s">
        <v>50</v>
      </c>
      <c r="G480" s="27">
        <f t="shared" si="67"/>
        <v>-1.2007650721037564</v>
      </c>
      <c r="H480" s="27">
        <f t="shared" si="68"/>
        <v>0.23133914238884487</v>
      </c>
      <c r="I480" s="48">
        <f t="shared" si="69"/>
        <v>458</v>
      </c>
      <c r="J480" s="47">
        <f t="shared" si="70"/>
        <v>1</v>
      </c>
    </row>
    <row r="481" spans="1:10" x14ac:dyDescent="0.2">
      <c r="A481" s="9">
        <v>0</v>
      </c>
      <c r="B481" s="9">
        <v>9</v>
      </c>
      <c r="C481" s="9">
        <v>2</v>
      </c>
      <c r="D481" s="9">
        <v>28</v>
      </c>
      <c r="E481" s="9">
        <v>2.6</v>
      </c>
      <c r="F481" s="7" t="s">
        <v>50</v>
      </c>
      <c r="G481" s="27">
        <f t="shared" si="67"/>
        <v>-2.723880120417467</v>
      </c>
      <c r="H481" s="27">
        <f t="shared" si="68"/>
        <v>6.1578864308236461E-2</v>
      </c>
      <c r="I481" s="48">
        <f t="shared" si="69"/>
        <v>420</v>
      </c>
      <c r="J481" s="47">
        <f t="shared" si="70"/>
        <v>0</v>
      </c>
    </row>
    <row r="482" spans="1:10" x14ac:dyDescent="0.2">
      <c r="A482" s="9">
        <v>0</v>
      </c>
      <c r="B482" s="9">
        <v>16</v>
      </c>
      <c r="C482" s="9">
        <v>13</v>
      </c>
      <c r="D482" s="9">
        <v>69</v>
      </c>
      <c r="E482" s="9">
        <v>2.4</v>
      </c>
      <c r="F482" s="7" t="s">
        <v>50</v>
      </c>
      <c r="G482" s="27">
        <f t="shared" si="67"/>
        <v>-4.0231526360253964</v>
      </c>
      <c r="H482" s="27">
        <f t="shared" si="68"/>
        <v>1.7581802956398818E-2</v>
      </c>
      <c r="I482" s="48">
        <f t="shared" si="69"/>
        <v>383</v>
      </c>
      <c r="J482" s="47">
        <f t="shared" si="70"/>
        <v>0</v>
      </c>
    </row>
    <row r="483" spans="1:10" x14ac:dyDescent="0.2">
      <c r="A483" s="9">
        <v>0</v>
      </c>
      <c r="B483" s="9">
        <v>0</v>
      </c>
      <c r="C483" s="9">
        <v>1</v>
      </c>
      <c r="D483" s="9">
        <v>26</v>
      </c>
      <c r="E483" s="9">
        <v>7.7</v>
      </c>
      <c r="F483" s="7" t="s">
        <v>50</v>
      </c>
      <c r="G483" s="27">
        <f t="shared" si="67"/>
        <v>-0.30255683693076629</v>
      </c>
      <c r="H483" s="27">
        <f t="shared" si="68"/>
        <v>0.424932562435201</v>
      </c>
      <c r="I483" s="48">
        <f t="shared" si="69"/>
        <v>475</v>
      </c>
      <c r="J483" s="47">
        <f t="shared" si="70"/>
        <v>1</v>
      </c>
    </row>
    <row r="484" spans="1:10" x14ac:dyDescent="0.2">
      <c r="A484" s="9">
        <v>0</v>
      </c>
      <c r="B484" s="9">
        <v>11</v>
      </c>
      <c r="C484" s="9">
        <v>6</v>
      </c>
      <c r="D484" s="9">
        <v>24</v>
      </c>
      <c r="E484" s="9">
        <v>2.4</v>
      </c>
      <c r="F484" s="7" t="s">
        <v>50</v>
      </c>
      <c r="G484" s="27">
        <f t="shared" si="67"/>
        <v>-3.479149279959318</v>
      </c>
      <c r="H484" s="27">
        <f t="shared" si="68"/>
        <v>2.9911354993338708E-2</v>
      </c>
      <c r="I484" s="48">
        <f t="shared" si="69"/>
        <v>399</v>
      </c>
      <c r="J484" s="47">
        <f t="shared" si="70"/>
        <v>0</v>
      </c>
    </row>
    <row r="485" spans="1:10" x14ac:dyDescent="0.2">
      <c r="A485" s="9">
        <v>0</v>
      </c>
      <c r="B485" s="9">
        <v>1</v>
      </c>
      <c r="C485" s="9">
        <v>0</v>
      </c>
      <c r="D485" s="9">
        <v>21</v>
      </c>
      <c r="E485" s="9">
        <v>4.9000000000000004</v>
      </c>
      <c r="F485" s="7" t="s">
        <v>50</v>
      </c>
      <c r="G485" s="27">
        <f t="shared" si="67"/>
        <v>-0.94345775277351085</v>
      </c>
      <c r="H485" s="27">
        <f t="shared" si="68"/>
        <v>0.2802024220707543</v>
      </c>
      <c r="I485" s="48">
        <f t="shared" si="69"/>
        <v>463</v>
      </c>
      <c r="J485" s="47">
        <f t="shared" si="70"/>
        <v>1</v>
      </c>
    </row>
    <row r="486" spans="1:10" x14ac:dyDescent="0.2">
      <c r="A486" s="9">
        <v>0</v>
      </c>
      <c r="B486" s="9">
        <v>9</v>
      </c>
      <c r="C486" s="9">
        <v>3</v>
      </c>
      <c r="D486" s="9">
        <v>36</v>
      </c>
      <c r="E486" s="9">
        <v>1.4</v>
      </c>
      <c r="F486" s="7" t="s">
        <v>50</v>
      </c>
      <c r="G486" s="27">
        <f t="shared" si="67"/>
        <v>-2.8383848641006253</v>
      </c>
      <c r="H486" s="27">
        <f t="shared" si="68"/>
        <v>5.5284833214077352E-2</v>
      </c>
      <c r="I486" s="48">
        <f t="shared" si="69"/>
        <v>416</v>
      </c>
      <c r="J486" s="47">
        <f t="shared" si="70"/>
        <v>0</v>
      </c>
    </row>
    <row r="487" spans="1:10" x14ac:dyDescent="0.2">
      <c r="A487" s="9">
        <v>0</v>
      </c>
      <c r="B487" s="9">
        <v>10</v>
      </c>
      <c r="C487" s="9">
        <v>8</v>
      </c>
      <c r="D487" s="9">
        <v>34</v>
      </c>
      <c r="E487" s="9">
        <v>1.2</v>
      </c>
      <c r="F487" s="7" t="s">
        <v>50</v>
      </c>
      <c r="G487" s="27">
        <f t="shared" si="67"/>
        <v>-3.4557901823341388</v>
      </c>
      <c r="H487" s="27">
        <f t="shared" si="68"/>
        <v>3.0596652105180203E-2</v>
      </c>
      <c r="I487" s="48">
        <f t="shared" si="69"/>
        <v>399</v>
      </c>
      <c r="J487" s="47">
        <f t="shared" si="70"/>
        <v>0</v>
      </c>
    </row>
    <row r="488" spans="1:10" x14ac:dyDescent="0.2">
      <c r="A488" s="9">
        <v>0</v>
      </c>
      <c r="B488" s="9">
        <v>0</v>
      </c>
      <c r="C488" s="9">
        <v>1</v>
      </c>
      <c r="D488" s="9">
        <v>17</v>
      </c>
      <c r="E488" s="9">
        <v>2.2999999999999998</v>
      </c>
      <c r="F488" s="7" t="s">
        <v>50</v>
      </c>
      <c r="G488" s="27">
        <f t="shared" si="67"/>
        <v>-1.3335166988897234</v>
      </c>
      <c r="H488" s="27">
        <f t="shared" si="68"/>
        <v>0.20857825693867166</v>
      </c>
      <c r="I488" s="48">
        <f t="shared" si="69"/>
        <v>455</v>
      </c>
      <c r="J488" s="47">
        <f t="shared" si="70"/>
        <v>1</v>
      </c>
    </row>
    <row r="489" spans="1:10" x14ac:dyDescent="0.2">
      <c r="A489" s="9">
        <v>0</v>
      </c>
      <c r="B489" s="9">
        <v>10</v>
      </c>
      <c r="C489" s="9">
        <v>6</v>
      </c>
      <c r="D489" s="9">
        <v>24</v>
      </c>
      <c r="E489" s="9">
        <v>2.7</v>
      </c>
      <c r="F489" s="7" t="s">
        <v>50</v>
      </c>
      <c r="G489" s="27">
        <f t="shared" si="67"/>
        <v>-3.2567011627949123</v>
      </c>
      <c r="H489" s="27">
        <f t="shared" si="68"/>
        <v>3.7086835668209722E-2</v>
      </c>
      <c r="I489" s="48">
        <f t="shared" si="69"/>
        <v>405</v>
      </c>
      <c r="J489" s="47">
        <f t="shared" si="70"/>
        <v>0</v>
      </c>
    </row>
    <row r="490" spans="1:10" x14ac:dyDescent="0.2">
      <c r="A490" s="9">
        <v>0</v>
      </c>
      <c r="B490" s="9">
        <v>2</v>
      </c>
      <c r="C490" s="9">
        <v>4</v>
      </c>
      <c r="D490" s="9">
        <v>32</v>
      </c>
      <c r="E490" s="9">
        <v>3.7</v>
      </c>
      <c r="F490" s="7" t="s">
        <v>50</v>
      </c>
      <c r="G490" s="27">
        <f t="shared" si="67"/>
        <v>-1.3996653668646666</v>
      </c>
      <c r="H490" s="27">
        <f t="shared" si="68"/>
        <v>0.19786921803587995</v>
      </c>
      <c r="I490" s="48">
        <f t="shared" si="69"/>
        <v>453</v>
      </c>
      <c r="J490" s="47">
        <f t="shared" si="70"/>
        <v>0</v>
      </c>
    </row>
    <row r="491" spans="1:10" x14ac:dyDescent="0.2">
      <c r="A491" s="9">
        <v>1</v>
      </c>
      <c r="B491" s="9">
        <v>0</v>
      </c>
      <c r="C491" s="9">
        <v>11</v>
      </c>
      <c r="D491" s="9">
        <v>17</v>
      </c>
      <c r="E491" s="9">
        <v>3.7</v>
      </c>
      <c r="F491" s="7" t="s">
        <v>50</v>
      </c>
      <c r="G491" s="27">
        <f t="shared" si="67"/>
        <v>-1.8564872625927746</v>
      </c>
      <c r="H491" s="27">
        <f t="shared" si="68"/>
        <v>0.13511301573042211</v>
      </c>
      <c r="I491" s="48">
        <f t="shared" si="69"/>
        <v>442</v>
      </c>
      <c r="J491" s="47">
        <f t="shared" si="70"/>
        <v>0</v>
      </c>
    </row>
    <row r="492" spans="1:10" x14ac:dyDescent="0.2">
      <c r="A492" s="9">
        <v>0</v>
      </c>
      <c r="B492" s="9">
        <v>11</v>
      </c>
      <c r="C492" s="9">
        <v>9</v>
      </c>
      <c r="D492" s="9">
        <v>27</v>
      </c>
      <c r="E492" s="9">
        <v>0.9</v>
      </c>
      <c r="F492" s="7" t="s">
        <v>50</v>
      </c>
      <c r="G492" s="27">
        <f t="shared" si="67"/>
        <v>-3.8852948501894686</v>
      </c>
      <c r="H492" s="27">
        <f t="shared" si="68"/>
        <v>2.0128300187760347E-2</v>
      </c>
      <c r="I492" s="48">
        <f t="shared" si="69"/>
        <v>387</v>
      </c>
      <c r="J492" s="47">
        <f t="shared" si="70"/>
        <v>0</v>
      </c>
    </row>
    <row r="493" spans="1:10" x14ac:dyDescent="0.2">
      <c r="A493" s="9">
        <v>0</v>
      </c>
      <c r="B493" s="9">
        <v>9</v>
      </c>
      <c r="C493" s="9">
        <v>4</v>
      </c>
      <c r="D493" s="9">
        <v>18</v>
      </c>
      <c r="E493" s="9">
        <v>1.2</v>
      </c>
      <c r="F493" s="7" t="s">
        <v>50</v>
      </c>
      <c r="G493" s="27">
        <f t="shared" si="67"/>
        <v>-3.2854472301225122</v>
      </c>
      <c r="H493" s="27">
        <f t="shared" si="68"/>
        <v>3.6073823139961873E-2</v>
      </c>
      <c r="I493" s="48">
        <f t="shared" si="69"/>
        <v>404</v>
      </c>
      <c r="J493" s="47">
        <f t="shared" si="70"/>
        <v>0</v>
      </c>
    </row>
    <row r="494" spans="1:10" x14ac:dyDescent="0.2">
      <c r="A494" s="9">
        <v>0</v>
      </c>
      <c r="B494" s="9">
        <v>0</v>
      </c>
      <c r="C494" s="9">
        <v>1</v>
      </c>
      <c r="D494" s="9">
        <v>16</v>
      </c>
      <c r="E494" s="9">
        <v>1.7</v>
      </c>
      <c r="F494" s="7" t="s">
        <v>50</v>
      </c>
      <c r="G494" s="27">
        <f t="shared" si="67"/>
        <v>-1.4480677946629408</v>
      </c>
      <c r="H494" s="27">
        <f t="shared" si="68"/>
        <v>0.19029911242468006</v>
      </c>
      <c r="I494" s="48">
        <f t="shared" si="69"/>
        <v>452</v>
      </c>
      <c r="J494" s="47">
        <f t="shared" si="70"/>
        <v>0</v>
      </c>
    </row>
    <row r="495" spans="1:10" x14ac:dyDescent="0.2">
      <c r="A495" s="9">
        <v>0</v>
      </c>
      <c r="B495" s="9">
        <v>0</v>
      </c>
      <c r="C495" s="9">
        <v>5</v>
      </c>
      <c r="D495" s="9">
        <v>16</v>
      </c>
      <c r="E495" s="9">
        <v>1.1000000000000001</v>
      </c>
      <c r="F495" s="7" t="s">
        <v>50</v>
      </c>
      <c r="G495" s="27">
        <f t="shared" si="67"/>
        <v>-1.8421412133132764</v>
      </c>
      <c r="H495" s="27">
        <f t="shared" si="68"/>
        <v>0.13679825180194063</v>
      </c>
      <c r="I495" s="48">
        <f t="shared" si="69"/>
        <v>443</v>
      </c>
      <c r="J495" s="47">
        <f t="shared" si="70"/>
        <v>0</v>
      </c>
    </row>
    <row r="496" spans="1:10" x14ac:dyDescent="0.2">
      <c r="A496" s="9">
        <v>1</v>
      </c>
      <c r="B496" s="9">
        <v>13</v>
      </c>
      <c r="C496" s="9">
        <v>11</v>
      </c>
      <c r="D496" s="9">
        <v>102</v>
      </c>
      <c r="E496" s="9">
        <v>18.899999999999999</v>
      </c>
      <c r="F496" s="7" t="s">
        <v>50</v>
      </c>
      <c r="G496" s="27">
        <f t="shared" si="67"/>
        <v>-9.5812457157232744E-2</v>
      </c>
      <c r="H496" s="27">
        <f t="shared" si="68"/>
        <v>0.4760651930908702</v>
      </c>
      <c r="I496" s="48">
        <f t="shared" si="69"/>
        <v>479</v>
      </c>
      <c r="J496" s="47">
        <f t="shared" si="70"/>
        <v>1</v>
      </c>
    </row>
    <row r="497" spans="1:10" x14ac:dyDescent="0.2">
      <c r="A497" s="9">
        <v>0</v>
      </c>
      <c r="B497" s="9">
        <v>20</v>
      </c>
      <c r="C497" s="9">
        <v>9</v>
      </c>
      <c r="D497" s="9">
        <v>67</v>
      </c>
      <c r="E497" s="9">
        <v>30.6</v>
      </c>
      <c r="F497" s="7" t="s">
        <v>50</v>
      </c>
      <c r="G497" s="27">
        <f t="shared" si="67"/>
        <v>3.3539738863518576E-2</v>
      </c>
      <c r="H497" s="27">
        <f t="shared" si="68"/>
        <v>0.50838414877669524</v>
      </c>
      <c r="I497" s="48">
        <f t="shared" si="69"/>
        <v>480</v>
      </c>
      <c r="J497" s="47">
        <f t="shared" si="70"/>
        <v>1</v>
      </c>
    </row>
    <row r="498" spans="1:10" x14ac:dyDescent="0.2">
      <c r="A498" s="9">
        <v>1</v>
      </c>
      <c r="B498" s="9">
        <v>13</v>
      </c>
      <c r="C498" s="9">
        <v>13</v>
      </c>
      <c r="D498" s="9">
        <v>91</v>
      </c>
      <c r="E498" s="9">
        <v>25.2</v>
      </c>
      <c r="F498" s="7" t="s">
        <v>50</v>
      </c>
      <c r="G498" s="27">
        <f t="shared" si="67"/>
        <v>0.55095477124696757</v>
      </c>
      <c r="H498" s="27">
        <f t="shared" si="68"/>
        <v>0.63435707685537501</v>
      </c>
      <c r="I498" s="48">
        <f t="shared" si="69"/>
        <v>487</v>
      </c>
      <c r="J498" s="47">
        <f t="shared" si="70"/>
        <v>1</v>
      </c>
    </row>
    <row r="499" spans="1:10" x14ac:dyDescent="0.2">
      <c r="A499" s="9">
        <v>1</v>
      </c>
      <c r="B499" s="9">
        <v>25</v>
      </c>
      <c r="C499" s="9">
        <v>12</v>
      </c>
      <c r="D499" s="13">
        <v>117.54291069294821</v>
      </c>
      <c r="E499" s="9">
        <v>26.5</v>
      </c>
      <c r="F499" s="7" t="s">
        <v>50</v>
      </c>
      <c r="G499" s="27">
        <f t="shared" si="67"/>
        <v>-0.7606175638724153</v>
      </c>
      <c r="H499" s="27">
        <f t="shared" si="68"/>
        <v>0.31851220142941372</v>
      </c>
      <c r="I499" s="48">
        <f t="shared" si="69"/>
        <v>467</v>
      </c>
      <c r="J499" s="47">
        <f t="shared" si="70"/>
        <v>1</v>
      </c>
    </row>
    <row r="500" spans="1:10" x14ac:dyDescent="0.2">
      <c r="A500" s="9">
        <v>1</v>
      </c>
      <c r="B500" s="9">
        <v>18</v>
      </c>
      <c r="C500" s="9">
        <v>14</v>
      </c>
      <c r="D500" s="9">
        <v>0</v>
      </c>
      <c r="E500" s="9">
        <v>6.5</v>
      </c>
      <c r="F500" s="7" t="s">
        <v>50</v>
      </c>
      <c r="G500" s="27">
        <f t="shared" si="67"/>
        <v>-5.0990926746863963</v>
      </c>
      <c r="H500" s="27">
        <f t="shared" si="68"/>
        <v>6.065268834697591E-3</v>
      </c>
      <c r="I500" s="48">
        <f t="shared" si="69"/>
        <v>353</v>
      </c>
      <c r="J500" s="47">
        <f t="shared" si="70"/>
        <v>0</v>
      </c>
    </row>
    <row r="501" spans="1:10" x14ac:dyDescent="0.2">
      <c r="A501" s="9">
        <v>0</v>
      </c>
      <c r="B501" s="9">
        <v>17</v>
      </c>
      <c r="C501" s="9">
        <v>26</v>
      </c>
      <c r="D501" s="9">
        <v>113</v>
      </c>
      <c r="E501" s="9">
        <v>12</v>
      </c>
      <c r="F501" s="7" t="s">
        <v>50</v>
      </c>
      <c r="G501" s="27">
        <f t="shared" si="67"/>
        <v>-2.8051252537565041</v>
      </c>
      <c r="H501" s="27">
        <f t="shared" si="68"/>
        <v>5.7047844401181103E-2</v>
      </c>
      <c r="I501" s="48">
        <f t="shared" si="69"/>
        <v>417</v>
      </c>
      <c r="J501" s="47">
        <f t="shared" si="70"/>
        <v>0</v>
      </c>
    </row>
  </sheetData>
  <mergeCells count="18">
    <mergeCell ref="L11:N11"/>
    <mergeCell ref="Q11:Q12"/>
    <mergeCell ref="R11:W11"/>
    <mergeCell ref="W3:Y7"/>
    <mergeCell ref="L55:L56"/>
    <mergeCell ref="L46:R46"/>
    <mergeCell ref="N48:O48"/>
    <mergeCell ref="L48:M49"/>
    <mergeCell ref="L50:L51"/>
    <mergeCell ref="L53:M54"/>
    <mergeCell ref="N53:O53"/>
    <mergeCell ref="R29:X29"/>
    <mergeCell ref="L62:N62"/>
    <mergeCell ref="O62:P62"/>
    <mergeCell ref="Q62:R62"/>
    <mergeCell ref="L81:N81"/>
    <mergeCell ref="O81:P81"/>
    <mergeCell ref="Q81:R81"/>
  </mergeCells>
  <pageMargins left="0.7" right="0.7" top="0.75" bottom="0.75" header="0.3" footer="0.3"/>
  <ignoredErrors>
    <ignoredError sqref="G2:G501" formulaRange="1"/>
  </ignoredErrors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B1055-8EC8-E343-A0B5-14BB2A5E036F}">
  <dimension ref="A1:AJ501"/>
  <sheetViews>
    <sheetView showGridLines="0" topLeftCell="D2" workbookViewId="0">
      <selection activeCell="I3" sqref="I3"/>
    </sheetView>
  </sheetViews>
  <sheetFormatPr baseColWidth="10" defaultRowHeight="16" x14ac:dyDescent="0.2"/>
  <cols>
    <col min="1" max="5" width="10.83203125" style="6"/>
    <col min="6" max="6" width="13.1640625" style="14" bestFit="1" customWidth="1"/>
    <col min="7" max="7" width="10.83203125" style="1"/>
    <col min="11" max="11" width="11" bestFit="1" customWidth="1"/>
    <col min="12" max="12" width="11.1640625" style="80" bestFit="1" customWidth="1"/>
    <col min="14" max="14" width="24.83203125" bestFit="1" customWidth="1"/>
    <col min="15" max="18" width="13.6640625" customWidth="1"/>
    <col min="19" max="19" width="13.83203125" customWidth="1"/>
    <col min="20" max="26" width="13.6640625" customWidth="1"/>
  </cols>
  <sheetData>
    <row r="1" spans="1:36" x14ac:dyDescent="0.2">
      <c r="A1" s="9" t="s">
        <v>71</v>
      </c>
      <c r="B1" s="9" t="s">
        <v>3</v>
      </c>
      <c r="C1" s="9" t="s">
        <v>4</v>
      </c>
      <c r="D1" s="9" t="s">
        <v>5</v>
      </c>
      <c r="E1" s="9" t="s">
        <v>6</v>
      </c>
      <c r="F1" s="9" t="s">
        <v>47</v>
      </c>
      <c r="G1" s="9" t="s">
        <v>91</v>
      </c>
      <c r="H1" s="9" t="s">
        <v>92</v>
      </c>
      <c r="I1" s="47" t="s">
        <v>93</v>
      </c>
      <c r="J1" s="47" t="s">
        <v>94</v>
      </c>
      <c r="K1" s="47" t="s">
        <v>130</v>
      </c>
      <c r="L1" s="79" t="s">
        <v>131</v>
      </c>
      <c r="M1" s="43"/>
      <c r="N1" s="44"/>
      <c r="O1" s="44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</row>
    <row r="2" spans="1:36" x14ac:dyDescent="0.2">
      <c r="A2" s="9">
        <v>0</v>
      </c>
      <c r="B2" s="9">
        <v>6</v>
      </c>
      <c r="C2" s="9">
        <v>10</v>
      </c>
      <c r="D2" s="9">
        <v>65</v>
      </c>
      <c r="E2" s="9">
        <v>18.399999999999999</v>
      </c>
      <c r="F2" s="9" t="s">
        <v>128</v>
      </c>
      <c r="G2" s="27">
        <f t="shared" ref="G2:G33" si="0">SUMPRODUCT($S$3:$V$3,B2:E2)+$R$3</f>
        <v>0.35510668178063476</v>
      </c>
      <c r="H2" s="27">
        <f>EXP(G2)/(1+EXP(G2))</f>
        <v>0.5878553857392369</v>
      </c>
      <c r="I2" s="48">
        <f>ROUND($O$4+(($O$5/LN(2))*LN(H2)),0)</f>
        <v>485</v>
      </c>
      <c r="J2" s="47">
        <f t="shared" ref="J2:J33" si="1">IF(H2&gt;=$O$3,1,0)</f>
        <v>1</v>
      </c>
      <c r="K2" s="47" t="str">
        <f>+IF(AND(A2=1,J2=1),"TP",IF(AND(A2=0,J2=0),"TN",IF(AND(A2=0,J2=1),"FP",IF(AND(A2=1,J2=0),"FN","OC"))))</f>
        <v>FP</v>
      </c>
      <c r="L2" s="79">
        <v>7767630</v>
      </c>
      <c r="M2" s="43"/>
      <c r="N2" s="44"/>
      <c r="O2" s="44"/>
      <c r="Q2" s="55" t="s">
        <v>120</v>
      </c>
      <c r="R2" s="55" t="s">
        <v>73</v>
      </c>
      <c r="S2" s="55" t="s">
        <v>3</v>
      </c>
      <c r="T2" s="55" t="s">
        <v>4</v>
      </c>
      <c r="U2" s="55" t="s">
        <v>5</v>
      </c>
      <c r="V2" s="55" t="s">
        <v>6</v>
      </c>
    </row>
    <row r="3" spans="1:36" x14ac:dyDescent="0.2">
      <c r="A3" s="9">
        <v>0</v>
      </c>
      <c r="B3" s="9">
        <v>25</v>
      </c>
      <c r="C3" s="9">
        <v>21</v>
      </c>
      <c r="D3" s="9">
        <v>64</v>
      </c>
      <c r="E3" s="9">
        <v>16.7</v>
      </c>
      <c r="F3" s="9" t="s">
        <v>128</v>
      </c>
      <c r="G3" s="27">
        <f t="shared" si="0"/>
        <v>-3.225460987075023</v>
      </c>
      <c r="H3" s="27">
        <f t="shared" ref="H3:H66" si="2">EXP(G3)/(1+EXP(G3))</f>
        <v>3.8218743162763975E-2</v>
      </c>
      <c r="I3" s="48">
        <f t="shared" ref="I2:I33" si="3">ROUND($O$4+(($O$5/LN(2))*LN(H3)),0)</f>
        <v>406</v>
      </c>
      <c r="J3" s="47">
        <f t="shared" si="1"/>
        <v>0</v>
      </c>
      <c r="K3" s="47" t="str">
        <f t="shared" ref="K3:K66" si="4">+IF(AND(A3=1,J3=1),"TP",IF(AND(A3=0,J3=0),"TN",IF(AND(A3=0,J3=1),"FP",IF(AND(A3=1,J3=0),"FN","OC"))))</f>
        <v>TN</v>
      </c>
      <c r="L3" s="79">
        <v>2927917</v>
      </c>
      <c r="M3" s="43"/>
      <c r="N3" s="74" t="s">
        <v>95</v>
      </c>
      <c r="O3" s="47">
        <v>0.2</v>
      </c>
      <c r="Q3" s="52" t="s">
        <v>20</v>
      </c>
      <c r="R3" s="53">
        <f t="array" ref="R3:V9">LOGIT(A2:A500,B2:E500,1,1)</f>
        <v>-1.6943351401059861</v>
      </c>
      <c r="S3" s="54">
        <v>-0.15065748280492194</v>
      </c>
      <c r="T3" s="54">
        <v>-4.3132432330556761E-2</v>
      </c>
      <c r="U3" s="54">
        <v>1.3804820377830762E-2</v>
      </c>
      <c r="V3" s="54">
        <v>0.13518465855775655</v>
      </c>
    </row>
    <row r="4" spans="1:36" x14ac:dyDescent="0.2">
      <c r="A4" s="9">
        <v>1</v>
      </c>
      <c r="B4" s="9">
        <v>11</v>
      </c>
      <c r="C4" s="9">
        <v>6</v>
      </c>
      <c r="D4" s="9">
        <v>75</v>
      </c>
      <c r="E4" s="9">
        <v>23.3</v>
      </c>
      <c r="F4" s="9" t="s">
        <v>128</v>
      </c>
      <c r="G4" s="27">
        <f t="shared" si="0"/>
        <v>0.57480202778956713</v>
      </c>
      <c r="H4" s="27">
        <f t="shared" si="2"/>
        <v>0.63987047802743369</v>
      </c>
      <c r="I4" s="48">
        <f t="shared" si="3"/>
        <v>487</v>
      </c>
      <c r="J4" s="47">
        <f t="shared" si="1"/>
        <v>1</v>
      </c>
      <c r="K4" s="47" t="str">
        <f t="shared" si="4"/>
        <v>TP</v>
      </c>
      <c r="L4" s="79">
        <v>2334714</v>
      </c>
      <c r="M4" s="43"/>
      <c r="N4" s="74" t="s">
        <v>96</v>
      </c>
      <c r="O4" s="47">
        <v>500</v>
      </c>
      <c r="Q4" s="52" t="s">
        <v>21</v>
      </c>
      <c r="R4" s="49">
        <v>0.30188161487291604</v>
      </c>
      <c r="S4" s="27">
        <v>2.8610234434527697E-2</v>
      </c>
      <c r="T4" s="27">
        <v>2.0234755915843197E-2</v>
      </c>
      <c r="U4" s="27">
        <v>7.2027348310413639E-3</v>
      </c>
      <c r="V4" s="27">
        <v>1.8368538639926907E-2</v>
      </c>
    </row>
    <row r="5" spans="1:36" x14ac:dyDescent="0.2">
      <c r="A5" s="9">
        <v>0</v>
      </c>
      <c r="B5" s="9">
        <v>9</v>
      </c>
      <c r="C5" s="9">
        <v>16</v>
      </c>
      <c r="D5" s="9">
        <v>0</v>
      </c>
      <c r="E5" s="9">
        <v>5.9</v>
      </c>
      <c r="F5" s="9" t="s">
        <v>128</v>
      </c>
      <c r="G5" s="27">
        <f t="shared" si="0"/>
        <v>-2.9427819171484284</v>
      </c>
      <c r="H5" s="27">
        <f t="shared" si="2"/>
        <v>5.0078769164257145E-2</v>
      </c>
      <c r="I5" s="48">
        <f t="shared" si="3"/>
        <v>414</v>
      </c>
      <c r="J5" s="47">
        <f t="shared" si="1"/>
        <v>0</v>
      </c>
      <c r="K5" s="47" t="str">
        <f t="shared" si="4"/>
        <v>TN</v>
      </c>
      <c r="L5" s="79">
        <v>1463720</v>
      </c>
      <c r="M5" s="43"/>
      <c r="N5" s="74" t="s">
        <v>97</v>
      </c>
      <c r="O5" s="47">
        <v>20</v>
      </c>
      <c r="Q5" s="52" t="s">
        <v>22</v>
      </c>
      <c r="R5" s="49">
        <v>-5.6125814114889216</v>
      </c>
      <c r="S5" s="27">
        <v>-5.265859779992013</v>
      </c>
      <c r="T5" s="27">
        <v>-2.131601315575316</v>
      </c>
      <c r="U5" s="27">
        <v>1.9166081636570362</v>
      </c>
      <c r="V5" s="27">
        <v>7.3595761321976614</v>
      </c>
    </row>
    <row r="6" spans="1:36" x14ac:dyDescent="0.2">
      <c r="A6" s="9">
        <v>0</v>
      </c>
      <c r="B6" s="9">
        <v>22</v>
      </c>
      <c r="C6" s="9">
        <v>24</v>
      </c>
      <c r="D6" s="9">
        <v>91</v>
      </c>
      <c r="E6" s="9">
        <v>11.7</v>
      </c>
      <c r="F6" s="9" t="s">
        <v>128</v>
      </c>
      <c r="G6" s="27">
        <f t="shared" si="0"/>
        <v>-3.2060789782392805</v>
      </c>
      <c r="H6" s="27">
        <f t="shared" si="2"/>
        <v>3.8937599858638469E-2</v>
      </c>
      <c r="I6" s="48">
        <f t="shared" si="3"/>
        <v>406</v>
      </c>
      <c r="J6" s="47">
        <f t="shared" si="1"/>
        <v>0</v>
      </c>
      <c r="K6" s="47" t="str">
        <f t="shared" si="4"/>
        <v>TN</v>
      </c>
      <c r="L6" s="79">
        <v>7678764</v>
      </c>
      <c r="Q6" s="52" t="s">
        <v>23</v>
      </c>
      <c r="R6" s="50">
        <v>1.9933037664898734E-8</v>
      </c>
      <c r="S6" s="12">
        <v>1.3953475996864029E-7</v>
      </c>
      <c r="T6" s="12">
        <v>3.3039635516751931E-2</v>
      </c>
      <c r="U6" s="12">
        <v>5.5287730105253008E-2</v>
      </c>
      <c r="V6" s="12">
        <v>1.8451906669270102E-13</v>
      </c>
    </row>
    <row r="7" spans="1:36" x14ac:dyDescent="0.2">
      <c r="A7" s="9">
        <v>1</v>
      </c>
      <c r="B7" s="9">
        <v>13</v>
      </c>
      <c r="C7" s="9">
        <v>20</v>
      </c>
      <c r="D7" s="9">
        <v>50</v>
      </c>
      <c r="E7" s="9">
        <v>30.8</v>
      </c>
      <c r="F7" s="9" t="s">
        <v>128</v>
      </c>
      <c r="G7" s="27">
        <f t="shared" si="0"/>
        <v>0.33839743928933297</v>
      </c>
      <c r="H7" s="27">
        <f t="shared" si="2"/>
        <v>0.58380118933308334</v>
      </c>
      <c r="I7" s="48">
        <f t="shared" si="3"/>
        <v>484</v>
      </c>
      <c r="J7" s="47">
        <f t="shared" si="1"/>
        <v>1</v>
      </c>
      <c r="K7" s="47" t="str">
        <f t="shared" si="4"/>
        <v>TP</v>
      </c>
      <c r="L7" s="79">
        <v>6462514</v>
      </c>
      <c r="Q7" s="52" t="s">
        <v>24</v>
      </c>
      <c r="R7" s="51">
        <v>0.18337168752678112</v>
      </c>
      <c r="S7" s="27">
        <v>7</v>
      </c>
      <c r="T7" s="27" t="str">
        <v>#N/A</v>
      </c>
      <c r="U7" s="27" t="str">
        <v>#N/A</v>
      </c>
      <c r="V7" s="27" t="str">
        <v>#N/A</v>
      </c>
    </row>
    <row r="8" spans="1:36" x14ac:dyDescent="0.2">
      <c r="A8" s="9">
        <v>1</v>
      </c>
      <c r="B8" s="9">
        <v>12</v>
      </c>
      <c r="C8" s="9">
        <v>5</v>
      </c>
      <c r="D8" s="9">
        <v>68</v>
      </c>
      <c r="E8" s="9">
        <v>25.1</v>
      </c>
      <c r="F8" s="9" t="s">
        <v>128</v>
      </c>
      <c r="G8" s="27">
        <f t="shared" si="0"/>
        <v>0.61397562007434825</v>
      </c>
      <c r="H8" s="27">
        <f t="shared" si="2"/>
        <v>0.64884716049202196</v>
      </c>
      <c r="I8" s="48">
        <f t="shared" si="3"/>
        <v>488</v>
      </c>
      <c r="J8" s="47">
        <f t="shared" si="1"/>
        <v>1</v>
      </c>
      <c r="K8" s="47" t="str">
        <f t="shared" si="4"/>
        <v>TP</v>
      </c>
      <c r="L8" s="79">
        <v>4360823</v>
      </c>
      <c r="Q8" s="52" t="s">
        <v>25</v>
      </c>
      <c r="R8" s="49">
        <v>104.58733641308135</v>
      </c>
      <c r="S8" s="27">
        <v>1.0371082122687578E-21</v>
      </c>
      <c r="T8" s="27" t="str">
        <v>#N/A</v>
      </c>
      <c r="U8" s="27" t="str">
        <v>#N/A</v>
      </c>
      <c r="V8" s="27" t="str">
        <v>#N/A</v>
      </c>
    </row>
    <row r="9" spans="1:36" x14ac:dyDescent="0.2">
      <c r="A9" s="9">
        <v>0</v>
      </c>
      <c r="B9" s="9">
        <v>21</v>
      </c>
      <c r="C9" s="9">
        <v>2</v>
      </c>
      <c r="D9" s="9">
        <v>76</v>
      </c>
      <c r="E9" s="9">
        <v>20.5</v>
      </c>
      <c r="F9" s="9" t="s">
        <v>128</v>
      </c>
      <c r="G9" s="27">
        <f t="shared" si="0"/>
        <v>-1.1239552945213132</v>
      </c>
      <c r="H9" s="27">
        <f t="shared" si="2"/>
        <v>0.24527835428702874</v>
      </c>
      <c r="I9" s="48">
        <f t="shared" si="3"/>
        <v>459</v>
      </c>
      <c r="J9" s="47">
        <f t="shared" si="1"/>
        <v>1</v>
      </c>
      <c r="K9" s="47" t="str">
        <f t="shared" si="4"/>
        <v>FP</v>
      </c>
      <c r="L9" s="79">
        <v>9280192</v>
      </c>
      <c r="Q9" s="52" t="s">
        <v>26</v>
      </c>
      <c r="R9" s="49">
        <v>-232.88486132465144</v>
      </c>
      <c r="S9" s="27">
        <v>-285.17852953119211</v>
      </c>
      <c r="T9" s="27" t="str">
        <v>#N/A</v>
      </c>
      <c r="U9" s="27" t="str">
        <v>#N/A</v>
      </c>
      <c r="V9" s="27" t="str">
        <v>#N/A</v>
      </c>
    </row>
    <row r="10" spans="1:36" x14ac:dyDescent="0.2">
      <c r="A10" s="9">
        <v>0</v>
      </c>
      <c r="B10" s="9">
        <v>12</v>
      </c>
      <c r="C10" s="9">
        <v>11</v>
      </c>
      <c r="D10" s="9">
        <v>51</v>
      </c>
      <c r="E10" s="9">
        <v>21.4</v>
      </c>
      <c r="F10" s="9" t="s">
        <v>128</v>
      </c>
      <c r="G10" s="27">
        <f t="shared" si="0"/>
        <v>-0.3796841569958147</v>
      </c>
      <c r="H10" s="27">
        <f t="shared" si="2"/>
        <v>0.40620307681602075</v>
      </c>
      <c r="I10" s="48">
        <f t="shared" si="3"/>
        <v>474</v>
      </c>
      <c r="J10" s="47">
        <f t="shared" si="1"/>
        <v>1</v>
      </c>
      <c r="K10" s="47" t="str">
        <f t="shared" si="4"/>
        <v>FP</v>
      </c>
      <c r="L10" s="79">
        <v>2790825</v>
      </c>
    </row>
    <row r="11" spans="1:36" x14ac:dyDescent="0.2">
      <c r="A11" s="9">
        <v>0</v>
      </c>
      <c r="B11" s="9">
        <v>13</v>
      </c>
      <c r="C11" s="9">
        <v>25</v>
      </c>
      <c r="D11" s="9">
        <v>51</v>
      </c>
      <c r="E11" s="9">
        <v>23.8</v>
      </c>
      <c r="F11" s="9" t="s">
        <v>128</v>
      </c>
      <c r="G11" s="27">
        <f t="shared" si="0"/>
        <v>-0.80975251188991537</v>
      </c>
      <c r="H11" s="27">
        <f t="shared" si="2"/>
        <v>0.30794323642156518</v>
      </c>
      <c r="I11" s="48">
        <f t="shared" si="3"/>
        <v>466</v>
      </c>
      <c r="J11" s="47">
        <f t="shared" si="1"/>
        <v>1</v>
      </c>
      <c r="K11" s="47" t="str">
        <f t="shared" si="4"/>
        <v>FP</v>
      </c>
      <c r="L11" s="79">
        <v>3859771</v>
      </c>
      <c r="N11" s="90" t="s">
        <v>128</v>
      </c>
      <c r="O11" s="90"/>
      <c r="P11" s="90"/>
      <c r="Q11" s="47" t="s">
        <v>98</v>
      </c>
      <c r="R11" s="47" t="s">
        <v>99</v>
      </c>
      <c r="S11" s="94" t="s">
        <v>100</v>
      </c>
      <c r="T11" s="95" t="s">
        <v>101</v>
      </c>
      <c r="U11" s="95"/>
      <c r="V11" s="95"/>
      <c r="W11" s="95"/>
      <c r="X11" s="95"/>
      <c r="Y11" s="95"/>
      <c r="Z11" s="44"/>
    </row>
    <row r="12" spans="1:36" x14ac:dyDescent="0.2">
      <c r="A12" s="9">
        <v>1</v>
      </c>
      <c r="B12" s="9">
        <v>13</v>
      </c>
      <c r="C12" s="9">
        <v>3</v>
      </c>
      <c r="D12" s="9">
        <v>52</v>
      </c>
      <c r="E12" s="9">
        <v>21.3</v>
      </c>
      <c r="F12" s="9" t="s">
        <v>128</v>
      </c>
      <c r="G12" s="27">
        <f t="shared" si="0"/>
        <v>-0.18499582663422731</v>
      </c>
      <c r="H12" s="27">
        <f t="shared" si="2"/>
        <v>0.45388249341944825</v>
      </c>
      <c r="I12" s="48">
        <f t="shared" si="3"/>
        <v>477</v>
      </c>
      <c r="J12" s="47">
        <f t="shared" si="1"/>
        <v>1</v>
      </c>
      <c r="K12" s="47" t="str">
        <f t="shared" si="4"/>
        <v>TP</v>
      </c>
      <c r="L12" s="79">
        <v>5673468</v>
      </c>
      <c r="N12" s="59" t="s">
        <v>102</v>
      </c>
      <c r="O12" s="55" t="s">
        <v>103</v>
      </c>
      <c r="P12" s="55" t="s">
        <v>104</v>
      </c>
      <c r="Q12" s="55">
        <v>0</v>
      </c>
      <c r="R12" s="55">
        <v>1</v>
      </c>
      <c r="S12" s="94"/>
      <c r="T12" s="55" t="s">
        <v>105</v>
      </c>
      <c r="U12" s="55" t="s">
        <v>106</v>
      </c>
      <c r="V12" s="55" t="s">
        <v>107</v>
      </c>
      <c r="W12" s="55" t="s">
        <v>108</v>
      </c>
      <c r="X12" s="55" t="s">
        <v>109</v>
      </c>
      <c r="Y12" s="55" t="s">
        <v>110</v>
      </c>
      <c r="Z12" s="44"/>
    </row>
    <row r="13" spans="1:36" x14ac:dyDescent="0.2">
      <c r="A13" s="9">
        <v>1</v>
      </c>
      <c r="B13" s="9">
        <v>9</v>
      </c>
      <c r="C13" s="9">
        <v>5</v>
      </c>
      <c r="D13" s="9">
        <v>60</v>
      </c>
      <c r="E13" s="9">
        <v>20.399999999999999</v>
      </c>
      <c r="F13" s="9" t="s">
        <v>128</v>
      </c>
      <c r="G13" s="27">
        <f t="shared" si="0"/>
        <v>0.32014161024501187</v>
      </c>
      <c r="H13" s="27">
        <f t="shared" si="2"/>
        <v>0.5793587632628957</v>
      </c>
      <c r="I13" s="48">
        <f t="shared" si="3"/>
        <v>484</v>
      </c>
      <c r="J13" s="47">
        <f t="shared" si="1"/>
        <v>1</v>
      </c>
      <c r="K13" s="47" t="str">
        <f t="shared" si="4"/>
        <v>TP</v>
      </c>
      <c r="L13" s="79">
        <v>1405194</v>
      </c>
      <c r="N13" s="48">
        <f>MIN(I2:I501)</f>
        <v>333</v>
      </c>
      <c r="O13" s="48">
        <f>N13+14</f>
        <v>347</v>
      </c>
      <c r="P13" s="48" t="str">
        <f>_xlfn.CONCAT(N13,"-",O13)</f>
        <v>333-347</v>
      </c>
      <c r="Q13" s="47">
        <f t="shared" ref="Q13:Q25" si="5">COUNTIFS($I$2:$I$501,"&gt;="&amp;N13,$I$2:$I$501,"&lt;="&amp;O13,$A$2:$A$501,"="&amp;$Q$12,$F$2:$F$501,"="&amp;$N$11)</f>
        <v>1</v>
      </c>
      <c r="R13" s="47">
        <f t="shared" ref="R13:R25" si="6">COUNTIFS($I$2:$I$501,"&gt;="&amp;N13,$I$2:$I$501,"&lt;="&amp;O13,$A$2:$A$501,"="&amp;$R$12,$F$2:$F$501,"="&amp;$N$11)</f>
        <v>0</v>
      </c>
      <c r="S13" s="47">
        <f>Q13+R13</f>
        <v>1</v>
      </c>
      <c r="T13" s="60">
        <f t="shared" ref="T13:T25" si="7">Q13/$Q$26</f>
        <v>2.6954177897574125E-3</v>
      </c>
      <c r="U13" s="60">
        <f t="shared" ref="U13:U25" si="8">R13/$R$26</f>
        <v>0</v>
      </c>
      <c r="V13" s="60">
        <f t="shared" ref="V13:V25" si="9">S13/$S$26</f>
        <v>2E-3</v>
      </c>
      <c r="W13" s="60">
        <f>T13</f>
        <v>2.6954177897574125E-3</v>
      </c>
      <c r="X13" s="60">
        <f>U13</f>
        <v>0</v>
      </c>
      <c r="Y13" s="60">
        <f>ABS(X13-W13)</f>
        <v>2.6954177897574125E-3</v>
      </c>
      <c r="Z13" s="45"/>
    </row>
    <row r="14" spans="1:36" x14ac:dyDescent="0.2">
      <c r="A14" s="9">
        <v>1</v>
      </c>
      <c r="B14" s="9">
        <v>11</v>
      </c>
      <c r="C14" s="9">
        <v>4</v>
      </c>
      <c r="D14" s="9">
        <v>57</v>
      </c>
      <c r="E14" s="9">
        <v>23.8</v>
      </c>
      <c r="F14" s="9" t="s">
        <v>128</v>
      </c>
      <c r="G14" s="27">
        <f t="shared" si="0"/>
        <v>0.48017245492860505</v>
      </c>
      <c r="H14" s="27">
        <f t="shared" si="2"/>
        <v>0.61778859666234021</v>
      </c>
      <c r="I14" s="48">
        <f t="shared" si="3"/>
        <v>486</v>
      </c>
      <c r="J14" s="47">
        <f t="shared" si="1"/>
        <v>1</v>
      </c>
      <c r="K14" s="47" t="str">
        <f t="shared" si="4"/>
        <v>TP</v>
      </c>
      <c r="L14" s="79">
        <v>6529717</v>
      </c>
      <c r="N14" s="48">
        <f>O13+1</f>
        <v>348</v>
      </c>
      <c r="O14" s="48">
        <f>N14+14</f>
        <v>362</v>
      </c>
      <c r="P14" s="48" t="str">
        <f t="shared" ref="P14:P25" si="10">_xlfn.CONCAT(N14,"-",O14)</f>
        <v>348-362</v>
      </c>
      <c r="Q14" s="47">
        <f t="shared" si="5"/>
        <v>2</v>
      </c>
      <c r="R14" s="47">
        <f t="shared" si="6"/>
        <v>0</v>
      </c>
      <c r="S14" s="47">
        <f t="shared" ref="S14:S25" si="11">Q14+R14</f>
        <v>2</v>
      </c>
      <c r="T14" s="60">
        <f t="shared" si="7"/>
        <v>5.3908355795148251E-3</v>
      </c>
      <c r="U14" s="60">
        <f t="shared" si="8"/>
        <v>0</v>
      </c>
      <c r="V14" s="60">
        <f t="shared" si="9"/>
        <v>4.0000000000000001E-3</v>
      </c>
      <c r="W14" s="60">
        <f>W13+T14</f>
        <v>8.0862533692722376E-3</v>
      </c>
      <c r="X14" s="60">
        <f>X13+U14</f>
        <v>0</v>
      </c>
      <c r="Y14" s="60">
        <f t="shared" ref="Y14:Y25" si="12">ABS(X14-W14)</f>
        <v>8.0862533692722376E-3</v>
      </c>
      <c r="Z14" s="45"/>
    </row>
    <row r="15" spans="1:36" x14ac:dyDescent="0.2">
      <c r="A15" s="9">
        <v>1</v>
      </c>
      <c r="B15" s="9">
        <v>7</v>
      </c>
      <c r="C15" s="9">
        <v>2</v>
      </c>
      <c r="D15" s="9">
        <v>68</v>
      </c>
      <c r="E15" s="9">
        <v>13</v>
      </c>
      <c r="F15" s="9" t="s">
        <v>128</v>
      </c>
      <c r="G15" s="27">
        <f t="shared" si="0"/>
        <v>-0.13907403745822622</v>
      </c>
      <c r="H15" s="27">
        <f t="shared" si="2"/>
        <v>0.46528742230552339</v>
      </c>
      <c r="I15" s="48">
        <f t="shared" si="3"/>
        <v>478</v>
      </c>
      <c r="J15" s="47">
        <f t="shared" si="1"/>
        <v>1</v>
      </c>
      <c r="K15" s="47" t="str">
        <f t="shared" si="4"/>
        <v>TP</v>
      </c>
      <c r="L15" s="79">
        <v>1542018</v>
      </c>
      <c r="N15" s="48">
        <f t="shared" ref="N15:N25" si="13">O14+1</f>
        <v>363</v>
      </c>
      <c r="O15" s="48">
        <f t="shared" ref="O15:O24" si="14">N15+14</f>
        <v>377</v>
      </c>
      <c r="P15" s="48" t="str">
        <f t="shared" si="10"/>
        <v>363-377</v>
      </c>
      <c r="Q15" s="47">
        <f t="shared" si="5"/>
        <v>1</v>
      </c>
      <c r="R15" s="47">
        <f t="shared" si="6"/>
        <v>0</v>
      </c>
      <c r="S15" s="47">
        <f t="shared" si="11"/>
        <v>1</v>
      </c>
      <c r="T15" s="60">
        <f t="shared" si="7"/>
        <v>2.6954177897574125E-3</v>
      </c>
      <c r="U15" s="60">
        <f t="shared" si="8"/>
        <v>0</v>
      </c>
      <c r="V15" s="60">
        <f t="shared" si="9"/>
        <v>2E-3</v>
      </c>
      <c r="W15" s="60">
        <f t="shared" ref="W15:X25" si="15">W14+T15</f>
        <v>1.078167115902965E-2</v>
      </c>
      <c r="X15" s="60">
        <f>X14+U15</f>
        <v>0</v>
      </c>
      <c r="Y15" s="60">
        <f t="shared" si="12"/>
        <v>1.078167115902965E-2</v>
      </c>
      <c r="Z15" s="45"/>
      <c r="AC15" s="1"/>
      <c r="AD15" s="1"/>
      <c r="AE15" s="1"/>
      <c r="AF15" s="1"/>
      <c r="AG15" s="1"/>
      <c r="AH15" s="1"/>
      <c r="AJ15" s="1"/>
    </row>
    <row r="16" spans="1:36" x14ac:dyDescent="0.2">
      <c r="A16" s="9">
        <v>0</v>
      </c>
      <c r="B16" s="9">
        <v>22</v>
      </c>
      <c r="C16" s="9">
        <v>17</v>
      </c>
      <c r="D16" s="9">
        <v>75</v>
      </c>
      <c r="E16" s="9">
        <v>23.6</v>
      </c>
      <c r="F16" s="9" t="s">
        <v>128</v>
      </c>
      <c r="G16" s="27">
        <f t="shared" si="0"/>
        <v>-1.5163316411333714</v>
      </c>
      <c r="H16" s="27">
        <f t="shared" si="2"/>
        <v>0.18000233921130734</v>
      </c>
      <c r="I16" s="48">
        <f t="shared" si="3"/>
        <v>451</v>
      </c>
      <c r="J16" s="47">
        <f t="shared" si="1"/>
        <v>0</v>
      </c>
      <c r="K16" s="47" t="str">
        <f t="shared" si="4"/>
        <v>TN</v>
      </c>
      <c r="L16" s="79">
        <v>166623</v>
      </c>
      <c r="N16" s="48">
        <f t="shared" si="13"/>
        <v>378</v>
      </c>
      <c r="O16" s="48">
        <f t="shared" si="14"/>
        <v>392</v>
      </c>
      <c r="P16" s="48" t="str">
        <f t="shared" si="10"/>
        <v>378-392</v>
      </c>
      <c r="Q16" s="47">
        <f t="shared" si="5"/>
        <v>15</v>
      </c>
      <c r="R16" s="47">
        <f t="shared" si="6"/>
        <v>1</v>
      </c>
      <c r="S16" s="47">
        <f t="shared" si="11"/>
        <v>16</v>
      </c>
      <c r="T16" s="60">
        <f t="shared" si="7"/>
        <v>4.0431266846361183E-2</v>
      </c>
      <c r="U16" s="60">
        <f t="shared" si="8"/>
        <v>7.6923076923076927E-3</v>
      </c>
      <c r="V16" s="60">
        <f t="shared" si="9"/>
        <v>3.2000000000000001E-2</v>
      </c>
      <c r="W16" s="60">
        <f t="shared" si="15"/>
        <v>5.1212938005390833E-2</v>
      </c>
      <c r="X16" s="60">
        <f>X15+U16</f>
        <v>7.6923076923076927E-3</v>
      </c>
      <c r="Y16" s="60">
        <f t="shared" si="12"/>
        <v>4.352063031308314E-2</v>
      </c>
      <c r="Z16" s="45"/>
      <c r="AC16" s="23"/>
      <c r="AD16" s="23"/>
      <c r="AE16" s="23"/>
      <c r="AF16" s="23"/>
      <c r="AG16" s="23"/>
      <c r="AH16" s="23"/>
      <c r="AJ16" s="23"/>
    </row>
    <row r="17" spans="1:36" x14ac:dyDescent="0.2">
      <c r="A17" s="9">
        <v>0</v>
      </c>
      <c r="B17" s="9">
        <v>16</v>
      </c>
      <c r="C17" s="9">
        <v>9</v>
      </c>
      <c r="D17" s="9">
        <v>89</v>
      </c>
      <c r="E17" s="9">
        <v>14.3</v>
      </c>
      <c r="F17" s="9" t="s">
        <v>128</v>
      </c>
      <c r="G17" s="27">
        <f t="shared" si="0"/>
        <v>-1.3312771249568913</v>
      </c>
      <c r="H17" s="27">
        <f t="shared" si="2"/>
        <v>0.20894819223746081</v>
      </c>
      <c r="I17" s="48">
        <f t="shared" si="3"/>
        <v>455</v>
      </c>
      <c r="J17" s="47">
        <f t="shared" si="1"/>
        <v>1</v>
      </c>
      <c r="K17" s="47" t="str">
        <f t="shared" si="4"/>
        <v>FP</v>
      </c>
      <c r="L17" s="79">
        <v>1927709</v>
      </c>
      <c r="N17" s="48">
        <f t="shared" si="13"/>
        <v>393</v>
      </c>
      <c r="O17" s="48">
        <f t="shared" si="14"/>
        <v>407</v>
      </c>
      <c r="P17" s="48" t="str">
        <f t="shared" si="10"/>
        <v>393-407</v>
      </c>
      <c r="Q17" s="47">
        <f t="shared" si="5"/>
        <v>24</v>
      </c>
      <c r="R17" s="47">
        <f t="shared" si="6"/>
        <v>1</v>
      </c>
      <c r="S17" s="47">
        <f t="shared" si="11"/>
        <v>25</v>
      </c>
      <c r="T17" s="60">
        <f t="shared" si="7"/>
        <v>6.4690026954177901E-2</v>
      </c>
      <c r="U17" s="60">
        <f t="shared" si="8"/>
        <v>7.6923076923076927E-3</v>
      </c>
      <c r="V17" s="60">
        <f t="shared" si="9"/>
        <v>0.05</v>
      </c>
      <c r="W17" s="60">
        <f t="shared" si="15"/>
        <v>0.11590296495956873</v>
      </c>
      <c r="X17" s="60">
        <f t="shared" si="15"/>
        <v>1.5384615384615385E-2</v>
      </c>
      <c r="Y17" s="60">
        <f t="shared" si="12"/>
        <v>0.10051834957495334</v>
      </c>
      <c r="Z17" s="45"/>
    </row>
    <row r="18" spans="1:36" x14ac:dyDescent="0.2">
      <c r="A18" s="9">
        <v>0</v>
      </c>
      <c r="B18" s="9">
        <v>12</v>
      </c>
      <c r="C18" s="9">
        <v>8</v>
      </c>
      <c r="D18" s="9">
        <v>58</v>
      </c>
      <c r="E18" s="9">
        <v>18.399999999999999</v>
      </c>
      <c r="F18" s="9" t="s">
        <v>128</v>
      </c>
      <c r="G18" s="27">
        <f t="shared" si="0"/>
        <v>-0.55920709303259875</v>
      </c>
      <c r="H18" s="27">
        <f t="shared" si="2"/>
        <v>0.36373094293315733</v>
      </c>
      <c r="I18" s="48">
        <f t="shared" si="3"/>
        <v>471</v>
      </c>
      <c r="J18" s="47">
        <f t="shared" si="1"/>
        <v>1</v>
      </c>
      <c r="K18" s="47" t="str">
        <f t="shared" si="4"/>
        <v>FP</v>
      </c>
      <c r="L18" s="79">
        <v>438929</v>
      </c>
      <c r="N18" s="48">
        <f t="shared" si="13"/>
        <v>408</v>
      </c>
      <c r="O18" s="48">
        <f t="shared" si="14"/>
        <v>422</v>
      </c>
      <c r="P18" s="48" t="str">
        <f t="shared" si="10"/>
        <v>408-422</v>
      </c>
      <c r="Q18" s="47">
        <f t="shared" si="5"/>
        <v>32</v>
      </c>
      <c r="R18" s="47">
        <f t="shared" si="6"/>
        <v>3</v>
      </c>
      <c r="S18" s="47">
        <f t="shared" si="11"/>
        <v>35</v>
      </c>
      <c r="T18" s="60">
        <f t="shared" si="7"/>
        <v>8.6253369272237201E-2</v>
      </c>
      <c r="U18" s="60">
        <f t="shared" si="8"/>
        <v>2.3076923076923078E-2</v>
      </c>
      <c r="V18" s="60">
        <f t="shared" si="9"/>
        <v>7.0000000000000007E-2</v>
      </c>
      <c r="W18" s="60">
        <f t="shared" si="15"/>
        <v>0.20215633423180593</v>
      </c>
      <c r="X18" s="60">
        <f t="shared" si="15"/>
        <v>3.8461538461538464E-2</v>
      </c>
      <c r="Y18" s="60">
        <f t="shared" si="12"/>
        <v>0.16369479577026746</v>
      </c>
      <c r="Z18" s="45"/>
    </row>
    <row r="19" spans="1:36" x14ac:dyDescent="0.2">
      <c r="A19" s="9">
        <v>0</v>
      </c>
      <c r="B19" s="9">
        <v>21</v>
      </c>
      <c r="C19" s="9">
        <v>20</v>
      </c>
      <c r="D19" s="13">
        <v>117.54291069294821</v>
      </c>
      <c r="E19" s="9">
        <v>14.4</v>
      </c>
      <c r="F19" s="9" t="s">
        <v>128</v>
      </c>
      <c r="G19" s="27">
        <f t="shared" si="0"/>
        <v>-2.1514730735852345</v>
      </c>
      <c r="H19" s="27">
        <f t="shared" si="2"/>
        <v>0.10419365017131307</v>
      </c>
      <c r="I19" s="48">
        <f t="shared" si="3"/>
        <v>435</v>
      </c>
      <c r="J19" s="47">
        <f t="shared" si="1"/>
        <v>0</v>
      </c>
      <c r="K19" s="47" t="str">
        <f t="shared" si="4"/>
        <v>TN</v>
      </c>
      <c r="L19" s="79">
        <v>5580438</v>
      </c>
      <c r="N19" s="48">
        <f t="shared" si="13"/>
        <v>423</v>
      </c>
      <c r="O19" s="48">
        <f t="shared" si="14"/>
        <v>437</v>
      </c>
      <c r="P19" s="48" t="str">
        <f t="shared" si="10"/>
        <v>423-437</v>
      </c>
      <c r="Q19" s="47">
        <f t="shared" si="5"/>
        <v>67</v>
      </c>
      <c r="R19" s="47">
        <f t="shared" si="6"/>
        <v>6</v>
      </c>
      <c r="S19" s="47">
        <f t="shared" si="11"/>
        <v>73</v>
      </c>
      <c r="T19" s="60">
        <f t="shared" si="7"/>
        <v>0.18059299191374664</v>
      </c>
      <c r="U19" s="60">
        <f t="shared" si="8"/>
        <v>4.6153846153846156E-2</v>
      </c>
      <c r="V19" s="60">
        <f t="shared" si="9"/>
        <v>0.14599999999999999</v>
      </c>
      <c r="W19" s="60">
        <f t="shared" si="15"/>
        <v>0.38274932614555257</v>
      </c>
      <c r="X19" s="60">
        <f t="shared" si="15"/>
        <v>8.461538461538462E-2</v>
      </c>
      <c r="Y19" s="60">
        <f t="shared" si="12"/>
        <v>0.29813394153016792</v>
      </c>
      <c r="Z19" s="45"/>
      <c r="AC19" s="22"/>
      <c r="AD19" s="22"/>
      <c r="AE19" s="22"/>
      <c r="AF19" s="22"/>
      <c r="AG19" s="22"/>
      <c r="AH19" s="22"/>
      <c r="AI19" s="22"/>
      <c r="AJ19" s="22"/>
    </row>
    <row r="20" spans="1:36" x14ac:dyDescent="0.2">
      <c r="A20" s="9">
        <v>0</v>
      </c>
      <c r="B20" s="9">
        <v>16</v>
      </c>
      <c r="C20" s="9">
        <v>10</v>
      </c>
      <c r="D20" s="9">
        <v>38</v>
      </c>
      <c r="E20" s="9">
        <v>21</v>
      </c>
      <c r="F20" s="9" t="s">
        <v>128</v>
      </c>
      <c r="G20" s="27">
        <f t="shared" si="0"/>
        <v>-1.1727181842198484</v>
      </c>
      <c r="H20" s="27">
        <f t="shared" si="2"/>
        <v>0.23636401118191852</v>
      </c>
      <c r="I20" s="48">
        <f t="shared" si="3"/>
        <v>458</v>
      </c>
      <c r="J20" s="47">
        <f t="shared" si="1"/>
        <v>1</v>
      </c>
      <c r="K20" s="47" t="str">
        <f t="shared" si="4"/>
        <v>FP</v>
      </c>
      <c r="L20" s="79">
        <v>9245489</v>
      </c>
      <c r="N20" s="48">
        <f t="shared" si="13"/>
        <v>438</v>
      </c>
      <c r="O20" s="48">
        <f t="shared" si="14"/>
        <v>452</v>
      </c>
      <c r="P20" s="48" t="str">
        <f t="shared" si="10"/>
        <v>438-452</v>
      </c>
      <c r="Q20" s="47">
        <f t="shared" si="5"/>
        <v>73</v>
      </c>
      <c r="R20" s="47">
        <f t="shared" si="6"/>
        <v>9</v>
      </c>
      <c r="S20" s="47">
        <f t="shared" si="11"/>
        <v>82</v>
      </c>
      <c r="T20" s="60">
        <f t="shared" si="7"/>
        <v>0.19676549865229109</v>
      </c>
      <c r="U20" s="60">
        <f t="shared" si="8"/>
        <v>6.9230769230769235E-2</v>
      </c>
      <c r="V20" s="60">
        <f t="shared" si="9"/>
        <v>0.16400000000000001</v>
      </c>
      <c r="W20" s="60">
        <f t="shared" si="15"/>
        <v>0.57951482479784366</v>
      </c>
      <c r="X20" s="60">
        <f t="shared" si="15"/>
        <v>0.15384615384615385</v>
      </c>
      <c r="Y20" s="60">
        <f t="shared" si="12"/>
        <v>0.42566867095168981</v>
      </c>
      <c r="Z20" s="45"/>
      <c r="AC20" s="24"/>
    </row>
    <row r="21" spans="1:36" x14ac:dyDescent="0.2">
      <c r="A21" s="9">
        <v>0</v>
      </c>
      <c r="B21" s="9">
        <v>10</v>
      </c>
      <c r="C21" s="9">
        <v>20</v>
      </c>
      <c r="D21" s="9">
        <v>80</v>
      </c>
      <c r="E21" s="9">
        <v>12.2</v>
      </c>
      <c r="F21" s="9" t="s">
        <v>128</v>
      </c>
      <c r="G21" s="27">
        <f t="shared" si="0"/>
        <v>-1.3099201501352498</v>
      </c>
      <c r="H21" s="27">
        <f t="shared" si="2"/>
        <v>0.21250020620105298</v>
      </c>
      <c r="I21" s="48">
        <f t="shared" si="3"/>
        <v>455</v>
      </c>
      <c r="J21" s="47">
        <f t="shared" si="1"/>
        <v>1</v>
      </c>
      <c r="K21" s="47" t="str">
        <f t="shared" si="4"/>
        <v>FP</v>
      </c>
      <c r="L21" s="79">
        <v>1372834</v>
      </c>
      <c r="N21" s="48">
        <f t="shared" si="13"/>
        <v>453</v>
      </c>
      <c r="O21" s="48">
        <f t="shared" si="14"/>
        <v>467</v>
      </c>
      <c r="P21" s="48" t="str">
        <f t="shared" si="10"/>
        <v>453-467</v>
      </c>
      <c r="Q21" s="47">
        <f t="shared" si="5"/>
        <v>79</v>
      </c>
      <c r="R21" s="47">
        <f t="shared" si="6"/>
        <v>28</v>
      </c>
      <c r="S21" s="47">
        <f t="shared" si="11"/>
        <v>107</v>
      </c>
      <c r="T21" s="60">
        <f t="shared" si="7"/>
        <v>0.21293800539083557</v>
      </c>
      <c r="U21" s="60">
        <f t="shared" si="8"/>
        <v>0.2153846153846154</v>
      </c>
      <c r="V21" s="60">
        <f t="shared" si="9"/>
        <v>0.214</v>
      </c>
      <c r="W21" s="60">
        <f t="shared" si="15"/>
        <v>0.79245283018867929</v>
      </c>
      <c r="X21" s="60">
        <f t="shared" si="15"/>
        <v>0.36923076923076925</v>
      </c>
      <c r="Y21" s="60">
        <f t="shared" si="12"/>
        <v>0.42322206095791004</v>
      </c>
      <c r="Z21" s="45"/>
    </row>
    <row r="22" spans="1:36" x14ac:dyDescent="0.2">
      <c r="A22" s="9">
        <v>0</v>
      </c>
      <c r="B22" s="9">
        <v>18</v>
      </c>
      <c r="C22" s="9">
        <v>14</v>
      </c>
      <c r="D22" s="9">
        <v>0</v>
      </c>
      <c r="E22" s="9">
        <v>6.6</v>
      </c>
      <c r="F22" s="9" t="s">
        <v>128</v>
      </c>
      <c r="G22" s="27">
        <f t="shared" si="0"/>
        <v>-4.1178051367411825</v>
      </c>
      <c r="H22" s="27">
        <f t="shared" si="2"/>
        <v>1.6019408778518669E-2</v>
      </c>
      <c r="I22" s="48">
        <f t="shared" si="3"/>
        <v>381</v>
      </c>
      <c r="J22" s="47">
        <f t="shared" si="1"/>
        <v>0</v>
      </c>
      <c r="K22" s="47" t="str">
        <f t="shared" si="4"/>
        <v>TN</v>
      </c>
      <c r="L22" s="79">
        <v>451261</v>
      </c>
      <c r="N22" s="48">
        <f t="shared" si="13"/>
        <v>468</v>
      </c>
      <c r="O22" s="48">
        <f t="shared" si="14"/>
        <v>482</v>
      </c>
      <c r="P22" s="48" t="str">
        <f t="shared" si="10"/>
        <v>468-482</v>
      </c>
      <c r="Q22" s="47">
        <f t="shared" si="5"/>
        <v>59</v>
      </c>
      <c r="R22" s="47">
        <f t="shared" si="6"/>
        <v>44</v>
      </c>
      <c r="S22" s="47">
        <f t="shared" si="11"/>
        <v>103</v>
      </c>
      <c r="T22" s="60">
        <f t="shared" si="7"/>
        <v>0.15902964959568733</v>
      </c>
      <c r="U22" s="60">
        <f t="shared" si="8"/>
        <v>0.33846153846153848</v>
      </c>
      <c r="V22" s="60">
        <f t="shared" si="9"/>
        <v>0.20599999999999999</v>
      </c>
      <c r="W22" s="60">
        <f t="shared" si="15"/>
        <v>0.95148247978436662</v>
      </c>
      <c r="X22" s="60">
        <f t="shared" si="15"/>
        <v>0.70769230769230773</v>
      </c>
      <c r="Y22" s="60">
        <f t="shared" si="12"/>
        <v>0.24379017209205889</v>
      </c>
      <c r="Z22" s="45"/>
    </row>
    <row r="23" spans="1:36" x14ac:dyDescent="0.2">
      <c r="A23" s="9">
        <v>1</v>
      </c>
      <c r="B23" s="9">
        <v>19</v>
      </c>
      <c r="C23" s="9">
        <v>15</v>
      </c>
      <c r="D23" s="9">
        <v>60</v>
      </c>
      <c r="E23" s="9">
        <v>27.1</v>
      </c>
      <c r="F23" s="9" t="s">
        <v>128</v>
      </c>
      <c r="G23" s="27">
        <f t="shared" si="0"/>
        <v>-0.71202032877280619</v>
      </c>
      <c r="H23" s="27">
        <f t="shared" si="2"/>
        <v>0.32915257517182422</v>
      </c>
      <c r="I23" s="48">
        <f t="shared" si="3"/>
        <v>468</v>
      </c>
      <c r="J23" s="47">
        <f t="shared" si="1"/>
        <v>1</v>
      </c>
      <c r="K23" s="47" t="str">
        <f t="shared" si="4"/>
        <v>TP</v>
      </c>
      <c r="L23" s="79">
        <v>1084756</v>
      </c>
      <c r="N23" s="48">
        <f t="shared" si="13"/>
        <v>483</v>
      </c>
      <c r="O23" s="48">
        <f t="shared" si="14"/>
        <v>497</v>
      </c>
      <c r="P23" s="48" t="str">
        <f t="shared" si="10"/>
        <v>483-497</v>
      </c>
      <c r="Q23" s="47">
        <f t="shared" si="5"/>
        <v>18</v>
      </c>
      <c r="R23" s="47">
        <f t="shared" si="6"/>
        <v>36</v>
      </c>
      <c r="S23" s="47">
        <f t="shared" si="11"/>
        <v>54</v>
      </c>
      <c r="T23" s="60">
        <f t="shared" si="7"/>
        <v>4.8517520215633422E-2</v>
      </c>
      <c r="U23" s="60">
        <f t="shared" si="8"/>
        <v>0.27692307692307694</v>
      </c>
      <c r="V23" s="60">
        <f t="shared" si="9"/>
        <v>0.108</v>
      </c>
      <c r="W23" s="60">
        <f t="shared" si="15"/>
        <v>1</v>
      </c>
      <c r="X23" s="60">
        <f t="shared" si="15"/>
        <v>0.98461538461538467</v>
      </c>
      <c r="Y23" s="60">
        <f t="shared" si="12"/>
        <v>1.538461538461533E-2</v>
      </c>
      <c r="Z23" s="45"/>
    </row>
    <row r="24" spans="1:36" x14ac:dyDescent="0.2">
      <c r="A24" s="9">
        <v>0</v>
      </c>
      <c r="B24" s="9">
        <v>10</v>
      </c>
      <c r="C24" s="9">
        <v>15</v>
      </c>
      <c r="D24" s="9">
        <v>45</v>
      </c>
      <c r="E24" s="9">
        <v>18.8</v>
      </c>
      <c r="F24" s="9" t="s">
        <v>128</v>
      </c>
      <c r="G24" s="27">
        <f t="shared" si="0"/>
        <v>-0.68520795522534961</v>
      </c>
      <c r="H24" s="27">
        <f t="shared" si="2"/>
        <v>0.33509993392401999</v>
      </c>
      <c r="I24" s="48">
        <f t="shared" si="3"/>
        <v>468</v>
      </c>
      <c r="J24" s="47">
        <f t="shared" si="1"/>
        <v>1</v>
      </c>
      <c r="K24" s="47" t="str">
        <f t="shared" si="4"/>
        <v>FP</v>
      </c>
      <c r="L24" s="79">
        <v>9632986</v>
      </c>
      <c r="N24" s="48">
        <f t="shared" si="13"/>
        <v>498</v>
      </c>
      <c r="O24" s="48">
        <f t="shared" si="14"/>
        <v>512</v>
      </c>
      <c r="P24" s="48" t="str">
        <f t="shared" si="10"/>
        <v>498-512</v>
      </c>
      <c r="Q24" s="47">
        <f t="shared" si="5"/>
        <v>0</v>
      </c>
      <c r="R24" s="47">
        <f t="shared" si="6"/>
        <v>1</v>
      </c>
      <c r="S24" s="47">
        <f t="shared" si="11"/>
        <v>1</v>
      </c>
      <c r="T24" s="60">
        <f t="shared" si="7"/>
        <v>0</v>
      </c>
      <c r="U24" s="60">
        <f t="shared" si="8"/>
        <v>7.6923076923076927E-3</v>
      </c>
      <c r="V24" s="60">
        <f t="shared" si="9"/>
        <v>2E-3</v>
      </c>
      <c r="W24" s="60">
        <f t="shared" si="15"/>
        <v>1</v>
      </c>
      <c r="X24" s="60">
        <f t="shared" si="15"/>
        <v>0.99230769230769234</v>
      </c>
      <c r="Y24" s="60">
        <f t="shared" si="12"/>
        <v>7.692307692307665E-3</v>
      </c>
      <c r="Z24" s="45"/>
    </row>
    <row r="25" spans="1:36" x14ac:dyDescent="0.2">
      <c r="A25" s="9">
        <v>0</v>
      </c>
      <c r="B25" s="9">
        <v>16</v>
      </c>
      <c r="C25" s="9">
        <v>4</v>
      </c>
      <c r="D25" s="9">
        <v>52</v>
      </c>
      <c r="E25" s="9">
        <v>20</v>
      </c>
      <c r="F25" s="9" t="s">
        <v>128</v>
      </c>
      <c r="G25" s="27">
        <f t="shared" si="0"/>
        <v>-0.85584076350463367</v>
      </c>
      <c r="H25" s="27">
        <f t="shared" si="2"/>
        <v>0.29820906120072771</v>
      </c>
      <c r="I25" s="48">
        <f t="shared" si="3"/>
        <v>465</v>
      </c>
      <c r="J25" s="47">
        <f t="shared" si="1"/>
        <v>1</v>
      </c>
      <c r="K25" s="47" t="str">
        <f t="shared" si="4"/>
        <v>FP</v>
      </c>
      <c r="L25" s="79">
        <v>8192827</v>
      </c>
      <c r="N25" s="48">
        <f t="shared" si="13"/>
        <v>513</v>
      </c>
      <c r="O25" s="48">
        <f>MAX(I2:I501)</f>
        <v>498</v>
      </c>
      <c r="P25" s="48" t="str">
        <f t="shared" si="10"/>
        <v>513-498</v>
      </c>
      <c r="Q25" s="47">
        <f t="shared" si="5"/>
        <v>0</v>
      </c>
      <c r="R25" s="47">
        <f t="shared" si="6"/>
        <v>0</v>
      </c>
      <c r="S25" s="47">
        <f t="shared" si="11"/>
        <v>0</v>
      </c>
      <c r="T25" s="60">
        <f t="shared" si="7"/>
        <v>0</v>
      </c>
      <c r="U25" s="60">
        <f t="shared" si="8"/>
        <v>0</v>
      </c>
      <c r="V25" s="60">
        <f t="shared" si="9"/>
        <v>0</v>
      </c>
      <c r="W25" s="62">
        <f t="shared" si="15"/>
        <v>1</v>
      </c>
      <c r="X25" s="62">
        <f>X24+U25</f>
        <v>0.99230769230769234</v>
      </c>
      <c r="Y25" s="60">
        <f t="shared" si="12"/>
        <v>7.692307692307665E-3</v>
      </c>
      <c r="Z25" s="45"/>
      <c r="AC25" s="1"/>
      <c r="AD25" s="1"/>
      <c r="AE25" s="1"/>
      <c r="AF25" s="1"/>
      <c r="AG25" s="1"/>
      <c r="AH25" s="1"/>
      <c r="AI25" s="1"/>
    </row>
    <row r="26" spans="1:36" x14ac:dyDescent="0.2">
      <c r="A26" s="9">
        <v>0</v>
      </c>
      <c r="B26" s="9">
        <v>15</v>
      </c>
      <c r="C26" s="9">
        <v>11</v>
      </c>
      <c r="D26" s="9">
        <v>40</v>
      </c>
      <c r="E26" s="9">
        <v>18.5</v>
      </c>
      <c r="F26" s="9" t="s">
        <v>128</v>
      </c>
      <c r="G26" s="27">
        <f t="shared" si="0"/>
        <v>-1.3755451393842129</v>
      </c>
      <c r="H26" s="27">
        <f t="shared" si="2"/>
        <v>0.20172542295012744</v>
      </c>
      <c r="I26" s="48">
        <f t="shared" si="3"/>
        <v>454</v>
      </c>
      <c r="J26" s="47">
        <f t="shared" si="1"/>
        <v>1</v>
      </c>
      <c r="K26" s="47" t="str">
        <f t="shared" si="4"/>
        <v>FP</v>
      </c>
      <c r="L26" s="79">
        <v>1974227</v>
      </c>
      <c r="N26" s="46"/>
      <c r="O26" s="46"/>
      <c r="P26" s="48" t="s">
        <v>100</v>
      </c>
      <c r="Q26" s="47">
        <f>SUM(Q12:Q25)</f>
        <v>371</v>
      </c>
      <c r="R26" s="47">
        <f>SUM(R12:R25)</f>
        <v>130</v>
      </c>
      <c r="S26" s="47">
        <f>SUM(S11:S25)</f>
        <v>500</v>
      </c>
      <c r="T26" s="44"/>
      <c r="U26" s="44"/>
      <c r="V26" s="44"/>
      <c r="W26" s="44"/>
      <c r="X26" s="44"/>
      <c r="Y26" s="44"/>
      <c r="Z26" s="44"/>
      <c r="AC26" s="23"/>
      <c r="AD26" s="23"/>
      <c r="AE26" s="23"/>
      <c r="AF26" s="23"/>
      <c r="AG26" s="23"/>
      <c r="AH26" s="23"/>
      <c r="AI26" s="23"/>
    </row>
    <row r="27" spans="1:36" x14ac:dyDescent="0.2">
      <c r="A27" s="9">
        <v>0</v>
      </c>
      <c r="B27" s="9">
        <v>11</v>
      </c>
      <c r="C27" s="9">
        <v>12</v>
      </c>
      <c r="D27" s="9">
        <v>44</v>
      </c>
      <c r="E27" s="9">
        <v>14.7</v>
      </c>
      <c r="F27" s="9" t="s">
        <v>128</v>
      </c>
      <c r="G27" s="27">
        <f t="shared" si="0"/>
        <v>-1.274530061503234</v>
      </c>
      <c r="H27" s="27">
        <f t="shared" si="2"/>
        <v>0.21848276656266899</v>
      </c>
      <c r="I27" s="48">
        <f t="shared" si="3"/>
        <v>456</v>
      </c>
      <c r="J27" s="47">
        <f t="shared" si="1"/>
        <v>1</v>
      </c>
      <c r="K27" s="47" t="str">
        <f t="shared" si="4"/>
        <v>FP</v>
      </c>
      <c r="L27" s="79">
        <v>9569860</v>
      </c>
      <c r="N27" s="46"/>
      <c r="O27" s="46"/>
      <c r="P27" s="46"/>
      <c r="Q27" s="44"/>
      <c r="R27" s="44"/>
      <c r="S27" s="44"/>
      <c r="T27" s="44"/>
      <c r="U27" s="44"/>
      <c r="V27" s="44"/>
      <c r="W27" s="44"/>
      <c r="X27" s="55" t="s">
        <v>111</v>
      </c>
      <c r="Y27" s="75">
        <f>MAX(Y13:Y25)</f>
        <v>0.42566867095168981</v>
      </c>
      <c r="Z27" s="44"/>
    </row>
    <row r="28" spans="1:36" x14ac:dyDescent="0.2">
      <c r="A28" s="9">
        <v>1</v>
      </c>
      <c r="B28" s="9">
        <v>6</v>
      </c>
      <c r="C28" s="9">
        <v>19</v>
      </c>
      <c r="D28" s="9">
        <v>42</v>
      </c>
      <c r="E28" s="9">
        <v>19.899999999999999</v>
      </c>
      <c r="F28" s="9" t="s">
        <v>128</v>
      </c>
      <c r="G28" s="27">
        <f t="shared" si="0"/>
        <v>-0.14781909004784888</v>
      </c>
      <c r="H28" s="27">
        <f t="shared" si="2"/>
        <v>0.46311237075080175</v>
      </c>
      <c r="I28" s="48">
        <f t="shared" si="3"/>
        <v>478</v>
      </c>
      <c r="J28" s="47">
        <f t="shared" si="1"/>
        <v>1</v>
      </c>
      <c r="K28" s="47" t="str">
        <f t="shared" si="4"/>
        <v>TP</v>
      </c>
      <c r="L28" s="79">
        <v>4004627</v>
      </c>
      <c r="N28" s="46"/>
      <c r="O28" s="46"/>
      <c r="P28" s="46"/>
      <c r="Q28" s="44"/>
      <c r="R28" s="44"/>
      <c r="S28" s="44"/>
      <c r="T28" s="44"/>
      <c r="U28" s="44"/>
      <c r="V28" s="44"/>
      <c r="W28" s="44"/>
      <c r="X28" s="44"/>
      <c r="Y28" s="44"/>
      <c r="Z28" s="44"/>
    </row>
    <row r="29" spans="1:36" x14ac:dyDescent="0.2">
      <c r="A29" s="9">
        <v>0</v>
      </c>
      <c r="B29" s="9">
        <v>17</v>
      </c>
      <c r="C29" s="9">
        <v>20</v>
      </c>
      <c r="D29" s="9">
        <v>60</v>
      </c>
      <c r="E29" s="9">
        <v>13.7</v>
      </c>
      <c r="F29" s="9" t="s">
        <v>128</v>
      </c>
      <c r="G29" s="27">
        <f t="shared" si="0"/>
        <v>-2.4378419494896839</v>
      </c>
      <c r="H29" s="27">
        <f t="shared" si="2"/>
        <v>8.0332202330886199E-2</v>
      </c>
      <c r="I29" s="48">
        <f t="shared" si="3"/>
        <v>427</v>
      </c>
      <c r="J29" s="47">
        <f t="shared" si="1"/>
        <v>0</v>
      </c>
      <c r="K29" s="47" t="str">
        <f t="shared" si="4"/>
        <v>TN</v>
      </c>
      <c r="L29" s="79">
        <v>4417876</v>
      </c>
      <c r="N29" s="96" t="s">
        <v>113</v>
      </c>
      <c r="O29" s="96"/>
      <c r="P29" s="96"/>
      <c r="Q29" s="96"/>
      <c r="R29" s="96"/>
      <c r="S29" s="96"/>
      <c r="T29" s="96"/>
      <c r="U29" s="43"/>
      <c r="V29" s="43"/>
      <c r="W29" s="43"/>
      <c r="X29" s="43"/>
      <c r="Y29" s="43"/>
      <c r="Z29" s="43"/>
      <c r="AC29" s="22"/>
      <c r="AD29" s="22"/>
      <c r="AE29" s="22"/>
      <c r="AF29" s="22"/>
      <c r="AG29" s="22"/>
      <c r="AH29" s="22"/>
      <c r="AI29" s="22"/>
    </row>
    <row r="30" spans="1:36" x14ac:dyDescent="0.2">
      <c r="A30" s="9">
        <v>0</v>
      </c>
      <c r="B30" s="9">
        <v>5</v>
      </c>
      <c r="C30" s="9">
        <v>17</v>
      </c>
      <c r="D30" s="9">
        <v>29</v>
      </c>
      <c r="E30" s="9">
        <v>24.6</v>
      </c>
      <c r="F30" s="9" t="s">
        <v>128</v>
      </c>
      <c r="G30" s="27">
        <f t="shared" si="0"/>
        <v>0.54500848772784272</v>
      </c>
      <c r="H30" s="27">
        <f t="shared" si="2"/>
        <v>0.63297674852772023</v>
      </c>
      <c r="I30" s="48">
        <f t="shared" si="3"/>
        <v>487</v>
      </c>
      <c r="J30" s="47">
        <f t="shared" si="1"/>
        <v>1</v>
      </c>
      <c r="K30" s="47" t="str">
        <f t="shared" si="4"/>
        <v>FP</v>
      </c>
      <c r="L30" s="79">
        <v>8260148</v>
      </c>
      <c r="N30" s="68"/>
      <c r="O30" s="44"/>
      <c r="P30" s="44"/>
      <c r="Q30" s="44"/>
      <c r="R30" s="44"/>
      <c r="S30" s="44"/>
      <c r="T30" s="69"/>
      <c r="U30" s="43"/>
      <c r="V30" s="43"/>
      <c r="W30" s="43"/>
      <c r="X30" s="43"/>
      <c r="Y30" s="43"/>
      <c r="Z30" s="43"/>
      <c r="AC30" s="24"/>
    </row>
    <row r="31" spans="1:36" x14ac:dyDescent="0.2">
      <c r="A31" s="9">
        <v>0</v>
      </c>
      <c r="B31" s="9">
        <v>18</v>
      </c>
      <c r="C31" s="9">
        <v>19</v>
      </c>
      <c r="D31" s="9">
        <v>35</v>
      </c>
      <c r="E31" s="9">
        <v>17.399999999999999</v>
      </c>
      <c r="F31" s="9" t="s">
        <v>128</v>
      </c>
      <c r="G31" s="27">
        <f t="shared" si="0"/>
        <v>-2.3903042727461186</v>
      </c>
      <c r="H31" s="27">
        <f t="shared" si="2"/>
        <v>8.391503848450009E-2</v>
      </c>
      <c r="I31" s="48">
        <f t="shared" si="3"/>
        <v>429</v>
      </c>
      <c r="J31" s="47">
        <f t="shared" si="1"/>
        <v>0</v>
      </c>
      <c r="K31" s="47" t="str">
        <f t="shared" si="4"/>
        <v>TN</v>
      </c>
      <c r="L31" s="79">
        <v>3902627</v>
      </c>
      <c r="N31" s="94" t="s">
        <v>128</v>
      </c>
      <c r="O31" s="94"/>
      <c r="P31" s="95" t="s">
        <v>114</v>
      </c>
      <c r="Q31" s="95"/>
      <c r="R31" s="44"/>
      <c r="S31" s="44" t="s">
        <v>115</v>
      </c>
      <c r="T31" s="70">
        <f>(P33+Q34)/SUM(P33:Q34)</f>
        <v>0.66400000000000003</v>
      </c>
      <c r="U31" s="64"/>
      <c r="V31" s="64"/>
      <c r="W31" s="64"/>
      <c r="X31" s="64"/>
      <c r="Y31" s="64"/>
      <c r="Z31" s="65"/>
    </row>
    <row r="32" spans="1:36" x14ac:dyDescent="0.2">
      <c r="A32" s="9">
        <v>0</v>
      </c>
      <c r="B32" s="9">
        <v>22</v>
      </c>
      <c r="C32" s="9">
        <v>15</v>
      </c>
      <c r="D32" s="9">
        <v>100</v>
      </c>
      <c r="E32" s="9">
        <v>9.1</v>
      </c>
      <c r="F32" s="9" t="s">
        <v>128</v>
      </c>
      <c r="G32" s="27">
        <f t="shared" si="0"/>
        <v>-3.0451238161139598</v>
      </c>
      <c r="H32" s="27">
        <f t="shared" si="2"/>
        <v>4.5428459721913922E-2</v>
      </c>
      <c r="I32" s="48">
        <f t="shared" si="3"/>
        <v>411</v>
      </c>
      <c r="J32" s="47">
        <f t="shared" si="1"/>
        <v>0</v>
      </c>
      <c r="K32" s="47" t="str">
        <f t="shared" si="4"/>
        <v>TN</v>
      </c>
      <c r="L32" s="79">
        <v>2942271</v>
      </c>
      <c r="N32" s="94"/>
      <c r="O32" s="94"/>
      <c r="P32" s="47">
        <v>0</v>
      </c>
      <c r="Q32" s="47">
        <v>1</v>
      </c>
      <c r="R32" s="44"/>
      <c r="S32" s="44" t="s">
        <v>116</v>
      </c>
      <c r="T32" s="70">
        <f>Q34/(SUM(P34:Q34))</f>
        <v>0.83720930232558144</v>
      </c>
      <c r="U32" s="64"/>
      <c r="V32" s="64"/>
      <c r="W32" s="64"/>
      <c r="X32" s="64"/>
      <c r="Y32" s="64"/>
      <c r="Z32" s="65"/>
    </row>
    <row r="33" spans="1:34" x14ac:dyDescent="0.2">
      <c r="A33" s="9">
        <v>0</v>
      </c>
      <c r="B33" s="9">
        <v>18</v>
      </c>
      <c r="C33" s="9">
        <v>4</v>
      </c>
      <c r="D33" s="9">
        <v>74</v>
      </c>
      <c r="E33" s="9">
        <v>13.4</v>
      </c>
      <c r="F33" s="9" t="s">
        <v>128</v>
      </c>
      <c r="G33" s="27">
        <f t="shared" si="0"/>
        <v>-1.7456684272833938</v>
      </c>
      <c r="H33" s="27">
        <f t="shared" si="2"/>
        <v>0.14859436925428687</v>
      </c>
      <c r="I33" s="48">
        <f t="shared" si="3"/>
        <v>445</v>
      </c>
      <c r="J33" s="47">
        <f t="shared" si="1"/>
        <v>0</v>
      </c>
      <c r="K33" s="47" t="str">
        <f t="shared" si="4"/>
        <v>TN</v>
      </c>
      <c r="L33" s="79">
        <v>1925927</v>
      </c>
      <c r="N33" s="94" t="s">
        <v>117</v>
      </c>
      <c r="O33" s="47">
        <v>0</v>
      </c>
      <c r="P33" s="47">
        <f>COUNTIFS($J$2:$J$501,"="&amp;P32,$A$2:$A$501,"="&amp;$O$33,$F$2:$F$501,"="&amp;$N$31)</f>
        <v>224</v>
      </c>
      <c r="Q33" s="47">
        <f>COUNTIFS($J$2:$J$501,"="&amp;Q32,$A$2:$A$501,"="&amp;$O$33,$F$2:$F$501,"="&amp;$N$31)</f>
        <v>147</v>
      </c>
      <c r="R33" s="44"/>
      <c r="S33" s="44" t="s">
        <v>118</v>
      </c>
      <c r="T33" s="70">
        <f>Q34/(Q34+Q33)</f>
        <v>0.42352941176470588</v>
      </c>
      <c r="U33" s="64"/>
      <c r="V33" s="64"/>
      <c r="W33" s="64"/>
      <c r="X33" s="64"/>
      <c r="Y33" s="64"/>
      <c r="Z33" s="65"/>
    </row>
    <row r="34" spans="1:34" x14ac:dyDescent="0.2">
      <c r="A34" s="9">
        <v>0</v>
      </c>
      <c r="B34" s="9">
        <v>12</v>
      </c>
      <c r="C34" s="9">
        <v>4</v>
      </c>
      <c r="D34" s="9">
        <v>31</v>
      </c>
      <c r="E34" s="9">
        <v>23.7</v>
      </c>
      <c r="F34" s="9" t="s">
        <v>128</v>
      </c>
      <c r="G34" s="27">
        <f t="shared" ref="G34:G65" si="16">SUMPRODUCT($S$3:$V$3,B34:E34)+$R$3</f>
        <v>-4.2928823555692608E-2</v>
      </c>
      <c r="H34" s="27">
        <f t="shared" si="2"/>
        <v>0.48926944199150535</v>
      </c>
      <c r="I34" s="48">
        <f t="shared" ref="I34:I65" si="17">ROUND($O$4+(($O$5/LN(2))*LN(H34)),0)</f>
        <v>479</v>
      </c>
      <c r="J34" s="47">
        <f t="shared" ref="J34:J65" si="18">IF(H34&gt;=$O$3,1,0)</f>
        <v>1</v>
      </c>
      <c r="K34" s="47" t="str">
        <f t="shared" si="4"/>
        <v>FP</v>
      </c>
      <c r="L34" s="79">
        <v>1660083</v>
      </c>
      <c r="N34" s="94"/>
      <c r="O34" s="47">
        <v>1</v>
      </c>
      <c r="P34" s="47">
        <f>COUNTIFS($J$2:$J$501,"="&amp;P32,$A$2:$A$501,"="&amp;$O$34,$F$2:$F$501,"="&amp;$N$31)</f>
        <v>21</v>
      </c>
      <c r="Q34" s="47">
        <f>COUNTIFS($J$2:$J$501,"="&amp;Q32,$A$2:$A$501,"="&amp;$O$34,$F$2:$F$501,"="&amp;$N$31)</f>
        <v>108</v>
      </c>
      <c r="R34" s="44"/>
      <c r="S34" s="44" t="s">
        <v>119</v>
      </c>
      <c r="T34" s="70">
        <f>(2*T32*T33)/(T32+T33)</f>
        <v>0.5625</v>
      </c>
      <c r="U34" s="64"/>
      <c r="V34" s="64"/>
      <c r="W34" s="64"/>
      <c r="X34" s="64"/>
      <c r="Y34" s="64"/>
      <c r="Z34" s="65"/>
    </row>
    <row r="35" spans="1:34" x14ac:dyDescent="0.2">
      <c r="A35" s="9">
        <v>1</v>
      </c>
      <c r="B35" s="9">
        <v>15</v>
      </c>
      <c r="C35" s="9">
        <v>2</v>
      </c>
      <c r="D35" s="9">
        <v>39</v>
      </c>
      <c r="E35" s="9">
        <v>24.7</v>
      </c>
      <c r="F35" s="9" t="s">
        <v>128</v>
      </c>
      <c r="G35" s="27">
        <f t="shared" si="16"/>
        <v>-0.16301318572894252</v>
      </c>
      <c r="H35" s="27">
        <f t="shared" si="2"/>
        <v>0.45933671019137051</v>
      </c>
      <c r="I35" s="48">
        <f t="shared" si="17"/>
        <v>478</v>
      </c>
      <c r="J35" s="47">
        <f t="shared" si="18"/>
        <v>1</v>
      </c>
      <c r="K35" s="47" t="str">
        <f t="shared" si="4"/>
        <v>TP</v>
      </c>
      <c r="L35" s="79">
        <v>2245971</v>
      </c>
      <c r="N35" s="71"/>
      <c r="O35" s="72"/>
      <c r="P35" s="72"/>
      <c r="Q35" s="72"/>
      <c r="R35" s="72"/>
      <c r="S35" s="72"/>
      <c r="T35" s="73"/>
      <c r="U35" s="64"/>
      <c r="V35" s="64"/>
      <c r="W35" s="64"/>
      <c r="X35" s="64"/>
      <c r="Y35" s="64"/>
      <c r="Z35" s="65"/>
      <c r="AC35" s="1"/>
      <c r="AD35" s="1"/>
      <c r="AE35" s="1"/>
      <c r="AF35" s="1"/>
      <c r="AG35" s="1"/>
      <c r="AH35" s="1"/>
    </row>
    <row r="36" spans="1:34" x14ac:dyDescent="0.2">
      <c r="A36" s="9">
        <v>1</v>
      </c>
      <c r="B36" s="9">
        <v>9</v>
      </c>
      <c r="C36" s="9">
        <v>0</v>
      </c>
      <c r="D36" s="9">
        <v>70</v>
      </c>
      <c r="E36" s="9">
        <v>9.4</v>
      </c>
      <c r="F36" s="9" t="s">
        <v>128</v>
      </c>
      <c r="G36" s="27">
        <f t="shared" si="16"/>
        <v>-0.81317926845921862</v>
      </c>
      <c r="H36" s="27">
        <f t="shared" si="2"/>
        <v>0.30721342696315201</v>
      </c>
      <c r="I36" s="48">
        <f t="shared" si="17"/>
        <v>466</v>
      </c>
      <c r="J36" s="47">
        <f t="shared" si="18"/>
        <v>1</v>
      </c>
      <c r="K36" s="47" t="str">
        <f t="shared" si="4"/>
        <v>TP</v>
      </c>
      <c r="L36" s="79">
        <v>6386315</v>
      </c>
      <c r="N36" s="63"/>
      <c r="O36" s="63"/>
      <c r="P36" s="43"/>
      <c r="Q36" s="43"/>
      <c r="R36" s="44"/>
      <c r="S36" s="44"/>
      <c r="T36" s="67"/>
      <c r="U36" s="64"/>
      <c r="V36" s="64"/>
      <c r="W36" s="64"/>
      <c r="X36" s="64"/>
      <c r="Y36" s="64"/>
      <c r="Z36" s="65"/>
      <c r="AC36" s="23"/>
      <c r="AD36" s="23"/>
      <c r="AE36" s="23"/>
      <c r="AF36" s="23"/>
      <c r="AG36" s="23"/>
      <c r="AH36" s="23"/>
    </row>
    <row r="37" spans="1:34" x14ac:dyDescent="0.2">
      <c r="A37" s="9">
        <v>0</v>
      </c>
      <c r="B37" s="9">
        <v>19</v>
      </c>
      <c r="C37" s="9">
        <v>1</v>
      </c>
      <c r="D37" s="9">
        <v>96</v>
      </c>
      <c r="E37" s="9">
        <v>7.8</v>
      </c>
      <c r="F37" s="9" t="s">
        <v>128</v>
      </c>
      <c r="G37" s="27">
        <f t="shared" si="16"/>
        <v>-2.2202566527078051</v>
      </c>
      <c r="H37" s="27">
        <f t="shared" si="2"/>
        <v>9.7946126002364908E-2</v>
      </c>
      <c r="I37" s="48">
        <f t="shared" si="17"/>
        <v>433</v>
      </c>
      <c r="J37" s="47">
        <f t="shared" si="18"/>
        <v>0</v>
      </c>
      <c r="K37" s="47" t="str">
        <f t="shared" si="4"/>
        <v>TN</v>
      </c>
      <c r="L37" s="79">
        <v>1020230</v>
      </c>
      <c r="N37" s="63"/>
      <c r="O37" s="63"/>
      <c r="P37" s="43"/>
      <c r="Q37" s="43"/>
      <c r="R37" s="44"/>
      <c r="S37" s="44"/>
      <c r="T37" s="67"/>
      <c r="U37" s="64"/>
      <c r="V37" s="64"/>
      <c r="W37" s="64"/>
      <c r="X37" s="64"/>
      <c r="Y37" s="64"/>
      <c r="Z37" s="65"/>
    </row>
    <row r="38" spans="1:34" x14ac:dyDescent="0.2">
      <c r="A38" s="9">
        <v>0</v>
      </c>
      <c r="B38" s="9">
        <v>15</v>
      </c>
      <c r="C38" s="9">
        <v>1</v>
      </c>
      <c r="D38" s="9">
        <v>30</v>
      </c>
      <c r="E38" s="9">
        <v>24.5</v>
      </c>
      <c r="F38" s="9" t="s">
        <v>128</v>
      </c>
      <c r="G38" s="27">
        <f t="shared" si="16"/>
        <v>-0.27116106851041311</v>
      </c>
      <c r="H38" s="27">
        <f t="shared" si="2"/>
        <v>0.43262207664275476</v>
      </c>
      <c r="I38" s="48">
        <f t="shared" si="17"/>
        <v>476</v>
      </c>
      <c r="J38" s="47">
        <f t="shared" si="18"/>
        <v>1</v>
      </c>
      <c r="K38" s="47" t="str">
        <f t="shared" si="4"/>
        <v>FP</v>
      </c>
      <c r="L38" s="79">
        <v>959413</v>
      </c>
      <c r="N38" s="90" t="s">
        <v>136</v>
      </c>
      <c r="O38" s="90"/>
      <c r="P38" s="91"/>
      <c r="Q38" s="91" t="s">
        <v>128</v>
      </c>
      <c r="R38" s="92"/>
      <c r="S38" s="91" t="s">
        <v>146</v>
      </c>
      <c r="T38" s="93"/>
      <c r="U38" s="92"/>
      <c r="V38" s="64"/>
      <c r="W38" s="64"/>
      <c r="X38" s="64"/>
      <c r="Y38" s="64"/>
      <c r="Z38" s="65"/>
    </row>
    <row r="39" spans="1:34" x14ac:dyDescent="0.2">
      <c r="A39" s="9">
        <v>1</v>
      </c>
      <c r="B39" s="9">
        <v>8</v>
      </c>
      <c r="C39" s="9">
        <v>10</v>
      </c>
      <c r="D39" s="9">
        <v>88</v>
      </c>
      <c r="E39" s="9">
        <v>6.1</v>
      </c>
      <c r="F39" s="9" t="s">
        <v>128</v>
      </c>
      <c r="G39" s="27">
        <f t="shared" si="16"/>
        <v>-1.2914687153995072</v>
      </c>
      <c r="H39" s="27">
        <f t="shared" si="2"/>
        <v>0.21560431925139065</v>
      </c>
      <c r="I39" s="48">
        <f t="shared" si="17"/>
        <v>456</v>
      </c>
      <c r="J39" s="47">
        <f t="shared" si="18"/>
        <v>1</v>
      </c>
      <c r="K39" s="47" t="str">
        <f t="shared" si="4"/>
        <v>TP</v>
      </c>
      <c r="L39" s="79">
        <v>2693504</v>
      </c>
      <c r="N39" s="59" t="s">
        <v>102</v>
      </c>
      <c r="O39" s="55" t="s">
        <v>103</v>
      </c>
      <c r="P39" s="55" t="s">
        <v>137</v>
      </c>
      <c r="Q39" s="82" t="s">
        <v>134</v>
      </c>
      <c r="R39" s="82" t="s">
        <v>135</v>
      </c>
      <c r="S39" s="82" t="s">
        <v>131</v>
      </c>
      <c r="T39" s="82" t="s">
        <v>144</v>
      </c>
      <c r="U39" s="82" t="s">
        <v>145</v>
      </c>
      <c r="V39" s="64"/>
      <c r="W39" s="64"/>
      <c r="X39" s="64"/>
      <c r="Y39" s="64"/>
      <c r="Z39" s="65"/>
      <c r="AC39" s="22"/>
      <c r="AD39" s="22"/>
      <c r="AE39" s="22"/>
      <c r="AF39" s="22"/>
      <c r="AG39" s="22"/>
      <c r="AH39" s="22"/>
    </row>
    <row r="40" spans="1:34" x14ac:dyDescent="0.2">
      <c r="A40" s="9">
        <v>1</v>
      </c>
      <c r="B40" s="9">
        <v>0</v>
      </c>
      <c r="C40" s="9">
        <v>4</v>
      </c>
      <c r="D40" s="9">
        <v>32</v>
      </c>
      <c r="E40" s="9">
        <v>18.399999999999999</v>
      </c>
      <c r="F40" s="9" t="s">
        <v>128</v>
      </c>
      <c r="G40" s="27">
        <f t="shared" si="16"/>
        <v>1.0622871001250918</v>
      </c>
      <c r="H40" s="27">
        <f t="shared" si="2"/>
        <v>0.74312737045451538</v>
      </c>
      <c r="I40" s="48">
        <f t="shared" si="17"/>
        <v>491</v>
      </c>
      <c r="J40" s="47">
        <f t="shared" si="18"/>
        <v>1</v>
      </c>
      <c r="K40" s="47" t="str">
        <f t="shared" si="4"/>
        <v>TP</v>
      </c>
      <c r="L40" s="79">
        <v>4906425</v>
      </c>
      <c r="N40" s="48">
        <v>307</v>
      </c>
      <c r="O40" s="48">
        <v>396</v>
      </c>
      <c r="P40" s="48" t="s">
        <v>138</v>
      </c>
      <c r="Q40" s="47">
        <f>COUNTIFS($I$2:$I$501,"&gt;="&amp;N40,$I$2:$I$501,"&lt;="&amp;O40,$F$2:$F$501,"="&amp;$Q$38)</f>
        <v>23</v>
      </c>
      <c r="R40" s="62">
        <f>IFERROR(AVERAGEIFS($A$2:$A$501,$I$2:$I$501,"&gt;="&amp;N40,$I$2:$I$501,"&lt;="&amp;O40,$F$2:$F$501,"="&amp;$Q$38),0%)</f>
        <v>4.3478260869565216E-2</v>
      </c>
      <c r="S40" s="81">
        <f>IFERROR(SUMIFS($L$2:$L$501,$I$2:$I$501,"&gt;="&amp;N40,$I$2:$I$501,"&lt;="&amp;O40,$F$2:$F$501,"="&amp;$Q$38),0)</f>
        <v>93212493</v>
      </c>
      <c r="T40" s="62">
        <v>0.9</v>
      </c>
      <c r="U40" s="81">
        <f>+R40*S40*T40</f>
        <v>3647445.3782608695</v>
      </c>
      <c r="V40" s="64"/>
      <c r="W40" s="64"/>
      <c r="X40" s="64"/>
      <c r="Y40" s="64"/>
      <c r="Z40" s="65"/>
      <c r="AC40" s="24"/>
    </row>
    <row r="41" spans="1:34" x14ac:dyDescent="0.2">
      <c r="A41" s="9">
        <v>0</v>
      </c>
      <c r="B41" s="9">
        <v>8</v>
      </c>
      <c r="C41" s="9">
        <v>3</v>
      </c>
      <c r="D41" s="9">
        <v>41</v>
      </c>
      <c r="E41" s="9">
        <v>12.6</v>
      </c>
      <c r="F41" s="9" t="s">
        <v>128</v>
      </c>
      <c r="G41" s="27">
        <f t="shared" si="16"/>
        <v>-0.7596679662182384</v>
      </c>
      <c r="H41" s="27">
        <f t="shared" si="2"/>
        <v>0.31871835867910292</v>
      </c>
      <c r="I41" s="48">
        <f t="shared" si="17"/>
        <v>467</v>
      </c>
      <c r="J41" s="47">
        <f t="shared" si="18"/>
        <v>1</v>
      </c>
      <c r="K41" s="47" t="str">
        <f t="shared" si="4"/>
        <v>FP</v>
      </c>
      <c r="L41" s="79">
        <v>5120662</v>
      </c>
      <c r="N41" s="48">
        <v>397</v>
      </c>
      <c r="O41" s="48">
        <v>441</v>
      </c>
      <c r="P41" s="48" t="s">
        <v>139</v>
      </c>
      <c r="Q41" s="47">
        <f t="shared" ref="Q41:Q45" si="19">COUNTIFS($I$2:$I$501,"&gt;="&amp;N41,$I$2:$I$501,"&lt;="&amp;O41,$F$2:$F$501,"="&amp;$Q$38)</f>
        <v>147</v>
      </c>
      <c r="R41" s="62">
        <f t="shared" ref="R41:R45" si="20">IFERROR(AVERAGEIFS($A$2:$A$501,$I$2:$I$501,"&gt;="&amp;N41,$I$2:$I$501,"&lt;="&amp;O41,$F$2:$F$501,"="&amp;$Q$38),0%)</f>
        <v>6.8027210884353748E-2</v>
      </c>
      <c r="S41" s="81">
        <f t="shared" ref="S41:S45" si="21">IFERROR(SUMIFS($L$2:$L$501,$I$2:$I$501,"&gt;="&amp;N41,$I$2:$I$501,"&lt;="&amp;O41,$F$2:$F$501,"="&amp;$Q$38),0)</f>
        <v>687719949</v>
      </c>
      <c r="T41" s="62">
        <v>0.9</v>
      </c>
      <c r="U41" s="81">
        <f t="shared" ref="U41:U45" si="22">+R41*S41*T41</f>
        <v>42105303.000000007</v>
      </c>
      <c r="V41" s="64"/>
      <c r="W41" s="64"/>
      <c r="X41" s="64"/>
      <c r="Y41" s="64"/>
      <c r="Z41" s="65"/>
    </row>
    <row r="42" spans="1:34" x14ac:dyDescent="0.2">
      <c r="A42" s="9">
        <v>0</v>
      </c>
      <c r="B42" s="9">
        <v>21</v>
      </c>
      <c r="C42" s="9">
        <v>16</v>
      </c>
      <c r="D42" s="9">
        <v>58</v>
      </c>
      <c r="E42" s="9">
        <v>16.5</v>
      </c>
      <c r="F42" s="9" t="s">
        <v>128</v>
      </c>
      <c r="G42" s="27">
        <f t="shared" si="16"/>
        <v>-2.517034748181088</v>
      </c>
      <c r="H42" s="27">
        <f t="shared" si="2"/>
        <v>7.4672575701331165E-2</v>
      </c>
      <c r="I42" s="48">
        <f t="shared" si="17"/>
        <v>425</v>
      </c>
      <c r="J42" s="47">
        <f t="shared" si="18"/>
        <v>0</v>
      </c>
      <c r="K42" s="47" t="str">
        <f t="shared" si="4"/>
        <v>TN</v>
      </c>
      <c r="L42" s="79">
        <v>2372315</v>
      </c>
      <c r="N42" s="48">
        <v>442</v>
      </c>
      <c r="O42" s="48">
        <v>456</v>
      </c>
      <c r="P42" s="48" t="s">
        <v>140</v>
      </c>
      <c r="Q42" s="47">
        <f t="shared" si="19"/>
        <v>101</v>
      </c>
      <c r="R42" s="62">
        <f t="shared" si="20"/>
        <v>0.16831683168316833</v>
      </c>
      <c r="S42" s="81">
        <f t="shared" si="21"/>
        <v>468634708</v>
      </c>
      <c r="T42" s="62">
        <v>0.9</v>
      </c>
      <c r="U42" s="81">
        <f t="shared" si="22"/>
        <v>70991198.340594068</v>
      </c>
      <c r="V42" s="64"/>
      <c r="W42" s="64"/>
      <c r="X42" s="64"/>
      <c r="Y42" s="64"/>
      <c r="Z42" s="65"/>
    </row>
    <row r="43" spans="1:34" x14ac:dyDescent="0.2">
      <c r="A43" s="9">
        <v>0</v>
      </c>
      <c r="B43" s="9">
        <v>5</v>
      </c>
      <c r="C43" s="9">
        <v>9</v>
      </c>
      <c r="D43" s="9">
        <v>34</v>
      </c>
      <c r="E43" s="9">
        <v>23.8</v>
      </c>
      <c r="F43" s="9" t="s">
        <v>128</v>
      </c>
      <c r="G43" s="27">
        <f t="shared" si="16"/>
        <v>0.85094432141524523</v>
      </c>
      <c r="H43" s="27">
        <f t="shared" si="2"/>
        <v>0.70076519791513114</v>
      </c>
      <c r="I43" s="48">
        <f t="shared" si="17"/>
        <v>490</v>
      </c>
      <c r="J43" s="47">
        <f t="shared" si="18"/>
        <v>1</v>
      </c>
      <c r="K43" s="47" t="str">
        <f t="shared" si="4"/>
        <v>FP</v>
      </c>
      <c r="L43" s="79">
        <v>471478</v>
      </c>
      <c r="N43" s="48">
        <v>457</v>
      </c>
      <c r="O43" s="48">
        <v>471</v>
      </c>
      <c r="P43" s="48" t="s">
        <v>141</v>
      </c>
      <c r="Q43" s="47">
        <f t="shared" si="19"/>
        <v>101</v>
      </c>
      <c r="R43" s="62">
        <f t="shared" si="20"/>
        <v>0.28712871287128711</v>
      </c>
      <c r="S43" s="81">
        <f t="shared" si="21"/>
        <v>539659008</v>
      </c>
      <c r="T43" s="62">
        <v>0.9</v>
      </c>
      <c r="U43" s="81">
        <f t="shared" si="22"/>
        <v>139456436.72079206</v>
      </c>
      <c r="V43" s="64"/>
      <c r="W43" s="66"/>
      <c r="X43" s="66"/>
      <c r="Y43" s="64"/>
      <c r="Z43" s="65"/>
    </row>
    <row r="44" spans="1:34" x14ac:dyDescent="0.2">
      <c r="A44" s="9">
        <v>0</v>
      </c>
      <c r="B44" s="9">
        <v>12</v>
      </c>
      <c r="C44" s="9">
        <v>16</v>
      </c>
      <c r="D44" s="9">
        <v>76</v>
      </c>
      <c r="E44" s="9">
        <v>7.7</v>
      </c>
      <c r="F44" s="9" t="s">
        <v>128</v>
      </c>
      <c r="G44" s="27">
        <f t="shared" si="16"/>
        <v>-2.1022556314440939</v>
      </c>
      <c r="H44" s="27">
        <f t="shared" si="2"/>
        <v>0.10887777899298513</v>
      </c>
      <c r="I44" s="48">
        <f t="shared" si="17"/>
        <v>436</v>
      </c>
      <c r="J44" s="47">
        <f t="shared" si="18"/>
        <v>0</v>
      </c>
      <c r="K44" s="47" t="str">
        <f t="shared" si="4"/>
        <v>TN</v>
      </c>
      <c r="L44" s="79">
        <v>5220244</v>
      </c>
      <c r="N44" s="48">
        <v>472</v>
      </c>
      <c r="O44" s="48">
        <v>486</v>
      </c>
      <c r="P44" s="48" t="s">
        <v>142</v>
      </c>
      <c r="Q44" s="47">
        <f t="shared" si="19"/>
        <v>95</v>
      </c>
      <c r="R44" s="62">
        <f t="shared" si="20"/>
        <v>0.5368421052631579</v>
      </c>
      <c r="S44" s="81">
        <f t="shared" si="21"/>
        <v>459761836</v>
      </c>
      <c r="T44" s="62">
        <v>0.9</v>
      </c>
      <c r="U44" s="81">
        <f t="shared" si="22"/>
        <v>222137560.76210529</v>
      </c>
      <c r="V44" s="46"/>
      <c r="W44" s="66"/>
      <c r="X44" s="66"/>
      <c r="Y44" s="64"/>
      <c r="Z44" s="46"/>
      <c r="AA44" s="46"/>
    </row>
    <row r="45" spans="1:34" x14ac:dyDescent="0.2">
      <c r="A45" s="9">
        <v>0</v>
      </c>
      <c r="B45" s="9">
        <v>11</v>
      </c>
      <c r="C45" s="9">
        <v>8</v>
      </c>
      <c r="D45" s="9">
        <v>56</v>
      </c>
      <c r="E45" s="9">
        <v>16.899999999999999</v>
      </c>
      <c r="F45" s="9" t="s">
        <v>128</v>
      </c>
      <c r="G45" s="27">
        <f t="shared" si="16"/>
        <v>-0.6389362388199733</v>
      </c>
      <c r="H45" s="27">
        <f t="shared" si="2"/>
        <v>0.3454870436312838</v>
      </c>
      <c r="I45" s="48">
        <f t="shared" si="17"/>
        <v>469</v>
      </c>
      <c r="J45" s="47">
        <f t="shared" si="18"/>
        <v>1</v>
      </c>
      <c r="K45" s="47" t="str">
        <f t="shared" si="4"/>
        <v>FP</v>
      </c>
      <c r="L45" s="79">
        <v>8080542</v>
      </c>
      <c r="N45" s="48">
        <v>487</v>
      </c>
      <c r="O45" s="48">
        <v>499</v>
      </c>
      <c r="P45" s="48" t="s">
        <v>143</v>
      </c>
      <c r="Q45" s="47">
        <f t="shared" si="19"/>
        <v>33</v>
      </c>
      <c r="R45" s="62">
        <f t="shared" si="20"/>
        <v>0.63636363636363635</v>
      </c>
      <c r="S45" s="81">
        <f t="shared" si="21"/>
        <v>190900575</v>
      </c>
      <c r="T45" s="62">
        <v>0.9</v>
      </c>
      <c r="U45" s="81">
        <f t="shared" si="22"/>
        <v>109333965.68181819</v>
      </c>
      <c r="V45" s="44"/>
      <c r="W45" s="66"/>
      <c r="X45" s="66"/>
      <c r="Y45" s="64"/>
      <c r="Z45" s="44"/>
      <c r="AC45" s="1"/>
      <c r="AD45" s="1"/>
      <c r="AE45" s="1"/>
      <c r="AF45" s="1"/>
      <c r="AG45" s="1"/>
    </row>
    <row r="46" spans="1:34" x14ac:dyDescent="0.2">
      <c r="A46" s="9">
        <v>0</v>
      </c>
      <c r="B46" s="9">
        <v>13</v>
      </c>
      <c r="C46" s="9">
        <v>3</v>
      </c>
      <c r="D46" s="9">
        <v>39</v>
      </c>
      <c r="E46" s="9">
        <v>19.2</v>
      </c>
      <c r="F46" s="9" t="s">
        <v>128</v>
      </c>
      <c r="G46" s="27">
        <f t="shared" si="16"/>
        <v>-0.6483462745173163</v>
      </c>
      <c r="H46" s="27">
        <f t="shared" si="2"/>
        <v>0.34336229728761103</v>
      </c>
      <c r="I46" s="48">
        <f t="shared" si="17"/>
        <v>469</v>
      </c>
      <c r="J46" s="47">
        <f t="shared" si="18"/>
        <v>1</v>
      </c>
      <c r="K46" s="47" t="str">
        <f t="shared" si="4"/>
        <v>FP</v>
      </c>
      <c r="L46" s="79">
        <v>9825529</v>
      </c>
      <c r="O46" s="77"/>
      <c r="P46" s="43"/>
      <c r="S46" s="83"/>
      <c r="T46" s="62" t="s">
        <v>145</v>
      </c>
      <c r="U46" s="81">
        <f>+SUM(U40:U45)</f>
        <v>587671909.88357043</v>
      </c>
      <c r="V46" s="44"/>
      <c r="W46" s="66"/>
      <c r="X46" s="66"/>
      <c r="Y46" s="64"/>
      <c r="Z46" s="44"/>
      <c r="AA46" s="56"/>
      <c r="AB46" s="44"/>
      <c r="AC46" s="44"/>
      <c r="AD46" s="44"/>
      <c r="AE46" s="44"/>
      <c r="AF46" s="44"/>
      <c r="AG46" s="23"/>
    </row>
    <row r="47" spans="1:34" x14ac:dyDescent="0.2">
      <c r="A47" s="9">
        <v>0</v>
      </c>
      <c r="B47" s="9">
        <v>25</v>
      </c>
      <c r="C47" s="9">
        <v>16</v>
      </c>
      <c r="D47" s="9">
        <v>0</v>
      </c>
      <c r="E47" s="9">
        <v>2.6</v>
      </c>
      <c r="F47" s="9" t="s">
        <v>128</v>
      </c>
      <c r="G47" s="27">
        <f t="shared" si="16"/>
        <v>-5.7994110152677756</v>
      </c>
      <c r="H47" s="27">
        <f t="shared" si="2"/>
        <v>3.0201892786133966E-3</v>
      </c>
      <c r="I47" s="48">
        <f t="shared" si="17"/>
        <v>333</v>
      </c>
      <c r="J47" s="47">
        <f t="shared" si="18"/>
        <v>0</v>
      </c>
      <c r="K47" s="47" t="str">
        <f t="shared" si="4"/>
        <v>TN</v>
      </c>
      <c r="L47" s="79">
        <v>1346294</v>
      </c>
      <c r="O47" s="77"/>
      <c r="P47" s="43"/>
      <c r="S47" s="44"/>
      <c r="T47" s="44"/>
      <c r="U47" s="44"/>
      <c r="V47" s="44"/>
      <c r="W47" s="66"/>
      <c r="X47" s="66"/>
      <c r="Y47" s="64"/>
      <c r="Z47" s="44"/>
      <c r="AA47" s="44"/>
      <c r="AB47" s="44"/>
      <c r="AC47" s="44"/>
      <c r="AD47" s="44"/>
      <c r="AE47" s="44"/>
      <c r="AF47" s="44"/>
    </row>
    <row r="48" spans="1:34" x14ac:dyDescent="0.2">
      <c r="A48" s="9">
        <v>0</v>
      </c>
      <c r="B48" s="9">
        <v>16</v>
      </c>
      <c r="C48" s="9">
        <v>22</v>
      </c>
      <c r="D48" s="13">
        <v>117.54291069294821</v>
      </c>
      <c r="E48" s="9">
        <v>4.4000000000000004</v>
      </c>
      <c r="F48" s="9" t="s">
        <v>128</v>
      </c>
      <c r="G48" s="27">
        <f t="shared" si="16"/>
        <v>-2.8362971097993039</v>
      </c>
      <c r="H48" s="27">
        <f t="shared" si="2"/>
        <v>5.5393974616829926E-2</v>
      </c>
      <c r="I48" s="48">
        <f t="shared" si="17"/>
        <v>417</v>
      </c>
      <c r="J48" s="47">
        <f t="shared" si="18"/>
        <v>0</v>
      </c>
      <c r="K48" s="47" t="str">
        <f t="shared" si="4"/>
        <v>TN</v>
      </c>
      <c r="L48" s="79">
        <v>3767860</v>
      </c>
      <c r="U48" s="44"/>
      <c r="V48" s="44"/>
      <c r="W48" s="66"/>
      <c r="X48" s="66"/>
      <c r="Y48" s="64"/>
      <c r="Z48" s="44"/>
      <c r="AA48" s="44"/>
      <c r="AB48" s="44"/>
      <c r="AC48" s="44"/>
      <c r="AD48" s="44"/>
      <c r="AE48" s="44"/>
      <c r="AF48" s="44"/>
    </row>
    <row r="49" spans="1:33" x14ac:dyDescent="0.2">
      <c r="A49" s="9">
        <v>1</v>
      </c>
      <c r="B49" s="9">
        <v>18</v>
      </c>
      <c r="C49" s="9">
        <v>6</v>
      </c>
      <c r="D49" s="9">
        <v>71</v>
      </c>
      <c r="E49" s="9">
        <v>15.7</v>
      </c>
      <c r="F49" s="9" t="s">
        <v>128</v>
      </c>
      <c r="G49" s="27">
        <f t="shared" si="16"/>
        <v>-1.5624230383951596</v>
      </c>
      <c r="H49" s="27">
        <f t="shared" si="2"/>
        <v>0.17329923168016623</v>
      </c>
      <c r="I49" s="48">
        <f t="shared" si="17"/>
        <v>449</v>
      </c>
      <c r="J49" s="47">
        <f t="shared" si="18"/>
        <v>0</v>
      </c>
      <c r="K49" s="47" t="str">
        <f t="shared" si="4"/>
        <v>FN</v>
      </c>
      <c r="L49" s="79">
        <v>6439738</v>
      </c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22"/>
    </row>
    <row r="50" spans="1:33" x14ac:dyDescent="0.2">
      <c r="A50" s="9">
        <v>0</v>
      </c>
      <c r="B50" s="9">
        <v>6</v>
      </c>
      <c r="C50" s="9">
        <v>24</v>
      </c>
      <c r="D50" s="9">
        <v>54</v>
      </c>
      <c r="E50" s="9">
        <v>9.6</v>
      </c>
      <c r="F50" s="9" t="s">
        <v>128</v>
      </c>
      <c r="G50" s="27">
        <f t="shared" si="16"/>
        <v>-1.590225390311556</v>
      </c>
      <c r="H50" s="27">
        <f t="shared" si="2"/>
        <v>0.16935218845960517</v>
      </c>
      <c r="I50" s="48">
        <f t="shared" si="17"/>
        <v>449</v>
      </c>
      <c r="J50" s="47">
        <f t="shared" si="18"/>
        <v>0</v>
      </c>
      <c r="K50" s="47" t="str">
        <f t="shared" si="4"/>
        <v>TN</v>
      </c>
      <c r="L50" s="79">
        <v>9776438</v>
      </c>
      <c r="U50" s="44"/>
      <c r="V50" s="44"/>
      <c r="W50" s="44"/>
      <c r="X50" s="44"/>
      <c r="Y50" s="44"/>
      <c r="Z50" s="44"/>
      <c r="AC50" s="24"/>
    </row>
    <row r="51" spans="1:33" x14ac:dyDescent="0.2">
      <c r="A51" s="9">
        <v>1</v>
      </c>
      <c r="B51" s="9">
        <v>12</v>
      </c>
      <c r="C51" s="9">
        <v>14</v>
      </c>
      <c r="D51" s="9">
        <v>63</v>
      </c>
      <c r="E51" s="9">
        <v>16</v>
      </c>
      <c r="F51" s="9" t="s">
        <v>128</v>
      </c>
      <c r="G51" s="27">
        <f t="shared" si="16"/>
        <v>-1.0734207656654011</v>
      </c>
      <c r="H51" s="27">
        <f t="shared" si="2"/>
        <v>0.25475309361795262</v>
      </c>
      <c r="I51" s="48">
        <f t="shared" si="17"/>
        <v>461</v>
      </c>
      <c r="J51" s="47">
        <f t="shared" si="18"/>
        <v>1</v>
      </c>
      <c r="K51" s="47" t="str">
        <f t="shared" si="4"/>
        <v>TP</v>
      </c>
      <c r="L51" s="79">
        <v>3233791</v>
      </c>
      <c r="U51" s="44"/>
      <c r="V51" s="44"/>
      <c r="W51" s="44"/>
      <c r="X51" s="44"/>
      <c r="Y51" s="44"/>
      <c r="Z51" s="44"/>
    </row>
    <row r="52" spans="1:33" x14ac:dyDescent="0.2">
      <c r="A52" s="9">
        <v>0</v>
      </c>
      <c r="B52" s="9">
        <v>23</v>
      </c>
      <c r="C52" s="9">
        <v>19</v>
      </c>
      <c r="D52" s="9">
        <v>72</v>
      </c>
      <c r="E52" s="9">
        <v>7.6</v>
      </c>
      <c r="F52" s="9" t="s">
        <v>128</v>
      </c>
      <c r="G52" s="27">
        <f t="shared" si="16"/>
        <v>-3.9576229866570047</v>
      </c>
      <c r="H52" s="27">
        <f t="shared" si="2"/>
        <v>1.8750193736955374E-2</v>
      </c>
      <c r="I52" s="48">
        <f t="shared" si="17"/>
        <v>385</v>
      </c>
      <c r="J52" s="47">
        <f t="shared" si="18"/>
        <v>0</v>
      </c>
      <c r="K52" s="47" t="str">
        <f t="shared" si="4"/>
        <v>TN</v>
      </c>
      <c r="L52" s="79">
        <v>2108065</v>
      </c>
      <c r="U52" s="44"/>
      <c r="V52" s="44"/>
      <c r="W52" s="44"/>
      <c r="X52" s="44"/>
      <c r="Y52" s="44"/>
      <c r="Z52" s="44"/>
    </row>
    <row r="53" spans="1:33" x14ac:dyDescent="0.2">
      <c r="A53" s="9">
        <v>0</v>
      </c>
      <c r="B53" s="9">
        <v>11</v>
      </c>
      <c r="C53" s="9">
        <v>20</v>
      </c>
      <c r="D53" s="9">
        <v>59</v>
      </c>
      <c r="E53" s="9">
        <v>15</v>
      </c>
      <c r="F53" s="9" t="s">
        <v>128</v>
      </c>
      <c r="G53" s="27">
        <f t="shared" si="16"/>
        <v>-1.3719618169128993</v>
      </c>
      <c r="H53" s="27">
        <f t="shared" si="2"/>
        <v>0.20230307030526706</v>
      </c>
      <c r="I53" s="48">
        <f t="shared" si="17"/>
        <v>454</v>
      </c>
      <c r="J53" s="47">
        <f t="shared" si="18"/>
        <v>1</v>
      </c>
      <c r="K53" s="47" t="str">
        <f t="shared" si="4"/>
        <v>FP</v>
      </c>
      <c r="L53" s="79">
        <v>5356913</v>
      </c>
      <c r="U53" s="44"/>
      <c r="V53" s="44"/>
      <c r="W53" s="44"/>
      <c r="X53" s="44"/>
      <c r="Y53" s="44"/>
      <c r="Z53" s="44"/>
    </row>
    <row r="54" spans="1:33" x14ac:dyDescent="0.2">
      <c r="A54" s="9">
        <v>1</v>
      </c>
      <c r="B54" s="9">
        <v>5</v>
      </c>
      <c r="C54" s="9">
        <v>12</v>
      </c>
      <c r="D54" s="9">
        <v>35</v>
      </c>
      <c r="E54" s="9">
        <v>16.399999999999999</v>
      </c>
      <c r="F54" s="9" t="s">
        <v>128</v>
      </c>
      <c r="G54" s="27">
        <f t="shared" si="16"/>
        <v>-0.26501462852599289</v>
      </c>
      <c r="H54" s="27">
        <f t="shared" si="2"/>
        <v>0.43413140343793377</v>
      </c>
      <c r="I54" s="48">
        <f t="shared" si="17"/>
        <v>476</v>
      </c>
      <c r="J54" s="47">
        <f t="shared" si="18"/>
        <v>1</v>
      </c>
      <c r="K54" s="47" t="str">
        <f t="shared" si="4"/>
        <v>TP</v>
      </c>
      <c r="L54" s="79">
        <v>2158161</v>
      </c>
      <c r="U54" s="44"/>
      <c r="V54" s="44"/>
      <c r="W54" s="44"/>
      <c r="X54" s="44"/>
      <c r="Y54" s="44"/>
      <c r="Z54" s="44"/>
    </row>
    <row r="55" spans="1:33" x14ac:dyDescent="0.2">
      <c r="A55" s="9">
        <v>0</v>
      </c>
      <c r="B55" s="9">
        <v>12</v>
      </c>
      <c r="C55" s="9">
        <v>9</v>
      </c>
      <c r="D55" s="9">
        <v>98</v>
      </c>
      <c r="E55" s="9">
        <v>7.2</v>
      </c>
      <c r="F55" s="9" t="s">
        <v>128</v>
      </c>
      <c r="G55" s="27">
        <f t="shared" si="16"/>
        <v>-1.5642148860967986</v>
      </c>
      <c r="H55" s="27">
        <f t="shared" si="2"/>
        <v>0.17304266999728402</v>
      </c>
      <c r="I55" s="48">
        <f t="shared" si="17"/>
        <v>449</v>
      </c>
      <c r="J55" s="47">
        <f t="shared" si="18"/>
        <v>0</v>
      </c>
      <c r="K55" s="47" t="str">
        <f t="shared" si="4"/>
        <v>TN</v>
      </c>
      <c r="L55" s="79">
        <v>664777</v>
      </c>
      <c r="U55" s="44"/>
      <c r="V55" s="44"/>
      <c r="W55" s="44"/>
      <c r="X55" s="44"/>
      <c r="Y55" s="44"/>
      <c r="Z55" s="44"/>
      <c r="AC55" s="1"/>
      <c r="AD55" s="1"/>
      <c r="AE55" s="1"/>
      <c r="AF55" s="1"/>
    </row>
    <row r="56" spans="1:33" x14ac:dyDescent="0.2">
      <c r="A56" s="9">
        <v>0</v>
      </c>
      <c r="B56" s="9">
        <v>6</v>
      </c>
      <c r="C56" s="9">
        <v>13</v>
      </c>
      <c r="D56" s="9">
        <v>62</v>
      </c>
      <c r="E56" s="9">
        <v>8.5</v>
      </c>
      <c r="F56" s="9" t="s">
        <v>128</v>
      </c>
      <c r="G56" s="27">
        <f t="shared" si="16"/>
        <v>-1.1540331960663179</v>
      </c>
      <c r="H56" s="27">
        <f t="shared" si="2"/>
        <v>0.23975317456024192</v>
      </c>
      <c r="I56" s="48">
        <f t="shared" si="17"/>
        <v>459</v>
      </c>
      <c r="J56" s="47">
        <f t="shared" si="18"/>
        <v>1</v>
      </c>
      <c r="K56" s="47" t="str">
        <f t="shared" si="4"/>
        <v>FP</v>
      </c>
      <c r="L56" s="79">
        <v>4607267</v>
      </c>
      <c r="U56" s="44"/>
      <c r="V56" s="44"/>
      <c r="W56" s="44"/>
      <c r="X56" s="44"/>
      <c r="Y56" s="44"/>
      <c r="Z56" s="44"/>
      <c r="AC56" s="23"/>
      <c r="AD56" s="23"/>
      <c r="AE56" s="23"/>
      <c r="AF56" s="23"/>
    </row>
    <row r="57" spans="1:33" x14ac:dyDescent="0.2">
      <c r="A57" s="9">
        <v>1</v>
      </c>
      <c r="B57" s="9">
        <v>6</v>
      </c>
      <c r="C57" s="9">
        <v>6</v>
      </c>
      <c r="D57" s="9">
        <v>32</v>
      </c>
      <c r="E57" s="9">
        <v>23.1</v>
      </c>
      <c r="F57" s="9" t="s">
        <v>128</v>
      </c>
      <c r="G57" s="27">
        <f t="shared" si="16"/>
        <v>0.70744523385590252</v>
      </c>
      <c r="H57" s="27">
        <f t="shared" si="2"/>
        <v>0.66983640433045577</v>
      </c>
      <c r="I57" s="48">
        <f t="shared" si="17"/>
        <v>488</v>
      </c>
      <c r="J57" s="47">
        <f t="shared" si="18"/>
        <v>1</v>
      </c>
      <c r="K57" s="47" t="str">
        <f t="shared" si="4"/>
        <v>TP</v>
      </c>
      <c r="L57" s="79">
        <v>4016024</v>
      </c>
      <c r="U57" s="44"/>
      <c r="V57" s="44"/>
      <c r="W57" s="44"/>
      <c r="X57" s="44"/>
      <c r="Y57" s="44"/>
      <c r="Z57" s="44"/>
    </row>
    <row r="58" spans="1:33" x14ac:dyDescent="0.2">
      <c r="A58" s="9">
        <v>0</v>
      </c>
      <c r="B58" s="9">
        <v>0</v>
      </c>
      <c r="C58" s="9">
        <v>23</v>
      </c>
      <c r="D58" s="9">
        <v>30</v>
      </c>
      <c r="E58" s="9">
        <v>22.3</v>
      </c>
      <c r="F58" s="9" t="s">
        <v>128</v>
      </c>
      <c r="G58" s="27">
        <f t="shared" si="16"/>
        <v>0.74238141346410247</v>
      </c>
      <c r="H58" s="27">
        <f t="shared" si="2"/>
        <v>0.67751638614584686</v>
      </c>
      <c r="I58" s="48">
        <f t="shared" si="17"/>
        <v>489</v>
      </c>
      <c r="J58" s="47">
        <f t="shared" si="18"/>
        <v>1</v>
      </c>
      <c r="K58" s="47" t="str">
        <f t="shared" si="4"/>
        <v>FP</v>
      </c>
      <c r="L58" s="79">
        <v>4893558</v>
      </c>
      <c r="U58" s="44"/>
      <c r="V58" s="44"/>
      <c r="W58" s="44"/>
      <c r="X58" s="44"/>
      <c r="Y58" s="44"/>
      <c r="Z58" s="44"/>
    </row>
    <row r="59" spans="1:33" x14ac:dyDescent="0.2">
      <c r="A59" s="9">
        <v>0</v>
      </c>
      <c r="B59" s="9">
        <v>2</v>
      </c>
      <c r="C59" s="9">
        <v>14</v>
      </c>
      <c r="D59" s="9">
        <v>39</v>
      </c>
      <c r="E59" s="9">
        <v>13.2</v>
      </c>
      <c r="F59" s="9" t="s">
        <v>128</v>
      </c>
      <c r="G59" s="27">
        <f t="shared" si="16"/>
        <v>-0.27667867064583862</v>
      </c>
      <c r="H59" s="27">
        <f t="shared" si="2"/>
        <v>0.4312682315801869</v>
      </c>
      <c r="I59" s="48">
        <f t="shared" si="17"/>
        <v>476</v>
      </c>
      <c r="J59" s="47">
        <f t="shared" si="18"/>
        <v>1</v>
      </c>
      <c r="K59" s="47" t="str">
        <f t="shared" si="4"/>
        <v>FP</v>
      </c>
      <c r="L59" s="79">
        <v>1684791</v>
      </c>
      <c r="AC59" s="22"/>
      <c r="AD59" s="22"/>
      <c r="AE59" s="22"/>
      <c r="AF59" s="22"/>
    </row>
    <row r="60" spans="1:33" x14ac:dyDescent="0.2">
      <c r="A60" s="9">
        <v>0</v>
      </c>
      <c r="B60" s="9">
        <v>10</v>
      </c>
      <c r="C60" s="9">
        <v>6</v>
      </c>
      <c r="D60" s="9">
        <v>31</v>
      </c>
      <c r="E60" s="9">
        <v>17.3</v>
      </c>
      <c r="F60" s="9" t="s">
        <v>128</v>
      </c>
      <c r="G60" s="27">
        <f t="shared" si="16"/>
        <v>-0.69306053737660434</v>
      </c>
      <c r="H60" s="27">
        <f t="shared" si="2"/>
        <v>0.33335258765210629</v>
      </c>
      <c r="I60" s="48">
        <f t="shared" si="17"/>
        <v>468</v>
      </c>
      <c r="J60" s="47">
        <f t="shared" si="18"/>
        <v>1</v>
      </c>
      <c r="K60" s="47" t="str">
        <f t="shared" si="4"/>
        <v>FP</v>
      </c>
      <c r="L60" s="79">
        <v>1753588</v>
      </c>
      <c r="AC60" s="24"/>
    </row>
    <row r="61" spans="1:33" x14ac:dyDescent="0.2">
      <c r="A61" s="9">
        <v>0</v>
      </c>
      <c r="B61" s="9">
        <v>5</v>
      </c>
      <c r="C61" s="9">
        <v>5</v>
      </c>
      <c r="D61" s="9">
        <v>32</v>
      </c>
      <c r="E61" s="9">
        <v>13</v>
      </c>
      <c r="F61" s="9" t="s">
        <v>128</v>
      </c>
      <c r="G61" s="27">
        <f t="shared" si="16"/>
        <v>-0.46412990244196006</v>
      </c>
      <c r="H61" s="27">
        <f t="shared" si="2"/>
        <v>0.38600655466025346</v>
      </c>
      <c r="I61" s="48">
        <f t="shared" si="17"/>
        <v>473</v>
      </c>
      <c r="J61" s="47">
        <f t="shared" si="18"/>
        <v>1</v>
      </c>
      <c r="K61" s="47" t="str">
        <f t="shared" si="4"/>
        <v>FP</v>
      </c>
      <c r="L61" s="79">
        <v>1855801</v>
      </c>
    </row>
    <row r="62" spans="1:33" x14ac:dyDescent="0.2">
      <c r="A62" s="9">
        <v>0</v>
      </c>
      <c r="B62" s="9">
        <v>7</v>
      </c>
      <c r="C62" s="9">
        <v>16</v>
      </c>
      <c r="D62" s="9">
        <v>43</v>
      </c>
      <c r="E62" s="9">
        <v>15.4</v>
      </c>
      <c r="F62" s="9" t="s">
        <v>128</v>
      </c>
      <c r="G62" s="27">
        <f t="shared" si="16"/>
        <v>-0.76360541899317425</v>
      </c>
      <c r="H62" s="27">
        <f t="shared" si="2"/>
        <v>0.31786400306023604</v>
      </c>
      <c r="I62" s="48">
        <f t="shared" si="17"/>
        <v>467</v>
      </c>
      <c r="J62" s="47">
        <f t="shared" si="18"/>
        <v>1</v>
      </c>
      <c r="K62" s="47" t="str">
        <f t="shared" si="4"/>
        <v>FP</v>
      </c>
      <c r="L62" s="79">
        <v>8257542</v>
      </c>
    </row>
    <row r="63" spans="1:33" x14ac:dyDescent="0.2">
      <c r="A63" s="9">
        <v>0</v>
      </c>
      <c r="B63" s="9">
        <v>0</v>
      </c>
      <c r="C63" s="9">
        <v>9</v>
      </c>
      <c r="D63" s="9">
        <v>64</v>
      </c>
      <c r="E63" s="9">
        <v>6.6</v>
      </c>
      <c r="F63" s="9" t="s">
        <v>128</v>
      </c>
      <c r="G63" s="27">
        <f t="shared" si="16"/>
        <v>-0.30679978041863487</v>
      </c>
      <c r="H63" s="27">
        <f t="shared" si="2"/>
        <v>0.42389606774538496</v>
      </c>
      <c r="I63" s="48">
        <f t="shared" si="17"/>
        <v>475</v>
      </c>
      <c r="J63" s="47">
        <f t="shared" si="18"/>
        <v>1</v>
      </c>
      <c r="K63" s="47" t="str">
        <f t="shared" si="4"/>
        <v>FP</v>
      </c>
      <c r="L63" s="79">
        <v>2449495</v>
      </c>
    </row>
    <row r="64" spans="1:33" x14ac:dyDescent="0.2">
      <c r="A64" s="9">
        <v>0</v>
      </c>
      <c r="B64" s="9">
        <v>9</v>
      </c>
      <c r="C64" s="9">
        <v>26</v>
      </c>
      <c r="D64" s="9">
        <v>69</v>
      </c>
      <c r="E64" s="9">
        <v>6.7</v>
      </c>
      <c r="F64" s="9" t="s">
        <v>128</v>
      </c>
      <c r="G64" s="27">
        <f t="shared" si="16"/>
        <v>-2.3134259075374679</v>
      </c>
      <c r="H64" s="27">
        <f t="shared" si="2"/>
        <v>9.0017120339706533E-2</v>
      </c>
      <c r="I64" s="48">
        <f t="shared" si="17"/>
        <v>431</v>
      </c>
      <c r="J64" s="47">
        <f t="shared" si="18"/>
        <v>0</v>
      </c>
      <c r="K64" s="47" t="str">
        <f t="shared" si="4"/>
        <v>TN</v>
      </c>
      <c r="L64" s="79">
        <v>2540514</v>
      </c>
      <c r="AC64" s="41"/>
      <c r="AD64" s="41"/>
      <c r="AE64" s="41"/>
      <c r="AF64" s="41"/>
    </row>
    <row r="65" spans="1:32" x14ac:dyDescent="0.2">
      <c r="A65" s="9">
        <v>0</v>
      </c>
      <c r="B65" s="9">
        <v>16</v>
      </c>
      <c r="C65" s="9">
        <v>3</v>
      </c>
      <c r="D65" s="9">
        <v>75</v>
      </c>
      <c r="E65" s="9">
        <v>10.4</v>
      </c>
      <c r="F65" s="9" t="s">
        <v>128</v>
      </c>
      <c r="G65" s="27">
        <f t="shared" si="16"/>
        <v>-1.7929701846384321</v>
      </c>
      <c r="H65" s="27">
        <f t="shared" si="2"/>
        <v>0.14270895608438511</v>
      </c>
      <c r="I65" s="48">
        <f t="shared" si="17"/>
        <v>444</v>
      </c>
      <c r="J65" s="47">
        <f t="shared" si="18"/>
        <v>0</v>
      </c>
      <c r="K65" s="47" t="str">
        <f t="shared" si="4"/>
        <v>TN</v>
      </c>
      <c r="L65" s="79">
        <v>5256249</v>
      </c>
      <c r="AC65" s="41"/>
      <c r="AD65" s="41"/>
      <c r="AE65" s="41"/>
      <c r="AF65" s="41"/>
    </row>
    <row r="66" spans="1:32" x14ac:dyDescent="0.2">
      <c r="A66" s="9">
        <v>1</v>
      </c>
      <c r="B66" s="9">
        <v>1</v>
      </c>
      <c r="C66" s="9">
        <v>7</v>
      </c>
      <c r="D66" s="9">
        <v>29</v>
      </c>
      <c r="E66" s="9">
        <v>21.2</v>
      </c>
      <c r="F66" s="9" t="s">
        <v>128</v>
      </c>
      <c r="G66" s="27">
        <f t="shared" ref="G66:G129" si="23">SUMPRODUCT($S$3:$V$3,B66:E66)+$R$3</f>
        <v>1.1193349031567252</v>
      </c>
      <c r="H66" s="27">
        <f t="shared" si="2"/>
        <v>0.75386532697451358</v>
      </c>
      <c r="I66" s="48">
        <f t="shared" ref="I66:I97" si="24">ROUND($O$4+(($O$5/LN(2))*LN(H66)),0)</f>
        <v>492</v>
      </c>
      <c r="J66" s="47">
        <f t="shared" ref="J66:J129" si="25">IF(H66&gt;=$O$3,1,0)</f>
        <v>1</v>
      </c>
      <c r="K66" s="47" t="str">
        <f t="shared" si="4"/>
        <v>TP</v>
      </c>
      <c r="L66" s="79">
        <v>2017276</v>
      </c>
    </row>
    <row r="67" spans="1:32" x14ac:dyDescent="0.2">
      <c r="A67" s="9">
        <v>1</v>
      </c>
      <c r="B67" s="9">
        <v>13</v>
      </c>
      <c r="C67" s="9">
        <v>6</v>
      </c>
      <c r="D67" s="9">
        <v>41</v>
      </c>
      <c r="E67" s="9">
        <v>16.399999999999999</v>
      </c>
      <c r="F67" s="9" t="s">
        <v>128</v>
      </c>
      <c r="G67" s="27">
        <f t="shared" si="23"/>
        <v>-1.1286509747150435</v>
      </c>
      <c r="H67" s="27">
        <f t="shared" ref="H67:H130" si="26">EXP(G67)/(1+EXP(G67))</f>
        <v>0.24441014465838734</v>
      </c>
      <c r="I67" s="48">
        <f t="shared" ref="I67:I130" si="27">ROUND($O$4+(($O$5/LN(2))*LN(H67)),0)</f>
        <v>459</v>
      </c>
      <c r="J67" s="47">
        <f t="shared" si="25"/>
        <v>1</v>
      </c>
      <c r="K67" s="47" t="str">
        <f t="shared" ref="K67:K130" si="28">+IF(AND(A67=1,J67=1),"TP",IF(AND(A67=0,J67=0),"TN",IF(AND(A67=0,J67=1),"FP",IF(AND(A67=1,J67=0),"FN","OC"))))</f>
        <v>TP</v>
      </c>
      <c r="L67" s="79">
        <v>7938341</v>
      </c>
      <c r="AC67" s="25"/>
      <c r="AD67" s="2"/>
      <c r="AE67" s="2"/>
    </row>
    <row r="68" spans="1:32" x14ac:dyDescent="0.2">
      <c r="A68" s="9">
        <v>1</v>
      </c>
      <c r="B68" s="9">
        <v>2</v>
      </c>
      <c r="C68" s="9">
        <v>16</v>
      </c>
      <c r="D68" s="9">
        <v>22</v>
      </c>
      <c r="E68" s="9">
        <v>22.7</v>
      </c>
      <c r="F68" s="9" t="s">
        <v>128</v>
      </c>
      <c r="G68" s="27">
        <f t="shared" si="23"/>
        <v>0.68662877456861215</v>
      </c>
      <c r="H68" s="27">
        <f t="shared" si="26"/>
        <v>0.66521656174101662</v>
      </c>
      <c r="I68" s="48">
        <f t="shared" si="27"/>
        <v>488</v>
      </c>
      <c r="J68" s="47">
        <f t="shared" si="25"/>
        <v>1</v>
      </c>
      <c r="K68" s="47" t="str">
        <f t="shared" si="28"/>
        <v>TP</v>
      </c>
      <c r="L68" s="79">
        <v>5232173</v>
      </c>
      <c r="AC68" s="25"/>
      <c r="AD68" s="1"/>
      <c r="AE68" s="1"/>
    </row>
    <row r="69" spans="1:32" x14ac:dyDescent="0.2">
      <c r="A69" s="9">
        <v>0</v>
      </c>
      <c r="B69" s="9">
        <v>16</v>
      </c>
      <c r="C69" s="9">
        <v>25</v>
      </c>
      <c r="D69" s="9">
        <v>64</v>
      </c>
      <c r="E69" s="9">
        <v>8.6</v>
      </c>
      <c r="F69" s="9" t="s">
        <v>128</v>
      </c>
      <c r="G69" s="27">
        <f t="shared" si="23"/>
        <v>-3.1370691054707809</v>
      </c>
      <c r="H69" s="27">
        <f t="shared" si="26"/>
        <v>4.1603825825370144E-2</v>
      </c>
      <c r="I69" s="48">
        <f t="shared" si="27"/>
        <v>408</v>
      </c>
      <c r="J69" s="47">
        <f t="shared" si="25"/>
        <v>0</v>
      </c>
      <c r="K69" s="47" t="str">
        <f t="shared" si="28"/>
        <v>TN</v>
      </c>
      <c r="L69" s="79">
        <v>6668289</v>
      </c>
      <c r="AC69" s="1"/>
      <c r="AD69" s="1"/>
      <c r="AE69" s="1"/>
    </row>
    <row r="70" spans="1:32" x14ac:dyDescent="0.2">
      <c r="A70" s="9">
        <v>0</v>
      </c>
      <c r="B70" s="9">
        <v>14</v>
      </c>
      <c r="C70" s="9">
        <v>8</v>
      </c>
      <c r="D70" s="9">
        <v>28</v>
      </c>
      <c r="E70" s="9">
        <v>17</v>
      </c>
      <c r="F70" s="9" t="s">
        <v>128</v>
      </c>
      <c r="G70" s="27">
        <f t="shared" si="23"/>
        <v>-1.4639251919582246</v>
      </c>
      <c r="H70" s="27">
        <f t="shared" si="26"/>
        <v>0.18786771133162361</v>
      </c>
      <c r="I70" s="48">
        <f t="shared" si="27"/>
        <v>452</v>
      </c>
      <c r="J70" s="47">
        <f t="shared" si="25"/>
        <v>0</v>
      </c>
      <c r="K70" s="47" t="str">
        <f t="shared" si="28"/>
        <v>TN</v>
      </c>
      <c r="L70" s="79">
        <v>6531727</v>
      </c>
      <c r="AC70" s="1"/>
      <c r="AD70" s="1"/>
      <c r="AE70" s="1"/>
    </row>
    <row r="71" spans="1:32" x14ac:dyDescent="0.2">
      <c r="A71" s="9">
        <v>1</v>
      </c>
      <c r="B71" s="9">
        <v>4</v>
      </c>
      <c r="C71" s="9">
        <v>2</v>
      </c>
      <c r="D71" s="9">
        <v>28</v>
      </c>
      <c r="E71" s="9">
        <v>14.2</v>
      </c>
      <c r="F71" s="9" t="s">
        <v>128</v>
      </c>
      <c r="G71" s="27">
        <f t="shared" si="23"/>
        <v>-7.7072813887383074E-2</v>
      </c>
      <c r="H71" s="27">
        <f t="shared" si="26"/>
        <v>0.48074132897749705</v>
      </c>
      <c r="I71" s="48">
        <f t="shared" si="27"/>
        <v>479</v>
      </c>
      <c r="J71" s="47">
        <f t="shared" si="25"/>
        <v>1</v>
      </c>
      <c r="K71" s="47" t="str">
        <f t="shared" si="28"/>
        <v>TP</v>
      </c>
      <c r="L71" s="79">
        <v>1861242</v>
      </c>
      <c r="AC71" s="1"/>
    </row>
    <row r="72" spans="1:32" x14ac:dyDescent="0.2">
      <c r="A72" s="9">
        <v>0</v>
      </c>
      <c r="B72" s="9">
        <v>3</v>
      </c>
      <c r="C72" s="9">
        <v>8</v>
      </c>
      <c r="D72" s="9">
        <v>21</v>
      </c>
      <c r="E72" s="9">
        <v>23.1</v>
      </c>
      <c r="F72" s="9" t="s">
        <v>128</v>
      </c>
      <c r="G72" s="27">
        <f t="shared" si="23"/>
        <v>0.92129979345341662</v>
      </c>
      <c r="H72" s="27">
        <f t="shared" si="26"/>
        <v>0.71530687353368982</v>
      </c>
      <c r="I72" s="48">
        <f t="shared" si="27"/>
        <v>490</v>
      </c>
      <c r="J72" s="47">
        <f t="shared" si="25"/>
        <v>1</v>
      </c>
      <c r="K72" s="47" t="str">
        <f t="shared" si="28"/>
        <v>FP</v>
      </c>
      <c r="L72" s="79">
        <v>9340354</v>
      </c>
      <c r="AC72" s="26"/>
    </row>
    <row r="73" spans="1:32" x14ac:dyDescent="0.2">
      <c r="A73" s="9">
        <v>0</v>
      </c>
      <c r="B73" s="9">
        <v>3</v>
      </c>
      <c r="C73" s="9">
        <v>23</v>
      </c>
      <c r="D73" s="9">
        <v>45</v>
      </c>
      <c r="E73" s="9">
        <v>9.8000000000000007</v>
      </c>
      <c r="F73" s="9" t="s">
        <v>128</v>
      </c>
      <c r="G73" s="27">
        <f t="shared" si="23"/>
        <v>-1.1923269612551588</v>
      </c>
      <c r="H73" s="27">
        <f t="shared" si="26"/>
        <v>0.23284301894734427</v>
      </c>
      <c r="I73" s="48">
        <f t="shared" si="27"/>
        <v>458</v>
      </c>
      <c r="J73" s="47">
        <f t="shared" si="25"/>
        <v>1</v>
      </c>
      <c r="K73" s="47" t="str">
        <f t="shared" si="28"/>
        <v>FP</v>
      </c>
      <c r="L73" s="79">
        <v>5473463</v>
      </c>
      <c r="AC73" s="26"/>
    </row>
    <row r="74" spans="1:32" x14ac:dyDescent="0.2">
      <c r="A74" s="9">
        <v>1</v>
      </c>
      <c r="B74" s="9">
        <v>9</v>
      </c>
      <c r="C74" s="9">
        <v>6</v>
      </c>
      <c r="D74" s="9">
        <v>49</v>
      </c>
      <c r="E74" s="9">
        <v>8.6</v>
      </c>
      <c r="F74" s="9" t="s">
        <v>128</v>
      </c>
      <c r="G74" s="27">
        <f t="shared" si="23"/>
        <v>-1.4700228172232106</v>
      </c>
      <c r="H74" s="27">
        <f t="shared" si="26"/>
        <v>0.18693914588731064</v>
      </c>
      <c r="I74" s="48">
        <f t="shared" si="27"/>
        <v>452</v>
      </c>
      <c r="J74" s="47">
        <f t="shared" si="25"/>
        <v>0</v>
      </c>
      <c r="K74" s="47" t="str">
        <f t="shared" si="28"/>
        <v>FN</v>
      </c>
      <c r="L74" s="79">
        <v>9173884</v>
      </c>
      <c r="AC74" s="26"/>
    </row>
    <row r="75" spans="1:32" x14ac:dyDescent="0.2">
      <c r="A75" s="9">
        <v>0</v>
      </c>
      <c r="B75" s="9">
        <v>19</v>
      </c>
      <c r="C75" s="9">
        <v>25</v>
      </c>
      <c r="D75" s="9">
        <v>0</v>
      </c>
      <c r="E75" s="9">
        <v>2.8</v>
      </c>
      <c r="F75" s="9" t="s">
        <v>128</v>
      </c>
      <c r="G75" s="27">
        <f t="shared" si="23"/>
        <v>-5.2566210777017037</v>
      </c>
      <c r="H75" s="27">
        <f t="shared" si="26"/>
        <v>5.1858556512228557E-3</v>
      </c>
      <c r="I75" s="48">
        <f t="shared" si="27"/>
        <v>348</v>
      </c>
      <c r="J75" s="47">
        <f t="shared" si="25"/>
        <v>0</v>
      </c>
      <c r="K75" s="47" t="str">
        <f t="shared" si="28"/>
        <v>TN</v>
      </c>
      <c r="L75" s="79">
        <v>5612156</v>
      </c>
    </row>
    <row r="76" spans="1:32" x14ac:dyDescent="0.2">
      <c r="A76" s="9">
        <v>0</v>
      </c>
      <c r="B76" s="9">
        <v>6</v>
      </c>
      <c r="C76" s="9">
        <v>0</v>
      </c>
      <c r="D76" s="9">
        <v>41</v>
      </c>
      <c r="E76" s="9">
        <v>8.9</v>
      </c>
      <c r="F76" s="9" t="s">
        <v>128</v>
      </c>
      <c r="G76" s="27">
        <f t="shared" si="23"/>
        <v>-0.82913894028042323</v>
      </c>
      <c r="H76" s="27">
        <f t="shared" si="26"/>
        <v>0.30382716750256578</v>
      </c>
      <c r="I76" s="48">
        <f t="shared" si="27"/>
        <v>466</v>
      </c>
      <c r="J76" s="47">
        <f t="shared" si="25"/>
        <v>1</v>
      </c>
      <c r="K76" s="47" t="str">
        <f t="shared" si="28"/>
        <v>FP</v>
      </c>
      <c r="L76" s="79">
        <v>6958042</v>
      </c>
    </row>
    <row r="77" spans="1:32" x14ac:dyDescent="0.2">
      <c r="A77" s="9">
        <v>1</v>
      </c>
      <c r="B77" s="9">
        <v>2</v>
      </c>
      <c r="C77" s="9">
        <v>12</v>
      </c>
      <c r="D77" s="9">
        <v>46</v>
      </c>
      <c r="E77" s="9">
        <v>16</v>
      </c>
      <c r="F77" s="9" t="s">
        <v>128</v>
      </c>
      <c r="G77" s="27">
        <f t="shared" si="23"/>
        <v>0.28473698062180874</v>
      </c>
      <c r="H77" s="27">
        <f t="shared" si="26"/>
        <v>0.57070717321522835</v>
      </c>
      <c r="I77" s="48">
        <f t="shared" si="27"/>
        <v>484</v>
      </c>
      <c r="J77" s="47">
        <f t="shared" si="25"/>
        <v>1</v>
      </c>
      <c r="K77" s="47" t="str">
        <f t="shared" si="28"/>
        <v>TP</v>
      </c>
      <c r="L77" s="79">
        <v>2836658</v>
      </c>
      <c r="AC77" s="25"/>
      <c r="AD77" s="2"/>
      <c r="AE77" s="2"/>
    </row>
    <row r="78" spans="1:32" x14ac:dyDescent="0.2">
      <c r="A78" s="9">
        <v>0</v>
      </c>
      <c r="B78" s="9">
        <v>4</v>
      </c>
      <c r="C78" s="9">
        <v>4</v>
      </c>
      <c r="D78" s="9">
        <v>21</v>
      </c>
      <c r="E78" s="9">
        <v>18.3</v>
      </c>
      <c r="F78" s="9" t="s">
        <v>128</v>
      </c>
      <c r="G78" s="27">
        <f t="shared" si="23"/>
        <v>0.29428567889348978</v>
      </c>
      <c r="H78" s="27">
        <f t="shared" si="26"/>
        <v>0.57304501284223919</v>
      </c>
      <c r="I78" s="48">
        <f t="shared" si="27"/>
        <v>484</v>
      </c>
      <c r="J78" s="47">
        <f t="shared" si="25"/>
        <v>1</v>
      </c>
      <c r="K78" s="47" t="str">
        <f t="shared" si="28"/>
        <v>FP</v>
      </c>
      <c r="L78" s="79">
        <v>7106342</v>
      </c>
      <c r="AC78" s="25"/>
      <c r="AD78" s="1"/>
      <c r="AE78" s="1"/>
    </row>
    <row r="79" spans="1:32" x14ac:dyDescent="0.2">
      <c r="A79" s="9">
        <v>0</v>
      </c>
      <c r="B79" s="9">
        <v>8</v>
      </c>
      <c r="C79" s="9">
        <v>4</v>
      </c>
      <c r="D79" s="9">
        <v>56</v>
      </c>
      <c r="E79" s="9">
        <v>6.4</v>
      </c>
      <c r="F79" s="9" t="s">
        <v>128</v>
      </c>
      <c r="G79" s="27">
        <f t="shared" si="23"/>
        <v>-1.433872975939424</v>
      </c>
      <c r="H79" s="27">
        <f t="shared" si="26"/>
        <v>0.19249594690348709</v>
      </c>
      <c r="I79" s="48">
        <f t="shared" si="27"/>
        <v>452</v>
      </c>
      <c r="J79" s="47">
        <f t="shared" si="25"/>
        <v>0</v>
      </c>
      <c r="K79" s="47" t="str">
        <f t="shared" si="28"/>
        <v>TN</v>
      </c>
      <c r="L79" s="79">
        <v>3613934</v>
      </c>
      <c r="AC79" s="1"/>
      <c r="AD79" s="1"/>
      <c r="AE79" s="1"/>
    </row>
    <row r="80" spans="1:32" x14ac:dyDescent="0.2">
      <c r="A80" s="9">
        <v>1</v>
      </c>
      <c r="B80" s="9">
        <v>2</v>
      </c>
      <c r="C80" s="9">
        <v>15</v>
      </c>
      <c r="D80" s="9">
        <v>22</v>
      </c>
      <c r="E80" s="9">
        <v>23.1</v>
      </c>
      <c r="F80" s="9" t="s">
        <v>128</v>
      </c>
      <c r="G80" s="27">
        <f t="shared" si="23"/>
        <v>0.78383507032227184</v>
      </c>
      <c r="H80" s="27">
        <f t="shared" si="26"/>
        <v>0.68650607022500076</v>
      </c>
      <c r="I80" s="48">
        <f t="shared" si="27"/>
        <v>489</v>
      </c>
      <c r="J80" s="47">
        <f t="shared" si="25"/>
        <v>1</v>
      </c>
      <c r="K80" s="47" t="str">
        <f t="shared" si="28"/>
        <v>TP</v>
      </c>
      <c r="L80" s="79">
        <v>6494425</v>
      </c>
      <c r="AC80" s="1"/>
      <c r="AD80" s="1"/>
      <c r="AE80" s="1"/>
    </row>
    <row r="81" spans="1:29" x14ac:dyDescent="0.2">
      <c r="A81" s="9">
        <v>0</v>
      </c>
      <c r="B81" s="9">
        <v>18</v>
      </c>
      <c r="C81" s="9">
        <v>10</v>
      </c>
      <c r="D81" s="9">
        <v>34</v>
      </c>
      <c r="E81" s="9">
        <v>15.4</v>
      </c>
      <c r="F81" s="9" t="s">
        <v>128</v>
      </c>
      <c r="G81" s="27">
        <f t="shared" si="23"/>
        <v>-2.2862865192644519</v>
      </c>
      <c r="H81" s="27">
        <f t="shared" si="26"/>
        <v>9.2265091724711451E-2</v>
      </c>
      <c r="I81" s="48">
        <f t="shared" si="27"/>
        <v>431</v>
      </c>
      <c r="J81" s="47">
        <f t="shared" si="25"/>
        <v>0</v>
      </c>
      <c r="K81" s="47" t="str">
        <f t="shared" si="28"/>
        <v>TN</v>
      </c>
      <c r="L81" s="79">
        <v>5649296</v>
      </c>
      <c r="AC81" s="1"/>
    </row>
    <row r="82" spans="1:29" x14ac:dyDescent="0.2">
      <c r="A82" s="9">
        <v>0</v>
      </c>
      <c r="B82" s="9">
        <v>16</v>
      </c>
      <c r="C82" s="9">
        <v>10</v>
      </c>
      <c r="D82" s="9">
        <v>83</v>
      </c>
      <c r="E82" s="9">
        <v>4.0999999999999996</v>
      </c>
      <c r="F82" s="9" t="s">
        <v>128</v>
      </c>
      <c r="G82" s="27">
        <f t="shared" si="23"/>
        <v>-2.8361219968435498</v>
      </c>
      <c r="H82" s="27">
        <f t="shared" si="26"/>
        <v>5.5403138200097041E-2</v>
      </c>
      <c r="I82" s="48">
        <f t="shared" si="27"/>
        <v>417</v>
      </c>
      <c r="J82" s="47">
        <f t="shared" si="25"/>
        <v>0</v>
      </c>
      <c r="K82" s="47" t="str">
        <f t="shared" si="28"/>
        <v>TN</v>
      </c>
      <c r="L82" s="79">
        <v>3169155</v>
      </c>
      <c r="AC82" s="26"/>
    </row>
    <row r="83" spans="1:29" x14ac:dyDescent="0.2">
      <c r="A83" s="9">
        <v>1</v>
      </c>
      <c r="B83" s="9">
        <v>2</v>
      </c>
      <c r="C83" s="9">
        <v>0</v>
      </c>
      <c r="D83" s="9">
        <v>28</v>
      </c>
      <c r="E83" s="9">
        <v>17.3</v>
      </c>
      <c r="F83" s="9" t="s">
        <v>128</v>
      </c>
      <c r="G83" s="27">
        <f t="shared" si="23"/>
        <v>0.72957945791261958</v>
      </c>
      <c r="H83" s="27">
        <f t="shared" si="26"/>
        <v>0.67471298073267649</v>
      </c>
      <c r="I83" s="48">
        <f t="shared" si="27"/>
        <v>489</v>
      </c>
      <c r="J83" s="47">
        <f t="shared" si="25"/>
        <v>1</v>
      </c>
      <c r="K83" s="47" t="str">
        <f t="shared" si="28"/>
        <v>TP</v>
      </c>
      <c r="L83" s="79">
        <v>8910045</v>
      </c>
      <c r="AC83" s="26"/>
    </row>
    <row r="84" spans="1:29" x14ac:dyDescent="0.2">
      <c r="A84" s="9">
        <v>0</v>
      </c>
      <c r="B84" s="9">
        <v>3</v>
      </c>
      <c r="C84" s="9">
        <v>4</v>
      </c>
      <c r="D84" s="9">
        <v>35</v>
      </c>
      <c r="E84" s="9">
        <v>13.3</v>
      </c>
      <c r="F84" s="9" t="s">
        <v>128</v>
      </c>
      <c r="G84" s="27">
        <f t="shared" si="23"/>
        <v>-3.7712645800739963E-2</v>
      </c>
      <c r="H84" s="27">
        <f t="shared" si="26"/>
        <v>0.49057295581947774</v>
      </c>
      <c r="I84" s="48">
        <f t="shared" si="27"/>
        <v>479</v>
      </c>
      <c r="J84" s="47">
        <f t="shared" si="25"/>
        <v>1</v>
      </c>
      <c r="K84" s="47" t="str">
        <f t="shared" si="28"/>
        <v>FP</v>
      </c>
      <c r="L84" s="79">
        <v>5520208</v>
      </c>
      <c r="AC84" s="26"/>
    </row>
    <row r="85" spans="1:29" x14ac:dyDescent="0.2">
      <c r="A85" s="9">
        <v>0</v>
      </c>
      <c r="B85" s="9">
        <v>13</v>
      </c>
      <c r="C85" s="9">
        <v>11</v>
      </c>
      <c r="D85" s="9">
        <v>51</v>
      </c>
      <c r="E85" s="9">
        <v>9.6</v>
      </c>
      <c r="F85" s="9" t="s">
        <v>128</v>
      </c>
      <c r="G85" s="27">
        <f t="shared" si="23"/>
        <v>-2.1255206107822637</v>
      </c>
      <c r="H85" s="27">
        <f t="shared" si="26"/>
        <v>0.10664098588253777</v>
      </c>
      <c r="I85" s="48">
        <f t="shared" si="27"/>
        <v>435</v>
      </c>
      <c r="J85" s="47">
        <f t="shared" si="25"/>
        <v>0</v>
      </c>
      <c r="K85" s="47" t="str">
        <f t="shared" si="28"/>
        <v>TN</v>
      </c>
      <c r="L85" s="79">
        <v>6361123</v>
      </c>
    </row>
    <row r="86" spans="1:29" x14ac:dyDescent="0.2">
      <c r="A86" s="9">
        <v>0</v>
      </c>
      <c r="B86" s="9">
        <v>22</v>
      </c>
      <c r="C86" s="9">
        <v>19</v>
      </c>
      <c r="D86" s="9">
        <v>81</v>
      </c>
      <c r="E86" s="9">
        <v>5.5</v>
      </c>
      <c r="F86" s="9" t="s">
        <v>128</v>
      </c>
      <c r="G86" s="27">
        <f t="shared" si="23"/>
        <v>-3.9666099034228948</v>
      </c>
      <c r="H86" s="27">
        <f t="shared" si="26"/>
        <v>1.8585559975868349E-2</v>
      </c>
      <c r="I86" s="48">
        <f t="shared" si="27"/>
        <v>385</v>
      </c>
      <c r="J86" s="47">
        <f t="shared" si="25"/>
        <v>0</v>
      </c>
      <c r="K86" s="47" t="str">
        <f t="shared" si="28"/>
        <v>TN</v>
      </c>
      <c r="L86" s="79">
        <v>7051086</v>
      </c>
    </row>
    <row r="87" spans="1:29" x14ac:dyDescent="0.2">
      <c r="A87" s="9">
        <v>1</v>
      </c>
      <c r="B87" s="9">
        <v>7</v>
      </c>
      <c r="C87" s="9">
        <v>5</v>
      </c>
      <c r="D87" s="9">
        <v>20</v>
      </c>
      <c r="E87" s="9">
        <v>19.8</v>
      </c>
      <c r="F87" s="9" t="s">
        <v>128</v>
      </c>
      <c r="G87" s="27">
        <f t="shared" si="23"/>
        <v>-1.184703439302881E-2</v>
      </c>
      <c r="H87" s="27">
        <f t="shared" si="26"/>
        <v>0.49703827604204043</v>
      </c>
      <c r="I87" s="48">
        <f t="shared" si="27"/>
        <v>480</v>
      </c>
      <c r="J87" s="47">
        <f t="shared" si="25"/>
        <v>1</v>
      </c>
      <c r="K87" s="47" t="str">
        <f t="shared" si="28"/>
        <v>TP</v>
      </c>
      <c r="L87" s="79">
        <v>8130653</v>
      </c>
    </row>
    <row r="88" spans="1:29" x14ac:dyDescent="0.2">
      <c r="A88" s="9">
        <v>0</v>
      </c>
      <c r="B88" s="9">
        <v>17</v>
      </c>
      <c r="C88" s="9">
        <v>3</v>
      </c>
      <c r="D88" s="9">
        <v>59</v>
      </c>
      <c r="E88" s="9">
        <v>8</v>
      </c>
      <c r="F88" s="9" t="s">
        <v>128</v>
      </c>
      <c r="G88" s="27">
        <f t="shared" si="23"/>
        <v>-2.488947974027262</v>
      </c>
      <c r="H88" s="27">
        <f t="shared" si="26"/>
        <v>7.6636609178795792E-2</v>
      </c>
      <c r="I88" s="48">
        <f t="shared" si="27"/>
        <v>426</v>
      </c>
      <c r="J88" s="47">
        <f t="shared" si="25"/>
        <v>0</v>
      </c>
      <c r="K88" s="47" t="str">
        <f t="shared" si="28"/>
        <v>TN</v>
      </c>
      <c r="L88" s="79">
        <v>1420661</v>
      </c>
    </row>
    <row r="89" spans="1:29" x14ac:dyDescent="0.2">
      <c r="A89" s="9">
        <v>0</v>
      </c>
      <c r="B89" s="9">
        <v>6</v>
      </c>
      <c r="C89" s="9">
        <v>9</v>
      </c>
      <c r="D89" s="9">
        <v>61</v>
      </c>
      <c r="E89" s="9">
        <v>5.7</v>
      </c>
      <c r="F89" s="9" t="s">
        <v>128</v>
      </c>
      <c r="G89" s="27">
        <f t="shared" si="23"/>
        <v>-1.3738253310836397</v>
      </c>
      <c r="H89" s="27">
        <f t="shared" si="26"/>
        <v>0.20200250966652003</v>
      </c>
      <c r="I89" s="48">
        <f t="shared" si="27"/>
        <v>454</v>
      </c>
      <c r="J89" s="47">
        <f t="shared" si="25"/>
        <v>1</v>
      </c>
      <c r="K89" s="47" t="str">
        <f t="shared" si="28"/>
        <v>FP</v>
      </c>
      <c r="L89" s="79">
        <v>3694908</v>
      </c>
    </row>
    <row r="90" spans="1:29" x14ac:dyDescent="0.2">
      <c r="A90" s="9">
        <v>0</v>
      </c>
      <c r="B90" s="9">
        <v>18</v>
      </c>
      <c r="C90" s="9">
        <v>2</v>
      </c>
      <c r="D90" s="9">
        <v>42</v>
      </c>
      <c r="E90" s="9">
        <v>7.4</v>
      </c>
      <c r="F90" s="9" t="s">
        <v>128</v>
      </c>
      <c r="G90" s="27">
        <f t="shared" si="23"/>
        <v>-2.912265766059404</v>
      </c>
      <c r="H90" s="27">
        <f t="shared" si="26"/>
        <v>5.1550542546759462E-2</v>
      </c>
      <c r="I90" s="48">
        <f t="shared" si="27"/>
        <v>414</v>
      </c>
      <c r="J90" s="47">
        <f t="shared" si="25"/>
        <v>0</v>
      </c>
      <c r="K90" s="47" t="str">
        <f t="shared" si="28"/>
        <v>TN</v>
      </c>
      <c r="L90" s="79">
        <v>7729506</v>
      </c>
    </row>
    <row r="91" spans="1:29" x14ac:dyDescent="0.2">
      <c r="A91" s="9">
        <v>0</v>
      </c>
      <c r="B91" s="9">
        <v>7</v>
      </c>
      <c r="C91" s="9">
        <v>1</v>
      </c>
      <c r="D91" s="9">
        <v>63</v>
      </c>
      <c r="E91" s="9">
        <v>5.5</v>
      </c>
      <c r="F91" s="9" t="s">
        <v>128</v>
      </c>
      <c r="G91" s="27">
        <f t="shared" si="23"/>
        <v>-1.1788506461999977</v>
      </c>
      <c r="H91" s="27">
        <f t="shared" si="26"/>
        <v>0.2352589160355302</v>
      </c>
      <c r="I91" s="48">
        <f t="shared" si="27"/>
        <v>458</v>
      </c>
      <c r="J91" s="47">
        <f t="shared" si="25"/>
        <v>1</v>
      </c>
      <c r="K91" s="47" t="str">
        <f t="shared" si="28"/>
        <v>FP</v>
      </c>
      <c r="L91" s="79">
        <v>3832019</v>
      </c>
    </row>
    <row r="92" spans="1:29" x14ac:dyDescent="0.2">
      <c r="A92" s="9">
        <v>1</v>
      </c>
      <c r="B92" s="9">
        <v>0</v>
      </c>
      <c r="C92" s="9">
        <v>2</v>
      </c>
      <c r="D92" s="9">
        <v>18</v>
      </c>
      <c r="E92" s="9">
        <v>18.899999999999999</v>
      </c>
      <c r="F92" s="9" t="s">
        <v>128</v>
      </c>
      <c r="G92" s="27">
        <f t="shared" si="23"/>
        <v>1.022876808775453</v>
      </c>
      <c r="H92" s="27">
        <f t="shared" si="26"/>
        <v>0.73553258801950139</v>
      </c>
      <c r="I92" s="48">
        <f t="shared" si="27"/>
        <v>491</v>
      </c>
      <c r="J92" s="47">
        <f t="shared" si="25"/>
        <v>1</v>
      </c>
      <c r="K92" s="47" t="str">
        <f t="shared" si="28"/>
        <v>TP</v>
      </c>
      <c r="L92" s="79">
        <v>8967438</v>
      </c>
    </row>
    <row r="93" spans="1:29" x14ac:dyDescent="0.2">
      <c r="A93" s="9">
        <v>0</v>
      </c>
      <c r="B93" s="9">
        <v>8</v>
      </c>
      <c r="C93" s="9">
        <v>4</v>
      </c>
      <c r="D93" s="9">
        <v>27</v>
      </c>
      <c r="E93" s="9">
        <v>14.4</v>
      </c>
      <c r="F93" s="9" t="s">
        <v>128</v>
      </c>
      <c r="G93" s="27">
        <f t="shared" si="23"/>
        <v>-0.75273549843446363</v>
      </c>
      <c r="H93" s="27">
        <f t="shared" si="26"/>
        <v>0.32022554178894852</v>
      </c>
      <c r="I93" s="48">
        <f t="shared" si="27"/>
        <v>467</v>
      </c>
      <c r="J93" s="47">
        <f t="shared" si="25"/>
        <v>1</v>
      </c>
      <c r="K93" s="47" t="str">
        <f t="shared" si="28"/>
        <v>FP</v>
      </c>
      <c r="L93" s="79">
        <v>5587166</v>
      </c>
    </row>
    <row r="94" spans="1:29" x14ac:dyDescent="0.2">
      <c r="A94" s="9">
        <v>0</v>
      </c>
      <c r="B94" s="9">
        <v>1</v>
      </c>
      <c r="C94" s="9">
        <v>3</v>
      </c>
      <c r="D94" s="9">
        <v>26</v>
      </c>
      <c r="E94" s="9">
        <v>12.4</v>
      </c>
      <c r="F94" s="9" t="s">
        <v>128</v>
      </c>
      <c r="G94" s="27">
        <f t="shared" si="23"/>
        <v>6.0825176037202944E-2</v>
      </c>
      <c r="H94" s="27">
        <f t="shared" si="26"/>
        <v>0.51520160751340982</v>
      </c>
      <c r="I94" s="48">
        <f t="shared" si="27"/>
        <v>481</v>
      </c>
      <c r="J94" s="47">
        <f t="shared" si="25"/>
        <v>1</v>
      </c>
      <c r="K94" s="47" t="str">
        <f t="shared" si="28"/>
        <v>FP</v>
      </c>
      <c r="L94" s="79">
        <v>9394680</v>
      </c>
    </row>
    <row r="95" spans="1:29" x14ac:dyDescent="0.2">
      <c r="A95" s="9">
        <v>1</v>
      </c>
      <c r="B95" s="9">
        <v>1</v>
      </c>
      <c r="C95" s="9">
        <v>8</v>
      </c>
      <c r="D95" s="9">
        <v>24</v>
      </c>
      <c r="E95" s="9">
        <v>17.100000000000001</v>
      </c>
      <c r="F95" s="9" t="s">
        <v>128</v>
      </c>
      <c r="G95" s="27">
        <f t="shared" si="23"/>
        <v>0.45292126885021355</v>
      </c>
      <c r="H95" s="27">
        <f t="shared" si="26"/>
        <v>0.61133356688566487</v>
      </c>
      <c r="I95" s="48">
        <f t="shared" si="27"/>
        <v>486</v>
      </c>
      <c r="J95" s="47">
        <f t="shared" si="25"/>
        <v>1</v>
      </c>
      <c r="K95" s="47" t="str">
        <f t="shared" si="28"/>
        <v>TP</v>
      </c>
      <c r="L95" s="79">
        <v>3410028</v>
      </c>
    </row>
    <row r="96" spans="1:29" x14ac:dyDescent="0.2">
      <c r="A96" s="9">
        <v>0</v>
      </c>
      <c r="B96" s="9">
        <v>3</v>
      </c>
      <c r="C96" s="9">
        <v>5</v>
      </c>
      <c r="D96" s="9">
        <v>33</v>
      </c>
      <c r="E96" s="9">
        <v>13.2</v>
      </c>
      <c r="F96" s="9" t="s">
        <v>128</v>
      </c>
      <c r="G96" s="27">
        <f t="shared" si="23"/>
        <v>-0.12197318474273433</v>
      </c>
      <c r="H96" s="27">
        <f t="shared" si="26"/>
        <v>0.4695444528815515</v>
      </c>
      <c r="I96" s="48">
        <f t="shared" si="27"/>
        <v>478</v>
      </c>
      <c r="J96" s="47">
        <f t="shared" si="25"/>
        <v>1</v>
      </c>
      <c r="K96" s="47" t="str">
        <f t="shared" si="28"/>
        <v>FP</v>
      </c>
      <c r="L96" s="79">
        <v>2001655</v>
      </c>
    </row>
    <row r="97" spans="1:12" x14ac:dyDescent="0.2">
      <c r="A97" s="9">
        <v>0</v>
      </c>
      <c r="B97" s="9">
        <v>4</v>
      </c>
      <c r="C97" s="9">
        <v>1</v>
      </c>
      <c r="D97" s="9">
        <v>16</v>
      </c>
      <c r="E97" s="9">
        <v>23.8</v>
      </c>
      <c r="F97" s="9" t="s">
        <v>128</v>
      </c>
      <c r="G97" s="27">
        <f t="shared" si="23"/>
        <v>1.0981744960636677</v>
      </c>
      <c r="H97" s="27">
        <f t="shared" si="26"/>
        <v>0.74991790490282173</v>
      </c>
      <c r="I97" s="48">
        <f t="shared" si="27"/>
        <v>492</v>
      </c>
      <c r="J97" s="47">
        <f t="shared" si="25"/>
        <v>1</v>
      </c>
      <c r="K97" s="47" t="str">
        <f t="shared" si="28"/>
        <v>FP</v>
      </c>
      <c r="L97" s="79">
        <v>6851118</v>
      </c>
    </row>
    <row r="98" spans="1:12" x14ac:dyDescent="0.2">
      <c r="A98" s="9">
        <v>0</v>
      </c>
      <c r="B98" s="9">
        <v>13</v>
      </c>
      <c r="C98" s="9">
        <v>2</v>
      </c>
      <c r="D98" s="9">
        <v>40</v>
      </c>
      <c r="E98" s="9">
        <v>7.2</v>
      </c>
      <c r="F98" s="9" t="s">
        <v>128</v>
      </c>
      <c r="G98" s="27">
        <f t="shared" si="23"/>
        <v>-2.2136249245020077</v>
      </c>
      <c r="H98" s="27">
        <f t="shared" si="26"/>
        <v>9.8533621270852273E-2</v>
      </c>
      <c r="I98" s="48">
        <f t="shared" si="27"/>
        <v>433</v>
      </c>
      <c r="J98" s="47">
        <f t="shared" si="25"/>
        <v>0</v>
      </c>
      <c r="K98" s="47" t="str">
        <f t="shared" si="28"/>
        <v>TN</v>
      </c>
      <c r="L98" s="79">
        <v>7079508</v>
      </c>
    </row>
    <row r="99" spans="1:12" x14ac:dyDescent="0.2">
      <c r="A99" s="9">
        <v>0</v>
      </c>
      <c r="B99" s="9">
        <v>6</v>
      </c>
      <c r="C99" s="9">
        <v>7</v>
      </c>
      <c r="D99" s="9">
        <v>21</v>
      </c>
      <c r="E99" s="9">
        <v>18.100000000000001</v>
      </c>
      <c r="F99" s="9" t="s">
        <v>128</v>
      </c>
      <c r="G99" s="27">
        <f t="shared" si="23"/>
        <v>-0.16346351541957516</v>
      </c>
      <c r="H99" s="27">
        <f t="shared" si="26"/>
        <v>0.45922487444008253</v>
      </c>
      <c r="I99" s="48">
        <f t="shared" si="27"/>
        <v>478</v>
      </c>
      <c r="J99" s="47">
        <f t="shared" si="25"/>
        <v>1</v>
      </c>
      <c r="K99" s="47" t="str">
        <f t="shared" si="28"/>
        <v>FP</v>
      </c>
      <c r="L99" s="79">
        <v>1267741</v>
      </c>
    </row>
    <row r="100" spans="1:12" x14ac:dyDescent="0.2">
      <c r="A100" s="9">
        <v>0</v>
      </c>
      <c r="B100" s="9">
        <v>14</v>
      </c>
      <c r="C100" s="9">
        <v>7</v>
      </c>
      <c r="D100" s="9">
        <v>73</v>
      </c>
      <c r="E100" s="9">
        <v>8.8000000000000007</v>
      </c>
      <c r="F100" s="9" t="s">
        <v>128</v>
      </c>
      <c r="G100" s="27">
        <f t="shared" si="23"/>
        <v>-1.9080900427988874</v>
      </c>
      <c r="H100" s="27">
        <f t="shared" si="26"/>
        <v>0.12919557798662759</v>
      </c>
      <c r="I100" s="48">
        <f t="shared" si="27"/>
        <v>441</v>
      </c>
      <c r="J100" s="47">
        <f t="shared" si="25"/>
        <v>0</v>
      </c>
      <c r="K100" s="47" t="str">
        <f t="shared" si="28"/>
        <v>TN</v>
      </c>
      <c r="L100" s="79">
        <v>6880544</v>
      </c>
    </row>
    <row r="101" spans="1:12" x14ac:dyDescent="0.2">
      <c r="A101" s="9">
        <v>1</v>
      </c>
      <c r="B101" s="9">
        <v>9</v>
      </c>
      <c r="C101" s="9">
        <v>4</v>
      </c>
      <c r="D101" s="9">
        <v>29</v>
      </c>
      <c r="E101" s="9">
        <v>13.8</v>
      </c>
      <c r="F101" s="9" t="s">
        <v>128</v>
      </c>
      <c r="G101" s="27">
        <f t="shared" si="23"/>
        <v>-0.95689413561837799</v>
      </c>
      <c r="H101" s="27">
        <f t="shared" si="26"/>
        <v>0.27750047139748663</v>
      </c>
      <c r="I101" s="48">
        <f t="shared" si="27"/>
        <v>463</v>
      </c>
      <c r="J101" s="47">
        <f t="shared" si="25"/>
        <v>1</v>
      </c>
      <c r="K101" s="47" t="str">
        <f t="shared" si="28"/>
        <v>TP</v>
      </c>
      <c r="L101" s="79">
        <v>6525555</v>
      </c>
    </row>
    <row r="102" spans="1:12" x14ac:dyDescent="0.2">
      <c r="A102" s="9">
        <v>1</v>
      </c>
      <c r="B102" s="9">
        <v>3</v>
      </c>
      <c r="C102" s="9">
        <v>11</v>
      </c>
      <c r="D102" s="9">
        <v>40</v>
      </c>
      <c r="E102" s="9">
        <v>8</v>
      </c>
      <c r="F102" s="9" t="s">
        <v>128</v>
      </c>
      <c r="G102" s="27">
        <f t="shared" si="23"/>
        <v>-0.98709426058159333</v>
      </c>
      <c r="H102" s="27">
        <f t="shared" si="26"/>
        <v>0.27148639749569314</v>
      </c>
      <c r="I102" s="48">
        <f t="shared" si="27"/>
        <v>462</v>
      </c>
      <c r="J102" s="47">
        <f t="shared" si="25"/>
        <v>1</v>
      </c>
      <c r="K102" s="47" t="str">
        <f t="shared" si="28"/>
        <v>TP</v>
      </c>
      <c r="L102" s="79">
        <v>2574260</v>
      </c>
    </row>
    <row r="103" spans="1:12" x14ac:dyDescent="0.2">
      <c r="A103" s="9">
        <v>1</v>
      </c>
      <c r="B103" s="9">
        <v>1</v>
      </c>
      <c r="C103" s="9">
        <v>2</v>
      </c>
      <c r="D103" s="9">
        <v>16</v>
      </c>
      <c r="E103" s="9">
        <v>18</v>
      </c>
      <c r="F103" s="9" t="s">
        <v>128</v>
      </c>
      <c r="G103" s="27">
        <f t="shared" si="23"/>
        <v>0.72294349251288859</v>
      </c>
      <c r="H103" s="27">
        <f t="shared" si="26"/>
        <v>0.67325486456883687</v>
      </c>
      <c r="I103" s="48">
        <f t="shared" si="27"/>
        <v>489</v>
      </c>
      <c r="J103" s="47">
        <f t="shared" si="25"/>
        <v>1</v>
      </c>
      <c r="K103" s="47" t="str">
        <f t="shared" si="28"/>
        <v>TP</v>
      </c>
      <c r="L103" s="79">
        <v>4872540</v>
      </c>
    </row>
    <row r="104" spans="1:12" x14ac:dyDescent="0.2">
      <c r="A104" s="9">
        <v>1</v>
      </c>
      <c r="B104" s="9">
        <v>9</v>
      </c>
      <c r="C104" s="9">
        <v>2</v>
      </c>
      <c r="D104" s="9">
        <v>28</v>
      </c>
      <c r="E104" s="9">
        <v>14.8</v>
      </c>
      <c r="F104" s="9" t="s">
        <v>128</v>
      </c>
      <c r="G104" s="27">
        <f t="shared" si="23"/>
        <v>-0.74924943277733869</v>
      </c>
      <c r="H104" s="27">
        <f t="shared" si="26"/>
        <v>0.3209848676546207</v>
      </c>
      <c r="I104" s="48">
        <f t="shared" si="27"/>
        <v>467</v>
      </c>
      <c r="J104" s="47">
        <f t="shared" si="25"/>
        <v>1</v>
      </c>
      <c r="K104" s="47" t="str">
        <f t="shared" si="28"/>
        <v>TP</v>
      </c>
      <c r="L104" s="79">
        <v>6171742</v>
      </c>
    </row>
    <row r="105" spans="1:12" x14ac:dyDescent="0.2">
      <c r="A105" s="9">
        <v>1</v>
      </c>
      <c r="B105" s="9">
        <v>2</v>
      </c>
      <c r="C105" s="9">
        <v>11</v>
      </c>
      <c r="D105" s="9">
        <v>25</v>
      </c>
      <c r="E105" s="9">
        <v>12.6</v>
      </c>
      <c r="F105" s="9" t="s">
        <v>128</v>
      </c>
      <c r="G105" s="27">
        <f t="shared" si="23"/>
        <v>-0.42165965407845296</v>
      </c>
      <c r="H105" s="27">
        <f t="shared" si="26"/>
        <v>0.39611967777793605</v>
      </c>
      <c r="I105" s="48">
        <f t="shared" si="27"/>
        <v>473</v>
      </c>
      <c r="J105" s="47">
        <f t="shared" si="25"/>
        <v>1</v>
      </c>
      <c r="K105" s="47" t="str">
        <f t="shared" si="28"/>
        <v>TP</v>
      </c>
      <c r="L105" s="79">
        <v>4049153</v>
      </c>
    </row>
    <row r="106" spans="1:12" x14ac:dyDescent="0.2">
      <c r="A106" s="9">
        <v>0</v>
      </c>
      <c r="B106" s="9">
        <v>0</v>
      </c>
      <c r="C106" s="9">
        <v>17</v>
      </c>
      <c r="D106" s="9">
        <v>30</v>
      </c>
      <c r="E106" s="9">
        <v>9.6999999999999993</v>
      </c>
      <c r="F106" s="9" t="s">
        <v>128</v>
      </c>
      <c r="G106" s="27">
        <f t="shared" si="23"/>
        <v>-0.70215069038028965</v>
      </c>
      <c r="H106" s="27">
        <f t="shared" si="26"/>
        <v>0.33133556469029612</v>
      </c>
      <c r="I106" s="48">
        <f t="shared" si="27"/>
        <v>468</v>
      </c>
      <c r="J106" s="47">
        <f t="shared" si="25"/>
        <v>1</v>
      </c>
      <c r="K106" s="47" t="str">
        <f t="shared" si="28"/>
        <v>FP</v>
      </c>
      <c r="L106" s="79">
        <v>1364766</v>
      </c>
    </row>
    <row r="107" spans="1:12" x14ac:dyDescent="0.2">
      <c r="A107" s="9">
        <v>0</v>
      </c>
      <c r="B107" s="9">
        <v>4</v>
      </c>
      <c r="C107" s="9">
        <v>2</v>
      </c>
      <c r="D107" s="9">
        <v>26</v>
      </c>
      <c r="E107" s="9">
        <v>10.4</v>
      </c>
      <c r="F107" s="9" t="s">
        <v>128</v>
      </c>
      <c r="G107" s="27">
        <f t="shared" si="23"/>
        <v>-0.61838415716251927</v>
      </c>
      <c r="H107" s="27">
        <f t="shared" si="26"/>
        <v>0.3501490387968208</v>
      </c>
      <c r="I107" s="48">
        <f t="shared" si="27"/>
        <v>470</v>
      </c>
      <c r="J107" s="47">
        <f t="shared" si="25"/>
        <v>1</v>
      </c>
      <c r="K107" s="47" t="str">
        <f t="shared" si="28"/>
        <v>FP</v>
      </c>
      <c r="L107" s="79">
        <v>8240693</v>
      </c>
    </row>
    <row r="108" spans="1:12" x14ac:dyDescent="0.2">
      <c r="A108" s="9">
        <v>0</v>
      </c>
      <c r="B108" s="9">
        <v>6</v>
      </c>
      <c r="C108" s="9">
        <v>9</v>
      </c>
      <c r="D108" s="9">
        <v>31</v>
      </c>
      <c r="E108" s="9">
        <v>11.6</v>
      </c>
      <c r="F108" s="9" t="s">
        <v>128</v>
      </c>
      <c r="G108" s="27">
        <f t="shared" si="23"/>
        <v>-0.99038045692779897</v>
      </c>
      <c r="H108" s="27">
        <f t="shared" si="26"/>
        <v>0.27083693683387722</v>
      </c>
      <c r="I108" s="48">
        <f t="shared" si="27"/>
        <v>462</v>
      </c>
      <c r="J108" s="47">
        <f t="shared" si="25"/>
        <v>1</v>
      </c>
      <c r="K108" s="47" t="str">
        <f t="shared" si="28"/>
        <v>FP</v>
      </c>
      <c r="L108" s="79">
        <v>3477309</v>
      </c>
    </row>
    <row r="109" spans="1:12" x14ac:dyDescent="0.2">
      <c r="A109" s="9">
        <v>0</v>
      </c>
      <c r="B109" s="9">
        <v>13</v>
      </c>
      <c r="C109" s="9">
        <v>8</v>
      </c>
      <c r="D109" s="9">
        <v>56</v>
      </c>
      <c r="E109" s="9">
        <v>6.1</v>
      </c>
      <c r="F109" s="9" t="s">
        <v>128</v>
      </c>
      <c r="G109" s="27">
        <f t="shared" si="23"/>
        <v>-2.4002455168535879</v>
      </c>
      <c r="H109" s="27">
        <f t="shared" si="26"/>
        <v>8.3153976522345685E-2</v>
      </c>
      <c r="I109" s="48">
        <f t="shared" si="27"/>
        <v>428</v>
      </c>
      <c r="J109" s="47">
        <f t="shared" si="25"/>
        <v>0</v>
      </c>
      <c r="K109" s="47" t="str">
        <f t="shared" si="28"/>
        <v>TN</v>
      </c>
      <c r="L109" s="79">
        <v>9218606</v>
      </c>
    </row>
    <row r="110" spans="1:12" x14ac:dyDescent="0.2">
      <c r="A110" s="9">
        <v>1</v>
      </c>
      <c r="B110" s="9">
        <v>0</v>
      </c>
      <c r="C110" s="9">
        <v>8</v>
      </c>
      <c r="D110" s="9">
        <v>19</v>
      </c>
      <c r="E110" s="9">
        <v>16.600000000000001</v>
      </c>
      <c r="F110" s="9" t="s">
        <v>128</v>
      </c>
      <c r="G110" s="27">
        <f t="shared" si="23"/>
        <v>0.46696232048710318</v>
      </c>
      <c r="H110" s="27">
        <f t="shared" si="26"/>
        <v>0.6146645268534402</v>
      </c>
      <c r="I110" s="48">
        <f t="shared" si="27"/>
        <v>486</v>
      </c>
      <c r="J110" s="47">
        <f t="shared" si="25"/>
        <v>1</v>
      </c>
      <c r="K110" s="47" t="str">
        <f t="shared" si="28"/>
        <v>TP</v>
      </c>
      <c r="L110" s="79">
        <v>6445197</v>
      </c>
    </row>
    <row r="111" spans="1:12" x14ac:dyDescent="0.2">
      <c r="A111" s="9">
        <v>0</v>
      </c>
      <c r="B111" s="9">
        <v>5</v>
      </c>
      <c r="C111" s="9">
        <v>1</v>
      </c>
      <c r="D111" s="9">
        <v>75</v>
      </c>
      <c r="E111" s="9">
        <v>6.3</v>
      </c>
      <c r="F111" s="9" t="s">
        <v>128</v>
      </c>
      <c r="G111" s="27">
        <f t="shared" si="23"/>
        <v>-0.60373010920997916</v>
      </c>
      <c r="H111" s="27">
        <f t="shared" si="26"/>
        <v>0.35349076796719769</v>
      </c>
      <c r="I111" s="48">
        <f t="shared" si="27"/>
        <v>470</v>
      </c>
      <c r="J111" s="47">
        <f t="shared" si="25"/>
        <v>1</v>
      </c>
      <c r="K111" s="47" t="str">
        <f t="shared" si="28"/>
        <v>FP</v>
      </c>
      <c r="L111" s="79">
        <v>9991707</v>
      </c>
    </row>
    <row r="112" spans="1:12" x14ac:dyDescent="0.2">
      <c r="A112" s="9">
        <v>1</v>
      </c>
      <c r="B112" s="9">
        <v>13</v>
      </c>
      <c r="C112" s="9">
        <v>23</v>
      </c>
      <c r="D112" s="9">
        <v>76</v>
      </c>
      <c r="E112" s="9">
        <v>6.1</v>
      </c>
      <c r="F112" s="9" t="s">
        <v>128</v>
      </c>
      <c r="G112" s="27">
        <f t="shared" si="23"/>
        <v>-2.7711355942553242</v>
      </c>
      <c r="H112" s="27">
        <f t="shared" si="26"/>
        <v>5.8904030998248369E-2</v>
      </c>
      <c r="I112" s="48">
        <f t="shared" si="27"/>
        <v>418</v>
      </c>
      <c r="J112" s="47">
        <f t="shared" si="25"/>
        <v>0</v>
      </c>
      <c r="K112" s="47" t="str">
        <f t="shared" si="28"/>
        <v>FN</v>
      </c>
      <c r="L112" s="79">
        <v>888950</v>
      </c>
    </row>
    <row r="113" spans="1:12" x14ac:dyDescent="0.2">
      <c r="A113" s="9">
        <v>0</v>
      </c>
      <c r="B113" s="9">
        <v>24</v>
      </c>
      <c r="C113" s="9">
        <v>14</v>
      </c>
      <c r="D113" s="9">
        <v>64</v>
      </c>
      <c r="E113" s="9">
        <v>10</v>
      </c>
      <c r="F113" s="9" t="s">
        <v>128</v>
      </c>
      <c r="G113" s="27">
        <f t="shared" si="23"/>
        <v>-3.6786136902931732</v>
      </c>
      <c r="H113" s="27">
        <f t="shared" si="26"/>
        <v>2.4635717817222121E-2</v>
      </c>
      <c r="I113" s="48">
        <f t="shared" si="27"/>
        <v>393</v>
      </c>
      <c r="J113" s="47">
        <f t="shared" si="25"/>
        <v>0</v>
      </c>
      <c r="K113" s="47" t="str">
        <f t="shared" si="28"/>
        <v>TN</v>
      </c>
      <c r="L113" s="79">
        <v>3429697</v>
      </c>
    </row>
    <row r="114" spans="1:12" x14ac:dyDescent="0.2">
      <c r="A114" s="9">
        <v>0</v>
      </c>
      <c r="B114" s="9">
        <v>11</v>
      </c>
      <c r="C114" s="9">
        <v>17</v>
      </c>
      <c r="D114" s="9">
        <v>39</v>
      </c>
      <c r="E114" s="9">
        <v>12.9</v>
      </c>
      <c r="F114" s="9" t="s">
        <v>128</v>
      </c>
      <c r="G114" s="27">
        <f t="shared" si="23"/>
        <v>-1.8025487104491329</v>
      </c>
      <c r="H114" s="27">
        <f t="shared" si="26"/>
        <v>0.14154109517265337</v>
      </c>
      <c r="I114" s="48">
        <f t="shared" si="27"/>
        <v>444</v>
      </c>
      <c r="J114" s="47">
        <f t="shared" si="25"/>
        <v>0</v>
      </c>
      <c r="K114" s="47" t="str">
        <f t="shared" si="28"/>
        <v>TN</v>
      </c>
      <c r="L114" s="79">
        <v>9590697</v>
      </c>
    </row>
    <row r="115" spans="1:12" x14ac:dyDescent="0.2">
      <c r="A115" s="9">
        <v>0</v>
      </c>
      <c r="B115" s="9">
        <v>10</v>
      </c>
      <c r="C115" s="9">
        <v>13</v>
      </c>
      <c r="D115" s="9">
        <v>32</v>
      </c>
      <c r="E115" s="9">
        <v>11.3</v>
      </c>
      <c r="F115" s="9" t="s">
        <v>128</v>
      </c>
      <c r="G115" s="27">
        <f t="shared" si="23"/>
        <v>-1.7922906946592101</v>
      </c>
      <c r="H115" s="27">
        <f t="shared" si="26"/>
        <v>0.1427921071854808</v>
      </c>
      <c r="I115" s="48">
        <f t="shared" si="27"/>
        <v>444</v>
      </c>
      <c r="J115" s="47">
        <f t="shared" si="25"/>
        <v>0</v>
      </c>
      <c r="K115" s="47" t="str">
        <f t="shared" si="28"/>
        <v>TN</v>
      </c>
      <c r="L115" s="79">
        <v>8089427</v>
      </c>
    </row>
    <row r="116" spans="1:12" x14ac:dyDescent="0.2">
      <c r="A116" s="9">
        <v>0</v>
      </c>
      <c r="B116" s="9">
        <v>4</v>
      </c>
      <c r="C116" s="9">
        <v>3</v>
      </c>
      <c r="D116" s="9">
        <v>28</v>
      </c>
      <c r="E116" s="9">
        <v>9.5</v>
      </c>
      <c r="F116" s="9" t="s">
        <v>128</v>
      </c>
      <c r="G116" s="27">
        <f t="shared" si="23"/>
        <v>-0.75557314143939558</v>
      </c>
      <c r="H116" s="27">
        <f t="shared" si="26"/>
        <v>0.31960815577781798</v>
      </c>
      <c r="I116" s="48">
        <f t="shared" si="27"/>
        <v>467</v>
      </c>
      <c r="J116" s="47">
        <f t="shared" si="25"/>
        <v>1</v>
      </c>
      <c r="K116" s="47" t="str">
        <f t="shared" si="28"/>
        <v>FP</v>
      </c>
      <c r="L116" s="79">
        <v>4064916</v>
      </c>
    </row>
    <row r="117" spans="1:12" x14ac:dyDescent="0.2">
      <c r="A117" s="9">
        <v>0</v>
      </c>
      <c r="B117" s="9">
        <v>20</v>
      </c>
      <c r="C117" s="9">
        <v>12</v>
      </c>
      <c r="D117" s="9">
        <v>39</v>
      </c>
      <c r="E117" s="9">
        <v>8.1999999999999993</v>
      </c>
      <c r="F117" s="9" t="s">
        <v>128</v>
      </c>
      <c r="G117" s="27">
        <f t="shared" si="23"/>
        <v>-3.578171789262103</v>
      </c>
      <c r="H117" s="27">
        <f t="shared" si="26"/>
        <v>2.716799487304089E-2</v>
      </c>
      <c r="I117" s="48">
        <f t="shared" si="27"/>
        <v>396</v>
      </c>
      <c r="J117" s="47">
        <f t="shared" si="25"/>
        <v>0</v>
      </c>
      <c r="K117" s="47" t="str">
        <f t="shared" si="28"/>
        <v>TN</v>
      </c>
      <c r="L117" s="79">
        <v>8262950</v>
      </c>
    </row>
    <row r="118" spans="1:12" x14ac:dyDescent="0.2">
      <c r="A118" s="9">
        <v>0</v>
      </c>
      <c r="B118" s="9">
        <v>4</v>
      </c>
      <c r="C118" s="9">
        <v>15</v>
      </c>
      <c r="D118" s="9">
        <v>17</v>
      </c>
      <c r="E118" s="9">
        <v>17.3</v>
      </c>
      <c r="F118" s="9" t="s">
        <v>128</v>
      </c>
      <c r="G118" s="27">
        <f t="shared" si="23"/>
        <v>-0.37057501681171412</v>
      </c>
      <c r="H118" s="27">
        <f t="shared" si="26"/>
        <v>0.40840208454372912</v>
      </c>
      <c r="I118" s="48">
        <f t="shared" si="27"/>
        <v>474</v>
      </c>
      <c r="J118" s="47">
        <f t="shared" si="25"/>
        <v>1</v>
      </c>
      <c r="K118" s="47" t="str">
        <f t="shared" si="28"/>
        <v>FP</v>
      </c>
      <c r="L118" s="79">
        <v>545083</v>
      </c>
    </row>
    <row r="119" spans="1:12" x14ac:dyDescent="0.2">
      <c r="A119" s="9">
        <v>1</v>
      </c>
      <c r="B119" s="9">
        <v>1</v>
      </c>
      <c r="C119" s="9">
        <v>8</v>
      </c>
      <c r="D119" s="9">
        <v>24</v>
      </c>
      <c r="E119" s="9">
        <v>12.5</v>
      </c>
      <c r="F119" s="9" t="s">
        <v>128</v>
      </c>
      <c r="G119" s="27">
        <f t="shared" si="23"/>
        <v>-0.16892816051546689</v>
      </c>
      <c r="H119" s="27">
        <f t="shared" si="26"/>
        <v>0.45786810443842479</v>
      </c>
      <c r="I119" s="48">
        <f t="shared" si="27"/>
        <v>477</v>
      </c>
      <c r="J119" s="47">
        <f t="shared" si="25"/>
        <v>1</v>
      </c>
      <c r="K119" s="47" t="str">
        <f t="shared" si="28"/>
        <v>TP</v>
      </c>
      <c r="L119" s="79">
        <v>3071009</v>
      </c>
    </row>
    <row r="120" spans="1:12" x14ac:dyDescent="0.2">
      <c r="A120" s="9">
        <v>0</v>
      </c>
      <c r="B120" s="9">
        <v>9</v>
      </c>
      <c r="C120" s="9">
        <v>0</v>
      </c>
      <c r="D120" s="9">
        <v>25</v>
      </c>
      <c r="E120" s="9">
        <v>13.9</v>
      </c>
      <c r="F120" s="9" t="s">
        <v>128</v>
      </c>
      <c r="G120" s="27">
        <f t="shared" si="23"/>
        <v>-0.8260652219516984</v>
      </c>
      <c r="H120" s="27">
        <f t="shared" si="26"/>
        <v>0.30447770053040946</v>
      </c>
      <c r="I120" s="48">
        <f t="shared" si="27"/>
        <v>466</v>
      </c>
      <c r="J120" s="47">
        <f t="shared" si="25"/>
        <v>1</v>
      </c>
      <c r="K120" s="47" t="str">
        <f t="shared" si="28"/>
        <v>FP</v>
      </c>
      <c r="L120" s="79">
        <v>6078906</v>
      </c>
    </row>
    <row r="121" spans="1:12" x14ac:dyDescent="0.2">
      <c r="A121" s="9">
        <v>0</v>
      </c>
      <c r="B121" s="9">
        <v>21</v>
      </c>
      <c r="C121" s="9">
        <v>11</v>
      </c>
      <c r="D121" s="13">
        <v>117.54291069294821</v>
      </c>
      <c r="E121" s="9">
        <v>3.1</v>
      </c>
      <c r="F121" s="9" t="s">
        <v>128</v>
      </c>
      <c r="G121" s="27">
        <f t="shared" si="23"/>
        <v>-3.2908678243128731</v>
      </c>
      <c r="H121" s="27">
        <f t="shared" si="26"/>
        <v>3.5885808785842417E-2</v>
      </c>
      <c r="I121" s="48">
        <f t="shared" si="27"/>
        <v>404</v>
      </c>
      <c r="J121" s="47">
        <f t="shared" si="25"/>
        <v>0</v>
      </c>
      <c r="K121" s="47" t="str">
        <f t="shared" si="28"/>
        <v>TN</v>
      </c>
      <c r="L121" s="79">
        <v>5285857</v>
      </c>
    </row>
    <row r="122" spans="1:12" x14ac:dyDescent="0.2">
      <c r="A122" s="9">
        <v>0</v>
      </c>
      <c r="B122" s="9">
        <v>1</v>
      </c>
      <c r="C122" s="9">
        <v>3</v>
      </c>
      <c r="D122" s="9">
        <v>17</v>
      </c>
      <c r="E122" s="9">
        <v>18.600000000000001</v>
      </c>
      <c r="F122" s="9" t="s">
        <v>128</v>
      </c>
      <c r="G122" s="27">
        <f t="shared" si="23"/>
        <v>0.77472667569481679</v>
      </c>
      <c r="H122" s="27">
        <f t="shared" si="26"/>
        <v>0.68454248053707534</v>
      </c>
      <c r="I122" s="48">
        <f t="shared" si="27"/>
        <v>489</v>
      </c>
      <c r="J122" s="47">
        <f t="shared" si="25"/>
        <v>1</v>
      </c>
      <c r="K122" s="47" t="str">
        <f t="shared" si="28"/>
        <v>FP</v>
      </c>
      <c r="L122" s="79">
        <v>8212935</v>
      </c>
    </row>
    <row r="123" spans="1:12" x14ac:dyDescent="0.2">
      <c r="A123" s="9">
        <v>0</v>
      </c>
      <c r="B123" s="9">
        <v>5</v>
      </c>
      <c r="C123" s="9">
        <v>3</v>
      </c>
      <c r="D123" s="9">
        <v>25</v>
      </c>
      <c r="E123" s="9">
        <v>14.1</v>
      </c>
      <c r="F123" s="9" t="s">
        <v>128</v>
      </c>
      <c r="G123" s="27">
        <f t="shared" si="23"/>
        <v>-0.32579565601212979</v>
      </c>
      <c r="H123" s="27">
        <f t="shared" si="26"/>
        <v>0.41926395507273412</v>
      </c>
      <c r="I123" s="48">
        <f t="shared" si="27"/>
        <v>475</v>
      </c>
      <c r="J123" s="47">
        <f t="shared" si="25"/>
        <v>1</v>
      </c>
      <c r="K123" s="47" t="str">
        <f t="shared" si="28"/>
        <v>FP</v>
      </c>
      <c r="L123" s="79">
        <v>1403677</v>
      </c>
    </row>
    <row r="124" spans="1:12" x14ac:dyDescent="0.2">
      <c r="A124" s="9">
        <v>0</v>
      </c>
      <c r="B124" s="9">
        <v>7</v>
      </c>
      <c r="C124" s="9">
        <v>3</v>
      </c>
      <c r="D124" s="9">
        <v>22</v>
      </c>
      <c r="E124" s="9">
        <v>14.4</v>
      </c>
      <c r="F124" s="9" t="s">
        <v>128</v>
      </c>
      <c r="G124" s="27">
        <f t="shared" si="23"/>
        <v>-0.62796968518813889</v>
      </c>
      <c r="H124" s="27">
        <f t="shared" si="26"/>
        <v>0.34797104794313632</v>
      </c>
      <c r="I124" s="48">
        <f t="shared" si="27"/>
        <v>470</v>
      </c>
      <c r="J124" s="47">
        <f t="shared" si="25"/>
        <v>1</v>
      </c>
      <c r="K124" s="47" t="str">
        <f t="shared" si="28"/>
        <v>FP</v>
      </c>
      <c r="L124" s="79">
        <v>8310093</v>
      </c>
    </row>
    <row r="125" spans="1:12" x14ac:dyDescent="0.2">
      <c r="A125" s="9">
        <v>1</v>
      </c>
      <c r="B125" s="9">
        <v>10</v>
      </c>
      <c r="C125" s="9">
        <v>0</v>
      </c>
      <c r="D125" s="9">
        <v>28</v>
      </c>
      <c r="E125" s="9">
        <v>11.2</v>
      </c>
      <c r="F125" s="9" t="s">
        <v>128</v>
      </c>
      <c r="G125" s="27">
        <f t="shared" si="23"/>
        <v>-1.300306821729071</v>
      </c>
      <c r="H125" s="27">
        <f t="shared" si="26"/>
        <v>0.21411338389151358</v>
      </c>
      <c r="I125" s="48">
        <f t="shared" si="27"/>
        <v>456</v>
      </c>
      <c r="J125" s="47">
        <f t="shared" si="25"/>
        <v>1</v>
      </c>
      <c r="K125" s="47" t="str">
        <f t="shared" si="28"/>
        <v>TP</v>
      </c>
      <c r="L125" s="79">
        <v>9363455</v>
      </c>
    </row>
    <row r="126" spans="1:12" x14ac:dyDescent="0.2">
      <c r="A126" s="9">
        <v>0</v>
      </c>
      <c r="B126" s="9">
        <v>1</v>
      </c>
      <c r="C126" s="9">
        <v>8</v>
      </c>
      <c r="D126" s="9">
        <v>31</v>
      </c>
      <c r="E126" s="9">
        <v>8</v>
      </c>
      <c r="F126" s="9" t="s">
        <v>128</v>
      </c>
      <c r="G126" s="27">
        <f t="shared" si="23"/>
        <v>-0.68062538138055606</v>
      </c>
      <c r="H126" s="27">
        <f t="shared" si="26"/>
        <v>0.33612173824691793</v>
      </c>
      <c r="I126" s="48">
        <f t="shared" si="27"/>
        <v>469</v>
      </c>
      <c r="J126" s="47">
        <f t="shared" si="25"/>
        <v>1</v>
      </c>
      <c r="K126" s="47" t="str">
        <f t="shared" si="28"/>
        <v>FP</v>
      </c>
      <c r="L126" s="79">
        <v>8293591</v>
      </c>
    </row>
    <row r="127" spans="1:12" x14ac:dyDescent="0.2">
      <c r="A127" s="9">
        <v>0</v>
      </c>
      <c r="B127" s="9">
        <v>8</v>
      </c>
      <c r="C127" s="9">
        <v>19</v>
      </c>
      <c r="D127" s="9">
        <v>57</v>
      </c>
      <c r="E127" s="9">
        <v>5.6</v>
      </c>
      <c r="F127" s="9" t="s">
        <v>128</v>
      </c>
      <c r="G127" s="27">
        <f t="shared" si="23"/>
        <v>-2.17520236736615</v>
      </c>
      <c r="H127" s="27">
        <f t="shared" si="26"/>
        <v>0.1019995317303051</v>
      </c>
      <c r="I127" s="48">
        <f t="shared" si="27"/>
        <v>434</v>
      </c>
      <c r="J127" s="47">
        <f t="shared" si="25"/>
        <v>0</v>
      </c>
      <c r="K127" s="47" t="str">
        <f t="shared" si="28"/>
        <v>TN</v>
      </c>
      <c r="L127" s="79">
        <v>9602489</v>
      </c>
    </row>
    <row r="128" spans="1:12" x14ac:dyDescent="0.2">
      <c r="A128" s="9">
        <v>0</v>
      </c>
      <c r="B128" s="9">
        <v>10</v>
      </c>
      <c r="C128" s="9">
        <v>11</v>
      </c>
      <c r="D128" s="9">
        <v>42</v>
      </c>
      <c r="E128" s="9">
        <v>9.1</v>
      </c>
      <c r="F128" s="9" t="s">
        <v>128</v>
      </c>
      <c r="G128" s="27">
        <f t="shared" si="23"/>
        <v>-1.8653838750468534</v>
      </c>
      <c r="H128" s="27">
        <f t="shared" si="26"/>
        <v>0.13407675075954739</v>
      </c>
      <c r="I128" s="48">
        <f t="shared" si="27"/>
        <v>442</v>
      </c>
      <c r="J128" s="47">
        <f t="shared" si="25"/>
        <v>0</v>
      </c>
      <c r="K128" s="47" t="str">
        <f t="shared" si="28"/>
        <v>TN</v>
      </c>
      <c r="L128" s="79">
        <v>6890589</v>
      </c>
    </row>
    <row r="129" spans="1:12" x14ac:dyDescent="0.2">
      <c r="A129" s="9">
        <v>0</v>
      </c>
      <c r="B129" s="9">
        <v>18</v>
      </c>
      <c r="C129" s="9">
        <v>9</v>
      </c>
      <c r="D129" s="9">
        <v>67</v>
      </c>
      <c r="E129" s="9">
        <v>11.2</v>
      </c>
      <c r="F129" s="9" t="s">
        <v>128</v>
      </c>
      <c r="G129" s="27">
        <f t="shared" si="23"/>
        <v>-2.3553705804080574</v>
      </c>
      <c r="H129" s="27">
        <f t="shared" si="26"/>
        <v>8.6639835740124085E-2</v>
      </c>
      <c r="I129" s="48">
        <f t="shared" si="27"/>
        <v>429</v>
      </c>
      <c r="J129" s="47">
        <f t="shared" si="25"/>
        <v>0</v>
      </c>
      <c r="K129" s="47" t="str">
        <f t="shared" si="28"/>
        <v>TN</v>
      </c>
      <c r="L129" s="79">
        <v>9595581</v>
      </c>
    </row>
    <row r="130" spans="1:12" x14ac:dyDescent="0.2">
      <c r="A130" s="9">
        <v>0</v>
      </c>
      <c r="B130" s="9">
        <v>14</v>
      </c>
      <c r="C130" s="9">
        <v>25</v>
      </c>
      <c r="D130" s="9">
        <v>35</v>
      </c>
      <c r="E130" s="9">
        <v>10.199999999999999</v>
      </c>
      <c r="F130" s="9" t="s">
        <v>128</v>
      </c>
      <c r="G130" s="27">
        <f t="shared" ref="G130:G193" si="29">SUMPRODUCT($S$3:$V$3,B130:E130)+$R$3</f>
        <v>-3.0197984771256188</v>
      </c>
      <c r="H130" s="27">
        <f t="shared" si="26"/>
        <v>4.6539415972617966E-2</v>
      </c>
      <c r="I130" s="48">
        <f t="shared" si="27"/>
        <v>411</v>
      </c>
      <c r="J130" s="47">
        <f t="shared" ref="J130:J193" si="30">IF(H130&gt;=$O$3,1,0)</f>
        <v>0</v>
      </c>
      <c r="K130" s="47" t="str">
        <f t="shared" si="28"/>
        <v>TN</v>
      </c>
      <c r="L130" s="79">
        <v>5206155</v>
      </c>
    </row>
    <row r="131" spans="1:12" x14ac:dyDescent="0.2">
      <c r="A131" s="9">
        <v>0</v>
      </c>
      <c r="B131" s="9">
        <v>4</v>
      </c>
      <c r="C131" s="9">
        <v>3</v>
      </c>
      <c r="D131" s="9">
        <v>14</v>
      </c>
      <c r="E131" s="9">
        <v>17.5</v>
      </c>
      <c r="F131" s="9" t="s">
        <v>128</v>
      </c>
      <c r="G131" s="27">
        <f t="shared" si="29"/>
        <v>0.13263664173302603</v>
      </c>
      <c r="H131" s="27">
        <f t="shared" ref="H131:H194" si="31">EXP(G131)/(1+EXP(G131))</f>
        <v>0.53311063315093421</v>
      </c>
      <c r="I131" s="48">
        <f t="shared" ref="I131:I194" si="32">ROUND($O$4+(($O$5/LN(2))*LN(H131)),0)</f>
        <v>482</v>
      </c>
      <c r="J131" s="47">
        <f t="shared" si="30"/>
        <v>1</v>
      </c>
      <c r="K131" s="47" t="str">
        <f t="shared" ref="K131:K194" si="33">+IF(AND(A131=1,J131=1),"TP",IF(AND(A131=0,J131=0),"TN",IF(AND(A131=0,J131=1),"FP",IF(AND(A131=1,J131=0),"FN","OC"))))</f>
        <v>FP</v>
      </c>
      <c r="L131" s="79">
        <v>4559106</v>
      </c>
    </row>
    <row r="132" spans="1:12" x14ac:dyDescent="0.2">
      <c r="A132" s="9">
        <v>0</v>
      </c>
      <c r="B132" s="9">
        <v>12</v>
      </c>
      <c r="C132" s="9">
        <v>19</v>
      </c>
      <c r="D132" s="9">
        <v>37</v>
      </c>
      <c r="E132" s="9">
        <v>9.5</v>
      </c>
      <c r="F132" s="9" t="s">
        <v>128</v>
      </c>
      <c r="G132" s="27">
        <f t="shared" si="29"/>
        <v>-2.5267085377672025</v>
      </c>
      <c r="H132" s="27">
        <f t="shared" si="31"/>
        <v>7.4006894061666606E-2</v>
      </c>
      <c r="I132" s="48">
        <f t="shared" si="32"/>
        <v>425</v>
      </c>
      <c r="J132" s="47">
        <f t="shared" si="30"/>
        <v>0</v>
      </c>
      <c r="K132" s="47" t="str">
        <f t="shared" si="33"/>
        <v>TN</v>
      </c>
      <c r="L132" s="79">
        <v>3697086</v>
      </c>
    </row>
    <row r="133" spans="1:12" x14ac:dyDescent="0.2">
      <c r="A133" s="9">
        <v>0</v>
      </c>
      <c r="B133" s="9">
        <v>15</v>
      </c>
      <c r="C133" s="9">
        <v>14</v>
      </c>
      <c r="D133" s="9">
        <v>55</v>
      </c>
      <c r="E133" s="9">
        <v>5.5</v>
      </c>
      <c r="F133" s="9" t="s">
        <v>128</v>
      </c>
      <c r="G133" s="27">
        <f t="shared" si="29"/>
        <v>-3.0552706919592572</v>
      </c>
      <c r="H133" s="27">
        <f t="shared" si="31"/>
        <v>4.499046733457588E-2</v>
      </c>
      <c r="I133" s="48">
        <f t="shared" si="32"/>
        <v>411</v>
      </c>
      <c r="J133" s="47">
        <f t="shared" si="30"/>
        <v>0</v>
      </c>
      <c r="K133" s="47" t="str">
        <f t="shared" si="33"/>
        <v>TN</v>
      </c>
      <c r="L133" s="79">
        <v>2896578</v>
      </c>
    </row>
    <row r="134" spans="1:12" x14ac:dyDescent="0.2">
      <c r="A134" s="9">
        <v>0</v>
      </c>
      <c r="B134" s="9">
        <v>5</v>
      </c>
      <c r="C134" s="9">
        <v>5</v>
      </c>
      <c r="D134" s="9">
        <v>25</v>
      </c>
      <c r="E134" s="9">
        <v>10.199999999999999</v>
      </c>
      <c r="F134" s="9" t="s">
        <v>128</v>
      </c>
      <c r="G134" s="27">
        <f t="shared" si="29"/>
        <v>-0.93928068904849393</v>
      </c>
      <c r="H134" s="27">
        <f t="shared" si="31"/>
        <v>0.28104566294025385</v>
      </c>
      <c r="I134" s="48">
        <f t="shared" si="32"/>
        <v>463</v>
      </c>
      <c r="J134" s="47">
        <f t="shared" si="30"/>
        <v>1</v>
      </c>
      <c r="K134" s="47" t="str">
        <f t="shared" si="33"/>
        <v>FP</v>
      </c>
      <c r="L134" s="79">
        <v>5974604</v>
      </c>
    </row>
    <row r="135" spans="1:12" x14ac:dyDescent="0.2">
      <c r="A135" s="9">
        <v>0</v>
      </c>
      <c r="B135" s="9">
        <v>0</v>
      </c>
      <c r="C135" s="9">
        <v>13</v>
      </c>
      <c r="D135" s="9">
        <v>25</v>
      </c>
      <c r="E135" s="9">
        <v>19.7</v>
      </c>
      <c r="F135" s="9" t="s">
        <v>128</v>
      </c>
      <c r="G135" s="27">
        <f t="shared" si="29"/>
        <v>0.75320152263034901</v>
      </c>
      <c r="H135" s="27">
        <f t="shared" si="31"/>
        <v>0.67987589439114238</v>
      </c>
      <c r="I135" s="48">
        <f t="shared" si="32"/>
        <v>489</v>
      </c>
      <c r="J135" s="47">
        <f t="shared" si="30"/>
        <v>1</v>
      </c>
      <c r="K135" s="47" t="str">
        <f t="shared" si="33"/>
        <v>FP</v>
      </c>
      <c r="L135" s="79">
        <v>425867</v>
      </c>
    </row>
    <row r="136" spans="1:12" x14ac:dyDescent="0.2">
      <c r="A136" s="9">
        <v>0</v>
      </c>
      <c r="B136" s="9">
        <v>1</v>
      </c>
      <c r="C136" s="9">
        <v>6</v>
      </c>
      <c r="D136" s="9">
        <v>29</v>
      </c>
      <c r="E136" s="9">
        <v>11.1</v>
      </c>
      <c r="F136" s="9" t="s">
        <v>128</v>
      </c>
      <c r="G136" s="27">
        <f t="shared" si="29"/>
        <v>-0.20289771594605899</v>
      </c>
      <c r="H136" s="27">
        <f t="shared" si="31"/>
        <v>0.44944887402645572</v>
      </c>
      <c r="I136" s="48">
        <f t="shared" si="32"/>
        <v>477</v>
      </c>
      <c r="J136" s="47">
        <f t="shared" si="30"/>
        <v>1</v>
      </c>
      <c r="K136" s="47" t="str">
        <f t="shared" si="33"/>
        <v>FP</v>
      </c>
      <c r="L136" s="79">
        <v>5712088</v>
      </c>
    </row>
    <row r="137" spans="1:12" x14ac:dyDescent="0.2">
      <c r="A137" s="9">
        <v>1</v>
      </c>
      <c r="B137" s="9">
        <v>0</v>
      </c>
      <c r="C137" s="9">
        <v>2</v>
      </c>
      <c r="D137" s="9">
        <v>21</v>
      </c>
      <c r="E137" s="9">
        <v>12.5</v>
      </c>
      <c r="F137" s="9" t="s">
        <v>128</v>
      </c>
      <c r="G137" s="27">
        <f t="shared" si="29"/>
        <v>0.19910945513930334</v>
      </c>
      <c r="H137" s="27">
        <f t="shared" si="31"/>
        <v>0.54961356293253261</v>
      </c>
      <c r="I137" s="48">
        <f t="shared" si="32"/>
        <v>483</v>
      </c>
      <c r="J137" s="47">
        <f t="shared" si="30"/>
        <v>1</v>
      </c>
      <c r="K137" s="47" t="str">
        <f t="shared" si="33"/>
        <v>TP</v>
      </c>
      <c r="L137" s="79">
        <v>9540090</v>
      </c>
    </row>
    <row r="138" spans="1:12" x14ac:dyDescent="0.2">
      <c r="A138" s="9">
        <v>0</v>
      </c>
      <c r="B138" s="9">
        <v>10</v>
      </c>
      <c r="C138" s="9">
        <v>4</v>
      </c>
      <c r="D138" s="9">
        <v>22</v>
      </c>
      <c r="E138" s="9">
        <v>16.100000000000001</v>
      </c>
      <c r="F138" s="9" t="s">
        <v>128</v>
      </c>
      <c r="G138" s="27">
        <f t="shared" si="29"/>
        <v>-0.89326064638527525</v>
      </c>
      <c r="H138" s="27">
        <f t="shared" si="31"/>
        <v>0.29043740307773314</v>
      </c>
      <c r="I138" s="48">
        <f t="shared" si="32"/>
        <v>464</v>
      </c>
      <c r="J138" s="47">
        <f t="shared" si="30"/>
        <v>1</v>
      </c>
      <c r="K138" s="47" t="str">
        <f t="shared" si="33"/>
        <v>FP</v>
      </c>
      <c r="L138" s="79">
        <v>4993025</v>
      </c>
    </row>
    <row r="139" spans="1:12" x14ac:dyDescent="0.2">
      <c r="A139" s="9">
        <v>0</v>
      </c>
      <c r="B139" s="9">
        <v>11</v>
      </c>
      <c r="C139" s="9">
        <v>8</v>
      </c>
      <c r="D139" s="9">
        <v>25</v>
      </c>
      <c r="E139" s="9">
        <v>9.1</v>
      </c>
      <c r="F139" s="9" t="s">
        <v>128</v>
      </c>
      <c r="G139" s="27">
        <f t="shared" si="29"/>
        <v>-2.1213260072832281</v>
      </c>
      <c r="H139" s="27">
        <f t="shared" si="31"/>
        <v>0.10704126010584582</v>
      </c>
      <c r="I139" s="48">
        <f t="shared" si="32"/>
        <v>436</v>
      </c>
      <c r="J139" s="47">
        <f t="shared" si="30"/>
        <v>0</v>
      </c>
      <c r="K139" s="47" t="str">
        <f t="shared" si="33"/>
        <v>TN</v>
      </c>
      <c r="L139" s="79">
        <v>6007698</v>
      </c>
    </row>
    <row r="140" spans="1:12" x14ac:dyDescent="0.2">
      <c r="A140" s="9">
        <v>1</v>
      </c>
      <c r="B140" s="9">
        <v>4</v>
      </c>
      <c r="C140" s="9">
        <v>2</v>
      </c>
      <c r="D140" s="9">
        <v>24</v>
      </c>
      <c r="E140" s="9">
        <v>15.6</v>
      </c>
      <c r="F140" s="9" t="s">
        <v>128</v>
      </c>
      <c r="G140" s="27">
        <f t="shared" si="29"/>
        <v>5.6966426582153229E-2</v>
      </c>
      <c r="H140" s="27">
        <f t="shared" si="31"/>
        <v>0.51423775652095316</v>
      </c>
      <c r="I140" s="48">
        <f t="shared" si="32"/>
        <v>481</v>
      </c>
      <c r="J140" s="47">
        <f t="shared" si="30"/>
        <v>1</v>
      </c>
      <c r="K140" s="47" t="str">
        <f t="shared" si="33"/>
        <v>TP</v>
      </c>
      <c r="L140" s="79">
        <v>602249</v>
      </c>
    </row>
    <row r="141" spans="1:12" x14ac:dyDescent="0.2">
      <c r="A141" s="9">
        <v>0</v>
      </c>
      <c r="B141" s="9">
        <v>3</v>
      </c>
      <c r="C141" s="9">
        <v>2</v>
      </c>
      <c r="D141" s="9">
        <v>28</v>
      </c>
      <c r="E141" s="9">
        <v>9.5</v>
      </c>
      <c r="F141" s="9" t="s">
        <v>128</v>
      </c>
      <c r="G141" s="27">
        <f t="shared" si="29"/>
        <v>-0.56178322630391686</v>
      </c>
      <c r="H141" s="27">
        <f t="shared" si="31"/>
        <v>0.36313495604247498</v>
      </c>
      <c r="I141" s="48">
        <f t="shared" si="32"/>
        <v>471</v>
      </c>
      <c r="J141" s="47">
        <f t="shared" si="30"/>
        <v>1</v>
      </c>
      <c r="K141" s="47" t="str">
        <f t="shared" si="33"/>
        <v>FP</v>
      </c>
      <c r="L141" s="79">
        <v>6932891</v>
      </c>
    </row>
    <row r="142" spans="1:12" x14ac:dyDescent="0.2">
      <c r="A142" s="9">
        <v>0</v>
      </c>
      <c r="B142" s="9">
        <v>11</v>
      </c>
      <c r="C142" s="9">
        <v>1</v>
      </c>
      <c r="D142" s="9">
        <v>33</v>
      </c>
      <c r="E142" s="9">
        <v>8.4</v>
      </c>
      <c r="F142" s="9" t="s">
        <v>128</v>
      </c>
      <c r="G142" s="27">
        <f t="shared" si="29"/>
        <v>-1.8035896789371142</v>
      </c>
      <c r="H142" s="27">
        <f t="shared" si="31"/>
        <v>0.14141465718333365</v>
      </c>
      <c r="I142" s="48">
        <f t="shared" si="32"/>
        <v>444</v>
      </c>
      <c r="J142" s="47">
        <f t="shared" si="30"/>
        <v>0</v>
      </c>
      <c r="K142" s="47" t="str">
        <f t="shared" si="33"/>
        <v>TN</v>
      </c>
      <c r="L142" s="79">
        <v>245719</v>
      </c>
    </row>
    <row r="143" spans="1:12" x14ac:dyDescent="0.2">
      <c r="A143" s="9">
        <v>1</v>
      </c>
      <c r="B143" s="9">
        <v>0</v>
      </c>
      <c r="C143" s="9">
        <v>2</v>
      </c>
      <c r="D143" s="9">
        <v>15</v>
      </c>
      <c r="E143" s="9">
        <v>16.100000000000001</v>
      </c>
      <c r="F143" s="9" t="s">
        <v>128</v>
      </c>
      <c r="G143" s="27">
        <f t="shared" si="29"/>
        <v>0.60294530368024235</v>
      </c>
      <c r="H143" s="27">
        <f t="shared" si="31"/>
        <v>0.64632985585011138</v>
      </c>
      <c r="I143" s="48">
        <f t="shared" si="32"/>
        <v>487</v>
      </c>
      <c r="J143" s="47">
        <f t="shared" si="30"/>
        <v>1</v>
      </c>
      <c r="K143" s="47" t="str">
        <f t="shared" si="33"/>
        <v>TP</v>
      </c>
      <c r="L143" s="79">
        <v>7451638</v>
      </c>
    </row>
    <row r="144" spans="1:12" x14ac:dyDescent="0.2">
      <c r="A144" s="9">
        <v>0</v>
      </c>
      <c r="B144" s="9">
        <v>15</v>
      </c>
      <c r="C144" s="9">
        <v>2</v>
      </c>
      <c r="D144" s="9">
        <v>60</v>
      </c>
      <c r="E144" s="9">
        <v>4.8</v>
      </c>
      <c r="F144" s="9" t="s">
        <v>128</v>
      </c>
      <c r="G144" s="27">
        <f t="shared" si="29"/>
        <v>-2.5632866630938516</v>
      </c>
      <c r="H144" s="27">
        <f t="shared" si="31"/>
        <v>7.1538930792263589E-2</v>
      </c>
      <c r="I144" s="48">
        <f t="shared" si="32"/>
        <v>424</v>
      </c>
      <c r="J144" s="47">
        <f t="shared" si="30"/>
        <v>0</v>
      </c>
      <c r="K144" s="47" t="str">
        <f t="shared" si="33"/>
        <v>TN</v>
      </c>
      <c r="L144" s="79">
        <v>4617719</v>
      </c>
    </row>
    <row r="145" spans="1:12" x14ac:dyDescent="0.2">
      <c r="A145" s="9">
        <v>0</v>
      </c>
      <c r="B145" s="9">
        <v>8</v>
      </c>
      <c r="C145" s="9">
        <v>6</v>
      </c>
      <c r="D145" s="9">
        <v>78</v>
      </c>
      <c r="E145" s="9">
        <v>5.4</v>
      </c>
      <c r="F145" s="9" t="s">
        <v>128</v>
      </c>
      <c r="G145" s="27">
        <f t="shared" si="29"/>
        <v>-1.3516164508460171</v>
      </c>
      <c r="H145" s="27">
        <f t="shared" si="31"/>
        <v>0.20560622751393023</v>
      </c>
      <c r="I145" s="48">
        <f t="shared" si="32"/>
        <v>454</v>
      </c>
      <c r="J145" s="47">
        <f t="shared" si="30"/>
        <v>1</v>
      </c>
      <c r="K145" s="47" t="str">
        <f t="shared" si="33"/>
        <v>FP</v>
      </c>
      <c r="L145" s="79">
        <v>4461029</v>
      </c>
    </row>
    <row r="146" spans="1:12" x14ac:dyDescent="0.2">
      <c r="A146" s="9">
        <v>0</v>
      </c>
      <c r="B146" s="9">
        <v>1</v>
      </c>
      <c r="C146" s="9">
        <v>7</v>
      </c>
      <c r="D146" s="9">
        <v>25</v>
      </c>
      <c r="E146" s="9">
        <v>10.4</v>
      </c>
      <c r="F146" s="9" t="s">
        <v>128</v>
      </c>
      <c r="G146" s="27">
        <f t="shared" si="29"/>
        <v>-0.39587869077836801</v>
      </c>
      <c r="H146" s="27">
        <f t="shared" si="31"/>
        <v>0.40230293020769192</v>
      </c>
      <c r="I146" s="48">
        <f t="shared" si="32"/>
        <v>474</v>
      </c>
      <c r="J146" s="47">
        <f t="shared" si="30"/>
        <v>1</v>
      </c>
      <c r="K146" s="47" t="str">
        <f t="shared" si="33"/>
        <v>FP</v>
      </c>
      <c r="L146" s="79">
        <v>5689922</v>
      </c>
    </row>
    <row r="147" spans="1:12" x14ac:dyDescent="0.2">
      <c r="A147" s="9">
        <v>0</v>
      </c>
      <c r="B147" s="9">
        <v>7</v>
      </c>
      <c r="C147" s="9">
        <v>2</v>
      </c>
      <c r="D147" s="9">
        <v>34</v>
      </c>
      <c r="E147" s="9">
        <v>7</v>
      </c>
      <c r="F147" s="9" t="s">
        <v>128</v>
      </c>
      <c r="G147" s="27">
        <f t="shared" si="29"/>
        <v>-1.4195458816510116</v>
      </c>
      <c r="H147" s="27">
        <f t="shared" si="31"/>
        <v>0.19473278489346382</v>
      </c>
      <c r="I147" s="48">
        <f t="shared" si="32"/>
        <v>453</v>
      </c>
      <c r="J147" s="47">
        <f t="shared" si="30"/>
        <v>0</v>
      </c>
      <c r="K147" s="47" t="str">
        <f t="shared" si="33"/>
        <v>TN</v>
      </c>
      <c r="L147" s="79">
        <v>4648086</v>
      </c>
    </row>
    <row r="148" spans="1:12" x14ac:dyDescent="0.2">
      <c r="A148" s="9">
        <v>0</v>
      </c>
      <c r="B148" s="9">
        <v>5</v>
      </c>
      <c r="C148" s="9">
        <v>5</v>
      </c>
      <c r="D148" s="9">
        <v>22</v>
      </c>
      <c r="E148" s="9">
        <v>10.9</v>
      </c>
      <c r="F148" s="9" t="s">
        <v>128</v>
      </c>
      <c r="G148" s="27">
        <f t="shared" si="29"/>
        <v>-0.88606588919155638</v>
      </c>
      <c r="H148" s="27">
        <f t="shared" si="31"/>
        <v>0.29192235648698439</v>
      </c>
      <c r="I148" s="48">
        <f t="shared" si="32"/>
        <v>464</v>
      </c>
      <c r="J148" s="47">
        <f t="shared" si="30"/>
        <v>1</v>
      </c>
      <c r="K148" s="47" t="str">
        <f t="shared" si="33"/>
        <v>FP</v>
      </c>
      <c r="L148" s="79">
        <v>9147444</v>
      </c>
    </row>
    <row r="149" spans="1:12" x14ac:dyDescent="0.2">
      <c r="A149" s="9">
        <v>0</v>
      </c>
      <c r="B149" s="9">
        <v>1</v>
      </c>
      <c r="C149" s="9">
        <v>12</v>
      </c>
      <c r="D149" s="9">
        <v>20</v>
      </c>
      <c r="E149" s="9">
        <v>14</v>
      </c>
      <c r="F149" s="9" t="s">
        <v>128</v>
      </c>
      <c r="G149" s="27">
        <f t="shared" si="29"/>
        <v>-0.19390018351238236</v>
      </c>
      <c r="H149" s="27">
        <f t="shared" si="31"/>
        <v>0.45167626276212547</v>
      </c>
      <c r="I149" s="48">
        <f t="shared" si="32"/>
        <v>477</v>
      </c>
      <c r="J149" s="47">
        <f t="shared" si="30"/>
        <v>1</v>
      </c>
      <c r="K149" s="47" t="str">
        <f t="shared" si="33"/>
        <v>FP</v>
      </c>
      <c r="L149" s="79">
        <v>6904199</v>
      </c>
    </row>
    <row r="150" spans="1:12" x14ac:dyDescent="0.2">
      <c r="A150" s="9">
        <v>0</v>
      </c>
      <c r="B150" s="9">
        <v>11</v>
      </c>
      <c r="C150" s="9">
        <v>4</v>
      </c>
      <c r="D150" s="9">
        <v>75</v>
      </c>
      <c r="E150" s="9">
        <v>3.5</v>
      </c>
      <c r="F150" s="9" t="s">
        <v>128</v>
      </c>
      <c r="G150" s="27">
        <f t="shared" si="29"/>
        <v>-2.0155893469928992</v>
      </c>
      <c r="H150" s="27">
        <f t="shared" si="31"/>
        <v>0.11757583255717295</v>
      </c>
      <c r="I150" s="48">
        <f t="shared" si="32"/>
        <v>438</v>
      </c>
      <c r="J150" s="47">
        <f t="shared" si="30"/>
        <v>0</v>
      </c>
      <c r="K150" s="47" t="str">
        <f t="shared" si="33"/>
        <v>TN</v>
      </c>
      <c r="L150" s="79">
        <v>2574410</v>
      </c>
    </row>
    <row r="151" spans="1:12" x14ac:dyDescent="0.2">
      <c r="A151" s="9">
        <v>1</v>
      </c>
      <c r="B151" s="9">
        <v>2</v>
      </c>
      <c r="C151" s="9">
        <v>0</v>
      </c>
      <c r="D151" s="9">
        <v>15</v>
      </c>
      <c r="E151" s="9">
        <v>26.3</v>
      </c>
      <c r="F151" s="9" t="s">
        <v>128</v>
      </c>
      <c r="G151" s="27">
        <f t="shared" si="29"/>
        <v>1.7667787200206289</v>
      </c>
      <c r="H151" s="27">
        <f t="shared" si="31"/>
        <v>0.85405661587878456</v>
      </c>
      <c r="I151" s="48">
        <f t="shared" si="32"/>
        <v>495</v>
      </c>
      <c r="J151" s="47">
        <f t="shared" si="30"/>
        <v>1</v>
      </c>
      <c r="K151" s="47" t="str">
        <f t="shared" si="33"/>
        <v>TP</v>
      </c>
      <c r="L151" s="79">
        <v>2149096</v>
      </c>
    </row>
    <row r="152" spans="1:12" x14ac:dyDescent="0.2">
      <c r="A152" s="9">
        <v>0</v>
      </c>
      <c r="B152" s="9">
        <v>4</v>
      </c>
      <c r="C152" s="9">
        <v>0</v>
      </c>
      <c r="D152" s="9">
        <v>23</v>
      </c>
      <c r="E152" s="9">
        <v>12.4</v>
      </c>
      <c r="F152" s="9" t="s">
        <v>128</v>
      </c>
      <c r="G152" s="27">
        <f t="shared" si="29"/>
        <v>-0.30316443651938507</v>
      </c>
      <c r="H152" s="27">
        <f t="shared" si="31"/>
        <v>0.42478409321114013</v>
      </c>
      <c r="I152" s="48">
        <f t="shared" si="32"/>
        <v>475</v>
      </c>
      <c r="J152" s="47">
        <f t="shared" si="30"/>
        <v>1</v>
      </c>
      <c r="K152" s="47" t="str">
        <f t="shared" si="33"/>
        <v>FP</v>
      </c>
      <c r="L152" s="79">
        <v>3750184</v>
      </c>
    </row>
    <row r="153" spans="1:12" x14ac:dyDescent="0.2">
      <c r="A153" s="9">
        <v>0</v>
      </c>
      <c r="B153" s="9">
        <v>6</v>
      </c>
      <c r="C153" s="9">
        <v>7</v>
      </c>
      <c r="D153" s="9">
        <v>38</v>
      </c>
      <c r="E153" s="9">
        <v>7.2</v>
      </c>
      <c r="F153" s="9" t="s">
        <v>128</v>
      </c>
      <c r="G153" s="27">
        <f t="shared" si="29"/>
        <v>-1.402294347275999</v>
      </c>
      <c r="H153" s="27">
        <f t="shared" si="31"/>
        <v>0.19745228558455066</v>
      </c>
      <c r="I153" s="48">
        <f t="shared" si="32"/>
        <v>453</v>
      </c>
      <c r="J153" s="47">
        <f t="shared" si="30"/>
        <v>0</v>
      </c>
      <c r="K153" s="47" t="str">
        <f t="shared" si="33"/>
        <v>TN</v>
      </c>
      <c r="L153" s="79">
        <v>8366490</v>
      </c>
    </row>
    <row r="154" spans="1:12" x14ac:dyDescent="0.2">
      <c r="A154" s="9">
        <v>0</v>
      </c>
      <c r="B154" s="9">
        <v>5</v>
      </c>
      <c r="C154" s="9">
        <v>2</v>
      </c>
      <c r="D154" s="9">
        <v>37</v>
      </c>
      <c r="E154" s="9">
        <v>8.3000000000000007</v>
      </c>
      <c r="F154" s="9" t="s">
        <v>128</v>
      </c>
      <c r="G154" s="27">
        <f t="shared" si="29"/>
        <v>-0.90107639878259183</v>
      </c>
      <c r="H154" s="27">
        <f t="shared" si="31"/>
        <v>0.28882934733131216</v>
      </c>
      <c r="I154" s="48">
        <f t="shared" si="32"/>
        <v>464</v>
      </c>
      <c r="J154" s="47">
        <f t="shared" si="30"/>
        <v>1</v>
      </c>
      <c r="K154" s="47" t="str">
        <f t="shared" si="33"/>
        <v>FP</v>
      </c>
      <c r="L154" s="79">
        <v>3470707</v>
      </c>
    </row>
    <row r="155" spans="1:12" x14ac:dyDescent="0.2">
      <c r="A155" s="9">
        <v>0</v>
      </c>
      <c r="B155" s="9">
        <v>22</v>
      </c>
      <c r="C155" s="9">
        <v>9</v>
      </c>
      <c r="D155" s="9">
        <v>113</v>
      </c>
      <c r="E155" s="9">
        <v>2.6</v>
      </c>
      <c r="F155" s="9" t="s">
        <v>128</v>
      </c>
      <c r="G155" s="27">
        <f t="shared" si="29"/>
        <v>-3.4855668378442362</v>
      </c>
      <c r="H155" s="27">
        <f t="shared" si="31"/>
        <v>2.9725699587040535E-2</v>
      </c>
      <c r="I155" s="48">
        <f t="shared" si="32"/>
        <v>399</v>
      </c>
      <c r="J155" s="47">
        <f t="shared" si="30"/>
        <v>0</v>
      </c>
      <c r="K155" s="47" t="str">
        <f t="shared" si="33"/>
        <v>TN</v>
      </c>
      <c r="L155" s="79">
        <v>4964418</v>
      </c>
    </row>
    <row r="156" spans="1:12" x14ac:dyDescent="0.2">
      <c r="A156" s="9">
        <v>0</v>
      </c>
      <c r="B156" s="9">
        <v>4</v>
      </c>
      <c r="C156" s="9">
        <v>15</v>
      </c>
      <c r="D156" s="9">
        <v>33</v>
      </c>
      <c r="E156" s="9">
        <v>7</v>
      </c>
      <c r="F156" s="9" t="s">
        <v>128</v>
      </c>
      <c r="G156" s="27">
        <f t="shared" si="29"/>
        <v>-1.5420998739113143</v>
      </c>
      <c r="H156" s="27">
        <f t="shared" si="31"/>
        <v>0.17623022222298002</v>
      </c>
      <c r="I156" s="48">
        <f t="shared" si="32"/>
        <v>450</v>
      </c>
      <c r="J156" s="47">
        <f t="shared" si="30"/>
        <v>0</v>
      </c>
      <c r="K156" s="47" t="str">
        <f t="shared" si="33"/>
        <v>TN</v>
      </c>
      <c r="L156" s="79">
        <v>3815108</v>
      </c>
    </row>
    <row r="157" spans="1:12" x14ac:dyDescent="0.2">
      <c r="A157" s="9">
        <v>0</v>
      </c>
      <c r="B157" s="9">
        <v>2</v>
      </c>
      <c r="C157" s="9">
        <v>22</v>
      </c>
      <c r="D157" s="9">
        <v>30</v>
      </c>
      <c r="E157" s="9">
        <v>6.7</v>
      </c>
      <c r="F157" s="9" t="s">
        <v>128</v>
      </c>
      <c r="G157" s="27">
        <f t="shared" si="29"/>
        <v>-1.6246817933161868</v>
      </c>
      <c r="H157" s="27">
        <f t="shared" si="31"/>
        <v>0.16456020532792284</v>
      </c>
      <c r="I157" s="48">
        <f t="shared" si="32"/>
        <v>448</v>
      </c>
      <c r="J157" s="47">
        <f t="shared" si="30"/>
        <v>0</v>
      </c>
      <c r="K157" s="47" t="str">
        <f t="shared" si="33"/>
        <v>TN</v>
      </c>
      <c r="L157" s="79">
        <v>3802747</v>
      </c>
    </row>
    <row r="158" spans="1:12" x14ac:dyDescent="0.2">
      <c r="A158" s="9">
        <v>0</v>
      </c>
      <c r="B158" s="9">
        <v>10</v>
      </c>
      <c r="C158" s="9">
        <v>14</v>
      </c>
      <c r="D158" s="9">
        <v>52</v>
      </c>
      <c r="E158" s="9">
        <v>5.4</v>
      </c>
      <c r="F158" s="9" t="s">
        <v>128</v>
      </c>
      <c r="G158" s="27">
        <f t="shared" si="29"/>
        <v>-2.3569162049239152</v>
      </c>
      <c r="H158" s="27">
        <f t="shared" si="31"/>
        <v>8.6517603374858754E-2</v>
      </c>
      <c r="I158" s="48">
        <f t="shared" si="32"/>
        <v>429</v>
      </c>
      <c r="J158" s="47">
        <f t="shared" si="30"/>
        <v>0</v>
      </c>
      <c r="K158" s="47" t="str">
        <f t="shared" si="33"/>
        <v>TN</v>
      </c>
      <c r="L158" s="79">
        <v>2456806</v>
      </c>
    </row>
    <row r="159" spans="1:12" x14ac:dyDescent="0.2">
      <c r="A159" s="9">
        <v>0</v>
      </c>
      <c r="B159" s="9">
        <v>6</v>
      </c>
      <c r="C159" s="9">
        <v>9</v>
      </c>
      <c r="D159" s="9">
        <v>22</v>
      </c>
      <c r="E159" s="9">
        <v>11.5</v>
      </c>
      <c r="F159" s="9" t="s">
        <v>128</v>
      </c>
      <c r="G159" s="27">
        <f t="shared" si="29"/>
        <v>-1.1281423061840514</v>
      </c>
      <c r="H159" s="27">
        <f t="shared" si="31"/>
        <v>0.24450409463455253</v>
      </c>
      <c r="I159" s="48">
        <f t="shared" si="32"/>
        <v>459</v>
      </c>
      <c r="J159" s="47">
        <f t="shared" si="30"/>
        <v>1</v>
      </c>
      <c r="K159" s="47" t="str">
        <f t="shared" si="33"/>
        <v>FP</v>
      </c>
      <c r="L159" s="79">
        <v>7945084</v>
      </c>
    </row>
    <row r="160" spans="1:12" x14ac:dyDescent="0.2">
      <c r="A160" s="9">
        <v>0</v>
      </c>
      <c r="B160" s="9">
        <v>5</v>
      </c>
      <c r="C160" s="9">
        <v>1</v>
      </c>
      <c r="D160" s="9">
        <v>25</v>
      </c>
      <c r="E160" s="9">
        <v>9</v>
      </c>
      <c r="F160" s="9" t="s">
        <v>128</v>
      </c>
      <c r="G160" s="27">
        <f t="shared" si="29"/>
        <v>-0.92897254999557455</v>
      </c>
      <c r="H160" s="27">
        <f t="shared" si="31"/>
        <v>0.28313320832111777</v>
      </c>
      <c r="I160" s="48">
        <f t="shared" si="32"/>
        <v>464</v>
      </c>
      <c r="J160" s="47">
        <f t="shared" si="30"/>
        <v>1</v>
      </c>
      <c r="K160" s="47" t="str">
        <f t="shared" si="33"/>
        <v>FP</v>
      </c>
      <c r="L160" s="79">
        <v>2213560</v>
      </c>
    </row>
    <row r="161" spans="1:12" x14ac:dyDescent="0.2">
      <c r="A161" s="9">
        <v>0</v>
      </c>
      <c r="B161" s="9">
        <v>1</v>
      </c>
      <c r="C161" s="9">
        <v>26</v>
      </c>
      <c r="D161" s="9">
        <v>26</v>
      </c>
      <c r="E161" s="9">
        <v>14.3</v>
      </c>
      <c r="F161" s="9" t="s">
        <v>128</v>
      </c>
      <c r="G161" s="27">
        <f t="shared" si="29"/>
        <v>-0.6743699163058654</v>
      </c>
      <c r="H161" s="27">
        <f t="shared" si="31"/>
        <v>0.33751903507694114</v>
      </c>
      <c r="I161" s="48">
        <f t="shared" si="32"/>
        <v>469</v>
      </c>
      <c r="J161" s="47">
        <f t="shared" si="30"/>
        <v>1</v>
      </c>
      <c r="K161" s="47" t="str">
        <f t="shared" si="33"/>
        <v>FP</v>
      </c>
      <c r="L161" s="79">
        <v>4568653</v>
      </c>
    </row>
    <row r="162" spans="1:12" x14ac:dyDescent="0.2">
      <c r="A162" s="9">
        <v>1</v>
      </c>
      <c r="B162" s="9">
        <v>2</v>
      </c>
      <c r="C162" s="9">
        <v>2</v>
      </c>
      <c r="D162" s="9">
        <v>22</v>
      </c>
      <c r="E162" s="9">
        <v>16.399999999999999</v>
      </c>
      <c r="F162" s="9" t="s">
        <v>128</v>
      </c>
      <c r="G162" s="27">
        <f t="shared" si="29"/>
        <v>0.43881947828254075</v>
      </c>
      <c r="H162" s="27">
        <f t="shared" si="31"/>
        <v>0.60797770013063734</v>
      </c>
      <c r="I162" s="48">
        <f t="shared" si="32"/>
        <v>486</v>
      </c>
      <c r="J162" s="47">
        <f t="shared" si="30"/>
        <v>1</v>
      </c>
      <c r="K162" s="47" t="str">
        <f t="shared" si="33"/>
        <v>TP</v>
      </c>
      <c r="L162" s="79">
        <v>8232508</v>
      </c>
    </row>
    <row r="163" spans="1:12" x14ac:dyDescent="0.2">
      <c r="A163" s="9">
        <v>1</v>
      </c>
      <c r="B163" s="9">
        <v>4</v>
      </c>
      <c r="C163" s="9">
        <v>3</v>
      </c>
      <c r="D163" s="9">
        <v>22</v>
      </c>
      <c r="E163" s="9">
        <v>13.2</v>
      </c>
      <c r="F163" s="9" t="s">
        <v>128</v>
      </c>
      <c r="G163" s="27">
        <f t="shared" si="29"/>
        <v>-0.33821882704268091</v>
      </c>
      <c r="H163" s="27">
        <f t="shared" si="31"/>
        <v>0.4162422100486739</v>
      </c>
      <c r="I163" s="48">
        <f t="shared" si="32"/>
        <v>475</v>
      </c>
      <c r="J163" s="47">
        <f t="shared" si="30"/>
        <v>1</v>
      </c>
      <c r="K163" s="47" t="str">
        <f t="shared" si="33"/>
        <v>TP</v>
      </c>
      <c r="L163" s="79">
        <v>5175222</v>
      </c>
    </row>
    <row r="164" spans="1:12" x14ac:dyDescent="0.2">
      <c r="A164" s="9">
        <v>0</v>
      </c>
      <c r="B164" s="9">
        <v>17</v>
      </c>
      <c r="C164" s="9">
        <v>21</v>
      </c>
      <c r="D164" s="9">
        <v>43</v>
      </c>
      <c r="E164" s="9">
        <v>5.6</v>
      </c>
      <c r="F164" s="9" t="s">
        <v>128</v>
      </c>
      <c r="G164" s="27">
        <f t="shared" si="29"/>
        <v>-3.8106520625611919</v>
      </c>
      <c r="H164" s="27">
        <f t="shared" si="31"/>
        <v>2.165444771461985E-2</v>
      </c>
      <c r="I164" s="48">
        <f t="shared" si="32"/>
        <v>389</v>
      </c>
      <c r="J164" s="47">
        <f t="shared" si="30"/>
        <v>0</v>
      </c>
      <c r="K164" s="47" t="str">
        <f t="shared" si="33"/>
        <v>TN</v>
      </c>
      <c r="L164" s="79">
        <v>7121305</v>
      </c>
    </row>
    <row r="165" spans="1:12" x14ac:dyDescent="0.2">
      <c r="A165" s="9">
        <v>0</v>
      </c>
      <c r="B165" s="9">
        <v>6</v>
      </c>
      <c r="C165" s="9">
        <v>19</v>
      </c>
      <c r="D165" s="9">
        <v>31</v>
      </c>
      <c r="E165" s="9">
        <v>12.2</v>
      </c>
      <c r="F165" s="9" t="s">
        <v>128</v>
      </c>
      <c r="G165" s="27">
        <f t="shared" si="29"/>
        <v>-1.3405939850987125</v>
      </c>
      <c r="H165" s="27">
        <f t="shared" si="31"/>
        <v>0.20741239489789332</v>
      </c>
      <c r="I165" s="48">
        <f t="shared" si="32"/>
        <v>455</v>
      </c>
      <c r="J165" s="47">
        <f t="shared" si="30"/>
        <v>1</v>
      </c>
      <c r="K165" s="47" t="str">
        <f t="shared" si="33"/>
        <v>FP</v>
      </c>
      <c r="L165" s="79">
        <v>1774555</v>
      </c>
    </row>
    <row r="166" spans="1:12" x14ac:dyDescent="0.2">
      <c r="A166" s="9">
        <v>0</v>
      </c>
      <c r="B166" s="9">
        <v>8</v>
      </c>
      <c r="C166" s="9">
        <v>4</v>
      </c>
      <c r="D166" s="9">
        <v>44</v>
      </c>
      <c r="E166" s="9">
        <v>8</v>
      </c>
      <c r="F166" s="9" t="s">
        <v>128</v>
      </c>
      <c r="G166" s="27">
        <f t="shared" si="29"/>
        <v>-1.3832353667809827</v>
      </c>
      <c r="H166" s="27">
        <f t="shared" si="31"/>
        <v>0.20048988828186098</v>
      </c>
      <c r="I166" s="48">
        <f t="shared" si="32"/>
        <v>454</v>
      </c>
      <c r="J166" s="47">
        <f t="shared" si="30"/>
        <v>1</v>
      </c>
      <c r="K166" s="47" t="str">
        <f t="shared" si="33"/>
        <v>FP</v>
      </c>
      <c r="L166" s="79">
        <v>2850029</v>
      </c>
    </row>
    <row r="167" spans="1:12" x14ac:dyDescent="0.2">
      <c r="A167" s="9">
        <v>1</v>
      </c>
      <c r="B167" s="9">
        <v>0</v>
      </c>
      <c r="C167" s="9">
        <v>8</v>
      </c>
      <c r="D167" s="9">
        <v>22</v>
      </c>
      <c r="E167" s="9">
        <v>12.9</v>
      </c>
      <c r="F167" s="9" t="s">
        <v>128</v>
      </c>
      <c r="G167" s="27">
        <f t="shared" si="29"/>
        <v>8.1935449568961705E-3</v>
      </c>
      <c r="H167" s="27">
        <f t="shared" si="31"/>
        <v>0.50204837477957365</v>
      </c>
      <c r="I167" s="48">
        <f t="shared" si="32"/>
        <v>480</v>
      </c>
      <c r="J167" s="47">
        <f t="shared" si="30"/>
        <v>1</v>
      </c>
      <c r="K167" s="47" t="str">
        <f t="shared" si="33"/>
        <v>TP</v>
      </c>
      <c r="L167" s="79">
        <v>9347392</v>
      </c>
    </row>
    <row r="168" spans="1:12" x14ac:dyDescent="0.2">
      <c r="A168" s="9">
        <v>0</v>
      </c>
      <c r="B168" s="9">
        <v>6</v>
      </c>
      <c r="C168" s="9">
        <v>4</v>
      </c>
      <c r="D168" s="9">
        <v>26</v>
      </c>
      <c r="E168" s="9">
        <v>10.4</v>
      </c>
      <c r="F168" s="9" t="s">
        <v>128</v>
      </c>
      <c r="G168" s="27">
        <f t="shared" si="29"/>
        <v>-1.0059639874334767</v>
      </c>
      <c r="H168" s="27">
        <f t="shared" si="31"/>
        <v>0.26777044737957389</v>
      </c>
      <c r="I168" s="48">
        <f t="shared" si="32"/>
        <v>462</v>
      </c>
      <c r="J168" s="47">
        <f t="shared" si="30"/>
        <v>1</v>
      </c>
      <c r="K168" s="47" t="str">
        <f t="shared" si="33"/>
        <v>FP</v>
      </c>
      <c r="L168" s="79">
        <v>3100409</v>
      </c>
    </row>
    <row r="169" spans="1:12" x14ac:dyDescent="0.2">
      <c r="A169" s="9">
        <v>0</v>
      </c>
      <c r="B169" s="9">
        <v>8</v>
      </c>
      <c r="C169" s="9">
        <v>7</v>
      </c>
      <c r="D169" s="9">
        <v>18</v>
      </c>
      <c r="E169" s="9">
        <v>11.9</v>
      </c>
      <c r="F169" s="9" t="s">
        <v>128</v>
      </c>
      <c r="G169" s="27">
        <f t="shared" si="29"/>
        <v>-1.3443378252210021</v>
      </c>
      <c r="H169" s="27">
        <f t="shared" si="31"/>
        <v>0.20679760983990728</v>
      </c>
      <c r="I169" s="48">
        <f t="shared" si="32"/>
        <v>455</v>
      </c>
      <c r="J169" s="47">
        <f t="shared" si="30"/>
        <v>1</v>
      </c>
      <c r="K169" s="47" t="str">
        <f t="shared" si="33"/>
        <v>FP</v>
      </c>
      <c r="L169" s="79">
        <v>1161138</v>
      </c>
    </row>
    <row r="170" spans="1:12" x14ac:dyDescent="0.2">
      <c r="A170" s="9">
        <v>0</v>
      </c>
      <c r="B170" s="9">
        <v>0</v>
      </c>
      <c r="C170" s="9">
        <v>11</v>
      </c>
      <c r="D170" s="9">
        <v>17</v>
      </c>
      <c r="E170" s="9">
        <v>12</v>
      </c>
      <c r="F170" s="9" t="s">
        <v>128</v>
      </c>
      <c r="G170" s="27">
        <f t="shared" si="29"/>
        <v>-0.31189404662590881</v>
      </c>
      <c r="H170" s="27">
        <f t="shared" si="31"/>
        <v>0.4226524910241527</v>
      </c>
      <c r="I170" s="48">
        <f t="shared" si="32"/>
        <v>475</v>
      </c>
      <c r="J170" s="47">
        <f t="shared" si="30"/>
        <v>1</v>
      </c>
      <c r="K170" s="47" t="str">
        <f t="shared" si="33"/>
        <v>FP</v>
      </c>
      <c r="L170" s="79">
        <v>4928978</v>
      </c>
    </row>
    <row r="171" spans="1:12" x14ac:dyDescent="0.2">
      <c r="A171" s="9">
        <v>1</v>
      </c>
      <c r="B171" s="9">
        <v>1</v>
      </c>
      <c r="C171" s="9">
        <v>15</v>
      </c>
      <c r="D171" s="9">
        <v>21</v>
      </c>
      <c r="E171" s="9">
        <v>14.8</v>
      </c>
      <c r="F171" s="9" t="s">
        <v>128</v>
      </c>
      <c r="G171" s="27">
        <f t="shared" si="29"/>
        <v>-0.20134493328001657</v>
      </c>
      <c r="H171" s="27">
        <f t="shared" si="31"/>
        <v>0.44983313177184331</v>
      </c>
      <c r="I171" s="48">
        <f t="shared" si="32"/>
        <v>477</v>
      </c>
      <c r="J171" s="47">
        <f t="shared" si="30"/>
        <v>1</v>
      </c>
      <c r="K171" s="47" t="str">
        <f t="shared" si="33"/>
        <v>TP</v>
      </c>
      <c r="L171" s="79">
        <v>2454802</v>
      </c>
    </row>
    <row r="172" spans="1:12" x14ac:dyDescent="0.2">
      <c r="A172" s="9">
        <v>0</v>
      </c>
      <c r="B172" s="9">
        <v>7</v>
      </c>
      <c r="C172" s="9">
        <v>4</v>
      </c>
      <c r="D172" s="9">
        <v>26</v>
      </c>
      <c r="E172" s="9">
        <v>9.1</v>
      </c>
      <c r="F172" s="9" t="s">
        <v>128</v>
      </c>
      <c r="G172" s="27">
        <f t="shared" si="29"/>
        <v>-1.3323615263634823</v>
      </c>
      <c r="H172" s="27">
        <f t="shared" si="31"/>
        <v>0.20876900935195586</v>
      </c>
      <c r="I172" s="48">
        <f t="shared" si="32"/>
        <v>455</v>
      </c>
      <c r="J172" s="47">
        <f t="shared" si="30"/>
        <v>1</v>
      </c>
      <c r="K172" s="47" t="str">
        <f t="shared" si="33"/>
        <v>FP</v>
      </c>
      <c r="L172" s="79">
        <v>9344520</v>
      </c>
    </row>
    <row r="173" spans="1:12" x14ac:dyDescent="0.2">
      <c r="A173" s="9">
        <v>0</v>
      </c>
      <c r="B173" s="9">
        <v>7</v>
      </c>
      <c r="C173" s="9">
        <v>2</v>
      </c>
      <c r="D173" s="9">
        <v>31</v>
      </c>
      <c r="E173" s="9">
        <v>6.6</v>
      </c>
      <c r="F173" s="9" t="s">
        <v>128</v>
      </c>
      <c r="G173" s="27">
        <f t="shared" si="29"/>
        <v>-1.5150342062076065</v>
      </c>
      <c r="H173" s="27">
        <f t="shared" si="31"/>
        <v>0.18019392206248075</v>
      </c>
      <c r="I173" s="48">
        <f t="shared" si="32"/>
        <v>451</v>
      </c>
      <c r="J173" s="47">
        <f t="shared" si="30"/>
        <v>0</v>
      </c>
      <c r="K173" s="47" t="str">
        <f t="shared" si="33"/>
        <v>TN</v>
      </c>
      <c r="L173" s="79">
        <v>4283164</v>
      </c>
    </row>
    <row r="174" spans="1:12" x14ac:dyDescent="0.2">
      <c r="A174" s="9">
        <v>1</v>
      </c>
      <c r="B174" s="9">
        <v>2</v>
      </c>
      <c r="C174" s="9">
        <v>6</v>
      </c>
      <c r="D174" s="9">
        <v>24</v>
      </c>
      <c r="E174" s="9">
        <v>13.6</v>
      </c>
      <c r="F174" s="9" t="s">
        <v>128</v>
      </c>
      <c r="G174" s="27">
        <f t="shared" si="29"/>
        <v>-8.4617654245743301E-2</v>
      </c>
      <c r="H174" s="27">
        <f t="shared" si="31"/>
        <v>0.47885819980057748</v>
      </c>
      <c r="I174" s="48">
        <f t="shared" si="32"/>
        <v>479</v>
      </c>
      <c r="J174" s="47">
        <f t="shared" si="30"/>
        <v>1</v>
      </c>
      <c r="K174" s="47" t="str">
        <f t="shared" si="33"/>
        <v>TP</v>
      </c>
      <c r="L174" s="79">
        <v>1963896</v>
      </c>
    </row>
    <row r="175" spans="1:12" x14ac:dyDescent="0.2">
      <c r="A175" s="9">
        <v>1</v>
      </c>
      <c r="B175" s="9">
        <v>1</v>
      </c>
      <c r="C175" s="9">
        <v>0</v>
      </c>
      <c r="D175" s="9">
        <v>20</v>
      </c>
      <c r="E175" s="9">
        <v>10.3</v>
      </c>
      <c r="F175" s="9" t="s">
        <v>128</v>
      </c>
      <c r="G175" s="27">
        <f t="shared" si="29"/>
        <v>-0.17649423220940008</v>
      </c>
      <c r="H175" s="27">
        <f t="shared" si="31"/>
        <v>0.45599062446949562</v>
      </c>
      <c r="I175" s="48">
        <f t="shared" si="32"/>
        <v>477</v>
      </c>
      <c r="J175" s="47">
        <f t="shared" si="30"/>
        <v>1</v>
      </c>
      <c r="K175" s="47" t="str">
        <f t="shared" si="33"/>
        <v>TP</v>
      </c>
      <c r="L175" s="79">
        <v>8557256</v>
      </c>
    </row>
    <row r="176" spans="1:12" x14ac:dyDescent="0.2">
      <c r="A176" s="9">
        <v>0</v>
      </c>
      <c r="B176" s="9">
        <v>11</v>
      </c>
      <c r="C176" s="9">
        <v>2</v>
      </c>
      <c r="D176" s="9">
        <v>53</v>
      </c>
      <c r="E176" s="9">
        <v>3.3</v>
      </c>
      <c r="F176" s="9" t="s">
        <v>128</v>
      </c>
      <c r="G176" s="27">
        <f t="shared" si="29"/>
        <v>-2.2600674623556141</v>
      </c>
      <c r="H176" s="27">
        <f t="shared" si="31"/>
        <v>9.448459689810107E-2</v>
      </c>
      <c r="I176" s="48">
        <f t="shared" si="32"/>
        <v>432</v>
      </c>
      <c r="J176" s="47">
        <f t="shared" si="30"/>
        <v>0</v>
      </c>
      <c r="K176" s="47" t="str">
        <f t="shared" si="33"/>
        <v>TN</v>
      </c>
      <c r="L176" s="79">
        <v>5421545</v>
      </c>
    </row>
    <row r="177" spans="1:12" x14ac:dyDescent="0.2">
      <c r="A177" s="9">
        <v>1</v>
      </c>
      <c r="B177" s="9">
        <v>13</v>
      </c>
      <c r="C177" s="9">
        <v>1</v>
      </c>
      <c r="D177" s="9">
        <v>42</v>
      </c>
      <c r="E177" s="9">
        <v>7.4</v>
      </c>
      <c r="F177" s="9" t="s">
        <v>128</v>
      </c>
      <c r="G177" s="27">
        <f t="shared" si="29"/>
        <v>-2.1158459197042374</v>
      </c>
      <c r="H177" s="27">
        <f t="shared" si="31"/>
        <v>0.10756619477240811</v>
      </c>
      <c r="I177" s="48">
        <f t="shared" si="32"/>
        <v>436</v>
      </c>
      <c r="J177" s="47">
        <f t="shared" si="30"/>
        <v>0</v>
      </c>
      <c r="K177" s="47" t="str">
        <f t="shared" si="33"/>
        <v>FN</v>
      </c>
      <c r="L177" s="79">
        <v>1809842</v>
      </c>
    </row>
    <row r="178" spans="1:12" x14ac:dyDescent="0.2">
      <c r="A178" s="9">
        <v>0</v>
      </c>
      <c r="B178" s="9">
        <v>17</v>
      </c>
      <c r="C178" s="9">
        <v>6</v>
      </c>
      <c r="D178" s="9">
        <v>54</v>
      </c>
      <c r="E178" s="9">
        <v>4.4000000000000004</v>
      </c>
      <c r="F178" s="9" t="s">
        <v>128</v>
      </c>
      <c r="G178" s="27">
        <f t="shared" si="29"/>
        <v>-3.1740341437160096</v>
      </c>
      <c r="H178" s="27">
        <f t="shared" si="31"/>
        <v>4.0154641699582258E-2</v>
      </c>
      <c r="I178" s="48">
        <f t="shared" si="32"/>
        <v>407</v>
      </c>
      <c r="J178" s="47">
        <f t="shared" si="30"/>
        <v>0</v>
      </c>
      <c r="K178" s="47" t="str">
        <f t="shared" si="33"/>
        <v>TN</v>
      </c>
      <c r="L178" s="79">
        <v>5843780</v>
      </c>
    </row>
    <row r="179" spans="1:12" x14ac:dyDescent="0.2">
      <c r="A179" s="9">
        <v>0</v>
      </c>
      <c r="B179" s="9">
        <v>5</v>
      </c>
      <c r="C179" s="9">
        <v>3</v>
      </c>
      <c r="D179" s="9">
        <v>33</v>
      </c>
      <c r="E179" s="9">
        <v>7.3</v>
      </c>
      <c r="F179" s="9" t="s">
        <v>128</v>
      </c>
      <c r="G179" s="27">
        <f t="shared" si="29"/>
        <v>-1.1346127711822283</v>
      </c>
      <c r="H179" s="27">
        <f t="shared" si="31"/>
        <v>0.2433108352517945</v>
      </c>
      <c r="I179" s="48">
        <f t="shared" si="32"/>
        <v>459</v>
      </c>
      <c r="J179" s="47">
        <f t="shared" si="30"/>
        <v>1</v>
      </c>
      <c r="K179" s="47" t="str">
        <f t="shared" si="33"/>
        <v>FP</v>
      </c>
      <c r="L179" s="79">
        <v>5091564</v>
      </c>
    </row>
    <row r="180" spans="1:12" x14ac:dyDescent="0.2">
      <c r="A180" s="9">
        <v>0</v>
      </c>
      <c r="B180" s="9">
        <v>9</v>
      </c>
      <c r="C180" s="9">
        <v>16</v>
      </c>
      <c r="D180" s="9">
        <v>30</v>
      </c>
      <c r="E180" s="9">
        <v>7.6</v>
      </c>
      <c r="F180" s="9" t="s">
        <v>128</v>
      </c>
      <c r="G180" s="27">
        <f t="shared" si="29"/>
        <v>-2.2988233862653189</v>
      </c>
      <c r="H180" s="27">
        <f t="shared" si="31"/>
        <v>9.1220454546826549E-2</v>
      </c>
      <c r="I180" s="48">
        <f t="shared" si="32"/>
        <v>431</v>
      </c>
      <c r="J180" s="47">
        <f t="shared" si="30"/>
        <v>0</v>
      </c>
      <c r="K180" s="47" t="str">
        <f t="shared" si="33"/>
        <v>TN</v>
      </c>
      <c r="L180" s="79">
        <v>4383114</v>
      </c>
    </row>
    <row r="181" spans="1:12" x14ac:dyDescent="0.2">
      <c r="A181" s="9">
        <v>1</v>
      </c>
      <c r="B181" s="9">
        <v>0</v>
      </c>
      <c r="C181" s="9">
        <v>2</v>
      </c>
      <c r="D181" s="9">
        <v>21</v>
      </c>
      <c r="E181" s="9">
        <v>11.4</v>
      </c>
      <c r="F181" s="9" t="s">
        <v>128</v>
      </c>
      <c r="G181" s="27">
        <f t="shared" si="29"/>
        <v>5.0406330725771165E-2</v>
      </c>
      <c r="H181" s="27">
        <f t="shared" si="31"/>
        <v>0.5125989151860052</v>
      </c>
      <c r="I181" s="48">
        <f t="shared" si="32"/>
        <v>481</v>
      </c>
      <c r="J181" s="47">
        <f t="shared" si="30"/>
        <v>1</v>
      </c>
      <c r="K181" s="47" t="str">
        <f t="shared" si="33"/>
        <v>TP</v>
      </c>
      <c r="L181" s="79">
        <v>5305224</v>
      </c>
    </row>
    <row r="182" spans="1:12" x14ac:dyDescent="0.2">
      <c r="A182" s="9">
        <v>0</v>
      </c>
      <c r="B182" s="9">
        <v>7</v>
      </c>
      <c r="C182" s="9">
        <v>9</v>
      </c>
      <c r="D182" s="9">
        <v>22</v>
      </c>
      <c r="E182" s="9">
        <v>9.6999999999999993</v>
      </c>
      <c r="F182" s="9" t="s">
        <v>128</v>
      </c>
      <c r="G182" s="27">
        <f t="shared" si="29"/>
        <v>-1.5221321743929355</v>
      </c>
      <c r="H182" s="27">
        <f t="shared" si="31"/>
        <v>0.17914776044680442</v>
      </c>
      <c r="I182" s="48">
        <f t="shared" si="32"/>
        <v>450</v>
      </c>
      <c r="J182" s="47">
        <f t="shared" si="30"/>
        <v>0</v>
      </c>
      <c r="K182" s="47" t="str">
        <f t="shared" si="33"/>
        <v>TN</v>
      </c>
      <c r="L182" s="79">
        <v>1941741</v>
      </c>
    </row>
    <row r="183" spans="1:12" x14ac:dyDescent="0.2">
      <c r="A183" s="9">
        <v>0</v>
      </c>
      <c r="B183" s="9">
        <v>1</v>
      </c>
      <c r="C183" s="9">
        <v>2</v>
      </c>
      <c r="D183" s="9">
        <v>42</v>
      </c>
      <c r="E183" s="9">
        <v>5.7</v>
      </c>
      <c r="F183" s="9" t="s">
        <v>128</v>
      </c>
      <c r="G183" s="27">
        <f t="shared" si="29"/>
        <v>-0.58090247792391714</v>
      </c>
      <c r="H183" s="27">
        <f t="shared" si="31"/>
        <v>0.35872495995472509</v>
      </c>
      <c r="I183" s="48">
        <f t="shared" si="32"/>
        <v>470</v>
      </c>
      <c r="J183" s="47">
        <f t="shared" si="30"/>
        <v>1</v>
      </c>
      <c r="K183" s="47" t="str">
        <f t="shared" si="33"/>
        <v>FP</v>
      </c>
      <c r="L183" s="79">
        <v>3247852</v>
      </c>
    </row>
    <row r="184" spans="1:12" x14ac:dyDescent="0.2">
      <c r="A184" s="9">
        <v>1</v>
      </c>
      <c r="B184" s="9">
        <v>4</v>
      </c>
      <c r="C184" s="9">
        <v>6</v>
      </c>
      <c r="D184" s="9">
        <v>31</v>
      </c>
      <c r="E184" s="9">
        <v>9.3000000000000007</v>
      </c>
      <c r="F184" s="9" t="s">
        <v>128</v>
      </c>
      <c r="G184" s="27">
        <f t="shared" si="29"/>
        <v>-0.87059290900912467</v>
      </c>
      <c r="H184" s="27">
        <f t="shared" si="31"/>
        <v>0.2951309449487341</v>
      </c>
      <c r="I184" s="48">
        <f t="shared" si="32"/>
        <v>465</v>
      </c>
      <c r="J184" s="47">
        <f t="shared" si="30"/>
        <v>1</v>
      </c>
      <c r="K184" s="47" t="str">
        <f t="shared" si="33"/>
        <v>TP</v>
      </c>
      <c r="L184" s="79">
        <v>509042</v>
      </c>
    </row>
    <row r="185" spans="1:12" x14ac:dyDescent="0.2">
      <c r="A185" s="9">
        <v>1</v>
      </c>
      <c r="B185" s="9">
        <v>0</v>
      </c>
      <c r="C185" s="9">
        <v>2</v>
      </c>
      <c r="D185" s="9">
        <v>16</v>
      </c>
      <c r="E185" s="9">
        <v>16</v>
      </c>
      <c r="F185" s="9" t="s">
        <v>128</v>
      </c>
      <c r="G185" s="27">
        <f t="shared" si="29"/>
        <v>0.60323165820229718</v>
      </c>
      <c r="H185" s="27">
        <f t="shared" si="31"/>
        <v>0.64639531019227836</v>
      </c>
      <c r="I185" s="48">
        <f t="shared" si="32"/>
        <v>487</v>
      </c>
      <c r="J185" s="47">
        <f t="shared" si="30"/>
        <v>1</v>
      </c>
      <c r="K185" s="47" t="str">
        <f t="shared" si="33"/>
        <v>TP</v>
      </c>
      <c r="L185" s="79">
        <v>2458526</v>
      </c>
    </row>
    <row r="186" spans="1:12" x14ac:dyDescent="0.2">
      <c r="A186" s="9">
        <v>0</v>
      </c>
      <c r="B186" s="9">
        <v>6</v>
      </c>
      <c r="C186" s="9">
        <v>0</v>
      </c>
      <c r="D186" s="9">
        <v>22</v>
      </c>
      <c r="E186" s="9">
        <v>10.3</v>
      </c>
      <c r="F186" s="9" t="s">
        <v>128</v>
      </c>
      <c r="G186" s="27">
        <f t="shared" si="29"/>
        <v>-0.9021720054783483</v>
      </c>
      <c r="H186" s="27">
        <f t="shared" si="31"/>
        <v>0.28860435417248348</v>
      </c>
      <c r="I186" s="48">
        <f t="shared" si="32"/>
        <v>464</v>
      </c>
      <c r="J186" s="47">
        <f t="shared" si="30"/>
        <v>1</v>
      </c>
      <c r="K186" s="47" t="str">
        <f t="shared" si="33"/>
        <v>FP</v>
      </c>
      <c r="L186" s="79">
        <v>5998852</v>
      </c>
    </row>
    <row r="187" spans="1:12" x14ac:dyDescent="0.2">
      <c r="A187" s="9">
        <v>0</v>
      </c>
      <c r="B187" s="9">
        <v>23</v>
      </c>
      <c r="C187" s="9">
        <v>5</v>
      </c>
      <c r="D187" s="9">
        <v>50</v>
      </c>
      <c r="E187" s="9">
        <v>4.2</v>
      </c>
      <c r="F187" s="9" t="s">
        <v>128</v>
      </c>
      <c r="G187" s="27">
        <f t="shared" si="29"/>
        <v>-4.1171028214378591</v>
      </c>
      <c r="H187" s="27">
        <f t="shared" si="31"/>
        <v>1.6030482989023379E-2</v>
      </c>
      <c r="I187" s="48">
        <f t="shared" si="32"/>
        <v>381</v>
      </c>
      <c r="J187" s="47">
        <f t="shared" si="30"/>
        <v>0</v>
      </c>
      <c r="K187" s="47" t="str">
        <f t="shared" si="33"/>
        <v>TN</v>
      </c>
      <c r="L187" s="79">
        <v>8276639</v>
      </c>
    </row>
    <row r="188" spans="1:12" x14ac:dyDescent="0.2">
      <c r="A188" s="9">
        <v>0</v>
      </c>
      <c r="B188" s="9">
        <v>13</v>
      </c>
      <c r="C188" s="9">
        <v>5</v>
      </c>
      <c r="D188" s="9">
        <v>24</v>
      </c>
      <c r="E188" s="9">
        <v>8.9</v>
      </c>
      <c r="F188" s="9" t="s">
        <v>128</v>
      </c>
      <c r="G188" s="27">
        <f t="shared" si="29"/>
        <v>-2.3340854279907832</v>
      </c>
      <c r="H188" s="27">
        <f t="shared" si="31"/>
        <v>8.8339088286922954E-2</v>
      </c>
      <c r="I188" s="48">
        <f t="shared" si="32"/>
        <v>430</v>
      </c>
      <c r="J188" s="47">
        <f t="shared" si="30"/>
        <v>0</v>
      </c>
      <c r="K188" s="47" t="str">
        <f t="shared" si="33"/>
        <v>TN</v>
      </c>
      <c r="L188" s="79">
        <v>7177364</v>
      </c>
    </row>
    <row r="189" spans="1:12" x14ac:dyDescent="0.2">
      <c r="A189" s="9">
        <v>0</v>
      </c>
      <c r="B189" s="9">
        <v>9</v>
      </c>
      <c r="C189" s="9">
        <v>6</v>
      </c>
      <c r="D189" s="9">
        <v>35</v>
      </c>
      <c r="E189" s="9">
        <v>5</v>
      </c>
      <c r="F189" s="9" t="s">
        <v>128</v>
      </c>
      <c r="G189" s="27">
        <f t="shared" si="29"/>
        <v>-2.1499550733207649</v>
      </c>
      <c r="H189" s="27">
        <f t="shared" si="31"/>
        <v>0.1043354214219368</v>
      </c>
      <c r="I189" s="48">
        <f t="shared" si="32"/>
        <v>435</v>
      </c>
      <c r="J189" s="47">
        <f t="shared" si="30"/>
        <v>0</v>
      </c>
      <c r="K189" s="47" t="str">
        <f t="shared" si="33"/>
        <v>TN</v>
      </c>
      <c r="L189" s="79">
        <v>8816274</v>
      </c>
    </row>
    <row r="190" spans="1:12" x14ac:dyDescent="0.2">
      <c r="A190" s="9">
        <v>0</v>
      </c>
      <c r="B190" s="9">
        <v>12</v>
      </c>
      <c r="C190" s="9">
        <v>11</v>
      </c>
      <c r="D190" s="9">
        <v>32</v>
      </c>
      <c r="E190" s="9">
        <v>11.3</v>
      </c>
      <c r="F190" s="9" t="s">
        <v>128</v>
      </c>
      <c r="G190" s="27">
        <f t="shared" si="29"/>
        <v>-2.0073407956079401</v>
      </c>
      <c r="H190" s="27">
        <f t="shared" si="31"/>
        <v>0.11843433748841316</v>
      </c>
      <c r="I190" s="48">
        <f t="shared" si="32"/>
        <v>438</v>
      </c>
      <c r="J190" s="47">
        <f t="shared" si="30"/>
        <v>0</v>
      </c>
      <c r="K190" s="47" t="str">
        <f t="shared" si="33"/>
        <v>TN</v>
      </c>
      <c r="L190" s="79">
        <v>5115611</v>
      </c>
    </row>
    <row r="191" spans="1:12" x14ac:dyDescent="0.2">
      <c r="A191" s="9">
        <v>0</v>
      </c>
      <c r="B191" s="9">
        <v>16</v>
      </c>
      <c r="C191" s="9">
        <v>21</v>
      </c>
      <c r="D191" s="9">
        <v>80</v>
      </c>
      <c r="E191" s="9">
        <v>3</v>
      </c>
      <c r="F191" s="9" t="s">
        <v>128</v>
      </c>
      <c r="G191" s="27">
        <f t="shared" si="29"/>
        <v>-3.5006963380266987</v>
      </c>
      <c r="H191" s="27">
        <f t="shared" si="31"/>
        <v>2.9292424321366386E-2</v>
      </c>
      <c r="I191" s="48">
        <f t="shared" si="32"/>
        <v>398</v>
      </c>
      <c r="J191" s="47">
        <f t="shared" si="30"/>
        <v>0</v>
      </c>
      <c r="K191" s="47" t="str">
        <f t="shared" si="33"/>
        <v>TN</v>
      </c>
      <c r="L191" s="79">
        <v>3182328</v>
      </c>
    </row>
    <row r="192" spans="1:12" x14ac:dyDescent="0.2">
      <c r="A192" s="9">
        <v>0</v>
      </c>
      <c r="B192" s="9">
        <v>11</v>
      </c>
      <c r="C192" s="9">
        <v>5</v>
      </c>
      <c r="D192" s="9">
        <v>39</v>
      </c>
      <c r="E192" s="9">
        <v>10.1</v>
      </c>
      <c r="F192" s="9" t="s">
        <v>128</v>
      </c>
      <c r="G192" s="27">
        <f t="shared" si="29"/>
        <v>-1.6634765664441704</v>
      </c>
      <c r="H192" s="27">
        <f t="shared" si="31"/>
        <v>0.15929586110818506</v>
      </c>
      <c r="I192" s="48">
        <f t="shared" si="32"/>
        <v>447</v>
      </c>
      <c r="J192" s="47">
        <f t="shared" si="30"/>
        <v>0</v>
      </c>
      <c r="K192" s="47" t="str">
        <f t="shared" si="33"/>
        <v>TN</v>
      </c>
      <c r="L192" s="79">
        <v>8932875</v>
      </c>
    </row>
    <row r="193" spans="1:12" x14ac:dyDescent="0.2">
      <c r="A193" s="9">
        <v>0</v>
      </c>
      <c r="B193" s="9">
        <v>4</v>
      </c>
      <c r="C193" s="9">
        <v>19</v>
      </c>
      <c r="D193" s="9">
        <v>25</v>
      </c>
      <c r="E193" s="9">
        <v>10.1</v>
      </c>
      <c r="F193" s="9" t="s">
        <v>128</v>
      </c>
      <c r="G193" s="27">
        <f t="shared" si="29"/>
        <v>-1.4059957247271422</v>
      </c>
      <c r="H193" s="27">
        <f t="shared" si="31"/>
        <v>0.19686640401349823</v>
      </c>
      <c r="I193" s="48">
        <f t="shared" si="32"/>
        <v>453</v>
      </c>
      <c r="J193" s="47">
        <f t="shared" si="30"/>
        <v>0</v>
      </c>
      <c r="K193" s="47" t="str">
        <f t="shared" si="33"/>
        <v>TN</v>
      </c>
      <c r="L193" s="79">
        <v>3471920</v>
      </c>
    </row>
    <row r="194" spans="1:12" x14ac:dyDescent="0.2">
      <c r="A194" s="9">
        <v>0</v>
      </c>
      <c r="B194" s="9">
        <v>22</v>
      </c>
      <c r="C194" s="9">
        <v>4</v>
      </c>
      <c r="D194" s="9">
        <v>99</v>
      </c>
      <c r="E194" s="9">
        <v>2.2999999999999998</v>
      </c>
      <c r="F194" s="9" t="s">
        <v>128</v>
      </c>
      <c r="G194" s="27">
        <f t="shared" ref="G194:G257" si="34">SUMPRODUCT($S$3:$V$3,B194:E194)+$R$3</f>
        <v>-3.5037275590484103</v>
      </c>
      <c r="H194" s="27">
        <f t="shared" si="31"/>
        <v>2.9206356305786586E-2</v>
      </c>
      <c r="I194" s="48">
        <f t="shared" si="32"/>
        <v>398</v>
      </c>
      <c r="J194" s="47">
        <f t="shared" ref="J194:J257" si="35">IF(H194&gt;=$O$3,1,0)</f>
        <v>0</v>
      </c>
      <c r="K194" s="47" t="str">
        <f t="shared" si="33"/>
        <v>TN</v>
      </c>
      <c r="L194" s="79">
        <v>4452699</v>
      </c>
    </row>
    <row r="195" spans="1:12" x14ac:dyDescent="0.2">
      <c r="A195" s="9">
        <v>0</v>
      </c>
      <c r="B195" s="9">
        <v>2</v>
      </c>
      <c r="C195" s="9">
        <v>5</v>
      </c>
      <c r="D195" s="9">
        <v>39</v>
      </c>
      <c r="E195" s="9">
        <v>4.9000000000000004</v>
      </c>
      <c r="F195" s="9" t="s">
        <v>128</v>
      </c>
      <c r="G195" s="27">
        <f t="shared" si="34"/>
        <v>-1.0105194457002069</v>
      </c>
      <c r="H195" s="27">
        <f t="shared" ref="H195:H258" si="36">EXP(G195)/(1+EXP(G195))</f>
        <v>0.26687820670669454</v>
      </c>
      <c r="I195" s="48">
        <f t="shared" ref="I195:I258" si="37">ROUND($O$4+(($O$5/LN(2))*LN(H195)),0)</f>
        <v>462</v>
      </c>
      <c r="J195" s="47">
        <f t="shared" si="35"/>
        <v>1</v>
      </c>
      <c r="K195" s="47" t="str">
        <f t="shared" ref="K195:K258" si="38">+IF(AND(A195=1,J195=1),"TP",IF(AND(A195=0,J195=0),"TN",IF(AND(A195=0,J195=1),"FP",IF(AND(A195=1,J195=0),"FN","OC"))))</f>
        <v>FP</v>
      </c>
      <c r="L195" s="79">
        <v>9596187</v>
      </c>
    </row>
    <row r="196" spans="1:12" x14ac:dyDescent="0.2">
      <c r="A196" s="9">
        <v>1</v>
      </c>
      <c r="B196" s="9">
        <v>5</v>
      </c>
      <c r="C196" s="9">
        <v>3</v>
      </c>
      <c r="D196" s="9">
        <v>37</v>
      </c>
      <c r="E196" s="9">
        <v>5.4</v>
      </c>
      <c r="F196" s="9" t="s">
        <v>128</v>
      </c>
      <c r="G196" s="27">
        <f t="shared" si="34"/>
        <v>-1.3362443409306426</v>
      </c>
      <c r="H196" s="27">
        <f t="shared" si="36"/>
        <v>0.20812835378552305</v>
      </c>
      <c r="I196" s="48">
        <f t="shared" si="37"/>
        <v>455</v>
      </c>
      <c r="J196" s="47">
        <f t="shared" si="35"/>
        <v>1</v>
      </c>
      <c r="K196" s="47" t="str">
        <f t="shared" si="38"/>
        <v>TP</v>
      </c>
      <c r="L196" s="79">
        <v>8999720</v>
      </c>
    </row>
    <row r="197" spans="1:12" x14ac:dyDescent="0.2">
      <c r="A197" s="9">
        <v>0</v>
      </c>
      <c r="B197" s="9">
        <v>21</v>
      </c>
      <c r="C197" s="9">
        <v>26</v>
      </c>
      <c r="D197" s="13">
        <v>117.54291069294821</v>
      </c>
      <c r="E197" s="9">
        <v>3</v>
      </c>
      <c r="F197" s="9" t="s">
        <v>128</v>
      </c>
      <c r="G197" s="27">
        <f t="shared" si="34"/>
        <v>-3.951372775127</v>
      </c>
      <c r="H197" s="27">
        <f t="shared" si="36"/>
        <v>1.886553559142674E-2</v>
      </c>
      <c r="I197" s="48">
        <f t="shared" si="37"/>
        <v>385</v>
      </c>
      <c r="J197" s="47">
        <f t="shared" si="35"/>
        <v>0</v>
      </c>
      <c r="K197" s="47" t="str">
        <f t="shared" si="38"/>
        <v>TN</v>
      </c>
      <c r="L197" s="79">
        <v>2303642</v>
      </c>
    </row>
    <row r="198" spans="1:12" x14ac:dyDescent="0.2">
      <c r="A198" s="9">
        <v>0</v>
      </c>
      <c r="B198" s="9">
        <v>13</v>
      </c>
      <c r="C198" s="9">
        <v>0</v>
      </c>
      <c r="D198" s="9">
        <v>82</v>
      </c>
      <c r="E198" s="9">
        <v>3.3</v>
      </c>
      <c r="F198" s="9" t="s">
        <v>128</v>
      </c>
      <c r="G198" s="27">
        <f t="shared" si="34"/>
        <v>-2.0747777723472525</v>
      </c>
      <c r="H198" s="27">
        <f t="shared" si="36"/>
        <v>0.11157256640399793</v>
      </c>
      <c r="I198" s="48">
        <f t="shared" si="37"/>
        <v>437</v>
      </c>
      <c r="J198" s="47">
        <f t="shared" si="35"/>
        <v>0</v>
      </c>
      <c r="K198" s="47" t="str">
        <f t="shared" si="38"/>
        <v>TN</v>
      </c>
      <c r="L198" s="79">
        <v>1003100</v>
      </c>
    </row>
    <row r="199" spans="1:12" x14ac:dyDescent="0.2">
      <c r="A199" s="9">
        <v>0</v>
      </c>
      <c r="B199" s="9">
        <v>0</v>
      </c>
      <c r="C199" s="9">
        <v>10</v>
      </c>
      <c r="D199" s="9">
        <v>20</v>
      </c>
      <c r="E199" s="9">
        <v>17.100000000000001</v>
      </c>
      <c r="F199" s="9" t="s">
        <v>128</v>
      </c>
      <c r="G199" s="27">
        <f t="shared" si="34"/>
        <v>0.46209460548269909</v>
      </c>
      <c r="H199" s="27">
        <f t="shared" si="36"/>
        <v>0.6135109570018159</v>
      </c>
      <c r="I199" s="48">
        <f t="shared" si="37"/>
        <v>486</v>
      </c>
      <c r="J199" s="47">
        <f t="shared" si="35"/>
        <v>1</v>
      </c>
      <c r="K199" s="47" t="str">
        <f t="shared" si="38"/>
        <v>FP</v>
      </c>
      <c r="L199" s="79">
        <v>3927427</v>
      </c>
    </row>
    <row r="200" spans="1:12" x14ac:dyDescent="0.2">
      <c r="A200" s="9">
        <v>0</v>
      </c>
      <c r="B200" s="9">
        <v>18</v>
      </c>
      <c r="C200" s="9">
        <v>19</v>
      </c>
      <c r="D200" s="9">
        <v>44</v>
      </c>
      <c r="E200" s="9">
        <v>4.5</v>
      </c>
      <c r="F200" s="9" t="s">
        <v>128</v>
      </c>
      <c r="G200" s="27">
        <f t="shared" si="34"/>
        <v>-4.0099429847407011</v>
      </c>
      <c r="H200" s="27">
        <f t="shared" si="36"/>
        <v>1.7811429048429726E-2</v>
      </c>
      <c r="I200" s="48">
        <f t="shared" si="37"/>
        <v>384</v>
      </c>
      <c r="J200" s="47">
        <f t="shared" si="35"/>
        <v>0</v>
      </c>
      <c r="K200" s="47" t="str">
        <f t="shared" si="38"/>
        <v>TN</v>
      </c>
      <c r="L200" s="79">
        <v>7842599</v>
      </c>
    </row>
    <row r="201" spans="1:12" x14ac:dyDescent="0.2">
      <c r="A201" s="9">
        <v>0</v>
      </c>
      <c r="B201" s="9">
        <v>0</v>
      </c>
      <c r="C201" s="9">
        <v>4</v>
      </c>
      <c r="D201" s="9">
        <v>21</v>
      </c>
      <c r="E201" s="9">
        <v>8.6999999999999993</v>
      </c>
      <c r="F201" s="9" t="s">
        <v>128</v>
      </c>
      <c r="G201" s="27">
        <f t="shared" si="34"/>
        <v>-0.40085711204128516</v>
      </c>
      <c r="H201" s="27">
        <f t="shared" si="36"/>
        <v>0.40110642693936205</v>
      </c>
      <c r="I201" s="48">
        <f t="shared" si="37"/>
        <v>474</v>
      </c>
      <c r="J201" s="47">
        <f t="shared" si="35"/>
        <v>1</v>
      </c>
      <c r="K201" s="47" t="str">
        <f t="shared" si="38"/>
        <v>FP</v>
      </c>
      <c r="L201" s="79">
        <v>4933025</v>
      </c>
    </row>
    <row r="202" spans="1:12" x14ac:dyDescent="0.2">
      <c r="A202" s="9">
        <v>0</v>
      </c>
      <c r="B202" s="9">
        <v>3</v>
      </c>
      <c r="C202" s="9">
        <v>10</v>
      </c>
      <c r="D202" s="9">
        <v>23</v>
      </c>
      <c r="E202" s="9">
        <v>6.2</v>
      </c>
      <c r="F202" s="9" t="s">
        <v>128</v>
      </c>
      <c r="G202" s="27">
        <f t="shared" si="34"/>
        <v>-1.4219761600781213</v>
      </c>
      <c r="H202" s="27">
        <f t="shared" si="36"/>
        <v>0.1943519709565594</v>
      </c>
      <c r="I202" s="48">
        <f t="shared" si="37"/>
        <v>453</v>
      </c>
      <c r="J202" s="47">
        <f t="shared" si="35"/>
        <v>0</v>
      </c>
      <c r="K202" s="47" t="str">
        <f t="shared" si="38"/>
        <v>TN</v>
      </c>
      <c r="L202" s="79">
        <v>9287337</v>
      </c>
    </row>
    <row r="203" spans="1:12" x14ac:dyDescent="0.2">
      <c r="A203" s="9">
        <v>0</v>
      </c>
      <c r="B203" s="9">
        <v>4</v>
      </c>
      <c r="C203" s="9">
        <v>16</v>
      </c>
      <c r="D203" s="9">
        <v>29</v>
      </c>
      <c r="E203" s="9">
        <v>11</v>
      </c>
      <c r="F203" s="9" t="s">
        <v>128</v>
      </c>
      <c r="G203" s="27">
        <f t="shared" si="34"/>
        <v>-1.0997129535221679</v>
      </c>
      <c r="H203" s="27">
        <f t="shared" si="36"/>
        <v>0.24979368213239936</v>
      </c>
      <c r="I203" s="48">
        <f t="shared" si="37"/>
        <v>460</v>
      </c>
      <c r="J203" s="47">
        <f t="shared" si="35"/>
        <v>1</v>
      </c>
      <c r="K203" s="47" t="str">
        <f t="shared" si="38"/>
        <v>FP</v>
      </c>
      <c r="L203" s="79">
        <v>8928626</v>
      </c>
    </row>
    <row r="204" spans="1:12" x14ac:dyDescent="0.2">
      <c r="A204" s="9">
        <v>0</v>
      </c>
      <c r="B204" s="9">
        <v>5</v>
      </c>
      <c r="C204" s="9">
        <v>10</v>
      </c>
      <c r="D204" s="9">
        <v>18</v>
      </c>
      <c r="E204" s="9">
        <v>12.9</v>
      </c>
      <c r="F204" s="9" t="s">
        <v>128</v>
      </c>
      <c r="G204" s="27">
        <f t="shared" si="34"/>
        <v>-0.88657801524015001</v>
      </c>
      <c r="H204" s="27">
        <f t="shared" si="36"/>
        <v>0.29181650942239445</v>
      </c>
      <c r="I204" s="48">
        <f t="shared" si="37"/>
        <v>464</v>
      </c>
      <c r="J204" s="47">
        <f t="shared" si="35"/>
        <v>1</v>
      </c>
      <c r="K204" s="47" t="str">
        <f t="shared" si="38"/>
        <v>FP</v>
      </c>
      <c r="L204" s="79">
        <v>2887435</v>
      </c>
    </row>
    <row r="205" spans="1:12" x14ac:dyDescent="0.2">
      <c r="A205" s="9">
        <v>1</v>
      </c>
      <c r="B205" s="9">
        <v>1</v>
      </c>
      <c r="C205" s="9">
        <v>6</v>
      </c>
      <c r="D205" s="9">
        <v>15</v>
      </c>
      <c r="E205" s="9">
        <v>11.4</v>
      </c>
      <c r="F205" s="9" t="s">
        <v>128</v>
      </c>
      <c r="G205" s="27">
        <f t="shared" si="34"/>
        <v>-0.35560980366836237</v>
      </c>
      <c r="H205" s="27">
        <f t="shared" si="36"/>
        <v>0.41202272256016231</v>
      </c>
      <c r="I205" s="48">
        <f t="shared" si="37"/>
        <v>474</v>
      </c>
      <c r="J205" s="47">
        <f t="shared" si="35"/>
        <v>1</v>
      </c>
      <c r="K205" s="47" t="str">
        <f t="shared" si="38"/>
        <v>TP</v>
      </c>
      <c r="L205" s="79">
        <v>9458199</v>
      </c>
    </row>
    <row r="206" spans="1:12" x14ac:dyDescent="0.2">
      <c r="A206" s="9">
        <v>0</v>
      </c>
      <c r="B206" s="9">
        <v>0</v>
      </c>
      <c r="C206" s="9">
        <v>7</v>
      </c>
      <c r="D206" s="9">
        <v>28</v>
      </c>
      <c r="E206" s="9">
        <v>9.3000000000000007</v>
      </c>
      <c r="F206" s="9" t="s">
        <v>128</v>
      </c>
      <c r="G206" s="27">
        <f t="shared" si="34"/>
        <v>-0.35250987125348598</v>
      </c>
      <c r="H206" s="27">
        <f t="shared" si="36"/>
        <v>0.41277391644957623</v>
      </c>
      <c r="I206" s="48">
        <f t="shared" si="37"/>
        <v>474</v>
      </c>
      <c r="J206" s="47">
        <f t="shared" si="35"/>
        <v>1</v>
      </c>
      <c r="K206" s="47" t="str">
        <f t="shared" si="38"/>
        <v>FP</v>
      </c>
      <c r="L206" s="79">
        <v>4329589</v>
      </c>
    </row>
    <row r="207" spans="1:12" x14ac:dyDescent="0.2">
      <c r="A207" s="9">
        <v>1</v>
      </c>
      <c r="B207" s="9">
        <v>3</v>
      </c>
      <c r="C207" s="9">
        <v>0</v>
      </c>
      <c r="D207" s="9">
        <v>19</v>
      </c>
      <c r="E207" s="9">
        <v>8.4</v>
      </c>
      <c r="F207" s="9" t="s">
        <v>128</v>
      </c>
      <c r="G207" s="27">
        <f t="shared" si="34"/>
        <v>-0.74846486945681234</v>
      </c>
      <c r="H207" s="27">
        <f t="shared" si="36"/>
        <v>0.3211558900520442</v>
      </c>
      <c r="I207" s="48">
        <f t="shared" si="37"/>
        <v>467</v>
      </c>
      <c r="J207" s="47">
        <f t="shared" si="35"/>
        <v>1</v>
      </c>
      <c r="K207" s="47" t="str">
        <f t="shared" si="38"/>
        <v>TP</v>
      </c>
      <c r="L207" s="79">
        <v>8571665</v>
      </c>
    </row>
    <row r="208" spans="1:12" x14ac:dyDescent="0.2">
      <c r="A208" s="9">
        <v>0</v>
      </c>
      <c r="B208" s="9">
        <v>0</v>
      </c>
      <c r="C208" s="9">
        <v>1</v>
      </c>
      <c r="D208" s="9">
        <v>21</v>
      </c>
      <c r="E208" s="9">
        <v>7.2</v>
      </c>
      <c r="F208" s="9" t="s">
        <v>128</v>
      </c>
      <c r="G208" s="27">
        <f t="shared" si="34"/>
        <v>-0.47423680288624959</v>
      </c>
      <c r="H208" s="27">
        <f t="shared" si="36"/>
        <v>0.38361394066978055</v>
      </c>
      <c r="I208" s="48">
        <f t="shared" si="37"/>
        <v>472</v>
      </c>
      <c r="J208" s="47">
        <f t="shared" si="35"/>
        <v>1</v>
      </c>
      <c r="K208" s="47" t="str">
        <f t="shared" si="38"/>
        <v>FP</v>
      </c>
      <c r="L208" s="79">
        <v>6447263</v>
      </c>
    </row>
    <row r="209" spans="1:12" x14ac:dyDescent="0.2">
      <c r="A209" s="9">
        <v>0</v>
      </c>
      <c r="B209" s="9">
        <v>10</v>
      </c>
      <c r="C209" s="9">
        <v>4</v>
      </c>
      <c r="D209" s="9">
        <v>31</v>
      </c>
      <c r="E209" s="9">
        <v>4.8</v>
      </c>
      <c r="F209" s="9" t="s">
        <v>128</v>
      </c>
      <c r="G209" s="27">
        <f t="shared" si="34"/>
        <v>-2.2966039046874474</v>
      </c>
      <c r="H209" s="27">
        <f t="shared" si="36"/>
        <v>9.1404614987990948E-2</v>
      </c>
      <c r="I209" s="48">
        <f t="shared" si="37"/>
        <v>431</v>
      </c>
      <c r="J209" s="47">
        <f t="shared" si="35"/>
        <v>0</v>
      </c>
      <c r="K209" s="47" t="str">
        <f t="shared" si="38"/>
        <v>TN</v>
      </c>
      <c r="L209" s="79">
        <v>6794268</v>
      </c>
    </row>
    <row r="210" spans="1:12" x14ac:dyDescent="0.2">
      <c r="A210" s="9">
        <v>0</v>
      </c>
      <c r="B210" s="9">
        <v>4</v>
      </c>
      <c r="C210" s="9">
        <v>9</v>
      </c>
      <c r="D210" s="9">
        <v>38</v>
      </c>
      <c r="E210" s="9">
        <v>6.5</v>
      </c>
      <c r="F210" s="9" t="s">
        <v>128</v>
      </c>
      <c r="G210" s="27">
        <f t="shared" si="34"/>
        <v>-1.2818735073176981</v>
      </c>
      <c r="H210" s="27">
        <f t="shared" si="36"/>
        <v>0.21723147994566666</v>
      </c>
      <c r="I210" s="48">
        <f t="shared" si="37"/>
        <v>456</v>
      </c>
      <c r="J210" s="47">
        <f t="shared" si="35"/>
        <v>1</v>
      </c>
      <c r="K210" s="47" t="str">
        <f t="shared" si="38"/>
        <v>FP</v>
      </c>
      <c r="L210" s="79">
        <v>4256292</v>
      </c>
    </row>
    <row r="211" spans="1:12" x14ac:dyDescent="0.2">
      <c r="A211" s="9">
        <v>0</v>
      </c>
      <c r="B211" s="9">
        <v>1</v>
      </c>
      <c r="C211" s="9">
        <v>1</v>
      </c>
      <c r="D211" s="9">
        <v>21</v>
      </c>
      <c r="E211" s="9">
        <v>7.9</v>
      </c>
      <c r="F211" s="9" t="s">
        <v>128</v>
      </c>
      <c r="G211" s="27">
        <f t="shared" si="34"/>
        <v>-0.5302650247007421</v>
      </c>
      <c r="H211" s="27">
        <f t="shared" si="36"/>
        <v>0.37045507735023553</v>
      </c>
      <c r="I211" s="48">
        <f t="shared" si="37"/>
        <v>471</v>
      </c>
      <c r="J211" s="47">
        <f t="shared" si="35"/>
        <v>1</v>
      </c>
      <c r="K211" s="47" t="str">
        <f t="shared" si="38"/>
        <v>FP</v>
      </c>
      <c r="L211" s="79">
        <v>9414825</v>
      </c>
    </row>
    <row r="212" spans="1:12" x14ac:dyDescent="0.2">
      <c r="A212" s="9">
        <v>1</v>
      </c>
      <c r="B212" s="9">
        <v>4</v>
      </c>
      <c r="C212" s="9">
        <v>3</v>
      </c>
      <c r="D212" s="9">
        <v>37</v>
      </c>
      <c r="E212" s="9">
        <v>6.6</v>
      </c>
      <c r="F212" s="9" t="s">
        <v>128</v>
      </c>
      <c r="G212" s="27">
        <f t="shared" si="34"/>
        <v>-1.0233652678564127</v>
      </c>
      <c r="H212" s="27">
        <f t="shared" si="36"/>
        <v>0.26437240570303389</v>
      </c>
      <c r="I212" s="48">
        <f t="shared" si="37"/>
        <v>462</v>
      </c>
      <c r="J212" s="47">
        <f t="shared" si="35"/>
        <v>1</v>
      </c>
      <c r="K212" s="47" t="str">
        <f t="shared" si="38"/>
        <v>TP</v>
      </c>
      <c r="L212" s="79">
        <v>3313654</v>
      </c>
    </row>
    <row r="213" spans="1:12" x14ac:dyDescent="0.2">
      <c r="A213" s="9">
        <v>0</v>
      </c>
      <c r="B213" s="9">
        <v>9</v>
      </c>
      <c r="C213" s="9">
        <v>8</v>
      </c>
      <c r="D213" s="9">
        <v>32</v>
      </c>
      <c r="E213" s="9">
        <v>5.5</v>
      </c>
      <c r="F213" s="9" t="s">
        <v>128</v>
      </c>
      <c r="G213" s="27">
        <f t="shared" si="34"/>
        <v>-2.2100420698364922</v>
      </c>
      <c r="H213" s="27">
        <f t="shared" si="36"/>
        <v>9.8852325511034234E-2</v>
      </c>
      <c r="I213" s="48">
        <f t="shared" si="37"/>
        <v>433</v>
      </c>
      <c r="J213" s="47">
        <f t="shared" si="35"/>
        <v>0</v>
      </c>
      <c r="K213" s="47" t="str">
        <f t="shared" si="38"/>
        <v>TN</v>
      </c>
      <c r="L213" s="79">
        <v>4340885</v>
      </c>
    </row>
    <row r="214" spans="1:12" x14ac:dyDescent="0.2">
      <c r="A214" s="9">
        <v>0</v>
      </c>
      <c r="B214" s="9">
        <v>6</v>
      </c>
      <c r="C214" s="9">
        <v>1</v>
      </c>
      <c r="D214" s="9">
        <v>34</v>
      </c>
      <c r="E214" s="9">
        <v>4.4000000000000004</v>
      </c>
      <c r="F214" s="9" t="s">
        <v>128</v>
      </c>
      <c r="G214" s="27">
        <f t="shared" si="34"/>
        <v>-1.5772360787656996</v>
      </c>
      <c r="H214" s="27">
        <f t="shared" si="36"/>
        <v>0.17118727691125102</v>
      </c>
      <c r="I214" s="48">
        <f t="shared" si="37"/>
        <v>449</v>
      </c>
      <c r="J214" s="47">
        <f t="shared" si="35"/>
        <v>0</v>
      </c>
      <c r="K214" s="47" t="str">
        <f t="shared" si="38"/>
        <v>TN</v>
      </c>
      <c r="L214" s="79">
        <v>1036856</v>
      </c>
    </row>
    <row r="215" spans="1:12" x14ac:dyDescent="0.2">
      <c r="A215" s="9">
        <v>1</v>
      </c>
      <c r="B215" s="9">
        <v>2</v>
      </c>
      <c r="C215" s="9">
        <v>11</v>
      </c>
      <c r="D215" s="9">
        <v>15</v>
      </c>
      <c r="E215" s="9">
        <v>9.1</v>
      </c>
      <c r="F215" s="9" t="s">
        <v>128</v>
      </c>
      <c r="G215" s="27">
        <f t="shared" si="34"/>
        <v>-1.0328541628089083</v>
      </c>
      <c r="H215" s="27">
        <f t="shared" si="36"/>
        <v>0.26253113946128653</v>
      </c>
      <c r="I215" s="48">
        <f t="shared" si="37"/>
        <v>461</v>
      </c>
      <c r="J215" s="47">
        <f t="shared" si="35"/>
        <v>1</v>
      </c>
      <c r="K215" s="47" t="str">
        <f t="shared" si="38"/>
        <v>TP</v>
      </c>
      <c r="L215" s="79">
        <v>672312</v>
      </c>
    </row>
    <row r="216" spans="1:12" x14ac:dyDescent="0.2">
      <c r="A216" s="9">
        <v>0</v>
      </c>
      <c r="B216" s="9">
        <v>1</v>
      </c>
      <c r="C216" s="9">
        <v>5</v>
      </c>
      <c r="D216" s="9">
        <v>26</v>
      </c>
      <c r="E216" s="9">
        <v>10.6</v>
      </c>
      <c r="F216" s="9" t="s">
        <v>128</v>
      </c>
      <c r="G216" s="27">
        <f t="shared" si="34"/>
        <v>-0.26877207402787251</v>
      </c>
      <c r="H216" s="27">
        <f t="shared" si="36"/>
        <v>0.43320857387000306</v>
      </c>
      <c r="I216" s="48">
        <f t="shared" si="37"/>
        <v>476</v>
      </c>
      <c r="J216" s="47">
        <f t="shared" si="35"/>
        <v>1</v>
      </c>
      <c r="K216" s="47" t="str">
        <f t="shared" si="38"/>
        <v>FP</v>
      </c>
      <c r="L216" s="79">
        <v>1272304</v>
      </c>
    </row>
    <row r="217" spans="1:12" x14ac:dyDescent="0.2">
      <c r="A217" s="9">
        <v>0</v>
      </c>
      <c r="B217" s="9">
        <v>12</v>
      </c>
      <c r="C217" s="9">
        <v>11</v>
      </c>
      <c r="D217" s="9">
        <v>38</v>
      </c>
      <c r="E217" s="9">
        <v>3.6</v>
      </c>
      <c r="F217" s="9" t="s">
        <v>128</v>
      </c>
      <c r="G217" s="27">
        <f t="shared" si="34"/>
        <v>-2.9654337442356811</v>
      </c>
      <c r="H217" s="27">
        <f t="shared" si="36"/>
        <v>4.901211810226784E-2</v>
      </c>
      <c r="I217" s="48">
        <f t="shared" si="37"/>
        <v>413</v>
      </c>
      <c r="J217" s="47">
        <f t="shared" si="35"/>
        <v>0</v>
      </c>
      <c r="K217" s="47" t="str">
        <f t="shared" si="38"/>
        <v>TN</v>
      </c>
      <c r="L217" s="79">
        <v>2827822</v>
      </c>
    </row>
    <row r="218" spans="1:12" x14ac:dyDescent="0.2">
      <c r="A218" s="9">
        <v>0</v>
      </c>
      <c r="B218" s="9">
        <v>3</v>
      </c>
      <c r="C218" s="9">
        <v>4</v>
      </c>
      <c r="D218" s="9">
        <v>34</v>
      </c>
      <c r="E218" s="9">
        <v>4.4000000000000004</v>
      </c>
      <c r="F218" s="9" t="s">
        <v>128</v>
      </c>
      <c r="G218" s="27">
        <f t="shared" si="34"/>
        <v>-1.2546609273426039</v>
      </c>
      <c r="H218" s="27">
        <f t="shared" si="36"/>
        <v>0.22189435290699278</v>
      </c>
      <c r="I218" s="48">
        <f t="shared" si="37"/>
        <v>457</v>
      </c>
      <c r="J218" s="47">
        <f t="shared" si="35"/>
        <v>1</v>
      </c>
      <c r="K218" s="47" t="str">
        <f t="shared" si="38"/>
        <v>FP</v>
      </c>
      <c r="L218" s="79">
        <v>4995192</v>
      </c>
    </row>
    <row r="219" spans="1:12" x14ac:dyDescent="0.2">
      <c r="A219" s="9">
        <v>0</v>
      </c>
      <c r="B219" s="9">
        <v>13</v>
      </c>
      <c r="C219" s="9">
        <v>9</v>
      </c>
      <c r="D219" s="9">
        <v>27</v>
      </c>
      <c r="E219" s="9">
        <v>8</v>
      </c>
      <c r="F219" s="9" t="s">
        <v>128</v>
      </c>
      <c r="G219" s="27">
        <f t="shared" si="34"/>
        <v>-2.5868668888814996</v>
      </c>
      <c r="H219" s="27">
        <f t="shared" si="36"/>
        <v>6.9988442716952981E-2</v>
      </c>
      <c r="I219" s="48">
        <f t="shared" si="37"/>
        <v>423</v>
      </c>
      <c r="J219" s="47">
        <f t="shared" si="35"/>
        <v>0</v>
      </c>
      <c r="K219" s="47" t="str">
        <f t="shared" si="38"/>
        <v>TN</v>
      </c>
      <c r="L219" s="79">
        <v>3753317</v>
      </c>
    </row>
    <row r="220" spans="1:12" x14ac:dyDescent="0.2">
      <c r="A220" s="9">
        <v>0</v>
      </c>
      <c r="B220" s="9">
        <v>9</v>
      </c>
      <c r="C220" s="9">
        <v>20</v>
      </c>
      <c r="D220" s="9">
        <v>33</v>
      </c>
      <c r="E220" s="9">
        <v>5.2</v>
      </c>
      <c r="F220" s="9" t="s">
        <v>128</v>
      </c>
      <c r="G220" s="27">
        <f t="shared" si="34"/>
        <v>-2.7543818349926692</v>
      </c>
      <c r="H220" s="27">
        <f t="shared" si="36"/>
        <v>5.9839657094870324E-2</v>
      </c>
      <c r="I220" s="48">
        <f t="shared" si="37"/>
        <v>419</v>
      </c>
      <c r="J220" s="47">
        <f t="shared" si="35"/>
        <v>0</v>
      </c>
      <c r="K220" s="47" t="str">
        <f t="shared" si="38"/>
        <v>TN</v>
      </c>
      <c r="L220" s="79">
        <v>852419</v>
      </c>
    </row>
    <row r="221" spans="1:12" x14ac:dyDescent="0.2">
      <c r="A221" s="9">
        <v>0</v>
      </c>
      <c r="B221" s="9">
        <v>5</v>
      </c>
      <c r="C221" s="9">
        <v>7</v>
      </c>
      <c r="D221" s="9">
        <v>28</v>
      </c>
      <c r="E221" s="9">
        <v>7.8</v>
      </c>
      <c r="F221" s="9" t="s">
        <v>128</v>
      </c>
      <c r="G221" s="27">
        <f t="shared" si="34"/>
        <v>-1.3085742731147307</v>
      </c>
      <c r="H221" s="27">
        <f t="shared" si="36"/>
        <v>0.21272551761612574</v>
      </c>
      <c r="I221" s="48">
        <f t="shared" si="37"/>
        <v>455</v>
      </c>
      <c r="J221" s="47">
        <f t="shared" si="35"/>
        <v>1</v>
      </c>
      <c r="K221" s="47" t="str">
        <f t="shared" si="38"/>
        <v>FP</v>
      </c>
      <c r="L221" s="79">
        <v>7281978</v>
      </c>
    </row>
    <row r="222" spans="1:12" x14ac:dyDescent="0.2">
      <c r="A222" s="9">
        <v>0</v>
      </c>
      <c r="B222" s="9">
        <v>8</v>
      </c>
      <c r="C222" s="9">
        <v>7</v>
      </c>
      <c r="D222" s="9">
        <v>61</v>
      </c>
      <c r="E222" s="9">
        <v>2.8</v>
      </c>
      <c r="F222" s="9" t="s">
        <v>128</v>
      </c>
      <c r="G222" s="27">
        <f t="shared" si="34"/>
        <v>-1.9809109418498643</v>
      </c>
      <c r="H222" s="27">
        <f t="shared" si="36"/>
        <v>0.1212217644573316</v>
      </c>
      <c r="I222" s="48">
        <f t="shared" si="37"/>
        <v>439</v>
      </c>
      <c r="J222" s="47">
        <f t="shared" si="35"/>
        <v>0</v>
      </c>
      <c r="K222" s="47" t="str">
        <f t="shared" si="38"/>
        <v>TN</v>
      </c>
      <c r="L222" s="79">
        <v>8966155</v>
      </c>
    </row>
    <row r="223" spans="1:12" x14ac:dyDescent="0.2">
      <c r="A223" s="9">
        <v>0</v>
      </c>
      <c r="B223" s="9">
        <v>4</v>
      </c>
      <c r="C223" s="9">
        <v>6</v>
      </c>
      <c r="D223" s="9">
        <v>33</v>
      </c>
      <c r="E223" s="9">
        <v>5.2</v>
      </c>
      <c r="F223" s="9" t="s">
        <v>128</v>
      </c>
      <c r="G223" s="27">
        <f t="shared" si="34"/>
        <v>-1.3972403683402652</v>
      </c>
      <c r="H223" s="27">
        <f t="shared" si="36"/>
        <v>0.19825438851668944</v>
      </c>
      <c r="I223" s="48">
        <f t="shared" si="37"/>
        <v>453</v>
      </c>
      <c r="J223" s="47">
        <f t="shared" si="35"/>
        <v>0</v>
      </c>
      <c r="K223" s="47" t="str">
        <f t="shared" si="38"/>
        <v>TN</v>
      </c>
      <c r="L223" s="79">
        <v>4359321</v>
      </c>
    </row>
    <row r="224" spans="1:12" x14ac:dyDescent="0.2">
      <c r="A224" s="9">
        <v>0</v>
      </c>
      <c r="B224" s="9">
        <v>15</v>
      </c>
      <c r="C224" s="9">
        <v>19</v>
      </c>
      <c r="D224" s="9">
        <v>32</v>
      </c>
      <c r="E224" s="9">
        <v>4.9000000000000004</v>
      </c>
      <c r="F224" s="9" t="s">
        <v>128</v>
      </c>
      <c r="G224" s="27">
        <f t="shared" si="34"/>
        <v>-3.6695545174368016</v>
      </c>
      <c r="H224" s="27">
        <f t="shared" si="36"/>
        <v>2.4854338838915156E-2</v>
      </c>
      <c r="I224" s="48">
        <f t="shared" si="37"/>
        <v>393</v>
      </c>
      <c r="J224" s="47">
        <f t="shared" si="35"/>
        <v>0</v>
      </c>
      <c r="K224" s="47" t="str">
        <f t="shared" si="38"/>
        <v>TN</v>
      </c>
      <c r="L224" s="79">
        <v>3830719</v>
      </c>
    </row>
    <row r="225" spans="1:12" x14ac:dyDescent="0.2">
      <c r="A225" s="9">
        <v>0</v>
      </c>
      <c r="B225" s="9">
        <v>9</v>
      </c>
      <c r="C225" s="9">
        <v>1</v>
      </c>
      <c r="D225" s="9">
        <v>30</v>
      </c>
      <c r="E225" s="9">
        <v>5.8</v>
      </c>
      <c r="F225" s="9" t="s">
        <v>128</v>
      </c>
      <c r="G225" s="27">
        <f t="shared" si="34"/>
        <v>-1.8951692867109295</v>
      </c>
      <c r="H225" s="27">
        <f t="shared" si="36"/>
        <v>0.13065619336652806</v>
      </c>
      <c r="I225" s="48">
        <f t="shared" si="37"/>
        <v>441</v>
      </c>
      <c r="J225" s="47">
        <f t="shared" si="35"/>
        <v>0</v>
      </c>
      <c r="K225" s="47" t="str">
        <f t="shared" si="38"/>
        <v>TN</v>
      </c>
      <c r="L225" s="79">
        <v>7285133</v>
      </c>
    </row>
    <row r="226" spans="1:12" x14ac:dyDescent="0.2">
      <c r="A226" s="9">
        <v>0</v>
      </c>
      <c r="B226" s="9">
        <v>8</v>
      </c>
      <c r="C226" s="9">
        <v>10</v>
      </c>
      <c r="D226" s="9">
        <v>24</v>
      </c>
      <c r="E226" s="9">
        <v>6.7</v>
      </c>
      <c r="F226" s="9" t="s">
        <v>128</v>
      </c>
      <c r="G226" s="27">
        <f t="shared" si="34"/>
        <v>-2.0938664244460217</v>
      </c>
      <c r="H226" s="27">
        <f t="shared" si="36"/>
        <v>0.10969440317046772</v>
      </c>
      <c r="I226" s="48">
        <f t="shared" si="37"/>
        <v>436</v>
      </c>
      <c r="J226" s="47">
        <f t="shared" si="35"/>
        <v>0</v>
      </c>
      <c r="K226" s="47" t="str">
        <f t="shared" si="38"/>
        <v>TN</v>
      </c>
      <c r="L226" s="79">
        <v>2428063</v>
      </c>
    </row>
    <row r="227" spans="1:12" x14ac:dyDescent="0.2">
      <c r="A227" s="9">
        <v>0</v>
      </c>
      <c r="B227" s="9">
        <v>13</v>
      </c>
      <c r="C227" s="9">
        <v>15</v>
      </c>
      <c r="D227" s="9">
        <v>35</v>
      </c>
      <c r="E227" s="9">
        <v>4.5</v>
      </c>
      <c r="F227" s="9" t="s">
        <v>128</v>
      </c>
      <c r="G227" s="27">
        <f t="shared" si="34"/>
        <v>-3.2083692247943416</v>
      </c>
      <c r="H227" s="27">
        <f t="shared" si="36"/>
        <v>3.8851985922678925E-2</v>
      </c>
      <c r="I227" s="48">
        <f t="shared" si="37"/>
        <v>406</v>
      </c>
      <c r="J227" s="47">
        <f t="shared" si="35"/>
        <v>0</v>
      </c>
      <c r="K227" s="47" t="str">
        <f t="shared" si="38"/>
        <v>TN</v>
      </c>
      <c r="L227" s="79">
        <v>3996899</v>
      </c>
    </row>
    <row r="228" spans="1:12" x14ac:dyDescent="0.2">
      <c r="A228" s="9">
        <v>0</v>
      </c>
      <c r="B228" s="9">
        <v>1</v>
      </c>
      <c r="C228" s="9">
        <v>8</v>
      </c>
      <c r="D228" s="9">
        <v>17</v>
      </c>
      <c r="E228" s="9">
        <v>11</v>
      </c>
      <c r="F228" s="9" t="s">
        <v>128</v>
      </c>
      <c r="G228" s="27">
        <f t="shared" si="34"/>
        <v>-0.46833889099691728</v>
      </c>
      <c r="H228" s="27">
        <f t="shared" si="36"/>
        <v>0.38500948111176125</v>
      </c>
      <c r="I228" s="48">
        <f t="shared" si="37"/>
        <v>472</v>
      </c>
      <c r="J228" s="47">
        <f t="shared" si="35"/>
        <v>1</v>
      </c>
      <c r="K228" s="47" t="str">
        <f t="shared" si="38"/>
        <v>FP</v>
      </c>
      <c r="L228" s="79">
        <v>7272241</v>
      </c>
    </row>
    <row r="229" spans="1:12" x14ac:dyDescent="0.2">
      <c r="A229" s="9">
        <v>0</v>
      </c>
      <c r="B229" s="9">
        <v>13</v>
      </c>
      <c r="C229" s="9">
        <v>12</v>
      </c>
      <c r="D229" s="9">
        <v>27</v>
      </c>
      <c r="E229" s="9">
        <v>5</v>
      </c>
      <c r="F229" s="9" t="s">
        <v>128</v>
      </c>
      <c r="G229" s="27">
        <f t="shared" si="34"/>
        <v>-3.1218181615464395</v>
      </c>
      <c r="H229" s="27">
        <f t="shared" si="36"/>
        <v>4.2216195100448231E-2</v>
      </c>
      <c r="I229" s="48">
        <f t="shared" si="37"/>
        <v>409</v>
      </c>
      <c r="J229" s="47">
        <f t="shared" si="35"/>
        <v>0</v>
      </c>
      <c r="K229" s="47" t="str">
        <f t="shared" si="38"/>
        <v>TN</v>
      </c>
      <c r="L229" s="79">
        <v>8151852</v>
      </c>
    </row>
    <row r="230" spans="1:12" x14ac:dyDescent="0.2">
      <c r="A230" s="9">
        <v>0</v>
      </c>
      <c r="B230" s="9">
        <v>6</v>
      </c>
      <c r="C230" s="9">
        <v>2</v>
      </c>
      <c r="D230" s="9">
        <v>26</v>
      </c>
      <c r="E230" s="9">
        <v>4.5</v>
      </c>
      <c r="F230" s="9" t="s">
        <v>128</v>
      </c>
      <c r="G230" s="27">
        <f t="shared" si="34"/>
        <v>-1.7172886082631269</v>
      </c>
      <c r="H230" s="27">
        <f t="shared" si="36"/>
        <v>0.15222073778384326</v>
      </c>
      <c r="I230" s="48">
        <f t="shared" si="37"/>
        <v>446</v>
      </c>
      <c r="J230" s="47">
        <f t="shared" si="35"/>
        <v>0</v>
      </c>
      <c r="K230" s="47" t="str">
        <f t="shared" si="38"/>
        <v>TN</v>
      </c>
      <c r="L230" s="79">
        <v>682301</v>
      </c>
    </row>
    <row r="231" spans="1:12" x14ac:dyDescent="0.2">
      <c r="A231" s="9">
        <v>0</v>
      </c>
      <c r="B231" s="9">
        <v>2</v>
      </c>
      <c r="C231" s="9">
        <v>1</v>
      </c>
      <c r="D231" s="9">
        <v>36</v>
      </c>
      <c r="E231" s="9">
        <v>3.8</v>
      </c>
      <c r="F231" s="9" t="s">
        <v>128</v>
      </c>
      <c r="G231" s="27">
        <f t="shared" si="34"/>
        <v>-1.0281073019250044</v>
      </c>
      <c r="H231" s="27">
        <f t="shared" si="36"/>
        <v>0.26345120767027241</v>
      </c>
      <c r="I231" s="48">
        <f t="shared" si="37"/>
        <v>462</v>
      </c>
      <c r="J231" s="47">
        <f t="shared" si="35"/>
        <v>1</v>
      </c>
      <c r="K231" s="47" t="str">
        <f t="shared" si="38"/>
        <v>FP</v>
      </c>
      <c r="L231" s="79">
        <v>9776801</v>
      </c>
    </row>
    <row r="232" spans="1:12" x14ac:dyDescent="0.2">
      <c r="A232" s="9">
        <v>0</v>
      </c>
      <c r="B232" s="9">
        <v>20</v>
      </c>
      <c r="C232" s="9">
        <v>17</v>
      </c>
      <c r="D232" s="9">
        <v>101</v>
      </c>
      <c r="E232" s="9">
        <v>1.4</v>
      </c>
      <c r="F232" s="9" t="s">
        <v>128</v>
      </c>
      <c r="G232" s="27">
        <f t="shared" si="34"/>
        <v>-3.857190765682124</v>
      </c>
      <c r="H232" s="27">
        <f t="shared" si="36"/>
        <v>2.0690141522120401E-2</v>
      </c>
      <c r="I232" s="48">
        <f t="shared" si="37"/>
        <v>388</v>
      </c>
      <c r="J232" s="47">
        <f t="shared" si="35"/>
        <v>0</v>
      </c>
      <c r="K232" s="47" t="str">
        <f t="shared" si="38"/>
        <v>TN</v>
      </c>
      <c r="L232" s="79">
        <v>1963906</v>
      </c>
    </row>
    <row r="233" spans="1:12" x14ac:dyDescent="0.2">
      <c r="A233" s="9">
        <v>0</v>
      </c>
      <c r="B233" s="9">
        <v>1</v>
      </c>
      <c r="C233" s="9">
        <v>10</v>
      </c>
      <c r="D233" s="9">
        <v>30</v>
      </c>
      <c r="E233" s="9">
        <v>4.5</v>
      </c>
      <c r="F233" s="9" t="s">
        <v>128</v>
      </c>
      <c r="G233" s="27">
        <f t="shared" si="34"/>
        <v>-1.2538413713716483</v>
      </c>
      <c r="H233" s="27">
        <f t="shared" si="36"/>
        <v>0.22203588743745761</v>
      </c>
      <c r="I233" s="48">
        <f t="shared" si="37"/>
        <v>457</v>
      </c>
      <c r="J233" s="47">
        <f t="shared" si="35"/>
        <v>1</v>
      </c>
      <c r="K233" s="47" t="str">
        <f t="shared" si="38"/>
        <v>FP</v>
      </c>
      <c r="L233" s="79">
        <v>7984767</v>
      </c>
    </row>
    <row r="234" spans="1:12" x14ac:dyDescent="0.2">
      <c r="A234" s="9">
        <v>0</v>
      </c>
      <c r="B234" s="9">
        <v>3</v>
      </c>
      <c r="C234" s="9">
        <v>1</v>
      </c>
      <c r="D234" s="9">
        <v>17</v>
      </c>
      <c r="E234" s="9">
        <v>9</v>
      </c>
      <c r="F234" s="9" t="s">
        <v>128</v>
      </c>
      <c r="G234" s="27">
        <f t="shared" si="34"/>
        <v>-0.7380961474083767</v>
      </c>
      <c r="H234" s="27">
        <f t="shared" si="36"/>
        <v>0.32342060411477797</v>
      </c>
      <c r="I234" s="48">
        <f t="shared" si="37"/>
        <v>467</v>
      </c>
      <c r="J234" s="47">
        <f t="shared" si="35"/>
        <v>1</v>
      </c>
      <c r="K234" s="47" t="str">
        <f t="shared" si="38"/>
        <v>FP</v>
      </c>
      <c r="L234" s="79">
        <v>3407896</v>
      </c>
    </row>
    <row r="235" spans="1:12" x14ac:dyDescent="0.2">
      <c r="A235" s="9">
        <v>0</v>
      </c>
      <c r="B235" s="9">
        <v>12</v>
      </c>
      <c r="C235" s="9">
        <v>2</v>
      </c>
      <c r="D235" s="9">
        <v>40</v>
      </c>
      <c r="E235" s="9">
        <v>6.7</v>
      </c>
      <c r="F235" s="9" t="s">
        <v>128</v>
      </c>
      <c r="G235" s="27">
        <f t="shared" si="34"/>
        <v>-2.1305597709759634</v>
      </c>
      <c r="H235" s="27">
        <f t="shared" si="36"/>
        <v>0.10616186244418889</v>
      </c>
      <c r="I235" s="48">
        <f t="shared" si="37"/>
        <v>435</v>
      </c>
      <c r="J235" s="47">
        <f t="shared" si="35"/>
        <v>0</v>
      </c>
      <c r="K235" s="47" t="str">
        <f t="shared" si="38"/>
        <v>TN</v>
      </c>
      <c r="L235" s="79">
        <v>1455725</v>
      </c>
    </row>
    <row r="236" spans="1:12" x14ac:dyDescent="0.2">
      <c r="A236" s="9">
        <v>1</v>
      </c>
      <c r="B236" s="9">
        <v>8</v>
      </c>
      <c r="C236" s="9">
        <v>3</v>
      </c>
      <c r="D236" s="9">
        <v>31</v>
      </c>
      <c r="E236" s="9">
        <v>8.1999999999999993</v>
      </c>
      <c r="F236" s="9" t="s">
        <v>128</v>
      </c>
      <c r="G236" s="27">
        <f t="shared" si="34"/>
        <v>-1.4925286676506746</v>
      </c>
      <c r="H236" s="27">
        <f t="shared" si="36"/>
        <v>0.18354249155702526</v>
      </c>
      <c r="I236" s="48">
        <f t="shared" si="37"/>
        <v>451</v>
      </c>
      <c r="J236" s="47">
        <f t="shared" si="35"/>
        <v>0</v>
      </c>
      <c r="K236" s="47" t="str">
        <f t="shared" si="38"/>
        <v>FN</v>
      </c>
      <c r="L236" s="79">
        <v>7568958</v>
      </c>
    </row>
    <row r="237" spans="1:12" x14ac:dyDescent="0.2">
      <c r="A237" s="9">
        <v>0</v>
      </c>
      <c r="B237" s="9">
        <v>1</v>
      </c>
      <c r="C237" s="9">
        <v>4</v>
      </c>
      <c r="D237" s="9">
        <v>16</v>
      </c>
      <c r="E237" s="9">
        <v>9.3000000000000007</v>
      </c>
      <c r="F237" s="9" t="s">
        <v>128</v>
      </c>
      <c r="G237" s="27">
        <f t="shared" si="34"/>
        <v>-0.53942790160070686</v>
      </c>
      <c r="H237" s="27">
        <f t="shared" si="36"/>
        <v>0.36832067696537513</v>
      </c>
      <c r="I237" s="48">
        <f t="shared" si="37"/>
        <v>471</v>
      </c>
      <c r="J237" s="47">
        <f t="shared" si="35"/>
        <v>1</v>
      </c>
      <c r="K237" s="47" t="str">
        <f t="shared" si="38"/>
        <v>FP</v>
      </c>
      <c r="L237" s="79">
        <v>9311934</v>
      </c>
    </row>
    <row r="238" spans="1:12" x14ac:dyDescent="0.2">
      <c r="A238" s="9">
        <v>0</v>
      </c>
      <c r="B238" s="9">
        <v>16</v>
      </c>
      <c r="C238" s="9">
        <v>15</v>
      </c>
      <c r="D238" s="9">
        <v>36</v>
      </c>
      <c r="E238" s="9">
        <v>3.4</v>
      </c>
      <c r="F238" s="9" t="s">
        <v>128</v>
      </c>
      <c r="G238" s="27">
        <f t="shared" si="34"/>
        <v>-3.7952399772448091</v>
      </c>
      <c r="H238" s="27">
        <f t="shared" si="36"/>
        <v>2.1983379423740391E-2</v>
      </c>
      <c r="I238" s="48">
        <f t="shared" si="37"/>
        <v>390</v>
      </c>
      <c r="J238" s="47">
        <f t="shared" si="35"/>
        <v>0</v>
      </c>
      <c r="K238" s="47" t="str">
        <f t="shared" si="38"/>
        <v>TN</v>
      </c>
      <c r="L238" s="79">
        <v>3467888</v>
      </c>
    </row>
    <row r="239" spans="1:12" x14ac:dyDescent="0.2">
      <c r="A239" s="9">
        <v>0</v>
      </c>
      <c r="B239" s="9">
        <v>5</v>
      </c>
      <c r="C239" s="9">
        <v>3</v>
      </c>
      <c r="D239" s="9">
        <v>41</v>
      </c>
      <c r="E239" s="9">
        <v>3.4</v>
      </c>
      <c r="F239" s="9" t="s">
        <v>128</v>
      </c>
      <c r="G239" s="27">
        <f t="shared" si="34"/>
        <v>-1.5513943765348328</v>
      </c>
      <c r="H239" s="27">
        <f t="shared" si="36"/>
        <v>0.1748849681055295</v>
      </c>
      <c r="I239" s="48">
        <f t="shared" si="37"/>
        <v>450</v>
      </c>
      <c r="J239" s="47">
        <f t="shared" si="35"/>
        <v>0</v>
      </c>
      <c r="K239" s="47" t="str">
        <f t="shared" si="38"/>
        <v>TN</v>
      </c>
      <c r="L239" s="79">
        <v>681490</v>
      </c>
    </row>
    <row r="240" spans="1:12" x14ac:dyDescent="0.2">
      <c r="A240" s="9">
        <v>0</v>
      </c>
      <c r="B240" s="9">
        <v>5</v>
      </c>
      <c r="C240" s="9">
        <v>2</v>
      </c>
      <c r="D240" s="9">
        <v>17</v>
      </c>
      <c r="E240" s="9">
        <v>7.9</v>
      </c>
      <c r="F240" s="9" t="s">
        <v>128</v>
      </c>
      <c r="G240" s="27">
        <f t="shared" si="34"/>
        <v>-1.2312466697623097</v>
      </c>
      <c r="H240" s="27">
        <f t="shared" si="36"/>
        <v>0.22596330385117608</v>
      </c>
      <c r="I240" s="48">
        <f t="shared" si="37"/>
        <v>457</v>
      </c>
      <c r="J240" s="47">
        <f t="shared" si="35"/>
        <v>1</v>
      </c>
      <c r="K240" s="47" t="str">
        <f t="shared" si="38"/>
        <v>FP</v>
      </c>
      <c r="L240" s="79">
        <v>4243429</v>
      </c>
    </row>
    <row r="241" spans="1:12" x14ac:dyDescent="0.2">
      <c r="A241" s="9">
        <v>0</v>
      </c>
      <c r="B241" s="9">
        <v>7</v>
      </c>
      <c r="C241" s="9">
        <v>6</v>
      </c>
      <c r="D241" s="9">
        <v>26</v>
      </c>
      <c r="E241" s="9">
        <v>6</v>
      </c>
      <c r="F241" s="9" t="s">
        <v>128</v>
      </c>
      <c r="G241" s="27">
        <f t="shared" si="34"/>
        <v>-1.8376988325536412</v>
      </c>
      <c r="H241" s="27">
        <f t="shared" si="36"/>
        <v>0.13732367496471284</v>
      </c>
      <c r="I241" s="48">
        <f t="shared" si="37"/>
        <v>443</v>
      </c>
      <c r="J241" s="47">
        <f t="shared" si="35"/>
        <v>0</v>
      </c>
      <c r="K241" s="47" t="str">
        <f t="shared" si="38"/>
        <v>TN</v>
      </c>
      <c r="L241" s="79">
        <v>1546741</v>
      </c>
    </row>
    <row r="242" spans="1:12" x14ac:dyDescent="0.2">
      <c r="A242" s="9">
        <v>0</v>
      </c>
      <c r="B242" s="9">
        <v>18</v>
      </c>
      <c r="C242" s="9">
        <v>6</v>
      </c>
      <c r="D242" s="9">
        <v>100</v>
      </c>
      <c r="E242" s="9">
        <v>2.5</v>
      </c>
      <c r="F242" s="9" t="s">
        <v>128</v>
      </c>
      <c r="G242" s="27">
        <f t="shared" si="34"/>
        <v>-2.9465207404004543</v>
      </c>
      <c r="H242" s="27">
        <f t="shared" si="36"/>
        <v>4.9901208923806867E-2</v>
      </c>
      <c r="I242" s="48">
        <f t="shared" si="37"/>
        <v>414</v>
      </c>
      <c r="J242" s="47">
        <f t="shared" si="35"/>
        <v>0</v>
      </c>
      <c r="K242" s="47" t="str">
        <f t="shared" si="38"/>
        <v>TN</v>
      </c>
      <c r="L242" s="79">
        <v>5703317</v>
      </c>
    </row>
    <row r="243" spans="1:12" x14ac:dyDescent="0.2">
      <c r="A243" s="9">
        <v>0</v>
      </c>
      <c r="B243" s="9">
        <v>0</v>
      </c>
      <c r="C243" s="9">
        <v>2</v>
      </c>
      <c r="D243" s="9">
        <v>24</v>
      </c>
      <c r="E243" s="9">
        <v>7.7</v>
      </c>
      <c r="F243" s="9" t="s">
        <v>128</v>
      </c>
      <c r="G243" s="27">
        <f t="shared" si="34"/>
        <v>-0.40836244480443584</v>
      </c>
      <c r="H243" s="27">
        <f t="shared" si="36"/>
        <v>0.39930484109013281</v>
      </c>
      <c r="I243" s="48">
        <f t="shared" si="37"/>
        <v>474</v>
      </c>
      <c r="J243" s="47">
        <f t="shared" si="35"/>
        <v>1</v>
      </c>
      <c r="K243" s="47" t="str">
        <f t="shared" si="38"/>
        <v>FP</v>
      </c>
      <c r="L243" s="79">
        <v>2329582</v>
      </c>
    </row>
    <row r="244" spans="1:12" x14ac:dyDescent="0.2">
      <c r="A244" s="9">
        <v>0</v>
      </c>
      <c r="B244" s="9">
        <v>13</v>
      </c>
      <c r="C244" s="9">
        <v>0</v>
      </c>
      <c r="D244" s="9">
        <v>59</v>
      </c>
      <c r="E244" s="9">
        <v>2.4</v>
      </c>
      <c r="F244" s="9" t="s">
        <v>128</v>
      </c>
      <c r="G244" s="27">
        <f t="shared" si="34"/>
        <v>-2.5139548337393407</v>
      </c>
      <c r="H244" s="27">
        <f t="shared" si="36"/>
        <v>7.488566623674324E-2</v>
      </c>
      <c r="I244" s="48">
        <f t="shared" si="37"/>
        <v>425</v>
      </c>
      <c r="J244" s="47">
        <f t="shared" si="35"/>
        <v>0</v>
      </c>
      <c r="K244" s="47" t="str">
        <f t="shared" si="38"/>
        <v>TN</v>
      </c>
      <c r="L244" s="79">
        <v>3229629</v>
      </c>
    </row>
    <row r="245" spans="1:12" x14ac:dyDescent="0.2">
      <c r="A245" s="9">
        <v>0</v>
      </c>
      <c r="B245" s="9">
        <v>16</v>
      </c>
      <c r="C245" s="9">
        <v>25</v>
      </c>
      <c r="D245" s="9">
        <v>82</v>
      </c>
      <c r="E245" s="9">
        <v>4.4000000000000004</v>
      </c>
      <c r="F245" s="9" t="s">
        <v>128</v>
      </c>
      <c r="G245" s="27">
        <f t="shared" si="34"/>
        <v>-3.4563579046124051</v>
      </c>
      <c r="H245" s="27">
        <f t="shared" si="36"/>
        <v>3.0579817666931321E-2</v>
      </c>
      <c r="I245" s="48">
        <f t="shared" si="37"/>
        <v>399</v>
      </c>
      <c r="J245" s="47">
        <f t="shared" si="35"/>
        <v>0</v>
      </c>
      <c r="K245" s="47" t="str">
        <f t="shared" si="38"/>
        <v>TN</v>
      </c>
      <c r="L245" s="79">
        <v>2937044</v>
      </c>
    </row>
    <row r="246" spans="1:12" x14ac:dyDescent="0.2">
      <c r="A246" s="9">
        <v>1</v>
      </c>
      <c r="B246" s="9">
        <v>2</v>
      </c>
      <c r="C246" s="9">
        <v>1</v>
      </c>
      <c r="D246" s="9">
        <v>25</v>
      </c>
      <c r="E246" s="9">
        <v>4.5</v>
      </c>
      <c r="F246" s="9" t="s">
        <v>128</v>
      </c>
      <c r="G246" s="27">
        <f t="shared" si="34"/>
        <v>-1.0853310650907133</v>
      </c>
      <c r="H246" s="27">
        <f t="shared" si="36"/>
        <v>0.25249848844088169</v>
      </c>
      <c r="I246" s="48">
        <f t="shared" si="37"/>
        <v>460</v>
      </c>
      <c r="J246" s="47">
        <f t="shared" si="35"/>
        <v>1</v>
      </c>
      <c r="K246" s="47" t="str">
        <f t="shared" si="38"/>
        <v>TP</v>
      </c>
      <c r="L246" s="79">
        <v>1106667</v>
      </c>
    </row>
    <row r="247" spans="1:12" x14ac:dyDescent="0.2">
      <c r="A247" s="9">
        <v>0</v>
      </c>
      <c r="B247" s="9">
        <v>11</v>
      </c>
      <c r="C247" s="9">
        <v>7</v>
      </c>
      <c r="D247" s="9">
        <v>32</v>
      </c>
      <c r="E247" s="9">
        <v>6</v>
      </c>
      <c r="F247" s="9" t="s">
        <v>128</v>
      </c>
      <c r="G247" s="27">
        <f t="shared" si="34"/>
        <v>-2.400632273836901</v>
      </c>
      <c r="H247" s="27">
        <f t="shared" si="36"/>
        <v>8.3124495158108547E-2</v>
      </c>
      <c r="I247" s="48">
        <f t="shared" si="37"/>
        <v>428</v>
      </c>
      <c r="J247" s="47">
        <f t="shared" si="35"/>
        <v>0</v>
      </c>
      <c r="K247" s="47" t="str">
        <f t="shared" si="38"/>
        <v>TN</v>
      </c>
      <c r="L247" s="79">
        <v>5927812</v>
      </c>
    </row>
    <row r="248" spans="1:12" x14ac:dyDescent="0.2">
      <c r="A248" s="9">
        <v>1</v>
      </c>
      <c r="B248" s="9">
        <v>2</v>
      </c>
      <c r="C248" s="9">
        <v>8</v>
      </c>
      <c r="D248" s="9">
        <v>23</v>
      </c>
      <c r="E248" s="9">
        <v>5.7</v>
      </c>
      <c r="F248" s="9" t="s">
        <v>128</v>
      </c>
      <c r="G248" s="27">
        <f t="shared" si="34"/>
        <v>-1.252646141890964</v>
      </c>
      <c r="H248" s="27">
        <f t="shared" si="36"/>
        <v>0.2222424151301092</v>
      </c>
      <c r="I248" s="48">
        <f t="shared" si="37"/>
        <v>457</v>
      </c>
      <c r="J248" s="47">
        <f t="shared" si="35"/>
        <v>1</v>
      </c>
      <c r="K248" s="47" t="str">
        <f t="shared" si="38"/>
        <v>TP</v>
      </c>
      <c r="L248" s="79">
        <v>6504492</v>
      </c>
    </row>
    <row r="249" spans="1:12" x14ac:dyDescent="0.2">
      <c r="A249" s="9">
        <v>0</v>
      </c>
      <c r="B249" s="9">
        <v>1</v>
      </c>
      <c r="C249" s="9">
        <v>9</v>
      </c>
      <c r="D249" s="9">
        <v>17</v>
      </c>
      <c r="E249" s="9">
        <v>6.7</v>
      </c>
      <c r="F249" s="9" t="s">
        <v>128</v>
      </c>
      <c r="G249" s="27">
        <f t="shared" si="34"/>
        <v>-1.092765355125827</v>
      </c>
      <c r="H249" s="27">
        <f t="shared" si="36"/>
        <v>0.25109790175102642</v>
      </c>
      <c r="I249" s="48">
        <f t="shared" si="37"/>
        <v>460</v>
      </c>
      <c r="J249" s="47">
        <f t="shared" si="35"/>
        <v>1</v>
      </c>
      <c r="K249" s="47" t="str">
        <f t="shared" si="38"/>
        <v>FP</v>
      </c>
      <c r="L249" s="79">
        <v>8737498</v>
      </c>
    </row>
    <row r="250" spans="1:12" x14ac:dyDescent="0.2">
      <c r="A250" s="9">
        <v>0</v>
      </c>
      <c r="B250" s="9">
        <v>6</v>
      </c>
      <c r="C250" s="9">
        <v>2</v>
      </c>
      <c r="D250" s="9">
        <v>21</v>
      </c>
      <c r="E250" s="9">
        <v>5.2</v>
      </c>
      <c r="F250" s="9" t="s">
        <v>128</v>
      </c>
      <c r="G250" s="27">
        <f t="shared" si="34"/>
        <v>-1.6916834491618511</v>
      </c>
      <c r="H250" s="27">
        <f t="shared" si="36"/>
        <v>0.15555457845260368</v>
      </c>
      <c r="I250" s="48">
        <f t="shared" si="37"/>
        <v>446</v>
      </c>
      <c r="J250" s="47">
        <f t="shared" si="35"/>
        <v>0</v>
      </c>
      <c r="K250" s="47" t="str">
        <f t="shared" si="38"/>
        <v>TN</v>
      </c>
      <c r="L250" s="79">
        <v>808570</v>
      </c>
    </row>
    <row r="251" spans="1:12" x14ac:dyDescent="0.2">
      <c r="A251" s="9">
        <v>1</v>
      </c>
      <c r="B251" s="9">
        <v>0</v>
      </c>
      <c r="C251" s="9">
        <v>8</v>
      </c>
      <c r="D251" s="9">
        <v>23</v>
      </c>
      <c r="E251" s="9">
        <v>8.1</v>
      </c>
      <c r="F251" s="9" t="s">
        <v>128</v>
      </c>
      <c r="G251" s="27">
        <f t="shared" si="34"/>
        <v>-0.62688799574250464</v>
      </c>
      <c r="H251" s="27">
        <f t="shared" si="36"/>
        <v>0.34821650977207835</v>
      </c>
      <c r="I251" s="48">
        <f t="shared" si="37"/>
        <v>470</v>
      </c>
      <c r="J251" s="47">
        <f t="shared" si="35"/>
        <v>1</v>
      </c>
      <c r="K251" s="47" t="str">
        <f t="shared" si="38"/>
        <v>TP</v>
      </c>
      <c r="L251" s="79">
        <v>3700555</v>
      </c>
    </row>
    <row r="252" spans="1:12" x14ac:dyDescent="0.2">
      <c r="A252" s="9">
        <v>1</v>
      </c>
      <c r="B252" s="9">
        <v>4</v>
      </c>
      <c r="C252" s="9">
        <v>1</v>
      </c>
      <c r="D252" s="9">
        <v>40</v>
      </c>
      <c r="E252" s="9">
        <v>3.1</v>
      </c>
      <c r="F252" s="9" t="s">
        <v>128</v>
      </c>
      <c r="G252" s="27">
        <f t="shared" si="34"/>
        <v>-1.3688322470139549</v>
      </c>
      <c r="H252" s="27">
        <f t="shared" si="36"/>
        <v>0.20280858001342461</v>
      </c>
      <c r="I252" s="48">
        <f t="shared" si="37"/>
        <v>454</v>
      </c>
      <c r="J252" s="47">
        <f t="shared" si="35"/>
        <v>1</v>
      </c>
      <c r="K252" s="47" t="str">
        <f t="shared" si="38"/>
        <v>TP</v>
      </c>
      <c r="L252" s="79">
        <v>243742</v>
      </c>
    </row>
    <row r="253" spans="1:12" x14ac:dyDescent="0.2">
      <c r="A253" s="9">
        <v>0</v>
      </c>
      <c r="B253" s="9">
        <v>7</v>
      </c>
      <c r="C253" s="9">
        <v>23</v>
      </c>
      <c r="D253" s="9">
        <v>41</v>
      </c>
      <c r="E253" s="9">
        <v>4.5999999999999996</v>
      </c>
      <c r="F253" s="9" t="s">
        <v>128</v>
      </c>
      <c r="G253" s="27">
        <f t="shared" si="34"/>
        <v>-2.5531363984865041</v>
      </c>
      <c r="H253" s="27">
        <f t="shared" si="36"/>
        <v>7.2216061680380486E-2</v>
      </c>
      <c r="I253" s="48">
        <f t="shared" si="37"/>
        <v>424</v>
      </c>
      <c r="J253" s="47">
        <f t="shared" si="35"/>
        <v>0</v>
      </c>
      <c r="K253" s="47" t="str">
        <f t="shared" si="38"/>
        <v>TN</v>
      </c>
      <c r="L253" s="79">
        <v>9688626</v>
      </c>
    </row>
    <row r="254" spans="1:12" x14ac:dyDescent="0.2">
      <c r="A254" s="9">
        <v>0</v>
      </c>
      <c r="B254" s="9">
        <v>7</v>
      </c>
      <c r="C254" s="9">
        <v>10</v>
      </c>
      <c r="D254" s="9">
        <v>32</v>
      </c>
      <c r="E254" s="9">
        <v>4.3</v>
      </c>
      <c r="F254" s="9" t="s">
        <v>128</v>
      </c>
      <c r="G254" s="27">
        <f t="shared" si="34"/>
        <v>-2.15721355915707</v>
      </c>
      <c r="H254" s="27">
        <f t="shared" si="36"/>
        <v>0.10365906466619777</v>
      </c>
      <c r="I254" s="48">
        <f t="shared" si="37"/>
        <v>435</v>
      </c>
      <c r="J254" s="47">
        <f t="shared" si="35"/>
        <v>0</v>
      </c>
      <c r="K254" s="47" t="str">
        <f t="shared" si="38"/>
        <v>TN</v>
      </c>
      <c r="L254" s="79">
        <v>3335225</v>
      </c>
    </row>
    <row r="255" spans="1:12" x14ac:dyDescent="0.2">
      <c r="A255" s="9">
        <v>0</v>
      </c>
      <c r="B255" s="9">
        <v>0</v>
      </c>
      <c r="C255" s="9">
        <v>1</v>
      </c>
      <c r="D255" s="9">
        <v>16</v>
      </c>
      <c r="E255" s="9">
        <v>6.8</v>
      </c>
      <c r="F255" s="9" t="s">
        <v>128</v>
      </c>
      <c r="G255" s="27">
        <f t="shared" si="34"/>
        <v>-0.59733476819850617</v>
      </c>
      <c r="H255" s="27">
        <f t="shared" si="36"/>
        <v>0.35495369325302556</v>
      </c>
      <c r="I255" s="48">
        <f t="shared" si="37"/>
        <v>470</v>
      </c>
      <c r="J255" s="47">
        <f t="shared" si="35"/>
        <v>1</v>
      </c>
      <c r="K255" s="47" t="str">
        <f t="shared" si="38"/>
        <v>FP</v>
      </c>
      <c r="L255" s="79">
        <v>2671048</v>
      </c>
    </row>
    <row r="256" spans="1:12" x14ac:dyDescent="0.2">
      <c r="A256" s="9">
        <v>0</v>
      </c>
      <c r="B256" s="9">
        <v>8</v>
      </c>
      <c r="C256" s="9">
        <v>1</v>
      </c>
      <c r="D256" s="9">
        <v>35</v>
      </c>
      <c r="E256" s="9">
        <v>2.9</v>
      </c>
      <c r="F256" s="9" t="s">
        <v>128</v>
      </c>
      <c r="G256" s="27">
        <f t="shared" si="34"/>
        <v>-2.0675232118343478</v>
      </c>
      <c r="H256" s="27">
        <f t="shared" si="36"/>
        <v>0.11229369728551768</v>
      </c>
      <c r="I256" s="48">
        <f t="shared" si="37"/>
        <v>437</v>
      </c>
      <c r="J256" s="47">
        <f t="shared" si="35"/>
        <v>0</v>
      </c>
      <c r="K256" s="47" t="str">
        <f t="shared" si="38"/>
        <v>TN</v>
      </c>
      <c r="L256" s="79">
        <v>5837725</v>
      </c>
    </row>
    <row r="257" spans="1:12" x14ac:dyDescent="0.2">
      <c r="A257" s="9">
        <v>0</v>
      </c>
      <c r="B257" s="9">
        <v>7</v>
      </c>
      <c r="C257" s="9">
        <v>12</v>
      </c>
      <c r="D257" s="9">
        <v>25</v>
      </c>
      <c r="E257" s="9">
        <v>10.199999999999999</v>
      </c>
      <c r="F257" s="9" t="s">
        <v>128</v>
      </c>
      <c r="G257" s="27">
        <f t="shared" si="34"/>
        <v>-1.5425226809722352</v>
      </c>
      <c r="H257" s="27">
        <f t="shared" si="36"/>
        <v>0.17616885040037286</v>
      </c>
      <c r="I257" s="48">
        <f t="shared" si="37"/>
        <v>450</v>
      </c>
      <c r="J257" s="47">
        <f t="shared" si="35"/>
        <v>0</v>
      </c>
      <c r="K257" s="47" t="str">
        <f t="shared" si="38"/>
        <v>TN</v>
      </c>
      <c r="L257" s="79">
        <v>8061251</v>
      </c>
    </row>
    <row r="258" spans="1:12" x14ac:dyDescent="0.2">
      <c r="A258" s="9">
        <v>0</v>
      </c>
      <c r="B258" s="9">
        <v>3</v>
      </c>
      <c r="C258" s="9">
        <v>7</v>
      </c>
      <c r="D258" s="9">
        <v>24</v>
      </c>
      <c r="E258" s="9">
        <v>7</v>
      </c>
      <c r="F258" s="9" t="s">
        <v>128</v>
      </c>
      <c r="G258" s="27">
        <f t="shared" ref="G258:G321" si="39">SUMPRODUCT($S$3:$V$3,B258:E258)+$R$3</f>
        <v>-1.1706263158624151</v>
      </c>
      <c r="H258" s="27">
        <f t="shared" si="36"/>
        <v>0.23674179339579468</v>
      </c>
      <c r="I258" s="48">
        <f t="shared" si="37"/>
        <v>458</v>
      </c>
      <c r="J258" s="47">
        <f t="shared" ref="J258:J321" si="40">IF(H258&gt;=$O$3,1,0)</f>
        <v>1</v>
      </c>
      <c r="K258" s="47" t="str">
        <f t="shared" si="38"/>
        <v>FP</v>
      </c>
      <c r="L258" s="79">
        <v>8937336</v>
      </c>
    </row>
    <row r="259" spans="1:12" x14ac:dyDescent="0.2">
      <c r="A259" s="9">
        <v>0</v>
      </c>
      <c r="B259" s="9">
        <v>7</v>
      </c>
      <c r="C259" s="9">
        <v>3</v>
      </c>
      <c r="D259" s="9">
        <v>22</v>
      </c>
      <c r="E259" s="9">
        <v>5.0999999999999996</v>
      </c>
      <c r="F259" s="9" t="s">
        <v>128</v>
      </c>
      <c r="G259" s="27">
        <f t="shared" si="39"/>
        <v>-1.885187009775275</v>
      </c>
      <c r="H259" s="27">
        <f t="shared" ref="H259:H322" si="41">EXP(G259)/(1+EXP(G259))</f>
        <v>0.13179421813925324</v>
      </c>
      <c r="I259" s="48">
        <f t="shared" ref="I259:I322" si="42">ROUND($O$4+(($O$5/LN(2))*LN(H259)),0)</f>
        <v>442</v>
      </c>
      <c r="J259" s="47">
        <f t="shared" si="40"/>
        <v>0</v>
      </c>
      <c r="K259" s="47" t="str">
        <f t="shared" ref="K259:K322" si="43">+IF(AND(A259=1,J259=1),"TP",IF(AND(A259=0,J259=0),"TN",IF(AND(A259=0,J259=1),"FP",IF(AND(A259=1,J259=0),"FN","OC"))))</f>
        <v>TN</v>
      </c>
      <c r="L259" s="79">
        <v>9844518</v>
      </c>
    </row>
    <row r="260" spans="1:12" x14ac:dyDescent="0.2">
      <c r="A260" s="9">
        <v>0</v>
      </c>
      <c r="B260" s="9">
        <v>0</v>
      </c>
      <c r="C260" s="9">
        <v>3</v>
      </c>
      <c r="D260" s="9">
        <v>20</v>
      </c>
      <c r="E260" s="9">
        <v>5.6</v>
      </c>
      <c r="F260" s="9" t="s">
        <v>128</v>
      </c>
      <c r="G260" s="27">
        <f t="shared" si="39"/>
        <v>-0.79060194161760444</v>
      </c>
      <c r="H260" s="27">
        <f t="shared" si="41"/>
        <v>0.31203943549499968</v>
      </c>
      <c r="I260" s="48">
        <f t="shared" si="42"/>
        <v>466</v>
      </c>
      <c r="J260" s="47">
        <f t="shared" si="40"/>
        <v>1</v>
      </c>
      <c r="K260" s="47" t="str">
        <f t="shared" si="43"/>
        <v>FP</v>
      </c>
      <c r="L260" s="79">
        <v>952898</v>
      </c>
    </row>
    <row r="261" spans="1:12" x14ac:dyDescent="0.2">
      <c r="A261" s="9">
        <v>0</v>
      </c>
      <c r="B261" s="9">
        <v>4</v>
      </c>
      <c r="C261" s="9">
        <v>0</v>
      </c>
      <c r="D261" s="9">
        <v>26</v>
      </c>
      <c r="E261" s="9">
        <v>8.9</v>
      </c>
      <c r="F261" s="9" t="s">
        <v>128</v>
      </c>
      <c r="G261" s="27">
        <f t="shared" si="39"/>
        <v>-0.73489628033804077</v>
      </c>
      <c r="H261" s="27">
        <f t="shared" si="41"/>
        <v>0.32412119337796397</v>
      </c>
      <c r="I261" s="48">
        <f t="shared" si="42"/>
        <v>467</v>
      </c>
      <c r="J261" s="47">
        <f t="shared" si="40"/>
        <v>1</v>
      </c>
      <c r="K261" s="47" t="str">
        <f t="shared" si="43"/>
        <v>FP</v>
      </c>
      <c r="L261" s="79">
        <v>6457599</v>
      </c>
    </row>
    <row r="262" spans="1:12" x14ac:dyDescent="0.2">
      <c r="A262" s="9">
        <v>0</v>
      </c>
      <c r="B262" s="9">
        <v>11</v>
      </c>
      <c r="C262" s="9">
        <v>5</v>
      </c>
      <c r="D262" s="9">
        <v>36</v>
      </c>
      <c r="E262" s="9">
        <v>4.8</v>
      </c>
      <c r="F262" s="9" t="s">
        <v>128</v>
      </c>
      <c r="G262" s="27">
        <f t="shared" si="39"/>
        <v>-2.4213697179337723</v>
      </c>
      <c r="H262" s="27">
        <f t="shared" si="41"/>
        <v>8.155759660895151E-2</v>
      </c>
      <c r="I262" s="48">
        <f t="shared" si="42"/>
        <v>428</v>
      </c>
      <c r="J262" s="47">
        <f t="shared" si="40"/>
        <v>0</v>
      </c>
      <c r="K262" s="47" t="str">
        <f t="shared" si="43"/>
        <v>TN</v>
      </c>
      <c r="L262" s="79">
        <v>8323333</v>
      </c>
    </row>
    <row r="263" spans="1:12" x14ac:dyDescent="0.2">
      <c r="A263" s="9">
        <v>0</v>
      </c>
      <c r="B263" s="9">
        <v>5</v>
      </c>
      <c r="C263" s="9">
        <v>12</v>
      </c>
      <c r="D263" s="9">
        <v>20</v>
      </c>
      <c r="E263" s="9">
        <v>8.1</v>
      </c>
      <c r="F263" s="9" t="s">
        <v>128</v>
      </c>
      <c r="G263" s="27">
        <f t="shared" si="39"/>
        <v>-1.5941196002228337</v>
      </c>
      <c r="H263" s="27">
        <f t="shared" si="41"/>
        <v>0.16880508721220344</v>
      </c>
      <c r="I263" s="48">
        <f t="shared" si="42"/>
        <v>449</v>
      </c>
      <c r="J263" s="47">
        <f t="shared" si="40"/>
        <v>0</v>
      </c>
      <c r="K263" s="47" t="str">
        <f t="shared" si="43"/>
        <v>TN</v>
      </c>
      <c r="L263" s="79">
        <v>8364509</v>
      </c>
    </row>
    <row r="264" spans="1:12" x14ac:dyDescent="0.2">
      <c r="A264" s="9">
        <v>0</v>
      </c>
      <c r="B264" s="9">
        <v>4</v>
      </c>
      <c r="C264" s="9">
        <v>0</v>
      </c>
      <c r="D264" s="9">
        <v>33</v>
      </c>
      <c r="E264" s="9">
        <v>4.2</v>
      </c>
      <c r="F264" s="9" t="s">
        <v>128</v>
      </c>
      <c r="G264" s="27">
        <f t="shared" si="39"/>
        <v>-1.2736304329146813</v>
      </c>
      <c r="H264" s="27">
        <f t="shared" si="41"/>
        <v>0.2186364152902999</v>
      </c>
      <c r="I264" s="48">
        <f t="shared" si="42"/>
        <v>456</v>
      </c>
      <c r="J264" s="47">
        <f t="shared" si="40"/>
        <v>1</v>
      </c>
      <c r="K264" s="47" t="str">
        <f t="shared" si="43"/>
        <v>FP</v>
      </c>
      <c r="L264" s="79">
        <v>1184665</v>
      </c>
    </row>
    <row r="265" spans="1:12" x14ac:dyDescent="0.2">
      <c r="A265" s="9">
        <v>0</v>
      </c>
      <c r="B265" s="9">
        <v>4</v>
      </c>
      <c r="C265" s="9">
        <v>10</v>
      </c>
      <c r="D265" s="9">
        <v>25</v>
      </c>
      <c r="E265" s="9">
        <v>5.8</v>
      </c>
      <c r="F265" s="9" t="s">
        <v>128</v>
      </c>
      <c r="G265" s="27">
        <f t="shared" si="39"/>
        <v>-1.5990978655504846</v>
      </c>
      <c r="H265" s="27">
        <f t="shared" si="41"/>
        <v>0.16810773836618897</v>
      </c>
      <c r="I265" s="48">
        <f t="shared" si="42"/>
        <v>449</v>
      </c>
      <c r="J265" s="47">
        <f t="shared" si="40"/>
        <v>0</v>
      </c>
      <c r="K265" s="47" t="str">
        <f t="shared" si="43"/>
        <v>TN</v>
      </c>
      <c r="L265" s="79">
        <v>2882092</v>
      </c>
    </row>
    <row r="266" spans="1:12" x14ac:dyDescent="0.2">
      <c r="A266" s="9">
        <v>1</v>
      </c>
      <c r="B266" s="9">
        <v>1</v>
      </c>
      <c r="C266" s="9">
        <v>0</v>
      </c>
      <c r="D266" s="9">
        <v>20</v>
      </c>
      <c r="E266" s="9">
        <v>6.7</v>
      </c>
      <c r="F266" s="9" t="s">
        <v>128</v>
      </c>
      <c r="G266" s="27">
        <f t="shared" si="39"/>
        <v>-0.66315900301732378</v>
      </c>
      <c r="H266" s="27">
        <f t="shared" si="41"/>
        <v>0.34003034276617417</v>
      </c>
      <c r="I266" s="48">
        <f t="shared" si="42"/>
        <v>469</v>
      </c>
      <c r="J266" s="47">
        <f t="shared" si="40"/>
        <v>1</v>
      </c>
      <c r="K266" s="47" t="str">
        <f t="shared" si="43"/>
        <v>TP</v>
      </c>
      <c r="L266" s="79">
        <v>5984268</v>
      </c>
    </row>
    <row r="267" spans="1:12" x14ac:dyDescent="0.2">
      <c r="A267" s="9">
        <v>0</v>
      </c>
      <c r="B267" s="9">
        <v>9</v>
      </c>
      <c r="C267" s="9">
        <v>5</v>
      </c>
      <c r="D267" s="9">
        <v>26</v>
      </c>
      <c r="E267" s="9">
        <v>4.5</v>
      </c>
      <c r="F267" s="9" t="s">
        <v>128</v>
      </c>
      <c r="G267" s="27">
        <f t="shared" si="39"/>
        <v>-2.2986583536695631</v>
      </c>
      <c r="H267" s="27">
        <f t="shared" si="41"/>
        <v>9.1234136553706296E-2</v>
      </c>
      <c r="I267" s="48">
        <f t="shared" si="42"/>
        <v>431</v>
      </c>
      <c r="J267" s="47">
        <f t="shared" si="40"/>
        <v>0</v>
      </c>
      <c r="K267" s="47" t="str">
        <f t="shared" si="43"/>
        <v>TN</v>
      </c>
      <c r="L267" s="79">
        <v>5477225</v>
      </c>
    </row>
    <row r="268" spans="1:12" x14ac:dyDescent="0.2">
      <c r="A268" s="9">
        <v>0</v>
      </c>
      <c r="B268" s="9">
        <v>2</v>
      </c>
      <c r="C268" s="9">
        <v>7</v>
      </c>
      <c r="D268" s="9">
        <v>26</v>
      </c>
      <c r="E268" s="9">
        <v>6</v>
      </c>
      <c r="F268" s="9" t="s">
        <v>128</v>
      </c>
      <c r="G268" s="27">
        <f t="shared" si="39"/>
        <v>-1.1275438508595883</v>
      </c>
      <c r="H268" s="27">
        <f t="shared" si="41"/>
        <v>0.24461465930700396</v>
      </c>
      <c r="I268" s="48">
        <f t="shared" si="42"/>
        <v>459</v>
      </c>
      <c r="J268" s="47">
        <f t="shared" si="40"/>
        <v>1</v>
      </c>
      <c r="K268" s="47" t="str">
        <f t="shared" si="43"/>
        <v>FP</v>
      </c>
      <c r="L268" s="79">
        <v>8312000</v>
      </c>
    </row>
    <row r="269" spans="1:12" x14ac:dyDescent="0.2">
      <c r="A269" s="9">
        <v>0</v>
      </c>
      <c r="B269" s="9">
        <v>9</v>
      </c>
      <c r="C269" s="9">
        <v>10</v>
      </c>
      <c r="D269" s="9">
        <v>28</v>
      </c>
      <c r="E269" s="9">
        <v>4.3</v>
      </c>
      <c r="F269" s="9" t="s">
        <v>128</v>
      </c>
      <c r="G269" s="27">
        <f t="shared" si="39"/>
        <v>-2.5137478062782366</v>
      </c>
      <c r="H269" s="27">
        <f t="shared" si="41"/>
        <v>7.4900009906796697E-2</v>
      </c>
      <c r="I269" s="48">
        <f t="shared" si="42"/>
        <v>425</v>
      </c>
      <c r="J269" s="47">
        <f t="shared" si="40"/>
        <v>0</v>
      </c>
      <c r="K269" s="47" t="str">
        <f t="shared" si="43"/>
        <v>TN</v>
      </c>
      <c r="L269" s="79">
        <v>9505689</v>
      </c>
    </row>
    <row r="270" spans="1:12" x14ac:dyDescent="0.2">
      <c r="A270" s="9">
        <v>0</v>
      </c>
      <c r="B270" s="9">
        <v>15</v>
      </c>
      <c r="C270" s="9">
        <v>14</v>
      </c>
      <c r="D270" s="13">
        <v>117.54291069294821</v>
      </c>
      <c r="E270" s="9">
        <v>2.9</v>
      </c>
      <c r="F270" s="9" t="s">
        <v>128</v>
      </c>
      <c r="G270" s="27">
        <f t="shared" si="39"/>
        <v>-2.5433571561865631</v>
      </c>
      <c r="H270" s="27">
        <f t="shared" si="41"/>
        <v>7.2874027026924706E-2</v>
      </c>
      <c r="I270" s="48">
        <f t="shared" si="42"/>
        <v>424</v>
      </c>
      <c r="J270" s="47">
        <f t="shared" si="40"/>
        <v>0</v>
      </c>
      <c r="K270" s="47" t="str">
        <f t="shared" si="43"/>
        <v>TN</v>
      </c>
      <c r="L270" s="79">
        <v>8445963</v>
      </c>
    </row>
    <row r="271" spans="1:12" x14ac:dyDescent="0.2">
      <c r="A271" s="9">
        <v>0</v>
      </c>
      <c r="B271" s="9">
        <v>8</v>
      </c>
      <c r="C271" s="9">
        <v>4</v>
      </c>
      <c r="D271" s="9">
        <v>24</v>
      </c>
      <c r="E271" s="9">
        <v>5</v>
      </c>
      <c r="F271" s="9" t="s">
        <v>128</v>
      </c>
      <c r="G271" s="27">
        <f t="shared" si="39"/>
        <v>-2.0648857500108675</v>
      </c>
      <c r="H271" s="27">
        <f t="shared" si="41"/>
        <v>0.1125568785288657</v>
      </c>
      <c r="I271" s="48">
        <f t="shared" si="42"/>
        <v>437</v>
      </c>
      <c r="J271" s="47">
        <f t="shared" si="40"/>
        <v>0</v>
      </c>
      <c r="K271" s="47" t="str">
        <f t="shared" si="43"/>
        <v>TN</v>
      </c>
      <c r="L271" s="79">
        <v>4643418</v>
      </c>
    </row>
    <row r="272" spans="1:12" x14ac:dyDescent="0.2">
      <c r="A272" s="9">
        <v>1</v>
      </c>
      <c r="B272" s="9">
        <v>1</v>
      </c>
      <c r="C272" s="9">
        <v>0</v>
      </c>
      <c r="D272" s="9">
        <v>18</v>
      </c>
      <c r="E272" s="9">
        <v>5.9</v>
      </c>
      <c r="F272" s="9" t="s">
        <v>128</v>
      </c>
      <c r="G272" s="27">
        <f t="shared" si="39"/>
        <v>-0.79891637061919063</v>
      </c>
      <c r="H272" s="27">
        <f t="shared" si="41"/>
        <v>0.31025736541006532</v>
      </c>
      <c r="I272" s="48">
        <f t="shared" si="42"/>
        <v>466</v>
      </c>
      <c r="J272" s="47">
        <f t="shared" si="40"/>
        <v>1</v>
      </c>
      <c r="K272" s="47" t="str">
        <f t="shared" si="43"/>
        <v>TP</v>
      </c>
      <c r="L272" s="79">
        <v>660695</v>
      </c>
    </row>
    <row r="273" spans="1:12" x14ac:dyDescent="0.2">
      <c r="A273" s="9">
        <v>0</v>
      </c>
      <c r="B273" s="9">
        <v>5</v>
      </c>
      <c r="C273" s="9">
        <v>1</v>
      </c>
      <c r="D273" s="9">
        <v>33</v>
      </c>
      <c r="E273" s="9">
        <v>2.8</v>
      </c>
      <c r="F273" s="9" t="s">
        <v>128</v>
      </c>
      <c r="G273" s="27">
        <f t="shared" si="39"/>
        <v>-1.6566788700310191</v>
      </c>
      <c r="H273" s="27">
        <f t="shared" si="41"/>
        <v>0.16020832305173038</v>
      </c>
      <c r="I273" s="48">
        <f t="shared" si="42"/>
        <v>447</v>
      </c>
      <c r="J273" s="47">
        <f t="shared" si="40"/>
        <v>0</v>
      </c>
      <c r="K273" s="47" t="str">
        <f t="shared" si="43"/>
        <v>TN</v>
      </c>
      <c r="L273" s="79">
        <v>8613289</v>
      </c>
    </row>
    <row r="274" spans="1:12" x14ac:dyDescent="0.2">
      <c r="A274" s="9">
        <v>0</v>
      </c>
      <c r="B274" s="9">
        <v>8</v>
      </c>
      <c r="C274" s="9">
        <v>11</v>
      </c>
      <c r="D274" s="9">
        <v>45</v>
      </c>
      <c r="E274" s="9">
        <v>3.3</v>
      </c>
      <c r="F274" s="9" t="s">
        <v>128</v>
      </c>
      <c r="G274" s="27">
        <f t="shared" si="39"/>
        <v>-2.306725467938505</v>
      </c>
      <c r="H274" s="27">
        <f t="shared" si="41"/>
        <v>9.0567490249307533E-2</v>
      </c>
      <c r="I274" s="48">
        <f t="shared" si="42"/>
        <v>431</v>
      </c>
      <c r="J274" s="47">
        <f t="shared" si="40"/>
        <v>0</v>
      </c>
      <c r="K274" s="47" t="str">
        <f t="shared" si="43"/>
        <v>TN</v>
      </c>
      <c r="L274" s="79">
        <v>4282997</v>
      </c>
    </row>
    <row r="275" spans="1:12" x14ac:dyDescent="0.2">
      <c r="A275" s="9">
        <v>0</v>
      </c>
      <c r="B275" s="9">
        <v>7</v>
      </c>
      <c r="C275" s="9">
        <v>2</v>
      </c>
      <c r="D275" s="9">
        <v>21</v>
      </c>
      <c r="E275" s="9">
        <v>6.3</v>
      </c>
      <c r="F275" s="9" t="s">
        <v>128</v>
      </c>
      <c r="G275" s="27">
        <f t="shared" si="39"/>
        <v>-1.693637807553241</v>
      </c>
      <c r="H275" s="27">
        <f t="shared" si="41"/>
        <v>0.15529803189133659</v>
      </c>
      <c r="I275" s="48">
        <f t="shared" si="42"/>
        <v>446</v>
      </c>
      <c r="J275" s="47">
        <f t="shared" si="40"/>
        <v>0</v>
      </c>
      <c r="K275" s="47" t="str">
        <f t="shared" si="43"/>
        <v>TN</v>
      </c>
      <c r="L275" s="79">
        <v>3440658</v>
      </c>
    </row>
    <row r="276" spans="1:12" x14ac:dyDescent="0.2">
      <c r="A276" s="9">
        <v>0</v>
      </c>
      <c r="B276" s="9">
        <v>7</v>
      </c>
      <c r="C276" s="9">
        <v>0</v>
      </c>
      <c r="D276" s="9">
        <v>22</v>
      </c>
      <c r="E276" s="9">
        <v>6.4</v>
      </c>
      <c r="F276" s="9" t="s">
        <v>128</v>
      </c>
      <c r="G276" s="27">
        <f t="shared" si="39"/>
        <v>-1.5800496566585212</v>
      </c>
      <c r="H276" s="27">
        <f t="shared" si="41"/>
        <v>0.17078844954359598</v>
      </c>
      <c r="I276" s="48">
        <f t="shared" si="42"/>
        <v>449</v>
      </c>
      <c r="J276" s="47">
        <f t="shared" si="40"/>
        <v>0</v>
      </c>
      <c r="K276" s="47" t="str">
        <f t="shared" si="43"/>
        <v>TN</v>
      </c>
      <c r="L276" s="79">
        <v>5054903</v>
      </c>
    </row>
    <row r="277" spans="1:12" x14ac:dyDescent="0.2">
      <c r="A277" s="9">
        <v>0</v>
      </c>
      <c r="B277" s="9">
        <v>4</v>
      </c>
      <c r="C277" s="9">
        <v>3</v>
      </c>
      <c r="D277" s="9">
        <v>20</v>
      </c>
      <c r="E277" s="9">
        <v>5.4</v>
      </c>
      <c r="F277" s="9" t="s">
        <v>128</v>
      </c>
      <c r="G277" s="27">
        <f t="shared" si="39"/>
        <v>-1.4202688045488434</v>
      </c>
      <c r="H277" s="27">
        <f t="shared" si="41"/>
        <v>0.19461944697738237</v>
      </c>
      <c r="I277" s="48">
        <f t="shared" si="42"/>
        <v>453</v>
      </c>
      <c r="J277" s="47">
        <f t="shared" si="40"/>
        <v>0</v>
      </c>
      <c r="K277" s="47" t="str">
        <f t="shared" si="43"/>
        <v>TN</v>
      </c>
      <c r="L277" s="79">
        <v>8119801</v>
      </c>
    </row>
    <row r="278" spans="1:12" x14ac:dyDescent="0.2">
      <c r="A278" s="9">
        <v>0</v>
      </c>
      <c r="B278" s="9">
        <v>14</v>
      </c>
      <c r="C278" s="9">
        <v>2</v>
      </c>
      <c r="D278" s="9">
        <v>37</v>
      </c>
      <c r="E278" s="9">
        <v>2.6</v>
      </c>
      <c r="F278" s="9" t="s">
        <v>128</v>
      </c>
      <c r="G278" s="27">
        <f t="shared" si="39"/>
        <v>-3.0275462978061021</v>
      </c>
      <c r="H278" s="27">
        <f t="shared" si="41"/>
        <v>4.6196823416393702E-2</v>
      </c>
      <c r="I278" s="48">
        <f t="shared" si="42"/>
        <v>411</v>
      </c>
      <c r="J278" s="47">
        <f t="shared" si="40"/>
        <v>0</v>
      </c>
      <c r="K278" s="47" t="str">
        <f t="shared" si="43"/>
        <v>TN</v>
      </c>
      <c r="L278" s="79">
        <v>3297162</v>
      </c>
    </row>
    <row r="279" spans="1:12" x14ac:dyDescent="0.2">
      <c r="A279" s="9">
        <v>0</v>
      </c>
      <c r="B279" s="9">
        <v>19</v>
      </c>
      <c r="C279" s="9">
        <v>16</v>
      </c>
      <c r="D279" s="9">
        <v>45</v>
      </c>
      <c r="E279" s="9">
        <v>3.7</v>
      </c>
      <c r="F279" s="9" t="s">
        <v>128</v>
      </c>
      <c r="G279" s="27">
        <f t="shared" si="39"/>
        <v>-4.125546077022328</v>
      </c>
      <c r="H279" s="27">
        <f t="shared" si="41"/>
        <v>1.5897846020826983E-2</v>
      </c>
      <c r="I279" s="48">
        <f t="shared" si="42"/>
        <v>380</v>
      </c>
      <c r="J279" s="47">
        <f t="shared" si="40"/>
        <v>0</v>
      </c>
      <c r="K279" s="47" t="str">
        <f t="shared" si="43"/>
        <v>TN</v>
      </c>
      <c r="L279" s="79">
        <v>1412568</v>
      </c>
    </row>
    <row r="280" spans="1:12" x14ac:dyDescent="0.2">
      <c r="A280" s="9">
        <v>1</v>
      </c>
      <c r="B280" s="9">
        <v>7</v>
      </c>
      <c r="C280" s="9">
        <v>8</v>
      </c>
      <c r="D280" s="9">
        <v>30</v>
      </c>
      <c r="E280" s="9">
        <v>4</v>
      </c>
      <c r="F280" s="9" t="s">
        <v>128</v>
      </c>
      <c r="G280" s="27">
        <f t="shared" si="39"/>
        <v>-2.1391137328189447</v>
      </c>
      <c r="H280" s="27">
        <f t="shared" si="41"/>
        <v>0.10535289423745083</v>
      </c>
      <c r="I280" s="48">
        <f t="shared" si="42"/>
        <v>435</v>
      </c>
      <c r="J280" s="47">
        <f t="shared" si="40"/>
        <v>0</v>
      </c>
      <c r="K280" s="47" t="str">
        <f t="shared" si="43"/>
        <v>FN</v>
      </c>
      <c r="L280" s="79">
        <v>4280836</v>
      </c>
    </row>
    <row r="281" spans="1:12" x14ac:dyDescent="0.2">
      <c r="A281" s="9">
        <v>1</v>
      </c>
      <c r="B281" s="9">
        <v>0</v>
      </c>
      <c r="C281" s="9">
        <v>6</v>
      </c>
      <c r="D281" s="9">
        <v>18</v>
      </c>
      <c r="E281" s="9">
        <v>5.8</v>
      </c>
      <c r="F281" s="9" t="s">
        <v>128</v>
      </c>
      <c r="G281" s="27">
        <f t="shared" si="39"/>
        <v>-0.92057194765338501</v>
      </c>
      <c r="H281" s="27">
        <f t="shared" si="41"/>
        <v>0.28484137035711177</v>
      </c>
      <c r="I281" s="48">
        <f t="shared" si="42"/>
        <v>464</v>
      </c>
      <c r="J281" s="47">
        <f t="shared" si="40"/>
        <v>1</v>
      </c>
      <c r="K281" s="47" t="str">
        <f t="shared" si="43"/>
        <v>TP</v>
      </c>
      <c r="L281" s="79">
        <v>8723618</v>
      </c>
    </row>
    <row r="282" spans="1:12" x14ac:dyDescent="0.2">
      <c r="A282" s="9">
        <v>1</v>
      </c>
      <c r="B282" s="9">
        <v>0</v>
      </c>
      <c r="C282" s="9">
        <v>0</v>
      </c>
      <c r="D282" s="9">
        <v>14</v>
      </c>
      <c r="E282" s="9">
        <v>7.5</v>
      </c>
      <c r="F282" s="9" t="s">
        <v>128</v>
      </c>
      <c r="G282" s="27">
        <f t="shared" si="39"/>
        <v>-0.48718271563318138</v>
      </c>
      <c r="H282" s="27">
        <f t="shared" si="41"/>
        <v>0.38055747206662743</v>
      </c>
      <c r="I282" s="48">
        <f t="shared" si="42"/>
        <v>472</v>
      </c>
      <c r="J282" s="47">
        <f t="shared" si="40"/>
        <v>1</v>
      </c>
      <c r="K282" s="47" t="str">
        <f t="shared" si="43"/>
        <v>TP</v>
      </c>
      <c r="L282" s="79">
        <v>3481336</v>
      </c>
    </row>
    <row r="283" spans="1:12" x14ac:dyDescent="0.2">
      <c r="A283" s="9">
        <v>1</v>
      </c>
      <c r="B283" s="9">
        <v>2</v>
      </c>
      <c r="C283" s="9">
        <v>5</v>
      </c>
      <c r="D283" s="9">
        <v>16</v>
      </c>
      <c r="E283" s="9">
        <v>6.4</v>
      </c>
      <c r="F283" s="9" t="s">
        <v>128</v>
      </c>
      <c r="G283" s="27">
        <f t="shared" si="39"/>
        <v>-1.1252533265536795</v>
      </c>
      <c r="H283" s="27">
        <f t="shared" si="41"/>
        <v>0.24503814609830363</v>
      </c>
      <c r="I283" s="48">
        <f t="shared" si="42"/>
        <v>459</v>
      </c>
      <c r="J283" s="47">
        <f t="shared" si="40"/>
        <v>1</v>
      </c>
      <c r="K283" s="47" t="str">
        <f t="shared" si="43"/>
        <v>TP</v>
      </c>
      <c r="L283" s="79">
        <v>6391697</v>
      </c>
    </row>
    <row r="284" spans="1:12" x14ac:dyDescent="0.2">
      <c r="A284" s="9">
        <v>1</v>
      </c>
      <c r="B284" s="9">
        <v>0</v>
      </c>
      <c r="C284" s="9">
        <v>18</v>
      </c>
      <c r="D284" s="9">
        <v>18</v>
      </c>
      <c r="E284" s="9">
        <v>12.9</v>
      </c>
      <c r="F284" s="9" t="s">
        <v>128</v>
      </c>
      <c r="G284" s="27">
        <f t="shared" si="39"/>
        <v>-0.47835005985999457</v>
      </c>
      <c r="H284" s="27">
        <f t="shared" si="41"/>
        <v>0.38264181018676352</v>
      </c>
      <c r="I284" s="48">
        <f t="shared" si="42"/>
        <v>472</v>
      </c>
      <c r="J284" s="47">
        <f t="shared" si="40"/>
        <v>1</v>
      </c>
      <c r="K284" s="47" t="str">
        <f t="shared" si="43"/>
        <v>TP</v>
      </c>
      <c r="L284" s="79">
        <v>9346456</v>
      </c>
    </row>
    <row r="285" spans="1:12" x14ac:dyDescent="0.2">
      <c r="A285" s="9">
        <v>0</v>
      </c>
      <c r="B285" s="9">
        <v>8</v>
      </c>
      <c r="C285" s="9">
        <v>6</v>
      </c>
      <c r="D285" s="9">
        <v>26</v>
      </c>
      <c r="E285" s="9">
        <v>4.0999999999999996</v>
      </c>
      <c r="F285" s="9" t="s">
        <v>128</v>
      </c>
      <c r="G285" s="27">
        <f t="shared" si="39"/>
        <v>-2.2452071666183007</v>
      </c>
      <c r="H285" s="27">
        <f t="shared" si="41"/>
        <v>9.5763687414240933E-2</v>
      </c>
      <c r="I285" s="48">
        <f t="shared" si="42"/>
        <v>432</v>
      </c>
      <c r="J285" s="47">
        <f t="shared" si="40"/>
        <v>0</v>
      </c>
      <c r="K285" s="47" t="str">
        <f t="shared" si="43"/>
        <v>TN</v>
      </c>
      <c r="L285" s="79">
        <v>2559745</v>
      </c>
    </row>
    <row r="286" spans="1:12" x14ac:dyDescent="0.2">
      <c r="A286" s="9">
        <v>0</v>
      </c>
      <c r="B286" s="9">
        <v>2</v>
      </c>
      <c r="C286" s="9">
        <v>8</v>
      </c>
      <c r="D286" s="9">
        <v>25</v>
      </c>
      <c r="E286" s="9">
        <v>10</v>
      </c>
      <c r="F286" s="9" t="s">
        <v>128</v>
      </c>
      <c r="G286" s="27">
        <f t="shared" si="39"/>
        <v>-0.64374246933694956</v>
      </c>
      <c r="H286" s="27">
        <f t="shared" si="41"/>
        <v>0.3444010397527244</v>
      </c>
      <c r="I286" s="48">
        <f t="shared" si="42"/>
        <v>469</v>
      </c>
      <c r="J286" s="47">
        <f t="shared" si="40"/>
        <v>1</v>
      </c>
      <c r="K286" s="47" t="str">
        <f t="shared" si="43"/>
        <v>FP</v>
      </c>
      <c r="L286" s="79">
        <v>463703</v>
      </c>
    </row>
    <row r="287" spans="1:12" x14ac:dyDescent="0.2">
      <c r="A287" s="9">
        <v>1</v>
      </c>
      <c r="B287" s="9">
        <v>2</v>
      </c>
      <c r="C287" s="9">
        <v>2</v>
      </c>
      <c r="D287" s="9">
        <v>16</v>
      </c>
      <c r="E287" s="9">
        <v>9.6</v>
      </c>
      <c r="F287" s="9" t="s">
        <v>128</v>
      </c>
      <c r="G287" s="27">
        <f t="shared" si="39"/>
        <v>-0.56326512217718849</v>
      </c>
      <c r="H287" s="27">
        <f t="shared" si="41"/>
        <v>0.36279231056528505</v>
      </c>
      <c r="I287" s="48">
        <f t="shared" si="42"/>
        <v>471</v>
      </c>
      <c r="J287" s="47">
        <f t="shared" si="40"/>
        <v>1</v>
      </c>
      <c r="K287" s="47" t="str">
        <f t="shared" si="43"/>
        <v>TP</v>
      </c>
      <c r="L287" s="79">
        <v>1785676</v>
      </c>
    </row>
    <row r="288" spans="1:12" x14ac:dyDescent="0.2">
      <c r="A288" s="9">
        <v>0</v>
      </c>
      <c r="B288" s="9">
        <v>5</v>
      </c>
      <c r="C288" s="9">
        <v>9</v>
      </c>
      <c r="D288" s="9">
        <v>23</v>
      </c>
      <c r="E288" s="9">
        <v>4.5</v>
      </c>
      <c r="F288" s="9" t="s">
        <v>128</v>
      </c>
      <c r="G288" s="27">
        <f t="shared" si="39"/>
        <v>-1.9099726129055945</v>
      </c>
      <c r="H288" s="27">
        <f t="shared" si="41"/>
        <v>0.128983928974922</v>
      </c>
      <c r="I288" s="48">
        <f t="shared" si="42"/>
        <v>441</v>
      </c>
      <c r="J288" s="47">
        <f t="shared" si="40"/>
        <v>0</v>
      </c>
      <c r="K288" s="47" t="str">
        <f t="shared" si="43"/>
        <v>TN</v>
      </c>
      <c r="L288" s="79">
        <v>5287068</v>
      </c>
    </row>
    <row r="289" spans="1:12" x14ac:dyDescent="0.2">
      <c r="A289" s="9">
        <v>0</v>
      </c>
      <c r="B289" s="9">
        <v>12</v>
      </c>
      <c r="C289" s="9">
        <v>12</v>
      </c>
      <c r="D289" s="9">
        <v>28</v>
      </c>
      <c r="E289" s="9">
        <v>2.9</v>
      </c>
      <c r="F289" s="9" t="s">
        <v>128</v>
      </c>
      <c r="G289" s="27">
        <f t="shared" si="39"/>
        <v>-3.2412436413349752</v>
      </c>
      <c r="H289" s="27">
        <f t="shared" si="41"/>
        <v>3.7642812653146195E-2</v>
      </c>
      <c r="I289" s="48">
        <f t="shared" si="42"/>
        <v>405</v>
      </c>
      <c r="J289" s="47">
        <f t="shared" si="40"/>
        <v>0</v>
      </c>
      <c r="K289" s="47" t="str">
        <f t="shared" si="43"/>
        <v>TN</v>
      </c>
      <c r="L289" s="79">
        <v>2167991</v>
      </c>
    </row>
    <row r="290" spans="1:12" x14ac:dyDescent="0.2">
      <c r="A290" s="9">
        <v>0</v>
      </c>
      <c r="B290" s="9">
        <v>13</v>
      </c>
      <c r="C290" s="9">
        <v>2</v>
      </c>
      <c r="D290" s="9">
        <v>28</v>
      </c>
      <c r="E290" s="9">
        <v>5.9</v>
      </c>
      <c r="F290" s="9" t="s">
        <v>128</v>
      </c>
      <c r="G290" s="27">
        <f t="shared" si="39"/>
        <v>-2.5550228251610601</v>
      </c>
      <c r="H290" s="27">
        <f t="shared" si="41"/>
        <v>7.2089771343020845E-2</v>
      </c>
      <c r="I290" s="48">
        <f t="shared" si="42"/>
        <v>424</v>
      </c>
      <c r="J290" s="47">
        <f t="shared" si="40"/>
        <v>0</v>
      </c>
      <c r="K290" s="47" t="str">
        <f t="shared" si="43"/>
        <v>TN</v>
      </c>
      <c r="L290" s="79">
        <v>3456476</v>
      </c>
    </row>
    <row r="291" spans="1:12" x14ac:dyDescent="0.2">
      <c r="A291" s="9">
        <v>0</v>
      </c>
      <c r="B291" s="9">
        <v>8</v>
      </c>
      <c r="C291" s="9">
        <v>2</v>
      </c>
      <c r="D291" s="9">
        <v>45</v>
      </c>
      <c r="E291" s="9">
        <v>3.7</v>
      </c>
      <c r="F291" s="9" t="s">
        <v>128</v>
      </c>
      <c r="G291" s="27">
        <f t="shared" si="39"/>
        <v>-1.8644597135403917</v>
      </c>
      <c r="H291" s="27">
        <f t="shared" si="41"/>
        <v>0.13418408236171364</v>
      </c>
      <c r="I291" s="48">
        <f t="shared" si="42"/>
        <v>442</v>
      </c>
      <c r="J291" s="47">
        <f t="shared" si="40"/>
        <v>0</v>
      </c>
      <c r="K291" s="47" t="str">
        <f t="shared" si="43"/>
        <v>TN</v>
      </c>
      <c r="L291" s="79">
        <v>5227828</v>
      </c>
    </row>
    <row r="292" spans="1:12" x14ac:dyDescent="0.2">
      <c r="A292" s="9">
        <v>0</v>
      </c>
      <c r="B292" s="9">
        <v>13</v>
      </c>
      <c r="C292" s="9">
        <v>10</v>
      </c>
      <c r="D292" s="9">
        <v>44</v>
      </c>
      <c r="E292" s="9">
        <v>1.7</v>
      </c>
      <c r="F292" s="9" t="s">
        <v>128</v>
      </c>
      <c r="G292" s="27">
        <f t="shared" si="39"/>
        <v>-3.2469807237027997</v>
      </c>
      <c r="H292" s="27">
        <f t="shared" si="41"/>
        <v>3.7435532471149696E-2</v>
      </c>
      <c r="I292" s="48">
        <f t="shared" si="42"/>
        <v>405</v>
      </c>
      <c r="J292" s="47">
        <f t="shared" si="40"/>
        <v>0</v>
      </c>
      <c r="K292" s="47" t="str">
        <f t="shared" si="43"/>
        <v>TN</v>
      </c>
      <c r="L292" s="79">
        <v>9666679</v>
      </c>
    </row>
    <row r="293" spans="1:12" x14ac:dyDescent="0.2">
      <c r="A293" s="9">
        <v>1</v>
      </c>
      <c r="B293" s="9">
        <v>1</v>
      </c>
      <c r="C293" s="9">
        <v>0</v>
      </c>
      <c r="D293" s="9">
        <v>20</v>
      </c>
      <c r="E293" s="9">
        <v>4.8</v>
      </c>
      <c r="F293" s="9" t="s">
        <v>128</v>
      </c>
      <c r="G293" s="27">
        <f t="shared" si="39"/>
        <v>-0.92000985427706139</v>
      </c>
      <c r="H293" s="27">
        <f t="shared" si="41"/>
        <v>0.28495588642639058</v>
      </c>
      <c r="I293" s="48">
        <f t="shared" si="42"/>
        <v>464</v>
      </c>
      <c r="J293" s="47">
        <f t="shared" si="40"/>
        <v>1</v>
      </c>
      <c r="K293" s="47" t="str">
        <f t="shared" si="43"/>
        <v>TP</v>
      </c>
      <c r="L293" s="79">
        <v>1108959</v>
      </c>
    </row>
    <row r="294" spans="1:12" x14ac:dyDescent="0.2">
      <c r="A294" s="9">
        <v>0</v>
      </c>
      <c r="B294" s="9">
        <v>3</v>
      </c>
      <c r="C294" s="9">
        <v>3</v>
      </c>
      <c r="D294" s="9">
        <v>25</v>
      </c>
      <c r="E294" s="9">
        <v>3.7</v>
      </c>
      <c r="F294" s="9" t="s">
        <v>128</v>
      </c>
      <c r="G294" s="27">
        <f t="shared" si="39"/>
        <v>-1.4304011394029539</v>
      </c>
      <c r="H294" s="27">
        <f t="shared" si="41"/>
        <v>0.1930361897626324</v>
      </c>
      <c r="I294" s="48">
        <f t="shared" si="42"/>
        <v>453</v>
      </c>
      <c r="J294" s="47">
        <f t="shared" si="40"/>
        <v>0</v>
      </c>
      <c r="K294" s="47" t="str">
        <f t="shared" si="43"/>
        <v>TN</v>
      </c>
      <c r="L294" s="79">
        <v>9682262</v>
      </c>
    </row>
    <row r="295" spans="1:12" x14ac:dyDescent="0.2">
      <c r="A295" s="9">
        <v>0</v>
      </c>
      <c r="B295" s="9">
        <v>9</v>
      </c>
      <c r="C295" s="9">
        <v>10</v>
      </c>
      <c r="D295" s="9">
        <v>28</v>
      </c>
      <c r="E295" s="9">
        <v>2.4</v>
      </c>
      <c r="F295" s="9" t="s">
        <v>128</v>
      </c>
      <c r="G295" s="27">
        <f t="shared" si="39"/>
        <v>-2.770598657537974</v>
      </c>
      <c r="H295" s="27">
        <f t="shared" si="41"/>
        <v>5.8933802784541182E-2</v>
      </c>
      <c r="I295" s="48">
        <f t="shared" si="42"/>
        <v>418</v>
      </c>
      <c r="J295" s="47">
        <f t="shared" si="40"/>
        <v>0</v>
      </c>
      <c r="K295" s="47" t="str">
        <f t="shared" si="43"/>
        <v>TN</v>
      </c>
      <c r="L295" s="79">
        <v>7867726</v>
      </c>
    </row>
    <row r="296" spans="1:12" x14ac:dyDescent="0.2">
      <c r="A296" s="9">
        <v>0</v>
      </c>
      <c r="B296" s="9">
        <v>3</v>
      </c>
      <c r="C296" s="9">
        <v>18</v>
      </c>
      <c r="D296" s="9">
        <v>25</v>
      </c>
      <c r="E296" s="9">
        <v>3.7</v>
      </c>
      <c r="F296" s="9" t="s">
        <v>128</v>
      </c>
      <c r="G296" s="27">
        <f t="shared" si="39"/>
        <v>-2.0773876243613052</v>
      </c>
      <c r="H296" s="27">
        <f t="shared" si="41"/>
        <v>0.11131412923103516</v>
      </c>
      <c r="I296" s="48">
        <f t="shared" si="42"/>
        <v>437</v>
      </c>
      <c r="J296" s="47">
        <f t="shared" si="40"/>
        <v>0</v>
      </c>
      <c r="K296" s="47" t="str">
        <f t="shared" si="43"/>
        <v>TN</v>
      </c>
      <c r="L296" s="79">
        <v>4451691</v>
      </c>
    </row>
    <row r="297" spans="1:12" x14ac:dyDescent="0.2">
      <c r="A297" s="9">
        <v>0</v>
      </c>
      <c r="B297" s="9">
        <v>14</v>
      </c>
      <c r="C297" s="9">
        <v>0</v>
      </c>
      <c r="D297" s="9">
        <v>36</v>
      </c>
      <c r="E297" s="9">
        <v>2.4</v>
      </c>
      <c r="F297" s="9" t="s">
        <v>128</v>
      </c>
      <c r="G297" s="27">
        <f t="shared" si="39"/>
        <v>-2.9821231852343706</v>
      </c>
      <c r="H297" s="27">
        <f t="shared" si="41"/>
        <v>4.8240053466290282E-2</v>
      </c>
      <c r="I297" s="48">
        <f t="shared" si="42"/>
        <v>413</v>
      </c>
      <c r="J297" s="47">
        <f t="shared" si="40"/>
        <v>0</v>
      </c>
      <c r="K297" s="47" t="str">
        <f t="shared" si="43"/>
        <v>TN</v>
      </c>
      <c r="L297" s="79">
        <v>4763370</v>
      </c>
    </row>
    <row r="298" spans="1:12" x14ac:dyDescent="0.2">
      <c r="A298" s="9">
        <v>0</v>
      </c>
      <c r="B298" s="9">
        <v>13</v>
      </c>
      <c r="C298" s="9">
        <v>3</v>
      </c>
      <c r="D298" s="9">
        <v>105</v>
      </c>
      <c r="E298" s="9">
        <v>1.9</v>
      </c>
      <c r="F298" s="9" t="s">
        <v>128</v>
      </c>
      <c r="G298" s="27">
        <f t="shared" si="39"/>
        <v>-2.0759227226296741</v>
      </c>
      <c r="H298" s="27">
        <f t="shared" si="41"/>
        <v>0.1114591246680464</v>
      </c>
      <c r="I298" s="48">
        <f t="shared" si="42"/>
        <v>437</v>
      </c>
      <c r="J298" s="47">
        <f t="shared" si="40"/>
        <v>0</v>
      </c>
      <c r="K298" s="47" t="str">
        <f t="shared" si="43"/>
        <v>TN</v>
      </c>
      <c r="L298" s="79">
        <v>8992516</v>
      </c>
    </row>
    <row r="299" spans="1:12" x14ac:dyDescent="0.2">
      <c r="A299" s="9">
        <v>0</v>
      </c>
      <c r="B299" s="9">
        <v>6</v>
      </c>
      <c r="C299" s="9">
        <v>0</v>
      </c>
      <c r="D299" s="9">
        <v>35</v>
      </c>
      <c r="E299" s="9">
        <v>1.9</v>
      </c>
      <c r="F299" s="9" t="s">
        <v>128</v>
      </c>
      <c r="G299" s="27">
        <f t="shared" si="39"/>
        <v>-1.8582604724517036</v>
      </c>
      <c r="H299" s="27">
        <f t="shared" si="41"/>
        <v>0.13490593691799133</v>
      </c>
      <c r="I299" s="48">
        <f t="shared" si="42"/>
        <v>442</v>
      </c>
      <c r="J299" s="47">
        <f t="shared" si="40"/>
        <v>0</v>
      </c>
      <c r="K299" s="47" t="str">
        <f t="shared" si="43"/>
        <v>TN</v>
      </c>
      <c r="L299" s="79">
        <v>1866710</v>
      </c>
    </row>
    <row r="300" spans="1:12" x14ac:dyDescent="0.2">
      <c r="A300" s="9">
        <v>1</v>
      </c>
      <c r="B300" s="9">
        <v>2</v>
      </c>
      <c r="C300" s="9">
        <v>4</v>
      </c>
      <c r="D300" s="9">
        <v>41</v>
      </c>
      <c r="E300" s="9">
        <v>2.5</v>
      </c>
      <c r="F300" s="9" t="s">
        <v>128</v>
      </c>
      <c r="G300" s="27">
        <f t="shared" si="39"/>
        <v>-1.2642205531526045</v>
      </c>
      <c r="H300" s="27">
        <f t="shared" si="41"/>
        <v>0.22024820317942936</v>
      </c>
      <c r="I300" s="48">
        <f t="shared" si="42"/>
        <v>456</v>
      </c>
      <c r="J300" s="47">
        <f t="shared" si="40"/>
        <v>1</v>
      </c>
      <c r="K300" s="47" t="str">
        <f t="shared" si="43"/>
        <v>TP</v>
      </c>
      <c r="L300" s="79">
        <v>998999</v>
      </c>
    </row>
    <row r="301" spans="1:12" x14ac:dyDescent="0.2">
      <c r="A301" s="9">
        <v>0</v>
      </c>
      <c r="B301" s="9">
        <v>15</v>
      </c>
      <c r="C301" s="9">
        <v>10</v>
      </c>
      <c r="D301" s="9">
        <v>39</v>
      </c>
      <c r="E301" s="9">
        <v>3.2</v>
      </c>
      <c r="F301" s="9" t="s">
        <v>128</v>
      </c>
      <c r="G301" s="27">
        <f t="shared" si="39"/>
        <v>-3.4145428033651619</v>
      </c>
      <c r="H301" s="27">
        <f t="shared" si="41"/>
        <v>3.184404460251835E-2</v>
      </c>
      <c r="I301" s="48">
        <f t="shared" si="42"/>
        <v>401</v>
      </c>
      <c r="J301" s="47">
        <f t="shared" si="40"/>
        <v>0</v>
      </c>
      <c r="K301" s="47" t="str">
        <f t="shared" si="43"/>
        <v>TN</v>
      </c>
      <c r="L301" s="79">
        <v>8568130</v>
      </c>
    </row>
    <row r="302" spans="1:12" x14ac:dyDescent="0.2">
      <c r="A302" s="9">
        <v>0</v>
      </c>
      <c r="B302" s="9">
        <v>18</v>
      </c>
      <c r="C302" s="9">
        <v>9</v>
      </c>
      <c r="D302" s="9">
        <v>44</v>
      </c>
      <c r="E302" s="9">
        <v>2.1</v>
      </c>
      <c r="F302" s="9" t="s">
        <v>128</v>
      </c>
      <c r="G302" s="27">
        <f t="shared" si="39"/>
        <v>-3.9030618419737495</v>
      </c>
      <c r="H302" s="27">
        <f t="shared" si="41"/>
        <v>1.9780850565576491E-2</v>
      </c>
      <c r="I302" s="48">
        <f t="shared" si="42"/>
        <v>387</v>
      </c>
      <c r="J302" s="47">
        <f t="shared" si="40"/>
        <v>0</v>
      </c>
      <c r="K302" s="47" t="str">
        <f t="shared" si="43"/>
        <v>TN</v>
      </c>
      <c r="L302" s="79">
        <v>2724408</v>
      </c>
    </row>
    <row r="303" spans="1:12" x14ac:dyDescent="0.2">
      <c r="A303" s="9">
        <v>0</v>
      </c>
      <c r="B303" s="9">
        <v>8</v>
      </c>
      <c r="C303" s="9">
        <v>0</v>
      </c>
      <c r="D303" s="9">
        <v>21</v>
      </c>
      <c r="E303" s="9">
        <v>4</v>
      </c>
      <c r="F303" s="9" t="s">
        <v>128</v>
      </c>
      <c r="G303" s="27">
        <f t="shared" si="39"/>
        <v>-2.0689551403798894</v>
      </c>
      <c r="H303" s="27">
        <f t="shared" si="41"/>
        <v>0.11215103639916642</v>
      </c>
      <c r="I303" s="48">
        <f t="shared" si="42"/>
        <v>437</v>
      </c>
      <c r="J303" s="47">
        <f t="shared" si="40"/>
        <v>0</v>
      </c>
      <c r="K303" s="47" t="str">
        <f t="shared" si="43"/>
        <v>TN</v>
      </c>
      <c r="L303" s="79">
        <v>3332504</v>
      </c>
    </row>
    <row r="304" spans="1:12" x14ac:dyDescent="0.2">
      <c r="A304" s="9">
        <v>0</v>
      </c>
      <c r="B304" s="9">
        <v>15</v>
      </c>
      <c r="C304" s="9">
        <v>16</v>
      </c>
      <c r="D304" s="9">
        <v>39</v>
      </c>
      <c r="E304" s="9">
        <v>1.8</v>
      </c>
      <c r="F304" s="9" t="s">
        <v>128</v>
      </c>
      <c r="G304" s="27">
        <f t="shared" si="39"/>
        <v>-3.8625959193293617</v>
      </c>
      <c r="H304" s="27">
        <f t="shared" si="41"/>
        <v>2.0580905246072537E-2</v>
      </c>
      <c r="I304" s="48">
        <f t="shared" si="42"/>
        <v>388</v>
      </c>
      <c r="J304" s="47">
        <f t="shared" si="40"/>
        <v>0</v>
      </c>
      <c r="K304" s="47" t="str">
        <f t="shared" si="43"/>
        <v>TN</v>
      </c>
      <c r="L304" s="79">
        <v>2074033</v>
      </c>
    </row>
    <row r="305" spans="1:12" x14ac:dyDescent="0.2">
      <c r="A305" s="9">
        <v>0</v>
      </c>
      <c r="B305" s="9">
        <v>13</v>
      </c>
      <c r="C305" s="9">
        <v>7</v>
      </c>
      <c r="D305" s="9">
        <v>27</v>
      </c>
      <c r="E305" s="9">
        <v>2.2999999999999998</v>
      </c>
      <c r="F305" s="9" t="s">
        <v>128</v>
      </c>
      <c r="G305" s="27">
        <f t="shared" si="39"/>
        <v>-3.2711545779995981</v>
      </c>
      <c r="H305" s="27">
        <f t="shared" si="41"/>
        <v>3.6574123261564173E-2</v>
      </c>
      <c r="I305" s="48">
        <f t="shared" si="42"/>
        <v>405</v>
      </c>
      <c r="J305" s="47">
        <f t="shared" si="40"/>
        <v>0</v>
      </c>
      <c r="K305" s="47" t="str">
        <f t="shared" si="43"/>
        <v>TN</v>
      </c>
      <c r="L305" s="79">
        <v>1525560</v>
      </c>
    </row>
    <row r="306" spans="1:12" x14ac:dyDescent="0.2">
      <c r="A306" s="9">
        <v>0</v>
      </c>
      <c r="B306" s="9">
        <v>5</v>
      </c>
      <c r="C306" s="9">
        <v>6</v>
      </c>
      <c r="D306" s="9">
        <v>75</v>
      </c>
      <c r="E306" s="9">
        <v>1.9</v>
      </c>
      <c r="F306" s="9" t="s">
        <v>128</v>
      </c>
      <c r="G306" s="27">
        <f t="shared" si="39"/>
        <v>-1.4142047685168917</v>
      </c>
      <c r="H306" s="27">
        <f t="shared" si="41"/>
        <v>0.19557170096879095</v>
      </c>
      <c r="I306" s="48">
        <f t="shared" si="42"/>
        <v>453</v>
      </c>
      <c r="J306" s="47">
        <f t="shared" si="40"/>
        <v>0</v>
      </c>
      <c r="K306" s="47" t="str">
        <f t="shared" si="43"/>
        <v>TN</v>
      </c>
      <c r="L306" s="79">
        <v>200483</v>
      </c>
    </row>
    <row r="307" spans="1:12" x14ac:dyDescent="0.2">
      <c r="A307" s="9">
        <v>0</v>
      </c>
      <c r="B307" s="9">
        <v>4</v>
      </c>
      <c r="C307" s="9">
        <v>9</v>
      </c>
      <c r="D307" s="9">
        <v>19</v>
      </c>
      <c r="E307" s="9">
        <v>6.3</v>
      </c>
      <c r="F307" s="9" t="s">
        <v>128</v>
      </c>
      <c r="G307" s="27">
        <f t="shared" si="39"/>
        <v>-1.571202026208034</v>
      </c>
      <c r="H307" s="27">
        <f t="shared" si="41"/>
        <v>0.17204510090450043</v>
      </c>
      <c r="I307" s="48">
        <f t="shared" si="42"/>
        <v>449</v>
      </c>
      <c r="J307" s="47">
        <f t="shared" si="40"/>
        <v>0</v>
      </c>
      <c r="K307" s="47" t="str">
        <f t="shared" si="43"/>
        <v>TN</v>
      </c>
      <c r="L307" s="79">
        <v>5387909</v>
      </c>
    </row>
    <row r="308" spans="1:12" x14ac:dyDescent="0.2">
      <c r="A308" s="9">
        <v>0</v>
      </c>
      <c r="B308" s="9">
        <v>20</v>
      </c>
      <c r="C308" s="9">
        <v>2</v>
      </c>
      <c r="D308" s="9">
        <v>56</v>
      </c>
      <c r="E308" s="9">
        <v>1.9</v>
      </c>
      <c r="F308" s="9" t="s">
        <v>128</v>
      </c>
      <c r="G308" s="27">
        <f t="shared" si="39"/>
        <v>-3.7638288684472787</v>
      </c>
      <c r="H308" s="27">
        <f t="shared" si="41"/>
        <v>2.2668959368727905E-2</v>
      </c>
      <c r="I308" s="48">
        <f t="shared" si="42"/>
        <v>391</v>
      </c>
      <c r="J308" s="47">
        <f t="shared" si="40"/>
        <v>0</v>
      </c>
      <c r="K308" s="47" t="str">
        <f t="shared" si="43"/>
        <v>TN</v>
      </c>
      <c r="L308" s="79">
        <v>2828184</v>
      </c>
    </row>
    <row r="309" spans="1:12" x14ac:dyDescent="0.2">
      <c r="A309" s="9">
        <v>0</v>
      </c>
      <c r="B309" s="9">
        <v>1</v>
      </c>
      <c r="C309" s="9">
        <v>0</v>
      </c>
      <c r="D309" s="9">
        <v>18</v>
      </c>
      <c r="E309" s="9">
        <v>4.4000000000000004</v>
      </c>
      <c r="F309" s="9" t="s">
        <v>128</v>
      </c>
      <c r="G309" s="27">
        <f t="shared" si="39"/>
        <v>-1.0016933584558254</v>
      </c>
      <c r="H309" s="27">
        <f t="shared" si="41"/>
        <v>0.2686086171844787</v>
      </c>
      <c r="I309" s="48">
        <f t="shared" si="42"/>
        <v>462</v>
      </c>
      <c r="J309" s="47">
        <f t="shared" si="40"/>
        <v>1</v>
      </c>
      <c r="K309" s="47" t="str">
        <f t="shared" si="43"/>
        <v>FP</v>
      </c>
      <c r="L309" s="79">
        <v>5910565</v>
      </c>
    </row>
    <row r="310" spans="1:12" x14ac:dyDescent="0.2">
      <c r="A310" s="9">
        <v>0</v>
      </c>
      <c r="B310" s="9">
        <v>3</v>
      </c>
      <c r="C310" s="9">
        <v>7</v>
      </c>
      <c r="D310" s="9">
        <v>19</v>
      </c>
      <c r="E310" s="9">
        <v>4.0999999999999996</v>
      </c>
      <c r="F310" s="9" t="s">
        <v>128</v>
      </c>
      <c r="G310" s="27">
        <f t="shared" si="39"/>
        <v>-1.6316859275690629</v>
      </c>
      <c r="H310" s="27">
        <f t="shared" si="41"/>
        <v>0.16359953692567938</v>
      </c>
      <c r="I310" s="48">
        <f t="shared" si="42"/>
        <v>448</v>
      </c>
      <c r="J310" s="47">
        <f t="shared" si="40"/>
        <v>0</v>
      </c>
      <c r="K310" s="47" t="str">
        <f t="shared" si="43"/>
        <v>TN</v>
      </c>
      <c r="L310" s="79">
        <v>4060971</v>
      </c>
    </row>
    <row r="311" spans="1:12" x14ac:dyDescent="0.2">
      <c r="A311" s="9">
        <v>0</v>
      </c>
      <c r="B311" s="9">
        <v>22</v>
      </c>
      <c r="C311" s="9">
        <v>3</v>
      </c>
      <c r="D311" s="9">
        <v>52</v>
      </c>
      <c r="E311" s="9">
        <v>3.2</v>
      </c>
      <c r="F311" s="9" t="s">
        <v>128</v>
      </c>
      <c r="G311" s="27">
        <f t="shared" si="39"/>
        <v>-3.9877554917739184</v>
      </c>
      <c r="H311" s="27">
        <f t="shared" si="41"/>
        <v>1.8203762394725886E-2</v>
      </c>
      <c r="I311" s="48">
        <f t="shared" si="42"/>
        <v>384</v>
      </c>
      <c r="J311" s="47">
        <f t="shared" si="40"/>
        <v>0</v>
      </c>
      <c r="K311" s="47" t="str">
        <f t="shared" si="43"/>
        <v>TN</v>
      </c>
      <c r="L311" s="79">
        <v>1431869</v>
      </c>
    </row>
    <row r="312" spans="1:12" x14ac:dyDescent="0.2">
      <c r="A312" s="9">
        <v>0</v>
      </c>
      <c r="B312" s="9">
        <v>10</v>
      </c>
      <c r="C312" s="9">
        <v>2</v>
      </c>
      <c r="D312" s="9">
        <v>19</v>
      </c>
      <c r="E312" s="9">
        <v>4.4000000000000004</v>
      </c>
      <c r="F312" s="9" t="s">
        <v>128</v>
      </c>
      <c r="G312" s="27">
        <f t="shared" si="39"/>
        <v>-2.4300707479834056</v>
      </c>
      <c r="H312" s="27">
        <f t="shared" si="41"/>
        <v>8.0908206093103119E-2</v>
      </c>
      <c r="I312" s="48">
        <f t="shared" si="42"/>
        <v>427</v>
      </c>
      <c r="J312" s="47">
        <f t="shared" si="40"/>
        <v>0</v>
      </c>
      <c r="K312" s="47" t="str">
        <f t="shared" si="43"/>
        <v>TN</v>
      </c>
      <c r="L312" s="79">
        <v>8297840</v>
      </c>
    </row>
    <row r="313" spans="1:12" x14ac:dyDescent="0.2">
      <c r="A313" s="9">
        <v>0</v>
      </c>
      <c r="B313" s="9">
        <v>8</v>
      </c>
      <c r="C313" s="9">
        <v>0</v>
      </c>
      <c r="D313" s="9">
        <v>32</v>
      </c>
      <c r="E313" s="9">
        <v>1.6</v>
      </c>
      <c r="F313" s="9" t="s">
        <v>128</v>
      </c>
      <c r="G313" s="27">
        <f t="shared" si="39"/>
        <v>-2.241545296762367</v>
      </c>
      <c r="H313" s="27">
        <f t="shared" si="41"/>
        <v>9.6081249443567787E-2</v>
      </c>
      <c r="I313" s="48">
        <f t="shared" si="42"/>
        <v>432</v>
      </c>
      <c r="J313" s="47">
        <f t="shared" si="40"/>
        <v>0</v>
      </c>
      <c r="K313" s="47" t="str">
        <f t="shared" si="43"/>
        <v>TN</v>
      </c>
      <c r="L313" s="79">
        <v>6005450</v>
      </c>
    </row>
    <row r="314" spans="1:12" x14ac:dyDescent="0.2">
      <c r="A314" s="9">
        <v>0</v>
      </c>
      <c r="B314" s="9">
        <v>5</v>
      </c>
      <c r="C314" s="9">
        <v>9</v>
      </c>
      <c r="D314" s="9">
        <v>22</v>
      </c>
      <c r="E314" s="9">
        <v>2.8</v>
      </c>
      <c r="F314" s="9" t="s">
        <v>128</v>
      </c>
      <c r="G314" s="27">
        <f t="shared" si="39"/>
        <v>-2.1535913528316115</v>
      </c>
      <c r="H314" s="27">
        <f t="shared" si="41"/>
        <v>0.10399610133939989</v>
      </c>
      <c r="I314" s="48">
        <f t="shared" si="42"/>
        <v>435</v>
      </c>
      <c r="J314" s="47">
        <f t="shared" si="40"/>
        <v>0</v>
      </c>
      <c r="K314" s="47" t="str">
        <f t="shared" si="43"/>
        <v>TN</v>
      </c>
      <c r="L314" s="79">
        <v>1692877</v>
      </c>
    </row>
    <row r="315" spans="1:12" x14ac:dyDescent="0.2">
      <c r="A315" s="9">
        <v>0</v>
      </c>
      <c r="B315" s="9">
        <v>10</v>
      </c>
      <c r="C315" s="9">
        <v>1</v>
      </c>
      <c r="D315" s="9">
        <v>25</v>
      </c>
      <c r="E315" s="9">
        <v>7.1</v>
      </c>
      <c r="F315" s="9" t="s">
        <v>128</v>
      </c>
      <c r="G315" s="27">
        <f t="shared" si="39"/>
        <v>-1.9391108152799221</v>
      </c>
      <c r="H315" s="27">
        <f t="shared" si="41"/>
        <v>0.12574557529001776</v>
      </c>
      <c r="I315" s="48">
        <f t="shared" si="42"/>
        <v>440</v>
      </c>
      <c r="J315" s="47">
        <f t="shared" si="40"/>
        <v>0</v>
      </c>
      <c r="K315" s="47" t="str">
        <f t="shared" si="43"/>
        <v>TN</v>
      </c>
      <c r="L315" s="79">
        <v>9155484</v>
      </c>
    </row>
    <row r="316" spans="1:12" x14ac:dyDescent="0.2">
      <c r="A316" s="9">
        <v>0</v>
      </c>
      <c r="B316" s="9">
        <v>8</v>
      </c>
      <c r="C316" s="9">
        <v>17</v>
      </c>
      <c r="D316" s="9">
        <v>28</v>
      </c>
      <c r="E316" s="9">
        <v>3.6</v>
      </c>
      <c r="F316" s="9" t="s">
        <v>128</v>
      </c>
      <c r="G316" s="27">
        <f t="shared" si="39"/>
        <v>-2.7596466107776414</v>
      </c>
      <c r="H316" s="27">
        <f t="shared" si="41"/>
        <v>5.9544152214537786E-2</v>
      </c>
      <c r="I316" s="48">
        <f t="shared" si="42"/>
        <v>419</v>
      </c>
      <c r="J316" s="47">
        <f t="shared" si="40"/>
        <v>0</v>
      </c>
      <c r="K316" s="47" t="str">
        <f t="shared" si="43"/>
        <v>TN</v>
      </c>
      <c r="L316" s="79">
        <v>1422003</v>
      </c>
    </row>
    <row r="317" spans="1:12" x14ac:dyDescent="0.2">
      <c r="A317" s="9">
        <v>0</v>
      </c>
      <c r="B317" s="9">
        <v>1</v>
      </c>
      <c r="C317" s="9">
        <v>7</v>
      </c>
      <c r="D317" s="9">
        <v>27</v>
      </c>
      <c r="E317" s="9">
        <v>2.9</v>
      </c>
      <c r="F317" s="9" t="s">
        <v>128</v>
      </c>
      <c r="G317" s="27">
        <f t="shared" si="39"/>
        <v>-1.382153989205881</v>
      </c>
      <c r="H317" s="27">
        <f t="shared" si="41"/>
        <v>0.20066328242948792</v>
      </c>
      <c r="I317" s="48">
        <f t="shared" si="42"/>
        <v>454</v>
      </c>
      <c r="J317" s="47">
        <f t="shared" si="40"/>
        <v>1</v>
      </c>
      <c r="K317" s="47" t="str">
        <f t="shared" si="43"/>
        <v>FP</v>
      </c>
      <c r="L317" s="79">
        <v>6049072</v>
      </c>
    </row>
    <row r="318" spans="1:12" x14ac:dyDescent="0.2">
      <c r="A318" s="9">
        <v>0</v>
      </c>
      <c r="B318" s="9">
        <v>3</v>
      </c>
      <c r="C318" s="9">
        <v>13</v>
      </c>
      <c r="D318" s="9">
        <v>47</v>
      </c>
      <c r="E318" s="9">
        <v>1.9</v>
      </c>
      <c r="F318" s="9" t="s">
        <v>128</v>
      </c>
      <c r="G318" s="27">
        <f t="shared" si="39"/>
        <v>-1.8013517998002067</v>
      </c>
      <c r="H318" s="27">
        <f t="shared" si="41"/>
        <v>0.14168659085704871</v>
      </c>
      <c r="I318" s="48">
        <f t="shared" si="42"/>
        <v>444</v>
      </c>
      <c r="J318" s="47">
        <f t="shared" si="40"/>
        <v>0</v>
      </c>
      <c r="K318" s="47" t="str">
        <f t="shared" si="43"/>
        <v>TN</v>
      </c>
      <c r="L318" s="79">
        <v>8059459</v>
      </c>
    </row>
    <row r="319" spans="1:12" x14ac:dyDescent="0.2">
      <c r="A319" s="9">
        <v>0</v>
      </c>
      <c r="B319" s="9">
        <v>3</v>
      </c>
      <c r="C319" s="9">
        <v>0</v>
      </c>
      <c r="D319" s="9">
        <v>19</v>
      </c>
      <c r="E319" s="9">
        <v>4.3</v>
      </c>
      <c r="F319" s="9" t="s">
        <v>128</v>
      </c>
      <c r="G319" s="27">
        <f t="shared" si="39"/>
        <v>-1.3027219695436143</v>
      </c>
      <c r="H319" s="27">
        <f t="shared" si="41"/>
        <v>0.21370727036565129</v>
      </c>
      <c r="I319" s="48">
        <f t="shared" si="42"/>
        <v>455</v>
      </c>
      <c r="J319" s="47">
        <f t="shared" si="40"/>
        <v>1</v>
      </c>
      <c r="K319" s="47" t="str">
        <f t="shared" si="43"/>
        <v>FP</v>
      </c>
      <c r="L319" s="79">
        <v>5641708</v>
      </c>
    </row>
    <row r="320" spans="1:12" x14ac:dyDescent="0.2">
      <c r="A320" s="9">
        <v>0</v>
      </c>
      <c r="B320" s="9">
        <v>4</v>
      </c>
      <c r="C320" s="9">
        <v>13</v>
      </c>
      <c r="D320" s="9">
        <v>56</v>
      </c>
      <c r="E320" s="9">
        <v>1.6</v>
      </c>
      <c r="F320" s="9" t="s">
        <v>128</v>
      </c>
      <c r="G320" s="27">
        <f t="shared" si="39"/>
        <v>-1.8683212967719787</v>
      </c>
      <c r="H320" s="27">
        <f t="shared" si="41"/>
        <v>0.13373608200114639</v>
      </c>
      <c r="I320" s="48">
        <f t="shared" si="42"/>
        <v>442</v>
      </c>
      <c r="J320" s="47">
        <f t="shared" si="40"/>
        <v>0</v>
      </c>
      <c r="K320" s="47" t="str">
        <f t="shared" si="43"/>
        <v>TN</v>
      </c>
      <c r="L320" s="79">
        <v>6799394</v>
      </c>
    </row>
    <row r="321" spans="1:12" x14ac:dyDescent="0.2">
      <c r="A321" s="9">
        <v>0</v>
      </c>
      <c r="B321" s="9">
        <v>4</v>
      </c>
      <c r="C321" s="9">
        <v>2</v>
      </c>
      <c r="D321" s="9">
        <v>21</v>
      </c>
      <c r="E321" s="9">
        <v>2.6</v>
      </c>
      <c r="F321" s="9" t="s">
        <v>128</v>
      </c>
      <c r="G321" s="27">
        <f t="shared" si="39"/>
        <v>-1.7418485958021743</v>
      </c>
      <c r="H321" s="27">
        <f t="shared" si="41"/>
        <v>0.14907828070104084</v>
      </c>
      <c r="I321" s="48">
        <f t="shared" si="42"/>
        <v>445</v>
      </c>
      <c r="J321" s="47">
        <f t="shared" si="40"/>
        <v>0</v>
      </c>
      <c r="K321" s="47" t="str">
        <f t="shared" si="43"/>
        <v>TN</v>
      </c>
      <c r="L321" s="79">
        <v>3819719</v>
      </c>
    </row>
    <row r="322" spans="1:12" x14ac:dyDescent="0.2">
      <c r="A322" s="9">
        <v>0</v>
      </c>
      <c r="B322" s="9">
        <v>14</v>
      </c>
      <c r="C322" s="9">
        <v>3</v>
      </c>
      <c r="D322" s="9">
        <v>44</v>
      </c>
      <c r="E322" s="9">
        <v>1.7</v>
      </c>
      <c r="F322" s="9" t="s">
        <v>128</v>
      </c>
      <c r="G322" s="27">
        <f t="shared" ref="G322:G385" si="44">SUMPRODUCT($S$3:$V$3,B322:E322)+$R$3</f>
        <v>-3.095711180193824</v>
      </c>
      <c r="H322" s="27">
        <f t="shared" si="41"/>
        <v>4.3284511621150573E-2</v>
      </c>
      <c r="I322" s="48">
        <f t="shared" si="42"/>
        <v>409</v>
      </c>
      <c r="J322" s="47">
        <f t="shared" ref="J322:J385" si="45">IF(H322&gt;=$O$3,1,0)</f>
        <v>0</v>
      </c>
      <c r="K322" s="47" t="str">
        <f t="shared" si="43"/>
        <v>TN</v>
      </c>
      <c r="L322" s="79">
        <v>1485395</v>
      </c>
    </row>
    <row r="323" spans="1:12" x14ac:dyDescent="0.2">
      <c r="A323" s="9">
        <v>1</v>
      </c>
      <c r="B323" s="9">
        <v>4</v>
      </c>
      <c r="C323" s="9">
        <v>3</v>
      </c>
      <c r="D323" s="9">
        <v>27</v>
      </c>
      <c r="E323" s="9">
        <v>10.5</v>
      </c>
      <c r="F323" s="9" t="s">
        <v>128</v>
      </c>
      <c r="G323" s="27">
        <f t="shared" si="44"/>
        <v>-0.63419330325946977</v>
      </c>
      <c r="H323" s="27">
        <f t="shared" ref="H323:H386" si="46">EXP(G323)/(1+EXP(G323))</f>
        <v>0.34656032801371156</v>
      </c>
      <c r="I323" s="48">
        <f t="shared" ref="I323:I386" si="47">ROUND($O$4+(($O$5/LN(2))*LN(H323)),0)</f>
        <v>469</v>
      </c>
      <c r="J323" s="47">
        <f t="shared" si="45"/>
        <v>1</v>
      </c>
      <c r="K323" s="47" t="str">
        <f t="shared" ref="K323:K386" si="48">+IF(AND(A323=1,J323=1),"TP",IF(AND(A323=0,J323=0),"TN",IF(AND(A323=0,J323=1),"FP",IF(AND(A323=1,J323=0),"FN","OC"))))</f>
        <v>TP</v>
      </c>
      <c r="L323" s="79">
        <v>8601226</v>
      </c>
    </row>
    <row r="324" spans="1:12" x14ac:dyDescent="0.2">
      <c r="A324" s="9">
        <v>0</v>
      </c>
      <c r="B324" s="9">
        <v>16</v>
      </c>
      <c r="C324" s="9">
        <v>22</v>
      </c>
      <c r="D324" s="9">
        <v>49</v>
      </c>
      <c r="E324" s="9">
        <v>1.6</v>
      </c>
      <c r="F324" s="9" t="s">
        <v>128</v>
      </c>
      <c r="G324" s="27">
        <f t="shared" si="44"/>
        <v>-4.1610367240508683</v>
      </c>
      <c r="H324" s="27">
        <f t="shared" si="46"/>
        <v>1.5352026213849835E-2</v>
      </c>
      <c r="I324" s="48">
        <f t="shared" si="47"/>
        <v>379</v>
      </c>
      <c r="J324" s="47">
        <f t="shared" si="45"/>
        <v>0</v>
      </c>
      <c r="K324" s="47" t="str">
        <f t="shared" si="48"/>
        <v>TN</v>
      </c>
      <c r="L324" s="79">
        <v>1987383</v>
      </c>
    </row>
    <row r="325" spans="1:12" x14ac:dyDescent="0.2">
      <c r="A325" s="9">
        <v>0</v>
      </c>
      <c r="B325" s="9">
        <v>0</v>
      </c>
      <c r="C325" s="9">
        <v>21</v>
      </c>
      <c r="D325" s="9">
        <v>26</v>
      </c>
      <c r="E325" s="9">
        <v>1.7</v>
      </c>
      <c r="F325" s="9" t="s">
        <v>128</v>
      </c>
      <c r="G325" s="27">
        <f t="shared" si="44"/>
        <v>-2.0113769696758923</v>
      </c>
      <c r="H325" s="27">
        <f t="shared" si="46"/>
        <v>0.11801357862577713</v>
      </c>
      <c r="I325" s="48">
        <f t="shared" si="47"/>
        <v>438</v>
      </c>
      <c r="J325" s="47">
        <f t="shared" si="45"/>
        <v>0</v>
      </c>
      <c r="K325" s="47" t="str">
        <f t="shared" si="48"/>
        <v>TN</v>
      </c>
      <c r="L325" s="79">
        <v>1388139</v>
      </c>
    </row>
    <row r="326" spans="1:12" x14ac:dyDescent="0.2">
      <c r="A326" s="9">
        <v>0</v>
      </c>
      <c r="B326" s="9">
        <v>3</v>
      </c>
      <c r="C326" s="9">
        <v>15</v>
      </c>
      <c r="D326" s="9">
        <v>20</v>
      </c>
      <c r="E326" s="9">
        <v>2.1</v>
      </c>
      <c r="F326" s="9" t="s">
        <v>128</v>
      </c>
      <c r="G326" s="27">
        <f t="shared" si="44"/>
        <v>-2.2333098829511995</v>
      </c>
      <c r="H326" s="27">
        <f t="shared" si="46"/>
        <v>9.6798875274579851E-2</v>
      </c>
      <c r="I326" s="48">
        <f t="shared" si="47"/>
        <v>433</v>
      </c>
      <c r="J326" s="47">
        <f t="shared" si="45"/>
        <v>0</v>
      </c>
      <c r="K326" s="47" t="str">
        <f t="shared" si="48"/>
        <v>TN</v>
      </c>
      <c r="L326" s="79">
        <v>6624592</v>
      </c>
    </row>
    <row r="327" spans="1:12" x14ac:dyDescent="0.2">
      <c r="A327" s="9">
        <v>0</v>
      </c>
      <c r="B327" s="9">
        <v>1</v>
      </c>
      <c r="C327" s="9">
        <v>4</v>
      </c>
      <c r="D327" s="9">
        <v>17</v>
      </c>
      <c r="E327" s="9">
        <v>2.5</v>
      </c>
      <c r="F327" s="9" t="s">
        <v>128</v>
      </c>
      <c r="G327" s="27">
        <f t="shared" si="44"/>
        <v>-1.4448787594156207</v>
      </c>
      <c r="H327" s="27">
        <f t="shared" si="46"/>
        <v>0.1907909814456949</v>
      </c>
      <c r="I327" s="48">
        <f t="shared" si="47"/>
        <v>452</v>
      </c>
      <c r="J327" s="47">
        <f t="shared" si="45"/>
        <v>0</v>
      </c>
      <c r="K327" s="47" t="str">
        <f t="shared" si="48"/>
        <v>TN</v>
      </c>
      <c r="L327" s="79">
        <v>5729101</v>
      </c>
    </row>
    <row r="328" spans="1:12" x14ac:dyDescent="0.2">
      <c r="A328" s="9">
        <v>1</v>
      </c>
      <c r="B328" s="9">
        <v>1</v>
      </c>
      <c r="C328" s="9">
        <v>6</v>
      </c>
      <c r="D328" s="9">
        <v>21</v>
      </c>
      <c r="E328" s="9">
        <v>2.5</v>
      </c>
      <c r="F328" s="9" t="s">
        <v>128</v>
      </c>
      <c r="G328" s="27">
        <f t="shared" si="44"/>
        <v>-1.4759243425654112</v>
      </c>
      <c r="H328" s="27">
        <f t="shared" si="46"/>
        <v>0.18604381268593312</v>
      </c>
      <c r="I328" s="48">
        <f t="shared" si="47"/>
        <v>451</v>
      </c>
      <c r="J328" s="47">
        <f t="shared" si="45"/>
        <v>0</v>
      </c>
      <c r="K328" s="47" t="str">
        <f t="shared" si="48"/>
        <v>FN</v>
      </c>
      <c r="L328" s="79">
        <v>3412432</v>
      </c>
    </row>
    <row r="329" spans="1:12" x14ac:dyDescent="0.2">
      <c r="A329" s="9">
        <v>0</v>
      </c>
      <c r="B329" s="9">
        <v>3</v>
      </c>
      <c r="C329" s="9">
        <v>8</v>
      </c>
      <c r="D329" s="9">
        <v>15</v>
      </c>
      <c r="E329" s="9">
        <v>2.6</v>
      </c>
      <c r="F329" s="9" t="s">
        <v>128</v>
      </c>
      <c r="G329" s="27">
        <f t="shared" si="44"/>
        <v>-1.9328146292475776</v>
      </c>
      <c r="H329" s="27">
        <f t="shared" si="46"/>
        <v>0.12643937039774375</v>
      </c>
      <c r="I329" s="48">
        <f t="shared" si="47"/>
        <v>440</v>
      </c>
      <c r="J329" s="47">
        <f t="shared" si="45"/>
        <v>0</v>
      </c>
      <c r="K329" s="47" t="str">
        <f t="shared" si="48"/>
        <v>TN</v>
      </c>
      <c r="L329" s="79">
        <v>3850601</v>
      </c>
    </row>
    <row r="330" spans="1:12" x14ac:dyDescent="0.2">
      <c r="A330" s="9">
        <v>0</v>
      </c>
      <c r="B330" s="9">
        <v>8</v>
      </c>
      <c r="C330" s="9">
        <v>21</v>
      </c>
      <c r="D330" s="9">
        <v>43</v>
      </c>
      <c r="E330" s="9">
        <v>0.7</v>
      </c>
      <c r="F330" s="9" t="s">
        <v>128</v>
      </c>
      <c r="G330" s="27">
        <f t="shared" si="44"/>
        <v>-3.117139544249901</v>
      </c>
      <c r="H330" s="27">
        <f t="shared" si="46"/>
        <v>4.2405775953488489E-2</v>
      </c>
      <c r="I330" s="48">
        <f t="shared" si="47"/>
        <v>409</v>
      </c>
      <c r="J330" s="47">
        <f t="shared" si="45"/>
        <v>0</v>
      </c>
      <c r="K330" s="47" t="str">
        <f t="shared" si="48"/>
        <v>TN</v>
      </c>
      <c r="L330" s="79">
        <v>1430762</v>
      </c>
    </row>
    <row r="331" spans="1:12" x14ac:dyDescent="0.2">
      <c r="A331" s="9">
        <v>0</v>
      </c>
      <c r="B331" s="9">
        <v>16</v>
      </c>
      <c r="C331" s="9">
        <v>7</v>
      </c>
      <c r="D331" s="9">
        <v>89</v>
      </c>
      <c r="E331" s="9">
        <v>0.4</v>
      </c>
      <c r="F331" s="9" t="s">
        <v>128</v>
      </c>
      <c r="G331" s="27">
        <f t="shared" si="44"/>
        <v>-3.1240790142485944</v>
      </c>
      <c r="H331" s="27">
        <f t="shared" si="46"/>
        <v>4.2124874363678184E-2</v>
      </c>
      <c r="I331" s="48">
        <f t="shared" si="47"/>
        <v>409</v>
      </c>
      <c r="J331" s="47">
        <f t="shared" si="45"/>
        <v>0</v>
      </c>
      <c r="K331" s="47" t="str">
        <f t="shared" si="48"/>
        <v>TN</v>
      </c>
      <c r="L331" s="79">
        <v>4952079</v>
      </c>
    </row>
    <row r="332" spans="1:12" x14ac:dyDescent="0.2">
      <c r="A332" s="9">
        <v>0</v>
      </c>
      <c r="B332" s="9">
        <v>8</v>
      </c>
      <c r="C332" s="9">
        <v>16</v>
      </c>
      <c r="D332" s="9">
        <v>38</v>
      </c>
      <c r="E332" s="9">
        <v>0.6</v>
      </c>
      <c r="F332" s="9" t="s">
        <v>128</v>
      </c>
      <c r="G332" s="27">
        <f t="shared" si="44"/>
        <v>-2.9840199503420468</v>
      </c>
      <c r="H332" s="27">
        <f t="shared" si="46"/>
        <v>4.8153041968114471E-2</v>
      </c>
      <c r="I332" s="48">
        <f t="shared" si="47"/>
        <v>412</v>
      </c>
      <c r="J332" s="47">
        <f t="shared" si="45"/>
        <v>0</v>
      </c>
      <c r="K332" s="47" t="str">
        <f t="shared" si="48"/>
        <v>TN</v>
      </c>
      <c r="L332" s="79">
        <v>1524164</v>
      </c>
    </row>
    <row r="333" spans="1:12" x14ac:dyDescent="0.2">
      <c r="A333" s="9">
        <v>0</v>
      </c>
      <c r="B333" s="9">
        <v>14</v>
      </c>
      <c r="C333" s="9">
        <v>3</v>
      </c>
      <c r="D333" s="9">
        <v>82</v>
      </c>
      <c r="E333" s="9">
        <v>0.8</v>
      </c>
      <c r="F333" s="9" t="s">
        <v>128</v>
      </c>
      <c r="G333" s="27">
        <f t="shared" si="44"/>
        <v>-2.6927941985382362</v>
      </c>
      <c r="H333" s="27">
        <f t="shared" si="46"/>
        <v>6.3399895298590095E-2</v>
      </c>
      <c r="I333" s="48">
        <f t="shared" si="47"/>
        <v>420</v>
      </c>
      <c r="J333" s="47">
        <f t="shared" si="45"/>
        <v>0</v>
      </c>
      <c r="K333" s="47" t="str">
        <f t="shared" si="48"/>
        <v>TN</v>
      </c>
      <c r="L333" s="79">
        <v>2014012</v>
      </c>
    </row>
    <row r="334" spans="1:12" x14ac:dyDescent="0.2">
      <c r="A334" s="9">
        <v>0</v>
      </c>
      <c r="B334" s="9">
        <v>15</v>
      </c>
      <c r="C334" s="9">
        <v>31</v>
      </c>
      <c r="D334" s="9">
        <v>60</v>
      </c>
      <c r="E334" s="9">
        <v>1.1000000000000001</v>
      </c>
      <c r="F334" s="9" t="s">
        <v>128</v>
      </c>
      <c r="G334" s="27">
        <f t="shared" si="44"/>
        <v>-4.3143104373436962</v>
      </c>
      <c r="H334" s="27">
        <f t="shared" si="46"/>
        <v>1.3199220010519257E-2</v>
      </c>
      <c r="I334" s="48">
        <f t="shared" si="47"/>
        <v>375</v>
      </c>
      <c r="J334" s="47">
        <f t="shared" si="45"/>
        <v>0</v>
      </c>
      <c r="K334" s="47" t="str">
        <f t="shared" si="48"/>
        <v>TN</v>
      </c>
      <c r="L334" s="79">
        <v>8149903</v>
      </c>
    </row>
    <row r="335" spans="1:12" x14ac:dyDescent="0.2">
      <c r="A335" s="9">
        <v>0</v>
      </c>
      <c r="B335" s="9">
        <v>1</v>
      </c>
      <c r="C335" s="9">
        <v>1</v>
      </c>
      <c r="D335" s="9">
        <v>18</v>
      </c>
      <c r="E335" s="9">
        <v>1.1000000000000001</v>
      </c>
      <c r="F335" s="9" t="s">
        <v>128</v>
      </c>
      <c r="G335" s="27">
        <f t="shared" si="44"/>
        <v>-1.4909351640269788</v>
      </c>
      <c r="H335" s="27">
        <f t="shared" si="46"/>
        <v>0.18378140590567951</v>
      </c>
      <c r="I335" s="48">
        <f t="shared" si="47"/>
        <v>451</v>
      </c>
      <c r="J335" s="47">
        <f t="shared" si="45"/>
        <v>0</v>
      </c>
      <c r="K335" s="47" t="str">
        <f t="shared" si="48"/>
        <v>TN</v>
      </c>
      <c r="L335" s="79">
        <v>1733951</v>
      </c>
    </row>
    <row r="336" spans="1:12" x14ac:dyDescent="0.2">
      <c r="A336" s="9">
        <v>0</v>
      </c>
      <c r="B336" s="9">
        <v>6</v>
      </c>
      <c r="C336" s="9">
        <v>6</v>
      </c>
      <c r="D336" s="9">
        <v>30</v>
      </c>
      <c r="E336" s="9">
        <v>1</v>
      </c>
      <c r="F336" s="9" t="s">
        <v>128</v>
      </c>
      <c r="G336" s="27">
        <f t="shared" si="44"/>
        <v>-2.3077453610261789</v>
      </c>
      <c r="H336" s="27">
        <f t="shared" si="46"/>
        <v>9.0483521805386879E-2</v>
      </c>
      <c r="I336" s="48">
        <f t="shared" si="47"/>
        <v>431</v>
      </c>
      <c r="J336" s="47">
        <f t="shared" si="45"/>
        <v>0</v>
      </c>
      <c r="K336" s="47" t="str">
        <f t="shared" si="48"/>
        <v>TN</v>
      </c>
      <c r="L336" s="79">
        <v>5439817</v>
      </c>
    </row>
    <row r="337" spans="1:12" x14ac:dyDescent="0.2">
      <c r="A337" s="9">
        <v>0</v>
      </c>
      <c r="B337" s="9">
        <v>4</v>
      </c>
      <c r="C337" s="9">
        <v>1</v>
      </c>
      <c r="D337" s="9">
        <v>16</v>
      </c>
      <c r="E337" s="9">
        <v>1.2</v>
      </c>
      <c r="F337" s="9" t="s">
        <v>128</v>
      </c>
      <c r="G337" s="27">
        <f t="shared" si="44"/>
        <v>-1.9569987873416306</v>
      </c>
      <c r="H337" s="27">
        <f t="shared" si="46"/>
        <v>0.1237922148228283</v>
      </c>
      <c r="I337" s="48">
        <f t="shared" si="47"/>
        <v>440</v>
      </c>
      <c r="J337" s="47">
        <f t="shared" si="45"/>
        <v>0</v>
      </c>
      <c r="K337" s="47" t="str">
        <f t="shared" si="48"/>
        <v>TN</v>
      </c>
      <c r="L337" s="79">
        <v>3678277</v>
      </c>
    </row>
    <row r="338" spans="1:12" x14ac:dyDescent="0.2">
      <c r="A338" s="9">
        <v>0</v>
      </c>
      <c r="B338" s="9">
        <v>2</v>
      </c>
      <c r="C338" s="9">
        <v>1</v>
      </c>
      <c r="D338" s="9">
        <v>21</v>
      </c>
      <c r="E338" s="9">
        <v>0.6</v>
      </c>
      <c r="F338" s="9" t="s">
        <v>128</v>
      </c>
      <c r="G338" s="27">
        <f t="shared" si="44"/>
        <v>-1.6677705149772868</v>
      </c>
      <c r="H338" s="27">
        <f t="shared" si="46"/>
        <v>0.15872165348743053</v>
      </c>
      <c r="I338" s="48">
        <f t="shared" si="47"/>
        <v>447</v>
      </c>
      <c r="J338" s="47">
        <f t="shared" si="45"/>
        <v>0</v>
      </c>
      <c r="K338" s="47" t="str">
        <f t="shared" si="48"/>
        <v>TN</v>
      </c>
      <c r="L338" s="79">
        <v>8922256</v>
      </c>
    </row>
    <row r="339" spans="1:12" x14ac:dyDescent="0.2">
      <c r="A339" s="9">
        <v>1</v>
      </c>
      <c r="B339" s="9">
        <v>5</v>
      </c>
      <c r="C339" s="9">
        <v>3</v>
      </c>
      <c r="D339" s="9">
        <v>0</v>
      </c>
      <c r="E339" s="9">
        <v>16</v>
      </c>
      <c r="F339" s="9" t="s">
        <v>128</v>
      </c>
      <c r="G339" s="27">
        <f t="shared" si="44"/>
        <v>-0.41406531419816139</v>
      </c>
      <c r="H339" s="27">
        <f t="shared" si="46"/>
        <v>0.39793773683822981</v>
      </c>
      <c r="I339" s="48">
        <f t="shared" si="47"/>
        <v>473</v>
      </c>
      <c r="J339" s="47">
        <f t="shared" si="45"/>
        <v>1</v>
      </c>
      <c r="K339" s="47" t="str">
        <f t="shared" si="48"/>
        <v>TP</v>
      </c>
      <c r="L339" s="79">
        <v>784736</v>
      </c>
    </row>
    <row r="340" spans="1:12" x14ac:dyDescent="0.2">
      <c r="A340" s="9">
        <v>1</v>
      </c>
      <c r="B340" s="9">
        <v>0</v>
      </c>
      <c r="C340" s="9">
        <v>8</v>
      </c>
      <c r="D340" s="9">
        <v>65</v>
      </c>
      <c r="E340" s="9">
        <v>29.7</v>
      </c>
      <c r="F340" s="9" t="s">
        <v>128</v>
      </c>
      <c r="G340" s="27">
        <f t="shared" si="44"/>
        <v>2.8729030849739292</v>
      </c>
      <c r="H340" s="27">
        <f t="shared" si="46"/>
        <v>0.94649056885781646</v>
      </c>
      <c r="I340" s="48">
        <f t="shared" si="47"/>
        <v>498</v>
      </c>
      <c r="J340" s="47">
        <f t="shared" si="45"/>
        <v>1</v>
      </c>
      <c r="K340" s="47" t="str">
        <f t="shared" si="48"/>
        <v>TP</v>
      </c>
      <c r="L340" s="79">
        <v>8018550</v>
      </c>
    </row>
    <row r="341" spans="1:12" x14ac:dyDescent="0.2">
      <c r="A341" s="9">
        <v>0</v>
      </c>
      <c r="B341" s="9">
        <v>21</v>
      </c>
      <c r="C341" s="9">
        <v>22</v>
      </c>
      <c r="D341" s="13">
        <v>117.54291069294821</v>
      </c>
      <c r="E341" s="9">
        <v>12.2</v>
      </c>
      <c r="F341" s="9" t="s">
        <v>128</v>
      </c>
      <c r="G341" s="27">
        <f t="shared" si="44"/>
        <v>-2.5351441870734135</v>
      </c>
      <c r="H341" s="27">
        <f t="shared" si="46"/>
        <v>7.3430873442482239E-2</v>
      </c>
      <c r="I341" s="48">
        <f t="shared" si="47"/>
        <v>425</v>
      </c>
      <c r="J341" s="47">
        <f t="shared" si="45"/>
        <v>0</v>
      </c>
      <c r="K341" s="47" t="str">
        <f t="shared" si="48"/>
        <v>TN</v>
      </c>
      <c r="L341" s="79">
        <v>1783742</v>
      </c>
    </row>
    <row r="342" spans="1:12" x14ac:dyDescent="0.2">
      <c r="A342" s="9">
        <v>0</v>
      </c>
      <c r="B342" s="9">
        <v>27</v>
      </c>
      <c r="C342" s="9">
        <v>21</v>
      </c>
      <c r="D342" s="9">
        <v>0</v>
      </c>
      <c r="E342" s="9">
        <v>11.5</v>
      </c>
      <c r="F342" s="9" t="s">
        <v>128</v>
      </c>
      <c r="G342" s="27">
        <f t="shared" si="44"/>
        <v>-5.1132446813663703</v>
      </c>
      <c r="H342" s="27">
        <f t="shared" si="46"/>
        <v>5.9805473576978012E-3</v>
      </c>
      <c r="I342" s="48">
        <f t="shared" si="47"/>
        <v>352</v>
      </c>
      <c r="J342" s="47">
        <f t="shared" si="45"/>
        <v>0</v>
      </c>
      <c r="K342" s="47" t="str">
        <f t="shared" si="48"/>
        <v>TN</v>
      </c>
      <c r="L342" s="79">
        <v>1694940</v>
      </c>
    </row>
    <row r="343" spans="1:12" x14ac:dyDescent="0.2">
      <c r="A343" s="9">
        <v>1</v>
      </c>
      <c r="B343" s="9">
        <v>14</v>
      </c>
      <c r="C343" s="9">
        <v>8</v>
      </c>
      <c r="D343" s="9">
        <v>72</v>
      </c>
      <c r="E343" s="9">
        <v>0</v>
      </c>
      <c r="F343" s="9" t="s">
        <v>128</v>
      </c>
      <c r="G343" s="27">
        <f t="shared" si="44"/>
        <v>-3.1546522908155326</v>
      </c>
      <c r="H343" s="27">
        <f t="shared" si="46"/>
        <v>4.0908355850348514E-2</v>
      </c>
      <c r="I343" s="48">
        <f t="shared" si="47"/>
        <v>408</v>
      </c>
      <c r="J343" s="47">
        <f t="shared" si="45"/>
        <v>0</v>
      </c>
      <c r="K343" s="47" t="str">
        <f t="shared" si="48"/>
        <v>FN</v>
      </c>
      <c r="L343" s="79">
        <v>8164588</v>
      </c>
    </row>
    <row r="344" spans="1:12" x14ac:dyDescent="0.2">
      <c r="A344" s="9">
        <v>1</v>
      </c>
      <c r="B344" s="9">
        <v>16</v>
      </c>
      <c r="C344" s="9">
        <v>26</v>
      </c>
      <c r="D344" s="9">
        <v>0</v>
      </c>
      <c r="E344" s="9">
        <v>17.600000000000001</v>
      </c>
      <c r="F344" s="9" t="s">
        <v>128</v>
      </c>
      <c r="G344" s="27">
        <f t="shared" si="44"/>
        <v>-2.8470481149626972</v>
      </c>
      <c r="H344" s="27">
        <f t="shared" si="46"/>
        <v>5.4834104637303517E-2</v>
      </c>
      <c r="I344" s="48">
        <f t="shared" si="47"/>
        <v>416</v>
      </c>
      <c r="J344" s="47">
        <f t="shared" si="45"/>
        <v>0</v>
      </c>
      <c r="K344" s="47" t="str">
        <f t="shared" si="48"/>
        <v>FN</v>
      </c>
      <c r="L344" s="79">
        <v>165138</v>
      </c>
    </row>
    <row r="345" spans="1:12" x14ac:dyDescent="0.2">
      <c r="A345" s="9">
        <v>0</v>
      </c>
      <c r="B345" s="9">
        <v>12</v>
      </c>
      <c r="C345" s="9">
        <v>6</v>
      </c>
      <c r="D345" s="9">
        <v>89</v>
      </c>
      <c r="E345" s="9">
        <v>17.399999999999999</v>
      </c>
      <c r="F345" s="9" t="s">
        <v>128</v>
      </c>
      <c r="G345" s="27">
        <f t="shared" si="44"/>
        <v>-0.18017745521648831</v>
      </c>
      <c r="H345" s="27">
        <f t="shared" si="46"/>
        <v>0.45507710158808712</v>
      </c>
      <c r="I345" s="48">
        <f t="shared" si="47"/>
        <v>477</v>
      </c>
      <c r="J345" s="47">
        <f t="shared" si="45"/>
        <v>1</v>
      </c>
      <c r="K345" s="47" t="str">
        <f t="shared" si="48"/>
        <v>FP</v>
      </c>
      <c r="L345" s="79">
        <v>3258722</v>
      </c>
    </row>
    <row r="346" spans="1:12" x14ac:dyDescent="0.2">
      <c r="A346" s="9">
        <v>0</v>
      </c>
      <c r="B346" s="9">
        <v>22</v>
      </c>
      <c r="C346" s="9">
        <v>17</v>
      </c>
      <c r="D346" s="13">
        <v>117.54291069294821</v>
      </c>
      <c r="E346" s="9">
        <v>11.1</v>
      </c>
      <c r="F346" s="9" t="s">
        <v>128</v>
      </c>
      <c r="G346" s="27">
        <f t="shared" si="44"/>
        <v>-2.6188426326390832</v>
      </c>
      <c r="H346" s="27">
        <f t="shared" si="46"/>
        <v>6.7935541793593235E-2</v>
      </c>
      <c r="I346" s="48">
        <f t="shared" si="47"/>
        <v>422</v>
      </c>
      <c r="J346" s="47">
        <f t="shared" si="45"/>
        <v>0</v>
      </c>
      <c r="K346" s="47" t="str">
        <f t="shared" si="48"/>
        <v>TN</v>
      </c>
      <c r="L346" s="79">
        <v>8045147</v>
      </c>
    </row>
    <row r="347" spans="1:12" x14ac:dyDescent="0.2">
      <c r="A347" s="9">
        <v>0</v>
      </c>
      <c r="B347" s="9">
        <v>16</v>
      </c>
      <c r="C347" s="9">
        <v>6</v>
      </c>
      <c r="D347" s="9">
        <v>116</v>
      </c>
      <c r="E347" s="9">
        <v>12.1</v>
      </c>
      <c r="F347" s="9" t="s">
        <v>128</v>
      </c>
      <c r="G347" s="27">
        <f t="shared" si="44"/>
        <v>-1.1265559265908553</v>
      </c>
      <c r="H347" s="27">
        <f t="shared" si="46"/>
        <v>0.24479725235495947</v>
      </c>
      <c r="I347" s="48">
        <f t="shared" si="47"/>
        <v>459</v>
      </c>
      <c r="J347" s="47">
        <f t="shared" si="45"/>
        <v>1</v>
      </c>
      <c r="K347" s="47" t="str">
        <f t="shared" si="48"/>
        <v>FP</v>
      </c>
      <c r="L347" s="79">
        <v>4266286</v>
      </c>
    </row>
    <row r="348" spans="1:12" x14ac:dyDescent="0.2">
      <c r="A348" s="9">
        <v>1</v>
      </c>
      <c r="B348" s="9">
        <v>27</v>
      </c>
      <c r="C348" s="9">
        <v>18</v>
      </c>
      <c r="D348" s="13">
        <v>117.54291069294821</v>
      </c>
      <c r="E348" s="9">
        <v>25.3</v>
      </c>
      <c r="F348" s="9" t="s">
        <v>128</v>
      </c>
      <c r="G348" s="27">
        <f t="shared" si="44"/>
        <v>-1.4956403274741072</v>
      </c>
      <c r="H348" s="27">
        <f t="shared" si="46"/>
        <v>0.18307665396765896</v>
      </c>
      <c r="I348" s="48">
        <f t="shared" si="47"/>
        <v>451</v>
      </c>
      <c r="J348" s="47">
        <f t="shared" si="45"/>
        <v>0</v>
      </c>
      <c r="K348" s="47" t="str">
        <f t="shared" si="48"/>
        <v>FN</v>
      </c>
      <c r="L348" s="79">
        <v>9865688</v>
      </c>
    </row>
    <row r="349" spans="1:12" x14ac:dyDescent="0.2">
      <c r="A349" s="9">
        <v>0</v>
      </c>
      <c r="B349" s="9">
        <v>19</v>
      </c>
      <c r="C349" s="9">
        <v>7</v>
      </c>
      <c r="D349" s="9">
        <v>50</v>
      </c>
      <c r="E349" s="9">
        <v>30.1</v>
      </c>
      <c r="F349" s="9" t="s">
        <v>128</v>
      </c>
      <c r="G349" s="27">
        <f t="shared" si="44"/>
        <v>-9.945509823339016E-2</v>
      </c>
      <c r="H349" s="27">
        <f t="shared" si="46"/>
        <v>0.47515669981213854</v>
      </c>
      <c r="I349" s="48">
        <f t="shared" si="47"/>
        <v>479</v>
      </c>
      <c r="J349" s="47">
        <f t="shared" si="45"/>
        <v>1</v>
      </c>
      <c r="K349" s="47" t="str">
        <f t="shared" si="48"/>
        <v>FP</v>
      </c>
      <c r="L349" s="79">
        <v>9944769</v>
      </c>
    </row>
    <row r="350" spans="1:12" x14ac:dyDescent="0.2">
      <c r="A350" s="9">
        <v>0</v>
      </c>
      <c r="B350" s="9">
        <v>23</v>
      </c>
      <c r="C350" s="9">
        <v>1</v>
      </c>
      <c r="D350" s="9">
        <v>75</v>
      </c>
      <c r="E350" s="9">
        <v>18.899999999999999</v>
      </c>
      <c r="F350" s="9" t="s">
        <v>128</v>
      </c>
      <c r="G350" s="27">
        <f t="shared" si="44"/>
        <v>-1.6122381018708416</v>
      </c>
      <c r="H350" s="27">
        <f t="shared" si="46"/>
        <v>0.1662781143943306</v>
      </c>
      <c r="I350" s="48">
        <f t="shared" si="47"/>
        <v>448</v>
      </c>
      <c r="J350" s="47">
        <f t="shared" si="45"/>
        <v>0</v>
      </c>
      <c r="K350" s="47" t="str">
        <f t="shared" si="48"/>
        <v>TN</v>
      </c>
      <c r="L350" s="79">
        <v>9338166</v>
      </c>
    </row>
    <row r="351" spans="1:12" x14ac:dyDescent="0.2">
      <c r="A351" s="9">
        <v>1</v>
      </c>
      <c r="B351" s="9">
        <v>5</v>
      </c>
      <c r="C351" s="9">
        <v>6</v>
      </c>
      <c r="D351" s="9">
        <v>70</v>
      </c>
      <c r="E351" s="9">
        <v>19.899999999999999</v>
      </c>
      <c r="F351" s="9" t="s">
        <v>128</v>
      </c>
      <c r="G351" s="27">
        <f t="shared" si="44"/>
        <v>0.95009498363357237</v>
      </c>
      <c r="H351" s="27">
        <f t="shared" si="46"/>
        <v>0.72113427959766507</v>
      </c>
      <c r="I351" s="48">
        <f t="shared" si="47"/>
        <v>491</v>
      </c>
      <c r="J351" s="47">
        <f t="shared" si="45"/>
        <v>1</v>
      </c>
      <c r="K351" s="47" t="str">
        <f t="shared" si="48"/>
        <v>TP</v>
      </c>
      <c r="L351" s="79">
        <v>6376502</v>
      </c>
    </row>
    <row r="352" spans="1:12" x14ac:dyDescent="0.2">
      <c r="A352" s="9">
        <v>0</v>
      </c>
      <c r="B352" s="9">
        <v>12</v>
      </c>
      <c r="C352" s="9">
        <v>5</v>
      </c>
      <c r="D352" s="9">
        <v>86</v>
      </c>
      <c r="E352" s="9">
        <v>13</v>
      </c>
      <c r="F352" s="9" t="s">
        <v>128</v>
      </c>
      <c r="G352" s="27">
        <f t="shared" si="44"/>
        <v>-0.77327198167355204</v>
      </c>
      <c r="H352" s="27">
        <f t="shared" si="46"/>
        <v>0.31577173631166267</v>
      </c>
      <c r="I352" s="48">
        <f t="shared" si="47"/>
        <v>467</v>
      </c>
      <c r="J352" s="47">
        <f t="shared" si="45"/>
        <v>1</v>
      </c>
      <c r="K352" s="47" t="str">
        <f t="shared" si="48"/>
        <v>FP</v>
      </c>
      <c r="L352" s="79">
        <v>2281959</v>
      </c>
    </row>
    <row r="353" spans="1:12" x14ac:dyDescent="0.2">
      <c r="A353" s="9">
        <v>0</v>
      </c>
      <c r="B353" s="9">
        <v>16</v>
      </c>
      <c r="C353" s="9">
        <v>20</v>
      </c>
      <c r="D353" s="9">
        <v>57</v>
      </c>
      <c r="E353" s="9">
        <v>19.399999999999999</v>
      </c>
      <c r="F353" s="9" t="s">
        <v>128</v>
      </c>
      <c r="G353" s="27">
        <f t="shared" si="44"/>
        <v>-1.558046374039042</v>
      </c>
      <c r="H353" s="27">
        <f t="shared" si="46"/>
        <v>0.17392715838141995</v>
      </c>
      <c r="I353" s="48">
        <f t="shared" si="47"/>
        <v>450</v>
      </c>
      <c r="J353" s="47">
        <f t="shared" si="45"/>
        <v>0</v>
      </c>
      <c r="K353" s="47" t="str">
        <f t="shared" si="48"/>
        <v>TN</v>
      </c>
      <c r="L353" s="79">
        <v>434102</v>
      </c>
    </row>
    <row r="354" spans="1:12" x14ac:dyDescent="0.2">
      <c r="A354" s="9">
        <v>0</v>
      </c>
      <c r="B354" s="9">
        <v>22</v>
      </c>
      <c r="C354" s="9">
        <v>1</v>
      </c>
      <c r="D354" s="9">
        <v>100</v>
      </c>
      <c r="E354" s="9">
        <v>14.6</v>
      </c>
      <c r="F354" s="9" t="s">
        <v>128</v>
      </c>
      <c r="G354" s="27">
        <f t="shared" si="44"/>
        <v>-1.6977541414185036</v>
      </c>
      <c r="H354" s="27">
        <f t="shared" si="46"/>
        <v>0.15475881479884679</v>
      </c>
      <c r="I354" s="48">
        <f t="shared" si="47"/>
        <v>446</v>
      </c>
      <c r="J354" s="47">
        <f t="shared" si="45"/>
        <v>0</v>
      </c>
      <c r="K354" s="47" t="str">
        <f t="shared" si="48"/>
        <v>TN</v>
      </c>
      <c r="L354" s="79">
        <v>5534512</v>
      </c>
    </row>
    <row r="355" spans="1:12" x14ac:dyDescent="0.2">
      <c r="A355" s="9">
        <v>0</v>
      </c>
      <c r="B355" s="9">
        <v>9</v>
      </c>
      <c r="C355" s="9">
        <v>10</v>
      </c>
      <c r="D355" s="9">
        <v>51</v>
      </c>
      <c r="E355" s="9">
        <v>23</v>
      </c>
      <c r="F355" s="9" t="s">
        <v>128</v>
      </c>
      <c r="G355" s="27">
        <f t="shared" si="44"/>
        <v>0.33171617744191817</v>
      </c>
      <c r="H355" s="27">
        <f t="shared" si="46"/>
        <v>0.58217689056463762</v>
      </c>
      <c r="I355" s="48">
        <f t="shared" si="47"/>
        <v>484</v>
      </c>
      <c r="J355" s="47">
        <f t="shared" si="45"/>
        <v>1</v>
      </c>
      <c r="K355" s="47" t="str">
        <f t="shared" si="48"/>
        <v>FP</v>
      </c>
      <c r="L355" s="79">
        <v>117807</v>
      </c>
    </row>
    <row r="356" spans="1:12" x14ac:dyDescent="0.2">
      <c r="A356" s="9">
        <v>0</v>
      </c>
      <c r="B356" s="9">
        <v>26</v>
      </c>
      <c r="C356" s="9">
        <v>21</v>
      </c>
      <c r="D356" s="9">
        <v>100</v>
      </c>
      <c r="E356" s="9">
        <v>12.8</v>
      </c>
      <c r="F356" s="9" t="s">
        <v>128</v>
      </c>
      <c r="G356" s="27">
        <f t="shared" si="44"/>
        <v>-3.4063651046532883</v>
      </c>
      <c r="H356" s="27">
        <f t="shared" si="46"/>
        <v>3.2097130579104891E-2</v>
      </c>
      <c r="I356" s="48">
        <f t="shared" si="47"/>
        <v>401</v>
      </c>
      <c r="J356" s="47">
        <f t="shared" si="45"/>
        <v>0</v>
      </c>
      <c r="K356" s="47" t="str">
        <f t="shared" si="48"/>
        <v>TN</v>
      </c>
      <c r="L356" s="79">
        <v>650707</v>
      </c>
    </row>
    <row r="357" spans="1:12" x14ac:dyDescent="0.2">
      <c r="A357" s="9">
        <v>0</v>
      </c>
      <c r="B357" s="9">
        <v>10</v>
      </c>
      <c r="C357" s="9">
        <v>16</v>
      </c>
      <c r="D357" s="9">
        <v>98</v>
      </c>
      <c r="E357" s="9">
        <v>13.3</v>
      </c>
      <c r="F357" s="9" t="s">
        <v>128</v>
      </c>
      <c r="G357" s="27">
        <f t="shared" si="44"/>
        <v>-0.74020052959853722</v>
      </c>
      <c r="H357" s="27">
        <f t="shared" si="46"/>
        <v>0.32296029501594997</v>
      </c>
      <c r="I357" s="48">
        <f t="shared" si="47"/>
        <v>467</v>
      </c>
      <c r="J357" s="47">
        <f t="shared" si="45"/>
        <v>1</v>
      </c>
      <c r="K357" s="47" t="str">
        <f t="shared" si="48"/>
        <v>FP</v>
      </c>
      <c r="L357" s="79">
        <v>3467921</v>
      </c>
    </row>
    <row r="358" spans="1:12" x14ac:dyDescent="0.2">
      <c r="A358" s="9">
        <v>1</v>
      </c>
      <c r="B358" s="9">
        <v>9</v>
      </c>
      <c r="C358" s="9">
        <v>1</v>
      </c>
      <c r="D358" s="9">
        <v>52</v>
      </c>
      <c r="E358" s="9">
        <v>20.100000000000001</v>
      </c>
      <c r="F358" s="9" t="s">
        <v>128</v>
      </c>
      <c r="G358" s="27">
        <f t="shared" si="44"/>
        <v>0.34167737897726624</v>
      </c>
      <c r="H358" s="27">
        <f t="shared" si="46"/>
        <v>0.58459792071547656</v>
      </c>
      <c r="I358" s="48">
        <f t="shared" si="47"/>
        <v>485</v>
      </c>
      <c r="J358" s="47">
        <f t="shared" si="45"/>
        <v>1</v>
      </c>
      <c r="K358" s="47" t="str">
        <f t="shared" si="48"/>
        <v>TP</v>
      </c>
      <c r="L358" s="79">
        <v>4220485</v>
      </c>
    </row>
    <row r="359" spans="1:12" x14ac:dyDescent="0.2">
      <c r="A359" s="9">
        <v>0</v>
      </c>
      <c r="B359" s="9">
        <v>19</v>
      </c>
      <c r="C359" s="9">
        <v>2</v>
      </c>
      <c r="D359" s="9">
        <v>78</v>
      </c>
      <c r="E359" s="9">
        <v>15.6</v>
      </c>
      <c r="F359" s="9" t="s">
        <v>128</v>
      </c>
      <c r="G359" s="27">
        <f t="shared" si="44"/>
        <v>-1.457435515088815</v>
      </c>
      <c r="H359" s="27">
        <f t="shared" si="46"/>
        <v>0.18885986989118617</v>
      </c>
      <c r="I359" s="48">
        <f t="shared" si="47"/>
        <v>452</v>
      </c>
      <c r="J359" s="47">
        <f t="shared" si="45"/>
        <v>0</v>
      </c>
      <c r="K359" s="47" t="str">
        <f t="shared" si="48"/>
        <v>TN</v>
      </c>
      <c r="L359" s="79">
        <v>6594595</v>
      </c>
    </row>
    <row r="360" spans="1:12" x14ac:dyDescent="0.2">
      <c r="A360" s="9">
        <v>1</v>
      </c>
      <c r="B360" s="9">
        <v>7</v>
      </c>
      <c r="C360" s="9">
        <v>6</v>
      </c>
      <c r="D360" s="9">
        <v>56</v>
      </c>
      <c r="E360" s="9">
        <v>14.5</v>
      </c>
      <c r="F360" s="9" t="s">
        <v>128</v>
      </c>
      <c r="G360" s="27">
        <f t="shared" si="44"/>
        <v>-0.27448462347778779</v>
      </c>
      <c r="H360" s="27">
        <f t="shared" si="46"/>
        <v>0.43180645951979335</v>
      </c>
      <c r="I360" s="48">
        <f t="shared" si="47"/>
        <v>476</v>
      </c>
      <c r="J360" s="47">
        <f t="shared" si="45"/>
        <v>1</v>
      </c>
      <c r="K360" s="47" t="str">
        <f t="shared" si="48"/>
        <v>TP</v>
      </c>
      <c r="L360" s="79">
        <v>6680941</v>
      </c>
    </row>
    <row r="361" spans="1:12" x14ac:dyDescent="0.2">
      <c r="A361" s="9">
        <v>0</v>
      </c>
      <c r="B361" s="9">
        <v>15</v>
      </c>
      <c r="C361" s="9">
        <v>14</v>
      </c>
      <c r="D361" s="9">
        <v>51</v>
      </c>
      <c r="E361" s="9">
        <v>18.100000000000001</v>
      </c>
      <c r="F361" s="9" t="s">
        <v>128</v>
      </c>
      <c r="G361" s="27">
        <f t="shared" si="44"/>
        <v>-1.4071632756428469</v>
      </c>
      <c r="H361" s="27">
        <f t="shared" si="46"/>
        <v>0.19668186784410591</v>
      </c>
      <c r="I361" s="48">
        <f t="shared" si="47"/>
        <v>453</v>
      </c>
      <c r="J361" s="47">
        <f t="shared" si="45"/>
        <v>0</v>
      </c>
      <c r="K361" s="47" t="str">
        <f t="shared" si="48"/>
        <v>TN</v>
      </c>
      <c r="L361" s="79">
        <v>1920137</v>
      </c>
    </row>
    <row r="362" spans="1:12" x14ac:dyDescent="0.2">
      <c r="A362" s="9">
        <v>0</v>
      </c>
      <c r="B362" s="9">
        <v>9</v>
      </c>
      <c r="C362" s="9">
        <v>10</v>
      </c>
      <c r="D362" s="9">
        <v>60</v>
      </c>
      <c r="E362" s="9">
        <v>15.3</v>
      </c>
      <c r="F362" s="9" t="s">
        <v>128</v>
      </c>
      <c r="G362" s="27">
        <f t="shared" si="44"/>
        <v>-0.58496231005233024</v>
      </c>
      <c r="H362" s="27">
        <f t="shared" si="46"/>
        <v>0.35779156727026667</v>
      </c>
      <c r="I362" s="48">
        <f t="shared" si="47"/>
        <v>470</v>
      </c>
      <c r="J362" s="47">
        <f t="shared" si="45"/>
        <v>1</v>
      </c>
      <c r="K362" s="47" t="str">
        <f t="shared" si="48"/>
        <v>FP</v>
      </c>
      <c r="L362" s="79">
        <v>2141797</v>
      </c>
    </row>
    <row r="363" spans="1:12" x14ac:dyDescent="0.2">
      <c r="A363" s="9">
        <v>1</v>
      </c>
      <c r="B363" s="9">
        <v>6</v>
      </c>
      <c r="C363" s="9">
        <v>3</v>
      </c>
      <c r="D363" s="9">
        <v>27</v>
      </c>
      <c r="E363" s="9">
        <v>0</v>
      </c>
      <c r="F363" s="9" t="s">
        <v>128</v>
      </c>
      <c r="G363" s="27">
        <f t="shared" si="44"/>
        <v>-2.3549471837257574</v>
      </c>
      <c r="H363" s="27">
        <f t="shared" si="46"/>
        <v>8.6673346412770774E-2</v>
      </c>
      <c r="I363" s="48">
        <f t="shared" si="47"/>
        <v>429</v>
      </c>
      <c r="J363" s="47">
        <f t="shared" si="45"/>
        <v>0</v>
      </c>
      <c r="K363" s="47" t="str">
        <f t="shared" si="48"/>
        <v>FN</v>
      </c>
      <c r="L363" s="79">
        <v>2507466</v>
      </c>
    </row>
    <row r="364" spans="1:12" x14ac:dyDescent="0.2">
      <c r="A364" s="9">
        <v>1</v>
      </c>
      <c r="B364" s="9">
        <v>0</v>
      </c>
      <c r="C364" s="9">
        <v>2</v>
      </c>
      <c r="D364" s="9">
        <v>28</v>
      </c>
      <c r="E364" s="9">
        <v>0</v>
      </c>
      <c r="F364" s="9" t="s">
        <v>128</v>
      </c>
      <c r="G364" s="27">
        <f t="shared" si="44"/>
        <v>-1.3940650341878382</v>
      </c>
      <c r="H364" s="27">
        <f t="shared" si="46"/>
        <v>0.19875959019651401</v>
      </c>
      <c r="I364" s="48">
        <f t="shared" si="47"/>
        <v>453</v>
      </c>
      <c r="J364" s="47">
        <f t="shared" si="45"/>
        <v>0</v>
      </c>
      <c r="K364" s="47" t="str">
        <f t="shared" si="48"/>
        <v>FN</v>
      </c>
      <c r="L364" s="79">
        <v>4350872</v>
      </c>
    </row>
    <row r="365" spans="1:12" x14ac:dyDescent="0.2">
      <c r="A365" s="9">
        <v>1</v>
      </c>
      <c r="B365" s="9">
        <v>5</v>
      </c>
      <c r="C365" s="9">
        <v>29</v>
      </c>
      <c r="D365" s="9">
        <v>78</v>
      </c>
      <c r="E365" s="9">
        <v>17.3</v>
      </c>
      <c r="F365" s="9" t="s">
        <v>128</v>
      </c>
      <c r="G365" s="27">
        <f t="shared" si="44"/>
        <v>-0.28299250919675423</v>
      </c>
      <c r="H365" s="27">
        <f t="shared" si="46"/>
        <v>0.42972027576456401</v>
      </c>
      <c r="I365" s="48">
        <f t="shared" si="47"/>
        <v>476</v>
      </c>
      <c r="J365" s="47">
        <f t="shared" si="45"/>
        <v>1</v>
      </c>
      <c r="K365" s="47" t="str">
        <f t="shared" si="48"/>
        <v>TP</v>
      </c>
      <c r="L365" s="79">
        <v>9625107</v>
      </c>
    </row>
    <row r="366" spans="1:12" x14ac:dyDescent="0.2">
      <c r="A366" s="9">
        <v>1</v>
      </c>
      <c r="B366" s="9">
        <v>5</v>
      </c>
      <c r="C366" s="9">
        <v>17</v>
      </c>
      <c r="D366" s="9">
        <v>94</v>
      </c>
      <c r="E366" s="9">
        <v>10.5</v>
      </c>
      <c r="F366" s="9" t="s">
        <v>128</v>
      </c>
      <c r="G366" s="27">
        <f t="shared" si="44"/>
        <v>-0.46378187337752519</v>
      </c>
      <c r="H366" s="27">
        <f t="shared" si="46"/>
        <v>0.38608904273246153</v>
      </c>
      <c r="I366" s="48">
        <f t="shared" si="47"/>
        <v>473</v>
      </c>
      <c r="J366" s="47">
        <f t="shared" si="45"/>
        <v>1</v>
      </c>
      <c r="K366" s="47" t="str">
        <f t="shared" si="48"/>
        <v>TP</v>
      </c>
      <c r="L366" s="79">
        <v>3220172</v>
      </c>
    </row>
    <row r="367" spans="1:12" x14ac:dyDescent="0.2">
      <c r="A367" s="9">
        <v>0</v>
      </c>
      <c r="B367" s="9">
        <v>16</v>
      </c>
      <c r="C367" s="9">
        <v>14</v>
      </c>
      <c r="D367" s="9">
        <v>71</v>
      </c>
      <c r="E367" s="9">
        <v>11.1</v>
      </c>
      <c r="F367" s="9" t="s">
        <v>128</v>
      </c>
      <c r="G367" s="27">
        <f t="shared" si="44"/>
        <v>-2.2280169607954505</v>
      </c>
      <c r="H367" s="27">
        <f t="shared" si="46"/>
        <v>9.7262617984093899E-2</v>
      </c>
      <c r="I367" s="48">
        <f t="shared" si="47"/>
        <v>433</v>
      </c>
      <c r="J367" s="47">
        <f t="shared" si="45"/>
        <v>0</v>
      </c>
      <c r="K367" s="47" t="str">
        <f t="shared" si="48"/>
        <v>TN</v>
      </c>
      <c r="L367" s="79">
        <v>3775968</v>
      </c>
    </row>
    <row r="368" spans="1:12" x14ac:dyDescent="0.2">
      <c r="A368" s="9">
        <v>1</v>
      </c>
      <c r="B368" s="9">
        <v>2</v>
      </c>
      <c r="C368" s="9">
        <v>14</v>
      </c>
      <c r="D368" s="9">
        <v>35</v>
      </c>
      <c r="E368" s="9">
        <v>22.9</v>
      </c>
      <c r="F368" s="9" t="s">
        <v>128</v>
      </c>
      <c r="G368" s="27">
        <f t="shared" si="44"/>
        <v>0.97939323585307658</v>
      </c>
      <c r="H368" s="27">
        <f t="shared" si="46"/>
        <v>0.72698780448249145</v>
      </c>
      <c r="I368" s="48">
        <f t="shared" si="47"/>
        <v>491</v>
      </c>
      <c r="J368" s="47">
        <f t="shared" si="45"/>
        <v>1</v>
      </c>
      <c r="K368" s="47" t="str">
        <f t="shared" si="48"/>
        <v>TP</v>
      </c>
      <c r="L368" s="79">
        <v>5769786</v>
      </c>
    </row>
    <row r="369" spans="1:12" x14ac:dyDescent="0.2">
      <c r="A369" s="9">
        <v>1</v>
      </c>
      <c r="B369" s="9">
        <v>10</v>
      </c>
      <c r="C369" s="9">
        <v>13</v>
      </c>
      <c r="D369" s="9">
        <v>57</v>
      </c>
      <c r="E369" s="9">
        <v>20.9</v>
      </c>
      <c r="F369" s="9" t="s">
        <v>128</v>
      </c>
      <c r="G369" s="27">
        <f t="shared" si="44"/>
        <v>-0.1493974630589785</v>
      </c>
      <c r="H369" s="27">
        <f t="shared" si="46"/>
        <v>0.4627199481150146</v>
      </c>
      <c r="I369" s="48">
        <f t="shared" si="47"/>
        <v>478</v>
      </c>
      <c r="J369" s="47">
        <f t="shared" si="45"/>
        <v>1</v>
      </c>
      <c r="K369" s="47" t="str">
        <f t="shared" si="48"/>
        <v>TP</v>
      </c>
      <c r="L369" s="79">
        <v>9439863</v>
      </c>
    </row>
    <row r="370" spans="1:12" x14ac:dyDescent="0.2">
      <c r="A370" s="9">
        <v>0</v>
      </c>
      <c r="B370" s="9">
        <v>9</v>
      </c>
      <c r="C370" s="9">
        <v>16</v>
      </c>
      <c r="D370" s="9">
        <v>56</v>
      </c>
      <c r="E370" s="9">
        <v>18.7</v>
      </c>
      <c r="F370" s="9" t="s">
        <v>128</v>
      </c>
      <c r="G370" s="27">
        <f t="shared" si="44"/>
        <v>-0.43934834645062182</v>
      </c>
      <c r="H370" s="27">
        <f t="shared" si="46"/>
        <v>0.39189625619926444</v>
      </c>
      <c r="I370" s="48">
        <f t="shared" si="47"/>
        <v>473</v>
      </c>
      <c r="J370" s="47">
        <f t="shared" si="45"/>
        <v>1</v>
      </c>
      <c r="K370" s="47" t="str">
        <f t="shared" si="48"/>
        <v>FP</v>
      </c>
      <c r="L370" s="79">
        <v>8335443</v>
      </c>
    </row>
    <row r="371" spans="1:12" x14ac:dyDescent="0.2">
      <c r="A371" s="9">
        <v>0</v>
      </c>
      <c r="B371" s="9">
        <v>6</v>
      </c>
      <c r="C371" s="9">
        <v>7</v>
      </c>
      <c r="D371" s="9">
        <v>45</v>
      </c>
      <c r="E371" s="9">
        <v>26</v>
      </c>
      <c r="F371" s="9" t="s">
        <v>128</v>
      </c>
      <c r="G371" s="27">
        <f t="shared" si="44"/>
        <v>1.2358109762546396</v>
      </c>
      <c r="H371" s="27">
        <f t="shared" si="46"/>
        <v>0.77483401244823014</v>
      </c>
      <c r="I371" s="48">
        <f t="shared" si="47"/>
        <v>493</v>
      </c>
      <c r="J371" s="47">
        <f t="shared" si="45"/>
        <v>1</v>
      </c>
      <c r="K371" s="47" t="str">
        <f t="shared" si="48"/>
        <v>FP</v>
      </c>
      <c r="L371" s="79">
        <v>7326640</v>
      </c>
    </row>
    <row r="372" spans="1:12" x14ac:dyDescent="0.2">
      <c r="A372" s="9">
        <v>0</v>
      </c>
      <c r="B372" s="9">
        <v>0</v>
      </c>
      <c r="C372" s="9">
        <v>7</v>
      </c>
      <c r="D372" s="9">
        <v>29</v>
      </c>
      <c r="E372" s="9">
        <v>24.2</v>
      </c>
      <c r="F372" s="9" t="s">
        <v>128</v>
      </c>
      <c r="G372" s="27">
        <f t="shared" si="44"/>
        <v>1.6755463616349169</v>
      </c>
      <c r="H372" s="27">
        <f t="shared" si="46"/>
        <v>0.8423138949605451</v>
      </c>
      <c r="I372" s="48">
        <f t="shared" si="47"/>
        <v>495</v>
      </c>
      <c r="J372" s="47">
        <f t="shared" si="45"/>
        <v>1</v>
      </c>
      <c r="K372" s="47" t="str">
        <f t="shared" si="48"/>
        <v>FP</v>
      </c>
      <c r="L372" s="79">
        <v>4872124</v>
      </c>
    </row>
    <row r="373" spans="1:12" x14ac:dyDescent="0.2">
      <c r="A373" s="9">
        <v>1</v>
      </c>
      <c r="B373" s="9">
        <v>9</v>
      </c>
      <c r="C373" s="9">
        <v>7</v>
      </c>
      <c r="D373" s="9">
        <v>59</v>
      </c>
      <c r="E373" s="9">
        <v>14.6</v>
      </c>
      <c r="F373" s="9" t="s">
        <v>128</v>
      </c>
      <c r="G373" s="27">
        <f t="shared" si="44"/>
        <v>-0.56399909442892016</v>
      </c>
      <c r="H373" s="27">
        <f t="shared" si="46"/>
        <v>0.36262265232062169</v>
      </c>
      <c r="I373" s="48">
        <f t="shared" si="47"/>
        <v>471</v>
      </c>
      <c r="J373" s="47">
        <f t="shared" si="45"/>
        <v>1</v>
      </c>
      <c r="K373" s="47" t="str">
        <f t="shared" si="48"/>
        <v>TP</v>
      </c>
      <c r="L373" s="79">
        <v>5566227</v>
      </c>
    </row>
    <row r="374" spans="1:12" x14ac:dyDescent="0.2">
      <c r="A374" s="9">
        <v>1</v>
      </c>
      <c r="B374" s="9">
        <v>9</v>
      </c>
      <c r="C374" s="9">
        <v>6</v>
      </c>
      <c r="D374" s="9">
        <v>45</v>
      </c>
      <c r="E374" s="9">
        <v>17.8</v>
      </c>
      <c r="F374" s="9" t="s">
        <v>128</v>
      </c>
      <c r="G374" s="27">
        <f t="shared" si="44"/>
        <v>-0.28154324000317343</v>
      </c>
      <c r="H374" s="27">
        <f t="shared" si="46"/>
        <v>0.43007547089107023</v>
      </c>
      <c r="I374" s="48">
        <f t="shared" si="47"/>
        <v>476</v>
      </c>
      <c r="J374" s="47">
        <f t="shared" si="45"/>
        <v>1</v>
      </c>
      <c r="K374" s="47" t="str">
        <f t="shared" si="48"/>
        <v>TP</v>
      </c>
      <c r="L374" s="79">
        <v>9276997</v>
      </c>
    </row>
    <row r="375" spans="1:12" x14ac:dyDescent="0.2">
      <c r="A375" s="9">
        <v>0</v>
      </c>
      <c r="B375" s="9">
        <v>2</v>
      </c>
      <c r="C375" s="9">
        <v>1</v>
      </c>
      <c r="D375" s="9">
        <v>37</v>
      </c>
      <c r="E375" s="9">
        <v>14.2</v>
      </c>
      <c r="F375" s="9" t="s">
        <v>128</v>
      </c>
      <c r="G375" s="27">
        <f t="shared" si="44"/>
        <v>0.39161796745349431</v>
      </c>
      <c r="H375" s="27">
        <f t="shared" si="46"/>
        <v>0.59667213127078411</v>
      </c>
      <c r="I375" s="48">
        <f t="shared" si="47"/>
        <v>485</v>
      </c>
      <c r="J375" s="47">
        <f t="shared" si="45"/>
        <v>1</v>
      </c>
      <c r="K375" s="47" t="str">
        <f t="shared" si="48"/>
        <v>FP</v>
      </c>
      <c r="L375" s="79">
        <v>6265137</v>
      </c>
    </row>
    <row r="376" spans="1:12" x14ac:dyDescent="0.2">
      <c r="A376" s="9">
        <v>1</v>
      </c>
      <c r="B376" s="9">
        <v>17</v>
      </c>
      <c r="C376" s="9">
        <v>12</v>
      </c>
      <c r="D376" s="9">
        <v>0</v>
      </c>
      <c r="E376" s="9">
        <v>9.3000000000000007</v>
      </c>
      <c r="F376" s="9" t="s">
        <v>128</v>
      </c>
      <c r="G376" s="27">
        <f t="shared" si="44"/>
        <v>-3.5158842111692041</v>
      </c>
      <c r="H376" s="27">
        <f t="shared" si="46"/>
        <v>2.8863640232304241E-2</v>
      </c>
      <c r="I376" s="48">
        <f t="shared" si="47"/>
        <v>398</v>
      </c>
      <c r="J376" s="47">
        <f t="shared" si="45"/>
        <v>0</v>
      </c>
      <c r="K376" s="47" t="str">
        <f t="shared" si="48"/>
        <v>FN</v>
      </c>
      <c r="L376" s="79">
        <v>6615364</v>
      </c>
    </row>
    <row r="377" spans="1:12" x14ac:dyDescent="0.2">
      <c r="A377" s="9">
        <v>0</v>
      </c>
      <c r="B377" s="9">
        <v>22</v>
      </c>
      <c r="C377" s="9">
        <v>23</v>
      </c>
      <c r="D377" s="13">
        <v>117.54291069294821</v>
      </c>
      <c r="E377" s="9">
        <v>7.6</v>
      </c>
      <c r="F377" s="9" t="s">
        <v>128</v>
      </c>
      <c r="G377" s="27">
        <f t="shared" si="44"/>
        <v>-3.3507835315745718</v>
      </c>
      <c r="H377" s="27">
        <f t="shared" si="46"/>
        <v>3.3869515781577937E-2</v>
      </c>
      <c r="I377" s="48">
        <f t="shared" si="47"/>
        <v>402</v>
      </c>
      <c r="J377" s="47">
        <f t="shared" si="45"/>
        <v>0</v>
      </c>
      <c r="K377" s="47" t="str">
        <f t="shared" si="48"/>
        <v>TN</v>
      </c>
      <c r="L377" s="79">
        <v>4279943</v>
      </c>
    </row>
    <row r="378" spans="1:12" x14ac:dyDescent="0.2">
      <c r="A378" s="9">
        <v>0</v>
      </c>
      <c r="B378" s="9">
        <v>11</v>
      </c>
      <c r="C378" s="9">
        <v>12</v>
      </c>
      <c r="D378" s="9">
        <v>45</v>
      </c>
      <c r="E378" s="9">
        <v>17</v>
      </c>
      <c r="F378" s="9" t="s">
        <v>128</v>
      </c>
      <c r="G378" s="27">
        <f t="shared" si="44"/>
        <v>-0.94980052644256308</v>
      </c>
      <c r="H378" s="27">
        <f t="shared" si="46"/>
        <v>0.2789249394902098</v>
      </c>
      <c r="I378" s="48">
        <f t="shared" si="47"/>
        <v>463</v>
      </c>
      <c r="J378" s="47">
        <f t="shared" si="45"/>
        <v>1</v>
      </c>
      <c r="K378" s="47" t="str">
        <f t="shared" si="48"/>
        <v>FP</v>
      </c>
      <c r="L378" s="79">
        <v>4227569</v>
      </c>
    </row>
    <row r="379" spans="1:12" x14ac:dyDescent="0.2">
      <c r="A379" s="9">
        <v>1</v>
      </c>
      <c r="B379" s="9">
        <v>3</v>
      </c>
      <c r="C379" s="9">
        <v>4</v>
      </c>
      <c r="D379" s="9">
        <v>45</v>
      </c>
      <c r="E379" s="9">
        <v>11</v>
      </c>
      <c r="F379" s="9" t="s">
        <v>128</v>
      </c>
      <c r="G379" s="27">
        <f t="shared" si="44"/>
        <v>-0.21058915670527267</v>
      </c>
      <c r="H379" s="27">
        <f t="shared" si="46"/>
        <v>0.44754641774476117</v>
      </c>
      <c r="I379" s="48">
        <f t="shared" si="47"/>
        <v>477</v>
      </c>
      <c r="J379" s="47">
        <f t="shared" si="45"/>
        <v>1</v>
      </c>
      <c r="K379" s="47" t="str">
        <f t="shared" si="48"/>
        <v>TP</v>
      </c>
      <c r="L379" s="79">
        <v>9999481</v>
      </c>
    </row>
    <row r="380" spans="1:12" x14ac:dyDescent="0.2">
      <c r="A380" s="9">
        <v>0</v>
      </c>
      <c r="B380" s="9">
        <v>12</v>
      </c>
      <c r="C380" s="9">
        <v>1</v>
      </c>
      <c r="D380" s="9">
        <v>54</v>
      </c>
      <c r="E380" s="9">
        <v>14.4</v>
      </c>
      <c r="F380" s="9" t="s">
        <v>128</v>
      </c>
      <c r="G380" s="27">
        <f t="shared" si="44"/>
        <v>-0.85323798246105076</v>
      </c>
      <c r="H380" s="27">
        <f t="shared" si="46"/>
        <v>0.29875405823731654</v>
      </c>
      <c r="I380" s="48">
        <f t="shared" si="47"/>
        <v>465</v>
      </c>
      <c r="J380" s="47">
        <f t="shared" si="45"/>
        <v>1</v>
      </c>
      <c r="K380" s="47" t="str">
        <f t="shared" si="48"/>
        <v>FP</v>
      </c>
      <c r="L380" s="79">
        <v>8463070</v>
      </c>
    </row>
    <row r="381" spans="1:12" x14ac:dyDescent="0.2">
      <c r="A381" s="9">
        <v>0</v>
      </c>
      <c r="B381" s="9">
        <v>17</v>
      </c>
      <c r="C381" s="9">
        <v>11</v>
      </c>
      <c r="D381" s="9">
        <v>116</v>
      </c>
      <c r="E381" s="9">
        <v>6</v>
      </c>
      <c r="F381" s="9" t="s">
        <v>128</v>
      </c>
      <c r="G381" s="27">
        <f t="shared" si="44"/>
        <v>-2.3175019882508758</v>
      </c>
      <c r="H381" s="27">
        <f t="shared" si="46"/>
        <v>8.9683789605953204E-2</v>
      </c>
      <c r="I381" s="48">
        <f t="shared" si="47"/>
        <v>430</v>
      </c>
      <c r="J381" s="47">
        <f t="shared" si="45"/>
        <v>0</v>
      </c>
      <c r="K381" s="47" t="str">
        <f t="shared" si="48"/>
        <v>TN</v>
      </c>
      <c r="L381" s="79">
        <v>722024</v>
      </c>
    </row>
    <row r="382" spans="1:12" x14ac:dyDescent="0.2">
      <c r="A382" s="9">
        <v>0</v>
      </c>
      <c r="B382" s="9">
        <v>19</v>
      </c>
      <c r="C382" s="9">
        <v>5</v>
      </c>
      <c r="D382" s="9">
        <v>48</v>
      </c>
      <c r="E382" s="9">
        <v>13.1</v>
      </c>
      <c r="F382" s="9" t="s">
        <v>128</v>
      </c>
      <c r="G382" s="27">
        <f t="shared" si="44"/>
        <v>-2.3389390698097996</v>
      </c>
      <c r="H382" s="27">
        <f t="shared" si="46"/>
        <v>8.7948979042606373E-2</v>
      </c>
      <c r="I382" s="48">
        <f t="shared" si="47"/>
        <v>430</v>
      </c>
      <c r="J382" s="47">
        <f t="shared" si="45"/>
        <v>0</v>
      </c>
      <c r="K382" s="47" t="str">
        <f t="shared" si="48"/>
        <v>TN</v>
      </c>
      <c r="L382" s="79">
        <v>6580813</v>
      </c>
    </row>
    <row r="383" spans="1:12" x14ac:dyDescent="0.2">
      <c r="A383" s="9">
        <v>0</v>
      </c>
      <c r="B383" s="9">
        <v>3</v>
      </c>
      <c r="C383" s="9">
        <v>11</v>
      </c>
      <c r="D383" s="9">
        <v>27</v>
      </c>
      <c r="E383" s="9">
        <v>21.3</v>
      </c>
      <c r="F383" s="9" t="s">
        <v>128</v>
      </c>
      <c r="G383" s="27">
        <f t="shared" si="44"/>
        <v>0.63139903332476921</v>
      </c>
      <c r="H383" s="27">
        <f t="shared" si="46"/>
        <v>0.65280662103784526</v>
      </c>
      <c r="I383" s="48">
        <f t="shared" si="47"/>
        <v>488</v>
      </c>
      <c r="J383" s="47">
        <f t="shared" si="45"/>
        <v>1</v>
      </c>
      <c r="K383" s="47" t="str">
        <f t="shared" si="48"/>
        <v>FP</v>
      </c>
      <c r="L383" s="79">
        <v>8484975</v>
      </c>
    </row>
    <row r="384" spans="1:12" x14ac:dyDescent="0.2">
      <c r="A384" s="9">
        <v>0</v>
      </c>
      <c r="B384" s="9">
        <v>10</v>
      </c>
      <c r="C384" s="9">
        <v>8</v>
      </c>
      <c r="D384" s="9">
        <v>44</v>
      </c>
      <c r="E384" s="9">
        <v>18.100000000000001</v>
      </c>
      <c r="F384" s="9" t="s">
        <v>128</v>
      </c>
      <c r="G384" s="27">
        <f t="shared" si="44"/>
        <v>-0.49171501027971209</v>
      </c>
      <c r="H384" s="27">
        <f t="shared" si="46"/>
        <v>0.37948963836413413</v>
      </c>
      <c r="I384" s="48">
        <f t="shared" si="47"/>
        <v>472</v>
      </c>
      <c r="J384" s="47">
        <f t="shared" si="45"/>
        <v>1</v>
      </c>
      <c r="K384" s="47" t="str">
        <f t="shared" si="48"/>
        <v>FP</v>
      </c>
      <c r="L384" s="79">
        <v>3040840</v>
      </c>
    </row>
    <row r="385" spans="1:12" x14ac:dyDescent="0.2">
      <c r="A385" s="9">
        <v>0</v>
      </c>
      <c r="B385" s="9">
        <v>5</v>
      </c>
      <c r="C385" s="9">
        <v>5</v>
      </c>
      <c r="D385" s="9">
        <v>54</v>
      </c>
      <c r="E385" s="9">
        <v>10.6</v>
      </c>
      <c r="F385" s="9" t="s">
        <v>128</v>
      </c>
      <c r="G385" s="27">
        <f t="shared" si="44"/>
        <v>-0.48486703466829928</v>
      </c>
      <c r="H385" s="27">
        <f t="shared" si="46"/>
        <v>0.38110350638894652</v>
      </c>
      <c r="I385" s="48">
        <f t="shared" si="47"/>
        <v>472</v>
      </c>
      <c r="J385" s="47">
        <f t="shared" si="45"/>
        <v>1</v>
      </c>
      <c r="K385" s="47" t="str">
        <f t="shared" si="48"/>
        <v>FP</v>
      </c>
      <c r="L385" s="79">
        <v>8283322</v>
      </c>
    </row>
    <row r="386" spans="1:12" x14ac:dyDescent="0.2">
      <c r="A386" s="9">
        <v>0</v>
      </c>
      <c r="B386" s="9">
        <v>14</v>
      </c>
      <c r="C386" s="9">
        <v>11</v>
      </c>
      <c r="D386" s="9">
        <v>81</v>
      </c>
      <c r="E386" s="9">
        <v>7.2</v>
      </c>
      <c r="F386" s="9" t="s">
        <v>128</v>
      </c>
      <c r="G386" s="27">
        <f t="shared" ref="G386:G449" si="49">SUMPRODUCT($S$3:$V$3,B386:E386)+$R$3</f>
        <v>-2.1864766627908789</v>
      </c>
      <c r="H386" s="27">
        <f t="shared" si="46"/>
        <v>0.10097147950867483</v>
      </c>
      <c r="I386" s="48">
        <f t="shared" si="47"/>
        <v>434</v>
      </c>
      <c r="J386" s="47">
        <f t="shared" ref="J386:J449" si="50">IF(H386&gt;=$O$3,1,0)</f>
        <v>0</v>
      </c>
      <c r="K386" s="47" t="str">
        <f t="shared" si="48"/>
        <v>TN</v>
      </c>
      <c r="L386" s="79">
        <v>9949444</v>
      </c>
    </row>
    <row r="387" spans="1:12" x14ac:dyDescent="0.2">
      <c r="A387" s="9">
        <v>1</v>
      </c>
      <c r="B387" s="9">
        <v>0</v>
      </c>
      <c r="C387" s="9">
        <v>6</v>
      </c>
      <c r="D387" s="9">
        <v>70</v>
      </c>
      <c r="E387" s="9">
        <v>8</v>
      </c>
      <c r="F387" s="9" t="s">
        <v>128</v>
      </c>
      <c r="G387" s="27">
        <f t="shared" si="49"/>
        <v>9.4684960820879072E-2</v>
      </c>
      <c r="H387" s="27">
        <f t="shared" ref="H387:H450" si="51">EXP(G387)/(1+EXP(G387))</f>
        <v>0.52365357117973599</v>
      </c>
      <c r="I387" s="48">
        <f t="shared" ref="I387:I450" si="52">ROUND($O$4+(($O$5/LN(2))*LN(H387)),0)</f>
        <v>481</v>
      </c>
      <c r="J387" s="47">
        <f t="shared" si="50"/>
        <v>1</v>
      </c>
      <c r="K387" s="47" t="str">
        <f t="shared" ref="K387:K450" si="53">+IF(AND(A387=1,J387=1),"TP",IF(AND(A387=0,J387=0),"TN",IF(AND(A387=0,J387=1),"FP",IF(AND(A387=1,J387=0),"FN","OC"))))</f>
        <v>TP</v>
      </c>
      <c r="L387" s="79">
        <v>7024977</v>
      </c>
    </row>
    <row r="388" spans="1:12" x14ac:dyDescent="0.2">
      <c r="A388" s="9">
        <v>1</v>
      </c>
      <c r="B388" s="9">
        <v>9</v>
      </c>
      <c r="C388" s="9">
        <v>11</v>
      </c>
      <c r="D388" s="9">
        <v>24</v>
      </c>
      <c r="E388" s="9">
        <v>19.2</v>
      </c>
      <c r="F388" s="9" t="s">
        <v>128</v>
      </c>
      <c r="G388" s="27">
        <f t="shared" si="49"/>
        <v>-0.59784810760954388</v>
      </c>
      <c r="H388" s="27">
        <f t="shared" si="51"/>
        <v>0.35483616700944481</v>
      </c>
      <c r="I388" s="48">
        <f t="shared" si="52"/>
        <v>470</v>
      </c>
      <c r="J388" s="47">
        <f t="shared" si="50"/>
        <v>1</v>
      </c>
      <c r="K388" s="47" t="str">
        <f t="shared" si="53"/>
        <v>TP</v>
      </c>
      <c r="L388" s="79">
        <v>7842489</v>
      </c>
    </row>
    <row r="389" spans="1:12" x14ac:dyDescent="0.2">
      <c r="A389" s="9">
        <v>1</v>
      </c>
      <c r="B389" s="9">
        <v>6</v>
      </c>
      <c r="C389" s="9">
        <v>8</v>
      </c>
      <c r="D389" s="9">
        <v>47</v>
      </c>
      <c r="E389" s="9">
        <v>19.8</v>
      </c>
      <c r="F389" s="9" t="s">
        <v>128</v>
      </c>
      <c r="G389" s="27">
        <f t="shared" si="49"/>
        <v>0.382143301621654</v>
      </c>
      <c r="H389" s="27">
        <f t="shared" si="51"/>
        <v>0.5943899370398753</v>
      </c>
      <c r="I389" s="48">
        <f t="shared" si="52"/>
        <v>485</v>
      </c>
      <c r="J389" s="47">
        <f t="shared" si="50"/>
        <v>1</v>
      </c>
      <c r="K389" s="47" t="str">
        <f t="shared" si="53"/>
        <v>TP</v>
      </c>
      <c r="L389" s="79">
        <v>378455</v>
      </c>
    </row>
    <row r="390" spans="1:12" x14ac:dyDescent="0.2">
      <c r="A390" s="9">
        <v>1</v>
      </c>
      <c r="B390" s="9">
        <v>16</v>
      </c>
      <c r="C390" s="9">
        <v>18</v>
      </c>
      <c r="D390" s="9">
        <v>52</v>
      </c>
      <c r="E390" s="9">
        <v>12.9</v>
      </c>
      <c r="F390" s="9" t="s">
        <v>128</v>
      </c>
      <c r="G390" s="27">
        <f t="shared" si="49"/>
        <v>-2.4195058918924999</v>
      </c>
      <c r="H390" s="27">
        <f t="shared" si="51"/>
        <v>8.1697317206794115E-2</v>
      </c>
      <c r="I390" s="48">
        <f t="shared" si="52"/>
        <v>428</v>
      </c>
      <c r="J390" s="47">
        <f t="shared" si="50"/>
        <v>0</v>
      </c>
      <c r="K390" s="47" t="str">
        <f t="shared" si="53"/>
        <v>FN</v>
      </c>
      <c r="L390" s="79">
        <v>660618</v>
      </c>
    </row>
    <row r="391" spans="1:12" x14ac:dyDescent="0.2">
      <c r="A391" s="9">
        <v>1</v>
      </c>
      <c r="B391" s="9">
        <v>14</v>
      </c>
      <c r="C391" s="9">
        <v>21</v>
      </c>
      <c r="D391" s="9">
        <v>43</v>
      </c>
      <c r="E391" s="9">
        <v>15</v>
      </c>
      <c r="F391" s="9" t="s">
        <v>128</v>
      </c>
      <c r="G391" s="27">
        <f t="shared" si="49"/>
        <v>-2.0879438237035144</v>
      </c>
      <c r="H391" s="27">
        <f t="shared" si="51"/>
        <v>0.11027415195286638</v>
      </c>
      <c r="I391" s="48">
        <f t="shared" si="52"/>
        <v>436</v>
      </c>
      <c r="J391" s="47">
        <f t="shared" si="50"/>
        <v>0</v>
      </c>
      <c r="K391" s="47" t="str">
        <f t="shared" si="53"/>
        <v>FN</v>
      </c>
      <c r="L391" s="79">
        <v>7287493</v>
      </c>
    </row>
    <row r="392" spans="1:12" x14ac:dyDescent="0.2">
      <c r="A392" s="9">
        <v>0</v>
      </c>
      <c r="B392" s="9">
        <v>7</v>
      </c>
      <c r="C392" s="9">
        <v>3</v>
      </c>
      <c r="D392" s="9">
        <v>32</v>
      </c>
      <c r="E392" s="9">
        <v>19.600000000000001</v>
      </c>
      <c r="F392" s="9" t="s">
        <v>128</v>
      </c>
      <c r="G392" s="27">
        <f t="shared" si="49"/>
        <v>0.21303874309050297</v>
      </c>
      <c r="H392" s="27">
        <f t="shared" si="51"/>
        <v>0.5530591609993708</v>
      </c>
      <c r="I392" s="48">
        <f t="shared" si="52"/>
        <v>483</v>
      </c>
      <c r="J392" s="47">
        <f t="shared" si="50"/>
        <v>1</v>
      </c>
      <c r="K392" s="47" t="str">
        <f t="shared" si="53"/>
        <v>FP</v>
      </c>
      <c r="L392" s="79">
        <v>3085339</v>
      </c>
    </row>
    <row r="393" spans="1:12" x14ac:dyDescent="0.2">
      <c r="A393" s="9">
        <v>1</v>
      </c>
      <c r="B393" s="9">
        <v>9</v>
      </c>
      <c r="C393" s="9">
        <v>18</v>
      </c>
      <c r="D393" s="9">
        <v>50</v>
      </c>
      <c r="E393" s="9">
        <v>11.2</v>
      </c>
      <c r="F393" s="9" t="s">
        <v>128</v>
      </c>
      <c r="G393" s="27">
        <f t="shared" si="49"/>
        <v>-1.6223270725618939</v>
      </c>
      <c r="H393" s="27">
        <f t="shared" si="51"/>
        <v>0.16488418843053385</v>
      </c>
      <c r="I393" s="48">
        <f t="shared" si="52"/>
        <v>448</v>
      </c>
      <c r="J393" s="47">
        <f t="shared" si="50"/>
        <v>0</v>
      </c>
      <c r="K393" s="47" t="str">
        <f t="shared" si="53"/>
        <v>FN</v>
      </c>
      <c r="L393" s="79">
        <v>3886418</v>
      </c>
    </row>
    <row r="394" spans="1:12" x14ac:dyDescent="0.2">
      <c r="A394" s="9">
        <v>0</v>
      </c>
      <c r="B394" s="9">
        <v>0</v>
      </c>
      <c r="C394" s="9">
        <v>2</v>
      </c>
      <c r="D394" s="9">
        <v>32</v>
      </c>
      <c r="E394" s="9">
        <v>17.600000000000001</v>
      </c>
      <c r="F394" s="9" t="s">
        <v>128</v>
      </c>
      <c r="G394" s="27">
        <f t="shared" si="49"/>
        <v>1.0404042379400007</v>
      </c>
      <c r="H394" s="27">
        <f t="shared" si="51"/>
        <v>0.73892799653625407</v>
      </c>
      <c r="I394" s="48">
        <f t="shared" si="52"/>
        <v>491</v>
      </c>
      <c r="J394" s="47">
        <f t="shared" si="50"/>
        <v>1</v>
      </c>
      <c r="K394" s="47" t="str">
        <f t="shared" si="53"/>
        <v>FP</v>
      </c>
      <c r="L394" s="79">
        <v>5330973</v>
      </c>
    </row>
    <row r="395" spans="1:12" x14ac:dyDescent="0.2">
      <c r="A395" s="9">
        <v>0</v>
      </c>
      <c r="B395" s="9">
        <v>9</v>
      </c>
      <c r="C395" s="9">
        <v>13</v>
      </c>
      <c r="D395" s="9">
        <v>45</v>
      </c>
      <c r="E395" s="9">
        <v>10.1</v>
      </c>
      <c r="F395" s="9" t="s">
        <v>128</v>
      </c>
      <c r="G395" s="27">
        <f t="shared" si="49"/>
        <v>-1.6243921372117962</v>
      </c>
      <c r="H395" s="27">
        <f t="shared" si="51"/>
        <v>0.16460003116019489</v>
      </c>
      <c r="I395" s="48">
        <f t="shared" si="52"/>
        <v>448</v>
      </c>
      <c r="J395" s="47">
        <f t="shared" si="50"/>
        <v>0</v>
      </c>
      <c r="K395" s="47" t="str">
        <f t="shared" si="53"/>
        <v>TN</v>
      </c>
      <c r="L395" s="79">
        <v>2886517</v>
      </c>
    </row>
    <row r="396" spans="1:12" x14ac:dyDescent="0.2">
      <c r="A396" s="9">
        <v>0</v>
      </c>
      <c r="B396" s="9">
        <v>9</v>
      </c>
      <c r="C396" s="9">
        <v>4</v>
      </c>
      <c r="D396" s="9">
        <v>64</v>
      </c>
      <c r="E396" s="9">
        <v>6.6</v>
      </c>
      <c r="F396" s="9" t="s">
        <v>128</v>
      </c>
      <c r="G396" s="27">
        <f t="shared" si="49"/>
        <v>-1.4470549640101487</v>
      </c>
      <c r="H396" s="27">
        <f t="shared" si="51"/>
        <v>0.19045522375547916</v>
      </c>
      <c r="I396" s="48">
        <f t="shared" si="52"/>
        <v>452</v>
      </c>
      <c r="J396" s="47">
        <f t="shared" si="50"/>
        <v>0</v>
      </c>
      <c r="K396" s="47" t="str">
        <f t="shared" si="53"/>
        <v>TN</v>
      </c>
      <c r="L396" s="79">
        <v>5387919</v>
      </c>
    </row>
    <row r="397" spans="1:12" x14ac:dyDescent="0.2">
      <c r="A397" s="9">
        <v>0</v>
      </c>
      <c r="B397" s="9">
        <v>15</v>
      </c>
      <c r="C397" s="9">
        <v>0</v>
      </c>
      <c r="D397" s="13">
        <v>117.54291069294821</v>
      </c>
      <c r="E397" s="9">
        <v>3.1</v>
      </c>
      <c r="F397" s="9" t="s">
        <v>128</v>
      </c>
      <c r="G397" s="27">
        <f t="shared" si="49"/>
        <v>-1.9124661718472171</v>
      </c>
      <c r="H397" s="27">
        <f t="shared" si="51"/>
        <v>0.12870404400211743</v>
      </c>
      <c r="I397" s="48">
        <f t="shared" si="52"/>
        <v>441</v>
      </c>
      <c r="J397" s="47">
        <f t="shared" si="50"/>
        <v>0</v>
      </c>
      <c r="K397" s="47" t="str">
        <f t="shared" si="53"/>
        <v>TN</v>
      </c>
      <c r="L397" s="79">
        <v>7199447</v>
      </c>
    </row>
    <row r="398" spans="1:12" x14ac:dyDescent="0.2">
      <c r="A398" s="9">
        <v>1</v>
      </c>
      <c r="B398" s="9">
        <v>3</v>
      </c>
      <c r="C398" s="9">
        <v>3</v>
      </c>
      <c r="D398" s="9">
        <v>21</v>
      </c>
      <c r="E398" s="9">
        <v>28.9</v>
      </c>
      <c r="F398" s="9" t="s">
        <v>128</v>
      </c>
      <c r="G398" s="27">
        <f t="shared" si="49"/>
        <v>1.9210329747411876</v>
      </c>
      <c r="H398" s="27">
        <f t="shared" si="51"/>
        <v>0.87225357950555504</v>
      </c>
      <c r="I398" s="48">
        <f t="shared" si="52"/>
        <v>496</v>
      </c>
      <c r="J398" s="47">
        <f t="shared" si="50"/>
        <v>1</v>
      </c>
      <c r="K398" s="47" t="str">
        <f t="shared" si="53"/>
        <v>TP</v>
      </c>
      <c r="L398" s="79">
        <v>8002402</v>
      </c>
    </row>
    <row r="399" spans="1:12" x14ac:dyDescent="0.2">
      <c r="A399" s="9">
        <v>0</v>
      </c>
      <c r="B399" s="9">
        <v>0</v>
      </c>
      <c r="C399" s="9">
        <v>5</v>
      </c>
      <c r="D399" s="9">
        <v>38</v>
      </c>
      <c r="E399" s="9">
        <v>10.4</v>
      </c>
      <c r="F399" s="9" t="s">
        <v>128</v>
      </c>
      <c r="G399" s="27">
        <f t="shared" si="49"/>
        <v>2.0506321599467414E-2</v>
      </c>
      <c r="H399" s="27">
        <f t="shared" si="51"/>
        <v>0.50512640075955817</v>
      </c>
      <c r="I399" s="48">
        <f t="shared" si="52"/>
        <v>480</v>
      </c>
      <c r="J399" s="47">
        <f t="shared" si="50"/>
        <v>1</v>
      </c>
      <c r="K399" s="47" t="str">
        <f t="shared" si="53"/>
        <v>FP</v>
      </c>
      <c r="L399" s="79">
        <v>652006</v>
      </c>
    </row>
    <row r="400" spans="1:12" x14ac:dyDescent="0.2">
      <c r="A400" s="9">
        <v>1</v>
      </c>
      <c r="B400" s="9">
        <v>3</v>
      </c>
      <c r="C400" s="9">
        <v>4</v>
      </c>
      <c r="D400" s="9">
        <v>19</v>
      </c>
      <c r="E400" s="9">
        <v>24.4</v>
      </c>
      <c r="F400" s="9" t="s">
        <v>128</v>
      </c>
      <c r="G400" s="27">
        <f t="shared" si="49"/>
        <v>1.2419599381450652</v>
      </c>
      <c r="H400" s="27">
        <f t="shared" si="51"/>
        <v>0.77590498560762311</v>
      </c>
      <c r="I400" s="48">
        <f t="shared" si="52"/>
        <v>493</v>
      </c>
      <c r="J400" s="47">
        <f t="shared" si="50"/>
        <v>1</v>
      </c>
      <c r="K400" s="47" t="str">
        <f t="shared" si="53"/>
        <v>TP</v>
      </c>
      <c r="L400" s="79">
        <v>9624869</v>
      </c>
    </row>
    <row r="401" spans="1:12" x14ac:dyDescent="0.2">
      <c r="A401" s="9">
        <v>0</v>
      </c>
      <c r="B401" s="9">
        <v>16</v>
      </c>
      <c r="C401" s="9">
        <v>17</v>
      </c>
      <c r="D401" s="9">
        <v>68</v>
      </c>
      <c r="E401" s="9">
        <v>5.4</v>
      </c>
      <c r="F401" s="9" t="s">
        <v>128</v>
      </c>
      <c r="G401" s="27">
        <f t="shared" si="49"/>
        <v>-3.1693812726998249</v>
      </c>
      <c r="H401" s="27">
        <f t="shared" si="51"/>
        <v>4.0334357997956684E-2</v>
      </c>
      <c r="I401" s="48">
        <f t="shared" si="52"/>
        <v>407</v>
      </c>
      <c r="J401" s="47">
        <f t="shared" si="50"/>
        <v>0</v>
      </c>
      <c r="K401" s="47" t="str">
        <f t="shared" si="53"/>
        <v>TN</v>
      </c>
      <c r="L401" s="79">
        <v>3142302</v>
      </c>
    </row>
    <row r="402" spans="1:12" x14ac:dyDescent="0.2">
      <c r="A402" s="9">
        <v>1</v>
      </c>
      <c r="B402" s="9">
        <v>1</v>
      </c>
      <c r="C402" s="9">
        <v>2</v>
      </c>
      <c r="D402" s="9">
        <v>20</v>
      </c>
      <c r="E402" s="9">
        <v>18.600000000000001</v>
      </c>
      <c r="F402" s="9" t="s">
        <v>128</v>
      </c>
      <c r="G402" s="27">
        <f t="shared" si="49"/>
        <v>0.85927356915886577</v>
      </c>
      <c r="H402" s="27">
        <f t="shared" si="51"/>
        <v>0.70250885978274513</v>
      </c>
      <c r="I402" s="48">
        <f t="shared" si="52"/>
        <v>490</v>
      </c>
      <c r="J402" s="47">
        <f t="shared" si="50"/>
        <v>1</v>
      </c>
      <c r="K402" s="47" t="str">
        <f t="shared" si="53"/>
        <v>TP</v>
      </c>
      <c r="L402" s="79">
        <v>9056276</v>
      </c>
    </row>
    <row r="403" spans="1:12" x14ac:dyDescent="0.2">
      <c r="A403" s="9">
        <v>0</v>
      </c>
      <c r="B403" s="9">
        <v>5</v>
      </c>
      <c r="C403" s="9">
        <v>9</v>
      </c>
      <c r="D403" s="9">
        <v>44</v>
      </c>
      <c r="E403" s="9">
        <v>8.6999999999999993</v>
      </c>
      <c r="F403" s="9" t="s">
        <v>128</v>
      </c>
      <c r="G403" s="27">
        <f t="shared" si="49"/>
        <v>-1.0522958190285712</v>
      </c>
      <c r="H403" s="27">
        <f t="shared" si="51"/>
        <v>0.25878448430448286</v>
      </c>
      <c r="I403" s="48">
        <f t="shared" si="52"/>
        <v>461</v>
      </c>
      <c r="J403" s="47">
        <f t="shared" si="50"/>
        <v>1</v>
      </c>
      <c r="K403" s="47" t="str">
        <f t="shared" si="53"/>
        <v>FP</v>
      </c>
      <c r="L403" s="79">
        <v>8205139</v>
      </c>
    </row>
    <row r="404" spans="1:12" x14ac:dyDescent="0.2">
      <c r="A404" s="9">
        <v>0</v>
      </c>
      <c r="B404" s="9">
        <v>12</v>
      </c>
      <c r="C404" s="9">
        <v>13</v>
      </c>
      <c r="D404" s="9">
        <v>60</v>
      </c>
      <c r="E404" s="9">
        <v>7.9</v>
      </c>
      <c r="F404" s="9" t="s">
        <v>128</v>
      </c>
      <c r="G404" s="27">
        <f t="shared" si="49"/>
        <v>-2.1666985287861649</v>
      </c>
      <c r="H404" s="27">
        <f t="shared" si="51"/>
        <v>0.1027810866466934</v>
      </c>
      <c r="I404" s="48">
        <f t="shared" si="52"/>
        <v>434</v>
      </c>
      <c r="J404" s="47">
        <f t="shared" si="50"/>
        <v>0</v>
      </c>
      <c r="K404" s="47" t="str">
        <f t="shared" si="53"/>
        <v>TN</v>
      </c>
      <c r="L404" s="79">
        <v>659872</v>
      </c>
    </row>
    <row r="405" spans="1:12" x14ac:dyDescent="0.2">
      <c r="A405" s="9">
        <v>0</v>
      </c>
      <c r="B405" s="9">
        <v>6</v>
      </c>
      <c r="C405" s="9">
        <v>9</v>
      </c>
      <c r="D405" s="9">
        <v>29</v>
      </c>
      <c r="E405" s="9">
        <v>16.3</v>
      </c>
      <c r="F405" s="9" t="s">
        <v>128</v>
      </c>
      <c r="G405" s="27">
        <f t="shared" si="49"/>
        <v>-0.38262220246200473</v>
      </c>
      <c r="H405" s="27">
        <f t="shared" si="51"/>
        <v>0.40549460971910861</v>
      </c>
      <c r="I405" s="48">
        <f t="shared" si="52"/>
        <v>474</v>
      </c>
      <c r="J405" s="47">
        <f t="shared" si="50"/>
        <v>1</v>
      </c>
      <c r="K405" s="47" t="str">
        <f t="shared" si="53"/>
        <v>FP</v>
      </c>
      <c r="L405" s="79">
        <v>841749</v>
      </c>
    </row>
    <row r="406" spans="1:12" x14ac:dyDescent="0.2">
      <c r="A406" s="9">
        <v>0</v>
      </c>
      <c r="B406" s="9">
        <v>1</v>
      </c>
      <c r="C406" s="9">
        <v>1</v>
      </c>
      <c r="D406" s="9">
        <v>18</v>
      </c>
      <c r="E406" s="9">
        <v>17.3</v>
      </c>
      <c r="F406" s="9" t="s">
        <v>128</v>
      </c>
      <c r="G406" s="27">
        <f t="shared" si="49"/>
        <v>0.69905630460867707</v>
      </c>
      <c r="H406" s="27">
        <f t="shared" si="51"/>
        <v>0.66797850955322347</v>
      </c>
      <c r="I406" s="48">
        <f t="shared" si="52"/>
        <v>488</v>
      </c>
      <c r="J406" s="47">
        <f t="shared" si="50"/>
        <v>1</v>
      </c>
      <c r="K406" s="47" t="str">
        <f t="shared" si="53"/>
        <v>FP</v>
      </c>
      <c r="L406" s="79">
        <v>2115036</v>
      </c>
    </row>
    <row r="407" spans="1:12" x14ac:dyDescent="0.2">
      <c r="A407" s="9">
        <v>0</v>
      </c>
      <c r="B407" s="9">
        <v>14</v>
      </c>
      <c r="C407" s="9">
        <v>8</v>
      </c>
      <c r="D407" s="9">
        <v>52</v>
      </c>
      <c r="E407" s="9">
        <v>7.3</v>
      </c>
      <c r="F407" s="9" t="s">
        <v>128</v>
      </c>
      <c r="G407" s="27">
        <f t="shared" si="49"/>
        <v>-2.443900690900525</v>
      </c>
      <c r="H407" s="27">
        <f t="shared" si="51"/>
        <v>7.9885725544000613E-2</v>
      </c>
      <c r="I407" s="48">
        <f t="shared" si="52"/>
        <v>427</v>
      </c>
      <c r="J407" s="47">
        <f t="shared" si="50"/>
        <v>0</v>
      </c>
      <c r="K407" s="47" t="str">
        <f t="shared" si="53"/>
        <v>TN</v>
      </c>
      <c r="L407" s="79">
        <v>7937832</v>
      </c>
    </row>
    <row r="408" spans="1:12" x14ac:dyDescent="0.2">
      <c r="A408" s="9">
        <v>0</v>
      </c>
      <c r="B408" s="9">
        <v>4</v>
      </c>
      <c r="C408" s="9">
        <v>10</v>
      </c>
      <c r="D408" s="9">
        <v>28</v>
      </c>
      <c r="E408" s="9">
        <v>11.3</v>
      </c>
      <c r="F408" s="9" t="s">
        <v>128</v>
      </c>
      <c r="G408" s="27">
        <f t="shared" si="49"/>
        <v>-0.81416778234933096</v>
      </c>
      <c r="H408" s="27">
        <f t="shared" si="51"/>
        <v>0.30700307835672125</v>
      </c>
      <c r="I408" s="48">
        <f t="shared" si="52"/>
        <v>466</v>
      </c>
      <c r="J408" s="47">
        <f t="shared" si="50"/>
        <v>1</v>
      </c>
      <c r="K408" s="47" t="str">
        <f t="shared" si="53"/>
        <v>FP</v>
      </c>
      <c r="L408" s="79">
        <v>7820367</v>
      </c>
    </row>
    <row r="409" spans="1:12" x14ac:dyDescent="0.2">
      <c r="A409" s="9">
        <v>0</v>
      </c>
      <c r="B409" s="9">
        <v>8</v>
      </c>
      <c r="C409" s="9">
        <v>27</v>
      </c>
      <c r="D409" s="9">
        <v>47</v>
      </c>
      <c r="E409" s="9">
        <v>6.9</v>
      </c>
      <c r="F409" s="9" t="s">
        <v>128</v>
      </c>
      <c r="G409" s="27">
        <f t="shared" si="49"/>
        <v>-2.482569973663828</v>
      </c>
      <c r="H409" s="27">
        <f t="shared" si="51"/>
        <v>7.7089158866381333E-2</v>
      </c>
      <c r="I409" s="48">
        <f t="shared" si="52"/>
        <v>426</v>
      </c>
      <c r="J409" s="47">
        <f t="shared" si="50"/>
        <v>0</v>
      </c>
      <c r="K409" s="47" t="str">
        <f t="shared" si="53"/>
        <v>TN</v>
      </c>
      <c r="L409" s="79">
        <v>1091037</v>
      </c>
    </row>
    <row r="410" spans="1:12" x14ac:dyDescent="0.2">
      <c r="A410" s="9">
        <v>0</v>
      </c>
      <c r="B410" s="9">
        <v>22</v>
      </c>
      <c r="C410" s="9">
        <v>4</v>
      </c>
      <c r="D410" s="9">
        <v>95</v>
      </c>
      <c r="E410" s="9">
        <v>3.6</v>
      </c>
      <c r="F410" s="9" t="s">
        <v>128</v>
      </c>
      <c r="G410" s="27">
        <f t="shared" si="49"/>
        <v>-3.3832067844346501</v>
      </c>
      <c r="H410" s="27">
        <f t="shared" si="51"/>
        <v>3.2824436376197676E-2</v>
      </c>
      <c r="I410" s="48">
        <f t="shared" si="52"/>
        <v>401</v>
      </c>
      <c r="J410" s="47">
        <f t="shared" si="50"/>
        <v>0</v>
      </c>
      <c r="K410" s="47" t="str">
        <f t="shared" si="53"/>
        <v>TN</v>
      </c>
      <c r="L410" s="79">
        <v>8414071</v>
      </c>
    </row>
    <row r="411" spans="1:12" x14ac:dyDescent="0.2">
      <c r="A411" s="9">
        <v>1</v>
      </c>
      <c r="B411" s="9">
        <v>0</v>
      </c>
      <c r="C411" s="9">
        <v>1</v>
      </c>
      <c r="D411" s="9">
        <v>17</v>
      </c>
      <c r="E411" s="9">
        <v>27.7</v>
      </c>
      <c r="F411" s="9" t="s">
        <v>128</v>
      </c>
      <c r="G411" s="27">
        <f t="shared" si="49"/>
        <v>2.2418294160364365</v>
      </c>
      <c r="H411" s="27">
        <f t="shared" si="51"/>
        <v>0.90394342338229339</v>
      </c>
      <c r="I411" s="48">
        <f t="shared" si="52"/>
        <v>497</v>
      </c>
      <c r="J411" s="47">
        <f t="shared" si="50"/>
        <v>1</v>
      </c>
      <c r="K411" s="47" t="str">
        <f t="shared" si="53"/>
        <v>TP</v>
      </c>
      <c r="L411" s="79">
        <v>8127099</v>
      </c>
    </row>
    <row r="412" spans="1:12" x14ac:dyDescent="0.2">
      <c r="A412" s="9">
        <v>0</v>
      </c>
      <c r="B412" s="9">
        <v>12</v>
      </c>
      <c r="C412" s="9">
        <v>3</v>
      </c>
      <c r="D412" s="9">
        <v>31</v>
      </c>
      <c r="E412" s="9">
        <v>9.6999999999999993</v>
      </c>
      <c r="F412" s="9" t="s">
        <v>128</v>
      </c>
      <c r="G412" s="27">
        <f t="shared" si="49"/>
        <v>-1.8923816110337275</v>
      </c>
      <c r="H412" s="27">
        <f t="shared" si="51"/>
        <v>0.13097315807845675</v>
      </c>
      <c r="I412" s="48">
        <f t="shared" si="52"/>
        <v>441</v>
      </c>
      <c r="J412" s="47">
        <f t="shared" si="50"/>
        <v>0</v>
      </c>
      <c r="K412" s="47" t="str">
        <f t="shared" si="53"/>
        <v>TN</v>
      </c>
      <c r="L412" s="79">
        <v>3883399</v>
      </c>
    </row>
    <row r="413" spans="1:12" x14ac:dyDescent="0.2">
      <c r="A413" s="9">
        <v>1</v>
      </c>
      <c r="B413" s="9">
        <v>3</v>
      </c>
      <c r="C413" s="9">
        <v>13</v>
      </c>
      <c r="D413" s="9">
        <v>43</v>
      </c>
      <c r="E413" s="9">
        <v>13.2</v>
      </c>
      <c r="F413" s="9" t="s">
        <v>128</v>
      </c>
      <c r="G413" s="27">
        <f t="shared" si="49"/>
        <v>-0.3289844396088808</v>
      </c>
      <c r="H413" s="27">
        <f t="shared" si="51"/>
        <v>0.41848774514300902</v>
      </c>
      <c r="I413" s="48">
        <f t="shared" si="52"/>
        <v>475</v>
      </c>
      <c r="J413" s="47">
        <f t="shared" si="50"/>
        <v>1</v>
      </c>
      <c r="K413" s="47" t="str">
        <f t="shared" si="53"/>
        <v>TP</v>
      </c>
      <c r="L413" s="79">
        <v>3663882</v>
      </c>
    </row>
    <row r="414" spans="1:12" x14ac:dyDescent="0.2">
      <c r="A414" s="9">
        <v>1</v>
      </c>
      <c r="B414" s="9">
        <v>1</v>
      </c>
      <c r="C414" s="9">
        <v>14</v>
      </c>
      <c r="D414" s="9">
        <v>33</v>
      </c>
      <c r="E414" s="9">
        <v>16.100000000000001</v>
      </c>
      <c r="F414" s="9" t="s">
        <v>128</v>
      </c>
      <c r="G414" s="27">
        <f t="shared" si="49"/>
        <v>0.18318539970959291</v>
      </c>
      <c r="H414" s="27">
        <f t="shared" si="51"/>
        <v>0.54566871296131159</v>
      </c>
      <c r="I414" s="48">
        <f t="shared" si="52"/>
        <v>483</v>
      </c>
      <c r="J414" s="47">
        <f t="shared" si="50"/>
        <v>1</v>
      </c>
      <c r="K414" s="47" t="str">
        <f t="shared" si="53"/>
        <v>TP</v>
      </c>
      <c r="L414" s="79">
        <v>3601508</v>
      </c>
    </row>
    <row r="415" spans="1:12" x14ac:dyDescent="0.2">
      <c r="A415" s="9">
        <v>1</v>
      </c>
      <c r="B415" s="9">
        <v>3</v>
      </c>
      <c r="C415" s="9">
        <v>2</v>
      </c>
      <c r="D415" s="9">
        <v>18</v>
      </c>
      <c r="E415" s="9">
        <v>16.3</v>
      </c>
      <c r="F415" s="9" t="s">
        <v>128</v>
      </c>
      <c r="G415" s="27">
        <f t="shared" si="49"/>
        <v>0.21942424811052019</v>
      </c>
      <c r="H415" s="27">
        <f t="shared" si="51"/>
        <v>0.55463702034931461</v>
      </c>
      <c r="I415" s="48">
        <f t="shared" si="52"/>
        <v>483</v>
      </c>
      <c r="J415" s="47">
        <f t="shared" si="50"/>
        <v>1</v>
      </c>
      <c r="K415" s="47" t="str">
        <f t="shared" si="53"/>
        <v>TP</v>
      </c>
      <c r="L415" s="79">
        <v>1770718</v>
      </c>
    </row>
    <row r="416" spans="1:12" x14ac:dyDescent="0.2">
      <c r="A416" s="9">
        <v>0</v>
      </c>
      <c r="B416" s="9">
        <v>1</v>
      </c>
      <c r="C416" s="9">
        <v>0</v>
      </c>
      <c r="D416" s="9">
        <v>23</v>
      </c>
      <c r="E416" s="9">
        <v>12.4</v>
      </c>
      <c r="F416" s="9" t="s">
        <v>128</v>
      </c>
      <c r="G416" s="27">
        <f t="shared" si="49"/>
        <v>0.14880801189538073</v>
      </c>
      <c r="H416" s="27">
        <f t="shared" si="51"/>
        <v>0.53713350509856161</v>
      </c>
      <c r="I416" s="48">
        <f t="shared" si="52"/>
        <v>482</v>
      </c>
      <c r="J416" s="47">
        <f t="shared" si="50"/>
        <v>1</v>
      </c>
      <c r="K416" s="47" t="str">
        <f t="shared" si="53"/>
        <v>FP</v>
      </c>
      <c r="L416" s="79">
        <v>3090848</v>
      </c>
    </row>
    <row r="417" spans="1:12" x14ac:dyDescent="0.2">
      <c r="A417" s="9">
        <v>0</v>
      </c>
      <c r="B417" s="9">
        <v>10</v>
      </c>
      <c r="C417" s="9">
        <v>2</v>
      </c>
      <c r="D417" s="9">
        <v>33</v>
      </c>
      <c r="E417" s="9">
        <v>9.5</v>
      </c>
      <c r="F417" s="9" t="s">
        <v>128</v>
      </c>
      <c r="G417" s="27">
        <f t="shared" si="49"/>
        <v>-1.5473615040492168</v>
      </c>
      <c r="H417" s="27">
        <f t="shared" si="51"/>
        <v>0.17546767570227417</v>
      </c>
      <c r="I417" s="48">
        <f t="shared" si="52"/>
        <v>450</v>
      </c>
      <c r="J417" s="47">
        <f t="shared" si="50"/>
        <v>0</v>
      </c>
      <c r="K417" s="47" t="str">
        <f t="shared" si="53"/>
        <v>TN</v>
      </c>
      <c r="L417" s="79">
        <v>2173709</v>
      </c>
    </row>
    <row r="418" spans="1:12" x14ac:dyDescent="0.2">
      <c r="A418" s="9">
        <v>1</v>
      </c>
      <c r="B418" s="9">
        <v>6</v>
      </c>
      <c r="C418" s="9">
        <v>0</v>
      </c>
      <c r="D418" s="9">
        <v>36</v>
      </c>
      <c r="E418" s="9">
        <v>19.5</v>
      </c>
      <c r="F418" s="9" t="s">
        <v>128</v>
      </c>
      <c r="G418" s="27">
        <f t="shared" si="49"/>
        <v>0.53479433854264258</v>
      </c>
      <c r="H418" s="27">
        <f t="shared" si="51"/>
        <v>0.63060061944277201</v>
      </c>
      <c r="I418" s="48">
        <f t="shared" si="52"/>
        <v>487</v>
      </c>
      <c r="J418" s="47">
        <f t="shared" si="50"/>
        <v>1</v>
      </c>
      <c r="K418" s="47" t="str">
        <f t="shared" si="53"/>
        <v>TP</v>
      </c>
      <c r="L418" s="79">
        <v>5168742</v>
      </c>
    </row>
    <row r="419" spans="1:12" x14ac:dyDescent="0.2">
      <c r="A419" s="9">
        <v>0</v>
      </c>
      <c r="B419" s="9">
        <v>19</v>
      </c>
      <c r="C419" s="9">
        <v>2</v>
      </c>
      <c r="D419" s="9">
        <v>68</v>
      </c>
      <c r="E419" s="9">
        <v>5.8</v>
      </c>
      <c r="F419" s="9" t="s">
        <v>128</v>
      </c>
      <c r="G419" s="27">
        <f t="shared" si="49"/>
        <v>-2.9202933727331368</v>
      </c>
      <c r="H419" s="27">
        <f t="shared" si="51"/>
        <v>5.1159458093252091E-2</v>
      </c>
      <c r="I419" s="48">
        <f t="shared" si="52"/>
        <v>414</v>
      </c>
      <c r="J419" s="47">
        <f t="shared" si="50"/>
        <v>0</v>
      </c>
      <c r="K419" s="47" t="str">
        <f t="shared" si="53"/>
        <v>TN</v>
      </c>
      <c r="L419" s="79">
        <v>5003390</v>
      </c>
    </row>
    <row r="420" spans="1:12" x14ac:dyDescent="0.2">
      <c r="A420" s="9">
        <v>0</v>
      </c>
      <c r="B420" s="9">
        <v>4</v>
      </c>
      <c r="C420" s="9">
        <v>10</v>
      </c>
      <c r="D420" s="9">
        <v>23</v>
      </c>
      <c r="E420" s="9">
        <v>16.3</v>
      </c>
      <c r="F420" s="9" t="s">
        <v>128</v>
      </c>
      <c r="G420" s="27">
        <f t="shared" si="49"/>
        <v>-0.20726859144970211</v>
      </c>
      <c r="H420" s="27">
        <f t="shared" si="51"/>
        <v>0.44836756519678955</v>
      </c>
      <c r="I420" s="48">
        <f t="shared" si="52"/>
        <v>477</v>
      </c>
      <c r="J420" s="47">
        <f t="shared" si="50"/>
        <v>1</v>
      </c>
      <c r="K420" s="47" t="str">
        <f t="shared" si="53"/>
        <v>FP</v>
      </c>
      <c r="L420" s="79">
        <v>6612115</v>
      </c>
    </row>
    <row r="421" spans="1:12" x14ac:dyDescent="0.2">
      <c r="A421" s="9">
        <v>1</v>
      </c>
      <c r="B421" s="9">
        <v>0</v>
      </c>
      <c r="C421" s="9">
        <v>4</v>
      </c>
      <c r="D421" s="9">
        <v>27</v>
      </c>
      <c r="E421" s="9">
        <v>12.8</v>
      </c>
      <c r="F421" s="9" t="s">
        <v>128</v>
      </c>
      <c r="G421" s="27">
        <f t="shared" si="49"/>
        <v>0.23622891031250148</v>
      </c>
      <c r="H421" s="27">
        <f t="shared" si="51"/>
        <v>0.55878411527887795</v>
      </c>
      <c r="I421" s="48">
        <f t="shared" si="52"/>
        <v>483</v>
      </c>
      <c r="J421" s="47">
        <f t="shared" si="50"/>
        <v>1</v>
      </c>
      <c r="K421" s="47" t="str">
        <f t="shared" si="53"/>
        <v>TP</v>
      </c>
      <c r="L421" s="79">
        <v>7650072</v>
      </c>
    </row>
    <row r="422" spans="1:12" x14ac:dyDescent="0.2">
      <c r="A422" s="9">
        <v>1</v>
      </c>
      <c r="B422" s="9">
        <v>5</v>
      </c>
      <c r="C422" s="9">
        <v>3</v>
      </c>
      <c r="D422" s="9">
        <v>48</v>
      </c>
      <c r="E422" s="9">
        <v>9</v>
      </c>
      <c r="F422" s="9" t="s">
        <v>128</v>
      </c>
      <c r="G422" s="27">
        <f t="shared" si="49"/>
        <v>-0.69772654596658068</v>
      </c>
      <c r="H422" s="27">
        <f t="shared" si="51"/>
        <v>0.33231647444804713</v>
      </c>
      <c r="I422" s="48">
        <f t="shared" si="52"/>
        <v>468</v>
      </c>
      <c r="J422" s="47">
        <f t="shared" si="50"/>
        <v>1</v>
      </c>
      <c r="K422" s="47" t="str">
        <f t="shared" si="53"/>
        <v>TP</v>
      </c>
      <c r="L422" s="79">
        <v>7424926</v>
      </c>
    </row>
    <row r="423" spans="1:12" x14ac:dyDescent="0.2">
      <c r="A423" s="9">
        <v>0</v>
      </c>
      <c r="B423" s="9">
        <v>8</v>
      </c>
      <c r="C423" s="9">
        <v>6</v>
      </c>
      <c r="D423" s="9">
        <v>27</v>
      </c>
      <c r="E423" s="9">
        <v>9.8000000000000007</v>
      </c>
      <c r="F423" s="9" t="s">
        <v>128</v>
      </c>
      <c r="G423" s="27">
        <f t="shared" si="49"/>
        <v>-1.4608497924612571</v>
      </c>
      <c r="H423" s="27">
        <f t="shared" si="51"/>
        <v>0.18833738608033085</v>
      </c>
      <c r="I423" s="48">
        <f t="shared" si="52"/>
        <v>452</v>
      </c>
      <c r="J423" s="47">
        <f t="shared" si="50"/>
        <v>0</v>
      </c>
      <c r="K423" s="47" t="str">
        <f t="shared" si="53"/>
        <v>TN</v>
      </c>
      <c r="L423" s="79">
        <v>7714116</v>
      </c>
    </row>
    <row r="424" spans="1:12" x14ac:dyDescent="0.2">
      <c r="A424" s="9">
        <v>0</v>
      </c>
      <c r="B424" s="9">
        <v>4</v>
      </c>
      <c r="C424" s="9">
        <v>7</v>
      </c>
      <c r="D424" s="9">
        <v>26</v>
      </c>
      <c r="E424" s="9">
        <v>13.5</v>
      </c>
      <c r="F424" s="9" t="s">
        <v>128</v>
      </c>
      <c r="G424" s="27">
        <f t="shared" si="49"/>
        <v>-0.4149738772862579</v>
      </c>
      <c r="H424" s="27">
        <f t="shared" si="51"/>
        <v>0.39772008049862484</v>
      </c>
      <c r="I424" s="48">
        <f t="shared" si="52"/>
        <v>473</v>
      </c>
      <c r="J424" s="47">
        <f t="shared" si="50"/>
        <v>1</v>
      </c>
      <c r="K424" s="47" t="str">
        <f t="shared" si="53"/>
        <v>FP</v>
      </c>
      <c r="L424" s="79">
        <v>901240</v>
      </c>
    </row>
    <row r="425" spans="1:12" x14ac:dyDescent="0.2">
      <c r="A425" s="9">
        <v>0</v>
      </c>
      <c r="B425" s="9">
        <v>3</v>
      </c>
      <c r="C425" s="9">
        <v>6</v>
      </c>
      <c r="D425" s="9">
        <v>26</v>
      </c>
      <c r="E425" s="9">
        <v>10</v>
      </c>
      <c r="F425" s="9" t="s">
        <v>128</v>
      </c>
      <c r="G425" s="27">
        <f t="shared" si="49"/>
        <v>-0.69433026710292722</v>
      </c>
      <c r="H425" s="27">
        <f t="shared" si="51"/>
        <v>0.33307047707361448</v>
      </c>
      <c r="I425" s="48">
        <f t="shared" si="52"/>
        <v>468</v>
      </c>
      <c r="J425" s="47">
        <f t="shared" si="50"/>
        <v>1</v>
      </c>
      <c r="K425" s="47" t="str">
        <f t="shared" si="53"/>
        <v>FP</v>
      </c>
      <c r="L425" s="79">
        <v>8419121</v>
      </c>
    </row>
    <row r="426" spans="1:12" x14ac:dyDescent="0.2">
      <c r="A426" s="9">
        <v>0</v>
      </c>
      <c r="B426" s="9">
        <v>6</v>
      </c>
      <c r="C426" s="9">
        <v>9</v>
      </c>
      <c r="D426" s="9">
        <v>26</v>
      </c>
      <c r="E426" s="9">
        <v>8.3000000000000007</v>
      </c>
      <c r="F426" s="9" t="s">
        <v>128</v>
      </c>
      <c r="G426" s="27">
        <f t="shared" si="49"/>
        <v>-1.5055139320575495</v>
      </c>
      <c r="H426" s="27">
        <f t="shared" si="51"/>
        <v>0.18160458002456586</v>
      </c>
      <c r="I426" s="48">
        <f t="shared" si="52"/>
        <v>451</v>
      </c>
      <c r="J426" s="47">
        <f t="shared" si="50"/>
        <v>0</v>
      </c>
      <c r="K426" s="47" t="str">
        <f t="shared" si="53"/>
        <v>TN</v>
      </c>
      <c r="L426" s="79">
        <v>1365036</v>
      </c>
    </row>
    <row r="427" spans="1:12" x14ac:dyDescent="0.2">
      <c r="A427" s="9">
        <v>0</v>
      </c>
      <c r="B427" s="9">
        <v>0</v>
      </c>
      <c r="C427" s="9">
        <v>8</v>
      </c>
      <c r="D427" s="9">
        <v>39</v>
      </c>
      <c r="E427" s="9">
        <v>7.9</v>
      </c>
      <c r="F427" s="9" t="s">
        <v>128</v>
      </c>
      <c r="G427" s="27">
        <f t="shared" si="49"/>
        <v>-0.43304780140876353</v>
      </c>
      <c r="H427" s="27">
        <f t="shared" si="51"/>
        <v>0.39339878006511453</v>
      </c>
      <c r="I427" s="48">
        <f t="shared" si="52"/>
        <v>473</v>
      </c>
      <c r="J427" s="47">
        <f t="shared" si="50"/>
        <v>1</v>
      </c>
      <c r="K427" s="47" t="str">
        <f t="shared" si="53"/>
        <v>FP</v>
      </c>
      <c r="L427" s="79">
        <v>7987645</v>
      </c>
    </row>
    <row r="428" spans="1:12" x14ac:dyDescent="0.2">
      <c r="A428" s="9">
        <v>0</v>
      </c>
      <c r="B428" s="9">
        <v>8</v>
      </c>
      <c r="C428" s="9">
        <v>6</v>
      </c>
      <c r="D428" s="9">
        <v>23</v>
      </c>
      <c r="E428" s="9">
        <v>12</v>
      </c>
      <c r="F428" s="9" t="s">
        <v>128</v>
      </c>
      <c r="G428" s="27">
        <f t="shared" si="49"/>
        <v>-1.2186628251455158</v>
      </c>
      <c r="H428" s="27">
        <f t="shared" si="51"/>
        <v>0.22817185411359756</v>
      </c>
      <c r="I428" s="48">
        <f t="shared" si="52"/>
        <v>457</v>
      </c>
      <c r="J428" s="47">
        <f t="shared" si="50"/>
        <v>1</v>
      </c>
      <c r="K428" s="47" t="str">
        <f t="shared" si="53"/>
        <v>FP</v>
      </c>
      <c r="L428" s="79">
        <v>4273910</v>
      </c>
    </row>
    <row r="429" spans="1:12" x14ac:dyDescent="0.2">
      <c r="A429" s="9">
        <v>0</v>
      </c>
      <c r="B429" s="9">
        <v>18</v>
      </c>
      <c r="C429" s="9">
        <v>8</v>
      </c>
      <c r="D429" s="9">
        <v>54</v>
      </c>
      <c r="E429" s="9">
        <v>12.1</v>
      </c>
      <c r="F429" s="9" t="s">
        <v>128</v>
      </c>
      <c r="G429" s="27">
        <f t="shared" si="49"/>
        <v>-2.3700346202873197</v>
      </c>
      <c r="H429" s="27">
        <f t="shared" si="51"/>
        <v>8.5486432833742076E-2</v>
      </c>
      <c r="I429" s="48">
        <f t="shared" si="52"/>
        <v>429</v>
      </c>
      <c r="J429" s="47">
        <f t="shared" si="50"/>
        <v>0</v>
      </c>
      <c r="K429" s="47" t="str">
        <f t="shared" si="53"/>
        <v>TN</v>
      </c>
      <c r="L429" s="79">
        <v>8258055</v>
      </c>
    </row>
    <row r="430" spans="1:12" x14ac:dyDescent="0.2">
      <c r="A430" s="9">
        <v>0</v>
      </c>
      <c r="B430" s="9">
        <v>9</v>
      </c>
      <c r="C430" s="9">
        <v>9</v>
      </c>
      <c r="D430" s="9">
        <v>65</v>
      </c>
      <c r="E430" s="9">
        <v>6.2</v>
      </c>
      <c r="F430" s="9" t="s">
        <v>128</v>
      </c>
      <c r="G430" s="27">
        <f t="shared" si="49"/>
        <v>-1.7029861687082042</v>
      </c>
      <c r="H430" s="27">
        <f t="shared" si="51"/>
        <v>0.15407565658614364</v>
      </c>
      <c r="I430" s="48">
        <f t="shared" si="52"/>
        <v>446</v>
      </c>
      <c r="J430" s="47">
        <f t="shared" si="50"/>
        <v>0</v>
      </c>
      <c r="K430" s="47" t="str">
        <f t="shared" si="53"/>
        <v>TN</v>
      </c>
      <c r="L430" s="79">
        <v>848285</v>
      </c>
    </row>
    <row r="431" spans="1:12" x14ac:dyDescent="0.2">
      <c r="A431" s="9">
        <v>0</v>
      </c>
      <c r="B431" s="9">
        <v>12</v>
      </c>
      <c r="C431" s="9">
        <v>8</v>
      </c>
      <c r="D431" s="9">
        <v>47</v>
      </c>
      <c r="E431" s="9">
        <v>6.7</v>
      </c>
      <c r="F431" s="9" t="s">
        <v>128</v>
      </c>
      <c r="G431" s="27">
        <f t="shared" si="49"/>
        <v>-2.2927206223144885</v>
      </c>
      <c r="H431" s="27">
        <f t="shared" si="51"/>
        <v>9.1727632980373355E-2</v>
      </c>
      <c r="I431" s="48">
        <f t="shared" si="52"/>
        <v>431</v>
      </c>
      <c r="J431" s="47">
        <f t="shared" si="50"/>
        <v>0</v>
      </c>
      <c r="K431" s="47" t="str">
        <f t="shared" si="53"/>
        <v>TN</v>
      </c>
      <c r="L431" s="79">
        <v>4977287</v>
      </c>
    </row>
    <row r="432" spans="1:12" x14ac:dyDescent="0.2">
      <c r="A432" s="9">
        <v>1</v>
      </c>
      <c r="B432" s="9">
        <v>3</v>
      </c>
      <c r="C432" s="9">
        <v>2</v>
      </c>
      <c r="D432" s="9">
        <v>16</v>
      </c>
      <c r="E432" s="9">
        <v>17.8</v>
      </c>
      <c r="F432" s="9" t="s">
        <v>128</v>
      </c>
      <c r="G432" s="27">
        <f t="shared" si="49"/>
        <v>0.39459159519149356</v>
      </c>
      <c r="H432" s="27">
        <f t="shared" si="51"/>
        <v>0.59738754198030353</v>
      </c>
      <c r="I432" s="48">
        <f t="shared" si="52"/>
        <v>485</v>
      </c>
      <c r="J432" s="47">
        <f t="shared" si="50"/>
        <v>1</v>
      </c>
      <c r="K432" s="47" t="str">
        <f t="shared" si="53"/>
        <v>TP</v>
      </c>
      <c r="L432" s="79">
        <v>5924072</v>
      </c>
    </row>
    <row r="433" spans="1:12" x14ac:dyDescent="0.2">
      <c r="A433" s="9">
        <v>1</v>
      </c>
      <c r="B433" s="9">
        <v>1</v>
      </c>
      <c r="C433" s="9">
        <v>3</v>
      </c>
      <c r="D433" s="9">
        <v>24</v>
      </c>
      <c r="E433" s="9">
        <v>15.1</v>
      </c>
      <c r="F433" s="9" t="s">
        <v>128</v>
      </c>
      <c r="G433" s="27">
        <f t="shared" si="49"/>
        <v>0.39821411338748369</v>
      </c>
      <c r="H433" s="27">
        <f t="shared" si="51"/>
        <v>0.59825850614095133</v>
      </c>
      <c r="I433" s="48">
        <f t="shared" si="52"/>
        <v>485</v>
      </c>
      <c r="J433" s="47">
        <f t="shared" si="50"/>
        <v>1</v>
      </c>
      <c r="K433" s="47" t="str">
        <f t="shared" si="53"/>
        <v>TP</v>
      </c>
      <c r="L433" s="79">
        <v>7213112</v>
      </c>
    </row>
    <row r="434" spans="1:12" x14ac:dyDescent="0.2">
      <c r="A434" s="9">
        <v>0</v>
      </c>
      <c r="B434" s="9">
        <v>12</v>
      </c>
      <c r="C434" s="9">
        <v>10</v>
      </c>
      <c r="D434" s="9">
        <v>46</v>
      </c>
      <c r="E434" s="9">
        <v>5</v>
      </c>
      <c r="F434" s="9" t="s">
        <v>128</v>
      </c>
      <c r="G434" s="27">
        <f t="shared" si="49"/>
        <v>-2.6226042269016192</v>
      </c>
      <c r="H434" s="27">
        <f t="shared" si="51"/>
        <v>6.7697743264272803E-2</v>
      </c>
      <c r="I434" s="48">
        <f t="shared" si="52"/>
        <v>422</v>
      </c>
      <c r="J434" s="47">
        <f t="shared" si="50"/>
        <v>0</v>
      </c>
      <c r="K434" s="47" t="str">
        <f t="shared" si="53"/>
        <v>TN</v>
      </c>
      <c r="L434" s="79">
        <v>299596</v>
      </c>
    </row>
    <row r="435" spans="1:12" x14ac:dyDescent="0.2">
      <c r="A435" s="9">
        <v>1</v>
      </c>
      <c r="B435" s="9">
        <v>2</v>
      </c>
      <c r="C435" s="9">
        <v>4</v>
      </c>
      <c r="D435" s="9">
        <v>22</v>
      </c>
      <c r="E435" s="9">
        <v>12.7</v>
      </c>
      <c r="F435" s="9" t="s">
        <v>128</v>
      </c>
      <c r="G435" s="27">
        <f t="shared" si="49"/>
        <v>-0.14762862304227209</v>
      </c>
      <c r="H435" s="27">
        <f t="shared" si="51"/>
        <v>0.46315972866686406</v>
      </c>
      <c r="I435" s="48">
        <f t="shared" si="52"/>
        <v>478</v>
      </c>
      <c r="J435" s="47">
        <f t="shared" si="50"/>
        <v>1</v>
      </c>
      <c r="K435" s="47" t="str">
        <f t="shared" si="53"/>
        <v>TP</v>
      </c>
      <c r="L435" s="79">
        <v>1727140</v>
      </c>
    </row>
    <row r="436" spans="1:12" x14ac:dyDescent="0.2">
      <c r="A436" s="9">
        <v>0</v>
      </c>
      <c r="B436" s="9">
        <v>4</v>
      </c>
      <c r="C436" s="9">
        <v>9</v>
      </c>
      <c r="D436" s="9">
        <v>55</v>
      </c>
      <c r="E436" s="9">
        <v>7</v>
      </c>
      <c r="F436" s="9" t="s">
        <v>128</v>
      </c>
      <c r="G436" s="27">
        <f t="shared" si="49"/>
        <v>-0.97959923161569684</v>
      </c>
      <c r="H436" s="27">
        <f t="shared" si="51"/>
        <v>0.27297131210377884</v>
      </c>
      <c r="I436" s="48">
        <f t="shared" si="52"/>
        <v>463</v>
      </c>
      <c r="J436" s="47">
        <f t="shared" si="50"/>
        <v>1</v>
      </c>
      <c r="K436" s="47" t="str">
        <f t="shared" si="53"/>
        <v>FP</v>
      </c>
      <c r="L436" s="79">
        <v>5148260</v>
      </c>
    </row>
    <row r="437" spans="1:12" x14ac:dyDescent="0.2">
      <c r="A437" s="9">
        <v>0</v>
      </c>
      <c r="B437" s="9">
        <v>19</v>
      </c>
      <c r="C437" s="9">
        <v>8</v>
      </c>
      <c r="D437" s="9">
        <v>46</v>
      </c>
      <c r="E437" s="9">
        <v>9.1</v>
      </c>
      <c r="F437" s="9" t="s">
        <v>128</v>
      </c>
      <c r="G437" s="27">
        <f t="shared" si="49"/>
        <v>-3.036684641788157</v>
      </c>
      <c r="H437" s="27">
        <f t="shared" si="51"/>
        <v>4.5795829235153844E-2</v>
      </c>
      <c r="I437" s="48">
        <f t="shared" si="52"/>
        <v>411</v>
      </c>
      <c r="J437" s="47">
        <f t="shared" si="50"/>
        <v>0</v>
      </c>
      <c r="K437" s="47" t="str">
        <f t="shared" si="53"/>
        <v>TN</v>
      </c>
      <c r="L437" s="79">
        <v>4212601</v>
      </c>
    </row>
    <row r="438" spans="1:12" x14ac:dyDescent="0.2">
      <c r="A438" s="9">
        <v>0</v>
      </c>
      <c r="B438" s="9">
        <v>10</v>
      </c>
      <c r="C438" s="9">
        <v>11</v>
      </c>
      <c r="D438" s="9">
        <v>39</v>
      </c>
      <c r="E438" s="9">
        <v>9.5</v>
      </c>
      <c r="F438" s="9" t="s">
        <v>128</v>
      </c>
      <c r="G438" s="27">
        <f t="shared" si="49"/>
        <v>-1.8527244727572429</v>
      </c>
      <c r="H438" s="27">
        <f t="shared" si="51"/>
        <v>0.13555332992995892</v>
      </c>
      <c r="I438" s="48">
        <f t="shared" si="52"/>
        <v>442</v>
      </c>
      <c r="J438" s="47">
        <f t="shared" si="50"/>
        <v>0</v>
      </c>
      <c r="K438" s="47" t="str">
        <f t="shared" si="53"/>
        <v>TN</v>
      </c>
      <c r="L438" s="79">
        <v>7132657</v>
      </c>
    </row>
    <row r="439" spans="1:12" x14ac:dyDescent="0.2">
      <c r="A439" s="9">
        <v>1</v>
      </c>
      <c r="B439" s="9">
        <v>2</v>
      </c>
      <c r="C439" s="9">
        <v>3</v>
      </c>
      <c r="D439" s="9">
        <v>26</v>
      </c>
      <c r="E439" s="9">
        <v>9.6999999999999993</v>
      </c>
      <c r="F439" s="9" t="s">
        <v>128</v>
      </c>
      <c r="G439" s="27">
        <f t="shared" si="49"/>
        <v>-0.45483088487366197</v>
      </c>
      <c r="H439" s="27">
        <f t="shared" si="51"/>
        <v>0.38821279569372058</v>
      </c>
      <c r="I439" s="48">
        <f t="shared" si="52"/>
        <v>473</v>
      </c>
      <c r="J439" s="47">
        <f t="shared" si="50"/>
        <v>1</v>
      </c>
      <c r="K439" s="47" t="str">
        <f t="shared" si="53"/>
        <v>TP</v>
      </c>
      <c r="L439" s="79">
        <v>7990859</v>
      </c>
    </row>
    <row r="440" spans="1:12" x14ac:dyDescent="0.2">
      <c r="A440" s="9">
        <v>0</v>
      </c>
      <c r="B440" s="9">
        <v>12</v>
      </c>
      <c r="C440" s="9">
        <v>7</v>
      </c>
      <c r="D440" s="9">
        <v>45</v>
      </c>
      <c r="E440" s="9">
        <v>7.7</v>
      </c>
      <c r="F440" s="9" t="s">
        <v>128</v>
      </c>
      <c r="G440" s="27">
        <f t="shared" si="49"/>
        <v>-2.1420131721818372</v>
      </c>
      <c r="H440" s="27">
        <f t="shared" si="51"/>
        <v>0.10507992399889211</v>
      </c>
      <c r="I440" s="48">
        <f t="shared" si="52"/>
        <v>435</v>
      </c>
      <c r="J440" s="47">
        <f t="shared" si="50"/>
        <v>0</v>
      </c>
      <c r="K440" s="47" t="str">
        <f t="shared" si="53"/>
        <v>TN</v>
      </c>
      <c r="L440" s="79">
        <v>362459</v>
      </c>
    </row>
    <row r="441" spans="1:12" x14ac:dyDescent="0.2">
      <c r="A441" s="9">
        <v>0</v>
      </c>
      <c r="B441" s="9">
        <v>7</v>
      </c>
      <c r="C441" s="9">
        <v>15</v>
      </c>
      <c r="D441" s="9">
        <v>40</v>
      </c>
      <c r="E441" s="9">
        <v>6.4</v>
      </c>
      <c r="F441" s="9" t="s">
        <v>128</v>
      </c>
      <c r="G441" s="27">
        <f t="shared" si="49"/>
        <v>-1.9785493748159186</v>
      </c>
      <c r="H441" s="27">
        <f t="shared" si="51"/>
        <v>0.12147356033973282</v>
      </c>
      <c r="I441" s="48">
        <f t="shared" si="52"/>
        <v>439</v>
      </c>
      <c r="J441" s="47">
        <f t="shared" si="50"/>
        <v>0</v>
      </c>
      <c r="K441" s="47" t="str">
        <f t="shared" si="53"/>
        <v>TN</v>
      </c>
      <c r="L441" s="79">
        <v>3628330</v>
      </c>
    </row>
    <row r="442" spans="1:12" x14ac:dyDescent="0.2">
      <c r="A442" s="9">
        <v>1</v>
      </c>
      <c r="B442" s="9">
        <v>10</v>
      </c>
      <c r="C442" s="9">
        <v>12</v>
      </c>
      <c r="D442" s="9">
        <v>49</v>
      </c>
      <c r="E442" s="9">
        <v>9.8000000000000007</v>
      </c>
      <c r="F442" s="9" t="s">
        <v>128</v>
      </c>
      <c r="G442" s="27">
        <f t="shared" si="49"/>
        <v>-1.7172533037421649</v>
      </c>
      <c r="H442" s="27">
        <f t="shared" si="51"/>
        <v>0.15222529387355399</v>
      </c>
      <c r="I442" s="48">
        <f t="shared" si="52"/>
        <v>446</v>
      </c>
      <c r="J442" s="47">
        <f t="shared" si="50"/>
        <v>0</v>
      </c>
      <c r="K442" s="47" t="str">
        <f t="shared" si="53"/>
        <v>FN</v>
      </c>
      <c r="L442" s="79">
        <v>668551</v>
      </c>
    </row>
    <row r="443" spans="1:12" x14ac:dyDescent="0.2">
      <c r="A443" s="9">
        <v>0</v>
      </c>
      <c r="B443" s="9">
        <v>2</v>
      </c>
      <c r="C443" s="9">
        <v>9</v>
      </c>
      <c r="D443" s="9">
        <v>16</v>
      </c>
      <c r="E443" s="9">
        <v>15.2</v>
      </c>
      <c r="F443" s="9" t="s">
        <v>128</v>
      </c>
      <c r="G443" s="27">
        <f t="shared" si="49"/>
        <v>-0.10815806056764909</v>
      </c>
      <c r="H443" s="27">
        <f t="shared" si="51"/>
        <v>0.47298681345376048</v>
      </c>
      <c r="I443" s="48">
        <f t="shared" si="52"/>
        <v>478</v>
      </c>
      <c r="J443" s="47">
        <f t="shared" si="50"/>
        <v>1</v>
      </c>
      <c r="K443" s="47" t="str">
        <f t="shared" si="53"/>
        <v>FP</v>
      </c>
      <c r="L443" s="79">
        <v>383845</v>
      </c>
    </row>
    <row r="444" spans="1:12" x14ac:dyDescent="0.2">
      <c r="A444" s="9">
        <v>0</v>
      </c>
      <c r="B444" s="9">
        <v>8</v>
      </c>
      <c r="C444" s="9">
        <v>6</v>
      </c>
      <c r="D444" s="9">
        <v>30</v>
      </c>
      <c r="E444" s="9">
        <v>7.2</v>
      </c>
      <c r="F444" s="9" t="s">
        <v>128</v>
      </c>
      <c r="G444" s="27">
        <f t="shared" si="49"/>
        <v>-1.770915443577932</v>
      </c>
      <c r="H444" s="27">
        <f t="shared" si="51"/>
        <v>0.14542852153070468</v>
      </c>
      <c r="I444" s="48">
        <f t="shared" si="52"/>
        <v>444</v>
      </c>
      <c r="J444" s="47">
        <f t="shared" si="50"/>
        <v>0</v>
      </c>
      <c r="K444" s="47" t="str">
        <f t="shared" si="53"/>
        <v>TN</v>
      </c>
      <c r="L444" s="79">
        <v>5241297</v>
      </c>
    </row>
    <row r="445" spans="1:12" x14ac:dyDescent="0.2">
      <c r="A445" s="9">
        <v>0</v>
      </c>
      <c r="B445" s="9">
        <v>11</v>
      </c>
      <c r="C445" s="9">
        <v>5</v>
      </c>
      <c r="D445" s="9">
        <v>36</v>
      </c>
      <c r="E445" s="9">
        <v>6.1</v>
      </c>
      <c r="F445" s="9" t="s">
        <v>128</v>
      </c>
      <c r="G445" s="27">
        <f t="shared" si="49"/>
        <v>-2.2456296618086888</v>
      </c>
      <c r="H445" s="27">
        <f t="shared" si="51"/>
        <v>9.5727108534478231E-2</v>
      </c>
      <c r="I445" s="48">
        <f t="shared" si="52"/>
        <v>432</v>
      </c>
      <c r="J445" s="47">
        <f t="shared" si="50"/>
        <v>0</v>
      </c>
      <c r="K445" s="47" t="str">
        <f t="shared" si="53"/>
        <v>TN</v>
      </c>
      <c r="L445" s="79">
        <v>5115696</v>
      </c>
    </row>
    <row r="446" spans="1:12" x14ac:dyDescent="0.2">
      <c r="A446" s="9">
        <v>1</v>
      </c>
      <c r="B446" s="9">
        <v>2</v>
      </c>
      <c r="C446" s="9">
        <v>1</v>
      </c>
      <c r="D446" s="9">
        <v>26</v>
      </c>
      <c r="E446" s="9">
        <v>6.8</v>
      </c>
      <c r="F446" s="9" t="s">
        <v>128</v>
      </c>
      <c r="G446" s="27">
        <f t="shared" si="49"/>
        <v>-0.76060153003004238</v>
      </c>
      <c r="H446" s="27">
        <f t="shared" si="51"/>
        <v>0.31851568178030398</v>
      </c>
      <c r="I446" s="48">
        <f t="shared" si="52"/>
        <v>467</v>
      </c>
      <c r="J446" s="47">
        <f t="shared" si="50"/>
        <v>1</v>
      </c>
      <c r="K446" s="47" t="str">
        <f t="shared" si="53"/>
        <v>TP</v>
      </c>
      <c r="L446" s="79">
        <v>3475129</v>
      </c>
    </row>
    <row r="447" spans="1:12" x14ac:dyDescent="0.2">
      <c r="A447" s="9">
        <v>0</v>
      </c>
      <c r="B447" s="9">
        <v>13</v>
      </c>
      <c r="C447" s="9">
        <v>1</v>
      </c>
      <c r="D447" s="9">
        <v>38</v>
      </c>
      <c r="E447" s="9">
        <v>8.9</v>
      </c>
      <c r="F447" s="9" t="s">
        <v>128</v>
      </c>
      <c r="G447" s="27">
        <f t="shared" si="49"/>
        <v>-1.9682882133789257</v>
      </c>
      <c r="H447" s="27">
        <f t="shared" si="51"/>
        <v>0.12257286844135518</v>
      </c>
      <c r="I447" s="48">
        <f t="shared" si="52"/>
        <v>439</v>
      </c>
      <c r="J447" s="47">
        <f t="shared" si="50"/>
        <v>0</v>
      </c>
      <c r="K447" s="47" t="str">
        <f t="shared" si="53"/>
        <v>TN</v>
      </c>
      <c r="L447" s="79">
        <v>239047</v>
      </c>
    </row>
    <row r="448" spans="1:12" x14ac:dyDescent="0.2">
      <c r="A448" s="9">
        <v>0</v>
      </c>
      <c r="B448" s="9">
        <v>15</v>
      </c>
      <c r="C448" s="9">
        <v>16</v>
      </c>
      <c r="D448" s="9">
        <v>73</v>
      </c>
      <c r="E448" s="9">
        <v>3.4</v>
      </c>
      <c r="F448" s="9" t="s">
        <v>128</v>
      </c>
      <c r="G448" s="27">
        <f t="shared" si="49"/>
        <v>-3.176936572790706</v>
      </c>
      <c r="H448" s="27">
        <f t="shared" si="51"/>
        <v>4.0042924746411655E-2</v>
      </c>
      <c r="I448" s="48">
        <f t="shared" si="52"/>
        <v>407</v>
      </c>
      <c r="J448" s="47">
        <f t="shared" si="50"/>
        <v>0</v>
      </c>
      <c r="K448" s="47" t="str">
        <f t="shared" si="53"/>
        <v>TN</v>
      </c>
      <c r="L448" s="79">
        <v>8138236</v>
      </c>
    </row>
    <row r="449" spans="1:12" x14ac:dyDescent="0.2">
      <c r="A449" s="9">
        <v>0</v>
      </c>
      <c r="B449" s="9">
        <v>5</v>
      </c>
      <c r="C449" s="9">
        <v>13</v>
      </c>
      <c r="D449" s="9">
        <v>21</v>
      </c>
      <c r="E449" s="9">
        <v>9</v>
      </c>
      <c r="F449" s="9" t="s">
        <v>128</v>
      </c>
      <c r="G449" s="27">
        <f t="shared" si="49"/>
        <v>-1.5017810194735788</v>
      </c>
      <c r="H449" s="27">
        <f t="shared" si="51"/>
        <v>0.18216004129956584</v>
      </c>
      <c r="I449" s="48">
        <f t="shared" si="52"/>
        <v>451</v>
      </c>
      <c r="J449" s="47">
        <f t="shared" si="50"/>
        <v>0</v>
      </c>
      <c r="K449" s="47" t="str">
        <f t="shared" si="53"/>
        <v>TN</v>
      </c>
      <c r="L449" s="79">
        <v>8214910</v>
      </c>
    </row>
    <row r="450" spans="1:12" x14ac:dyDescent="0.2">
      <c r="A450" s="9">
        <v>0</v>
      </c>
      <c r="B450" s="9">
        <v>16</v>
      </c>
      <c r="C450" s="9">
        <v>9</v>
      </c>
      <c r="D450" s="9">
        <v>79</v>
      </c>
      <c r="E450" s="9">
        <v>4</v>
      </c>
      <c r="F450" s="9" t="s">
        <v>128</v>
      </c>
      <c r="G450" s="27">
        <f t="shared" ref="G450:G501" si="54">SUMPRODUCT($S$3:$V$3,B450:E450)+$R$3</f>
        <v>-2.8617273118800912</v>
      </c>
      <c r="H450" s="27">
        <f t="shared" si="51"/>
        <v>5.4078273802120276E-2</v>
      </c>
      <c r="I450" s="48">
        <f t="shared" si="52"/>
        <v>416</v>
      </c>
      <c r="J450" s="47">
        <f t="shared" ref="J450:J501" si="55">IF(H450&gt;=$O$3,1,0)</f>
        <v>0</v>
      </c>
      <c r="K450" s="47" t="str">
        <f t="shared" si="53"/>
        <v>TN</v>
      </c>
      <c r="L450" s="79">
        <v>1947280</v>
      </c>
    </row>
    <row r="451" spans="1:12" x14ac:dyDescent="0.2">
      <c r="A451" s="9">
        <v>1</v>
      </c>
      <c r="B451" s="9">
        <v>2</v>
      </c>
      <c r="C451" s="9">
        <v>0</v>
      </c>
      <c r="D451" s="9">
        <v>14</v>
      </c>
      <c r="E451" s="9">
        <v>14.4</v>
      </c>
      <c r="F451" s="9" t="s">
        <v>128</v>
      </c>
      <c r="G451" s="27">
        <f t="shared" si="54"/>
        <v>0.14427646280549511</v>
      </c>
      <c r="H451" s="27">
        <f t="shared" ref="H451:H501" si="56">EXP(G451)/(1+EXP(G451))</f>
        <v>0.53600667868104668</v>
      </c>
      <c r="I451" s="48">
        <f t="shared" ref="I451:I501" si="57">ROUND($O$4+(($O$5/LN(2))*LN(H451)),0)</f>
        <v>482</v>
      </c>
      <c r="J451" s="47">
        <f t="shared" si="55"/>
        <v>1</v>
      </c>
      <c r="K451" s="47" t="str">
        <f t="shared" ref="K451:K501" si="58">+IF(AND(A451=1,J451=1),"TP",IF(AND(A451=0,J451=0),"TN",IF(AND(A451=0,J451=1),"FP",IF(AND(A451=1,J451=0),"FN","OC"))))</f>
        <v>TP</v>
      </c>
      <c r="L451" s="79">
        <v>9191429</v>
      </c>
    </row>
    <row r="452" spans="1:12" x14ac:dyDescent="0.2">
      <c r="A452" s="9">
        <v>0</v>
      </c>
      <c r="B452" s="9">
        <v>10</v>
      </c>
      <c r="C452" s="9">
        <v>6</v>
      </c>
      <c r="D452" s="9">
        <v>34</v>
      </c>
      <c r="E452" s="9">
        <v>6.5</v>
      </c>
      <c r="F452" s="9" t="s">
        <v>128</v>
      </c>
      <c r="G452" s="27">
        <f t="shared" si="54"/>
        <v>-2.1116403886668831</v>
      </c>
      <c r="H452" s="27">
        <f t="shared" si="56"/>
        <v>0.10797057449329225</v>
      </c>
      <c r="I452" s="48">
        <f t="shared" si="57"/>
        <v>436</v>
      </c>
      <c r="J452" s="47">
        <f t="shared" si="55"/>
        <v>0</v>
      </c>
      <c r="K452" s="47" t="str">
        <f t="shared" si="58"/>
        <v>TN</v>
      </c>
      <c r="L452" s="79">
        <v>7590713</v>
      </c>
    </row>
    <row r="453" spans="1:12" x14ac:dyDescent="0.2">
      <c r="A453" s="9">
        <v>1</v>
      </c>
      <c r="B453" s="9">
        <v>0</v>
      </c>
      <c r="C453" s="9">
        <v>16</v>
      </c>
      <c r="D453" s="9">
        <v>22</v>
      </c>
      <c r="E453" s="9">
        <v>15</v>
      </c>
      <c r="F453" s="9" t="s">
        <v>128</v>
      </c>
      <c r="G453" s="27">
        <f t="shared" si="54"/>
        <v>-5.2978130716269334E-2</v>
      </c>
      <c r="H453" s="27">
        <f t="shared" si="56"/>
        <v>0.48675856421805946</v>
      </c>
      <c r="I453" s="48">
        <f t="shared" si="57"/>
        <v>479</v>
      </c>
      <c r="J453" s="47">
        <f t="shared" si="55"/>
        <v>1</v>
      </c>
      <c r="K453" s="47" t="str">
        <f t="shared" si="58"/>
        <v>TP</v>
      </c>
      <c r="L453" s="79">
        <v>4361412</v>
      </c>
    </row>
    <row r="454" spans="1:12" x14ac:dyDescent="0.2">
      <c r="A454" s="9">
        <v>1</v>
      </c>
      <c r="B454" s="9">
        <v>0</v>
      </c>
      <c r="C454" s="9">
        <v>3</v>
      </c>
      <c r="D454" s="9">
        <v>29</v>
      </c>
      <c r="E454" s="9">
        <v>6.6</v>
      </c>
      <c r="F454" s="9" t="s">
        <v>128</v>
      </c>
      <c r="G454" s="27">
        <f t="shared" si="54"/>
        <v>-0.53117389965937112</v>
      </c>
      <c r="H454" s="27">
        <f t="shared" si="56"/>
        <v>0.37024313621598454</v>
      </c>
      <c r="I454" s="48">
        <f t="shared" si="57"/>
        <v>471</v>
      </c>
      <c r="J454" s="47">
        <f t="shared" si="55"/>
        <v>1</v>
      </c>
      <c r="K454" s="47" t="str">
        <f t="shared" si="58"/>
        <v>TP</v>
      </c>
      <c r="L454" s="79">
        <v>3347390</v>
      </c>
    </row>
    <row r="455" spans="1:12" x14ac:dyDescent="0.2">
      <c r="A455" s="9">
        <v>1</v>
      </c>
      <c r="B455" s="9">
        <v>0</v>
      </c>
      <c r="C455" s="9">
        <v>6</v>
      </c>
      <c r="D455" s="9">
        <v>24</v>
      </c>
      <c r="E455" s="9">
        <v>12.1</v>
      </c>
      <c r="F455" s="9" t="s">
        <v>128</v>
      </c>
      <c r="G455" s="27">
        <f t="shared" si="54"/>
        <v>1.3920323527465861E-2</v>
      </c>
      <c r="H455" s="27">
        <f t="shared" si="56"/>
        <v>0.50348002468678121</v>
      </c>
      <c r="I455" s="48">
        <f t="shared" si="57"/>
        <v>480</v>
      </c>
      <c r="J455" s="47">
        <f t="shared" si="55"/>
        <v>1</v>
      </c>
      <c r="K455" s="47" t="str">
        <f t="shared" si="58"/>
        <v>TP</v>
      </c>
      <c r="L455" s="79">
        <v>5238502</v>
      </c>
    </row>
    <row r="456" spans="1:12" x14ac:dyDescent="0.2">
      <c r="A456" s="9">
        <v>0</v>
      </c>
      <c r="B456" s="9">
        <v>9</v>
      </c>
      <c r="C456" s="9">
        <v>1</v>
      </c>
      <c r="D456" s="9">
        <v>34</v>
      </c>
      <c r="E456" s="9">
        <v>5</v>
      </c>
      <c r="F456" s="9" t="s">
        <v>128</v>
      </c>
      <c r="G456" s="27">
        <f t="shared" si="54"/>
        <v>-1.9480977320458117</v>
      </c>
      <c r="H456" s="27">
        <f t="shared" si="56"/>
        <v>0.1247609293258566</v>
      </c>
      <c r="I456" s="48">
        <f t="shared" si="57"/>
        <v>440</v>
      </c>
      <c r="J456" s="47">
        <f t="shared" si="55"/>
        <v>0</v>
      </c>
      <c r="K456" s="47" t="str">
        <f t="shared" si="58"/>
        <v>TN</v>
      </c>
      <c r="L456" s="79">
        <v>6093188</v>
      </c>
    </row>
    <row r="457" spans="1:12" x14ac:dyDescent="0.2">
      <c r="A457" s="9">
        <v>1</v>
      </c>
      <c r="B457" s="9">
        <v>2</v>
      </c>
      <c r="C457" s="9">
        <v>3</v>
      </c>
      <c r="D457" s="9">
        <v>23</v>
      </c>
      <c r="E457" s="9">
        <v>6.4</v>
      </c>
      <c r="F457" s="9" t="s">
        <v>128</v>
      </c>
      <c r="G457" s="27">
        <f t="shared" si="54"/>
        <v>-0.94235471924775083</v>
      </c>
      <c r="H457" s="27">
        <f t="shared" si="56"/>
        <v>0.28042494575380816</v>
      </c>
      <c r="I457" s="48">
        <f t="shared" si="57"/>
        <v>463</v>
      </c>
      <c r="J457" s="47">
        <f t="shared" si="55"/>
        <v>1</v>
      </c>
      <c r="K457" s="47" t="str">
        <f t="shared" si="58"/>
        <v>TP</v>
      </c>
      <c r="L457" s="79">
        <v>2441852</v>
      </c>
    </row>
    <row r="458" spans="1:12" x14ac:dyDescent="0.2">
      <c r="A458" s="9">
        <v>0</v>
      </c>
      <c r="B458" s="9">
        <v>13</v>
      </c>
      <c r="C458" s="9">
        <v>13</v>
      </c>
      <c r="D458" s="9">
        <v>42</v>
      </c>
      <c r="E458" s="9">
        <v>3.6</v>
      </c>
      <c r="F458" s="9" t="s">
        <v>128</v>
      </c>
      <c r="G458" s="27">
        <f t="shared" si="54"/>
        <v>-3.147136810190394</v>
      </c>
      <c r="H458" s="27">
        <f t="shared" si="56"/>
        <v>4.1204244206803055E-2</v>
      </c>
      <c r="I458" s="48">
        <f t="shared" si="57"/>
        <v>408</v>
      </c>
      <c r="J458" s="47">
        <f t="shared" si="55"/>
        <v>0</v>
      </c>
      <c r="K458" s="47" t="str">
        <f t="shared" si="58"/>
        <v>TN</v>
      </c>
      <c r="L458" s="79">
        <v>5802592</v>
      </c>
    </row>
    <row r="459" spans="1:12" x14ac:dyDescent="0.2">
      <c r="A459" s="9">
        <v>0</v>
      </c>
      <c r="B459" s="9">
        <v>4</v>
      </c>
      <c r="C459" s="9">
        <v>2</v>
      </c>
      <c r="D459" s="9">
        <v>29</v>
      </c>
      <c r="E459" s="9">
        <v>4.5999999999999996</v>
      </c>
      <c r="F459" s="9" t="s">
        <v>128</v>
      </c>
      <c r="G459" s="27">
        <f t="shared" si="54"/>
        <v>-1.3610407156640152</v>
      </c>
      <c r="H459" s="27">
        <f t="shared" si="56"/>
        <v>0.20407121078260465</v>
      </c>
      <c r="I459" s="48">
        <f t="shared" si="57"/>
        <v>454</v>
      </c>
      <c r="J459" s="47">
        <f t="shared" si="55"/>
        <v>1</v>
      </c>
      <c r="K459" s="47" t="str">
        <f t="shared" si="58"/>
        <v>FP</v>
      </c>
      <c r="L459" s="79">
        <v>460938</v>
      </c>
    </row>
    <row r="460" spans="1:12" x14ac:dyDescent="0.2">
      <c r="A460" s="9">
        <v>0</v>
      </c>
      <c r="B460" s="9">
        <v>16</v>
      </c>
      <c r="C460" s="9">
        <v>12</v>
      </c>
      <c r="D460" s="9">
        <v>53</v>
      </c>
      <c r="E460" s="9">
        <v>3.7</v>
      </c>
      <c r="F460" s="9" t="s">
        <v>128</v>
      </c>
      <c r="G460" s="27">
        <f t="shared" si="54"/>
        <v>-3.3906053362626887</v>
      </c>
      <c r="H460" s="27">
        <f t="shared" si="56"/>
        <v>3.2590364723215949E-2</v>
      </c>
      <c r="I460" s="48">
        <f t="shared" si="57"/>
        <v>401</v>
      </c>
      <c r="J460" s="47">
        <f t="shared" si="55"/>
        <v>0</v>
      </c>
      <c r="K460" s="47" t="str">
        <f t="shared" si="58"/>
        <v>TN</v>
      </c>
      <c r="L460" s="79">
        <v>9486169</v>
      </c>
    </row>
    <row r="461" spans="1:12" x14ac:dyDescent="0.2">
      <c r="A461" s="9">
        <v>0</v>
      </c>
      <c r="B461" s="9">
        <v>0</v>
      </c>
      <c r="C461" s="9">
        <v>27</v>
      </c>
      <c r="D461" s="9">
        <v>19</v>
      </c>
      <c r="E461" s="9">
        <v>10.8</v>
      </c>
      <c r="F461" s="9" t="s">
        <v>128</v>
      </c>
      <c r="G461" s="27">
        <f t="shared" si="54"/>
        <v>-1.1366249134284632</v>
      </c>
      <c r="H461" s="27">
        <f t="shared" si="56"/>
        <v>0.24294056975451503</v>
      </c>
      <c r="I461" s="48">
        <f t="shared" si="57"/>
        <v>459</v>
      </c>
      <c r="J461" s="47">
        <f t="shared" si="55"/>
        <v>1</v>
      </c>
      <c r="K461" s="47" t="str">
        <f t="shared" si="58"/>
        <v>FP</v>
      </c>
      <c r="L461" s="79">
        <v>239661</v>
      </c>
    </row>
    <row r="462" spans="1:12" x14ac:dyDescent="0.2">
      <c r="A462" s="9">
        <v>0</v>
      </c>
      <c r="B462" s="9">
        <v>7</v>
      </c>
      <c r="C462" s="9">
        <v>11</v>
      </c>
      <c r="D462" s="9">
        <v>43</v>
      </c>
      <c r="E462" s="9">
        <v>4.4000000000000004</v>
      </c>
      <c r="F462" s="9" t="s">
        <v>128</v>
      </c>
      <c r="G462" s="27">
        <f t="shared" si="54"/>
        <v>-2.0349745014757126</v>
      </c>
      <c r="H462" s="27">
        <f t="shared" si="56"/>
        <v>0.11557945113059695</v>
      </c>
      <c r="I462" s="48">
        <f t="shared" si="57"/>
        <v>438</v>
      </c>
      <c r="J462" s="47">
        <f t="shared" si="55"/>
        <v>0</v>
      </c>
      <c r="K462" s="47" t="str">
        <f t="shared" si="58"/>
        <v>TN</v>
      </c>
      <c r="L462" s="79">
        <v>5379894</v>
      </c>
    </row>
    <row r="463" spans="1:12" x14ac:dyDescent="0.2">
      <c r="A463" s="9">
        <v>0</v>
      </c>
      <c r="B463" s="9">
        <v>1</v>
      </c>
      <c r="C463" s="9">
        <v>10</v>
      </c>
      <c r="D463" s="9">
        <v>22</v>
      </c>
      <c r="E463" s="9">
        <v>10.5</v>
      </c>
      <c r="F463" s="9" t="s">
        <v>128</v>
      </c>
      <c r="G463" s="27">
        <f t="shared" si="54"/>
        <v>-0.55317198304775506</v>
      </c>
      <c r="H463" s="27">
        <f t="shared" si="56"/>
        <v>0.36512879827929051</v>
      </c>
      <c r="I463" s="48">
        <f t="shared" si="57"/>
        <v>471</v>
      </c>
      <c r="J463" s="47">
        <f t="shared" si="55"/>
        <v>1</v>
      </c>
      <c r="K463" s="47" t="str">
        <f t="shared" si="58"/>
        <v>FP</v>
      </c>
      <c r="L463" s="79">
        <v>1640273</v>
      </c>
    </row>
    <row r="464" spans="1:12" x14ac:dyDescent="0.2">
      <c r="A464" s="9">
        <v>1</v>
      </c>
      <c r="B464" s="9">
        <v>4</v>
      </c>
      <c r="C464" s="9">
        <v>9</v>
      </c>
      <c r="D464" s="9">
        <v>33</v>
      </c>
      <c r="E464" s="9">
        <v>7.1</v>
      </c>
      <c r="F464" s="9" t="s">
        <v>128</v>
      </c>
      <c r="G464" s="27">
        <f t="shared" si="54"/>
        <v>-1.269786814072198</v>
      </c>
      <c r="H464" s="27">
        <f t="shared" si="56"/>
        <v>0.2192937481873358</v>
      </c>
      <c r="I464" s="48">
        <f t="shared" si="57"/>
        <v>456</v>
      </c>
      <c r="J464" s="47">
        <f t="shared" si="55"/>
        <v>1</v>
      </c>
      <c r="K464" s="47" t="str">
        <f t="shared" si="58"/>
        <v>TP</v>
      </c>
      <c r="L464" s="79">
        <v>1351334</v>
      </c>
    </row>
    <row r="465" spans="1:12" x14ac:dyDescent="0.2">
      <c r="A465" s="9">
        <v>0</v>
      </c>
      <c r="B465" s="9">
        <v>14</v>
      </c>
      <c r="C465" s="9">
        <v>17</v>
      </c>
      <c r="D465" s="9">
        <v>53</v>
      </c>
      <c r="E465" s="9">
        <v>5.7</v>
      </c>
      <c r="F465" s="9" t="s">
        <v>128</v>
      </c>
      <c r="G465" s="27">
        <f t="shared" si="54"/>
        <v>-3.034583215190116</v>
      </c>
      <c r="H465" s="27">
        <f t="shared" si="56"/>
        <v>4.5887746273944381E-2</v>
      </c>
      <c r="I465" s="48">
        <f t="shared" si="57"/>
        <v>411</v>
      </c>
      <c r="J465" s="47">
        <f t="shared" si="55"/>
        <v>0</v>
      </c>
      <c r="K465" s="47" t="str">
        <f t="shared" si="58"/>
        <v>TN</v>
      </c>
      <c r="L465" s="79">
        <v>9061709</v>
      </c>
    </row>
    <row r="466" spans="1:12" x14ac:dyDescent="0.2">
      <c r="A466" s="9">
        <v>0</v>
      </c>
      <c r="B466" s="9">
        <v>0</v>
      </c>
      <c r="C466" s="9">
        <v>2</v>
      </c>
      <c r="D466" s="9">
        <v>23</v>
      </c>
      <c r="E466" s="9">
        <v>6.7</v>
      </c>
      <c r="F466" s="9" t="s">
        <v>128</v>
      </c>
      <c r="G466" s="27">
        <f t="shared" si="54"/>
        <v>-0.55735192374002307</v>
      </c>
      <c r="H466" s="27">
        <f t="shared" si="56"/>
        <v>0.36416039458608501</v>
      </c>
      <c r="I466" s="48">
        <f t="shared" si="57"/>
        <v>471</v>
      </c>
      <c r="J466" s="47">
        <f t="shared" si="55"/>
        <v>1</v>
      </c>
      <c r="K466" s="47" t="str">
        <f t="shared" si="58"/>
        <v>FP</v>
      </c>
      <c r="L466" s="79">
        <v>6118540</v>
      </c>
    </row>
    <row r="467" spans="1:12" x14ac:dyDescent="0.2">
      <c r="A467" s="9">
        <v>0</v>
      </c>
      <c r="B467" s="9">
        <v>6</v>
      </c>
      <c r="C467" s="9">
        <v>14</v>
      </c>
      <c r="D467" s="9">
        <v>21</v>
      </c>
      <c r="E467" s="9">
        <v>7.5</v>
      </c>
      <c r="F467" s="9" t="s">
        <v>128</v>
      </c>
      <c r="G467" s="27">
        <f t="shared" si="54"/>
        <v>-1.8983479224456923</v>
      </c>
      <c r="H467" s="27">
        <f t="shared" si="56"/>
        <v>0.13029557121928262</v>
      </c>
      <c r="I467" s="48">
        <f t="shared" si="57"/>
        <v>441</v>
      </c>
      <c r="J467" s="47">
        <f t="shared" si="55"/>
        <v>0</v>
      </c>
      <c r="K467" s="47" t="str">
        <f t="shared" si="58"/>
        <v>TN</v>
      </c>
      <c r="L467" s="79">
        <v>2307805</v>
      </c>
    </row>
    <row r="468" spans="1:12" x14ac:dyDescent="0.2">
      <c r="A468" s="9">
        <v>1</v>
      </c>
      <c r="B468" s="9">
        <v>11</v>
      </c>
      <c r="C468" s="9">
        <v>6</v>
      </c>
      <c r="D468" s="9">
        <v>28</v>
      </c>
      <c r="E468" s="9">
        <v>4.8</v>
      </c>
      <c r="F468" s="9" t="s">
        <v>128</v>
      </c>
      <c r="G468" s="27">
        <f t="shared" si="54"/>
        <v>-2.574940713286975</v>
      </c>
      <c r="H468" s="27">
        <f t="shared" si="56"/>
        <v>7.0768710480826238E-2</v>
      </c>
      <c r="I468" s="48">
        <f t="shared" si="57"/>
        <v>424</v>
      </c>
      <c r="J468" s="47">
        <f t="shared" si="55"/>
        <v>0</v>
      </c>
      <c r="K468" s="47" t="str">
        <f t="shared" si="58"/>
        <v>FN</v>
      </c>
      <c r="L468" s="79">
        <v>9093317</v>
      </c>
    </row>
    <row r="469" spans="1:12" x14ac:dyDescent="0.2">
      <c r="A469" s="9">
        <v>1</v>
      </c>
      <c r="B469" s="9">
        <v>5</v>
      </c>
      <c r="C469" s="9">
        <v>4</v>
      </c>
      <c r="D469" s="9">
        <v>36</v>
      </c>
      <c r="E469" s="9">
        <v>12.4</v>
      </c>
      <c r="F469" s="9" t="s">
        <v>128</v>
      </c>
      <c r="G469" s="27">
        <f t="shared" si="54"/>
        <v>-0.44688898373473407</v>
      </c>
      <c r="H469" s="27">
        <f t="shared" si="56"/>
        <v>0.39010069212839155</v>
      </c>
      <c r="I469" s="48">
        <f t="shared" si="57"/>
        <v>473</v>
      </c>
      <c r="J469" s="47">
        <f t="shared" si="55"/>
        <v>1</v>
      </c>
      <c r="K469" s="47" t="str">
        <f t="shared" si="58"/>
        <v>TP</v>
      </c>
      <c r="L469" s="79">
        <v>3140654</v>
      </c>
    </row>
    <row r="470" spans="1:12" x14ac:dyDescent="0.2">
      <c r="A470" s="9">
        <v>1</v>
      </c>
      <c r="B470" s="9">
        <v>3</v>
      </c>
      <c r="C470" s="9">
        <v>3</v>
      </c>
      <c r="D470" s="9">
        <v>50</v>
      </c>
      <c r="E470" s="9">
        <v>2.4</v>
      </c>
      <c r="F470" s="9" t="s">
        <v>128</v>
      </c>
      <c r="G470" s="27">
        <f t="shared" si="54"/>
        <v>-1.2610206860822684</v>
      </c>
      <c r="H470" s="27">
        <f t="shared" si="56"/>
        <v>0.22079823683670829</v>
      </c>
      <c r="I470" s="48">
        <f t="shared" si="57"/>
        <v>456</v>
      </c>
      <c r="J470" s="47">
        <f t="shared" si="55"/>
        <v>1</v>
      </c>
      <c r="K470" s="47" t="str">
        <f t="shared" si="58"/>
        <v>TP</v>
      </c>
      <c r="L470" s="79">
        <v>127332</v>
      </c>
    </row>
    <row r="471" spans="1:12" x14ac:dyDescent="0.2">
      <c r="A471" s="9">
        <v>0</v>
      </c>
      <c r="B471" s="9">
        <v>4</v>
      </c>
      <c r="C471" s="9">
        <v>0</v>
      </c>
      <c r="D471" s="9">
        <v>23</v>
      </c>
      <c r="E471" s="9">
        <v>5.2</v>
      </c>
      <c r="F471" s="9" t="s">
        <v>128</v>
      </c>
      <c r="G471" s="27">
        <f t="shared" si="54"/>
        <v>-1.2764939781352322</v>
      </c>
      <c r="H471" s="27">
        <f t="shared" si="56"/>
        <v>0.21814761703671631</v>
      </c>
      <c r="I471" s="48">
        <f t="shared" si="57"/>
        <v>456</v>
      </c>
      <c r="J471" s="47">
        <f t="shared" si="55"/>
        <v>1</v>
      </c>
      <c r="K471" s="47" t="str">
        <f t="shared" si="58"/>
        <v>FP</v>
      </c>
      <c r="L471" s="79">
        <v>9087721</v>
      </c>
    </row>
    <row r="472" spans="1:12" x14ac:dyDescent="0.2">
      <c r="A472" s="9">
        <v>0</v>
      </c>
      <c r="B472" s="9">
        <v>7</v>
      </c>
      <c r="C472" s="9">
        <v>10</v>
      </c>
      <c r="D472" s="9">
        <v>23</v>
      </c>
      <c r="E472" s="9">
        <v>4.9000000000000004</v>
      </c>
      <c r="F472" s="9" t="s">
        <v>128</v>
      </c>
      <c r="G472" s="27">
        <f t="shared" si="54"/>
        <v>-2.2003461474228927</v>
      </c>
      <c r="H472" s="27">
        <f t="shared" si="56"/>
        <v>9.97194092734911E-2</v>
      </c>
      <c r="I472" s="48">
        <f t="shared" si="57"/>
        <v>433</v>
      </c>
      <c r="J472" s="47">
        <f t="shared" si="55"/>
        <v>0</v>
      </c>
      <c r="K472" s="47" t="str">
        <f t="shared" si="58"/>
        <v>TN</v>
      </c>
      <c r="L472" s="79">
        <v>1457569</v>
      </c>
    </row>
    <row r="473" spans="1:12" x14ac:dyDescent="0.2">
      <c r="A473" s="9">
        <v>0</v>
      </c>
      <c r="B473" s="9">
        <v>1</v>
      </c>
      <c r="C473" s="9">
        <v>1</v>
      </c>
      <c r="D473" s="9">
        <v>24</v>
      </c>
      <c r="E473" s="9">
        <v>4.5</v>
      </c>
      <c r="F473" s="9" t="s">
        <v>128</v>
      </c>
      <c r="G473" s="27">
        <f t="shared" si="54"/>
        <v>-0.94847840266362204</v>
      </c>
      <c r="H473" s="27">
        <f t="shared" si="56"/>
        <v>0.27919093042361465</v>
      </c>
      <c r="I473" s="48">
        <f t="shared" si="57"/>
        <v>463</v>
      </c>
      <c r="J473" s="47">
        <f t="shared" si="55"/>
        <v>1</v>
      </c>
      <c r="K473" s="47" t="str">
        <f t="shared" si="58"/>
        <v>FP</v>
      </c>
      <c r="L473" s="79">
        <v>2050096</v>
      </c>
    </row>
    <row r="474" spans="1:12" x14ac:dyDescent="0.2">
      <c r="A474" s="9">
        <v>0</v>
      </c>
      <c r="B474" s="9">
        <v>2</v>
      </c>
      <c r="C474" s="9">
        <v>14</v>
      </c>
      <c r="D474" s="9">
        <v>44</v>
      </c>
      <c r="E474" s="9">
        <v>3.1</v>
      </c>
      <c r="F474" s="9" t="s">
        <v>128</v>
      </c>
      <c r="G474" s="27">
        <f t="shared" si="54"/>
        <v>-1.5730196201900259</v>
      </c>
      <c r="H474" s="27">
        <f t="shared" si="56"/>
        <v>0.17178634697953704</v>
      </c>
      <c r="I474" s="48">
        <f t="shared" si="57"/>
        <v>449</v>
      </c>
      <c r="J474" s="47">
        <f t="shared" si="55"/>
        <v>0</v>
      </c>
      <c r="K474" s="47" t="str">
        <f t="shared" si="58"/>
        <v>TN</v>
      </c>
      <c r="L474" s="79">
        <v>9731991</v>
      </c>
    </row>
    <row r="475" spans="1:12" x14ac:dyDescent="0.2">
      <c r="A475" s="9">
        <v>1</v>
      </c>
      <c r="B475" s="9">
        <v>4</v>
      </c>
      <c r="C475" s="9">
        <v>5</v>
      </c>
      <c r="D475" s="9">
        <v>27</v>
      </c>
      <c r="E475" s="9">
        <v>5</v>
      </c>
      <c r="F475" s="9" t="s">
        <v>128</v>
      </c>
      <c r="G475" s="27">
        <f t="shared" si="54"/>
        <v>-1.4639737899882443</v>
      </c>
      <c r="H475" s="27">
        <f t="shared" si="56"/>
        <v>0.18786029667575432</v>
      </c>
      <c r="I475" s="48">
        <f t="shared" si="57"/>
        <v>452</v>
      </c>
      <c r="J475" s="47">
        <f t="shared" si="55"/>
        <v>0</v>
      </c>
      <c r="K475" s="47" t="str">
        <f t="shared" si="58"/>
        <v>FN</v>
      </c>
      <c r="L475" s="79">
        <v>1530170</v>
      </c>
    </row>
    <row r="476" spans="1:12" x14ac:dyDescent="0.2">
      <c r="A476" s="9">
        <v>0</v>
      </c>
      <c r="B476" s="9">
        <v>6</v>
      </c>
      <c r="C476" s="9">
        <v>7</v>
      </c>
      <c r="D476" s="9">
        <v>57</v>
      </c>
      <c r="E476" s="9">
        <v>2.2000000000000002</v>
      </c>
      <c r="F476" s="9" t="s">
        <v>128</v>
      </c>
      <c r="G476" s="27">
        <f t="shared" si="54"/>
        <v>-1.8159260528859971</v>
      </c>
      <c r="H476" s="27">
        <f t="shared" si="56"/>
        <v>0.13992343275156732</v>
      </c>
      <c r="I476" s="48">
        <f t="shared" si="57"/>
        <v>443</v>
      </c>
      <c r="J476" s="47">
        <f t="shared" si="55"/>
        <v>0</v>
      </c>
      <c r="K476" s="47" t="str">
        <f t="shared" si="58"/>
        <v>TN</v>
      </c>
      <c r="L476" s="79">
        <v>272252</v>
      </c>
    </row>
    <row r="477" spans="1:12" x14ac:dyDescent="0.2">
      <c r="A477" s="9">
        <v>0</v>
      </c>
      <c r="B477" s="9">
        <v>8</v>
      </c>
      <c r="C477" s="9">
        <v>7</v>
      </c>
      <c r="D477" s="9">
        <v>27</v>
      </c>
      <c r="E477" s="9">
        <v>5.8</v>
      </c>
      <c r="F477" s="9" t="s">
        <v>128</v>
      </c>
      <c r="G477" s="27">
        <f t="shared" si="54"/>
        <v>-2.0447208590228403</v>
      </c>
      <c r="H477" s="27">
        <f t="shared" si="56"/>
        <v>0.114586896919511</v>
      </c>
      <c r="I477" s="48">
        <f t="shared" si="57"/>
        <v>437</v>
      </c>
      <c r="J477" s="47">
        <f t="shared" si="55"/>
        <v>0</v>
      </c>
      <c r="K477" s="47" t="str">
        <f t="shared" si="58"/>
        <v>TN</v>
      </c>
      <c r="L477" s="79">
        <v>7979886</v>
      </c>
    </row>
    <row r="478" spans="1:12" x14ac:dyDescent="0.2">
      <c r="A478" s="9">
        <v>0</v>
      </c>
      <c r="B478" s="9">
        <v>7</v>
      </c>
      <c r="C478" s="9">
        <v>0</v>
      </c>
      <c r="D478" s="9">
        <v>18</v>
      </c>
      <c r="E478" s="9">
        <v>6.5</v>
      </c>
      <c r="F478" s="9" t="s">
        <v>128</v>
      </c>
      <c r="G478" s="27">
        <f t="shared" si="54"/>
        <v>-1.6217504723140683</v>
      </c>
      <c r="H478" s="27">
        <f t="shared" si="56"/>
        <v>0.16496360012371947</v>
      </c>
      <c r="I478" s="48">
        <f t="shared" si="57"/>
        <v>448</v>
      </c>
      <c r="J478" s="47">
        <f t="shared" si="55"/>
        <v>0</v>
      </c>
      <c r="K478" s="47" t="str">
        <f t="shared" si="58"/>
        <v>TN</v>
      </c>
      <c r="L478" s="79">
        <v>1549578</v>
      </c>
    </row>
    <row r="479" spans="1:12" x14ac:dyDescent="0.2">
      <c r="A479" s="9">
        <v>0</v>
      </c>
      <c r="B479" s="9">
        <v>4</v>
      </c>
      <c r="C479" s="9">
        <v>8</v>
      </c>
      <c r="D479" s="9">
        <v>15</v>
      </c>
      <c r="E479" s="9">
        <v>6.5</v>
      </c>
      <c r="F479" s="9" t="s">
        <v>128</v>
      </c>
      <c r="G479" s="27">
        <f t="shared" si="54"/>
        <v>-1.5562519436772488</v>
      </c>
      <c r="H479" s="27">
        <f t="shared" si="56"/>
        <v>0.17418512673074249</v>
      </c>
      <c r="I479" s="48">
        <f t="shared" si="57"/>
        <v>450</v>
      </c>
      <c r="J479" s="47">
        <f t="shared" si="55"/>
        <v>0</v>
      </c>
      <c r="K479" s="47" t="str">
        <f t="shared" si="58"/>
        <v>TN</v>
      </c>
      <c r="L479" s="79">
        <v>1426124</v>
      </c>
    </row>
    <row r="480" spans="1:12" x14ac:dyDescent="0.2">
      <c r="A480" s="9">
        <v>1</v>
      </c>
      <c r="B480" s="9">
        <v>2</v>
      </c>
      <c r="C480" s="9">
        <v>0</v>
      </c>
      <c r="D480" s="9">
        <v>20</v>
      </c>
      <c r="E480" s="9">
        <v>4.5</v>
      </c>
      <c r="F480" s="9" t="s">
        <v>128</v>
      </c>
      <c r="G480" s="27">
        <f t="shared" si="54"/>
        <v>-1.1112227346493102</v>
      </c>
      <c r="H480" s="27">
        <f t="shared" si="56"/>
        <v>0.24764300330809946</v>
      </c>
      <c r="I480" s="48">
        <f t="shared" si="57"/>
        <v>460</v>
      </c>
      <c r="J480" s="47">
        <f t="shared" si="55"/>
        <v>1</v>
      </c>
      <c r="K480" s="47" t="str">
        <f t="shared" si="58"/>
        <v>TP</v>
      </c>
      <c r="L480" s="79">
        <v>1279708</v>
      </c>
    </row>
    <row r="481" spans="1:12" x14ac:dyDescent="0.2">
      <c r="A481" s="9">
        <v>0</v>
      </c>
      <c r="B481" s="9">
        <v>9</v>
      </c>
      <c r="C481" s="9">
        <v>2</v>
      </c>
      <c r="D481" s="9">
        <v>28</v>
      </c>
      <c r="E481" s="9">
        <v>2.6</v>
      </c>
      <c r="F481" s="9" t="s">
        <v>128</v>
      </c>
      <c r="G481" s="27">
        <f t="shared" si="54"/>
        <v>-2.3985022671819687</v>
      </c>
      <c r="H481" s="27">
        <f t="shared" si="56"/>
        <v>8.3286977432303247E-2</v>
      </c>
      <c r="I481" s="48">
        <f t="shared" si="57"/>
        <v>428</v>
      </c>
      <c r="J481" s="47">
        <f t="shared" si="55"/>
        <v>0</v>
      </c>
      <c r="K481" s="47" t="str">
        <f t="shared" si="58"/>
        <v>TN</v>
      </c>
      <c r="L481" s="79">
        <v>6861397</v>
      </c>
    </row>
    <row r="482" spans="1:12" x14ac:dyDescent="0.2">
      <c r="A482" s="9">
        <v>0</v>
      </c>
      <c r="B482" s="9">
        <v>16</v>
      </c>
      <c r="C482" s="9">
        <v>13</v>
      </c>
      <c r="D482" s="9">
        <v>69</v>
      </c>
      <c r="E482" s="9">
        <v>2.4</v>
      </c>
      <c r="F482" s="9" t="s">
        <v>128</v>
      </c>
      <c r="G482" s="27">
        <f t="shared" si="54"/>
        <v>-3.388600698673037</v>
      </c>
      <c r="H482" s="27">
        <f t="shared" si="56"/>
        <v>3.2653626658344023E-2</v>
      </c>
      <c r="I482" s="48">
        <f t="shared" si="57"/>
        <v>401</v>
      </c>
      <c r="J482" s="47">
        <f t="shared" si="55"/>
        <v>0</v>
      </c>
      <c r="K482" s="47" t="str">
        <f t="shared" si="58"/>
        <v>TN</v>
      </c>
      <c r="L482" s="79">
        <v>7526280</v>
      </c>
    </row>
    <row r="483" spans="1:12" x14ac:dyDescent="0.2">
      <c r="A483" s="9">
        <v>0</v>
      </c>
      <c r="B483" s="9">
        <v>0</v>
      </c>
      <c r="C483" s="9">
        <v>1</v>
      </c>
      <c r="D483" s="9">
        <v>26</v>
      </c>
      <c r="E483" s="9">
        <v>7.7</v>
      </c>
      <c r="F483" s="9" t="s">
        <v>128</v>
      </c>
      <c r="G483" s="27">
        <f t="shared" si="54"/>
        <v>-0.33762037171821757</v>
      </c>
      <c r="H483" s="27">
        <f t="shared" si="56"/>
        <v>0.41638763278084667</v>
      </c>
      <c r="I483" s="48">
        <f t="shared" si="57"/>
        <v>475</v>
      </c>
      <c r="J483" s="47">
        <f t="shared" si="55"/>
        <v>1</v>
      </c>
      <c r="K483" s="47" t="str">
        <f t="shared" si="58"/>
        <v>FP</v>
      </c>
      <c r="L483" s="79">
        <v>6969123</v>
      </c>
    </row>
    <row r="484" spans="1:12" x14ac:dyDescent="0.2">
      <c r="A484" s="9">
        <v>0</v>
      </c>
      <c r="B484" s="9">
        <v>11</v>
      </c>
      <c r="C484" s="9">
        <v>6</v>
      </c>
      <c r="D484" s="9">
        <v>24</v>
      </c>
      <c r="E484" s="9">
        <v>2.4</v>
      </c>
      <c r="F484" s="9" t="s">
        <v>128</v>
      </c>
      <c r="G484" s="27">
        <f t="shared" si="54"/>
        <v>-2.954603175336914</v>
      </c>
      <c r="H484" s="27">
        <f t="shared" si="56"/>
        <v>4.9519403016379526E-2</v>
      </c>
      <c r="I484" s="48">
        <f t="shared" si="57"/>
        <v>413</v>
      </c>
      <c r="J484" s="47">
        <f t="shared" si="55"/>
        <v>0</v>
      </c>
      <c r="K484" s="47" t="str">
        <f t="shared" si="58"/>
        <v>TN</v>
      </c>
      <c r="L484" s="79">
        <v>1919714</v>
      </c>
    </row>
    <row r="485" spans="1:12" x14ac:dyDescent="0.2">
      <c r="A485" s="9">
        <v>0</v>
      </c>
      <c r="B485" s="9">
        <v>1</v>
      </c>
      <c r="C485" s="9">
        <v>0</v>
      </c>
      <c r="D485" s="9">
        <v>21</v>
      </c>
      <c r="E485" s="9">
        <v>4.9000000000000004</v>
      </c>
      <c r="F485" s="9" t="s">
        <v>128</v>
      </c>
      <c r="G485" s="27">
        <f t="shared" si="54"/>
        <v>-0.89268656804345481</v>
      </c>
      <c r="H485" s="27">
        <f t="shared" si="56"/>
        <v>0.29055572539356439</v>
      </c>
      <c r="I485" s="48">
        <f t="shared" si="57"/>
        <v>464</v>
      </c>
      <c r="J485" s="47">
        <f t="shared" si="55"/>
        <v>1</v>
      </c>
      <c r="K485" s="47" t="str">
        <f t="shared" si="58"/>
        <v>FP</v>
      </c>
      <c r="L485" s="79">
        <v>7253479</v>
      </c>
    </row>
    <row r="486" spans="1:12" x14ac:dyDescent="0.2">
      <c r="A486" s="9">
        <v>0</v>
      </c>
      <c r="B486" s="9">
        <v>9</v>
      </c>
      <c r="C486" s="9">
        <v>3</v>
      </c>
      <c r="D486" s="9">
        <v>36</v>
      </c>
      <c r="E486" s="9">
        <v>1.4</v>
      </c>
      <c r="F486" s="9" t="s">
        <v>128</v>
      </c>
      <c r="G486" s="27">
        <f t="shared" si="54"/>
        <v>-2.493417726759187</v>
      </c>
      <c r="H486" s="27">
        <f t="shared" si="56"/>
        <v>7.6320912031289823E-2</v>
      </c>
      <c r="I486" s="48">
        <f t="shared" si="57"/>
        <v>426</v>
      </c>
      <c r="J486" s="47">
        <f t="shared" si="55"/>
        <v>0</v>
      </c>
      <c r="K486" s="47" t="str">
        <f t="shared" si="58"/>
        <v>TN</v>
      </c>
      <c r="L486" s="79">
        <v>3086427</v>
      </c>
    </row>
    <row r="487" spans="1:12" x14ac:dyDescent="0.2">
      <c r="A487" s="9">
        <v>0</v>
      </c>
      <c r="B487" s="9">
        <v>10</v>
      </c>
      <c r="C487" s="9">
        <v>8</v>
      </c>
      <c r="D487" s="9">
        <v>34</v>
      </c>
      <c r="E487" s="9">
        <v>1.2</v>
      </c>
      <c r="F487" s="9" t="s">
        <v>128</v>
      </c>
      <c r="G487" s="27">
        <f t="shared" si="54"/>
        <v>-2.9143839436841059</v>
      </c>
      <c r="H487" s="27">
        <f t="shared" si="56"/>
        <v>5.1447076630499348E-2</v>
      </c>
      <c r="I487" s="48">
        <f t="shared" si="57"/>
        <v>414</v>
      </c>
      <c r="J487" s="47">
        <f t="shared" si="55"/>
        <v>0</v>
      </c>
      <c r="K487" s="47" t="str">
        <f t="shared" si="58"/>
        <v>TN</v>
      </c>
      <c r="L487" s="79">
        <v>273728</v>
      </c>
    </row>
    <row r="488" spans="1:12" x14ac:dyDescent="0.2">
      <c r="A488" s="9">
        <v>0</v>
      </c>
      <c r="B488" s="9">
        <v>0</v>
      </c>
      <c r="C488" s="9">
        <v>1</v>
      </c>
      <c r="D488" s="9">
        <v>17</v>
      </c>
      <c r="E488" s="9">
        <v>2.2999999999999998</v>
      </c>
      <c r="F488" s="9" t="s">
        <v>128</v>
      </c>
      <c r="G488" s="27">
        <f t="shared" si="54"/>
        <v>-1.1918609113305798</v>
      </c>
      <c r="H488" s="27">
        <f t="shared" si="56"/>
        <v>0.2329262784809645</v>
      </c>
      <c r="I488" s="48">
        <f t="shared" si="57"/>
        <v>458</v>
      </c>
      <c r="J488" s="47">
        <f t="shared" si="55"/>
        <v>1</v>
      </c>
      <c r="K488" s="47" t="str">
        <f t="shared" si="58"/>
        <v>FP</v>
      </c>
      <c r="L488" s="79">
        <v>6195093</v>
      </c>
    </row>
    <row r="489" spans="1:12" x14ac:dyDescent="0.2">
      <c r="A489" s="9">
        <v>0</v>
      </c>
      <c r="B489" s="9">
        <v>10</v>
      </c>
      <c r="C489" s="9">
        <v>6</v>
      </c>
      <c r="D489" s="9">
        <v>24</v>
      </c>
      <c r="E489" s="9">
        <v>2.7</v>
      </c>
      <c r="F489" s="9" t="s">
        <v>128</v>
      </c>
      <c r="G489" s="27">
        <f t="shared" si="54"/>
        <v>-2.7633902949646654</v>
      </c>
      <c r="H489" s="27">
        <f t="shared" si="56"/>
        <v>5.9334856326652946E-2</v>
      </c>
      <c r="I489" s="48">
        <f t="shared" si="57"/>
        <v>419</v>
      </c>
      <c r="J489" s="47">
        <f t="shared" si="55"/>
        <v>0</v>
      </c>
      <c r="K489" s="47" t="str">
        <f t="shared" si="58"/>
        <v>TN</v>
      </c>
      <c r="L489" s="79">
        <v>2782189</v>
      </c>
    </row>
    <row r="490" spans="1:12" x14ac:dyDescent="0.2">
      <c r="A490" s="9">
        <v>0</v>
      </c>
      <c r="B490" s="9">
        <v>2</v>
      </c>
      <c r="C490" s="9">
        <v>4</v>
      </c>
      <c r="D490" s="9">
        <v>32</v>
      </c>
      <c r="E490" s="9">
        <v>3.7</v>
      </c>
      <c r="F490" s="9" t="s">
        <v>128</v>
      </c>
      <c r="G490" s="27">
        <f t="shared" si="54"/>
        <v>-1.2262423462837733</v>
      </c>
      <c r="H490" s="27">
        <f t="shared" si="56"/>
        <v>0.22683977963213395</v>
      </c>
      <c r="I490" s="48">
        <f t="shared" si="57"/>
        <v>457</v>
      </c>
      <c r="J490" s="47">
        <f t="shared" si="55"/>
        <v>1</v>
      </c>
      <c r="K490" s="47" t="str">
        <f t="shared" si="58"/>
        <v>FP</v>
      </c>
      <c r="L490" s="79">
        <v>5542267</v>
      </c>
    </row>
    <row r="491" spans="1:12" x14ac:dyDescent="0.2">
      <c r="A491" s="9">
        <v>1</v>
      </c>
      <c r="B491" s="9">
        <v>0</v>
      </c>
      <c r="C491" s="9">
        <v>11</v>
      </c>
      <c r="D491" s="9">
        <v>17</v>
      </c>
      <c r="E491" s="9">
        <v>3.7</v>
      </c>
      <c r="F491" s="9" t="s">
        <v>128</v>
      </c>
      <c r="G491" s="27">
        <f t="shared" si="54"/>
        <v>-1.4339267126552881</v>
      </c>
      <c r="H491" s="27">
        <f t="shared" si="56"/>
        <v>0.19248759413883365</v>
      </c>
      <c r="I491" s="48">
        <f t="shared" si="57"/>
        <v>452</v>
      </c>
      <c r="J491" s="47">
        <f t="shared" si="55"/>
        <v>0</v>
      </c>
      <c r="K491" s="47" t="str">
        <f t="shared" si="58"/>
        <v>FN</v>
      </c>
      <c r="L491" s="79">
        <v>9740746</v>
      </c>
    </row>
    <row r="492" spans="1:12" x14ac:dyDescent="0.2">
      <c r="A492" s="9">
        <v>0</v>
      </c>
      <c r="B492" s="9">
        <v>11</v>
      </c>
      <c r="C492" s="9">
        <v>9</v>
      </c>
      <c r="D492" s="9">
        <v>27</v>
      </c>
      <c r="E492" s="9">
        <v>0.9</v>
      </c>
      <c r="F492" s="9" t="s">
        <v>128</v>
      </c>
      <c r="G492" s="27">
        <f t="shared" si="54"/>
        <v>-3.2453629990317268</v>
      </c>
      <c r="H492" s="27">
        <f t="shared" si="56"/>
        <v>3.7493869386269293E-2</v>
      </c>
      <c r="I492" s="48">
        <f t="shared" si="57"/>
        <v>405</v>
      </c>
      <c r="J492" s="47">
        <f t="shared" si="55"/>
        <v>0</v>
      </c>
      <c r="K492" s="47" t="str">
        <f t="shared" si="58"/>
        <v>TN</v>
      </c>
      <c r="L492" s="79">
        <v>103595</v>
      </c>
    </row>
    <row r="493" spans="1:12" x14ac:dyDescent="0.2">
      <c r="A493" s="9">
        <v>0</v>
      </c>
      <c r="B493" s="9">
        <v>9</v>
      </c>
      <c r="C493" s="9">
        <v>4</v>
      </c>
      <c r="D493" s="9">
        <v>18</v>
      </c>
      <c r="E493" s="9">
        <v>1.2</v>
      </c>
      <c r="F493" s="9" t="s">
        <v>128</v>
      </c>
      <c r="G493" s="27">
        <f t="shared" si="54"/>
        <v>-2.812073857602249</v>
      </c>
      <c r="H493" s="27">
        <f t="shared" si="56"/>
        <v>5.6675203908658912E-2</v>
      </c>
      <c r="I493" s="48">
        <f t="shared" si="57"/>
        <v>417</v>
      </c>
      <c r="J493" s="47">
        <f t="shared" si="55"/>
        <v>0</v>
      </c>
      <c r="K493" s="47" t="str">
        <f t="shared" si="58"/>
        <v>TN</v>
      </c>
      <c r="L493" s="79">
        <v>1675977</v>
      </c>
    </row>
    <row r="494" spans="1:12" x14ac:dyDescent="0.2">
      <c r="A494" s="9">
        <v>0</v>
      </c>
      <c r="B494" s="9">
        <v>0</v>
      </c>
      <c r="C494" s="9">
        <v>1</v>
      </c>
      <c r="D494" s="9">
        <v>16</v>
      </c>
      <c r="E494" s="9">
        <v>1.7</v>
      </c>
      <c r="F494" s="9" t="s">
        <v>128</v>
      </c>
      <c r="G494" s="27">
        <f t="shared" si="54"/>
        <v>-1.2867765268430644</v>
      </c>
      <c r="H494" s="27">
        <f t="shared" si="56"/>
        <v>0.21639891682539847</v>
      </c>
      <c r="I494" s="48">
        <f t="shared" si="57"/>
        <v>456</v>
      </c>
      <c r="J494" s="47">
        <f t="shared" si="55"/>
        <v>1</v>
      </c>
      <c r="K494" s="47" t="str">
        <f t="shared" si="58"/>
        <v>FP</v>
      </c>
      <c r="L494" s="79">
        <v>3639745</v>
      </c>
    </row>
    <row r="495" spans="1:12" x14ac:dyDescent="0.2">
      <c r="A495" s="9">
        <v>0</v>
      </c>
      <c r="B495" s="9">
        <v>0</v>
      </c>
      <c r="C495" s="9">
        <v>5</v>
      </c>
      <c r="D495" s="9">
        <v>16</v>
      </c>
      <c r="E495" s="9">
        <v>1.1000000000000001</v>
      </c>
      <c r="F495" s="9" t="s">
        <v>128</v>
      </c>
      <c r="G495" s="27">
        <f t="shared" si="54"/>
        <v>-1.5404170512999453</v>
      </c>
      <c r="H495" s="27">
        <f t="shared" si="56"/>
        <v>0.17647465597172274</v>
      </c>
      <c r="I495" s="48">
        <f t="shared" si="57"/>
        <v>450</v>
      </c>
      <c r="J495" s="47">
        <f t="shared" si="55"/>
        <v>0</v>
      </c>
      <c r="K495" s="47" t="str">
        <f t="shared" si="58"/>
        <v>TN</v>
      </c>
      <c r="L495" s="79">
        <v>3075503</v>
      </c>
    </row>
    <row r="496" spans="1:12" x14ac:dyDescent="0.2">
      <c r="A496" s="9">
        <v>1</v>
      </c>
      <c r="B496" s="9">
        <v>13</v>
      </c>
      <c r="C496" s="9">
        <v>11</v>
      </c>
      <c r="D496" s="9">
        <v>102</v>
      </c>
      <c r="E496" s="9">
        <v>18.899999999999999</v>
      </c>
      <c r="F496" s="9" t="s">
        <v>128</v>
      </c>
      <c r="G496" s="27">
        <f t="shared" si="54"/>
        <v>-0.16425744692575917</v>
      </c>
      <c r="H496" s="27">
        <f t="shared" si="56"/>
        <v>0.45902771795551967</v>
      </c>
      <c r="I496" s="48">
        <f t="shared" si="57"/>
        <v>478</v>
      </c>
      <c r="J496" s="47">
        <f t="shared" si="55"/>
        <v>1</v>
      </c>
      <c r="K496" s="47" t="str">
        <f t="shared" si="58"/>
        <v>TP</v>
      </c>
      <c r="L496" s="79">
        <v>7746911</v>
      </c>
    </row>
    <row r="497" spans="1:12" x14ac:dyDescent="0.2">
      <c r="A497" s="9">
        <v>0</v>
      </c>
      <c r="B497" s="9">
        <v>20</v>
      </c>
      <c r="C497" s="9">
        <v>9</v>
      </c>
      <c r="D497" s="9">
        <v>67</v>
      </c>
      <c r="E497" s="9">
        <v>30.6</v>
      </c>
      <c r="F497" s="9" t="s">
        <v>128</v>
      </c>
      <c r="G497" s="27">
        <f t="shared" si="54"/>
        <v>-3.4103169997424576E-2</v>
      </c>
      <c r="H497" s="27">
        <f t="shared" si="56"/>
        <v>0.49147503371456031</v>
      </c>
      <c r="I497" s="48">
        <f t="shared" si="57"/>
        <v>480</v>
      </c>
      <c r="J497" s="47">
        <f t="shared" si="55"/>
        <v>1</v>
      </c>
      <c r="K497" s="47" t="str">
        <f t="shared" si="58"/>
        <v>FP</v>
      </c>
      <c r="L497" s="79">
        <v>9006147</v>
      </c>
    </row>
    <row r="498" spans="1:12" x14ac:dyDescent="0.2">
      <c r="A498" s="9">
        <v>1</v>
      </c>
      <c r="B498" s="9">
        <v>13</v>
      </c>
      <c r="C498" s="9">
        <v>13</v>
      </c>
      <c r="D498" s="9">
        <v>91</v>
      </c>
      <c r="E498" s="9">
        <v>25.2</v>
      </c>
      <c r="F498" s="9" t="s">
        <v>128</v>
      </c>
      <c r="G498" s="27">
        <f t="shared" si="54"/>
        <v>0.44928801317085476</v>
      </c>
      <c r="H498" s="27">
        <f t="shared" si="56"/>
        <v>0.61046993937244931</v>
      </c>
      <c r="I498" s="48">
        <f t="shared" si="57"/>
        <v>486</v>
      </c>
      <c r="J498" s="47">
        <f t="shared" si="55"/>
        <v>1</v>
      </c>
      <c r="K498" s="47" t="str">
        <f t="shared" si="58"/>
        <v>TP</v>
      </c>
      <c r="L498" s="79">
        <v>9360682</v>
      </c>
    </row>
    <row r="499" spans="1:12" x14ac:dyDescent="0.2">
      <c r="A499" s="9">
        <v>1</v>
      </c>
      <c r="B499" s="9">
        <v>25</v>
      </c>
      <c r="C499" s="9">
        <v>12</v>
      </c>
      <c r="D499" s="13">
        <v>117.54291069294821</v>
      </c>
      <c r="E499" s="9">
        <v>26.5</v>
      </c>
      <c r="F499" s="9" t="s">
        <v>128</v>
      </c>
      <c r="G499" s="27">
        <f t="shared" si="54"/>
        <v>-0.77330917761161455</v>
      </c>
      <c r="H499" s="27">
        <f t="shared" si="56"/>
        <v>0.31576369981433289</v>
      </c>
      <c r="I499" s="48">
        <f t="shared" si="57"/>
        <v>467</v>
      </c>
      <c r="J499" s="47">
        <f t="shared" si="55"/>
        <v>1</v>
      </c>
      <c r="K499" s="47" t="str">
        <f t="shared" si="58"/>
        <v>TP</v>
      </c>
      <c r="L499" s="79">
        <v>3334814</v>
      </c>
    </row>
    <row r="500" spans="1:12" x14ac:dyDescent="0.2">
      <c r="A500" s="9">
        <v>1</v>
      </c>
      <c r="B500" s="9">
        <v>18</v>
      </c>
      <c r="C500" s="9">
        <v>14</v>
      </c>
      <c r="D500" s="9">
        <v>0</v>
      </c>
      <c r="E500" s="9">
        <v>6.5</v>
      </c>
      <c r="F500" s="9" t="s">
        <v>128</v>
      </c>
      <c r="G500" s="27">
        <f t="shared" si="54"/>
        <v>-4.1313236025969582</v>
      </c>
      <c r="H500" s="27">
        <f t="shared" si="56"/>
        <v>1.5807708387199183E-2</v>
      </c>
      <c r="I500" s="48">
        <f t="shared" si="57"/>
        <v>380</v>
      </c>
      <c r="J500" s="47">
        <f t="shared" si="55"/>
        <v>0</v>
      </c>
      <c r="K500" s="47" t="str">
        <f t="shared" si="58"/>
        <v>FN</v>
      </c>
      <c r="L500" s="79">
        <v>7840998</v>
      </c>
    </row>
    <row r="501" spans="1:12" x14ac:dyDescent="0.2">
      <c r="A501" s="9">
        <v>0</v>
      </c>
      <c r="B501" s="9">
        <v>17</v>
      </c>
      <c r="C501" s="9">
        <v>26</v>
      </c>
      <c r="D501" s="9">
        <v>113</v>
      </c>
      <c r="E501" s="9">
        <v>12</v>
      </c>
      <c r="F501" s="9" t="s">
        <v>128</v>
      </c>
      <c r="G501" s="27">
        <f t="shared" si="54"/>
        <v>-2.1947949829961799</v>
      </c>
      <c r="H501" s="27">
        <f t="shared" si="56"/>
        <v>0.10021887609498467</v>
      </c>
      <c r="I501" s="48">
        <f t="shared" si="57"/>
        <v>434</v>
      </c>
      <c r="J501" s="47">
        <f t="shared" si="55"/>
        <v>0</v>
      </c>
      <c r="K501" s="47" t="str">
        <f t="shared" si="58"/>
        <v>TN</v>
      </c>
      <c r="L501" s="79">
        <v>3159053</v>
      </c>
    </row>
  </sheetData>
  <mergeCells count="10">
    <mergeCell ref="N11:P11"/>
    <mergeCell ref="S11:S12"/>
    <mergeCell ref="T11:Y11"/>
    <mergeCell ref="N29:T29"/>
    <mergeCell ref="P31:Q31"/>
    <mergeCell ref="N38:P38"/>
    <mergeCell ref="Q38:R38"/>
    <mergeCell ref="S38:U38"/>
    <mergeCell ref="N33:N34"/>
    <mergeCell ref="N31:O3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BD Original</vt:lpstr>
      <vt:lpstr>BD.Tratada</vt:lpstr>
      <vt:lpstr>BD.Muestra</vt:lpstr>
      <vt:lpstr>Correlación</vt:lpstr>
      <vt:lpstr>Analisis Previo</vt:lpstr>
      <vt:lpstr>Modelo 1</vt:lpstr>
      <vt:lpstr>Modelo 2</vt:lpstr>
      <vt:lpstr>Modelo 3</vt:lpstr>
      <vt:lpstr>Modelo 4</vt:lpstr>
      <vt:lpstr>Modelo 5</vt:lpstr>
      <vt:lpstr>Modelo final</vt:lpstr>
    </vt:vector>
  </TitlesOfParts>
  <Company>dof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dof</dc:creator>
  <cp:lastModifiedBy>Franco Mansilla IbaÃ±ez</cp:lastModifiedBy>
  <dcterms:created xsi:type="dcterms:W3CDTF">2006-12-13T15:21:12Z</dcterms:created>
  <dcterms:modified xsi:type="dcterms:W3CDTF">2026-03-13T02:57:18Z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iteId">
    <vt:lpwstr>35595a02-4d6d-44ac-99e1-f9ab4cd872db</vt:lpwstr>
  </property>
  <property fmtid="{D5CDD505-2E9C-101B-9397-08002B2CF9AE}" pid="4" name="MSIP_Label_41b88ec2-a72b-4523-9e84-0458a1764731_Owner">
    <vt:lpwstr>n248872@corp.santander.cl</vt:lpwstr>
  </property>
  <property fmtid="{D5CDD505-2E9C-101B-9397-08002B2CF9AE}" pid="5" name="MSIP_Label_41b88ec2-a72b-4523-9e84-0458a1764731_SetDate">
    <vt:lpwstr>2021-07-05T20:34:23.4768049Z</vt:lpwstr>
  </property>
  <property fmtid="{D5CDD505-2E9C-101B-9397-08002B2CF9AE}" pid="6" name="MSIP_Label_41b88ec2-a72b-4523-9e84-0458a1764731_Name">
    <vt:lpwstr>Public</vt:lpwstr>
  </property>
  <property fmtid="{D5CDD505-2E9C-101B-9397-08002B2CF9AE}" pid="7" name="MSIP_Label_41b88ec2-a72b-4523-9e84-0458a1764731_Application">
    <vt:lpwstr>Microsoft Azure Information Protection</vt:lpwstr>
  </property>
  <property fmtid="{D5CDD505-2E9C-101B-9397-08002B2CF9AE}" pid="8" name="MSIP_Label_41b88ec2-a72b-4523-9e84-0458a1764731_ActionId">
    <vt:lpwstr>eea2bf04-3223-4b14-9257-dcccf50f79f5</vt:lpwstr>
  </property>
  <property fmtid="{D5CDD505-2E9C-101B-9397-08002B2CF9AE}" pid="9" name="MSIP_Label_41b88ec2-a72b-4523-9e84-0458a1764731_Extended_MSFT_Method">
    <vt:lpwstr>Manual</vt:lpwstr>
  </property>
  <property fmtid="{D5CDD505-2E9C-101B-9397-08002B2CF9AE}" pid="10" name="Sensitivity">
    <vt:lpwstr>Public</vt:lpwstr>
  </property>
</Properties>
</file>